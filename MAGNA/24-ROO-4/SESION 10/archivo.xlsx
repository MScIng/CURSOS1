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Abril 2024\Sesión 09 - Resultado Operativo\"/>
    </mc:Choice>
  </mc:AlternateContent>
  <xr:revisionPtr revIDLastSave="0" documentId="13_ncr:1_{26092672-D582-4F2A-9683-6542BFAD25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US" sheetId="12" r:id="rId1"/>
    <sheet name="Horas previstas" sheetId="1" r:id="rId2"/>
    <sheet name="Tareo" sheetId="2" r:id="rId3"/>
    <sheet name="Avance Real" sheetId="3" r:id="rId4"/>
    <sheet name="Base de Datos" sheetId="4" r:id="rId5"/>
    <sheet name="CP_MO" sheetId="5" r:id="rId6"/>
    <sheet name="E. Control" sheetId="6" r:id="rId7"/>
    <sheet name="Metrado Previstas" sheetId="7" r:id="rId8"/>
    <sheet name="Avance Real 2." sheetId="8" r:id="rId9"/>
    <sheet name="Consumo de mat. en obra" sheetId="9" r:id="rId10"/>
    <sheet name="CP_MA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5" l="1"/>
  <c r="P16" i="5"/>
  <c r="P14" i="5"/>
  <c r="P12" i="5"/>
  <c r="P10" i="5"/>
  <c r="N12" i="5"/>
  <c r="N10" i="5"/>
  <c r="M12" i="5"/>
  <c r="M10" i="5"/>
  <c r="L15" i="5"/>
  <c r="L16" i="5"/>
  <c r="L14" i="5"/>
  <c r="L12" i="5"/>
  <c r="L10" i="5"/>
  <c r="J12" i="5"/>
  <c r="J10" i="5"/>
  <c r="H15" i="5"/>
  <c r="H16" i="5"/>
  <c r="H14" i="5"/>
  <c r="H12" i="5"/>
  <c r="H10" i="5"/>
  <c r="G16" i="5"/>
  <c r="G15" i="5"/>
  <c r="G14" i="5"/>
  <c r="G12" i="5"/>
  <c r="G10" i="5"/>
  <c r="F12" i="5"/>
  <c r="F10" i="5"/>
  <c r="E15" i="5"/>
  <c r="E16" i="5"/>
  <c r="E14" i="5"/>
  <c r="E12" i="5"/>
  <c r="E10" i="5"/>
  <c r="G4" i="4"/>
  <c r="G5" i="4"/>
  <c r="G6" i="4"/>
  <c r="G3" i="4"/>
  <c r="F4" i="4"/>
  <c r="F5" i="4"/>
  <c r="F6" i="4"/>
  <c r="F3" i="4"/>
  <c r="E4" i="4"/>
  <c r="E5" i="4"/>
  <c r="E6" i="4"/>
  <c r="E3" i="4"/>
  <c r="D6" i="4"/>
  <c r="D5" i="4"/>
  <c r="D4" i="4"/>
  <c r="D3" i="4"/>
  <c r="D4" i="1"/>
  <c r="D5" i="1"/>
  <c r="D6" i="1"/>
  <c r="D7" i="1"/>
  <c r="D3" i="1"/>
</calcChain>
</file>

<file path=xl/sharedStrings.xml><?xml version="1.0" encoding="utf-8"?>
<sst xmlns="http://schemas.openxmlformats.org/spreadsheetml/2006/main" count="233" uniqueCount="119">
  <si>
    <t>Código de partida</t>
  </si>
  <si>
    <t>Partida</t>
  </si>
  <si>
    <t>Ratio Meta</t>
  </si>
  <si>
    <t>Und</t>
  </si>
  <si>
    <t>Metrado</t>
  </si>
  <si>
    <t>Horas Reales</t>
  </si>
  <si>
    <t>Fecha</t>
  </si>
  <si>
    <t>Semana</t>
  </si>
  <si>
    <t>Avance Real</t>
  </si>
  <si>
    <t>Código de Partida</t>
  </si>
  <si>
    <t>Ratio Real</t>
  </si>
  <si>
    <t>Proyecto:</t>
  </si>
  <si>
    <t>FECHA:</t>
  </si>
  <si>
    <t>SEMANA:</t>
  </si>
  <si>
    <t>Cod. PC</t>
  </si>
  <si>
    <t>PARTIDAS DE CONTROL</t>
  </si>
  <si>
    <t>und</t>
  </si>
  <si>
    <t>Metrado Base</t>
  </si>
  <si>
    <t>Acumulado a la Fecha</t>
  </si>
  <si>
    <t>% Acumulado a la Fecha</t>
  </si>
  <si>
    <t>Horas Previstas</t>
  </si>
  <si>
    <t>Acumulado Previstas</t>
  </si>
  <si>
    <t>Acumulado Real (Horas Gastadas)</t>
  </si>
  <si>
    <t>Ratio Real Acumulado</t>
  </si>
  <si>
    <t>Ratio Real Semana Actual</t>
  </si>
  <si>
    <t>AVANCE</t>
  </si>
  <si>
    <t>CANTIDAD HH</t>
  </si>
  <si>
    <t>PRODUCTIVIDAD</t>
  </si>
  <si>
    <t>HH GANADAS/PERDIDAS A LA FECHA</t>
  </si>
  <si>
    <t>HH GANADAS/PERDIDAS A FIN DE FECHA</t>
  </si>
  <si>
    <t>S/. GANADAS/PERDIDAS A LA FECHA</t>
  </si>
  <si>
    <t>S/. GANADAS/PERDIDAS A FIN DE OE</t>
  </si>
  <si>
    <t>HH Perdidas o ganadas</t>
  </si>
  <si>
    <t>Costo mano obra (S/.)</t>
  </si>
  <si>
    <t>ESTRUCTURA DE CONTROL DE PROYECTO</t>
  </si>
  <si>
    <t>Código</t>
  </si>
  <si>
    <t>Material</t>
  </si>
  <si>
    <t>Precio Unitario</t>
  </si>
  <si>
    <t>IP META</t>
  </si>
  <si>
    <t>Materiales</t>
  </si>
  <si>
    <t>Cantidad</t>
  </si>
  <si>
    <t>Semanas</t>
  </si>
  <si>
    <t>CONSUMO DE MATERIALES (OBRA)</t>
  </si>
  <si>
    <t>Diametro</t>
  </si>
  <si>
    <t>Por ML</t>
  </si>
  <si>
    <t>Por Varilla</t>
  </si>
  <si>
    <t>MATERIAL</t>
  </si>
  <si>
    <t>MATERIALES</t>
  </si>
  <si>
    <t>Materiales Previstas</t>
  </si>
  <si>
    <t>Acumulado Previsto</t>
  </si>
  <si>
    <t>Acumulado Real (Mat. Gastadas)</t>
  </si>
  <si>
    <t>META</t>
  </si>
  <si>
    <t>ACUMULADO REAL</t>
  </si>
  <si>
    <t>Costo Material (S/.)</t>
  </si>
  <si>
    <t>(S/.) ACUMULADO REAL</t>
  </si>
  <si>
    <t>GANADAS Y PERDIDAS</t>
  </si>
  <si>
    <t>Se saca cantidad de horas hombre</t>
  </si>
  <si>
    <t>Se saca rendimiento</t>
  </si>
  <si>
    <t>Para obtener ratio meta</t>
  </si>
  <si>
    <t>OBRAS PROVISIONALES</t>
  </si>
  <si>
    <t>MOVIMIENTO DE TIERRAS</t>
  </si>
  <si>
    <t>CONCRETO</t>
  </si>
  <si>
    <t>ENCOFRADO</t>
  </si>
  <si>
    <t>ACERO</t>
  </si>
  <si>
    <t>hh/m3</t>
  </si>
  <si>
    <t>hh/m2</t>
  </si>
  <si>
    <t>hh/kg</t>
  </si>
  <si>
    <t>m3</t>
  </si>
  <si>
    <t>m2</t>
  </si>
  <si>
    <t>kg</t>
  </si>
  <si>
    <t>Metrado Meta Total</t>
  </si>
  <si>
    <t>HH Previstas Total</t>
  </si>
  <si>
    <t>SEM 1</t>
  </si>
  <si>
    <t>SEM 2</t>
  </si>
  <si>
    <t>SEM 3</t>
  </si>
  <si>
    <t>Horas Reales Semana</t>
  </si>
  <si>
    <t>Se colocan solo las partidas que se han trabajado en la semana</t>
  </si>
  <si>
    <t>Se coloca el avance real en metrado</t>
  </si>
  <si>
    <t>Ratio meta</t>
  </si>
  <si>
    <t>Se saca de horas previstas</t>
  </si>
  <si>
    <t>Horas reales</t>
  </si>
  <si>
    <t>Tareos</t>
  </si>
  <si>
    <t>Avance real</t>
  </si>
  <si>
    <t>METRADO BASE</t>
  </si>
  <si>
    <t>METRADO TOTAL</t>
  </si>
  <si>
    <t>ACUMULADO A LA FECHA</t>
  </si>
  <si>
    <t>AVANCE ACUMULADO HASTA LA FECHA</t>
  </si>
  <si>
    <t>%</t>
  </si>
  <si>
    <t>% DE AVANCE A LA FECHA</t>
  </si>
  <si>
    <t>HORAS PREVISTAS</t>
  </si>
  <si>
    <t>TOTAL PREVISTAS</t>
  </si>
  <si>
    <t>ACUMULADO PREVISTO</t>
  </si>
  <si>
    <t>HORAS QUE DEBI GASTAR EN FUNCION AL AVANCE</t>
  </si>
  <si>
    <t xml:space="preserve">HORAS GASTADAS </t>
  </si>
  <si>
    <t>HORAS REALES GASTADAS</t>
  </si>
  <si>
    <t>UND</t>
  </si>
  <si>
    <t>HH/GLB</t>
  </si>
  <si>
    <t>RATIO META</t>
  </si>
  <si>
    <t>RATIO META DE LAS HORAS PREVISTAS</t>
  </si>
  <si>
    <t xml:space="preserve">RATIO REAL </t>
  </si>
  <si>
    <t>HORAS GASTADAS ENTRE AVANCE A LA FECHA</t>
  </si>
  <si>
    <t>RATIO SEMANA ACTUAL</t>
  </si>
  <si>
    <t>SOLO DE LA PRESENTE SEMANA</t>
  </si>
  <si>
    <t>HORAS GANADAS O PERDIDAS</t>
  </si>
  <si>
    <t>SE RESTA A LAS HORAS GASTADAS</t>
  </si>
  <si>
    <t>S/.</t>
  </si>
  <si>
    <t>M2</t>
  </si>
  <si>
    <t>AVANCES DE CADA UNA DE LAS SEMANAS POR PARTIDAS</t>
  </si>
  <si>
    <t>SE COLOCA LOS METRADOS DE MATERIALES REALMENTE UTILIZADOS</t>
  </si>
  <si>
    <t>Acero corrugado</t>
  </si>
  <si>
    <t>6 mm</t>
  </si>
  <si>
    <t>8 mm</t>
  </si>
  <si>
    <t>3/8</t>
  </si>
  <si>
    <t>12 mm</t>
  </si>
  <si>
    <t>1/2</t>
  </si>
  <si>
    <t>I.E. N° 1182 "EL BOSQUE" - CERCO + INGRESOS Y CASETAS</t>
  </si>
  <si>
    <t>ESTRUCTURAS</t>
  </si>
  <si>
    <t>hh</t>
  </si>
  <si>
    <t>Soles
Ganadas - Perdidas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</si>
</sst>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2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0" xfId="0" applyFont="1"/>
    <xf numFmtId="0" fontId="0" fillId="5" borderId="1" xfId="0" applyFill="1" applyBorder="1"/>
    <xf numFmtId="0" fontId="0" fillId="0" borderId="11" xfId="0" applyBorder="1"/>
    <xf numFmtId="0" fontId="0" fillId="0" borderId="12" xfId="0" applyBorder="1"/>
    <xf numFmtId="0" fontId="3" fillId="0" borderId="0" xfId="0" applyFont="1"/>
    <xf numFmtId="0" fontId="0" fillId="5" borderId="8" xfId="0" applyFill="1" applyBorder="1"/>
    <xf numFmtId="0" fontId="0" fillId="5" borderId="7" xfId="0" applyFill="1" applyBorder="1"/>
    <xf numFmtId="0" fontId="2" fillId="4" borderId="5" xfId="0" applyFont="1" applyFill="1" applyBorder="1" applyAlignment="1"/>
    <xf numFmtId="0" fontId="2" fillId="2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2" borderId="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/>
    <xf numFmtId="0" fontId="1" fillId="3" borderId="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0" fillId="0" borderId="1" xfId="0" applyNumberFormat="1" applyBorder="1"/>
    <xf numFmtId="43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2" fillId="2" borderId="8" xfId="0" applyFont="1" applyFill="1" applyBorder="1"/>
    <xf numFmtId="0" fontId="2" fillId="2" borderId="7" xfId="0" applyFont="1" applyFill="1" applyBorder="1"/>
    <xf numFmtId="0" fontId="2" fillId="2" borderId="1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3" fontId="0" fillId="0" borderId="8" xfId="0" applyNumberFormat="1" applyBorder="1"/>
    <xf numFmtId="10" fontId="0" fillId="0" borderId="8" xfId="2" applyNumberFormat="1" applyFont="1" applyBorder="1"/>
    <xf numFmtId="43" fontId="0" fillId="0" borderId="8" xfId="1" applyFont="1" applyBorder="1" applyAlignment="1">
      <alignment horizontal="right"/>
    </xf>
    <xf numFmtId="0" fontId="0" fillId="0" borderId="7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EA46-F2D8-4BB9-BC15-C763C1905842}">
  <dimension ref="B2:B4"/>
  <sheetViews>
    <sheetView tabSelected="1" workbookViewId="0">
      <selection sqref="A1:J23"/>
    </sheetView>
  </sheetViews>
  <sheetFormatPr baseColWidth="10" defaultRowHeight="15" x14ac:dyDescent="0.25"/>
  <sheetData>
    <row r="2" spans="2:2" x14ac:dyDescent="0.25">
      <c r="B2" t="s">
        <v>56</v>
      </c>
    </row>
    <row r="3" spans="2:2" x14ac:dyDescent="0.25">
      <c r="B3" t="s">
        <v>57</v>
      </c>
    </row>
    <row r="4" spans="2:2" x14ac:dyDescent="0.25">
      <c r="B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zoomScale="130" zoomScaleNormal="130" workbookViewId="0">
      <selection activeCell="D3" sqref="D3:D7"/>
    </sheetView>
  </sheetViews>
  <sheetFormatPr baseColWidth="10" defaultRowHeight="15" x14ac:dyDescent="0.25"/>
  <cols>
    <col min="1" max="1" width="7.5703125" customWidth="1"/>
    <col min="2" max="2" width="14.5703125" customWidth="1"/>
    <col min="3" max="3" width="25.140625" customWidth="1"/>
  </cols>
  <sheetData>
    <row r="2" spans="2:8" ht="39.75" customHeight="1" x14ac:dyDescent="0.25">
      <c r="B2" s="2" t="s">
        <v>9</v>
      </c>
      <c r="C2" s="2" t="s">
        <v>1</v>
      </c>
      <c r="D2" s="2" t="s">
        <v>2</v>
      </c>
      <c r="E2" s="2" t="s">
        <v>3</v>
      </c>
      <c r="F2" s="2" t="s">
        <v>70</v>
      </c>
      <c r="G2" s="2" t="s">
        <v>3</v>
      </c>
      <c r="H2" s="2" t="s">
        <v>71</v>
      </c>
    </row>
    <row r="3" spans="2:8" x14ac:dyDescent="0.25">
      <c r="B3" s="43">
        <v>100</v>
      </c>
      <c r="C3" s="1" t="s">
        <v>59</v>
      </c>
      <c r="D3" s="46">
        <f>+H3/F3</f>
        <v>5.607127733077763E-2</v>
      </c>
      <c r="E3" s="43" t="s">
        <v>65</v>
      </c>
      <c r="F3" s="44">
        <v>1794.68</v>
      </c>
      <c r="G3" s="43" t="s">
        <v>68</v>
      </c>
      <c r="H3" s="1">
        <v>100.63</v>
      </c>
    </row>
    <row r="4" spans="2:8" x14ac:dyDescent="0.25">
      <c r="B4" s="43">
        <v>200</v>
      </c>
      <c r="C4" s="1" t="s">
        <v>60</v>
      </c>
      <c r="D4" s="46">
        <f t="shared" ref="D4:D7" si="0">+H4/F4</f>
        <v>0.89542619116484889</v>
      </c>
      <c r="E4" s="43" t="s">
        <v>64</v>
      </c>
      <c r="F4" s="44">
        <v>4390.87</v>
      </c>
      <c r="G4" s="43" t="s">
        <v>67</v>
      </c>
      <c r="H4" s="1">
        <v>3931.7</v>
      </c>
    </row>
    <row r="5" spans="2:8" x14ac:dyDescent="0.25">
      <c r="B5" s="43">
        <v>300</v>
      </c>
      <c r="C5" s="1" t="s">
        <v>61</v>
      </c>
      <c r="D5" s="46">
        <f t="shared" si="0"/>
        <v>1.9418019987507809</v>
      </c>
      <c r="E5" s="43" t="s">
        <v>64</v>
      </c>
      <c r="F5" s="44">
        <v>1280.8</v>
      </c>
      <c r="G5" s="43" t="s">
        <v>67</v>
      </c>
      <c r="H5" s="1">
        <v>2487.06</v>
      </c>
    </row>
    <row r="6" spans="2:8" x14ac:dyDescent="0.25">
      <c r="B6" s="43">
        <v>400</v>
      </c>
      <c r="C6" s="1" t="s">
        <v>62</v>
      </c>
      <c r="D6" s="46">
        <f t="shared" si="0"/>
        <v>1.3407107480928224</v>
      </c>
      <c r="E6" s="43" t="s">
        <v>65</v>
      </c>
      <c r="F6" s="44">
        <v>4005.92</v>
      </c>
      <c r="G6" s="43" t="s">
        <v>68</v>
      </c>
      <c r="H6" s="1">
        <v>5370.78</v>
      </c>
    </row>
    <row r="7" spans="2:8" x14ac:dyDescent="0.25">
      <c r="B7" s="43">
        <v>500</v>
      </c>
      <c r="C7" s="1" t="s">
        <v>63</v>
      </c>
      <c r="D7" s="46">
        <f t="shared" si="0"/>
        <v>0.73442441529638702</v>
      </c>
      <c r="E7" s="43" t="s">
        <v>66</v>
      </c>
      <c r="F7" s="44">
        <v>53548.07</v>
      </c>
      <c r="G7" s="43" t="s">
        <v>69</v>
      </c>
      <c r="H7" s="1">
        <v>39327.01</v>
      </c>
    </row>
    <row r="8" spans="2:8" x14ac:dyDescent="0.25">
      <c r="B8" s="43"/>
      <c r="C8" s="1"/>
      <c r="D8" s="43"/>
      <c r="E8" s="1"/>
      <c r="F8" s="1"/>
      <c r="G8" s="1"/>
      <c r="H8" s="1"/>
    </row>
    <row r="9" spans="2:8" x14ac:dyDescent="0.25">
      <c r="B9" s="43"/>
      <c r="C9" s="1"/>
      <c r="D9" s="43"/>
      <c r="E9" s="1"/>
      <c r="F9" s="1"/>
      <c r="G9" s="1"/>
      <c r="H9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5"/>
  <sheetViews>
    <sheetView zoomScale="130" zoomScaleNormal="130" workbookViewId="0">
      <selection activeCell="D3" sqref="D3:D6"/>
    </sheetView>
  </sheetViews>
  <sheetFormatPr baseColWidth="10" defaultRowHeight="15" x14ac:dyDescent="0.25"/>
  <cols>
    <col min="3" max="3" width="29.7109375" customWidth="1"/>
  </cols>
  <sheetData>
    <row r="2" spans="2:8" ht="45" x14ac:dyDescent="0.25">
      <c r="B2" s="2" t="s">
        <v>0</v>
      </c>
      <c r="C2" s="2" t="s">
        <v>1</v>
      </c>
      <c r="D2" s="2" t="s">
        <v>75</v>
      </c>
      <c r="E2" s="2" t="s">
        <v>6</v>
      </c>
      <c r="F2" s="2" t="s">
        <v>7</v>
      </c>
    </row>
    <row r="3" spans="2:8" x14ac:dyDescent="0.25">
      <c r="B3" s="47">
        <v>100</v>
      </c>
      <c r="C3" s="1" t="s">
        <v>59</v>
      </c>
      <c r="D3" s="44">
        <v>12.8</v>
      </c>
      <c r="E3" s="48">
        <v>45481</v>
      </c>
      <c r="F3" s="43" t="s">
        <v>72</v>
      </c>
      <c r="H3" t="s">
        <v>76</v>
      </c>
    </row>
    <row r="4" spans="2:8" x14ac:dyDescent="0.25">
      <c r="B4" s="47">
        <v>200</v>
      </c>
      <c r="C4" s="1" t="s">
        <v>60</v>
      </c>
      <c r="D4" s="44">
        <v>385</v>
      </c>
      <c r="E4" s="48">
        <v>45481</v>
      </c>
      <c r="F4" s="43" t="s">
        <v>72</v>
      </c>
    </row>
    <row r="5" spans="2:8" x14ac:dyDescent="0.25">
      <c r="B5" s="47">
        <v>100</v>
      </c>
      <c r="C5" s="1" t="s">
        <v>59</v>
      </c>
      <c r="D5" s="44">
        <v>14.2</v>
      </c>
      <c r="E5" s="48">
        <v>45488</v>
      </c>
      <c r="F5" s="43" t="s">
        <v>73</v>
      </c>
    </row>
    <row r="6" spans="2:8" x14ac:dyDescent="0.25">
      <c r="B6" s="47">
        <v>200</v>
      </c>
      <c r="C6" s="1" t="s">
        <v>60</v>
      </c>
      <c r="D6" s="44">
        <v>375</v>
      </c>
      <c r="E6" s="48">
        <v>45488</v>
      </c>
      <c r="F6" s="43" t="s">
        <v>73</v>
      </c>
    </row>
    <row r="7" spans="2:8" x14ac:dyDescent="0.25">
      <c r="B7" s="43">
        <v>100</v>
      </c>
      <c r="C7" s="1" t="s">
        <v>59</v>
      </c>
      <c r="D7" s="44"/>
      <c r="E7" s="1"/>
      <c r="F7" s="43" t="s">
        <v>74</v>
      </c>
    </row>
    <row r="8" spans="2:8" x14ac:dyDescent="0.25">
      <c r="B8" s="43">
        <v>200</v>
      </c>
      <c r="C8" s="1" t="s">
        <v>60</v>
      </c>
      <c r="D8" s="44"/>
      <c r="E8" s="1"/>
      <c r="F8" s="43" t="s">
        <v>74</v>
      </c>
    </row>
    <row r="9" spans="2:8" x14ac:dyDescent="0.25">
      <c r="B9" s="43">
        <v>300</v>
      </c>
      <c r="C9" s="1" t="s">
        <v>61</v>
      </c>
      <c r="D9" s="44"/>
      <c r="E9" s="1"/>
      <c r="F9" s="43" t="s">
        <v>74</v>
      </c>
    </row>
    <row r="10" spans="2:8" x14ac:dyDescent="0.25">
      <c r="B10" s="43">
        <v>400</v>
      </c>
      <c r="C10" s="1" t="s">
        <v>62</v>
      </c>
      <c r="D10" s="44"/>
      <c r="E10" s="1"/>
      <c r="F10" s="43" t="s">
        <v>74</v>
      </c>
    </row>
    <row r="11" spans="2:8" x14ac:dyDescent="0.25">
      <c r="B11" s="43">
        <v>500</v>
      </c>
      <c r="C11" s="1" t="s">
        <v>63</v>
      </c>
      <c r="D11" s="44"/>
      <c r="E11" s="1"/>
      <c r="F11" s="43" t="s">
        <v>74</v>
      </c>
    </row>
    <row r="12" spans="2:8" x14ac:dyDescent="0.25">
      <c r="B12" s="1"/>
      <c r="C12" s="1"/>
      <c r="D12" s="1"/>
      <c r="E12" s="1"/>
      <c r="F12" s="1"/>
    </row>
    <row r="13" spans="2:8" x14ac:dyDescent="0.25">
      <c r="B13" s="1"/>
      <c r="C13" s="1"/>
      <c r="D13" s="1"/>
      <c r="E13" s="1"/>
      <c r="F13" s="1"/>
    </row>
    <row r="14" spans="2:8" x14ac:dyDescent="0.25">
      <c r="B14" s="1"/>
      <c r="C14" s="1"/>
      <c r="D14" s="1"/>
      <c r="E14" s="1"/>
      <c r="F14" s="1"/>
    </row>
    <row r="15" spans="2:8" x14ac:dyDescent="0.25">
      <c r="B15" s="1"/>
      <c r="C15" s="1"/>
      <c r="D15" s="1"/>
      <c r="E15" s="1"/>
      <c r="F15" s="1"/>
    </row>
    <row r="16" spans="2:8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  <row r="21" spans="2:6" x14ac:dyDescent="0.25">
      <c r="B21" s="1"/>
      <c r="C21" s="1"/>
      <c r="D21" s="1"/>
      <c r="E21" s="1"/>
      <c r="F21" s="1"/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  <row r="25" spans="2:6" x14ac:dyDescent="0.25">
      <c r="B25" s="1"/>
      <c r="C25" s="1"/>
      <c r="D25" s="1"/>
      <c r="E25" s="1"/>
      <c r="F25" s="1"/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  <row r="29" spans="2:6" x14ac:dyDescent="0.25">
      <c r="B29" s="1"/>
      <c r="C29" s="1"/>
      <c r="D29" s="1"/>
      <c r="E29" s="1"/>
      <c r="F29" s="1"/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  <row r="39" spans="2:6" x14ac:dyDescent="0.25">
      <c r="B39" s="1"/>
      <c r="C39" s="1"/>
      <c r="D39" s="1"/>
      <c r="E39" s="1"/>
      <c r="F39" s="1"/>
    </row>
    <row r="40" spans="2:6" x14ac:dyDescent="0.25">
      <c r="B40" s="1"/>
      <c r="C40" s="1"/>
      <c r="D40" s="1"/>
      <c r="E40" s="1"/>
      <c r="F40" s="1"/>
    </row>
    <row r="41" spans="2:6" x14ac:dyDescent="0.25">
      <c r="B41" s="1"/>
      <c r="C41" s="1"/>
      <c r="D41" s="1"/>
      <c r="E41" s="1"/>
      <c r="F41" s="1"/>
    </row>
    <row r="42" spans="2:6" x14ac:dyDescent="0.25">
      <c r="B42" s="1"/>
      <c r="C42" s="1"/>
      <c r="D42" s="1"/>
      <c r="E42" s="1"/>
      <c r="F42" s="1"/>
    </row>
    <row r="43" spans="2:6" x14ac:dyDescent="0.25">
      <c r="B43" s="1"/>
      <c r="C43" s="1"/>
      <c r="D43" s="1"/>
      <c r="E43" s="1"/>
      <c r="F43" s="1"/>
    </row>
    <row r="44" spans="2:6" x14ac:dyDescent="0.25">
      <c r="B44" s="1"/>
      <c r="C44" s="1"/>
      <c r="D44" s="1"/>
      <c r="E44" s="1"/>
      <c r="F44" s="1"/>
    </row>
    <row r="45" spans="2:6" x14ac:dyDescent="0.25">
      <c r="B45" s="1"/>
      <c r="C45" s="1"/>
      <c r="D45" s="1"/>
      <c r="E45" s="1"/>
      <c r="F45" s="1"/>
    </row>
    <row r="46" spans="2:6" x14ac:dyDescent="0.25">
      <c r="B46" s="1"/>
      <c r="C46" s="1"/>
      <c r="D46" s="1"/>
      <c r="E46" s="1"/>
      <c r="F46" s="1"/>
    </row>
    <row r="47" spans="2:6" x14ac:dyDescent="0.25">
      <c r="B47" s="1"/>
      <c r="C47" s="1"/>
      <c r="D47" s="1"/>
      <c r="E47" s="1"/>
      <c r="F47" s="1"/>
    </row>
    <row r="48" spans="2:6" x14ac:dyDescent="0.25">
      <c r="B48" s="1"/>
      <c r="C48" s="1"/>
      <c r="D48" s="1"/>
      <c r="E48" s="1"/>
      <c r="F48" s="1"/>
    </row>
    <row r="49" spans="2:6" x14ac:dyDescent="0.25">
      <c r="B49" s="1"/>
      <c r="C49" s="1"/>
      <c r="D49" s="1"/>
      <c r="E49" s="1"/>
      <c r="F49" s="1"/>
    </row>
    <row r="50" spans="2:6" x14ac:dyDescent="0.25">
      <c r="B50" s="1"/>
      <c r="C50" s="1"/>
      <c r="D50" s="1"/>
      <c r="E50" s="1"/>
      <c r="F50" s="1"/>
    </row>
    <row r="51" spans="2:6" x14ac:dyDescent="0.25">
      <c r="B51" s="1"/>
      <c r="C51" s="1"/>
      <c r="D51" s="1"/>
      <c r="E51" s="1"/>
      <c r="F51" s="1"/>
    </row>
    <row r="52" spans="2:6" x14ac:dyDescent="0.25">
      <c r="B52" s="1"/>
      <c r="C52" s="1"/>
      <c r="D52" s="1"/>
      <c r="E52" s="1"/>
      <c r="F52" s="1"/>
    </row>
    <row r="53" spans="2:6" x14ac:dyDescent="0.25">
      <c r="B53" s="1"/>
      <c r="C53" s="1"/>
      <c r="D53" s="1"/>
      <c r="E53" s="1"/>
      <c r="F53" s="1"/>
    </row>
    <row r="54" spans="2:6" x14ac:dyDescent="0.25">
      <c r="B54" s="1"/>
      <c r="C54" s="1"/>
      <c r="D54" s="1"/>
      <c r="E54" s="1"/>
      <c r="F54" s="1"/>
    </row>
    <row r="55" spans="2:6" x14ac:dyDescent="0.25">
      <c r="B55" s="1"/>
      <c r="C55" s="1"/>
      <c r="D55" s="1"/>
      <c r="E55" s="1"/>
      <c r="F55" s="1"/>
    </row>
    <row r="56" spans="2:6" x14ac:dyDescent="0.25">
      <c r="B56" s="1"/>
      <c r="C56" s="1"/>
      <c r="D56" s="1"/>
      <c r="E56" s="1"/>
      <c r="F56" s="1"/>
    </row>
    <row r="57" spans="2:6" x14ac:dyDescent="0.25">
      <c r="B57" s="1"/>
      <c r="C57" s="1"/>
      <c r="D57" s="1"/>
      <c r="E57" s="1"/>
      <c r="F57" s="1"/>
    </row>
    <row r="58" spans="2:6" x14ac:dyDescent="0.25">
      <c r="B58" s="1"/>
      <c r="C58" s="1"/>
      <c r="D58" s="1"/>
      <c r="E58" s="1"/>
      <c r="F58" s="1"/>
    </row>
    <row r="59" spans="2:6" x14ac:dyDescent="0.25">
      <c r="B59" s="1"/>
      <c r="C59" s="1"/>
      <c r="D59" s="1"/>
      <c r="E59" s="1"/>
      <c r="F59" s="1"/>
    </row>
    <row r="60" spans="2:6" x14ac:dyDescent="0.25">
      <c r="B60" s="1"/>
      <c r="C60" s="1"/>
      <c r="D60" s="1"/>
      <c r="E60" s="1"/>
      <c r="F60" s="1"/>
    </row>
    <row r="61" spans="2:6" x14ac:dyDescent="0.25">
      <c r="B61" s="1"/>
      <c r="C61" s="1"/>
      <c r="D61" s="1"/>
      <c r="E61" s="1"/>
      <c r="F61" s="1"/>
    </row>
    <row r="62" spans="2:6" x14ac:dyDescent="0.25">
      <c r="B62" s="1"/>
      <c r="C62" s="1"/>
      <c r="D62" s="1"/>
      <c r="E62" s="1"/>
      <c r="F62" s="1"/>
    </row>
    <row r="63" spans="2:6" x14ac:dyDescent="0.25">
      <c r="B63" s="1"/>
      <c r="C63" s="1"/>
      <c r="D63" s="1"/>
      <c r="E63" s="1"/>
      <c r="F63" s="1"/>
    </row>
    <row r="64" spans="2:6" x14ac:dyDescent="0.25">
      <c r="B64" s="1"/>
      <c r="C64" s="1"/>
      <c r="D64" s="1"/>
      <c r="E64" s="1"/>
      <c r="F64" s="1"/>
    </row>
    <row r="65" spans="2:6" x14ac:dyDescent="0.25">
      <c r="B65" s="1"/>
      <c r="C65" s="1"/>
      <c r="D65" s="1"/>
      <c r="E65" s="1"/>
      <c r="F65" s="1"/>
    </row>
    <row r="66" spans="2:6" x14ac:dyDescent="0.25">
      <c r="B66" s="1"/>
      <c r="C66" s="1"/>
      <c r="D66" s="1"/>
      <c r="E66" s="1"/>
      <c r="F66" s="1"/>
    </row>
    <row r="67" spans="2:6" x14ac:dyDescent="0.25">
      <c r="B67" s="1"/>
      <c r="C67" s="1"/>
      <c r="D67" s="1"/>
      <c r="E67" s="1"/>
      <c r="F67" s="1"/>
    </row>
    <row r="68" spans="2:6" x14ac:dyDescent="0.25">
      <c r="B68" s="1"/>
      <c r="C68" s="1"/>
      <c r="D68" s="1"/>
      <c r="E68" s="1"/>
      <c r="F68" s="1"/>
    </row>
    <row r="69" spans="2:6" x14ac:dyDescent="0.25">
      <c r="B69" s="1"/>
      <c r="C69" s="1"/>
      <c r="D69" s="1"/>
      <c r="E69" s="1"/>
      <c r="F69" s="1"/>
    </row>
    <row r="70" spans="2:6" x14ac:dyDescent="0.25">
      <c r="B70" s="1"/>
      <c r="C70" s="1"/>
      <c r="D70" s="1"/>
      <c r="E70" s="1"/>
      <c r="F70" s="1"/>
    </row>
    <row r="71" spans="2:6" x14ac:dyDescent="0.25">
      <c r="B71" s="1"/>
      <c r="C71" s="1"/>
      <c r="D71" s="1"/>
      <c r="E71" s="1"/>
      <c r="F71" s="1"/>
    </row>
    <row r="72" spans="2:6" x14ac:dyDescent="0.25">
      <c r="B72" s="1"/>
      <c r="C72" s="1"/>
      <c r="D72" s="1"/>
      <c r="E72" s="1"/>
      <c r="F72" s="1"/>
    </row>
    <row r="73" spans="2:6" x14ac:dyDescent="0.25">
      <c r="B73" s="1"/>
      <c r="C73" s="1"/>
      <c r="D73" s="1"/>
      <c r="E73" s="1"/>
      <c r="F73" s="1"/>
    </row>
    <row r="74" spans="2:6" x14ac:dyDescent="0.25">
      <c r="B74" s="1"/>
      <c r="C74" s="1"/>
      <c r="D74" s="1"/>
      <c r="E74" s="1"/>
      <c r="F74" s="1"/>
    </row>
    <row r="75" spans="2:6" x14ac:dyDescent="0.25">
      <c r="B75" s="1"/>
      <c r="C75" s="1"/>
      <c r="D75" s="1"/>
      <c r="E75" s="1"/>
      <c r="F75" s="1"/>
    </row>
    <row r="76" spans="2:6" x14ac:dyDescent="0.25">
      <c r="B76" s="1"/>
      <c r="C76" s="1"/>
      <c r="D76" s="1"/>
      <c r="E76" s="1"/>
      <c r="F76" s="1"/>
    </row>
    <row r="77" spans="2:6" x14ac:dyDescent="0.25">
      <c r="B77" s="1"/>
      <c r="C77" s="1"/>
      <c r="D77" s="1"/>
      <c r="E77" s="1"/>
      <c r="F77" s="1"/>
    </row>
    <row r="78" spans="2:6" x14ac:dyDescent="0.25">
      <c r="B78" s="1"/>
      <c r="C78" s="1"/>
      <c r="D78" s="1"/>
      <c r="E78" s="1"/>
      <c r="F78" s="1"/>
    </row>
    <row r="79" spans="2:6" x14ac:dyDescent="0.25">
      <c r="B79" s="1"/>
      <c r="C79" s="1"/>
      <c r="D79" s="1"/>
      <c r="E79" s="1"/>
      <c r="F79" s="1"/>
    </row>
    <row r="80" spans="2:6" x14ac:dyDescent="0.25">
      <c r="B80" s="1"/>
      <c r="C80" s="1"/>
      <c r="D80" s="1"/>
      <c r="E80" s="1"/>
      <c r="F80" s="1"/>
    </row>
    <row r="81" spans="2:6" x14ac:dyDescent="0.25">
      <c r="B81" s="1"/>
      <c r="C81" s="1"/>
      <c r="D81" s="1"/>
      <c r="E81" s="1"/>
      <c r="F81" s="1"/>
    </row>
    <row r="82" spans="2:6" x14ac:dyDescent="0.25">
      <c r="B82" s="1"/>
      <c r="C82" s="1"/>
      <c r="D82" s="1"/>
      <c r="E82" s="1"/>
      <c r="F82" s="1"/>
    </row>
    <row r="83" spans="2:6" x14ac:dyDescent="0.25">
      <c r="B83" s="1"/>
      <c r="C83" s="1"/>
      <c r="D83" s="1"/>
      <c r="E83" s="1"/>
      <c r="F83" s="1"/>
    </row>
    <row r="84" spans="2:6" x14ac:dyDescent="0.25">
      <c r="B84" s="1"/>
      <c r="C84" s="1"/>
      <c r="D84" s="1"/>
      <c r="E84" s="1"/>
      <c r="F84" s="1"/>
    </row>
    <row r="85" spans="2:6" x14ac:dyDescent="0.25">
      <c r="B85" s="1"/>
      <c r="C85" s="1"/>
      <c r="D85" s="1"/>
      <c r="E85" s="1"/>
      <c r="F85" s="1"/>
    </row>
    <row r="86" spans="2:6" x14ac:dyDescent="0.25">
      <c r="B86" s="1"/>
      <c r="C86" s="1"/>
      <c r="D86" s="1"/>
      <c r="E86" s="1"/>
      <c r="F86" s="1"/>
    </row>
    <row r="87" spans="2:6" x14ac:dyDescent="0.25">
      <c r="B87" s="1"/>
      <c r="C87" s="1"/>
      <c r="D87" s="1"/>
      <c r="E87" s="1"/>
      <c r="F87" s="1"/>
    </row>
    <row r="88" spans="2:6" x14ac:dyDescent="0.25">
      <c r="B88" s="1"/>
      <c r="C88" s="1"/>
      <c r="D88" s="1"/>
      <c r="E88" s="1"/>
      <c r="F88" s="1"/>
    </row>
    <row r="89" spans="2:6" x14ac:dyDescent="0.25">
      <c r="B89" s="1"/>
      <c r="C89" s="1"/>
      <c r="D89" s="1"/>
      <c r="E89" s="1"/>
      <c r="F89" s="1"/>
    </row>
    <row r="90" spans="2:6" x14ac:dyDescent="0.25">
      <c r="B90" s="1"/>
      <c r="C90" s="1"/>
      <c r="D90" s="1"/>
      <c r="E90" s="1"/>
      <c r="F90" s="1"/>
    </row>
    <row r="91" spans="2:6" x14ac:dyDescent="0.25">
      <c r="B91" s="1"/>
      <c r="C91" s="1"/>
      <c r="D91" s="1"/>
      <c r="E91" s="1"/>
      <c r="F91" s="1"/>
    </row>
    <row r="92" spans="2:6" x14ac:dyDescent="0.25">
      <c r="B92" s="1"/>
      <c r="C92" s="1"/>
      <c r="D92" s="1"/>
      <c r="E92" s="1"/>
      <c r="F92" s="1"/>
    </row>
    <row r="93" spans="2:6" x14ac:dyDescent="0.25">
      <c r="B93" s="1"/>
      <c r="C93" s="1"/>
      <c r="D93" s="1"/>
      <c r="E93" s="1"/>
      <c r="F93" s="1"/>
    </row>
    <row r="94" spans="2:6" x14ac:dyDescent="0.25">
      <c r="B94" s="1"/>
      <c r="C94" s="1"/>
      <c r="D94" s="1"/>
      <c r="E94" s="1"/>
      <c r="F94" s="1"/>
    </row>
    <row r="95" spans="2:6" x14ac:dyDescent="0.25">
      <c r="B95" s="1"/>
      <c r="C95" s="1"/>
      <c r="D95" s="1"/>
      <c r="E95" s="1"/>
      <c r="F95" s="1"/>
    </row>
    <row r="96" spans="2:6" x14ac:dyDescent="0.25">
      <c r="B96" s="1"/>
      <c r="C96" s="1"/>
      <c r="D96" s="1"/>
      <c r="E96" s="1"/>
      <c r="F96" s="1"/>
    </row>
    <row r="97" spans="2:6" x14ac:dyDescent="0.25">
      <c r="B97" s="1"/>
      <c r="C97" s="1"/>
      <c r="D97" s="1"/>
      <c r="E97" s="1"/>
      <c r="F97" s="1"/>
    </row>
    <row r="98" spans="2:6" x14ac:dyDescent="0.25">
      <c r="B98" s="1"/>
      <c r="C98" s="1"/>
      <c r="D98" s="1"/>
      <c r="E98" s="1"/>
      <c r="F98" s="1"/>
    </row>
    <row r="99" spans="2:6" x14ac:dyDescent="0.25">
      <c r="B99" s="1"/>
      <c r="C99" s="1"/>
      <c r="D99" s="1"/>
      <c r="E99" s="1"/>
      <c r="F99" s="1"/>
    </row>
    <row r="100" spans="2:6" x14ac:dyDescent="0.25">
      <c r="B100" s="1"/>
      <c r="C100" s="1"/>
      <c r="D100" s="1"/>
      <c r="E100" s="1"/>
      <c r="F100" s="1"/>
    </row>
    <row r="101" spans="2:6" x14ac:dyDescent="0.25">
      <c r="B101" s="1"/>
      <c r="C101" s="1"/>
      <c r="D101" s="1"/>
      <c r="E101" s="1"/>
      <c r="F101" s="1"/>
    </row>
    <row r="102" spans="2:6" x14ac:dyDescent="0.25">
      <c r="B102" s="1"/>
      <c r="C102" s="1"/>
      <c r="D102" s="1"/>
      <c r="E102" s="1"/>
      <c r="F102" s="1"/>
    </row>
    <row r="103" spans="2:6" x14ac:dyDescent="0.25">
      <c r="B103" s="1"/>
      <c r="C103" s="1"/>
      <c r="D103" s="1"/>
      <c r="E103" s="1"/>
      <c r="F103" s="1"/>
    </row>
    <row r="104" spans="2:6" x14ac:dyDescent="0.25">
      <c r="B104" s="1"/>
      <c r="C104" s="1"/>
      <c r="D104" s="1"/>
      <c r="E104" s="1"/>
      <c r="F104" s="1"/>
    </row>
    <row r="105" spans="2:6" x14ac:dyDescent="0.25">
      <c r="B105" s="1"/>
      <c r="C105" s="1"/>
      <c r="D105" s="1"/>
      <c r="E105" s="1"/>
      <c r="F105" s="1"/>
    </row>
    <row r="106" spans="2:6" x14ac:dyDescent="0.25">
      <c r="B106" s="1"/>
      <c r="C106" s="1"/>
      <c r="D106" s="1"/>
      <c r="E106" s="1"/>
      <c r="F106" s="1"/>
    </row>
    <row r="107" spans="2:6" x14ac:dyDescent="0.25">
      <c r="B107" s="1"/>
      <c r="C107" s="1"/>
      <c r="D107" s="1"/>
      <c r="E107" s="1"/>
      <c r="F107" s="1"/>
    </row>
    <row r="108" spans="2:6" x14ac:dyDescent="0.25">
      <c r="B108" s="1"/>
      <c r="C108" s="1"/>
      <c r="D108" s="1"/>
      <c r="E108" s="1"/>
      <c r="F108" s="1"/>
    </row>
    <row r="109" spans="2:6" x14ac:dyDescent="0.25">
      <c r="B109" s="1"/>
      <c r="C109" s="1"/>
      <c r="D109" s="1"/>
      <c r="E109" s="1"/>
      <c r="F109" s="1"/>
    </row>
    <row r="110" spans="2:6" x14ac:dyDescent="0.25">
      <c r="B110" s="1"/>
      <c r="C110" s="1"/>
      <c r="D110" s="1"/>
      <c r="E110" s="1"/>
      <c r="F110" s="1"/>
    </row>
    <row r="111" spans="2:6" x14ac:dyDescent="0.25">
      <c r="B111" s="1"/>
      <c r="C111" s="1"/>
      <c r="D111" s="1"/>
      <c r="E111" s="1"/>
      <c r="F111" s="1"/>
    </row>
    <row r="112" spans="2:6" x14ac:dyDescent="0.25">
      <c r="B112" s="1"/>
      <c r="C112" s="1"/>
      <c r="D112" s="1"/>
      <c r="E112" s="1"/>
      <c r="F112" s="1"/>
    </row>
    <row r="113" spans="2:6" x14ac:dyDescent="0.25">
      <c r="B113" s="1"/>
      <c r="C113" s="1"/>
      <c r="D113" s="1"/>
      <c r="E113" s="1"/>
      <c r="F113" s="1"/>
    </row>
    <row r="114" spans="2:6" x14ac:dyDescent="0.25">
      <c r="B114" s="1"/>
      <c r="C114" s="1"/>
      <c r="D114" s="1"/>
      <c r="E114" s="1"/>
      <c r="F114" s="1"/>
    </row>
    <row r="115" spans="2:6" x14ac:dyDescent="0.25">
      <c r="B115" s="1"/>
      <c r="C115" s="1"/>
      <c r="D115" s="1"/>
      <c r="E115" s="1"/>
      <c r="F115" s="1"/>
    </row>
    <row r="116" spans="2:6" x14ac:dyDescent="0.25">
      <c r="B116" s="1"/>
      <c r="C116" s="1"/>
      <c r="D116" s="1"/>
      <c r="E116" s="1"/>
      <c r="F116" s="1"/>
    </row>
    <row r="117" spans="2:6" x14ac:dyDescent="0.25">
      <c r="B117" s="1"/>
      <c r="C117" s="1"/>
      <c r="D117" s="1"/>
      <c r="E117" s="1"/>
      <c r="F117" s="1"/>
    </row>
    <row r="118" spans="2:6" x14ac:dyDescent="0.25">
      <c r="B118" s="1"/>
      <c r="C118" s="1"/>
      <c r="D118" s="1"/>
      <c r="E118" s="1"/>
      <c r="F118" s="1"/>
    </row>
    <row r="119" spans="2:6" x14ac:dyDescent="0.25">
      <c r="B119" s="1"/>
      <c r="C119" s="1"/>
      <c r="D119" s="1"/>
      <c r="E119" s="1"/>
      <c r="F119" s="1"/>
    </row>
    <row r="120" spans="2:6" x14ac:dyDescent="0.25">
      <c r="B120" s="1"/>
      <c r="C120" s="1"/>
      <c r="D120" s="1"/>
      <c r="E120" s="1"/>
      <c r="F120" s="1"/>
    </row>
    <row r="121" spans="2:6" x14ac:dyDescent="0.25">
      <c r="B121" s="1"/>
      <c r="C121" s="1"/>
      <c r="D121" s="1"/>
      <c r="E121" s="1"/>
      <c r="F121" s="1"/>
    </row>
    <row r="122" spans="2:6" x14ac:dyDescent="0.25">
      <c r="B122" s="1"/>
      <c r="C122" s="1"/>
      <c r="D122" s="1"/>
      <c r="E122" s="1"/>
      <c r="F122" s="1"/>
    </row>
    <row r="123" spans="2:6" x14ac:dyDescent="0.25">
      <c r="B123" s="1"/>
      <c r="C123" s="1"/>
      <c r="D123" s="1"/>
      <c r="E123" s="1"/>
      <c r="F123" s="1"/>
    </row>
    <row r="124" spans="2:6" x14ac:dyDescent="0.25">
      <c r="B124" s="1"/>
      <c r="C124" s="1"/>
      <c r="D124" s="1"/>
      <c r="E124" s="1"/>
      <c r="F124" s="1"/>
    </row>
    <row r="125" spans="2:6" x14ac:dyDescent="0.25">
      <c r="B125" s="1"/>
      <c r="C125" s="1"/>
      <c r="D125" s="1"/>
      <c r="E125" s="1"/>
      <c r="F125" s="1"/>
    </row>
    <row r="126" spans="2:6" x14ac:dyDescent="0.25">
      <c r="B126" s="1"/>
      <c r="C126" s="1"/>
      <c r="D126" s="1"/>
      <c r="E126" s="1"/>
      <c r="F126" s="1"/>
    </row>
    <row r="127" spans="2:6" x14ac:dyDescent="0.25">
      <c r="B127" s="1"/>
      <c r="C127" s="1"/>
      <c r="D127" s="1"/>
      <c r="E127" s="1"/>
      <c r="F127" s="1"/>
    </row>
    <row r="128" spans="2:6" x14ac:dyDescent="0.25">
      <c r="B128" s="1"/>
      <c r="C128" s="1"/>
      <c r="D128" s="1"/>
      <c r="E128" s="1"/>
      <c r="F128" s="1"/>
    </row>
    <row r="129" spans="2:6" x14ac:dyDescent="0.25">
      <c r="B129" s="1"/>
      <c r="C129" s="1"/>
      <c r="D129" s="1"/>
      <c r="E129" s="1"/>
      <c r="F129" s="1"/>
    </row>
    <row r="130" spans="2:6" x14ac:dyDescent="0.25">
      <c r="B130" s="1"/>
      <c r="C130" s="1"/>
      <c r="D130" s="1"/>
      <c r="E130" s="1"/>
      <c r="F130" s="1"/>
    </row>
    <row r="131" spans="2:6" x14ac:dyDescent="0.25">
      <c r="B131" s="1"/>
      <c r="C131" s="1"/>
      <c r="D131" s="1"/>
      <c r="E131" s="1"/>
      <c r="F131" s="1"/>
    </row>
    <row r="132" spans="2:6" x14ac:dyDescent="0.25">
      <c r="B132" s="1"/>
      <c r="C132" s="1"/>
      <c r="D132" s="1"/>
      <c r="E132" s="1"/>
      <c r="F132" s="1"/>
    </row>
    <row r="133" spans="2:6" x14ac:dyDescent="0.25">
      <c r="B133" s="1"/>
      <c r="C133" s="1"/>
      <c r="D133" s="1"/>
      <c r="E133" s="1"/>
      <c r="F133" s="1"/>
    </row>
    <row r="134" spans="2:6" x14ac:dyDescent="0.25">
      <c r="B134" s="1"/>
      <c r="C134" s="1"/>
      <c r="D134" s="1"/>
      <c r="E134" s="1"/>
      <c r="F134" s="1"/>
    </row>
    <row r="135" spans="2:6" x14ac:dyDescent="0.25">
      <c r="B135" s="1"/>
      <c r="C135" s="1"/>
      <c r="D135" s="1"/>
      <c r="E135" s="1"/>
      <c r="F135" s="1"/>
    </row>
    <row r="136" spans="2:6" x14ac:dyDescent="0.25">
      <c r="B136" s="1"/>
      <c r="C136" s="1"/>
      <c r="D136" s="1"/>
      <c r="E136" s="1"/>
      <c r="F136" s="1"/>
    </row>
    <row r="137" spans="2:6" x14ac:dyDescent="0.25">
      <c r="B137" s="1"/>
      <c r="C137" s="1"/>
      <c r="D137" s="1"/>
      <c r="E137" s="1"/>
      <c r="F137" s="1"/>
    </row>
    <row r="138" spans="2:6" x14ac:dyDescent="0.25">
      <c r="B138" s="1"/>
      <c r="C138" s="1"/>
      <c r="D138" s="1"/>
      <c r="E138" s="1"/>
      <c r="F138" s="1"/>
    </row>
    <row r="139" spans="2:6" x14ac:dyDescent="0.25">
      <c r="B139" s="1"/>
      <c r="C139" s="1"/>
      <c r="D139" s="1"/>
      <c r="E139" s="1"/>
      <c r="F139" s="1"/>
    </row>
    <row r="140" spans="2:6" x14ac:dyDescent="0.25">
      <c r="B140" s="1"/>
      <c r="C140" s="1"/>
      <c r="D140" s="1"/>
      <c r="E140" s="1"/>
      <c r="F140" s="1"/>
    </row>
    <row r="141" spans="2:6" x14ac:dyDescent="0.25">
      <c r="B141" s="1"/>
      <c r="C141" s="1"/>
      <c r="D141" s="1"/>
      <c r="E141" s="1"/>
      <c r="F141" s="1"/>
    </row>
    <row r="142" spans="2:6" x14ac:dyDescent="0.25">
      <c r="B142" s="1"/>
      <c r="C142" s="1"/>
      <c r="D142" s="1"/>
      <c r="E142" s="1"/>
      <c r="F142" s="1"/>
    </row>
    <row r="143" spans="2:6" x14ac:dyDescent="0.25">
      <c r="B143" s="1"/>
      <c r="C143" s="1"/>
      <c r="D143" s="1"/>
      <c r="E143" s="1"/>
      <c r="F143" s="1"/>
    </row>
    <row r="144" spans="2:6" x14ac:dyDescent="0.25">
      <c r="B144" s="1"/>
      <c r="C144" s="1"/>
      <c r="D144" s="1"/>
      <c r="E144" s="1"/>
      <c r="F144" s="1"/>
    </row>
    <row r="145" spans="2:6" x14ac:dyDescent="0.25">
      <c r="B145" s="1"/>
      <c r="C145" s="1"/>
      <c r="D145" s="1"/>
      <c r="E145" s="1"/>
      <c r="F145" s="1"/>
    </row>
    <row r="146" spans="2:6" x14ac:dyDescent="0.25">
      <c r="B146" s="1"/>
      <c r="C146" s="1"/>
      <c r="D146" s="1"/>
      <c r="E146" s="1"/>
      <c r="F146" s="1"/>
    </row>
    <row r="147" spans="2:6" x14ac:dyDescent="0.25">
      <c r="B147" s="1"/>
      <c r="C147" s="1"/>
      <c r="D147" s="1"/>
      <c r="E147" s="1"/>
      <c r="F147" s="1"/>
    </row>
    <row r="148" spans="2:6" x14ac:dyDescent="0.25">
      <c r="B148" s="1"/>
      <c r="C148" s="1"/>
      <c r="D148" s="1"/>
      <c r="E148" s="1"/>
      <c r="F148" s="1"/>
    </row>
    <row r="149" spans="2:6" x14ac:dyDescent="0.25">
      <c r="B149" s="1"/>
      <c r="C149" s="1"/>
      <c r="D149" s="1"/>
      <c r="E149" s="1"/>
      <c r="F149" s="1"/>
    </row>
    <row r="150" spans="2:6" x14ac:dyDescent="0.25">
      <c r="B150" s="1"/>
      <c r="C150" s="1"/>
      <c r="D150" s="1"/>
      <c r="E150" s="1"/>
      <c r="F150" s="1"/>
    </row>
    <row r="151" spans="2:6" x14ac:dyDescent="0.25">
      <c r="B151" s="1"/>
      <c r="C151" s="1"/>
      <c r="D151" s="1"/>
      <c r="E151" s="1"/>
      <c r="F151" s="1"/>
    </row>
    <row r="152" spans="2:6" x14ac:dyDescent="0.25">
      <c r="B152" s="1"/>
      <c r="C152" s="1"/>
      <c r="D152" s="1"/>
      <c r="E152" s="1"/>
      <c r="F152" s="1"/>
    </row>
    <row r="153" spans="2:6" x14ac:dyDescent="0.25">
      <c r="B153" s="1"/>
      <c r="C153" s="1"/>
      <c r="D153" s="1"/>
      <c r="E153" s="1"/>
      <c r="F153" s="1"/>
    </row>
    <row r="154" spans="2:6" x14ac:dyDescent="0.25">
      <c r="B154" s="1"/>
      <c r="C154" s="1"/>
      <c r="D154" s="1"/>
      <c r="E154" s="1"/>
      <c r="F154" s="1"/>
    </row>
    <row r="155" spans="2:6" x14ac:dyDescent="0.25">
      <c r="B155" s="1"/>
      <c r="C155" s="1"/>
      <c r="D155" s="1"/>
      <c r="E155" s="1"/>
      <c r="F155" s="1"/>
    </row>
    <row r="156" spans="2:6" x14ac:dyDescent="0.25">
      <c r="B156" s="1"/>
      <c r="C156" s="1"/>
      <c r="D156" s="1"/>
      <c r="E156" s="1"/>
      <c r="F156" s="1"/>
    </row>
    <row r="157" spans="2:6" x14ac:dyDescent="0.25">
      <c r="B157" s="1"/>
      <c r="C157" s="1"/>
      <c r="D157" s="1"/>
      <c r="E157" s="1"/>
      <c r="F157" s="1"/>
    </row>
    <row r="158" spans="2:6" x14ac:dyDescent="0.25">
      <c r="B158" s="1"/>
      <c r="C158" s="1"/>
      <c r="D158" s="1"/>
      <c r="E158" s="1"/>
      <c r="F158" s="1"/>
    </row>
    <row r="159" spans="2:6" x14ac:dyDescent="0.25">
      <c r="B159" s="1"/>
      <c r="C159" s="1"/>
      <c r="D159" s="1"/>
      <c r="E159" s="1"/>
      <c r="F159" s="1"/>
    </row>
    <row r="160" spans="2:6" x14ac:dyDescent="0.25">
      <c r="B160" s="1"/>
      <c r="C160" s="1"/>
      <c r="D160" s="1"/>
      <c r="E160" s="1"/>
      <c r="F160" s="1"/>
    </row>
    <row r="161" spans="2:6" x14ac:dyDescent="0.25">
      <c r="B161" s="1"/>
      <c r="C161" s="1"/>
      <c r="D161" s="1"/>
      <c r="E161" s="1"/>
      <c r="F161" s="1"/>
    </row>
    <row r="162" spans="2:6" x14ac:dyDescent="0.25">
      <c r="B162" s="1"/>
      <c r="C162" s="1"/>
      <c r="D162" s="1"/>
      <c r="E162" s="1"/>
      <c r="F162" s="1"/>
    </row>
    <row r="163" spans="2:6" x14ac:dyDescent="0.25">
      <c r="B163" s="1"/>
      <c r="C163" s="1"/>
      <c r="D163" s="1"/>
      <c r="E163" s="1"/>
      <c r="F163" s="1"/>
    </row>
    <row r="164" spans="2:6" x14ac:dyDescent="0.25">
      <c r="B164" s="1"/>
      <c r="C164" s="1"/>
      <c r="D164" s="1"/>
      <c r="E164" s="1"/>
      <c r="F164" s="1"/>
    </row>
    <row r="165" spans="2:6" x14ac:dyDescent="0.25">
      <c r="B165" s="1"/>
      <c r="C165" s="1"/>
      <c r="D165" s="1"/>
      <c r="E165" s="1"/>
      <c r="F165" s="1"/>
    </row>
    <row r="166" spans="2:6" x14ac:dyDescent="0.25">
      <c r="B166" s="1"/>
      <c r="C166" s="1"/>
      <c r="D166" s="1"/>
      <c r="E166" s="1"/>
      <c r="F166" s="1"/>
    </row>
    <row r="167" spans="2:6" x14ac:dyDescent="0.25">
      <c r="B167" s="1"/>
      <c r="C167" s="1"/>
      <c r="D167" s="1"/>
      <c r="E167" s="1"/>
      <c r="F167" s="1"/>
    </row>
    <row r="168" spans="2:6" x14ac:dyDescent="0.25">
      <c r="B168" s="1"/>
      <c r="C168" s="1"/>
      <c r="D168" s="1"/>
      <c r="E168" s="1"/>
      <c r="F168" s="1"/>
    </row>
    <row r="169" spans="2:6" x14ac:dyDescent="0.25">
      <c r="B169" s="1"/>
      <c r="C169" s="1"/>
      <c r="D169" s="1"/>
      <c r="E169" s="1"/>
      <c r="F169" s="1"/>
    </row>
    <row r="170" spans="2:6" x14ac:dyDescent="0.25">
      <c r="B170" s="1"/>
      <c r="C170" s="1"/>
      <c r="D170" s="1"/>
      <c r="E170" s="1"/>
      <c r="F170" s="1"/>
    </row>
    <row r="171" spans="2:6" x14ac:dyDescent="0.25">
      <c r="B171" s="1"/>
      <c r="C171" s="1"/>
      <c r="D171" s="1"/>
      <c r="E171" s="1"/>
      <c r="F171" s="1"/>
    </row>
    <row r="172" spans="2:6" x14ac:dyDescent="0.25">
      <c r="B172" s="1"/>
      <c r="C172" s="1"/>
      <c r="D172" s="1"/>
      <c r="E172" s="1"/>
      <c r="F172" s="1"/>
    </row>
    <row r="173" spans="2:6" x14ac:dyDescent="0.25">
      <c r="B173" s="1"/>
      <c r="C173" s="1"/>
      <c r="D173" s="1"/>
      <c r="E173" s="1"/>
      <c r="F173" s="1"/>
    </row>
    <row r="174" spans="2:6" x14ac:dyDescent="0.25">
      <c r="B174" s="1"/>
      <c r="C174" s="1"/>
      <c r="D174" s="1"/>
      <c r="E174" s="1"/>
      <c r="F174" s="1"/>
    </row>
    <row r="175" spans="2:6" x14ac:dyDescent="0.25">
      <c r="B175" s="1"/>
      <c r="C175" s="1"/>
      <c r="D175" s="1"/>
      <c r="E175" s="1"/>
      <c r="F175" s="1"/>
    </row>
    <row r="176" spans="2:6" x14ac:dyDescent="0.25">
      <c r="B176" s="1"/>
      <c r="C176" s="1"/>
      <c r="D176" s="1"/>
      <c r="E176" s="1"/>
      <c r="F176" s="1"/>
    </row>
    <row r="177" spans="2:6" x14ac:dyDescent="0.25">
      <c r="B177" s="1"/>
      <c r="C177" s="1"/>
      <c r="D177" s="1"/>
      <c r="E177" s="1"/>
      <c r="F177" s="1"/>
    </row>
    <row r="178" spans="2:6" x14ac:dyDescent="0.25">
      <c r="B178" s="1"/>
      <c r="C178" s="1"/>
      <c r="D178" s="1"/>
      <c r="E178" s="1"/>
      <c r="F178" s="1"/>
    </row>
    <row r="179" spans="2:6" x14ac:dyDescent="0.25">
      <c r="B179" s="1"/>
      <c r="C179" s="1"/>
      <c r="D179" s="1"/>
      <c r="E179" s="1"/>
      <c r="F179" s="1"/>
    </row>
    <row r="180" spans="2:6" x14ac:dyDescent="0.25">
      <c r="B180" s="1"/>
      <c r="C180" s="1"/>
      <c r="D180" s="1"/>
      <c r="E180" s="1"/>
      <c r="F180" s="1"/>
    </row>
    <row r="181" spans="2:6" x14ac:dyDescent="0.25">
      <c r="B181" s="1"/>
      <c r="C181" s="1"/>
      <c r="D181" s="1"/>
      <c r="E181" s="1"/>
      <c r="F181" s="1"/>
    </row>
    <row r="182" spans="2:6" x14ac:dyDescent="0.25">
      <c r="B182" s="1"/>
      <c r="C182" s="1"/>
      <c r="D182" s="1"/>
      <c r="E182" s="1"/>
      <c r="F182" s="1"/>
    </row>
    <row r="183" spans="2:6" x14ac:dyDescent="0.25">
      <c r="B183" s="1"/>
      <c r="C183" s="1"/>
      <c r="D183" s="1"/>
      <c r="E183" s="1"/>
      <c r="F183" s="1"/>
    </row>
    <row r="184" spans="2:6" x14ac:dyDescent="0.25">
      <c r="B184" s="1"/>
      <c r="C184" s="1"/>
      <c r="D184" s="1"/>
      <c r="E184" s="1"/>
      <c r="F184" s="1"/>
    </row>
    <row r="185" spans="2:6" x14ac:dyDescent="0.25">
      <c r="B185" s="1"/>
      <c r="C185" s="1"/>
      <c r="D185" s="1"/>
      <c r="E185" s="1"/>
      <c r="F185" s="1"/>
    </row>
    <row r="186" spans="2:6" x14ac:dyDescent="0.25">
      <c r="B186" s="1"/>
      <c r="C186" s="1"/>
      <c r="D186" s="1"/>
      <c r="E186" s="1"/>
      <c r="F186" s="1"/>
    </row>
    <row r="187" spans="2:6" x14ac:dyDescent="0.25">
      <c r="B187" s="1"/>
      <c r="C187" s="1"/>
      <c r="D187" s="1"/>
      <c r="E187" s="1"/>
      <c r="F187" s="1"/>
    </row>
    <row r="188" spans="2:6" x14ac:dyDescent="0.25">
      <c r="B188" s="1"/>
      <c r="C188" s="1"/>
      <c r="D188" s="1"/>
      <c r="E188" s="1"/>
      <c r="F188" s="1"/>
    </row>
    <row r="189" spans="2:6" x14ac:dyDescent="0.25">
      <c r="B189" s="1"/>
      <c r="C189" s="1"/>
      <c r="D189" s="1"/>
      <c r="E189" s="1"/>
      <c r="F189" s="1"/>
    </row>
    <row r="190" spans="2:6" x14ac:dyDescent="0.25">
      <c r="B190" s="1"/>
      <c r="C190" s="1"/>
      <c r="D190" s="1"/>
      <c r="E190" s="1"/>
      <c r="F190" s="1"/>
    </row>
    <row r="191" spans="2:6" x14ac:dyDescent="0.25">
      <c r="B191" s="1"/>
      <c r="C191" s="1"/>
      <c r="D191" s="1"/>
      <c r="E191" s="1"/>
      <c r="F191" s="1"/>
    </row>
    <row r="192" spans="2:6" x14ac:dyDescent="0.25">
      <c r="B192" s="1"/>
      <c r="C192" s="1"/>
      <c r="D192" s="1"/>
      <c r="E192" s="1"/>
      <c r="F192" s="1"/>
    </row>
    <row r="193" spans="2:6" x14ac:dyDescent="0.25">
      <c r="B193" s="1"/>
      <c r="C193" s="1"/>
      <c r="D193" s="1"/>
      <c r="E193" s="1"/>
      <c r="F193" s="1"/>
    </row>
    <row r="194" spans="2:6" x14ac:dyDescent="0.25">
      <c r="B194" s="1"/>
      <c r="C194" s="1"/>
      <c r="D194" s="1"/>
      <c r="E194" s="1"/>
      <c r="F194" s="1"/>
    </row>
    <row r="195" spans="2:6" x14ac:dyDescent="0.25">
      <c r="B195" s="1"/>
      <c r="C195" s="1"/>
      <c r="D195" s="1"/>
      <c r="E195" s="1"/>
      <c r="F195" s="1"/>
    </row>
    <row r="196" spans="2:6" x14ac:dyDescent="0.25">
      <c r="B196" s="1"/>
      <c r="C196" s="1"/>
      <c r="D196" s="1"/>
      <c r="E196" s="1"/>
      <c r="F196" s="1"/>
    </row>
    <row r="197" spans="2:6" x14ac:dyDescent="0.25">
      <c r="B197" s="1"/>
      <c r="C197" s="1"/>
      <c r="D197" s="1"/>
      <c r="E197" s="1"/>
      <c r="F197" s="1"/>
    </row>
    <row r="198" spans="2:6" x14ac:dyDescent="0.25">
      <c r="B198" s="1"/>
      <c r="C198" s="1"/>
      <c r="D198" s="1"/>
      <c r="E198" s="1"/>
      <c r="F198" s="1"/>
    </row>
    <row r="199" spans="2:6" x14ac:dyDescent="0.25">
      <c r="B199" s="1"/>
      <c r="C199" s="1"/>
      <c r="D199" s="1"/>
      <c r="E199" s="1"/>
      <c r="F199" s="1"/>
    </row>
    <row r="200" spans="2:6" x14ac:dyDescent="0.25">
      <c r="B200" s="1"/>
      <c r="C200" s="1"/>
      <c r="D200" s="1"/>
      <c r="E200" s="1"/>
      <c r="F200" s="1"/>
    </row>
    <row r="201" spans="2:6" x14ac:dyDescent="0.25">
      <c r="B201" s="1"/>
      <c r="C201" s="1"/>
      <c r="D201" s="1"/>
      <c r="E201" s="1"/>
      <c r="F201" s="1"/>
    </row>
    <row r="202" spans="2:6" x14ac:dyDescent="0.25">
      <c r="B202" s="1"/>
      <c r="C202" s="1"/>
      <c r="D202" s="1"/>
      <c r="E202" s="1"/>
      <c r="F202" s="1"/>
    </row>
    <row r="203" spans="2:6" x14ac:dyDescent="0.25">
      <c r="B203" s="1"/>
      <c r="C203" s="1"/>
      <c r="D203" s="1"/>
      <c r="E203" s="1"/>
      <c r="F203" s="1"/>
    </row>
    <row r="204" spans="2:6" x14ac:dyDescent="0.25">
      <c r="B204" s="1"/>
      <c r="C204" s="1"/>
      <c r="D204" s="1"/>
      <c r="E204" s="1"/>
      <c r="F204" s="1"/>
    </row>
    <row r="205" spans="2:6" x14ac:dyDescent="0.25">
      <c r="B205" s="1"/>
      <c r="C205" s="1"/>
      <c r="D205" s="1"/>
      <c r="E205" s="1"/>
      <c r="F205" s="1"/>
    </row>
    <row r="206" spans="2:6" x14ac:dyDescent="0.25">
      <c r="B206" s="1"/>
      <c r="C206" s="1"/>
      <c r="D206" s="1"/>
      <c r="E206" s="1"/>
      <c r="F206" s="1"/>
    </row>
    <row r="207" spans="2:6" x14ac:dyDescent="0.25">
      <c r="B207" s="1"/>
      <c r="C207" s="1"/>
      <c r="D207" s="1"/>
      <c r="E207" s="1"/>
      <c r="F207" s="1"/>
    </row>
    <row r="208" spans="2:6" x14ac:dyDescent="0.25">
      <c r="B208" s="1"/>
      <c r="C208" s="1"/>
      <c r="D208" s="1"/>
      <c r="E208" s="1"/>
      <c r="F208" s="1"/>
    </row>
    <row r="209" spans="2:6" x14ac:dyDescent="0.25">
      <c r="B209" s="1"/>
      <c r="C209" s="1"/>
      <c r="D209" s="1"/>
      <c r="E209" s="1"/>
      <c r="F209" s="1"/>
    </row>
    <row r="210" spans="2:6" x14ac:dyDescent="0.25">
      <c r="B210" s="1"/>
      <c r="C210" s="1"/>
      <c r="D210" s="1"/>
      <c r="E210" s="1"/>
      <c r="F210" s="1"/>
    </row>
    <row r="211" spans="2:6" x14ac:dyDescent="0.25">
      <c r="B211" s="1"/>
      <c r="C211" s="1"/>
      <c r="D211" s="1"/>
      <c r="E211" s="1"/>
      <c r="F211" s="1"/>
    </row>
    <row r="212" spans="2:6" x14ac:dyDescent="0.25">
      <c r="B212" s="1"/>
      <c r="C212" s="1"/>
      <c r="D212" s="1"/>
      <c r="E212" s="1"/>
      <c r="F212" s="1"/>
    </row>
    <row r="213" spans="2:6" x14ac:dyDescent="0.25">
      <c r="B213" s="1"/>
      <c r="C213" s="1"/>
      <c r="D213" s="1"/>
      <c r="E213" s="1"/>
      <c r="F213" s="1"/>
    </row>
    <row r="214" spans="2:6" x14ac:dyDescent="0.25">
      <c r="B214" s="1"/>
      <c r="C214" s="1"/>
      <c r="D214" s="1"/>
      <c r="E214" s="1"/>
      <c r="F214" s="1"/>
    </row>
    <row r="215" spans="2:6" x14ac:dyDescent="0.25">
      <c r="B215" s="1"/>
      <c r="C215" s="1"/>
      <c r="D215" s="1"/>
      <c r="E215" s="1"/>
      <c r="F215" s="1"/>
    </row>
    <row r="216" spans="2:6" x14ac:dyDescent="0.25">
      <c r="B216" s="1"/>
      <c r="C216" s="1"/>
      <c r="D216" s="1"/>
      <c r="E216" s="1"/>
      <c r="F216" s="1"/>
    </row>
    <row r="217" spans="2:6" x14ac:dyDescent="0.25">
      <c r="B217" s="1"/>
      <c r="C217" s="1"/>
      <c r="D217" s="1"/>
      <c r="E217" s="1"/>
      <c r="F217" s="1"/>
    </row>
    <row r="218" spans="2:6" x14ac:dyDescent="0.25">
      <c r="B218" s="1"/>
      <c r="C218" s="1"/>
      <c r="D218" s="1"/>
      <c r="E218" s="1"/>
      <c r="F218" s="1"/>
    </row>
    <row r="219" spans="2:6" x14ac:dyDescent="0.25">
      <c r="B219" s="1"/>
      <c r="C219" s="1"/>
      <c r="D219" s="1"/>
      <c r="E219" s="1"/>
      <c r="F219" s="1"/>
    </row>
    <row r="220" spans="2:6" x14ac:dyDescent="0.25">
      <c r="B220" s="1"/>
      <c r="C220" s="1"/>
      <c r="D220" s="1"/>
      <c r="E220" s="1"/>
      <c r="F220" s="1"/>
    </row>
    <row r="221" spans="2:6" x14ac:dyDescent="0.25">
      <c r="B221" s="1"/>
      <c r="C221" s="1"/>
      <c r="D221" s="1"/>
      <c r="E221" s="1"/>
      <c r="F221" s="1"/>
    </row>
    <row r="222" spans="2:6" x14ac:dyDescent="0.25">
      <c r="B222" s="1"/>
      <c r="C222" s="1"/>
      <c r="D222" s="1"/>
      <c r="E222" s="1"/>
      <c r="F222" s="1"/>
    </row>
    <row r="223" spans="2:6" x14ac:dyDescent="0.25">
      <c r="B223" s="1"/>
      <c r="C223" s="1"/>
      <c r="D223" s="1"/>
      <c r="E223" s="1"/>
      <c r="F223" s="1"/>
    </row>
    <row r="224" spans="2:6" x14ac:dyDescent="0.25">
      <c r="B224" s="1"/>
      <c r="C224" s="1"/>
      <c r="D224" s="1"/>
      <c r="E224" s="1"/>
      <c r="F224" s="1"/>
    </row>
    <row r="225" spans="2:6" x14ac:dyDescent="0.25">
      <c r="B225" s="1"/>
      <c r="C225" s="1"/>
      <c r="D225" s="1"/>
      <c r="E225" s="1"/>
      <c r="F225" s="1"/>
    </row>
    <row r="226" spans="2:6" x14ac:dyDescent="0.25">
      <c r="B226" s="1"/>
      <c r="C226" s="1"/>
      <c r="D226" s="1"/>
      <c r="E226" s="1"/>
      <c r="F226" s="1"/>
    </row>
    <row r="227" spans="2:6" x14ac:dyDescent="0.25">
      <c r="B227" s="1"/>
      <c r="C227" s="1"/>
      <c r="D227" s="1"/>
      <c r="E227" s="1"/>
      <c r="F227" s="1"/>
    </row>
    <row r="228" spans="2:6" x14ac:dyDescent="0.25">
      <c r="B228" s="1"/>
      <c r="C228" s="1"/>
      <c r="D228" s="1"/>
      <c r="E228" s="1"/>
      <c r="F228" s="1"/>
    </row>
    <row r="229" spans="2:6" x14ac:dyDescent="0.25">
      <c r="B229" s="1"/>
      <c r="C229" s="1"/>
      <c r="D229" s="1"/>
      <c r="E229" s="1"/>
      <c r="F229" s="1"/>
    </row>
    <row r="230" spans="2:6" x14ac:dyDescent="0.25">
      <c r="B230" s="1"/>
      <c r="C230" s="1"/>
      <c r="D230" s="1"/>
      <c r="E230" s="1"/>
      <c r="F230" s="1"/>
    </row>
    <row r="231" spans="2:6" x14ac:dyDescent="0.25">
      <c r="B231" s="1"/>
      <c r="C231" s="1"/>
      <c r="D231" s="1"/>
      <c r="E231" s="1"/>
      <c r="F231" s="1"/>
    </row>
    <row r="232" spans="2:6" x14ac:dyDescent="0.25">
      <c r="B232" s="1"/>
      <c r="C232" s="1"/>
      <c r="D232" s="1"/>
      <c r="E232" s="1"/>
      <c r="F232" s="1"/>
    </row>
    <row r="233" spans="2:6" x14ac:dyDescent="0.25">
      <c r="B233" s="1"/>
      <c r="C233" s="1"/>
      <c r="D233" s="1"/>
      <c r="E233" s="1"/>
      <c r="F233" s="1"/>
    </row>
    <row r="234" spans="2:6" x14ac:dyDescent="0.25">
      <c r="B234" s="1"/>
      <c r="C234" s="1"/>
      <c r="D234" s="1"/>
      <c r="E234" s="1"/>
      <c r="F234" s="1"/>
    </row>
    <row r="235" spans="2:6" x14ac:dyDescent="0.25">
      <c r="B235" s="1"/>
      <c r="C235" s="1"/>
      <c r="D235" s="1"/>
      <c r="E235" s="1"/>
      <c r="F235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9"/>
  <sheetViews>
    <sheetView zoomScale="130" zoomScaleNormal="130" workbookViewId="0">
      <selection activeCell="C3" sqref="C3:C4"/>
    </sheetView>
  </sheetViews>
  <sheetFormatPr baseColWidth="10" defaultRowHeight="15" x14ac:dyDescent="0.25"/>
  <cols>
    <col min="3" max="3" width="34.5703125" customWidth="1"/>
    <col min="4" max="4" width="15.7109375" customWidth="1"/>
  </cols>
  <sheetData>
    <row r="2" spans="2:8" ht="30" x14ac:dyDescent="0.25">
      <c r="B2" s="2" t="s">
        <v>9</v>
      </c>
      <c r="C2" s="2" t="s">
        <v>1</v>
      </c>
      <c r="D2" s="2" t="s">
        <v>8</v>
      </c>
      <c r="E2" s="2" t="s">
        <v>6</v>
      </c>
      <c r="F2" s="2" t="s">
        <v>7</v>
      </c>
      <c r="H2" t="s">
        <v>77</v>
      </c>
    </row>
    <row r="3" spans="2:8" x14ac:dyDescent="0.25">
      <c r="B3" s="43">
        <v>100</v>
      </c>
      <c r="C3" s="1" t="s">
        <v>59</v>
      </c>
      <c r="D3" s="44">
        <v>150</v>
      </c>
      <c r="E3" s="48">
        <v>45481</v>
      </c>
      <c r="F3" s="43" t="s">
        <v>72</v>
      </c>
    </row>
    <row r="4" spans="2:8" x14ac:dyDescent="0.25">
      <c r="B4" s="43">
        <v>200</v>
      </c>
      <c r="C4" s="1" t="s">
        <v>60</v>
      </c>
      <c r="D4" s="44">
        <v>450</v>
      </c>
      <c r="E4" s="48">
        <v>45481</v>
      </c>
      <c r="F4" s="43" t="s">
        <v>72</v>
      </c>
    </row>
    <row r="5" spans="2:8" x14ac:dyDescent="0.25">
      <c r="B5" s="43">
        <v>100</v>
      </c>
      <c r="C5" s="1" t="s">
        <v>59</v>
      </c>
      <c r="D5" s="44">
        <v>155</v>
      </c>
      <c r="E5" s="48">
        <v>45488</v>
      </c>
      <c r="F5" s="43" t="s">
        <v>73</v>
      </c>
    </row>
    <row r="6" spans="2:8" x14ac:dyDescent="0.25">
      <c r="B6" s="43">
        <v>200</v>
      </c>
      <c r="C6" s="1" t="s">
        <v>60</v>
      </c>
      <c r="D6" s="44">
        <v>480</v>
      </c>
      <c r="E6" s="48">
        <v>45488</v>
      </c>
      <c r="F6" s="43" t="s">
        <v>73</v>
      </c>
    </row>
    <row r="7" spans="2:8" x14ac:dyDescent="0.25">
      <c r="B7" s="43">
        <v>100</v>
      </c>
      <c r="C7" s="1" t="s">
        <v>59</v>
      </c>
      <c r="D7" s="44"/>
      <c r="E7" s="1"/>
      <c r="F7" s="43" t="s">
        <v>74</v>
      </c>
    </row>
    <row r="8" spans="2:8" x14ac:dyDescent="0.25">
      <c r="B8" s="43">
        <v>200</v>
      </c>
      <c r="C8" s="1" t="s">
        <v>60</v>
      </c>
      <c r="D8" s="44"/>
      <c r="E8" s="1"/>
      <c r="F8" s="43" t="s">
        <v>74</v>
      </c>
    </row>
    <row r="9" spans="2:8" x14ac:dyDescent="0.25">
      <c r="B9" s="43">
        <v>300</v>
      </c>
      <c r="C9" s="1" t="s">
        <v>61</v>
      </c>
      <c r="D9" s="44"/>
      <c r="E9" s="1"/>
      <c r="F9" s="43" t="s">
        <v>74</v>
      </c>
    </row>
    <row r="10" spans="2:8" x14ac:dyDescent="0.25">
      <c r="B10" s="43">
        <v>400</v>
      </c>
      <c r="C10" s="1" t="s">
        <v>62</v>
      </c>
      <c r="D10" s="44"/>
      <c r="E10" s="1"/>
      <c r="F10" s="43" t="s">
        <v>74</v>
      </c>
    </row>
    <row r="11" spans="2:8" x14ac:dyDescent="0.25">
      <c r="B11" s="43">
        <v>500</v>
      </c>
      <c r="C11" s="1" t="s">
        <v>63</v>
      </c>
      <c r="D11" s="44"/>
      <c r="E11" s="1"/>
      <c r="F11" s="43" t="s">
        <v>74</v>
      </c>
    </row>
    <row r="12" spans="2:8" x14ac:dyDescent="0.25">
      <c r="B12" s="1"/>
      <c r="C12" s="1"/>
      <c r="D12" s="44"/>
      <c r="E12" s="1"/>
      <c r="F12" s="1"/>
    </row>
    <row r="13" spans="2:8" x14ac:dyDescent="0.25">
      <c r="B13" s="1"/>
      <c r="C13" s="1"/>
      <c r="D13" s="44"/>
      <c r="E13" s="1"/>
      <c r="F13" s="1"/>
    </row>
    <row r="14" spans="2:8" x14ac:dyDescent="0.25">
      <c r="B14" s="1"/>
      <c r="C14" s="1"/>
      <c r="D14" s="44"/>
      <c r="E14" s="1"/>
      <c r="F14" s="1"/>
    </row>
    <row r="15" spans="2:8" x14ac:dyDescent="0.25">
      <c r="B15" s="1"/>
      <c r="C15" s="1"/>
      <c r="D15" s="44"/>
      <c r="E15" s="1"/>
      <c r="F15" s="1"/>
    </row>
    <row r="16" spans="2:8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  <row r="21" spans="2:6" x14ac:dyDescent="0.25">
      <c r="B21" s="1"/>
      <c r="C21" s="1"/>
      <c r="D21" s="1"/>
      <c r="E21" s="1"/>
      <c r="F21" s="1"/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  <row r="25" spans="2:6" x14ac:dyDescent="0.25">
      <c r="B25" s="1"/>
      <c r="C25" s="1"/>
      <c r="D25" s="1"/>
      <c r="E25" s="1"/>
      <c r="F25" s="1"/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  <row r="29" spans="2:6" x14ac:dyDescent="0.25">
      <c r="B29" s="1"/>
      <c r="C29" s="1"/>
      <c r="D29" s="1"/>
      <c r="E29" s="1"/>
      <c r="F29" s="1"/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  <row r="39" spans="2:6" x14ac:dyDescent="0.25">
      <c r="B39" s="1"/>
      <c r="C39" s="1"/>
      <c r="D39" s="1"/>
      <c r="E39" s="1"/>
      <c r="F39" s="1"/>
    </row>
    <row r="40" spans="2:6" x14ac:dyDescent="0.25">
      <c r="B40" s="1"/>
      <c r="C40" s="1"/>
      <c r="D40" s="1"/>
      <c r="E40" s="1"/>
      <c r="F40" s="1"/>
    </row>
    <row r="41" spans="2:6" x14ac:dyDescent="0.25">
      <c r="B41" s="1"/>
      <c r="C41" s="1"/>
      <c r="D41" s="1"/>
      <c r="E41" s="1"/>
      <c r="F41" s="1"/>
    </row>
    <row r="42" spans="2:6" x14ac:dyDescent="0.25">
      <c r="B42" s="1"/>
      <c r="C42" s="1"/>
      <c r="D42" s="1"/>
      <c r="E42" s="1"/>
      <c r="F42" s="1"/>
    </row>
    <row r="43" spans="2:6" x14ac:dyDescent="0.25">
      <c r="B43" s="1"/>
      <c r="C43" s="1"/>
      <c r="D43" s="1"/>
      <c r="E43" s="1"/>
      <c r="F43" s="1"/>
    </row>
    <row r="44" spans="2:6" x14ac:dyDescent="0.25">
      <c r="B44" s="1"/>
      <c r="C44" s="1"/>
      <c r="D44" s="1"/>
      <c r="E44" s="1"/>
      <c r="F44" s="1"/>
    </row>
    <row r="45" spans="2:6" x14ac:dyDescent="0.25">
      <c r="B45" s="1"/>
      <c r="C45" s="1"/>
      <c r="D45" s="1"/>
      <c r="E45" s="1"/>
      <c r="F45" s="1"/>
    </row>
    <row r="46" spans="2:6" x14ac:dyDescent="0.25">
      <c r="B46" s="1"/>
      <c r="C46" s="1"/>
      <c r="D46" s="1"/>
      <c r="E46" s="1"/>
      <c r="F46" s="1"/>
    </row>
    <row r="47" spans="2:6" x14ac:dyDescent="0.25">
      <c r="B47" s="1"/>
      <c r="C47" s="1"/>
      <c r="D47" s="1"/>
      <c r="E47" s="1"/>
      <c r="F47" s="1"/>
    </row>
    <row r="48" spans="2:6" x14ac:dyDescent="0.25">
      <c r="B48" s="1"/>
      <c r="C48" s="1"/>
      <c r="D48" s="1"/>
      <c r="E48" s="1"/>
      <c r="F48" s="1"/>
    </row>
    <row r="49" spans="2:6" x14ac:dyDescent="0.25">
      <c r="B49" s="1"/>
      <c r="C49" s="1"/>
      <c r="D49" s="1"/>
      <c r="E49" s="1"/>
      <c r="F49" s="1"/>
    </row>
    <row r="50" spans="2:6" x14ac:dyDescent="0.25">
      <c r="B50" s="1"/>
      <c r="C50" s="1"/>
      <c r="D50" s="1"/>
      <c r="E50" s="1"/>
      <c r="F50" s="1"/>
    </row>
    <row r="51" spans="2:6" x14ac:dyDescent="0.25">
      <c r="B51" s="1"/>
      <c r="C51" s="1"/>
      <c r="D51" s="1"/>
      <c r="E51" s="1"/>
      <c r="F51" s="1"/>
    </row>
    <row r="52" spans="2:6" x14ac:dyDescent="0.25">
      <c r="B52" s="1"/>
      <c r="C52" s="1"/>
      <c r="D52" s="1"/>
      <c r="E52" s="1"/>
      <c r="F52" s="1"/>
    </row>
    <row r="53" spans="2:6" x14ac:dyDescent="0.25">
      <c r="B53" s="1"/>
      <c r="C53" s="1"/>
      <c r="D53" s="1"/>
      <c r="E53" s="1"/>
      <c r="F53" s="1"/>
    </row>
    <row r="54" spans="2:6" x14ac:dyDescent="0.25">
      <c r="B54" s="1"/>
      <c r="C54" s="1"/>
      <c r="D54" s="1"/>
      <c r="E54" s="1"/>
      <c r="F54" s="1"/>
    </row>
    <row r="55" spans="2:6" x14ac:dyDescent="0.25">
      <c r="B55" s="1"/>
      <c r="C55" s="1"/>
      <c r="D55" s="1"/>
      <c r="E55" s="1"/>
      <c r="F55" s="1"/>
    </row>
    <row r="56" spans="2:6" x14ac:dyDescent="0.25">
      <c r="B56" s="1"/>
      <c r="C56" s="1"/>
      <c r="D56" s="1"/>
      <c r="E56" s="1"/>
      <c r="F56" s="1"/>
    </row>
    <row r="57" spans="2:6" x14ac:dyDescent="0.25">
      <c r="B57" s="1"/>
      <c r="C57" s="1"/>
      <c r="D57" s="1"/>
      <c r="E57" s="1"/>
      <c r="F57" s="1"/>
    </row>
    <row r="58" spans="2:6" x14ac:dyDescent="0.25">
      <c r="B58" s="1"/>
      <c r="C58" s="1"/>
      <c r="D58" s="1"/>
      <c r="E58" s="1"/>
      <c r="F58" s="1"/>
    </row>
    <row r="59" spans="2:6" x14ac:dyDescent="0.25">
      <c r="B59" s="1"/>
      <c r="C59" s="1"/>
      <c r="D59" s="1"/>
      <c r="E59" s="1"/>
      <c r="F5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50"/>
  <sheetViews>
    <sheetView workbookViewId="0">
      <selection activeCell="F12" sqref="F12"/>
    </sheetView>
  </sheetViews>
  <sheetFormatPr baseColWidth="10" defaultRowHeight="15" x14ac:dyDescent="0.25"/>
  <cols>
    <col min="3" max="3" width="39.140625" customWidth="1"/>
  </cols>
  <sheetData>
    <row r="2" spans="2:12" ht="30" x14ac:dyDescent="0.25">
      <c r="B2" s="2" t="s">
        <v>9</v>
      </c>
      <c r="C2" s="2" t="s">
        <v>1</v>
      </c>
      <c r="D2" s="2" t="s">
        <v>2</v>
      </c>
      <c r="E2" s="2" t="s">
        <v>5</v>
      </c>
      <c r="F2" s="2" t="s">
        <v>8</v>
      </c>
      <c r="G2" s="2" t="s">
        <v>10</v>
      </c>
      <c r="H2" s="2" t="s">
        <v>6</v>
      </c>
      <c r="I2" s="2" t="s">
        <v>7</v>
      </c>
    </row>
    <row r="3" spans="2:12" x14ac:dyDescent="0.25">
      <c r="B3" s="1">
        <v>100</v>
      </c>
      <c r="C3" s="1" t="s">
        <v>59</v>
      </c>
      <c r="D3" s="45">
        <f>+'Horas previstas'!D3</f>
        <v>5.607127733077763E-2</v>
      </c>
      <c r="E3" s="45">
        <f>+Tareo!D3</f>
        <v>12.8</v>
      </c>
      <c r="F3" s="45">
        <f>+'Avance Real'!D3</f>
        <v>150</v>
      </c>
      <c r="G3" s="45">
        <f>+E3/F3</f>
        <v>8.5333333333333344E-2</v>
      </c>
      <c r="H3" s="48">
        <v>45481</v>
      </c>
      <c r="I3" s="43" t="s">
        <v>72</v>
      </c>
    </row>
    <row r="4" spans="2:12" x14ac:dyDescent="0.25">
      <c r="B4" s="1">
        <v>200</v>
      </c>
      <c r="C4" s="1" t="s">
        <v>60</v>
      </c>
      <c r="D4" s="45">
        <f>+'Horas previstas'!D4</f>
        <v>0.89542619116484889</v>
      </c>
      <c r="E4" s="45">
        <f>+Tareo!D4</f>
        <v>385</v>
      </c>
      <c r="F4" s="45">
        <f>+'Avance Real'!D4</f>
        <v>450</v>
      </c>
      <c r="G4" s="45">
        <f t="shared" ref="G4:G6" si="0">+E4/F4</f>
        <v>0.85555555555555551</v>
      </c>
      <c r="H4" s="48">
        <v>45488</v>
      </c>
      <c r="I4" s="43" t="s">
        <v>72</v>
      </c>
      <c r="K4" t="s">
        <v>78</v>
      </c>
      <c r="L4" t="s">
        <v>79</v>
      </c>
    </row>
    <row r="5" spans="2:12" x14ac:dyDescent="0.25">
      <c r="B5" s="1">
        <v>100</v>
      </c>
      <c r="C5" s="1" t="s">
        <v>59</v>
      </c>
      <c r="D5" s="45">
        <f>+'Horas previstas'!D3</f>
        <v>5.607127733077763E-2</v>
      </c>
      <c r="E5" s="45">
        <f>+Tareo!D5</f>
        <v>14.2</v>
      </c>
      <c r="F5" s="45">
        <f>+'Avance Real'!D5</f>
        <v>155</v>
      </c>
      <c r="G5" s="45">
        <f t="shared" si="0"/>
        <v>9.1612903225806452E-2</v>
      </c>
      <c r="H5" s="48">
        <v>45481</v>
      </c>
      <c r="I5" s="43" t="s">
        <v>73</v>
      </c>
      <c r="K5" t="s">
        <v>80</v>
      </c>
      <c r="L5" t="s">
        <v>81</v>
      </c>
    </row>
    <row r="6" spans="2:12" x14ac:dyDescent="0.25">
      <c r="B6" s="1">
        <v>200</v>
      </c>
      <c r="C6" s="1" t="s">
        <v>60</v>
      </c>
      <c r="D6" s="45">
        <f>+'Horas previstas'!D4</f>
        <v>0.89542619116484889</v>
      </c>
      <c r="E6" s="45">
        <f>+Tareo!D6</f>
        <v>375</v>
      </c>
      <c r="F6" s="45">
        <f>+'Avance Real'!D6</f>
        <v>480</v>
      </c>
      <c r="G6" s="45">
        <f t="shared" si="0"/>
        <v>0.78125</v>
      </c>
      <c r="H6" s="48">
        <v>45488</v>
      </c>
      <c r="I6" s="43" t="s">
        <v>73</v>
      </c>
      <c r="K6" t="s">
        <v>82</v>
      </c>
      <c r="L6" t="s">
        <v>82</v>
      </c>
    </row>
    <row r="7" spans="2:12" x14ac:dyDescent="0.25">
      <c r="B7" s="1"/>
      <c r="C7" s="1"/>
      <c r="D7" s="1"/>
      <c r="E7" s="45"/>
      <c r="F7" s="1"/>
      <c r="G7" s="1"/>
      <c r="H7" s="1"/>
      <c r="I7" s="43"/>
    </row>
    <row r="8" spans="2:12" x14ac:dyDescent="0.25">
      <c r="B8" s="1"/>
      <c r="C8" s="1"/>
      <c r="D8" s="1"/>
      <c r="E8" s="1"/>
      <c r="F8" s="1"/>
      <c r="G8" s="1"/>
      <c r="H8" s="1"/>
      <c r="I8" s="43"/>
    </row>
    <row r="9" spans="2:12" x14ac:dyDescent="0.25">
      <c r="B9" s="1"/>
      <c r="C9" s="1"/>
      <c r="D9" s="1"/>
      <c r="E9" s="1"/>
      <c r="F9" s="1"/>
      <c r="G9" s="1"/>
      <c r="H9" s="1"/>
      <c r="I9" s="43"/>
    </row>
    <row r="10" spans="2:12" x14ac:dyDescent="0.25">
      <c r="B10" s="1"/>
      <c r="C10" s="1"/>
      <c r="D10" s="1"/>
      <c r="E10" s="1"/>
      <c r="F10" s="1"/>
      <c r="G10" s="1"/>
      <c r="H10" s="1"/>
      <c r="I10" s="43"/>
    </row>
    <row r="11" spans="2:12" x14ac:dyDescent="0.25">
      <c r="B11" s="1"/>
      <c r="C11" s="1"/>
      <c r="D11" s="1"/>
      <c r="E11" s="1"/>
      <c r="F11" s="1"/>
      <c r="G11" s="1"/>
      <c r="H11" s="1"/>
      <c r="I11" s="43"/>
    </row>
    <row r="12" spans="2:12" x14ac:dyDescent="0.25">
      <c r="B12" s="1"/>
      <c r="C12" s="1"/>
      <c r="D12" s="1"/>
      <c r="E12" s="1"/>
      <c r="F12" s="1"/>
      <c r="G12" s="1"/>
      <c r="H12" s="1"/>
      <c r="I12" s="43"/>
    </row>
    <row r="13" spans="2:12" x14ac:dyDescent="0.25">
      <c r="B13" s="1"/>
      <c r="C13" s="1"/>
      <c r="D13" s="1"/>
      <c r="E13" s="1"/>
      <c r="F13" s="1"/>
      <c r="G13" s="1"/>
      <c r="H13" s="1"/>
      <c r="I13" s="43"/>
    </row>
    <row r="14" spans="2:12" x14ac:dyDescent="0.25">
      <c r="B14" s="1"/>
      <c r="C14" s="1"/>
      <c r="D14" s="1"/>
      <c r="E14" s="1"/>
      <c r="F14" s="1"/>
      <c r="G14" s="1"/>
      <c r="H14" s="1"/>
      <c r="I14" s="43"/>
    </row>
    <row r="15" spans="2:12" x14ac:dyDescent="0.25">
      <c r="B15" s="1"/>
      <c r="C15" s="1"/>
      <c r="D15" s="1"/>
      <c r="E15" s="1"/>
      <c r="F15" s="1"/>
      <c r="G15" s="1"/>
      <c r="H15" s="1"/>
      <c r="I15" s="43"/>
    </row>
    <row r="16" spans="2:12" x14ac:dyDescent="0.25">
      <c r="B16" s="1"/>
      <c r="C16" s="1"/>
      <c r="D16" s="1"/>
      <c r="E16" s="1"/>
      <c r="F16" s="1"/>
      <c r="G16" s="1"/>
      <c r="H16" s="1"/>
      <c r="I16" s="43"/>
    </row>
    <row r="17" spans="2:9" x14ac:dyDescent="0.25">
      <c r="B17" s="1"/>
      <c r="C17" s="1"/>
      <c r="D17" s="1"/>
      <c r="E17" s="1"/>
      <c r="F17" s="1"/>
      <c r="G17" s="1"/>
      <c r="H17" s="1"/>
      <c r="I17" s="43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x14ac:dyDescent="0.25">
      <c r="B21" s="1"/>
      <c r="C21" s="1"/>
      <c r="D21" s="1"/>
      <c r="E21" s="1"/>
      <c r="F21" s="1"/>
      <c r="G21" s="1"/>
      <c r="H21" s="1"/>
      <c r="I21" s="1"/>
    </row>
    <row r="22" spans="2:9" x14ac:dyDescent="0.25">
      <c r="B22" s="1"/>
      <c r="C22" s="1"/>
      <c r="D22" s="1"/>
      <c r="E22" s="1"/>
      <c r="F22" s="1"/>
      <c r="G22" s="1"/>
      <c r="H22" s="1"/>
      <c r="I22" s="1"/>
    </row>
    <row r="23" spans="2:9" x14ac:dyDescent="0.25">
      <c r="B23" s="1"/>
      <c r="C23" s="1"/>
      <c r="D23" s="1"/>
      <c r="E23" s="1"/>
      <c r="F23" s="1"/>
      <c r="G23" s="1"/>
      <c r="H23" s="1"/>
      <c r="I23" s="1"/>
    </row>
    <row r="24" spans="2:9" x14ac:dyDescent="0.25">
      <c r="B24" s="1"/>
      <c r="C24" s="1"/>
      <c r="D24" s="1"/>
      <c r="E24" s="1"/>
      <c r="F24" s="1"/>
      <c r="G24" s="1"/>
      <c r="H24" s="1"/>
      <c r="I24" s="1"/>
    </row>
    <row r="25" spans="2:9" x14ac:dyDescent="0.25">
      <c r="B25" s="1"/>
      <c r="C25" s="1"/>
      <c r="D25" s="1"/>
      <c r="E25" s="1"/>
      <c r="F25" s="1"/>
      <c r="G25" s="1"/>
      <c r="H25" s="1"/>
      <c r="I25" s="1"/>
    </row>
    <row r="26" spans="2:9" x14ac:dyDescent="0.25">
      <c r="B26" s="1"/>
      <c r="C26" s="1"/>
      <c r="D26" s="1"/>
      <c r="E26" s="1"/>
      <c r="F26" s="1"/>
      <c r="G26" s="1"/>
      <c r="H26" s="1"/>
      <c r="I26" s="1"/>
    </row>
    <row r="27" spans="2:9" x14ac:dyDescent="0.25">
      <c r="B27" s="1"/>
      <c r="C27" s="1"/>
      <c r="D27" s="1"/>
      <c r="E27" s="1"/>
      <c r="F27" s="1"/>
      <c r="G27" s="1"/>
      <c r="H27" s="1"/>
      <c r="I27" s="1"/>
    </row>
    <row r="28" spans="2:9" x14ac:dyDescent="0.25">
      <c r="B28" s="1"/>
      <c r="C28" s="1"/>
      <c r="D28" s="1"/>
      <c r="E28" s="1"/>
      <c r="F28" s="1"/>
      <c r="G28" s="1"/>
      <c r="H28" s="1"/>
      <c r="I28" s="1"/>
    </row>
    <row r="29" spans="2:9" x14ac:dyDescent="0.25">
      <c r="B29" s="1"/>
      <c r="C29" s="1"/>
      <c r="D29" s="1"/>
      <c r="E29" s="1"/>
      <c r="F29" s="1"/>
      <c r="G29" s="1"/>
      <c r="H29" s="1"/>
      <c r="I29" s="1"/>
    </row>
    <row r="30" spans="2:9" x14ac:dyDescent="0.25">
      <c r="B30" s="1"/>
      <c r="C30" s="1"/>
      <c r="D30" s="1"/>
      <c r="E30" s="1"/>
      <c r="F30" s="1"/>
      <c r="G30" s="1"/>
      <c r="H30" s="1"/>
      <c r="I30" s="1"/>
    </row>
    <row r="31" spans="2:9" x14ac:dyDescent="0.25">
      <c r="B31" s="1"/>
      <c r="C31" s="1"/>
      <c r="D31" s="1"/>
      <c r="E31" s="1"/>
      <c r="F31" s="1"/>
      <c r="G31" s="1"/>
      <c r="H31" s="1"/>
      <c r="I31" s="1"/>
    </row>
    <row r="32" spans="2:9" x14ac:dyDescent="0.25">
      <c r="B32" s="1"/>
      <c r="C32" s="1"/>
      <c r="D32" s="1"/>
      <c r="E32" s="1"/>
      <c r="F32" s="1"/>
      <c r="G32" s="1"/>
      <c r="H32" s="1"/>
      <c r="I32" s="1"/>
    </row>
    <row r="33" spans="2:9" x14ac:dyDescent="0.25">
      <c r="B33" s="1"/>
      <c r="C33" s="1"/>
      <c r="D33" s="1"/>
      <c r="E33" s="1"/>
      <c r="F33" s="1"/>
      <c r="G33" s="1"/>
      <c r="H33" s="1"/>
      <c r="I33" s="1"/>
    </row>
    <row r="34" spans="2:9" x14ac:dyDescent="0.25">
      <c r="B34" s="1"/>
      <c r="C34" s="1"/>
      <c r="D34" s="1"/>
      <c r="E34" s="1"/>
      <c r="F34" s="1"/>
      <c r="G34" s="1"/>
      <c r="H34" s="1"/>
      <c r="I34" s="1"/>
    </row>
    <row r="35" spans="2:9" x14ac:dyDescent="0.25">
      <c r="B35" s="1"/>
      <c r="C35" s="1"/>
      <c r="D35" s="1"/>
      <c r="E35" s="1"/>
      <c r="F35" s="1"/>
      <c r="G35" s="1"/>
      <c r="H35" s="1"/>
      <c r="I35" s="1"/>
    </row>
    <row r="36" spans="2:9" x14ac:dyDescent="0.25">
      <c r="B36" s="1"/>
      <c r="C36" s="1"/>
      <c r="D36" s="1"/>
      <c r="E36" s="1"/>
      <c r="F36" s="1"/>
      <c r="G36" s="1"/>
      <c r="H36" s="1"/>
      <c r="I36" s="1"/>
    </row>
    <row r="37" spans="2:9" x14ac:dyDescent="0.25">
      <c r="B37" s="1"/>
      <c r="C37" s="1"/>
      <c r="D37" s="1"/>
      <c r="E37" s="1"/>
      <c r="F37" s="1"/>
      <c r="G37" s="1"/>
      <c r="H37" s="1"/>
      <c r="I37" s="1"/>
    </row>
    <row r="38" spans="2:9" x14ac:dyDescent="0.25">
      <c r="B38" s="1"/>
      <c r="C38" s="1"/>
      <c r="D38" s="1"/>
      <c r="E38" s="1"/>
      <c r="F38" s="1"/>
      <c r="G38" s="1"/>
      <c r="H38" s="1"/>
      <c r="I38" s="1"/>
    </row>
    <row r="39" spans="2:9" x14ac:dyDescent="0.25">
      <c r="B39" s="1"/>
      <c r="C39" s="1"/>
      <c r="D39" s="1"/>
      <c r="E39" s="1"/>
      <c r="F39" s="1"/>
      <c r="G39" s="1"/>
      <c r="H39" s="1"/>
      <c r="I39" s="1"/>
    </row>
    <row r="40" spans="2:9" x14ac:dyDescent="0.25">
      <c r="B40" s="1"/>
      <c r="C40" s="1"/>
      <c r="D40" s="1"/>
      <c r="E40" s="1"/>
      <c r="F40" s="1"/>
      <c r="G40" s="1"/>
      <c r="H40" s="1"/>
      <c r="I40" s="1"/>
    </row>
    <row r="41" spans="2:9" x14ac:dyDescent="0.25">
      <c r="B41" s="1"/>
      <c r="C41" s="1"/>
      <c r="D41" s="1"/>
      <c r="E41" s="1"/>
      <c r="F41" s="1"/>
      <c r="G41" s="1"/>
      <c r="H41" s="1"/>
      <c r="I41" s="1"/>
    </row>
    <row r="42" spans="2:9" x14ac:dyDescent="0.25">
      <c r="B42" s="1"/>
      <c r="C42" s="1"/>
      <c r="D42" s="1"/>
      <c r="E42" s="1"/>
      <c r="F42" s="1"/>
      <c r="G42" s="1"/>
      <c r="H42" s="1"/>
      <c r="I42" s="1"/>
    </row>
    <row r="43" spans="2:9" x14ac:dyDescent="0.25">
      <c r="B43" s="1"/>
      <c r="C43" s="1"/>
      <c r="D43" s="1"/>
      <c r="E43" s="1"/>
      <c r="F43" s="1"/>
      <c r="G43" s="1"/>
      <c r="H43" s="1"/>
      <c r="I43" s="1"/>
    </row>
    <row r="44" spans="2:9" x14ac:dyDescent="0.25">
      <c r="B44" s="1"/>
      <c r="C44" s="1"/>
      <c r="D44" s="1"/>
      <c r="E44" s="1"/>
      <c r="F44" s="1"/>
      <c r="G44" s="1"/>
      <c r="H44" s="1"/>
      <c r="I44" s="1"/>
    </row>
    <row r="45" spans="2:9" x14ac:dyDescent="0.25">
      <c r="B45" s="1"/>
      <c r="C45" s="1"/>
      <c r="D45" s="1"/>
      <c r="E45" s="1"/>
      <c r="F45" s="1"/>
      <c r="G45" s="1"/>
      <c r="H45" s="1"/>
      <c r="I45" s="1"/>
    </row>
    <row r="46" spans="2:9" x14ac:dyDescent="0.25">
      <c r="B46" s="1"/>
      <c r="C46" s="1"/>
      <c r="D46" s="1"/>
      <c r="E46" s="1"/>
      <c r="F46" s="1"/>
      <c r="G46" s="1"/>
      <c r="H46" s="1"/>
      <c r="I46" s="1"/>
    </row>
    <row r="47" spans="2:9" x14ac:dyDescent="0.25">
      <c r="B47" s="1"/>
      <c r="C47" s="1"/>
      <c r="D47" s="1"/>
      <c r="E47" s="1"/>
      <c r="F47" s="1"/>
      <c r="G47" s="1"/>
      <c r="H47" s="1"/>
      <c r="I47" s="1"/>
    </row>
    <row r="48" spans="2:9" x14ac:dyDescent="0.25">
      <c r="B48" s="1"/>
      <c r="C48" s="1"/>
      <c r="D48" s="1"/>
      <c r="E48" s="1"/>
      <c r="F48" s="1"/>
      <c r="G48" s="1"/>
      <c r="H48" s="1"/>
      <c r="I48" s="1"/>
    </row>
    <row r="49" spans="2:9" x14ac:dyDescent="0.25">
      <c r="B49" s="1"/>
      <c r="C49" s="1"/>
      <c r="D49" s="1"/>
      <c r="E49" s="1"/>
      <c r="F49" s="1"/>
      <c r="G49" s="1"/>
      <c r="H49" s="1"/>
      <c r="I49" s="1"/>
    </row>
    <row r="50" spans="2:9" x14ac:dyDescent="0.25">
      <c r="B50" s="1"/>
      <c r="C50" s="1"/>
      <c r="D50" s="1"/>
      <c r="E50" s="1"/>
      <c r="F50" s="1"/>
      <c r="G50" s="1"/>
      <c r="H50" s="1"/>
      <c r="I5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T44"/>
  <sheetViews>
    <sheetView showGridLines="0" zoomScaleNormal="100" workbookViewId="0">
      <selection activeCell="T10" sqref="T10"/>
    </sheetView>
  </sheetViews>
  <sheetFormatPr baseColWidth="10" defaultRowHeight="15" x14ac:dyDescent="0.25"/>
  <cols>
    <col min="1" max="1" width="7.42578125" customWidth="1"/>
    <col min="2" max="2" width="16" customWidth="1"/>
    <col min="3" max="3" width="30.5703125" customWidth="1"/>
    <col min="4" max="14" width="16" customWidth="1"/>
    <col min="15" max="15" width="3.140625" customWidth="1"/>
  </cols>
  <sheetData>
    <row r="3" spans="2:20" x14ac:dyDescent="0.25">
      <c r="B3" s="33" t="s">
        <v>11</v>
      </c>
      <c r="C3" s="49" t="s">
        <v>115</v>
      </c>
      <c r="D3" s="4" t="s">
        <v>12</v>
      </c>
      <c r="E3" s="50">
        <v>45481</v>
      </c>
      <c r="F3" s="33"/>
      <c r="G3" s="33"/>
    </row>
    <row r="4" spans="2:20" x14ac:dyDescent="0.25">
      <c r="B4" s="33"/>
      <c r="C4" s="49"/>
      <c r="D4" s="4" t="s">
        <v>13</v>
      </c>
      <c r="E4" s="33" t="s">
        <v>72</v>
      </c>
      <c r="F4" s="33"/>
      <c r="G4" s="33"/>
    </row>
    <row r="6" spans="2:20" x14ac:dyDescent="0.25">
      <c r="B6" s="10"/>
      <c r="C6" s="10"/>
      <c r="D6" s="34" t="s">
        <v>25</v>
      </c>
      <c r="E6" s="35"/>
      <c r="F6" s="35"/>
      <c r="G6" s="36"/>
      <c r="H6" s="35" t="s">
        <v>26</v>
      </c>
      <c r="I6" s="35"/>
      <c r="J6" s="36"/>
      <c r="K6" s="35" t="s">
        <v>27</v>
      </c>
      <c r="L6" s="35"/>
      <c r="M6" s="35"/>
      <c r="N6" s="37"/>
      <c r="P6" s="25" t="s">
        <v>32</v>
      </c>
      <c r="Q6" s="25" t="s">
        <v>16</v>
      </c>
      <c r="R6" s="25" t="s">
        <v>33</v>
      </c>
      <c r="S6" s="25" t="s">
        <v>16</v>
      </c>
      <c r="T6" s="25" t="s">
        <v>118</v>
      </c>
    </row>
    <row r="7" spans="2:20" ht="30" x14ac:dyDescent="0.25">
      <c r="B7" s="5" t="s">
        <v>14</v>
      </c>
      <c r="C7" s="5" t="s">
        <v>15</v>
      </c>
      <c r="D7" s="2" t="s">
        <v>16</v>
      </c>
      <c r="E7" s="2" t="s">
        <v>17</v>
      </c>
      <c r="F7" s="2" t="s">
        <v>18</v>
      </c>
      <c r="G7" s="8" t="s">
        <v>19</v>
      </c>
      <c r="H7" s="6" t="s">
        <v>20</v>
      </c>
      <c r="I7" s="2" t="s">
        <v>21</v>
      </c>
      <c r="J7" s="8" t="s">
        <v>22</v>
      </c>
      <c r="K7" s="6" t="s">
        <v>16</v>
      </c>
      <c r="L7" s="2" t="s">
        <v>2</v>
      </c>
      <c r="M7" s="2" t="s">
        <v>23</v>
      </c>
      <c r="N7" s="2" t="s">
        <v>24</v>
      </c>
      <c r="P7" s="27"/>
      <c r="Q7" s="26"/>
      <c r="R7" s="26"/>
      <c r="S7" s="26"/>
      <c r="T7" s="27"/>
    </row>
    <row r="8" spans="2:20" x14ac:dyDescent="0.25">
      <c r="B8" s="43"/>
      <c r="C8" s="1"/>
      <c r="D8" s="43"/>
      <c r="E8" s="1"/>
      <c r="F8" s="1"/>
      <c r="G8" s="9"/>
      <c r="H8" s="7"/>
      <c r="I8" s="1"/>
      <c r="J8" s="9"/>
      <c r="K8" s="60"/>
      <c r="L8" s="1"/>
      <c r="M8" s="1"/>
      <c r="N8" s="1"/>
      <c r="P8" s="9"/>
      <c r="Q8" s="62"/>
      <c r="R8" s="12"/>
      <c r="S8" s="62"/>
      <c r="T8" s="7"/>
    </row>
    <row r="9" spans="2:20" s="10" customFormat="1" x14ac:dyDescent="0.25">
      <c r="B9" s="55"/>
      <c r="C9" s="51" t="s">
        <v>59</v>
      </c>
      <c r="D9" s="55"/>
      <c r="E9" s="51"/>
      <c r="F9" s="51"/>
      <c r="G9" s="52"/>
      <c r="H9" s="53"/>
      <c r="I9" s="51"/>
      <c r="J9" s="52"/>
      <c r="K9" s="61"/>
      <c r="L9" s="51"/>
      <c r="M9" s="51"/>
      <c r="N9" s="51"/>
      <c r="P9" s="52"/>
      <c r="Q9" s="63"/>
      <c r="R9" s="54"/>
      <c r="S9" s="63"/>
      <c r="T9" s="53"/>
    </row>
    <row r="10" spans="2:20" x14ac:dyDescent="0.25">
      <c r="B10" s="43">
        <v>100</v>
      </c>
      <c r="C10" s="1" t="s">
        <v>59</v>
      </c>
      <c r="D10" s="43" t="s">
        <v>68</v>
      </c>
      <c r="E10" s="45">
        <f>+'Horas previstas'!F3</f>
        <v>1794.68</v>
      </c>
      <c r="F10" s="45">
        <f>+'Avance Real'!D3</f>
        <v>150</v>
      </c>
      <c r="G10" s="58">
        <f>+F10/E10</f>
        <v>8.358035972986827E-2</v>
      </c>
      <c r="H10" s="7">
        <f>+'Horas previstas'!H3</f>
        <v>100.63</v>
      </c>
      <c r="I10" s="44">
        <v>9.4340611257039875</v>
      </c>
      <c r="J10" s="57">
        <f>+Tareo!D3</f>
        <v>12.8</v>
      </c>
      <c r="K10" s="60" t="s">
        <v>65</v>
      </c>
      <c r="L10" s="45">
        <f>+'Base de Datos'!D3</f>
        <v>5.607127733077763E-2</v>
      </c>
      <c r="M10" s="45">
        <f>+J10/F10</f>
        <v>8.5333333333333344E-2</v>
      </c>
      <c r="N10" s="45">
        <f>+J10/F10</f>
        <v>8.5333333333333344E-2</v>
      </c>
      <c r="P10" s="57">
        <f>+I10-J10</f>
        <v>-3.3659388742960132</v>
      </c>
      <c r="Q10" s="62" t="s">
        <v>117</v>
      </c>
      <c r="R10" s="12"/>
      <c r="S10" s="62" t="s">
        <v>105</v>
      </c>
      <c r="T10" s="7"/>
    </row>
    <row r="11" spans="2:20" s="10" customFormat="1" x14ac:dyDescent="0.25">
      <c r="B11" s="55"/>
      <c r="C11" s="51" t="s">
        <v>60</v>
      </c>
      <c r="D11" s="55"/>
      <c r="E11" s="51"/>
      <c r="F11" s="51"/>
      <c r="G11" s="52"/>
      <c r="H11" s="53"/>
      <c r="I11" s="51"/>
      <c r="J11" s="52"/>
      <c r="K11" s="61"/>
      <c r="L11" s="51"/>
      <c r="M11" s="51"/>
      <c r="N11" s="51"/>
      <c r="P11" s="52"/>
      <c r="Q11" s="63"/>
      <c r="R11" s="54"/>
      <c r="S11" s="63"/>
      <c r="T11" s="53"/>
    </row>
    <row r="12" spans="2:20" x14ac:dyDescent="0.25">
      <c r="B12" s="43">
        <v>200</v>
      </c>
      <c r="C12" s="1" t="s">
        <v>60</v>
      </c>
      <c r="D12" s="43" t="s">
        <v>67</v>
      </c>
      <c r="E12" s="45">
        <f>+'Horas previstas'!F4</f>
        <v>4390.87</v>
      </c>
      <c r="F12" s="45">
        <f>+'Avance Real'!D4</f>
        <v>450</v>
      </c>
      <c r="G12" s="58">
        <f>+F12/E12</f>
        <v>0.10248538444545159</v>
      </c>
      <c r="H12" s="7">
        <f>+'Horas previstas'!H4</f>
        <v>3931.7</v>
      </c>
      <c r="I12" s="44">
        <v>442.9677844823463</v>
      </c>
      <c r="J12" s="57">
        <f>+Tareo!D4</f>
        <v>385</v>
      </c>
      <c r="K12" s="60" t="s">
        <v>64</v>
      </c>
      <c r="L12" s="45">
        <f>+'Base de Datos'!D4</f>
        <v>0.89542619116484889</v>
      </c>
      <c r="M12" s="45">
        <f>+J12/F12</f>
        <v>0.85555555555555551</v>
      </c>
      <c r="N12" s="45">
        <f>+J12/F12</f>
        <v>0.85555555555555551</v>
      </c>
      <c r="P12" s="57">
        <f>+I12-J12</f>
        <v>57.967784482346303</v>
      </c>
      <c r="Q12" s="62" t="s">
        <v>117</v>
      </c>
      <c r="R12" s="12"/>
      <c r="S12" s="62" t="s">
        <v>105</v>
      </c>
      <c r="T12" s="7"/>
    </row>
    <row r="13" spans="2:20" s="10" customFormat="1" x14ac:dyDescent="0.25">
      <c r="B13" s="55"/>
      <c r="C13" s="51" t="s">
        <v>116</v>
      </c>
      <c r="D13" s="55"/>
      <c r="E13" s="51"/>
      <c r="F13" s="51"/>
      <c r="G13" s="52"/>
      <c r="H13" s="53"/>
      <c r="I13" s="51"/>
      <c r="J13" s="52"/>
      <c r="K13" s="61"/>
      <c r="L13" s="51"/>
      <c r="M13" s="51"/>
      <c r="N13" s="51"/>
      <c r="P13" s="52"/>
      <c r="Q13" s="63"/>
      <c r="R13" s="54"/>
      <c r="S13" s="63"/>
      <c r="T13" s="53"/>
    </row>
    <row r="14" spans="2:20" x14ac:dyDescent="0.25">
      <c r="B14" s="43">
        <v>300</v>
      </c>
      <c r="C14" s="1" t="s">
        <v>61</v>
      </c>
      <c r="D14" s="43" t="s">
        <v>67</v>
      </c>
      <c r="E14" s="45">
        <f>+'Horas previstas'!F5</f>
        <v>1280.8</v>
      </c>
      <c r="F14" s="1">
        <v>0</v>
      </c>
      <c r="G14" s="58">
        <f t="shared" ref="G14:G16" si="0">+F14/E14</f>
        <v>0</v>
      </c>
      <c r="H14" s="7">
        <f>+'Horas previstas'!H5</f>
        <v>2487.06</v>
      </c>
      <c r="I14" s="44">
        <v>0</v>
      </c>
      <c r="J14" s="59">
        <v>0</v>
      </c>
      <c r="K14" s="60" t="s">
        <v>64</v>
      </c>
      <c r="L14" s="45">
        <f>+'Horas previstas'!D5</f>
        <v>1.9418019987507809</v>
      </c>
      <c r="M14" s="45"/>
      <c r="N14" s="1"/>
      <c r="P14" s="57">
        <f>+I14-J14</f>
        <v>0</v>
      </c>
      <c r="Q14" s="62" t="s">
        <v>117</v>
      </c>
      <c r="R14" s="12"/>
      <c r="S14" s="62" t="s">
        <v>105</v>
      </c>
      <c r="T14" s="7"/>
    </row>
    <row r="15" spans="2:20" x14ac:dyDescent="0.25">
      <c r="B15" s="43">
        <v>400</v>
      </c>
      <c r="C15" s="1" t="s">
        <v>63</v>
      </c>
      <c r="D15" s="43" t="s">
        <v>68</v>
      </c>
      <c r="E15" s="45">
        <f>+'Horas previstas'!F6</f>
        <v>4005.92</v>
      </c>
      <c r="F15" s="1">
        <v>0</v>
      </c>
      <c r="G15" s="58">
        <f t="shared" si="0"/>
        <v>0</v>
      </c>
      <c r="H15" s="7">
        <f>+'Horas previstas'!H6</f>
        <v>5370.78</v>
      </c>
      <c r="I15" s="44">
        <v>0</v>
      </c>
      <c r="J15" s="59">
        <v>0</v>
      </c>
      <c r="K15" s="60" t="s">
        <v>65</v>
      </c>
      <c r="L15" s="45">
        <f>+'Horas previstas'!D6</f>
        <v>1.3407107480928224</v>
      </c>
      <c r="M15" s="1"/>
      <c r="N15" s="1"/>
      <c r="P15" s="57">
        <f t="shared" ref="P15:P16" si="1">+I15-J15</f>
        <v>0</v>
      </c>
      <c r="Q15" s="62" t="s">
        <v>117</v>
      </c>
      <c r="R15" s="12"/>
      <c r="S15" s="62" t="s">
        <v>105</v>
      </c>
      <c r="T15" s="7"/>
    </row>
    <row r="16" spans="2:20" x14ac:dyDescent="0.25">
      <c r="B16" s="43">
        <v>500</v>
      </c>
      <c r="C16" s="1" t="s">
        <v>62</v>
      </c>
      <c r="D16" s="43" t="s">
        <v>69</v>
      </c>
      <c r="E16" s="45">
        <f>+'Horas previstas'!F7</f>
        <v>53548.07</v>
      </c>
      <c r="F16" s="1">
        <v>0</v>
      </c>
      <c r="G16" s="58">
        <f t="shared" si="0"/>
        <v>0</v>
      </c>
      <c r="H16" s="7">
        <f>+'Horas previstas'!H7</f>
        <v>39327.01</v>
      </c>
      <c r="I16" s="44">
        <v>0</v>
      </c>
      <c r="J16" s="59">
        <v>0</v>
      </c>
      <c r="K16" s="60" t="s">
        <v>66</v>
      </c>
      <c r="L16" s="45">
        <f>+'Horas previstas'!D7</f>
        <v>0.73442441529638702</v>
      </c>
      <c r="M16" s="1"/>
      <c r="N16" s="1"/>
      <c r="P16" s="57">
        <f t="shared" si="1"/>
        <v>0</v>
      </c>
      <c r="Q16" s="64" t="s">
        <v>117</v>
      </c>
      <c r="R16" s="13"/>
      <c r="S16" s="64" t="s">
        <v>105</v>
      </c>
      <c r="T16" s="7"/>
    </row>
    <row r="17" spans="2:14" x14ac:dyDescent="0.25">
      <c r="D17" s="56"/>
    </row>
    <row r="18" spans="2:14" x14ac:dyDescent="0.25">
      <c r="B18" s="30" t="s">
        <v>28</v>
      </c>
      <c r="C18" s="31"/>
      <c r="D18" s="31"/>
      <c r="E18" s="31"/>
      <c r="F18" s="31"/>
      <c r="G18" s="31"/>
      <c r="H18" s="31"/>
      <c r="I18" s="31"/>
      <c r="J18" s="31"/>
      <c r="K18" s="32"/>
      <c r="L18" s="28" t="s">
        <v>30</v>
      </c>
      <c r="M18" s="28"/>
      <c r="N18" s="29"/>
    </row>
    <row r="19" spans="2:14" x14ac:dyDescent="0.25">
      <c r="B19" s="30" t="s">
        <v>29</v>
      </c>
      <c r="C19" s="31"/>
      <c r="D19" s="31"/>
      <c r="E19" s="31"/>
      <c r="F19" s="31"/>
      <c r="G19" s="31"/>
      <c r="H19" s="31"/>
      <c r="I19" s="31"/>
      <c r="J19" s="31"/>
      <c r="K19" s="32"/>
      <c r="L19" s="28" t="s">
        <v>31</v>
      </c>
      <c r="M19" s="28"/>
      <c r="N19" s="29"/>
    </row>
    <row r="23" spans="2:14" x14ac:dyDescent="0.25">
      <c r="D23" t="s">
        <v>83</v>
      </c>
      <c r="E23" t="s">
        <v>84</v>
      </c>
    </row>
    <row r="24" spans="2:14" x14ac:dyDescent="0.25">
      <c r="D24" t="s">
        <v>85</v>
      </c>
      <c r="F24" t="s">
        <v>86</v>
      </c>
    </row>
    <row r="25" spans="2:14" x14ac:dyDescent="0.25">
      <c r="D25" t="s">
        <v>87</v>
      </c>
      <c r="F25" t="s">
        <v>88</v>
      </c>
    </row>
    <row r="29" spans="2:14" x14ac:dyDescent="0.25">
      <c r="D29" t="s">
        <v>89</v>
      </c>
      <c r="F29" t="s">
        <v>90</v>
      </c>
    </row>
    <row r="31" spans="2:14" x14ac:dyDescent="0.25">
      <c r="D31" t="s">
        <v>91</v>
      </c>
      <c r="F31" t="s">
        <v>92</v>
      </c>
    </row>
    <row r="33" spans="4:6" x14ac:dyDescent="0.25">
      <c r="D33" t="s">
        <v>93</v>
      </c>
      <c r="F33" t="s">
        <v>94</v>
      </c>
    </row>
    <row r="35" spans="4:6" x14ac:dyDescent="0.25">
      <c r="D35" t="s">
        <v>95</v>
      </c>
      <c r="F35" t="s">
        <v>96</v>
      </c>
    </row>
    <row r="38" spans="4:6" x14ac:dyDescent="0.25">
      <c r="D38" t="s">
        <v>97</v>
      </c>
      <c r="F38" t="s">
        <v>98</v>
      </c>
    </row>
    <row r="39" spans="4:6" x14ac:dyDescent="0.25">
      <c r="D39" t="s">
        <v>99</v>
      </c>
      <c r="F39" t="s">
        <v>100</v>
      </c>
    </row>
    <row r="41" spans="4:6" x14ac:dyDescent="0.25">
      <c r="D41" t="s">
        <v>101</v>
      </c>
      <c r="F41" t="s">
        <v>102</v>
      </c>
    </row>
    <row r="44" spans="4:6" x14ac:dyDescent="0.25">
      <c r="D44" t="s">
        <v>103</v>
      </c>
      <c r="F44" t="s">
        <v>104</v>
      </c>
    </row>
  </sheetData>
  <mergeCells count="16">
    <mergeCell ref="B18:K18"/>
    <mergeCell ref="B19:K19"/>
    <mergeCell ref="P6:P7"/>
    <mergeCell ref="Q6:Q7"/>
    <mergeCell ref="E3:G3"/>
    <mergeCell ref="E4:G4"/>
    <mergeCell ref="B3:B4"/>
    <mergeCell ref="C3:C4"/>
    <mergeCell ref="D6:G6"/>
    <mergeCell ref="H6:J6"/>
    <mergeCell ref="K6:N6"/>
    <mergeCell ref="R6:R7"/>
    <mergeCell ref="S6:S7"/>
    <mergeCell ref="T6:T7"/>
    <mergeCell ref="L18:N18"/>
    <mergeCell ref="L19:N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8"/>
  <sheetViews>
    <sheetView workbookViewId="0">
      <selection activeCell="I6" sqref="I6"/>
    </sheetView>
  </sheetViews>
  <sheetFormatPr baseColWidth="10" defaultRowHeight="15" x14ac:dyDescent="0.25"/>
  <cols>
    <col min="2" max="2" width="13.140625" customWidth="1"/>
    <col min="3" max="3" width="24" customWidth="1"/>
    <col min="4" max="4" width="13" customWidth="1"/>
    <col min="5" max="6" width="16.7109375" customWidth="1"/>
  </cols>
  <sheetData>
    <row r="2" spans="2:6" ht="19.5" x14ac:dyDescent="0.3">
      <c r="B2" s="14" t="s">
        <v>34</v>
      </c>
    </row>
    <row r="4" spans="2:6" x14ac:dyDescent="0.25">
      <c r="B4" s="2" t="s">
        <v>35</v>
      </c>
      <c r="C4" s="2" t="s">
        <v>36</v>
      </c>
      <c r="D4" s="2" t="s">
        <v>16</v>
      </c>
      <c r="E4" s="2" t="s">
        <v>37</v>
      </c>
      <c r="F4" s="2" t="s">
        <v>38</v>
      </c>
    </row>
    <row r="5" spans="2:6" x14ac:dyDescent="0.25">
      <c r="B5" s="1"/>
      <c r="C5" s="1"/>
      <c r="D5" s="1"/>
      <c r="E5" s="1"/>
      <c r="F5" s="1"/>
    </row>
    <row r="6" spans="2:6" x14ac:dyDescent="0.25">
      <c r="B6" s="1"/>
      <c r="C6" s="1"/>
      <c r="D6" s="1"/>
      <c r="E6" s="1"/>
      <c r="F6" s="1"/>
    </row>
    <row r="7" spans="2:6" x14ac:dyDescent="0.25">
      <c r="B7" s="1"/>
      <c r="C7" s="1"/>
      <c r="D7" s="1"/>
      <c r="E7" s="1"/>
      <c r="F7" s="1"/>
    </row>
    <row r="8" spans="2:6" x14ac:dyDescent="0.25">
      <c r="B8" s="1"/>
      <c r="C8" s="1"/>
      <c r="D8" s="1"/>
      <c r="E8" s="1"/>
      <c r="F8" s="1"/>
    </row>
    <row r="9" spans="2:6" x14ac:dyDescent="0.25">
      <c r="B9" s="1"/>
      <c r="C9" s="1"/>
      <c r="D9" s="1"/>
      <c r="E9" s="1"/>
      <c r="F9" s="1"/>
    </row>
    <row r="10" spans="2:6" x14ac:dyDescent="0.25">
      <c r="B10" s="1"/>
      <c r="C10" s="1"/>
      <c r="D10" s="1"/>
      <c r="E10" s="1"/>
      <c r="F10" s="1"/>
    </row>
    <row r="11" spans="2:6" x14ac:dyDescent="0.25">
      <c r="B11" s="1"/>
      <c r="C11" s="1"/>
      <c r="D11" s="1"/>
      <c r="E11" s="1"/>
      <c r="F11" s="1"/>
    </row>
    <row r="12" spans="2:6" x14ac:dyDescent="0.25">
      <c r="B12" s="1"/>
      <c r="C12" s="1"/>
      <c r="D12" s="1"/>
      <c r="E12" s="1"/>
      <c r="F12" s="1"/>
    </row>
    <row r="13" spans="2:6" x14ac:dyDescent="0.25">
      <c r="B13" s="1"/>
      <c r="C13" s="1"/>
      <c r="D13" s="1"/>
      <c r="E13" s="1"/>
      <c r="F13" s="1"/>
    </row>
    <row r="14" spans="2:6" x14ac:dyDescent="0.25">
      <c r="B14" s="1"/>
      <c r="C14" s="1"/>
      <c r="D14" s="1"/>
      <c r="E14" s="1"/>
      <c r="F14" s="1"/>
    </row>
    <row r="15" spans="2:6" x14ac:dyDescent="0.25">
      <c r="B15" s="1"/>
      <c r="C15" s="1"/>
      <c r="D15" s="1"/>
      <c r="E15" s="1"/>
      <c r="F15" s="1"/>
    </row>
    <row r="16" spans="2:6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0"/>
  <sheetViews>
    <sheetView workbookViewId="0">
      <selection activeCell="E4" sqref="E4"/>
    </sheetView>
  </sheetViews>
  <sheetFormatPr baseColWidth="10" defaultRowHeight="15" x14ac:dyDescent="0.25"/>
  <sheetData>
    <row r="2" spans="2:8" ht="30" x14ac:dyDescent="0.25">
      <c r="B2" s="2" t="s">
        <v>9</v>
      </c>
      <c r="C2" s="2" t="s">
        <v>1</v>
      </c>
      <c r="D2" s="2" t="s">
        <v>4</v>
      </c>
      <c r="E2" s="2" t="s">
        <v>3</v>
      </c>
    </row>
    <row r="3" spans="2:8" x14ac:dyDescent="0.25">
      <c r="B3" s="1">
        <v>100</v>
      </c>
      <c r="C3" s="1"/>
      <c r="D3" s="1"/>
      <c r="E3" s="1" t="s">
        <v>106</v>
      </c>
      <c r="H3" t="s">
        <v>84</v>
      </c>
    </row>
    <row r="4" spans="2:8" x14ac:dyDescent="0.25">
      <c r="B4" s="1">
        <v>200</v>
      </c>
      <c r="C4" s="1"/>
      <c r="D4" s="1"/>
      <c r="E4" s="1"/>
    </row>
    <row r="5" spans="2:8" x14ac:dyDescent="0.25">
      <c r="B5" s="1"/>
      <c r="C5" s="1"/>
      <c r="D5" s="1"/>
      <c r="E5" s="1"/>
    </row>
    <row r="6" spans="2:8" x14ac:dyDescent="0.25">
      <c r="B6" s="1"/>
      <c r="C6" s="1"/>
      <c r="D6" s="1"/>
      <c r="E6" s="1"/>
    </row>
    <row r="7" spans="2:8" x14ac:dyDescent="0.25">
      <c r="B7" s="1"/>
      <c r="C7" s="1"/>
      <c r="D7" s="1"/>
      <c r="E7" s="1"/>
    </row>
    <row r="8" spans="2:8" x14ac:dyDescent="0.25">
      <c r="B8" s="1"/>
      <c r="C8" s="1"/>
      <c r="D8" s="1"/>
      <c r="E8" s="1"/>
    </row>
    <row r="9" spans="2:8" x14ac:dyDescent="0.25">
      <c r="B9" s="1"/>
      <c r="C9" s="1"/>
      <c r="D9" s="1"/>
      <c r="E9" s="1"/>
    </row>
    <row r="10" spans="2:8" x14ac:dyDescent="0.25">
      <c r="B10" s="1"/>
      <c r="C10" s="1"/>
      <c r="D10" s="1"/>
      <c r="E1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58"/>
  <sheetViews>
    <sheetView workbookViewId="0">
      <selection activeCell="I5" sqref="I5"/>
    </sheetView>
  </sheetViews>
  <sheetFormatPr baseColWidth="10" defaultRowHeight="15" x14ac:dyDescent="0.25"/>
  <sheetData>
    <row r="2" spans="2:9" ht="30" x14ac:dyDescent="0.25">
      <c r="B2" s="2" t="s">
        <v>9</v>
      </c>
      <c r="C2" s="2" t="s">
        <v>1</v>
      </c>
      <c r="D2" s="2" t="s">
        <v>8</v>
      </c>
      <c r="E2" s="2" t="s">
        <v>6</v>
      </c>
      <c r="F2" s="2" t="s">
        <v>7</v>
      </c>
    </row>
    <row r="3" spans="2:9" x14ac:dyDescent="0.25">
      <c r="B3" s="1"/>
      <c r="C3" s="1"/>
      <c r="D3" s="1"/>
      <c r="E3" s="1"/>
      <c r="F3" s="1"/>
    </row>
    <row r="4" spans="2:9" x14ac:dyDescent="0.25">
      <c r="B4" s="1"/>
      <c r="C4" s="1"/>
      <c r="D4" s="1"/>
      <c r="E4" s="1"/>
      <c r="F4" s="1"/>
      <c r="I4" t="s">
        <v>107</v>
      </c>
    </row>
    <row r="5" spans="2:9" x14ac:dyDescent="0.25">
      <c r="B5" s="1"/>
      <c r="C5" s="1"/>
      <c r="D5" s="1"/>
      <c r="E5" s="1"/>
      <c r="F5" s="1"/>
    </row>
    <row r="6" spans="2:9" x14ac:dyDescent="0.25">
      <c r="B6" s="1"/>
      <c r="C6" s="1"/>
      <c r="D6" s="1"/>
      <c r="E6" s="1"/>
      <c r="F6" s="1"/>
    </row>
    <row r="7" spans="2:9" x14ac:dyDescent="0.25">
      <c r="B7" s="1"/>
      <c r="C7" s="1"/>
      <c r="D7" s="1"/>
      <c r="E7" s="1"/>
      <c r="F7" s="1"/>
    </row>
    <row r="8" spans="2:9" x14ac:dyDescent="0.25">
      <c r="B8" s="1"/>
      <c r="C8" s="1"/>
      <c r="D8" s="1"/>
      <c r="E8" s="1"/>
      <c r="F8" s="1"/>
    </row>
    <row r="9" spans="2:9" x14ac:dyDescent="0.25">
      <c r="B9" s="1"/>
      <c r="C9" s="1"/>
      <c r="D9" s="1"/>
      <c r="E9" s="1"/>
      <c r="F9" s="1"/>
    </row>
    <row r="10" spans="2:9" x14ac:dyDescent="0.25">
      <c r="B10" s="1"/>
      <c r="C10" s="1"/>
      <c r="D10" s="1"/>
      <c r="E10" s="1"/>
      <c r="F10" s="1"/>
    </row>
    <row r="11" spans="2:9" x14ac:dyDescent="0.25">
      <c r="B11" s="1"/>
      <c r="C11" s="1"/>
      <c r="D11" s="1"/>
      <c r="E11" s="1"/>
      <c r="F11" s="1"/>
    </row>
    <row r="12" spans="2:9" x14ac:dyDescent="0.25">
      <c r="B12" s="1"/>
      <c r="C12" s="1"/>
      <c r="D12" s="1"/>
      <c r="E12" s="1"/>
      <c r="F12" s="1"/>
    </row>
    <row r="13" spans="2:9" x14ac:dyDescent="0.25">
      <c r="B13" s="1"/>
      <c r="C13" s="1"/>
      <c r="D13" s="1"/>
      <c r="E13" s="1"/>
      <c r="F13" s="1"/>
    </row>
    <row r="14" spans="2:9" x14ac:dyDescent="0.25">
      <c r="B14" s="1"/>
      <c r="C14" s="1"/>
      <c r="D14" s="1"/>
      <c r="E14" s="1"/>
      <c r="F14" s="1"/>
    </row>
    <row r="15" spans="2:9" x14ac:dyDescent="0.25">
      <c r="B15" s="1"/>
      <c r="C15" s="1"/>
      <c r="D15" s="1"/>
      <c r="E15" s="1"/>
      <c r="F15" s="1"/>
    </row>
    <row r="16" spans="2:9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  <row r="21" spans="2:6" x14ac:dyDescent="0.25">
      <c r="B21" s="1"/>
      <c r="C21" s="1"/>
      <c r="D21" s="1"/>
      <c r="E21" s="1"/>
      <c r="F21" s="1"/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  <row r="25" spans="2:6" x14ac:dyDescent="0.25">
      <c r="B25" s="1"/>
      <c r="C25" s="1"/>
      <c r="D25" s="1"/>
      <c r="E25" s="1"/>
      <c r="F25" s="1"/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  <row r="29" spans="2:6" x14ac:dyDescent="0.25">
      <c r="B29" s="1"/>
      <c r="C29" s="1"/>
      <c r="D29" s="1"/>
      <c r="E29" s="1"/>
      <c r="F29" s="1"/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  <row r="39" spans="2:6" x14ac:dyDescent="0.25">
      <c r="B39" s="1"/>
      <c r="C39" s="1"/>
      <c r="D39" s="1"/>
      <c r="E39" s="1"/>
      <c r="F39" s="1"/>
    </row>
    <row r="40" spans="2:6" x14ac:dyDescent="0.25">
      <c r="B40" s="1"/>
      <c r="C40" s="1"/>
      <c r="D40" s="1"/>
      <c r="E40" s="1"/>
      <c r="F40" s="1"/>
    </row>
    <row r="41" spans="2:6" x14ac:dyDescent="0.25">
      <c r="B41" s="1"/>
      <c r="C41" s="1"/>
      <c r="D41" s="1"/>
      <c r="E41" s="1"/>
      <c r="F41" s="1"/>
    </row>
    <row r="42" spans="2:6" x14ac:dyDescent="0.25">
      <c r="B42" s="1"/>
      <c r="C42" s="1"/>
      <c r="D42" s="1"/>
      <c r="E42" s="1"/>
      <c r="F42" s="1"/>
    </row>
    <row r="43" spans="2:6" x14ac:dyDescent="0.25">
      <c r="B43" s="1"/>
      <c r="C43" s="1"/>
      <c r="D43" s="1"/>
      <c r="E43" s="1"/>
      <c r="F43" s="1"/>
    </row>
    <row r="44" spans="2:6" x14ac:dyDescent="0.25">
      <c r="B44" s="1"/>
      <c r="C44" s="1"/>
      <c r="D44" s="1"/>
      <c r="E44" s="1"/>
      <c r="F44" s="1"/>
    </row>
    <row r="45" spans="2:6" x14ac:dyDescent="0.25">
      <c r="B45" s="1"/>
      <c r="C45" s="1"/>
      <c r="D45" s="1"/>
      <c r="E45" s="1"/>
      <c r="F45" s="1"/>
    </row>
    <row r="46" spans="2:6" x14ac:dyDescent="0.25">
      <c r="B46" s="1"/>
      <c r="C46" s="1"/>
      <c r="D46" s="1"/>
      <c r="E46" s="1"/>
      <c r="F46" s="1"/>
    </row>
    <row r="47" spans="2:6" x14ac:dyDescent="0.25">
      <c r="B47" s="1"/>
      <c r="C47" s="1"/>
      <c r="D47" s="1"/>
      <c r="E47" s="1"/>
      <c r="F47" s="1"/>
    </row>
    <row r="48" spans="2:6" x14ac:dyDescent="0.25">
      <c r="B48" s="1"/>
      <c r="C48" s="1"/>
      <c r="D48" s="1"/>
      <c r="E48" s="1"/>
      <c r="F48" s="1"/>
    </row>
    <row r="49" spans="2:6" x14ac:dyDescent="0.25">
      <c r="B49" s="1"/>
      <c r="C49" s="1"/>
      <c r="D49" s="1"/>
      <c r="E49" s="1"/>
      <c r="F49" s="1"/>
    </row>
    <row r="50" spans="2:6" x14ac:dyDescent="0.25">
      <c r="B50" s="1"/>
      <c r="C50" s="1"/>
      <c r="D50" s="1"/>
      <c r="E50" s="1"/>
      <c r="F50" s="1"/>
    </row>
    <row r="51" spans="2:6" x14ac:dyDescent="0.25">
      <c r="B51" s="1"/>
      <c r="C51" s="1"/>
      <c r="D51" s="1"/>
      <c r="E51" s="1"/>
      <c r="F51" s="1"/>
    </row>
    <row r="52" spans="2:6" x14ac:dyDescent="0.25">
      <c r="B52" s="1"/>
      <c r="C52" s="1"/>
      <c r="D52" s="1"/>
      <c r="E52" s="1"/>
      <c r="F52" s="1"/>
    </row>
    <row r="53" spans="2:6" x14ac:dyDescent="0.25">
      <c r="B53" s="1"/>
      <c r="C53" s="1"/>
      <c r="D53" s="1"/>
      <c r="E53" s="1"/>
      <c r="F53" s="1"/>
    </row>
    <row r="54" spans="2:6" x14ac:dyDescent="0.25">
      <c r="B54" s="1"/>
      <c r="C54" s="1"/>
      <c r="D54" s="1"/>
      <c r="E54" s="1"/>
      <c r="F54" s="1"/>
    </row>
    <row r="55" spans="2:6" x14ac:dyDescent="0.25">
      <c r="B55" s="1"/>
      <c r="C55" s="1"/>
      <c r="D55" s="1"/>
      <c r="E55" s="1"/>
      <c r="F55" s="1"/>
    </row>
    <row r="56" spans="2:6" x14ac:dyDescent="0.25">
      <c r="B56" s="1"/>
      <c r="C56" s="1"/>
      <c r="D56" s="1"/>
      <c r="E56" s="1"/>
      <c r="F56" s="1"/>
    </row>
    <row r="57" spans="2:6" x14ac:dyDescent="0.25">
      <c r="B57" s="1"/>
      <c r="C57" s="1"/>
      <c r="D57" s="1"/>
      <c r="E57" s="1"/>
      <c r="F57" s="1"/>
    </row>
    <row r="58" spans="2:6" x14ac:dyDescent="0.25">
      <c r="B58" s="1"/>
      <c r="C58" s="1"/>
      <c r="D58" s="1"/>
      <c r="E58" s="1"/>
      <c r="F5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15"/>
  <sheetViews>
    <sheetView workbookViewId="0">
      <selection activeCell="F20" sqref="F20"/>
    </sheetView>
  </sheetViews>
  <sheetFormatPr baseColWidth="10" defaultRowHeight="15" x14ac:dyDescent="0.25"/>
  <cols>
    <col min="2" max="2" width="20" customWidth="1"/>
    <col min="3" max="3" width="17.140625" customWidth="1"/>
    <col min="4" max="4" width="34.7109375" customWidth="1"/>
  </cols>
  <sheetData>
    <row r="1" spans="2:12" x14ac:dyDescent="0.25">
      <c r="J1" s="3" t="s">
        <v>43</v>
      </c>
      <c r="K1" s="3" t="s">
        <v>44</v>
      </c>
      <c r="L1" s="3" t="s">
        <v>45</v>
      </c>
    </row>
    <row r="2" spans="2:12" x14ac:dyDescent="0.25">
      <c r="B2" s="38" t="s">
        <v>42</v>
      </c>
      <c r="C2" s="38"/>
      <c r="D2" s="38"/>
      <c r="E2" s="38"/>
      <c r="F2" s="38"/>
      <c r="G2" s="38"/>
      <c r="H2" s="38"/>
      <c r="J2" s="1" t="s">
        <v>110</v>
      </c>
      <c r="K2" s="1">
        <v>0.22</v>
      </c>
      <c r="L2" s="1">
        <v>1.98</v>
      </c>
    </row>
    <row r="3" spans="2:12" x14ac:dyDescent="0.25">
      <c r="B3" s="38"/>
      <c r="C3" s="38"/>
      <c r="D3" s="38"/>
      <c r="E3" s="38"/>
      <c r="F3" s="38"/>
      <c r="G3" s="38"/>
      <c r="H3" s="38"/>
      <c r="J3" s="1" t="s">
        <v>111</v>
      </c>
      <c r="K3" s="1">
        <v>0.4</v>
      </c>
      <c r="L3" s="1">
        <v>3.6</v>
      </c>
    </row>
    <row r="4" spans="2:12" x14ac:dyDescent="0.25">
      <c r="J4" s="42" t="s">
        <v>112</v>
      </c>
      <c r="K4" s="1">
        <v>0.56000000000000005</v>
      </c>
      <c r="L4" s="1">
        <v>5.04</v>
      </c>
    </row>
    <row r="5" spans="2:12" ht="26.25" customHeight="1" x14ac:dyDescent="0.25">
      <c r="B5" s="2" t="s">
        <v>9</v>
      </c>
      <c r="C5" s="2" t="s">
        <v>1</v>
      </c>
      <c r="D5" s="2" t="s">
        <v>39</v>
      </c>
      <c r="E5" s="2" t="s">
        <v>40</v>
      </c>
      <c r="F5" s="2" t="s">
        <v>6</v>
      </c>
      <c r="G5" s="2" t="s">
        <v>41</v>
      </c>
      <c r="J5" s="1" t="s">
        <v>113</v>
      </c>
      <c r="K5" s="1">
        <v>0.89</v>
      </c>
      <c r="L5" s="1">
        <v>8.01</v>
      </c>
    </row>
    <row r="6" spans="2:12" x14ac:dyDescent="0.25">
      <c r="B6" s="1">
        <v>100</v>
      </c>
      <c r="C6" s="1"/>
      <c r="D6" s="1"/>
      <c r="E6" s="1"/>
      <c r="F6" s="1"/>
      <c r="G6" s="1"/>
      <c r="J6" s="42" t="s">
        <v>114</v>
      </c>
      <c r="K6" s="1">
        <v>0.99</v>
      </c>
      <c r="L6" s="1">
        <v>8.91</v>
      </c>
    </row>
    <row r="7" spans="2:12" x14ac:dyDescent="0.25">
      <c r="B7" s="1">
        <v>200</v>
      </c>
      <c r="C7" s="1"/>
      <c r="D7" s="1"/>
      <c r="E7" s="1"/>
      <c r="F7" s="1"/>
      <c r="G7" s="1"/>
    </row>
    <row r="8" spans="2:12" x14ac:dyDescent="0.25">
      <c r="B8" s="1"/>
      <c r="C8" s="1"/>
      <c r="D8" s="1"/>
      <c r="E8" s="1"/>
      <c r="F8" s="1"/>
      <c r="G8" s="1"/>
    </row>
    <row r="9" spans="2:12" x14ac:dyDescent="0.25">
      <c r="B9" s="1"/>
      <c r="C9" s="1"/>
      <c r="D9" s="1"/>
      <c r="E9" s="1"/>
      <c r="F9" s="1"/>
      <c r="G9" s="1"/>
      <c r="J9" t="s">
        <v>108</v>
      </c>
    </row>
    <row r="10" spans="2:12" x14ac:dyDescent="0.25">
      <c r="B10" s="1">
        <v>500</v>
      </c>
      <c r="C10" s="1" t="s">
        <v>63</v>
      </c>
      <c r="D10" s="1" t="s">
        <v>109</v>
      </c>
      <c r="E10" s="1"/>
      <c r="F10" s="1"/>
      <c r="G10" s="1"/>
    </row>
    <row r="11" spans="2:12" x14ac:dyDescent="0.25">
      <c r="B11" s="1"/>
      <c r="C11" s="1"/>
      <c r="D11" s="1"/>
      <c r="E11" s="1"/>
      <c r="F11" s="1"/>
      <c r="G11" s="1"/>
    </row>
    <row r="12" spans="2:12" x14ac:dyDescent="0.25">
      <c r="B12" s="1"/>
      <c r="C12" s="1"/>
      <c r="D12" s="1"/>
      <c r="E12" s="1"/>
      <c r="F12" s="1"/>
      <c r="G12" s="1"/>
    </row>
    <row r="13" spans="2:12" x14ac:dyDescent="0.25">
      <c r="B13" s="1"/>
      <c r="C13" s="1"/>
      <c r="D13" s="1"/>
      <c r="E13" s="1"/>
      <c r="F13" s="1"/>
      <c r="G13" s="1"/>
    </row>
    <row r="14" spans="2:12" x14ac:dyDescent="0.25">
      <c r="B14" s="1"/>
      <c r="C14" s="1"/>
      <c r="D14" s="1"/>
      <c r="E14" s="1"/>
      <c r="F14" s="1"/>
      <c r="G14" s="1"/>
    </row>
    <row r="15" spans="2:12" x14ac:dyDescent="0.25">
      <c r="B15" s="1"/>
      <c r="C15" s="1"/>
      <c r="D15" s="1"/>
      <c r="E15" s="1"/>
      <c r="F15" s="1"/>
      <c r="G15" s="1"/>
    </row>
  </sheetData>
  <mergeCells count="1">
    <mergeCell ref="B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O19"/>
  <sheetViews>
    <sheetView showGridLines="0" zoomScale="70" zoomScaleNormal="70" workbookViewId="0">
      <selection activeCell="I23" sqref="I23"/>
    </sheetView>
  </sheetViews>
  <sheetFormatPr baseColWidth="10" defaultRowHeight="15" x14ac:dyDescent="0.25"/>
  <cols>
    <col min="1" max="1" width="7.42578125" customWidth="1"/>
    <col min="2" max="6" width="16" customWidth="1"/>
    <col min="7" max="7" width="22.140625" customWidth="1"/>
    <col min="8" max="9" width="16" customWidth="1"/>
    <col min="10" max="10" width="22.85546875" customWidth="1"/>
    <col min="11" max="14" width="16" customWidth="1"/>
    <col min="15" max="15" width="18" customWidth="1"/>
  </cols>
  <sheetData>
    <row r="3" spans="2:15" x14ac:dyDescent="0.25">
      <c r="B3" s="33" t="s">
        <v>11</v>
      </c>
      <c r="C3" s="33"/>
      <c r="D3" s="4" t="s">
        <v>12</v>
      </c>
      <c r="E3" s="33"/>
      <c r="F3" s="33"/>
      <c r="G3" s="33"/>
    </row>
    <row r="4" spans="2:15" x14ac:dyDescent="0.25">
      <c r="B4" s="33"/>
      <c r="C4" s="33"/>
      <c r="D4" s="4" t="s">
        <v>13</v>
      </c>
      <c r="E4" s="33"/>
      <c r="F4" s="33"/>
      <c r="G4" s="33"/>
    </row>
    <row r="10" spans="2:15" x14ac:dyDescent="0.25">
      <c r="M10" s="40" t="s">
        <v>55</v>
      </c>
      <c r="N10" s="40"/>
      <c r="O10" s="40"/>
    </row>
    <row r="11" spans="2:15" x14ac:dyDescent="0.25">
      <c r="B11" s="10"/>
      <c r="C11" s="10"/>
      <c r="D11" s="19"/>
      <c r="E11" s="39" t="s">
        <v>25</v>
      </c>
      <c r="F11" s="39"/>
      <c r="G11" s="34"/>
      <c r="H11" s="41" t="s">
        <v>47</v>
      </c>
      <c r="I11" s="35"/>
      <c r="J11" s="35"/>
      <c r="K11" s="24" t="s">
        <v>27</v>
      </c>
      <c r="L11" s="17"/>
      <c r="M11" s="40"/>
      <c r="N11" s="40"/>
      <c r="O11" s="40"/>
    </row>
    <row r="12" spans="2:15" ht="40.5" customHeight="1" x14ac:dyDescent="0.25">
      <c r="B12" s="5" t="s">
        <v>14</v>
      </c>
      <c r="C12" s="5" t="s">
        <v>46</v>
      </c>
      <c r="D12" s="2" t="s">
        <v>16</v>
      </c>
      <c r="E12" s="2" t="s">
        <v>17</v>
      </c>
      <c r="F12" s="2" t="s">
        <v>18</v>
      </c>
      <c r="G12" s="8" t="s">
        <v>19</v>
      </c>
      <c r="H12" s="6" t="s">
        <v>48</v>
      </c>
      <c r="I12" s="2" t="s">
        <v>49</v>
      </c>
      <c r="J12" s="8" t="s">
        <v>50</v>
      </c>
      <c r="K12" s="23" t="s">
        <v>51</v>
      </c>
      <c r="L12" s="18" t="s">
        <v>52</v>
      </c>
      <c r="M12" s="18" t="s">
        <v>52</v>
      </c>
      <c r="N12" s="18" t="s">
        <v>53</v>
      </c>
      <c r="O12" s="18" t="s">
        <v>54</v>
      </c>
    </row>
    <row r="13" spans="2:15" x14ac:dyDescent="0.25">
      <c r="B13" s="1"/>
      <c r="C13" s="1"/>
      <c r="D13" s="1"/>
      <c r="E13" s="1"/>
      <c r="F13" s="1"/>
      <c r="G13" s="9"/>
      <c r="H13" s="7"/>
      <c r="I13" s="1"/>
      <c r="J13" s="9"/>
      <c r="K13" s="7"/>
      <c r="L13" s="1"/>
      <c r="M13" s="1"/>
      <c r="N13" s="1"/>
      <c r="O13" s="1"/>
    </row>
    <row r="14" spans="2:15" x14ac:dyDescent="0.25">
      <c r="B14" s="11"/>
      <c r="C14" s="11"/>
      <c r="D14" s="11"/>
      <c r="E14" s="11"/>
      <c r="F14" s="11"/>
      <c r="G14" s="15"/>
      <c r="H14" s="16"/>
      <c r="I14" s="11"/>
      <c r="J14" s="15"/>
      <c r="K14" s="16"/>
      <c r="L14" s="11"/>
      <c r="M14" s="11"/>
      <c r="N14" s="11"/>
      <c r="O14" s="11"/>
    </row>
    <row r="15" spans="2:15" x14ac:dyDescent="0.25">
      <c r="B15" s="1"/>
      <c r="C15" s="1"/>
      <c r="D15" s="1"/>
      <c r="E15" s="1"/>
      <c r="F15" s="1"/>
      <c r="G15" s="9"/>
      <c r="H15" s="7"/>
      <c r="I15" s="1"/>
      <c r="J15" s="9"/>
      <c r="K15" s="7"/>
      <c r="L15" s="1"/>
      <c r="M15" s="1"/>
      <c r="N15" s="1"/>
      <c r="O15" s="1"/>
    </row>
    <row r="16" spans="2:15" x14ac:dyDescent="0.25">
      <c r="B16" s="1"/>
      <c r="C16" s="1"/>
      <c r="D16" s="1"/>
      <c r="E16" s="1"/>
      <c r="F16" s="1"/>
      <c r="G16" s="9"/>
      <c r="H16" s="7"/>
      <c r="I16" s="1"/>
      <c r="J16" s="9"/>
      <c r="K16" s="7"/>
      <c r="L16" s="1"/>
      <c r="M16" s="1"/>
      <c r="N16" s="1"/>
      <c r="O16" s="1"/>
    </row>
    <row r="17" spans="2:15" ht="15.75" thickBot="1" x14ac:dyDescent="0.3">
      <c r="B17" s="20"/>
      <c r="C17" s="20"/>
      <c r="D17" s="20"/>
      <c r="E17" s="20"/>
      <c r="F17" s="20"/>
      <c r="G17" s="21"/>
      <c r="H17" s="22"/>
      <c r="I17" s="20"/>
      <c r="J17" s="21"/>
      <c r="K17" s="22"/>
      <c r="L17" s="20"/>
      <c r="M17" s="20"/>
      <c r="N17" s="20"/>
      <c r="O17" s="20"/>
    </row>
    <row r="19" spans="2:15" x14ac:dyDescent="0.25">
      <c r="B19" s="30"/>
      <c r="C19" s="31"/>
      <c r="D19" s="31"/>
      <c r="E19" s="31"/>
      <c r="F19" s="31"/>
      <c r="G19" s="31"/>
      <c r="H19" s="31"/>
      <c r="I19" s="31"/>
      <c r="J19" s="31"/>
      <c r="K19" s="32"/>
      <c r="L19" s="28" t="s">
        <v>30</v>
      </c>
      <c r="M19" s="28"/>
      <c r="N19" s="29"/>
    </row>
  </sheetData>
  <mergeCells count="9">
    <mergeCell ref="B19:K19"/>
    <mergeCell ref="L19:N19"/>
    <mergeCell ref="E11:G11"/>
    <mergeCell ref="M10:O11"/>
    <mergeCell ref="B3:B4"/>
    <mergeCell ref="C3:C4"/>
    <mergeCell ref="E3:G3"/>
    <mergeCell ref="E4:G4"/>
    <mergeCell ref="H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APUS</vt:lpstr>
      <vt:lpstr>Horas previstas</vt:lpstr>
      <vt:lpstr>Tareo</vt:lpstr>
      <vt:lpstr>Avance Real</vt:lpstr>
      <vt:lpstr>Base de Datos</vt:lpstr>
      <vt:lpstr>CP_MO</vt:lpstr>
      <vt:lpstr>E. Control</vt:lpstr>
      <vt:lpstr>Metrado Previstas</vt:lpstr>
      <vt:lpstr>Avance Real 2.</vt:lpstr>
      <vt:lpstr>Consumo de mat. en obra</vt:lpstr>
      <vt:lpstr>CP_MAT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2024-07-11T20:39:06Z</dcterms:created>
  <dcterms:modified xsi:type="dcterms:W3CDTF">2024-07-17T02:43:26Z</dcterms:modified>
</cp:coreProperties>
</file>