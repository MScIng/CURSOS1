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pivotTables/pivotTable2.xml" ContentType="application/vnd.openxmlformats-officedocument.spreadsheetml.pivotTable+xml"/>
  <Override PartName="/xl/comments1.xml" ContentType="application/vnd.openxmlformats-officedocument.spreadsheetml.comments+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5.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6.xml" ContentType="application/vnd.openxmlformats-officedocument.themeOverrid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7.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8.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9.xml" ContentType="application/vnd.openxmlformats-officedocument.themeOverride+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24226"/>
  <mc:AlternateContent xmlns:mc="http://schemas.openxmlformats.org/markup-compatibility/2006">
    <mc:Choice Requires="x15">
      <x15ac:absPath xmlns:x15ac="http://schemas.microsoft.com/office/spreadsheetml/2010/11/ac" url="C:\Users\Usuario\Desktop\Abril 2024\Ejemplo Curso Resultado Operativo\"/>
    </mc:Choice>
  </mc:AlternateContent>
  <xr:revisionPtr revIDLastSave="0" documentId="13_ncr:1_{6F03E89D-2409-49E1-9B87-FF45F81BCB32}" xr6:coauthVersionLast="47" xr6:coauthVersionMax="47" xr10:uidLastSave="{00000000-0000-0000-0000-000000000000}"/>
  <bookViews>
    <workbookView xWindow="-120" yWindow="-120" windowWidth="20730" windowHeight="11160" firstSheet="4" activeTab="6" xr2:uid="{00000000-000D-0000-FFFF-FFFF00000000}"/>
  </bookViews>
  <sheets>
    <sheet name="ANALISIS RIESGOS" sheetId="37" r:id="rId1"/>
    <sheet name="RG" sheetId="35" r:id="rId2"/>
    <sheet name="Riesgos y Oport." sheetId="34" state="hidden" r:id="rId3"/>
    <sheet name="C+AD" sheetId="33" r:id="rId4"/>
    <sheet name="CONSOLIDADO" sheetId="3" r:id="rId5"/>
    <sheet name="DIRECTO " sheetId="14" r:id="rId6"/>
    <sheet name="F-100" sheetId="4" r:id="rId7"/>
    <sheet name="F-200" sheetId="5" r:id="rId8"/>
    <sheet name="F-300" sheetId="6" r:id="rId9"/>
    <sheet name="F-400" sheetId="7" r:id="rId10"/>
    <sheet name="F-500" sheetId="8" r:id="rId11"/>
    <sheet name="F-600" sheetId="11" r:id="rId12"/>
    <sheet name="Mat" sheetId="19" r:id="rId13"/>
    <sheet name="MO" sheetId="20" r:id="rId14"/>
    <sheet name="SC" sheetId="21" r:id="rId15"/>
    <sheet name="Eq" sheetId="22" r:id="rId16"/>
    <sheet name="SER" sheetId="28" r:id="rId17"/>
    <sheet name="Fletes" sheetId="23" r:id="rId18"/>
    <sheet name="Staff" sheetId="24" r:id="rId19"/>
    <sheet name="GG" sheetId="25" r:id="rId20"/>
    <sheet name="ER Pendiente" sheetId="27" r:id="rId21"/>
    <sheet name="Dif. Margenes" sheetId="26" r:id="rId22"/>
    <sheet name="RESUMEN INFORME" sheetId="31" r:id="rId23"/>
    <sheet name="Hoja1" sheetId="36" r:id="rId24"/>
  </sheets>
  <externalReferences>
    <externalReference r:id="rId25"/>
  </externalReferences>
  <definedNames>
    <definedName name="_Fill" localSheetId="3" hidden="1">#REF!</definedName>
    <definedName name="_Fill" localSheetId="22" hidden="1">#REF!</definedName>
    <definedName name="_Fill" localSheetId="1" hidden="1">#REF!</definedName>
    <definedName name="_Fill" localSheetId="16" hidden="1">#REF!</definedName>
    <definedName name="_Fill" hidden="1">#REF!</definedName>
    <definedName name="_xlnm._FilterDatabase" localSheetId="12" hidden="1">Mat!$A$11:$AF$19</definedName>
    <definedName name="_xlnm._FilterDatabase" localSheetId="18" hidden="1">Staff!$A$12:$CE$30</definedName>
    <definedName name="_xlnm.Print_Area" localSheetId="3">'C+AD'!$A$1:$AD$117</definedName>
    <definedName name="_xlnm.Print_Area" localSheetId="4">CONSOLIDADO!$A$1:$AC$115</definedName>
    <definedName name="_xlnm.Print_Area" localSheetId="21">'Dif. Margenes'!$A$1:$K$18</definedName>
    <definedName name="_xlnm.Print_Area" localSheetId="5">'DIRECTO '!$A$1:$AE$48</definedName>
    <definedName name="_xlnm.Print_Area" localSheetId="20">'ER Pendiente'!$A$1:$I$41</definedName>
    <definedName name="_xlnm.Print_Area" localSheetId="6">'F-100'!$A$1:$AE$52</definedName>
    <definedName name="_xlnm.Print_Area" localSheetId="7">'F-200'!$A$1:$AE$48</definedName>
    <definedName name="_xlnm.Print_Area" localSheetId="8">'F-300'!$A$1:$AE$48</definedName>
    <definedName name="_xlnm.Print_Area" localSheetId="9">'F-400'!$A$1:$AE$48</definedName>
    <definedName name="_xlnm.Print_Area" localSheetId="10">'F-500'!$A$1:$AE$48</definedName>
    <definedName name="_xlnm.Print_Area" localSheetId="11">'F-600'!$A$1:$AE$48</definedName>
    <definedName name="_xlnm.Print_Area" localSheetId="22">'RESUMEN INFORME'!$A$1:$R$58</definedName>
    <definedName name="_xlnm.Print_Area" localSheetId="1">RG!$A$1:$AH$117</definedName>
    <definedName name="_xlnm.Print_Area" localSheetId="2">'Riesgos y Oport.'!$A$1:$N$22</definedName>
    <definedName name="FSD" localSheetId="3" hidden="1">#REF!</definedName>
    <definedName name="FSD" localSheetId="22" hidden="1">#REF!</definedName>
    <definedName name="FSD" localSheetId="1" hidden="1">#REF!</definedName>
    <definedName name="FSD" localSheetId="16" hidden="1">#REF!</definedName>
    <definedName name="FSD" hidden="1">#REF!</definedName>
    <definedName name="N19ai19">MO!$O$21</definedName>
    <definedName name="_xlnm.Print_Titles" localSheetId="2">'Riesgos y Oport.'!$1:$3</definedName>
    <definedName name="wrn.precios." localSheetId="15" hidden="1">{"CONCABL1.1",#N/A,FALSE,"1.1.1a1.1.3 ACSR";"AISL1.2",#N/A,FALSE,"1.1.1a1.1.3 ACSR";"torr1.1.3",#N/A,FALSE,"1.1.1a1.1.3 ACSR";"cm1.2",#N/A,FALSE,"1.2 ACSR";"cm2.2",#N/A,FALSE,"1.2 ACSR";#N/A,#N/A,FALSE,"1.3 ACSR";#N/A,#N/A,FALSE,"2.1.1A2.1.3 ACAR";"ac2.1",#N/A,FALSE,"1.2 ACAR";"ac2.2",#N/A,FALSE,"1.2 ACAR";#N/A,#N/A,FALSE,"2.3 ACAR"}</definedName>
    <definedName name="wrn.precios." localSheetId="17" hidden="1">{"CONCABL1.1",#N/A,FALSE,"1.1.1a1.1.3 ACSR";"AISL1.2",#N/A,FALSE,"1.1.1a1.1.3 ACSR";"torr1.1.3",#N/A,FALSE,"1.1.1a1.1.3 ACSR";"cm1.2",#N/A,FALSE,"1.2 ACSR";"cm2.2",#N/A,FALSE,"1.2 ACSR";#N/A,#N/A,FALSE,"1.3 ACSR";#N/A,#N/A,FALSE,"2.1.1A2.1.3 ACAR";"ac2.1",#N/A,FALSE,"1.2 ACAR";"ac2.2",#N/A,FALSE,"1.2 ACAR";#N/A,#N/A,FALSE,"2.3 ACAR"}</definedName>
    <definedName name="wrn.precios." localSheetId="19" hidden="1">{"CONCABL1.1",#N/A,FALSE,"1.1.1a1.1.3 ACSR";"AISL1.2",#N/A,FALSE,"1.1.1a1.1.3 ACSR";"torr1.1.3",#N/A,FALSE,"1.1.1a1.1.3 ACSR";"cm1.2",#N/A,FALSE,"1.2 ACSR";"cm2.2",#N/A,FALSE,"1.2 ACSR";#N/A,#N/A,FALSE,"1.3 ACSR";#N/A,#N/A,FALSE,"2.1.1A2.1.3 ACAR";"ac2.1",#N/A,FALSE,"1.2 ACAR";"ac2.2",#N/A,FALSE,"1.2 ACAR";#N/A,#N/A,FALSE,"2.3 ACAR"}</definedName>
    <definedName name="wrn.precios." localSheetId="13" hidden="1">{"CONCABL1.1",#N/A,FALSE,"1.1.1a1.1.3 ACSR";"AISL1.2",#N/A,FALSE,"1.1.1a1.1.3 ACSR";"torr1.1.3",#N/A,FALSE,"1.1.1a1.1.3 ACSR";"cm1.2",#N/A,FALSE,"1.2 ACSR";"cm2.2",#N/A,FALSE,"1.2 ACSR";#N/A,#N/A,FALSE,"1.3 ACSR";#N/A,#N/A,FALSE,"2.1.1A2.1.3 ACAR";"ac2.1",#N/A,FALSE,"1.2 ACAR";"ac2.2",#N/A,FALSE,"1.2 ACAR";#N/A,#N/A,FALSE,"2.3 ACAR"}</definedName>
    <definedName name="wrn.precios." localSheetId="14" hidden="1">{"CONCABL1.1",#N/A,FALSE,"1.1.1a1.1.3 ACSR";"AISL1.2",#N/A,FALSE,"1.1.1a1.1.3 ACSR";"torr1.1.3",#N/A,FALSE,"1.1.1a1.1.3 ACSR";"cm1.2",#N/A,FALSE,"1.2 ACSR";"cm2.2",#N/A,FALSE,"1.2 ACSR";#N/A,#N/A,FALSE,"1.3 ACSR";#N/A,#N/A,FALSE,"2.1.1A2.1.3 ACAR";"ac2.1",#N/A,FALSE,"1.2 ACAR";"ac2.2",#N/A,FALSE,"1.2 ACAR";#N/A,#N/A,FALSE,"2.3 ACAR"}</definedName>
    <definedName name="wrn.precios." localSheetId="16" hidden="1">{"CONCABL1.1",#N/A,FALSE,"1.1.1a1.1.3 ACSR";"AISL1.2",#N/A,FALSE,"1.1.1a1.1.3 ACSR";"torr1.1.3",#N/A,FALSE,"1.1.1a1.1.3 ACSR";"cm1.2",#N/A,FALSE,"1.2 ACSR";"cm2.2",#N/A,FALSE,"1.2 ACSR";#N/A,#N/A,FALSE,"1.3 ACSR";#N/A,#N/A,FALSE,"2.1.1A2.1.3 ACAR";"ac2.1",#N/A,FALSE,"1.2 ACAR";"ac2.2",#N/A,FALSE,"1.2 ACAR";#N/A,#N/A,FALSE,"2.3 ACAR"}</definedName>
    <definedName name="wrn.precios." localSheetId="18" hidden="1">{"CONCABL1.1",#N/A,FALSE,"1.1.1a1.1.3 ACSR";"AISL1.2",#N/A,FALSE,"1.1.1a1.1.3 ACSR";"torr1.1.3",#N/A,FALSE,"1.1.1a1.1.3 ACSR";"cm1.2",#N/A,FALSE,"1.2 ACSR";"cm2.2",#N/A,FALSE,"1.2 ACSR";#N/A,#N/A,FALSE,"1.3 ACSR";#N/A,#N/A,FALSE,"2.1.1A2.1.3 ACAR";"ac2.1",#N/A,FALSE,"1.2 ACAR";"ac2.2",#N/A,FALSE,"1.2 ACAR";#N/A,#N/A,FALSE,"2.3 ACAR"}</definedName>
    <definedName name="wrn.precios." hidden="1">{"CONCABL1.1",#N/A,FALSE,"1.1.1a1.1.3 ACSR";"AISL1.2",#N/A,FALSE,"1.1.1a1.1.3 ACSR";"torr1.1.3",#N/A,FALSE,"1.1.1a1.1.3 ACSR";"cm1.2",#N/A,FALSE,"1.2 ACSR";"cm2.2",#N/A,FALSE,"1.2 ACSR";#N/A,#N/A,FALSE,"1.3 ACSR";#N/A,#N/A,FALSE,"2.1.1A2.1.3 ACAR";"ac2.1",#N/A,FALSE,"1.2 ACAR";"ac2.2",#N/A,FALSE,"1.2 ACAR";#N/A,#N/A,FALSE,"2.3 ACAR"}</definedName>
  </definedNames>
  <calcPr calcId="191029"/>
  <pivotCaches>
    <pivotCache cacheId="1" r:id="rId26"/>
    <pivotCache cacheId="2" r:id="rId2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26" i="11" l="1"/>
  <c r="AJ26" i="11"/>
  <c r="AI26" i="11"/>
  <c r="AK25" i="11"/>
  <c r="AJ25" i="11"/>
  <c r="AI25" i="11"/>
  <c r="AK24" i="11"/>
  <c r="AJ24" i="11"/>
  <c r="AI24" i="11"/>
  <c r="AK23" i="11"/>
  <c r="AJ23" i="11"/>
  <c r="AI23" i="11"/>
  <c r="AK22" i="11"/>
  <c r="AJ22" i="11"/>
  <c r="AI22" i="11"/>
  <c r="AK21" i="11"/>
  <c r="AJ21" i="11"/>
  <c r="AI21" i="11"/>
  <c r="AK20" i="11"/>
  <c r="AJ20" i="11"/>
  <c r="AI20" i="11"/>
  <c r="AK19" i="11"/>
  <c r="AJ19" i="11"/>
  <c r="AI19" i="11"/>
  <c r="AK18" i="11"/>
  <c r="AJ18" i="11"/>
  <c r="AI18" i="11"/>
  <c r="AK17" i="11"/>
  <c r="AJ17" i="11"/>
  <c r="AI17" i="11"/>
  <c r="AK13" i="11"/>
  <c r="AJ13" i="11"/>
  <c r="AI13" i="11"/>
  <c r="AK12" i="11"/>
  <c r="AJ12" i="11"/>
  <c r="AI12" i="11"/>
  <c r="AK11" i="11"/>
  <c r="AJ11" i="11"/>
  <c r="AI11" i="11"/>
  <c r="AK26" i="8"/>
  <c r="AJ26" i="8"/>
  <c r="AI26" i="8"/>
  <c r="AK25" i="8"/>
  <c r="AJ25" i="8"/>
  <c r="AI25" i="8"/>
  <c r="AK24" i="8"/>
  <c r="AJ24" i="8"/>
  <c r="AI24" i="8"/>
  <c r="AK23" i="8"/>
  <c r="AJ23" i="8"/>
  <c r="AI23" i="8"/>
  <c r="AK22" i="8"/>
  <c r="AJ22" i="8"/>
  <c r="AI22" i="8"/>
  <c r="AK21" i="8"/>
  <c r="AJ21" i="8"/>
  <c r="AI21" i="8"/>
  <c r="AK20" i="8"/>
  <c r="AJ20" i="8"/>
  <c r="AI20" i="8"/>
  <c r="AK19" i="8"/>
  <c r="AJ19" i="8"/>
  <c r="AI19" i="8"/>
  <c r="AK18" i="8"/>
  <c r="AJ18" i="8"/>
  <c r="AI18" i="8"/>
  <c r="AK17" i="8"/>
  <c r="AJ17" i="8"/>
  <c r="AI17" i="8"/>
  <c r="AK13" i="8"/>
  <c r="AJ13" i="8"/>
  <c r="AI13" i="8"/>
  <c r="AK12" i="8"/>
  <c r="AJ12" i="8"/>
  <c r="AI12" i="8"/>
  <c r="AK11" i="8"/>
  <c r="AJ11" i="8"/>
  <c r="AI11" i="8"/>
  <c r="AK26" i="7"/>
  <c r="AJ26" i="7"/>
  <c r="AI26" i="7"/>
  <c r="AK25" i="7"/>
  <c r="AJ25" i="7"/>
  <c r="AI25" i="7"/>
  <c r="AK24" i="7"/>
  <c r="AJ24" i="7"/>
  <c r="AI24" i="7"/>
  <c r="AK23" i="7"/>
  <c r="AJ23" i="7"/>
  <c r="AI23" i="7"/>
  <c r="AK22" i="7"/>
  <c r="AJ22" i="7"/>
  <c r="AI22" i="7"/>
  <c r="AK21" i="7"/>
  <c r="AJ21" i="7"/>
  <c r="AI21" i="7"/>
  <c r="AK20" i="7"/>
  <c r="AJ20" i="7"/>
  <c r="AI20" i="7"/>
  <c r="AK19" i="7"/>
  <c r="AJ19" i="7"/>
  <c r="AI19" i="7"/>
  <c r="AK18" i="7"/>
  <c r="AJ18" i="7"/>
  <c r="AI18" i="7"/>
  <c r="AK17" i="7"/>
  <c r="AJ17" i="7"/>
  <c r="AI17" i="7"/>
  <c r="AK13" i="7"/>
  <c r="AJ13" i="7"/>
  <c r="AI13" i="7"/>
  <c r="AK12" i="7"/>
  <c r="AJ12" i="7"/>
  <c r="AI12" i="7"/>
  <c r="AK11" i="7"/>
  <c r="AJ11" i="7"/>
  <c r="AI11" i="7"/>
  <c r="AK26" i="6"/>
  <c r="AJ26" i="6"/>
  <c r="AI26" i="6"/>
  <c r="AK25" i="6"/>
  <c r="AJ25" i="6"/>
  <c r="AI25" i="6"/>
  <c r="AK24" i="6"/>
  <c r="AJ24" i="6"/>
  <c r="AI24" i="6"/>
  <c r="AK23" i="6"/>
  <c r="AJ23" i="6"/>
  <c r="AI23" i="6"/>
  <c r="AK22" i="6"/>
  <c r="AJ22" i="6"/>
  <c r="AI22" i="6"/>
  <c r="AK21" i="6"/>
  <c r="AJ21" i="6"/>
  <c r="AI21" i="6"/>
  <c r="AK20" i="6"/>
  <c r="AJ20" i="6"/>
  <c r="AI20" i="6"/>
  <c r="AK19" i="6"/>
  <c r="AJ19" i="6"/>
  <c r="AI19" i="6"/>
  <c r="AK18" i="6"/>
  <c r="AJ18" i="6"/>
  <c r="AI18" i="6"/>
  <c r="AK17" i="6"/>
  <c r="AJ17" i="6"/>
  <c r="AI17" i="6"/>
  <c r="AK13" i="6"/>
  <c r="AJ13" i="6"/>
  <c r="AI13" i="6"/>
  <c r="AK12" i="6"/>
  <c r="AJ12" i="6"/>
  <c r="AI12" i="6"/>
  <c r="AK11" i="6"/>
  <c r="AJ11" i="6"/>
  <c r="AI11" i="6"/>
  <c r="AK26" i="5"/>
  <c r="AJ26" i="5"/>
  <c r="AI26" i="5"/>
  <c r="AK25" i="5"/>
  <c r="AJ25" i="5"/>
  <c r="AI25" i="5"/>
  <c r="AK24" i="5"/>
  <c r="AJ24" i="5"/>
  <c r="AI24" i="5"/>
  <c r="AK23" i="5"/>
  <c r="AJ23" i="5"/>
  <c r="AI23" i="5"/>
  <c r="AK22" i="5"/>
  <c r="AJ22" i="5"/>
  <c r="AI22" i="5"/>
  <c r="AK21" i="5"/>
  <c r="AJ21" i="5"/>
  <c r="AI21" i="5"/>
  <c r="AK20" i="5"/>
  <c r="AJ20" i="5"/>
  <c r="AI20" i="5"/>
  <c r="AK19" i="5"/>
  <c r="AJ19" i="5"/>
  <c r="AI19" i="5"/>
  <c r="AK18" i="5"/>
  <c r="AJ18" i="5"/>
  <c r="AI18" i="5"/>
  <c r="AK17" i="5"/>
  <c r="AJ17" i="5"/>
  <c r="AI17" i="5"/>
  <c r="AK13" i="5"/>
  <c r="AJ13" i="5"/>
  <c r="AI13" i="5"/>
  <c r="AK12" i="5"/>
  <c r="AJ12" i="5"/>
  <c r="AI12" i="5"/>
  <c r="AK11" i="5"/>
  <c r="AJ11" i="5"/>
  <c r="AI11" i="5"/>
  <c r="AK26" i="4"/>
  <c r="AJ26" i="4"/>
  <c r="AI26" i="4"/>
  <c r="AK25" i="4"/>
  <c r="AJ25" i="4"/>
  <c r="AI25" i="4"/>
  <c r="AK24" i="4"/>
  <c r="AJ24" i="4"/>
  <c r="AI24" i="4"/>
  <c r="AK23" i="4"/>
  <c r="AJ23" i="4"/>
  <c r="AI23" i="4"/>
  <c r="AK22" i="4"/>
  <c r="AJ22" i="4"/>
  <c r="AI22" i="4"/>
  <c r="AK21" i="4"/>
  <c r="AJ21" i="4"/>
  <c r="AI21" i="4"/>
  <c r="AK20" i="4"/>
  <c r="AJ20" i="4"/>
  <c r="AI20" i="4"/>
  <c r="AK19" i="4"/>
  <c r="AJ19" i="4"/>
  <c r="AI19" i="4"/>
  <c r="AK18" i="4"/>
  <c r="AJ18" i="4"/>
  <c r="AI18" i="4"/>
  <c r="AK17" i="4"/>
  <c r="AJ17" i="4"/>
  <c r="AI17" i="4"/>
  <c r="AI12" i="4"/>
  <c r="AJ12" i="4"/>
  <c r="AK12" i="4"/>
  <c r="AI13" i="4"/>
  <c r="AJ13" i="4"/>
  <c r="AK13" i="4"/>
  <c r="AK11" i="4"/>
  <c r="AJ11" i="4"/>
  <c r="AI11" i="4"/>
  <c r="G3" i="11"/>
  <c r="G3" i="8"/>
  <c r="G3" i="7"/>
  <c r="G3" i="6"/>
  <c r="G3" i="5"/>
  <c r="G3" i="4"/>
  <c r="Y16" i="25"/>
  <c r="Y17" i="25"/>
  <c r="Y18" i="25"/>
  <c r="Y19" i="25"/>
  <c r="Y20" i="25"/>
  <c r="Y21" i="25"/>
  <c r="Y22" i="25"/>
  <c r="Y23" i="25"/>
  <c r="Y24" i="25"/>
  <c r="Y25" i="25"/>
  <c r="Y26" i="25"/>
  <c r="Y27" i="25"/>
  <c r="Y28" i="25"/>
  <c r="Y29" i="25"/>
  <c r="Y30" i="25"/>
  <c r="Y31" i="25"/>
  <c r="U17" i="25"/>
  <c r="V17" i="25"/>
  <c r="W17" i="25"/>
  <c r="U18" i="25"/>
  <c r="V18" i="25"/>
  <c r="W18" i="25"/>
  <c r="U19" i="25"/>
  <c r="V19" i="25"/>
  <c r="W19" i="25"/>
  <c r="U20" i="25"/>
  <c r="V20" i="25"/>
  <c r="W20" i="25"/>
  <c r="U21" i="25"/>
  <c r="V21" i="25"/>
  <c r="W21" i="25"/>
  <c r="U22" i="25"/>
  <c r="V22" i="25"/>
  <c r="W22" i="25"/>
  <c r="U23" i="25"/>
  <c r="V23" i="25"/>
  <c r="W23" i="25"/>
  <c r="U24" i="25"/>
  <c r="V24" i="25"/>
  <c r="W24" i="25"/>
  <c r="U25" i="25"/>
  <c r="V25" i="25"/>
  <c r="W25" i="25"/>
  <c r="U26" i="25"/>
  <c r="V26" i="25"/>
  <c r="W26" i="25"/>
  <c r="U27" i="25"/>
  <c r="V27" i="25"/>
  <c r="W27" i="25"/>
  <c r="U28" i="25"/>
  <c r="V28" i="25"/>
  <c r="W28" i="25"/>
  <c r="U29" i="25"/>
  <c r="V29" i="25"/>
  <c r="W29" i="25"/>
  <c r="U30" i="25"/>
  <c r="V30" i="25"/>
  <c r="W30" i="25"/>
  <c r="U31" i="25"/>
  <c r="V31" i="25"/>
  <c r="W31" i="25"/>
  <c r="Y41" i="28"/>
  <c r="Y40" i="28"/>
  <c r="Y39" i="28"/>
  <c r="Y38" i="28"/>
  <c r="Y37" i="28"/>
  <c r="Y34" i="28"/>
  <c r="Y33" i="28"/>
  <c r="Y32" i="28"/>
  <c r="Y31" i="28"/>
  <c r="Y28" i="28"/>
  <c r="Y29" i="28" s="1"/>
  <c r="Y27" i="28"/>
  <c r="Y26" i="28"/>
  <c r="Y25" i="28"/>
  <c r="Y24" i="28"/>
  <c r="Y23" i="28"/>
  <c r="Y20" i="28"/>
  <c r="Y19" i="28"/>
  <c r="Y18" i="28"/>
  <c r="Y14" i="28"/>
  <c r="Y15" i="28"/>
  <c r="Y13" i="28"/>
  <c r="Y63" i="20"/>
  <c r="Y64" i="20"/>
  <c r="Y65" i="20"/>
  <c r="Y66" i="20"/>
  <c r="Y67" i="20"/>
  <c r="Y68" i="20"/>
  <c r="Y51" i="20"/>
  <c r="Y52" i="20"/>
  <c r="Y53" i="20"/>
  <c r="Y54" i="20"/>
  <c r="Y55" i="20"/>
  <c r="Y56" i="20"/>
  <c r="Y39" i="20"/>
  <c r="Y40" i="20"/>
  <c r="Y41" i="20"/>
  <c r="Y42" i="20"/>
  <c r="Y43" i="20"/>
  <c r="Y44" i="20"/>
  <c r="Y27" i="20"/>
  <c r="Y28" i="20"/>
  <c r="Y29" i="20"/>
  <c r="Y30" i="20"/>
  <c r="Y31" i="20"/>
  <c r="Y32" i="20"/>
  <c r="Y15" i="20"/>
  <c r="Y16" i="20"/>
  <c r="Y17" i="20"/>
  <c r="Y18" i="20"/>
  <c r="Y19" i="20"/>
  <c r="Y20" i="20"/>
  <c r="Y62" i="20"/>
  <c r="Y61" i="20"/>
  <c r="Y50" i="20"/>
  <c r="Y49" i="20"/>
  <c r="Y38" i="20"/>
  <c r="Y37" i="20"/>
  <c r="Y26" i="20"/>
  <c r="Y25" i="20"/>
  <c r="Y14" i="20"/>
  <c r="Y13" i="20"/>
  <c r="Y61" i="19"/>
  <c r="Y60" i="19"/>
  <c r="Y59" i="19"/>
  <c r="Y58" i="19"/>
  <c r="Y57" i="19"/>
  <c r="Y56" i="19"/>
  <c r="Y53" i="19"/>
  <c r="Y52" i="19"/>
  <c r="Y51" i="19"/>
  <c r="Y50" i="19"/>
  <c r="Y49" i="19"/>
  <c r="Y48" i="19"/>
  <c r="Y45" i="19"/>
  <c r="Y44" i="19"/>
  <c r="Y43" i="19"/>
  <c r="Y42" i="19"/>
  <c r="Y41" i="19"/>
  <c r="Y40" i="19"/>
  <c r="Y37" i="19"/>
  <c r="Y32" i="19"/>
  <c r="Y33" i="19"/>
  <c r="Y34" i="19"/>
  <c r="Y35" i="19"/>
  <c r="Y36" i="19"/>
  <c r="Y31" i="19"/>
  <c r="Y30" i="19"/>
  <c r="Y29" i="19"/>
  <c r="Y26" i="19"/>
  <c r="Y25" i="19"/>
  <c r="Y24" i="19"/>
  <c r="Y23" i="19"/>
  <c r="Y22" i="19"/>
  <c r="Y21" i="19"/>
  <c r="Y15" i="19"/>
  <c r="Y16" i="19"/>
  <c r="Y17" i="19"/>
  <c r="Y18" i="19"/>
  <c r="Y14" i="19"/>
  <c r="Y13" i="19"/>
  <c r="M31" i="25"/>
  <c r="M30" i="25"/>
  <c r="M29" i="25"/>
  <c r="M28" i="25"/>
  <c r="M25" i="25"/>
  <c r="M24" i="25"/>
  <c r="M23" i="25"/>
  <c r="M22" i="25"/>
  <c r="M21" i="25"/>
  <c r="M20" i="25"/>
  <c r="M16" i="25"/>
  <c r="M17" i="25"/>
  <c r="M15" i="25"/>
  <c r="W23" i="24"/>
  <c r="W22" i="24"/>
  <c r="W21" i="24"/>
  <c r="W20" i="24"/>
  <c r="W16" i="24"/>
  <c r="W17" i="24"/>
  <c r="W18" i="24"/>
  <c r="W15" i="24"/>
  <c r="P33" i="23"/>
  <c r="Q33" i="23"/>
  <c r="R33" i="23"/>
  <c r="S33" i="23"/>
  <c r="P34" i="23"/>
  <c r="Q34" i="23"/>
  <c r="R34" i="23"/>
  <c r="S34" i="23"/>
  <c r="S35" i="23" s="1"/>
  <c r="O34" i="23"/>
  <c r="O33" i="23"/>
  <c r="P25" i="23"/>
  <c r="Q25" i="23"/>
  <c r="Q27" i="23" s="1"/>
  <c r="R25" i="23"/>
  <c r="S25" i="23"/>
  <c r="P26" i="23"/>
  <c r="P27" i="23" s="1"/>
  <c r="Q26" i="23"/>
  <c r="R26" i="23"/>
  <c r="S26" i="23"/>
  <c r="S27" i="23" s="1"/>
  <c r="O26" i="23"/>
  <c r="O25" i="23"/>
  <c r="O27" i="23" s="1"/>
  <c r="P21" i="23"/>
  <c r="Q21" i="23"/>
  <c r="Q23" i="23" s="1"/>
  <c r="R21" i="23"/>
  <c r="S21" i="23"/>
  <c r="P22" i="23"/>
  <c r="Q22" i="23"/>
  <c r="R22" i="23"/>
  <c r="S22" i="23"/>
  <c r="S23" i="23" s="1"/>
  <c r="O22" i="23"/>
  <c r="O21" i="23"/>
  <c r="O23" i="23" s="1"/>
  <c r="P17" i="23"/>
  <c r="Q17" i="23"/>
  <c r="R17" i="23"/>
  <c r="S17" i="23"/>
  <c r="P18" i="23"/>
  <c r="P19" i="23" s="1"/>
  <c r="Q18" i="23"/>
  <c r="R18" i="23"/>
  <c r="S18" i="23"/>
  <c r="O18" i="23"/>
  <c r="O17" i="23"/>
  <c r="O19" i="23"/>
  <c r="P13" i="23"/>
  <c r="Q13" i="23"/>
  <c r="Q15" i="23" s="1"/>
  <c r="R13" i="23"/>
  <c r="S13" i="23"/>
  <c r="P14" i="23"/>
  <c r="Q14" i="23"/>
  <c r="R14" i="23"/>
  <c r="S14" i="23"/>
  <c r="O14" i="23"/>
  <c r="O13" i="23"/>
  <c r="M34" i="23"/>
  <c r="M33" i="23"/>
  <c r="M30" i="23"/>
  <c r="M29" i="23"/>
  <c r="M26" i="23"/>
  <c r="M25" i="23"/>
  <c r="M22" i="23"/>
  <c r="M21" i="23"/>
  <c r="M18" i="23"/>
  <c r="M17" i="23"/>
  <c r="M14" i="23"/>
  <c r="M13" i="23"/>
  <c r="M38" i="28"/>
  <c r="P38" i="28" s="1"/>
  <c r="O38" i="28"/>
  <c r="Q38" i="28"/>
  <c r="R38" i="28"/>
  <c r="S38" i="28"/>
  <c r="M39" i="28"/>
  <c r="P39" i="28" s="1"/>
  <c r="O39" i="28"/>
  <c r="M40" i="28"/>
  <c r="R40" i="28" s="1"/>
  <c r="O40" i="28"/>
  <c r="P40" i="28"/>
  <c r="Q40" i="28"/>
  <c r="S40" i="28"/>
  <c r="M41" i="28"/>
  <c r="O41" i="28"/>
  <c r="P41" i="28"/>
  <c r="Q41" i="28"/>
  <c r="R41" i="28"/>
  <c r="S41" i="28"/>
  <c r="P37" i="28"/>
  <c r="Q37" i="28"/>
  <c r="R37" i="28"/>
  <c r="S37" i="28"/>
  <c r="O37" i="28"/>
  <c r="M37" i="28"/>
  <c r="M32" i="28"/>
  <c r="O32" i="28" s="1"/>
  <c r="Q32" i="28"/>
  <c r="S32" i="28"/>
  <c r="M33" i="28"/>
  <c r="P33" i="28" s="1"/>
  <c r="O33" i="28"/>
  <c r="S33" i="28"/>
  <c r="M34" i="28"/>
  <c r="O34" i="28"/>
  <c r="P34" i="28"/>
  <c r="Q34" i="28"/>
  <c r="R34" i="28"/>
  <c r="S34" i="28"/>
  <c r="P31" i="28"/>
  <c r="Q31" i="28"/>
  <c r="R31" i="28"/>
  <c r="S31" i="28"/>
  <c r="O31" i="28"/>
  <c r="M31" i="28"/>
  <c r="S35" i="28" s="1"/>
  <c r="M24" i="28"/>
  <c r="P24" i="28" s="1"/>
  <c r="O24" i="28"/>
  <c r="S24" i="28"/>
  <c r="M25" i="28"/>
  <c r="R25" i="28" s="1"/>
  <c r="O25" i="28"/>
  <c r="P25" i="28"/>
  <c r="Q25" i="28"/>
  <c r="M26" i="28"/>
  <c r="P26" i="28" s="1"/>
  <c r="O26" i="28"/>
  <c r="Q26" i="28"/>
  <c r="R26" i="28"/>
  <c r="S26" i="28"/>
  <c r="M27" i="28"/>
  <c r="O27" i="28" s="1"/>
  <c r="P27" i="28"/>
  <c r="Q27" i="28"/>
  <c r="R27" i="28"/>
  <c r="S27" i="28"/>
  <c r="M28" i="28"/>
  <c r="P28" i="28" s="1"/>
  <c r="O28" i="28"/>
  <c r="S28" i="28"/>
  <c r="P23" i="28"/>
  <c r="Q23" i="28"/>
  <c r="R23" i="28"/>
  <c r="S23" i="28"/>
  <c r="O23" i="28"/>
  <c r="M23" i="28"/>
  <c r="M19" i="28"/>
  <c r="O19" i="28" s="1"/>
  <c r="M20" i="28"/>
  <c r="P20" i="28" s="1"/>
  <c r="P18" i="28"/>
  <c r="Q18" i="28"/>
  <c r="R18" i="28"/>
  <c r="S18" i="28"/>
  <c r="O18" i="28"/>
  <c r="M18" i="28"/>
  <c r="O14" i="28"/>
  <c r="P14" i="28"/>
  <c r="P16" i="28" s="1"/>
  <c r="Q14" i="28"/>
  <c r="R14" i="28"/>
  <c r="S14" i="28"/>
  <c r="O15" i="28"/>
  <c r="P15" i="28"/>
  <c r="Q15" i="28"/>
  <c r="R15" i="28"/>
  <c r="R16" i="28" s="1"/>
  <c r="S15" i="28"/>
  <c r="S16" i="28" s="1"/>
  <c r="P13" i="28"/>
  <c r="Q13" i="28"/>
  <c r="R13" i="28"/>
  <c r="S13" i="28"/>
  <c r="O13" i="28"/>
  <c r="O16" i="28" s="1"/>
  <c r="M14" i="28"/>
  <c r="M16" i="28" s="1"/>
  <c r="M15" i="28"/>
  <c r="M13" i="28"/>
  <c r="M53" i="22"/>
  <c r="M52" i="22"/>
  <c r="M50" i="22"/>
  <c r="M49" i="22"/>
  <c r="M45" i="22"/>
  <c r="M44" i="22"/>
  <c r="M42" i="22"/>
  <c r="M41" i="22"/>
  <c r="M37" i="22"/>
  <c r="M36" i="22"/>
  <c r="M35" i="22"/>
  <c r="M33" i="22"/>
  <c r="M32" i="22"/>
  <c r="M28" i="22"/>
  <c r="M27" i="22"/>
  <c r="M25" i="22"/>
  <c r="M24" i="22"/>
  <c r="M23" i="22"/>
  <c r="M19" i="22"/>
  <c r="M18" i="22"/>
  <c r="M14" i="22"/>
  <c r="M15" i="22"/>
  <c r="M16" i="22"/>
  <c r="M43" i="21"/>
  <c r="M42" i="21"/>
  <c r="M41" i="21"/>
  <c r="M38" i="21"/>
  <c r="M37" i="21"/>
  <c r="M36" i="21"/>
  <c r="M33" i="21"/>
  <c r="M32" i="21"/>
  <c r="M31" i="21"/>
  <c r="M28" i="21"/>
  <c r="M27" i="21"/>
  <c r="M26" i="21"/>
  <c r="M25" i="21"/>
  <c r="M24" i="21"/>
  <c r="M23" i="21"/>
  <c r="M22" i="21"/>
  <c r="M21" i="21"/>
  <c r="M14" i="21"/>
  <c r="M15" i="21"/>
  <c r="M16" i="21"/>
  <c r="M17" i="21"/>
  <c r="M18" i="21"/>
  <c r="M13" i="21"/>
  <c r="M64" i="20"/>
  <c r="M65" i="20"/>
  <c r="M66" i="20"/>
  <c r="M67" i="20"/>
  <c r="M68" i="20"/>
  <c r="M63" i="20"/>
  <c r="M62" i="20"/>
  <c r="M61" i="20"/>
  <c r="M53" i="20"/>
  <c r="M54" i="20"/>
  <c r="M55" i="20"/>
  <c r="M56" i="20"/>
  <c r="M52" i="20"/>
  <c r="M51" i="20"/>
  <c r="M50" i="20"/>
  <c r="M49" i="20"/>
  <c r="M44" i="20"/>
  <c r="M40" i="20"/>
  <c r="M41" i="20"/>
  <c r="M42" i="20"/>
  <c r="M43" i="20"/>
  <c r="M39" i="20"/>
  <c r="M38" i="20"/>
  <c r="M37" i="20"/>
  <c r="M27" i="20"/>
  <c r="M28" i="20"/>
  <c r="M29" i="20"/>
  <c r="M30" i="20"/>
  <c r="M31" i="20"/>
  <c r="M32" i="20"/>
  <c r="M26" i="20"/>
  <c r="M25" i="20"/>
  <c r="M15" i="20"/>
  <c r="M16" i="20"/>
  <c r="M17" i="20"/>
  <c r="M18" i="20"/>
  <c r="M19" i="20"/>
  <c r="M20" i="20"/>
  <c r="M14" i="20"/>
  <c r="M13" i="20"/>
  <c r="M58" i="19"/>
  <c r="M59" i="19"/>
  <c r="M60" i="19"/>
  <c r="M61" i="19"/>
  <c r="M57" i="19"/>
  <c r="M56" i="19"/>
  <c r="M50" i="19"/>
  <c r="M49" i="19"/>
  <c r="M48" i="19"/>
  <c r="M43" i="19"/>
  <c r="M42" i="19"/>
  <c r="M41" i="19"/>
  <c r="M40" i="19"/>
  <c r="M36" i="19"/>
  <c r="M35" i="19"/>
  <c r="M34" i="19"/>
  <c r="M33" i="19"/>
  <c r="M32" i="19"/>
  <c r="M31" i="19"/>
  <c r="M30" i="19"/>
  <c r="M29" i="19"/>
  <c r="M23" i="19"/>
  <c r="M24" i="19"/>
  <c r="M25" i="19"/>
  <c r="M26" i="19"/>
  <c r="M22" i="19"/>
  <c r="M21" i="19"/>
  <c r="M15" i="19"/>
  <c r="M16" i="19"/>
  <c r="M17" i="19"/>
  <c r="M18" i="19"/>
  <c r="M14" i="19"/>
  <c r="M13" i="19"/>
  <c r="L31" i="25"/>
  <c r="L30" i="25"/>
  <c r="L29" i="25"/>
  <c r="L28" i="25"/>
  <c r="L26" i="25"/>
  <c r="L25" i="25"/>
  <c r="L24" i="25"/>
  <c r="L23" i="25"/>
  <c r="L22" i="25"/>
  <c r="L21" i="25"/>
  <c r="L20" i="25"/>
  <c r="L16" i="25"/>
  <c r="L17" i="25"/>
  <c r="L41" i="28"/>
  <c r="L40" i="28"/>
  <c r="L39" i="28"/>
  <c r="L38" i="28"/>
  <c r="L37" i="28"/>
  <c r="L34" i="28"/>
  <c r="L33" i="28"/>
  <c r="L32" i="28"/>
  <c r="L31" i="28"/>
  <c r="L28" i="28"/>
  <c r="L27" i="28"/>
  <c r="L26" i="28"/>
  <c r="L25" i="28"/>
  <c r="L24" i="28"/>
  <c r="L23" i="28"/>
  <c r="L20" i="28"/>
  <c r="L19" i="28"/>
  <c r="L18" i="28"/>
  <c r="L14" i="28"/>
  <c r="L16" i="28" s="1"/>
  <c r="L15" i="28"/>
  <c r="L13" i="28"/>
  <c r="L43" i="21"/>
  <c r="L42" i="21"/>
  <c r="L41" i="21"/>
  <c r="L38" i="21"/>
  <c r="L37" i="21"/>
  <c r="L36" i="21"/>
  <c r="L33" i="21"/>
  <c r="L32" i="21"/>
  <c r="L31" i="21"/>
  <c r="L28" i="21"/>
  <c r="L27" i="21"/>
  <c r="L26" i="21"/>
  <c r="L25" i="21"/>
  <c r="L24" i="21"/>
  <c r="L23" i="21"/>
  <c r="L22" i="21"/>
  <c r="L21" i="21"/>
  <c r="L14" i="21"/>
  <c r="L15" i="21"/>
  <c r="L16" i="21"/>
  <c r="L17" i="21"/>
  <c r="L18" i="21"/>
  <c r="L13" i="21"/>
  <c r="L13" i="19"/>
  <c r="K31" i="25"/>
  <c r="K30" i="25"/>
  <c r="K29" i="25"/>
  <c r="K28" i="25"/>
  <c r="K26" i="25"/>
  <c r="K25" i="25"/>
  <c r="K24" i="25"/>
  <c r="K23" i="25"/>
  <c r="K22" i="25"/>
  <c r="K21" i="25"/>
  <c r="K20" i="25"/>
  <c r="K16" i="25"/>
  <c r="K17" i="25"/>
  <c r="K15" i="25"/>
  <c r="K13" i="23"/>
  <c r="K41" i="28"/>
  <c r="K40" i="28"/>
  <c r="K39" i="28"/>
  <c r="K38" i="28"/>
  <c r="K37" i="28"/>
  <c r="K34" i="28"/>
  <c r="K33" i="28"/>
  <c r="K32" i="28"/>
  <c r="K31" i="28"/>
  <c r="K28" i="28"/>
  <c r="K27" i="28"/>
  <c r="K26" i="28"/>
  <c r="K25" i="28"/>
  <c r="K24" i="28"/>
  <c r="K23" i="28"/>
  <c r="K20" i="28"/>
  <c r="K19" i="28"/>
  <c r="K18" i="28"/>
  <c r="K14" i="28"/>
  <c r="K15" i="28"/>
  <c r="K13" i="28"/>
  <c r="K53" i="22"/>
  <c r="K52" i="22"/>
  <c r="K50" i="22"/>
  <c r="K49" i="22"/>
  <c r="K45" i="22"/>
  <c r="K44" i="22"/>
  <c r="K42" i="22"/>
  <c r="K41" i="22"/>
  <c r="K37" i="22"/>
  <c r="K36" i="22"/>
  <c r="K35" i="22"/>
  <c r="K33" i="22"/>
  <c r="K32" i="22"/>
  <c r="K28" i="22"/>
  <c r="K27" i="22"/>
  <c r="K25" i="22"/>
  <c r="K24" i="22"/>
  <c r="K23" i="22"/>
  <c r="K19" i="22"/>
  <c r="K18" i="22"/>
  <c r="K14" i="22"/>
  <c r="K15" i="22"/>
  <c r="K16" i="22"/>
  <c r="K13" i="22"/>
  <c r="K43" i="21"/>
  <c r="K42" i="21"/>
  <c r="K41" i="21"/>
  <c r="K38" i="21"/>
  <c r="K37" i="21"/>
  <c r="K36" i="21"/>
  <c r="K33" i="21"/>
  <c r="K32" i="21"/>
  <c r="K31" i="21"/>
  <c r="K28" i="21"/>
  <c r="K27" i="21"/>
  <c r="K26" i="21"/>
  <c r="K25" i="21"/>
  <c r="K24" i="21"/>
  <c r="K23" i="21"/>
  <c r="K22" i="21"/>
  <c r="K21" i="21"/>
  <c r="K14" i="21"/>
  <c r="K15" i="21"/>
  <c r="K16" i="21"/>
  <c r="K17" i="21"/>
  <c r="K18" i="21"/>
  <c r="K13" i="21"/>
  <c r="K13" i="20"/>
  <c r="I31" i="25"/>
  <c r="I30" i="25"/>
  <c r="I29" i="25"/>
  <c r="I28" i="25"/>
  <c r="I26" i="25"/>
  <c r="I25" i="25"/>
  <c r="I24" i="25"/>
  <c r="I23" i="25"/>
  <c r="I22" i="25"/>
  <c r="I21" i="25"/>
  <c r="I20" i="25"/>
  <c r="I17" i="25"/>
  <c r="I16" i="25"/>
  <c r="I15" i="25"/>
  <c r="S23" i="24"/>
  <c r="I34" i="23"/>
  <c r="I33" i="23"/>
  <c r="I30" i="23"/>
  <c r="I29" i="23"/>
  <c r="I26" i="23"/>
  <c r="I25" i="23"/>
  <c r="I22" i="23"/>
  <c r="I21" i="23"/>
  <c r="I18" i="23"/>
  <c r="I17" i="23"/>
  <c r="I14" i="23"/>
  <c r="I13" i="23"/>
  <c r="I41" i="28"/>
  <c r="I40" i="28"/>
  <c r="I39" i="28"/>
  <c r="I38" i="28"/>
  <c r="I37" i="28"/>
  <c r="I34" i="28"/>
  <c r="I33" i="28"/>
  <c r="I32" i="28"/>
  <c r="I31" i="28"/>
  <c r="I28" i="28"/>
  <c r="I27" i="28"/>
  <c r="I26" i="28"/>
  <c r="I25" i="28"/>
  <c r="I24" i="28"/>
  <c r="I23" i="28"/>
  <c r="I20" i="28"/>
  <c r="I21" i="28" s="1"/>
  <c r="I19" i="28"/>
  <c r="I18" i="28"/>
  <c r="I14" i="28"/>
  <c r="I15" i="28"/>
  <c r="I13" i="28"/>
  <c r="I53" i="22"/>
  <c r="I52" i="22"/>
  <c r="I50" i="22"/>
  <c r="I49" i="22"/>
  <c r="I45" i="22"/>
  <c r="I44" i="22"/>
  <c r="I42" i="22"/>
  <c r="I41" i="22"/>
  <c r="I37" i="22"/>
  <c r="I36" i="22"/>
  <c r="I35" i="22"/>
  <c r="I33" i="22"/>
  <c r="I32" i="22"/>
  <c r="I28" i="22"/>
  <c r="I27" i="22"/>
  <c r="I25" i="22"/>
  <c r="I24" i="22"/>
  <c r="I23" i="22"/>
  <c r="I19" i="22"/>
  <c r="I18" i="22"/>
  <c r="I14" i="22"/>
  <c r="I15" i="22"/>
  <c r="I16" i="22"/>
  <c r="L21" i="24"/>
  <c r="F34" i="23"/>
  <c r="F33" i="23"/>
  <c r="F35" i="23" s="1"/>
  <c r="F30" i="23"/>
  <c r="F29" i="23"/>
  <c r="F31" i="23" s="1"/>
  <c r="F22" i="23"/>
  <c r="F21" i="23"/>
  <c r="F23" i="23" s="1"/>
  <c r="F18" i="23"/>
  <c r="F38" i="23" s="1"/>
  <c r="F17" i="23"/>
  <c r="F19" i="23" s="1"/>
  <c r="F14" i="23"/>
  <c r="F13" i="23"/>
  <c r="F41" i="28"/>
  <c r="F40" i="28"/>
  <c r="F39" i="28"/>
  <c r="F38" i="28"/>
  <c r="F42" i="28" s="1"/>
  <c r="F37" i="28"/>
  <c r="F34" i="28"/>
  <c r="F33" i="28"/>
  <c r="F35" i="28" s="1"/>
  <c r="F32" i="28"/>
  <c r="F31" i="28"/>
  <c r="F28" i="28"/>
  <c r="F27" i="28"/>
  <c r="F26" i="28"/>
  <c r="F25" i="28"/>
  <c r="F24" i="28"/>
  <c r="F23" i="28"/>
  <c r="F20" i="28"/>
  <c r="F19" i="28"/>
  <c r="F18" i="28"/>
  <c r="F14" i="28"/>
  <c r="F16" i="28" s="1"/>
  <c r="F15" i="28"/>
  <c r="F13" i="28"/>
  <c r="F53" i="22"/>
  <c r="F52" i="22"/>
  <c r="F50" i="22"/>
  <c r="F49" i="22"/>
  <c r="F45" i="22"/>
  <c r="F44" i="22"/>
  <c r="F42" i="22"/>
  <c r="F41" i="22"/>
  <c r="F37" i="22"/>
  <c r="F36" i="22"/>
  <c r="F35" i="22"/>
  <c r="F33" i="22"/>
  <c r="F32" i="22"/>
  <c r="F28" i="22"/>
  <c r="F27" i="22"/>
  <c r="F25" i="22"/>
  <c r="F24" i="22"/>
  <c r="F23" i="22"/>
  <c r="F19" i="22"/>
  <c r="F18" i="22"/>
  <c r="F14" i="22"/>
  <c r="F15" i="22"/>
  <c r="F16" i="22"/>
  <c r="F13" i="22"/>
  <c r="U11" i="20"/>
  <c r="U11" i="21" s="1"/>
  <c r="U11" i="22" s="1"/>
  <c r="U11" i="28" s="1"/>
  <c r="U11" i="23" s="1"/>
  <c r="BG11" i="24" s="1"/>
  <c r="U11" i="25" s="1"/>
  <c r="V11" i="19"/>
  <c r="W11" i="19" s="1"/>
  <c r="O11" i="25"/>
  <c r="Y11" i="24"/>
  <c r="O11" i="23"/>
  <c r="O11" i="28"/>
  <c r="O11" i="22"/>
  <c r="O11" i="21"/>
  <c r="O11" i="20"/>
  <c r="P10" i="19"/>
  <c r="Q10" i="19" s="1"/>
  <c r="P11" i="19"/>
  <c r="Q11" i="19" s="1"/>
  <c r="H9" i="20"/>
  <c r="H9" i="19"/>
  <c r="I43" i="21"/>
  <c r="I42" i="21"/>
  <c r="I41" i="21"/>
  <c r="I38" i="21"/>
  <c r="I37" i="21"/>
  <c r="I36" i="21"/>
  <c r="I33" i="21"/>
  <c r="I32" i="21"/>
  <c r="I31" i="21"/>
  <c r="I28" i="21"/>
  <c r="I27" i="21"/>
  <c r="I26" i="21"/>
  <c r="I25" i="21"/>
  <c r="I24" i="21"/>
  <c r="I23" i="21"/>
  <c r="I22" i="21"/>
  <c r="I21" i="21"/>
  <c r="I14" i="21"/>
  <c r="I15" i="21"/>
  <c r="I16" i="21"/>
  <c r="I17" i="21"/>
  <c r="I18" i="21"/>
  <c r="I13" i="21"/>
  <c r="F14" i="21"/>
  <c r="F15" i="21"/>
  <c r="F16" i="21"/>
  <c r="F17" i="21"/>
  <c r="F18" i="21"/>
  <c r="F13" i="21"/>
  <c r="AJ41" i="28"/>
  <c r="AI41" i="28"/>
  <c r="AH41" i="28"/>
  <c r="AJ40" i="28"/>
  <c r="AI40" i="28"/>
  <c r="AH40" i="28"/>
  <c r="AJ39" i="28"/>
  <c r="AI39" i="28"/>
  <c r="AH39" i="28"/>
  <c r="AH42" i="28" s="1"/>
  <c r="AJ38" i="28"/>
  <c r="AJ42" i="28" s="1"/>
  <c r="AI38" i="28"/>
  <c r="AH38" i="28"/>
  <c r="AJ37" i="28"/>
  <c r="AI37" i="28"/>
  <c r="AI42" i="28" s="1"/>
  <c r="AH37" i="28"/>
  <c r="AJ34" i="28"/>
  <c r="AI34" i="28"/>
  <c r="AH34" i="28"/>
  <c r="AJ33" i="28"/>
  <c r="AI33" i="28"/>
  <c r="AH33" i="28"/>
  <c r="AH35" i="28" s="1"/>
  <c r="AJ32" i="28"/>
  <c r="AI32" i="28"/>
  <c r="AI35" i="28" s="1"/>
  <c r="AH32" i="28"/>
  <c r="AJ31" i="28"/>
  <c r="AJ35" i="28" s="1"/>
  <c r="AI31" i="28"/>
  <c r="AH31" i="28"/>
  <c r="AJ28" i="28"/>
  <c r="AI28" i="28"/>
  <c r="AI29" i="28" s="1"/>
  <c r="AH28" i="28"/>
  <c r="AJ27" i="28"/>
  <c r="AI27" i="28"/>
  <c r="AH27" i="28"/>
  <c r="AJ26" i="28"/>
  <c r="AI26" i="28"/>
  <c r="AH26" i="28"/>
  <c r="AJ25" i="28"/>
  <c r="AJ29" i="28" s="1"/>
  <c r="AI25" i="28"/>
  <c r="AH25" i="28"/>
  <c r="AJ24" i="28"/>
  <c r="AI24" i="28"/>
  <c r="AH24" i="28"/>
  <c r="AJ23" i="28"/>
  <c r="AI23" i="28"/>
  <c r="AH23" i="28"/>
  <c r="AH29" i="28" s="1"/>
  <c r="AJ20" i="28"/>
  <c r="AI20" i="28"/>
  <c r="AH20" i="28"/>
  <c r="AJ19" i="28"/>
  <c r="AI19" i="28"/>
  <c r="AH19" i="28"/>
  <c r="AJ18" i="28"/>
  <c r="AJ21" i="28" s="1"/>
  <c r="AI18" i="28"/>
  <c r="AH18" i="28"/>
  <c r="AJ43" i="21"/>
  <c r="AI43" i="21"/>
  <c r="AH43" i="21"/>
  <c r="AJ42" i="21"/>
  <c r="AI42" i="21"/>
  <c r="AH42" i="21"/>
  <c r="AJ41" i="21"/>
  <c r="AI41" i="21"/>
  <c r="AH41" i="21"/>
  <c r="AJ38" i="21"/>
  <c r="AI38" i="21"/>
  <c r="AH38" i="21"/>
  <c r="AJ37" i="21"/>
  <c r="AI37" i="21"/>
  <c r="AH37" i="21"/>
  <c r="AJ36" i="21"/>
  <c r="AI36" i="21"/>
  <c r="AH36" i="21"/>
  <c r="AJ33" i="21"/>
  <c r="AI33" i="21"/>
  <c r="AH33" i="21"/>
  <c r="AJ32" i="21"/>
  <c r="AI32" i="21"/>
  <c r="AH32" i="21"/>
  <c r="AJ31" i="21"/>
  <c r="AI31" i="21"/>
  <c r="AH31" i="21"/>
  <c r="AJ28" i="21"/>
  <c r="AI28" i="21"/>
  <c r="AH28" i="21"/>
  <c r="AJ27" i="21"/>
  <c r="AI27" i="21"/>
  <c r="AH27" i="21"/>
  <c r="AJ26" i="21"/>
  <c r="AI26" i="21"/>
  <c r="AH26" i="21"/>
  <c r="AJ25" i="21"/>
  <c r="AI25" i="21"/>
  <c r="AH25" i="21"/>
  <c r="AJ24" i="21"/>
  <c r="AI24" i="21"/>
  <c r="AH24" i="21"/>
  <c r="AJ23" i="21"/>
  <c r="AI23" i="21"/>
  <c r="AH23" i="21"/>
  <c r="AJ22" i="21"/>
  <c r="AI22" i="21"/>
  <c r="AH22" i="21"/>
  <c r="AJ21" i="21"/>
  <c r="AI21" i="21"/>
  <c r="AH21" i="21"/>
  <c r="AI14" i="21"/>
  <c r="AJ14" i="21"/>
  <c r="AI15" i="21"/>
  <c r="AJ15" i="21"/>
  <c r="AI16" i="21"/>
  <c r="AJ16" i="21"/>
  <c r="AI17" i="21"/>
  <c r="AJ17" i="21"/>
  <c r="AI18" i="21"/>
  <c r="AJ18" i="21"/>
  <c r="AJ13" i="21"/>
  <c r="AI13" i="21"/>
  <c r="AH13" i="21"/>
  <c r="AJ68" i="20"/>
  <c r="AI68" i="20"/>
  <c r="AH68" i="20"/>
  <c r="AJ67" i="20"/>
  <c r="AI67" i="20"/>
  <c r="AH67" i="20"/>
  <c r="AJ66" i="20"/>
  <c r="AI66" i="20"/>
  <c r="AH66" i="20"/>
  <c r="AJ65" i="20"/>
  <c r="AI65" i="20"/>
  <c r="AH65" i="20"/>
  <c r="AJ64" i="20"/>
  <c r="AI64" i="20"/>
  <c r="AH64" i="20"/>
  <c r="AJ63" i="20"/>
  <c r="AI63" i="20"/>
  <c r="AH63" i="20"/>
  <c r="AJ62" i="20"/>
  <c r="AI62" i="20"/>
  <c r="AH62" i="20"/>
  <c r="AJ61" i="20"/>
  <c r="AI61" i="20"/>
  <c r="AH61" i="20"/>
  <c r="AJ56" i="20"/>
  <c r="AI56" i="20"/>
  <c r="AH56" i="20"/>
  <c r="AJ55" i="20"/>
  <c r="AI55" i="20"/>
  <c r="AH55" i="20"/>
  <c r="AJ54" i="20"/>
  <c r="AI54" i="20"/>
  <c r="AH54" i="20"/>
  <c r="AJ53" i="20"/>
  <c r="AI53" i="20"/>
  <c r="AH53" i="20"/>
  <c r="AJ52" i="20"/>
  <c r="AI52" i="20"/>
  <c r="AH52" i="20"/>
  <c r="AJ51" i="20"/>
  <c r="AI51" i="20"/>
  <c r="AH51" i="20"/>
  <c r="AJ50" i="20"/>
  <c r="AI50" i="20"/>
  <c r="AH50" i="20"/>
  <c r="AJ49" i="20"/>
  <c r="AI49" i="20"/>
  <c r="AH49" i="20"/>
  <c r="AJ44" i="20"/>
  <c r="AI44" i="20"/>
  <c r="AH44" i="20"/>
  <c r="AJ43" i="20"/>
  <c r="AI43" i="20"/>
  <c r="AH43" i="20"/>
  <c r="AJ42" i="20"/>
  <c r="AI42" i="20"/>
  <c r="AH42" i="20"/>
  <c r="AJ41" i="20"/>
  <c r="AI41" i="20"/>
  <c r="AH41" i="20"/>
  <c r="AJ40" i="20"/>
  <c r="AI40" i="20"/>
  <c r="AH40" i="20"/>
  <c r="AJ39" i="20"/>
  <c r="AI39" i="20"/>
  <c r="AH39" i="20"/>
  <c r="AJ38" i="20"/>
  <c r="AI38" i="20"/>
  <c r="AH38" i="20"/>
  <c r="AJ37" i="20"/>
  <c r="AI37" i="20"/>
  <c r="AH37" i="20"/>
  <c r="AJ32" i="20"/>
  <c r="AI32" i="20"/>
  <c r="AH32" i="20"/>
  <c r="AJ31" i="20"/>
  <c r="AI31" i="20"/>
  <c r="AH31" i="20"/>
  <c r="AJ30" i="20"/>
  <c r="AI30" i="20"/>
  <c r="AH30" i="20"/>
  <c r="AJ29" i="20"/>
  <c r="AI29" i="20"/>
  <c r="AH29" i="20"/>
  <c r="AJ28" i="20"/>
  <c r="AI28" i="20"/>
  <c r="AH28" i="20"/>
  <c r="AJ27" i="20"/>
  <c r="AI27" i="20"/>
  <c r="AH27" i="20"/>
  <c r="AJ26" i="20"/>
  <c r="AI26" i="20"/>
  <c r="AH26" i="20"/>
  <c r="AJ25" i="20"/>
  <c r="AI25" i="20"/>
  <c r="AH25" i="20"/>
  <c r="AJ15" i="20"/>
  <c r="AJ16" i="20"/>
  <c r="AJ17" i="20"/>
  <c r="AJ18" i="20"/>
  <c r="AJ19" i="20"/>
  <c r="AJ20" i="20"/>
  <c r="AJ14" i="20"/>
  <c r="AJ13" i="20"/>
  <c r="AI15" i="20"/>
  <c r="AI16" i="20"/>
  <c r="AI17" i="20"/>
  <c r="AI18" i="20"/>
  <c r="AI19" i="20"/>
  <c r="AI20" i="20"/>
  <c r="AI14" i="20"/>
  <c r="AI13" i="20"/>
  <c r="AH13" i="20"/>
  <c r="AJ61" i="19"/>
  <c r="AI61" i="19"/>
  <c r="AH61" i="19"/>
  <c r="AJ60" i="19"/>
  <c r="AI60" i="19"/>
  <c r="AH60" i="19"/>
  <c r="AJ59" i="19"/>
  <c r="AI59" i="19"/>
  <c r="AH59" i="19"/>
  <c r="AJ58" i="19"/>
  <c r="AI58" i="19"/>
  <c r="AH58" i="19"/>
  <c r="AJ57" i="19"/>
  <c r="AI57" i="19"/>
  <c r="AH57" i="19"/>
  <c r="AJ56" i="19"/>
  <c r="AI56" i="19"/>
  <c r="AH56" i="19"/>
  <c r="AJ53" i="19"/>
  <c r="AI53" i="19"/>
  <c r="AH53" i="19"/>
  <c r="AJ52" i="19"/>
  <c r="AI52" i="19"/>
  <c r="AH52" i="19"/>
  <c r="AJ51" i="19"/>
  <c r="AI51" i="19"/>
  <c r="AH51" i="19"/>
  <c r="AJ50" i="19"/>
  <c r="AI50" i="19"/>
  <c r="AH50" i="19"/>
  <c r="AJ49" i="19"/>
  <c r="AI49" i="19"/>
  <c r="AH49" i="19"/>
  <c r="AJ48" i="19"/>
  <c r="AI48" i="19"/>
  <c r="AH48" i="19"/>
  <c r="AJ45" i="19"/>
  <c r="AI45" i="19"/>
  <c r="AH45" i="19"/>
  <c r="AJ44" i="19"/>
  <c r="AI44" i="19"/>
  <c r="AH44" i="19"/>
  <c r="AJ43" i="19"/>
  <c r="AI43" i="19"/>
  <c r="AH43" i="19"/>
  <c r="AJ42" i="19"/>
  <c r="AI42" i="19"/>
  <c r="AH42" i="19"/>
  <c r="AJ41" i="19"/>
  <c r="AI41" i="19"/>
  <c r="AH41" i="19"/>
  <c r="AJ40" i="19"/>
  <c r="AI40" i="19"/>
  <c r="AH40" i="19"/>
  <c r="AJ37" i="19"/>
  <c r="AI37" i="19"/>
  <c r="AH37" i="19"/>
  <c r="AJ36" i="19"/>
  <c r="AI36" i="19"/>
  <c r="AH36" i="19"/>
  <c r="AJ35" i="19"/>
  <c r="AI35" i="19"/>
  <c r="AH35" i="19"/>
  <c r="AJ34" i="19"/>
  <c r="AI34" i="19"/>
  <c r="AH34" i="19"/>
  <c r="AJ33" i="19"/>
  <c r="AI33" i="19"/>
  <c r="AH33" i="19"/>
  <c r="AJ32" i="19"/>
  <c r="AI32" i="19"/>
  <c r="AH32" i="19"/>
  <c r="AJ31" i="19"/>
  <c r="AI31" i="19"/>
  <c r="AH31" i="19"/>
  <c r="AJ30" i="19"/>
  <c r="AI30" i="19"/>
  <c r="AH30" i="19"/>
  <c r="AJ29" i="19"/>
  <c r="AI29" i="19"/>
  <c r="AH29" i="19"/>
  <c r="AJ26" i="19"/>
  <c r="AI26" i="19"/>
  <c r="AH26" i="19"/>
  <c r="AJ25" i="19"/>
  <c r="AI25" i="19"/>
  <c r="AH25" i="19"/>
  <c r="AJ24" i="19"/>
  <c r="AI24" i="19"/>
  <c r="AH24" i="19"/>
  <c r="AJ23" i="19"/>
  <c r="AI23" i="19"/>
  <c r="AH23" i="19"/>
  <c r="AJ22" i="19"/>
  <c r="AI22" i="19"/>
  <c r="AH22" i="19"/>
  <c r="AJ21" i="19"/>
  <c r="AI21" i="19"/>
  <c r="AH21" i="19"/>
  <c r="AJ15" i="19"/>
  <c r="AJ16" i="19"/>
  <c r="AJ17" i="19"/>
  <c r="AJ18" i="19"/>
  <c r="AJ14" i="19"/>
  <c r="AJ13" i="19"/>
  <c r="AI15" i="19"/>
  <c r="AI16" i="19"/>
  <c r="AI17" i="19"/>
  <c r="AI18" i="19"/>
  <c r="AI14" i="19"/>
  <c r="AI13" i="19"/>
  <c r="AH15" i="19"/>
  <c r="AH16" i="19"/>
  <c r="AH17" i="19"/>
  <c r="AH18" i="19"/>
  <c r="AH14" i="19"/>
  <c r="AH13" i="19"/>
  <c r="AI56" i="22"/>
  <c r="AJ56" i="22"/>
  <c r="AK56" i="22"/>
  <c r="AM56" i="22"/>
  <c r="AN56" i="22"/>
  <c r="AN58" i="22" s="1"/>
  <c r="AI57" i="22"/>
  <c r="AJ57" i="22"/>
  <c r="AK57" i="22"/>
  <c r="AM57" i="22"/>
  <c r="AN57" i="22"/>
  <c r="AI58" i="22"/>
  <c r="AJ58" i="22"/>
  <c r="AK58" i="22"/>
  <c r="AM58" i="22"/>
  <c r="AO57" i="22"/>
  <c r="AO56" i="22"/>
  <c r="AJ53" i="22"/>
  <c r="AI53" i="22"/>
  <c r="AH53" i="22"/>
  <c r="AJ52" i="22"/>
  <c r="AI52" i="22"/>
  <c r="AH52" i="22"/>
  <c r="AJ50" i="22"/>
  <c r="AI50" i="22"/>
  <c r="AH50" i="22"/>
  <c r="AJ49" i="22"/>
  <c r="AI49" i="22"/>
  <c r="AH49" i="22"/>
  <c r="AJ45" i="22"/>
  <c r="AI45" i="22"/>
  <c r="AH45" i="22"/>
  <c r="AJ44" i="22"/>
  <c r="AI44" i="22"/>
  <c r="AH44" i="22"/>
  <c r="AJ42" i="22"/>
  <c r="AI42" i="22"/>
  <c r="AH42" i="22"/>
  <c r="AJ41" i="22"/>
  <c r="AI41" i="22"/>
  <c r="AH41" i="22"/>
  <c r="AJ37" i="22"/>
  <c r="AI37" i="22"/>
  <c r="AH37" i="22"/>
  <c r="AJ36" i="22"/>
  <c r="AI36" i="22"/>
  <c r="AH36" i="22"/>
  <c r="AJ35" i="22"/>
  <c r="AI35" i="22"/>
  <c r="AH35" i="22"/>
  <c r="AJ33" i="22"/>
  <c r="AI33" i="22"/>
  <c r="AH33" i="22"/>
  <c r="AJ32" i="22"/>
  <c r="AI32" i="22"/>
  <c r="AH32" i="22"/>
  <c r="AJ28" i="22"/>
  <c r="AI28" i="22"/>
  <c r="AH28" i="22"/>
  <c r="AJ27" i="22"/>
  <c r="AI27" i="22"/>
  <c r="AH27" i="22"/>
  <c r="AJ25" i="22"/>
  <c r="AI25" i="22"/>
  <c r="AH25" i="22"/>
  <c r="AJ24" i="22"/>
  <c r="AI24" i="22"/>
  <c r="AH24" i="22"/>
  <c r="AJ23" i="22"/>
  <c r="AI23" i="22"/>
  <c r="AH23" i="22"/>
  <c r="AJ16" i="22"/>
  <c r="AI16" i="22"/>
  <c r="AH16" i="22"/>
  <c r="AJ15" i="22"/>
  <c r="AI15" i="22"/>
  <c r="AH15" i="22"/>
  <c r="AJ14" i="22"/>
  <c r="AI14" i="22"/>
  <c r="AH14" i="22"/>
  <c r="AJ13" i="22"/>
  <c r="AI13" i="22"/>
  <c r="D20" i="22"/>
  <c r="AO44" i="28"/>
  <c r="AN44" i="28"/>
  <c r="AM44" i="28"/>
  <c r="AL44" i="28"/>
  <c r="AK44" i="28"/>
  <c r="AE44" i="28"/>
  <c r="AC44" i="28"/>
  <c r="AB44" i="28"/>
  <c r="AA44" i="28"/>
  <c r="Z44" i="28"/>
  <c r="H44" i="28"/>
  <c r="D44" i="28"/>
  <c r="D42" i="28"/>
  <c r="H42" i="28"/>
  <c r="AC42" i="28"/>
  <c r="AB42" i="28"/>
  <c r="AA42" i="28"/>
  <c r="Z42" i="28"/>
  <c r="AE42" i="28"/>
  <c r="AN42" i="28"/>
  <c r="AM42" i="28"/>
  <c r="AL42" i="28"/>
  <c r="AK42" i="28"/>
  <c r="H35" i="28"/>
  <c r="M35" i="28"/>
  <c r="AC35" i="28"/>
  <c r="AB35" i="28"/>
  <c r="AA35" i="28"/>
  <c r="Z35" i="28"/>
  <c r="Y35" i="28"/>
  <c r="AE35" i="28"/>
  <c r="D29" i="28"/>
  <c r="F29" i="28"/>
  <c r="H29" i="28"/>
  <c r="M29" i="28"/>
  <c r="AC29" i="28"/>
  <c r="AB29" i="28"/>
  <c r="AA29" i="28"/>
  <c r="Z29" i="28"/>
  <c r="AE29" i="28"/>
  <c r="D21" i="28"/>
  <c r="F21" i="28"/>
  <c r="H21" i="28"/>
  <c r="L21" i="28"/>
  <c r="K21" i="28"/>
  <c r="W21" i="28"/>
  <c r="V21" i="28"/>
  <c r="U21" i="28"/>
  <c r="AC21" i="28"/>
  <c r="AB21" i="28"/>
  <c r="AA21" i="28"/>
  <c r="Z21" i="28"/>
  <c r="Y21" i="28"/>
  <c r="AE21" i="28"/>
  <c r="D16" i="28"/>
  <c r="I16" i="28"/>
  <c r="H16" i="28"/>
  <c r="AC16" i="28"/>
  <c r="AB16" i="28"/>
  <c r="AA16" i="28"/>
  <c r="Z16" i="28"/>
  <c r="AE16" i="28"/>
  <c r="AO42" i="28"/>
  <c r="AK35" i="28"/>
  <c r="AL35" i="28"/>
  <c r="AM35" i="28"/>
  <c r="AN35" i="28"/>
  <c r="AO35" i="28"/>
  <c r="AK29" i="28"/>
  <c r="AL29" i="28"/>
  <c r="AM29" i="28"/>
  <c r="AN29" i="28"/>
  <c r="AO29" i="28"/>
  <c r="AO21" i="28"/>
  <c r="AN21" i="28"/>
  <c r="AM21" i="28"/>
  <c r="AL21" i="28"/>
  <c r="AK21" i="28"/>
  <c r="AI21" i="28"/>
  <c r="AH21" i="28"/>
  <c r="AH16" i="28"/>
  <c r="AI16" i="28"/>
  <c r="AJ16" i="28"/>
  <c r="AK16" i="28"/>
  <c r="AL16" i="28"/>
  <c r="AM16" i="28"/>
  <c r="AN16" i="28"/>
  <c r="AJ14" i="28"/>
  <c r="AJ15" i="28"/>
  <c r="AJ13" i="28"/>
  <c r="P11" i="28"/>
  <c r="Q11" i="28" s="1"/>
  <c r="R11" i="28" s="1"/>
  <c r="S11" i="28" s="1"/>
  <c r="D35" i="23"/>
  <c r="I35" i="23"/>
  <c r="H35" i="23"/>
  <c r="M35" i="23"/>
  <c r="R35" i="23"/>
  <c r="Q35" i="23"/>
  <c r="P35" i="23"/>
  <c r="O35" i="23"/>
  <c r="AC35" i="23"/>
  <c r="AB35" i="23"/>
  <c r="AA35" i="23"/>
  <c r="Z35" i="23"/>
  <c r="AE35" i="23"/>
  <c r="AN35" i="23"/>
  <c r="AM35" i="23"/>
  <c r="AL35" i="23"/>
  <c r="AK35" i="23"/>
  <c r="AJ35" i="23"/>
  <c r="AI35" i="23"/>
  <c r="AH35" i="23"/>
  <c r="D31" i="23"/>
  <c r="I31" i="23"/>
  <c r="H31" i="23"/>
  <c r="M31" i="23"/>
  <c r="AC31" i="23"/>
  <c r="AB31" i="23"/>
  <c r="AA31" i="23"/>
  <c r="Z31" i="23"/>
  <c r="AE31" i="23"/>
  <c r="AN31" i="23"/>
  <c r="AM31" i="23"/>
  <c r="AL31" i="23"/>
  <c r="AK31" i="23"/>
  <c r="AJ31" i="23"/>
  <c r="AI31" i="23"/>
  <c r="AH31" i="23"/>
  <c r="D27" i="23"/>
  <c r="F27" i="23"/>
  <c r="I27" i="23"/>
  <c r="H27" i="23"/>
  <c r="M27" i="23"/>
  <c r="R27" i="23"/>
  <c r="AC27" i="23"/>
  <c r="AB27" i="23"/>
  <c r="AA27" i="23"/>
  <c r="Z27" i="23"/>
  <c r="AE27" i="23"/>
  <c r="AN27" i="23"/>
  <c r="AM27" i="23"/>
  <c r="AL27" i="23"/>
  <c r="AK27" i="23"/>
  <c r="AJ27" i="23"/>
  <c r="AI27" i="23"/>
  <c r="AH27" i="23"/>
  <c r="D23" i="23"/>
  <c r="I23" i="23"/>
  <c r="H23" i="23"/>
  <c r="M23" i="23"/>
  <c r="P23" i="23"/>
  <c r="AC23" i="23"/>
  <c r="AB23" i="23"/>
  <c r="AA23" i="23"/>
  <c r="Z23" i="23"/>
  <c r="AE23" i="23"/>
  <c r="AN23" i="23"/>
  <c r="AM23" i="23"/>
  <c r="AL23" i="23"/>
  <c r="AK23" i="23"/>
  <c r="AJ23" i="23"/>
  <c r="AI23" i="23"/>
  <c r="AH23" i="23"/>
  <c r="D19" i="23"/>
  <c r="I19" i="23"/>
  <c r="H19" i="23"/>
  <c r="M19" i="23"/>
  <c r="R19" i="23"/>
  <c r="Q19" i="23"/>
  <c r="AC19" i="23"/>
  <c r="AB19" i="23"/>
  <c r="AA19" i="23"/>
  <c r="Z19" i="23"/>
  <c r="AE19" i="23"/>
  <c r="AH19" i="23"/>
  <c r="AI19" i="23"/>
  <c r="AJ19" i="23"/>
  <c r="AK19" i="23"/>
  <c r="AL19" i="23"/>
  <c r="AM19" i="23"/>
  <c r="AN19" i="23"/>
  <c r="D15" i="23"/>
  <c r="F15" i="23"/>
  <c r="I15" i="23"/>
  <c r="H15" i="23"/>
  <c r="M15" i="23"/>
  <c r="K15" i="23"/>
  <c r="S15" i="23"/>
  <c r="P15" i="23"/>
  <c r="O15" i="23"/>
  <c r="AC15" i="23"/>
  <c r="AB15" i="23"/>
  <c r="AA15" i="23"/>
  <c r="Z15" i="23"/>
  <c r="AE15" i="23"/>
  <c r="D38" i="23"/>
  <c r="D37" i="23"/>
  <c r="I38" i="23"/>
  <c r="H38" i="23"/>
  <c r="I37" i="23"/>
  <c r="H37" i="23"/>
  <c r="H39" i="23" s="1"/>
  <c r="M38" i="23"/>
  <c r="M37" i="23"/>
  <c r="AB38" i="23"/>
  <c r="AA38" i="23"/>
  <c r="Z38" i="23"/>
  <c r="AB37" i="23"/>
  <c r="AA37" i="23"/>
  <c r="Z37" i="23"/>
  <c r="AC38" i="23"/>
  <c r="AC37" i="23"/>
  <c r="AE38" i="23"/>
  <c r="AE37" i="23"/>
  <c r="AI14" i="28"/>
  <c r="AI15" i="28"/>
  <c r="AI13" i="28"/>
  <c r="AH14" i="28"/>
  <c r="AH15" i="28"/>
  <c r="AH13" i="28"/>
  <c r="AJ34" i="23"/>
  <c r="AJ33" i="23"/>
  <c r="AJ30" i="23"/>
  <c r="AJ29" i="23"/>
  <c r="AJ26" i="23"/>
  <c r="AJ25" i="23"/>
  <c r="AJ22" i="23"/>
  <c r="AJ21" i="23"/>
  <c r="AJ18" i="23"/>
  <c r="AJ17" i="23"/>
  <c r="AJ14" i="23"/>
  <c r="AJ13" i="23"/>
  <c r="AH38" i="23"/>
  <c r="AI38" i="23"/>
  <c r="AH37" i="23"/>
  <c r="AI37" i="23"/>
  <c r="AI34" i="23"/>
  <c r="AI33" i="23"/>
  <c r="AI30" i="23"/>
  <c r="AI29" i="23"/>
  <c r="AI26" i="23"/>
  <c r="AI25" i="23"/>
  <c r="AI22" i="23"/>
  <c r="AI21" i="23"/>
  <c r="AI18" i="23"/>
  <c r="AI17" i="23"/>
  <c r="AI14" i="23"/>
  <c r="AI13" i="23"/>
  <c r="AH34" i="23"/>
  <c r="AH33" i="23"/>
  <c r="AH30" i="23"/>
  <c r="AH29" i="23"/>
  <c r="AH26" i="23"/>
  <c r="AH25" i="23"/>
  <c r="AH22" i="23"/>
  <c r="AH21" i="23"/>
  <c r="AH18" i="23"/>
  <c r="AH17" i="23"/>
  <c r="AH14" i="23"/>
  <c r="AH13" i="23"/>
  <c r="BW23" i="24"/>
  <c r="BW22" i="24"/>
  <c r="S22" i="24" s="1"/>
  <c r="BW21" i="24"/>
  <c r="S21" i="24" s="1"/>
  <c r="BW20" i="24"/>
  <c r="S20" i="24" s="1"/>
  <c r="BW16" i="24"/>
  <c r="S16" i="24" s="1"/>
  <c r="BW17" i="24"/>
  <c r="S17" i="24" s="1"/>
  <c r="BW18" i="24"/>
  <c r="S18" i="24" s="1"/>
  <c r="BW15" i="24"/>
  <c r="S15" i="24" s="1"/>
  <c r="BV23" i="24"/>
  <c r="L23" i="24" s="1"/>
  <c r="BV22" i="24"/>
  <c r="L22" i="24" s="1"/>
  <c r="BV21" i="24"/>
  <c r="BV20" i="24"/>
  <c r="L20" i="24" s="1"/>
  <c r="BV16" i="24"/>
  <c r="L16" i="24" s="1"/>
  <c r="BV17" i="24"/>
  <c r="L17" i="24" s="1"/>
  <c r="BV18" i="24"/>
  <c r="L18" i="24" s="1"/>
  <c r="BV15" i="24"/>
  <c r="L15" i="24" s="1"/>
  <c r="AJ31" i="25"/>
  <c r="AJ30" i="25"/>
  <c r="AJ29" i="25"/>
  <c r="AJ28" i="25"/>
  <c r="AJ26" i="25"/>
  <c r="AJ25" i="25"/>
  <c r="AJ24" i="25"/>
  <c r="AJ23" i="25"/>
  <c r="AJ22" i="25"/>
  <c r="AJ21" i="25"/>
  <c r="AJ20" i="25"/>
  <c r="AJ16" i="25"/>
  <c r="AJ17" i="25"/>
  <c r="AJ15" i="25"/>
  <c r="AI31" i="25"/>
  <c r="AI30" i="25"/>
  <c r="AI29" i="25"/>
  <c r="AI28" i="25"/>
  <c r="AI26" i="25"/>
  <c r="AI25" i="25"/>
  <c r="AI24" i="25"/>
  <c r="AI23" i="25"/>
  <c r="AI22" i="25"/>
  <c r="AI21" i="25"/>
  <c r="AI20" i="25"/>
  <c r="AI17" i="25"/>
  <c r="AI16" i="25"/>
  <c r="AI15" i="25"/>
  <c r="AH31" i="25"/>
  <c r="AH30" i="25"/>
  <c r="AH29" i="25"/>
  <c r="AH28" i="25"/>
  <c r="AH26" i="25"/>
  <c r="AH25" i="25"/>
  <c r="AH24" i="25"/>
  <c r="AH23" i="25"/>
  <c r="AH22" i="25"/>
  <c r="AH21" i="25"/>
  <c r="AH20" i="25"/>
  <c r="AH17" i="25"/>
  <c r="AH16" i="25"/>
  <c r="AH15" i="25"/>
  <c r="R15" i="23" l="1"/>
  <c r="Y16" i="28"/>
  <c r="R23" i="23"/>
  <c r="S19" i="23"/>
  <c r="S39" i="28"/>
  <c r="R39" i="28"/>
  <c r="R42" i="28"/>
  <c r="Q39" i="28"/>
  <c r="Q42" i="28" s="1"/>
  <c r="S42" i="28"/>
  <c r="M42" i="28"/>
  <c r="M44" i="28" s="1"/>
  <c r="O42" i="28"/>
  <c r="P42" i="28"/>
  <c r="R32" i="28"/>
  <c r="R35" i="28" s="1"/>
  <c r="R33" i="28"/>
  <c r="P32" i="28"/>
  <c r="Q33" i="28"/>
  <c r="O35" i="28"/>
  <c r="P35" i="28"/>
  <c r="Q35" i="28"/>
  <c r="R28" i="28"/>
  <c r="R24" i="28"/>
  <c r="Q28" i="28"/>
  <c r="Q29" i="28" s="1"/>
  <c r="S25" i="28"/>
  <c r="Q24" i="28"/>
  <c r="S29" i="28"/>
  <c r="O29" i="28"/>
  <c r="P29" i="28"/>
  <c r="R29" i="28"/>
  <c r="O20" i="28"/>
  <c r="S19" i="28"/>
  <c r="S21" i="28" s="1"/>
  <c r="M21" i="28"/>
  <c r="R19" i="28"/>
  <c r="S20" i="28"/>
  <c r="Q19" i="28"/>
  <c r="R20" i="28"/>
  <c r="P19" i="28"/>
  <c r="P21" i="28" s="1"/>
  <c r="Q20" i="28"/>
  <c r="Q21" i="28" s="1"/>
  <c r="O21" i="28"/>
  <c r="R21" i="28"/>
  <c r="Q16" i="28"/>
  <c r="F37" i="23"/>
  <c r="F39" i="23" s="1"/>
  <c r="F44" i="28"/>
  <c r="AI44" i="28"/>
  <c r="AJ44" i="28"/>
  <c r="AH44" i="28"/>
  <c r="D39" i="23"/>
  <c r="I39" i="23"/>
  <c r="AE39" i="23"/>
  <c r="M39" i="23"/>
  <c r="AB39" i="23"/>
  <c r="Z39" i="23"/>
  <c r="AA39" i="23"/>
  <c r="AI39" i="23"/>
  <c r="AC39" i="23"/>
  <c r="AH39" i="23"/>
  <c r="S44" i="28" l="1"/>
  <c r="P44" i="28"/>
  <c r="O44" i="28"/>
  <c r="R44" i="28"/>
  <c r="Q44" i="28"/>
  <c r="G3" i="33"/>
  <c r="I29" i="19" l="1"/>
  <c r="D34" i="22"/>
  <c r="I12" i="37" l="1"/>
  <c r="G12" i="37"/>
  <c r="H11" i="37"/>
  <c r="H10" i="37"/>
  <c r="H9" i="37"/>
  <c r="H8" i="37"/>
  <c r="H7" i="37"/>
  <c r="H6" i="37"/>
  <c r="H5" i="37"/>
  <c r="A5" i="37"/>
  <c r="A6" i="37" s="1"/>
  <c r="A7" i="37" s="1"/>
  <c r="A8" i="37" s="1"/>
  <c r="A9" i="37" s="1"/>
  <c r="A10" i="37" s="1"/>
  <c r="A11" i="37" s="1"/>
  <c r="H4" i="37"/>
  <c r="H12" i="37" s="1"/>
  <c r="L26" i="4"/>
  <c r="L25" i="4"/>
  <c r="L21" i="4"/>
  <c r="L12" i="4"/>
  <c r="L13" i="4"/>
  <c r="L11" i="4"/>
  <c r="H12" i="4"/>
  <c r="G17" i="4"/>
  <c r="G18" i="4"/>
  <c r="G19" i="4"/>
  <c r="G20" i="4"/>
  <c r="G22" i="4"/>
  <c r="E28" i="4"/>
  <c r="E26" i="4"/>
  <c r="E25" i="4"/>
  <c r="E24" i="4"/>
  <c r="E23" i="4"/>
  <c r="E22" i="4"/>
  <c r="E21" i="4"/>
  <c r="E20" i="4"/>
  <c r="E19" i="4"/>
  <c r="E18" i="4"/>
  <c r="E17" i="4"/>
  <c r="E13" i="4"/>
  <c r="E12" i="4"/>
  <c r="E11" i="4"/>
  <c r="AH15" i="20"/>
  <c r="AH16" i="20"/>
  <c r="AH17" i="20"/>
  <c r="AH18" i="20"/>
  <c r="AH19" i="20"/>
  <c r="AH20" i="20"/>
  <c r="AH14" i="20"/>
  <c r="D33" i="25"/>
  <c r="D35" i="25" s="1"/>
  <c r="AH33" i="25"/>
  <c r="AH35" i="25" s="1"/>
  <c r="AI33" i="25"/>
  <c r="AI35" i="25" s="1"/>
  <c r="AJ33" i="25"/>
  <c r="AJ35" i="25" s="1"/>
  <c r="AK33" i="25"/>
  <c r="AK35" i="25" s="1"/>
  <c r="AL33" i="25"/>
  <c r="AL35" i="25" s="1"/>
  <c r="AM33" i="25"/>
  <c r="AM35" i="25" s="1"/>
  <c r="AN33" i="25"/>
  <c r="AN35" i="25" s="1"/>
  <c r="AO33" i="25"/>
  <c r="AO35" i="25" s="1"/>
  <c r="B33" i="25"/>
  <c r="BU16" i="24"/>
  <c r="BU17" i="24"/>
  <c r="BU18" i="24"/>
  <c r="BU20" i="24"/>
  <c r="BU21" i="24"/>
  <c r="BU22" i="24"/>
  <c r="BU23" i="24"/>
  <c r="BU15" i="24"/>
  <c r="CB25" i="24"/>
  <c r="CA25" i="24"/>
  <c r="BZ25" i="24"/>
  <c r="BY25" i="24"/>
  <c r="BX25" i="24"/>
  <c r="BW25" i="24"/>
  <c r="BV25" i="24"/>
  <c r="BQ25" i="24"/>
  <c r="BO25" i="24"/>
  <c r="BN25" i="24"/>
  <c r="BM25" i="24"/>
  <c r="BL25" i="24"/>
  <c r="W25" i="24"/>
  <c r="S25" i="24"/>
  <c r="R25" i="24"/>
  <c r="L25" i="24"/>
  <c r="C25" i="24"/>
  <c r="D25" i="24"/>
  <c r="E25" i="24"/>
  <c r="F25" i="24"/>
  <c r="G25" i="24"/>
  <c r="B25" i="24"/>
  <c r="BU25" i="24" l="1"/>
  <c r="BV27" i="24" l="1"/>
  <c r="S27" i="24"/>
  <c r="R27" i="24"/>
  <c r="L27" i="24"/>
  <c r="W27" i="24"/>
  <c r="U15" i="24"/>
  <c r="U16" i="24"/>
  <c r="V16" i="24" s="1"/>
  <c r="U17" i="24"/>
  <c r="V17" i="24" s="1"/>
  <c r="U18" i="24"/>
  <c r="V18" i="24" s="1"/>
  <c r="U19" i="24"/>
  <c r="V19" i="24" s="1"/>
  <c r="U20" i="24"/>
  <c r="V20" i="24" s="1"/>
  <c r="U21" i="24"/>
  <c r="V21" i="24" s="1"/>
  <c r="U22" i="24"/>
  <c r="V22" i="24" s="1"/>
  <c r="U23" i="24"/>
  <c r="V23" i="24" s="1"/>
  <c r="U24" i="24"/>
  <c r="V24" i="24" s="1"/>
  <c r="AO16" i="28"/>
  <c r="D35" i="28"/>
  <c r="AI38" i="22"/>
  <c r="AJ38" i="22"/>
  <c r="AK38" i="22"/>
  <c r="AL38" i="22"/>
  <c r="AM38" i="22"/>
  <c r="AN38" i="22"/>
  <c r="AO38" i="22"/>
  <c r="AI34" i="22"/>
  <c r="AJ34" i="22"/>
  <c r="AK34" i="22"/>
  <c r="AL34" i="22"/>
  <c r="AM34" i="22"/>
  <c r="AN34" i="22"/>
  <c r="AO34" i="22"/>
  <c r="AL62" i="19"/>
  <c r="AM62" i="19"/>
  <c r="AN62" i="19"/>
  <c r="AO62" i="19"/>
  <c r="AK62" i="19"/>
  <c r="AL54" i="19"/>
  <c r="AM54" i="19"/>
  <c r="AN54" i="19"/>
  <c r="AO54" i="19"/>
  <c r="AK54" i="19"/>
  <c r="AL46" i="19"/>
  <c r="AM46" i="19"/>
  <c r="AN46" i="19"/>
  <c r="AO46" i="19"/>
  <c r="AK46" i="19"/>
  <c r="AL27" i="19"/>
  <c r="AM27" i="19"/>
  <c r="AN27" i="19"/>
  <c r="AO27" i="19"/>
  <c r="AK27" i="19"/>
  <c r="AL19" i="19"/>
  <c r="AM19" i="19"/>
  <c r="AN19" i="19"/>
  <c r="AO19" i="19"/>
  <c r="AK19" i="19"/>
  <c r="AL38" i="19"/>
  <c r="AM38" i="19"/>
  <c r="AN38" i="19"/>
  <c r="AO38" i="19"/>
  <c r="AK38" i="19"/>
  <c r="AH14" i="21"/>
  <c r="AH15" i="21"/>
  <c r="AH16" i="21"/>
  <c r="AH17" i="21"/>
  <c r="AH18" i="21"/>
  <c r="AO29" i="21"/>
  <c r="AN29" i="21"/>
  <c r="AM29" i="21"/>
  <c r="AL29" i="21"/>
  <c r="AK29" i="21"/>
  <c r="AJ29" i="21"/>
  <c r="AI29" i="21"/>
  <c r="AE29" i="21"/>
  <c r="AC29" i="21"/>
  <c r="AB29" i="21"/>
  <c r="AA29" i="21"/>
  <c r="Z29" i="21"/>
  <c r="S29" i="21"/>
  <c r="R29" i="21"/>
  <c r="Q29" i="21"/>
  <c r="P29" i="21"/>
  <c r="O29" i="21"/>
  <c r="M29" i="21"/>
  <c r="L29" i="21"/>
  <c r="K29" i="21"/>
  <c r="I29" i="21"/>
  <c r="H29" i="21"/>
  <c r="F27" i="21"/>
  <c r="F28" i="21"/>
  <c r="F25" i="21"/>
  <c r="F26" i="21"/>
  <c r="M44" i="21"/>
  <c r="L44" i="21"/>
  <c r="S44" i="21"/>
  <c r="R44" i="21"/>
  <c r="Q44" i="21"/>
  <c r="P44" i="21"/>
  <c r="O44" i="21"/>
  <c r="AC44" i="21"/>
  <c r="AB44" i="21"/>
  <c r="AA44" i="21"/>
  <c r="Z44" i="21"/>
  <c r="AE44" i="21"/>
  <c r="AI44" i="21"/>
  <c r="AJ44" i="21"/>
  <c r="AK44" i="21"/>
  <c r="AL44" i="21"/>
  <c r="AM44" i="21"/>
  <c r="AN44" i="21"/>
  <c r="AO44" i="21"/>
  <c r="F23" i="21"/>
  <c r="F24" i="21"/>
  <c r="AO39" i="21"/>
  <c r="AN39" i="21"/>
  <c r="AM39" i="21"/>
  <c r="AL39" i="21"/>
  <c r="AK39" i="21"/>
  <c r="AJ39" i="21"/>
  <c r="AI39" i="21"/>
  <c r="AE39" i="21"/>
  <c r="AC39" i="21"/>
  <c r="AB39" i="21"/>
  <c r="AA39" i="21"/>
  <c r="Z39" i="21"/>
  <c r="S39" i="21"/>
  <c r="R39" i="21"/>
  <c r="Q39" i="21"/>
  <c r="P39" i="21"/>
  <c r="O39" i="21"/>
  <c r="M39" i="21"/>
  <c r="L39" i="21"/>
  <c r="K39" i="21"/>
  <c r="I39" i="21"/>
  <c r="H39" i="21"/>
  <c r="AO34" i="21"/>
  <c r="AN34" i="21"/>
  <c r="AM34" i="21"/>
  <c r="AL34" i="21"/>
  <c r="AK34" i="21"/>
  <c r="AJ34" i="21"/>
  <c r="AI34" i="21"/>
  <c r="AE34" i="21"/>
  <c r="AC34" i="21"/>
  <c r="AB34" i="21"/>
  <c r="AA34" i="21"/>
  <c r="Z34" i="21"/>
  <c r="S34" i="21"/>
  <c r="R34" i="21"/>
  <c r="Q34" i="21"/>
  <c r="P34" i="21"/>
  <c r="O34" i="21"/>
  <c r="M34" i="21"/>
  <c r="L34" i="21"/>
  <c r="K34" i="21"/>
  <c r="I34" i="21"/>
  <c r="H34" i="21"/>
  <c r="AO19" i="21"/>
  <c r="AN19" i="21"/>
  <c r="AM19" i="21"/>
  <c r="AL19" i="21"/>
  <c r="AK19" i="21"/>
  <c r="AJ19" i="21"/>
  <c r="AI19" i="21"/>
  <c r="AE19" i="21"/>
  <c r="AC19" i="21"/>
  <c r="AB19" i="21"/>
  <c r="AA19" i="21"/>
  <c r="Z19" i="21"/>
  <c r="S19" i="21"/>
  <c r="R19" i="21"/>
  <c r="Q19" i="21"/>
  <c r="P19" i="21"/>
  <c r="O19" i="21"/>
  <c r="M19" i="21"/>
  <c r="L19" i="21"/>
  <c r="K19" i="21"/>
  <c r="I19" i="21"/>
  <c r="H19" i="21"/>
  <c r="D44" i="21"/>
  <c r="D39" i="21"/>
  <c r="D34" i="21"/>
  <c r="D29" i="21"/>
  <c r="D19" i="21"/>
  <c r="AE17" i="22"/>
  <c r="D17" i="22"/>
  <c r="J17" i="22"/>
  <c r="H17" i="22"/>
  <c r="AC17" i="22"/>
  <c r="AB17" i="22"/>
  <c r="AA17" i="22"/>
  <c r="Z17" i="22"/>
  <c r="AI20" i="22"/>
  <c r="AJ20" i="22"/>
  <c r="AK20" i="22"/>
  <c r="AL20" i="22"/>
  <c r="AM20" i="22"/>
  <c r="AN20" i="22"/>
  <c r="AO20" i="22"/>
  <c r="AH20" i="22"/>
  <c r="AI17" i="22"/>
  <c r="AJ17" i="22"/>
  <c r="AK17" i="22"/>
  <c r="AL17" i="22"/>
  <c r="AM17" i="22"/>
  <c r="AN17" i="22"/>
  <c r="AO17" i="22"/>
  <c r="AH17" i="22"/>
  <c r="AH13" i="22"/>
  <c r="F54" i="22"/>
  <c r="F51" i="22"/>
  <c r="F46" i="22"/>
  <c r="F43" i="22"/>
  <c r="F38" i="22"/>
  <c r="F29" i="22"/>
  <c r="F26" i="22"/>
  <c r="F20" i="22"/>
  <c r="V15" i="24" l="1"/>
  <c r="U25" i="24"/>
  <c r="V25" i="24"/>
  <c r="V27" i="24" s="1"/>
  <c r="AH29" i="21"/>
  <c r="P61" i="20" l="1"/>
  <c r="Q61" i="20"/>
  <c r="R61" i="20"/>
  <c r="S61" i="20"/>
  <c r="P62" i="20"/>
  <c r="Q62" i="20"/>
  <c r="R62" i="20"/>
  <c r="S62" i="20"/>
  <c r="P63" i="20"/>
  <c r="Q63" i="20"/>
  <c r="R63" i="20"/>
  <c r="S63" i="20"/>
  <c r="P64" i="20"/>
  <c r="Q64" i="20"/>
  <c r="R64" i="20"/>
  <c r="R69" i="20" s="1"/>
  <c r="S64" i="20"/>
  <c r="P65" i="20"/>
  <c r="Q65" i="20"/>
  <c r="R65" i="20"/>
  <c r="S65" i="20"/>
  <c r="P66" i="20"/>
  <c r="Q66" i="20"/>
  <c r="R66" i="20"/>
  <c r="S66" i="20"/>
  <c r="P67" i="20"/>
  <c r="Q67" i="20"/>
  <c r="R67" i="20"/>
  <c r="S67" i="20"/>
  <c r="P68" i="20"/>
  <c r="Q68" i="20"/>
  <c r="R68" i="20"/>
  <c r="S68" i="20"/>
  <c r="O63" i="20"/>
  <c r="O64" i="20"/>
  <c r="O65" i="20"/>
  <c r="O66" i="20"/>
  <c r="O67" i="20"/>
  <c r="O68" i="20"/>
  <c r="O62" i="20"/>
  <c r="O61" i="20"/>
  <c r="P49" i="20"/>
  <c r="Q49" i="20"/>
  <c r="R49" i="20"/>
  <c r="S49" i="20"/>
  <c r="P50" i="20"/>
  <c r="Q50" i="20"/>
  <c r="R50" i="20"/>
  <c r="S50" i="20"/>
  <c r="P51" i="20"/>
  <c r="Q51" i="20"/>
  <c r="R51" i="20"/>
  <c r="S51" i="20"/>
  <c r="P52" i="20"/>
  <c r="Q52" i="20"/>
  <c r="R52" i="20"/>
  <c r="S52" i="20"/>
  <c r="P53" i="20"/>
  <c r="Q53" i="20"/>
  <c r="R53" i="20"/>
  <c r="S53" i="20"/>
  <c r="P54" i="20"/>
  <c r="Q54" i="20"/>
  <c r="R54" i="20"/>
  <c r="S54" i="20"/>
  <c r="P55" i="20"/>
  <c r="Q55" i="20"/>
  <c r="R55" i="20"/>
  <c r="S55" i="20"/>
  <c r="P56" i="20"/>
  <c r="Q56" i="20"/>
  <c r="R56" i="20"/>
  <c r="S56" i="20"/>
  <c r="O51" i="20"/>
  <c r="O52" i="20"/>
  <c r="O53" i="20"/>
  <c r="O54" i="20"/>
  <c r="O55" i="20"/>
  <c r="O56" i="20"/>
  <c r="O50" i="20"/>
  <c r="O49" i="20"/>
  <c r="P37" i="20"/>
  <c r="Q37" i="20"/>
  <c r="R37" i="20"/>
  <c r="S37" i="20"/>
  <c r="P38" i="20"/>
  <c r="Q38" i="20"/>
  <c r="R38" i="20"/>
  <c r="S38" i="20"/>
  <c r="P39" i="20"/>
  <c r="Q39" i="20"/>
  <c r="R39" i="20"/>
  <c r="S39" i="20"/>
  <c r="P40" i="20"/>
  <c r="Q40" i="20"/>
  <c r="R40" i="20"/>
  <c r="S40" i="20"/>
  <c r="P41" i="20"/>
  <c r="Q41" i="20"/>
  <c r="R41" i="20"/>
  <c r="S41" i="20"/>
  <c r="P42" i="20"/>
  <c r="Q42" i="20"/>
  <c r="R42" i="20"/>
  <c r="S42" i="20"/>
  <c r="P43" i="20"/>
  <c r="Q43" i="20"/>
  <c r="R43" i="20"/>
  <c r="S43" i="20"/>
  <c r="P44" i="20"/>
  <c r="Q44" i="20"/>
  <c r="R44" i="20"/>
  <c r="S44" i="20"/>
  <c r="O39" i="20"/>
  <c r="O40" i="20"/>
  <c r="O41" i="20"/>
  <c r="O42" i="20"/>
  <c r="O43" i="20"/>
  <c r="O44" i="20"/>
  <c r="O38" i="20"/>
  <c r="O45" i="20" s="1"/>
  <c r="O37" i="20"/>
  <c r="P26" i="20"/>
  <c r="Q26" i="20"/>
  <c r="R26" i="20"/>
  <c r="S26" i="20"/>
  <c r="P27" i="20"/>
  <c r="Q27" i="20"/>
  <c r="R27" i="20"/>
  <c r="S27" i="20"/>
  <c r="P28" i="20"/>
  <c r="Q28" i="20"/>
  <c r="R28" i="20"/>
  <c r="S28" i="20"/>
  <c r="P29" i="20"/>
  <c r="Q29" i="20"/>
  <c r="R29" i="20"/>
  <c r="S29" i="20"/>
  <c r="P30" i="20"/>
  <c r="Q30" i="20"/>
  <c r="R30" i="20"/>
  <c r="S30" i="20"/>
  <c r="P31" i="20"/>
  <c r="Q31" i="20"/>
  <c r="R31" i="20"/>
  <c r="S31" i="20"/>
  <c r="P32" i="20"/>
  <c r="Q32" i="20"/>
  <c r="R32" i="20"/>
  <c r="S32" i="20"/>
  <c r="O27" i="20"/>
  <c r="O28" i="20"/>
  <c r="O29" i="20"/>
  <c r="O30" i="20"/>
  <c r="O31" i="20"/>
  <c r="O32" i="20"/>
  <c r="O26" i="20"/>
  <c r="P25" i="20"/>
  <c r="Q25" i="20"/>
  <c r="R25" i="20"/>
  <c r="S25" i="20"/>
  <c r="O25" i="20"/>
  <c r="AO75" i="20"/>
  <c r="AO76" i="20" s="1"/>
  <c r="AN75" i="20"/>
  <c r="AN76" i="20" s="1"/>
  <c r="AM75" i="20"/>
  <c r="AM76" i="20" s="1"/>
  <c r="AL75" i="20"/>
  <c r="AL76" i="20" s="1"/>
  <c r="AK75" i="20"/>
  <c r="AK76" i="20" s="1"/>
  <c r="AJ75" i="20"/>
  <c r="AJ76" i="20" s="1"/>
  <c r="AI75" i="20"/>
  <c r="AI76" i="20" s="1"/>
  <c r="AO74" i="20"/>
  <c r="AN74" i="20"/>
  <c r="AM74" i="20"/>
  <c r="AL74" i="20"/>
  <c r="AK74" i="20"/>
  <c r="AJ74" i="20"/>
  <c r="AI74" i="20"/>
  <c r="AH74" i="20"/>
  <c r="AE76" i="20"/>
  <c r="AE75" i="20"/>
  <c r="AE74" i="20"/>
  <c r="AC76" i="20"/>
  <c r="AC75" i="20"/>
  <c r="AB75" i="20"/>
  <c r="AB76" i="20" s="1"/>
  <c r="AA75" i="20"/>
  <c r="AA76" i="20" s="1"/>
  <c r="Z75" i="20"/>
  <c r="Z76" i="20" s="1"/>
  <c r="AC74" i="20"/>
  <c r="AB74" i="20"/>
  <c r="AA74" i="20"/>
  <c r="Z74" i="20"/>
  <c r="Y74" i="20"/>
  <c r="W74" i="20"/>
  <c r="V74" i="20"/>
  <c r="U74" i="20"/>
  <c r="S74" i="20"/>
  <c r="R74" i="20"/>
  <c r="Q74" i="20"/>
  <c r="P74" i="20"/>
  <c r="O74" i="20"/>
  <c r="M75" i="20"/>
  <c r="M76" i="20" s="1"/>
  <c r="M74" i="20"/>
  <c r="L74" i="20"/>
  <c r="K74" i="20"/>
  <c r="I74" i="20"/>
  <c r="H75" i="20"/>
  <c r="H76" i="20" s="1"/>
  <c r="H74" i="20"/>
  <c r="F74" i="20"/>
  <c r="D76" i="20"/>
  <c r="D75" i="20"/>
  <c r="D74" i="20"/>
  <c r="AO69" i="20"/>
  <c r="AN69" i="20"/>
  <c r="AM69" i="20"/>
  <c r="AL69" i="20"/>
  <c r="AK69" i="20"/>
  <c r="AJ69" i="20"/>
  <c r="AI69" i="20"/>
  <c r="AE69" i="20"/>
  <c r="AC69" i="20"/>
  <c r="AB69" i="20"/>
  <c r="AA69" i="20"/>
  <c r="Z69" i="20"/>
  <c r="M69" i="20"/>
  <c r="H69" i="20"/>
  <c r="D69" i="20"/>
  <c r="I68" i="20"/>
  <c r="K68" i="20" s="1"/>
  <c r="L68" i="20" s="1"/>
  <c r="F68" i="20"/>
  <c r="I67" i="20"/>
  <c r="K67" i="20" s="1"/>
  <c r="L67" i="20" s="1"/>
  <c r="F67" i="20"/>
  <c r="I66" i="20"/>
  <c r="K66" i="20" s="1"/>
  <c r="L66" i="20" s="1"/>
  <c r="F66" i="20"/>
  <c r="I65" i="20"/>
  <c r="K65" i="20" s="1"/>
  <c r="F65" i="20"/>
  <c r="I64" i="20"/>
  <c r="K64" i="20" s="1"/>
  <c r="L64" i="20" s="1"/>
  <c r="F64" i="20"/>
  <c r="K63" i="20"/>
  <c r="L63" i="20" s="1"/>
  <c r="I63" i="20"/>
  <c r="F63" i="20"/>
  <c r="I62" i="20"/>
  <c r="K62" i="20" s="1"/>
  <c r="L62" i="20" s="1"/>
  <c r="F62" i="20"/>
  <c r="AH69" i="20"/>
  <c r="I61" i="20"/>
  <c r="F61" i="20"/>
  <c r="AO57" i="20"/>
  <c r="AN57" i="20"/>
  <c r="AM57" i="20"/>
  <c r="AL57" i="20"/>
  <c r="AK57" i="20"/>
  <c r="AJ57" i="20"/>
  <c r="AI57" i="20"/>
  <c r="AE57" i="20"/>
  <c r="AC57" i="20"/>
  <c r="AB57" i="20"/>
  <c r="AA57" i="20"/>
  <c r="Z57" i="20"/>
  <c r="M57" i="20"/>
  <c r="H57" i="20"/>
  <c r="D57" i="20"/>
  <c r="I56" i="20"/>
  <c r="K56" i="20" s="1"/>
  <c r="L56" i="20" s="1"/>
  <c r="F56" i="20"/>
  <c r="I55" i="20"/>
  <c r="K55" i="20" s="1"/>
  <c r="L55" i="20" s="1"/>
  <c r="F55" i="20"/>
  <c r="I54" i="20"/>
  <c r="K54" i="20" s="1"/>
  <c r="L54" i="20" s="1"/>
  <c r="F54" i="20"/>
  <c r="I53" i="20"/>
  <c r="K53" i="20" s="1"/>
  <c r="L53" i="20" s="1"/>
  <c r="F53" i="20"/>
  <c r="I52" i="20"/>
  <c r="K52" i="20" s="1"/>
  <c r="L52" i="20" s="1"/>
  <c r="F52" i="20"/>
  <c r="I51" i="20"/>
  <c r="K51" i="20" s="1"/>
  <c r="F51" i="20"/>
  <c r="K50" i="20"/>
  <c r="L50" i="20" s="1"/>
  <c r="I50" i="20"/>
  <c r="F50" i="20"/>
  <c r="AH57" i="20"/>
  <c r="Y57" i="20"/>
  <c r="I49" i="20"/>
  <c r="F49" i="20"/>
  <c r="AO45" i="20"/>
  <c r="AN45" i="20"/>
  <c r="AM45" i="20"/>
  <c r="AL45" i="20"/>
  <c r="AK45" i="20"/>
  <c r="AJ45" i="20"/>
  <c r="AI45" i="20"/>
  <c r="AE45" i="20"/>
  <c r="AC45" i="20"/>
  <c r="AB45" i="20"/>
  <c r="AA45" i="20"/>
  <c r="Z45" i="20"/>
  <c r="M45" i="20"/>
  <c r="H45" i="20"/>
  <c r="D45" i="20"/>
  <c r="I44" i="20"/>
  <c r="K44" i="20" s="1"/>
  <c r="L44" i="20" s="1"/>
  <c r="F44" i="20"/>
  <c r="I43" i="20"/>
  <c r="K43" i="20" s="1"/>
  <c r="L43" i="20" s="1"/>
  <c r="F43" i="20"/>
  <c r="I42" i="20"/>
  <c r="K42" i="20" s="1"/>
  <c r="L42" i="20" s="1"/>
  <c r="F42" i="20"/>
  <c r="I41" i="20"/>
  <c r="K41" i="20" s="1"/>
  <c r="L41" i="20" s="1"/>
  <c r="F41" i="20"/>
  <c r="I40" i="20"/>
  <c r="K40" i="20" s="1"/>
  <c r="L40" i="20" s="1"/>
  <c r="F40" i="20"/>
  <c r="I39" i="20"/>
  <c r="K39" i="20" s="1"/>
  <c r="L39" i="20" s="1"/>
  <c r="F39" i="20"/>
  <c r="I38" i="20"/>
  <c r="F38" i="20"/>
  <c r="AH45" i="20"/>
  <c r="Q45" i="20"/>
  <c r="I37" i="20"/>
  <c r="K37" i="20" s="1"/>
  <c r="F37" i="20"/>
  <c r="AO33" i="20"/>
  <c r="AN33" i="20"/>
  <c r="AM33" i="20"/>
  <c r="AL33" i="20"/>
  <c r="AK33" i="20"/>
  <c r="AJ33" i="20"/>
  <c r="AI33" i="20"/>
  <c r="AE33" i="20"/>
  <c r="AC33" i="20"/>
  <c r="AB33" i="20"/>
  <c r="AA33" i="20"/>
  <c r="Z33" i="20"/>
  <c r="M33" i="20"/>
  <c r="H33" i="20"/>
  <c r="D33" i="20"/>
  <c r="I32" i="20"/>
  <c r="K32" i="20" s="1"/>
  <c r="L32" i="20" s="1"/>
  <c r="F32" i="20"/>
  <c r="I31" i="20"/>
  <c r="K31" i="20" s="1"/>
  <c r="L31" i="20" s="1"/>
  <c r="F31" i="20"/>
  <c r="I30" i="20"/>
  <c r="K30" i="20" s="1"/>
  <c r="F30" i="20"/>
  <c r="I29" i="20"/>
  <c r="K29" i="20" s="1"/>
  <c r="L29" i="20" s="1"/>
  <c r="F29" i="20"/>
  <c r="I28" i="20"/>
  <c r="K28" i="20" s="1"/>
  <c r="L28" i="20" s="1"/>
  <c r="F28" i="20"/>
  <c r="I27" i="20"/>
  <c r="K27" i="20" s="1"/>
  <c r="F27" i="20"/>
  <c r="I26" i="20"/>
  <c r="K26" i="20" s="1"/>
  <c r="F26" i="20"/>
  <c r="AH33" i="20"/>
  <c r="I25" i="20"/>
  <c r="I33" i="20" s="1"/>
  <c r="F25" i="20"/>
  <c r="F15" i="20"/>
  <c r="I15" i="20"/>
  <c r="K15" i="20" s="1"/>
  <c r="L15" i="20" s="1"/>
  <c r="O15" i="20"/>
  <c r="P15" i="20"/>
  <c r="Q15" i="20"/>
  <c r="R15" i="20"/>
  <c r="S15" i="20"/>
  <c r="F16" i="20"/>
  <c r="F21" i="20" s="1"/>
  <c r="I16" i="20"/>
  <c r="K16" i="20" s="1"/>
  <c r="O16" i="20"/>
  <c r="P16" i="20"/>
  <c r="Q16" i="20"/>
  <c r="R16" i="20"/>
  <c r="S16" i="20"/>
  <c r="F17" i="20"/>
  <c r="I17" i="20"/>
  <c r="K17" i="20" s="1"/>
  <c r="L17" i="20" s="1"/>
  <c r="O17" i="20"/>
  <c r="P17" i="20"/>
  <c r="Q17" i="20"/>
  <c r="R17" i="20"/>
  <c r="S17" i="20"/>
  <c r="F18" i="20"/>
  <c r="I18" i="20"/>
  <c r="K18" i="20"/>
  <c r="O18" i="20"/>
  <c r="P18" i="20"/>
  <c r="Q18" i="20"/>
  <c r="R18" i="20"/>
  <c r="S18" i="20"/>
  <c r="F19" i="20"/>
  <c r="I19" i="20"/>
  <c r="K19" i="20" s="1"/>
  <c r="O19" i="20"/>
  <c r="P19" i="20"/>
  <c r="Q19" i="20"/>
  <c r="R19" i="20"/>
  <c r="S19" i="20"/>
  <c r="F20" i="20"/>
  <c r="I20" i="20"/>
  <c r="K20" i="20" s="1"/>
  <c r="L20" i="20" s="1"/>
  <c r="O20" i="20"/>
  <c r="P20" i="20"/>
  <c r="Q20" i="20"/>
  <c r="R20" i="20"/>
  <c r="S20" i="20"/>
  <c r="S14" i="20"/>
  <c r="R14" i="20"/>
  <c r="Q14" i="20"/>
  <c r="P14" i="20"/>
  <c r="O14" i="20"/>
  <c r="I14" i="20"/>
  <c r="K14" i="20" s="1"/>
  <c r="F14" i="20"/>
  <c r="S13" i="20"/>
  <c r="R13" i="20"/>
  <c r="Q13" i="20"/>
  <c r="P13" i="20"/>
  <c r="O13" i="20"/>
  <c r="I13" i="20"/>
  <c r="F13" i="20"/>
  <c r="AO21" i="20"/>
  <c r="AN21" i="20"/>
  <c r="AM21" i="20"/>
  <c r="AL21" i="20"/>
  <c r="AK21" i="20"/>
  <c r="AJ21" i="20"/>
  <c r="AI21" i="20"/>
  <c r="AE21" i="20"/>
  <c r="AC21" i="20"/>
  <c r="AB21" i="20"/>
  <c r="AA21" i="20"/>
  <c r="Z21" i="20"/>
  <c r="M21" i="20"/>
  <c r="H21" i="20"/>
  <c r="D21" i="20"/>
  <c r="I61" i="19"/>
  <c r="I60" i="19"/>
  <c r="I59" i="19"/>
  <c r="I58" i="19"/>
  <c r="I57" i="19"/>
  <c r="I56" i="19"/>
  <c r="I53" i="19"/>
  <c r="I52" i="19"/>
  <c r="I51" i="19"/>
  <c r="I50" i="19"/>
  <c r="I49" i="19"/>
  <c r="I48" i="19"/>
  <c r="I45" i="19"/>
  <c r="I44" i="19"/>
  <c r="I43" i="19"/>
  <c r="I42" i="19"/>
  <c r="I41" i="19"/>
  <c r="I40" i="19"/>
  <c r="I37" i="19"/>
  <c r="I33" i="19"/>
  <c r="I32" i="19"/>
  <c r="I31" i="19"/>
  <c r="I30" i="19"/>
  <c r="I26" i="19"/>
  <c r="I25" i="19"/>
  <c r="I24" i="19"/>
  <c r="I23" i="19"/>
  <c r="I22" i="19"/>
  <c r="I21" i="19"/>
  <c r="I14" i="19"/>
  <c r="I15" i="19"/>
  <c r="K15" i="19" s="1"/>
  <c r="I16" i="19"/>
  <c r="K16" i="19" s="1"/>
  <c r="I17" i="19"/>
  <c r="K17" i="19" s="1"/>
  <c r="I18" i="19"/>
  <c r="K18" i="19" s="1"/>
  <c r="I13" i="19"/>
  <c r="K13" i="19" s="1"/>
  <c r="AJ62" i="19"/>
  <c r="AI62" i="19" s="1"/>
  <c r="AH62" i="19" s="1"/>
  <c r="AJ54" i="19"/>
  <c r="AI54" i="19" s="1"/>
  <c r="AH54" i="19" s="1"/>
  <c r="AJ46" i="19"/>
  <c r="AI46" i="19" s="1"/>
  <c r="AH46" i="19" s="1"/>
  <c r="AJ38" i="19"/>
  <c r="AI38" i="19" s="1"/>
  <c r="AH38" i="19" s="1"/>
  <c r="AJ27" i="19"/>
  <c r="AI27" i="19" s="1"/>
  <c r="AH27" i="19" s="1"/>
  <c r="AJ19" i="19"/>
  <c r="AI19" i="19" s="1"/>
  <c r="AE62" i="19"/>
  <c r="AE54" i="19"/>
  <c r="AE46" i="19"/>
  <c r="AE38" i="19"/>
  <c r="AE27" i="19"/>
  <c r="AE19" i="19"/>
  <c r="AC62" i="19"/>
  <c r="AB62" i="19"/>
  <c r="AA62" i="19"/>
  <c r="Z62" i="19"/>
  <c r="AC54" i="19"/>
  <c r="AB54" i="19"/>
  <c r="AA54" i="19"/>
  <c r="Z54" i="19"/>
  <c r="AC46" i="19"/>
  <c r="AB46" i="19"/>
  <c r="AA46" i="19"/>
  <c r="Z46" i="19"/>
  <c r="AC38" i="19"/>
  <c r="AB38" i="19"/>
  <c r="AA38" i="19"/>
  <c r="Z38" i="19"/>
  <c r="AC27" i="19"/>
  <c r="AB27" i="19"/>
  <c r="AA27" i="19"/>
  <c r="Z27" i="19"/>
  <c r="AC19" i="19"/>
  <c r="AB19" i="19"/>
  <c r="AA19" i="19"/>
  <c r="Z19" i="19"/>
  <c r="M62" i="19"/>
  <c r="M54" i="19"/>
  <c r="M46" i="19"/>
  <c r="M38" i="19"/>
  <c r="M27" i="19"/>
  <c r="P56" i="19"/>
  <c r="Q56" i="19"/>
  <c r="R56" i="19"/>
  <c r="S56" i="19"/>
  <c r="P57" i="19"/>
  <c r="Q57" i="19"/>
  <c r="R57" i="19"/>
  <c r="S57" i="19"/>
  <c r="P58" i="19"/>
  <c r="Q58" i="19"/>
  <c r="R58" i="19"/>
  <c r="S58" i="19"/>
  <c r="P59" i="19"/>
  <c r="Q59" i="19"/>
  <c r="R59" i="19"/>
  <c r="S59" i="19"/>
  <c r="P60" i="19"/>
  <c r="Q60" i="19"/>
  <c r="R60" i="19"/>
  <c r="S60" i="19"/>
  <c r="P61" i="19"/>
  <c r="Q61" i="19"/>
  <c r="R61" i="19"/>
  <c r="S61" i="19"/>
  <c r="O57" i="19"/>
  <c r="O58" i="19"/>
  <c r="O59" i="19"/>
  <c r="O60" i="19"/>
  <c r="O61" i="19"/>
  <c r="O56" i="19"/>
  <c r="P40" i="19"/>
  <c r="Q40" i="19"/>
  <c r="R40" i="19"/>
  <c r="S40" i="19"/>
  <c r="P41" i="19"/>
  <c r="Q41" i="19"/>
  <c r="R41" i="19"/>
  <c r="S41" i="19"/>
  <c r="P42" i="19"/>
  <c r="Q42" i="19"/>
  <c r="R42" i="19"/>
  <c r="S42" i="19"/>
  <c r="P43" i="19"/>
  <c r="Q43" i="19"/>
  <c r="R43" i="19"/>
  <c r="S43" i="19"/>
  <c r="P44" i="19"/>
  <c r="Q44" i="19"/>
  <c r="R44" i="19"/>
  <c r="S44" i="19"/>
  <c r="P45" i="19"/>
  <c r="Q45" i="19"/>
  <c r="R45" i="19"/>
  <c r="S45" i="19"/>
  <c r="O41" i="19"/>
  <c r="O42" i="19"/>
  <c r="O43" i="19"/>
  <c r="O44" i="19"/>
  <c r="O45" i="19"/>
  <c r="O40" i="19"/>
  <c r="P29" i="19"/>
  <c r="Q29" i="19"/>
  <c r="R29" i="19"/>
  <c r="S29" i="19"/>
  <c r="P30" i="19"/>
  <c r="Q30" i="19"/>
  <c r="R30" i="19"/>
  <c r="S30" i="19"/>
  <c r="P31" i="19"/>
  <c r="Q31" i="19"/>
  <c r="R31" i="19"/>
  <c r="S31" i="19"/>
  <c r="P32" i="19"/>
  <c r="Q32" i="19"/>
  <c r="R32" i="19"/>
  <c r="S32" i="19"/>
  <c r="P33" i="19"/>
  <c r="Q33" i="19"/>
  <c r="R33" i="19"/>
  <c r="S33" i="19"/>
  <c r="P37" i="19"/>
  <c r="Q37" i="19"/>
  <c r="R37" i="19"/>
  <c r="S37" i="19"/>
  <c r="O30" i="19"/>
  <c r="O31" i="19"/>
  <c r="O32" i="19"/>
  <c r="O33" i="19"/>
  <c r="O37" i="19"/>
  <c r="P21" i="19"/>
  <c r="Q21" i="19"/>
  <c r="R21" i="19"/>
  <c r="S21" i="19"/>
  <c r="P22" i="19"/>
  <c r="Q22" i="19"/>
  <c r="R22" i="19"/>
  <c r="S22" i="19"/>
  <c r="P23" i="19"/>
  <c r="Q23" i="19"/>
  <c r="R23" i="19"/>
  <c r="S23" i="19"/>
  <c r="P24" i="19"/>
  <c r="Q24" i="19"/>
  <c r="R24" i="19"/>
  <c r="S24" i="19"/>
  <c r="P25" i="19"/>
  <c r="Q25" i="19"/>
  <c r="R25" i="19"/>
  <c r="S25" i="19"/>
  <c r="P26" i="19"/>
  <c r="Q26" i="19"/>
  <c r="R26" i="19"/>
  <c r="S26" i="19"/>
  <c r="O22" i="19"/>
  <c r="O23" i="19"/>
  <c r="O24" i="19"/>
  <c r="O25" i="19"/>
  <c r="O26" i="19"/>
  <c r="O21" i="19"/>
  <c r="O14" i="19"/>
  <c r="P14" i="19"/>
  <c r="Q14" i="19"/>
  <c r="R14" i="19"/>
  <c r="S14" i="19"/>
  <c r="O15" i="19"/>
  <c r="P15" i="19"/>
  <c r="Q15" i="19"/>
  <c r="R15" i="19"/>
  <c r="S15" i="19"/>
  <c r="O16" i="19"/>
  <c r="P16" i="19"/>
  <c r="Q16" i="19"/>
  <c r="R16" i="19"/>
  <c r="S16" i="19"/>
  <c r="O17" i="19"/>
  <c r="P17" i="19"/>
  <c r="Q17" i="19"/>
  <c r="R17" i="19"/>
  <c r="S17" i="19"/>
  <c r="O18" i="19"/>
  <c r="P18" i="19"/>
  <c r="Q18" i="19"/>
  <c r="R18" i="19"/>
  <c r="S18" i="19"/>
  <c r="H62" i="19"/>
  <c r="H54" i="19"/>
  <c r="H46" i="19"/>
  <c r="H38" i="19"/>
  <c r="H27" i="19"/>
  <c r="H19" i="19"/>
  <c r="Q69" i="20" l="1"/>
  <c r="P69" i="20"/>
  <c r="S69" i="20"/>
  <c r="R57" i="20"/>
  <c r="Q57" i="20"/>
  <c r="S57" i="20"/>
  <c r="R45" i="20"/>
  <c r="S45" i="20"/>
  <c r="Q33" i="20"/>
  <c r="R33" i="20"/>
  <c r="S33" i="20"/>
  <c r="R21" i="20"/>
  <c r="S21" i="20"/>
  <c r="O21" i="20"/>
  <c r="I69" i="20"/>
  <c r="L65" i="20"/>
  <c r="Y69" i="20"/>
  <c r="F69" i="20"/>
  <c r="L51" i="20"/>
  <c r="F57" i="20"/>
  <c r="I57" i="20"/>
  <c r="Y45" i="20"/>
  <c r="F45" i="20"/>
  <c r="I45" i="20"/>
  <c r="L30" i="20"/>
  <c r="Y33" i="20"/>
  <c r="L27" i="20"/>
  <c r="F75" i="20"/>
  <c r="F76" i="20" s="1"/>
  <c r="Y75" i="20"/>
  <c r="Y76" i="20" s="1"/>
  <c r="L26" i="20"/>
  <c r="F33" i="20"/>
  <c r="Y21" i="20"/>
  <c r="I75" i="20"/>
  <c r="I76" i="20" s="1"/>
  <c r="L18" i="20"/>
  <c r="L19" i="20"/>
  <c r="L16" i="20"/>
  <c r="L14" i="20"/>
  <c r="AH75" i="20"/>
  <c r="AH76" i="20" s="1"/>
  <c r="R75" i="20"/>
  <c r="R76" i="20" s="1"/>
  <c r="P75" i="20"/>
  <c r="P76" i="20" s="1"/>
  <c r="O57" i="20"/>
  <c r="Q75" i="20"/>
  <c r="Q76" i="20" s="1"/>
  <c r="O75" i="20"/>
  <c r="O76" i="20" s="1"/>
  <c r="S75" i="20"/>
  <c r="S76" i="20" s="1"/>
  <c r="O33" i="20"/>
  <c r="O69" i="20"/>
  <c r="K61" i="20"/>
  <c r="P57" i="20"/>
  <c r="K49" i="20"/>
  <c r="L37" i="20"/>
  <c r="K38" i="20"/>
  <c r="L38" i="20" s="1"/>
  <c r="P45" i="20"/>
  <c r="P33" i="20"/>
  <c r="K25" i="20"/>
  <c r="AH21" i="20"/>
  <c r="Q21" i="20"/>
  <c r="P21" i="20"/>
  <c r="L13" i="20"/>
  <c r="K21" i="20"/>
  <c r="I21" i="20"/>
  <c r="I62" i="19"/>
  <c r="Q27" i="19"/>
  <c r="O46" i="19"/>
  <c r="Q38" i="19"/>
  <c r="S46" i="19"/>
  <c r="I46" i="19"/>
  <c r="P46" i="19"/>
  <c r="I19" i="19"/>
  <c r="Q62" i="19"/>
  <c r="R46" i="19"/>
  <c r="P62" i="19"/>
  <c r="I38" i="19"/>
  <c r="S38" i="19"/>
  <c r="Q46" i="19"/>
  <c r="S62" i="19"/>
  <c r="P27" i="19"/>
  <c r="O27" i="19"/>
  <c r="R38" i="19"/>
  <c r="O62" i="19"/>
  <c r="R27" i="19"/>
  <c r="I27" i="19"/>
  <c r="S27" i="19"/>
  <c r="P38" i="19"/>
  <c r="R62" i="19"/>
  <c r="I54" i="19"/>
  <c r="K75" i="20" l="1"/>
  <c r="K76" i="20" s="1"/>
  <c r="L21" i="20"/>
  <c r="K69" i="20"/>
  <c r="L61" i="20"/>
  <c r="L69" i="20" s="1"/>
  <c r="K57" i="20"/>
  <c r="L49" i="20"/>
  <c r="L57" i="20" s="1"/>
  <c r="L45" i="20"/>
  <c r="K45" i="20"/>
  <c r="K33" i="20"/>
  <c r="L25" i="20"/>
  <c r="L33" i="20" s="1"/>
  <c r="L75" i="20" l="1"/>
  <c r="L76" i="20" s="1"/>
  <c r="F61" i="19"/>
  <c r="F60" i="19"/>
  <c r="F59" i="19"/>
  <c r="F58" i="19"/>
  <c r="F57" i="19"/>
  <c r="F56" i="19"/>
  <c r="F53" i="19"/>
  <c r="F52" i="19"/>
  <c r="F51" i="19"/>
  <c r="F50" i="19"/>
  <c r="F49" i="19"/>
  <c r="F48" i="19"/>
  <c r="F45" i="19"/>
  <c r="F44" i="19"/>
  <c r="F43" i="19"/>
  <c r="F42" i="19"/>
  <c r="F41" i="19"/>
  <c r="F40" i="19"/>
  <c r="F37" i="19"/>
  <c r="F33" i="19"/>
  <c r="F32" i="19"/>
  <c r="F31" i="19"/>
  <c r="F30" i="19"/>
  <c r="F29" i="19"/>
  <c r="F26" i="19"/>
  <c r="F25" i="19"/>
  <c r="F24" i="19"/>
  <c r="F23" i="19"/>
  <c r="F22" i="19"/>
  <c r="F21" i="19"/>
  <c r="F15" i="19"/>
  <c r="L15" i="19" s="1"/>
  <c r="F16" i="19"/>
  <c r="L16" i="19" s="1"/>
  <c r="F17" i="19"/>
  <c r="L17" i="19" s="1"/>
  <c r="F18" i="19"/>
  <c r="L18" i="19" s="1"/>
  <c r="F14" i="19"/>
  <c r="F13" i="19"/>
  <c r="K61" i="19"/>
  <c r="L61" i="19" s="1"/>
  <c r="K60" i="19"/>
  <c r="L60" i="19" s="1"/>
  <c r="K53" i="19"/>
  <c r="K52" i="19"/>
  <c r="L52" i="19" s="1"/>
  <c r="F15" i="25"/>
  <c r="F16" i="25"/>
  <c r="F54" i="19" l="1"/>
  <c r="F46" i="19"/>
  <c r="F62" i="19"/>
  <c r="F38" i="19"/>
  <c r="F19" i="19"/>
  <c r="F27" i="19"/>
  <c r="L53" i="19"/>
  <c r="E13" i="8"/>
  <c r="H13" i="8"/>
  <c r="L13" i="8"/>
  <c r="Y13" i="8" s="1"/>
  <c r="B21" i="20"/>
  <c r="A27" i="19"/>
  <c r="B1" i="5"/>
  <c r="O5" i="6"/>
  <c r="P5" i="6" s="1"/>
  <c r="Q5" i="6" s="1"/>
  <c r="R5" i="6" s="1"/>
  <c r="O65" i="19"/>
  <c r="S47" i="19"/>
  <c r="R47" i="19"/>
  <c r="Q47" i="19"/>
  <c r="P47" i="19"/>
  <c r="O47" i="19"/>
  <c r="A54" i="19"/>
  <c r="A46" i="19"/>
  <c r="O29" i="19"/>
  <c r="O38" i="19" s="1"/>
  <c r="A38" i="19"/>
  <c r="A19" i="19"/>
  <c r="P8" i="19"/>
  <c r="R10" i="19"/>
  <c r="S10" i="19" s="1"/>
  <c r="O8" i="19"/>
  <c r="O49" i="19" l="1"/>
  <c r="O53" i="19"/>
  <c r="O50" i="19"/>
  <c r="O52" i="19"/>
  <c r="O51" i="19"/>
  <c r="O48" i="19"/>
  <c r="P51" i="19"/>
  <c r="P48" i="19"/>
  <c r="P50" i="19"/>
  <c r="P52" i="19"/>
  <c r="P49" i="19"/>
  <c r="P53" i="19"/>
  <c r="Q48" i="19"/>
  <c r="Q50" i="19"/>
  <c r="Q52" i="19"/>
  <c r="Q49" i="19"/>
  <c r="Q51" i="19"/>
  <c r="Q53" i="19"/>
  <c r="R49" i="19"/>
  <c r="R51" i="19"/>
  <c r="R53" i="19"/>
  <c r="R48" i="19"/>
  <c r="R50" i="19"/>
  <c r="R52" i="19"/>
  <c r="S49" i="19"/>
  <c r="S53" i="19"/>
  <c r="S50" i="19"/>
  <c r="S48" i="19"/>
  <c r="S52" i="19"/>
  <c r="S51" i="19"/>
  <c r="K45" i="19"/>
  <c r="L45" i="19" s="1"/>
  <c r="K49" i="19"/>
  <c r="L49" i="19" s="1"/>
  <c r="K37" i="19"/>
  <c r="L37" i="19" s="1"/>
  <c r="K51" i="19"/>
  <c r="L51" i="19" s="1"/>
  <c r="K43" i="19"/>
  <c r="L43" i="19" s="1"/>
  <c r="K50" i="19"/>
  <c r="L50" i="19" s="1"/>
  <c r="K30" i="19"/>
  <c r="L30" i="19" s="1"/>
  <c r="K59" i="19"/>
  <c r="L59" i="19" s="1"/>
  <c r="K56" i="19"/>
  <c r="K42" i="19"/>
  <c r="L42" i="19" s="1"/>
  <c r="K41" i="19"/>
  <c r="L41" i="19" s="1"/>
  <c r="K48" i="19"/>
  <c r="L48" i="19" s="1"/>
  <c r="K33" i="19"/>
  <c r="L33" i="19" s="1"/>
  <c r="K57" i="19"/>
  <c r="L57" i="19" s="1"/>
  <c r="K26" i="19"/>
  <c r="L26" i="19" s="1"/>
  <c r="K21" i="19"/>
  <c r="L21" i="19" s="1"/>
  <c r="K29" i="19"/>
  <c r="L29" i="19" s="1"/>
  <c r="K14" i="19"/>
  <c r="L14" i="19" s="1"/>
  <c r="K44" i="19"/>
  <c r="L44" i="19" s="1"/>
  <c r="K24" i="19"/>
  <c r="L24" i="19" s="1"/>
  <c r="K31" i="19"/>
  <c r="L31" i="19" s="1"/>
  <c r="K58" i="19"/>
  <c r="L58" i="19" s="1"/>
  <c r="K25" i="19"/>
  <c r="L25" i="19" s="1"/>
  <c r="K22" i="19"/>
  <c r="L22" i="19" s="1"/>
  <c r="K40" i="19"/>
  <c r="L40" i="19" s="1"/>
  <c r="K23" i="19"/>
  <c r="L23" i="19" s="1"/>
  <c r="K32" i="19"/>
  <c r="L32" i="19" s="1"/>
  <c r="AE20" i="19"/>
  <c r="P54" i="19" l="1"/>
  <c r="R54" i="19"/>
  <c r="O54" i="19"/>
  <c r="Q54" i="19"/>
  <c r="Y19" i="19"/>
  <c r="S54" i="19"/>
  <c r="L56" i="19"/>
  <c r="Y62" i="19" s="1"/>
  <c r="K62" i="19"/>
  <c r="K54" i="19"/>
  <c r="L54" i="19"/>
  <c r="R11" i="19"/>
  <c r="Q8" i="19"/>
  <c r="L62" i="19" l="1"/>
  <c r="Y54" i="19"/>
  <c r="Y46" i="19"/>
  <c r="Y38" i="19"/>
  <c r="Y27" i="19"/>
  <c r="S11" i="19"/>
  <c r="R8" i="19"/>
  <c r="S8" i="19" l="1"/>
  <c r="W53" i="19" l="1"/>
  <c r="U13" i="19"/>
  <c r="V61" i="19"/>
  <c r="U16" i="19"/>
  <c r="U15" i="19"/>
  <c r="V15" i="19"/>
  <c r="W13" i="19"/>
  <c r="W14" i="19"/>
  <c r="U14" i="19"/>
  <c r="W15" i="19"/>
  <c r="V18" i="19"/>
  <c r="W18" i="19"/>
  <c r="U18" i="19"/>
  <c r="V16" i="19"/>
  <c r="W52" i="19"/>
  <c r="V17" i="19"/>
  <c r="U17" i="19"/>
  <c r="U52" i="19"/>
  <c r="V60" i="19"/>
  <c r="U60" i="19"/>
  <c r="W17" i="19"/>
  <c r="V14" i="19"/>
  <c r="W16" i="19"/>
  <c r="W61" i="19"/>
  <c r="U61" i="19"/>
  <c r="W60" i="19"/>
  <c r="V53" i="19"/>
  <c r="V52" i="19"/>
  <c r="U53" i="19"/>
  <c r="L38" i="19"/>
  <c r="K38" i="19"/>
  <c r="W19" i="19" l="1"/>
  <c r="K27" i="19"/>
  <c r="L27" i="19"/>
  <c r="K46" i="19"/>
  <c r="L46" i="19"/>
  <c r="AH19" i="19" l="1"/>
  <c r="K19" i="19"/>
  <c r="AE69" i="19" l="1"/>
  <c r="AE66" i="19"/>
  <c r="I64" i="19"/>
  <c r="L19" i="19"/>
  <c r="M64" i="19" s="1"/>
  <c r="U26" i="19" l="1"/>
  <c r="V24" i="19"/>
  <c r="V25" i="19"/>
  <c r="W48" i="19"/>
  <c r="W49" i="19"/>
  <c r="U43" i="19"/>
  <c r="U56" i="19"/>
  <c r="W43" i="19"/>
  <c r="W23" i="19"/>
  <c r="V41" i="19"/>
  <c r="V23" i="19"/>
  <c r="V33" i="19"/>
  <c r="V40" i="19"/>
  <c r="W26" i="19"/>
  <c r="W32" i="19"/>
  <c r="W33" i="19"/>
  <c r="V59" i="19"/>
  <c r="W44" i="19"/>
  <c r="V48" i="19"/>
  <c r="U23" i="19"/>
  <c r="W40" i="19"/>
  <c r="U59" i="19"/>
  <c r="U21" i="19"/>
  <c r="V22" i="19"/>
  <c r="U32" i="19"/>
  <c r="W59" i="19"/>
  <c r="V44" i="19"/>
  <c r="V21" i="19"/>
  <c r="V29" i="19"/>
  <c r="W21" i="19"/>
  <c r="W37" i="19"/>
  <c r="U25" i="19"/>
  <c r="W25" i="19"/>
  <c r="U48" i="19"/>
  <c r="V30" i="19"/>
  <c r="U29" i="19"/>
  <c r="V58" i="19"/>
  <c r="V49" i="19"/>
  <c r="U40" i="19"/>
  <c r="U41" i="19"/>
  <c r="U49" i="19"/>
  <c r="U24" i="19"/>
  <c r="U45" i="19"/>
  <c r="W22" i="19"/>
  <c r="W45" i="19"/>
  <c r="V45" i="19"/>
  <c r="W58" i="19"/>
  <c r="V26" i="19"/>
  <c r="W29" i="19"/>
  <c r="U57" i="19"/>
  <c r="W51" i="19"/>
  <c r="V56" i="19"/>
  <c r="U19" i="19"/>
  <c r="U33" i="19"/>
  <c r="V37" i="19"/>
  <c r="V43" i="19"/>
  <c r="W50" i="19"/>
  <c r="U37" i="19"/>
  <c r="W41" i="19"/>
  <c r="U44" i="19"/>
  <c r="W30" i="19"/>
  <c r="W42" i="19"/>
  <c r="W31" i="19"/>
  <c r="V50" i="19"/>
  <c r="V32" i="19"/>
  <c r="V42" i="19"/>
  <c r="V57" i="19"/>
  <c r="W24" i="19"/>
  <c r="V13" i="19"/>
  <c r="V19" i="19" s="1"/>
  <c r="U31" i="19"/>
  <c r="U58" i="19"/>
  <c r="U22" i="19"/>
  <c r="W57" i="19"/>
  <c r="U50" i="19"/>
  <c r="U42" i="19"/>
  <c r="V31" i="19"/>
  <c r="U51" i="19"/>
  <c r="W56" i="19"/>
  <c r="U30" i="19"/>
  <c r="V51" i="19"/>
  <c r="W62" i="19" l="1"/>
  <c r="V62" i="19"/>
  <c r="U46" i="19"/>
  <c r="U27" i="19"/>
  <c r="U62" i="19"/>
  <c r="W27" i="19"/>
  <c r="V38" i="19"/>
  <c r="W46" i="19"/>
  <c r="V46" i="19"/>
  <c r="U38" i="19"/>
  <c r="V27" i="19"/>
  <c r="W54" i="19"/>
  <c r="V54" i="19"/>
  <c r="U54" i="19"/>
  <c r="W38" i="19"/>
  <c r="O5" i="3"/>
  <c r="P5" i="3" s="1"/>
  <c r="Q5" i="3" s="1"/>
  <c r="R5" i="3" s="1"/>
  <c r="U5" i="3"/>
  <c r="C37" i="35"/>
  <c r="Y13" i="35"/>
  <c r="B1" i="35"/>
  <c r="E6" i="36" l="1"/>
  <c r="Z6" i="25" l="1"/>
  <c r="W44" i="11" l="1"/>
  <c r="AF2" i="25" l="1"/>
  <c r="AF1" i="25"/>
  <c r="J42" i="3" l="1"/>
  <c r="G46" i="7" l="1"/>
  <c r="G9" i="4"/>
  <c r="G7" i="4" s="1"/>
  <c r="P28" i="36" l="1"/>
  <c r="L8" i="36" l="1"/>
  <c r="F6" i="36" l="1"/>
  <c r="E3" i="36"/>
  <c r="L15" i="25" l="1"/>
  <c r="Y15" i="25" s="1"/>
  <c r="AD22" i="24" l="1"/>
  <c r="AE22" i="24"/>
  <c r="AF22" i="24"/>
  <c r="AG22" i="24"/>
  <c r="AH22" i="24"/>
  <c r="AI22" i="24"/>
  <c r="AJ22" i="24"/>
  <c r="AK22" i="24"/>
  <c r="AL22" i="24"/>
  <c r="AM22" i="24"/>
  <c r="AN22" i="24"/>
  <c r="AO22" i="24"/>
  <c r="AP22" i="24"/>
  <c r="L2" i="24" l="1"/>
  <c r="H14" i="34" l="1"/>
  <c r="I14" i="34" s="1"/>
  <c r="G15" i="34"/>
  <c r="H16" i="34"/>
  <c r="H17" i="34"/>
  <c r="I17" i="34" s="1"/>
  <c r="G19" i="34"/>
  <c r="H19" i="34" s="1"/>
  <c r="G18" i="34" l="1"/>
  <c r="H18" i="34" s="1"/>
  <c r="I18" i="34" s="1"/>
  <c r="H15" i="34"/>
  <c r="H20" i="34"/>
  <c r="G11" i="34" l="1"/>
  <c r="I11" i="34" s="1"/>
  <c r="H13" i="34" l="1"/>
  <c r="H4" i="34"/>
  <c r="H5" i="34"/>
  <c r="G7" i="34"/>
  <c r="I7" i="34" s="1"/>
  <c r="G8" i="34"/>
  <c r="I8" i="34" s="1"/>
  <c r="G10" i="34"/>
  <c r="I10" i="34" s="1"/>
  <c r="U5" i="35"/>
  <c r="V5" i="35" s="1"/>
  <c r="W5" i="35" s="1"/>
  <c r="O5" i="35"/>
  <c r="P5" i="35" s="1"/>
  <c r="P2" i="35" s="1"/>
  <c r="O4" i="35"/>
  <c r="P4" i="35" s="1"/>
  <c r="Q4" i="35" s="1"/>
  <c r="R4" i="35" s="1"/>
  <c r="S2" i="35"/>
  <c r="N2" i="35"/>
  <c r="I21" i="34" l="1"/>
  <c r="G21" i="34"/>
  <c r="H21" i="34"/>
  <c r="O2" i="35"/>
  <c r="Q5" i="35"/>
  <c r="R5" i="35" s="1"/>
  <c r="W13" i="33"/>
  <c r="Q2" i="35" l="1"/>
  <c r="R2" i="35" l="1"/>
  <c r="O5" i="33" l="1"/>
  <c r="P5" i="33" s="1"/>
  <c r="O4" i="33"/>
  <c r="P4" i="33" s="1"/>
  <c r="Q4" i="33" s="1"/>
  <c r="R4" i="33" s="1"/>
  <c r="BD3" i="33"/>
  <c r="BE3" i="33" s="1"/>
  <c r="BF3" i="33" s="1"/>
  <c r="BG3" i="33" s="1"/>
  <c r="BH3" i="33" s="1"/>
  <c r="BI3" i="33" s="1"/>
  <c r="BJ3" i="33" s="1"/>
  <c r="BK3" i="33" s="1"/>
  <c r="BL3" i="33" s="1"/>
  <c r="BM3" i="33" s="1"/>
  <c r="BN3" i="33" s="1"/>
  <c r="BO3" i="33" s="1"/>
  <c r="BP3" i="33" s="1"/>
  <c r="BQ3" i="33" s="1"/>
  <c r="BR3" i="33" s="1"/>
  <c r="BS3" i="33" s="1"/>
  <c r="BT3" i="33" s="1"/>
  <c r="BU3" i="33" s="1"/>
  <c r="BV3" i="33" s="1"/>
  <c r="BW3" i="33" s="1"/>
  <c r="BX3" i="33" s="1"/>
  <c r="BY3" i="33" s="1"/>
  <c r="BZ3" i="33" s="1"/>
  <c r="CA3" i="33" s="1"/>
  <c r="S2" i="33"/>
  <c r="N2" i="33"/>
  <c r="B1" i="33"/>
  <c r="Q5" i="33" l="1"/>
  <c r="P2" i="33"/>
  <c r="O2" i="33"/>
  <c r="R5" i="33" l="1"/>
  <c r="Q2" i="33"/>
  <c r="R2" i="33" l="1"/>
  <c r="S14" i="33" l="1"/>
  <c r="U14" i="33" s="1"/>
  <c r="H11" i="4" l="1"/>
  <c r="J11" i="4" s="1"/>
  <c r="G9" i="11" l="1"/>
  <c r="G7" i="11" s="1"/>
  <c r="G9" i="8"/>
  <c r="G7" i="8" s="1"/>
  <c r="G9" i="5"/>
  <c r="G7" i="5" s="1"/>
  <c r="G9" i="6"/>
  <c r="G7" i="6" s="1"/>
  <c r="G9" i="7"/>
  <c r="G7" i="7" s="1"/>
  <c r="Z9" i="7" l="1"/>
  <c r="Z7" i="7" s="1"/>
  <c r="Z9" i="5"/>
  <c r="Z7" i="5" s="1"/>
  <c r="Z9" i="4"/>
  <c r="Z7" i="4" s="1"/>
  <c r="Z34" i="4" s="1"/>
  <c r="H33" i="25"/>
  <c r="Z33" i="25"/>
  <c r="BL27" i="24"/>
  <c r="Z24" i="8"/>
  <c r="Z24" i="7" l="1"/>
  <c r="Z24" i="4"/>
  <c r="H24" i="28" l="1"/>
  <c r="Z18" i="4" l="1"/>
  <c r="Z18" i="8"/>
  <c r="Z18" i="7"/>
  <c r="K11" i="4" l="1"/>
  <c r="E28" i="5"/>
  <c r="E13" i="5"/>
  <c r="E12" i="5"/>
  <c r="E11" i="5"/>
  <c r="E28" i="6"/>
  <c r="E26" i="6"/>
  <c r="E25" i="6"/>
  <c r="E21" i="6"/>
  <c r="E13" i="6"/>
  <c r="E12" i="6"/>
  <c r="E11" i="6"/>
  <c r="E28" i="7"/>
  <c r="E26" i="7"/>
  <c r="E25" i="7"/>
  <c r="E21" i="7"/>
  <c r="E13" i="7"/>
  <c r="E12" i="7"/>
  <c r="E11" i="7"/>
  <c r="E28" i="8"/>
  <c r="E26" i="8"/>
  <c r="E25" i="8"/>
  <c r="E21" i="8"/>
  <c r="E12" i="8"/>
  <c r="E11" i="8"/>
  <c r="E28" i="11"/>
  <c r="E26" i="11"/>
  <c r="E25" i="11"/>
  <c r="E21" i="11"/>
  <c r="E13" i="11"/>
  <c r="E12" i="11"/>
  <c r="E11" i="11"/>
  <c r="F26" i="23"/>
  <c r="F25" i="23"/>
  <c r="F34" i="22"/>
  <c r="F43" i="21"/>
  <c r="F42" i="21"/>
  <c r="F41" i="21"/>
  <c r="F38" i="21"/>
  <c r="F37" i="21"/>
  <c r="F36" i="21"/>
  <c r="F39" i="21" s="1"/>
  <c r="F22" i="21"/>
  <c r="F21" i="21"/>
  <c r="F29" i="21" s="1"/>
  <c r="V11" i="20"/>
  <c r="F19" i="21" l="1"/>
  <c r="F17" i="22"/>
  <c r="M21" i="36" l="1"/>
  <c r="AE28" i="14" l="1"/>
  <c r="AE26" i="14"/>
  <c r="AE25" i="14"/>
  <c r="AE21" i="14"/>
  <c r="AC28" i="14"/>
  <c r="AC26" i="14"/>
  <c r="AC25" i="14"/>
  <c r="AC24" i="14"/>
  <c r="AC23" i="14"/>
  <c r="AC22" i="14"/>
  <c r="AC21" i="14"/>
  <c r="AC20" i="14"/>
  <c r="AC19" i="14"/>
  <c r="AC18" i="14"/>
  <c r="AC17" i="14"/>
  <c r="AB28" i="14"/>
  <c r="AB26" i="14"/>
  <c r="AB25" i="14"/>
  <c r="AB21" i="14"/>
  <c r="AA28" i="14"/>
  <c r="AA26" i="14"/>
  <c r="AA25" i="14"/>
  <c r="AA21" i="14"/>
  <c r="Z28" i="14"/>
  <c r="Z26" i="14"/>
  <c r="Z25" i="14"/>
  <c r="Z24" i="14"/>
  <c r="Z21" i="14"/>
  <c r="Z18" i="14"/>
  <c r="R28" i="14"/>
  <c r="Q28" i="14"/>
  <c r="R26" i="14"/>
  <c r="Q26" i="14"/>
  <c r="P26" i="14"/>
  <c r="O26" i="14"/>
  <c r="N26" i="14"/>
  <c r="R25" i="14"/>
  <c r="Q25" i="14"/>
  <c r="P25" i="14"/>
  <c r="O25" i="14"/>
  <c r="N25" i="14"/>
  <c r="R21" i="14"/>
  <c r="Q21" i="14"/>
  <c r="P21" i="14"/>
  <c r="O21" i="14"/>
  <c r="N21" i="14"/>
  <c r="G28" i="14"/>
  <c r="G26" i="14"/>
  <c r="G25" i="14"/>
  <c r="G21" i="14"/>
  <c r="AK28" i="14"/>
  <c r="AK26" i="14"/>
  <c r="AK25" i="14"/>
  <c r="AK21" i="14"/>
  <c r="AK13" i="14"/>
  <c r="AK14" i="33" s="1"/>
  <c r="AK12" i="14"/>
  <c r="AK11" i="14"/>
  <c r="CA14" i="33"/>
  <c r="BZ14" i="33"/>
  <c r="BY14" i="33"/>
  <c r="BX14" i="33"/>
  <c r="BW14" i="33"/>
  <c r="BV14" i="33"/>
  <c r="BU14" i="33"/>
  <c r="BT14" i="33"/>
  <c r="BS14" i="33"/>
  <c r="BR14" i="33"/>
  <c r="BQ14" i="33"/>
  <c r="BP14" i="33"/>
  <c r="BO14" i="33"/>
  <c r="BN14" i="33"/>
  <c r="BM14" i="33"/>
  <c r="BL14" i="33"/>
  <c r="BK14" i="33"/>
  <c r="BJ14" i="33"/>
  <c r="BI14" i="33"/>
  <c r="BH14" i="33"/>
  <c r="BG14" i="33"/>
  <c r="BF14" i="33"/>
  <c r="BE14" i="33"/>
  <c r="BD14" i="33"/>
  <c r="BC14" i="33"/>
  <c r="BB14" i="33"/>
  <c r="BA14" i="33"/>
  <c r="AZ14" i="33"/>
  <c r="AY14" i="33"/>
  <c r="AX14" i="33"/>
  <c r="AW14" i="33"/>
  <c r="AV14" i="33"/>
  <c r="AU14" i="33"/>
  <c r="AT14" i="33"/>
  <c r="AS14" i="33"/>
  <c r="AR14" i="33"/>
  <c r="AQ14" i="33"/>
  <c r="AP14" i="33"/>
  <c r="AO14" i="33"/>
  <c r="AN14" i="33"/>
  <c r="AM14" i="33"/>
  <c r="AL14" i="33"/>
  <c r="AC13" i="14"/>
  <c r="AB14" i="33" s="1"/>
  <c r="AC12" i="14"/>
  <c r="AC11" i="14"/>
  <c r="AB13" i="14"/>
  <c r="AA14" i="33" s="1"/>
  <c r="AB12" i="14"/>
  <c r="AB11" i="14"/>
  <c r="AA13" i="14"/>
  <c r="Z14" i="33" s="1"/>
  <c r="AA12" i="14"/>
  <c r="AA11" i="14"/>
  <c r="Z13" i="14"/>
  <c r="Y14" i="33" s="1"/>
  <c r="Z12" i="14"/>
  <c r="Z11" i="14"/>
  <c r="R13" i="14"/>
  <c r="R14" i="33" s="1"/>
  <c r="Q13" i="14"/>
  <c r="Q14" i="33" s="1"/>
  <c r="P13" i="14"/>
  <c r="P14" i="33" s="1"/>
  <c r="O13" i="14"/>
  <c r="O14" i="33" s="1"/>
  <c r="R12" i="14"/>
  <c r="Q12" i="14"/>
  <c r="P12" i="14"/>
  <c r="O12" i="14"/>
  <c r="R11" i="14"/>
  <c r="Q11" i="14"/>
  <c r="P11" i="14"/>
  <c r="O11" i="14"/>
  <c r="N13" i="14"/>
  <c r="N14" i="33" s="1"/>
  <c r="N12" i="14"/>
  <c r="N11" i="14"/>
  <c r="E28" i="14"/>
  <c r="E26" i="14"/>
  <c r="E25" i="14"/>
  <c r="E21" i="14"/>
  <c r="G13" i="14"/>
  <c r="G14" i="33" s="1"/>
  <c r="E13" i="14"/>
  <c r="E14" i="33" s="1"/>
  <c r="G12" i="14"/>
  <c r="E12" i="14"/>
  <c r="G11" i="14"/>
  <c r="E11" i="14"/>
  <c r="R9" i="35" l="1"/>
  <c r="R7" i="35" s="1"/>
  <c r="R35" i="35" s="1"/>
  <c r="L14" i="33"/>
  <c r="AJ14" i="33"/>
  <c r="E13" i="33"/>
  <c r="Z11" i="33"/>
  <c r="Z13" i="33"/>
  <c r="AM11" i="33"/>
  <c r="AU11" i="33"/>
  <c r="BC11" i="33"/>
  <c r="BK11" i="33"/>
  <c r="BS11" i="33"/>
  <c r="CA11" i="33"/>
  <c r="AT12" i="33"/>
  <c r="BB12" i="33"/>
  <c r="BJ12" i="33"/>
  <c r="BR12" i="33"/>
  <c r="BZ12" i="33"/>
  <c r="AM13" i="33"/>
  <c r="AU13" i="33"/>
  <c r="BC13" i="33"/>
  <c r="BK13" i="33"/>
  <c r="BS13" i="33"/>
  <c r="CA13" i="33"/>
  <c r="AW18" i="33"/>
  <c r="AM22" i="33"/>
  <c r="AU22" i="33"/>
  <c r="BC22" i="33"/>
  <c r="BK22" i="33"/>
  <c r="BS22" i="33"/>
  <c r="CA22" i="33"/>
  <c r="AU24" i="33"/>
  <c r="AM29" i="33"/>
  <c r="AU29" i="33"/>
  <c r="BC29" i="33"/>
  <c r="BK29" i="33"/>
  <c r="BS29" i="33"/>
  <c r="CA29" i="33"/>
  <c r="O22" i="33"/>
  <c r="AA22" i="33"/>
  <c r="AB22" i="33"/>
  <c r="E12" i="35"/>
  <c r="E12" i="33"/>
  <c r="G13" i="33"/>
  <c r="O12" i="33"/>
  <c r="Z12" i="33"/>
  <c r="AN11" i="33"/>
  <c r="AV11" i="33"/>
  <c r="BD11" i="33"/>
  <c r="BL11" i="33"/>
  <c r="BT11" i="33"/>
  <c r="AM12" i="33"/>
  <c r="AU12" i="33"/>
  <c r="BC12" i="33"/>
  <c r="BK12" i="33"/>
  <c r="BS12" i="33"/>
  <c r="CA12" i="33"/>
  <c r="AN13" i="33"/>
  <c r="AV13" i="33"/>
  <c r="BD13" i="33"/>
  <c r="BL13" i="33"/>
  <c r="BT13" i="33"/>
  <c r="AV19" i="33"/>
  <c r="AN22" i="33"/>
  <c r="AV22" i="33"/>
  <c r="BD22" i="33"/>
  <c r="BL22" i="33"/>
  <c r="BT22" i="33"/>
  <c r="AQ23" i="33"/>
  <c r="AV24" i="33"/>
  <c r="AK13" i="33"/>
  <c r="AN29" i="33"/>
  <c r="AV29" i="33"/>
  <c r="BD29" i="33"/>
  <c r="BL29" i="33"/>
  <c r="BT29" i="33"/>
  <c r="G22" i="33"/>
  <c r="P22" i="33"/>
  <c r="AB23" i="33"/>
  <c r="G12" i="33"/>
  <c r="N11" i="33"/>
  <c r="N13" i="33"/>
  <c r="P12" i="33"/>
  <c r="AA11" i="33"/>
  <c r="AA13" i="33"/>
  <c r="AO11" i="33"/>
  <c r="AW11" i="33"/>
  <c r="BM11" i="33"/>
  <c r="BU11" i="33"/>
  <c r="AN12" i="33"/>
  <c r="AV12" i="33"/>
  <c r="BD12" i="33"/>
  <c r="BL12" i="33"/>
  <c r="BT12" i="33"/>
  <c r="AO13" i="33"/>
  <c r="AW13" i="33"/>
  <c r="BE13" i="33"/>
  <c r="BM13" i="33"/>
  <c r="BU13" i="33"/>
  <c r="AQ18" i="33"/>
  <c r="AW19" i="33"/>
  <c r="AO22" i="33"/>
  <c r="AW22" i="33"/>
  <c r="BE22" i="33"/>
  <c r="BM22" i="33"/>
  <c r="BU22" i="33"/>
  <c r="AR23" i="33"/>
  <c r="AW24" i="33"/>
  <c r="AW27" i="33"/>
  <c r="AK12" i="33"/>
  <c r="AO29" i="33"/>
  <c r="AW29" i="33"/>
  <c r="BE29" i="33"/>
  <c r="BM29" i="33"/>
  <c r="BU29" i="33"/>
  <c r="Q22" i="33"/>
  <c r="AB24" i="33"/>
  <c r="AH29" i="35"/>
  <c r="AD29" i="33"/>
  <c r="N12" i="33"/>
  <c r="Q12" i="33"/>
  <c r="AA12" i="33"/>
  <c r="AP11" i="33"/>
  <c r="AX11" i="33"/>
  <c r="BN11" i="33"/>
  <c r="BV11" i="33"/>
  <c r="AO12" i="33"/>
  <c r="AW12" i="33"/>
  <c r="BE12" i="33"/>
  <c r="BM12" i="33"/>
  <c r="BU12" i="33"/>
  <c r="AP13" i="33"/>
  <c r="AX13" i="33"/>
  <c r="BF13" i="33"/>
  <c r="BN13" i="33"/>
  <c r="BV13" i="33"/>
  <c r="AR18" i="33"/>
  <c r="AV20" i="33"/>
  <c r="AP22" i="33"/>
  <c r="AX22" i="33"/>
  <c r="BF22" i="33"/>
  <c r="BN22" i="33"/>
  <c r="BV22" i="33"/>
  <c r="AS23" i="33"/>
  <c r="AV25" i="33"/>
  <c r="AK22" i="33"/>
  <c r="AP29" i="33"/>
  <c r="AX29" i="33"/>
  <c r="BF29" i="33"/>
  <c r="BN29" i="33"/>
  <c r="BV29" i="33"/>
  <c r="R22" i="33"/>
  <c r="Q29" i="33"/>
  <c r="AC29" i="35"/>
  <c r="Y29" i="33"/>
  <c r="AE29" i="35"/>
  <c r="AA29" i="33"/>
  <c r="AB25" i="33"/>
  <c r="O11" i="33"/>
  <c r="R12" i="33"/>
  <c r="O13" i="33"/>
  <c r="AB11" i="33"/>
  <c r="AB13" i="33"/>
  <c r="AF13" i="33" s="1"/>
  <c r="AQ11" i="33"/>
  <c r="AY11" i="33"/>
  <c r="BG11" i="33"/>
  <c r="BO11" i="33"/>
  <c r="BW11" i="33"/>
  <c r="AP12" i="33"/>
  <c r="AX12" i="33"/>
  <c r="BF12" i="33"/>
  <c r="BN12" i="33"/>
  <c r="BV12" i="33"/>
  <c r="AQ13" i="33"/>
  <c r="AY13" i="33"/>
  <c r="BG13" i="33"/>
  <c r="BO13" i="33"/>
  <c r="BW13" i="33"/>
  <c r="AS18" i="33"/>
  <c r="AW20" i="33"/>
  <c r="AQ22" i="33"/>
  <c r="AY22" i="33"/>
  <c r="BG22" i="33"/>
  <c r="BO22" i="33"/>
  <c r="BW22" i="33"/>
  <c r="AT23" i="33"/>
  <c r="AW25" i="33"/>
  <c r="AQ29" i="33"/>
  <c r="AY29" i="33"/>
  <c r="BG29" i="33"/>
  <c r="BO29" i="33"/>
  <c r="BW29" i="33"/>
  <c r="G29" i="35"/>
  <c r="G29" i="33"/>
  <c r="R29" i="33"/>
  <c r="Z22" i="33"/>
  <c r="AB18" i="33"/>
  <c r="P11" i="33"/>
  <c r="P13" i="33"/>
  <c r="AB12" i="33"/>
  <c r="AR11" i="33"/>
  <c r="AZ11" i="33"/>
  <c r="BH11" i="33"/>
  <c r="BP11" i="33"/>
  <c r="BX11" i="33"/>
  <c r="AQ12" i="33"/>
  <c r="AY12" i="33"/>
  <c r="BG12" i="33"/>
  <c r="BO12" i="33"/>
  <c r="BW12" i="33"/>
  <c r="AR13" i="33"/>
  <c r="AZ13" i="33"/>
  <c r="BH13" i="33"/>
  <c r="BP13" i="33"/>
  <c r="BX13" i="33"/>
  <c r="AT18" i="33"/>
  <c r="AR22" i="33"/>
  <c r="AZ22" i="33"/>
  <c r="BH22" i="33"/>
  <c r="BP22" i="33"/>
  <c r="BX22" i="33"/>
  <c r="AU23" i="33"/>
  <c r="AR29" i="33"/>
  <c r="AZ29" i="33"/>
  <c r="BH29" i="33"/>
  <c r="BP29" i="33"/>
  <c r="BX29" i="33"/>
  <c r="AB19" i="33"/>
  <c r="E21" i="35"/>
  <c r="E22" i="33"/>
  <c r="Q11" i="33"/>
  <c r="Q13" i="33"/>
  <c r="AL11" i="33"/>
  <c r="AL13" i="33"/>
  <c r="AS11" i="33"/>
  <c r="BA11" i="33"/>
  <c r="BI11" i="33"/>
  <c r="BQ11" i="33"/>
  <c r="BY11" i="33"/>
  <c r="AR12" i="33"/>
  <c r="AZ12" i="33"/>
  <c r="BH12" i="33"/>
  <c r="BP12" i="33"/>
  <c r="BX12" i="33"/>
  <c r="AS13" i="33"/>
  <c r="BA13" i="33"/>
  <c r="BI13" i="33"/>
  <c r="BQ13" i="33"/>
  <c r="BY13" i="33"/>
  <c r="AU18" i="33"/>
  <c r="AS22" i="33"/>
  <c r="BA22" i="33"/>
  <c r="BI22" i="33"/>
  <c r="BQ22" i="33"/>
  <c r="BY22" i="33"/>
  <c r="AV23" i="33"/>
  <c r="AO29" i="35"/>
  <c r="AK29" i="33"/>
  <c r="AS29" i="33"/>
  <c r="BA29" i="33"/>
  <c r="BI29" i="33"/>
  <c r="BQ29" i="33"/>
  <c r="BY29" i="33"/>
  <c r="AB20" i="33"/>
  <c r="AF29" i="35"/>
  <c r="AB29" i="33"/>
  <c r="E11" i="35"/>
  <c r="E11" i="33"/>
  <c r="E9" i="33" s="1"/>
  <c r="R11" i="33"/>
  <c r="R13" i="33"/>
  <c r="AL12" i="33"/>
  <c r="AT11" i="33"/>
  <c r="BB11" i="33"/>
  <c r="BJ11" i="33"/>
  <c r="BR11" i="33"/>
  <c r="BZ11" i="33"/>
  <c r="AS12" i="33"/>
  <c r="BA12" i="33"/>
  <c r="BI12" i="33"/>
  <c r="BQ12" i="33"/>
  <c r="BY12" i="33"/>
  <c r="AT13" i="33"/>
  <c r="BB13" i="33"/>
  <c r="BJ13" i="33"/>
  <c r="BR13" i="33"/>
  <c r="BZ13" i="33"/>
  <c r="AV18" i="33"/>
  <c r="AL22" i="33"/>
  <c r="AT22" i="33"/>
  <c r="BB22" i="33"/>
  <c r="BJ22" i="33"/>
  <c r="BR22" i="33"/>
  <c r="BZ22" i="33"/>
  <c r="AW23" i="33"/>
  <c r="AL29" i="33"/>
  <c r="AT29" i="33"/>
  <c r="BB29" i="33"/>
  <c r="BJ29" i="33"/>
  <c r="BR29" i="33"/>
  <c r="BZ29" i="33"/>
  <c r="N22" i="33"/>
  <c r="Y22" i="33"/>
  <c r="AD29" i="35"/>
  <c r="Z29" i="33"/>
  <c r="AB21" i="33"/>
  <c r="Y11" i="33"/>
  <c r="Y13" i="33"/>
  <c r="AG13" i="33" s="1"/>
  <c r="Y12" i="33"/>
  <c r="BF11" i="33"/>
  <c r="G9" i="35"/>
  <c r="G11" i="33"/>
  <c r="AD22" i="33"/>
  <c r="AK11" i="33"/>
  <c r="Y25" i="33"/>
  <c r="BE11" i="33"/>
  <c r="Y19" i="33"/>
  <c r="BD9" i="33" l="1"/>
  <c r="BD7" i="33" s="1"/>
  <c r="AT9" i="33"/>
  <c r="AT7" i="33" s="1"/>
  <c r="G9" i="33"/>
  <c r="G7" i="33" s="1"/>
  <c r="BF9" i="33"/>
  <c r="BF7" i="33" s="1"/>
  <c r="BZ9" i="33"/>
  <c r="BZ7" i="33" s="1"/>
  <c r="BR9" i="33"/>
  <c r="BR7" i="33" s="1"/>
  <c r="AK9" i="33"/>
  <c r="AK7" i="33" s="1"/>
  <c r="W12" i="35"/>
  <c r="W21" i="35"/>
  <c r="W11" i="35"/>
  <c r="G7" i="35"/>
  <c r="AO9" i="35"/>
  <c r="AO7" i="35" s="1"/>
  <c r="U12" i="35"/>
  <c r="Q9" i="35"/>
  <c r="Q7" i="35" s="1"/>
  <c r="Q35" i="35" s="1"/>
  <c r="U21" i="35"/>
  <c r="P9" i="35"/>
  <c r="P7" i="35" s="1"/>
  <c r="P35" i="35" s="1"/>
  <c r="AY9" i="33"/>
  <c r="AY7" i="33" s="1"/>
  <c r="AB9" i="33"/>
  <c r="AB7" i="33" s="1"/>
  <c r="AX9" i="33"/>
  <c r="AX7" i="33" s="1"/>
  <c r="L12" i="33"/>
  <c r="AJ12" i="33"/>
  <c r="S12" i="35"/>
  <c r="S22" i="33"/>
  <c r="U22" i="33" s="1"/>
  <c r="AV9" i="33"/>
  <c r="AV7" i="33" s="1"/>
  <c r="BY9" i="33"/>
  <c r="BY7" i="33" s="1"/>
  <c r="AS9" i="33"/>
  <c r="AS7" i="33" s="1"/>
  <c r="BH9" i="33"/>
  <c r="BH7" i="33" s="1"/>
  <c r="AF9" i="35"/>
  <c r="AF7" i="35" s="1"/>
  <c r="L12" i="35"/>
  <c r="AO9" i="33"/>
  <c r="AO7" i="33" s="1"/>
  <c r="AA9" i="33"/>
  <c r="AA7" i="33" s="1"/>
  <c r="S21" i="35"/>
  <c r="BS9" i="33"/>
  <c r="BS7" i="33" s="1"/>
  <c r="AM9" i="33"/>
  <c r="AM7" i="33" s="1"/>
  <c r="L22" i="33"/>
  <c r="BJ9" i="33"/>
  <c r="BJ7" i="33" s="1"/>
  <c r="E7" i="33"/>
  <c r="V11" i="35"/>
  <c r="BW9" i="33"/>
  <c r="BW7" i="33" s="1"/>
  <c r="AQ9" i="33"/>
  <c r="AQ7" i="33" s="1"/>
  <c r="AJ22" i="33"/>
  <c r="AP9" i="33"/>
  <c r="AP7" i="33" s="1"/>
  <c r="AT9" i="35"/>
  <c r="AT7" i="35" s="1"/>
  <c r="AE9" i="35"/>
  <c r="AE7" i="35" s="1"/>
  <c r="V12" i="35"/>
  <c r="AJ13" i="33"/>
  <c r="BT9" i="33"/>
  <c r="BT7" i="33" s="1"/>
  <c r="AN9" i="33"/>
  <c r="AN7" i="33" s="1"/>
  <c r="AR9" i="35"/>
  <c r="AR7" i="35" s="1"/>
  <c r="L21" i="35"/>
  <c r="E9" i="35"/>
  <c r="E7" i="35" s="1"/>
  <c r="AJ29" i="33"/>
  <c r="BQ9" i="33"/>
  <c r="BQ7" i="33" s="1"/>
  <c r="AZ9" i="33"/>
  <c r="AZ7" i="33" s="1"/>
  <c r="AU9" i="35"/>
  <c r="AU7" i="35" s="1"/>
  <c r="BU9" i="33"/>
  <c r="BU7" i="33" s="1"/>
  <c r="L13" i="33"/>
  <c r="V21" i="35"/>
  <c r="AS9" i="35"/>
  <c r="AS7" i="35" s="1"/>
  <c r="BK9" i="33"/>
  <c r="BK7" i="33" s="1"/>
  <c r="Z9" i="33"/>
  <c r="Z7" i="33" s="1"/>
  <c r="BB9" i="33"/>
  <c r="BB7" i="33" s="1"/>
  <c r="R9" i="33"/>
  <c r="R7" i="33" s="1"/>
  <c r="R35" i="33" s="1"/>
  <c r="AN29" i="35"/>
  <c r="BO9" i="33"/>
  <c r="BO7" i="33" s="1"/>
  <c r="BV9" i="33"/>
  <c r="BV7" i="33" s="1"/>
  <c r="BL9" i="33"/>
  <c r="BL7" i="33" s="1"/>
  <c r="AD9" i="35"/>
  <c r="AD7" i="35" s="1"/>
  <c r="BI9" i="33"/>
  <c r="BI7" i="33" s="1"/>
  <c r="AL9" i="33"/>
  <c r="AL7" i="33" s="1"/>
  <c r="BX9" i="33"/>
  <c r="BX7" i="33" s="1"/>
  <c r="AR9" i="33"/>
  <c r="AR7" i="33" s="1"/>
  <c r="BM9" i="33"/>
  <c r="BM7" i="33" s="1"/>
  <c r="N9" i="33"/>
  <c r="N7" i="33" s="1"/>
  <c r="N35" i="33" s="1"/>
  <c r="BC9" i="33"/>
  <c r="BC7" i="33" s="1"/>
  <c r="U29" i="35"/>
  <c r="AQ9" i="35"/>
  <c r="AQ7" i="35" s="1"/>
  <c r="BG9" i="33"/>
  <c r="BG7" i="33" s="1"/>
  <c r="O9" i="33"/>
  <c r="O7" i="33" s="1"/>
  <c r="O35" i="33" s="1"/>
  <c r="BN9" i="33"/>
  <c r="BN7" i="33" s="1"/>
  <c r="N9" i="35"/>
  <c r="N7" i="35" s="1"/>
  <c r="N35" i="35" s="1"/>
  <c r="BA9" i="33"/>
  <c r="BA7" i="33" s="1"/>
  <c r="Q9" i="33"/>
  <c r="Q7" i="33" s="1"/>
  <c r="Q35" i="33" s="1"/>
  <c r="BP9" i="33"/>
  <c r="BP7" i="33" s="1"/>
  <c r="S13" i="33"/>
  <c r="U13" i="33" s="1"/>
  <c r="P9" i="33"/>
  <c r="P7" i="33" s="1"/>
  <c r="P35" i="33" s="1"/>
  <c r="O9" i="35"/>
  <c r="O7" i="35" s="1"/>
  <c r="O35" i="35" s="1"/>
  <c r="V29" i="35"/>
  <c r="AW9" i="33"/>
  <c r="AW7" i="33" s="1"/>
  <c r="S12" i="33"/>
  <c r="U12" i="33" s="1"/>
  <c r="CA9" i="33"/>
  <c r="CA7" i="33" s="1"/>
  <c r="AU9" i="33"/>
  <c r="AU7" i="33" s="1"/>
  <c r="Y9" i="33"/>
  <c r="Y7" i="33" s="1"/>
  <c r="AC9" i="35"/>
  <c r="AC7" i="35" s="1"/>
  <c r="L11" i="33"/>
  <c r="S11" i="33"/>
  <c r="U11" i="33" s="1"/>
  <c r="L11" i="35"/>
  <c r="S11" i="35"/>
  <c r="U11" i="35"/>
  <c r="BE9" i="33"/>
  <c r="BE7" i="33" s="1"/>
  <c r="AJ11" i="33"/>
  <c r="W9" i="35" l="1"/>
  <c r="W7" i="35" s="1"/>
  <c r="W35" i="35" s="1"/>
  <c r="AJ9" i="33"/>
  <c r="AJ7" i="33" s="1"/>
  <c r="S9" i="33"/>
  <c r="S7" i="33" s="1"/>
  <c r="AN9" i="35"/>
  <c r="AN7" i="35" s="1"/>
  <c r="V9" i="35"/>
  <c r="V7" i="35" s="1"/>
  <c r="V35" i="35" s="1"/>
  <c r="AA32" i="33"/>
  <c r="AA35" i="33"/>
  <c r="AD35" i="35"/>
  <c r="AD32" i="35"/>
  <c r="Z32" i="33"/>
  <c r="Z35" i="33"/>
  <c r="AE35" i="35"/>
  <c r="AE32" i="35"/>
  <c r="S9" i="35"/>
  <c r="S7" i="35" s="1"/>
  <c r="H12" i="6" l="1"/>
  <c r="CE24" i="24" l="1"/>
  <c r="CE23" i="24"/>
  <c r="BC24" i="24" l="1"/>
  <c r="AU24" i="24"/>
  <c r="AM24" i="24"/>
  <c r="AE24" i="24"/>
  <c r="Y24" i="24"/>
  <c r="Y25" i="24" s="1"/>
  <c r="BB24" i="24"/>
  <c r="AT24" i="24"/>
  <c r="AL24" i="24"/>
  <c r="AD24" i="24"/>
  <c r="BA24" i="24"/>
  <c r="AS24" i="24"/>
  <c r="AK24" i="24"/>
  <c r="BE24" i="24"/>
  <c r="AW24" i="24"/>
  <c r="AG24" i="24"/>
  <c r="BD24" i="24"/>
  <c r="AV24" i="24"/>
  <c r="AN24" i="24"/>
  <c r="AF24" i="24"/>
  <c r="Z24" i="24"/>
  <c r="Z25" i="24" s="1"/>
  <c r="AZ24" i="24"/>
  <c r="AR24" i="24"/>
  <c r="AJ24" i="24"/>
  <c r="AQ24" i="24"/>
  <c r="AX24" i="24"/>
  <c r="AP24" i="24"/>
  <c r="AH24" i="24"/>
  <c r="AB24" i="24"/>
  <c r="AB25" i="24" s="1"/>
  <c r="AY24" i="24"/>
  <c r="AI24" i="24"/>
  <c r="AC24" i="24"/>
  <c r="AC25" i="24" s="1"/>
  <c r="AO24" i="24"/>
  <c r="AA24" i="24"/>
  <c r="AA25" i="24" s="1"/>
  <c r="M11" i="36" l="1"/>
  <c r="CE22" i="24" l="1"/>
  <c r="CE21" i="24"/>
  <c r="BC22" i="24" l="1"/>
  <c r="AU22" i="24"/>
  <c r="BB22" i="24"/>
  <c r="AT22" i="24"/>
  <c r="BA22" i="24"/>
  <c r="AS22" i="24"/>
  <c r="AV22" i="24"/>
  <c r="BD22" i="24"/>
  <c r="AZ22" i="24"/>
  <c r="AR22" i="24"/>
  <c r="AX22" i="24"/>
  <c r="AY22" i="24"/>
  <c r="BE22" i="24"/>
  <c r="AW22" i="24"/>
  <c r="CE18" i="24" l="1"/>
  <c r="CE17" i="24"/>
  <c r="AT18" i="24" l="1"/>
  <c r="BC18" i="24" l="1"/>
  <c r="AK18" i="24"/>
  <c r="AI18" i="24"/>
  <c r="AE18" i="24"/>
  <c r="AW18" i="24"/>
  <c r="AL18" i="24"/>
  <c r="AZ18" i="24"/>
  <c r="AM18" i="24"/>
  <c r="AV18" i="24"/>
  <c r="AX18" i="24"/>
  <c r="BD18" i="24"/>
  <c r="AJ18" i="24"/>
  <c r="AP18" i="24"/>
  <c r="AG18" i="24"/>
  <c r="AN18" i="24"/>
  <c r="BA18" i="24"/>
  <c r="AY18" i="24"/>
  <c r="AH18" i="24"/>
  <c r="AU18" i="24"/>
  <c r="AD18" i="24"/>
  <c r="BE18" i="24"/>
  <c r="AR18" i="24"/>
  <c r="AO18" i="24"/>
  <c r="BB18" i="24"/>
  <c r="AS18" i="24"/>
  <c r="AF18" i="24"/>
  <c r="AQ18" i="24"/>
  <c r="I3" i="31"/>
  <c r="B2" i="31"/>
  <c r="L6" i="31" l="1"/>
  <c r="CE15" i="24"/>
  <c r="CE19" i="24"/>
  <c r="M6" i="31" l="1"/>
  <c r="H15" i="27" l="1"/>
  <c r="H14" i="27"/>
  <c r="H13" i="27"/>
  <c r="H12" i="27"/>
  <c r="H11" i="27"/>
  <c r="I21" i="27" l="1"/>
  <c r="M14" i="36" l="1"/>
  <c r="L45" i="22"/>
  <c r="Y45" i="22" s="1"/>
  <c r="S14" i="22" l="1"/>
  <c r="R14" i="22"/>
  <c r="Q14" i="22"/>
  <c r="P14" i="22"/>
  <c r="O14" i="22"/>
  <c r="L14" i="22" l="1"/>
  <c r="Z22" i="4" l="1"/>
  <c r="Y14" i="22"/>
  <c r="J28" i="4" l="1"/>
  <c r="Y26" i="33" l="1"/>
  <c r="CE20" i="24" l="1"/>
  <c r="CE16" i="24"/>
  <c r="I42" i="28" l="1"/>
  <c r="I35" i="28"/>
  <c r="I29" i="28"/>
  <c r="G26" i="33"/>
  <c r="G24" i="4"/>
  <c r="I44" i="28" l="1"/>
  <c r="L42" i="28"/>
  <c r="K42" i="28"/>
  <c r="L35" i="28"/>
  <c r="K35" i="28"/>
  <c r="L29" i="28"/>
  <c r="L44" i="28" s="1"/>
  <c r="K29" i="28"/>
  <c r="G24" i="14"/>
  <c r="AH38" i="22"/>
  <c r="AH34" i="22"/>
  <c r="AH19" i="22"/>
  <c r="AH18" i="22"/>
  <c r="AH44" i="21"/>
  <c r="AH39" i="21"/>
  <c r="AI28" i="4"/>
  <c r="AI28" i="6"/>
  <c r="AI28" i="7"/>
  <c r="AI28" i="8"/>
  <c r="AI28" i="11"/>
  <c r="B32" i="23"/>
  <c r="A32" i="23"/>
  <c r="AO35" i="23"/>
  <c r="K33" i="23"/>
  <c r="E24" i="11"/>
  <c r="AO31" i="23"/>
  <c r="AO23" i="23"/>
  <c r="AO19" i="23"/>
  <c r="AO15" i="23"/>
  <c r="AN15" i="23"/>
  <c r="AM15" i="23"/>
  <c r="AL15" i="23"/>
  <c r="AK15" i="23"/>
  <c r="AJ15" i="23"/>
  <c r="AO27" i="23"/>
  <c r="E24" i="7" l="1"/>
  <c r="E24" i="8"/>
  <c r="E24" i="6"/>
  <c r="G25" i="33"/>
  <c r="AK24" i="14"/>
  <c r="K34" i="23"/>
  <c r="L34" i="23" s="1"/>
  <c r="Y34" i="23" s="1"/>
  <c r="AH15" i="23"/>
  <c r="B35" i="23"/>
  <c r="L33" i="23"/>
  <c r="X28" i="3"/>
  <c r="P28" i="31" s="1"/>
  <c r="X13" i="3"/>
  <c r="X12" i="3"/>
  <c r="L35" i="23" l="1"/>
  <c r="K35" i="23"/>
  <c r="BA25" i="33"/>
  <c r="BG25" i="33"/>
  <c r="BM25" i="33"/>
  <c r="BD25" i="33"/>
  <c r="BX25" i="33"/>
  <c r="AY25" i="33"/>
  <c r="BZ25" i="33"/>
  <c r="BP25" i="33"/>
  <c r="BB25" i="33"/>
  <c r="BT25" i="33"/>
  <c r="AX25" i="33"/>
  <c r="BR25" i="33"/>
  <c r="BH25" i="33"/>
  <c r="BV25" i="33"/>
  <c r="BL25" i="33"/>
  <c r="BJ25" i="33"/>
  <c r="AZ25" i="33"/>
  <c r="BN25" i="33"/>
  <c r="BY25" i="33"/>
  <c r="BC25" i="33"/>
  <c r="BF25" i="33"/>
  <c r="CA25" i="33"/>
  <c r="BQ25" i="33"/>
  <c r="BW25" i="33"/>
  <c r="BS25" i="33"/>
  <c r="BI25" i="33"/>
  <c r="BO25" i="33"/>
  <c r="BU25" i="33"/>
  <c r="BK25" i="33"/>
  <c r="AK25" i="33"/>
  <c r="BE25" i="33"/>
  <c r="P13" i="31"/>
  <c r="Y33" i="23"/>
  <c r="Y35" i="23" s="1"/>
  <c r="L13" i="7"/>
  <c r="H21" i="11" l="1"/>
  <c r="L21" i="11"/>
  <c r="L21" i="7"/>
  <c r="H21" i="6"/>
  <c r="L21" i="6"/>
  <c r="L21" i="8"/>
  <c r="K25" i="23" l="1"/>
  <c r="K21" i="23"/>
  <c r="K18" i="23"/>
  <c r="K17" i="23"/>
  <c r="Y42" i="28"/>
  <c r="Y44" i="28" s="1"/>
  <c r="AH19" i="21"/>
  <c r="L21" i="23" l="1"/>
  <c r="K19" i="23"/>
  <c r="L18" i="23"/>
  <c r="Y18" i="23" s="1"/>
  <c r="Y21" i="23"/>
  <c r="L25" i="23"/>
  <c r="L17" i="23"/>
  <c r="J21" i="11"/>
  <c r="J21" i="6"/>
  <c r="AE13" i="14"/>
  <c r="AD14" i="33" s="1"/>
  <c r="AA28" i="3"/>
  <c r="Q28" i="31" s="1"/>
  <c r="AA13" i="3"/>
  <c r="AA12" i="3"/>
  <c r="Q13" i="31" s="1"/>
  <c r="AP9" i="11"/>
  <c r="AO9" i="11"/>
  <c r="AN9" i="11"/>
  <c r="AM9" i="11"/>
  <c r="AL9" i="11"/>
  <c r="AP9" i="8"/>
  <c r="AO9" i="8"/>
  <c r="AN9" i="8"/>
  <c r="AM9" i="8"/>
  <c r="AL9" i="8"/>
  <c r="AJ9" i="8"/>
  <c r="AP15" i="8"/>
  <c r="AO15" i="8"/>
  <c r="AN15" i="8"/>
  <c r="AM15" i="8"/>
  <c r="AL15" i="8"/>
  <c r="AP15" i="7"/>
  <c r="AO15" i="7"/>
  <c r="AN15" i="7"/>
  <c r="AM15" i="7"/>
  <c r="AL15" i="7"/>
  <c r="AP9" i="7"/>
  <c r="AO9" i="7"/>
  <c r="AN9" i="7"/>
  <c r="AM9" i="7"/>
  <c r="AL9" i="7"/>
  <c r="AJ9" i="7"/>
  <c r="AP9" i="6"/>
  <c r="AO9" i="6"/>
  <c r="AN9" i="6"/>
  <c r="AM9" i="6"/>
  <c r="AL9" i="6"/>
  <c r="AJ9" i="6"/>
  <c r="AP9" i="4"/>
  <c r="AO9" i="4"/>
  <c r="AN9" i="4"/>
  <c r="AM9" i="4"/>
  <c r="AL9" i="4"/>
  <c r="AK9" i="4"/>
  <c r="Y25" i="23" l="1"/>
  <c r="Y17" i="23"/>
  <c r="Y19" i="23" s="1"/>
  <c r="L19" i="23"/>
  <c r="E29" i="35"/>
  <c r="E29" i="33"/>
  <c r="BA19" i="33"/>
  <c r="BA26" i="33"/>
  <c r="BV26" i="33"/>
  <c r="BT26" i="33"/>
  <c r="BB26" i="33"/>
  <c r="BI26" i="33"/>
  <c r="BP26" i="33"/>
  <c r="BR26" i="33"/>
  <c r="AZ26" i="33"/>
  <c r="BK26" i="33"/>
  <c r="BC26" i="33"/>
  <c r="BZ26" i="33"/>
  <c r="BW26" i="33"/>
  <c r="BS26" i="33"/>
  <c r="BJ26" i="33"/>
  <c r="BQ26" i="33"/>
  <c r="BE26" i="33"/>
  <c r="BF26" i="33"/>
  <c r="BG26" i="33"/>
  <c r="BO26" i="33"/>
  <c r="BY26" i="33"/>
  <c r="BM26" i="33"/>
  <c r="BN26" i="33"/>
  <c r="BH26" i="33"/>
  <c r="CA26" i="33"/>
  <c r="BU26" i="33"/>
  <c r="BL26" i="33"/>
  <c r="BX26" i="33"/>
  <c r="BD26" i="33"/>
  <c r="AE12" i="14"/>
  <c r="AE11" i="14"/>
  <c r="K21" i="11"/>
  <c r="AJ26" i="14"/>
  <c r="AJ25" i="14"/>
  <c r="AJ28" i="14"/>
  <c r="AJ21" i="14"/>
  <c r="AJ13" i="14"/>
  <c r="AJ12" i="14"/>
  <c r="AK9" i="14"/>
  <c r="AI9" i="11"/>
  <c r="AI9" i="8"/>
  <c r="AI9" i="6"/>
  <c r="AJ11" i="14"/>
  <c r="AI9" i="4"/>
  <c r="Z28" i="3"/>
  <c r="Y28" i="3"/>
  <c r="Z13" i="3"/>
  <c r="Y13" i="3"/>
  <c r="Z12" i="3"/>
  <c r="Y12" i="3"/>
  <c r="AD13" i="33" l="1"/>
  <c r="AD12" i="33"/>
  <c r="AD11" i="33"/>
  <c r="BL19" i="33"/>
  <c r="BP19" i="33"/>
  <c r="BW19" i="33"/>
  <c r="BO19" i="33"/>
  <c r="CA19" i="33"/>
  <c r="BY19" i="33"/>
  <c r="BC19" i="33"/>
  <c r="BH19" i="33"/>
  <c r="BG19" i="33"/>
  <c r="BS19" i="33"/>
  <c r="BR19" i="33"/>
  <c r="BU19" i="33"/>
  <c r="BQ19" i="33"/>
  <c r="BM19" i="33"/>
  <c r="BF19" i="33"/>
  <c r="BJ19" i="33"/>
  <c r="AZ19" i="33"/>
  <c r="BK19" i="33"/>
  <c r="BX19" i="33"/>
  <c r="BZ19" i="33"/>
  <c r="BI19" i="33"/>
  <c r="BV19" i="33"/>
  <c r="BN19" i="33"/>
  <c r="BE19" i="33"/>
  <c r="AD26" i="33"/>
  <c r="BT19" i="33"/>
  <c r="BB19" i="33"/>
  <c r="BD19" i="33"/>
  <c r="AJ9" i="14"/>
  <c r="AH9" i="35" l="1"/>
  <c r="AH7" i="35" s="1"/>
  <c r="AD9" i="33"/>
  <c r="AD7" i="33" s="1"/>
  <c r="K26" i="23" l="1"/>
  <c r="K27" i="23" s="1"/>
  <c r="H24" i="11"/>
  <c r="K22" i="23"/>
  <c r="K23" i="23" l="1"/>
  <c r="L26" i="23"/>
  <c r="L27" i="23" s="1"/>
  <c r="L22" i="23"/>
  <c r="L23" i="23" s="1"/>
  <c r="Y26" i="23" l="1"/>
  <c r="Y27" i="23" s="1"/>
  <c r="Y22" i="23"/>
  <c r="Y23" i="23" s="1"/>
  <c r="K21" i="6" l="1"/>
  <c r="H28" i="11" l="1"/>
  <c r="H26" i="11"/>
  <c r="H25" i="11"/>
  <c r="H13" i="11"/>
  <c r="H12" i="11"/>
  <c r="H11" i="11"/>
  <c r="H28" i="8"/>
  <c r="H26" i="8"/>
  <c r="H25" i="8"/>
  <c r="H21" i="8"/>
  <c r="J21" i="8" s="1"/>
  <c r="K21" i="8" s="1"/>
  <c r="H12" i="8"/>
  <c r="H11" i="8"/>
  <c r="H28" i="7"/>
  <c r="H26" i="7"/>
  <c r="H25" i="7"/>
  <c r="H24" i="7"/>
  <c r="H21" i="7"/>
  <c r="J21" i="7" s="1"/>
  <c r="K21" i="7" s="1"/>
  <c r="H13" i="7"/>
  <c r="J13" i="7" s="1"/>
  <c r="K13" i="7" s="1"/>
  <c r="H12" i="7"/>
  <c r="H11" i="7"/>
  <c r="H28" i="14" l="1"/>
  <c r="H29" i="35" s="1"/>
  <c r="AC9" i="4"/>
  <c r="AB9" i="4"/>
  <c r="AA9" i="4"/>
  <c r="R9" i="4"/>
  <c r="Q9" i="4"/>
  <c r="P9" i="4"/>
  <c r="O9" i="4"/>
  <c r="N9" i="4"/>
  <c r="N7" i="4" s="1"/>
  <c r="E9" i="4"/>
  <c r="J12" i="11"/>
  <c r="K12" i="11" s="1"/>
  <c r="L12" i="8"/>
  <c r="J12" i="8"/>
  <c r="J12" i="7"/>
  <c r="K12" i="7" s="1"/>
  <c r="L12" i="7"/>
  <c r="J12" i="6"/>
  <c r="K12" i="6" s="1"/>
  <c r="H12" i="5"/>
  <c r="L12" i="5"/>
  <c r="G12" i="3"/>
  <c r="N12" i="3"/>
  <c r="O12" i="3"/>
  <c r="P12" i="3"/>
  <c r="Q12" i="3"/>
  <c r="R12" i="3"/>
  <c r="H29" i="33" l="1"/>
  <c r="L12" i="14"/>
  <c r="H12" i="14"/>
  <c r="AG12" i="6"/>
  <c r="L12" i="3"/>
  <c r="G13" i="31" s="1"/>
  <c r="J12" i="5"/>
  <c r="K12" i="5" s="1"/>
  <c r="Y12" i="5" s="1"/>
  <c r="AG12" i="5" s="1"/>
  <c r="Y12" i="11"/>
  <c r="AG12" i="11" s="1"/>
  <c r="K12" i="8"/>
  <c r="Y12" i="8" s="1"/>
  <c r="J12" i="4"/>
  <c r="Y12" i="7"/>
  <c r="AG12" i="7" s="1"/>
  <c r="K12" i="4" l="1"/>
  <c r="J12" i="14"/>
  <c r="Y12" i="4" l="1"/>
  <c r="K12" i="14"/>
  <c r="Y12" i="14" s="1"/>
  <c r="AG12" i="14" s="1"/>
  <c r="Y11" i="4"/>
  <c r="H13" i="4" l="1"/>
  <c r="L9" i="4" l="1"/>
  <c r="H9" i="4"/>
  <c r="R28" i="3" l="1"/>
  <c r="Q28" i="3"/>
  <c r="R21" i="3"/>
  <c r="Q21" i="3"/>
  <c r="P21" i="3"/>
  <c r="O21" i="3"/>
  <c r="N21" i="3"/>
  <c r="H28" i="3"/>
  <c r="G28" i="3"/>
  <c r="G21" i="3"/>
  <c r="R13" i="3"/>
  <c r="Q13" i="3"/>
  <c r="P13" i="3"/>
  <c r="O13" i="3"/>
  <c r="N13" i="3"/>
  <c r="R11" i="3"/>
  <c r="Q11" i="3"/>
  <c r="P11" i="3"/>
  <c r="O11" i="3"/>
  <c r="N11" i="3"/>
  <c r="G13" i="3"/>
  <c r="G11" i="3"/>
  <c r="E28" i="3"/>
  <c r="Z17" i="4" l="1"/>
  <c r="G9" i="3"/>
  <c r="G7" i="3" s="1"/>
  <c r="N9" i="3"/>
  <c r="N7" i="3" s="1"/>
  <c r="O9" i="3"/>
  <c r="O7" i="3" s="1"/>
  <c r="P9" i="3"/>
  <c r="P7" i="3" s="1"/>
  <c r="R9" i="3"/>
  <c r="R7" i="3" s="1"/>
  <c r="L13" i="3"/>
  <c r="Q9" i="3"/>
  <c r="Q7" i="3" s="1"/>
  <c r="L21" i="3"/>
  <c r="G21" i="31" s="1"/>
  <c r="M8" i="36"/>
  <c r="M9" i="36"/>
  <c r="H13" i="14"/>
  <c r="H14" i="33" s="1"/>
  <c r="L26" i="11" l="1"/>
  <c r="L25" i="11"/>
  <c r="L24" i="11"/>
  <c r="L26" i="8"/>
  <c r="L25" i="8"/>
  <c r="L26" i="7"/>
  <c r="L25" i="7"/>
  <c r="L24" i="7"/>
  <c r="L26" i="6"/>
  <c r="L25" i="6"/>
  <c r="L24" i="6"/>
  <c r="L13" i="5"/>
  <c r="L11" i="5"/>
  <c r="L11" i="14" s="1"/>
  <c r="L21" i="14" l="1"/>
  <c r="L25" i="14"/>
  <c r="L26" i="14"/>
  <c r="L13" i="14"/>
  <c r="Y13" i="5"/>
  <c r="AG13" i="5" s="1"/>
  <c r="L9" i="11"/>
  <c r="L7" i="11" s="1"/>
  <c r="L9" i="7"/>
  <c r="L7" i="7" s="1"/>
  <c r="L9" i="6"/>
  <c r="L7" i="6" s="1"/>
  <c r="L7" i="4"/>
  <c r="L9" i="5"/>
  <c r="L7" i="5" s="1"/>
  <c r="L9" i="8"/>
  <c r="L7" i="8" s="1"/>
  <c r="H26" i="4"/>
  <c r="J26" i="4" s="1"/>
  <c r="H25" i="4"/>
  <c r="J25" i="4" s="1"/>
  <c r="H21" i="4"/>
  <c r="H21" i="14" s="1"/>
  <c r="S2" i="3"/>
  <c r="N2" i="3"/>
  <c r="S5" i="14"/>
  <c r="S5" i="6" l="1"/>
  <c r="J21" i="4"/>
  <c r="S5" i="5"/>
  <c r="S5" i="4"/>
  <c r="S5" i="7"/>
  <c r="S5" i="8"/>
  <c r="S5" i="11"/>
  <c r="V5" i="6" l="1"/>
  <c r="W5" i="6" s="1"/>
  <c r="S2" i="14" l="1"/>
  <c r="S2" i="4"/>
  <c r="S2" i="5"/>
  <c r="S2" i="6"/>
  <c r="S2" i="7"/>
  <c r="S2" i="8"/>
  <c r="S2" i="11"/>
  <c r="O4" i="5"/>
  <c r="P4" i="5" s="1"/>
  <c r="Q4" i="5" s="1"/>
  <c r="R4" i="5" s="1"/>
  <c r="P10" i="25" l="1"/>
  <c r="Q10" i="25" s="1"/>
  <c r="R10" i="25" s="1"/>
  <c r="S10" i="25" s="1"/>
  <c r="Z10" i="24"/>
  <c r="AA10" i="24" s="1"/>
  <c r="AB10" i="24" s="1"/>
  <c r="AC10" i="24" s="1"/>
  <c r="AD10" i="24" s="1"/>
  <c r="AE10" i="24" s="1"/>
  <c r="AF10" i="24" s="1"/>
  <c r="AG10" i="24" s="1"/>
  <c r="AH10" i="24" s="1"/>
  <c r="AI10" i="24" s="1"/>
  <c r="AJ10" i="24" s="1"/>
  <c r="AK10" i="24" s="1"/>
  <c r="AL10" i="24" s="1"/>
  <c r="AM10" i="24" s="1"/>
  <c r="AN10" i="24" s="1"/>
  <c r="AO10" i="24" s="1"/>
  <c r="AP10" i="24" s="1"/>
  <c r="AQ10" i="24" s="1"/>
  <c r="AR10" i="24" s="1"/>
  <c r="AS10" i="24" s="1"/>
  <c r="AT10" i="24" s="1"/>
  <c r="AU10" i="24" s="1"/>
  <c r="AV10" i="24" s="1"/>
  <c r="AW10" i="24" s="1"/>
  <c r="AX10" i="24" s="1"/>
  <c r="AY10" i="24" s="1"/>
  <c r="AZ10" i="24" s="1"/>
  <c r="BA10" i="24" s="1"/>
  <c r="BB10" i="24" s="1"/>
  <c r="BC10" i="24" s="1"/>
  <c r="BD10" i="24" s="1"/>
  <c r="BE10" i="24" s="1"/>
  <c r="P10" i="22"/>
  <c r="Q10" i="22" s="1"/>
  <c r="R10" i="22" s="1"/>
  <c r="S10" i="22" s="1"/>
  <c r="P10" i="23"/>
  <c r="Q10" i="23" s="1"/>
  <c r="R10" i="23" s="1"/>
  <c r="S10" i="23" s="1"/>
  <c r="P10" i="28"/>
  <c r="Q10" i="28" s="1"/>
  <c r="R10" i="28" s="1"/>
  <c r="S10" i="28" s="1"/>
  <c r="P10" i="21"/>
  <c r="Q10" i="21" s="1"/>
  <c r="R10" i="21" s="1"/>
  <c r="S10" i="21" s="1"/>
  <c r="P10" i="20"/>
  <c r="Q10" i="20" s="1"/>
  <c r="R10" i="20" s="1"/>
  <c r="S10" i="20" s="1"/>
  <c r="O4" i="3" l="1"/>
  <c r="P4" i="3" s="1"/>
  <c r="Q4" i="3" s="1"/>
  <c r="R4" i="3" s="1"/>
  <c r="O4" i="14"/>
  <c r="P4" i="14" s="1"/>
  <c r="Q4" i="14" s="1"/>
  <c r="R4" i="14" s="1"/>
  <c r="O4" i="4"/>
  <c r="P4" i="4" s="1"/>
  <c r="Q4" i="4" s="1"/>
  <c r="R4" i="4" s="1"/>
  <c r="O4" i="6"/>
  <c r="P4" i="6" s="1"/>
  <c r="Q4" i="6" s="1"/>
  <c r="R4" i="6" s="1"/>
  <c r="O4" i="7"/>
  <c r="P4" i="7" s="1"/>
  <c r="Q4" i="7" s="1"/>
  <c r="R4" i="7" s="1"/>
  <c r="O4" i="8"/>
  <c r="P4" i="8" s="1"/>
  <c r="Q4" i="8" s="1"/>
  <c r="R4" i="8" s="1"/>
  <c r="O4" i="11"/>
  <c r="P4" i="11" s="1"/>
  <c r="Q4" i="11" s="1"/>
  <c r="R4" i="11" s="1"/>
  <c r="B1" i="3"/>
  <c r="O2" i="3" l="1"/>
  <c r="P2" i="3" l="1"/>
  <c r="G9" i="27"/>
  <c r="F9" i="27"/>
  <c r="E9" i="27"/>
  <c r="D9" i="27"/>
  <c r="C9" i="27"/>
  <c r="B9" i="27"/>
  <c r="Q2" i="3" l="1"/>
  <c r="R2" i="3" l="1"/>
  <c r="Q12" i="28" l="1"/>
  <c r="P12" i="28"/>
  <c r="R12" i="28" l="1"/>
  <c r="S12" i="28"/>
  <c r="BE20" i="24"/>
  <c r="BD20" i="24"/>
  <c r="BC20" i="24"/>
  <c r="BB20" i="24"/>
  <c r="BE16" i="24"/>
  <c r="BD16" i="24"/>
  <c r="BC16" i="24"/>
  <c r="BB16" i="24"/>
  <c r="BA20" i="24"/>
  <c r="AZ20" i="24"/>
  <c r="AY20" i="24"/>
  <c r="AX20" i="24"/>
  <c r="AW20" i="24"/>
  <c r="AV20" i="24"/>
  <c r="AU20" i="24"/>
  <c r="AT20" i="24"/>
  <c r="AS20" i="24"/>
  <c r="AR20" i="24"/>
  <c r="AQ20" i="24"/>
  <c r="AP20" i="24"/>
  <c r="AO20" i="24"/>
  <c r="AN20" i="24"/>
  <c r="BA16" i="24"/>
  <c r="AZ16" i="24"/>
  <c r="AY16" i="24"/>
  <c r="AX16" i="24"/>
  <c r="AW16" i="24"/>
  <c r="AV16" i="24"/>
  <c r="AU16" i="24"/>
  <c r="AT16" i="24"/>
  <c r="AS16" i="24"/>
  <c r="AR16" i="24"/>
  <c r="AQ16" i="24"/>
  <c r="AP16" i="24"/>
  <c r="AO16" i="24"/>
  <c r="AN16" i="24"/>
  <c r="AP25" i="24" l="1"/>
  <c r="AX25" i="24"/>
  <c r="AX27" i="24" s="1"/>
  <c r="BC25" i="24"/>
  <c r="BD25" i="24"/>
  <c r="BD27" i="24" s="1"/>
  <c r="BE25" i="24"/>
  <c r="BE27" i="24" s="1"/>
  <c r="BB25" i="24"/>
  <c r="AU25" i="24"/>
  <c r="AN25" i="24"/>
  <c r="AS25" i="24"/>
  <c r="BA25" i="24"/>
  <c r="AT25" i="24"/>
  <c r="P17" i="28"/>
  <c r="Q17" i="28"/>
  <c r="R17" i="28"/>
  <c r="S17" i="28"/>
  <c r="AO25" i="24"/>
  <c r="AW25" i="24"/>
  <c r="AQ25" i="24"/>
  <c r="AY25" i="24"/>
  <c r="AR25" i="24"/>
  <c r="AZ25" i="24"/>
  <c r="AV25" i="24"/>
  <c r="AW27" i="24" l="1"/>
  <c r="AV27" i="24"/>
  <c r="AU27" i="24"/>
  <c r="BB27" i="24"/>
  <c r="AT27" i="24"/>
  <c r="BA27" i="24"/>
  <c r="BC27" i="24"/>
  <c r="AS27" i="24"/>
  <c r="AZ27" i="24"/>
  <c r="AY27" i="24"/>
  <c r="V28" i="35" l="1"/>
  <c r="S40" i="21"/>
  <c r="R40" i="21"/>
  <c r="Q40" i="21"/>
  <c r="P40" i="21"/>
  <c r="O40" i="21"/>
  <c r="O36" i="28" s="1"/>
  <c r="O28" i="23" s="1"/>
  <c r="V25" i="35" l="1"/>
  <c r="Q36" i="28"/>
  <c r="Q28" i="23" s="1"/>
  <c r="S36" i="28"/>
  <c r="S28" i="23" s="1"/>
  <c r="R36" i="28"/>
  <c r="R28" i="23" s="1"/>
  <c r="P36" i="28"/>
  <c r="P28" i="23" s="1"/>
  <c r="F33" i="21" l="1"/>
  <c r="F32" i="21"/>
  <c r="BN27" i="24" l="1"/>
  <c r="L18" i="22" l="1"/>
  <c r="Y18" i="22" s="1"/>
  <c r="O30" i="28" l="1"/>
  <c r="S22" i="28"/>
  <c r="R22" i="28"/>
  <c r="Q22" i="28"/>
  <c r="P22" i="28"/>
  <c r="O17" i="28" l="1"/>
  <c r="P30" i="28"/>
  <c r="Q30" i="28"/>
  <c r="R30" i="28"/>
  <c r="S30" i="28"/>
  <c r="O12" i="28" l="1"/>
  <c r="O22" i="28" l="1"/>
  <c r="F31" i="21" l="1"/>
  <c r="F34" i="21" s="1"/>
  <c r="AH34" i="21"/>
  <c r="S21" i="3" l="1"/>
  <c r="I21" i="31" s="1"/>
  <c r="S13" i="3"/>
  <c r="S12" i="3"/>
  <c r="I13" i="31" s="1"/>
  <c r="S11" i="3"/>
  <c r="I12" i="31" s="1"/>
  <c r="Y38" i="21" l="1"/>
  <c r="I13" i="22"/>
  <c r="I17" i="22" s="1"/>
  <c r="L42" i="22" l="1"/>
  <c r="Y42" i="22" s="1"/>
  <c r="L24" i="22"/>
  <c r="Y24" i="22" s="1"/>
  <c r="L35" i="22"/>
  <c r="Y35" i="22" s="1"/>
  <c r="L41" i="22"/>
  <c r="Y41" i="22" s="1"/>
  <c r="L23" i="22"/>
  <c r="Y23" i="22" s="1"/>
  <c r="L49" i="22"/>
  <c r="Y49" i="22" s="1"/>
  <c r="L28" i="22"/>
  <c r="Y28" i="22" s="1"/>
  <c r="L19" i="22"/>
  <c r="Y19" i="22" s="1"/>
  <c r="L27" i="22"/>
  <c r="Y27" i="22" s="1"/>
  <c r="L36" i="22"/>
  <c r="Y36" i="22" s="1"/>
  <c r="L32" i="22"/>
  <c r="L37" i="22"/>
  <c r="Y37" i="22" s="1"/>
  <c r="L44" i="22"/>
  <c r="Y44" i="22" s="1"/>
  <c r="L52" i="22"/>
  <c r="Y52" i="22" s="1"/>
  <c r="L53" i="22"/>
  <c r="Y53" i="22" s="1"/>
  <c r="L33" i="22"/>
  <c r="Y33" i="22" s="1"/>
  <c r="L50" i="22"/>
  <c r="Y50" i="22" s="1"/>
  <c r="L25" i="22"/>
  <c r="Y25" i="22" s="1"/>
  <c r="Y37" i="21"/>
  <c r="L13" i="22" l="1"/>
  <c r="K17" i="22"/>
  <c r="M10" i="36"/>
  <c r="M12" i="36"/>
  <c r="L17" i="22" l="1"/>
  <c r="M13" i="22"/>
  <c r="M17" i="22" s="1"/>
  <c r="AC13" i="3"/>
  <c r="E12" i="3" l="1"/>
  <c r="AE9" i="4"/>
  <c r="J13" i="4" l="1"/>
  <c r="E13" i="3"/>
  <c r="J9" i="4" l="1"/>
  <c r="K13" i="4"/>
  <c r="Y22" i="21"/>
  <c r="Y41" i="21"/>
  <c r="Y21" i="21"/>
  <c r="Y29" i="21" s="1"/>
  <c r="K9" i="4" l="1"/>
  <c r="Y36" i="21"/>
  <c r="Y39" i="21" s="1"/>
  <c r="Y42" i="21"/>
  <c r="O29" i="23" l="1"/>
  <c r="O37" i="23" l="1"/>
  <c r="S29" i="23"/>
  <c r="R29" i="23"/>
  <c r="Q29" i="23"/>
  <c r="P29" i="23"/>
  <c r="Q37" i="23" l="1"/>
  <c r="S37" i="23"/>
  <c r="P37" i="23"/>
  <c r="R37" i="23"/>
  <c r="AL20" i="24"/>
  <c r="AK20" i="24"/>
  <c r="AJ20" i="24"/>
  <c r="AI20" i="24"/>
  <c r="AH20" i="24"/>
  <c r="AG20" i="24"/>
  <c r="AF20" i="24"/>
  <c r="AE20" i="24"/>
  <c r="AD20" i="24"/>
  <c r="AL16" i="24"/>
  <c r="AK16" i="24"/>
  <c r="AJ16" i="24"/>
  <c r="AI16" i="24"/>
  <c r="AH16" i="24"/>
  <c r="AG16" i="24"/>
  <c r="AF16" i="24"/>
  <c r="AE16" i="24"/>
  <c r="AD16" i="24"/>
  <c r="U13" i="3" l="1"/>
  <c r="U12" i="3"/>
  <c r="K13" i="31" s="1"/>
  <c r="U21" i="3"/>
  <c r="K21" i="31" s="1"/>
  <c r="AG25" i="24"/>
  <c r="AL25" i="24"/>
  <c r="AE25" i="24"/>
  <c r="AD25" i="24"/>
  <c r="AH25" i="24"/>
  <c r="AI25" i="24"/>
  <c r="AF25" i="24"/>
  <c r="AJ25" i="24"/>
  <c r="AK25" i="24"/>
  <c r="AM20" i="24"/>
  <c r="AM16" i="24"/>
  <c r="S29" i="33" l="1"/>
  <c r="U29" i="33" s="1"/>
  <c r="A20" i="21" l="1"/>
  <c r="B12" i="21"/>
  <c r="A12" i="21"/>
  <c r="A48" i="22"/>
  <c r="B40" i="22"/>
  <c r="A40" i="22"/>
  <c r="B31" i="22"/>
  <c r="A31" i="22"/>
  <c r="B22" i="22"/>
  <c r="A22" i="22"/>
  <c r="B12" i="22"/>
  <c r="A12" i="22"/>
  <c r="A12" i="23"/>
  <c r="A16" i="23"/>
  <c r="A20" i="23"/>
  <c r="A24" i="23"/>
  <c r="A28" i="23"/>
  <c r="B36" i="28"/>
  <c r="A36" i="28"/>
  <c r="B30" i="28"/>
  <c r="A30" i="28"/>
  <c r="A22" i="28"/>
  <c r="A17" i="28"/>
  <c r="B12" i="28"/>
  <c r="A12" i="28"/>
  <c r="H35" i="25" l="1"/>
  <c r="Z35" i="25"/>
  <c r="AC28" i="3"/>
  <c r="AA21" i="3"/>
  <c r="Q21" i="31" s="1"/>
  <c r="H13" i="3" l="1"/>
  <c r="H13" i="33"/>
  <c r="H21" i="3"/>
  <c r="H22" i="33"/>
  <c r="H12" i="33"/>
  <c r="G27" i="33"/>
  <c r="H12" i="3"/>
  <c r="Y27" i="33" l="1"/>
  <c r="E111" i="35"/>
  <c r="E111" i="33"/>
  <c r="E109" i="3"/>
  <c r="B28" i="23"/>
  <c r="B24" i="23"/>
  <c r="B20" i="23"/>
  <c r="B16" i="23"/>
  <c r="E108" i="3" l="1"/>
  <c r="E110" i="35"/>
  <c r="E110" i="33"/>
  <c r="E19" i="11" l="1"/>
  <c r="H22" i="11"/>
  <c r="H23" i="11"/>
  <c r="L22" i="11" l="1"/>
  <c r="L23" i="11"/>
  <c r="B48" i="22" l="1"/>
  <c r="B31" i="23"/>
  <c r="K30" i="23"/>
  <c r="B12" i="23"/>
  <c r="B22" i="28"/>
  <c r="B17" i="28"/>
  <c r="B40" i="21"/>
  <c r="A40" i="21"/>
  <c r="B35" i="21"/>
  <c r="A35" i="21"/>
  <c r="A30" i="21"/>
  <c r="B30" i="21"/>
  <c r="B20" i="21"/>
  <c r="L30" i="23" l="1"/>
  <c r="K38" i="23"/>
  <c r="K29" i="23"/>
  <c r="K31" i="23" l="1"/>
  <c r="K37" i="23"/>
  <c r="K39" i="23" s="1"/>
  <c r="M29" i="22"/>
  <c r="Z29" i="22"/>
  <c r="Z51" i="22"/>
  <c r="Z22" i="8" s="1"/>
  <c r="H29" i="22"/>
  <c r="M26" i="22"/>
  <c r="H26" i="22"/>
  <c r="Z26" i="22"/>
  <c r="M51" i="22"/>
  <c r="H51" i="22"/>
  <c r="H46" i="22"/>
  <c r="Z46" i="22"/>
  <c r="M46" i="22"/>
  <c r="H43" i="22"/>
  <c r="AK46" i="22"/>
  <c r="AJ46" i="22"/>
  <c r="AN46" i="22"/>
  <c r="AM46" i="22"/>
  <c r="AL46" i="22"/>
  <c r="AO46" i="22"/>
  <c r="L29" i="23"/>
  <c r="L31" i="23" s="1"/>
  <c r="AN29" i="22"/>
  <c r="AL26" i="22"/>
  <c r="AJ29" i="22"/>
  <c r="AO26" i="22"/>
  <c r="AK26" i="22"/>
  <c r="AN51" i="22"/>
  <c r="AO29" i="22"/>
  <c r="AM26" i="22"/>
  <c r="AM51" i="22"/>
  <c r="AK29" i="22"/>
  <c r="AN26" i="22"/>
  <c r="AK51" i="22"/>
  <c r="AM29" i="22"/>
  <c r="AL29" i="22"/>
  <c r="AO51" i="22"/>
  <c r="AE26" i="22"/>
  <c r="H24" i="8"/>
  <c r="AJ51" i="22"/>
  <c r="AM43" i="22" l="1"/>
  <c r="AK43" i="22"/>
  <c r="AJ43" i="22"/>
  <c r="AO43" i="22"/>
  <c r="AN43" i="22"/>
  <c r="AL43" i="22"/>
  <c r="Z43" i="22"/>
  <c r="Z22" i="7" s="1"/>
  <c r="M43" i="22"/>
  <c r="H20" i="22"/>
  <c r="Z20" i="22"/>
  <c r="Z23" i="4" s="1"/>
  <c r="Z38" i="22"/>
  <c r="M38" i="22"/>
  <c r="H38" i="22"/>
  <c r="Z23" i="7"/>
  <c r="E17" i="11"/>
  <c r="Y29" i="23"/>
  <c r="AH29" i="22"/>
  <c r="H22" i="8"/>
  <c r="E23" i="6" l="1"/>
  <c r="H22" i="7"/>
  <c r="B6" i="25" l="1"/>
  <c r="B5" i="25"/>
  <c r="H6" i="24"/>
  <c r="H5" i="24"/>
  <c r="B6" i="23"/>
  <c r="B5" i="23"/>
  <c r="B6" i="22"/>
  <c r="B5" i="22"/>
  <c r="B6" i="28"/>
  <c r="B5" i="28"/>
  <c r="B6" i="21"/>
  <c r="B5" i="21"/>
  <c r="B6" i="20"/>
  <c r="B5" i="20"/>
  <c r="I20" i="27" l="1"/>
  <c r="I19" i="27"/>
  <c r="H11" i="6" l="1"/>
  <c r="H26" i="6"/>
  <c r="H25" i="6"/>
  <c r="H24" i="6"/>
  <c r="E11" i="3" l="1"/>
  <c r="AC11" i="3"/>
  <c r="E9" i="3" l="1"/>
  <c r="E7" i="3" s="1"/>
  <c r="E21" i="3"/>
  <c r="I18" i="27" l="1"/>
  <c r="N28" i="4"/>
  <c r="O28" i="4" l="1"/>
  <c r="O28" i="14" l="1"/>
  <c r="P28" i="4"/>
  <c r="L28" i="4" s="1"/>
  <c r="P28" i="14" l="1"/>
  <c r="O29" i="33"/>
  <c r="O28" i="3"/>
  <c r="P29" i="33" l="1"/>
  <c r="P28" i="3"/>
  <c r="I34" i="27" l="1"/>
  <c r="G22" i="27"/>
  <c r="F22" i="27"/>
  <c r="E22" i="27"/>
  <c r="D22" i="27"/>
  <c r="C22" i="27"/>
  <c r="B22" i="27"/>
  <c r="G15" i="27"/>
  <c r="G40" i="27" s="1"/>
  <c r="F15" i="27"/>
  <c r="E15" i="27"/>
  <c r="D15" i="27"/>
  <c r="C15" i="27"/>
  <c r="C40" i="27" s="1"/>
  <c r="B15" i="27"/>
  <c r="A4" i="27"/>
  <c r="A4" i="26"/>
  <c r="AB33" i="25"/>
  <c r="Q33" i="25"/>
  <c r="P33" i="25"/>
  <c r="O33" i="25"/>
  <c r="F33" i="25"/>
  <c r="V11" i="25"/>
  <c r="O8" i="25"/>
  <c r="H9" i="25"/>
  <c r="CB27" i="24"/>
  <c r="CA27" i="24"/>
  <c r="BZ27" i="24"/>
  <c r="BY27" i="24"/>
  <c r="BX27" i="24"/>
  <c r="BW27" i="24"/>
  <c r="BM27" i="24"/>
  <c r="AM25" i="24"/>
  <c r="AC27" i="24"/>
  <c r="AB27" i="24"/>
  <c r="AA27" i="24"/>
  <c r="Z27" i="24"/>
  <c r="Y27" i="24"/>
  <c r="BH11" i="24"/>
  <c r="Z11" i="24"/>
  <c r="V11" i="23"/>
  <c r="O8" i="23"/>
  <c r="AE38" i="22"/>
  <c r="AC38" i="22"/>
  <c r="AB38" i="22"/>
  <c r="AA38" i="22"/>
  <c r="V11" i="22"/>
  <c r="K16" i="28"/>
  <c r="K44" i="28" s="1"/>
  <c r="V11" i="28"/>
  <c r="O8" i="28"/>
  <c r="V11" i="21"/>
  <c r="P11" i="21"/>
  <c r="H9" i="21"/>
  <c r="O8" i="20"/>
  <c r="N28" i="11"/>
  <c r="J28" i="11"/>
  <c r="K28" i="11" s="1"/>
  <c r="J26" i="11"/>
  <c r="K26" i="11" s="1"/>
  <c r="J25" i="11"/>
  <c r="K25" i="11" s="1"/>
  <c r="J24" i="11"/>
  <c r="K24" i="11" s="1"/>
  <c r="J13" i="11"/>
  <c r="J11" i="11"/>
  <c r="AP7" i="11"/>
  <c r="AO7" i="11"/>
  <c r="AN7" i="11"/>
  <c r="AM7" i="11"/>
  <c r="AL7" i="11"/>
  <c r="AJ7" i="11"/>
  <c r="AE9" i="11"/>
  <c r="AB9" i="11"/>
  <c r="AB7" i="11" s="1"/>
  <c r="AA9" i="11"/>
  <c r="AA7" i="11" s="1"/>
  <c r="R9" i="11"/>
  <c r="R7" i="11" s="1"/>
  <c r="Q9" i="11"/>
  <c r="Q7" i="11" s="1"/>
  <c r="P9" i="11"/>
  <c r="O9" i="11"/>
  <c r="N9" i="11"/>
  <c r="H9" i="11"/>
  <c r="H7" i="11" s="1"/>
  <c r="E9" i="11"/>
  <c r="N2" i="11"/>
  <c r="N28" i="8"/>
  <c r="J28" i="8"/>
  <c r="K28" i="8" s="1"/>
  <c r="J26" i="8"/>
  <c r="K26" i="8" s="1"/>
  <c r="J25" i="8"/>
  <c r="K25" i="8" s="1"/>
  <c r="J24" i="8"/>
  <c r="K24" i="8" s="1"/>
  <c r="J11" i="8"/>
  <c r="AP7" i="8"/>
  <c r="AO7" i="8"/>
  <c r="AN7" i="8"/>
  <c r="AM7" i="8"/>
  <c r="AL7" i="8"/>
  <c r="AJ7" i="8"/>
  <c r="AE9" i="8"/>
  <c r="AE7" i="8" s="1"/>
  <c r="AB9" i="8"/>
  <c r="AB7" i="8" s="1"/>
  <c r="AA9" i="8"/>
  <c r="AA7" i="8" s="1"/>
  <c r="R9" i="8"/>
  <c r="R7" i="8" s="1"/>
  <c r="Q9" i="8"/>
  <c r="Q7" i="8" s="1"/>
  <c r="P9" i="8"/>
  <c r="P7" i="8" s="1"/>
  <c r="O9" i="8"/>
  <c r="O7" i="8" s="1"/>
  <c r="N9" i="8"/>
  <c r="H9" i="8"/>
  <c r="H7" i="8" s="1"/>
  <c r="E9" i="8"/>
  <c r="J28" i="7"/>
  <c r="K28" i="7" s="1"/>
  <c r="Y13" i="7"/>
  <c r="AG13" i="7" s="1"/>
  <c r="AI9" i="7"/>
  <c r="J11" i="7"/>
  <c r="AP7" i="7"/>
  <c r="AO7" i="7"/>
  <c r="AN7" i="7"/>
  <c r="AM7" i="7"/>
  <c r="AL7" i="7"/>
  <c r="AJ7" i="7"/>
  <c r="AE9" i="7"/>
  <c r="AE7" i="7" s="1"/>
  <c r="AB9" i="7"/>
  <c r="AB7" i="7" s="1"/>
  <c r="AA9" i="7"/>
  <c r="AA7" i="7" s="1"/>
  <c r="R9" i="7"/>
  <c r="R7" i="7" s="1"/>
  <c r="Q9" i="7"/>
  <c r="Q7" i="7" s="1"/>
  <c r="P9" i="7"/>
  <c r="P7" i="7" s="1"/>
  <c r="O9" i="7"/>
  <c r="O7" i="7" s="1"/>
  <c r="N9" i="7"/>
  <c r="H9" i="7"/>
  <c r="H7" i="7" s="1"/>
  <c r="E9" i="7"/>
  <c r="E7" i="7" s="1"/>
  <c r="O5" i="7"/>
  <c r="J28" i="6"/>
  <c r="K28" i="6" s="1"/>
  <c r="N28" i="6" s="1"/>
  <c r="J25" i="6"/>
  <c r="K25" i="6" s="1"/>
  <c r="J24" i="6"/>
  <c r="K24" i="6" s="1"/>
  <c r="AG13" i="6"/>
  <c r="J11" i="6"/>
  <c r="K11" i="6" s="1"/>
  <c r="AP7" i="6"/>
  <c r="AO7" i="6"/>
  <c r="AN7" i="6"/>
  <c r="AM7" i="6"/>
  <c r="AL7" i="6"/>
  <c r="AJ7" i="6"/>
  <c r="AE9" i="6"/>
  <c r="AE7" i="6" s="1"/>
  <c r="AB9" i="6"/>
  <c r="AB7" i="6" s="1"/>
  <c r="AA9" i="6"/>
  <c r="AA7" i="6" s="1"/>
  <c r="R9" i="6"/>
  <c r="R7" i="6" s="1"/>
  <c r="P9" i="6"/>
  <c r="P7" i="6" s="1"/>
  <c r="O9" i="6"/>
  <c r="O7" i="6" s="1"/>
  <c r="N9" i="6"/>
  <c r="N7" i="6" s="1"/>
  <c r="H9" i="6"/>
  <c r="H7" i="6" s="1"/>
  <c r="E9" i="6"/>
  <c r="E7" i="6" s="1"/>
  <c r="J28" i="5"/>
  <c r="K28" i="5" s="1"/>
  <c r="N28" i="5" s="1"/>
  <c r="J21" i="14"/>
  <c r="H11" i="5"/>
  <c r="H11" i="14" s="1"/>
  <c r="AE9" i="5"/>
  <c r="AE7" i="5" s="1"/>
  <c r="AB9" i="5"/>
  <c r="AB7" i="5" s="1"/>
  <c r="AA9" i="5"/>
  <c r="AA7" i="5" s="1"/>
  <c r="R9" i="5"/>
  <c r="R7" i="5" s="1"/>
  <c r="Q9" i="5"/>
  <c r="Q7" i="5" s="1"/>
  <c r="P9" i="5"/>
  <c r="P7" i="5" s="1"/>
  <c r="O9" i="5"/>
  <c r="O7" i="5" s="1"/>
  <c r="E9" i="5"/>
  <c r="E7" i="5" s="1"/>
  <c r="K25" i="4"/>
  <c r="AP7" i="4"/>
  <c r="AO7" i="4"/>
  <c r="AN7" i="4"/>
  <c r="AM7" i="4"/>
  <c r="AL7" i="4"/>
  <c r="AK7" i="4"/>
  <c r="AB7" i="4"/>
  <c r="AA7" i="4"/>
  <c r="R7" i="4"/>
  <c r="Q7" i="4"/>
  <c r="P7" i="4"/>
  <c r="O7" i="4"/>
  <c r="N2" i="4"/>
  <c r="B1" i="4"/>
  <c r="X26" i="3"/>
  <c r="P26" i="31" s="1"/>
  <c r="Z21" i="3"/>
  <c r="Y21" i="3"/>
  <c r="X21" i="3"/>
  <c r="P21" i="31" s="1"/>
  <c r="X11" i="3"/>
  <c r="P12" i="31" s="1"/>
  <c r="O5" i="14"/>
  <c r="B1" i="14"/>
  <c r="F40" i="27" l="1"/>
  <c r="H54" i="22"/>
  <c r="M54" i="22"/>
  <c r="Z54" i="22"/>
  <c r="Z23" i="8" s="1"/>
  <c r="Z23" i="14" s="1"/>
  <c r="Z34" i="22"/>
  <c r="M34" i="22"/>
  <c r="H34" i="22"/>
  <c r="H56" i="22" s="1"/>
  <c r="J22" i="33"/>
  <c r="AR27" i="33"/>
  <c r="AS27" i="33"/>
  <c r="AA27" i="33"/>
  <c r="AT27" i="33"/>
  <c r="AM27" i="33"/>
  <c r="AU27" i="33"/>
  <c r="AN27" i="33"/>
  <c r="AV27" i="33"/>
  <c r="AO27" i="33"/>
  <c r="AP27" i="33"/>
  <c r="AQ27" i="33"/>
  <c r="AG24" i="5"/>
  <c r="H9" i="35"/>
  <c r="H11" i="33"/>
  <c r="AX26" i="33"/>
  <c r="AY26" i="33"/>
  <c r="AJ6" i="20"/>
  <c r="R9" i="24"/>
  <c r="BW5" i="24"/>
  <c r="H9" i="28"/>
  <c r="AJ5" i="28"/>
  <c r="H9" i="23"/>
  <c r="AJ5" i="23"/>
  <c r="H9" i="22"/>
  <c r="AJ6" i="22"/>
  <c r="J28" i="14"/>
  <c r="J28" i="3" s="1"/>
  <c r="E28" i="31" s="1"/>
  <c r="K13" i="11"/>
  <c r="B40" i="27"/>
  <c r="D40" i="27"/>
  <c r="E40" i="27"/>
  <c r="X9" i="3"/>
  <c r="P10" i="31" s="1"/>
  <c r="Z26" i="3"/>
  <c r="E7" i="8"/>
  <c r="E7" i="11"/>
  <c r="W11" i="23"/>
  <c r="AE7" i="11"/>
  <c r="W11" i="25"/>
  <c r="H18" i="4"/>
  <c r="H18" i="6"/>
  <c r="P7" i="11"/>
  <c r="P34" i="11" s="1"/>
  <c r="N7" i="11"/>
  <c r="N34" i="11" s="1"/>
  <c r="O7" i="11"/>
  <c r="O34" i="11" s="1"/>
  <c r="N7" i="8"/>
  <c r="N34" i="8" s="1"/>
  <c r="N7" i="7"/>
  <c r="N34" i="7" s="1"/>
  <c r="BU27" i="24"/>
  <c r="AK54" i="22"/>
  <c r="AM54" i="22"/>
  <c r="AN54" i="22"/>
  <c r="AO54" i="22"/>
  <c r="AL54" i="22"/>
  <c r="AL57" i="22" s="1"/>
  <c r="W11" i="22"/>
  <c r="H18" i="11"/>
  <c r="H11" i="3"/>
  <c r="J26" i="7"/>
  <c r="K26" i="7" s="1"/>
  <c r="Y26" i="7" s="1"/>
  <c r="J24" i="7"/>
  <c r="K24" i="7" s="1"/>
  <c r="Y24" i="7" s="1"/>
  <c r="AC21" i="3"/>
  <c r="J25" i="7"/>
  <c r="K25" i="7" s="1"/>
  <c r="Y25" i="7" s="1"/>
  <c r="W11" i="28"/>
  <c r="W11" i="20"/>
  <c r="AA18" i="4"/>
  <c r="K28" i="4"/>
  <c r="AJ54" i="22"/>
  <c r="K26" i="4"/>
  <c r="Y26" i="4" s="1"/>
  <c r="K21" i="4"/>
  <c r="Y21" i="4" s="1"/>
  <c r="B1" i="6"/>
  <c r="B1" i="7"/>
  <c r="B1" i="8"/>
  <c r="B1" i="11"/>
  <c r="AA18" i="8"/>
  <c r="H7" i="4"/>
  <c r="K44" i="21"/>
  <c r="Y43" i="21"/>
  <c r="Y44" i="21" s="1"/>
  <c r="AA18" i="7"/>
  <c r="Y21" i="11"/>
  <c r="AG21" i="11" s="1"/>
  <c r="AB18" i="7"/>
  <c r="AB18" i="8"/>
  <c r="Y25" i="11"/>
  <c r="Y26" i="11"/>
  <c r="Y21" i="8"/>
  <c r="Y26" i="8"/>
  <c r="O5" i="5"/>
  <c r="P5" i="5" s="1"/>
  <c r="Q5" i="5" s="1"/>
  <c r="R5" i="5" s="1"/>
  <c r="Y11" i="3"/>
  <c r="Y9" i="3" s="1"/>
  <c r="Y7" i="3" s="1"/>
  <c r="Z11" i="3"/>
  <c r="Z9" i="3" s="1"/>
  <c r="Z7" i="3" s="1"/>
  <c r="BI11" i="24"/>
  <c r="AE46" i="22"/>
  <c r="AE43" i="22"/>
  <c r="L54" i="22"/>
  <c r="AA22" i="4"/>
  <c r="AA29" i="22"/>
  <c r="I51" i="22"/>
  <c r="AE54" i="22"/>
  <c r="S43" i="22"/>
  <c r="N2" i="14"/>
  <c r="N2" i="7"/>
  <c r="O5" i="4"/>
  <c r="P5" i="4" s="1"/>
  <c r="P11" i="23"/>
  <c r="P8" i="23" s="1"/>
  <c r="Y8" i="24"/>
  <c r="P11" i="20"/>
  <c r="P8" i="20" s="1"/>
  <c r="K26" i="22"/>
  <c r="Q29" i="22"/>
  <c r="P46" i="22"/>
  <c r="J9" i="11"/>
  <c r="AA43" i="22"/>
  <c r="AA22" i="7" s="1"/>
  <c r="AI7" i="6"/>
  <c r="J9" i="8"/>
  <c r="J7" i="8" s="1"/>
  <c r="I34" i="22"/>
  <c r="AI7" i="11"/>
  <c r="Y24" i="11"/>
  <c r="V5" i="14"/>
  <c r="AG21" i="6"/>
  <c r="J26" i="6"/>
  <c r="K26" i="6" s="1"/>
  <c r="Y26" i="6" s="1"/>
  <c r="J9" i="7"/>
  <c r="J7" i="7" s="1"/>
  <c r="K11" i="7"/>
  <c r="AA26" i="22"/>
  <c r="Q26" i="22"/>
  <c r="AC26" i="22"/>
  <c r="S26" i="22"/>
  <c r="AJ26" i="22"/>
  <c r="O26" i="22"/>
  <c r="AB26" i="22"/>
  <c r="I26" i="22"/>
  <c r="AI7" i="4"/>
  <c r="O2" i="6"/>
  <c r="N2" i="6"/>
  <c r="N28" i="7"/>
  <c r="O5" i="8"/>
  <c r="N2" i="8"/>
  <c r="K11" i="8"/>
  <c r="O5" i="11"/>
  <c r="K11" i="11"/>
  <c r="Y11" i="11" s="1"/>
  <c r="J9" i="6"/>
  <c r="J7" i="6" s="1"/>
  <c r="R26" i="22"/>
  <c r="P5" i="7"/>
  <c r="Q5" i="7" s="1"/>
  <c r="O2" i="7"/>
  <c r="AI7" i="7"/>
  <c r="Y21" i="7"/>
  <c r="AG21" i="7" s="1"/>
  <c r="AI7" i="8"/>
  <c r="Y25" i="8"/>
  <c r="K34" i="22"/>
  <c r="AC46" i="22"/>
  <c r="O46" i="22"/>
  <c r="AB46" i="22"/>
  <c r="AB23" i="7" s="1"/>
  <c r="AA46" i="22"/>
  <c r="AA23" i="7" s="1"/>
  <c r="Q46" i="22"/>
  <c r="R46" i="22"/>
  <c r="AB54" i="22"/>
  <c r="AB23" i="8" s="1"/>
  <c r="AA54" i="22"/>
  <c r="AA23" i="8" s="1"/>
  <c r="S54" i="22"/>
  <c r="K54" i="22"/>
  <c r="R54" i="22"/>
  <c r="Q54" i="22"/>
  <c r="I54" i="22"/>
  <c r="P54" i="22"/>
  <c r="AA20" i="22"/>
  <c r="G23" i="4"/>
  <c r="AB20" i="22"/>
  <c r="AB29" i="22"/>
  <c r="S29" i="22"/>
  <c r="R29" i="22"/>
  <c r="AC29" i="22"/>
  <c r="P29" i="22"/>
  <c r="AE34" i="22"/>
  <c r="AA34" i="22"/>
  <c r="AC43" i="22"/>
  <c r="P43" i="22"/>
  <c r="AB43" i="22"/>
  <c r="AB22" i="7" s="1"/>
  <c r="O43" i="22"/>
  <c r="R43" i="22"/>
  <c r="I43" i="22"/>
  <c r="Q43" i="22"/>
  <c r="S46" i="22"/>
  <c r="AC34" i="22"/>
  <c r="AB51" i="22"/>
  <c r="AB22" i="8" s="1"/>
  <c r="S51" i="22"/>
  <c r="O51" i="22"/>
  <c r="AL51" i="22"/>
  <c r="AL56" i="22" s="1"/>
  <c r="AL58" i="22" s="1"/>
  <c r="AE51" i="22"/>
  <c r="Q51" i="22"/>
  <c r="AC51" i="22"/>
  <c r="P51" i="22"/>
  <c r="AA51" i="22"/>
  <c r="AA22" i="8" s="1"/>
  <c r="R51" i="22"/>
  <c r="AC20" i="22"/>
  <c r="AC54" i="22"/>
  <c r="K51" i="22"/>
  <c r="E23" i="11"/>
  <c r="P26" i="22"/>
  <c r="T26" i="22"/>
  <c r="AB34" i="22"/>
  <c r="K43" i="22"/>
  <c r="O54" i="22"/>
  <c r="K9" i="6"/>
  <c r="K7" i="6" s="1"/>
  <c r="Q9" i="6"/>
  <c r="Q7" i="6" s="1"/>
  <c r="AA9" i="14"/>
  <c r="AA7" i="14" s="1"/>
  <c r="AB9" i="14"/>
  <c r="AB7" i="14" s="1"/>
  <c r="O9" i="14"/>
  <c r="O7" i="14" s="1"/>
  <c r="W11" i="21"/>
  <c r="F24" i="27"/>
  <c r="O8" i="21"/>
  <c r="Y54" i="22"/>
  <c r="B69" i="20"/>
  <c r="H9" i="5"/>
  <c r="H7" i="5" s="1"/>
  <c r="P9" i="14"/>
  <c r="P7" i="14" s="1"/>
  <c r="R9" i="14"/>
  <c r="R7" i="14" s="1"/>
  <c r="AK7" i="14"/>
  <c r="Y13" i="25"/>
  <c r="B57" i="20"/>
  <c r="O8" i="22"/>
  <c r="P11" i="22"/>
  <c r="O2" i="14"/>
  <c r="N2" i="5"/>
  <c r="P5" i="14"/>
  <c r="Q11" i="21"/>
  <c r="P8" i="21"/>
  <c r="Z8" i="24"/>
  <c r="AA11" i="24"/>
  <c r="P11" i="25"/>
  <c r="P8" i="25" s="1"/>
  <c r="G9" i="14"/>
  <c r="G7" i="14" s="1"/>
  <c r="K14" i="23"/>
  <c r="L14" i="23" s="1"/>
  <c r="I20" i="22"/>
  <c r="AE29" i="22"/>
  <c r="B23" i="23"/>
  <c r="Z9" i="14"/>
  <c r="Z7" i="14" s="1"/>
  <c r="J11" i="5"/>
  <c r="J11" i="14" s="1"/>
  <c r="Y25" i="4"/>
  <c r="A34" i="21"/>
  <c r="B17" i="22"/>
  <c r="A21" i="28"/>
  <c r="A44" i="21"/>
  <c r="A42" i="28"/>
  <c r="B46" i="22"/>
  <c r="B54" i="22"/>
  <c r="A35" i="28"/>
  <c r="G24" i="27"/>
  <c r="D24" i="27"/>
  <c r="B24" i="27"/>
  <c r="E24" i="27"/>
  <c r="C24" i="27"/>
  <c r="B43" i="22"/>
  <c r="B38" i="22"/>
  <c r="A29" i="21"/>
  <c r="A39" i="21"/>
  <c r="B33" i="20"/>
  <c r="A16" i="28"/>
  <c r="B27" i="23"/>
  <c r="A29" i="28"/>
  <c r="B15" i="23"/>
  <c r="B51" i="22"/>
  <c r="A19" i="21"/>
  <c r="B26" i="22"/>
  <c r="B29" i="22"/>
  <c r="B45" i="20"/>
  <c r="B20" i="22"/>
  <c r="B34" i="22"/>
  <c r="G24" i="3"/>
  <c r="B19" i="23"/>
  <c r="AE20" i="22"/>
  <c r="I29" i="22"/>
  <c r="AE33" i="25"/>
  <c r="Y14" i="23" l="1"/>
  <c r="L38" i="23"/>
  <c r="U27" i="24"/>
  <c r="BQ27" i="24"/>
  <c r="H57" i="22"/>
  <c r="H58" i="22" s="1"/>
  <c r="Z57" i="22"/>
  <c r="P2" i="7"/>
  <c r="H7" i="35"/>
  <c r="J29" i="35"/>
  <c r="J29" i="33"/>
  <c r="H9" i="3"/>
  <c r="H7" i="3" s="1"/>
  <c r="Y24" i="33"/>
  <c r="K9" i="8"/>
  <c r="K7" i="8" s="1"/>
  <c r="AG26" i="11"/>
  <c r="AG25" i="11"/>
  <c r="AG25" i="7"/>
  <c r="AG26" i="7"/>
  <c r="AG25" i="6"/>
  <c r="AG26" i="6"/>
  <c r="AG25" i="5"/>
  <c r="Z56" i="22"/>
  <c r="AU19" i="33"/>
  <c r="AL27" i="33"/>
  <c r="AG24" i="6"/>
  <c r="E24" i="14"/>
  <c r="E24" i="3" s="1"/>
  <c r="AG24" i="7"/>
  <c r="AR25" i="33"/>
  <c r="AG24" i="11"/>
  <c r="AR24" i="33"/>
  <c r="AP23" i="33"/>
  <c r="AA28" i="35"/>
  <c r="AV26" i="33"/>
  <c r="Z26" i="33"/>
  <c r="P26" i="33"/>
  <c r="R26" i="33"/>
  <c r="AU26" i="33"/>
  <c r="AW26" i="33"/>
  <c r="Q26" i="33"/>
  <c r="O26" i="33"/>
  <c r="AT26" i="33"/>
  <c r="AS26" i="33"/>
  <c r="AR26" i="33"/>
  <c r="N26" i="33"/>
  <c r="AA26" i="33"/>
  <c r="AQ26" i="33"/>
  <c r="E18" i="7"/>
  <c r="H44" i="21"/>
  <c r="AA18" i="14"/>
  <c r="Y18" i="3" s="1"/>
  <c r="E18" i="11"/>
  <c r="G18" i="14"/>
  <c r="G18" i="3" s="1"/>
  <c r="E18" i="6"/>
  <c r="E18" i="8"/>
  <c r="K28" i="14"/>
  <c r="AG21" i="5"/>
  <c r="K21" i="14"/>
  <c r="K21" i="3" s="1"/>
  <c r="F21" i="31" s="1"/>
  <c r="N28" i="14"/>
  <c r="K9" i="11"/>
  <c r="K7" i="11" s="1"/>
  <c r="H16" i="26" s="1"/>
  <c r="J13" i="14"/>
  <c r="Y13" i="11"/>
  <c r="AG13" i="11" s="1"/>
  <c r="K13" i="14"/>
  <c r="K14" i="33" s="1"/>
  <c r="AA22" i="14"/>
  <c r="Y22" i="3" s="1"/>
  <c r="G23" i="14"/>
  <c r="N25" i="3"/>
  <c r="Z25" i="3"/>
  <c r="P25" i="3"/>
  <c r="R25" i="3"/>
  <c r="Q25" i="3"/>
  <c r="O25" i="3"/>
  <c r="X7" i="3"/>
  <c r="AE18" i="14"/>
  <c r="L13" i="23"/>
  <c r="G26" i="3"/>
  <c r="AO58" i="22"/>
  <c r="J18" i="11"/>
  <c r="Q11" i="20"/>
  <c r="R11" i="20" s="1"/>
  <c r="J7" i="11"/>
  <c r="AH26" i="22"/>
  <c r="E22" i="11"/>
  <c r="J23" i="11"/>
  <c r="K23" i="11" s="1"/>
  <c r="Y23" i="11" s="1"/>
  <c r="H18" i="8"/>
  <c r="J18" i="8" s="1"/>
  <c r="K18" i="8" s="1"/>
  <c r="H18" i="7"/>
  <c r="H23" i="8"/>
  <c r="Y25" i="3"/>
  <c r="X25" i="3"/>
  <c r="E23" i="8"/>
  <c r="E22" i="8"/>
  <c r="E22" i="7"/>
  <c r="AO38" i="23"/>
  <c r="AL37" i="23"/>
  <c r="AJ38" i="23"/>
  <c r="AO37" i="23"/>
  <c r="AN38" i="23"/>
  <c r="AK37" i="23"/>
  <c r="AM38" i="23"/>
  <c r="AJ37" i="23"/>
  <c r="AL38" i="23"/>
  <c r="AK38" i="23"/>
  <c r="AM37" i="23"/>
  <c r="AM39" i="23" s="1"/>
  <c r="AN37" i="23"/>
  <c r="V5" i="4"/>
  <c r="W5" i="4" s="1"/>
  <c r="J9" i="5"/>
  <c r="J7" i="5" s="1"/>
  <c r="E9" i="14"/>
  <c r="E7" i="14" s="1"/>
  <c r="J21" i="3"/>
  <c r="E21" i="31" s="1"/>
  <c r="L21" i="31"/>
  <c r="L13" i="31"/>
  <c r="G25" i="3"/>
  <c r="H25" i="14"/>
  <c r="L18" i="11"/>
  <c r="Y13" i="4"/>
  <c r="F30" i="27"/>
  <c r="H15" i="26"/>
  <c r="Y11" i="8"/>
  <c r="K9" i="7"/>
  <c r="K7" i="7" s="1"/>
  <c r="AB22" i="4"/>
  <c r="L51" i="22"/>
  <c r="Y51" i="22"/>
  <c r="Y26" i="22"/>
  <c r="Q5" i="4"/>
  <c r="R5" i="4" s="1"/>
  <c r="P2" i="4"/>
  <c r="W5" i="14"/>
  <c r="AG11" i="11"/>
  <c r="O2" i="4"/>
  <c r="AG11" i="7"/>
  <c r="AA24" i="4"/>
  <c r="X24" i="3"/>
  <c r="P24" i="31" s="1"/>
  <c r="H24" i="4"/>
  <c r="H24" i="14" s="1"/>
  <c r="AB24" i="4"/>
  <c r="O2" i="5"/>
  <c r="AB23" i="4"/>
  <c r="AB23" i="14" s="1"/>
  <c r="AA22" i="3"/>
  <c r="Q22" i="31" s="1"/>
  <c r="I44" i="21"/>
  <c r="F56" i="22"/>
  <c r="Q11" i="23"/>
  <c r="Q8" i="23" s="1"/>
  <c r="K20" i="22"/>
  <c r="AE56" i="22"/>
  <c r="K56" i="22"/>
  <c r="AA57" i="22"/>
  <c r="L26" i="22"/>
  <c r="Q11" i="25"/>
  <c r="AB56" i="22"/>
  <c r="F57" i="22"/>
  <c r="AC57" i="22"/>
  <c r="AB57" i="22"/>
  <c r="AA56" i="22"/>
  <c r="AC56" i="22"/>
  <c r="I56" i="22"/>
  <c r="AA23" i="4"/>
  <c r="AA23" i="14" s="1"/>
  <c r="V5" i="7"/>
  <c r="V5" i="5"/>
  <c r="AJ7" i="14"/>
  <c r="L34" i="22"/>
  <c r="V5" i="8"/>
  <c r="O2" i="11"/>
  <c r="P5" i="11"/>
  <c r="O2" i="8"/>
  <c r="P5" i="8"/>
  <c r="V5" i="11"/>
  <c r="H13" i="26"/>
  <c r="D30" i="27"/>
  <c r="R33" i="25"/>
  <c r="AA19" i="7"/>
  <c r="AB19" i="8"/>
  <c r="AB19" i="7"/>
  <c r="AA19" i="8"/>
  <c r="F44" i="21"/>
  <c r="H9" i="14"/>
  <c r="H7" i="14" s="1"/>
  <c r="K11" i="5"/>
  <c r="P8" i="28"/>
  <c r="P2" i="14"/>
  <c r="Q5" i="14"/>
  <c r="P8" i="22"/>
  <c r="Q11" i="22"/>
  <c r="P2" i="5"/>
  <c r="AA8" i="24"/>
  <c r="AB11" i="24"/>
  <c r="Q8" i="21"/>
  <c r="R11" i="21"/>
  <c r="Q8" i="20"/>
  <c r="R5" i="7"/>
  <c r="Q2" i="7"/>
  <c r="L43" i="22"/>
  <c r="Y43" i="22"/>
  <c r="AE57" i="22"/>
  <c r="AE7" i="4"/>
  <c r="I22" i="27"/>
  <c r="H24" i="27" s="1"/>
  <c r="Q9" i="14"/>
  <c r="Q7" i="14" s="1"/>
  <c r="AG11" i="6"/>
  <c r="G15" i="11"/>
  <c r="G33" i="11" s="1"/>
  <c r="K29" i="22"/>
  <c r="L15" i="23" l="1"/>
  <c r="L37" i="23"/>
  <c r="L39" i="23" s="1"/>
  <c r="AK39" i="23"/>
  <c r="AL39" i="23"/>
  <c r="AN39" i="23"/>
  <c r="AO39" i="23"/>
  <c r="AJ39" i="23"/>
  <c r="Z58" i="22"/>
  <c r="R11" i="23"/>
  <c r="R8" i="23" s="1"/>
  <c r="Y9" i="4"/>
  <c r="Y7" i="4" s="1"/>
  <c r="Q2" i="4"/>
  <c r="J14" i="33"/>
  <c r="H9" i="33"/>
  <c r="H7" i="33" s="1"/>
  <c r="K13" i="33"/>
  <c r="K28" i="3"/>
  <c r="F28" i="31" s="1"/>
  <c r="K29" i="35"/>
  <c r="K29" i="33"/>
  <c r="N28" i="3"/>
  <c r="S29" i="35"/>
  <c r="N29" i="33"/>
  <c r="L29" i="33" s="1"/>
  <c r="Z15" i="11"/>
  <c r="Z20" i="8"/>
  <c r="Z20" i="7"/>
  <c r="Z21" i="35"/>
  <c r="K22" i="33"/>
  <c r="X22" i="33" s="1"/>
  <c r="AY23" i="33"/>
  <c r="E20" i="7"/>
  <c r="E20" i="6"/>
  <c r="E20" i="8"/>
  <c r="E20" i="11"/>
  <c r="E15" i="11" s="1"/>
  <c r="E33" i="11" s="1"/>
  <c r="E34" i="11" s="1"/>
  <c r="AR19" i="33"/>
  <c r="AS19" i="33"/>
  <c r="AT19" i="33"/>
  <c r="AQ19" i="33"/>
  <c r="AO25" i="33"/>
  <c r="AM25" i="33"/>
  <c r="AQ25" i="33"/>
  <c r="AS25" i="33"/>
  <c r="AL25" i="33"/>
  <c r="AT25" i="33"/>
  <c r="E24" i="35"/>
  <c r="E25" i="33"/>
  <c r="AP25" i="33"/>
  <c r="AU25" i="33"/>
  <c r="AN25" i="33"/>
  <c r="Z22" i="14"/>
  <c r="AB22" i="14"/>
  <c r="AA23" i="33" s="1"/>
  <c r="Z23" i="33"/>
  <c r="G30" i="27"/>
  <c r="J13" i="3"/>
  <c r="J13" i="33"/>
  <c r="H25" i="33"/>
  <c r="AN19" i="33"/>
  <c r="AY19" i="33"/>
  <c r="AL19" i="33"/>
  <c r="AP19" i="33"/>
  <c r="G19" i="33"/>
  <c r="AO19" i="33"/>
  <c r="AD19" i="33"/>
  <c r="AM19" i="33"/>
  <c r="Z19" i="33"/>
  <c r="AX19" i="33"/>
  <c r="E28" i="35"/>
  <c r="Z24" i="33"/>
  <c r="AP26" i="33"/>
  <c r="AN26" i="33"/>
  <c r="AA24" i="33"/>
  <c r="AO26" i="33"/>
  <c r="AL26" i="33"/>
  <c r="AM26" i="33"/>
  <c r="G24" i="33"/>
  <c r="P25" i="31"/>
  <c r="AY24" i="33"/>
  <c r="AQ24" i="33"/>
  <c r="Z19" i="8"/>
  <c r="Z19" i="7"/>
  <c r="AG23" i="11"/>
  <c r="E18" i="14"/>
  <c r="K18" i="11"/>
  <c r="Y18" i="11" s="1"/>
  <c r="E19" i="8"/>
  <c r="E19" i="7"/>
  <c r="AA24" i="14"/>
  <c r="AB24" i="14"/>
  <c r="AE24" i="14"/>
  <c r="G22" i="14"/>
  <c r="P8" i="31"/>
  <c r="J18" i="7"/>
  <c r="K18" i="7" s="1"/>
  <c r="E106" i="35"/>
  <c r="H24" i="3"/>
  <c r="J24" i="4"/>
  <c r="AE15" i="11"/>
  <c r="AE33" i="11" s="1"/>
  <c r="AE34" i="11" s="1"/>
  <c r="AC18" i="3"/>
  <c r="J18" i="4"/>
  <c r="AH43" i="22"/>
  <c r="AJ24" i="14"/>
  <c r="L20" i="8"/>
  <c r="AH51" i="22"/>
  <c r="J23" i="8"/>
  <c r="K23" i="8" s="1"/>
  <c r="AH54" i="22"/>
  <c r="AH57" i="22" s="1"/>
  <c r="J22" i="7"/>
  <c r="K22" i="7" s="1"/>
  <c r="E23" i="7"/>
  <c r="J22" i="8"/>
  <c r="K22" i="8" s="1"/>
  <c r="J22" i="11"/>
  <c r="K22" i="11" s="1"/>
  <c r="Y22" i="11" s="1"/>
  <c r="L22" i="8"/>
  <c r="H20" i="11"/>
  <c r="L20" i="11"/>
  <c r="H20" i="8"/>
  <c r="J20" i="8" s="1"/>
  <c r="L20" i="6"/>
  <c r="R11" i="25"/>
  <c r="R8" i="25" s="1"/>
  <c r="Q8" i="25"/>
  <c r="H17" i="11"/>
  <c r="J18" i="6"/>
  <c r="K18" i="6" s="1"/>
  <c r="H23" i="4"/>
  <c r="Y13" i="14"/>
  <c r="AG13" i="14" s="1"/>
  <c r="M21" i="31"/>
  <c r="M13" i="31"/>
  <c r="H22" i="4"/>
  <c r="L23" i="7"/>
  <c r="L19" i="8"/>
  <c r="L22" i="7"/>
  <c r="L23" i="8"/>
  <c r="Y9" i="8"/>
  <c r="Y9" i="7"/>
  <c r="H14" i="26"/>
  <c r="E30" i="27"/>
  <c r="Y14" i="25"/>
  <c r="Y9" i="11"/>
  <c r="L20" i="22"/>
  <c r="AR37" i="35"/>
  <c r="F58" i="22"/>
  <c r="X23" i="3"/>
  <c r="AC15" i="11"/>
  <c r="AA23" i="3"/>
  <c r="Q23" i="31" s="1"/>
  <c r="AA19" i="3"/>
  <c r="Q19" i="31" s="1"/>
  <c r="AE58" i="22"/>
  <c r="AB15" i="11"/>
  <c r="AB33" i="11" s="1"/>
  <c r="AB34" i="11" s="1"/>
  <c r="AA15" i="11"/>
  <c r="AA30" i="11" s="1"/>
  <c r="AA31" i="11" s="1"/>
  <c r="L56" i="22"/>
  <c r="AA58" i="22"/>
  <c r="P2" i="6"/>
  <c r="AC58" i="22"/>
  <c r="AB58" i="22"/>
  <c r="P2" i="11"/>
  <c r="Q5" i="11"/>
  <c r="H22" i="6"/>
  <c r="W5" i="7"/>
  <c r="W5" i="11"/>
  <c r="P2" i="8"/>
  <c r="Q5" i="8"/>
  <c r="W5" i="8"/>
  <c r="W5" i="5"/>
  <c r="K9" i="5"/>
  <c r="Q8" i="28"/>
  <c r="R2" i="4"/>
  <c r="R8" i="21"/>
  <c r="S11" i="21"/>
  <c r="R2" i="7"/>
  <c r="Q2" i="5"/>
  <c r="S11" i="20"/>
  <c r="R8" i="20"/>
  <c r="AB8" i="24"/>
  <c r="AC11" i="24"/>
  <c r="Q8" i="22"/>
  <c r="R11" i="22"/>
  <c r="Q2" i="14"/>
  <c r="R5" i="14"/>
  <c r="Q2" i="6"/>
  <c r="J7" i="4"/>
  <c r="AE9" i="14"/>
  <c r="AE7" i="14" s="1"/>
  <c r="N9" i="5"/>
  <c r="N7" i="5" s="1"/>
  <c r="Y9" i="6"/>
  <c r="S33" i="25"/>
  <c r="L29" i="22"/>
  <c r="AH56" i="22" l="1"/>
  <c r="AH58" i="22" s="1"/>
  <c r="S11" i="25"/>
  <c r="S8" i="25" s="1"/>
  <c r="S11" i="23"/>
  <c r="V16" i="20"/>
  <c r="U29" i="20"/>
  <c r="W13" i="20"/>
  <c r="U64" i="20"/>
  <c r="U51" i="20"/>
  <c r="U66" i="20"/>
  <c r="V49" i="20"/>
  <c r="V50" i="20"/>
  <c r="W68" i="20"/>
  <c r="V26" i="20"/>
  <c r="V18" i="20"/>
  <c r="W20" i="20"/>
  <c r="W29" i="20"/>
  <c r="V27" i="20"/>
  <c r="K13" i="3"/>
  <c r="W13" i="3" s="1"/>
  <c r="Z22" i="3"/>
  <c r="L28" i="3"/>
  <c r="G28" i="31" s="1"/>
  <c r="S28" i="3"/>
  <c r="X29" i="33"/>
  <c r="L29" i="35"/>
  <c r="Z29" i="35" s="1"/>
  <c r="W29" i="35"/>
  <c r="K20" i="8"/>
  <c r="Y20" i="8" s="1"/>
  <c r="Y22" i="7"/>
  <c r="AG26" i="5"/>
  <c r="Z30" i="11"/>
  <c r="Z31" i="11" s="1"/>
  <c r="Z33" i="11"/>
  <c r="Z34" i="11" s="1"/>
  <c r="J25" i="14"/>
  <c r="AH22" i="33"/>
  <c r="W22" i="33"/>
  <c r="AF22" i="33"/>
  <c r="AL21" i="35"/>
  <c r="Y21" i="35"/>
  <c r="AJ21" i="35"/>
  <c r="AJ25" i="33"/>
  <c r="AC24" i="3"/>
  <c r="AD25" i="33"/>
  <c r="Y23" i="33"/>
  <c r="X22" i="3"/>
  <c r="AG22" i="5"/>
  <c r="AL23" i="33"/>
  <c r="AX24" i="33"/>
  <c r="E109" i="35"/>
  <c r="E109" i="33"/>
  <c r="J12" i="33"/>
  <c r="J11" i="3"/>
  <c r="E12" i="31" s="1"/>
  <c r="J11" i="33"/>
  <c r="AG18" i="11"/>
  <c r="E19" i="33"/>
  <c r="E18" i="35"/>
  <c r="E18" i="3"/>
  <c r="E26" i="33"/>
  <c r="E25" i="35"/>
  <c r="P23" i="31"/>
  <c r="AO24" i="33"/>
  <c r="AN24" i="33"/>
  <c r="BZ24" i="33"/>
  <c r="AP24" i="33"/>
  <c r="AS24" i="33"/>
  <c r="AL24" i="33"/>
  <c r="CA24" i="33"/>
  <c r="AT24" i="33"/>
  <c r="BY24" i="33"/>
  <c r="AM24" i="33"/>
  <c r="AN23" i="33"/>
  <c r="AO23" i="33"/>
  <c r="AM23" i="33"/>
  <c r="AG22" i="11"/>
  <c r="Z24" i="3"/>
  <c r="AA25" i="33"/>
  <c r="Y24" i="3"/>
  <c r="Z25" i="33"/>
  <c r="E105" i="3"/>
  <c r="E106" i="33"/>
  <c r="BU24" i="33"/>
  <c r="BI24" i="33"/>
  <c r="BQ24" i="33"/>
  <c r="BG24" i="33"/>
  <c r="BX24" i="33"/>
  <c r="BF24" i="33"/>
  <c r="BA24" i="33"/>
  <c r="BS24" i="33"/>
  <c r="BL24" i="33"/>
  <c r="AZ24" i="33"/>
  <c r="BE24" i="33"/>
  <c r="BK24" i="33"/>
  <c r="BW24" i="33"/>
  <c r="BO24" i="33"/>
  <c r="BJ24" i="33"/>
  <c r="BN24" i="33"/>
  <c r="BB24" i="33"/>
  <c r="BV24" i="33"/>
  <c r="BH24" i="33"/>
  <c r="BM24" i="33"/>
  <c r="BR24" i="33"/>
  <c r="BT24" i="33"/>
  <c r="BP24" i="33"/>
  <c r="BD24" i="33"/>
  <c r="BC24" i="33"/>
  <c r="G22" i="3"/>
  <c r="G23" i="33"/>
  <c r="E23" i="14"/>
  <c r="E23" i="35" s="1"/>
  <c r="J24" i="14"/>
  <c r="J22" i="4"/>
  <c r="AE23" i="14"/>
  <c r="E25" i="3"/>
  <c r="J23" i="4"/>
  <c r="Y7" i="11"/>
  <c r="Y22" i="8"/>
  <c r="J20" i="11"/>
  <c r="K20" i="11" s="1"/>
  <c r="Y20" i="11" s="1"/>
  <c r="Y7" i="7"/>
  <c r="H20" i="6"/>
  <c r="J20" i="6" s="1"/>
  <c r="K20" i="6" s="1"/>
  <c r="J17" i="11"/>
  <c r="Y7" i="8"/>
  <c r="Y7" i="6"/>
  <c r="K7" i="5"/>
  <c r="H12" i="26" s="1"/>
  <c r="Y23" i="3"/>
  <c r="Z23" i="3"/>
  <c r="G23" i="3"/>
  <c r="AC12" i="3"/>
  <c r="AC9" i="3" s="1"/>
  <c r="AC7" i="3" s="1"/>
  <c r="J12" i="3"/>
  <c r="L19" i="7"/>
  <c r="K11" i="14"/>
  <c r="K9" i="14" s="1"/>
  <c r="L17" i="11"/>
  <c r="K18" i="4"/>
  <c r="J9" i="14"/>
  <c r="J7" i="14" s="1"/>
  <c r="AA19" i="4"/>
  <c r="AB19" i="4"/>
  <c r="AA33" i="11"/>
  <c r="AA34" i="11" s="1"/>
  <c r="AB30" i="11"/>
  <c r="AB31" i="11" s="1"/>
  <c r="R5" i="11"/>
  <c r="Q2" i="11"/>
  <c r="Q2" i="8"/>
  <c r="R5" i="8"/>
  <c r="AC8" i="24"/>
  <c r="R2" i="14"/>
  <c r="S8" i="23"/>
  <c r="R2" i="6"/>
  <c r="R8" i="22"/>
  <c r="S11" i="22"/>
  <c r="S8" i="20"/>
  <c r="W14" i="20" s="1"/>
  <c r="R8" i="28"/>
  <c r="S8" i="21"/>
  <c r="R2" i="5"/>
  <c r="AG11" i="5"/>
  <c r="L11" i="3"/>
  <c r="N9" i="14"/>
  <c r="N7" i="14" s="1"/>
  <c r="K24" i="4"/>
  <c r="K24" i="14" s="1"/>
  <c r="O29" i="22"/>
  <c r="W54" i="20" l="1"/>
  <c r="V66" i="20"/>
  <c r="V31" i="20"/>
  <c r="V37" i="20"/>
  <c r="W31" i="20"/>
  <c r="V64" i="20"/>
  <c r="U26" i="20"/>
  <c r="V15" i="20"/>
  <c r="W67" i="20"/>
  <c r="W66" i="20"/>
  <c r="U32" i="20"/>
  <c r="W51" i="20"/>
  <c r="W44" i="20"/>
  <c r="U52" i="20"/>
  <c r="V42" i="20"/>
  <c r="V55" i="20"/>
  <c r="V13" i="20"/>
  <c r="W55" i="20"/>
  <c r="U62" i="20"/>
  <c r="V38" i="20"/>
  <c r="W42" i="20"/>
  <c r="V17" i="20"/>
  <c r="U44" i="20"/>
  <c r="U41" i="20"/>
  <c r="W49" i="20"/>
  <c r="U63" i="20"/>
  <c r="V67" i="20"/>
  <c r="U31" i="20"/>
  <c r="W56" i="20"/>
  <c r="U30" i="20"/>
  <c r="V39" i="20"/>
  <c r="W28" i="20"/>
  <c r="W40" i="20"/>
  <c r="V19" i="20"/>
  <c r="V20" i="20"/>
  <c r="U39" i="20"/>
  <c r="V40" i="20"/>
  <c r="W26" i="20"/>
  <c r="V29" i="20"/>
  <c r="U37" i="20"/>
  <c r="V53" i="20"/>
  <c r="U42" i="20"/>
  <c r="U54" i="20"/>
  <c r="V32" i="20"/>
  <c r="W27" i="20"/>
  <c r="U50" i="20"/>
  <c r="V56" i="20"/>
  <c r="U43" i="20"/>
  <c r="U67" i="20"/>
  <c r="U25" i="20"/>
  <c r="U14" i="20"/>
  <c r="W16" i="20"/>
  <c r="W61" i="20"/>
  <c r="U55" i="20"/>
  <c r="W63" i="20"/>
  <c r="W50" i="20"/>
  <c r="U19" i="20"/>
  <c r="U49" i="20"/>
  <c r="U13" i="20"/>
  <c r="V54" i="20"/>
  <c r="U16" i="20"/>
  <c r="W52" i="20"/>
  <c r="U20" i="20"/>
  <c r="W64" i="20"/>
  <c r="V43" i="20"/>
  <c r="V25" i="20"/>
  <c r="W30" i="20"/>
  <c r="U53" i="20"/>
  <c r="V14" i="20"/>
  <c r="U18" i="20"/>
  <c r="W38" i="20"/>
  <c r="U38" i="20"/>
  <c r="U40" i="20"/>
  <c r="U61" i="20"/>
  <c r="U15" i="20"/>
  <c r="W41" i="20"/>
  <c r="U68" i="20"/>
  <c r="V61" i="20"/>
  <c r="W17" i="20"/>
  <c r="U27" i="20"/>
  <c r="V62" i="20"/>
  <c r="U56" i="20"/>
  <c r="W53" i="20"/>
  <c r="W19" i="20"/>
  <c r="U28" i="20"/>
  <c r="V41" i="20"/>
  <c r="U65" i="20"/>
  <c r="W18" i="20"/>
  <c r="W37" i="20"/>
  <c r="W39" i="20"/>
  <c r="V68" i="20"/>
  <c r="V30" i="20"/>
  <c r="W32" i="20"/>
  <c r="W43" i="20"/>
  <c r="W65" i="20"/>
  <c r="V44" i="20"/>
  <c r="V65" i="20"/>
  <c r="V63" i="20"/>
  <c r="V28" i="20"/>
  <c r="W25" i="20"/>
  <c r="W62" i="20"/>
  <c r="V52" i="20"/>
  <c r="W15" i="20"/>
  <c r="V51" i="20"/>
  <c r="U17" i="20"/>
  <c r="S9" i="3"/>
  <c r="I28" i="31"/>
  <c r="M28" i="31"/>
  <c r="P22" i="31"/>
  <c r="AG22" i="7"/>
  <c r="Y37" i="11"/>
  <c r="X14" i="33"/>
  <c r="AG20" i="6"/>
  <c r="AU20" i="33"/>
  <c r="J9" i="35"/>
  <c r="J7" i="35" s="1"/>
  <c r="J9" i="33"/>
  <c r="J7" i="33" s="1"/>
  <c r="AG20" i="5"/>
  <c r="AD24" i="33"/>
  <c r="K11" i="3"/>
  <c r="F12" i="31" s="1"/>
  <c r="K11" i="33"/>
  <c r="J24" i="3"/>
  <c r="E24" i="31" s="1"/>
  <c r="J25" i="33"/>
  <c r="C111" i="35"/>
  <c r="K25" i="33"/>
  <c r="C111" i="33"/>
  <c r="AG20" i="11"/>
  <c r="AX20" i="33"/>
  <c r="AZ20" i="33"/>
  <c r="AY20" i="33"/>
  <c r="BA20" i="33"/>
  <c r="BQ20" i="33"/>
  <c r="BK20" i="33"/>
  <c r="CA20" i="33"/>
  <c r="BU20" i="33"/>
  <c r="BP20" i="33"/>
  <c r="BM20" i="33"/>
  <c r="BT20" i="33"/>
  <c r="BI20" i="33"/>
  <c r="BV20" i="33"/>
  <c r="BC20" i="33"/>
  <c r="BS20" i="33"/>
  <c r="BH20" i="33"/>
  <c r="BG20" i="33"/>
  <c r="BN20" i="33"/>
  <c r="BZ20" i="33"/>
  <c r="BY20" i="33"/>
  <c r="BW20" i="33"/>
  <c r="BL20" i="33"/>
  <c r="BO20" i="33"/>
  <c r="BF20" i="33"/>
  <c r="BB20" i="33"/>
  <c r="BR20" i="33"/>
  <c r="BX20" i="33"/>
  <c r="BJ20" i="33"/>
  <c r="BE20" i="33"/>
  <c r="E105" i="35"/>
  <c r="Z19" i="4"/>
  <c r="Z19" i="14" s="1"/>
  <c r="E104" i="3"/>
  <c r="E105" i="33"/>
  <c r="E23" i="3"/>
  <c r="E24" i="33"/>
  <c r="K25" i="14"/>
  <c r="AA19" i="14"/>
  <c r="AB19" i="14"/>
  <c r="G19" i="14"/>
  <c r="K24" i="3"/>
  <c r="J9" i="3"/>
  <c r="E13" i="31"/>
  <c r="G12" i="31"/>
  <c r="C30" i="27"/>
  <c r="AC23" i="3"/>
  <c r="H19" i="4"/>
  <c r="K2" i="7"/>
  <c r="E19" i="6"/>
  <c r="H19" i="8"/>
  <c r="K17" i="11"/>
  <c r="AM15" i="6"/>
  <c r="AO15" i="6"/>
  <c r="AN15" i="6"/>
  <c r="AP15" i="6"/>
  <c r="AL15" i="6"/>
  <c r="K22" i="4"/>
  <c r="K23" i="4"/>
  <c r="Y9" i="5"/>
  <c r="AC33" i="25"/>
  <c r="R2" i="11"/>
  <c r="R2" i="8"/>
  <c r="S13" i="8" s="1"/>
  <c r="S8" i="28"/>
  <c r="S8" i="22"/>
  <c r="Y29" i="22"/>
  <c r="V57" i="20" l="1"/>
  <c r="W21" i="20"/>
  <c r="W45" i="20"/>
  <c r="W33" i="20"/>
  <c r="V69" i="20"/>
  <c r="W69" i="20"/>
  <c r="W75" i="20"/>
  <c r="W76" i="20" s="1"/>
  <c r="U21" i="20"/>
  <c r="U75" i="20"/>
  <c r="U76" i="20" s="1"/>
  <c r="V45" i="20"/>
  <c r="U69" i="20"/>
  <c r="V33" i="20"/>
  <c r="U57" i="20"/>
  <c r="U33" i="20"/>
  <c r="U45" i="20"/>
  <c r="W57" i="20"/>
  <c r="V21" i="20"/>
  <c r="V75" i="20"/>
  <c r="V76" i="20" s="1"/>
  <c r="U13" i="8"/>
  <c r="V13" i="8"/>
  <c r="S7" i="3"/>
  <c r="I8" i="31" s="1"/>
  <c r="I10" i="31"/>
  <c r="AG14" i="33"/>
  <c r="W14" i="33"/>
  <c r="AF14" i="33"/>
  <c r="K7" i="14"/>
  <c r="E8" i="36"/>
  <c r="C112" i="35"/>
  <c r="C112" i="33"/>
  <c r="AN20" i="33"/>
  <c r="AS20" i="33"/>
  <c r="AT20" i="33"/>
  <c r="AO20" i="33"/>
  <c r="AQ20" i="33"/>
  <c r="K12" i="3"/>
  <c r="F13" i="31" s="1"/>
  <c r="Z12" i="35"/>
  <c r="K12" i="33"/>
  <c r="X12" i="33" s="1"/>
  <c r="X11" i="33"/>
  <c r="Z11" i="35"/>
  <c r="U9" i="33"/>
  <c r="U7" i="33" s="1"/>
  <c r="L9" i="33"/>
  <c r="L7" i="33" s="1"/>
  <c r="L9" i="35"/>
  <c r="L7" i="35" s="1"/>
  <c r="U9" i="35"/>
  <c r="U7" i="35" s="1"/>
  <c r="BD20" i="33"/>
  <c r="F24" i="31"/>
  <c r="C110" i="3"/>
  <c r="Y20" i="33"/>
  <c r="X19" i="3"/>
  <c r="P19" i="31" s="1"/>
  <c r="AM20" i="33"/>
  <c r="Z19" i="3"/>
  <c r="AA20" i="33"/>
  <c r="Y19" i="3"/>
  <c r="Z20" i="33"/>
  <c r="G19" i="3"/>
  <c r="G20" i="33"/>
  <c r="G15" i="8"/>
  <c r="G33" i="8" s="1"/>
  <c r="AE19" i="14"/>
  <c r="J7" i="3"/>
  <c r="E8" i="31" s="1"/>
  <c r="E10" i="31"/>
  <c r="H19" i="11"/>
  <c r="J19" i="11" s="1"/>
  <c r="Y7" i="5"/>
  <c r="J19" i="8"/>
  <c r="H19" i="6"/>
  <c r="BO27" i="24"/>
  <c r="AB15" i="8"/>
  <c r="AB30" i="8" s="1"/>
  <c r="AB31" i="8" s="1"/>
  <c r="Y30" i="22"/>
  <c r="AA15" i="8"/>
  <c r="E9" i="36" l="1"/>
  <c r="K9" i="3"/>
  <c r="E15" i="36" s="1"/>
  <c r="AG19" i="5"/>
  <c r="AL20" i="33"/>
  <c r="AP20" i="33"/>
  <c r="K9" i="35"/>
  <c r="K7" i="35" s="1"/>
  <c r="K9" i="33"/>
  <c r="K7" i="33" s="1"/>
  <c r="AG12" i="33"/>
  <c r="W12" i="33"/>
  <c r="AF12" i="33"/>
  <c r="Y12" i="35"/>
  <c r="AJ12" i="35"/>
  <c r="AK12" i="35"/>
  <c r="AJ11" i="35"/>
  <c r="Y11" i="35"/>
  <c r="AK11" i="35"/>
  <c r="W11" i="33"/>
  <c r="AG11" i="33"/>
  <c r="AF11" i="33"/>
  <c r="L9" i="3"/>
  <c r="AD20" i="33"/>
  <c r="AI15" i="8"/>
  <c r="AR20" i="33"/>
  <c r="E17" i="8"/>
  <c r="E15" i="8" s="1"/>
  <c r="E33" i="8" s="1"/>
  <c r="E34" i="8" s="1"/>
  <c r="AE15" i="8"/>
  <c r="AE33" i="8" s="1"/>
  <c r="AE34" i="8" s="1"/>
  <c r="E19" i="14"/>
  <c r="E19" i="35" s="1"/>
  <c r="J19" i="4"/>
  <c r="K19" i="4" s="1"/>
  <c r="K2" i="5"/>
  <c r="L17" i="8"/>
  <c r="H15" i="11"/>
  <c r="H33" i="11" s="1"/>
  <c r="K19" i="11"/>
  <c r="K15" i="11" s="1"/>
  <c r="J15" i="11"/>
  <c r="J33" i="11" s="1"/>
  <c r="J34" i="11" s="1"/>
  <c r="K19" i="8"/>
  <c r="H19" i="7"/>
  <c r="J19" i="6"/>
  <c r="AB33" i="8"/>
  <c r="AB34" i="8" s="1"/>
  <c r="AA33" i="8"/>
  <c r="AA34" i="8" s="1"/>
  <c r="AA30" i="8"/>
  <c r="AA31" i="8" s="1"/>
  <c r="F10" i="31" l="1"/>
  <c r="K7" i="3"/>
  <c r="F8" i="31" s="1"/>
  <c r="H17" i="8"/>
  <c r="J17" i="8" s="1"/>
  <c r="K17" i="8" s="1"/>
  <c r="K15" i="8" s="1"/>
  <c r="K33" i="8" s="1"/>
  <c r="K34" i="8" s="1"/>
  <c r="Z15" i="8"/>
  <c r="AJ15" i="8"/>
  <c r="L7" i="3"/>
  <c r="G8" i="31" s="1"/>
  <c r="G10" i="31"/>
  <c r="X9" i="33"/>
  <c r="AG23" i="5"/>
  <c r="E19" i="3"/>
  <c r="E20" i="33"/>
  <c r="H34" i="11"/>
  <c r="AS38" i="11"/>
  <c r="G26" i="27"/>
  <c r="G28" i="27" s="1"/>
  <c r="G32" i="27" s="1"/>
  <c r="G33" i="27" s="1"/>
  <c r="K33" i="11"/>
  <c r="K34" i="11" s="1"/>
  <c r="AC19" i="3"/>
  <c r="J19" i="7"/>
  <c r="K19" i="6"/>
  <c r="H15" i="8" l="1"/>
  <c r="H33" i="8" s="1"/>
  <c r="AV21" i="33"/>
  <c r="AV16" i="33" s="1"/>
  <c r="Z30" i="8"/>
  <c r="Z31" i="8" s="1"/>
  <c r="Z33" i="8"/>
  <c r="Z34" i="8" s="1"/>
  <c r="W9" i="33"/>
  <c r="W7" i="33" s="1"/>
  <c r="Y9" i="35"/>
  <c r="Y7" i="35" s="1"/>
  <c r="Z9" i="35"/>
  <c r="AB26" i="33"/>
  <c r="E17" i="6"/>
  <c r="H34" i="8"/>
  <c r="AS38" i="8"/>
  <c r="J15" i="8"/>
  <c r="J33" i="8" s="1"/>
  <c r="J34" i="8" s="1"/>
  <c r="F26" i="27"/>
  <c r="F28" i="27" s="1"/>
  <c r="F32" i="27" s="1"/>
  <c r="F33" i="27" s="1"/>
  <c r="AA25" i="3"/>
  <c r="Q25" i="31" s="1"/>
  <c r="K19" i="7"/>
  <c r="G15" i="6"/>
  <c r="G33" i="6" s="1"/>
  <c r="G34" i="6" s="1"/>
  <c r="AA15" i="6"/>
  <c r="AB15" i="6"/>
  <c r="Z17" i="7" l="1"/>
  <c r="Z15" i="6"/>
  <c r="Z7" i="35"/>
  <c r="AJ7" i="35" s="1"/>
  <c r="AK9" i="35"/>
  <c r="AJ9" i="35"/>
  <c r="AF9" i="33"/>
  <c r="AG9" i="33"/>
  <c r="X7" i="33"/>
  <c r="AF7" i="33" s="1"/>
  <c r="E107" i="33"/>
  <c r="E107" i="35"/>
  <c r="E106" i="3"/>
  <c r="H17" i="6"/>
  <c r="AB33" i="6"/>
  <c r="AB34" i="6" s="1"/>
  <c r="AB30" i="6"/>
  <c r="AB31" i="6" s="1"/>
  <c r="AA30" i="6"/>
  <c r="AA31" i="6" s="1"/>
  <c r="AA33" i="6"/>
  <c r="AA34" i="6" s="1"/>
  <c r="AE15" i="7" l="1"/>
  <c r="AE33" i="7" s="1"/>
  <c r="AE34" i="7" s="1"/>
  <c r="Z15" i="7"/>
  <c r="Z30" i="6"/>
  <c r="Z31" i="6" s="1"/>
  <c r="Z33" i="6"/>
  <c r="Z34" i="6" s="1"/>
  <c r="E17" i="7"/>
  <c r="E15" i="7" s="1"/>
  <c r="E33" i="7" s="1"/>
  <c r="E34" i="7" s="1"/>
  <c r="J17" i="6"/>
  <c r="W9" i="8"/>
  <c r="W7" i="8" s="1"/>
  <c r="Z30" i="7" l="1"/>
  <c r="Z31" i="7" s="1"/>
  <c r="Z33" i="7"/>
  <c r="Z34" i="7" s="1"/>
  <c r="H17" i="7"/>
  <c r="G15" i="7"/>
  <c r="G33" i="7" s="1"/>
  <c r="L17" i="7"/>
  <c r="K17" i="6"/>
  <c r="W34" i="8"/>
  <c r="AB17" i="7"/>
  <c r="AB15" i="7" s="1"/>
  <c r="AA17" i="7"/>
  <c r="AA15" i="7" s="1"/>
  <c r="J17" i="7" l="1"/>
  <c r="K17" i="7" s="1"/>
  <c r="AB30" i="7"/>
  <c r="AB31" i="7" s="1"/>
  <c r="AB33" i="7"/>
  <c r="AB34" i="7" s="1"/>
  <c r="AA30" i="7"/>
  <c r="AA31" i="7" s="1"/>
  <c r="AA33" i="7"/>
  <c r="AA34" i="7" s="1"/>
  <c r="AA20" i="3" l="1"/>
  <c r="Q20" i="31" s="1"/>
  <c r="AA15" i="5" l="1"/>
  <c r="Q15" i="5"/>
  <c r="Q33" i="5" s="1"/>
  <c r="Q34" i="5" s="1"/>
  <c r="R15" i="5"/>
  <c r="R33" i="5" s="1"/>
  <c r="R34" i="5" s="1"/>
  <c r="AB20" i="4"/>
  <c r="AA20" i="4"/>
  <c r="AE20" i="14" l="1"/>
  <c r="Z20" i="4"/>
  <c r="AS21" i="33"/>
  <c r="AS16" i="33" s="1"/>
  <c r="AT21" i="33"/>
  <c r="AT16" i="33" s="1"/>
  <c r="AQ21" i="33"/>
  <c r="AQ16" i="33" s="1"/>
  <c r="AU21" i="33"/>
  <c r="AU16" i="33" s="1"/>
  <c r="AR21" i="33"/>
  <c r="AR16" i="33" s="1"/>
  <c r="BF21" i="33"/>
  <c r="BA21" i="33"/>
  <c r="BJ21" i="33"/>
  <c r="BP21" i="33"/>
  <c r="BI21" i="33"/>
  <c r="AZ21" i="33"/>
  <c r="BB21" i="33"/>
  <c r="BQ21" i="33"/>
  <c r="BZ21" i="33"/>
  <c r="BU21" i="33"/>
  <c r="BK21" i="33"/>
  <c r="BS21" i="33"/>
  <c r="BM21" i="33"/>
  <c r="AY21" i="33"/>
  <c r="BC21" i="33"/>
  <c r="BW21" i="33"/>
  <c r="BN21" i="33"/>
  <c r="CA21" i="33"/>
  <c r="BL21" i="33"/>
  <c r="BG21" i="33"/>
  <c r="BV21" i="33"/>
  <c r="BX21" i="33"/>
  <c r="BY21" i="33"/>
  <c r="BH21" i="33"/>
  <c r="BO21" i="33"/>
  <c r="BT21" i="33"/>
  <c r="BR21" i="33"/>
  <c r="AX21" i="33"/>
  <c r="BE21" i="33"/>
  <c r="AB15" i="5"/>
  <c r="AB30" i="5" s="1"/>
  <c r="AB31" i="5" s="1"/>
  <c r="AA20" i="14"/>
  <c r="AB20" i="14"/>
  <c r="G20" i="14"/>
  <c r="O15" i="5"/>
  <c r="O33" i="5" s="1"/>
  <c r="O34" i="5" s="1"/>
  <c r="P15" i="5"/>
  <c r="P33" i="5" s="1"/>
  <c r="P34" i="5" s="1"/>
  <c r="AA30" i="5"/>
  <c r="AA31" i="5" s="1"/>
  <c r="AA33" i="5"/>
  <c r="AA34" i="5" s="1"/>
  <c r="H20" i="4"/>
  <c r="AP15" i="4"/>
  <c r="G15" i="4"/>
  <c r="G33" i="4" s="1"/>
  <c r="G34" i="4" s="1"/>
  <c r="AA17" i="4"/>
  <c r="AA17" i="14" s="1"/>
  <c r="AB17" i="4"/>
  <c r="AB17" i="14" l="1"/>
  <c r="AA18" i="33" s="1"/>
  <c r="AO18" i="33"/>
  <c r="Z20" i="14"/>
  <c r="Z15" i="4"/>
  <c r="AP21" i="33"/>
  <c r="AO21" i="33"/>
  <c r="AM21" i="33"/>
  <c r="BD21" i="33"/>
  <c r="AD21" i="33"/>
  <c r="Z20" i="3"/>
  <c r="AA21" i="33"/>
  <c r="Y20" i="3"/>
  <c r="Z21" i="33"/>
  <c r="BS18" i="33"/>
  <c r="AY18" i="33"/>
  <c r="BM18" i="33"/>
  <c r="BH18" i="33"/>
  <c r="BB18" i="33"/>
  <c r="BL18" i="33"/>
  <c r="BY18" i="33"/>
  <c r="BX18" i="33"/>
  <c r="BC18" i="33"/>
  <c r="Z18" i="33"/>
  <c r="BJ18" i="33"/>
  <c r="BW18" i="33"/>
  <c r="BI18" i="33"/>
  <c r="BO18" i="33"/>
  <c r="BG18" i="33"/>
  <c r="BZ18" i="33"/>
  <c r="BN18" i="33"/>
  <c r="BK18" i="33"/>
  <c r="BV18" i="33"/>
  <c r="BT18" i="33"/>
  <c r="BR18" i="33"/>
  <c r="BQ18" i="33"/>
  <c r="BU18" i="33"/>
  <c r="AX18" i="33"/>
  <c r="BF18" i="33"/>
  <c r="BP18" i="33"/>
  <c r="AZ18" i="33"/>
  <c r="CA18" i="33"/>
  <c r="G20" i="3"/>
  <c r="G21" i="33"/>
  <c r="AK17" i="14"/>
  <c r="AK18" i="33" s="1"/>
  <c r="BE18" i="33"/>
  <c r="AB33" i="5"/>
  <c r="AB34" i="5" s="1"/>
  <c r="J20" i="4"/>
  <c r="AB35" i="25"/>
  <c r="S35" i="25"/>
  <c r="AE35" i="25"/>
  <c r="Q35" i="25"/>
  <c r="P35" i="25"/>
  <c r="AC35" i="25"/>
  <c r="F35" i="25"/>
  <c r="R35" i="25"/>
  <c r="O35" i="25"/>
  <c r="AO15" i="4"/>
  <c r="E20" i="14"/>
  <c r="AM15" i="4"/>
  <c r="H17" i="4"/>
  <c r="AK15" i="4"/>
  <c r="AN15" i="4"/>
  <c r="AL15" i="4"/>
  <c r="AA15" i="4"/>
  <c r="AO16" i="33" l="1"/>
  <c r="AT15" i="35"/>
  <c r="Z30" i="4"/>
  <c r="Z31" i="4" s="1"/>
  <c r="Y21" i="33"/>
  <c r="X20" i="3"/>
  <c r="P20" i="31" s="1"/>
  <c r="AL21" i="33"/>
  <c r="BQ27" i="33"/>
  <c r="BX27" i="33"/>
  <c r="P27" i="33"/>
  <c r="BL27" i="33"/>
  <c r="BT27" i="33"/>
  <c r="AX27" i="33"/>
  <c r="Q27" i="33"/>
  <c r="CA27" i="33"/>
  <c r="O27" i="33"/>
  <c r="BO27" i="33"/>
  <c r="AZ27" i="33"/>
  <c r="N27" i="33"/>
  <c r="BS27" i="33"/>
  <c r="BU27" i="33"/>
  <c r="AY27" i="33"/>
  <c r="AY16" i="33" s="1"/>
  <c r="BM27" i="33"/>
  <c r="BW27" i="33"/>
  <c r="BC27" i="33"/>
  <c r="BY27" i="33"/>
  <c r="BP27" i="33"/>
  <c r="BK27" i="33"/>
  <c r="BZ27" i="33"/>
  <c r="BV27" i="33"/>
  <c r="BA27" i="33"/>
  <c r="R27" i="33"/>
  <c r="BN27" i="33"/>
  <c r="BI27" i="33"/>
  <c r="BB27" i="33"/>
  <c r="BR27" i="33"/>
  <c r="AP18" i="33"/>
  <c r="AP16" i="33" s="1"/>
  <c r="AU15" i="35"/>
  <c r="AN18" i="33"/>
  <c r="AM18" i="33"/>
  <c r="AM16" i="33" s="1"/>
  <c r="AR15" i="35"/>
  <c r="BD18" i="33"/>
  <c r="BE27" i="33"/>
  <c r="AC26" i="3"/>
  <c r="BD27" i="33"/>
  <c r="BF27" i="33"/>
  <c r="BJ27" i="33"/>
  <c r="BH27" i="33"/>
  <c r="BG27" i="33"/>
  <c r="G15" i="5"/>
  <c r="G33" i="5" s="1"/>
  <c r="G17" i="14"/>
  <c r="Z15" i="5"/>
  <c r="Z17" i="14"/>
  <c r="AE17" i="14"/>
  <c r="R26" i="3"/>
  <c r="P26" i="3"/>
  <c r="Q26" i="3"/>
  <c r="N26" i="3"/>
  <c r="O26" i="3"/>
  <c r="Z17" i="3"/>
  <c r="Y17" i="3"/>
  <c r="AA15" i="14"/>
  <c r="E15" i="4"/>
  <c r="K20" i="4"/>
  <c r="AI15" i="4"/>
  <c r="H15" i="4"/>
  <c r="H33" i="4" s="1"/>
  <c r="J17" i="4"/>
  <c r="K17" i="4" s="1"/>
  <c r="AE15" i="4"/>
  <c r="AE33" i="4" s="1"/>
  <c r="AE34" i="4" s="1"/>
  <c r="AA33" i="4"/>
  <c r="AA34" i="4" s="1"/>
  <c r="AA30" i="4"/>
  <c r="AA31" i="4" s="1"/>
  <c r="AC15" i="35" l="1"/>
  <c r="AC34" i="35" s="1"/>
  <c r="AC35" i="35" s="1"/>
  <c r="W26" i="35"/>
  <c r="AD27" i="33"/>
  <c r="AB27" i="33"/>
  <c r="AB16" i="33" s="1"/>
  <c r="AB31" i="33" s="1"/>
  <c r="AB32" i="33" s="1"/>
  <c r="AF15" i="35"/>
  <c r="E26" i="35"/>
  <c r="BA18" i="33"/>
  <c r="G18" i="33"/>
  <c r="G16" i="33" s="1"/>
  <c r="G34" i="33" s="1"/>
  <c r="G35" i="33" s="1"/>
  <c r="V26" i="35"/>
  <c r="E26" i="3"/>
  <c r="E27" i="33"/>
  <c r="AC17" i="3"/>
  <c r="AD18" i="33"/>
  <c r="X17" i="3"/>
  <c r="P17" i="31" s="1"/>
  <c r="Y18" i="33"/>
  <c r="Y16" i="33" s="1"/>
  <c r="Z30" i="5"/>
  <c r="Z31" i="5" s="1"/>
  <c r="Z33" i="5"/>
  <c r="Z34" i="5" s="1"/>
  <c r="G17" i="3"/>
  <c r="G15" i="3" s="1"/>
  <c r="G15" i="14"/>
  <c r="G33" i="14" s="1"/>
  <c r="G34" i="14" s="1"/>
  <c r="H17" i="14"/>
  <c r="H34" i="4"/>
  <c r="AS38" i="4"/>
  <c r="AA26" i="3"/>
  <c r="Q26" i="31" s="1"/>
  <c r="H26" i="14"/>
  <c r="AA30" i="14"/>
  <c r="AA31" i="14" s="1"/>
  <c r="AA33" i="14"/>
  <c r="AA34" i="14" s="1"/>
  <c r="J15" i="4"/>
  <c r="J33" i="4" s="1"/>
  <c r="J34" i="4" s="1"/>
  <c r="G15" i="35" l="1"/>
  <c r="G34" i="35" s="1"/>
  <c r="G35" i="35" s="1"/>
  <c r="AC31" i="35"/>
  <c r="G33" i="3"/>
  <c r="G34" i="3" s="1"/>
  <c r="AB34" i="33"/>
  <c r="AB100" i="33" s="1"/>
  <c r="AF31" i="35"/>
  <c r="AF32" i="35" s="1"/>
  <c r="AF34" i="35"/>
  <c r="AC32" i="35"/>
  <c r="Y31" i="33"/>
  <c r="Y34" i="33"/>
  <c r="Y35" i="33" s="1"/>
  <c r="H17" i="3"/>
  <c r="H18" i="33"/>
  <c r="K15" i="4"/>
  <c r="AB35" i="33" l="1"/>
  <c r="AF100" i="35"/>
  <c r="AF35" i="35"/>
  <c r="CD39" i="33"/>
  <c r="Y32" i="33"/>
  <c r="J26" i="14"/>
  <c r="B26" i="27"/>
  <c r="K26" i="14" l="1"/>
  <c r="Y17" i="11"/>
  <c r="Y17" i="7"/>
  <c r="B28" i="27"/>
  <c r="C113" i="35" l="1"/>
  <c r="C113" i="33"/>
  <c r="AG17" i="11"/>
  <c r="AG17" i="7"/>
  <c r="AD11" i="24"/>
  <c r="AD8" i="24" l="1"/>
  <c r="AE11" i="24"/>
  <c r="AQ15" i="35" l="1"/>
  <c r="AJ17" i="14"/>
  <c r="AL18" i="33"/>
  <c r="E17" i="14"/>
  <c r="E17" i="35" s="1"/>
  <c r="E15" i="5"/>
  <c r="E33" i="5" s="1"/>
  <c r="E34" i="5" s="1"/>
  <c r="AF11" i="24"/>
  <c r="AE8" i="24"/>
  <c r="AE15" i="5"/>
  <c r="AE33" i="5" s="1"/>
  <c r="AE34" i="5" s="1"/>
  <c r="AL16" i="33" l="1"/>
  <c r="AJ18" i="33"/>
  <c r="E17" i="3"/>
  <c r="E18" i="33"/>
  <c r="J17" i="14"/>
  <c r="AG11" i="24"/>
  <c r="AF8" i="24"/>
  <c r="K17" i="14"/>
  <c r="C105" i="35" l="1"/>
  <c r="J17" i="3"/>
  <c r="E17" i="31" s="1"/>
  <c r="J18" i="33"/>
  <c r="C105" i="33"/>
  <c r="K18" i="33"/>
  <c r="K17" i="3"/>
  <c r="C104" i="3" s="1"/>
  <c r="AH11" i="24"/>
  <c r="AG8" i="24"/>
  <c r="AG17" i="5" l="1"/>
  <c r="F17" i="31"/>
  <c r="U26" i="5"/>
  <c r="U18" i="5"/>
  <c r="U25" i="5"/>
  <c r="V25" i="5"/>
  <c r="V19" i="5"/>
  <c r="S12" i="5"/>
  <c r="V12" i="5" s="1"/>
  <c r="V24" i="5"/>
  <c r="V13" i="5"/>
  <c r="W21" i="5"/>
  <c r="W18" i="5"/>
  <c r="V17" i="5"/>
  <c r="W19" i="5"/>
  <c r="U24" i="5"/>
  <c r="S13" i="5"/>
  <c r="W13" i="5" s="1"/>
  <c r="W28" i="5"/>
  <c r="S28" i="5"/>
  <c r="L28" i="5" s="1"/>
  <c r="W25" i="5"/>
  <c r="V23" i="5"/>
  <c r="W24" i="5"/>
  <c r="W12" i="5"/>
  <c r="V18" i="5"/>
  <c r="V22" i="5"/>
  <c r="V20" i="5"/>
  <c r="U21" i="5"/>
  <c r="W23" i="5"/>
  <c r="V21" i="5"/>
  <c r="S11" i="5"/>
  <c r="V11" i="5" s="1"/>
  <c r="AH8" i="24"/>
  <c r="AI11" i="24"/>
  <c r="U20" i="5" l="1"/>
  <c r="U13" i="5"/>
  <c r="U12" i="5"/>
  <c r="U11" i="5"/>
  <c r="U22" i="5"/>
  <c r="W17" i="5"/>
  <c r="U23" i="5"/>
  <c r="V9" i="5"/>
  <c r="V7" i="5" s="1"/>
  <c r="W22" i="5"/>
  <c r="U19" i="5"/>
  <c r="W26" i="5"/>
  <c r="W11" i="5"/>
  <c r="W9" i="5" s="1"/>
  <c r="W7" i="5" s="1"/>
  <c r="W20" i="5"/>
  <c r="U17" i="5"/>
  <c r="V26" i="5"/>
  <c r="U28" i="5"/>
  <c r="V28" i="5"/>
  <c r="S15" i="5"/>
  <c r="S9" i="5"/>
  <c r="S7" i="5" s="1"/>
  <c r="AI8" i="24"/>
  <c r="AJ11" i="24"/>
  <c r="U9" i="5" l="1"/>
  <c r="U7" i="5" s="1"/>
  <c r="W15" i="5"/>
  <c r="W33" i="5" s="1"/>
  <c r="W34" i="5" s="1"/>
  <c r="S33" i="5"/>
  <c r="S34" i="5" s="1"/>
  <c r="AJ8" i="24"/>
  <c r="AK11" i="24"/>
  <c r="AK8" i="24" l="1"/>
  <c r="AL11" i="24"/>
  <c r="AK18" i="14" l="1"/>
  <c r="AL8" i="24"/>
  <c r="AM11" i="24"/>
  <c r="AN11" i="24" s="1"/>
  <c r="AO11" i="24" s="1"/>
  <c r="AP11" i="24" s="1"/>
  <c r="AQ11" i="24" s="1"/>
  <c r="AR11" i="24" s="1"/>
  <c r="AS11" i="24" s="1"/>
  <c r="AT11" i="24" s="1"/>
  <c r="AU11" i="24" s="1"/>
  <c r="AV11" i="24" s="1"/>
  <c r="AW11" i="24" s="1"/>
  <c r="AX11" i="24" s="1"/>
  <c r="AY11" i="24" s="1"/>
  <c r="AZ11" i="24" s="1"/>
  <c r="BA11" i="24" s="1"/>
  <c r="BB11" i="24" s="1"/>
  <c r="BC11" i="24" s="1"/>
  <c r="BD11" i="24" s="1"/>
  <c r="BE11" i="24" s="1"/>
  <c r="V15" i="25" l="1"/>
  <c r="W15" i="25"/>
  <c r="U15" i="25"/>
  <c r="AK19" i="33"/>
  <c r="AJ19" i="33" s="1"/>
  <c r="AJ18" i="14"/>
  <c r="W14" i="25"/>
  <c r="V13" i="25"/>
  <c r="U13" i="25"/>
  <c r="W13" i="25"/>
  <c r="V16" i="25"/>
  <c r="U16" i="25"/>
  <c r="W16" i="25"/>
  <c r="U14" i="25"/>
  <c r="V14" i="25"/>
  <c r="AM8" i="24"/>
  <c r="H18" i="14" l="1"/>
  <c r="U33" i="25"/>
  <c r="U35" i="25" s="1"/>
  <c r="W22" i="21"/>
  <c r="U38" i="21"/>
  <c r="V37" i="21"/>
  <c r="W38" i="21"/>
  <c r="U42" i="21"/>
  <c r="W37" i="21"/>
  <c r="U37" i="21"/>
  <c r="V38" i="21"/>
  <c r="V22" i="21"/>
  <c r="V36" i="21"/>
  <c r="V39" i="21" s="1"/>
  <c r="W21" i="21"/>
  <c r="W29" i="21" s="1"/>
  <c r="U43" i="21"/>
  <c r="V21" i="21"/>
  <c r="V29" i="21" s="1"/>
  <c r="W41" i="21"/>
  <c r="W42" i="21"/>
  <c r="U22" i="21"/>
  <c r="W43" i="21"/>
  <c r="U21" i="21"/>
  <c r="U29" i="21" s="1"/>
  <c r="U41" i="21"/>
  <c r="V41" i="21"/>
  <c r="W36" i="21"/>
  <c r="V42" i="21"/>
  <c r="V43" i="21"/>
  <c r="U36" i="21"/>
  <c r="U39" i="21" s="1"/>
  <c r="AN8" i="24"/>
  <c r="Y23" i="8"/>
  <c r="Y19" i="8"/>
  <c r="Y19" i="7"/>
  <c r="H15" i="5"/>
  <c r="H33" i="5" s="1"/>
  <c r="U15" i="5"/>
  <c r="U33" i="5" s="1"/>
  <c r="U34" i="5" s="1"/>
  <c r="L15" i="5"/>
  <c r="U44" i="21" l="1"/>
  <c r="W39" i="21"/>
  <c r="W44" i="21"/>
  <c r="V44" i="21"/>
  <c r="AG19" i="7"/>
  <c r="H18" i="3"/>
  <c r="H19" i="33"/>
  <c r="J18" i="14"/>
  <c r="H34" i="5"/>
  <c r="AS40" i="5"/>
  <c r="J15" i="5"/>
  <c r="J33" i="5" s="1"/>
  <c r="J34" i="5" s="1"/>
  <c r="K18" i="14"/>
  <c r="K19" i="33" s="1"/>
  <c r="AO8" i="24"/>
  <c r="L28" i="31"/>
  <c r="U28" i="3"/>
  <c r="K28" i="31" s="1"/>
  <c r="W21" i="3"/>
  <c r="N15" i="5"/>
  <c r="N33" i="5" s="1"/>
  <c r="N34" i="5" s="1"/>
  <c r="K15" i="5" l="1"/>
  <c r="C26" i="27" s="1"/>
  <c r="C106" i="35"/>
  <c r="J18" i="3"/>
  <c r="E18" i="31" s="1"/>
  <c r="J19" i="33"/>
  <c r="C106" i="33"/>
  <c r="K18" i="3"/>
  <c r="M12" i="31"/>
  <c r="O21" i="31"/>
  <c r="AC25" i="3"/>
  <c r="AP8" i="24"/>
  <c r="Y21" i="14"/>
  <c r="Y25" i="14"/>
  <c r="AG25" i="14" s="1"/>
  <c r="K33" i="5" l="1"/>
  <c r="K34" i="5" s="1"/>
  <c r="F18" i="31"/>
  <c r="C105" i="3"/>
  <c r="M8" i="31"/>
  <c r="M10" i="31"/>
  <c r="AG21" i="14"/>
  <c r="AQ8" i="24"/>
  <c r="C28" i="27"/>
  <c r="AR8" i="24" l="1"/>
  <c r="C32" i="27"/>
  <c r="C33" i="27" s="1"/>
  <c r="AS8" i="24" l="1"/>
  <c r="AT8" i="24" l="1"/>
  <c r="AU8" i="24" l="1"/>
  <c r="W33" i="25"/>
  <c r="W35" i="25" s="1"/>
  <c r="V33" i="25"/>
  <c r="V35" i="25" s="1"/>
  <c r="AV8" i="24" l="1"/>
  <c r="AW8" i="24" l="1"/>
  <c r="AX8" i="24" l="1"/>
  <c r="AY8" i="24" l="1"/>
  <c r="AZ8" i="24" l="1"/>
  <c r="BA8" i="24" l="1"/>
  <c r="BB8" i="24" l="1"/>
  <c r="AQ37" i="35" l="1"/>
  <c r="AA17" i="3"/>
  <c r="Q17" i="31" s="1"/>
  <c r="S25" i="7"/>
  <c r="U25" i="7" s="1"/>
  <c r="S28" i="7"/>
  <c r="L28" i="7" s="1"/>
  <c r="S12" i="7"/>
  <c r="U12" i="7" s="1"/>
  <c r="S26" i="7"/>
  <c r="U26" i="7" s="1"/>
  <c r="S13" i="7"/>
  <c r="U13" i="7" s="1"/>
  <c r="S21" i="7"/>
  <c r="U21" i="7" s="1"/>
  <c r="S24" i="7"/>
  <c r="U24" i="7" s="1"/>
  <c r="V26" i="7"/>
  <c r="S23" i="7"/>
  <c r="U23" i="7" s="1"/>
  <c r="S22" i="7"/>
  <c r="V22" i="7" s="1"/>
  <c r="W25" i="7"/>
  <c r="V21" i="7"/>
  <c r="V25" i="7"/>
  <c r="V24" i="7"/>
  <c r="V23" i="7"/>
  <c r="V28" i="7"/>
  <c r="V13" i="7"/>
  <c r="V12" i="7"/>
  <c r="W13" i="7"/>
  <c r="W22" i="7"/>
  <c r="W28" i="7"/>
  <c r="W23" i="7"/>
  <c r="W21" i="7"/>
  <c r="W12" i="7"/>
  <c r="W24" i="7"/>
  <c r="W26" i="7"/>
  <c r="S19" i="7"/>
  <c r="U19" i="7" s="1"/>
  <c r="W19" i="7"/>
  <c r="W17" i="7"/>
  <c r="S17" i="7"/>
  <c r="U17" i="7" s="1"/>
  <c r="V17" i="7"/>
  <c r="AO37" i="35"/>
  <c r="S11" i="7"/>
  <c r="U11" i="7" s="1"/>
  <c r="BC8" i="24"/>
  <c r="U28" i="7" l="1"/>
  <c r="U22" i="7"/>
  <c r="V19" i="7"/>
  <c r="AS37" i="35"/>
  <c r="S21" i="4"/>
  <c r="U21" i="4" s="1"/>
  <c r="S25" i="4"/>
  <c r="W25" i="4" s="1"/>
  <c r="S28" i="4"/>
  <c r="S13" i="4"/>
  <c r="U13" i="4" s="1"/>
  <c r="S11" i="4"/>
  <c r="W11" i="4" s="1"/>
  <c r="S26" i="4"/>
  <c r="U26" i="4" s="1"/>
  <c r="S12" i="4"/>
  <c r="U12" i="4" s="1"/>
  <c r="V11" i="4"/>
  <c r="V12" i="4"/>
  <c r="V13" i="4"/>
  <c r="W12" i="4"/>
  <c r="W26" i="4"/>
  <c r="W21" i="4"/>
  <c r="V26" i="4"/>
  <c r="V28" i="4"/>
  <c r="V21" i="4"/>
  <c r="W28" i="4"/>
  <c r="W13" i="4"/>
  <c r="V25" i="4"/>
  <c r="S9" i="7"/>
  <c r="S7" i="7" s="1"/>
  <c r="V11" i="7"/>
  <c r="W11" i="7"/>
  <c r="W12" i="3"/>
  <c r="BD8" i="24"/>
  <c r="BE8" i="24"/>
  <c r="U25" i="4" l="1"/>
  <c r="U11" i="4"/>
  <c r="U28" i="4"/>
  <c r="BH23" i="24"/>
  <c r="BH18" i="24"/>
  <c r="BH24" i="24"/>
  <c r="BG21" i="24"/>
  <c r="BG18" i="24"/>
  <c r="BH22" i="24"/>
  <c r="BI24" i="24"/>
  <c r="BI21" i="24"/>
  <c r="BI22" i="24"/>
  <c r="BG22" i="24"/>
  <c r="BH21" i="24"/>
  <c r="BI17" i="24"/>
  <c r="BI23" i="24"/>
  <c r="BH17" i="24"/>
  <c r="BG17" i="24"/>
  <c r="BG24" i="24"/>
  <c r="BG23" i="24"/>
  <c r="BI18" i="24"/>
  <c r="O13" i="31"/>
  <c r="U22" i="23"/>
  <c r="V18" i="23"/>
  <c r="U29" i="23"/>
  <c r="V14" i="23"/>
  <c r="U13" i="23"/>
  <c r="V13" i="23"/>
  <c r="V29" i="23"/>
  <c r="U26" i="23"/>
  <c r="U17" i="23"/>
  <c r="V26" i="23"/>
  <c r="U25" i="23"/>
  <c r="V34" i="23"/>
  <c r="U14" i="23"/>
  <c r="U34" i="23"/>
  <c r="V21" i="23"/>
  <c r="U18" i="23"/>
  <c r="U33" i="23"/>
  <c r="V25" i="23"/>
  <c r="V33" i="23"/>
  <c r="V17" i="23"/>
  <c r="V22" i="23"/>
  <c r="U21" i="23"/>
  <c r="W33" i="23"/>
  <c r="W17" i="23"/>
  <c r="W13" i="23"/>
  <c r="W22" i="23"/>
  <c r="W26" i="23"/>
  <c r="W14" i="23"/>
  <c r="W18" i="23"/>
  <c r="W34" i="23"/>
  <c r="W29" i="23"/>
  <c r="W25" i="23"/>
  <c r="W21" i="23"/>
  <c r="BH14" i="24"/>
  <c r="BH19" i="24"/>
  <c r="BH15" i="24"/>
  <c r="BH20" i="24"/>
  <c r="BI16" i="24"/>
  <c r="BH16" i="24"/>
  <c r="BI19" i="24"/>
  <c r="BI20" i="24"/>
  <c r="BI14" i="24"/>
  <c r="BI25" i="24" s="1"/>
  <c r="BG19" i="24"/>
  <c r="BG20" i="24"/>
  <c r="BI15" i="24"/>
  <c r="BG16" i="24"/>
  <c r="BG15" i="24"/>
  <c r="BG14" i="24"/>
  <c r="S12" i="14"/>
  <c r="W12" i="14" s="1"/>
  <c r="S13" i="14"/>
  <c r="U13" i="14" s="1"/>
  <c r="S25" i="14"/>
  <c r="U25" i="14" s="1"/>
  <c r="V13" i="14"/>
  <c r="S28" i="14"/>
  <c r="V28" i="14" s="1"/>
  <c r="S21" i="14"/>
  <c r="U21" i="14" s="1"/>
  <c r="S26" i="14"/>
  <c r="U26" i="14" s="1"/>
  <c r="W13" i="14"/>
  <c r="V26" i="14"/>
  <c r="W21" i="14"/>
  <c r="W26" i="14"/>
  <c r="W25" i="14"/>
  <c r="V21" i="14"/>
  <c r="W28" i="14"/>
  <c r="S25" i="6"/>
  <c r="U25" i="6" s="1"/>
  <c r="S21" i="6"/>
  <c r="U21" i="6" s="1"/>
  <c r="S12" i="6"/>
  <c r="U12" i="6" s="1"/>
  <c r="S13" i="6"/>
  <c r="U13" i="6" s="1"/>
  <c r="S24" i="6"/>
  <c r="U24" i="6" s="1"/>
  <c r="S20" i="6"/>
  <c r="V20" i="6" s="1"/>
  <c r="S28" i="6"/>
  <c r="L28" i="6" s="1"/>
  <c r="S26" i="6"/>
  <c r="W26" i="6" s="1"/>
  <c r="W13" i="6"/>
  <c r="W12" i="6"/>
  <c r="U9" i="4"/>
  <c r="U7" i="4" s="1"/>
  <c r="S9" i="4"/>
  <c r="S7" i="4" s="1"/>
  <c r="W9" i="4"/>
  <c r="W7" i="4" s="1"/>
  <c r="V9" i="4"/>
  <c r="V7" i="4" s="1"/>
  <c r="S11" i="6"/>
  <c r="V11" i="6" s="1"/>
  <c r="W11" i="6"/>
  <c r="S11" i="14"/>
  <c r="W11" i="14" s="1"/>
  <c r="U9" i="7"/>
  <c r="U7" i="7" s="1"/>
  <c r="W9" i="7"/>
  <c r="W7" i="7" s="1"/>
  <c r="V9" i="7"/>
  <c r="V7" i="7" s="1"/>
  <c r="Y26" i="14"/>
  <c r="AC15" i="5"/>
  <c r="AC15" i="6"/>
  <c r="U35" i="23" l="1"/>
  <c r="V27" i="23"/>
  <c r="U19" i="23"/>
  <c r="W23" i="23"/>
  <c r="V19" i="23"/>
  <c r="U23" i="23"/>
  <c r="BH25" i="24"/>
  <c r="BH27" i="24" s="1"/>
  <c r="BG25" i="24"/>
  <c r="BG27" i="24" s="1"/>
  <c r="W27" i="23"/>
  <c r="U27" i="23"/>
  <c r="W37" i="23"/>
  <c r="W15" i="23"/>
  <c r="W19" i="23"/>
  <c r="W35" i="23"/>
  <c r="V23" i="23"/>
  <c r="V15" i="23"/>
  <c r="V37" i="23"/>
  <c r="U15" i="23"/>
  <c r="U37" i="23"/>
  <c r="V35" i="23"/>
  <c r="U28" i="14"/>
  <c r="U11" i="6"/>
  <c r="V12" i="6"/>
  <c r="V21" i="6"/>
  <c r="W20" i="6"/>
  <c r="W28" i="6"/>
  <c r="W21" i="6"/>
  <c r="V25" i="6"/>
  <c r="W25" i="6"/>
  <c r="V13" i="6"/>
  <c r="V25" i="14"/>
  <c r="V24" i="6"/>
  <c r="V12" i="14"/>
  <c r="U11" i="14"/>
  <c r="V26" i="6"/>
  <c r="U20" i="6"/>
  <c r="W24" i="6"/>
  <c r="U26" i="6"/>
  <c r="U12" i="14"/>
  <c r="U28" i="6"/>
  <c r="V28" i="6"/>
  <c r="V14" i="22"/>
  <c r="V45" i="22"/>
  <c r="U45" i="22"/>
  <c r="W45" i="22"/>
  <c r="W14" i="22"/>
  <c r="U14" i="22"/>
  <c r="U32" i="28"/>
  <c r="W32" i="28"/>
  <c r="V32" i="28"/>
  <c r="AG26" i="14"/>
  <c r="V49" i="22"/>
  <c r="V42" i="22"/>
  <c r="V25" i="22"/>
  <c r="V52" i="22"/>
  <c r="V37" i="22"/>
  <c r="V53" i="22"/>
  <c r="V33" i="22"/>
  <c r="V27" i="22"/>
  <c r="V32" i="22"/>
  <c r="V35" i="22"/>
  <c r="V23" i="22"/>
  <c r="V28" i="22"/>
  <c r="V36" i="22"/>
  <c r="V19" i="22"/>
  <c r="V50" i="22"/>
  <c r="V24" i="22"/>
  <c r="V44" i="22"/>
  <c r="V18" i="22"/>
  <c r="V41" i="22"/>
  <c r="W36" i="22"/>
  <c r="W41" i="22"/>
  <c r="U32" i="22"/>
  <c r="U52" i="22"/>
  <c r="U44" i="22"/>
  <c r="U53" i="22"/>
  <c r="W27" i="22"/>
  <c r="W18" i="22"/>
  <c r="W49" i="22"/>
  <c r="W52" i="22"/>
  <c r="U23" i="22"/>
  <c r="W23" i="22"/>
  <c r="U36" i="22"/>
  <c r="W35" i="22"/>
  <c r="W53" i="22"/>
  <c r="W24" i="22"/>
  <c r="U37" i="22"/>
  <c r="W33" i="22"/>
  <c r="U27" i="22"/>
  <c r="U19" i="22"/>
  <c r="W32" i="22"/>
  <c r="U24" i="22"/>
  <c r="U28" i="22"/>
  <c r="U25" i="22"/>
  <c r="U35" i="22"/>
  <c r="U33" i="22"/>
  <c r="W37" i="22"/>
  <c r="U18" i="22"/>
  <c r="U41" i="22"/>
  <c r="W25" i="22"/>
  <c r="U42" i="22"/>
  <c r="W50" i="22"/>
  <c r="U50" i="22"/>
  <c r="W42" i="22"/>
  <c r="U49" i="22"/>
  <c r="W28" i="22"/>
  <c r="W19" i="22"/>
  <c r="W44" i="22"/>
  <c r="W13" i="28"/>
  <c r="V13" i="28"/>
  <c r="V24" i="28"/>
  <c r="U31" i="28"/>
  <c r="U35" i="28" s="1"/>
  <c r="W24" i="28"/>
  <c r="W23" i="28"/>
  <c r="W37" i="28"/>
  <c r="W38" i="28"/>
  <c r="V31" i="28"/>
  <c r="V23" i="28"/>
  <c r="U14" i="28"/>
  <c r="W14" i="28"/>
  <c r="U23" i="28"/>
  <c r="U38" i="28"/>
  <c r="U24" i="28"/>
  <c r="U37" i="28"/>
  <c r="W31" i="28"/>
  <c r="V37" i="28"/>
  <c r="V14" i="28"/>
  <c r="U13" i="28"/>
  <c r="V38" i="28"/>
  <c r="BI27" i="24"/>
  <c r="U21" i="11"/>
  <c r="S28" i="11"/>
  <c r="L28" i="11" s="1"/>
  <c r="S13" i="11"/>
  <c r="U13" i="11" s="1"/>
  <c r="V26" i="11"/>
  <c r="U25" i="11"/>
  <c r="W23" i="11"/>
  <c r="U24" i="11"/>
  <c r="V12" i="11"/>
  <c r="U18" i="11"/>
  <c r="U17" i="11"/>
  <c r="W26" i="11"/>
  <c r="V17" i="11"/>
  <c r="S12" i="11"/>
  <c r="U12" i="11" s="1"/>
  <c r="V25" i="11"/>
  <c r="V13" i="11"/>
  <c r="W28" i="11"/>
  <c r="V28" i="11"/>
  <c r="W22" i="11"/>
  <c r="W17" i="11"/>
  <c r="U20" i="11"/>
  <c r="W25" i="11"/>
  <c r="W24" i="11"/>
  <c r="V24" i="11"/>
  <c r="W20" i="11"/>
  <c r="W12" i="11"/>
  <c r="W18" i="11"/>
  <c r="V20" i="11"/>
  <c r="V18" i="11"/>
  <c r="S23" i="8"/>
  <c r="U23" i="8" s="1"/>
  <c r="S20" i="8"/>
  <c r="U20" i="8" s="1"/>
  <c r="S12" i="8"/>
  <c r="U12" i="8" s="1"/>
  <c r="S26" i="8"/>
  <c r="U26" i="8" s="1"/>
  <c r="S25" i="8"/>
  <c r="U25" i="8" s="1"/>
  <c r="V26" i="8"/>
  <c r="V25" i="8"/>
  <c r="S28" i="8"/>
  <c r="L28" i="8" s="1"/>
  <c r="S22" i="8"/>
  <c r="U22" i="8" s="1"/>
  <c r="V23" i="8"/>
  <c r="S21" i="8"/>
  <c r="V21" i="8" s="1"/>
  <c r="S19" i="8"/>
  <c r="U19" i="8" s="1"/>
  <c r="V19" i="8"/>
  <c r="V20" i="8"/>
  <c r="S17" i="8"/>
  <c r="U17" i="8" s="1"/>
  <c r="V17" i="8"/>
  <c r="S11" i="11"/>
  <c r="U11" i="11" s="1"/>
  <c r="S11" i="8"/>
  <c r="V11" i="8" s="1"/>
  <c r="W9" i="6"/>
  <c r="W7" i="6" s="1"/>
  <c r="S9" i="6"/>
  <c r="S7" i="6" s="1"/>
  <c r="U9" i="6"/>
  <c r="U7" i="6" s="1"/>
  <c r="W9" i="14"/>
  <c r="W7" i="14" s="1"/>
  <c r="AC15" i="7"/>
  <c r="V15" i="5"/>
  <c r="V33" i="5" s="1"/>
  <c r="V34" i="5" s="1"/>
  <c r="Y17" i="8"/>
  <c r="V35" i="28" l="1"/>
  <c r="U29" i="28"/>
  <c r="V29" i="28"/>
  <c r="U16" i="28"/>
  <c r="W29" i="28"/>
  <c r="V16" i="28"/>
  <c r="V44" i="28" s="1"/>
  <c r="W35" i="28"/>
  <c r="U42" i="28"/>
  <c r="U44" i="28" s="1"/>
  <c r="V42" i="28"/>
  <c r="W42" i="28"/>
  <c r="W16" i="28"/>
  <c r="V9" i="6"/>
  <c r="V7" i="6" s="1"/>
  <c r="U9" i="14"/>
  <c r="U7" i="14" s="1"/>
  <c r="V26" i="22"/>
  <c r="U23" i="11"/>
  <c r="W11" i="11"/>
  <c r="V12" i="8"/>
  <c r="V22" i="11"/>
  <c r="V22" i="8"/>
  <c r="U26" i="11"/>
  <c r="U22" i="11"/>
  <c r="U21" i="8"/>
  <c r="W21" i="11"/>
  <c r="V21" i="11"/>
  <c r="U11" i="8"/>
  <c r="V11" i="11"/>
  <c r="V28" i="8"/>
  <c r="U28" i="8"/>
  <c r="W13" i="11"/>
  <c r="U9" i="11"/>
  <c r="U7" i="11" s="1"/>
  <c r="V23" i="11"/>
  <c r="U28" i="11"/>
  <c r="L28" i="14"/>
  <c r="V51" i="22"/>
  <c r="W54" i="22"/>
  <c r="U51" i="22"/>
  <c r="V46" i="22"/>
  <c r="U26" i="22"/>
  <c r="W26" i="22"/>
  <c r="W51" i="22"/>
  <c r="U43" i="22"/>
  <c r="W43" i="22"/>
  <c r="W46" i="22"/>
  <c r="V54" i="22"/>
  <c r="W29" i="22"/>
  <c r="U54" i="22"/>
  <c r="U29" i="22"/>
  <c r="V43" i="22"/>
  <c r="U46" i="22"/>
  <c r="V29" i="22"/>
  <c r="S9" i="11"/>
  <c r="S7" i="11" s="1"/>
  <c r="S9" i="8"/>
  <c r="S7" i="8" s="1"/>
  <c r="R15" i="7"/>
  <c r="R33" i="7" s="1"/>
  <c r="R34" i="7" s="1"/>
  <c r="Q15" i="7"/>
  <c r="Q33" i="7" s="1"/>
  <c r="Q34" i="7" s="1"/>
  <c r="P15" i="7"/>
  <c r="P33" i="7" s="1"/>
  <c r="P34" i="7" s="1"/>
  <c r="O15" i="7"/>
  <c r="O33" i="7" s="1"/>
  <c r="O34" i="7" s="1"/>
  <c r="L33" i="5"/>
  <c r="L34" i="5" s="1"/>
  <c r="W44" i="28" l="1"/>
  <c r="V9" i="8"/>
  <c r="V7" i="8" s="1"/>
  <c r="W9" i="11"/>
  <c r="W7" i="11" s="1"/>
  <c r="U9" i="8"/>
  <c r="U7" i="8" s="1"/>
  <c r="V9" i="11"/>
  <c r="V7" i="11" s="1"/>
  <c r="AA18" i="3"/>
  <c r="Q18" i="31" s="1"/>
  <c r="Y15" i="5"/>
  <c r="AG18" i="5"/>
  <c r="AG15" i="5" l="1"/>
  <c r="Y33" i="5"/>
  <c r="Y30" i="5"/>
  <c r="Y31" i="5" s="1"/>
  <c r="S18" i="7"/>
  <c r="W18" i="7" s="1"/>
  <c r="L18" i="7"/>
  <c r="X18" i="3"/>
  <c r="N15" i="7"/>
  <c r="N33" i="7" s="1"/>
  <c r="AC15" i="4"/>
  <c r="V18" i="7" l="1"/>
  <c r="U18" i="7"/>
  <c r="Y34" i="5"/>
  <c r="AT40" i="5"/>
  <c r="X15" i="3"/>
  <c r="P18" i="31"/>
  <c r="D12" i="26"/>
  <c r="F12" i="26" s="1"/>
  <c r="Z15" i="14"/>
  <c r="Y37" i="8"/>
  <c r="Q31" i="5"/>
  <c r="Q30" i="5" s="1"/>
  <c r="G31" i="5"/>
  <c r="G30" i="5" s="1"/>
  <c r="W31" i="5"/>
  <c r="W30" i="5" s="1"/>
  <c r="O31" i="5"/>
  <c r="O30" i="5" s="1"/>
  <c r="R31" i="5"/>
  <c r="R30" i="5" s="1"/>
  <c r="S31" i="5"/>
  <c r="S30" i="5" s="1"/>
  <c r="V31" i="5"/>
  <c r="V30" i="5" s="1"/>
  <c r="H31" i="5"/>
  <c r="H30" i="5" s="1"/>
  <c r="P31" i="5"/>
  <c r="P30" i="5" s="1"/>
  <c r="L31" i="5"/>
  <c r="L30" i="5" s="1"/>
  <c r="U31" i="5"/>
  <c r="U30" i="5" s="1"/>
  <c r="J31" i="5"/>
  <c r="J30" i="5" s="1"/>
  <c r="K31" i="5"/>
  <c r="N31" i="5"/>
  <c r="N30" i="5" s="1"/>
  <c r="E31" i="5"/>
  <c r="E30" i="5" s="1"/>
  <c r="AE31" i="5"/>
  <c r="AE30" i="5" s="1"/>
  <c r="Y18" i="7"/>
  <c r="M20" i="22" l="1"/>
  <c r="AG18" i="7"/>
  <c r="P15" i="31"/>
  <c r="X30" i="3"/>
  <c r="X33" i="3"/>
  <c r="X34" i="3" s="1"/>
  <c r="P34" i="31" s="1"/>
  <c r="W20" i="22"/>
  <c r="Z30" i="14"/>
  <c r="Z31" i="14" s="1"/>
  <c r="Z33" i="14"/>
  <c r="Z34" i="14" s="1"/>
  <c r="C36" i="27"/>
  <c r="C35" i="27" s="1"/>
  <c r="K30" i="5"/>
  <c r="K38" i="5" s="1"/>
  <c r="K40" i="5" s="1"/>
  <c r="AO38" i="3" l="1"/>
  <c r="X31" i="3"/>
  <c r="P30" i="31"/>
  <c r="P33" i="31"/>
  <c r="P37" i="31" s="1"/>
  <c r="C39" i="27"/>
  <c r="C37" i="27"/>
  <c r="V11" i="14"/>
  <c r="P31" i="31" l="1"/>
  <c r="V9" i="14"/>
  <c r="V7" i="14" s="1"/>
  <c r="Y11" i="14"/>
  <c r="AG11" i="14" s="1"/>
  <c r="L9" i="14"/>
  <c r="L7" i="14" s="1"/>
  <c r="Y9" i="14" l="1"/>
  <c r="U11" i="3"/>
  <c r="U9" i="3" l="1"/>
  <c r="K12" i="31"/>
  <c r="Y7" i="14"/>
  <c r="R30" i="23"/>
  <c r="Q30" i="23"/>
  <c r="P30" i="23"/>
  <c r="O30" i="23"/>
  <c r="S30" i="23"/>
  <c r="S38" i="23" l="1"/>
  <c r="S39" i="23" s="1"/>
  <c r="S31" i="23"/>
  <c r="Q38" i="23"/>
  <c r="Q39" i="23" s="1"/>
  <c r="Q31" i="23"/>
  <c r="O38" i="23"/>
  <c r="O39" i="23" s="1"/>
  <c r="O31" i="23"/>
  <c r="P38" i="23"/>
  <c r="P39" i="23" s="1"/>
  <c r="P31" i="23"/>
  <c r="R38" i="23"/>
  <c r="R39" i="23" s="1"/>
  <c r="R31" i="23"/>
  <c r="L12" i="31"/>
  <c r="U7" i="3"/>
  <c r="K8" i="31" s="1"/>
  <c r="K10" i="31"/>
  <c r="V30" i="23"/>
  <c r="U30" i="23"/>
  <c r="W30" i="23"/>
  <c r="AC15" i="8"/>
  <c r="W38" i="23" l="1"/>
  <c r="W39" i="23" s="1"/>
  <c r="W31" i="23"/>
  <c r="U38" i="23"/>
  <c r="U39" i="23" s="1"/>
  <c r="U31" i="23"/>
  <c r="V38" i="23"/>
  <c r="V39" i="23" s="1"/>
  <c r="V31" i="23"/>
  <c r="L8" i="31"/>
  <c r="L10" i="31"/>
  <c r="AA24" i="3"/>
  <c r="AC15" i="14"/>
  <c r="Y30" i="23"/>
  <c r="Y31" i="23" l="1"/>
  <c r="Y38" i="23"/>
  <c r="AA15" i="3"/>
  <c r="Q15" i="31" s="1"/>
  <c r="Q24" i="31"/>
  <c r="V24" i="8"/>
  <c r="S24" i="8"/>
  <c r="U24" i="8" s="1"/>
  <c r="P15" i="8"/>
  <c r="P33" i="8" s="1"/>
  <c r="P34" i="8" s="1"/>
  <c r="Q15" i="8"/>
  <c r="Q33" i="8" s="1"/>
  <c r="Q34" i="8" s="1"/>
  <c r="L24" i="8"/>
  <c r="R15" i="8"/>
  <c r="R33" i="8" s="1"/>
  <c r="R34" i="8" s="1"/>
  <c r="O15" i="8"/>
  <c r="O33" i="8" s="1"/>
  <c r="O34" i="8" s="1"/>
  <c r="N15" i="8"/>
  <c r="N33" i="8" s="1"/>
  <c r="W15" i="8" l="1"/>
  <c r="W33" i="8" s="1"/>
  <c r="Y24" i="8"/>
  <c r="AF31" i="23"/>
  <c r="AC9" i="8" l="1"/>
  <c r="AC9" i="6"/>
  <c r="AC7" i="6" l="1"/>
  <c r="AG7" i="6" s="1"/>
  <c r="AG9" i="6"/>
  <c r="AC7" i="8"/>
  <c r="AC9" i="7"/>
  <c r="AC33" i="6"/>
  <c r="AC34" i="6" s="1"/>
  <c r="AC9" i="11"/>
  <c r="AC33" i="8" l="1"/>
  <c r="AC34" i="8" s="1"/>
  <c r="AC30" i="8"/>
  <c r="AC31" i="8" s="1"/>
  <c r="AC7" i="7"/>
  <c r="AG7" i="7" s="1"/>
  <c r="AG9" i="7"/>
  <c r="AC7" i="11"/>
  <c r="AG7" i="11" s="1"/>
  <c r="AG9" i="11"/>
  <c r="AC30" i="6"/>
  <c r="AC31" i="6" s="1"/>
  <c r="AC9" i="5"/>
  <c r="AC30" i="11" l="1"/>
  <c r="AC31" i="11" s="1"/>
  <c r="AC7" i="5"/>
  <c r="AG7" i="5" s="1"/>
  <c r="AG9" i="5"/>
  <c r="AC33" i="7"/>
  <c r="AC34" i="7" s="1"/>
  <c r="AC30" i="7"/>
  <c r="AC31" i="7" s="1"/>
  <c r="AC33" i="11"/>
  <c r="AC34" i="11" s="1"/>
  <c r="AC33" i="5" l="1"/>
  <c r="AC34" i="5" s="1"/>
  <c r="AC30" i="5"/>
  <c r="AC31" i="5" s="1"/>
  <c r="AC7" i="4"/>
  <c r="AG30" i="5" l="1"/>
  <c r="AA11" i="3"/>
  <c r="Q12" i="31" s="1"/>
  <c r="AC30" i="4"/>
  <c r="AC31" i="4" s="1"/>
  <c r="AC33" i="4"/>
  <c r="AC34" i="4" s="1"/>
  <c r="AC9" i="14"/>
  <c r="AC7" i="14" l="1"/>
  <c r="AG7" i="14" s="1"/>
  <c r="AG9" i="14"/>
  <c r="AC30" i="14" l="1"/>
  <c r="AC31" i="14" s="1"/>
  <c r="AC33" i="14"/>
  <c r="AC34" i="14" s="1"/>
  <c r="AA9" i="3"/>
  <c r="AA7" i="3" l="1"/>
  <c r="Q8" i="31" s="1"/>
  <c r="Q10" i="31"/>
  <c r="AA30" i="3" l="1"/>
  <c r="Q30" i="31" s="1"/>
  <c r="AA33" i="3"/>
  <c r="AA99" i="3" s="1"/>
  <c r="AA31" i="3"/>
  <c r="Q31" i="31" s="1"/>
  <c r="AA34" i="3" l="1"/>
  <c r="Q34" i="31" s="1"/>
  <c r="Q33" i="31"/>
  <c r="Q37" i="31" s="1"/>
  <c r="R34" i="11" l="1"/>
  <c r="Q34" i="11"/>
  <c r="O15" i="11" l="1"/>
  <c r="O33" i="11" s="1"/>
  <c r="R15" i="11"/>
  <c r="R33" i="11" s="1"/>
  <c r="N15" i="11"/>
  <c r="N33" i="11" s="1"/>
  <c r="U19" i="11" l="1"/>
  <c r="U15" i="11" s="1"/>
  <c r="U33" i="11" s="1"/>
  <c r="U34" i="11" s="1"/>
  <c r="V19" i="11"/>
  <c r="V15" i="11" s="1"/>
  <c r="V33" i="11" s="1"/>
  <c r="V34" i="11" s="1"/>
  <c r="P15" i="11"/>
  <c r="P33" i="11" s="1"/>
  <c r="L19" i="11"/>
  <c r="Q15" i="11"/>
  <c r="Q33" i="11" s="1"/>
  <c r="S15" i="11" l="1"/>
  <c r="S33" i="11" s="1"/>
  <c r="S34" i="11" s="1"/>
  <c r="W19" i="11"/>
  <c r="W15" i="11" s="1"/>
  <c r="W33" i="11" s="1"/>
  <c r="W34" i="11" s="1"/>
  <c r="L15" i="11"/>
  <c r="L33" i="11" s="1"/>
  <c r="L34" i="11" s="1"/>
  <c r="Y19" i="11"/>
  <c r="Y15" i="11" l="1"/>
  <c r="AG19" i="11"/>
  <c r="Y33" i="11" l="1"/>
  <c r="Y34" i="11" s="1"/>
  <c r="Y30" i="11"/>
  <c r="AG15" i="11"/>
  <c r="AG30" i="11" l="1"/>
  <c r="D16" i="26"/>
  <c r="AT38" i="11"/>
  <c r="Y31" i="11"/>
  <c r="S31" i="11" l="1"/>
  <c r="S30" i="11" s="1"/>
  <c r="W31" i="11"/>
  <c r="W30" i="11" s="1"/>
  <c r="J31" i="11"/>
  <c r="J30" i="11" s="1"/>
  <c r="U31" i="11"/>
  <c r="U30" i="11" s="1"/>
  <c r="V31" i="11"/>
  <c r="V30" i="11" s="1"/>
  <c r="N31" i="11"/>
  <c r="N30" i="11" s="1"/>
  <c r="G31" i="11"/>
  <c r="L31" i="11"/>
  <c r="L30" i="11" s="1"/>
  <c r="K31" i="11"/>
  <c r="G36" i="27" s="1"/>
  <c r="G35" i="27" s="1"/>
  <c r="G37" i="27" s="1"/>
  <c r="P31" i="11"/>
  <c r="P30" i="11" s="1"/>
  <c r="O31" i="11"/>
  <c r="O30" i="11" s="1"/>
  <c r="E31" i="11"/>
  <c r="E30" i="11" s="1"/>
  <c r="AE31" i="11"/>
  <c r="AE30" i="11" s="1"/>
  <c r="R31" i="11"/>
  <c r="R30" i="11" s="1"/>
  <c r="H31" i="11"/>
  <c r="H30" i="11" s="1"/>
  <c r="Q31" i="11"/>
  <c r="Q30" i="11" s="1"/>
  <c r="N34" i="6"/>
  <c r="K30" i="11" l="1"/>
  <c r="K38" i="11" s="1"/>
  <c r="K40" i="11" s="1"/>
  <c r="G39" i="27" s="1"/>
  <c r="N34" i="3" l="1"/>
  <c r="N34" i="14"/>
  <c r="N34" i="4"/>
  <c r="Y13" i="21" l="1"/>
  <c r="V13" i="21" l="1"/>
  <c r="U13" i="21"/>
  <c r="W13" i="21"/>
  <c r="AW21" i="33" l="1"/>
  <c r="AW16" i="33" s="1"/>
  <c r="AC20" i="3"/>
  <c r="E20" i="3" l="1"/>
  <c r="AS15" i="35"/>
  <c r="AN21" i="33"/>
  <c r="AN16" i="33" s="1"/>
  <c r="E20" i="35" l="1"/>
  <c r="E21" i="33"/>
  <c r="Z34" i="3" l="1"/>
  <c r="Z31" i="3"/>
  <c r="AB34" i="14"/>
  <c r="AB31" i="14"/>
  <c r="AB31" i="4"/>
  <c r="AB34" i="4"/>
  <c r="AB18" i="4" l="1"/>
  <c r="AB18" i="14" s="1"/>
  <c r="AA19" i="33" l="1"/>
  <c r="AA16" i="33" s="1"/>
  <c r="AA31" i="33" s="1"/>
  <c r="AE15" i="35"/>
  <c r="AB15" i="4"/>
  <c r="AA34" i="33" l="1"/>
  <c r="AE31" i="35"/>
  <c r="AE34" i="35"/>
  <c r="Z18" i="3"/>
  <c r="Z15" i="3" s="1"/>
  <c r="AB15" i="14"/>
  <c r="AB33" i="4"/>
  <c r="AB30" i="4"/>
  <c r="AB30" i="14" l="1"/>
  <c r="AB33" i="14"/>
  <c r="Z33" i="3"/>
  <c r="Z30" i="3"/>
  <c r="AA7" i="25" l="1"/>
  <c r="Y6" i="25"/>
  <c r="AA6" i="25" s="1"/>
  <c r="S26" i="35" l="1"/>
  <c r="S27" i="33" l="1"/>
  <c r="S20" i="22" l="1"/>
  <c r="R23" i="4" s="1"/>
  <c r="Y20" i="22"/>
  <c r="P20" i="22"/>
  <c r="R20" i="22"/>
  <c r="Q20" i="22"/>
  <c r="O20" i="22"/>
  <c r="P23" i="4" l="1"/>
  <c r="V20" i="22"/>
  <c r="N23" i="4"/>
  <c r="Q23" i="4"/>
  <c r="U20" i="22"/>
  <c r="O23" i="4"/>
  <c r="L23" i="4" s="1"/>
  <c r="S23" i="4" l="1"/>
  <c r="U23" i="4" l="1"/>
  <c r="W23" i="4"/>
  <c r="V23" i="4"/>
  <c r="Y23" i="4"/>
  <c r="O34" i="6" l="1"/>
  <c r="R34" i="6"/>
  <c r="Q34" i="6"/>
  <c r="P34" i="6"/>
  <c r="S9" i="14" l="1"/>
  <c r="S7" i="14" s="1"/>
  <c r="W11" i="3"/>
  <c r="AA9" i="35" l="1"/>
  <c r="AA7" i="35" s="1"/>
  <c r="AB9" i="35"/>
  <c r="AB7" i="35" s="1"/>
  <c r="O12" i="31"/>
  <c r="W9" i="3"/>
  <c r="G12" i="36" s="1"/>
  <c r="H12" i="36" s="1"/>
  <c r="W28" i="3"/>
  <c r="O28" i="31" s="1"/>
  <c r="O10" i="31" l="1"/>
  <c r="W7" i="3"/>
  <c r="E7" i="4"/>
  <c r="K7" i="4"/>
  <c r="O8" i="31" l="1"/>
  <c r="H11" i="26"/>
  <c r="H17" i="26" s="1"/>
  <c r="B30" i="27"/>
  <c r="K2" i="4"/>
  <c r="K33" i="4"/>
  <c r="K34" i="4" s="1"/>
  <c r="C17" i="26"/>
  <c r="E33" i="4"/>
  <c r="E34" i="4" s="1"/>
  <c r="B32" i="27" l="1"/>
  <c r="I30" i="27"/>
  <c r="B33" i="27" l="1"/>
  <c r="O34" i="3" l="1"/>
  <c r="P34" i="3"/>
  <c r="R34" i="3"/>
  <c r="Q34" i="3"/>
  <c r="W34" i="4"/>
  <c r="O34" i="4"/>
  <c r="Q34" i="14"/>
  <c r="O34" i="14"/>
  <c r="R34" i="14"/>
  <c r="P34" i="4"/>
  <c r="R34" i="4"/>
  <c r="P34" i="14"/>
  <c r="Q34" i="4"/>
  <c r="S17" i="4" l="1"/>
  <c r="V17" i="4" s="1"/>
  <c r="W17" i="4" l="1"/>
  <c r="U17" i="4"/>
  <c r="L17" i="6" l="1"/>
  <c r="S17" i="6"/>
  <c r="U17" i="6" l="1"/>
  <c r="W17" i="6"/>
  <c r="V17" i="6"/>
  <c r="AG17" i="6" l="1"/>
  <c r="P18" i="4"/>
  <c r="O18" i="4"/>
  <c r="N18" i="4" l="1"/>
  <c r="R18" i="4"/>
  <c r="Q18" i="4"/>
  <c r="L18" i="4" s="1"/>
  <c r="S18" i="4" l="1"/>
  <c r="U18" i="4" l="1"/>
  <c r="V18" i="4" l="1"/>
  <c r="W18" i="4" l="1"/>
  <c r="Y18" i="4" l="1"/>
  <c r="S18" i="6" l="1"/>
  <c r="U18" i="6" s="1"/>
  <c r="V18" i="6"/>
  <c r="L18" i="6"/>
  <c r="W18" i="6"/>
  <c r="AG18" i="6" l="1"/>
  <c r="S22" i="4" l="1"/>
  <c r="W22" i="4" s="1"/>
  <c r="V22" i="4" l="1"/>
  <c r="U22" i="4"/>
  <c r="W34" i="22" l="1"/>
  <c r="U34" i="22"/>
  <c r="V34" i="22"/>
  <c r="P34" i="22"/>
  <c r="S34" i="22"/>
  <c r="Q34" i="22"/>
  <c r="R34" i="22"/>
  <c r="O34" i="22"/>
  <c r="Y34" i="22" l="1"/>
  <c r="L22" i="6" l="1"/>
  <c r="W22" i="6"/>
  <c r="S22" i="6"/>
  <c r="U22" i="6" s="1"/>
  <c r="V22" i="6" l="1"/>
  <c r="E22" i="6"/>
  <c r="J22" i="6"/>
  <c r="AE15" i="6"/>
  <c r="AE33" i="6" s="1"/>
  <c r="AE34" i="6" s="1"/>
  <c r="W38" i="22"/>
  <c r="W57" i="22" s="1"/>
  <c r="P38" i="22"/>
  <c r="R38" i="22"/>
  <c r="S38" i="22"/>
  <c r="Q38" i="22"/>
  <c r="O38" i="22"/>
  <c r="K22" i="6" l="1"/>
  <c r="E15" i="6"/>
  <c r="E33" i="6" s="1"/>
  <c r="E34" i="6" s="1"/>
  <c r="R23" i="14"/>
  <c r="M57" i="22"/>
  <c r="U38" i="22"/>
  <c r="U57" i="22" s="1"/>
  <c r="V38" i="22"/>
  <c r="V57" i="22" s="1"/>
  <c r="O57" i="22"/>
  <c r="N23" i="14"/>
  <c r="Q57" i="22"/>
  <c r="P23" i="14"/>
  <c r="O23" i="14"/>
  <c r="P57" i="22"/>
  <c r="S57" i="22"/>
  <c r="Q23" i="14"/>
  <c r="R57" i="22"/>
  <c r="R24" i="33" l="1"/>
  <c r="Q24" i="33"/>
  <c r="O24" i="33"/>
  <c r="P24" i="33"/>
  <c r="N24" i="33"/>
  <c r="AG22" i="6"/>
  <c r="R23" i="3"/>
  <c r="L23" i="6"/>
  <c r="L23" i="14" s="1"/>
  <c r="S23" i="6"/>
  <c r="U23" i="6" s="1"/>
  <c r="W23" i="6"/>
  <c r="V23" i="6"/>
  <c r="W23" i="35" l="1"/>
  <c r="S24" i="33"/>
  <c r="U24" i="33" s="1"/>
  <c r="L24" i="33"/>
  <c r="S23" i="35"/>
  <c r="L23" i="35"/>
  <c r="V23" i="35"/>
  <c r="U23" i="35"/>
  <c r="N23" i="3"/>
  <c r="Q23" i="3"/>
  <c r="O23" i="3"/>
  <c r="P23" i="3"/>
  <c r="V23" i="14"/>
  <c r="S23" i="14"/>
  <c r="U23" i="14" s="1"/>
  <c r="W23" i="14" l="1"/>
  <c r="L23" i="3"/>
  <c r="G23" i="31" s="1"/>
  <c r="S23" i="3"/>
  <c r="I23" i="31" s="1"/>
  <c r="U23" i="3"/>
  <c r="K23" i="31" s="1"/>
  <c r="L23" i="31"/>
  <c r="M23" i="31" l="1"/>
  <c r="R24" i="4"/>
  <c r="R24" i="14" s="1"/>
  <c r="Q24" i="4"/>
  <c r="Q24" i="14" s="1"/>
  <c r="P24" i="4"/>
  <c r="P24" i="14" s="1"/>
  <c r="P25" i="33" l="1"/>
  <c r="R25" i="33"/>
  <c r="Q25" i="33"/>
  <c r="W13" i="22"/>
  <c r="W17" i="22" s="1"/>
  <c r="P24" i="3"/>
  <c r="Q24" i="3"/>
  <c r="N24" i="4"/>
  <c r="N24" i="14" s="1"/>
  <c r="O24" i="4"/>
  <c r="R24" i="3"/>
  <c r="Y13" i="23"/>
  <c r="Y15" i="23" l="1"/>
  <c r="Y37" i="23"/>
  <c r="Y39" i="23" s="1"/>
  <c r="O24" i="14"/>
  <c r="O25" i="33" s="1"/>
  <c r="L24" i="4"/>
  <c r="L24" i="14" s="1"/>
  <c r="N25" i="33"/>
  <c r="M41" i="23"/>
  <c r="W24" i="4"/>
  <c r="N24" i="3"/>
  <c r="S24" i="4"/>
  <c r="U24" i="4" s="1"/>
  <c r="V24" i="4"/>
  <c r="O24" i="3" l="1"/>
  <c r="W24" i="35"/>
  <c r="U24" i="35"/>
  <c r="V24" i="35"/>
  <c r="S24" i="35"/>
  <c r="L24" i="35"/>
  <c r="Z24" i="35" s="1"/>
  <c r="Y24" i="35" s="1"/>
  <c r="S25" i="33"/>
  <c r="U25" i="33" s="1"/>
  <c r="L25" i="33"/>
  <c r="X25" i="33" s="1"/>
  <c r="W25" i="33" s="1"/>
  <c r="S24" i="3"/>
  <c r="I24" i="31" s="1"/>
  <c r="L24" i="3"/>
  <c r="G24" i="31" s="1"/>
  <c r="S24" i="14"/>
  <c r="W24" i="14" s="1"/>
  <c r="Y24" i="4"/>
  <c r="AK24" i="35"/>
  <c r="AF15" i="23"/>
  <c r="V24" i="14" l="1"/>
  <c r="U24" i="14"/>
  <c r="AL24" i="35"/>
  <c r="AJ24" i="35"/>
  <c r="AG25" i="33"/>
  <c r="AH25" i="33" s="1"/>
  <c r="AF25" i="33"/>
  <c r="L24" i="31"/>
  <c r="Y24" i="14"/>
  <c r="AG24" i="14" s="1"/>
  <c r="U24" i="3"/>
  <c r="K24" i="31" s="1"/>
  <c r="M24" i="31"/>
  <c r="W24" i="3" l="1"/>
  <c r="O24" i="31" l="1"/>
  <c r="W17" i="35" l="1"/>
  <c r="V17" i="35"/>
  <c r="U17" i="35"/>
  <c r="L17" i="35"/>
  <c r="Z17" i="35" s="1"/>
  <c r="S17" i="35"/>
  <c r="AK17" i="35"/>
  <c r="AG18" i="33"/>
  <c r="S18" i="33"/>
  <c r="W17" i="14"/>
  <c r="V17" i="14"/>
  <c r="S17" i="14"/>
  <c r="U17" i="14" s="1"/>
  <c r="U18" i="33" l="1"/>
  <c r="AL17" i="35"/>
  <c r="Y17" i="35"/>
  <c r="AJ17" i="35"/>
  <c r="U17" i="3"/>
  <c r="K17" i="31" s="1"/>
  <c r="M17" i="31"/>
  <c r="L17" i="31"/>
  <c r="S18" i="8" l="1"/>
  <c r="S15" i="8" s="1"/>
  <c r="S33" i="8" s="1"/>
  <c r="S34" i="8" s="1"/>
  <c r="L18" i="8"/>
  <c r="V18" i="8"/>
  <c r="V15" i="8" s="1"/>
  <c r="V33" i="8" s="1"/>
  <c r="V34" i="8" s="1"/>
  <c r="U18" i="8" l="1"/>
  <c r="U15" i="8" s="1"/>
  <c r="U33" i="8" s="1"/>
  <c r="U34" i="8" s="1"/>
  <c r="L15" i="8"/>
  <c r="L33" i="8" s="1"/>
  <c r="L34" i="8" s="1"/>
  <c r="Y18" i="8"/>
  <c r="Y15" i="8" l="1"/>
  <c r="Y30" i="8" l="1"/>
  <c r="Y33" i="8"/>
  <c r="Y34" i="8" l="1"/>
  <c r="AT38" i="8"/>
  <c r="D15" i="26"/>
  <c r="F15" i="26" s="1"/>
  <c r="Y31" i="8"/>
  <c r="J31" i="8" l="1"/>
  <c r="J30" i="8" s="1"/>
  <c r="V31" i="8"/>
  <c r="V30" i="8" s="1"/>
  <c r="H31" i="8"/>
  <c r="H30" i="8" s="1"/>
  <c r="L31" i="8"/>
  <c r="L30" i="8" s="1"/>
  <c r="R31" i="8"/>
  <c r="R30" i="8" s="1"/>
  <c r="G31" i="8"/>
  <c r="G30" i="8" s="1"/>
  <c r="Q31" i="8"/>
  <c r="Q30" i="8" s="1"/>
  <c r="K31" i="8"/>
  <c r="K30" i="8" s="1"/>
  <c r="K38" i="8" s="1"/>
  <c r="K40" i="8" s="1"/>
  <c r="F39" i="27" s="1"/>
  <c r="N31" i="8"/>
  <c r="N30" i="8" s="1"/>
  <c r="W31" i="8"/>
  <c r="W30" i="8" s="1"/>
  <c r="AE31" i="8"/>
  <c r="AE30" i="8" s="1"/>
  <c r="E31" i="8"/>
  <c r="E30" i="8" s="1"/>
  <c r="S31" i="8"/>
  <c r="S30" i="8" s="1"/>
  <c r="O31" i="8"/>
  <c r="O30" i="8" s="1"/>
  <c r="U31" i="8"/>
  <c r="U30" i="8" s="1"/>
  <c r="P31" i="8"/>
  <c r="P30" i="8" s="1"/>
  <c r="F36" i="27" l="1"/>
  <c r="F35" i="27" s="1"/>
  <c r="F37" i="27" s="1"/>
  <c r="AK18" i="35" l="1"/>
  <c r="AG19" i="33" l="1"/>
  <c r="W56" i="22" l="1"/>
  <c r="W58" i="22" s="1"/>
  <c r="V56" i="22"/>
  <c r="V58" i="22" s="1"/>
  <c r="BY23" i="33" l="1"/>
  <c r="BY16" i="33" s="1"/>
  <c r="CA23" i="33"/>
  <c r="CA16" i="33" s="1"/>
  <c r="BZ23" i="33"/>
  <c r="BZ16" i="33" s="1"/>
  <c r="BW23" i="33"/>
  <c r="BW16" i="33" s="1"/>
  <c r="BR23" i="33"/>
  <c r="BR16" i="33" s="1"/>
  <c r="BM23" i="33"/>
  <c r="BM16" i="33" s="1"/>
  <c r="BO23" i="33"/>
  <c r="BO16" i="33" s="1"/>
  <c r="BQ23" i="33"/>
  <c r="BQ16" i="33" s="1"/>
  <c r="BX23" i="33"/>
  <c r="BX16" i="33" s="1"/>
  <c r="BV23" i="33"/>
  <c r="BV16" i="33" s="1"/>
  <c r="BS23" i="33"/>
  <c r="BS16" i="33" s="1"/>
  <c r="BP23" i="33"/>
  <c r="BP16" i="33" s="1"/>
  <c r="BU23" i="33"/>
  <c r="BU16" i="33" s="1"/>
  <c r="BN23" i="33"/>
  <c r="BN16" i="33" s="1"/>
  <c r="BT23" i="33"/>
  <c r="BT16" i="33" s="1"/>
  <c r="U22" i="35" l="1"/>
  <c r="V22" i="35"/>
  <c r="S23" i="33" l="1"/>
  <c r="U23" i="33" s="1"/>
  <c r="U56" i="22"/>
  <c r="U58" i="22" s="1"/>
  <c r="Y56" i="22" l="1"/>
  <c r="AG23" i="33" s="1"/>
  <c r="S56" i="22"/>
  <c r="S58" i="22" s="1"/>
  <c r="R56" i="22"/>
  <c r="R58" i="22" s="1"/>
  <c r="P56" i="22"/>
  <c r="P58" i="22" s="1"/>
  <c r="Q56" i="22"/>
  <c r="Q58" i="22" s="1"/>
  <c r="O56" i="22"/>
  <c r="O58" i="22" s="1"/>
  <c r="BD23" i="33" l="1"/>
  <c r="BD16" i="33" s="1"/>
  <c r="BJ23" i="33"/>
  <c r="BJ16" i="33" s="1"/>
  <c r="BB23" i="33"/>
  <c r="BB16" i="33" s="1"/>
  <c r="BI23" i="33"/>
  <c r="BI16" i="33" s="1"/>
  <c r="BL23" i="33"/>
  <c r="BL16" i="33" s="1"/>
  <c r="BF23" i="33"/>
  <c r="BF16" i="33" s="1"/>
  <c r="BA23" i="33"/>
  <c r="BA16" i="33" s="1"/>
  <c r="BG23" i="33"/>
  <c r="BG16" i="33" s="1"/>
  <c r="BC23" i="33"/>
  <c r="BC16" i="33" s="1"/>
  <c r="AZ23" i="33"/>
  <c r="AZ16" i="33" s="1"/>
  <c r="BH23" i="33"/>
  <c r="BH16" i="33" s="1"/>
  <c r="AK22" i="35"/>
  <c r="BE23" i="33"/>
  <c r="BE16" i="33" s="1"/>
  <c r="M56" i="22"/>
  <c r="M58" i="22" s="1"/>
  <c r="W22" i="35" l="1"/>
  <c r="E22" i="14"/>
  <c r="BK23" i="33"/>
  <c r="BK16" i="33" s="1"/>
  <c r="L22" i="35"/>
  <c r="AE22" i="14"/>
  <c r="S22" i="14"/>
  <c r="L22" i="31" l="1"/>
  <c r="M22" i="31"/>
  <c r="U22" i="3"/>
  <c r="K22" i="31" s="1"/>
  <c r="U22" i="14"/>
  <c r="V22" i="14"/>
  <c r="W22" i="14"/>
  <c r="E23" i="33"/>
  <c r="E16" i="33" s="1"/>
  <c r="E34" i="33" s="1"/>
  <c r="E35" i="33" s="1"/>
  <c r="E15" i="14"/>
  <c r="E33" i="14" s="1"/>
  <c r="E34" i="14" s="1"/>
  <c r="E22" i="35"/>
  <c r="E15" i="35" s="1"/>
  <c r="E34" i="35" s="1"/>
  <c r="E35" i="35" s="1"/>
  <c r="E22" i="3"/>
  <c r="E15" i="3" s="1"/>
  <c r="E33" i="3" s="1"/>
  <c r="E34" i="3" s="1"/>
  <c r="AD23" i="33"/>
  <c r="AD16" i="33" s="1"/>
  <c r="AH15" i="35"/>
  <c r="AX23" i="33"/>
  <c r="AX16" i="33" s="1"/>
  <c r="AC22" i="3" l="1"/>
  <c r="AC15" i="3" s="1"/>
  <c r="AE15" i="14"/>
  <c r="N18" i="14" l="1"/>
  <c r="R18" i="14"/>
  <c r="O18" i="14"/>
  <c r="P18" i="14"/>
  <c r="Q18" i="14"/>
  <c r="O19" i="33" l="1"/>
  <c r="Q19" i="33"/>
  <c r="P19" i="33"/>
  <c r="R19" i="33"/>
  <c r="N19" i="33"/>
  <c r="L18" i="14"/>
  <c r="N18" i="3"/>
  <c r="W18" i="35" l="1"/>
  <c r="U18" i="35"/>
  <c r="AR38" i="35"/>
  <c r="S18" i="35"/>
  <c r="V18" i="35"/>
  <c r="L18" i="35"/>
  <c r="O18" i="3"/>
  <c r="Q18" i="3"/>
  <c r="S18" i="14"/>
  <c r="U18" i="14" s="1"/>
  <c r="P18" i="3"/>
  <c r="R18" i="3"/>
  <c r="V18" i="14" l="1"/>
  <c r="W18" i="14"/>
  <c r="S19" i="33"/>
  <c r="U19" i="33" s="1"/>
  <c r="Z18" i="35"/>
  <c r="L19" i="33"/>
  <c r="X19" i="33" s="1"/>
  <c r="L18" i="3"/>
  <c r="S18" i="3"/>
  <c r="I18" i="31" s="1"/>
  <c r="Y18" i="14"/>
  <c r="L18" i="31" l="1"/>
  <c r="M18" i="31"/>
  <c r="U18" i="3"/>
  <c r="K18" i="31" s="1"/>
  <c r="G18" i="31"/>
  <c r="W18" i="3"/>
  <c r="AH19" i="33"/>
  <c r="W19" i="33"/>
  <c r="AL18" i="35"/>
  <c r="Y18" i="35"/>
  <c r="AJ18" i="35"/>
  <c r="AF19" i="33"/>
  <c r="AG18" i="14"/>
  <c r="O18" i="31" l="1"/>
  <c r="Y32" i="22" l="1"/>
  <c r="P20" i="4"/>
  <c r="P20" i="14" s="1"/>
  <c r="Q20" i="4"/>
  <c r="Q20" i="14" s="1"/>
  <c r="R20" i="4"/>
  <c r="R20" i="14" s="1"/>
  <c r="O20" i="4"/>
  <c r="N20" i="4"/>
  <c r="N20" i="14" s="1"/>
  <c r="O20" i="14" l="1"/>
  <c r="L20" i="4"/>
  <c r="Q21" i="33"/>
  <c r="O21" i="33"/>
  <c r="N21" i="33"/>
  <c r="R21" i="33"/>
  <c r="P21" i="33"/>
  <c r="S20" i="4"/>
  <c r="U20" i="4" s="1"/>
  <c r="V20" i="4"/>
  <c r="W20" i="4"/>
  <c r="U20" i="35" l="1"/>
  <c r="V20" i="35"/>
  <c r="N20" i="3"/>
  <c r="P20" i="3"/>
  <c r="R20" i="3"/>
  <c r="O20" i="3"/>
  <c r="Q20" i="3"/>
  <c r="Y20" i="4"/>
  <c r="AE27" i="24" l="1"/>
  <c r="AG27" i="24"/>
  <c r="AJ27" i="24" l="1"/>
  <c r="AP27" i="24"/>
  <c r="AR27" i="24"/>
  <c r="AD27" i="24"/>
  <c r="AM27" i="24"/>
  <c r="AQ27" i="24"/>
  <c r="AK27" i="24"/>
  <c r="AO27" i="24"/>
  <c r="AI27" i="24"/>
  <c r="AF27" i="24"/>
  <c r="AL27" i="24"/>
  <c r="AN27" i="24"/>
  <c r="AH27" i="24"/>
  <c r="W28" i="35" l="1"/>
  <c r="U28" i="35"/>
  <c r="S28" i="35"/>
  <c r="W25" i="35" l="1"/>
  <c r="U25" i="35"/>
  <c r="L25" i="35"/>
  <c r="L26" i="33"/>
  <c r="S25" i="35"/>
  <c r="S26" i="33"/>
  <c r="U26" i="33" s="1"/>
  <c r="U25" i="3"/>
  <c r="K25" i="31" s="1"/>
  <c r="L25" i="3"/>
  <c r="S25" i="3"/>
  <c r="I25" i="31" s="1"/>
  <c r="M25" i="31" l="1"/>
  <c r="L25" i="31"/>
  <c r="G25" i="31"/>
  <c r="O19" i="4" l="1"/>
  <c r="R19" i="4"/>
  <c r="Q19" i="4"/>
  <c r="P19" i="4"/>
  <c r="N19" i="4"/>
  <c r="L19" i="4" l="1"/>
  <c r="V19" i="4"/>
  <c r="V15" i="4" s="1"/>
  <c r="V33" i="4" s="1"/>
  <c r="V34" i="4" s="1"/>
  <c r="S19" i="4"/>
  <c r="S15" i="4" s="1"/>
  <c r="S33" i="4" s="1"/>
  <c r="S34" i="4" s="1"/>
  <c r="W19" i="4"/>
  <c r="W15" i="4" s="1"/>
  <c r="W33" i="4" s="1"/>
  <c r="U19" i="4" l="1"/>
  <c r="U15" i="4" s="1"/>
  <c r="U33" i="4" s="1"/>
  <c r="U34" i="4" s="1"/>
  <c r="Y19" i="4"/>
  <c r="Y31" i="4" l="1"/>
  <c r="U31" i="4" l="1"/>
  <c r="U30" i="4" s="1"/>
  <c r="AE31" i="4"/>
  <c r="AE30" i="4" s="1"/>
  <c r="K31" i="4"/>
  <c r="K30" i="4" s="1"/>
  <c r="K38" i="4" s="1"/>
  <c r="K40" i="4" s="1"/>
  <c r="B39" i="27" s="1"/>
  <c r="G31" i="4"/>
  <c r="G30" i="4" s="1"/>
  <c r="H31" i="4"/>
  <c r="H30" i="4" s="1"/>
  <c r="P31" i="4"/>
  <c r="P30" i="4" s="1"/>
  <c r="J31" i="4"/>
  <c r="J30" i="4" s="1"/>
  <c r="N31" i="4"/>
  <c r="N30" i="4" s="1"/>
  <c r="S31" i="4"/>
  <c r="S30" i="4" s="1"/>
  <c r="E31" i="4"/>
  <c r="E30" i="4" s="1"/>
  <c r="O31" i="4"/>
  <c r="O30" i="4" s="1"/>
  <c r="W31" i="4"/>
  <c r="W30" i="4" s="1"/>
  <c r="V31" i="4"/>
  <c r="V30" i="4" s="1"/>
  <c r="L31" i="4"/>
  <c r="L30" i="4" s="1"/>
  <c r="Q31" i="4"/>
  <c r="Q30" i="4" s="1"/>
  <c r="R31" i="4"/>
  <c r="R30" i="4" s="1"/>
  <c r="B36" i="27" l="1"/>
  <c r="B35" i="27" s="1"/>
  <c r="B37" i="27" s="1"/>
  <c r="V14" i="21" l="1"/>
  <c r="V19" i="21" s="1"/>
  <c r="W14" i="21"/>
  <c r="W19" i="21" s="1"/>
  <c r="Y14" i="21"/>
  <c r="Y19" i="21" s="1"/>
  <c r="U14" i="21"/>
  <c r="U19" i="21" s="1"/>
  <c r="W33" i="21" l="1"/>
  <c r="W32" i="21"/>
  <c r="U33" i="21"/>
  <c r="W31" i="21"/>
  <c r="W34" i="21" s="1"/>
  <c r="U32" i="21"/>
  <c r="V31" i="21"/>
  <c r="Y32" i="21"/>
  <c r="V32" i="21"/>
  <c r="V33" i="21"/>
  <c r="Y31" i="21"/>
  <c r="U31" i="21"/>
  <c r="Y33" i="21"/>
  <c r="V34" i="21" l="1"/>
  <c r="U34" i="21"/>
  <c r="Y34" i="21"/>
  <c r="N19" i="14"/>
  <c r="O15" i="6"/>
  <c r="O33" i="6" s="1"/>
  <c r="O19" i="14"/>
  <c r="O15" i="35" s="1"/>
  <c r="O34" i="35" s="1"/>
  <c r="P15" i="6"/>
  <c r="P33" i="6" s="1"/>
  <c r="P19" i="14"/>
  <c r="P15" i="35" s="1"/>
  <c r="P34" i="35" s="1"/>
  <c r="R15" i="6"/>
  <c r="R33" i="6" s="1"/>
  <c r="R19" i="14"/>
  <c r="Q15" i="6"/>
  <c r="Q33" i="6" s="1"/>
  <c r="Q19" i="14"/>
  <c r="Q15" i="35" s="1"/>
  <c r="Q34" i="35" s="1"/>
  <c r="N15" i="6"/>
  <c r="N33" i="6" s="1"/>
  <c r="L19" i="6"/>
  <c r="S19" i="6"/>
  <c r="S15" i="6" s="1"/>
  <c r="S33" i="6" s="1"/>
  <c r="S34" i="6" s="1"/>
  <c r="U19" i="6" l="1"/>
  <c r="U15" i="6" s="1"/>
  <c r="U33" i="6" s="1"/>
  <c r="U34" i="6" s="1"/>
  <c r="V19" i="6"/>
  <c r="V15" i="6" s="1"/>
  <c r="V33" i="6" s="1"/>
  <c r="V34" i="6" s="1"/>
  <c r="W19" i="6"/>
  <c r="W15" i="6" s="1"/>
  <c r="W33" i="6" s="1"/>
  <c r="W34" i="6" s="1"/>
  <c r="N15" i="35"/>
  <c r="N34" i="35" s="1"/>
  <c r="W19" i="35"/>
  <c r="Q20" i="33"/>
  <c r="P19" i="3"/>
  <c r="P20" i="33"/>
  <c r="N20" i="33"/>
  <c r="R19" i="3"/>
  <c r="R20" i="33"/>
  <c r="O20" i="33"/>
  <c r="Q19" i="3"/>
  <c r="N19" i="3"/>
  <c r="L19" i="14"/>
  <c r="O19" i="3"/>
  <c r="V19" i="14"/>
  <c r="S19" i="14"/>
  <c r="W19" i="14" s="1"/>
  <c r="L15" i="6"/>
  <c r="L33" i="6" s="1"/>
  <c r="L34" i="6" s="1"/>
  <c r="U19" i="14" l="1"/>
  <c r="L19" i="35"/>
  <c r="U19" i="35"/>
  <c r="V19" i="35"/>
  <c r="V15" i="35" s="1"/>
  <c r="V34" i="35" s="1"/>
  <c r="S19" i="35"/>
  <c r="S20" i="33"/>
  <c r="U20" i="33" s="1"/>
  <c r="L20" i="33"/>
  <c r="S19" i="3"/>
  <c r="I19" i="31" s="1"/>
  <c r="L19" i="31"/>
  <c r="U19" i="3"/>
  <c r="K19" i="31" s="1"/>
  <c r="AG19" i="6"/>
  <c r="L19" i="3"/>
  <c r="M19" i="31" l="1"/>
  <c r="G19" i="31"/>
  <c r="S21" i="33" l="1"/>
  <c r="S16" i="33" l="1"/>
  <c r="S34" i="33" s="1"/>
  <c r="S35" i="33" s="1"/>
  <c r="U21" i="33"/>
  <c r="S20" i="35" l="1"/>
  <c r="S15" i="35" s="1"/>
  <c r="S34" i="35" s="1"/>
  <c r="S35" i="35" s="1"/>
  <c r="H20" i="7" l="1"/>
  <c r="J20" i="7" l="1"/>
  <c r="W20" i="35" l="1"/>
  <c r="W15" i="35" s="1"/>
  <c r="W34" i="35" s="1"/>
  <c r="R15" i="35"/>
  <c r="R34" i="35" s="1"/>
  <c r="K20" i="7"/>
  <c r="L20" i="7"/>
  <c r="L20" i="14" s="1"/>
  <c r="S20" i="7"/>
  <c r="S15" i="7" l="1"/>
  <c r="S33" i="7" s="1"/>
  <c r="S34" i="7" s="1"/>
  <c r="W20" i="7"/>
  <c r="W15" i="7" s="1"/>
  <c r="W33" i="7" s="1"/>
  <c r="W34" i="7" s="1"/>
  <c r="V20" i="7"/>
  <c r="V15" i="7" s="1"/>
  <c r="V33" i="7" s="1"/>
  <c r="V34" i="7" s="1"/>
  <c r="U20" i="7"/>
  <c r="U15" i="7" s="1"/>
  <c r="U33" i="7" s="1"/>
  <c r="U34" i="7" s="1"/>
  <c r="L21" i="33"/>
  <c r="L20" i="35"/>
  <c r="L15" i="7"/>
  <c r="L33" i="7" s="1"/>
  <c r="L34" i="7" s="1"/>
  <c r="Y20" i="7"/>
  <c r="S20" i="14"/>
  <c r="S15" i="14" l="1"/>
  <c r="S33" i="14" s="1"/>
  <c r="S34" i="14" s="1"/>
  <c r="W20" i="14"/>
  <c r="W15" i="14" s="1"/>
  <c r="W33" i="14" s="1"/>
  <c r="W34" i="14" s="1"/>
  <c r="V20" i="14"/>
  <c r="V15" i="14" s="1"/>
  <c r="V33" i="14" s="1"/>
  <c r="V34" i="14" s="1"/>
  <c r="U20" i="14"/>
  <c r="U15" i="14" s="1"/>
  <c r="U33" i="14" s="1"/>
  <c r="U34" i="14" s="1"/>
  <c r="AG20" i="7"/>
  <c r="S20" i="3"/>
  <c r="L20" i="31" s="1"/>
  <c r="L20" i="3"/>
  <c r="G20" i="31" s="1"/>
  <c r="U20" i="3" l="1"/>
  <c r="K20" i="31" s="1"/>
  <c r="I20" i="31"/>
  <c r="M20" i="31" l="1"/>
  <c r="I46" i="22" l="1"/>
  <c r="M15" i="36" l="1"/>
  <c r="K46" i="22"/>
  <c r="H23" i="7"/>
  <c r="AI15" i="7"/>
  <c r="AJ15" i="7"/>
  <c r="J23" i="7" l="1"/>
  <c r="H15" i="7"/>
  <c r="H33" i="7" s="1"/>
  <c r="Y46" i="22"/>
  <c r="L46" i="22"/>
  <c r="H34" i="7" l="1"/>
  <c r="AS38" i="7"/>
  <c r="K23" i="7"/>
  <c r="J15" i="7"/>
  <c r="J33" i="7" s="1"/>
  <c r="J34" i="7" s="1"/>
  <c r="Y23" i="7" l="1"/>
  <c r="K15" i="7"/>
  <c r="AH46" i="22"/>
  <c r="AK22" i="14"/>
  <c r="AK23" i="33" l="1"/>
  <c r="AJ23" i="33" s="1"/>
  <c r="K33" i="7"/>
  <c r="K34" i="7" s="1"/>
  <c r="E26" i="27"/>
  <c r="E28" i="27" s="1"/>
  <c r="E32" i="27" s="1"/>
  <c r="AG23" i="7"/>
  <c r="Y15" i="7"/>
  <c r="H22" i="14"/>
  <c r="H23" i="33" l="1"/>
  <c r="Y30" i="7"/>
  <c r="Y33" i="7"/>
  <c r="AG15" i="7"/>
  <c r="E33" i="27"/>
  <c r="AJ22" i="14"/>
  <c r="H22" i="3"/>
  <c r="J22" i="14"/>
  <c r="J23" i="33" l="1"/>
  <c r="Y34" i="7"/>
  <c r="AT38" i="7"/>
  <c r="AG30" i="7"/>
  <c r="D14" i="26"/>
  <c r="F14" i="26" s="1"/>
  <c r="Y31" i="7"/>
  <c r="K22" i="14"/>
  <c r="J22" i="3"/>
  <c r="E22" i="31" s="1"/>
  <c r="L31" i="7" l="1"/>
  <c r="L30" i="7" s="1"/>
  <c r="Z22" i="35"/>
  <c r="C109" i="35"/>
  <c r="K23" i="33"/>
  <c r="C109" i="33"/>
  <c r="K31" i="7"/>
  <c r="G31" i="7"/>
  <c r="G30" i="7" s="1"/>
  <c r="J31" i="7"/>
  <c r="J30" i="7" s="1"/>
  <c r="H31" i="7"/>
  <c r="H30" i="7" s="1"/>
  <c r="P31" i="7"/>
  <c r="P30" i="7" s="1"/>
  <c r="O31" i="7"/>
  <c r="O30" i="7" s="1"/>
  <c r="E31" i="7"/>
  <c r="E30" i="7" s="1"/>
  <c r="N31" i="7"/>
  <c r="N30" i="7" s="1"/>
  <c r="V31" i="7"/>
  <c r="V30" i="7" s="1"/>
  <c r="U31" i="7"/>
  <c r="U30" i="7" s="1"/>
  <c r="S31" i="7"/>
  <c r="S30" i="7" s="1"/>
  <c r="W31" i="7"/>
  <c r="W30" i="7" s="1"/>
  <c r="Q31" i="7"/>
  <c r="Q30" i="7" s="1"/>
  <c r="R31" i="7"/>
  <c r="R30" i="7" s="1"/>
  <c r="Y22" i="35" l="1"/>
  <c r="AJ22" i="35"/>
  <c r="AL22" i="35"/>
  <c r="K30" i="7"/>
  <c r="K38" i="7" s="1"/>
  <c r="K40" i="7" s="1"/>
  <c r="E39" i="27" s="1"/>
  <c r="E36" i="27"/>
  <c r="E35" i="27" s="1"/>
  <c r="E37" i="27" s="1"/>
  <c r="K22" i="3"/>
  <c r="C108" i="3" s="1"/>
  <c r="F22" i="31" l="1"/>
  <c r="M13" i="36" l="1"/>
  <c r="M16" i="36" s="1"/>
  <c r="I38" i="22" l="1"/>
  <c r="K38" i="22" l="1"/>
  <c r="AI15" i="6"/>
  <c r="H23" i="6"/>
  <c r="AJ15" i="6"/>
  <c r="J23" i="6" l="1"/>
  <c r="H15" i="6"/>
  <c r="H33" i="6" s="1"/>
  <c r="Y38" i="22"/>
  <c r="L38" i="22"/>
  <c r="H34" i="6" l="1"/>
  <c r="AS38" i="6"/>
  <c r="K23" i="6"/>
  <c r="J15" i="6"/>
  <c r="J33" i="6" s="1"/>
  <c r="J34" i="6" s="1"/>
  <c r="K15" i="6" l="1"/>
  <c r="I33" i="25"/>
  <c r="K33" i="25" s="1"/>
  <c r="M33" i="25"/>
  <c r="M35" i="25" s="1"/>
  <c r="AG23" i="6" l="1"/>
  <c r="Y15" i="6"/>
  <c r="D26" i="27"/>
  <c r="K33" i="6"/>
  <c r="K34" i="6" s="1"/>
  <c r="L33" i="25"/>
  <c r="L35" i="25" s="1"/>
  <c r="I35" i="25"/>
  <c r="K35" i="25" s="1"/>
  <c r="AK27" i="33" l="1"/>
  <c r="AJ27" i="33" s="1"/>
  <c r="Y33" i="25"/>
  <c r="AA33" i="25"/>
  <c r="Y30" i="6"/>
  <c r="Y33" i="6"/>
  <c r="AG15" i="6"/>
  <c r="D28" i="27"/>
  <c r="U26" i="3" l="1"/>
  <c r="K26" i="31" s="1"/>
  <c r="S26" i="3"/>
  <c r="H27" i="33"/>
  <c r="Y35" i="25"/>
  <c r="AD15" i="35"/>
  <c r="AA35" i="25"/>
  <c r="Y34" i="6"/>
  <c r="AT38" i="6"/>
  <c r="L26" i="3"/>
  <c r="D32" i="27"/>
  <c r="D33" i="27" s="1"/>
  <c r="H26" i="3"/>
  <c r="AG30" i="6"/>
  <c r="D13" i="26"/>
  <c r="Y31" i="6"/>
  <c r="U15" i="3" l="1"/>
  <c r="U33" i="3" s="1"/>
  <c r="I26" i="31"/>
  <c r="J27" i="33"/>
  <c r="AD31" i="35"/>
  <c r="AD34" i="35"/>
  <c r="AK26" i="35"/>
  <c r="U26" i="35"/>
  <c r="U15" i="35" s="1"/>
  <c r="U34" i="35" s="1"/>
  <c r="U35" i="35" s="1"/>
  <c r="L26" i="35"/>
  <c r="AG27" i="33"/>
  <c r="Z27" i="33"/>
  <c r="Z16" i="33" s="1"/>
  <c r="Y26" i="3"/>
  <c r="Y15" i="3" s="1"/>
  <c r="L27" i="33"/>
  <c r="U27" i="33"/>
  <c r="U16" i="33" s="1"/>
  <c r="U34" i="33" s="1"/>
  <c r="U35" i="33" s="1"/>
  <c r="L15" i="31"/>
  <c r="L26" i="31"/>
  <c r="G26" i="31"/>
  <c r="F13" i="26"/>
  <c r="K31" i="6"/>
  <c r="O31" i="6"/>
  <c r="O30" i="6" s="1"/>
  <c r="Q31" i="6"/>
  <c r="Q30" i="6" s="1"/>
  <c r="L31" i="6"/>
  <c r="L30" i="6" s="1"/>
  <c r="J31" i="6"/>
  <c r="J30" i="6" s="1"/>
  <c r="P31" i="6"/>
  <c r="P30" i="6" s="1"/>
  <c r="E31" i="6"/>
  <c r="E30" i="6" s="1"/>
  <c r="U31" i="6"/>
  <c r="U30" i="6" s="1"/>
  <c r="AE31" i="6"/>
  <c r="AE30" i="6" s="1"/>
  <c r="V31" i="6"/>
  <c r="V30" i="6" s="1"/>
  <c r="R31" i="6"/>
  <c r="R30" i="6" s="1"/>
  <c r="G31" i="6"/>
  <c r="N31" i="6"/>
  <c r="N30" i="6" s="1"/>
  <c r="W31" i="6"/>
  <c r="W30" i="6" s="1"/>
  <c r="S31" i="6"/>
  <c r="S30" i="6" s="1"/>
  <c r="H31" i="6"/>
  <c r="H30" i="6" s="1"/>
  <c r="J26" i="3"/>
  <c r="E26" i="31" s="1"/>
  <c r="K15" i="31" l="1"/>
  <c r="M26" i="31"/>
  <c r="E113" i="35"/>
  <c r="Z26" i="35"/>
  <c r="L15" i="35"/>
  <c r="L34" i="35" s="1"/>
  <c r="L35" i="35" s="1"/>
  <c r="Y30" i="3"/>
  <c r="Y31" i="3" s="1"/>
  <c r="Y33" i="3"/>
  <c r="Y34" i="3" s="1"/>
  <c r="E111" i="3"/>
  <c r="E113" i="33"/>
  <c r="K27" i="33"/>
  <c r="X27" i="33" s="1"/>
  <c r="W27" i="33" s="1"/>
  <c r="Z34" i="33"/>
  <c r="Z31" i="33"/>
  <c r="K33" i="31"/>
  <c r="U34" i="3"/>
  <c r="K34" i="31" s="1"/>
  <c r="L33" i="31"/>
  <c r="L34" i="3"/>
  <c r="G34" i="31" s="1"/>
  <c r="K26" i="3"/>
  <c r="C112" i="3" s="1"/>
  <c r="D36" i="27"/>
  <c r="D35" i="27" s="1"/>
  <c r="D37" i="27" s="1"/>
  <c r="K30" i="6"/>
  <c r="K38" i="6" s="1"/>
  <c r="K40" i="6" s="1"/>
  <c r="D39" i="27" s="1"/>
  <c r="S34" i="3" l="1"/>
  <c r="I34" i="31" s="1"/>
  <c r="M15" i="31"/>
  <c r="AL26" i="35"/>
  <c r="AJ26" i="35"/>
  <c r="Y26" i="35"/>
  <c r="AH27" i="33"/>
  <c r="AF27" i="33"/>
  <c r="L34" i="31"/>
  <c r="W26" i="3"/>
  <c r="F26" i="31"/>
  <c r="M34" i="31" l="1"/>
  <c r="M33" i="31"/>
  <c r="O26" i="31"/>
  <c r="AK20" i="14" l="1"/>
  <c r="H20" i="14" l="1"/>
  <c r="J20" i="14" l="1"/>
  <c r="AJ20" i="14"/>
  <c r="K20" i="14" l="1"/>
  <c r="C108" i="35" s="1"/>
  <c r="C108" i="33" l="1"/>
  <c r="Y20" i="14" l="1"/>
  <c r="AG20" i="14" l="1"/>
  <c r="AO28" i="35" l="1"/>
  <c r="AN28" i="35" s="1"/>
  <c r="AK26" i="33" l="1"/>
  <c r="AJ26" i="33" s="1"/>
  <c r="H26" i="33" l="1"/>
  <c r="H25" i="3"/>
  <c r="J26" i="33" l="1"/>
  <c r="K25" i="3"/>
  <c r="J25" i="3"/>
  <c r="E25" i="31" s="1"/>
  <c r="E112" i="35" l="1"/>
  <c r="E112" i="33"/>
  <c r="K26" i="33"/>
  <c r="C111" i="3"/>
  <c r="E110" i="3"/>
  <c r="Z25" i="35" l="1"/>
  <c r="X26" i="33"/>
  <c r="W26" i="33" s="1"/>
  <c r="I57" i="22"/>
  <c r="I58" i="22" s="1"/>
  <c r="F25" i="31"/>
  <c r="W25" i="3"/>
  <c r="Y25" i="35" l="1"/>
  <c r="AJ25" i="35"/>
  <c r="CE26" i="33"/>
  <c r="CG27" i="33"/>
  <c r="AF26" i="33"/>
  <c r="AK23" i="14"/>
  <c r="O25" i="31"/>
  <c r="AP25" i="3"/>
  <c r="AR26" i="3"/>
  <c r="K57" i="22"/>
  <c r="K58" i="22" s="1"/>
  <c r="AK24" i="33" l="1"/>
  <c r="AJ24" i="33" s="1"/>
  <c r="H23" i="14"/>
  <c r="AJ23" i="14"/>
  <c r="L57" i="22"/>
  <c r="L58" i="22" s="1"/>
  <c r="H24" i="33" l="1"/>
  <c r="Y57" i="22"/>
  <c r="Y58" i="22" s="1"/>
  <c r="AQ38" i="35"/>
  <c r="J23" i="14"/>
  <c r="H23" i="3"/>
  <c r="J24" i="33" l="1"/>
  <c r="AG24" i="33"/>
  <c r="AK23" i="35"/>
  <c r="K23" i="14"/>
  <c r="AO38" i="35"/>
  <c r="AS38" i="35" s="1"/>
  <c r="AA29" i="35" s="1"/>
  <c r="J23" i="3"/>
  <c r="Z23" i="35" l="1"/>
  <c r="AL23" i="35" s="1"/>
  <c r="C110" i="35"/>
  <c r="C110" i="33"/>
  <c r="K24" i="33"/>
  <c r="X24" i="33" s="1"/>
  <c r="W24" i="33" s="1"/>
  <c r="E23" i="31"/>
  <c r="K23" i="3"/>
  <c r="C109" i="3" s="1"/>
  <c r="Y23" i="14"/>
  <c r="Y23" i="35" l="1"/>
  <c r="AJ23" i="35"/>
  <c r="AF24" i="33"/>
  <c r="AH24" i="33"/>
  <c r="AG23" i="14"/>
  <c r="W23" i="3"/>
  <c r="F23" i="31"/>
  <c r="O23" i="31" l="1"/>
  <c r="AK21" i="33" l="1"/>
  <c r="AJ21" i="33" s="1"/>
  <c r="H21" i="33" l="1"/>
  <c r="H20" i="3"/>
  <c r="J21" i="33" l="1"/>
  <c r="AK20" i="35"/>
  <c r="J20" i="3"/>
  <c r="Z20" i="35" l="1"/>
  <c r="E108" i="35"/>
  <c r="E108" i="33"/>
  <c r="K21" i="33"/>
  <c r="X21" i="33" s="1"/>
  <c r="W21" i="33" s="1"/>
  <c r="AG21" i="33"/>
  <c r="E20" i="31"/>
  <c r="E107" i="3"/>
  <c r="K20" i="3"/>
  <c r="C107" i="3" s="1"/>
  <c r="E10" i="36" l="1"/>
  <c r="F9" i="36"/>
  <c r="Y20" i="35"/>
  <c r="AJ20" i="35"/>
  <c r="AL20" i="35"/>
  <c r="C102" i="33"/>
  <c r="E102" i="33" s="1"/>
  <c r="C102" i="35"/>
  <c r="E102" i="35" s="1"/>
  <c r="AF21" i="33"/>
  <c r="AH21" i="33"/>
  <c r="C101" i="3"/>
  <c r="E101" i="3" s="1"/>
  <c r="F20" i="31"/>
  <c r="W20" i="3"/>
  <c r="E12" i="36" l="1"/>
  <c r="E17" i="36" s="1"/>
  <c r="G9" i="36"/>
  <c r="H9" i="36" s="1"/>
  <c r="O20" i="31"/>
  <c r="F16" i="26" l="1"/>
  <c r="M23" i="36" l="1"/>
  <c r="O24" i="36" s="1"/>
  <c r="AK19" i="14" l="1"/>
  <c r="M22" i="36" l="1"/>
  <c r="M24" i="36" s="1"/>
  <c r="P24" i="36" s="1"/>
  <c r="AK20" i="33"/>
  <c r="AK16" i="33" s="1"/>
  <c r="H19" i="14"/>
  <c r="AJ19" i="14"/>
  <c r="AJ15" i="14" s="1"/>
  <c r="AK15" i="14"/>
  <c r="H20" i="33" l="1"/>
  <c r="H16" i="33" s="1"/>
  <c r="H34" i="33" s="1"/>
  <c r="H35" i="33" s="1"/>
  <c r="H15" i="35"/>
  <c r="H34" i="35" s="1"/>
  <c r="H35" i="35" s="1"/>
  <c r="AJ20" i="33"/>
  <c r="AJ16" i="33" s="1"/>
  <c r="AN15" i="35"/>
  <c r="AO15" i="35"/>
  <c r="J19" i="14"/>
  <c r="H19" i="3"/>
  <c r="H15" i="3" s="1"/>
  <c r="H15" i="14"/>
  <c r="H33" i="14" s="1"/>
  <c r="H34" i="14" s="1"/>
  <c r="H33" i="3" l="1"/>
  <c r="H34" i="3" s="1"/>
  <c r="J20" i="33"/>
  <c r="J16" i="33" s="1"/>
  <c r="J34" i="33" s="1"/>
  <c r="J35" i="33" s="1"/>
  <c r="J15" i="35"/>
  <c r="J34" i="35" s="1"/>
  <c r="J35" i="35" s="1"/>
  <c r="AG20" i="33"/>
  <c r="AK19" i="35"/>
  <c r="K19" i="14"/>
  <c r="J19" i="3"/>
  <c r="J15" i="14"/>
  <c r="J33" i="14" s="1"/>
  <c r="J34" i="14" s="1"/>
  <c r="C107" i="35" l="1"/>
  <c r="K20" i="33"/>
  <c r="C107" i="33"/>
  <c r="K19" i="3"/>
  <c r="K15" i="14"/>
  <c r="F8" i="36" s="1"/>
  <c r="F10" i="36" s="1"/>
  <c r="F11" i="36" s="1"/>
  <c r="Y19" i="14"/>
  <c r="E19" i="31"/>
  <c r="J15" i="3"/>
  <c r="C106" i="3" l="1"/>
  <c r="W19" i="3"/>
  <c r="Z19" i="35"/>
  <c r="K15" i="35"/>
  <c r="K34" i="35" s="1"/>
  <c r="C101" i="33"/>
  <c r="E101" i="33" s="1"/>
  <c r="C101" i="35"/>
  <c r="E101" i="35" s="1"/>
  <c r="X20" i="33"/>
  <c r="W20" i="33" s="1"/>
  <c r="K16" i="33"/>
  <c r="K34" i="33" s="1"/>
  <c r="C100" i="3"/>
  <c r="K33" i="14"/>
  <c r="K34" i="14" s="1"/>
  <c r="AV15" i="14"/>
  <c r="E15" i="31"/>
  <c r="J33" i="3"/>
  <c r="AG19" i="14"/>
  <c r="F19" i="31"/>
  <c r="K15" i="3"/>
  <c r="F15" i="36" s="1"/>
  <c r="F17" i="36" s="1"/>
  <c r="I26" i="27"/>
  <c r="E100" i="3" l="1"/>
  <c r="K33" i="3"/>
  <c r="K34" i="3" s="1"/>
  <c r="AJ19" i="35"/>
  <c r="Y19" i="35"/>
  <c r="Y15" i="35" s="1"/>
  <c r="Z15" i="35"/>
  <c r="AL19" i="35"/>
  <c r="K100" i="35"/>
  <c r="K35" i="35"/>
  <c r="AA15" i="35"/>
  <c r="AA31" i="35" s="1"/>
  <c r="AA32" i="35" s="1"/>
  <c r="AB15" i="35"/>
  <c r="K100" i="33"/>
  <c r="K35" i="33"/>
  <c r="AF20" i="33"/>
  <c r="AH20" i="33"/>
  <c r="I28" i="27"/>
  <c r="I32" i="27" s="1"/>
  <c r="I33" i="27" s="1"/>
  <c r="E33" i="31"/>
  <c r="J34" i="3"/>
  <c r="E34" i="31" s="1"/>
  <c r="F15" i="31"/>
  <c r="O19" i="31"/>
  <c r="L100" i="35" l="1"/>
  <c r="S100" i="35"/>
  <c r="U100" i="35" s="1"/>
  <c r="V100" i="35" s="1"/>
  <c r="N100" i="35"/>
  <c r="O100" i="35" s="1"/>
  <c r="P100" i="35" s="1"/>
  <c r="Q100" i="35" s="1"/>
  <c r="Z34" i="35"/>
  <c r="Z31" i="35"/>
  <c r="AJ15" i="35"/>
  <c r="Y34" i="35"/>
  <c r="Y35" i="35" s="1"/>
  <c r="Y31" i="35"/>
  <c r="Y32" i="35" s="1"/>
  <c r="AB31" i="35"/>
  <c r="AB32" i="35" s="1"/>
  <c r="AB34" i="35"/>
  <c r="AB35" i="35" s="1"/>
  <c r="S100" i="33"/>
  <c r="U100" i="33" s="1"/>
  <c r="F33" i="31"/>
  <c r="F37" i="31" s="1"/>
  <c r="F34" i="31"/>
  <c r="K99" i="3"/>
  <c r="Y31" i="14"/>
  <c r="R100" i="35" l="1"/>
  <c r="AL31" i="35"/>
  <c r="AJ31" i="35"/>
  <c r="Z32" i="35"/>
  <c r="Z35" i="35"/>
  <c r="Z100" i="35"/>
  <c r="X35" i="33"/>
  <c r="X32" i="33"/>
  <c r="V31" i="14"/>
  <c r="V30" i="14" s="1"/>
  <c r="H31" i="14"/>
  <c r="H30" i="14" s="1"/>
  <c r="S31" i="14"/>
  <c r="S30" i="14" s="1"/>
  <c r="O31" i="14"/>
  <c r="O30" i="14" s="1"/>
  <c r="P31" i="14"/>
  <c r="P30" i="14" s="1"/>
  <c r="G31" i="14"/>
  <c r="G30" i="14" s="1"/>
  <c r="L31" i="14"/>
  <c r="L30" i="14" s="1"/>
  <c r="K31" i="14"/>
  <c r="K30" i="14" s="1"/>
  <c r="K38" i="14" s="1"/>
  <c r="K40" i="14" s="1"/>
  <c r="E31" i="14"/>
  <c r="E30" i="14" s="1"/>
  <c r="U31" i="14"/>
  <c r="U30" i="14" s="1"/>
  <c r="R31" i="14"/>
  <c r="R30" i="14" s="1"/>
  <c r="J31" i="14"/>
  <c r="J30" i="14" s="1"/>
  <c r="Q31" i="14"/>
  <c r="Q30" i="14" s="1"/>
  <c r="N31" i="14"/>
  <c r="N30" i="14" s="1"/>
  <c r="W31" i="14"/>
  <c r="W30" i="14" s="1"/>
  <c r="W31" i="3"/>
  <c r="W34" i="3"/>
  <c r="I35" i="27"/>
  <c r="I37" i="27" s="1"/>
  <c r="W37" i="3" l="1"/>
  <c r="R32" i="35"/>
  <c r="E32" i="35"/>
  <c r="E31" i="35" s="1"/>
  <c r="O32" i="35"/>
  <c r="O31" i="35" s="1"/>
  <c r="N32" i="35"/>
  <c r="N31" i="35" s="1"/>
  <c r="J32" i="35"/>
  <c r="J31" i="35" s="1"/>
  <c r="S32" i="35"/>
  <c r="S31" i="35" s="1"/>
  <c r="P32" i="35"/>
  <c r="P31" i="35" s="1"/>
  <c r="W32" i="35"/>
  <c r="W31" i="35" s="1"/>
  <c r="L32" i="35"/>
  <c r="L31" i="35" s="1"/>
  <c r="K32" i="35"/>
  <c r="K31" i="35" s="1"/>
  <c r="K39" i="35" s="1"/>
  <c r="K41" i="35" s="1"/>
  <c r="H32" i="35"/>
  <c r="H31" i="35" s="1"/>
  <c r="G32" i="35"/>
  <c r="G31" i="35" s="1"/>
  <c r="V32" i="35"/>
  <c r="V31" i="35" s="1"/>
  <c r="U32" i="35"/>
  <c r="U31" i="35" s="1"/>
  <c r="Q32" i="35"/>
  <c r="Q31" i="35" s="1"/>
  <c r="Y37" i="35"/>
  <c r="Z37" i="35"/>
  <c r="O34" i="31"/>
  <c r="X37" i="33"/>
  <c r="K31" i="3"/>
  <c r="K30" i="3" s="1"/>
  <c r="S32" i="33"/>
  <c r="S31" i="33" s="1"/>
  <c r="U32" i="33"/>
  <c r="U31" i="33" s="1"/>
  <c r="CD32" i="33"/>
  <c r="J32" i="33"/>
  <c r="J31" i="33" s="1"/>
  <c r="E32" i="33"/>
  <c r="E31" i="33" s="1"/>
  <c r="G32" i="33"/>
  <c r="G31" i="33" s="1"/>
  <c r="L32" i="33"/>
  <c r="L31" i="33" s="1"/>
  <c r="O32" i="33"/>
  <c r="O31" i="33" s="1"/>
  <c r="Q32" i="33"/>
  <c r="Q31" i="33" s="1"/>
  <c r="P32" i="33"/>
  <c r="P31" i="33" s="1"/>
  <c r="CE39" i="33"/>
  <c r="H32" i="33"/>
  <c r="H31" i="33" s="1"/>
  <c r="K32" i="33"/>
  <c r="K31" i="33" s="1"/>
  <c r="K39" i="33" s="1"/>
  <c r="K41" i="33" s="1"/>
  <c r="R32" i="33"/>
  <c r="R31" i="33" s="1"/>
  <c r="N32" i="33"/>
  <c r="N31" i="33" s="1"/>
  <c r="G38" i="27"/>
  <c r="K46" i="11"/>
  <c r="E31" i="3"/>
  <c r="E30" i="3" s="1"/>
  <c r="O31" i="31"/>
  <c r="AO31" i="3"/>
  <c r="L31" i="3"/>
  <c r="Q31" i="3"/>
  <c r="Q30" i="3" s="1"/>
  <c r="S31" i="3"/>
  <c r="U31" i="3"/>
  <c r="AP38" i="3"/>
  <c r="P31" i="3"/>
  <c r="P30" i="3" s="1"/>
  <c r="R31" i="3"/>
  <c r="R30" i="3" s="1"/>
  <c r="O31" i="3"/>
  <c r="O30" i="3" s="1"/>
  <c r="N31" i="3"/>
  <c r="N30" i="3" s="1"/>
  <c r="H31" i="3"/>
  <c r="H30" i="3" s="1"/>
  <c r="J31" i="3"/>
  <c r="G31" i="3"/>
  <c r="G30" i="3" s="1"/>
  <c r="R31" i="35" l="1"/>
  <c r="R39" i="35"/>
  <c r="R41" i="35" s="1"/>
  <c r="L30" i="31"/>
  <c r="L31" i="31"/>
  <c r="E31" i="31"/>
  <c r="J30" i="3"/>
  <c r="E30" i="31" s="1"/>
  <c r="U30" i="3"/>
  <c r="K30" i="31" s="1"/>
  <c r="K31" i="31"/>
  <c r="L30" i="3"/>
  <c r="G30" i="31" s="1"/>
  <c r="G31" i="31"/>
  <c r="I31" i="31"/>
  <c r="S30" i="3"/>
  <c r="I30" i="31" s="1"/>
  <c r="M31" i="31"/>
  <c r="M30" i="31"/>
  <c r="K44" i="11"/>
  <c r="K42" i="11"/>
  <c r="G41" i="27"/>
  <c r="F31" i="31"/>
  <c r="K48" i="11" l="1"/>
  <c r="K38" i="3"/>
  <c r="K40" i="3" s="1"/>
  <c r="K39" i="27" s="1"/>
  <c r="H39" i="27" s="1"/>
  <c r="F30" i="31"/>
  <c r="Q13" i="22" l="1"/>
  <c r="Q17" i="22" s="1"/>
  <c r="P22" i="4" s="1"/>
  <c r="P22" i="14" s="1"/>
  <c r="O13" i="22"/>
  <c r="Y13" i="22"/>
  <c r="Y17" i="22" s="1"/>
  <c r="P13" i="22"/>
  <c r="P17" i="22" s="1"/>
  <c r="O22" i="4" s="1"/>
  <c r="S13" i="22"/>
  <c r="S17" i="22" s="1"/>
  <c r="R22" i="4" s="1"/>
  <c r="R22" i="14" s="1"/>
  <c r="R13" i="22"/>
  <c r="R17" i="22" s="1"/>
  <c r="Q22" i="4" s="1"/>
  <c r="Q22" i="14" s="1"/>
  <c r="V13" i="22"/>
  <c r="V17" i="22" s="1"/>
  <c r="L22" i="4" l="1"/>
  <c r="O22" i="14"/>
  <c r="Q22" i="3"/>
  <c r="Q23" i="33"/>
  <c r="R22" i="3"/>
  <c r="R23" i="33"/>
  <c r="U13" i="22"/>
  <c r="U17" i="22" s="1"/>
  <c r="O17" i="22"/>
  <c r="N22" i="4" s="1"/>
  <c r="N22" i="14" s="1"/>
  <c r="P22" i="3"/>
  <c r="P23" i="33"/>
  <c r="BK14" i="24"/>
  <c r="BK19" i="24"/>
  <c r="BK15" i="24"/>
  <c r="BK17" i="24"/>
  <c r="BK21" i="24"/>
  <c r="BK23" i="24"/>
  <c r="BK16" i="24"/>
  <c r="BK20" i="24"/>
  <c r="BK24" i="24"/>
  <c r="BK22" i="24"/>
  <c r="BK18" i="24"/>
  <c r="S22" i="35" l="1"/>
  <c r="N22" i="3"/>
  <c r="N23" i="33"/>
  <c r="L23" i="33" s="1"/>
  <c r="X23" i="33" s="1"/>
  <c r="O23" i="33"/>
  <c r="O22" i="3"/>
  <c r="Y22" i="4"/>
  <c r="L22" i="14"/>
  <c r="Y22" i="14" s="1"/>
  <c r="AG22" i="14" s="1"/>
  <c r="BK25" i="24"/>
  <c r="BK27" i="24" s="1"/>
  <c r="AG26" i="33" l="1"/>
  <c r="AH26" i="33" s="1"/>
  <c r="W23" i="33"/>
  <c r="AF23" i="33"/>
  <c r="AH23" i="33"/>
  <c r="S22" i="3"/>
  <c r="I22" i="31" s="1"/>
  <c r="L22" i="3"/>
  <c r="AK25" i="35"/>
  <c r="AL25" i="35" s="1"/>
  <c r="G22" i="31" l="1"/>
  <c r="W22" i="3"/>
  <c r="O22" i="31" s="1"/>
  <c r="G15" i="26" l="1"/>
  <c r="I15" i="26" s="1"/>
  <c r="G14" i="26"/>
  <c r="I14" i="26" s="1"/>
  <c r="G13" i="26"/>
  <c r="I13" i="26" s="1"/>
  <c r="G12" i="26"/>
  <c r="I12" i="26" s="1"/>
  <c r="W35" i="33"/>
  <c r="W37" i="33" s="1"/>
  <c r="G16" i="26"/>
  <c r="I16" i="26" s="1"/>
  <c r="W32" i="33"/>
  <c r="L35" i="33"/>
  <c r="Y34" i="14"/>
  <c r="Y34" i="4"/>
  <c r="L34" i="14"/>
  <c r="L34" i="4"/>
  <c r="M19" i="19"/>
  <c r="R13" i="19"/>
  <c r="R19" i="19" s="1"/>
  <c r="Q17" i="4" s="1"/>
  <c r="S13" i="19"/>
  <c r="S19" i="19" s="1"/>
  <c r="R17" i="4" s="1"/>
  <c r="Q13" i="19"/>
  <c r="Q19" i="19" s="1"/>
  <c r="P17" i="4" s="1"/>
  <c r="P13" i="19"/>
  <c r="P19" i="19" s="1"/>
  <c r="O17" i="4" s="1"/>
  <c r="O13" i="19"/>
  <c r="O19" i="19" s="1"/>
  <c r="N17" i="4" s="1"/>
  <c r="C38" i="27" l="1"/>
  <c r="J12" i="26"/>
  <c r="K12" i="26"/>
  <c r="K46" i="5"/>
  <c r="J16" i="26"/>
  <c r="K16" i="26"/>
  <c r="K42" i="5"/>
  <c r="K44" i="5"/>
  <c r="C41" i="27"/>
  <c r="D38" i="27"/>
  <c r="J13" i="26"/>
  <c r="K46" i="6"/>
  <c r="K13" i="26"/>
  <c r="K15" i="26"/>
  <c r="K46" i="8"/>
  <c r="J15" i="26"/>
  <c r="F38" i="27"/>
  <c r="K14" i="26"/>
  <c r="K46" i="7"/>
  <c r="E38" i="27"/>
  <c r="J14" i="26"/>
  <c r="O15" i="4"/>
  <c r="O33" i="4" s="1"/>
  <c r="O17" i="14"/>
  <c r="L17" i="4"/>
  <c r="N15" i="4"/>
  <c r="N33" i="4" s="1"/>
  <c r="N17" i="14"/>
  <c r="P15" i="4"/>
  <c r="P33" i="4" s="1"/>
  <c r="P17" i="14"/>
  <c r="R17" i="14"/>
  <c r="R15" i="4"/>
  <c r="R33" i="4" s="1"/>
  <c r="Q15" i="4"/>
  <c r="Q33" i="4" s="1"/>
  <c r="Q17" i="14"/>
  <c r="E41" i="27" l="1"/>
  <c r="K42" i="7"/>
  <c r="K44" i="7"/>
  <c r="K42" i="6"/>
  <c r="K44" i="6"/>
  <c r="D41" i="27"/>
  <c r="F41" i="27"/>
  <c r="K42" i="8"/>
  <c r="K44" i="8"/>
  <c r="K48" i="5"/>
  <c r="R18" i="33"/>
  <c r="R16" i="33" s="1"/>
  <c r="R34" i="33" s="1"/>
  <c r="R15" i="14"/>
  <c r="R33" i="14" s="1"/>
  <c r="R17" i="3"/>
  <c r="R15" i="3" s="1"/>
  <c r="R33" i="3" s="1"/>
  <c r="N15" i="14"/>
  <c r="N33" i="14" s="1"/>
  <c r="N18" i="33"/>
  <c r="N17" i="3"/>
  <c r="Q18" i="33"/>
  <c r="Q16" i="33" s="1"/>
  <c r="Q34" i="33" s="1"/>
  <c r="Q17" i="3"/>
  <c r="Q15" i="3" s="1"/>
  <c r="Q33" i="3" s="1"/>
  <c r="Q15" i="14"/>
  <c r="Q33" i="14" s="1"/>
  <c r="L15" i="4"/>
  <c r="L33" i="4" s="1"/>
  <c r="L17" i="14"/>
  <c r="Y17" i="4"/>
  <c r="Y15" i="4" s="1"/>
  <c r="O18" i="33"/>
  <c r="O16" i="33" s="1"/>
  <c r="O34" i="33" s="1"/>
  <c r="O17" i="3"/>
  <c r="O15" i="3" s="1"/>
  <c r="O33" i="3" s="1"/>
  <c r="O15" i="14"/>
  <c r="O33" i="14" s="1"/>
  <c r="P15" i="14"/>
  <c r="P33" i="14" s="1"/>
  <c r="P18" i="33"/>
  <c r="P16" i="33" s="1"/>
  <c r="P34" i="33" s="1"/>
  <c r="P17" i="3"/>
  <c r="P15" i="3" s="1"/>
  <c r="P33" i="3" s="1"/>
  <c r="K48" i="8" l="1"/>
  <c r="K48" i="7"/>
  <c r="K48" i="6"/>
  <c r="L17" i="3"/>
  <c r="N15" i="3"/>
  <c r="N33" i="3" s="1"/>
  <c r="N99" i="3" s="1"/>
  <c r="O99" i="3" s="1"/>
  <c r="P99" i="3" s="1"/>
  <c r="Q99" i="3" s="1"/>
  <c r="R99" i="3" s="1"/>
  <c r="S17" i="3"/>
  <c r="L18" i="33"/>
  <c r="N16" i="33"/>
  <c r="N34" i="33" s="1"/>
  <c r="N100" i="33" s="1"/>
  <c r="O100" i="33" s="1"/>
  <c r="P100" i="33" s="1"/>
  <c r="Q100" i="33" s="1"/>
  <c r="R100" i="33" s="1"/>
  <c r="Y33" i="4"/>
  <c r="AT38" i="4" s="1"/>
  <c r="Y30" i="4"/>
  <c r="D11" i="26" s="1"/>
  <c r="L15" i="14"/>
  <c r="L33" i="14" s="1"/>
  <c r="Y17" i="14"/>
  <c r="L16" i="33" l="1"/>
  <c r="L34" i="33" s="1"/>
  <c r="L100" i="33" s="1"/>
  <c r="X18" i="33"/>
  <c r="F11" i="26"/>
  <c r="G11" i="26" s="1"/>
  <c r="I11" i="26" s="1"/>
  <c r="D17" i="26"/>
  <c r="D18" i="26" s="1"/>
  <c r="I17" i="31"/>
  <c r="S15" i="3"/>
  <c r="Y15" i="14"/>
  <c r="AG17" i="14"/>
  <c r="W17" i="3"/>
  <c r="L15" i="3"/>
  <c r="G17" i="31"/>
  <c r="E14" i="26" l="1"/>
  <c r="E13" i="26"/>
  <c r="E12" i="26"/>
  <c r="E11" i="26"/>
  <c r="E16" i="26"/>
  <c r="E15" i="26"/>
  <c r="J11" i="26"/>
  <c r="J17" i="26" s="1"/>
  <c r="B38" i="27"/>
  <c r="K46" i="4"/>
  <c r="K46" i="14" s="1"/>
  <c r="I17" i="26"/>
  <c r="K11" i="26"/>
  <c r="K17" i="26" s="1"/>
  <c r="I38" i="27" s="1"/>
  <c r="I40" i="27" s="1"/>
  <c r="Y30" i="14"/>
  <c r="AG30" i="14" s="1"/>
  <c r="AG15" i="14"/>
  <c r="G8" i="36"/>
  <c r="Y33" i="14"/>
  <c r="AY15" i="14"/>
  <c r="G15" i="31"/>
  <c r="L33" i="3"/>
  <c r="AF18" i="33"/>
  <c r="X16" i="33"/>
  <c r="AH18" i="33"/>
  <c r="W18" i="33"/>
  <c r="W16" i="33" s="1"/>
  <c r="I15" i="31"/>
  <c r="S33" i="3"/>
  <c r="O17" i="31"/>
  <c r="W15" i="3"/>
  <c r="H38" i="27" l="1"/>
  <c r="H40" i="27" s="1"/>
  <c r="I41" i="27" s="1"/>
  <c r="K18" i="26"/>
  <c r="G10" i="36"/>
  <c r="H10" i="36" s="1"/>
  <c r="H8" i="36"/>
  <c r="W31" i="33"/>
  <c r="W34" i="33"/>
  <c r="K42" i="4"/>
  <c r="B41" i="27"/>
  <c r="K44" i="4"/>
  <c r="K44" i="14" s="1"/>
  <c r="CG26" i="33"/>
  <c r="X31" i="33"/>
  <c r="CD21" i="33"/>
  <c r="X34" i="33"/>
  <c r="X100" i="33" s="1"/>
  <c r="AF16" i="33"/>
  <c r="K45" i="33"/>
  <c r="K44" i="3"/>
  <c r="K45" i="35"/>
  <c r="I33" i="31"/>
  <c r="I37" i="31" s="1"/>
  <c r="K37" i="31" s="1"/>
  <c r="L37" i="31" s="1"/>
  <c r="M37" i="31" s="1"/>
  <c r="S99" i="3"/>
  <c r="U99" i="3" s="1"/>
  <c r="G33" i="31"/>
  <c r="G37" i="31" s="1"/>
  <c r="L99" i="3"/>
  <c r="AO20" i="3"/>
  <c r="W30" i="3"/>
  <c r="W33" i="3"/>
  <c r="O15" i="31"/>
  <c r="AR25" i="3"/>
  <c r="K47" i="33"/>
  <c r="K46" i="3"/>
  <c r="K47" i="35"/>
  <c r="K48" i="4" l="1"/>
  <c r="K42" i="14"/>
  <c r="K48" i="14" s="1"/>
  <c r="W39" i="33"/>
  <c r="CD31" i="33"/>
  <c r="CD41" i="33"/>
  <c r="CE41" i="33" s="1"/>
  <c r="X39" i="33"/>
  <c r="AH31" i="33"/>
  <c r="AF31" i="33"/>
  <c r="AO40" i="3"/>
  <c r="AP40" i="3" s="1"/>
  <c r="AO30" i="3"/>
  <c r="O30" i="31"/>
  <c r="W38" i="3"/>
  <c r="G11" i="36"/>
  <c r="H11" i="36" s="1"/>
  <c r="Z39" i="35"/>
  <c r="Y39" i="35"/>
  <c r="O33" i="31"/>
  <c r="O37" i="31" s="1"/>
  <c r="W99" i="3"/>
  <c r="K42" i="3"/>
  <c r="K48" i="3" s="1"/>
  <c r="K43" i="33"/>
  <c r="K49" i="33" s="1"/>
  <c r="K43" i="35"/>
  <c r="K49" i="3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author>
  </authors>
  <commentList>
    <comment ref="G15" authorId="0" shapeId="0" xr:uid="{00000000-0006-0000-0100-000001000000}">
      <text>
        <r>
          <rPr>
            <b/>
            <sz val="9"/>
            <color indexed="81"/>
            <rFont val="Tahoma"/>
            <family val="2"/>
          </rPr>
          <t>Microsoft:</t>
        </r>
        <r>
          <rPr>
            <sz val="9"/>
            <color indexed="81"/>
            <rFont val="Tahoma"/>
            <family val="2"/>
          </rPr>
          <t xml:space="preserve">
GG 21K diario
Días: 10 días</t>
        </r>
      </text>
    </comment>
    <comment ref="H16" authorId="0" shapeId="0" xr:uid="{00000000-0006-0000-0100-000002000000}">
      <text>
        <r>
          <rPr>
            <b/>
            <sz val="9"/>
            <color indexed="81"/>
            <rFont val="Tahoma"/>
            <family val="2"/>
          </rPr>
          <t>VERIFICAR MONTO</t>
        </r>
      </text>
    </comment>
    <comment ref="G19" authorId="0" shapeId="0" xr:uid="{00000000-0006-0000-0100-000005000000}">
      <text>
        <r>
          <rPr>
            <b/>
            <sz val="9"/>
            <color indexed="81"/>
            <rFont val="Tahoma"/>
            <family val="2"/>
          </rPr>
          <t>914'918 Venta material Arean Fina +AG en Arquitectura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E11" authorId="0" shapeId="0" xr:uid="{9AEAC4EC-EEAA-4C60-912C-8F4105F3A2A9}">
      <text>
        <r>
          <rPr>
            <b/>
            <sz val="9"/>
            <color indexed="81"/>
            <rFont val="Tahoma"/>
            <family val="2"/>
          </rPr>
          <t>Usuario:</t>
        </r>
        <r>
          <rPr>
            <sz val="9"/>
            <color indexed="81"/>
            <rFont val="Tahoma"/>
            <family val="2"/>
          </rPr>
          <t xml:space="preserve">
viene de años anteriores</t>
        </r>
      </text>
    </comment>
    <comment ref="H11" authorId="0" shapeId="0" xr:uid="{F3EAFD53-7E1B-434E-9AC6-FA4CB3C6E70A}">
      <text>
        <r>
          <rPr>
            <b/>
            <sz val="9"/>
            <color indexed="81"/>
            <rFont val="Tahoma"/>
            <family val="2"/>
          </rPr>
          <t>Usuario:</t>
        </r>
        <r>
          <rPr>
            <sz val="9"/>
            <color indexed="81"/>
            <rFont val="Tahoma"/>
            <family val="2"/>
          </rPr>
          <t xml:space="preserve">
viene del mes del informe</t>
        </r>
      </text>
    </comment>
    <comment ref="L11" authorId="0" shapeId="0" xr:uid="{6D9C015E-B7B7-4E60-9860-330BB2C7A2C1}">
      <text>
        <r>
          <rPr>
            <b/>
            <sz val="9"/>
            <color indexed="81"/>
            <rFont val="Tahoma"/>
            <family val="2"/>
          </rPr>
          <t>Usuario:</t>
        </r>
        <r>
          <rPr>
            <sz val="9"/>
            <color indexed="81"/>
            <rFont val="Tahoma"/>
            <family val="2"/>
          </rPr>
          <t xml:space="preserve">
Suma de la proyeccion</t>
        </r>
      </text>
    </comment>
    <comment ref="S11" authorId="0" shapeId="0" xr:uid="{EDC2D8DF-6477-451D-AB44-328C6F439DFF}">
      <text>
        <r>
          <rPr>
            <b/>
            <sz val="9"/>
            <color indexed="81"/>
            <rFont val="Tahoma"/>
            <family val="2"/>
          </rPr>
          <t>Usuario:</t>
        </r>
        <r>
          <rPr>
            <sz val="9"/>
            <color indexed="81"/>
            <rFont val="Tahoma"/>
            <family val="2"/>
          </rPr>
          <t xml:space="preserve">
lo que sobre del año en curso</t>
        </r>
      </text>
    </comment>
    <comment ref="U11" authorId="0" shapeId="0" xr:uid="{253F98D7-9499-4CEA-AC99-EBC2CF9DABA9}">
      <text>
        <r>
          <rPr>
            <b/>
            <sz val="9"/>
            <color indexed="81"/>
            <rFont val="Tahoma"/>
            <family val="2"/>
          </rPr>
          <t>Usuario:</t>
        </r>
        <r>
          <rPr>
            <sz val="9"/>
            <color indexed="81"/>
            <rFont val="Tahoma"/>
            <family val="2"/>
          </rPr>
          <t xml:space="preserve">
la suma de los años siguientes</t>
        </r>
      </text>
    </comment>
    <comment ref="Z11" authorId="0" shapeId="0" xr:uid="{59AB058F-FD48-42FC-9BF5-B1B1FB57CFCE}">
      <text>
        <r>
          <rPr>
            <b/>
            <sz val="9"/>
            <color indexed="81"/>
            <rFont val="Tahoma"/>
            <family val="2"/>
          </rPr>
          <t>Usuario:</t>
        </r>
        <r>
          <rPr>
            <sz val="9"/>
            <color indexed="81"/>
            <rFont val="Tahoma"/>
            <family val="2"/>
          </rPr>
          <t xml:space="preserve">
total del mes anterior
</t>
        </r>
      </text>
    </comment>
    <comment ref="AE11" authorId="0" shapeId="0" xr:uid="{30CF554B-C09D-4258-9FE2-834E117D9D56}">
      <text>
        <r>
          <rPr>
            <b/>
            <sz val="9"/>
            <color indexed="81"/>
            <rFont val="Tahoma"/>
            <family val="2"/>
          </rPr>
          <t>Usuario:</t>
        </r>
        <r>
          <rPr>
            <sz val="9"/>
            <color indexed="81"/>
            <rFont val="Tahoma"/>
            <family val="2"/>
          </rPr>
          <t xml:space="preserve">
suma de los meses anteriores del pte año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author>
  </authors>
  <commentList>
    <comment ref="K39" authorId="0" shapeId="0" xr:uid="{00000000-0006-0000-1A00-000001000000}">
      <text>
        <r>
          <rPr>
            <b/>
            <sz val="9"/>
            <color indexed="81"/>
            <rFont val="Tahoma"/>
            <family val="2"/>
          </rPr>
          <t>Microsoft:</t>
        </r>
        <r>
          <rPr>
            <sz val="9"/>
            <color indexed="81"/>
            <rFont val="Tahoma"/>
            <family val="2"/>
          </rPr>
          <t xml:space="preserve">
INSERTAR AQUÍ EL RESULTADO PENDIENTE DEL RO 05
</t>
        </r>
      </text>
    </comment>
  </commentList>
</comments>
</file>

<file path=xl/sharedStrings.xml><?xml version="1.0" encoding="utf-8"?>
<sst xmlns="http://schemas.openxmlformats.org/spreadsheetml/2006/main" count="1658" uniqueCount="437">
  <si>
    <t>Proyección</t>
  </si>
  <si>
    <t>Total Obra</t>
  </si>
  <si>
    <t>Acum. del Ej.</t>
  </si>
  <si>
    <t>Años Anteriores</t>
  </si>
  <si>
    <t>Previsto</t>
  </si>
  <si>
    <t>Real</t>
  </si>
  <si>
    <t>Actual</t>
  </si>
  <si>
    <t>Anterior</t>
  </si>
  <si>
    <t>Original</t>
  </si>
  <si>
    <t>Costo Total</t>
  </si>
  <si>
    <t>Materiales</t>
  </si>
  <si>
    <t>Mano de Obra</t>
  </si>
  <si>
    <t>Equipos y Vehículos</t>
  </si>
  <si>
    <t>Fletes</t>
  </si>
  <si>
    <t>Terceros</t>
  </si>
  <si>
    <t>Gastos Generales</t>
  </si>
  <si>
    <t>Stock de Materiales</t>
  </si>
  <si>
    <t>Margen Ponderado S/.</t>
  </si>
  <si>
    <t>Margen Ponderado %</t>
  </si>
  <si>
    <t>COSTO APLICADO</t>
  </si>
  <si>
    <t>RESULTADO PENDIENTE</t>
  </si>
  <si>
    <t>ACTIVOS</t>
  </si>
  <si>
    <t>PROVISIONES</t>
  </si>
  <si>
    <t>DIFERENCIA DE MARGENES</t>
  </si>
  <si>
    <t>CONTINGENCIA</t>
  </si>
  <si>
    <r>
      <t>Propios</t>
    </r>
    <r>
      <rPr>
        <sz val="11"/>
        <color theme="1"/>
        <rFont val="Calibri"/>
        <family val="2"/>
        <scheme val="minor"/>
      </rPr>
      <t xml:space="preserve"> </t>
    </r>
  </si>
  <si>
    <r>
      <t xml:space="preserve">Mayor Margen       </t>
    </r>
    <r>
      <rPr>
        <sz val="16"/>
        <color theme="1"/>
        <rFont val="Calibri"/>
        <family val="2"/>
        <scheme val="minor"/>
      </rPr>
      <t xml:space="preserve">  +</t>
    </r>
  </si>
  <si>
    <r>
      <t xml:space="preserve">Menor Margen        </t>
    </r>
    <r>
      <rPr>
        <sz val="18"/>
        <color theme="1"/>
        <rFont val="Calibri"/>
        <family val="2"/>
        <scheme val="minor"/>
      </rPr>
      <t xml:space="preserve">  -</t>
    </r>
  </si>
  <si>
    <t>Descripción</t>
  </si>
  <si>
    <t>S/.</t>
  </si>
  <si>
    <t>TOTAL</t>
  </si>
  <si>
    <t>Staff (Sueldos)</t>
  </si>
  <si>
    <t>Venta Total Producida</t>
  </si>
  <si>
    <t>Margen Absoluto S/.</t>
  </si>
  <si>
    <t>Margen Absoluto %</t>
  </si>
  <si>
    <t xml:space="preserve"> MES DEL INFORME</t>
  </si>
  <si>
    <t>Meta</t>
  </si>
  <si>
    <t>Presupuesto</t>
  </si>
  <si>
    <t>Servicios Contratados</t>
  </si>
  <si>
    <t>ACUMULADO DE OBRA</t>
  </si>
  <si>
    <t>SALDO DE OBRA</t>
  </si>
  <si>
    <t>AÑOS SIGUIENTES</t>
  </si>
  <si>
    <t>Otros:</t>
  </si>
  <si>
    <t>Subcontratos de obra</t>
  </si>
  <si>
    <t>Margen Ponderado                                  S/.</t>
  </si>
  <si>
    <t>%</t>
  </si>
  <si>
    <t xml:space="preserve">Margen Absoluto </t>
  </si>
  <si>
    <t>DIRECTO</t>
  </si>
  <si>
    <t>ACUMULADO</t>
  </si>
  <si>
    <t>TOTAL DE OBRA</t>
  </si>
  <si>
    <t>PROYECCIÓN</t>
  </si>
  <si>
    <t xml:space="preserve"> </t>
  </si>
  <si>
    <t>OBRA:</t>
  </si>
  <si>
    <t>T/C inicial  :</t>
  </si>
  <si>
    <t>CLIENTE :</t>
  </si>
  <si>
    <t>T/C actual  :</t>
  </si>
  <si>
    <t>FASE</t>
  </si>
  <si>
    <t>CONCEPTO</t>
  </si>
  <si>
    <t>UND</t>
  </si>
  <si>
    <t>TOTAL ORIGINAL</t>
  </si>
  <si>
    <t>Acumulado 
Años Anteriores</t>
  </si>
  <si>
    <t>Junio</t>
  </si>
  <si>
    <t>Julio</t>
  </si>
  <si>
    <t>Agosto</t>
  </si>
  <si>
    <t>MAT</t>
  </si>
  <si>
    <t>SER</t>
  </si>
  <si>
    <t>SC</t>
  </si>
  <si>
    <t>MO</t>
  </si>
  <si>
    <t>Planilla</t>
  </si>
  <si>
    <t>Beneficios Sociales</t>
  </si>
  <si>
    <t>Alimentación</t>
  </si>
  <si>
    <t>Alojamiento</t>
  </si>
  <si>
    <t>Transporte</t>
  </si>
  <si>
    <t>Implementos de Seguridad</t>
  </si>
  <si>
    <t>Destaque</t>
  </si>
  <si>
    <t>Bono</t>
  </si>
  <si>
    <t>Horas Hombre</t>
  </si>
  <si>
    <t>HH</t>
  </si>
  <si>
    <t>Costo HH</t>
  </si>
  <si>
    <t>S/./HH</t>
  </si>
  <si>
    <t>TOTAL HORAS HOMBRE</t>
  </si>
  <si>
    <t>TOTAL COSTO MANO DE OBRA</t>
  </si>
  <si>
    <t>COSTO PROMEDIO HH</t>
  </si>
  <si>
    <t>TOTAL COSTO EQUIPOS PROPIOS</t>
  </si>
  <si>
    <t>TOTAL COSTO EQUIPOS TERCEROS</t>
  </si>
  <si>
    <t xml:space="preserve">TOTAL COSTO EQUIPOS </t>
  </si>
  <si>
    <t>Fletes Propios</t>
  </si>
  <si>
    <t>Fletes Terceros</t>
  </si>
  <si>
    <t>TOTAL FLETES PROPIOS</t>
  </si>
  <si>
    <t>TOTAL FLETES TERCEROS</t>
  </si>
  <si>
    <t>TOTAL COSTO FLETES</t>
  </si>
  <si>
    <t>TOTAL COSTO  DE STAFF DE OBRA</t>
  </si>
  <si>
    <t>TOTAL GASTOS GENERALES</t>
  </si>
  <si>
    <t xml:space="preserve">            DIFERENCIA DE MARGENES</t>
  </si>
  <si>
    <t xml:space="preserve">OBRA        :  </t>
  </si>
  <si>
    <t xml:space="preserve">CLIENTE   :  </t>
  </si>
  <si>
    <t>Fase</t>
  </si>
  <si>
    <t>DESCRIPCION</t>
  </si>
  <si>
    <t>Venta Total Obra</t>
  </si>
  <si>
    <t>Margen Total Obra</t>
  </si>
  <si>
    <t>Margen Promedio</t>
  </si>
  <si>
    <t xml:space="preserve">Margen de Fase </t>
  </si>
  <si>
    <t>Diferencia de márgenes</t>
  </si>
  <si>
    <t>Venta Acumulada</t>
  </si>
  <si>
    <t>Monto de diferencia de Márgenes</t>
  </si>
  <si>
    <t>Activo</t>
  </si>
  <si>
    <t xml:space="preserve">Provisión </t>
  </si>
  <si>
    <t>Fase 10</t>
  </si>
  <si>
    <t>Fase 20</t>
  </si>
  <si>
    <t>Fase 30</t>
  </si>
  <si>
    <t>Fase 40</t>
  </si>
  <si>
    <t>Fase 50</t>
  </si>
  <si>
    <t>Fase 60</t>
  </si>
  <si>
    <t>Fase 100</t>
  </si>
  <si>
    <t>MARGEN PROMEDIO</t>
  </si>
  <si>
    <t xml:space="preserve">          RESULTADO PENDIENTE</t>
  </si>
  <si>
    <t>Activos</t>
  </si>
  <si>
    <t>Total Activos</t>
  </si>
  <si>
    <t>Provisión</t>
  </si>
  <si>
    <t>Total Provisión</t>
  </si>
  <si>
    <t>Activo - Provisión</t>
  </si>
  <si>
    <t>Costo real Acumulado</t>
  </si>
  <si>
    <t>Costo Aplicado</t>
  </si>
  <si>
    <t>Margen</t>
  </si>
  <si>
    <t>Margen ponderado</t>
  </si>
  <si>
    <t>Presupuesto Interno</t>
  </si>
  <si>
    <t>ACCIONES PARA MEJORAR RESULTADO</t>
  </si>
  <si>
    <t xml:space="preserve">  OBRAS PRELIMINARES</t>
  </si>
  <si>
    <t>CONSOLIDADO</t>
  </si>
  <si>
    <t>DETALLE DE COSTOS - MATERIALES</t>
  </si>
  <si>
    <t>DETALLE DE COSTOS - MANO DE OBRA</t>
  </si>
  <si>
    <t>DETALLE DE COSTOS - SUB CONTRATOS</t>
  </si>
  <si>
    <t>DETALLE DE COSTOS - SERVICIOS</t>
  </si>
  <si>
    <t>DETALLE DE COSTOS - FLETES</t>
  </si>
  <si>
    <t>DETALLE DE COSTOS - EQUIPOS</t>
  </si>
  <si>
    <t>DETALLE DE COSTOS - STAFF</t>
  </si>
  <si>
    <t>DETALLE DE COSTOS - GASTOS GENERALES</t>
  </si>
  <si>
    <t>OBRA        :  “Mejoramiento de los Servicios de Salud del hospital Regional Zacarías Correa Valdivia, Distrito de Ascensión Provincia y Departamento de Huancavelica”</t>
  </si>
  <si>
    <t>CLIENTE   :  PRONIS</t>
  </si>
  <si>
    <t xml:space="preserve">INFORME DE RESULTADO PENDIENTE Y POR DIFERENCIA DE MARGENES </t>
  </si>
  <si>
    <t xml:space="preserve">INFORME DE RESULTADO PENDIENTE Y DE DIFERENCIA DE MARGENES </t>
  </si>
  <si>
    <t>MARGEN GARANTIZADO</t>
  </si>
  <si>
    <t xml:space="preserve">MARGEN GARANTIZADO </t>
  </si>
  <si>
    <t>Mayores Gastos Generales por Valorizar</t>
  </si>
  <si>
    <t>PARTICIPACION CMO</t>
  </si>
  <si>
    <t>PARTICIPACION SOCIO/S:</t>
  </si>
  <si>
    <t>MARGEN POR PRODUCTIVIDAD</t>
  </si>
  <si>
    <t>MARGEN CONSORCIO   (PONDERADO)</t>
  </si>
  <si>
    <t>EXPRESADO EN MILES DE SOLES (S/.)</t>
  </si>
  <si>
    <t>EXPRESADO EN MILES DE SOLES (S/)</t>
  </si>
  <si>
    <t>Saldo del 
Ejercicio</t>
  </si>
  <si>
    <t>Valorización: Venta Directa - Contrato Principal</t>
  </si>
  <si>
    <t>Valorización: Venta Indirecta - Contrato Principal</t>
  </si>
  <si>
    <t>Venta</t>
  </si>
  <si>
    <t>Ppto Venta</t>
  </si>
  <si>
    <t>Sueldo Bruto</t>
  </si>
  <si>
    <t>Costo Empresa</t>
  </si>
  <si>
    <t>DIFERENCIA DE MARGENES POR FASE</t>
  </si>
  <si>
    <t>SUMA TOTAL DE ACTIVOS Y PROVISIONES</t>
  </si>
  <si>
    <t xml:space="preserve">CONTINGENCIA </t>
  </si>
  <si>
    <t>PROVISIÓN</t>
  </si>
  <si>
    <t>MAR'2020</t>
  </si>
  <si>
    <t>Saldo del Ejercicio</t>
  </si>
  <si>
    <t>Equipos y Vehículos (Propios)</t>
  </si>
  <si>
    <t>Equipos y Vehículos (Terceros)</t>
  </si>
  <si>
    <t>INDIRECTO</t>
  </si>
  <si>
    <t>DESEMPEÑO DEL PROYECTO</t>
  </si>
  <si>
    <t>TOTAL SERVICIOS</t>
  </si>
  <si>
    <t>Comprobación</t>
  </si>
  <si>
    <t>Removilización</t>
  </si>
  <si>
    <t>Adecuaciones</t>
  </si>
  <si>
    <t>s</t>
  </si>
  <si>
    <t>MATRIZ DE RIESGOS Y OPORTUNIDADES</t>
  </si>
  <si>
    <t>Ítem</t>
  </si>
  <si>
    <t>Identificación</t>
  </si>
  <si>
    <t>Análisis</t>
  </si>
  <si>
    <t>Gravedad</t>
  </si>
  <si>
    <t>Monto S/.</t>
  </si>
  <si>
    <t>Oportunidad</t>
  </si>
  <si>
    <t>Observaciones</t>
  </si>
  <si>
    <t>01</t>
  </si>
  <si>
    <t>ALTA</t>
  </si>
  <si>
    <t>MUY BAJA</t>
  </si>
  <si>
    <t>Ventas de Activos al final de obra(camioneta + minicargador +eq. Electronicos+eq. topografico)</t>
  </si>
  <si>
    <t>Costos incurridos durante el EEN y Mayores Gastos Generales de las Ampliaciones de Plazo 1 y 2, no sean reconocidos en su totalidad por la Entidad.</t>
  </si>
  <si>
    <t xml:space="preserve">Elaboración del presupuesto compromiso con metrados reales lo que permitirá determinar la brecha entre lo considerado en el Expediente Técnico y lo realmente a ejecutar. </t>
  </si>
  <si>
    <t>MODERADA</t>
  </si>
  <si>
    <t>Soluciones</t>
  </si>
  <si>
    <t>MEJOR ESCENARIO</t>
  </si>
  <si>
    <t>Debido a la modalidad del contrato (suma alzada): se tenga que ejecutar mayores prestaciones adicionales sin que necesariamente sean reconocidos por la Entidad. Estructuras</t>
  </si>
  <si>
    <t>RO con Venta Aprobada a la Fecha</t>
  </si>
  <si>
    <t>RO con Venta Mejor Escenario</t>
  </si>
  <si>
    <t>Debido a la modalidad del contrato (suma alzada): se tenga que ejecutar mayores prestaciones adicionales sin que necesariamente sean reconocidos por la Entidad. Mov. De Tierras</t>
  </si>
  <si>
    <t>Entidad ha aprobado 10 días. Sin embargo son 23 días . De estos no se está reconociendo ningun costo asociado. Costo ya incurrido.</t>
  </si>
  <si>
    <t>Se debe aplicar la ley de contrataciones del estado.</t>
  </si>
  <si>
    <t>Costo y plazo de 13 días aun no aprobados pero si incurridos en costo.</t>
  </si>
  <si>
    <t>Se debe verificar si es posible una AP N°04 y una vez reconocido dicho plazo, se debe aplicar la ley de contrataciones del Estado.</t>
  </si>
  <si>
    <t>Costos incurridos durante el EEN y Mayores Gastos Generales de las Ampliaciones de Plazo 3 Parte I</t>
  </si>
  <si>
    <t>Costos incurridos durante el EEN y Mayores Gastos Generales de las Ampliaciones de Plazo 3 Parte II</t>
  </si>
  <si>
    <t>Se solicita apoyo al área legal</t>
  </si>
  <si>
    <t xml:space="preserve">Costos incurrido en el periodo de Estado de Emergencia. Se ha  Presentado un monto de reconocimiento a la entidad de: 1'783'448.06 Inc. IGV </t>
  </si>
  <si>
    <t>GG</t>
  </si>
  <si>
    <t>Rubro</t>
  </si>
  <si>
    <t xml:space="preserve">Entidad sólo ha reconocido S/. 40'675.76k. </t>
  </si>
  <si>
    <t>Pasos a seguir ante la Entidad: Comunicación, Conciliación, y finalmente Arbitrar.. 
Entidad ha aprobado un monto de S/.63'268.96</t>
  </si>
  <si>
    <t>METRADO</t>
  </si>
  <si>
    <t>Costos de reconocimiento de Plan Sanitario Covid</t>
  </si>
  <si>
    <t>PLAZO</t>
  </si>
  <si>
    <t>PANDEMIA</t>
  </si>
  <si>
    <t>Costos de baja de rendimiento, debido a afectación de personal (MO directa) Covid.</t>
  </si>
  <si>
    <t>Se presentan todos los costos asociados a gastos como alojamiento, alimentación, exámenes médicos, pruebas, Costo SB de Mano de Obra.</t>
  </si>
  <si>
    <t>Responsable</t>
  </si>
  <si>
    <t>Obra</t>
  </si>
  <si>
    <t>Área legal</t>
  </si>
  <si>
    <t xml:space="preserve">Coordinar un costo reembolsable con la entidad (Tiempo y Material ) 
Presentar a tiempo los costos asociados al Plan Sanitario Mensualmente. </t>
  </si>
  <si>
    <t xml:space="preserve">Rellenos: Cambio de especificación de material </t>
  </si>
  <si>
    <t>Las canteras que se dieron como punto de extracción en proceso de licitación no tienen el material adecuado. Por lo que se debió traer el material desde otros destinos</t>
  </si>
  <si>
    <t>Paralizaciones varias,: gremios sindicales, paro de transportistas, etc.</t>
  </si>
  <si>
    <t>Costos Stand by asociados a paralizaciones ( provisiona 10 días )</t>
  </si>
  <si>
    <t>Muros de Contención, Sardineles, Refuerzo en Pavimento Rígido incluye el relleno con Material de Préstamo</t>
  </si>
  <si>
    <t>Adecuaciones de instalaciones de obra para reinicio de obra.</t>
  </si>
  <si>
    <t>Entidad sólo ha reconocido S/. 18'967.36</t>
  </si>
  <si>
    <t>Etiquetas de fila</t>
  </si>
  <si>
    <t>Total general</t>
  </si>
  <si>
    <t>CONTRATO</t>
  </si>
  <si>
    <t>ENTIDAD</t>
  </si>
  <si>
    <t>Envio de cartas, de advertencias y desvinculación de responsabilidad. Y Reportes en cuaderno de Obra</t>
  </si>
  <si>
    <t>Conflicto de zonificación entre Casa de Fuerza Vs. Resonancia Magnetica</t>
  </si>
  <si>
    <t>Envio de Informe a la entidad, considerando las consideraciones técnicas y la muestraa de prueba empírica in situ que demuestran al factibilidad de este procedimiento.</t>
  </si>
  <si>
    <t>INGENIERIA</t>
  </si>
  <si>
    <t>ESPECIALIDAD</t>
  </si>
  <si>
    <t>MOV. DE TIERRAS</t>
  </si>
  <si>
    <t>ESTRUCTURAS</t>
  </si>
  <si>
    <t>OBRA</t>
  </si>
  <si>
    <t>Suma de Oportunidad</t>
  </si>
  <si>
    <t>Amenazas</t>
  </si>
  <si>
    <t>ALCANCE</t>
  </si>
  <si>
    <t>EXTERNO</t>
  </si>
  <si>
    <t>SUPERVISION</t>
  </si>
  <si>
    <t>De no tener respuesta, el CSZ deberá asumir el costo de este trabajo para no impactar en el cronograma.</t>
  </si>
  <si>
    <t>Externo</t>
  </si>
  <si>
    <t>Se realizará una contingencia ante estos eventos días antes. Envío de comunicación ante la entidad comunicando evento.</t>
  </si>
  <si>
    <t>Mejoramiento de Suelo en la Proyección de la Cimentación de los Muros de Contención Plataformas 3 y 4 ( Micropilotes)</t>
  </si>
  <si>
    <t>Gestionar ante la Entidad adicionales y deductivos vinculantes, no obstante sean rechazados se deberá dejar antecedes para un posterior reconocimiento mediante la via que corresponda.</t>
  </si>
  <si>
    <t>Suma de Amenazas</t>
  </si>
  <si>
    <t>La supervision brindo una opinión favorable para el mejoramiento co micropilotes, en la cimentación de la PT03. Quedando pendiente la rpta de la Entidad. La denegación de este adicional implicará la imposibilidad de ejecutar el edificio (J, I1, I2 ) de la PT03</t>
  </si>
  <si>
    <t>Costo de SC si CSZ asume costo de trabajos. 
Monto de oportunidad por utilidad de adjudicación</t>
  </si>
  <si>
    <t>Area Legal</t>
  </si>
  <si>
    <t>De acuerdo a los especialistas de CSZ, la casa de Fuerza debe reubicarse. Ya que esta no se podría reubicar al costado del cuarto de Resonancia Magnética. Este hecho podría ser observado por el usuario final.</t>
  </si>
  <si>
    <t>De ratificarse la entidad en continuar con la ubicación.. CSZ procederá con lo contractual.</t>
  </si>
  <si>
    <t>El expediente técnico consideró como cantera de agregados, a una que se encontraba dentro de la ciudad de Huancavelica. (terreno donde se ubica una chancadora ) cuya producción co cubre la demanda requerida por la obra.
Como consecuencia de ellos, se requiere el suministro de material de zonas fuera del área de influencia.</t>
  </si>
  <si>
    <t>Suministro de agregados en acabados húmedos, podría ser un 20% al estimado inciialmente debido a la lejanía de las canteras</t>
  </si>
  <si>
    <t xml:space="preserve">Encontrar proveedores con lleguen al costo considerando viaje puesto en obra.
</t>
  </si>
  <si>
    <t>Considerar que la incidencia de GG en obra es 300k mensuales</t>
  </si>
  <si>
    <t>Insistencia a nivel de alta dirección para lograr la aprobación.</t>
  </si>
  <si>
    <t xml:space="preserve">Rotación de Encofrados. </t>
  </si>
  <si>
    <t>Oposición de la Supervisión al desencofrado de losas a los 7 días luego de haber alcanzado la resistencia indicada(70%) El criterio de supervisión  es desencofrar a mayor tiempo. Por lo que se requeriría mayor equipamiento. Generandose una desviación a lo inicialmente planificado.</t>
  </si>
  <si>
    <t>Se está considerando el precio de metrado de encofrado.de acuerdo al cálculo de AC y JZ</t>
  </si>
  <si>
    <t>Sobre costo de Agregados ( Arquitectura)</t>
  </si>
  <si>
    <t>Apoyo en la insisitencia de la aprobación del adicional</t>
  </si>
  <si>
    <t>Bajas de personal fortuitos que disminuyen  rendimientos de manera fortuita.</t>
  </si>
  <si>
    <t>Implementación de medidas consignadas en el marco legal dado por el Gobierno Central ( 005).
Obra planifica tener una cartera de personal listo para ingreso.</t>
  </si>
  <si>
    <t>Costo Considerado en RO</t>
  </si>
  <si>
    <t>No Considerado en RO</t>
  </si>
  <si>
    <t>ESTATUS RO</t>
  </si>
  <si>
    <t>Costo por definir</t>
  </si>
  <si>
    <t>Costo por definir por especialista</t>
  </si>
  <si>
    <t>AHORRO EN IISS</t>
  </si>
  <si>
    <t>AC A FEBRERO</t>
  </si>
  <si>
    <t>MARZO</t>
  </si>
  <si>
    <t>ABRIL</t>
  </si>
  <si>
    <t>AHORRO EN IIEE</t>
  </si>
  <si>
    <t>COSTO A LA FECHA + PROYECCION A ABRIL ( IISS/IIEE)</t>
  </si>
  <si>
    <t>COSTOS SC CON AHORRO DEL 20%(VENTA)</t>
  </si>
  <si>
    <t>RO  Sin Adicional Contractual aprobado + 20% ahorro en SC Instalaciones (IISS/IEE)</t>
  </si>
  <si>
    <t>Equipos Propios</t>
  </si>
  <si>
    <t>Equipos Terceros</t>
  </si>
  <si>
    <t>DNI</t>
  </si>
  <si>
    <t>ENCOFRADO</t>
  </si>
  <si>
    <t>Presupuesto Contractual</t>
  </si>
  <si>
    <t>(PEN)</t>
  </si>
  <si>
    <t>Costo Acumulado</t>
  </si>
  <si>
    <t>Proyectado a Cierre de Obra</t>
  </si>
  <si>
    <t>Costo Directo</t>
  </si>
  <si>
    <t>172.521MM</t>
  </si>
  <si>
    <t>Costos Indirectos</t>
  </si>
  <si>
    <t>21.360 MM</t>
  </si>
  <si>
    <t>Sub Total</t>
  </si>
  <si>
    <t>193.881 MM</t>
  </si>
  <si>
    <t>17.047 MM</t>
  </si>
  <si>
    <t>Venta Total Sin IGV</t>
  </si>
  <si>
    <t>Verificación</t>
  </si>
  <si>
    <t>EMIN</t>
  </si>
  <si>
    <t>FLESAN</t>
  </si>
  <si>
    <t>OK</t>
  </si>
  <si>
    <t>RO FEBRERO</t>
  </si>
  <si>
    <t>LIQUIDADO A MARZO</t>
  </si>
  <si>
    <t>RO ABRIL Sin Adicional contractual aprobado</t>
  </si>
  <si>
    <t>.</t>
  </si>
  <si>
    <t xml:space="preserve">Venta Acumulada </t>
  </si>
  <si>
    <t>I.E.N 1182</t>
  </si>
  <si>
    <t>EL BOSQUE - CERCO + INGRESOS Y CASETAS</t>
  </si>
  <si>
    <t>02</t>
  </si>
  <si>
    <t>03</t>
  </si>
  <si>
    <t>04</t>
  </si>
  <si>
    <t>05</t>
  </si>
  <si>
    <t>06</t>
  </si>
  <si>
    <t>07</t>
  </si>
  <si>
    <t>08</t>
  </si>
  <si>
    <t>09</t>
  </si>
  <si>
    <t>10</t>
  </si>
  <si>
    <t>11</t>
  </si>
  <si>
    <t>12</t>
  </si>
  <si>
    <t>13</t>
  </si>
  <si>
    <t>14</t>
  </si>
  <si>
    <t>15</t>
  </si>
  <si>
    <t>16</t>
  </si>
  <si>
    <t>17</t>
  </si>
  <si>
    <t>MES DE JULIO 2024</t>
  </si>
  <si>
    <t>ACUMULADO DEL 2024</t>
  </si>
  <si>
    <t xml:space="preserve">FASE 100 : OBRAS PRELIMINARES </t>
  </si>
  <si>
    <t xml:space="preserve">FASE 300: CONCRETO </t>
  </si>
  <si>
    <t>FASE 200 : MOVIMIENTOS DE TIERRAS</t>
  </si>
  <si>
    <t xml:space="preserve">FASE 400: ENCOFRADO </t>
  </si>
  <si>
    <t>FASE 500: ACERO FY=4200KG/CM2</t>
  </si>
  <si>
    <t xml:space="preserve">MOVIMIENTO DE TIERRAS </t>
  </si>
  <si>
    <t xml:space="preserve">CONCRETO </t>
  </si>
  <si>
    <t xml:space="preserve">ACERO </t>
  </si>
  <si>
    <t xml:space="preserve">GASTOS GENERALES </t>
  </si>
  <si>
    <t>MOVIMIENTO DE TIERRAS</t>
  </si>
  <si>
    <t xml:space="preserve">ENCOFRADO </t>
  </si>
  <si>
    <t>MOVIMIENTOS DE TIERRAS</t>
  </si>
  <si>
    <t>DIRECTO- JULIO 2024</t>
  </si>
  <si>
    <t>CONSOLIDADO - JULIO 2024</t>
  </si>
  <si>
    <t>ACUMULADO 2024</t>
  </si>
  <si>
    <t>FASE 600: GASTOS GENERALES - JULIO 2024</t>
  </si>
  <si>
    <t xml:space="preserve">Otros </t>
  </si>
  <si>
    <t>Fase 200</t>
  </si>
  <si>
    <t>Fase 300</t>
  </si>
  <si>
    <t>Fase 400</t>
  </si>
  <si>
    <t>Fase 500</t>
  </si>
  <si>
    <t>Fase 600</t>
  </si>
  <si>
    <t>AÑOS ANTERIORES</t>
  </si>
  <si>
    <t>ANTERIORES</t>
  </si>
  <si>
    <t>TOTAL FASE  600:  GASTOS GENERALES</t>
  </si>
  <si>
    <t>OBRAS PRELIMINARES</t>
  </si>
  <si>
    <t>OS001</t>
  </si>
  <si>
    <t>NIVEL TOPOGRAFICO</t>
  </si>
  <si>
    <t>ESTACION TOTAL</t>
  </si>
  <si>
    <t>OS002</t>
  </si>
  <si>
    <t>OS004</t>
  </si>
  <si>
    <t>PLANCHA COMPACTADORA VIBRT. 4,0 HP</t>
  </si>
  <si>
    <t>SC AFIRMADO COMPACTADO 8"</t>
  </si>
  <si>
    <t>SC AFIRMADO COMPACTADO 12"</t>
  </si>
  <si>
    <t>SC EXCAVACION DE ZANJAS Y ZAPATAS Rt&gt; 2KG/CM2 H=1.5m</t>
  </si>
  <si>
    <t>SC EXCAVACION DE ZANJAS Y ZAPATAS Rt&gt; 2KG/CM2 H=2.00m</t>
  </si>
  <si>
    <t>SC  RELLENO COMPACTADO CON EQUIPO</t>
  </si>
  <si>
    <t>SC ELIMINACION DE MATERIAL EXCEDENTE CON VOLQUETES</t>
  </si>
  <si>
    <t>S/</t>
  </si>
  <si>
    <t>OS005</t>
  </si>
  <si>
    <t>SC ALQUILER DE ENCOFRADO COLUMNAS</t>
  </si>
  <si>
    <t>SC ALQUILER DE ENCOFRADO VIGAS</t>
  </si>
  <si>
    <t>SC ALQUILER DE ENCOFRADO LOSAS MACIZAS</t>
  </si>
  <si>
    <t>SC ALQUILER DE ENCOFRADO LOSAS ALIGERADAS</t>
  </si>
  <si>
    <t>OS003</t>
  </si>
  <si>
    <t>SC MANO DE OBRA ACERO CORRUGADO</t>
  </si>
  <si>
    <t>OC003</t>
  </si>
  <si>
    <t>PIEDRA GRANDE DE 8"</t>
  </si>
  <si>
    <t>OC005</t>
  </si>
  <si>
    <t>LADRILLO PARA TECHO 8H DE 15X30X30 cm</t>
  </si>
  <si>
    <t>OC006</t>
  </si>
  <si>
    <t>SC CONCRETO PREMEZCLADO F'C=100 KG/CM2</t>
  </si>
  <si>
    <t>SC CONCRETO PREMEZCLADO F'C=210 KG/CM2</t>
  </si>
  <si>
    <t>SC CONCRETO PREMEZCLADO F'C=210 KG/CM2 H67 CON ADITIVO INPERMEBILIZANTE</t>
  </si>
  <si>
    <t>SC CONCRETO PREMEZCLADO F'C=175 KG/CM2</t>
  </si>
  <si>
    <t>VIBRADOR A GASOLINA</t>
  </si>
  <si>
    <t>BOMBAS</t>
  </si>
  <si>
    <t>OC001</t>
  </si>
  <si>
    <t>ALAMBRE NEGRO RECOCIDO N° 8</t>
  </si>
  <si>
    <t>CLAVOS PARA MADERA CON CABEZA DE 4"</t>
  </si>
  <si>
    <t>CLAVOS PARA MADERA CON CABEZA DE 3"</t>
  </si>
  <si>
    <t>OC002</t>
  </si>
  <si>
    <t>TRIPLAY FENOLICO</t>
  </si>
  <si>
    <t>OC004</t>
  </si>
  <si>
    <t>ALAMBRE NEGRO N° 16</t>
  </si>
  <si>
    <t>ALAMBRE NEGRO RECOCIDO N° 16</t>
  </si>
  <si>
    <t>ACERO CORRUGADO fy = 4200 kg/cm2 GRADO 60</t>
  </si>
  <si>
    <t>Residente de obra (Ing.Civil)</t>
  </si>
  <si>
    <t>Especialista de calidad(Ing.Civil)</t>
  </si>
  <si>
    <t>Especialista de Seguridad (Ing. De Seguridad)</t>
  </si>
  <si>
    <t>Administrador de obra</t>
  </si>
  <si>
    <t xml:space="preserve">Maestro de Obra </t>
  </si>
  <si>
    <t xml:space="preserve">Almacenero </t>
  </si>
  <si>
    <t>Guardián</t>
  </si>
  <si>
    <t>Asistente técnico</t>
  </si>
  <si>
    <t>PRESONAL PROFESIONAL</t>
  </si>
  <si>
    <t>PERSONAL TECNICO</t>
  </si>
  <si>
    <t>GASTOS GENERALES</t>
  </si>
  <si>
    <t>GASTOS GENERALES FIJOS</t>
  </si>
  <si>
    <t>Pruebas y ensayos</t>
  </si>
  <si>
    <t>Diseño de Mezcla</t>
  </si>
  <si>
    <t>Ensayos Varios</t>
  </si>
  <si>
    <t xml:space="preserve">Rotura de Probetas </t>
  </si>
  <si>
    <t>GASTOS GENERALES VARIABLES</t>
  </si>
  <si>
    <t>Utiles de oficina y dibujo</t>
  </si>
  <si>
    <t>Cuaderno de Obra y Legalizacion</t>
  </si>
  <si>
    <t>Insumos para impresora y fotocopiadora</t>
  </si>
  <si>
    <t>Pólizas y Seguros</t>
  </si>
  <si>
    <t>Implementos de seguridad</t>
  </si>
  <si>
    <t>Botiquín</t>
  </si>
  <si>
    <t>Liquidaciòn de obra</t>
  </si>
  <si>
    <t>Gastos Financieros</t>
  </si>
  <si>
    <t>Carta Fianza de Adelanto Directo</t>
  </si>
  <si>
    <t>Carta Fianza de Adelanto de Materiales</t>
  </si>
  <si>
    <t>Carta Fianza de Fiel cumplimiento</t>
  </si>
  <si>
    <t>SENCICO</t>
  </si>
  <si>
    <t>Consumos, Mobiliarios y Servicios Oficinas</t>
  </si>
  <si>
    <t>Acumulado del ejercicio</t>
  </si>
  <si>
    <t>REALES</t>
  </si>
  <si>
    <t>Costo total que se podria presentar en cualquier momento</t>
  </si>
  <si>
    <t>Adecuaciones de instalaciones de obra.</t>
  </si>
  <si>
    <t>Costo mensual que se podria considerar en el mes de octubre y noviembre</t>
  </si>
  <si>
    <t>Costos Stand by asociados a paralizaciones</t>
  </si>
  <si>
    <t>Costo mensual que se podria presentar en cada mes de la obra</t>
  </si>
  <si>
    <t>Alquiler de GE para suministro de energía de obra</t>
  </si>
  <si>
    <t>ELÉCTRICAS</t>
  </si>
  <si>
    <t>Se puede dar si se corta la Energia Eléctrica</t>
  </si>
  <si>
    <t>Costo mensual de combustible y alquiler de GE por si se corta la energia electrica</t>
  </si>
  <si>
    <t>Enviar costo de adicional a Entidad. Revisar contingencia de órganos de control de contratos, de revisar GE defintivos de acuerdo a rpta de entidad.</t>
  </si>
  <si>
    <t>Sobre costo de Agregados (Estructuras)</t>
  </si>
  <si>
    <t>Podria darse debido a la inaccesibilidad de la cantera actual por lluvias</t>
  </si>
  <si>
    <t>Suministro de agregados en el mes de septiembre, podría ser un 20% al estimado inciialmente debido a la lejanía de las canteras</t>
  </si>
  <si>
    <t>MES ENERO DEL 2025</t>
  </si>
  <si>
    <t>MES DE ENERO DEL 2025</t>
  </si>
  <si>
    <t>ACUMULADO DEL 2025</t>
  </si>
  <si>
    <t>Acumulado de meses anteriores</t>
  </si>
  <si>
    <t>del presente 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</si>
</sst>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 #,##0.00_ ;_ * \-#,##0.00_ ;_ * &quot;-&quot;??_ ;_ @_ "/>
    <numFmt numFmtId="165" formatCode="_ * #,##0_ ;_ * \-#,##0_ ;_ * &quot;-&quot;??_ ;_ @_ "/>
    <numFmt numFmtId="166" formatCode="_ * #,##0.000_ ;_ * \-#,##0.000_ ;_ * &quot;-&quot;??_ ;_ @_ "/>
    <numFmt numFmtId="167" formatCode="0.0%"/>
    <numFmt numFmtId="168" formatCode="#,##0.000"/>
    <numFmt numFmtId="169" formatCode="0.000"/>
    <numFmt numFmtId="170" formatCode="_ [$S/.-280A]\ * #,##0.00_ ;_ [$S/.-280A]\ * \-#,##0.00_ ;_ [$S/.-280A]\ * &quot;-&quot;??_ ;_ @_ "/>
    <numFmt numFmtId="171" formatCode="&quot;S/.&quot;\ #,##0"/>
    <numFmt numFmtId="172" formatCode="&quot;S/.&quot;\ #,##0.00"/>
    <numFmt numFmtId="173" formatCode="#,##0.0000000"/>
    <numFmt numFmtId="174" formatCode="#,##0.000000000"/>
    <numFmt numFmtId="175" formatCode="#,##0\ \ "/>
    <numFmt numFmtId="176" formatCode="#,##0.00\ \ "/>
    <numFmt numFmtId="177" formatCode="#,##0.0000"/>
    <numFmt numFmtId="178" formatCode="0.0000"/>
    <numFmt numFmtId="179" formatCode="#,##0,"/>
    <numFmt numFmtId="180" formatCode="#&quot;MES&quot;\ ##0"/>
    <numFmt numFmtId="181" formatCode="_ * #,##0,_ ;_ * \-#,##0,\ ;_ * &quot;-&quot;??_ ;_ @_ "/>
    <numFmt numFmtId="182" formatCode="_ * #,##0.000,_ ;_ * \-#,##0.000,\ ;_ * &quot;-&quot;??_ ;_ @_ "/>
    <numFmt numFmtId="183" formatCode="0.000%"/>
    <numFmt numFmtId="184" formatCode="_ * #,##0,_ ;[Red]_ * \-#,##0,\ ;_ * &quot;-&quot;??_ ;_ @_ "/>
    <numFmt numFmtId="185" formatCode="_ * #,##0.000000,_ ;_ * \-#,##0.000000,\ ;_ * &quot;-&quot;??_ ;_ @_ "/>
    <numFmt numFmtId="186" formatCode="_ * #,##0.0000_ ;_ * \-#,##0.0000_ ;_ * &quot;-&quot;??_ ;_ @_ "/>
  </numFmts>
  <fonts count="73"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2"/>
      <color theme="1"/>
      <name val="Calibri"/>
      <family val="2"/>
      <scheme val="minor"/>
    </font>
    <font>
      <b/>
      <sz val="12"/>
      <color theme="1"/>
      <name val="Calibri"/>
      <family val="2"/>
      <scheme val="minor"/>
    </font>
    <font>
      <sz val="12"/>
      <color theme="0"/>
      <name val="Calibri"/>
      <family val="2"/>
      <scheme val="minor"/>
    </font>
    <font>
      <sz val="14"/>
      <color theme="1"/>
      <name val="Calibri"/>
      <family val="2"/>
      <scheme val="minor"/>
    </font>
    <font>
      <sz val="16"/>
      <color theme="1"/>
      <name val="Calibri"/>
      <family val="2"/>
      <scheme val="minor"/>
    </font>
    <font>
      <sz val="18"/>
      <color theme="1"/>
      <name val="Calibri"/>
      <family val="2"/>
      <scheme val="minor"/>
    </font>
    <font>
      <sz val="11"/>
      <color theme="0"/>
      <name val="Calibri"/>
      <family val="2"/>
      <scheme val="minor"/>
    </font>
    <font>
      <sz val="10"/>
      <name val="Arial"/>
      <family val="2"/>
    </font>
    <font>
      <sz val="11"/>
      <name val="Calibri"/>
      <family val="2"/>
      <scheme val="minor"/>
    </font>
    <font>
      <sz val="11"/>
      <color indexed="8"/>
      <name val="Calibri"/>
      <family val="2"/>
    </font>
    <font>
      <sz val="12"/>
      <color rgb="FFFF0000"/>
      <name val="Calibri"/>
      <family val="2"/>
      <scheme val="minor"/>
    </font>
    <font>
      <sz val="12"/>
      <name val="Calibri"/>
      <family val="2"/>
      <scheme val="minor"/>
    </font>
    <font>
      <sz val="10"/>
      <name val="MS Sans Serif"/>
      <family val="2"/>
    </font>
    <font>
      <sz val="11"/>
      <color rgb="FFFF0000"/>
      <name val="Calibri"/>
      <family val="2"/>
      <scheme val="minor"/>
    </font>
    <font>
      <b/>
      <sz val="14"/>
      <name val="Calibri"/>
      <family val="2"/>
      <scheme val="minor"/>
    </font>
    <font>
      <b/>
      <sz val="12"/>
      <color rgb="FFFF0000"/>
      <name val="Calibri"/>
      <family val="2"/>
      <scheme val="minor"/>
    </font>
    <font>
      <sz val="14"/>
      <name val="Calibri"/>
      <family val="2"/>
      <scheme val="minor"/>
    </font>
    <font>
      <sz val="14"/>
      <color rgb="FFFF0000"/>
      <name val="Calibri"/>
      <family val="2"/>
      <scheme val="minor"/>
    </font>
    <font>
      <b/>
      <sz val="16"/>
      <color theme="1"/>
      <name val="Calibri"/>
      <family val="2"/>
      <scheme val="minor"/>
    </font>
    <font>
      <b/>
      <sz val="14"/>
      <color theme="0"/>
      <name val="Calibri"/>
      <family val="2"/>
      <scheme val="minor"/>
    </font>
    <font>
      <sz val="14"/>
      <color theme="0"/>
      <name val="Calibri"/>
      <family val="2"/>
      <scheme val="minor"/>
    </font>
    <font>
      <b/>
      <sz val="14"/>
      <color rgb="FFFF0000"/>
      <name val="Calibri"/>
      <family val="2"/>
      <scheme val="minor"/>
    </font>
    <font>
      <b/>
      <sz val="12"/>
      <color theme="0" tint="-0.14999847407452621"/>
      <name val="Calibri"/>
      <family val="2"/>
      <scheme val="minor"/>
    </font>
    <font>
      <b/>
      <sz val="12"/>
      <color theme="0"/>
      <name val="Calibri"/>
      <family val="2"/>
      <scheme val="minor"/>
    </font>
    <font>
      <sz val="11"/>
      <color rgb="FF00B0F0"/>
      <name val="Calibri"/>
      <family val="2"/>
      <scheme val="minor"/>
    </font>
    <font>
      <b/>
      <sz val="14"/>
      <color rgb="FFFFFF99"/>
      <name val="Calibri"/>
      <family val="2"/>
      <scheme val="minor"/>
    </font>
    <font>
      <b/>
      <sz val="10"/>
      <name val="Arial"/>
      <family val="2"/>
    </font>
    <font>
      <b/>
      <sz val="8"/>
      <name val="Arial"/>
      <family val="2"/>
    </font>
    <font>
      <b/>
      <sz val="12"/>
      <name val="Arial"/>
      <family val="2"/>
    </font>
    <font>
      <b/>
      <sz val="9"/>
      <name val="Arial"/>
      <family val="2"/>
    </font>
    <font>
      <sz val="12"/>
      <name val="MS Sans Serif"/>
      <family val="2"/>
    </font>
    <font>
      <b/>
      <sz val="12"/>
      <name val="MS Sans Serif"/>
      <family val="2"/>
    </font>
    <font>
      <sz val="8"/>
      <name val="Arial"/>
      <family val="2"/>
    </font>
    <font>
      <u/>
      <sz val="11"/>
      <color theme="10"/>
      <name val="Calibri"/>
      <family val="2"/>
      <scheme val="minor"/>
    </font>
    <font>
      <b/>
      <sz val="11"/>
      <name val="Calibri"/>
      <family val="2"/>
      <scheme val="minor"/>
    </font>
    <font>
      <sz val="10"/>
      <color theme="0"/>
      <name val="Arial"/>
      <family val="2"/>
    </font>
    <font>
      <sz val="10"/>
      <color indexed="8"/>
      <name val="Arial"/>
      <family val="2"/>
    </font>
    <font>
      <b/>
      <sz val="12"/>
      <name val="Calibri"/>
      <family val="2"/>
      <scheme val="minor"/>
    </font>
    <font>
      <b/>
      <sz val="18"/>
      <color theme="1"/>
      <name val="Calibri"/>
      <family val="2"/>
      <scheme val="minor"/>
    </font>
    <font>
      <b/>
      <sz val="18"/>
      <name val="Calibri"/>
      <family val="2"/>
      <scheme val="minor"/>
    </font>
    <font>
      <sz val="10"/>
      <name val="Calibri"/>
      <family val="2"/>
      <scheme val="minor"/>
    </font>
    <font>
      <sz val="10"/>
      <color theme="0"/>
      <name val="Calibri"/>
      <family val="2"/>
      <scheme val="minor"/>
    </font>
    <font>
      <sz val="10"/>
      <color rgb="FFFF0000"/>
      <name val="Calibri"/>
      <family val="2"/>
      <scheme val="minor"/>
    </font>
    <font>
      <sz val="10"/>
      <color theme="1"/>
      <name val="Calibri"/>
      <family val="2"/>
      <scheme val="minor"/>
    </font>
    <font>
      <sz val="9"/>
      <color indexed="81"/>
      <name val="Tahoma"/>
      <family val="2"/>
    </font>
    <font>
      <b/>
      <sz val="9"/>
      <color indexed="81"/>
      <name val="Tahoma"/>
      <family val="2"/>
    </font>
    <font>
      <sz val="16"/>
      <color rgb="FFFF0000"/>
      <name val="Calibri"/>
      <family val="2"/>
      <scheme val="minor"/>
    </font>
    <font>
      <sz val="8"/>
      <color theme="1"/>
      <name val="Arial"/>
      <family val="2"/>
    </font>
    <font>
      <sz val="12"/>
      <color theme="1"/>
      <name val="Arial"/>
      <family val="2"/>
    </font>
    <font>
      <b/>
      <sz val="12"/>
      <color theme="1"/>
      <name val="Arial"/>
      <family val="2"/>
    </font>
    <font>
      <b/>
      <sz val="8"/>
      <color theme="1"/>
      <name val="Arial"/>
      <family val="2"/>
    </font>
    <font>
      <sz val="9"/>
      <color theme="1"/>
      <name val="Arial Narrow"/>
      <family val="2"/>
    </font>
    <font>
      <b/>
      <sz val="18"/>
      <color theme="0"/>
      <name val="Calibri"/>
      <family val="2"/>
      <scheme val="minor"/>
    </font>
    <font>
      <b/>
      <sz val="10"/>
      <color theme="0"/>
      <name val="Arial"/>
      <family val="2"/>
    </font>
    <font>
      <sz val="8"/>
      <color rgb="FFFF0000"/>
      <name val="Arial"/>
      <family val="2"/>
    </font>
    <font>
      <b/>
      <sz val="10"/>
      <color theme="1"/>
      <name val="Arial"/>
      <family val="2"/>
    </font>
    <font>
      <b/>
      <sz val="11"/>
      <color theme="0"/>
      <name val="Arial"/>
      <family val="2"/>
    </font>
    <font>
      <sz val="11"/>
      <color theme="1"/>
      <name val="Arial"/>
      <family val="2"/>
    </font>
    <font>
      <b/>
      <sz val="11"/>
      <color theme="0"/>
      <name val="Calibri"/>
      <family val="2"/>
      <scheme val="minor"/>
    </font>
    <font>
      <sz val="12"/>
      <color theme="1"/>
      <name val="Arial Narrow"/>
      <family val="2"/>
    </font>
    <font>
      <b/>
      <sz val="9"/>
      <color rgb="FF767070"/>
      <name val="Arial Narrow"/>
      <family val="2"/>
    </font>
    <font>
      <sz val="9"/>
      <color rgb="FF767070"/>
      <name val="Arial Narrow"/>
      <family val="2"/>
    </font>
    <font>
      <b/>
      <sz val="9"/>
      <color theme="1"/>
      <name val="Times New Roman"/>
      <family val="1"/>
    </font>
    <font>
      <b/>
      <sz val="9"/>
      <color rgb="FFFF0000"/>
      <name val="Arial Narrow"/>
      <family val="2"/>
    </font>
    <font>
      <b/>
      <sz val="9"/>
      <color rgb="FF5B9BD5"/>
      <name val="Arial Narrow"/>
      <family val="2"/>
    </font>
    <font>
      <b/>
      <sz val="9"/>
      <color theme="0"/>
      <name val="Arial Narrow"/>
      <family val="2"/>
    </font>
    <font>
      <sz val="8"/>
      <name val="Calibri"/>
      <family val="2"/>
      <scheme val="minor"/>
    </font>
    <font>
      <sz val="10"/>
      <color theme="1"/>
      <name val="Arial"/>
      <family val="2"/>
    </font>
    <font>
      <sz val="10"/>
      <color theme="1"/>
      <name val="Arial Narrow"/>
      <family val="2"/>
    </font>
  </fonts>
  <fills count="29">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EBAB"/>
        <bgColor indexed="64"/>
      </patternFill>
    </fill>
    <fill>
      <patternFill patternType="solid">
        <fgColor theme="0" tint="-0.14999847407452621"/>
        <bgColor indexed="64"/>
      </patternFill>
    </fill>
    <fill>
      <patternFill patternType="solid">
        <fgColor rgb="FFFFFF99"/>
        <bgColor indexed="64"/>
      </patternFill>
    </fill>
    <fill>
      <patternFill patternType="solid">
        <fgColor theme="3" tint="0.59999389629810485"/>
        <bgColor indexed="64"/>
      </patternFill>
    </fill>
    <fill>
      <patternFill patternType="solid">
        <fgColor rgb="FFFFFF00"/>
        <bgColor indexed="64"/>
      </patternFill>
    </fill>
    <fill>
      <patternFill patternType="solid">
        <fgColor theme="2"/>
        <bgColor indexed="64"/>
      </patternFill>
    </fill>
    <fill>
      <patternFill patternType="solid">
        <fgColor rgb="FFCCFF66"/>
        <bgColor indexed="64"/>
      </patternFill>
    </fill>
    <fill>
      <patternFill patternType="solid">
        <fgColor indexed="22"/>
        <bgColor indexed="64"/>
      </patternFill>
    </fill>
    <fill>
      <patternFill patternType="solid">
        <fgColor theme="0" tint="-0.249977111117893"/>
        <bgColor indexed="64"/>
      </patternFill>
    </fill>
    <fill>
      <patternFill patternType="solid">
        <fgColor rgb="FFFFFF66"/>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3"/>
        <bgColor indexed="64"/>
      </patternFill>
    </fill>
    <fill>
      <patternFill patternType="solid">
        <fgColor theme="9"/>
        <bgColor indexed="64"/>
      </patternFill>
    </fill>
    <fill>
      <patternFill patternType="solid">
        <fgColor rgb="FF99FF66"/>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2F490"/>
        <bgColor indexed="64"/>
      </patternFill>
    </fill>
    <fill>
      <patternFill patternType="solid">
        <fgColor theme="8" tint="0.59999389629810485"/>
        <bgColor indexed="64"/>
      </patternFill>
    </fill>
  </fills>
  <borders count="1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bottom/>
      <diagonal/>
    </border>
    <border>
      <left/>
      <right style="thin">
        <color indexed="64"/>
      </right>
      <top/>
      <bottom/>
      <diagonal/>
    </border>
    <border>
      <left style="hair">
        <color indexed="64"/>
      </left>
      <right style="hair">
        <color indexed="64"/>
      </right>
      <top/>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right style="thin">
        <color indexed="64"/>
      </right>
      <top/>
      <bottom style="hair">
        <color indexed="64"/>
      </bottom>
      <diagonal/>
    </border>
    <border>
      <left style="hair">
        <color indexed="64"/>
      </left>
      <right style="hair">
        <color indexed="64"/>
      </right>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bottom/>
      <diagonal/>
    </border>
    <border>
      <left style="hair">
        <color indexed="64"/>
      </left>
      <right style="thin">
        <color indexed="64"/>
      </right>
      <top style="hair">
        <color indexed="64"/>
      </top>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hair">
        <color indexed="64"/>
      </left>
      <right style="thin">
        <color indexed="64"/>
      </right>
      <top/>
      <bottom style="hair">
        <color indexed="64"/>
      </bottom>
      <diagonal/>
    </border>
    <border>
      <left style="thin">
        <color indexed="64"/>
      </left>
      <right style="thin">
        <color indexed="64"/>
      </right>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right style="thin">
        <color indexed="64"/>
      </right>
      <top/>
      <bottom style="dotted">
        <color indexed="64"/>
      </bottom>
      <diagonal/>
    </border>
    <border>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dotted">
        <color indexed="64"/>
      </top>
      <bottom/>
      <diagonal/>
    </border>
    <border>
      <left/>
      <right/>
      <top style="medium">
        <color auto="1"/>
      </top>
      <bottom style="medium">
        <color auto="1"/>
      </bottom>
      <diagonal/>
    </border>
    <border>
      <left/>
      <right/>
      <top/>
      <bottom style="medium">
        <color auto="1"/>
      </bottom>
      <diagonal/>
    </border>
    <border>
      <left style="medium">
        <color indexed="64"/>
      </left>
      <right style="thin">
        <color auto="1"/>
      </right>
      <top style="medium">
        <color auto="1"/>
      </top>
      <bottom/>
      <diagonal/>
    </border>
    <border>
      <left style="thin">
        <color auto="1"/>
      </left>
      <right style="thin">
        <color auto="1"/>
      </right>
      <top style="medium">
        <color auto="1"/>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auto="1"/>
      </right>
      <top/>
      <bottom style="medium">
        <color auto="1"/>
      </bottom>
      <diagonal/>
    </border>
    <border>
      <left style="thin">
        <color auto="1"/>
      </left>
      <right style="thin">
        <color auto="1"/>
      </right>
      <top/>
      <bottom style="medium">
        <color auto="1"/>
      </bottom>
      <diagonal/>
    </border>
    <border>
      <left style="double">
        <color indexed="64"/>
      </left>
      <right style="thin">
        <color indexed="64"/>
      </right>
      <top/>
      <bottom style="medium">
        <color indexed="64"/>
      </bottom>
      <diagonal/>
    </border>
    <border>
      <left style="thin">
        <color indexed="64"/>
      </left>
      <right style="double">
        <color indexed="64"/>
      </right>
      <top/>
      <bottom style="medium">
        <color indexed="64"/>
      </bottom>
      <diagonal/>
    </border>
    <border>
      <left style="thin">
        <color auto="1"/>
      </left>
      <right style="medium">
        <color auto="1"/>
      </right>
      <top/>
      <bottom style="medium">
        <color auto="1"/>
      </bottom>
      <diagonal/>
    </border>
    <border>
      <left style="medium">
        <color indexed="64"/>
      </left>
      <right style="thin">
        <color indexed="64"/>
      </right>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double">
        <color indexed="64"/>
      </left>
      <right/>
      <top style="double">
        <color indexed="64"/>
      </top>
      <bottom style="medium">
        <color indexed="64"/>
      </bottom>
      <diagonal/>
    </border>
    <border>
      <left/>
      <right/>
      <top style="double">
        <color indexed="64"/>
      </top>
      <bottom style="medium">
        <color indexed="64"/>
      </bottom>
      <diagonal/>
    </border>
    <border>
      <left/>
      <right style="double">
        <color indexed="64"/>
      </right>
      <top style="double">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auto="1"/>
      </top>
      <bottom/>
      <diagonal/>
    </border>
    <border>
      <left style="medium">
        <color auto="1"/>
      </left>
      <right style="medium">
        <color auto="1"/>
      </right>
      <top style="medium">
        <color auto="1"/>
      </top>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auto="1"/>
      </bottom>
      <diagonal/>
    </border>
    <border>
      <left style="thin">
        <color auto="1"/>
      </left>
      <right style="thin">
        <color auto="1"/>
      </right>
      <top style="medium">
        <color auto="1"/>
      </top>
      <bottom style="medium">
        <color auto="1"/>
      </bottom>
      <diagonal/>
    </border>
    <border>
      <left style="medium">
        <color indexed="64"/>
      </left>
      <right style="medium">
        <color indexed="64"/>
      </right>
      <top/>
      <bottom/>
      <diagonal/>
    </border>
    <border>
      <left style="thin">
        <color auto="1"/>
      </left>
      <right style="medium">
        <color indexed="64"/>
      </right>
      <top style="medium">
        <color auto="1"/>
      </top>
      <bottom style="medium">
        <color indexed="64"/>
      </bottom>
      <diagonal/>
    </border>
    <border>
      <left style="hair">
        <color indexed="64"/>
      </left>
      <right/>
      <top style="thin">
        <color indexed="64"/>
      </top>
      <bottom style="hair">
        <color indexed="64"/>
      </bottom>
      <diagonal/>
    </border>
    <border>
      <left style="hair">
        <color indexed="64"/>
      </left>
      <right/>
      <top/>
      <bottom style="hair">
        <color indexed="64"/>
      </bottom>
      <diagonal/>
    </border>
    <border>
      <left/>
      <right style="thin">
        <color auto="1"/>
      </right>
      <top style="medium">
        <color auto="1"/>
      </top>
      <bottom/>
      <diagonal/>
    </border>
    <border>
      <left style="thin">
        <color auto="1"/>
      </left>
      <right/>
      <top style="medium">
        <color auto="1"/>
      </top>
      <bottom style="medium">
        <color auto="1"/>
      </bottom>
      <diagonal/>
    </border>
    <border>
      <left style="medium">
        <color indexed="64"/>
      </left>
      <right/>
      <top style="medium">
        <color indexed="64"/>
      </top>
      <bottom style="thin">
        <color indexed="64"/>
      </bottom>
      <diagonal/>
    </border>
    <border>
      <left/>
      <right style="hair">
        <color indexed="64"/>
      </right>
      <top/>
      <bottom style="thin">
        <color indexed="64"/>
      </bottom>
      <diagonal/>
    </border>
    <border>
      <left/>
      <right style="hair">
        <color indexed="64"/>
      </right>
      <top style="thin">
        <color indexed="64"/>
      </top>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s>
  <cellStyleXfs count="16">
    <xf numFmtId="0" fontId="0" fillId="0" borderId="0"/>
    <xf numFmtId="164" fontId="1" fillId="0" borderId="0" applyFont="0" applyFill="0" applyBorder="0" applyAlignment="0" applyProtection="0"/>
    <xf numFmtId="9" fontId="1" fillId="0" borderId="0" applyFont="0" applyFill="0" applyBorder="0" applyAlignment="0" applyProtection="0"/>
    <xf numFmtId="164" fontId="11" fillId="0" borderId="0" applyFont="0" applyFill="0" applyBorder="0" applyAlignment="0" applyProtection="0"/>
    <xf numFmtId="0" fontId="13" fillId="0" borderId="0"/>
    <xf numFmtId="0" fontId="16" fillId="0" borderId="0"/>
    <xf numFmtId="10" fontId="11" fillId="0" borderId="0" applyFill="0" applyBorder="0" applyAlignment="0" applyProtection="0"/>
    <xf numFmtId="9" fontId="16" fillId="0" borderId="0" applyFont="0" applyFill="0" applyBorder="0" applyAlignment="0" applyProtection="0"/>
    <xf numFmtId="0" fontId="37" fillId="0" borderId="0" applyNumberFormat="0" applyFill="0" applyBorder="0" applyAlignment="0" applyProtection="0"/>
    <xf numFmtId="0" fontId="40" fillId="0" borderId="0">
      <alignment vertical="top"/>
    </xf>
    <xf numFmtId="0" fontId="1" fillId="0" borderId="0"/>
    <xf numFmtId="0" fontId="1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43" fontId="1" fillId="0" borderId="0" applyFont="0" applyFill="0" applyBorder="0" applyAlignment="0" applyProtection="0"/>
  </cellStyleXfs>
  <cellXfs count="1337">
    <xf numFmtId="0" fontId="0" fillId="0" borderId="0" xfId="0"/>
    <xf numFmtId="0" fontId="2" fillId="0" borderId="0" xfId="0" applyFont="1"/>
    <xf numFmtId="0" fontId="4" fillId="2" borderId="0" xfId="0" applyFont="1" applyFill="1"/>
    <xf numFmtId="0" fontId="4" fillId="2" borderId="0" xfId="0" applyFont="1" applyFill="1" applyAlignment="1">
      <alignment horizontal="center"/>
    </xf>
    <xf numFmtId="0" fontId="4" fillId="2" borderId="4" xfId="0" applyFont="1" applyFill="1" applyBorder="1" applyAlignment="1">
      <alignment horizontal="center"/>
    </xf>
    <xf numFmtId="0" fontId="4" fillId="0" borderId="0" xfId="0" applyFont="1"/>
    <xf numFmtId="0" fontId="5" fillId="2" borderId="0" xfId="0" applyFont="1" applyFill="1"/>
    <xf numFmtId="3" fontId="4" fillId="2" borderId="0" xfId="0" applyNumberFormat="1" applyFont="1" applyFill="1"/>
    <xf numFmtId="165" fontId="4" fillId="2" borderId="0" xfId="1" applyNumberFormat="1" applyFont="1" applyFill="1"/>
    <xf numFmtId="0" fontId="4" fillId="4" borderId="3" xfId="0" applyFont="1" applyFill="1" applyBorder="1"/>
    <xf numFmtId="0" fontId="4" fillId="4" borderId="6" xfId="0" applyFont="1" applyFill="1" applyBorder="1"/>
    <xf numFmtId="0" fontId="4" fillId="0" borderId="3" xfId="0" applyFont="1" applyBorder="1"/>
    <xf numFmtId="0" fontId="4" fillId="0" borderId="6" xfId="0" applyFont="1" applyBorder="1"/>
    <xf numFmtId="0" fontId="4" fillId="0" borderId="31" xfId="0" applyFont="1" applyBorder="1"/>
    <xf numFmtId="0" fontId="4" fillId="0" borderId="32" xfId="0" applyFont="1" applyBorder="1"/>
    <xf numFmtId="0" fontId="4" fillId="0" borderId="33" xfId="0" applyFont="1" applyBorder="1"/>
    <xf numFmtId="0" fontId="4" fillId="0" borderId="19" xfId="0" applyFont="1" applyBorder="1"/>
    <xf numFmtId="0" fontId="4" fillId="0" borderId="34" xfId="0" applyFont="1" applyBorder="1"/>
    <xf numFmtId="0" fontId="4" fillId="0" borderId="35" xfId="0" applyFont="1" applyBorder="1"/>
    <xf numFmtId="10" fontId="4" fillId="2" borderId="0" xfId="2" applyNumberFormat="1" applyFont="1" applyFill="1"/>
    <xf numFmtId="10" fontId="4" fillId="2" borderId="4" xfId="2" applyNumberFormat="1" applyFont="1" applyFill="1" applyBorder="1"/>
    <xf numFmtId="165" fontId="0" fillId="0" borderId="0" xfId="0" applyNumberFormat="1"/>
    <xf numFmtId="165" fontId="0" fillId="0" borderId="0" xfId="1" applyNumberFormat="1" applyFont="1" applyFill="1"/>
    <xf numFmtId="0" fontId="7" fillId="0" borderId="3" xfId="0" applyFont="1" applyBorder="1"/>
    <xf numFmtId="0" fontId="0" fillId="0" borderId="6" xfId="0" applyBorder="1"/>
    <xf numFmtId="0" fontId="3" fillId="0" borderId="0" xfId="0" applyFont="1"/>
    <xf numFmtId="0" fontId="3" fillId="6" borderId="3" xfId="0" applyFont="1" applyFill="1" applyBorder="1"/>
    <xf numFmtId="0" fontId="0" fillId="6" borderId="6" xfId="0" applyFill="1" applyBorder="1"/>
    <xf numFmtId="0" fontId="7" fillId="0" borderId="0" xfId="0" applyFont="1"/>
    <xf numFmtId="0" fontId="3" fillId="7" borderId="3" xfId="0" applyFont="1" applyFill="1" applyBorder="1"/>
    <xf numFmtId="0" fontId="0" fillId="7" borderId="6" xfId="0" applyFill="1" applyBorder="1"/>
    <xf numFmtId="0" fontId="4" fillId="0" borderId="1" xfId="0" applyFont="1" applyBorder="1"/>
    <xf numFmtId="0" fontId="0" fillId="0" borderId="1" xfId="0" applyBorder="1"/>
    <xf numFmtId="0" fontId="0" fillId="0" borderId="1" xfId="0" applyBorder="1" applyAlignment="1">
      <alignment horizontal="center"/>
    </xf>
    <xf numFmtId="17" fontId="6" fillId="0" borderId="0" xfId="0" applyNumberFormat="1" applyFont="1" applyAlignment="1">
      <alignment horizontal="center"/>
    </xf>
    <xf numFmtId="10" fontId="0" fillId="0" borderId="1" xfId="2" applyNumberFormat="1" applyFont="1" applyFill="1" applyBorder="1"/>
    <xf numFmtId="164" fontId="0" fillId="0" borderId="0" xfId="1" applyFont="1" applyFill="1"/>
    <xf numFmtId="10" fontId="0" fillId="0" borderId="0" xfId="2" applyNumberFormat="1" applyFont="1" applyFill="1"/>
    <xf numFmtId="164" fontId="0" fillId="0" borderId="0" xfId="1" applyFont="1"/>
    <xf numFmtId="164" fontId="0" fillId="0" borderId="0" xfId="0" applyNumberFormat="1"/>
    <xf numFmtId="0" fontId="10" fillId="0" borderId="0" xfId="0" applyFont="1"/>
    <xf numFmtId="164" fontId="10" fillId="0" borderId="0" xfId="0" applyNumberFormat="1" applyFont="1"/>
    <xf numFmtId="167" fontId="0" fillId="0" borderId="0" xfId="2" applyNumberFormat="1" applyFont="1" applyFill="1"/>
    <xf numFmtId="10" fontId="10" fillId="0" borderId="0" xfId="2" applyNumberFormat="1" applyFont="1" applyFill="1"/>
    <xf numFmtId="0" fontId="12" fillId="0" borderId="0" xfId="0" applyFont="1"/>
    <xf numFmtId="165" fontId="0" fillId="0" borderId="0" xfId="2" applyNumberFormat="1" applyFont="1" applyFill="1"/>
    <xf numFmtId="10" fontId="10" fillId="2" borderId="0" xfId="2" applyNumberFormat="1" applyFont="1" applyFill="1"/>
    <xf numFmtId="0" fontId="10" fillId="2" borderId="0" xfId="0" applyFont="1" applyFill="1"/>
    <xf numFmtId="0" fontId="17" fillId="0" borderId="0" xfId="0" applyFont="1"/>
    <xf numFmtId="165" fontId="10" fillId="0" borderId="0" xfId="0" applyNumberFormat="1" applyFont="1"/>
    <xf numFmtId="165" fontId="10" fillId="0" borderId="0" xfId="1" applyNumberFormat="1" applyFont="1" applyFill="1"/>
    <xf numFmtId="0" fontId="6" fillId="0" borderId="0" xfId="0" applyFont="1"/>
    <xf numFmtId="165" fontId="17" fillId="0" borderId="0" xfId="0" applyNumberFormat="1" applyFont="1"/>
    <xf numFmtId="165" fontId="12" fillId="0" borderId="0" xfId="0" applyNumberFormat="1" applyFont="1"/>
    <xf numFmtId="0" fontId="15" fillId="0" borderId="0" xfId="0" applyFont="1"/>
    <xf numFmtId="0" fontId="4" fillId="8" borderId="1" xfId="0" applyFont="1" applyFill="1" applyBorder="1" applyAlignment="1">
      <alignment horizontal="center"/>
    </xf>
    <xf numFmtId="0" fontId="4" fillId="8" borderId="3" xfId="0" applyFont="1" applyFill="1" applyBorder="1"/>
    <xf numFmtId="0" fontId="4" fillId="8" borderId="6" xfId="0" applyFont="1" applyFill="1" applyBorder="1"/>
    <xf numFmtId="0" fontId="4" fillId="0" borderId="0" xfId="0" applyFont="1" applyAlignment="1">
      <alignment vertical="center"/>
    </xf>
    <xf numFmtId="0" fontId="4" fillId="2" borderId="0" xfId="0" applyFont="1" applyFill="1" applyAlignment="1">
      <alignment vertical="center"/>
    </xf>
    <xf numFmtId="0" fontId="4" fillId="2" borderId="0" xfId="0" applyFont="1" applyFill="1" applyAlignment="1">
      <alignment horizontal="center" vertical="center"/>
    </xf>
    <xf numFmtId="0" fontId="4" fillId="8" borderId="1" xfId="0" applyFont="1" applyFill="1" applyBorder="1" applyAlignment="1">
      <alignment horizontal="center" vertical="center"/>
    </xf>
    <xf numFmtId="17" fontId="4" fillId="8" borderId="1" xfId="0" applyNumberFormat="1" applyFont="1" applyFill="1" applyBorder="1" applyAlignment="1">
      <alignment horizontal="center" vertical="center"/>
    </xf>
    <xf numFmtId="0" fontId="4" fillId="8" borderId="1" xfId="0" applyFont="1" applyFill="1" applyBorder="1" applyAlignment="1">
      <alignment horizontal="center" vertical="center" wrapText="1"/>
    </xf>
    <xf numFmtId="0" fontId="4" fillId="8" borderId="31" xfId="0" applyFont="1" applyFill="1" applyBorder="1"/>
    <xf numFmtId="0" fontId="4" fillId="8" borderId="32" xfId="0" applyFont="1" applyFill="1" applyBorder="1"/>
    <xf numFmtId="0" fontId="4" fillId="8" borderId="34" xfId="0" applyFont="1" applyFill="1" applyBorder="1"/>
    <xf numFmtId="0" fontId="4" fillId="8" borderId="35" xfId="0" applyFont="1" applyFill="1" applyBorder="1"/>
    <xf numFmtId="10" fontId="4" fillId="8" borderId="7" xfId="2" applyNumberFormat="1" applyFont="1" applyFill="1" applyBorder="1"/>
    <xf numFmtId="165" fontId="4" fillId="8" borderId="36" xfId="1" applyNumberFormat="1" applyFont="1" applyFill="1" applyBorder="1"/>
    <xf numFmtId="165" fontId="4" fillId="8" borderId="32" xfId="1" applyNumberFormat="1" applyFont="1" applyFill="1" applyBorder="1"/>
    <xf numFmtId="10" fontId="4" fillId="8" borderId="38" xfId="2" applyNumberFormat="1" applyFont="1" applyFill="1" applyBorder="1"/>
    <xf numFmtId="10" fontId="4" fillId="8" borderId="35" xfId="2" applyNumberFormat="1" applyFont="1" applyFill="1" applyBorder="1"/>
    <xf numFmtId="165" fontId="4" fillId="8" borderId="40" xfId="1" applyNumberFormat="1" applyFont="1" applyFill="1" applyBorder="1"/>
    <xf numFmtId="165" fontId="4" fillId="8" borderId="37" xfId="1" applyNumberFormat="1" applyFont="1" applyFill="1" applyBorder="1"/>
    <xf numFmtId="10" fontId="4" fillId="8" borderId="39" xfId="2" applyNumberFormat="1" applyFont="1" applyFill="1" applyBorder="1"/>
    <xf numFmtId="10" fontId="4" fillId="8" borderId="58" xfId="2" applyNumberFormat="1" applyFont="1" applyFill="1" applyBorder="1"/>
    <xf numFmtId="17" fontId="2" fillId="0" borderId="0" xfId="0" applyNumberFormat="1" applyFont="1"/>
    <xf numFmtId="0" fontId="4" fillId="9" borderId="6" xfId="0" applyFont="1" applyFill="1" applyBorder="1"/>
    <xf numFmtId="0" fontId="2" fillId="9" borderId="3" xfId="0" applyFont="1" applyFill="1" applyBorder="1"/>
    <xf numFmtId="0" fontId="3" fillId="0" borderId="0" xfId="0" applyFont="1" applyAlignment="1">
      <alignment horizontal="left"/>
    </xf>
    <xf numFmtId="0" fontId="4" fillId="8" borderId="35" xfId="0" applyFont="1" applyFill="1" applyBorder="1" applyAlignment="1">
      <alignment horizontal="right"/>
    </xf>
    <xf numFmtId="0" fontId="4" fillId="8" borderId="32" xfId="0" applyFont="1" applyFill="1" applyBorder="1" applyAlignment="1">
      <alignment horizontal="right"/>
    </xf>
    <xf numFmtId="9" fontId="17" fillId="0" borderId="0" xfId="2" applyFont="1" applyFill="1"/>
    <xf numFmtId="165" fontId="7" fillId="0" borderId="0" xfId="1" applyNumberFormat="1" applyFont="1" applyFill="1" applyBorder="1" applyAlignment="1">
      <alignment horizontal="right"/>
    </xf>
    <xf numFmtId="17" fontId="3" fillId="0" borderId="0" xfId="0" applyNumberFormat="1" applyFont="1" applyAlignment="1">
      <alignment horizontal="center"/>
    </xf>
    <xf numFmtId="0" fontId="7" fillId="2" borderId="0" xfId="0" applyFont="1" applyFill="1"/>
    <xf numFmtId="164" fontId="4" fillId="2" borderId="0" xfId="1" applyFont="1" applyFill="1"/>
    <xf numFmtId="0" fontId="3" fillId="2" borderId="0" xfId="0" applyFont="1" applyFill="1"/>
    <xf numFmtId="0" fontId="22" fillId="2" borderId="0" xfId="0" applyFont="1" applyFill="1"/>
    <xf numFmtId="0" fontId="7" fillId="10" borderId="0" xfId="0" applyFont="1" applyFill="1"/>
    <xf numFmtId="0" fontId="3" fillId="10" borderId="0" xfId="0" applyFont="1" applyFill="1"/>
    <xf numFmtId="3" fontId="7" fillId="10" borderId="0" xfId="0" applyNumberFormat="1" applyFont="1" applyFill="1"/>
    <xf numFmtId="170" fontId="4" fillId="2" borderId="0" xfId="0" applyNumberFormat="1" applyFont="1" applyFill="1"/>
    <xf numFmtId="0" fontId="6" fillId="2" borderId="0" xfId="0" applyFont="1" applyFill="1"/>
    <xf numFmtId="0" fontId="7" fillId="2" borderId="0" xfId="0" applyFont="1" applyFill="1" applyAlignment="1">
      <alignment horizontal="center" vertical="center"/>
    </xf>
    <xf numFmtId="0" fontId="7" fillId="3" borderId="1" xfId="0" applyFont="1" applyFill="1" applyBorder="1" applyAlignment="1">
      <alignment horizontal="center" vertical="center"/>
    </xf>
    <xf numFmtId="0" fontId="7" fillId="2" borderId="0" xfId="0" applyFont="1" applyFill="1" applyAlignment="1">
      <alignment vertical="center"/>
    </xf>
    <xf numFmtId="2" fontId="3" fillId="2" borderId="0" xfId="0" applyNumberFormat="1" applyFont="1" applyFill="1" applyAlignment="1">
      <alignment horizontal="center"/>
    </xf>
    <xf numFmtId="0" fontId="18" fillId="2" borderId="0" xfId="0" applyFont="1" applyFill="1" applyAlignment="1">
      <alignment horizontal="left" vertical="center"/>
    </xf>
    <xf numFmtId="0" fontId="24" fillId="2" borderId="0" xfId="0" applyFont="1" applyFill="1"/>
    <xf numFmtId="0" fontId="4" fillId="11" borderId="1" xfId="0" applyFont="1" applyFill="1" applyBorder="1" applyAlignment="1">
      <alignment horizontal="center"/>
    </xf>
    <xf numFmtId="0" fontId="3" fillId="2" borderId="0" xfId="0" applyFont="1" applyFill="1" applyAlignment="1">
      <alignment horizontal="left"/>
    </xf>
    <xf numFmtId="1" fontId="6" fillId="2" borderId="0" xfId="0" applyNumberFormat="1" applyFont="1" applyFill="1"/>
    <xf numFmtId="2" fontId="6" fillId="2" borderId="0" xfId="0" applyNumberFormat="1" applyFont="1" applyFill="1"/>
    <xf numFmtId="4" fontId="6" fillId="2" borderId="0" xfId="0" applyNumberFormat="1" applyFont="1" applyFill="1"/>
    <xf numFmtId="3" fontId="6" fillId="2" borderId="0" xfId="0" applyNumberFormat="1" applyFont="1" applyFill="1"/>
    <xf numFmtId="171" fontId="3" fillId="2" borderId="0" xfId="0" applyNumberFormat="1" applyFont="1" applyFill="1" applyAlignment="1">
      <alignment horizontal="left"/>
    </xf>
    <xf numFmtId="171" fontId="4" fillId="2" borderId="0" xfId="0" applyNumberFormat="1" applyFont="1" applyFill="1"/>
    <xf numFmtId="3" fontId="15" fillId="2" borderId="0" xfId="0" applyNumberFormat="1" applyFont="1" applyFill="1"/>
    <xf numFmtId="4" fontId="4" fillId="2" borderId="0" xfId="0" applyNumberFormat="1" applyFont="1" applyFill="1"/>
    <xf numFmtId="2" fontId="18" fillId="2" borderId="0" xfId="0" applyNumberFormat="1" applyFont="1" applyFill="1" applyAlignment="1">
      <alignment horizontal="center"/>
    </xf>
    <xf numFmtId="0" fontId="18" fillId="2" borderId="0" xfId="0" applyFont="1" applyFill="1" applyAlignment="1">
      <alignment horizontal="left"/>
    </xf>
    <xf numFmtId="172" fontId="15" fillId="2" borderId="0" xfId="0" applyNumberFormat="1" applyFont="1" applyFill="1"/>
    <xf numFmtId="0" fontId="15" fillId="2" borderId="0" xfId="0" applyFont="1" applyFill="1"/>
    <xf numFmtId="0" fontId="23" fillId="12" borderId="3" xfId="0" applyFont="1" applyFill="1" applyBorder="1"/>
    <xf numFmtId="0" fontId="3" fillId="12" borderId="6" xfId="0" applyFont="1" applyFill="1" applyBorder="1"/>
    <xf numFmtId="0" fontId="3" fillId="12" borderId="1" xfId="0" applyFont="1" applyFill="1" applyBorder="1" applyAlignment="1">
      <alignment horizontal="center"/>
    </xf>
    <xf numFmtId="0" fontId="20" fillId="2" borderId="0" xfId="0" applyFont="1" applyFill="1"/>
    <xf numFmtId="0" fontId="4" fillId="10" borderId="0" xfId="0" applyFont="1" applyFill="1"/>
    <xf numFmtId="169" fontId="26" fillId="10" borderId="0" xfId="0" applyNumberFormat="1" applyFont="1" applyFill="1" applyAlignment="1">
      <alignment horizontal="center"/>
    </xf>
    <xf numFmtId="0" fontId="14" fillId="2" borderId="0" xfId="0" applyFont="1" applyFill="1"/>
    <xf numFmtId="0" fontId="24" fillId="2" borderId="0" xfId="0" applyFont="1" applyFill="1" applyAlignment="1">
      <alignment horizontal="center" vertical="center"/>
    </xf>
    <xf numFmtId="0" fontId="24" fillId="2" borderId="0" xfId="0" applyFont="1" applyFill="1" applyAlignment="1">
      <alignment vertical="center"/>
    </xf>
    <xf numFmtId="0" fontId="24" fillId="2" borderId="4" xfId="0" applyFont="1" applyFill="1" applyBorder="1"/>
    <xf numFmtId="0" fontId="7" fillId="2" borderId="65" xfId="0" applyFont="1" applyFill="1" applyBorder="1" applyAlignment="1">
      <alignment horizontal="left" vertical="center" indent="2"/>
    </xf>
    <xf numFmtId="172" fontId="4" fillId="2" borderId="66" xfId="0" applyNumberFormat="1" applyFont="1" applyFill="1" applyBorder="1" applyAlignment="1">
      <alignment horizontal="center"/>
    </xf>
    <xf numFmtId="0" fontId="3" fillId="11" borderId="6" xfId="0" applyFont="1" applyFill="1" applyBorder="1"/>
    <xf numFmtId="0" fontId="7" fillId="14" borderId="67" xfId="0" applyFont="1" applyFill="1" applyBorder="1" applyAlignment="1">
      <alignment horizontal="left" vertical="center" indent="2"/>
    </xf>
    <xf numFmtId="172" fontId="4" fillId="14" borderId="62" xfId="0" applyNumberFormat="1" applyFont="1" applyFill="1" applyBorder="1" applyAlignment="1">
      <alignment horizontal="center"/>
    </xf>
    <xf numFmtId="0" fontId="24" fillId="2" borderId="7" xfId="0" applyFont="1" applyFill="1" applyBorder="1"/>
    <xf numFmtId="0" fontId="7" fillId="14" borderId="68" xfId="0" applyFont="1" applyFill="1" applyBorder="1" applyAlignment="1">
      <alignment horizontal="left" vertical="center" indent="2"/>
    </xf>
    <xf numFmtId="172" fontId="4" fillId="14" borderId="69" xfId="0" applyNumberFormat="1" applyFont="1" applyFill="1" applyBorder="1" applyAlignment="1">
      <alignment horizontal="center"/>
    </xf>
    <xf numFmtId="2" fontId="3" fillId="0" borderId="0" xfId="0" applyNumberFormat="1" applyFont="1" applyAlignment="1">
      <alignment horizontal="center"/>
    </xf>
    <xf numFmtId="0" fontId="7" fillId="2" borderId="2" xfId="0" applyFont="1" applyFill="1" applyBorder="1" applyAlignment="1">
      <alignment horizontal="center"/>
    </xf>
    <xf numFmtId="0" fontId="4" fillId="2" borderId="64" xfId="0" applyFont="1" applyFill="1" applyBorder="1" applyAlignment="1">
      <alignment horizontal="center"/>
    </xf>
    <xf numFmtId="0" fontId="23" fillId="3" borderId="3" xfId="0" applyFont="1" applyFill="1" applyBorder="1"/>
    <xf numFmtId="0" fontId="3" fillId="3" borderId="6" xfId="0" applyFont="1" applyFill="1" applyBorder="1"/>
    <xf numFmtId="0" fontId="5" fillId="3" borderId="1" xfId="0" applyFont="1" applyFill="1" applyBorder="1" applyAlignment="1">
      <alignment horizontal="center"/>
    </xf>
    <xf numFmtId="0" fontId="23" fillId="2" borderId="0" xfId="0" applyFont="1" applyFill="1"/>
    <xf numFmtId="0" fontId="5" fillId="12" borderId="1" xfId="0" applyFont="1" applyFill="1" applyBorder="1" applyAlignment="1">
      <alignment horizontal="center"/>
    </xf>
    <xf numFmtId="0" fontId="6" fillId="2" borderId="0" xfId="0" applyFont="1" applyFill="1" applyAlignment="1">
      <alignment horizontal="center"/>
    </xf>
    <xf numFmtId="3" fontId="22" fillId="2" borderId="0" xfId="0" applyNumberFormat="1" applyFont="1" applyFill="1"/>
    <xf numFmtId="3" fontId="3" fillId="2" borderId="0" xfId="0" applyNumberFormat="1" applyFont="1" applyFill="1"/>
    <xf numFmtId="0" fontId="4" fillId="2" borderId="2" xfId="0" applyFont="1" applyFill="1" applyBorder="1" applyAlignment="1">
      <alignment horizontal="center"/>
    </xf>
    <xf numFmtId="2" fontId="18" fillId="0" borderId="0" xfId="0" applyNumberFormat="1" applyFont="1" applyAlignment="1">
      <alignment horizontal="center"/>
    </xf>
    <xf numFmtId="4" fontId="15" fillId="2" borderId="0" xfId="0" applyNumberFormat="1" applyFont="1" applyFill="1"/>
    <xf numFmtId="1" fontId="14" fillId="2" borderId="0" xfId="0" applyNumberFormat="1" applyFont="1" applyFill="1"/>
    <xf numFmtId="3" fontId="5" fillId="2" borderId="0" xfId="0" applyNumberFormat="1" applyFont="1" applyFill="1"/>
    <xf numFmtId="168" fontId="6" fillId="2" borderId="0" xfId="0" applyNumberFormat="1" applyFont="1" applyFill="1"/>
    <xf numFmtId="171" fontId="6" fillId="2" borderId="0" xfId="0" applyNumberFormat="1" applyFont="1" applyFill="1"/>
    <xf numFmtId="173" fontId="6" fillId="2" borderId="0" xfId="0" applyNumberFormat="1" applyFont="1" applyFill="1"/>
    <xf numFmtId="3" fontId="14" fillId="2" borderId="0" xfId="0" applyNumberFormat="1" applyFont="1" applyFill="1"/>
    <xf numFmtId="0" fontId="21" fillId="2" borderId="0" xfId="0" applyFont="1" applyFill="1" applyAlignment="1">
      <alignment horizontal="center" vertical="center"/>
    </xf>
    <xf numFmtId="0" fontId="21" fillId="2" borderId="0" xfId="0" applyFont="1" applyFill="1" applyAlignment="1">
      <alignment vertical="center"/>
    </xf>
    <xf numFmtId="0" fontId="28" fillId="2" borderId="0" xfId="0" applyFont="1" applyFill="1"/>
    <xf numFmtId="0" fontId="21" fillId="2" borderId="0" xfId="0" applyFont="1" applyFill="1"/>
    <xf numFmtId="0" fontId="18" fillId="11" borderId="3" xfId="0" applyFont="1" applyFill="1" applyBorder="1"/>
    <xf numFmtId="0" fontId="18" fillId="11" borderId="1" xfId="0" applyFont="1" applyFill="1" applyBorder="1" applyAlignment="1">
      <alignment horizontal="center"/>
    </xf>
    <xf numFmtId="0" fontId="3" fillId="11" borderId="3" xfId="0" applyFont="1" applyFill="1" applyBorder="1"/>
    <xf numFmtId="0" fontId="3" fillId="11" borderId="1" xfId="0" applyFont="1" applyFill="1" applyBorder="1" applyAlignment="1">
      <alignment horizontal="center"/>
    </xf>
    <xf numFmtId="0" fontId="3" fillId="2" borderId="0" xfId="0" applyFont="1" applyFill="1" applyAlignment="1">
      <alignment horizontal="center"/>
    </xf>
    <xf numFmtId="0" fontId="3" fillId="15" borderId="1" xfId="0" applyFont="1" applyFill="1" applyBorder="1" applyAlignment="1">
      <alignment horizontal="center"/>
    </xf>
    <xf numFmtId="0" fontId="27" fillId="2" borderId="0" xfId="0" applyFont="1" applyFill="1"/>
    <xf numFmtId="174" fontId="6" fillId="2" borderId="0" xfId="0" applyNumberFormat="1" applyFont="1" applyFill="1"/>
    <xf numFmtId="0" fontId="5" fillId="10" borderId="0" xfId="0" applyFont="1" applyFill="1"/>
    <xf numFmtId="169" fontId="5" fillId="10" borderId="0" xfId="0" applyNumberFormat="1" applyFont="1" applyFill="1" applyAlignment="1">
      <alignment horizontal="center"/>
    </xf>
    <xf numFmtId="172" fontId="4" fillId="2" borderId="7" xfId="0" applyNumberFormat="1" applyFont="1" applyFill="1" applyBorder="1" applyAlignment="1">
      <alignment horizontal="center"/>
    </xf>
    <xf numFmtId="0" fontId="29" fillId="11" borderId="3" xfId="0" applyFont="1" applyFill="1" applyBorder="1"/>
    <xf numFmtId="0" fontId="23" fillId="10" borderId="3" xfId="0" applyFont="1" applyFill="1" applyBorder="1"/>
    <xf numFmtId="0" fontId="3" fillId="10" borderId="6" xfId="0" applyFont="1" applyFill="1" applyBorder="1"/>
    <xf numFmtId="0" fontId="5" fillId="10" borderId="1" xfId="0" applyFont="1" applyFill="1" applyBorder="1" applyAlignment="1">
      <alignment horizontal="center"/>
    </xf>
    <xf numFmtId="164" fontId="4" fillId="2" borderId="0" xfId="0" applyNumberFormat="1" applyFont="1" applyFill="1"/>
    <xf numFmtId="3" fontId="7" fillId="2" borderId="0" xfId="0" applyNumberFormat="1" applyFont="1" applyFill="1"/>
    <xf numFmtId="164" fontId="6" fillId="2" borderId="0" xfId="1" applyFont="1" applyFill="1"/>
    <xf numFmtId="0" fontId="16" fillId="0" borderId="0" xfId="5"/>
    <xf numFmtId="0" fontId="2" fillId="0" borderId="51" xfId="0" applyFont="1" applyBorder="1"/>
    <xf numFmtId="0" fontId="0" fillId="0" borderId="71" xfId="0" applyBorder="1"/>
    <xf numFmtId="164" fontId="0" fillId="0" borderId="71" xfId="0" applyNumberFormat="1" applyBorder="1"/>
    <xf numFmtId="165" fontId="0" fillId="0" borderId="71" xfId="0" applyNumberFormat="1" applyBorder="1"/>
    <xf numFmtId="167" fontId="0" fillId="0" borderId="52" xfId="6" applyNumberFormat="1" applyFont="1" applyFill="1" applyBorder="1"/>
    <xf numFmtId="0" fontId="31" fillId="0" borderId="47" xfId="5" applyFont="1" applyBorder="1"/>
    <xf numFmtId="0" fontId="30" fillId="0" borderId="48" xfId="5" applyFont="1" applyBorder="1"/>
    <xf numFmtId="0" fontId="32" fillId="0" borderId="0" xfId="5" applyFont="1"/>
    <xf numFmtId="0" fontId="33" fillId="0" borderId="0" xfId="5" applyFont="1"/>
    <xf numFmtId="0" fontId="34" fillId="0" borderId="0" xfId="5" applyFont="1" applyAlignment="1">
      <alignment horizontal="center"/>
    </xf>
    <xf numFmtId="0" fontId="30" fillId="0" borderId="48" xfId="5" applyFont="1" applyBorder="1" applyAlignment="1">
      <alignment horizontal="center"/>
    </xf>
    <xf numFmtId="0" fontId="31" fillId="0" borderId="49" xfId="5" applyFont="1" applyBorder="1"/>
    <xf numFmtId="0" fontId="30" fillId="0" borderId="50" xfId="5" applyFont="1" applyBorder="1"/>
    <xf numFmtId="0" fontId="30" fillId="0" borderId="72" xfId="5" applyFont="1" applyBorder="1" applyAlignment="1">
      <alignment horizontal="left"/>
    </xf>
    <xf numFmtId="0" fontId="35" fillId="0" borderId="72" xfId="5" applyFont="1" applyBorder="1" applyAlignment="1">
      <alignment horizontal="left"/>
    </xf>
    <xf numFmtId="0" fontId="16" fillId="0" borderId="72" xfId="5" applyBorder="1"/>
    <xf numFmtId="0" fontId="16" fillId="0" borderId="50" xfId="5" applyBorder="1" applyAlignment="1">
      <alignment horizontal="center"/>
    </xf>
    <xf numFmtId="0" fontId="16" fillId="0" borderId="47" xfId="5" applyBorder="1"/>
    <xf numFmtId="0" fontId="16" fillId="0" borderId="48" xfId="5" applyBorder="1" applyAlignment="1">
      <alignment horizontal="center"/>
    </xf>
    <xf numFmtId="0" fontId="31" fillId="16" borderId="73" xfId="5" applyFont="1" applyFill="1" applyBorder="1" applyAlignment="1">
      <alignment horizontal="center" vertical="center" wrapText="1"/>
    </xf>
    <xf numFmtId="0" fontId="31" fillId="16" borderId="74" xfId="5" applyFont="1" applyFill="1" applyBorder="1" applyAlignment="1">
      <alignment horizontal="center" vertical="center" wrapText="1"/>
    </xf>
    <xf numFmtId="0" fontId="31" fillId="16" borderId="75" xfId="5" applyFont="1" applyFill="1" applyBorder="1" applyAlignment="1">
      <alignment horizontal="center" vertical="center" wrapText="1"/>
    </xf>
    <xf numFmtId="0" fontId="31" fillId="16" borderId="76" xfId="5" applyFont="1" applyFill="1" applyBorder="1" applyAlignment="1">
      <alignment horizontal="center" vertical="center" wrapText="1"/>
    </xf>
    <xf numFmtId="0" fontId="31" fillId="16" borderId="77" xfId="5" applyFont="1" applyFill="1" applyBorder="1" applyAlignment="1">
      <alignment horizontal="center" vertical="center" wrapText="1"/>
    </xf>
    <xf numFmtId="0" fontId="31" fillId="16" borderId="78" xfId="5" applyFont="1" applyFill="1" applyBorder="1" applyAlignment="1">
      <alignment horizontal="center" vertical="center" wrapText="1"/>
    </xf>
    <xf numFmtId="0" fontId="31" fillId="16" borderId="79" xfId="5" applyFont="1" applyFill="1" applyBorder="1" applyAlignment="1">
      <alignment horizontal="center" vertical="center" wrapText="1"/>
    </xf>
    <xf numFmtId="0" fontId="31" fillId="16" borderId="80" xfId="5" applyFont="1" applyFill="1" applyBorder="1" applyAlignment="1">
      <alignment horizontal="center" vertical="center" wrapText="1"/>
    </xf>
    <xf numFmtId="0" fontId="31" fillId="16" borderId="81" xfId="5" applyFont="1" applyFill="1" applyBorder="1" applyAlignment="1">
      <alignment horizontal="center" vertical="center" wrapText="1"/>
    </xf>
    <xf numFmtId="0" fontId="31" fillId="0" borderId="0" xfId="5" applyFont="1" applyAlignment="1">
      <alignment horizontal="center" vertical="center" wrapText="1"/>
    </xf>
    <xf numFmtId="0" fontId="31" fillId="16" borderId="82" xfId="5" applyFont="1" applyFill="1" applyBorder="1" applyAlignment="1">
      <alignment horizontal="center" vertical="center" wrapText="1"/>
    </xf>
    <xf numFmtId="0" fontId="31" fillId="16" borderId="83" xfId="5" applyFont="1" applyFill="1" applyBorder="1" applyAlignment="1">
      <alignment horizontal="center" vertical="center" wrapText="1"/>
    </xf>
    <xf numFmtId="0" fontId="31" fillId="16" borderId="84" xfId="5" applyFont="1" applyFill="1" applyBorder="1" applyAlignment="1">
      <alignment horizontal="center" vertical="center" wrapText="1"/>
    </xf>
    <xf numFmtId="0" fontId="31" fillId="16" borderId="85" xfId="5" applyFont="1" applyFill="1" applyBorder="1" applyAlignment="1">
      <alignment horizontal="center" vertical="center" wrapText="1"/>
    </xf>
    <xf numFmtId="0" fontId="31" fillId="16" borderId="86" xfId="5" applyFont="1" applyFill="1" applyBorder="1" applyAlignment="1">
      <alignment horizontal="center" vertical="center" wrapText="1"/>
    </xf>
    <xf numFmtId="0" fontId="11" fillId="0" borderId="87" xfId="5" applyFont="1" applyBorder="1" applyAlignment="1">
      <alignment horizontal="center" vertical="center"/>
    </xf>
    <xf numFmtId="175" fontId="11" fillId="0" borderId="7" xfId="5" applyNumberFormat="1" applyFont="1" applyBorder="1" applyAlignment="1">
      <alignment horizontal="left" vertical="center" wrapText="1"/>
    </xf>
    <xf numFmtId="10" fontId="11" fillId="0" borderId="88" xfId="7" applyNumberFormat="1" applyFont="1" applyBorder="1" applyAlignment="1">
      <alignment horizontal="center" vertical="center"/>
    </xf>
    <xf numFmtId="10" fontId="11" fillId="0" borderId="7" xfId="7" applyNumberFormat="1" applyFont="1" applyBorder="1" applyAlignment="1">
      <alignment horizontal="right" vertical="center"/>
    </xf>
    <xf numFmtId="10" fontId="11" fillId="0" borderId="89" xfId="7" applyNumberFormat="1" applyFont="1" applyBorder="1" applyAlignment="1">
      <alignment horizontal="center" vertical="center"/>
    </xf>
    <xf numFmtId="0" fontId="16" fillId="0" borderId="0" xfId="5" applyAlignment="1">
      <alignment horizontal="center" vertical="center"/>
    </xf>
    <xf numFmtId="0" fontId="16" fillId="0" borderId="0" xfId="5" applyAlignment="1">
      <alignment vertical="center"/>
    </xf>
    <xf numFmtId="0" fontId="11" fillId="0" borderId="82" xfId="5" applyFont="1" applyBorder="1" applyAlignment="1">
      <alignment horizontal="centerContinuous"/>
    </xf>
    <xf numFmtId="175" fontId="36" fillId="0" borderId="91" xfId="5" applyNumberFormat="1" applyFont="1" applyBorder="1" applyAlignment="1">
      <alignment horizontal="centerContinuous" wrapText="1"/>
    </xf>
    <xf numFmtId="167" fontId="11" fillId="16" borderId="93" xfId="7" applyNumberFormat="1" applyFont="1" applyFill="1" applyBorder="1" applyAlignment="1">
      <alignment horizontal="right"/>
    </xf>
    <xf numFmtId="9" fontId="11" fillId="16" borderId="94" xfId="7" applyFont="1" applyFill="1" applyBorder="1" applyAlignment="1">
      <alignment horizontal="right"/>
    </xf>
    <xf numFmtId="175" fontId="11" fillId="16" borderId="95" xfId="5" applyNumberFormat="1" applyFont="1" applyFill="1" applyBorder="1" applyAlignment="1">
      <alignment horizontal="right"/>
    </xf>
    <xf numFmtId="175" fontId="16" fillId="0" borderId="0" xfId="5" applyNumberFormat="1" applyAlignment="1">
      <alignment horizontal="center"/>
    </xf>
    <xf numFmtId="0" fontId="11" fillId="0" borderId="51" xfId="5" applyFont="1" applyBorder="1" applyAlignment="1">
      <alignment horizontal="centerContinuous"/>
    </xf>
    <xf numFmtId="0" fontId="11" fillId="0" borderId="71" xfId="5" applyFont="1" applyBorder="1" applyAlignment="1">
      <alignment horizontal="centerContinuous"/>
    </xf>
    <xf numFmtId="0" fontId="11" fillId="0" borderId="52" xfId="5" applyFont="1" applyBorder="1"/>
    <xf numFmtId="10" fontId="11" fillId="0" borderId="52" xfId="7" applyNumberFormat="1" applyFont="1" applyBorder="1" applyAlignment="1">
      <alignment horizontal="right" vertical="center"/>
    </xf>
    <xf numFmtId="2" fontId="11" fillId="0" borderId="0" xfId="7" applyNumberFormat="1" applyFont="1"/>
    <xf numFmtId="0" fontId="11" fillId="0" borderId="0" xfId="5" applyFont="1"/>
    <xf numFmtId="0" fontId="11" fillId="0" borderId="51" xfId="5" applyFont="1" applyBorder="1" applyAlignment="1">
      <alignment horizontal="center"/>
    </xf>
    <xf numFmtId="175" fontId="16" fillId="0" borderId="0" xfId="5" applyNumberFormat="1"/>
    <xf numFmtId="176" fontId="16" fillId="0" borderId="0" xfId="5" applyNumberFormat="1"/>
    <xf numFmtId="0" fontId="37" fillId="0" borderId="0" xfId="8"/>
    <xf numFmtId="0" fontId="16" fillId="0" borderId="0" xfId="5" applyAlignment="1">
      <alignment horizontal="center"/>
    </xf>
    <xf numFmtId="0" fontId="2" fillId="17" borderId="81" xfId="0" applyFont="1" applyFill="1" applyBorder="1" applyAlignment="1">
      <alignment horizontal="center" vertical="center"/>
    </xf>
    <xf numFmtId="0" fontId="2" fillId="17" borderId="75" xfId="0" applyFont="1" applyFill="1" applyBorder="1" applyAlignment="1">
      <alignment horizontal="center" vertical="center"/>
    </xf>
    <xf numFmtId="0" fontId="2" fillId="17" borderId="96" xfId="0" applyFont="1" applyFill="1" applyBorder="1" applyAlignment="1">
      <alignment horizontal="center" vertical="center" wrapText="1"/>
    </xf>
    <xf numFmtId="0" fontId="2" fillId="17" borderId="92" xfId="0" applyFont="1" applyFill="1" applyBorder="1" applyAlignment="1">
      <alignment horizontal="center" vertical="center" wrapText="1"/>
    </xf>
    <xf numFmtId="49" fontId="30" fillId="0" borderId="51" xfId="0" applyNumberFormat="1" applyFont="1" applyBorder="1" applyAlignment="1">
      <alignment horizontal="left" vertical="center" wrapText="1"/>
    </xf>
    <xf numFmtId="49" fontId="30" fillId="0" borderId="51" xfId="0" applyNumberFormat="1" applyFont="1" applyBorder="1" applyAlignment="1">
      <alignment horizontal="left" vertical="center"/>
    </xf>
    <xf numFmtId="164" fontId="17" fillId="0" borderId="0" xfId="0" applyNumberFormat="1" applyFont="1"/>
    <xf numFmtId="0" fontId="2" fillId="17" borderId="51" xfId="0" applyFont="1" applyFill="1" applyBorder="1"/>
    <xf numFmtId="10" fontId="11" fillId="17" borderId="103" xfId="6" applyFill="1" applyBorder="1"/>
    <xf numFmtId="10" fontId="11" fillId="0" borderId="103" xfId="6" applyFill="1" applyBorder="1"/>
    <xf numFmtId="4" fontId="3" fillId="2" borderId="0" xfId="0" applyNumberFormat="1" applyFont="1" applyFill="1"/>
    <xf numFmtId="4" fontId="2" fillId="0" borderId="51" xfId="0" applyNumberFormat="1" applyFont="1" applyBorder="1"/>
    <xf numFmtId="0" fontId="7" fillId="8" borderId="1" xfId="0" applyFont="1" applyFill="1" applyBorder="1" applyAlignment="1">
      <alignment horizontal="center" vertical="center"/>
    </xf>
    <xf numFmtId="17" fontId="7" fillId="8" borderId="1" xfId="0" applyNumberFormat="1" applyFont="1" applyFill="1" applyBorder="1" applyAlignment="1">
      <alignment horizontal="center" vertical="center"/>
    </xf>
    <xf numFmtId="0" fontId="7" fillId="8" borderId="1" xfId="0" applyFont="1" applyFill="1" applyBorder="1" applyAlignment="1">
      <alignment horizontal="center" vertical="center" wrapText="1"/>
    </xf>
    <xf numFmtId="0" fontId="20" fillId="8" borderId="1" xfId="0" applyFont="1" applyFill="1" applyBorder="1" applyAlignment="1">
      <alignment horizontal="center" vertical="center"/>
    </xf>
    <xf numFmtId="168" fontId="22" fillId="2" borderId="0" xfId="0" applyNumberFormat="1" applyFont="1" applyFill="1"/>
    <xf numFmtId="0" fontId="7" fillId="2" borderId="32" xfId="0" applyFont="1" applyFill="1" applyBorder="1"/>
    <xf numFmtId="17" fontId="4" fillId="2" borderId="0" xfId="0" applyNumberFormat="1" applyFont="1" applyFill="1"/>
    <xf numFmtId="164" fontId="10" fillId="2" borderId="0" xfId="0" applyNumberFormat="1" applyFont="1" applyFill="1"/>
    <xf numFmtId="10" fontId="17" fillId="0" borderId="0" xfId="2" applyNumberFormat="1" applyFont="1" applyFill="1"/>
    <xf numFmtId="168" fontId="14" fillId="2" borderId="0" xfId="0" applyNumberFormat="1" applyFont="1" applyFill="1"/>
    <xf numFmtId="4" fontId="14" fillId="2" borderId="0" xfId="0" applyNumberFormat="1" applyFont="1" applyFill="1"/>
    <xf numFmtId="2" fontId="14" fillId="2" borderId="0" xfId="0" applyNumberFormat="1" applyFont="1" applyFill="1"/>
    <xf numFmtId="168" fontId="15" fillId="2" borderId="0" xfId="0" applyNumberFormat="1" applyFont="1" applyFill="1"/>
    <xf numFmtId="166" fontId="0" fillId="0" borderId="0" xfId="1" applyNumberFormat="1" applyFont="1" applyFill="1"/>
    <xf numFmtId="0" fontId="20" fillId="2" borderId="0" xfId="0" applyFont="1" applyFill="1" applyAlignment="1">
      <alignment horizontal="center" vertical="center"/>
    </xf>
    <xf numFmtId="0" fontId="31" fillId="0" borderId="100" xfId="5" applyFont="1" applyBorder="1" applyAlignment="1">
      <alignment horizontal="center" vertical="center" wrapText="1"/>
    </xf>
    <xf numFmtId="0" fontId="31" fillId="0" borderId="1" xfId="5" applyFont="1" applyBorder="1" applyAlignment="1">
      <alignment horizontal="center" vertical="center" wrapText="1"/>
    </xf>
    <xf numFmtId="0" fontId="16" fillId="0" borderId="1" xfId="5" applyBorder="1" applyAlignment="1">
      <alignment vertical="center"/>
    </xf>
    <xf numFmtId="0" fontId="16" fillId="0" borderId="1" xfId="5" applyBorder="1" applyAlignment="1">
      <alignment horizontal="left" vertical="top" wrapText="1"/>
    </xf>
    <xf numFmtId="0" fontId="16" fillId="0" borderId="1" xfId="5" applyBorder="1"/>
    <xf numFmtId="2" fontId="27" fillId="2" borderId="0" xfId="0" applyNumberFormat="1" applyFont="1" applyFill="1"/>
    <xf numFmtId="0" fontId="18" fillId="11" borderId="2" xfId="0" applyFont="1" applyFill="1" applyBorder="1" applyAlignment="1">
      <alignment horizontal="center"/>
    </xf>
    <xf numFmtId="169" fontId="3" fillId="10" borderId="0" xfId="0" applyNumberFormat="1" applyFont="1" applyFill="1" applyAlignment="1">
      <alignment horizontal="center"/>
    </xf>
    <xf numFmtId="9" fontId="6" fillId="2" borderId="0" xfId="2" applyFont="1" applyFill="1"/>
    <xf numFmtId="10" fontId="11" fillId="0" borderId="75" xfId="7" applyNumberFormat="1" applyFont="1" applyBorder="1" applyAlignment="1">
      <alignment horizontal="center" vertical="center"/>
    </xf>
    <xf numFmtId="10" fontId="11" fillId="0" borderId="7" xfId="7" applyNumberFormat="1" applyFont="1" applyBorder="1" applyAlignment="1">
      <alignment horizontal="center" vertical="center"/>
    </xf>
    <xf numFmtId="4" fontId="16" fillId="0" borderId="0" xfId="5" applyNumberFormat="1"/>
    <xf numFmtId="10" fontId="16" fillId="0" borderId="0" xfId="2" applyNumberFormat="1" applyFont="1"/>
    <xf numFmtId="4" fontId="0" fillId="0" borderId="0" xfId="0" applyNumberFormat="1"/>
    <xf numFmtId="165" fontId="7" fillId="0" borderId="0" xfId="0" applyNumberFormat="1" applyFont="1"/>
    <xf numFmtId="165" fontId="21" fillId="0" borderId="0" xfId="0" applyNumberFormat="1" applyFont="1"/>
    <xf numFmtId="177" fontId="14" fillId="2" borderId="0" xfId="0" applyNumberFormat="1" applyFont="1" applyFill="1"/>
    <xf numFmtId="178" fontId="15" fillId="2" borderId="0" xfId="0" applyNumberFormat="1" applyFont="1" applyFill="1"/>
    <xf numFmtId="164" fontId="14" fillId="2" borderId="0" xfId="1" applyFont="1" applyFill="1"/>
    <xf numFmtId="164" fontId="24" fillId="2" borderId="0" xfId="1" applyFont="1" applyFill="1" applyAlignment="1">
      <alignment horizontal="center" vertical="center"/>
    </xf>
    <xf numFmtId="164" fontId="24" fillId="2" borderId="0" xfId="1" applyFont="1" applyFill="1" applyAlignment="1">
      <alignment vertical="center"/>
    </xf>
    <xf numFmtId="164" fontId="15" fillId="2" borderId="0" xfId="1" applyFont="1" applyFill="1"/>
    <xf numFmtId="164" fontId="7" fillId="2" borderId="0" xfId="1" applyFont="1" applyFill="1" applyAlignment="1"/>
    <xf numFmtId="164" fontId="3" fillId="2" borderId="0" xfId="1" applyFont="1" applyFill="1" applyAlignment="1"/>
    <xf numFmtId="164" fontId="22" fillId="2" borderId="0" xfId="1" applyFont="1" applyFill="1" applyAlignment="1"/>
    <xf numFmtId="0" fontId="15" fillId="0" borderId="0" xfId="0" applyFont="1" applyAlignment="1">
      <alignment horizontal="left" indent="1"/>
    </xf>
    <xf numFmtId="0" fontId="7" fillId="0" borderId="3" xfId="0" applyFont="1" applyBorder="1" applyAlignment="1">
      <alignment horizontal="left" indent="1"/>
    </xf>
    <xf numFmtId="0" fontId="0" fillId="0" borderId="6" xfId="0" applyBorder="1" applyAlignment="1">
      <alignment horizontal="left" indent="1"/>
    </xf>
    <xf numFmtId="0" fontId="3" fillId="0" borderId="3" xfId="0" applyFont="1" applyBorder="1"/>
    <xf numFmtId="0" fontId="42" fillId="0" borderId="3" xfId="0" applyFont="1" applyBorder="1"/>
    <xf numFmtId="0" fontId="4" fillId="8" borderId="2" xfId="0" applyFont="1" applyFill="1" applyBorder="1" applyAlignment="1">
      <alignment horizontal="center" vertical="center" wrapText="1"/>
    </xf>
    <xf numFmtId="179" fontId="4" fillId="2" borderId="0" xfId="1" applyNumberFormat="1" applyFont="1" applyFill="1"/>
    <xf numFmtId="179" fontId="10" fillId="2" borderId="0" xfId="0" applyNumberFormat="1" applyFont="1" applyFill="1"/>
    <xf numFmtId="179" fontId="0" fillId="0" borderId="0" xfId="0" applyNumberFormat="1"/>
    <xf numFmtId="179" fontId="4" fillId="0" borderId="0" xfId="0" applyNumberFormat="1" applyFont="1"/>
    <xf numFmtId="179" fontId="4" fillId="0" borderId="0" xfId="1" applyNumberFormat="1" applyFont="1" applyFill="1"/>
    <xf numFmtId="179" fontId="1" fillId="0" borderId="0" xfId="0" applyNumberFormat="1" applyFont="1"/>
    <xf numFmtId="179" fontId="12" fillId="0" borderId="0" xfId="0" applyNumberFormat="1" applyFont="1"/>
    <xf numFmtId="179" fontId="15" fillId="0" borderId="0" xfId="0" applyNumberFormat="1" applyFont="1"/>
    <xf numFmtId="179" fontId="7" fillId="0" borderId="0" xfId="0" applyNumberFormat="1" applyFont="1"/>
    <xf numFmtId="179" fontId="7" fillId="0" borderId="0" xfId="1" applyNumberFormat="1" applyFont="1" applyFill="1" applyBorder="1"/>
    <xf numFmtId="179" fontId="7" fillId="0" borderId="0" xfId="1" applyNumberFormat="1" applyFont="1" applyFill="1"/>
    <xf numFmtId="179" fontId="4" fillId="0" borderId="0" xfId="2" applyNumberFormat="1" applyFont="1" applyFill="1"/>
    <xf numFmtId="179" fontId="6" fillId="0" borderId="0" xfId="0" applyNumberFormat="1" applyFont="1"/>
    <xf numFmtId="179" fontId="10" fillId="0" borderId="0" xfId="0" applyNumberFormat="1" applyFont="1"/>
    <xf numFmtId="179" fontId="7" fillId="0" borderId="1" xfId="1" applyNumberFormat="1" applyFont="1" applyFill="1" applyBorder="1" applyAlignment="1"/>
    <xf numFmtId="179" fontId="3" fillId="6" borderId="1" xfId="1" applyNumberFormat="1" applyFont="1" applyFill="1" applyBorder="1" applyAlignment="1"/>
    <xf numFmtId="179" fontId="5" fillId="9" borderId="1" xfId="1" applyNumberFormat="1" applyFont="1" applyFill="1" applyBorder="1" applyAlignment="1"/>
    <xf numFmtId="180" fontId="4" fillId="8" borderId="1" xfId="0" applyNumberFormat="1" applyFont="1" applyFill="1" applyBorder="1" applyAlignment="1">
      <alignment horizontal="center" vertical="center"/>
    </xf>
    <xf numFmtId="17" fontId="4" fillId="2" borderId="0" xfId="0" applyNumberFormat="1" applyFont="1" applyFill="1" applyAlignment="1">
      <alignment horizontal="center" vertical="center"/>
    </xf>
    <xf numFmtId="0" fontId="5" fillId="0" borderId="0" xfId="0" applyFont="1" applyAlignment="1">
      <alignment horizontal="left"/>
    </xf>
    <xf numFmtId="4" fontId="41" fillId="2" borderId="0" xfId="4" applyNumberFormat="1" applyFont="1" applyFill="1" applyAlignment="1">
      <alignment vertical="center"/>
    </xf>
    <xf numFmtId="165" fontId="4" fillId="0" borderId="0" xfId="1" applyNumberFormat="1" applyFont="1" applyFill="1" applyBorder="1"/>
    <xf numFmtId="17" fontId="5" fillId="0" borderId="0" xfId="0" applyNumberFormat="1" applyFont="1"/>
    <xf numFmtId="179" fontId="3" fillId="7" borderId="1" xfId="1" applyNumberFormat="1" applyFont="1" applyFill="1" applyBorder="1" applyAlignment="1"/>
    <xf numFmtId="0" fontId="21" fillId="10" borderId="0" xfId="0" applyFont="1" applyFill="1"/>
    <xf numFmtId="0" fontId="18" fillId="2" borderId="0" xfId="0" applyFont="1" applyFill="1"/>
    <xf numFmtId="0" fontId="3" fillId="2" borderId="1" xfId="0" applyFont="1" applyFill="1" applyBorder="1"/>
    <xf numFmtId="0" fontId="15" fillId="10" borderId="0" xfId="0" applyFont="1" applyFill="1"/>
    <xf numFmtId="0" fontId="0" fillId="2" borderId="0" xfId="0" applyFill="1"/>
    <xf numFmtId="0" fontId="2" fillId="2" borderId="51" xfId="0" applyFont="1" applyFill="1" applyBorder="1"/>
    <xf numFmtId="0" fontId="17" fillId="2" borderId="0" xfId="0" applyFont="1" applyFill="1"/>
    <xf numFmtId="49" fontId="11" fillId="2" borderId="47" xfId="0" applyNumberFormat="1" applyFont="1" applyFill="1" applyBorder="1" applyAlignment="1">
      <alignment horizontal="left" vertical="center" indent="1"/>
    </xf>
    <xf numFmtId="0" fontId="12" fillId="2" borderId="0" xfId="0" applyFont="1" applyFill="1"/>
    <xf numFmtId="164" fontId="17" fillId="2" borderId="0" xfId="1" applyFont="1" applyFill="1"/>
    <xf numFmtId="164" fontId="0" fillId="2" borderId="0" xfId="1" applyFont="1" applyFill="1"/>
    <xf numFmtId="49" fontId="11" fillId="2" borderId="49" xfId="0" applyNumberFormat="1" applyFont="1" applyFill="1" applyBorder="1" applyAlignment="1">
      <alignment horizontal="left" vertical="center" indent="1"/>
    </xf>
    <xf numFmtId="49" fontId="11" fillId="2" borderId="45" xfId="0" applyNumberFormat="1" applyFont="1" applyFill="1" applyBorder="1" applyAlignment="1">
      <alignment horizontal="left" vertical="center" indent="1"/>
    </xf>
    <xf numFmtId="3" fontId="24" fillId="2" borderId="0" xfId="0" applyNumberFormat="1" applyFont="1" applyFill="1"/>
    <xf numFmtId="10" fontId="11" fillId="17" borderId="105" xfId="6" applyFill="1" applyBorder="1"/>
    <xf numFmtId="10" fontId="39" fillId="2" borderId="105" xfId="1" applyNumberFormat="1" applyFont="1" applyFill="1" applyBorder="1"/>
    <xf numFmtId="181" fontId="4" fillId="8" borderId="2" xfId="1" applyNumberFormat="1" applyFont="1" applyFill="1" applyBorder="1"/>
    <xf numFmtId="181" fontId="4" fillId="2" borderId="0" xfId="1" applyNumberFormat="1" applyFont="1" applyFill="1"/>
    <xf numFmtId="181" fontId="4" fillId="8" borderId="31" xfId="1" applyNumberFormat="1" applyFont="1" applyFill="1" applyBorder="1"/>
    <xf numFmtId="181" fontId="4" fillId="8" borderId="40" xfId="1" applyNumberFormat="1" applyFont="1" applyFill="1" applyBorder="1"/>
    <xf numFmtId="181" fontId="4" fillId="8" borderId="37" xfId="1" applyNumberFormat="1" applyFont="1" applyFill="1" applyBorder="1"/>
    <xf numFmtId="181" fontId="4" fillId="8" borderId="36" xfId="1" applyNumberFormat="1" applyFont="1" applyFill="1" applyBorder="1"/>
    <xf numFmtId="164" fontId="12" fillId="0" borderId="0" xfId="1" applyFont="1" applyFill="1"/>
    <xf numFmtId="181" fontId="4" fillId="8" borderId="1" xfId="1" applyNumberFormat="1" applyFont="1" applyFill="1" applyBorder="1"/>
    <xf numFmtId="181" fontId="4" fillId="8" borderId="3" xfId="1" applyNumberFormat="1" applyFont="1" applyFill="1" applyBorder="1"/>
    <xf numFmtId="181" fontId="4" fillId="8" borderId="8" xfId="1" applyNumberFormat="1" applyFont="1" applyFill="1" applyBorder="1"/>
    <xf numFmtId="181" fontId="4" fillId="8" borderId="9" xfId="1" applyNumberFormat="1" applyFont="1" applyFill="1" applyBorder="1"/>
    <xf numFmtId="181" fontId="4" fillId="4" borderId="1" xfId="1" applyNumberFormat="1" applyFont="1" applyFill="1" applyBorder="1"/>
    <xf numFmtId="181" fontId="4" fillId="4" borderId="3" xfId="1" applyNumberFormat="1" applyFont="1" applyFill="1" applyBorder="1"/>
    <xf numFmtId="181" fontId="4" fillId="4" borderId="8" xfId="1" applyNumberFormat="1" applyFont="1" applyFill="1" applyBorder="1"/>
    <xf numFmtId="181" fontId="4" fillId="4" borderId="9" xfId="1" applyNumberFormat="1" applyFont="1" applyFill="1" applyBorder="1"/>
    <xf numFmtId="181" fontId="4" fillId="0" borderId="0" xfId="1" applyNumberFormat="1" applyFont="1" applyFill="1"/>
    <xf numFmtId="181" fontId="4" fillId="0" borderId="10" xfId="1" applyNumberFormat="1" applyFont="1" applyFill="1" applyBorder="1"/>
    <xf numFmtId="181" fontId="4" fillId="0" borderId="11" xfId="1" applyNumberFormat="1" applyFont="1" applyFill="1" applyBorder="1"/>
    <xf numFmtId="181" fontId="4" fillId="0" borderId="36" xfId="1" applyNumberFormat="1" applyFont="1" applyFill="1" applyBorder="1"/>
    <xf numFmtId="181" fontId="4" fillId="0" borderId="13" xfId="1" applyNumberFormat="1" applyFont="1" applyFill="1" applyBorder="1"/>
    <xf numFmtId="181" fontId="4" fillId="0" borderId="12" xfId="1" applyNumberFormat="1" applyFont="1" applyFill="1" applyBorder="1"/>
    <xf numFmtId="181" fontId="4" fillId="0" borderId="53" xfId="1" applyNumberFormat="1" applyFont="1" applyFill="1" applyBorder="1"/>
    <xf numFmtId="181" fontId="4" fillId="0" borderId="22" xfId="1" applyNumberFormat="1" applyFont="1" applyFill="1" applyBorder="1"/>
    <xf numFmtId="181" fontId="4" fillId="0" borderId="24" xfId="1" applyNumberFormat="1" applyFont="1" applyFill="1" applyBorder="1"/>
    <xf numFmtId="181" fontId="4" fillId="0" borderId="23" xfId="1" applyNumberFormat="1" applyFont="1" applyFill="1" applyBorder="1"/>
    <xf numFmtId="181" fontId="4" fillId="0" borderId="15" xfId="1" applyNumberFormat="1" applyFont="1" applyFill="1" applyBorder="1"/>
    <xf numFmtId="181" fontId="4" fillId="0" borderId="17" xfId="1" applyNumberFormat="1" applyFont="1" applyFill="1" applyBorder="1"/>
    <xf numFmtId="181" fontId="4" fillId="0" borderId="54" xfId="1" applyNumberFormat="1" applyFont="1" applyFill="1" applyBorder="1"/>
    <xf numFmtId="181" fontId="4" fillId="0" borderId="18" xfId="1" applyNumberFormat="1" applyFont="1" applyFill="1" applyBorder="1"/>
    <xf numFmtId="181" fontId="4" fillId="0" borderId="16" xfId="1" applyNumberFormat="1" applyFont="1" applyFill="1" applyBorder="1"/>
    <xf numFmtId="181" fontId="4" fillId="0" borderId="44" xfId="1" applyNumberFormat="1" applyFont="1" applyFill="1" applyBorder="1"/>
    <xf numFmtId="181" fontId="4" fillId="0" borderId="14" xfId="1" applyNumberFormat="1" applyFont="1" applyFill="1" applyBorder="1"/>
    <xf numFmtId="181" fontId="4" fillId="0" borderId="26" xfId="1" applyNumberFormat="1" applyFont="1" applyFill="1" applyBorder="1"/>
    <xf numFmtId="181" fontId="4" fillId="0" borderId="28" xfId="1" applyNumberFormat="1" applyFont="1" applyFill="1" applyBorder="1"/>
    <xf numFmtId="181" fontId="4" fillId="0" borderId="27" xfId="1" applyNumberFormat="1" applyFont="1" applyFill="1" applyBorder="1"/>
    <xf numFmtId="181" fontId="4" fillId="0" borderId="57" xfId="1" applyNumberFormat="1" applyFont="1" applyFill="1" applyBorder="1"/>
    <xf numFmtId="181" fontId="4" fillId="0" borderId="25" xfId="1" applyNumberFormat="1" applyFont="1" applyFill="1" applyBorder="1"/>
    <xf numFmtId="181" fontId="15" fillId="0" borderId="0" xfId="1" applyNumberFormat="1" applyFont="1" applyFill="1"/>
    <xf numFmtId="181" fontId="4" fillId="0" borderId="4" xfId="1" applyNumberFormat="1" applyFont="1" applyFill="1" applyBorder="1"/>
    <xf numFmtId="181" fontId="4" fillId="0" borderId="19" xfId="1" applyNumberFormat="1" applyFont="1" applyFill="1" applyBorder="1"/>
    <xf numFmtId="181" fontId="4" fillId="0" borderId="20" xfId="1" applyNumberFormat="1" applyFont="1" applyFill="1" applyBorder="1"/>
    <xf numFmtId="181" fontId="4" fillId="0" borderId="55" xfId="1" applyNumberFormat="1" applyFont="1" applyFill="1" applyBorder="1"/>
    <xf numFmtId="181" fontId="4" fillId="0" borderId="43" xfId="1" applyNumberFormat="1" applyFont="1" applyFill="1" applyBorder="1"/>
    <xf numFmtId="181" fontId="4" fillId="0" borderId="21" xfId="1" applyNumberFormat="1" applyFont="1" applyFill="1" applyBorder="1"/>
    <xf numFmtId="181" fontId="4" fillId="0" borderId="35" xfId="1" applyNumberFormat="1" applyFont="1" applyFill="1" applyBorder="1"/>
    <xf numFmtId="181" fontId="15" fillId="0" borderId="26" xfId="1" applyNumberFormat="1" applyFont="1" applyFill="1" applyBorder="1"/>
    <xf numFmtId="181" fontId="15" fillId="0" borderId="39" xfId="1" applyNumberFormat="1" applyFont="1" applyFill="1" applyBorder="1"/>
    <xf numFmtId="181" fontId="4" fillId="0" borderId="1" xfId="1" applyNumberFormat="1" applyFont="1" applyFill="1" applyBorder="1"/>
    <xf numFmtId="181" fontId="4" fillId="0" borderId="3" xfId="1" applyNumberFormat="1" applyFont="1" applyFill="1" applyBorder="1"/>
    <xf numFmtId="181" fontId="4" fillId="0" borderId="8" xfId="1" applyNumberFormat="1" applyFont="1" applyFill="1" applyBorder="1"/>
    <xf numFmtId="181" fontId="4" fillId="0" borderId="9" xfId="1" applyNumberFormat="1" applyFont="1" applyFill="1" applyBorder="1"/>
    <xf numFmtId="181" fontId="4" fillId="0" borderId="29" xfId="1" applyNumberFormat="1" applyFont="1" applyFill="1" applyBorder="1"/>
    <xf numFmtId="181" fontId="4" fillId="0" borderId="30" xfId="1" applyNumberFormat="1" applyFont="1" applyFill="1" applyBorder="1"/>
    <xf numFmtId="181" fontId="4" fillId="0" borderId="6" xfId="1" applyNumberFormat="1" applyFont="1" applyFill="1" applyBorder="1"/>
    <xf numFmtId="181" fontId="4" fillId="8" borderId="32" xfId="1" applyNumberFormat="1" applyFont="1" applyFill="1" applyBorder="1"/>
    <xf numFmtId="181" fontId="4" fillId="0" borderId="61" xfId="1" applyNumberFormat="1" applyFont="1" applyFill="1" applyBorder="1"/>
    <xf numFmtId="181" fontId="4" fillId="0" borderId="58" xfId="1" applyNumberFormat="1" applyFont="1" applyFill="1" applyBorder="1"/>
    <xf numFmtId="181" fontId="4" fillId="0" borderId="0" xfId="1" applyNumberFormat="1" applyFont="1" applyFill="1" applyBorder="1"/>
    <xf numFmtId="181" fontId="4" fillId="0" borderId="56" xfId="1" applyNumberFormat="1" applyFont="1" applyFill="1" applyBorder="1"/>
    <xf numFmtId="181" fontId="15" fillId="0" borderId="27" xfId="1" applyNumberFormat="1" applyFont="1" applyFill="1" applyBorder="1"/>
    <xf numFmtId="181" fontId="7" fillId="3" borderId="1" xfId="1" applyNumberFormat="1" applyFont="1" applyFill="1" applyBorder="1"/>
    <xf numFmtId="181" fontId="7" fillId="3" borderId="8" xfId="1" applyNumberFormat="1" applyFont="1" applyFill="1" applyBorder="1"/>
    <xf numFmtId="181" fontId="7" fillId="2" borderId="0" xfId="1" applyNumberFormat="1" applyFont="1" applyFill="1"/>
    <xf numFmtId="181" fontId="7" fillId="4" borderId="3" xfId="1" applyNumberFormat="1" applyFont="1" applyFill="1" applyBorder="1"/>
    <xf numFmtId="181" fontId="7" fillId="0" borderId="0" xfId="0" applyNumberFormat="1" applyFont="1"/>
    <xf numFmtId="181" fontId="7" fillId="0" borderId="1" xfId="0" applyNumberFormat="1" applyFont="1" applyBorder="1"/>
    <xf numFmtId="181" fontId="7" fillId="0" borderId="1" xfId="1" applyNumberFormat="1" applyFont="1" applyFill="1" applyBorder="1"/>
    <xf numFmtId="181" fontId="4" fillId="0" borderId="0" xfId="0" applyNumberFormat="1" applyFont="1"/>
    <xf numFmtId="181" fontId="7" fillId="0" borderId="0" xfId="1" applyNumberFormat="1" applyFont="1" applyFill="1" applyBorder="1"/>
    <xf numFmtId="181" fontId="7" fillId="2" borderId="1" xfId="0" applyNumberFormat="1" applyFont="1" applyFill="1" applyBorder="1"/>
    <xf numFmtId="181" fontId="7" fillId="0" borderId="0" xfId="1" applyNumberFormat="1" applyFont="1" applyFill="1"/>
    <xf numFmtId="181" fontId="15" fillId="0" borderId="0" xfId="0" applyNumberFormat="1" applyFont="1"/>
    <xf numFmtId="181" fontId="20" fillId="0" borderId="0" xfId="1" applyNumberFormat="1" applyFont="1" applyFill="1" applyBorder="1"/>
    <xf numFmtId="181" fontId="20" fillId="0" borderId="0" xfId="0" applyNumberFormat="1" applyFont="1"/>
    <xf numFmtId="181" fontId="4" fillId="0" borderId="32" xfId="1" applyNumberFormat="1" applyFont="1" applyFill="1" applyBorder="1"/>
    <xf numFmtId="181" fontId="15" fillId="0" borderId="29" xfId="1" applyNumberFormat="1" applyFont="1" applyFill="1" applyBorder="1"/>
    <xf numFmtId="181" fontId="21" fillId="0" borderId="1" xfId="1" applyNumberFormat="1" applyFont="1" applyFill="1" applyBorder="1"/>
    <xf numFmtId="181" fontId="21" fillId="0" borderId="1" xfId="0" applyNumberFormat="1" applyFont="1" applyBorder="1"/>
    <xf numFmtId="181" fontId="4" fillId="2" borderId="4" xfId="1" applyNumberFormat="1" applyFont="1" applyFill="1" applyBorder="1"/>
    <xf numFmtId="181" fontId="2" fillId="2" borderId="103" xfId="0" applyNumberFormat="1" applyFont="1" applyFill="1" applyBorder="1" applyAlignment="1">
      <alignment wrapText="1"/>
    </xf>
    <xf numFmtId="181" fontId="2" fillId="2" borderId="103" xfId="0" applyNumberFormat="1" applyFont="1" applyFill="1" applyBorder="1"/>
    <xf numFmtId="181" fontId="2" fillId="2" borderId="52" xfId="0" applyNumberFormat="1" applyFont="1" applyFill="1" applyBorder="1" applyAlignment="1">
      <alignment vertical="center" wrapText="1"/>
    </xf>
    <xf numFmtId="181" fontId="0" fillId="0" borderId="0" xfId="1" applyNumberFormat="1" applyFont="1" applyBorder="1"/>
    <xf numFmtId="181" fontId="2" fillId="17" borderId="103" xfId="1" applyNumberFormat="1" applyFont="1" applyFill="1" applyBorder="1"/>
    <xf numFmtId="181" fontId="2" fillId="17" borderId="105" xfId="1" applyNumberFormat="1" applyFont="1" applyFill="1" applyBorder="1"/>
    <xf numFmtId="181" fontId="2" fillId="0" borderId="0" xfId="1" applyNumberFormat="1" applyFont="1" applyBorder="1"/>
    <xf numFmtId="181" fontId="38" fillId="2" borderId="103" xfId="1" applyNumberFormat="1" applyFont="1" applyFill="1" applyBorder="1"/>
    <xf numFmtId="181" fontId="38" fillId="2" borderId="71" xfId="1" applyNumberFormat="1" applyFont="1" applyFill="1" applyBorder="1"/>
    <xf numFmtId="181" fontId="38" fillId="2" borderId="52" xfId="1" applyNumberFormat="1" applyFont="1" applyFill="1" applyBorder="1"/>
    <xf numFmtId="181" fontId="2" fillId="0" borderId="0" xfId="1" applyNumberFormat="1" applyFont="1"/>
    <xf numFmtId="181" fontId="38" fillId="0" borderId="103" xfId="1" applyNumberFormat="1" applyFont="1" applyBorder="1"/>
    <xf numFmtId="181" fontId="38" fillId="0" borderId="105" xfId="1" applyNumberFormat="1" applyFont="1" applyBorder="1"/>
    <xf numFmtId="181" fontId="2" fillId="0" borderId="103" xfId="1" applyNumberFormat="1" applyFont="1" applyFill="1" applyBorder="1"/>
    <xf numFmtId="181" fontId="2" fillId="0" borderId="105" xfId="1" applyNumberFormat="1" applyFont="1" applyFill="1" applyBorder="1"/>
    <xf numFmtId="181" fontId="11" fillId="0" borderId="7" xfId="5" applyNumberFormat="1" applyFont="1" applyBorder="1" applyAlignment="1">
      <alignment horizontal="right" vertical="center"/>
    </xf>
    <xf numFmtId="181" fontId="11" fillId="0" borderId="34" xfId="2" applyNumberFormat="1" applyFont="1" applyFill="1" applyBorder="1" applyAlignment="1">
      <alignment horizontal="right" vertical="center"/>
    </xf>
    <xf numFmtId="181" fontId="11" fillId="0" borderId="7" xfId="2" applyNumberFormat="1" applyFont="1" applyFill="1" applyBorder="1" applyAlignment="1">
      <alignment horizontal="right" vertical="center"/>
    </xf>
    <xf numFmtId="181" fontId="11" fillId="0" borderId="92" xfId="5" applyNumberFormat="1" applyFont="1" applyBorder="1" applyAlignment="1">
      <alignment horizontal="right"/>
    </xf>
    <xf numFmtId="181" fontId="11" fillId="0" borderId="90" xfId="5" applyNumberFormat="1" applyFont="1" applyBorder="1" applyAlignment="1">
      <alignment horizontal="right" vertical="center"/>
    </xf>
    <xf numFmtId="181" fontId="11" fillId="0" borderId="87" xfId="5" applyNumberFormat="1" applyFont="1" applyBorder="1" applyAlignment="1">
      <alignment horizontal="right" vertical="center"/>
    </xf>
    <xf numFmtId="181" fontId="11" fillId="0" borderId="72" xfId="5" applyNumberFormat="1" applyFont="1" applyBorder="1" applyAlignment="1">
      <alignment horizontal="right"/>
    </xf>
    <xf numFmtId="181" fontId="11" fillId="0" borderId="86" xfId="5" applyNumberFormat="1" applyFont="1" applyBorder="1" applyAlignment="1">
      <alignment horizontal="right"/>
    </xf>
    <xf numFmtId="181" fontId="11" fillId="0" borderId="96" xfId="5" applyNumberFormat="1" applyFont="1" applyBorder="1" applyAlignment="1">
      <alignment horizontal="right"/>
    </xf>
    <xf numFmtId="181" fontId="11" fillId="0" borderId="97" xfId="5" applyNumberFormat="1" applyFont="1" applyBorder="1" applyAlignment="1">
      <alignment horizontal="right"/>
    </xf>
    <xf numFmtId="181" fontId="11" fillId="0" borderId="98" xfId="5" applyNumberFormat="1" applyFont="1" applyBorder="1"/>
    <xf numFmtId="0" fontId="0" fillId="19" borderId="0" xfId="0" applyFill="1"/>
    <xf numFmtId="0" fontId="10" fillId="19" borderId="0" xfId="0" applyFont="1" applyFill="1"/>
    <xf numFmtId="181" fontId="0" fillId="0" borderId="0" xfId="0" applyNumberFormat="1"/>
    <xf numFmtId="43" fontId="0" fillId="0" borderId="0" xfId="0" applyNumberFormat="1"/>
    <xf numFmtId="181" fontId="12" fillId="2" borderId="0" xfId="1" applyNumberFormat="1" applyFont="1" applyFill="1"/>
    <xf numFmtId="181" fontId="10" fillId="2" borderId="0" xfId="0" applyNumberFormat="1" applyFont="1" applyFill="1"/>
    <xf numFmtId="181" fontId="17" fillId="2" borderId="0" xfId="2" applyNumberFormat="1" applyFont="1" applyFill="1"/>
    <xf numFmtId="181" fontId="12" fillId="2" borderId="0" xfId="0" applyNumberFormat="1" applyFont="1" applyFill="1"/>
    <xf numFmtId="181" fontId="15" fillId="2" borderId="0" xfId="0" applyNumberFormat="1" applyFont="1" applyFill="1"/>
    <xf numFmtId="181" fontId="7" fillId="19" borderId="1" xfId="1" applyNumberFormat="1" applyFont="1" applyFill="1" applyBorder="1"/>
    <xf numFmtId="181" fontId="7" fillId="19" borderId="1" xfId="0" applyNumberFormat="1" applyFont="1" applyFill="1" applyBorder="1"/>
    <xf numFmtId="9" fontId="4" fillId="0" borderId="0" xfId="2" applyFont="1" applyFill="1" applyBorder="1"/>
    <xf numFmtId="43" fontId="4" fillId="2" borderId="0" xfId="0" applyNumberFormat="1" applyFont="1" applyFill="1"/>
    <xf numFmtId="181" fontId="17" fillId="0" borderId="0" xfId="0" applyNumberFormat="1" applyFont="1"/>
    <xf numFmtId="183" fontId="17" fillId="0" borderId="0" xfId="2" applyNumberFormat="1" applyFont="1" applyFill="1"/>
    <xf numFmtId="182" fontId="4" fillId="2" borderId="0" xfId="0" applyNumberFormat="1" applyFont="1" applyFill="1" applyAlignment="1">
      <alignment vertical="center"/>
    </xf>
    <xf numFmtId="164" fontId="4" fillId="11" borderId="1" xfId="1" applyFont="1" applyFill="1" applyBorder="1"/>
    <xf numFmtId="164" fontId="4" fillId="2" borderId="64" xfId="1" applyFont="1" applyFill="1" applyBorder="1"/>
    <xf numFmtId="164" fontId="4" fillId="0" borderId="62" xfId="1" applyFont="1" applyFill="1" applyBorder="1"/>
    <xf numFmtId="164" fontId="4" fillId="2" borderId="7" xfId="1" applyFont="1" applyFill="1" applyBorder="1"/>
    <xf numFmtId="164" fontId="5" fillId="10" borderId="1" xfId="1" applyFont="1" applyFill="1" applyBorder="1"/>
    <xf numFmtId="164" fontId="5" fillId="12" borderId="1" xfId="1" applyFont="1" applyFill="1" applyBorder="1"/>
    <xf numFmtId="164" fontId="15" fillId="2" borderId="62" xfId="1" applyFont="1" applyFill="1" applyBorder="1"/>
    <xf numFmtId="164" fontId="4" fillId="2" borderId="62" xfId="1" applyFont="1" applyFill="1" applyBorder="1"/>
    <xf numFmtId="164" fontId="4" fillId="2" borderId="35" xfId="1" applyFont="1" applyFill="1" applyBorder="1"/>
    <xf numFmtId="164" fontId="4" fillId="11" borderId="6" xfId="1" applyFont="1" applyFill="1" applyBorder="1"/>
    <xf numFmtId="164" fontId="5" fillId="2" borderId="0" xfId="1" applyFont="1" applyFill="1"/>
    <xf numFmtId="164" fontId="4" fillId="2" borderId="63" xfId="1" applyFont="1" applyFill="1" applyBorder="1"/>
    <xf numFmtId="164" fontId="7" fillId="2" borderId="0" xfId="1" applyFont="1" applyFill="1"/>
    <xf numFmtId="164" fontId="4" fillId="2" borderId="2" xfId="1" applyFont="1" applyFill="1" applyBorder="1"/>
    <xf numFmtId="164" fontId="21" fillId="2" borderId="0" xfId="1" applyFont="1" applyFill="1"/>
    <xf numFmtId="164" fontId="4" fillId="2" borderId="10" xfId="1" applyFont="1" applyFill="1" applyBorder="1"/>
    <xf numFmtId="164" fontId="4" fillId="2" borderId="4" xfId="1" applyFont="1" applyFill="1" applyBorder="1"/>
    <xf numFmtId="164" fontId="18" fillId="11" borderId="6" xfId="1" applyFont="1" applyFill="1" applyBorder="1"/>
    <xf numFmtId="164" fontId="18" fillId="2" borderId="0" xfId="1" applyFont="1" applyFill="1"/>
    <xf numFmtId="164" fontId="18" fillId="11" borderId="1" xfId="1" applyFont="1" applyFill="1" applyBorder="1"/>
    <xf numFmtId="164" fontId="3" fillId="11" borderId="6" xfId="1" applyFont="1" applyFill="1" applyBorder="1"/>
    <xf numFmtId="164" fontId="3" fillId="2" borderId="0" xfId="1" applyFont="1" applyFill="1"/>
    <xf numFmtId="164" fontId="5" fillId="11" borderId="1" xfId="1" applyFont="1" applyFill="1" applyBorder="1"/>
    <xf numFmtId="164" fontId="4" fillId="0" borderId="10" xfId="1" applyFont="1" applyFill="1" applyBorder="1"/>
    <xf numFmtId="164" fontId="14" fillId="0" borderId="10" xfId="1" applyFont="1" applyFill="1" applyBorder="1"/>
    <xf numFmtId="164" fontId="4" fillId="0" borderId="4" xfId="1" applyFont="1" applyFill="1" applyBorder="1"/>
    <xf numFmtId="164" fontId="4" fillId="0" borderId="7" xfId="1" applyFont="1" applyFill="1" applyBorder="1"/>
    <xf numFmtId="164" fontId="3" fillId="11" borderId="1" xfId="1" applyFont="1" applyFill="1" applyBorder="1"/>
    <xf numFmtId="164" fontId="3" fillId="2" borderId="0" xfId="1" applyFont="1" applyFill="1" applyBorder="1"/>
    <xf numFmtId="164" fontId="28" fillId="2" borderId="0" xfId="1" applyFont="1" applyFill="1"/>
    <xf numFmtId="164" fontId="18" fillId="2" borderId="6" xfId="1" applyFont="1" applyFill="1" applyBorder="1"/>
    <xf numFmtId="164" fontId="4" fillId="0" borderId="2" xfId="1" applyFont="1" applyFill="1" applyBorder="1"/>
    <xf numFmtId="164" fontId="10" fillId="2" borderId="0" xfId="1" applyFont="1" applyFill="1"/>
    <xf numFmtId="164" fontId="20" fillId="15" borderId="1" xfId="1" applyFont="1" applyFill="1" applyBorder="1"/>
    <xf numFmtId="164" fontId="4" fillId="2" borderId="1" xfId="1" applyFont="1" applyFill="1" applyBorder="1"/>
    <xf numFmtId="164" fontId="7" fillId="15" borderId="1" xfId="1" applyFont="1" applyFill="1" applyBorder="1"/>
    <xf numFmtId="164" fontId="20" fillId="11" borderId="1" xfId="1" applyFont="1" applyFill="1" applyBorder="1"/>
    <xf numFmtId="164" fontId="7" fillId="11" borderId="1" xfId="1" applyFont="1" applyFill="1" applyBorder="1"/>
    <xf numFmtId="164" fontId="18" fillId="12" borderId="1" xfId="1" applyFont="1" applyFill="1" applyBorder="1"/>
    <xf numFmtId="164" fontId="5" fillId="2" borderId="1" xfId="1" applyFont="1" applyFill="1" applyBorder="1"/>
    <xf numFmtId="164" fontId="3" fillId="12" borderId="1" xfId="1" applyFont="1" applyFill="1" applyBorder="1"/>
    <xf numFmtId="164" fontId="15" fillId="2" borderId="2" xfId="1" applyFont="1" applyFill="1" applyBorder="1"/>
    <xf numFmtId="164" fontId="15" fillId="2" borderId="32" xfId="1" applyFont="1" applyFill="1" applyBorder="1"/>
    <xf numFmtId="164" fontId="4" fillId="2" borderId="32" xfId="1" applyFont="1" applyFill="1" applyBorder="1"/>
    <xf numFmtId="164" fontId="4" fillId="5" borderId="2" xfId="1" applyFont="1" applyFill="1" applyBorder="1"/>
    <xf numFmtId="164" fontId="15" fillId="0" borderId="10" xfId="1" applyFont="1" applyFill="1" applyBorder="1"/>
    <xf numFmtId="164" fontId="4" fillId="0" borderId="0" xfId="1" applyFont="1" applyFill="1"/>
    <xf numFmtId="164" fontId="41" fillId="2" borderId="0" xfId="1" applyFont="1" applyFill="1"/>
    <xf numFmtId="164" fontId="12" fillId="2" borderId="0" xfId="1" applyFont="1" applyFill="1"/>
    <xf numFmtId="164" fontId="5" fillId="2" borderId="6" xfId="1" applyFont="1" applyFill="1" applyBorder="1"/>
    <xf numFmtId="164" fontId="27" fillId="2" borderId="0" xfId="1" applyFont="1" applyFill="1"/>
    <xf numFmtId="164" fontId="14" fillId="2" borderId="2" xfId="1" applyFont="1" applyFill="1" applyBorder="1"/>
    <xf numFmtId="164" fontId="4" fillId="0" borderId="35" xfId="1" applyFont="1" applyFill="1" applyBorder="1"/>
    <xf numFmtId="164" fontId="41" fillId="18" borderId="0" xfId="1" applyFont="1" applyFill="1"/>
    <xf numFmtId="164" fontId="4" fillId="14" borderId="62" xfId="1" applyFont="1" applyFill="1" applyBorder="1"/>
    <xf numFmtId="164" fontId="4" fillId="14" borderId="64" xfId="1" applyFont="1" applyFill="1" applyBorder="1"/>
    <xf numFmtId="164" fontId="4" fillId="14" borderId="63" xfId="1" applyFont="1" applyFill="1" applyBorder="1"/>
    <xf numFmtId="164" fontId="15" fillId="14" borderId="62" xfId="1" applyFont="1" applyFill="1" applyBorder="1"/>
    <xf numFmtId="164" fontId="4" fillId="14" borderId="69" xfId="1" applyFont="1" applyFill="1" applyBorder="1"/>
    <xf numFmtId="164" fontId="4" fillId="14" borderId="68" xfId="1" applyFont="1" applyFill="1" applyBorder="1"/>
    <xf numFmtId="164" fontId="4" fillId="14" borderId="7" xfId="1" applyFont="1" applyFill="1" applyBorder="1"/>
    <xf numFmtId="164" fontId="15" fillId="14" borderId="69" xfId="1" applyFont="1" applyFill="1" applyBorder="1"/>
    <xf numFmtId="164" fontId="15" fillId="0" borderId="0" xfId="1" applyFont="1" applyFill="1"/>
    <xf numFmtId="164" fontId="6" fillId="0" borderId="0" xfId="1" applyFont="1" applyFill="1"/>
    <xf numFmtId="164" fontId="3" fillId="3" borderId="1" xfId="1" applyFont="1" applyFill="1" applyBorder="1"/>
    <xf numFmtId="164" fontId="23" fillId="2" borderId="0" xfId="1" applyFont="1" applyFill="1"/>
    <xf numFmtId="164" fontId="3" fillId="12" borderId="6" xfId="1" applyFont="1" applyFill="1" applyBorder="1"/>
    <xf numFmtId="164" fontId="4" fillId="0" borderId="12" xfId="1" applyFont="1" applyFill="1" applyBorder="1"/>
    <xf numFmtId="164" fontId="24" fillId="2" borderId="0" xfId="1" applyFont="1" applyFill="1"/>
    <xf numFmtId="164" fontId="25" fillId="2" borderId="0" xfId="1" applyFont="1" applyFill="1"/>
    <xf numFmtId="164" fontId="15" fillId="0" borderId="12" xfId="1" applyFont="1" applyFill="1" applyBorder="1"/>
    <xf numFmtId="164" fontId="15" fillId="0" borderId="35" xfId="1" applyFont="1" applyFill="1" applyBorder="1"/>
    <xf numFmtId="164" fontId="4" fillId="0" borderId="65" xfId="1" applyFont="1" applyFill="1" applyBorder="1"/>
    <xf numFmtId="181" fontId="7" fillId="4" borderId="1" xfId="1" applyNumberFormat="1" applyFont="1" applyFill="1" applyBorder="1"/>
    <xf numFmtId="165" fontId="4" fillId="0" borderId="1" xfId="1" applyNumberFormat="1" applyFont="1" applyFill="1" applyBorder="1"/>
    <xf numFmtId="179" fontId="1" fillId="0" borderId="0" xfId="0" applyNumberFormat="1" applyFont="1" applyAlignment="1">
      <alignment horizontal="center"/>
    </xf>
    <xf numFmtId="181" fontId="12" fillId="2" borderId="1" xfId="0" applyNumberFormat="1" applyFont="1" applyFill="1" applyBorder="1"/>
    <xf numFmtId="179" fontId="1" fillId="0" borderId="1" xfId="0" applyNumberFormat="1" applyFont="1" applyBorder="1" applyAlignment="1">
      <alignment horizontal="center"/>
    </xf>
    <xf numFmtId="182" fontId="44" fillId="2" borderId="0" xfId="0" applyNumberFormat="1" applyFont="1" applyFill="1"/>
    <xf numFmtId="182" fontId="45" fillId="2" borderId="0" xfId="0" applyNumberFormat="1" applyFont="1" applyFill="1"/>
    <xf numFmtId="182" fontId="44" fillId="2" borderId="0" xfId="1" applyNumberFormat="1" applyFont="1" applyFill="1"/>
    <xf numFmtId="182" fontId="46" fillId="2" borderId="0" xfId="2" applyNumberFormat="1" applyFont="1" applyFill="1"/>
    <xf numFmtId="182" fontId="47" fillId="0" borderId="0" xfId="0" applyNumberFormat="1" applyFont="1"/>
    <xf numFmtId="0" fontId="23" fillId="12" borderId="5" xfId="0" applyFont="1" applyFill="1" applyBorder="1"/>
    <xf numFmtId="0" fontId="4" fillId="2" borderId="60" xfId="0" applyFont="1" applyFill="1" applyBorder="1"/>
    <xf numFmtId="0" fontId="4" fillId="2" borderId="59" xfId="0" applyFont="1" applyFill="1" applyBorder="1"/>
    <xf numFmtId="3" fontId="4" fillId="2" borderId="59" xfId="0" applyNumberFormat="1" applyFont="1" applyFill="1" applyBorder="1"/>
    <xf numFmtId="0" fontId="3" fillId="2" borderId="59" xfId="0" applyFont="1" applyFill="1" applyBorder="1" applyAlignment="1">
      <alignment horizontal="left"/>
    </xf>
    <xf numFmtId="2" fontId="3" fillId="2" borderId="59" xfId="0" applyNumberFormat="1" applyFont="1" applyFill="1" applyBorder="1" applyAlignment="1">
      <alignment horizontal="center"/>
    </xf>
    <xf numFmtId="164" fontId="4" fillId="0" borderId="32" xfId="1" applyFont="1" applyFill="1" applyBorder="1"/>
    <xf numFmtId="4" fontId="3" fillId="2" borderId="0" xfId="0" applyNumberFormat="1" applyFont="1" applyFill="1" applyAlignment="1">
      <alignment horizontal="center"/>
    </xf>
    <xf numFmtId="0" fontId="7" fillId="2" borderId="0" xfId="0" applyFont="1" applyFill="1" applyAlignment="1">
      <alignment horizontal="center"/>
    </xf>
    <xf numFmtId="0" fontId="7" fillId="10" borderId="0" xfId="0" applyFont="1" applyFill="1" applyAlignment="1">
      <alignment horizontal="center"/>
    </xf>
    <xf numFmtId="0" fontId="23" fillId="12" borderId="5" xfId="0" applyFont="1" applyFill="1" applyBorder="1" applyAlignment="1">
      <alignment horizontal="center"/>
    </xf>
    <xf numFmtId="0" fontId="24" fillId="2" borderId="0" xfId="0" applyFont="1" applyFill="1" applyAlignment="1">
      <alignment horizontal="center"/>
    </xf>
    <xf numFmtId="43" fontId="20" fillId="2" borderId="0" xfId="0" applyNumberFormat="1" applyFont="1" applyFill="1" applyAlignment="1">
      <alignment vertical="center"/>
    </xf>
    <xf numFmtId="0" fontId="3" fillId="12" borderId="3" xfId="0" applyFont="1" applyFill="1" applyBorder="1"/>
    <xf numFmtId="0" fontId="2" fillId="17" borderId="102" xfId="0" applyFont="1" applyFill="1" applyBorder="1" applyAlignment="1">
      <alignment horizontal="center" vertical="center"/>
    </xf>
    <xf numFmtId="38" fontId="0" fillId="13" borderId="0" xfId="0" applyNumberFormat="1" applyFill="1" applyAlignment="1">
      <alignment vertical="center"/>
    </xf>
    <xf numFmtId="0" fontId="2" fillId="17" borderId="50" xfId="0" applyFont="1" applyFill="1" applyBorder="1" applyAlignment="1">
      <alignment horizontal="center" vertical="center" wrapText="1"/>
    </xf>
    <xf numFmtId="181" fontId="2" fillId="17" borderId="109" xfId="1" applyNumberFormat="1" applyFont="1" applyFill="1" applyBorder="1"/>
    <xf numFmtId="181" fontId="38" fillId="0" borderId="109" xfId="1" applyNumberFormat="1" applyFont="1" applyBorder="1"/>
    <xf numFmtId="10" fontId="11" fillId="17" borderId="109" xfId="6" applyFill="1" applyBorder="1"/>
    <xf numFmtId="43" fontId="2" fillId="0" borderId="109" xfId="1" applyNumberFormat="1" applyFont="1" applyFill="1" applyBorder="1"/>
    <xf numFmtId="10" fontId="11" fillId="0" borderId="109" xfId="6" applyFill="1" applyBorder="1"/>
    <xf numFmtId="184" fontId="30" fillId="0" borderId="103" xfId="1" applyNumberFormat="1" applyFont="1" applyBorder="1" applyAlignment="1">
      <alignment horizontal="right"/>
    </xf>
    <xf numFmtId="184" fontId="30" fillId="0" borderId="109" xfId="1" applyNumberFormat="1" applyFont="1" applyBorder="1" applyAlignment="1">
      <alignment horizontal="right"/>
    </xf>
    <xf numFmtId="184" fontId="30" fillId="0" borderId="105" xfId="1" applyNumberFormat="1" applyFont="1" applyBorder="1" applyAlignment="1">
      <alignment horizontal="right"/>
    </xf>
    <xf numFmtId="184" fontId="11" fillId="2" borderId="4" xfId="1" applyNumberFormat="1" applyFont="1" applyFill="1" applyBorder="1" applyAlignment="1">
      <alignment horizontal="right"/>
    </xf>
    <xf numFmtId="184" fontId="11" fillId="2" borderId="100" xfId="1" applyNumberFormat="1" applyFont="1" applyFill="1" applyBorder="1" applyAlignment="1">
      <alignment horizontal="right"/>
    </xf>
    <xf numFmtId="184" fontId="11" fillId="2" borderId="104" xfId="1" applyNumberFormat="1" applyFont="1" applyFill="1" applyBorder="1" applyAlignment="1">
      <alignment horizontal="right"/>
    </xf>
    <xf numFmtId="184" fontId="11" fillId="2" borderId="0" xfId="1" applyNumberFormat="1" applyFont="1" applyFill="1" applyBorder="1" applyAlignment="1">
      <alignment horizontal="right"/>
    </xf>
    <xf numFmtId="184" fontId="11" fillId="2" borderId="19" xfId="1" applyNumberFormat="1" applyFont="1" applyFill="1" applyBorder="1" applyAlignment="1">
      <alignment horizontal="right"/>
    </xf>
    <xf numFmtId="184" fontId="11" fillId="2" borderId="102" xfId="1" applyNumberFormat="1" applyFont="1" applyFill="1" applyBorder="1" applyAlignment="1">
      <alignment horizontal="right"/>
    </xf>
    <xf numFmtId="184" fontId="30" fillId="0" borderId="103" xfId="1" applyNumberFormat="1" applyFont="1" applyFill="1" applyBorder="1" applyAlignment="1">
      <alignment horizontal="right"/>
    </xf>
    <xf numFmtId="184" fontId="30" fillId="0" borderId="52" xfId="1" applyNumberFormat="1" applyFont="1" applyBorder="1" applyAlignment="1">
      <alignment horizontal="right"/>
    </xf>
    <xf numFmtId="184" fontId="0" fillId="0" borderId="103" xfId="1" applyNumberFormat="1" applyFont="1" applyFill="1" applyBorder="1"/>
    <xf numFmtId="184" fontId="11" fillId="0" borderId="52" xfId="1" applyNumberFormat="1" applyFont="1" applyBorder="1" applyAlignment="1">
      <alignment horizontal="right"/>
    </xf>
    <xf numFmtId="184" fontId="11" fillId="2" borderId="74" xfId="1" applyNumberFormat="1" applyFont="1" applyFill="1" applyBorder="1" applyAlignment="1">
      <alignment horizontal="right"/>
    </xf>
    <xf numFmtId="184" fontId="11" fillId="2" borderId="83" xfId="1" applyNumberFormat="1" applyFont="1" applyFill="1" applyBorder="1" applyAlignment="1">
      <alignment horizontal="right"/>
    </xf>
    <xf numFmtId="4" fontId="31" fillId="2" borderId="45" xfId="5" applyNumberFormat="1" applyFont="1" applyFill="1" applyBorder="1"/>
    <xf numFmtId="0" fontId="16" fillId="2" borderId="99" xfId="5" applyFill="1" applyBorder="1"/>
    <xf numFmtId="0" fontId="30" fillId="2" borderId="46" xfId="5" applyFont="1" applyFill="1" applyBorder="1" applyAlignment="1">
      <alignment horizontal="center"/>
    </xf>
    <xf numFmtId="10" fontId="11" fillId="2" borderId="0" xfId="6" applyFill="1"/>
    <xf numFmtId="0" fontId="31" fillId="2" borderId="45" xfId="5" applyFont="1" applyFill="1" applyBorder="1"/>
    <xf numFmtId="0" fontId="31" fillId="2" borderId="49" xfId="5" applyFont="1" applyFill="1" applyBorder="1"/>
    <xf numFmtId="0" fontId="30" fillId="2" borderId="72" xfId="5" applyFont="1" applyFill="1" applyBorder="1" applyAlignment="1">
      <alignment horizontal="left" vertical="center"/>
    </xf>
    <xf numFmtId="0" fontId="30" fillId="2" borderId="72" xfId="5" applyFont="1" applyFill="1" applyBorder="1" applyAlignment="1">
      <alignment horizontal="left"/>
    </xf>
    <xf numFmtId="0" fontId="16" fillId="2" borderId="72" xfId="5" applyFill="1" applyBorder="1"/>
    <xf numFmtId="0" fontId="16" fillId="2" borderId="50" xfId="5" applyFill="1" applyBorder="1" applyAlignment="1">
      <alignment horizontal="center"/>
    </xf>
    <xf numFmtId="181" fontId="4" fillId="0" borderId="60" xfId="1" applyNumberFormat="1" applyFont="1" applyFill="1" applyBorder="1"/>
    <xf numFmtId="181" fontId="4" fillId="0" borderId="59" xfId="1" applyNumberFormat="1" applyFont="1" applyFill="1" applyBorder="1"/>
    <xf numFmtId="10" fontId="4" fillId="0" borderId="0" xfId="2" applyNumberFormat="1" applyFont="1" applyFill="1"/>
    <xf numFmtId="43" fontId="15" fillId="2" borderId="0" xfId="0" applyNumberFormat="1" applyFont="1" applyFill="1"/>
    <xf numFmtId="43" fontId="4" fillId="0" borderId="0" xfId="0" applyNumberFormat="1" applyFont="1"/>
    <xf numFmtId="167" fontId="4" fillId="0" borderId="0" xfId="2" applyNumberFormat="1" applyFont="1" applyFill="1"/>
    <xf numFmtId="0" fontId="4" fillId="0" borderId="0" xfId="0" applyFont="1" applyAlignment="1">
      <alignment horizontal="center"/>
    </xf>
    <xf numFmtId="164" fontId="10" fillId="0" borderId="0" xfId="1" applyFont="1" applyFill="1"/>
    <xf numFmtId="43" fontId="10" fillId="0" borderId="0" xfId="0" applyNumberFormat="1" applyFont="1" applyAlignment="1">
      <alignment horizontal="center"/>
    </xf>
    <xf numFmtId="0" fontId="10" fillId="0" borderId="0" xfId="0" applyFont="1" applyAlignment="1">
      <alignment horizontal="center"/>
    </xf>
    <xf numFmtId="181" fontId="12" fillId="0" borderId="0" xfId="0" applyNumberFormat="1" applyFont="1"/>
    <xf numFmtId="181" fontId="10" fillId="0" borderId="0" xfId="0" applyNumberFormat="1" applyFont="1"/>
    <xf numFmtId="181" fontId="17" fillId="0" borderId="0" xfId="2" applyNumberFormat="1" applyFont="1" applyFill="1"/>
    <xf numFmtId="164" fontId="15" fillId="0" borderId="32" xfId="1" applyFont="1" applyFill="1" applyBorder="1"/>
    <xf numFmtId="164" fontId="7" fillId="0" borderId="0" xfId="1" applyFont="1" applyFill="1"/>
    <xf numFmtId="10" fontId="0" fillId="0" borderId="0" xfId="0" applyNumberFormat="1"/>
    <xf numFmtId="164" fontId="44" fillId="2" borderId="0" xfId="1" applyFont="1" applyFill="1"/>
    <xf numFmtId="164" fontId="14" fillId="2" borderId="0" xfId="0" applyNumberFormat="1" applyFont="1" applyFill="1"/>
    <xf numFmtId="164" fontId="21" fillId="2" borderId="0" xfId="0" applyNumberFormat="1" applyFont="1" applyFill="1"/>
    <xf numFmtId="0" fontId="50" fillId="2" borderId="0" xfId="0" applyFont="1" applyFill="1"/>
    <xf numFmtId="164" fontId="50" fillId="2" borderId="0" xfId="0" applyNumberFormat="1" applyFont="1" applyFill="1"/>
    <xf numFmtId="164" fontId="4" fillId="8" borderId="1" xfId="1" applyFont="1" applyFill="1" applyBorder="1" applyAlignment="1">
      <alignment horizontal="center" vertical="center"/>
    </xf>
    <xf numFmtId="164" fontId="4" fillId="8" borderId="1" xfId="1" applyFont="1" applyFill="1" applyBorder="1" applyAlignment="1">
      <alignment horizontal="center" vertical="center" wrapText="1"/>
    </xf>
    <xf numFmtId="164" fontId="4" fillId="8" borderId="3" xfId="1" applyFont="1" applyFill="1" applyBorder="1"/>
    <xf numFmtId="164" fontId="4" fillId="8" borderId="9" xfId="1" applyFont="1" applyFill="1" applyBorder="1"/>
    <xf numFmtId="164" fontId="4" fillId="8" borderId="8" xfId="1" applyFont="1" applyFill="1" applyBorder="1"/>
    <xf numFmtId="164" fontId="4" fillId="4" borderId="3" xfId="1" applyFont="1" applyFill="1" applyBorder="1"/>
    <xf numFmtId="164" fontId="4" fillId="4" borderId="9" xfId="1" applyFont="1" applyFill="1" applyBorder="1"/>
    <xf numFmtId="164" fontId="4" fillId="4" borderId="8" xfId="1" applyFont="1" applyFill="1" applyBorder="1"/>
    <xf numFmtId="164" fontId="4" fillId="0" borderId="11" xfId="1" applyFont="1" applyFill="1" applyBorder="1"/>
    <xf numFmtId="164" fontId="4" fillId="0" borderId="13" xfId="1" applyFont="1" applyFill="1" applyBorder="1"/>
    <xf numFmtId="164" fontId="4" fillId="0" borderId="22" xfId="1" applyFont="1" applyFill="1" applyBorder="1"/>
    <xf numFmtId="164" fontId="4" fillId="0" borderId="24" xfId="1" applyFont="1" applyFill="1" applyBorder="1"/>
    <xf numFmtId="164" fontId="4" fillId="0" borderId="23" xfId="1" applyFont="1" applyFill="1" applyBorder="1"/>
    <xf numFmtId="164" fontId="4" fillId="0" borderId="26" xfId="1" applyFont="1" applyFill="1" applyBorder="1"/>
    <xf numFmtId="164" fontId="4" fillId="0" borderId="28" xfId="1" applyFont="1" applyFill="1" applyBorder="1"/>
    <xf numFmtId="164" fontId="4" fillId="0" borderId="27" xfId="1" applyFont="1" applyFill="1" applyBorder="1"/>
    <xf numFmtId="164" fontId="4" fillId="0" borderId="20" xfId="1" applyFont="1" applyFill="1" applyBorder="1"/>
    <xf numFmtId="164" fontId="4" fillId="0" borderId="54" xfId="1" applyFont="1" applyFill="1" applyBorder="1"/>
    <xf numFmtId="164" fontId="4" fillId="0" borderId="17" xfId="1" applyFont="1" applyFill="1" applyBorder="1"/>
    <xf numFmtId="164" fontId="4" fillId="0" borderId="16" xfId="1" applyFont="1" applyFill="1" applyBorder="1"/>
    <xf numFmtId="164" fontId="4" fillId="0" borderId="19" xfId="1" applyFont="1" applyFill="1" applyBorder="1"/>
    <xf numFmtId="164" fontId="4" fillId="0" borderId="29" xfId="1" applyFont="1" applyFill="1" applyBorder="1"/>
    <xf numFmtId="164" fontId="4" fillId="0" borderId="9" xfId="1" applyFont="1" applyFill="1" applyBorder="1"/>
    <xf numFmtId="164" fontId="4" fillId="0" borderId="8" xfId="1" applyFont="1" applyFill="1" applyBorder="1"/>
    <xf numFmtId="164" fontId="4" fillId="8" borderId="36" xfId="1" applyFont="1" applyFill="1" applyBorder="1"/>
    <xf numFmtId="164" fontId="4" fillId="8" borderId="37" xfId="1" applyFont="1" applyFill="1" applyBorder="1"/>
    <xf numFmtId="164" fontId="4" fillId="8" borderId="32" xfId="1" applyFont="1" applyFill="1" applyBorder="1"/>
    <xf numFmtId="164" fontId="4" fillId="8" borderId="38" xfId="1" applyFont="1" applyFill="1" applyBorder="1"/>
    <xf numFmtId="164" fontId="4" fillId="8" borderId="39" xfId="1" applyFont="1" applyFill="1" applyBorder="1"/>
    <xf numFmtId="164" fontId="4" fillId="8" borderId="35" xfId="1" applyFont="1" applyFill="1" applyBorder="1"/>
    <xf numFmtId="164" fontId="17" fillId="0" borderId="0" xfId="1" applyFont="1" applyFill="1"/>
    <xf numFmtId="164" fontId="4" fillId="0" borderId="36" xfId="1" applyFont="1" applyFill="1" applyBorder="1"/>
    <xf numFmtId="164" fontId="4" fillId="0" borderId="53" xfId="1" applyFont="1" applyFill="1" applyBorder="1"/>
    <xf numFmtId="164" fontId="4" fillId="0" borderId="21" xfId="1" applyFont="1" applyFill="1" applyBorder="1"/>
    <xf numFmtId="164" fontId="4" fillId="0" borderId="15" xfId="1" applyFont="1" applyFill="1" applyBorder="1"/>
    <xf numFmtId="164" fontId="4" fillId="0" borderId="55" xfId="1" applyFont="1" applyFill="1" applyBorder="1"/>
    <xf numFmtId="164" fontId="4" fillId="0" borderId="18" xfId="1" applyFont="1" applyFill="1" applyBorder="1"/>
    <xf numFmtId="164" fontId="4" fillId="0" borderId="56" xfId="1" applyFont="1" applyFill="1" applyBorder="1"/>
    <xf numFmtId="164" fontId="4" fillId="0" borderId="25" xfId="1" applyFont="1" applyFill="1" applyBorder="1"/>
    <xf numFmtId="164" fontId="4" fillId="0" borderId="57" xfId="1" applyFont="1" applyFill="1" applyBorder="1"/>
    <xf numFmtId="164" fontId="4" fillId="0" borderId="3" xfId="1" applyFont="1" applyFill="1" applyBorder="1"/>
    <xf numFmtId="164" fontId="4" fillId="0" borderId="42" xfId="1" applyFont="1" applyFill="1" applyBorder="1"/>
    <xf numFmtId="164" fontId="4" fillId="0" borderId="44" xfId="1" applyFont="1" applyFill="1" applyBorder="1"/>
    <xf numFmtId="164" fontId="4" fillId="0" borderId="43" xfId="1" applyFont="1" applyFill="1" applyBorder="1"/>
    <xf numFmtId="164" fontId="4" fillId="0" borderId="38" xfId="1" applyFont="1" applyFill="1" applyBorder="1"/>
    <xf numFmtId="164" fontId="4" fillId="0" borderId="39" xfId="1" applyFont="1" applyFill="1" applyBorder="1"/>
    <xf numFmtId="164" fontId="4" fillId="8" borderId="1" xfId="1" applyFont="1" applyFill="1" applyBorder="1"/>
    <xf numFmtId="164" fontId="15" fillId="0" borderId="16" xfId="1" applyFont="1" applyFill="1" applyBorder="1"/>
    <xf numFmtId="164" fontId="4" fillId="0" borderId="14" xfId="1" applyFont="1" applyFill="1" applyBorder="1"/>
    <xf numFmtId="164" fontId="15" fillId="0" borderId="15" xfId="1" applyFont="1" applyFill="1" applyBorder="1"/>
    <xf numFmtId="164" fontId="15" fillId="0" borderId="23" xfId="1" applyFont="1" applyFill="1" applyBorder="1"/>
    <xf numFmtId="164" fontId="15" fillId="0" borderId="27" xfId="1" applyFont="1" applyFill="1" applyBorder="1"/>
    <xf numFmtId="164" fontId="4" fillId="0" borderId="106" xfId="1" applyFont="1" applyFill="1" applyBorder="1"/>
    <xf numFmtId="164" fontId="4" fillId="0" borderId="41" xfId="1" applyFont="1" applyFill="1" applyBorder="1"/>
    <xf numFmtId="164" fontId="15" fillId="0" borderId="43" xfId="1" applyFont="1" applyFill="1" applyBorder="1"/>
    <xf numFmtId="164" fontId="4" fillId="0" borderId="1" xfId="1" applyFont="1" applyFill="1" applyBorder="1"/>
    <xf numFmtId="164" fontId="15" fillId="0" borderId="6" xfId="1" applyFont="1" applyFill="1" applyBorder="1"/>
    <xf numFmtId="164" fontId="4" fillId="8" borderId="2" xfId="1" applyFont="1" applyFill="1" applyBorder="1"/>
    <xf numFmtId="164" fontId="4" fillId="8" borderId="40" xfId="1" applyFont="1" applyFill="1" applyBorder="1"/>
    <xf numFmtId="164" fontId="4" fillId="4" borderId="1" xfId="1" applyFont="1" applyFill="1" applyBorder="1"/>
    <xf numFmtId="164" fontId="4" fillId="0" borderId="107" xfId="1" applyFont="1" applyFill="1" applyBorder="1"/>
    <xf numFmtId="164" fontId="4" fillId="0" borderId="61" xfId="1" applyFont="1" applyFill="1" applyBorder="1"/>
    <xf numFmtId="164" fontId="4" fillId="0" borderId="58" xfId="1" applyFont="1" applyFill="1" applyBorder="1"/>
    <xf numFmtId="164" fontId="7" fillId="3" borderId="8" xfId="1" applyFont="1" applyFill="1" applyBorder="1"/>
    <xf numFmtId="164" fontId="7" fillId="4" borderId="3" xfId="1" applyFont="1" applyFill="1" applyBorder="1"/>
    <xf numFmtId="164" fontId="7" fillId="0" borderId="0" xfId="1" applyFont="1" applyFill="1" applyBorder="1"/>
    <xf numFmtId="164" fontId="7" fillId="3" borderId="1" xfId="1" applyFont="1" applyFill="1" applyBorder="1"/>
    <xf numFmtId="164" fontId="15" fillId="3" borderId="11" xfId="1" applyFont="1" applyFill="1" applyBorder="1"/>
    <xf numFmtId="164" fontId="20" fillId="13" borderId="1" xfId="1" applyFont="1" applyFill="1" applyBorder="1"/>
    <xf numFmtId="164" fontId="21" fillId="13" borderId="1" xfId="1" applyFont="1" applyFill="1" applyBorder="1"/>
    <xf numFmtId="164" fontId="21" fillId="0" borderId="1" xfId="1" applyFont="1" applyFill="1" applyBorder="1"/>
    <xf numFmtId="164" fontId="7" fillId="19" borderId="1" xfId="1" applyFont="1" applyFill="1" applyBorder="1"/>
    <xf numFmtId="164" fontId="15" fillId="0" borderId="18" xfId="1" applyFont="1" applyFill="1" applyBorder="1"/>
    <xf numFmtId="164" fontId="4" fillId="0" borderId="6" xfId="1" applyFont="1" applyFill="1" applyBorder="1"/>
    <xf numFmtId="164" fontId="4" fillId="8" borderId="31" xfId="1" applyFont="1" applyFill="1" applyBorder="1"/>
    <xf numFmtId="164" fontId="4" fillId="2" borderId="11" xfId="1" applyFont="1" applyFill="1" applyBorder="1"/>
    <xf numFmtId="164" fontId="4" fillId="2" borderId="13" xfId="1" applyFont="1" applyFill="1" applyBorder="1"/>
    <xf numFmtId="164" fontId="15" fillId="0" borderId="26" xfId="1" applyFont="1" applyFill="1" applyBorder="1"/>
    <xf numFmtId="164" fontId="15" fillId="0" borderId="39" xfId="1" applyFont="1" applyFill="1" applyBorder="1"/>
    <xf numFmtId="164" fontId="4" fillId="0" borderId="30" xfId="1" applyFont="1" applyFill="1" applyBorder="1"/>
    <xf numFmtId="164" fontId="19" fillId="8" borderId="3" xfId="1" applyFont="1" applyFill="1" applyBorder="1"/>
    <xf numFmtId="164" fontId="19" fillId="2" borderId="0" xfId="1" applyFont="1" applyFill="1"/>
    <xf numFmtId="164" fontId="19" fillId="8" borderId="8" xfId="1" applyFont="1" applyFill="1" applyBorder="1"/>
    <xf numFmtId="181" fontId="19" fillId="2" borderId="0" xfId="1" applyNumberFormat="1" applyFont="1" applyFill="1"/>
    <xf numFmtId="164" fontId="19" fillId="8" borderId="9" xfId="1" applyFont="1" applyFill="1" applyBorder="1"/>
    <xf numFmtId="164" fontId="19" fillId="4" borderId="3" xfId="1" applyFont="1" applyFill="1" applyBorder="1"/>
    <xf numFmtId="164" fontId="19" fillId="4" borderId="8" xfId="1" applyFont="1" applyFill="1" applyBorder="1"/>
    <xf numFmtId="164" fontId="19" fillId="4" borderId="9" xfId="1" applyFont="1" applyFill="1" applyBorder="1"/>
    <xf numFmtId="164" fontId="19" fillId="0" borderId="0" xfId="1" applyFont="1" applyFill="1"/>
    <xf numFmtId="181" fontId="19" fillId="0" borderId="0" xfId="1" applyNumberFormat="1" applyFont="1" applyFill="1"/>
    <xf numFmtId="164" fontId="19" fillId="0" borderId="10" xfId="1" applyFont="1" applyFill="1" applyBorder="1"/>
    <xf numFmtId="164" fontId="19" fillId="0" borderId="11" xfId="1" applyFont="1" applyFill="1" applyBorder="1"/>
    <xf numFmtId="164" fontId="19" fillId="0" borderId="32" xfId="1" applyFont="1" applyFill="1" applyBorder="1"/>
    <xf numFmtId="164" fontId="19" fillId="0" borderId="36" xfId="1" applyFont="1" applyFill="1" applyBorder="1"/>
    <xf numFmtId="164" fontId="19" fillId="0" borderId="13" xfId="1" applyFont="1" applyFill="1" applyBorder="1"/>
    <xf numFmtId="164" fontId="4" fillId="8" borderId="7" xfId="1" applyFont="1" applyFill="1" applyBorder="1"/>
    <xf numFmtId="164" fontId="4" fillId="10" borderId="0" xfId="1" applyFont="1" applyFill="1"/>
    <xf numFmtId="164" fontId="4" fillId="0" borderId="0" xfId="1" applyFont="1" applyFill="1" applyBorder="1"/>
    <xf numFmtId="0" fontId="15" fillId="4" borderId="3" xfId="0" applyFont="1" applyFill="1" applyBorder="1"/>
    <xf numFmtId="0" fontId="15" fillId="4" borderId="6" xfId="0" applyFont="1" applyFill="1" applyBorder="1"/>
    <xf numFmtId="164" fontId="15" fillId="4" borderId="1" xfId="1" applyFont="1" applyFill="1" applyBorder="1"/>
    <xf numFmtId="164" fontId="15" fillId="4" borderId="3" xfId="1" applyFont="1" applyFill="1" applyBorder="1"/>
    <xf numFmtId="164" fontId="15" fillId="4" borderId="8" xfId="1" applyFont="1" applyFill="1" applyBorder="1"/>
    <xf numFmtId="164" fontId="15" fillId="4" borderId="9" xfId="1" applyFont="1" applyFill="1" applyBorder="1"/>
    <xf numFmtId="181" fontId="15" fillId="2" borderId="0" xfId="1" applyNumberFormat="1" applyFont="1" applyFill="1"/>
    <xf numFmtId="179" fontId="15" fillId="0" borderId="0" xfId="1" applyNumberFormat="1" applyFont="1" applyFill="1"/>
    <xf numFmtId="181" fontId="20" fillId="4" borderId="3" xfId="1" applyNumberFormat="1" applyFont="1" applyFill="1" applyBorder="1"/>
    <xf numFmtId="179" fontId="12" fillId="2" borderId="0" xfId="0" applyNumberFormat="1" applyFont="1" applyFill="1"/>
    <xf numFmtId="0" fontId="15" fillId="0" borderId="31" xfId="0" applyFont="1" applyBorder="1"/>
    <xf numFmtId="0" fontId="15" fillId="0" borderId="32" xfId="0" applyFont="1" applyBorder="1"/>
    <xf numFmtId="164" fontId="15" fillId="0" borderId="36" xfId="1" applyFont="1" applyFill="1" applyBorder="1"/>
    <xf numFmtId="164" fontId="15" fillId="0" borderId="13" xfId="1" applyFont="1" applyFill="1" applyBorder="1"/>
    <xf numFmtId="164" fontId="15" fillId="0" borderId="11" xfId="1" applyFont="1" applyFill="1" applyBorder="1"/>
    <xf numFmtId="164" fontId="15" fillId="0" borderId="53" xfId="1" applyFont="1" applyFill="1" applyBorder="1"/>
    <xf numFmtId="185" fontId="44" fillId="2" borderId="0" xfId="0" applyNumberFormat="1" applyFont="1" applyFill="1"/>
    <xf numFmtId="181" fontId="20" fillId="0" borderId="1" xfId="0" applyNumberFormat="1" applyFont="1" applyBorder="1"/>
    <xf numFmtId="181" fontId="20" fillId="0" borderId="1" xfId="1" applyNumberFormat="1" applyFont="1" applyFill="1" applyBorder="1"/>
    <xf numFmtId="0" fontId="15" fillId="0" borderId="33" xfId="0" applyFont="1" applyBorder="1"/>
    <xf numFmtId="0" fontId="15" fillId="0" borderId="19" xfId="0" applyFont="1" applyBorder="1"/>
    <xf numFmtId="164" fontId="15" fillId="0" borderId="21" xfId="1" applyFont="1" applyFill="1" applyBorder="1"/>
    <xf numFmtId="164" fontId="15" fillId="0" borderId="22" xfId="1" applyFont="1" applyFill="1" applyBorder="1"/>
    <xf numFmtId="164" fontId="15" fillId="0" borderId="24" xfId="1" applyFont="1" applyFill="1" applyBorder="1"/>
    <xf numFmtId="164" fontId="15" fillId="0" borderId="17" xfId="1" applyFont="1" applyFill="1" applyBorder="1"/>
    <xf numFmtId="164" fontId="15" fillId="0" borderId="61" xfId="1" applyFont="1" applyFill="1" applyBorder="1"/>
    <xf numFmtId="0" fontId="4" fillId="0" borderId="59" xfId="0" applyFont="1" applyBorder="1"/>
    <xf numFmtId="0" fontId="51" fillId="0" borderId="0" xfId="14" applyFont="1" applyAlignment="1">
      <alignment vertical="center"/>
    </xf>
    <xf numFmtId="0" fontId="52" fillId="0" borderId="0" xfId="14" applyFont="1" applyAlignment="1">
      <alignment vertical="center"/>
    </xf>
    <xf numFmtId="0" fontId="54" fillId="0" borderId="0" xfId="14" applyFont="1" applyAlignment="1">
      <alignment horizontal="center" vertical="center"/>
    </xf>
    <xf numFmtId="0" fontId="51" fillId="0" borderId="0" xfId="14" applyFont="1" applyAlignment="1">
      <alignment horizontal="center" vertical="center"/>
    </xf>
    <xf numFmtId="0" fontId="51" fillId="22" borderId="0" xfId="14" applyFont="1" applyFill="1" applyAlignment="1">
      <alignment vertical="center"/>
    </xf>
    <xf numFmtId="0" fontId="51" fillId="23" borderId="0" xfId="14" applyFont="1" applyFill="1" applyAlignment="1">
      <alignment vertical="center"/>
    </xf>
    <xf numFmtId="43" fontId="17" fillId="0" borderId="0" xfId="0" applyNumberFormat="1" applyFont="1"/>
    <xf numFmtId="164" fontId="4" fillId="8" borderId="32" xfId="1" applyFont="1" applyFill="1" applyBorder="1" applyAlignment="1">
      <alignment horizontal="right"/>
    </xf>
    <xf numFmtId="183" fontId="12" fillId="0" borderId="0" xfId="2" applyNumberFormat="1" applyFont="1" applyFill="1"/>
    <xf numFmtId="164" fontId="4" fillId="0" borderId="0" xfId="2" applyNumberFormat="1" applyFont="1" applyFill="1" applyBorder="1"/>
    <xf numFmtId="0" fontId="55" fillId="0" borderId="14" xfId="0" applyFont="1" applyBorder="1" applyAlignment="1">
      <alignment horizontal="left" vertical="center" wrapText="1"/>
    </xf>
    <xf numFmtId="0" fontId="54" fillId="0" borderId="14" xfId="14" applyFont="1" applyBorder="1" applyAlignment="1">
      <alignment horizontal="center" vertical="center"/>
    </xf>
    <xf numFmtId="0" fontId="53" fillId="0" borderId="0" xfId="14" applyFont="1" applyAlignment="1">
      <alignment horizontal="center" vertical="center"/>
    </xf>
    <xf numFmtId="17" fontId="4" fillId="8" borderId="1" xfId="0" applyNumberFormat="1" applyFont="1" applyFill="1" applyBorder="1" applyAlignment="1">
      <alignment horizontal="center" vertical="center" wrapText="1"/>
    </xf>
    <xf numFmtId="0" fontId="6" fillId="21" borderId="1" xfId="0" applyFont="1" applyFill="1" applyBorder="1" applyAlignment="1">
      <alignment horizontal="center" vertical="center"/>
    </xf>
    <xf numFmtId="10" fontId="4" fillId="8" borderId="111" xfId="2" applyNumberFormat="1" applyFont="1" applyFill="1" applyBorder="1"/>
    <xf numFmtId="181" fontId="4" fillId="8" borderId="112" xfId="1" applyNumberFormat="1" applyFont="1" applyFill="1" applyBorder="1"/>
    <xf numFmtId="165" fontId="4" fillId="8" borderId="112" xfId="1" applyNumberFormat="1" applyFont="1" applyFill="1" applyBorder="1"/>
    <xf numFmtId="164" fontId="4" fillId="0" borderId="113" xfId="1" applyFont="1" applyFill="1" applyBorder="1"/>
    <xf numFmtId="164" fontId="4" fillId="0" borderId="114" xfId="1" applyFont="1" applyFill="1" applyBorder="1"/>
    <xf numFmtId="164" fontId="15" fillId="0" borderId="115" xfId="1" applyFont="1" applyFill="1" applyBorder="1"/>
    <xf numFmtId="164" fontId="15" fillId="0" borderId="38" xfId="1" applyFont="1" applyFill="1" applyBorder="1"/>
    <xf numFmtId="164" fontId="4" fillId="4" borderId="29" xfId="1" applyFont="1" applyFill="1" applyBorder="1"/>
    <xf numFmtId="164" fontId="4" fillId="0" borderId="116" xfId="1" applyFont="1" applyFill="1" applyBorder="1"/>
    <xf numFmtId="164" fontId="15" fillId="0" borderId="34" xfId="1" applyFont="1" applyFill="1" applyBorder="1"/>
    <xf numFmtId="17" fontId="27" fillId="21" borderId="1" xfId="0" applyNumberFormat="1" applyFont="1" applyFill="1" applyBorder="1" applyAlignment="1">
      <alignment horizontal="center" vertical="center" wrapText="1"/>
    </xf>
    <xf numFmtId="0" fontId="27" fillId="21" borderId="1" xfId="0" applyFont="1" applyFill="1" applyBorder="1" applyAlignment="1">
      <alignment horizontal="center" vertical="center"/>
    </xf>
    <xf numFmtId="0" fontId="27" fillId="21" borderId="1" xfId="0" applyFont="1" applyFill="1" applyBorder="1" applyAlignment="1">
      <alignment horizontal="center" vertical="center" wrapText="1"/>
    </xf>
    <xf numFmtId="0" fontId="15" fillId="0" borderId="5" xfId="0" applyFont="1" applyBorder="1"/>
    <xf numFmtId="164" fontId="15" fillId="0" borderId="5" xfId="1" applyFont="1" applyFill="1" applyBorder="1"/>
    <xf numFmtId="0" fontId="52" fillId="0" borderId="0" xfId="14" applyFont="1" applyAlignment="1">
      <alignment horizontal="center" vertical="center"/>
    </xf>
    <xf numFmtId="0" fontId="55" fillId="0" borderId="14" xfId="0" applyFont="1" applyBorder="1" applyAlignment="1">
      <alignment horizontal="center" vertical="center" wrapText="1"/>
    </xf>
    <xf numFmtId="0" fontId="51" fillId="0" borderId="14" xfId="14" applyFont="1" applyBorder="1" applyAlignment="1">
      <alignment horizontal="center" vertical="center"/>
    </xf>
    <xf numFmtId="1" fontId="52" fillId="0" borderId="0" xfId="14" applyNumberFormat="1" applyFont="1" applyAlignment="1">
      <alignment vertical="center"/>
    </xf>
    <xf numFmtId="1" fontId="51" fillId="0" borderId="0" xfId="14" applyNumberFormat="1" applyFont="1" applyAlignment="1">
      <alignment vertical="center"/>
    </xf>
    <xf numFmtId="0" fontId="51" fillId="0" borderId="14" xfId="14" applyFont="1" applyBorder="1" applyAlignment="1">
      <alignment horizontal="center" vertical="center" wrapText="1"/>
    </xf>
    <xf numFmtId="164" fontId="52" fillId="0" borderId="0" xfId="1" applyFont="1" applyAlignment="1">
      <alignment vertical="center"/>
    </xf>
    <xf numFmtId="164" fontId="51" fillId="0" borderId="0" xfId="1" applyFont="1" applyAlignment="1">
      <alignment vertical="center"/>
    </xf>
    <xf numFmtId="164" fontId="0" fillId="0" borderId="0" xfId="0" pivotButton="1" applyNumberFormat="1"/>
    <xf numFmtId="164" fontId="0" fillId="0" borderId="0" xfId="0" applyNumberFormat="1" applyAlignment="1">
      <alignment horizontal="left"/>
    </xf>
    <xf numFmtId="0" fontId="55" fillId="0" borderId="10" xfId="0" applyFont="1" applyBorder="1" applyAlignment="1">
      <alignment horizontal="left" vertical="center" wrapText="1"/>
    </xf>
    <xf numFmtId="0" fontId="55" fillId="0" borderId="10" xfId="0" applyFont="1" applyBorder="1" applyAlignment="1">
      <alignment horizontal="center" vertical="center" wrapText="1"/>
    </xf>
    <xf numFmtId="0" fontId="54" fillId="0" borderId="10" xfId="14" applyFont="1" applyBorder="1" applyAlignment="1">
      <alignment horizontal="center" vertical="center"/>
    </xf>
    <xf numFmtId="0" fontId="51" fillId="0" borderId="10" xfId="14" applyFont="1" applyBorder="1" applyAlignment="1">
      <alignment horizontal="center" vertical="center" wrapText="1"/>
    </xf>
    <xf numFmtId="164" fontId="51" fillId="0" borderId="113" xfId="1" applyFont="1" applyBorder="1" applyAlignment="1">
      <alignment horizontal="right" vertical="center" indent="1"/>
    </xf>
    <xf numFmtId="164" fontId="51" fillId="0" borderId="114" xfId="1" applyFont="1" applyBorder="1" applyAlignment="1">
      <alignment horizontal="right" vertical="center" indent="1"/>
    </xf>
    <xf numFmtId="164" fontId="51" fillId="0" borderId="114" xfId="1" applyFont="1" applyBorder="1" applyAlignment="1">
      <alignment vertical="center"/>
    </xf>
    <xf numFmtId="164" fontId="36" fillId="0" borderId="114" xfId="1" applyFont="1" applyBorder="1" applyAlignment="1">
      <alignment vertical="center"/>
    </xf>
    <xf numFmtId="164" fontId="36" fillId="0" borderId="114" xfId="1" applyFont="1" applyBorder="1" applyAlignment="1">
      <alignment horizontal="right" vertical="center" indent="1"/>
    </xf>
    <xf numFmtId="164" fontId="57" fillId="21" borderId="34" xfId="1" applyFont="1" applyFill="1" applyBorder="1" applyAlignment="1">
      <alignment vertical="center"/>
    </xf>
    <xf numFmtId="0" fontId="51" fillId="0" borderId="16" xfId="14" applyFont="1" applyBorder="1" applyAlignment="1">
      <alignment horizontal="left" vertical="center" wrapText="1" indent="1"/>
    </xf>
    <xf numFmtId="0" fontId="51" fillId="0" borderId="16" xfId="14" applyFont="1" applyBorder="1" applyAlignment="1">
      <alignment vertical="center" wrapText="1"/>
    </xf>
    <xf numFmtId="0" fontId="51" fillId="0" borderId="16" xfId="14" applyFont="1" applyBorder="1" applyAlignment="1">
      <alignment vertical="center"/>
    </xf>
    <xf numFmtId="164" fontId="51" fillId="0" borderId="119" xfId="1" applyFont="1" applyBorder="1" applyAlignment="1">
      <alignment horizontal="right" vertical="center" indent="1"/>
    </xf>
    <xf numFmtId="164" fontId="51" fillId="0" borderId="120" xfId="1" applyFont="1" applyBorder="1" applyAlignment="1">
      <alignment horizontal="right" vertical="center" indent="1"/>
    </xf>
    <xf numFmtId="164" fontId="51" fillId="0" borderId="121" xfId="1" applyFont="1" applyBorder="1" applyAlignment="1">
      <alignment horizontal="right" vertical="center" indent="1"/>
    </xf>
    <xf numFmtId="164" fontId="51" fillId="0" borderId="122" xfId="1" applyFont="1" applyBorder="1" applyAlignment="1">
      <alignment horizontal="right" vertical="center" indent="1"/>
    </xf>
    <xf numFmtId="164" fontId="58" fillId="0" borderId="121" xfId="1" applyFont="1" applyBorder="1" applyAlignment="1">
      <alignment horizontal="right" vertical="center" indent="1"/>
    </xf>
    <xf numFmtId="164" fontId="57" fillId="21" borderId="123" xfId="1" applyFont="1" applyFill="1" applyBorder="1" applyAlignment="1">
      <alignment vertical="center"/>
    </xf>
    <xf numFmtId="164" fontId="57" fillId="21" borderId="124" xfId="1" applyFont="1" applyFill="1" applyBorder="1" applyAlignment="1">
      <alignment vertical="center"/>
    </xf>
    <xf numFmtId="1" fontId="51" fillId="0" borderId="127" xfId="14" quotePrefix="1" applyNumberFormat="1" applyFont="1" applyBorder="1" applyAlignment="1">
      <alignment horizontal="center" vertical="center" wrapText="1"/>
    </xf>
    <xf numFmtId="0" fontId="51" fillId="0" borderId="128" xfId="14" applyFont="1" applyBorder="1" applyAlignment="1">
      <alignment vertical="center" wrapText="1"/>
    </xf>
    <xf numFmtId="0" fontId="51" fillId="0" borderId="129" xfId="14" applyFont="1" applyBorder="1" applyAlignment="1">
      <alignment vertical="center" wrapText="1"/>
    </xf>
    <xf numFmtId="0" fontId="51" fillId="0" borderId="129" xfId="14" applyFont="1" applyBorder="1" applyAlignment="1">
      <alignment vertical="center"/>
    </xf>
    <xf numFmtId="1" fontId="57" fillId="21" borderId="73" xfId="14" applyNumberFormat="1" applyFont="1" applyFill="1" applyBorder="1" applyAlignment="1">
      <alignment horizontal="center" vertical="center"/>
    </xf>
    <xf numFmtId="0" fontId="57" fillId="21" borderId="74" xfId="14" applyFont="1" applyFill="1" applyBorder="1" applyAlignment="1">
      <alignment horizontal="center" vertical="center"/>
    </xf>
    <xf numFmtId="164" fontId="57" fillId="21" borderId="125" xfId="1" applyFont="1" applyFill="1" applyBorder="1" applyAlignment="1">
      <alignment horizontal="center" vertical="center"/>
    </xf>
    <xf numFmtId="164" fontId="57" fillId="21" borderId="117" xfId="1" applyFont="1" applyFill="1" applyBorder="1" applyAlignment="1">
      <alignment horizontal="center" vertical="center"/>
    </xf>
    <xf numFmtId="164" fontId="57" fillId="21" borderId="118" xfId="1" applyFont="1" applyFill="1" applyBorder="1" applyAlignment="1">
      <alignment horizontal="center" vertical="center"/>
    </xf>
    <xf numFmtId="0" fontId="57" fillId="21" borderId="108" xfId="14" applyFont="1" applyFill="1" applyBorder="1" applyAlignment="1">
      <alignment horizontal="center" vertical="center"/>
    </xf>
    <xf numFmtId="0" fontId="57" fillId="21" borderId="126" xfId="14" applyFont="1" applyFill="1" applyBorder="1" applyAlignment="1">
      <alignment horizontal="center" vertical="center"/>
    </xf>
    <xf numFmtId="0" fontId="59" fillId="0" borderId="0" xfId="14" applyFont="1" applyAlignment="1">
      <alignment horizontal="center" vertical="center"/>
    </xf>
    <xf numFmtId="0" fontId="61" fillId="0" borderId="0" xfId="14" applyFont="1" applyAlignment="1">
      <alignment vertical="center"/>
    </xf>
    <xf numFmtId="10" fontId="4" fillId="8" borderId="34" xfId="2" applyNumberFormat="1" applyFont="1" applyFill="1" applyBorder="1"/>
    <xf numFmtId="0" fontId="62" fillId="0" borderId="0" xfId="0" applyFont="1" applyAlignment="1">
      <alignment horizontal="center"/>
    </xf>
    <xf numFmtId="43" fontId="10" fillId="0" borderId="0" xfId="0" applyNumberFormat="1" applyFont="1"/>
    <xf numFmtId="4" fontId="41" fillId="2" borderId="0" xfId="4" applyNumberFormat="1" applyFont="1" applyFill="1" applyAlignment="1">
      <alignment vertical="center" wrapText="1"/>
    </xf>
    <xf numFmtId="0" fontId="24" fillId="21" borderId="3" xfId="0" applyFont="1" applyFill="1" applyBorder="1"/>
    <xf numFmtId="0" fontId="24" fillId="21" borderId="6" xfId="0" applyFont="1" applyFill="1" applyBorder="1"/>
    <xf numFmtId="164" fontId="7" fillId="8" borderId="1" xfId="1" applyFont="1" applyFill="1" applyBorder="1"/>
    <xf numFmtId="164" fontId="24" fillId="21" borderId="3" xfId="1" applyFont="1" applyFill="1" applyBorder="1"/>
    <xf numFmtId="164" fontId="24" fillId="21" borderId="8" xfId="1" applyFont="1" applyFill="1" applyBorder="1"/>
    <xf numFmtId="164" fontId="7" fillId="8" borderId="3" xfId="1" applyFont="1" applyFill="1" applyBorder="1"/>
    <xf numFmtId="164" fontId="24" fillId="21" borderId="9" xfId="1" applyFont="1" applyFill="1" applyBorder="1"/>
    <xf numFmtId="164" fontId="7" fillId="8" borderId="9" xfId="1" applyFont="1" applyFill="1" applyBorder="1"/>
    <xf numFmtId="164" fontId="7" fillId="8" borderId="8" xfId="1" applyFont="1" applyFill="1" applyBorder="1"/>
    <xf numFmtId="164" fontId="24" fillId="21" borderId="29" xfId="1" applyFont="1" applyFill="1" applyBorder="1"/>
    <xf numFmtId="164" fontId="24" fillId="21" borderId="1" xfId="1" applyFont="1" applyFill="1" applyBorder="1"/>
    <xf numFmtId="181" fontId="20" fillId="2" borderId="0" xfId="0" applyNumberFormat="1" applyFont="1" applyFill="1"/>
    <xf numFmtId="182" fontId="20" fillId="2" borderId="0" xfId="0" applyNumberFormat="1" applyFont="1" applyFill="1"/>
    <xf numFmtId="0" fontId="24" fillId="21" borderId="31" xfId="0" applyFont="1" applyFill="1" applyBorder="1"/>
    <xf numFmtId="0" fontId="24" fillId="21" borderId="32" xfId="0" applyFont="1" applyFill="1" applyBorder="1" applyAlignment="1">
      <alignment horizontal="right"/>
    </xf>
    <xf numFmtId="164" fontId="24" fillId="8" borderId="2" xfId="1" applyFont="1" applyFill="1" applyBorder="1"/>
    <xf numFmtId="164" fontId="24" fillId="21" borderId="36" xfId="1" applyFont="1" applyFill="1" applyBorder="1"/>
    <xf numFmtId="164" fontId="24" fillId="21" borderId="32" xfId="1" applyFont="1" applyFill="1" applyBorder="1"/>
    <xf numFmtId="164" fontId="24" fillId="8" borderId="36" xfId="1" applyFont="1" applyFill="1" applyBorder="1"/>
    <xf numFmtId="164" fontId="24" fillId="21" borderId="37" xfId="1" applyFont="1" applyFill="1" applyBorder="1"/>
    <xf numFmtId="164" fontId="24" fillId="21" borderId="40" xfId="1" applyFont="1" applyFill="1" applyBorder="1"/>
    <xf numFmtId="164" fontId="24" fillId="8" borderId="37" xfId="1" applyFont="1" applyFill="1" applyBorder="1"/>
    <xf numFmtId="164" fontId="24" fillId="8" borderId="40" xfId="1" applyFont="1" applyFill="1" applyBorder="1"/>
    <xf numFmtId="164" fontId="24" fillId="21" borderId="2" xfId="1" applyFont="1" applyFill="1" applyBorder="1"/>
    <xf numFmtId="164" fontId="24" fillId="21" borderId="112" xfId="1" applyFont="1" applyFill="1" applyBorder="1"/>
    <xf numFmtId="181" fontId="24" fillId="2" borderId="0" xfId="0" applyNumberFormat="1" applyFont="1" applyFill="1"/>
    <xf numFmtId="164" fontId="24" fillId="0" borderId="0" xfId="1" applyFont="1" applyFill="1"/>
    <xf numFmtId="179" fontId="24" fillId="0" borderId="0" xfId="0" applyNumberFormat="1" applyFont="1"/>
    <xf numFmtId="0" fontId="24" fillId="0" borderId="0" xfId="0" applyFont="1"/>
    <xf numFmtId="0" fontId="24" fillId="21" borderId="34" xfId="0" applyFont="1" applyFill="1" applyBorder="1"/>
    <xf numFmtId="0" fontId="24" fillId="21" borderId="35" xfId="0" applyFont="1" applyFill="1" applyBorder="1" applyAlignment="1">
      <alignment horizontal="right"/>
    </xf>
    <xf numFmtId="10" fontId="24" fillId="8" borderId="7" xfId="2" applyNumberFormat="1" applyFont="1" applyFill="1" applyBorder="1"/>
    <xf numFmtId="10" fontId="24" fillId="2" borderId="0" xfId="2" applyNumberFormat="1" applyFont="1" applyFill="1"/>
    <xf numFmtId="10" fontId="24" fillId="21" borderId="38" xfId="2" applyNumberFormat="1" applyFont="1" applyFill="1" applyBorder="1"/>
    <xf numFmtId="10" fontId="24" fillId="21" borderId="35" xfId="2" applyNumberFormat="1" applyFont="1" applyFill="1" applyBorder="1"/>
    <xf numFmtId="10" fontId="24" fillId="8" borderId="38" xfId="2" applyNumberFormat="1" applyFont="1" applyFill="1" applyBorder="1"/>
    <xf numFmtId="10" fontId="24" fillId="21" borderId="39" xfId="2" applyNumberFormat="1" applyFont="1" applyFill="1" applyBorder="1"/>
    <xf numFmtId="10" fontId="24" fillId="21" borderId="58" xfId="2" applyNumberFormat="1" applyFont="1" applyFill="1" applyBorder="1"/>
    <xf numFmtId="10" fontId="24" fillId="8" borderId="39" xfId="2" applyNumberFormat="1" applyFont="1" applyFill="1" applyBorder="1"/>
    <xf numFmtId="10" fontId="24" fillId="8" borderId="58" xfId="2" applyNumberFormat="1" applyFont="1" applyFill="1" applyBorder="1"/>
    <xf numFmtId="10" fontId="24" fillId="21" borderId="7" xfId="2" applyNumberFormat="1" applyFont="1" applyFill="1" applyBorder="1"/>
    <xf numFmtId="10" fontId="24" fillId="21" borderId="111" xfId="2" applyNumberFormat="1" applyFont="1" applyFill="1" applyBorder="1"/>
    <xf numFmtId="164" fontId="24" fillId="2" borderId="0" xfId="0" applyNumberFormat="1" applyFont="1" applyFill="1"/>
    <xf numFmtId="10" fontId="24" fillId="0" borderId="0" xfId="2" applyNumberFormat="1" applyFont="1" applyFill="1"/>
    <xf numFmtId="0" fontId="12" fillId="0" borderId="0" xfId="0" applyFont="1" applyAlignment="1">
      <alignment horizontal="center"/>
    </xf>
    <xf numFmtId="0" fontId="7" fillId="8" borderId="2" xfId="0" applyFont="1" applyFill="1" applyBorder="1" applyAlignment="1">
      <alignment horizontal="center" vertical="center" wrapText="1"/>
    </xf>
    <xf numFmtId="0" fontId="7" fillId="8" borderId="4"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7" fillId="25" borderId="2" xfId="0" applyFont="1" applyFill="1" applyBorder="1" applyAlignment="1">
      <alignment horizontal="center"/>
    </xf>
    <xf numFmtId="0" fontId="4" fillId="25" borderId="2" xfId="0" applyFont="1" applyFill="1" applyBorder="1" applyAlignment="1">
      <alignment horizontal="center"/>
    </xf>
    <xf numFmtId="0" fontId="4" fillId="25" borderId="0" xfId="0" applyFont="1" applyFill="1"/>
    <xf numFmtId="164" fontId="4" fillId="25" borderId="2" xfId="1" applyFont="1" applyFill="1" applyBorder="1"/>
    <xf numFmtId="164" fontId="4" fillId="25" borderId="0" xfId="1" applyFont="1" applyFill="1"/>
    <xf numFmtId="164" fontId="14" fillId="25" borderId="0" xfId="1" applyFont="1" applyFill="1"/>
    <xf numFmtId="164" fontId="4" fillId="25" borderId="62" xfId="1" applyFont="1" applyFill="1" applyBorder="1"/>
    <xf numFmtId="164" fontId="15" fillId="25" borderId="62" xfId="1" applyFont="1" applyFill="1" applyBorder="1"/>
    <xf numFmtId="164" fontId="7" fillId="25" borderId="4" xfId="1" applyFont="1" applyFill="1" applyBorder="1"/>
    <xf numFmtId="164" fontId="6" fillId="25" borderId="0" xfId="1" applyFont="1" applyFill="1"/>
    <xf numFmtId="0" fontId="7" fillId="25" borderId="0" xfId="0" applyFont="1" applyFill="1"/>
    <xf numFmtId="164" fontId="7" fillId="25" borderId="0" xfId="1" applyFont="1" applyFill="1"/>
    <xf numFmtId="0" fontId="7" fillId="25" borderId="0" xfId="0" applyFont="1" applyFill="1" applyAlignment="1">
      <alignment vertical="center"/>
    </xf>
    <xf numFmtId="164" fontId="15" fillId="25" borderId="0" xfId="1" applyFont="1" applyFill="1"/>
    <xf numFmtId="164" fontId="14" fillId="25" borderId="2" xfId="1" applyFont="1" applyFill="1" applyBorder="1"/>
    <xf numFmtId="164" fontId="4" fillId="25" borderId="10" xfId="1" applyFont="1" applyFill="1" applyBorder="1"/>
    <xf numFmtId="164" fontId="21" fillId="25" borderId="0" xfId="1" applyFont="1" applyFill="1"/>
    <xf numFmtId="0" fontId="7" fillId="25" borderId="32" xfId="0" applyFont="1" applyFill="1" applyBorder="1"/>
    <xf numFmtId="164" fontId="7" fillId="25" borderId="2" xfId="1" applyFont="1" applyFill="1" applyBorder="1"/>
    <xf numFmtId="1" fontId="4" fillId="25" borderId="2" xfId="0" applyNumberFormat="1" applyFont="1" applyFill="1" applyBorder="1" applyAlignment="1">
      <alignment horizontal="center"/>
    </xf>
    <xf numFmtId="0" fontId="7" fillId="24" borderId="0" xfId="0" applyFont="1" applyFill="1" applyAlignment="1">
      <alignment vertical="center"/>
    </xf>
    <xf numFmtId="4" fontId="21" fillId="2" borderId="0" xfId="0" applyNumberFormat="1" applyFont="1" applyFill="1"/>
    <xf numFmtId="3" fontId="25" fillId="2" borderId="0" xfId="0" applyNumberFormat="1" applyFont="1" applyFill="1"/>
    <xf numFmtId="0" fontId="7" fillId="0" borderId="0" xfId="0" applyFont="1" applyAlignment="1">
      <alignment horizontal="center" vertical="center"/>
    </xf>
    <xf numFmtId="164" fontId="17" fillId="0" borderId="0" xfId="2" applyNumberFormat="1" applyFont="1" applyFill="1"/>
    <xf numFmtId="10" fontId="17" fillId="0" borderId="0" xfId="0" applyNumberFormat="1" applyFont="1"/>
    <xf numFmtId="181" fontId="14" fillId="0" borderId="0" xfId="1" applyNumberFormat="1" applyFont="1" applyFill="1" applyBorder="1"/>
    <xf numFmtId="9" fontId="17" fillId="0" borderId="0" xfId="0" applyNumberFormat="1" applyFont="1"/>
    <xf numFmtId="164" fontId="14" fillId="0" borderId="0" xfId="1" applyFont="1" applyFill="1" applyBorder="1"/>
    <xf numFmtId="10" fontId="14" fillId="0" borderId="0" xfId="2" applyNumberFormat="1" applyFont="1" applyFill="1" applyBorder="1"/>
    <xf numFmtId="186" fontId="17" fillId="0" borderId="0" xfId="1" applyNumberFormat="1" applyFont="1" applyFill="1"/>
    <xf numFmtId="182" fontId="44" fillId="0" borderId="0" xfId="0" applyNumberFormat="1" applyFont="1"/>
    <xf numFmtId="17" fontId="0" fillId="0" borderId="0" xfId="0" applyNumberFormat="1"/>
    <xf numFmtId="0" fontId="63" fillId="0" borderId="0" xfId="0" applyFont="1" applyAlignment="1">
      <alignment vertical="center"/>
    </xf>
    <xf numFmtId="14" fontId="0" fillId="0" borderId="0" xfId="0" applyNumberFormat="1"/>
    <xf numFmtId="0" fontId="69" fillId="21" borderId="1" xfId="0" applyFont="1" applyFill="1" applyBorder="1" applyAlignment="1">
      <alignment horizontal="center" vertical="center" wrapText="1"/>
    </xf>
    <xf numFmtId="17" fontId="10" fillId="21" borderId="1" xfId="0" applyNumberFormat="1" applyFont="1" applyFill="1" applyBorder="1" applyAlignment="1">
      <alignment horizontal="center"/>
    </xf>
    <xf numFmtId="0" fontId="64" fillId="0" borderId="1" xfId="0" applyFont="1" applyBorder="1" applyAlignment="1">
      <alignment horizontal="center" vertical="center" wrapText="1"/>
    </xf>
    <xf numFmtId="0" fontId="65" fillId="0" borderId="1" xfId="0" applyFont="1" applyBorder="1" applyAlignment="1">
      <alignment horizontal="center" vertical="center" wrapText="1"/>
    </xf>
    <xf numFmtId="164" fontId="65" fillId="0" borderId="1" xfId="1" applyFont="1" applyBorder="1" applyAlignment="1">
      <alignment horizontal="center" vertical="center" wrapText="1"/>
    </xf>
    <xf numFmtId="3" fontId="64" fillId="0" borderId="1" xfId="0" applyNumberFormat="1" applyFont="1" applyBorder="1" applyAlignment="1">
      <alignment horizontal="center" vertical="center" wrapText="1"/>
    </xf>
    <xf numFmtId="165" fontId="65" fillId="0" borderId="1" xfId="1" applyNumberFormat="1" applyFont="1" applyBorder="1" applyAlignment="1">
      <alignment horizontal="center" vertical="center" wrapText="1"/>
    </xf>
    <xf numFmtId="165" fontId="66" fillId="0" borderId="1" xfId="1" applyNumberFormat="1" applyFont="1" applyBorder="1" applyAlignment="1">
      <alignment vertical="center" wrapText="1"/>
    </xf>
    <xf numFmtId="165" fontId="67" fillId="0" borderId="1" xfId="0" applyNumberFormat="1" applyFont="1" applyBorder="1" applyAlignment="1">
      <alignment horizontal="center" vertical="center" wrapText="1"/>
    </xf>
    <xf numFmtId="165" fontId="68" fillId="0" borderId="1" xfId="1" applyNumberFormat="1" applyFont="1" applyBorder="1" applyAlignment="1">
      <alignment horizontal="center" vertical="center" wrapText="1"/>
    </xf>
    <xf numFmtId="165" fontId="64" fillId="0" borderId="1" xfId="1" applyNumberFormat="1" applyFont="1" applyBorder="1" applyAlignment="1">
      <alignment horizontal="center" vertical="center" wrapText="1"/>
    </xf>
    <xf numFmtId="165" fontId="0" fillId="0" borderId="1" xfId="0" applyNumberFormat="1" applyBorder="1"/>
    <xf numFmtId="164" fontId="0" fillId="0" borderId="59" xfId="1" applyFont="1" applyBorder="1"/>
    <xf numFmtId="0" fontId="0" fillId="0" borderId="0" xfId="0" applyAlignment="1">
      <alignment horizontal="center"/>
    </xf>
    <xf numFmtId="164" fontId="2" fillId="0" borderId="0" xfId="1" applyFont="1"/>
    <xf numFmtId="0" fontId="2" fillId="0" borderId="0" xfId="0" applyFont="1" applyAlignment="1">
      <alignment horizontal="center"/>
    </xf>
    <xf numFmtId="164" fontId="0" fillId="0" borderId="0" xfId="1" applyFont="1" applyAlignment="1">
      <alignment horizontal="center"/>
    </xf>
    <xf numFmtId="3" fontId="4" fillId="25" borderId="2" xfId="2" applyNumberFormat="1" applyFont="1" applyFill="1" applyBorder="1" applyAlignment="1">
      <alignment horizontal="center"/>
    </xf>
    <xf numFmtId="0" fontId="2" fillId="25" borderId="0" xfId="0" applyFont="1" applyFill="1"/>
    <xf numFmtId="0" fontId="7" fillId="26" borderId="2" xfId="0" applyFont="1" applyFill="1" applyBorder="1" applyAlignment="1">
      <alignment horizontal="center"/>
    </xf>
    <xf numFmtId="0" fontId="4" fillId="26" borderId="2" xfId="0" applyFont="1" applyFill="1" applyBorder="1" applyAlignment="1">
      <alignment horizontal="center"/>
    </xf>
    <xf numFmtId="0" fontId="4" fillId="26" borderId="0" xfId="0" applyFont="1" applyFill="1"/>
    <xf numFmtId="164" fontId="4" fillId="26" borderId="2" xfId="1" applyFont="1" applyFill="1" applyBorder="1"/>
    <xf numFmtId="164" fontId="4" fillId="26" borderId="0" xfId="1" applyFont="1" applyFill="1"/>
    <xf numFmtId="164" fontId="15" fillId="26" borderId="32" xfId="1" applyFont="1" applyFill="1" applyBorder="1"/>
    <xf numFmtId="164" fontId="4" fillId="26" borderId="32" xfId="1" applyFont="1" applyFill="1" applyBorder="1"/>
    <xf numFmtId="164" fontId="6" fillId="26" borderId="0" xfId="1" applyFont="1" applyFill="1"/>
    <xf numFmtId="164" fontId="4" fillId="26" borderId="10" xfId="1" applyFont="1" applyFill="1" applyBorder="1"/>
    <xf numFmtId="164" fontId="14" fillId="26" borderId="0" xfId="1" applyFont="1" applyFill="1"/>
    <xf numFmtId="164" fontId="14" fillId="26" borderId="10" xfId="1" applyFont="1" applyFill="1" applyBorder="1"/>
    <xf numFmtId="164" fontId="4" fillId="2" borderId="5" xfId="1" applyFont="1" applyFill="1" applyBorder="1"/>
    <xf numFmtId="0" fontId="22" fillId="0" borderId="0" xfId="0" applyFont="1"/>
    <xf numFmtId="0" fontId="7" fillId="0" borderId="0" xfId="0" applyFont="1" applyAlignment="1">
      <alignment vertical="center"/>
    </xf>
    <xf numFmtId="0" fontId="7" fillId="26" borderId="0" xfId="0" applyFont="1" applyFill="1" applyAlignment="1">
      <alignment vertical="center"/>
    </xf>
    <xf numFmtId="0" fontId="7" fillId="26" borderId="0" xfId="0" applyFont="1" applyFill="1" applyAlignment="1">
      <alignment horizontal="center" vertical="center"/>
    </xf>
    <xf numFmtId="164" fontId="15" fillId="26" borderId="0" xfId="1" applyFont="1" applyFill="1"/>
    <xf numFmtId="164" fontId="7" fillId="26" borderId="0" xfId="1" applyFont="1" applyFill="1"/>
    <xf numFmtId="164" fontId="15" fillId="26" borderId="10" xfId="1" applyFont="1" applyFill="1" applyBorder="1"/>
    <xf numFmtId="0" fontId="7" fillId="26" borderId="63" xfId="0" applyFont="1" applyFill="1" applyBorder="1" applyAlignment="1">
      <alignment horizontal="left" vertical="center" indent="2"/>
    </xf>
    <xf numFmtId="0" fontId="4" fillId="26" borderId="64" xfId="0" applyFont="1" applyFill="1" applyBorder="1" applyAlignment="1">
      <alignment horizontal="center"/>
    </xf>
    <xf numFmtId="0" fontId="20" fillId="26" borderId="2" xfId="0" applyFont="1" applyFill="1" applyBorder="1" applyAlignment="1">
      <alignment horizontal="center"/>
    </xf>
    <xf numFmtId="0" fontId="20" fillId="26" borderId="63" xfId="0" applyFont="1" applyFill="1" applyBorder="1" applyAlignment="1">
      <alignment horizontal="left" vertical="center" indent="2"/>
    </xf>
    <xf numFmtId="0" fontId="15" fillId="26" borderId="64" xfId="0" applyFont="1" applyFill="1" applyBorder="1" applyAlignment="1">
      <alignment horizontal="center"/>
    </xf>
    <xf numFmtId="0" fontId="15" fillId="26" borderId="0" xfId="0" applyFont="1" applyFill="1"/>
    <xf numFmtId="0" fontId="7" fillId="26" borderId="32" xfId="0" applyFont="1" applyFill="1" applyBorder="1"/>
    <xf numFmtId="0" fontId="7" fillId="26" borderId="0" xfId="0" applyFont="1" applyFill="1"/>
    <xf numFmtId="164" fontId="7" fillId="26" borderId="2" xfId="1" applyFont="1" applyFill="1" applyBorder="1"/>
    <xf numFmtId="164" fontId="21" fillId="26" borderId="0" xfId="1" applyFont="1" applyFill="1"/>
    <xf numFmtId="3" fontId="4" fillId="26" borderId="2" xfId="0" applyNumberFormat="1" applyFont="1" applyFill="1" applyBorder="1" applyAlignment="1">
      <alignment horizontal="center"/>
    </xf>
    <xf numFmtId="43" fontId="4" fillId="10" borderId="0" xfId="0" applyNumberFormat="1" applyFont="1" applyFill="1"/>
    <xf numFmtId="164" fontId="4" fillId="26" borderId="11" xfId="1" applyFont="1" applyFill="1" applyBorder="1"/>
    <xf numFmtId="164" fontId="4" fillId="26" borderId="13" xfId="1" applyFont="1" applyFill="1" applyBorder="1"/>
    <xf numFmtId="164" fontId="4" fillId="26" borderId="15" xfId="1" applyFont="1" applyFill="1" applyBorder="1"/>
    <xf numFmtId="164" fontId="4" fillId="26" borderId="44" xfId="1" applyFont="1" applyFill="1" applyBorder="1"/>
    <xf numFmtId="164" fontId="15" fillId="26" borderId="39" xfId="1" applyFont="1" applyFill="1" applyBorder="1"/>
    <xf numFmtId="164" fontId="15" fillId="26" borderId="26" xfId="1" applyFont="1" applyFill="1" applyBorder="1"/>
    <xf numFmtId="0" fontId="20" fillId="2" borderId="0" xfId="0" applyFont="1" applyFill="1" applyAlignment="1">
      <alignment vertical="center"/>
    </xf>
    <xf numFmtId="164" fontId="18" fillId="0" borderId="0" xfId="1" applyFont="1" applyFill="1"/>
    <xf numFmtId="164" fontId="4" fillId="0" borderId="59" xfId="1" applyFont="1" applyFill="1" applyBorder="1"/>
    <xf numFmtId="181" fontId="17" fillId="2" borderId="59" xfId="0" applyNumberFormat="1" applyFont="1" applyFill="1" applyBorder="1"/>
    <xf numFmtId="182" fontId="46" fillId="2" borderId="59" xfId="0" applyNumberFormat="1" applyFont="1" applyFill="1" applyBorder="1"/>
    <xf numFmtId="179" fontId="4" fillId="0" borderId="59" xfId="0" applyNumberFormat="1" applyFont="1" applyBorder="1"/>
    <xf numFmtId="181" fontId="4" fillId="0" borderId="39" xfId="1" applyNumberFormat="1" applyFont="1" applyFill="1" applyBorder="1"/>
    <xf numFmtId="164" fontId="14" fillId="7" borderId="0" xfId="1" applyFont="1" applyFill="1" applyBorder="1"/>
    <xf numFmtId="164" fontId="15" fillId="3" borderId="31" xfId="1" applyFont="1" applyFill="1" applyBorder="1"/>
    <xf numFmtId="0" fontId="3" fillId="11" borderId="6" xfId="0" applyFont="1" applyFill="1" applyBorder="1" applyAlignment="1">
      <alignment horizontal="center"/>
    </xf>
    <xf numFmtId="2" fontId="3" fillId="2" borderId="0" xfId="0" applyNumberFormat="1" applyFont="1" applyFill="1" applyAlignment="1">
      <alignment horizontal="center" vertical="center"/>
    </xf>
    <xf numFmtId="0" fontId="23" fillId="2" borderId="0" xfId="0" applyFont="1" applyFill="1" applyAlignment="1">
      <alignment horizontal="left" vertical="center"/>
    </xf>
    <xf numFmtId="170" fontId="24" fillId="2" borderId="0" xfId="0" applyNumberFormat="1" applyFont="1" applyFill="1" applyAlignment="1">
      <alignment vertical="center"/>
    </xf>
    <xf numFmtId="0" fontId="14" fillId="2" borderId="0" xfId="0" applyFont="1" applyFill="1" applyAlignment="1">
      <alignment vertical="center"/>
    </xf>
    <xf numFmtId="0" fontId="20" fillId="26" borderId="10" xfId="0" applyFont="1" applyFill="1" applyBorder="1" applyAlignment="1">
      <alignment horizontal="center" vertical="center"/>
    </xf>
    <xf numFmtId="0" fontId="7" fillId="26" borderId="10" xfId="0" applyFont="1" applyFill="1" applyBorder="1" applyAlignment="1">
      <alignment horizontal="left" vertical="center"/>
    </xf>
    <xf numFmtId="0" fontId="4" fillId="26" borderId="10" xfId="0" applyFont="1" applyFill="1" applyBorder="1" applyAlignment="1">
      <alignment horizontal="center" vertical="center"/>
    </xf>
    <xf numFmtId="0" fontId="4" fillId="26" borderId="10" xfId="0" applyFont="1" applyFill="1" applyBorder="1" applyAlignment="1">
      <alignment horizontal="right" vertical="center"/>
    </xf>
    <xf numFmtId="164" fontId="4" fillId="26" borderId="10" xfId="1" applyFont="1" applyFill="1" applyBorder="1" applyAlignment="1">
      <alignment vertical="center"/>
    </xf>
    <xf numFmtId="164" fontId="7" fillId="26" borderId="0" xfId="1" applyFont="1" applyFill="1" applyAlignment="1">
      <alignment vertical="center"/>
    </xf>
    <xf numFmtId="164" fontId="14" fillId="26" borderId="0" xfId="1" applyFont="1" applyFill="1" applyAlignment="1">
      <alignment vertical="center"/>
    </xf>
    <xf numFmtId="164" fontId="24" fillId="26" borderId="0" xfId="1" applyFont="1" applyFill="1" applyAlignment="1">
      <alignment vertical="center"/>
    </xf>
    <xf numFmtId="0" fontId="4" fillId="26" borderId="0" xfId="0" applyFont="1" applyFill="1" applyAlignment="1">
      <alignment vertical="center"/>
    </xf>
    <xf numFmtId="0" fontId="20" fillId="26" borderId="14" xfId="0" applyFont="1" applyFill="1" applyBorder="1" applyAlignment="1">
      <alignment horizontal="center" vertical="center"/>
    </xf>
    <xf numFmtId="0" fontId="7" fillId="26" borderId="19" xfId="0" applyFont="1" applyFill="1" applyBorder="1" applyAlignment="1">
      <alignment vertical="center"/>
    </xf>
    <xf numFmtId="171" fontId="4" fillId="26" borderId="14" xfId="0" applyNumberFormat="1" applyFont="1" applyFill="1" applyBorder="1" applyAlignment="1">
      <alignment vertical="center"/>
    </xf>
    <xf numFmtId="171" fontId="4" fillId="26" borderId="16" xfId="0" applyNumberFormat="1" applyFont="1" applyFill="1" applyBorder="1" applyAlignment="1">
      <alignment horizontal="right" vertical="center"/>
    </xf>
    <xf numFmtId="164" fontId="4" fillId="26" borderId="14" xfId="1" applyFont="1" applyFill="1" applyBorder="1" applyAlignment="1">
      <alignment vertical="center"/>
    </xf>
    <xf numFmtId="164" fontId="4" fillId="26" borderId="0" xfId="1" applyFont="1" applyFill="1" applyAlignment="1">
      <alignment vertical="center"/>
    </xf>
    <xf numFmtId="0" fontId="20" fillId="26" borderId="4" xfId="0" applyFont="1" applyFill="1" applyBorder="1" applyAlignment="1">
      <alignment horizontal="center" vertical="center"/>
    </xf>
    <xf numFmtId="0" fontId="7" fillId="26" borderId="21" xfId="0" applyFont="1" applyFill="1" applyBorder="1" applyAlignment="1">
      <alignment vertical="center"/>
    </xf>
    <xf numFmtId="164" fontId="7" fillId="24" borderId="0" xfId="1" applyFont="1" applyFill="1" applyAlignment="1">
      <alignment vertical="center"/>
    </xf>
    <xf numFmtId="164" fontId="14" fillId="24" borderId="0" xfId="1" applyFont="1" applyFill="1" applyAlignment="1">
      <alignment vertical="center"/>
    </xf>
    <xf numFmtId="164" fontId="4" fillId="24" borderId="0" xfId="1" applyFont="1" applyFill="1" applyAlignment="1">
      <alignment vertical="center"/>
    </xf>
    <xf numFmtId="0" fontId="4" fillId="24" borderId="0" xfId="0" applyFont="1" applyFill="1" applyAlignment="1">
      <alignment vertical="center"/>
    </xf>
    <xf numFmtId="0" fontId="20" fillId="26" borderId="21" xfId="0" applyFont="1" applyFill="1" applyBorder="1" applyAlignment="1">
      <alignment horizontal="center" vertical="center"/>
    </xf>
    <xf numFmtId="0" fontId="7" fillId="26" borderId="14" xfId="0" applyFont="1" applyFill="1" applyBorder="1" applyAlignment="1">
      <alignment vertical="center"/>
    </xf>
    <xf numFmtId="0" fontId="7" fillId="26" borderId="25" xfId="0" applyFont="1" applyFill="1" applyBorder="1" applyAlignment="1">
      <alignment vertical="center"/>
    </xf>
    <xf numFmtId="171" fontId="4" fillId="26" borderId="19" xfId="0" applyNumberFormat="1" applyFont="1" applyFill="1" applyBorder="1" applyAlignment="1">
      <alignment vertical="center"/>
    </xf>
    <xf numFmtId="171" fontId="4" fillId="26" borderId="19" xfId="0" applyNumberFormat="1" applyFont="1" applyFill="1" applyBorder="1" applyAlignment="1">
      <alignment horizontal="right" vertical="center"/>
    </xf>
    <xf numFmtId="164" fontId="3" fillId="20" borderId="1" xfId="1" applyFont="1" applyFill="1" applyBorder="1"/>
    <xf numFmtId="0" fontId="3" fillId="2" borderId="0" xfId="0" applyFont="1" applyFill="1" applyAlignment="1">
      <alignment horizontal="center" vertical="center"/>
    </xf>
    <xf numFmtId="0" fontId="3" fillId="2" borderId="0" xfId="0" applyFont="1" applyFill="1" applyAlignment="1">
      <alignment vertical="center"/>
    </xf>
    <xf numFmtId="0" fontId="3" fillId="11" borderId="6" xfId="0" applyFont="1" applyFill="1" applyBorder="1" applyAlignment="1">
      <alignment horizontal="center" vertical="center"/>
    </xf>
    <xf numFmtId="164" fontId="25" fillId="2" borderId="0" xfId="1" applyFont="1" applyFill="1" applyAlignment="1">
      <alignment vertical="center"/>
    </xf>
    <xf numFmtId="0" fontId="3" fillId="11" borderId="1" xfId="0" applyFont="1" applyFill="1" applyBorder="1" applyAlignment="1">
      <alignment horizontal="center" vertical="center"/>
    </xf>
    <xf numFmtId="164" fontId="3" fillId="11" borderId="6" xfId="1" applyFont="1" applyFill="1" applyBorder="1" applyAlignment="1">
      <alignment vertical="center"/>
    </xf>
    <xf numFmtId="164" fontId="3" fillId="2" borderId="0" xfId="1" applyFont="1" applyFill="1" applyAlignment="1">
      <alignment vertical="center"/>
    </xf>
    <xf numFmtId="164" fontId="3" fillId="11" borderId="1" xfId="1" applyFont="1" applyFill="1" applyBorder="1" applyAlignment="1">
      <alignment vertical="center"/>
    </xf>
    <xf numFmtId="164" fontId="4" fillId="26" borderId="25" xfId="1" applyFont="1" applyFill="1" applyBorder="1" applyAlignment="1">
      <alignment vertical="center"/>
    </xf>
    <xf numFmtId="0" fontId="3" fillId="2" borderId="4" xfId="0" applyFont="1" applyFill="1" applyBorder="1" applyAlignment="1">
      <alignment horizontal="center" vertical="center"/>
    </xf>
    <xf numFmtId="164" fontId="4" fillId="26" borderId="16" xfId="1" applyFont="1" applyFill="1" applyBorder="1" applyAlignment="1">
      <alignment vertical="center"/>
    </xf>
    <xf numFmtId="0" fontId="7" fillId="2" borderId="4" xfId="0" applyFont="1" applyFill="1" applyBorder="1" applyAlignment="1">
      <alignment horizontal="center" vertical="center"/>
    </xf>
    <xf numFmtId="164" fontId="4" fillId="26" borderId="41" xfId="1" applyFont="1" applyFill="1" applyBorder="1" applyAlignment="1">
      <alignment vertical="center"/>
    </xf>
    <xf numFmtId="164" fontId="6" fillId="2" borderId="5" xfId="1" applyFont="1" applyFill="1" applyBorder="1"/>
    <xf numFmtId="164" fontId="3" fillId="2" borderId="4" xfId="1" applyFont="1" applyFill="1" applyBorder="1" applyAlignment="1">
      <alignment vertical="center"/>
    </xf>
    <xf numFmtId="164" fontId="7" fillId="26" borderId="4" xfId="1" applyFont="1" applyFill="1" applyBorder="1" applyAlignment="1">
      <alignment vertical="center"/>
    </xf>
    <xf numFmtId="164" fontId="3" fillId="2" borderId="4" xfId="1" applyFont="1" applyFill="1" applyBorder="1"/>
    <xf numFmtId="0" fontId="24" fillId="2" borderId="5" xfId="0" applyFont="1" applyFill="1" applyBorder="1" applyAlignment="1">
      <alignment vertical="center"/>
    </xf>
    <xf numFmtId="9" fontId="6" fillId="2" borderId="5" xfId="2" applyFont="1" applyFill="1" applyBorder="1" applyAlignment="1">
      <alignment vertical="center"/>
    </xf>
    <xf numFmtId="164" fontId="4" fillId="26" borderId="27" xfId="1" applyFont="1" applyFill="1" applyBorder="1" applyAlignment="1">
      <alignment vertical="center"/>
    </xf>
    <xf numFmtId="164" fontId="4" fillId="11" borderId="1" xfId="1" applyFont="1" applyFill="1" applyBorder="1" applyAlignment="1">
      <alignment horizontal="center"/>
    </xf>
    <xf numFmtId="0" fontId="7" fillId="26" borderId="1" xfId="0" applyFont="1" applyFill="1" applyBorder="1" applyAlignment="1">
      <alignment horizontal="center"/>
    </xf>
    <xf numFmtId="0" fontId="7" fillId="0" borderId="2" xfId="0" applyFont="1" applyFill="1" applyBorder="1" applyAlignment="1">
      <alignment horizontal="center"/>
    </xf>
    <xf numFmtId="0" fontId="4" fillId="0" borderId="2" xfId="0" applyFont="1" applyFill="1" applyBorder="1" applyAlignment="1">
      <alignment horizontal="center"/>
    </xf>
    <xf numFmtId="0" fontId="4" fillId="0" borderId="0" xfId="0" applyFont="1" applyFill="1"/>
    <xf numFmtId="164" fontId="15" fillId="0" borderId="2" xfId="1" applyFont="1" applyFill="1" applyBorder="1"/>
    <xf numFmtId="164" fontId="14" fillId="0" borderId="0" xfId="1" applyFont="1" applyFill="1"/>
    <xf numFmtId="0" fontId="7" fillId="0" borderId="1" xfId="0" applyFont="1" applyFill="1" applyBorder="1" applyAlignment="1">
      <alignment horizontal="center"/>
    </xf>
    <xf numFmtId="164" fontId="14" fillId="0" borderId="32" xfId="1" applyFont="1" applyFill="1" applyBorder="1"/>
    <xf numFmtId="0" fontId="7" fillId="2" borderId="32" xfId="0" applyFont="1" applyFill="1" applyBorder="1" applyAlignment="1">
      <alignment horizontal="left"/>
    </xf>
    <xf numFmtId="0" fontId="7" fillId="0" borderId="32" xfId="0" applyFont="1" applyFill="1" applyBorder="1" applyAlignment="1">
      <alignment horizontal="left"/>
    </xf>
    <xf numFmtId="0" fontId="7" fillId="0" borderId="32" xfId="0" applyFont="1" applyFill="1" applyBorder="1"/>
    <xf numFmtId="0" fontId="18" fillId="11" borderId="7" xfId="0" applyFont="1" applyFill="1" applyBorder="1"/>
    <xf numFmtId="0" fontId="20" fillId="26" borderId="1" xfId="0" applyFont="1" applyFill="1" applyBorder="1" applyAlignment="1">
      <alignment horizontal="center"/>
    </xf>
    <xf numFmtId="0" fontId="18" fillId="11" borderId="1" xfId="0" applyFont="1" applyFill="1" applyBorder="1"/>
    <xf numFmtId="0" fontId="20" fillId="25" borderId="1" xfId="0" applyFont="1" applyFill="1" applyBorder="1" applyAlignment="1">
      <alignment horizontal="center"/>
    </xf>
    <xf numFmtId="0" fontId="22" fillId="2" borderId="0" xfId="0" applyFont="1" applyFill="1" applyAlignment="1">
      <alignment horizontal="center"/>
    </xf>
    <xf numFmtId="0" fontId="4" fillId="10" borderId="0" xfId="0" applyFont="1" applyFill="1" applyAlignment="1">
      <alignment horizontal="center"/>
    </xf>
    <xf numFmtId="0" fontId="14" fillId="2" borderId="0" xfId="0" applyFont="1" applyFill="1" applyAlignment="1">
      <alignment horizontal="center"/>
    </xf>
    <xf numFmtId="0" fontId="7" fillId="26" borderId="32" xfId="0" applyFont="1" applyFill="1" applyBorder="1" applyAlignment="1">
      <alignment horizontal="left"/>
    </xf>
    <xf numFmtId="164" fontId="4" fillId="26" borderId="1" xfId="1" applyFont="1" applyFill="1" applyBorder="1"/>
    <xf numFmtId="164" fontId="14" fillId="26" borderId="1" xfId="1" applyFont="1" applyFill="1" applyBorder="1"/>
    <xf numFmtId="164" fontId="4" fillId="25" borderId="1" xfId="1" applyFont="1" applyFill="1" applyBorder="1"/>
    <xf numFmtId="0" fontId="7" fillId="26" borderId="6" xfId="0" applyFont="1" applyFill="1" applyBorder="1"/>
    <xf numFmtId="164" fontId="4" fillId="26" borderId="2" xfId="1" applyFont="1" applyFill="1" applyBorder="1" applyAlignment="1">
      <alignment horizontal="center"/>
    </xf>
    <xf numFmtId="164" fontId="4" fillId="25" borderId="2" xfId="1" applyFont="1" applyFill="1" applyBorder="1" applyAlignment="1">
      <alignment horizontal="center"/>
    </xf>
    <xf numFmtId="164" fontId="4" fillId="2" borderId="2" xfId="1" applyFont="1" applyFill="1" applyBorder="1" applyAlignment="1">
      <alignment horizontal="center"/>
    </xf>
    <xf numFmtId="171" fontId="4" fillId="26" borderId="14" xfId="0" applyNumberFormat="1" applyFont="1" applyFill="1" applyBorder="1" applyAlignment="1">
      <alignment horizontal="center" vertical="center"/>
    </xf>
    <xf numFmtId="171" fontId="4" fillId="26" borderId="19" xfId="0" applyNumberFormat="1" applyFont="1" applyFill="1" applyBorder="1" applyAlignment="1">
      <alignment horizontal="center" vertical="center"/>
    </xf>
    <xf numFmtId="164" fontId="4" fillId="26" borderId="10" xfId="1" applyFont="1" applyFill="1" applyBorder="1" applyAlignment="1">
      <alignment horizontal="right" vertical="center"/>
    </xf>
    <xf numFmtId="164" fontId="4" fillId="26" borderId="16" xfId="1" applyFont="1" applyFill="1" applyBorder="1" applyAlignment="1">
      <alignment horizontal="right" vertical="center"/>
    </xf>
    <xf numFmtId="164" fontId="5" fillId="11" borderId="6" xfId="1" applyFont="1" applyFill="1" applyBorder="1"/>
    <xf numFmtId="164" fontId="4" fillId="0" borderId="2" xfId="1" applyFont="1" applyFill="1" applyBorder="1" applyAlignment="1">
      <alignment horizontal="center"/>
    </xf>
    <xf numFmtId="164" fontId="5" fillId="12" borderId="1" xfId="1" applyFont="1" applyFill="1" applyBorder="1" applyAlignment="1">
      <alignment horizontal="center"/>
    </xf>
    <xf numFmtId="164" fontId="4" fillId="26" borderId="19" xfId="1" applyFont="1" applyFill="1" applyBorder="1" applyAlignment="1">
      <alignment horizontal="right" vertical="center"/>
    </xf>
    <xf numFmtId="0" fontId="7" fillId="25" borderId="0" xfId="0" applyFont="1" applyFill="1" applyAlignment="1">
      <alignment horizontal="center" vertical="center"/>
    </xf>
    <xf numFmtId="10" fontId="4" fillId="25" borderId="0" xfId="2" applyNumberFormat="1" applyFont="1" applyFill="1"/>
    <xf numFmtId="164" fontId="4" fillId="25" borderId="70" xfId="1" applyFont="1" applyFill="1" applyBorder="1"/>
    <xf numFmtId="0" fontId="7" fillId="25" borderId="0" xfId="0" applyFont="1" applyFill="1" applyAlignment="1">
      <alignment horizontal="center"/>
    </xf>
    <xf numFmtId="164" fontId="4" fillId="25" borderId="70" xfId="1" applyFont="1" applyFill="1" applyBorder="1" applyAlignment="1">
      <alignment horizontal="center"/>
    </xf>
    <xf numFmtId="0" fontId="3" fillId="2" borderId="2" xfId="0" applyFont="1" applyFill="1" applyBorder="1" applyAlignment="1">
      <alignment horizontal="center"/>
    </xf>
    <xf numFmtId="0" fontId="3" fillId="2" borderId="64" xfId="0" applyFont="1" applyFill="1" applyBorder="1" applyAlignment="1">
      <alignment horizontal="left" vertical="center" wrapText="1" indent="2"/>
    </xf>
    <xf numFmtId="0" fontId="5" fillId="2" borderId="64" xfId="0" applyFont="1" applyFill="1" applyBorder="1" applyAlignment="1">
      <alignment horizontal="center"/>
    </xf>
    <xf numFmtId="164" fontId="5" fillId="0" borderId="64" xfId="1" applyFont="1" applyFill="1" applyBorder="1"/>
    <xf numFmtId="164" fontId="5" fillId="0" borderId="63" xfId="1" applyFont="1" applyFill="1" applyBorder="1"/>
    <xf numFmtId="164" fontId="5" fillId="2" borderId="64" xfId="1" applyFont="1" applyFill="1" applyBorder="1"/>
    <xf numFmtId="164" fontId="41" fillId="2" borderId="64" xfId="1" applyFont="1" applyFill="1" applyBorder="1"/>
    <xf numFmtId="164" fontId="41" fillId="13" borderId="0" xfId="1" applyFont="1" applyFill="1"/>
    <xf numFmtId="164" fontId="41" fillId="0" borderId="64" xfId="1" applyFont="1" applyFill="1" applyBorder="1"/>
    <xf numFmtId="0" fontId="3" fillId="2" borderId="4" xfId="0" applyFont="1" applyFill="1" applyBorder="1" applyAlignment="1">
      <alignment horizontal="center"/>
    </xf>
    <xf numFmtId="0" fontId="3" fillId="2" borderId="62" xfId="0" applyFont="1" applyFill="1" applyBorder="1" applyAlignment="1">
      <alignment horizontal="left" vertical="center" wrapText="1" indent="2"/>
    </xf>
    <xf numFmtId="172" fontId="5" fillId="2" borderId="66" xfId="0" applyNumberFormat="1" applyFont="1" applyFill="1" applyBorder="1" applyAlignment="1">
      <alignment horizontal="center"/>
    </xf>
    <xf numFmtId="164" fontId="5" fillId="0" borderId="62" xfId="1" applyFont="1" applyFill="1" applyBorder="1"/>
    <xf numFmtId="164" fontId="5" fillId="0" borderId="66" xfId="1" applyFont="1" applyFill="1" applyBorder="1"/>
    <xf numFmtId="164" fontId="5" fillId="0" borderId="65" xfId="1" applyFont="1" applyFill="1" applyBorder="1"/>
    <xf numFmtId="164" fontId="5" fillId="2" borderId="62" xfId="1" applyFont="1" applyFill="1" applyBorder="1"/>
    <xf numFmtId="164" fontId="41" fillId="2" borderId="62" xfId="1" applyFont="1" applyFill="1" applyBorder="1"/>
    <xf numFmtId="164" fontId="41" fillId="0" borderId="62" xfId="1" applyFont="1" applyFill="1" applyBorder="1"/>
    <xf numFmtId="43" fontId="52" fillId="0" borderId="0" xfId="15" applyFont="1" applyAlignment="1">
      <alignment vertical="center"/>
    </xf>
    <xf numFmtId="43" fontId="57" fillId="21" borderId="125" xfId="15" applyFont="1" applyFill="1" applyBorder="1" applyAlignment="1">
      <alignment horizontal="center" vertical="center"/>
    </xf>
    <xf numFmtId="43" fontId="57" fillId="21" borderId="117" xfId="15" applyFont="1" applyFill="1" applyBorder="1" applyAlignment="1">
      <alignment horizontal="center" vertical="center"/>
    </xf>
    <xf numFmtId="43" fontId="57" fillId="21" borderId="118" xfId="15" applyFont="1" applyFill="1" applyBorder="1" applyAlignment="1">
      <alignment horizontal="center" vertical="center"/>
    </xf>
    <xf numFmtId="1" fontId="71" fillId="0" borderId="127" xfId="14" quotePrefix="1" applyNumberFormat="1" applyFont="1" applyBorder="1" applyAlignment="1">
      <alignment horizontal="center" vertical="center" wrapText="1"/>
    </xf>
    <xf numFmtId="0" fontId="72" fillId="0" borderId="10" xfId="0" applyFont="1" applyBorder="1" applyAlignment="1">
      <alignment horizontal="left" vertical="center" wrapText="1"/>
    </xf>
    <xf numFmtId="0" fontId="72" fillId="0" borderId="10" xfId="0" applyFont="1" applyBorder="1" applyAlignment="1">
      <alignment horizontal="center" vertical="center" wrapText="1"/>
    </xf>
    <xf numFmtId="0" fontId="59" fillId="0" borderId="10" xfId="14" applyFont="1" applyBorder="1" applyAlignment="1">
      <alignment horizontal="center" vertical="center"/>
    </xf>
    <xf numFmtId="43" fontId="71" fillId="0" borderId="113" xfId="15" applyFont="1" applyBorder="1" applyAlignment="1">
      <alignment horizontal="right" vertical="center" indent="1"/>
    </xf>
    <xf numFmtId="43" fontId="71" fillId="0" borderId="119" xfId="15" applyFont="1" applyBorder="1" applyAlignment="1">
      <alignment horizontal="right" vertical="center" indent="1"/>
    </xf>
    <xf numFmtId="43" fontId="71" fillId="0" borderId="120" xfId="15" applyFont="1" applyBorder="1" applyAlignment="1">
      <alignment horizontal="right" vertical="center" indent="1"/>
    </xf>
    <xf numFmtId="0" fontId="71" fillId="0" borderId="16" xfId="14" applyFont="1" applyBorder="1" applyAlignment="1">
      <alignment horizontal="left" vertical="center" wrapText="1" indent="1"/>
    </xf>
    <xf numFmtId="0" fontId="71" fillId="0" borderId="10" xfId="14" applyFont="1" applyBorder="1" applyAlignment="1">
      <alignment horizontal="center" vertical="center" wrapText="1"/>
    </xf>
    <xf numFmtId="0" fontId="71" fillId="0" borderId="128" xfId="14" applyFont="1" applyBorder="1" applyAlignment="1">
      <alignment vertical="center" wrapText="1"/>
    </xf>
    <xf numFmtId="0" fontId="71" fillId="0" borderId="0" xfId="14" applyFont="1" applyAlignment="1">
      <alignment vertical="center"/>
    </xf>
    <xf numFmtId="0" fontId="71" fillId="0" borderId="0" xfId="14" applyFont="1" applyAlignment="1">
      <alignment horizontal="center" vertical="center"/>
    </xf>
    <xf numFmtId="0" fontId="71" fillId="22" borderId="0" xfId="14" applyFont="1" applyFill="1" applyAlignment="1">
      <alignment vertical="center"/>
    </xf>
    <xf numFmtId="1" fontId="71" fillId="0" borderId="130" xfId="14" quotePrefix="1" applyNumberFormat="1" applyFont="1" applyBorder="1" applyAlignment="1">
      <alignment horizontal="center" vertical="center" wrapText="1"/>
    </xf>
    <xf numFmtId="0" fontId="72" fillId="0" borderId="14" xfId="0" applyFont="1" applyBorder="1" applyAlignment="1">
      <alignment horizontal="left" vertical="center" wrapText="1"/>
    </xf>
    <xf numFmtId="0" fontId="72" fillId="0" borderId="14" xfId="0" applyFont="1" applyBorder="1" applyAlignment="1">
      <alignment horizontal="center" vertical="center" wrapText="1"/>
    </xf>
    <xf numFmtId="0" fontId="59" fillId="0" borderId="14" xfId="14" applyFont="1" applyBorder="1" applyAlignment="1">
      <alignment horizontal="center" vertical="center"/>
    </xf>
    <xf numFmtId="43" fontId="71" fillId="0" borderId="114" xfId="15" applyFont="1" applyBorder="1" applyAlignment="1">
      <alignment horizontal="right" vertical="center" indent="1"/>
    </xf>
    <xf numFmtId="43" fontId="71" fillId="0" borderId="121" xfId="15" applyFont="1" applyBorder="1" applyAlignment="1">
      <alignment horizontal="right" vertical="center" indent="1"/>
    </xf>
    <xf numFmtId="43" fontId="71" fillId="0" borderId="122" xfId="15" applyFont="1" applyBorder="1" applyAlignment="1">
      <alignment horizontal="right" vertical="center" indent="1"/>
    </xf>
    <xf numFmtId="0" fontId="71" fillId="0" borderId="14" xfId="14" applyFont="1" applyBorder="1" applyAlignment="1">
      <alignment horizontal="center" vertical="center" wrapText="1"/>
    </xf>
    <xf numFmtId="0" fontId="71" fillId="0" borderId="129" xfId="14" applyFont="1" applyBorder="1" applyAlignment="1">
      <alignment vertical="center" wrapText="1"/>
    </xf>
    <xf numFmtId="43" fontId="71" fillId="0" borderId="114" xfId="15" applyFont="1" applyBorder="1" applyAlignment="1">
      <alignment vertical="center"/>
    </xf>
    <xf numFmtId="0" fontId="71" fillId="0" borderId="16" xfId="14" applyFont="1" applyBorder="1" applyAlignment="1">
      <alignment vertical="center" wrapText="1"/>
    </xf>
    <xf numFmtId="0" fontId="71" fillId="0" borderId="14" xfId="14" applyFont="1" applyBorder="1" applyAlignment="1">
      <alignment horizontal="center" vertical="center"/>
    </xf>
    <xf numFmtId="43" fontId="11" fillId="0" borderId="114" xfId="15" applyFont="1" applyBorder="1" applyAlignment="1">
      <alignment vertical="center"/>
    </xf>
    <xf numFmtId="0" fontId="71" fillId="0" borderId="129" xfId="14" applyFont="1" applyBorder="1" applyAlignment="1">
      <alignment vertical="center"/>
    </xf>
    <xf numFmtId="1" fontId="71" fillId="0" borderId="131" xfId="14" quotePrefix="1" applyNumberFormat="1" applyFont="1" applyBorder="1" applyAlignment="1">
      <alignment horizontal="center" vertical="center" wrapText="1"/>
    </xf>
    <xf numFmtId="0" fontId="72" fillId="0" borderId="132" xfId="0" applyFont="1" applyBorder="1" applyAlignment="1">
      <alignment horizontal="left" vertical="center" wrapText="1"/>
    </xf>
    <xf numFmtId="0" fontId="72" fillId="0" borderId="132" xfId="0" applyFont="1" applyBorder="1" applyAlignment="1">
      <alignment horizontal="center" vertical="center" wrapText="1"/>
    </xf>
    <xf numFmtId="0" fontId="59" fillId="0" borderId="132" xfId="14" applyFont="1" applyBorder="1" applyAlignment="1">
      <alignment horizontal="center" vertical="center"/>
    </xf>
    <xf numFmtId="43" fontId="11" fillId="0" borderId="133" xfId="15" applyFont="1" applyBorder="1" applyAlignment="1">
      <alignment vertical="center"/>
    </xf>
    <xf numFmtId="43" fontId="71" fillId="0" borderId="134" xfId="15" applyFont="1" applyBorder="1" applyAlignment="1">
      <alignment horizontal="right" vertical="center" indent="1"/>
    </xf>
    <xf numFmtId="0" fontId="71" fillId="0" borderId="135" xfId="14" applyFont="1" applyBorder="1" applyAlignment="1">
      <alignment vertical="center"/>
    </xf>
    <xf numFmtId="0" fontId="71" fillId="0" borderId="132" xfId="14" applyFont="1" applyBorder="1" applyAlignment="1">
      <alignment horizontal="center" vertical="center" wrapText="1"/>
    </xf>
    <xf numFmtId="0" fontId="71" fillId="0" borderId="132" xfId="14" applyFont="1" applyBorder="1" applyAlignment="1">
      <alignment horizontal="center" vertical="center"/>
    </xf>
    <xf numFmtId="0" fontId="71" fillId="0" borderId="136" xfId="14" applyFont="1" applyBorder="1" applyAlignment="1">
      <alignment vertical="center" wrapText="1"/>
    </xf>
    <xf numFmtId="1" fontId="71" fillId="0" borderId="0" xfId="14" applyNumberFormat="1" applyFont="1" applyAlignment="1">
      <alignment vertical="center"/>
    </xf>
    <xf numFmtId="43" fontId="57" fillId="21" borderId="34" xfId="15" applyFont="1" applyFill="1" applyBorder="1" applyAlignment="1">
      <alignment vertical="center"/>
    </xf>
    <xf numFmtId="43" fontId="57" fillId="21" borderId="123" xfId="15" applyFont="1" applyFill="1" applyBorder="1" applyAlignment="1">
      <alignment vertical="center"/>
    </xf>
    <xf numFmtId="43" fontId="57" fillId="21" borderId="124" xfId="15" applyFont="1" applyFill="1" applyBorder="1" applyAlignment="1">
      <alignment vertical="center"/>
    </xf>
    <xf numFmtId="43" fontId="51" fillId="0" borderId="0" xfId="15" applyFont="1" applyAlignment="1">
      <alignment vertical="center"/>
    </xf>
    <xf numFmtId="181" fontId="7" fillId="25" borderId="1" xfId="1" applyNumberFormat="1" applyFont="1" applyFill="1" applyBorder="1"/>
    <xf numFmtId="181" fontId="7" fillId="25" borderId="1" xfId="0" applyNumberFormat="1" applyFont="1" applyFill="1" applyBorder="1"/>
    <xf numFmtId="0" fontId="7" fillId="8" borderId="1" xfId="0" applyFont="1" applyFill="1" applyBorder="1" applyAlignment="1">
      <alignment horizontal="center" vertical="center"/>
    </xf>
    <xf numFmtId="0" fontId="7" fillId="8" borderId="1" xfId="0" applyFont="1" applyFill="1" applyBorder="1" applyAlignment="1">
      <alignment horizontal="center" vertical="center" wrapText="1"/>
    </xf>
    <xf numFmtId="164" fontId="5" fillId="2" borderId="64" xfId="1" applyFont="1" applyFill="1" applyBorder="1" applyAlignment="1">
      <alignment horizontal="center"/>
    </xf>
    <xf numFmtId="164" fontId="5" fillId="2" borderId="66" xfId="1" applyFont="1" applyFill="1" applyBorder="1" applyAlignment="1">
      <alignment horizontal="center"/>
    </xf>
    <xf numFmtId="0" fontId="7" fillId="0" borderId="4" xfId="0" applyFont="1" applyFill="1" applyBorder="1" applyAlignment="1">
      <alignment horizontal="center"/>
    </xf>
    <xf numFmtId="0" fontId="7" fillId="0" borderId="62" xfId="0" applyFont="1" applyFill="1" applyBorder="1" applyAlignment="1">
      <alignment horizontal="left" vertical="center" wrapText="1" indent="2"/>
    </xf>
    <xf numFmtId="172" fontId="4" fillId="0" borderId="66" xfId="0" applyNumberFormat="1" applyFont="1" applyFill="1" applyBorder="1" applyAlignment="1">
      <alignment horizontal="center"/>
    </xf>
    <xf numFmtId="164" fontId="4" fillId="0" borderId="66" xfId="1" applyFont="1" applyFill="1" applyBorder="1" applyAlignment="1">
      <alignment horizontal="center"/>
    </xf>
    <xf numFmtId="164" fontId="4" fillId="0" borderId="66" xfId="1" applyFont="1" applyFill="1" applyBorder="1"/>
    <xf numFmtId="0" fontId="7" fillId="0" borderId="0" xfId="0" applyFont="1" applyFill="1" applyAlignment="1">
      <alignment vertical="center"/>
    </xf>
    <xf numFmtId="0" fontId="7" fillId="0" borderId="0" xfId="0" applyFont="1" applyFill="1" applyAlignment="1">
      <alignment horizontal="center" vertical="center"/>
    </xf>
    <xf numFmtId="164" fontId="15" fillId="0" borderId="62" xfId="1" applyFont="1" applyFill="1" applyBorder="1"/>
    <xf numFmtId="0" fontId="3" fillId="0" borderId="4" xfId="0" applyFont="1" applyFill="1" applyBorder="1" applyAlignment="1">
      <alignment horizontal="center"/>
    </xf>
    <xf numFmtId="0" fontId="3" fillId="0" borderId="62" xfId="0" applyFont="1" applyFill="1" applyBorder="1" applyAlignment="1">
      <alignment horizontal="left" vertical="center" wrapText="1" indent="2"/>
    </xf>
    <xf numFmtId="172" fontId="5" fillId="0" borderId="66" xfId="0" applyNumberFormat="1" applyFont="1" applyFill="1" applyBorder="1" applyAlignment="1">
      <alignment horizontal="center"/>
    </xf>
    <xf numFmtId="164" fontId="5" fillId="0" borderId="66" xfId="1" applyFont="1" applyFill="1" applyBorder="1" applyAlignment="1">
      <alignment horizontal="center"/>
    </xf>
    <xf numFmtId="0" fontId="5" fillId="0" borderId="0" xfId="0" applyFont="1" applyFill="1"/>
    <xf numFmtId="0" fontId="3" fillId="0" borderId="0" xfId="0" applyFont="1" applyFill="1" applyAlignment="1">
      <alignment vertical="center"/>
    </xf>
    <xf numFmtId="0" fontId="3" fillId="0" borderId="0" xfId="0" applyFont="1" applyFill="1" applyAlignment="1">
      <alignment horizontal="center" vertical="center"/>
    </xf>
    <xf numFmtId="164" fontId="5" fillId="0" borderId="0" xfId="1" applyFont="1" applyFill="1"/>
    <xf numFmtId="164" fontId="41" fillId="0" borderId="0" xfId="1" applyFont="1" applyFill="1"/>
    <xf numFmtId="164" fontId="27" fillId="0" borderId="0" xfId="1" applyFont="1" applyFill="1"/>
    <xf numFmtId="0" fontId="7" fillId="0" borderId="66" xfId="0" applyFont="1" applyFill="1" applyBorder="1" applyAlignment="1">
      <alignment horizontal="left" vertical="center" indent="2"/>
    </xf>
    <xf numFmtId="0" fontId="7" fillId="0" borderId="64" xfId="0" applyFont="1" applyFill="1" applyBorder="1" applyAlignment="1">
      <alignment horizontal="left" vertical="center" indent="2"/>
    </xf>
    <xf numFmtId="0" fontId="4" fillId="0" borderId="64" xfId="0" applyFont="1" applyFill="1" applyBorder="1" applyAlignment="1">
      <alignment horizontal="center"/>
    </xf>
    <xf numFmtId="3" fontId="4" fillId="0" borderId="0" xfId="0" applyNumberFormat="1" applyFont="1" applyFill="1"/>
    <xf numFmtId="164" fontId="4" fillId="0" borderId="64" xfId="1" applyFont="1" applyFill="1" applyBorder="1"/>
    <xf numFmtId="164" fontId="4" fillId="0" borderId="63" xfId="1" applyFont="1" applyFill="1" applyBorder="1"/>
    <xf numFmtId="0" fontId="6" fillId="0" borderId="0" xfId="0" applyFont="1" applyFill="1"/>
    <xf numFmtId="164" fontId="15" fillId="0" borderId="64" xfId="1" applyFont="1" applyFill="1" applyBorder="1"/>
    <xf numFmtId="0" fontId="24" fillId="0" borderId="7" xfId="0" applyFont="1" applyFill="1" applyBorder="1"/>
    <xf numFmtId="0" fontId="7" fillId="0" borderId="35" xfId="0" applyFont="1" applyFill="1" applyBorder="1" applyAlignment="1">
      <alignment horizontal="left" vertical="center" indent="2"/>
    </xf>
    <xf numFmtId="172" fontId="4" fillId="0" borderId="7" xfId="0" applyNumberFormat="1" applyFont="1" applyFill="1" applyBorder="1" applyAlignment="1">
      <alignment horizontal="center"/>
    </xf>
    <xf numFmtId="164" fontId="14" fillId="0" borderId="1" xfId="1" applyFont="1" applyFill="1" applyBorder="1"/>
    <xf numFmtId="164" fontId="3" fillId="11" borderId="1" xfId="1" applyFont="1" applyFill="1" applyBorder="1" applyAlignment="1">
      <alignment horizontal="center"/>
    </xf>
    <xf numFmtId="164" fontId="3" fillId="2" borderId="0" xfId="1" applyFont="1" applyFill="1" applyAlignment="1">
      <alignment horizontal="center"/>
    </xf>
    <xf numFmtId="164" fontId="18" fillId="11" borderId="1" xfId="1" applyFont="1" applyFill="1" applyBorder="1" applyAlignment="1">
      <alignment horizontal="center"/>
    </xf>
    <xf numFmtId="164" fontId="7" fillId="26" borderId="2" xfId="1" applyFont="1" applyFill="1" applyBorder="1" applyAlignment="1">
      <alignment horizontal="center"/>
    </xf>
    <xf numFmtId="164" fontId="7" fillId="25" borderId="2" xfId="1" applyFont="1" applyFill="1" applyBorder="1" applyAlignment="1">
      <alignment horizontal="center"/>
    </xf>
    <xf numFmtId="164" fontId="3" fillId="15" borderId="1" xfId="1" applyFont="1" applyFill="1" applyBorder="1"/>
    <xf numFmtId="0" fontId="60" fillId="21" borderId="0" xfId="14" applyFont="1" applyFill="1" applyAlignment="1">
      <alignment horizontal="center" vertical="center" wrapText="1"/>
    </xf>
    <xf numFmtId="17" fontId="4" fillId="13" borderId="2" xfId="0" applyNumberFormat="1" applyFont="1" applyFill="1" applyBorder="1" applyAlignment="1">
      <alignment horizontal="center" vertical="center"/>
    </xf>
    <xf numFmtId="17" fontId="4" fillId="13" borderId="4" xfId="0" applyNumberFormat="1" applyFont="1" applyFill="1" applyBorder="1" applyAlignment="1">
      <alignment horizontal="center" vertical="center"/>
    </xf>
    <xf numFmtId="17" fontId="4" fillId="13" borderId="7" xfId="0" applyNumberFormat="1" applyFont="1" applyFill="1" applyBorder="1" applyAlignment="1">
      <alignment horizontal="center" vertical="center"/>
    </xf>
    <xf numFmtId="0" fontId="14" fillId="3" borderId="2"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3" borderId="7" xfId="0" applyFont="1" applyFill="1" applyBorder="1" applyAlignment="1">
      <alignment horizontal="center" vertical="center" wrapText="1"/>
    </xf>
    <xf numFmtId="17" fontId="56" fillId="21" borderId="3" xfId="0" applyNumberFormat="1" applyFont="1" applyFill="1" applyBorder="1" applyAlignment="1">
      <alignment horizontal="center"/>
    </xf>
    <xf numFmtId="17" fontId="56" fillId="21" borderId="5" xfId="0" applyNumberFormat="1" applyFont="1" applyFill="1" applyBorder="1" applyAlignment="1">
      <alignment horizontal="center"/>
    </xf>
    <xf numFmtId="17" fontId="56" fillId="21" borderId="6" xfId="0" applyNumberFormat="1" applyFont="1" applyFill="1" applyBorder="1" applyAlignment="1">
      <alignment horizontal="center"/>
    </xf>
    <xf numFmtId="0" fontId="4" fillId="8" borderId="2" xfId="0" applyFont="1" applyFill="1" applyBorder="1" applyAlignment="1">
      <alignment horizontal="center" vertical="center"/>
    </xf>
    <xf numFmtId="0" fontId="4" fillId="8" borderId="4" xfId="0" applyFont="1" applyFill="1" applyBorder="1" applyAlignment="1">
      <alignment horizontal="center" vertical="center"/>
    </xf>
    <xf numFmtId="17" fontId="6" fillId="21" borderId="31" xfId="0" applyNumberFormat="1" applyFont="1" applyFill="1" applyBorder="1" applyAlignment="1">
      <alignment horizontal="center" vertical="center" wrapText="1"/>
    </xf>
    <xf numFmtId="0" fontId="6" fillId="21" borderId="32" xfId="0" applyFont="1" applyFill="1" applyBorder="1" applyAlignment="1">
      <alignment horizontal="center" vertical="center" wrapText="1"/>
    </xf>
    <xf numFmtId="0" fontId="6" fillId="21" borderId="34" xfId="0" applyFont="1" applyFill="1" applyBorder="1" applyAlignment="1">
      <alignment horizontal="center" vertical="center" wrapText="1"/>
    </xf>
    <xf numFmtId="0" fontId="6" fillId="21" borderId="35" xfId="0" applyFont="1" applyFill="1" applyBorder="1" applyAlignment="1">
      <alignment horizontal="center" vertical="center" wrapText="1"/>
    </xf>
    <xf numFmtId="0" fontId="4" fillId="8" borderId="31" xfId="0" applyFont="1" applyFill="1" applyBorder="1" applyAlignment="1">
      <alignment horizontal="center" vertical="center" wrapText="1"/>
    </xf>
    <xf numFmtId="0" fontId="4" fillId="8" borderId="33" xfId="0" applyFont="1" applyFill="1" applyBorder="1" applyAlignment="1">
      <alignment horizontal="center" vertical="center" wrapText="1"/>
    </xf>
    <xf numFmtId="0" fontId="4" fillId="8" borderId="34" xfId="0" applyFont="1" applyFill="1" applyBorder="1" applyAlignment="1">
      <alignment horizontal="center" vertical="center" wrapText="1"/>
    </xf>
    <xf numFmtId="0" fontId="6" fillId="21" borderId="2" xfId="0" applyFont="1" applyFill="1" applyBorder="1" applyAlignment="1">
      <alignment horizontal="center" vertical="center" wrapText="1"/>
    </xf>
    <xf numFmtId="0" fontId="6" fillId="21" borderId="4" xfId="0" applyFont="1" applyFill="1" applyBorder="1" applyAlignment="1">
      <alignment horizontal="center" vertical="center" wrapText="1"/>
    </xf>
    <xf numFmtId="0" fontId="6" fillId="21" borderId="7" xfId="0" applyFont="1" applyFill="1" applyBorder="1" applyAlignment="1">
      <alignment horizontal="center" vertical="center" wrapText="1"/>
    </xf>
    <xf numFmtId="0" fontId="6" fillId="21" borderId="19" xfId="0" applyFont="1" applyFill="1" applyBorder="1" applyAlignment="1">
      <alignment horizontal="center" vertical="center" wrapText="1"/>
    </xf>
    <xf numFmtId="0" fontId="4" fillId="8" borderId="3" xfId="0" applyFont="1" applyFill="1" applyBorder="1" applyAlignment="1">
      <alignment horizontal="center"/>
    </xf>
    <xf numFmtId="0" fontId="4" fillId="8" borderId="5" xfId="0" applyFont="1" applyFill="1" applyBorder="1" applyAlignment="1">
      <alignment horizontal="center"/>
    </xf>
    <xf numFmtId="0" fontId="4" fillId="8" borderId="6" xfId="0" applyFont="1" applyFill="1" applyBorder="1" applyAlignment="1">
      <alignment horizontal="center"/>
    </xf>
    <xf numFmtId="0" fontId="4" fillId="8" borderId="60" xfId="0" applyFont="1" applyFill="1" applyBorder="1" applyAlignment="1">
      <alignment horizontal="center" vertical="center" wrapText="1"/>
    </xf>
    <xf numFmtId="0" fontId="4" fillId="8" borderId="32" xfId="0" applyFont="1" applyFill="1" applyBorder="1" applyAlignment="1">
      <alignment horizontal="center" vertical="center" wrapText="1"/>
    </xf>
    <xf numFmtId="0" fontId="4" fillId="8" borderId="59" xfId="0" applyFont="1" applyFill="1" applyBorder="1" applyAlignment="1">
      <alignment horizontal="center" vertical="center" wrapText="1"/>
    </xf>
    <xf numFmtId="0" fontId="4" fillId="8" borderId="35" xfId="0" applyFont="1" applyFill="1" applyBorder="1" applyAlignment="1">
      <alignment horizontal="center" vertical="center" wrapText="1"/>
    </xf>
    <xf numFmtId="0" fontId="27" fillId="21"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7" xfId="0" applyFont="1" applyFill="1" applyBorder="1" applyAlignment="1">
      <alignment horizontal="center" vertical="center"/>
    </xf>
    <xf numFmtId="0" fontId="14" fillId="3" borderId="32"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4" fillId="3" borderId="35" xfId="0" applyFont="1" applyFill="1" applyBorder="1" applyAlignment="1">
      <alignment horizontal="center" vertical="center" wrapText="1"/>
    </xf>
    <xf numFmtId="17" fontId="43" fillId="8" borderId="3" xfId="0" applyNumberFormat="1" applyFont="1" applyFill="1" applyBorder="1" applyAlignment="1">
      <alignment horizontal="center"/>
    </xf>
    <xf numFmtId="17" fontId="43" fillId="8" borderId="5" xfId="0" applyNumberFormat="1" applyFont="1" applyFill="1" applyBorder="1" applyAlignment="1">
      <alignment horizontal="center"/>
    </xf>
    <xf numFmtId="17" fontId="43" fillId="8" borderId="6" xfId="0" applyNumberFormat="1" applyFont="1" applyFill="1" applyBorder="1" applyAlignment="1">
      <alignment horizontal="center"/>
    </xf>
    <xf numFmtId="17" fontId="4" fillId="8" borderId="31" xfId="0" applyNumberFormat="1" applyFont="1" applyFill="1" applyBorder="1" applyAlignment="1">
      <alignment horizontal="center" vertical="center" wrapText="1"/>
    </xf>
    <xf numFmtId="0" fontId="4" fillId="8" borderId="2"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8" borderId="7" xfId="0" applyFont="1" applyFill="1" applyBorder="1" applyAlignment="1">
      <alignment horizontal="center" vertical="center" wrapText="1"/>
    </xf>
    <xf numFmtId="0" fontId="15" fillId="8" borderId="32"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15" fillId="8" borderId="35" xfId="0" applyFont="1" applyFill="1" applyBorder="1" applyAlignment="1">
      <alignment horizontal="center" vertical="center" wrapText="1"/>
    </xf>
    <xf numFmtId="0" fontId="4" fillId="8" borderId="31" xfId="0" applyFont="1" applyFill="1" applyBorder="1" applyAlignment="1">
      <alignment horizontal="center" vertical="center"/>
    </xf>
    <xf numFmtId="0" fontId="4" fillId="8" borderId="60" xfId="0" applyFont="1" applyFill="1" applyBorder="1" applyAlignment="1">
      <alignment horizontal="center" vertical="center"/>
    </xf>
    <xf numFmtId="0" fontId="4" fillId="8" borderId="32" xfId="0" applyFont="1" applyFill="1" applyBorder="1" applyAlignment="1">
      <alignment horizontal="center" vertical="center"/>
    </xf>
    <xf numFmtId="0" fontId="4" fillId="8" borderId="34" xfId="0" applyFont="1" applyFill="1" applyBorder="1" applyAlignment="1">
      <alignment horizontal="center" vertical="center"/>
    </xf>
    <xf numFmtId="0" fontId="4" fillId="8" borderId="59" xfId="0" applyFont="1" applyFill="1" applyBorder="1" applyAlignment="1">
      <alignment horizontal="center" vertical="center"/>
    </xf>
    <xf numFmtId="0" fontId="4" fillId="8" borderId="35" xfId="0" applyFont="1" applyFill="1" applyBorder="1" applyAlignment="1">
      <alignment horizontal="center" vertical="center"/>
    </xf>
    <xf numFmtId="17" fontId="4" fillId="6" borderId="2" xfId="0" applyNumberFormat="1" applyFont="1" applyFill="1" applyBorder="1" applyAlignment="1">
      <alignment horizontal="center" vertical="center"/>
    </xf>
    <xf numFmtId="17" fontId="4" fillId="6" borderId="4" xfId="0" applyNumberFormat="1" applyFont="1" applyFill="1" applyBorder="1" applyAlignment="1">
      <alignment horizontal="center" vertical="center"/>
    </xf>
    <xf numFmtId="17" fontId="4" fillId="6" borderId="7" xfId="0" applyNumberFormat="1" applyFont="1" applyFill="1" applyBorder="1" applyAlignment="1">
      <alignment horizontal="center" vertical="center"/>
    </xf>
    <xf numFmtId="17" fontId="4" fillId="19" borderId="2" xfId="0" applyNumberFormat="1" applyFont="1" applyFill="1" applyBorder="1" applyAlignment="1">
      <alignment horizontal="center" vertical="center"/>
    </xf>
    <xf numFmtId="17" fontId="4" fillId="19" borderId="4" xfId="0" applyNumberFormat="1" applyFont="1" applyFill="1" applyBorder="1" applyAlignment="1">
      <alignment horizontal="center" vertical="center"/>
    </xf>
    <xf numFmtId="17" fontId="4" fillId="19" borderId="7" xfId="0" applyNumberFormat="1" applyFont="1" applyFill="1" applyBorder="1" applyAlignment="1">
      <alignment horizontal="center" vertical="center"/>
    </xf>
    <xf numFmtId="17" fontId="4" fillId="5" borderId="2" xfId="0" applyNumberFormat="1" applyFont="1" applyFill="1" applyBorder="1" applyAlignment="1">
      <alignment horizontal="center" vertical="center"/>
    </xf>
    <xf numFmtId="17" fontId="4" fillId="5" borderId="4" xfId="0" applyNumberFormat="1" applyFont="1" applyFill="1" applyBorder="1" applyAlignment="1">
      <alignment horizontal="center" vertical="center"/>
    </xf>
    <xf numFmtId="17" fontId="4" fillId="5" borderId="7" xfId="0" applyNumberFormat="1" applyFont="1" applyFill="1" applyBorder="1" applyAlignment="1">
      <alignment horizontal="center" vertical="center"/>
    </xf>
    <xf numFmtId="17" fontId="4" fillId="7" borderId="2" xfId="0" applyNumberFormat="1" applyFont="1" applyFill="1" applyBorder="1" applyAlignment="1">
      <alignment horizontal="center" vertical="center"/>
    </xf>
    <xf numFmtId="17" fontId="4" fillId="7" borderId="4" xfId="0" applyNumberFormat="1" applyFont="1" applyFill="1" applyBorder="1" applyAlignment="1">
      <alignment horizontal="center" vertical="center"/>
    </xf>
    <xf numFmtId="17" fontId="4" fillId="7" borderId="7" xfId="0" applyNumberFormat="1" applyFont="1" applyFill="1" applyBorder="1" applyAlignment="1">
      <alignment horizontal="center" vertical="center"/>
    </xf>
    <xf numFmtId="17" fontId="4" fillId="25" borderId="2" xfId="0" applyNumberFormat="1" applyFont="1" applyFill="1" applyBorder="1" applyAlignment="1">
      <alignment horizontal="center" vertical="center"/>
    </xf>
    <xf numFmtId="17" fontId="4" fillId="25" borderId="4" xfId="0" applyNumberFormat="1" applyFont="1" applyFill="1" applyBorder="1" applyAlignment="1">
      <alignment horizontal="center" vertical="center"/>
    </xf>
    <xf numFmtId="17" fontId="4" fillId="25" borderId="7" xfId="0" applyNumberFormat="1" applyFont="1" applyFill="1" applyBorder="1" applyAlignment="1">
      <alignment horizontal="center" vertical="center"/>
    </xf>
    <xf numFmtId="164" fontId="4" fillId="8" borderId="31" xfId="1" applyFont="1" applyFill="1" applyBorder="1" applyAlignment="1">
      <alignment horizontal="center" vertical="center"/>
    </xf>
    <xf numFmtId="164" fontId="4" fillId="8" borderId="60" xfId="1" applyFont="1" applyFill="1" applyBorder="1" applyAlignment="1">
      <alignment horizontal="center" vertical="center"/>
    </xf>
    <xf numFmtId="164" fontId="4" fillId="8" borderId="32" xfId="1" applyFont="1" applyFill="1" applyBorder="1" applyAlignment="1">
      <alignment horizontal="center" vertical="center"/>
    </xf>
    <xf numFmtId="164" fontId="4" fillId="8" borderId="34" xfId="1" applyFont="1" applyFill="1" applyBorder="1" applyAlignment="1">
      <alignment horizontal="center" vertical="center"/>
    </xf>
    <xf numFmtId="164" fontId="4" fillId="8" borderId="59" xfId="1" applyFont="1" applyFill="1" applyBorder="1" applyAlignment="1">
      <alignment horizontal="center" vertical="center"/>
    </xf>
    <xf numFmtId="164" fontId="4" fillId="8" borderId="35" xfId="1" applyFont="1" applyFill="1" applyBorder="1" applyAlignment="1">
      <alignment horizontal="center" vertical="center"/>
    </xf>
    <xf numFmtId="164" fontId="14" fillId="3" borderId="32" xfId="1" applyFont="1" applyFill="1" applyBorder="1" applyAlignment="1">
      <alignment horizontal="center" vertical="center" wrapText="1"/>
    </xf>
    <xf numFmtId="164" fontId="14" fillId="3" borderId="19" xfId="1" applyFont="1" applyFill="1" applyBorder="1" applyAlignment="1">
      <alignment horizontal="center" vertical="center" wrapText="1"/>
    </xf>
    <xf numFmtId="164" fontId="14" fillId="3" borderId="35" xfId="1" applyFont="1" applyFill="1" applyBorder="1" applyAlignment="1">
      <alignment horizontal="center" vertical="center" wrapText="1"/>
    </xf>
    <xf numFmtId="164" fontId="4" fillId="8" borderId="2" xfId="1" applyFont="1" applyFill="1" applyBorder="1" applyAlignment="1">
      <alignment horizontal="center" vertical="center" wrapText="1"/>
    </xf>
    <xf numFmtId="164" fontId="4" fillId="8" borderId="4" xfId="1" applyFont="1" applyFill="1" applyBorder="1" applyAlignment="1">
      <alignment horizontal="center" vertical="center" wrapText="1"/>
    </xf>
    <xf numFmtId="0" fontId="7" fillId="8" borderId="31" xfId="0" applyFont="1" applyFill="1" applyBorder="1" applyAlignment="1">
      <alignment horizontal="center" vertical="center"/>
    </xf>
    <xf numFmtId="0" fontId="7" fillId="8" borderId="60" xfId="0" applyFont="1" applyFill="1" applyBorder="1" applyAlignment="1">
      <alignment horizontal="center" vertical="center"/>
    </xf>
    <xf numFmtId="0" fontId="7" fillId="8" borderId="32" xfId="0" applyFont="1" applyFill="1" applyBorder="1" applyAlignment="1">
      <alignment horizontal="center" vertical="center"/>
    </xf>
    <xf numFmtId="0" fontId="7" fillId="8" borderId="34" xfId="0" applyFont="1" applyFill="1" applyBorder="1" applyAlignment="1">
      <alignment horizontal="center" vertical="center"/>
    </xf>
    <xf numFmtId="0" fontId="7" fillId="8" borderId="59" xfId="0" applyFont="1" applyFill="1" applyBorder="1" applyAlignment="1">
      <alignment horizontal="center" vertical="center"/>
    </xf>
    <xf numFmtId="0" fontId="7" fillId="8" borderId="35" xfId="0" applyFont="1" applyFill="1" applyBorder="1" applyAlignment="1">
      <alignment horizontal="center" vertical="center"/>
    </xf>
    <xf numFmtId="0" fontId="7" fillId="8" borderId="1" xfId="0" applyFont="1" applyFill="1" applyBorder="1" applyAlignment="1">
      <alignment horizontal="center" vertical="center" wrapText="1"/>
    </xf>
    <xf numFmtId="0" fontId="7" fillId="8" borderId="2" xfId="0" applyFont="1" applyFill="1" applyBorder="1" applyAlignment="1">
      <alignment horizontal="center" vertical="center"/>
    </xf>
    <xf numFmtId="0" fontId="7" fillId="8" borderId="4" xfId="0" applyFont="1" applyFill="1" applyBorder="1" applyAlignment="1">
      <alignment horizontal="center" vertical="center"/>
    </xf>
    <xf numFmtId="0" fontId="7" fillId="8" borderId="7" xfId="0" applyFont="1" applyFill="1" applyBorder="1" applyAlignment="1">
      <alignment horizontal="center" vertical="center"/>
    </xf>
    <xf numFmtId="0" fontId="7" fillId="8" borderId="2" xfId="0" applyFont="1" applyFill="1" applyBorder="1" applyAlignment="1">
      <alignment horizontal="center" vertical="center" wrapText="1"/>
    </xf>
    <xf numFmtId="0" fontId="7" fillId="8" borderId="4" xfId="0" applyFont="1" applyFill="1" applyBorder="1" applyAlignment="1">
      <alignment horizontal="center" vertical="center" wrapText="1"/>
    </xf>
    <xf numFmtId="0" fontId="7" fillId="8" borderId="7" xfId="0" applyFont="1" applyFill="1" applyBorder="1" applyAlignment="1">
      <alignment horizontal="center" vertical="center" wrapText="1"/>
    </xf>
    <xf numFmtId="4" fontId="7" fillId="8" borderId="31" xfId="0" applyNumberFormat="1" applyFont="1" applyFill="1" applyBorder="1" applyAlignment="1">
      <alignment horizontal="center" vertical="center"/>
    </xf>
    <xf numFmtId="4" fontId="7" fillId="8" borderId="32" xfId="0" applyNumberFormat="1" applyFont="1" applyFill="1" applyBorder="1" applyAlignment="1">
      <alignment horizontal="center" vertical="center"/>
    </xf>
    <xf numFmtId="4" fontId="7" fillId="8" borderId="34" xfId="0" applyNumberFormat="1" applyFont="1" applyFill="1" applyBorder="1" applyAlignment="1">
      <alignment horizontal="center" vertical="center"/>
    </xf>
    <xf numFmtId="4" fontId="7" fillId="8" borderId="35" xfId="0" applyNumberFormat="1" applyFont="1" applyFill="1" applyBorder="1" applyAlignment="1">
      <alignment horizontal="center" vertical="center"/>
    </xf>
    <xf numFmtId="17" fontId="4" fillId="28" borderId="2" xfId="0" applyNumberFormat="1" applyFont="1" applyFill="1" applyBorder="1" applyAlignment="1">
      <alignment horizontal="center" vertical="center"/>
    </xf>
    <xf numFmtId="17" fontId="4" fillId="28" borderId="4" xfId="0" applyNumberFormat="1" applyFont="1" applyFill="1" applyBorder="1" applyAlignment="1">
      <alignment horizontal="center" vertical="center"/>
    </xf>
    <xf numFmtId="17" fontId="4" fillId="28" borderId="7" xfId="0" applyNumberFormat="1" applyFont="1" applyFill="1" applyBorder="1" applyAlignment="1">
      <alignment horizontal="center" vertical="center"/>
    </xf>
    <xf numFmtId="0" fontId="19" fillId="2" borderId="2" xfId="0" applyFont="1" applyFill="1" applyBorder="1" applyAlignment="1">
      <alignment horizontal="center" vertical="center" wrapText="1"/>
    </xf>
    <xf numFmtId="0" fontId="19" fillId="2" borderId="4"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3" fillId="11" borderId="3" xfId="0" applyFont="1" applyFill="1" applyBorder="1" applyAlignment="1">
      <alignment horizontal="center" vertical="center"/>
    </xf>
    <xf numFmtId="0" fontId="3" fillId="11" borderId="6" xfId="0" applyFont="1" applyFill="1" applyBorder="1" applyAlignment="1">
      <alignment horizontal="center" vertical="center"/>
    </xf>
    <xf numFmtId="0" fontId="3" fillId="11" borderId="3" xfId="0" applyFont="1" applyFill="1" applyBorder="1" applyAlignment="1">
      <alignment horizontal="center"/>
    </xf>
    <xf numFmtId="0" fontId="3" fillId="11" borderId="6" xfId="0" applyFont="1" applyFill="1" applyBorder="1" applyAlignment="1">
      <alignment horizontal="center"/>
    </xf>
    <xf numFmtId="0" fontId="7" fillId="8"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7"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5" xfId="0" applyFont="1" applyFill="1" applyBorder="1" applyAlignment="1">
      <alignment horizontal="center" vertical="center"/>
    </xf>
    <xf numFmtId="0" fontId="19" fillId="3" borderId="2"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3" fillId="11" borderId="3" xfId="0" applyFont="1" applyFill="1" applyBorder="1" applyAlignment="1">
      <alignment horizontal="left"/>
    </xf>
    <xf numFmtId="0" fontId="3" fillId="11" borderId="6" xfId="0" applyFont="1" applyFill="1" applyBorder="1" applyAlignment="1">
      <alignment horizontal="left"/>
    </xf>
    <xf numFmtId="164" fontId="7" fillId="8" borderId="2" xfId="1" applyFont="1" applyFill="1" applyBorder="1" applyAlignment="1">
      <alignment horizontal="center" vertical="center" wrapText="1"/>
    </xf>
    <xf numFmtId="164" fontId="7" fillId="8" borderId="4" xfId="1" applyFont="1" applyFill="1" applyBorder="1" applyAlignment="1">
      <alignment horizontal="center" vertical="center" wrapText="1"/>
    </xf>
    <xf numFmtId="164" fontId="7" fillId="8" borderId="7" xfId="1" applyFont="1" applyFill="1" applyBorder="1" applyAlignment="1">
      <alignment horizontal="center" vertical="center"/>
    </xf>
    <xf numFmtId="4" fontId="7" fillId="8" borderId="31" xfId="0" applyNumberFormat="1" applyFont="1" applyFill="1" applyBorder="1" applyAlignment="1">
      <alignment horizontal="center" vertical="center" wrapText="1"/>
    </xf>
    <xf numFmtId="4" fontId="7" fillId="8" borderId="32" xfId="0" applyNumberFormat="1" applyFont="1" applyFill="1" applyBorder="1" applyAlignment="1">
      <alignment horizontal="center" vertical="center" wrapText="1"/>
    </xf>
    <xf numFmtId="4" fontId="7" fillId="8" borderId="34" xfId="0" applyNumberFormat="1" applyFont="1" applyFill="1" applyBorder="1" applyAlignment="1">
      <alignment horizontal="center" vertical="center" wrapText="1"/>
    </xf>
    <xf numFmtId="4" fontId="7" fillId="8" borderId="35" xfId="0" applyNumberFormat="1" applyFont="1" applyFill="1" applyBorder="1" applyAlignment="1">
      <alignment horizontal="center" vertical="center" wrapText="1"/>
    </xf>
    <xf numFmtId="0" fontId="7" fillId="8" borderId="6"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7" xfId="0" applyFont="1" applyFill="1" applyBorder="1" applyAlignment="1">
      <alignment horizontal="center" vertical="center"/>
    </xf>
    <xf numFmtId="17" fontId="4" fillId="27" borderId="2" xfId="0" applyNumberFormat="1" applyFont="1" applyFill="1" applyBorder="1" applyAlignment="1">
      <alignment horizontal="center" vertical="center"/>
    </xf>
    <xf numFmtId="17" fontId="4" fillId="27" borderId="4" xfId="0" applyNumberFormat="1" applyFont="1" applyFill="1" applyBorder="1" applyAlignment="1">
      <alignment horizontal="center" vertical="center"/>
    </xf>
    <xf numFmtId="17" fontId="4" fillId="27" borderId="7" xfId="0" applyNumberFormat="1" applyFont="1" applyFill="1" applyBorder="1" applyAlignment="1">
      <alignment horizontal="center" vertical="center"/>
    </xf>
    <xf numFmtId="0" fontId="30" fillId="2" borderId="45" xfId="5" applyFont="1" applyFill="1" applyBorder="1" applyAlignment="1">
      <alignment horizontal="center"/>
    </xf>
    <xf numFmtId="0" fontId="30" fillId="2" borderId="99" xfId="5" applyFont="1" applyFill="1" applyBorder="1" applyAlignment="1">
      <alignment horizontal="center"/>
    </xf>
    <xf numFmtId="0" fontId="30" fillId="2" borderId="46" xfId="5" applyFont="1" applyFill="1" applyBorder="1" applyAlignment="1">
      <alignment horizontal="center"/>
    </xf>
    <xf numFmtId="0" fontId="30" fillId="2" borderId="47" xfId="5" applyFont="1" applyFill="1" applyBorder="1" applyAlignment="1">
      <alignment horizontal="center"/>
    </xf>
    <xf numFmtId="0" fontId="30" fillId="2" borderId="0" xfId="5" applyFont="1" applyFill="1" applyAlignment="1">
      <alignment horizontal="center"/>
    </xf>
    <xf numFmtId="0" fontId="30" fillId="2" borderId="48" xfId="5" applyFont="1" applyFill="1" applyBorder="1" applyAlignment="1">
      <alignment horizontal="center"/>
    </xf>
    <xf numFmtId="0" fontId="30" fillId="2" borderId="49" xfId="5" applyFont="1" applyFill="1" applyBorder="1" applyAlignment="1">
      <alignment horizontal="center"/>
    </xf>
    <xf numFmtId="0" fontId="30" fillId="2" borderId="72" xfId="5" applyFont="1" applyFill="1" applyBorder="1" applyAlignment="1">
      <alignment horizontal="center"/>
    </xf>
    <xf numFmtId="0" fontId="30" fillId="2" borderId="50" xfId="5" applyFont="1" applyFill="1" applyBorder="1" applyAlignment="1">
      <alignment horizontal="center"/>
    </xf>
    <xf numFmtId="164" fontId="2" fillId="17" borderId="109" xfId="1" applyFont="1" applyFill="1" applyBorder="1" applyAlignment="1">
      <alignment horizontal="center"/>
    </xf>
    <xf numFmtId="164" fontId="2" fillId="17" borderId="52" xfId="1" applyFont="1" applyFill="1" applyBorder="1" applyAlignment="1">
      <alignment horizontal="center"/>
    </xf>
    <xf numFmtId="0" fontId="5" fillId="17" borderId="100" xfId="0" applyFont="1" applyFill="1" applyBorder="1" applyAlignment="1">
      <alignment horizontal="left" vertical="center"/>
    </xf>
    <xf numFmtId="0" fontId="5" fillId="17" borderId="102" xfId="0" applyFont="1" applyFill="1" applyBorder="1" applyAlignment="1">
      <alignment horizontal="left" vertical="center"/>
    </xf>
    <xf numFmtId="0" fontId="30" fillId="2" borderId="99" xfId="5" applyFont="1" applyFill="1" applyBorder="1" applyAlignment="1">
      <alignment horizontal="left" vertical="center" wrapText="1"/>
    </xf>
    <xf numFmtId="0" fontId="2" fillId="17" borderId="110" xfId="0" applyFont="1" applyFill="1" applyBorder="1" applyAlignment="1">
      <alignment horizontal="center" vertical="center"/>
    </xf>
    <xf numFmtId="0" fontId="2" fillId="17" borderId="101" xfId="0" applyFont="1" applyFill="1" applyBorder="1" applyAlignment="1">
      <alignment horizontal="center" vertical="center"/>
    </xf>
    <xf numFmtId="0" fontId="30" fillId="0" borderId="45" xfId="5" applyFont="1" applyBorder="1" applyAlignment="1">
      <alignment horizontal="center"/>
    </xf>
    <xf numFmtId="0" fontId="30" fillId="0" borderId="99" xfId="5" applyFont="1" applyBorder="1" applyAlignment="1">
      <alignment horizontal="center"/>
    </xf>
    <xf numFmtId="0" fontId="30" fillId="0" borderId="46" xfId="5" applyFont="1" applyBorder="1" applyAlignment="1">
      <alignment horizontal="center"/>
    </xf>
    <xf numFmtId="0" fontId="30" fillId="0" borderId="47" xfId="5" applyFont="1" applyBorder="1" applyAlignment="1">
      <alignment horizontal="center"/>
    </xf>
    <xf numFmtId="0" fontId="30" fillId="0" borderId="0" xfId="5" applyFont="1" applyAlignment="1">
      <alignment horizontal="center"/>
    </xf>
    <xf numFmtId="0" fontId="30" fillId="0" borderId="48" xfId="5" applyFont="1" applyBorder="1" applyAlignment="1">
      <alignment horizontal="center"/>
    </xf>
    <xf numFmtId="0" fontId="30" fillId="0" borderId="49" xfId="5" applyFont="1" applyBorder="1" applyAlignment="1">
      <alignment horizontal="center"/>
    </xf>
    <xf numFmtId="0" fontId="30" fillId="0" borderId="72" xfId="5" applyFont="1" applyBorder="1" applyAlignment="1">
      <alignment horizontal="center"/>
    </xf>
    <xf numFmtId="0" fontId="30" fillId="0" borderId="50" xfId="5" applyFont="1" applyBorder="1" applyAlignment="1">
      <alignment horizontal="center"/>
    </xf>
    <xf numFmtId="17" fontId="43" fillId="8" borderId="1" xfId="0" applyNumberFormat="1" applyFont="1" applyFill="1" applyBorder="1" applyAlignment="1">
      <alignment horizontal="center"/>
    </xf>
    <xf numFmtId="0" fontId="15" fillId="26" borderId="2" xfId="0" applyFont="1" applyFill="1" applyBorder="1" applyAlignment="1">
      <alignment horizontal="center"/>
    </xf>
    <xf numFmtId="0" fontId="4" fillId="26" borderId="32" xfId="0" applyFont="1" applyFill="1" applyBorder="1"/>
    <xf numFmtId="0" fontId="15" fillId="26" borderId="1" xfId="0" applyFont="1" applyFill="1" applyBorder="1" applyAlignment="1">
      <alignment horizontal="center"/>
    </xf>
    <xf numFmtId="164" fontId="5" fillId="26" borderId="0" xfId="1" applyFont="1" applyFill="1"/>
    <xf numFmtId="0" fontId="4" fillId="26" borderId="60" xfId="0" applyFont="1" applyFill="1" applyBorder="1"/>
    <xf numFmtId="0" fontId="15" fillId="0" borderId="2" xfId="0" applyFont="1" applyBorder="1" applyAlignment="1">
      <alignment horizontal="center"/>
    </xf>
    <xf numFmtId="0" fontId="4" fillId="2" borderId="32" xfId="0" applyFont="1" applyFill="1" applyBorder="1"/>
    <xf numFmtId="0" fontId="15" fillId="0" borderId="1" xfId="0" applyFont="1" applyBorder="1" applyAlignment="1">
      <alignment horizontal="center"/>
    </xf>
    <xf numFmtId="164" fontId="4" fillId="0" borderId="2" xfId="1" applyFont="1" applyBorder="1" applyAlignment="1">
      <alignment horizontal="center"/>
    </xf>
    <xf numFmtId="0" fontId="4" fillId="0" borderId="2" xfId="0" applyFont="1" applyBorder="1" applyAlignment="1">
      <alignment horizontal="center"/>
    </xf>
    <xf numFmtId="0" fontId="15" fillId="2" borderId="1" xfId="0" applyFont="1" applyFill="1" applyBorder="1" applyAlignment="1">
      <alignment horizontal="center"/>
    </xf>
    <xf numFmtId="0" fontId="15" fillId="25" borderId="1" xfId="0" applyFont="1" applyFill="1" applyBorder="1" applyAlignment="1">
      <alignment horizontal="center"/>
    </xf>
    <xf numFmtId="0" fontId="4" fillId="25" borderId="32" xfId="0" applyFont="1" applyFill="1" applyBorder="1"/>
    <xf numFmtId="164" fontId="5" fillId="25" borderId="2" xfId="1" applyFont="1" applyFill="1" applyBorder="1"/>
    <xf numFmtId="0" fontId="3" fillId="25" borderId="0" xfId="0" applyFont="1" applyFill="1" applyAlignment="1">
      <alignment vertical="center"/>
    </xf>
    <xf numFmtId="164" fontId="5" fillId="25" borderId="0" xfId="1" applyFont="1" applyFill="1"/>
    <xf numFmtId="0" fontId="3" fillId="25" borderId="0" xfId="0" applyFont="1" applyFill="1" applyAlignment="1">
      <alignment horizontal="center" vertical="center"/>
    </xf>
    <xf numFmtId="0" fontId="5" fillId="25" borderId="0" xfId="0" applyFont="1" applyFill="1"/>
    <xf numFmtId="164" fontId="19" fillId="25" borderId="0" xfId="1" applyFont="1" applyFill="1"/>
    <xf numFmtId="164" fontId="5" fillId="25" borderId="70" xfId="1" applyFont="1" applyFill="1" applyBorder="1"/>
    <xf numFmtId="10" fontId="5" fillId="25" borderId="0" xfId="2" applyNumberFormat="1" applyFont="1" applyFill="1"/>
    <xf numFmtId="181" fontId="7" fillId="3" borderId="6" xfId="1" applyNumberFormat="1" applyFont="1" applyFill="1" applyBorder="1"/>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7" xfId="0" applyFont="1" applyFill="1" applyBorder="1" applyAlignment="1">
      <alignment horizontal="center" vertical="center" wrapText="1"/>
    </xf>
    <xf numFmtId="17" fontId="4" fillId="24" borderId="2" xfId="0" applyNumberFormat="1" applyFont="1" applyFill="1" applyBorder="1" applyAlignment="1">
      <alignment horizontal="center" vertical="center"/>
    </xf>
    <xf numFmtId="17" fontId="4" fillId="24" borderId="4" xfId="0" applyNumberFormat="1" applyFont="1" applyFill="1" applyBorder="1" applyAlignment="1">
      <alignment horizontal="center" vertical="center"/>
    </xf>
    <xf numFmtId="17" fontId="4" fillId="24" borderId="7" xfId="0" applyNumberFormat="1" applyFont="1" applyFill="1" applyBorder="1" applyAlignment="1">
      <alignment horizontal="center" vertical="center"/>
    </xf>
    <xf numFmtId="164" fontId="7" fillId="24" borderId="1" xfId="1" applyFont="1" applyFill="1" applyBorder="1"/>
  </cellXfs>
  <cellStyles count="16">
    <cellStyle name="_x0004_¥ 3" xfId="4" xr:uid="{00000000-0005-0000-0000-000000000000}"/>
    <cellStyle name="Hipervínculo" xfId="8" builtinId="8"/>
    <cellStyle name="Millares" xfId="1" builtinId="3"/>
    <cellStyle name="Millares 2" xfId="13" xr:uid="{00000000-0005-0000-0000-000003000000}"/>
    <cellStyle name="Millares 2 2 2 20" xfId="11" xr:uid="{00000000-0005-0000-0000-000004000000}"/>
    <cellStyle name="Millares 3" xfId="15" xr:uid="{5043345D-CF91-4628-8932-553025DFE1CE}"/>
    <cellStyle name="Millares 35 10 2" xfId="3" xr:uid="{00000000-0005-0000-0000-000005000000}"/>
    <cellStyle name="Normal" xfId="0" builtinId="0"/>
    <cellStyle name="Normal 10" xfId="5" xr:uid="{00000000-0005-0000-0000-000007000000}"/>
    <cellStyle name="Normal 18 2" xfId="12" xr:uid="{00000000-0005-0000-0000-000008000000}"/>
    <cellStyle name="Normal 24" xfId="9" xr:uid="{00000000-0005-0000-0000-000009000000}"/>
    <cellStyle name="Normal 3" xfId="14" xr:uid="{00000000-0005-0000-0000-00000A000000}"/>
    <cellStyle name="Normal 4 10 2 2" xfId="10" xr:uid="{00000000-0005-0000-0000-00000B000000}"/>
    <cellStyle name="Porcentaje" xfId="2" builtinId="5"/>
    <cellStyle name="Porcentaje 2" xfId="6" xr:uid="{00000000-0005-0000-0000-00000D000000}"/>
    <cellStyle name="Porcentual 3" xfId="7" xr:uid="{00000000-0005-0000-0000-00000E000000}"/>
  </cellStyles>
  <dxfs count="42">
    <dxf>
      <font>
        <color rgb="FF9C0006"/>
      </font>
      <fill>
        <patternFill>
          <bgColor rgb="FFFFC7CE"/>
        </patternFill>
      </fill>
    </dxf>
    <dxf>
      <font>
        <color rgb="FF9C0006"/>
      </font>
      <fill>
        <patternFill>
          <bgColor rgb="FFFFC7CE"/>
        </patternFill>
      </fill>
    </dxf>
    <dxf>
      <font>
        <b/>
        <i val="0"/>
      </font>
      <fill>
        <patternFill>
          <bgColor rgb="FFC00000"/>
        </patternFill>
      </fill>
    </dxf>
    <dxf>
      <font>
        <b/>
        <i val="0"/>
      </font>
      <fill>
        <patternFill>
          <bgColor theme="5" tint="0.39994506668294322"/>
        </patternFill>
      </fill>
    </dxf>
    <dxf>
      <font>
        <b/>
        <i val="0"/>
      </font>
      <fill>
        <patternFill>
          <bgColor theme="7" tint="0.59996337778862885"/>
        </patternFill>
      </fill>
    </dxf>
    <dxf>
      <font>
        <b/>
        <i val="0"/>
      </font>
      <fill>
        <patternFill>
          <bgColor theme="6" tint="0.79998168889431442"/>
        </patternFill>
      </fill>
    </dxf>
    <dxf>
      <font>
        <b/>
        <i val="0"/>
      </font>
      <fill>
        <patternFill>
          <bgColor rgb="FF92D05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b/>
        <i val="0"/>
      </font>
      <fill>
        <patternFill>
          <bgColor rgb="FFC00000"/>
        </patternFill>
      </fill>
    </dxf>
    <dxf>
      <font>
        <b/>
        <i val="0"/>
      </font>
      <fill>
        <patternFill>
          <bgColor theme="5" tint="0.39994506668294322"/>
        </patternFill>
      </fill>
    </dxf>
    <dxf>
      <font>
        <b/>
        <i val="0"/>
      </font>
      <fill>
        <patternFill>
          <bgColor theme="7" tint="0.59996337778862885"/>
        </patternFill>
      </fill>
    </dxf>
    <dxf>
      <font>
        <b/>
        <i val="0"/>
      </font>
      <fill>
        <patternFill>
          <bgColor theme="6" tint="0.79998168889431442"/>
        </patternFill>
      </fill>
    </dxf>
    <dxf>
      <font>
        <b/>
        <i val="0"/>
      </font>
      <fill>
        <patternFill>
          <bgColor rgb="FF92D05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font>
      <fill>
        <patternFill>
          <bgColor rgb="FFC00000"/>
        </patternFill>
      </fill>
    </dxf>
    <dxf>
      <font>
        <b/>
        <i val="0"/>
      </font>
      <fill>
        <patternFill>
          <bgColor theme="5" tint="0.39994506668294322"/>
        </patternFill>
      </fill>
    </dxf>
    <dxf>
      <font>
        <b/>
        <i val="0"/>
      </font>
      <fill>
        <patternFill>
          <bgColor theme="7" tint="0.59996337778862885"/>
        </patternFill>
      </fill>
    </dxf>
    <dxf>
      <font>
        <b/>
        <i val="0"/>
      </font>
      <fill>
        <patternFill>
          <bgColor theme="6" tint="0.79998168889431442"/>
        </patternFill>
      </fill>
    </dxf>
    <dxf>
      <font>
        <b/>
        <i val="0"/>
      </font>
      <fill>
        <patternFill>
          <bgColor rgb="FF92D050"/>
        </patternFill>
      </fill>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s>
  <tableStyles count="0" defaultTableStyle="TableStyleMedium2" defaultPivotStyle="PivotStyleLight16"/>
  <colors>
    <mruColors>
      <color rgb="FFF2F490"/>
      <color rgb="FFDBDBDB"/>
      <color rgb="FFBBDCA4"/>
      <color rgb="FFC9DAA6"/>
      <color rgb="FFB8CF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s-PE"/>
              <a:t>RESULTADO OPERATIVO</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manualLayout>
          <c:layoutTarget val="inner"/>
          <c:xMode val="edge"/>
          <c:yMode val="edge"/>
          <c:x val="5.2127716575719671E-2"/>
          <c:y val="0.12915943580706801"/>
          <c:w val="0.90792671061934582"/>
          <c:h val="0.80020254509991362"/>
        </c:manualLayout>
      </c:layout>
      <c:barChart>
        <c:barDir val="col"/>
        <c:grouping val="clustered"/>
        <c:varyColors val="0"/>
        <c:ser>
          <c:idx val="0"/>
          <c:order val="0"/>
          <c:tx>
            <c:v>Venta</c:v>
          </c:tx>
          <c:spPr>
            <a:solidFill>
              <a:schemeClr val="accent1"/>
            </a:solidFill>
            <a:ln>
              <a:noFill/>
            </a:ln>
            <a:effectLst/>
          </c:spPr>
          <c:invertIfNegative val="0"/>
          <c:dLbls>
            <c:dLbl>
              <c:idx val="0"/>
              <c:layout>
                <c:manualLayout>
                  <c:x val="-2.0032750143520194E-2"/>
                  <c:y val="-2.11267605633801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03-4DF0-9E98-B80A68EB4002}"/>
                </c:ext>
              </c:extLst>
            </c:dLbl>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(RG!$K$3,RG!$N$5:$R$5,RG!$S$4,RG!$U$5,RG!$V$5,RG!$W$5,RG!$L$3,RG!$Z$5,RG!$AF$5)</c15:sqref>
                  </c15:fullRef>
                </c:ext>
              </c:extLst>
              <c:f>(RG!$K$3,RG!$P$5:$R$5,RG!$S$4,RG!$U$5,RG!$V$5,RG!$W$5,RG!$L$3,RG!$Z$5,RG!$AF$5)</c:f>
              <c:strCache>
                <c:ptCount val="11"/>
                <c:pt idx="0">
                  <c:v>ACUMULADO DE OBRA</c:v>
                </c:pt>
                <c:pt idx="1">
                  <c:v>Ene-25</c:v>
                </c:pt>
                <c:pt idx="2">
                  <c:v>Feb-25</c:v>
                </c:pt>
                <c:pt idx="3">
                  <c:v>Mar-25</c:v>
                </c:pt>
                <c:pt idx="4">
                  <c:v>Saldo del Ejercicio</c:v>
                </c:pt>
                <c:pt idx="5">
                  <c:v>2026</c:v>
                </c:pt>
                <c:pt idx="6">
                  <c:v>2027</c:v>
                </c:pt>
                <c:pt idx="7">
                  <c:v>2028</c:v>
                </c:pt>
                <c:pt idx="8">
                  <c:v>SALDO DE OBRA</c:v>
                </c:pt>
                <c:pt idx="9">
                  <c:v>RO con Venta Aprobada a la Fecha</c:v>
                </c:pt>
                <c:pt idx="10">
                  <c:v>Presupuesto</c:v>
                </c:pt>
              </c:strCache>
            </c:strRef>
          </c:cat>
          <c:val>
            <c:numRef>
              <c:extLst>
                <c:ext xmlns:c15="http://schemas.microsoft.com/office/drawing/2012/chart" uri="{02D57815-91ED-43cb-92C2-25804820EDAC}">
                  <c15:fullRef>
                    <c15:sqref>(RG!$K$7,RG!$N$7:$R$7,RG!$S$7,RG!$U$7,RG!$V$7,RG!$W$7,RG!$L$7,RG!$Z$7,RG!$AF$7)</c15:sqref>
                  </c15:fullRef>
                </c:ext>
              </c:extLst>
              <c:f>(RG!$K$7,RG!$P$7:$R$7,RG!$S$7,RG!$U$7,RG!$V$7,RG!$W$7,RG!$L$7,RG!$Z$7,RG!$AF$7)</c:f>
              <c:numCache>
                <c:formatCode>_ * #,##0.00_ ;_ * \-#,##0.00_ ;_ * "-"??_ ;_ @_ </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3B03-4DF0-9E98-B80A68EB4002}"/>
            </c:ext>
          </c:extLst>
        </c:ser>
        <c:ser>
          <c:idx val="1"/>
          <c:order val="1"/>
          <c:tx>
            <c:v>Costo</c:v>
          </c:tx>
          <c:spPr>
            <a:solidFill>
              <a:schemeClr val="accent2"/>
            </a:solidFill>
            <a:ln>
              <a:noFill/>
            </a:ln>
            <a:effectLst/>
          </c:spPr>
          <c:invertIfNegative val="0"/>
          <c:dLbls>
            <c:dLbl>
              <c:idx val="0"/>
              <c:layout>
                <c:manualLayout>
                  <c:x val="-3.5340879000294464E-2"/>
                  <c:y val="-3.5211267605633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03-4DF0-9E98-B80A68EB4002}"/>
                </c:ext>
              </c:extLst>
            </c:dLbl>
            <c:dLbl>
              <c:idx val="301"/>
              <c:layout>
                <c:manualLayout>
                  <c:x val="1.6142050040355085E-2"/>
                  <c:y val="-1.721419863619604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03-4DF0-9E98-B80A68EB4002}"/>
                </c:ext>
              </c:extLst>
            </c:dLbl>
            <c:dLbl>
              <c:idx val="302"/>
              <c:layout>
                <c:manualLayout>
                  <c:x val="1.1299435028248548E-2"/>
                  <c:y val="-2.34741784037558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03-4DF0-9E98-B80A68EB4002}"/>
                </c:ext>
              </c:extLst>
            </c:dLbl>
            <c:dLbl>
              <c:idx val="303"/>
              <c:layout>
                <c:manualLayout>
                  <c:x val="6.9948883508205544E-3"/>
                  <c:y val="-1.721419863619604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03-4DF0-9E98-B80A68EB4002}"/>
                </c:ext>
              </c:extLst>
            </c:dLbl>
            <c:dLbl>
              <c:idx val="304"/>
              <c:layout>
                <c:manualLayout>
                  <c:x val="1.3451708366962604E-2"/>
                  <c:y val="-7.04225352112693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03-4DF0-9E98-B80A68EB4002}"/>
                </c:ext>
              </c:extLst>
            </c:dLbl>
            <c:dLbl>
              <c:idx val="305"/>
              <c:layout>
                <c:manualLayout>
                  <c:x val="8.6090933548560664E-3"/>
                  <c:y val="-8.607099318098023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03-4DF0-9E98-B80A68EB4002}"/>
                </c:ext>
              </c:extLst>
            </c:dLbl>
            <c:dLbl>
              <c:idx val="306"/>
              <c:layout>
                <c:manualLayout>
                  <c:x val="1.1837503362927012E-2"/>
                  <c:y val="8.607099318098023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03-4DF0-9E98-B80A68EB4002}"/>
                </c:ext>
              </c:extLst>
            </c:dLbl>
            <c:dLbl>
              <c:idx val="307"/>
              <c:layout>
                <c:manualLayout>
                  <c:x val="1.29136400322841E-2"/>
                  <c:y val="-9.389671361502347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03-4DF0-9E98-B80A68EB4002}"/>
                </c:ext>
              </c:extLst>
            </c:dLbl>
            <c:dLbl>
              <c:idx val="309"/>
              <c:layout>
                <c:manualLayout>
                  <c:x val="8.6090933548560664E-3"/>
                  <c:y val="-2.34741784037558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03-4DF0-9E98-B80A68EB4002}"/>
                </c:ext>
              </c:extLst>
            </c:dLbl>
            <c:dLbl>
              <c:idx val="337"/>
              <c:layout>
                <c:manualLayout>
                  <c:x val="1.3902533207578133E-2"/>
                  <c:y val="1.069441263254335E-2"/>
                </c:manualLayout>
              </c:layout>
              <c:showLegendKey val="0"/>
              <c:showVal val="1"/>
              <c:showCatName val="0"/>
              <c:showSerName val="0"/>
              <c:showPercent val="0"/>
              <c:showBubbleSize val="0"/>
              <c:extLst xmlns:c15="http://schemas.microsoft.com/office/drawing/2012/chart" xmlns:c16="http://schemas.microsoft.com/office/drawing/2014/chart">
                <c:ext xmlns:c15="http://schemas.microsoft.com/office/drawing/2012/chart" uri="{CE6537A1-D6FC-4f65-9D91-7224C49458BB}"/>
                <c:ext xmlns:c16="http://schemas.microsoft.com/office/drawing/2014/chart" uri="{C3380CC4-5D6E-409C-BE32-E72D297353CC}">
                  <c16:uniqueId val="{0000000B-3B03-4DF0-9E98-B80A68EB4002}"/>
                </c:ext>
              </c:extLst>
            </c:dLbl>
            <c:dLbl>
              <c:idx val="338"/>
              <c:layout>
                <c:manualLayout>
                  <c:x val="4.6341777358593498E-3"/>
                  <c:y val="3.5648042108477832E-3"/>
                </c:manualLayout>
              </c:layout>
              <c:showLegendKey val="0"/>
              <c:showVal val="1"/>
              <c:showCatName val="0"/>
              <c:showSerName val="0"/>
              <c:showPercent val="0"/>
              <c:showBubbleSize val="0"/>
              <c:extLst xmlns:c15="http://schemas.microsoft.com/office/drawing/2012/chart" xmlns:c16="http://schemas.microsoft.com/office/drawing/2014/chart">
                <c:ext xmlns:c15="http://schemas.microsoft.com/office/drawing/2012/chart" uri="{CE6537A1-D6FC-4f65-9D91-7224C49458BB}"/>
                <c:ext xmlns:c16="http://schemas.microsoft.com/office/drawing/2014/chart" uri="{C3380CC4-5D6E-409C-BE32-E72D297353CC}">
                  <c16:uniqueId val="{0000000C-3B03-4DF0-9E98-B80A68EB4002}"/>
                </c:ext>
              </c:extLst>
            </c:dLbl>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(RG!$K$3,RG!$N$5:$R$5,RG!$S$4,RG!$U$5,RG!$V$5,RG!$W$5,RG!$L$3,RG!$Z$5,RG!$AF$5)</c15:sqref>
                  </c15:fullRef>
                </c:ext>
              </c:extLst>
              <c:f>(RG!$K$3,RG!$P$5:$R$5,RG!$S$4,RG!$U$5,RG!$V$5,RG!$W$5,RG!$L$3,RG!$Z$5,RG!$AF$5)</c:f>
              <c:strCache>
                <c:ptCount val="11"/>
                <c:pt idx="0">
                  <c:v>ACUMULADO DE OBRA</c:v>
                </c:pt>
                <c:pt idx="1">
                  <c:v>Ene-25</c:v>
                </c:pt>
                <c:pt idx="2">
                  <c:v>Feb-25</c:v>
                </c:pt>
                <c:pt idx="3">
                  <c:v>Mar-25</c:v>
                </c:pt>
                <c:pt idx="4">
                  <c:v>Saldo del Ejercicio</c:v>
                </c:pt>
                <c:pt idx="5">
                  <c:v>2026</c:v>
                </c:pt>
                <c:pt idx="6">
                  <c:v>2027</c:v>
                </c:pt>
                <c:pt idx="7">
                  <c:v>2028</c:v>
                </c:pt>
                <c:pt idx="8">
                  <c:v>SALDO DE OBRA</c:v>
                </c:pt>
                <c:pt idx="9">
                  <c:v>RO con Venta Aprobada a la Fecha</c:v>
                </c:pt>
                <c:pt idx="10">
                  <c:v>Presupuesto</c:v>
                </c:pt>
              </c:strCache>
            </c:strRef>
          </c:cat>
          <c:val>
            <c:numRef>
              <c:extLst>
                <c:ext xmlns:c15="http://schemas.microsoft.com/office/drawing/2012/chart" uri="{02D57815-91ED-43cb-92C2-25804820EDAC}">
                  <c15:fullRef>
                    <c15:sqref>(RG!$K$15,RG!$N$15:$R$15,RG!$S$15,RG!$U$15,RG!$V$15,RG!$W$15,RG!$L$15,RG!$Z$15,RG!$AF$15)</c15:sqref>
                  </c15:fullRef>
                </c:ext>
              </c:extLst>
              <c:f>(RG!$K$15,RG!$P$15:$R$15,RG!$S$15,RG!$U$15,RG!$V$15,RG!$W$15,RG!$L$15,RG!$Z$15,RG!$AF$15)</c:f>
              <c:numCache>
                <c:formatCode>_ * #,##0.00_ ;_ * \-#,##0.00_ ;_ * "-"??_ ;_ @_ </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D-3B03-4DF0-9E98-B80A68EB4002}"/>
            </c:ext>
          </c:extLst>
        </c:ser>
        <c:dLbls>
          <c:showLegendKey val="0"/>
          <c:showVal val="1"/>
          <c:showCatName val="0"/>
          <c:showSerName val="0"/>
          <c:showPercent val="0"/>
          <c:showBubbleSize val="0"/>
        </c:dLbls>
        <c:gapWidth val="300"/>
        <c:axId val="675491728"/>
        <c:axId val="675494472"/>
      </c:barChart>
      <c:lineChart>
        <c:grouping val="stacked"/>
        <c:varyColors val="0"/>
        <c:ser>
          <c:idx val="3"/>
          <c:order val="2"/>
          <c:tx>
            <c:v>Desempeño del Proyecto</c:v>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0"/>
              <c:layout>
                <c:manualLayout>
                  <c:x val="1.8918482647296207E-2"/>
                  <c:y val="4.92957746478874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03-4DF0-9E98-B80A68EB4002}"/>
                </c:ext>
              </c:extLst>
            </c:dLbl>
            <c:dLbl>
              <c:idx val="301"/>
              <c:layout>
                <c:manualLayout>
                  <c:x val="3.2284100080709854E-3"/>
                  <c:y val="-4.46009389671361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03-4DF0-9E98-B80A68EB4002}"/>
                </c:ext>
              </c:extLst>
            </c:dLbl>
            <c:dLbl>
              <c:idx val="302"/>
              <c:layout>
                <c:manualLayout>
                  <c:x val="4.8426150121065378E-3"/>
                  <c:y val="-6.3380281690140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03-4DF0-9E98-B80A68EB4002}"/>
                </c:ext>
              </c:extLst>
            </c:dLbl>
            <c:dLbl>
              <c:idx val="303"/>
              <c:layout>
                <c:manualLayout>
                  <c:x val="1.2258121005165922E-3"/>
                  <c:y val="-6.57276995305164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B03-4DF0-9E98-B80A68EB4002}"/>
                </c:ext>
              </c:extLst>
            </c:dLbl>
            <c:dLbl>
              <c:idx val="304"/>
              <c:layout>
                <c:manualLayout>
                  <c:x val="-1.7511601435951318E-4"/>
                  <c:y val="-7.2769953051643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B03-4DF0-9E98-B80A68EB4002}"/>
                </c:ext>
              </c:extLst>
            </c:dLbl>
            <c:dLbl>
              <c:idx val="305"/>
              <c:layout>
                <c:manualLayout>
                  <c:x val="2.4088853300117147E-2"/>
                  <c:y val="2.8169014084507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B03-4DF0-9E98-B80A68EB4002}"/>
                </c:ext>
              </c:extLst>
            </c:dLbl>
            <c:dLbl>
              <c:idx val="306"/>
              <c:layout>
                <c:manualLayout>
                  <c:x val="1.7511601435951318E-4"/>
                  <c:y val="-7.2769953051643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B03-4DF0-9E98-B80A68EB4002}"/>
                </c:ext>
              </c:extLst>
            </c:dLbl>
            <c:dLbl>
              <c:idx val="307"/>
              <c:layout>
                <c:manualLayout>
                  <c:x val="1.8994786668615576E-2"/>
                  <c:y val="-0.100938967136150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B03-4DF0-9E98-B80A68EB4002}"/>
                </c:ext>
              </c:extLst>
            </c:dLbl>
            <c:dLbl>
              <c:idx val="308"/>
              <c:layout>
                <c:manualLayout>
                  <c:x val="2.4225785336155013E-2"/>
                  <c:y val="-0.124413145539906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B03-4DF0-9E98-B80A68EB4002}"/>
                </c:ext>
              </c:extLst>
            </c:dLbl>
            <c:dLbl>
              <c:idx val="309"/>
              <c:layout>
                <c:manualLayout>
                  <c:x val="-6.0250943208370301E-2"/>
                  <c:y val="-8.68544600938967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3B03-4DF0-9E98-B80A68EB4002}"/>
                </c:ext>
              </c:extLst>
            </c:dLbl>
            <c:dLbl>
              <c:idx val="310"/>
              <c:layout>
                <c:manualLayout>
                  <c:x val="-5.2534804307856526E-4"/>
                  <c:y val="-7.74647887323942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3B03-4DF0-9E98-B80A68EB4002}"/>
                </c:ext>
              </c:extLst>
            </c:dLbl>
            <c:dLbl>
              <c:idx val="311"/>
              <c:layout>
                <c:manualLayout>
                  <c:x val="0"/>
                  <c:y val="-8.4507042253521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3B03-4DF0-9E98-B80A68EB4002}"/>
                </c:ext>
              </c:extLst>
            </c:dLbl>
            <c:dLbl>
              <c:idx val="312"/>
              <c:layout>
                <c:manualLayout>
                  <c:x val="-5.2534804307853957E-4"/>
                  <c:y val="-8.4507042253521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3B03-4DF0-9E98-B80A68EB4002}"/>
                </c:ext>
              </c:extLst>
            </c:dLbl>
            <c:dLbl>
              <c:idx val="313"/>
              <c:layout>
                <c:manualLayout>
                  <c:x val="-1.2258121005165922E-3"/>
                  <c:y val="-7.2769953051643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3B03-4DF0-9E98-B80A68EB4002}"/>
                </c:ext>
              </c:extLst>
            </c:dLbl>
            <c:dLbl>
              <c:idx val="314"/>
              <c:layout>
                <c:manualLayout>
                  <c:x val="0"/>
                  <c:y val="-7.74647887323942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3B03-4DF0-9E98-B80A68EB4002}"/>
                </c:ext>
              </c:extLst>
            </c:dLbl>
            <c:dLbl>
              <c:idx val="315"/>
              <c:layout>
                <c:manualLayout>
                  <c:x val="0"/>
                  <c:y val="-6.57276995305164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3B03-4DF0-9E98-B80A68EB4002}"/>
                </c:ext>
              </c:extLst>
            </c:dLbl>
            <c:dLbl>
              <c:idx val="316"/>
              <c:layout>
                <c:manualLayout>
                  <c:x val="-1.7511601435951318E-4"/>
                  <c:y val="-7.2769953051643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3B03-4DF0-9E98-B80A68EB4002}"/>
                </c:ext>
              </c:extLst>
            </c:dLbl>
            <c:dLbl>
              <c:idx val="317"/>
              <c:layout>
                <c:manualLayout>
                  <c:x val="-7.0046405743805272E-4"/>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3B03-4DF0-9E98-B80A68EB4002}"/>
                </c:ext>
              </c:extLst>
            </c:dLbl>
            <c:dLbl>
              <c:idx val="318"/>
              <c:layout>
                <c:manualLayout>
                  <c:x val="-1.7511601435951318E-4"/>
                  <c:y val="-7.98122065727699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3B03-4DF0-9E98-B80A68EB4002}"/>
                </c:ext>
              </c:extLst>
            </c:dLbl>
            <c:dLbl>
              <c:idx val="319"/>
              <c:layout>
                <c:manualLayout>
                  <c:x val="0"/>
                  <c:y val="-6.5727699530516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3B03-4DF0-9E98-B80A68EB4002}"/>
                </c:ext>
              </c:extLst>
            </c:dLbl>
            <c:dLbl>
              <c:idx val="320"/>
              <c:layout>
                <c:manualLayout>
                  <c:x val="1.7511601435946182E-4"/>
                  <c:y val="-5.86854460093896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3B03-4DF0-9E98-B80A68EB4002}"/>
                </c:ext>
              </c:extLst>
            </c:dLbl>
            <c:dLbl>
              <c:idx val="321"/>
              <c:layout>
                <c:manualLayout>
                  <c:x val="5.2534804307853957E-4"/>
                  <c:y val="-5.6338028169014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3B03-4DF0-9E98-B80A68EB4002}"/>
                </c:ext>
              </c:extLst>
            </c:dLbl>
            <c:dLbl>
              <c:idx val="322"/>
              <c:layout>
                <c:manualLayout>
                  <c:x val="-5.1366770818804068E-17"/>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3B03-4DF0-9E98-B80A68EB4002}"/>
                </c:ext>
              </c:extLst>
            </c:dLbl>
            <c:dLbl>
              <c:idx val="323"/>
              <c:layout>
                <c:manualLayout>
                  <c:x val="0"/>
                  <c:y val="-6.5727699530516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3B03-4DF0-9E98-B80A68EB4002}"/>
                </c:ext>
              </c:extLst>
            </c:dLbl>
            <c:dLbl>
              <c:idx val="324"/>
              <c:layout>
                <c:manualLayout>
                  <c:x val="-1.7511601435961591E-4"/>
                  <c:y val="-5.8685446009389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3B03-4DF0-9E98-B80A68EB4002}"/>
                </c:ext>
              </c:extLst>
            </c:dLbl>
            <c:dLbl>
              <c:idx val="325"/>
              <c:layout>
                <c:manualLayout>
                  <c:x val="-5.2534804307853957E-4"/>
                  <c:y val="-6.3380281690140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3B03-4DF0-9E98-B80A68EB4002}"/>
                </c:ext>
              </c:extLst>
            </c:dLbl>
            <c:dLbl>
              <c:idx val="326"/>
              <c:layout>
                <c:manualLayout>
                  <c:x val="1.0506960861570277E-3"/>
                  <c:y val="-7.74647887323944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3B03-4DF0-9E98-B80A68EB4002}"/>
                </c:ext>
              </c:extLst>
            </c:dLbl>
            <c:dLbl>
              <c:idx val="327"/>
              <c:layout>
                <c:manualLayout>
                  <c:x val="1.7511601435946182E-4"/>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3B03-4DF0-9E98-B80A68EB4002}"/>
                </c:ext>
              </c:extLst>
            </c:dLbl>
            <c:dLbl>
              <c:idx val="328"/>
              <c:layout>
                <c:manualLayout>
                  <c:x val="-1.0273354163760814E-16"/>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3B03-4DF0-9E98-B80A68EB4002}"/>
                </c:ext>
              </c:extLst>
            </c:dLbl>
            <c:dLbl>
              <c:idx val="329"/>
              <c:layout>
                <c:manualLayout>
                  <c:x val="-1.7511601435951318E-4"/>
                  <c:y val="-7.04225352112676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3B03-4DF0-9E98-B80A68EB4002}"/>
                </c:ext>
              </c:extLst>
            </c:dLbl>
            <c:dLbl>
              <c:idx val="330"/>
              <c:layout>
                <c:manualLayout>
                  <c:x val="0"/>
                  <c:y val="-7.74647887323942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3B03-4DF0-9E98-B80A68EB4002}"/>
                </c:ext>
              </c:extLst>
            </c:dLbl>
            <c:dLbl>
              <c:idx val="331"/>
              <c:layout>
                <c:manualLayout>
                  <c:x val="1.0506960861570791E-3"/>
                  <c:y val="-6.57276995305164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3B03-4DF0-9E98-B80A68EB4002}"/>
                </c:ext>
              </c:extLst>
            </c:dLbl>
            <c:dLbl>
              <c:idx val="332"/>
              <c:layout>
                <c:manualLayout>
                  <c:x val="0"/>
                  <c:y val="-7.98122065727700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3B03-4DF0-9E98-B80A68EB4002}"/>
                </c:ext>
              </c:extLst>
            </c:dLbl>
            <c:dLbl>
              <c:idx val="333"/>
              <c:layout>
                <c:manualLayout>
                  <c:x val="-1.7511601435961591E-4"/>
                  <c:y val="-6.5727699530516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3B03-4DF0-9E98-B80A68EB4002}"/>
                </c:ext>
              </c:extLst>
            </c:dLbl>
            <c:dLbl>
              <c:idx val="334"/>
              <c:layout>
                <c:manualLayout>
                  <c:x val="-5.2534804307864224E-4"/>
                  <c:y val="-5.16431924882629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3B03-4DF0-9E98-B80A68EB4002}"/>
                </c:ext>
              </c:extLst>
            </c:dLbl>
            <c:dLbl>
              <c:idx val="335"/>
              <c:layout>
                <c:manualLayout>
                  <c:x val="-1.7511601435951318E-4"/>
                  <c:y val="-5.63380281690141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3B03-4DF0-9E98-B80A68EB4002}"/>
                </c:ext>
              </c:extLst>
            </c:dLbl>
            <c:dLbl>
              <c:idx val="336"/>
              <c:layout>
                <c:manualLayout>
                  <c:x val="0"/>
                  <c:y val="-5.8685446009389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3B03-4DF0-9E98-B80A68EB4002}"/>
                </c:ext>
              </c:extLst>
            </c:dLbl>
            <c:dLbl>
              <c:idx val="337"/>
              <c:layout>
                <c:manualLayout>
                  <c:x val="5.2534804307843679E-4"/>
                  <c:y val="-7.7464788732394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3B03-4DF0-9E98-B80A68EB4002}"/>
                </c:ext>
              </c:extLst>
            </c:dLbl>
            <c:dLbl>
              <c:idx val="338"/>
              <c:layout>
                <c:manualLayout>
                  <c:x val="1.2258121005164896E-3"/>
                  <c:y val="-7.27699530516431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3B03-4DF0-9E98-B80A68EB4002}"/>
                </c:ext>
              </c:extLst>
            </c:dLbl>
            <c:dLbl>
              <c:idx val="339"/>
              <c:layout>
                <c:manualLayout>
                  <c:x val="-1.0506960861571817E-3"/>
                  <c:y val="-7.74647887323943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15:layout>
                    <c:manualLayout>
                      <c:w val="8.7628053585500389E-3"/>
                      <c:h val="5.1854460093896715E-2"/>
                    </c:manualLayout>
                  </c15:layout>
                </c:ext>
                <c:ext xmlns:c16="http://schemas.microsoft.com/office/drawing/2014/chart" uri="{C3380CC4-5D6E-409C-BE32-E72D297353CC}">
                  <c16:uniqueId val="{00000035-3B03-4DF0-9E98-B80A68EB4002}"/>
                </c:ext>
              </c:extLst>
            </c:dLbl>
            <c:dLbl>
              <c:idx val="340"/>
              <c:layout>
                <c:manualLayout>
                  <c:x val="-5.2534804307853957E-4"/>
                  <c:y val="-6.5727699530516437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15:layout>
                    <c:manualLayout>
                      <c:w val="8.7628053585500389E-3"/>
                      <c:h val="6.1244131455399059E-2"/>
                    </c:manualLayout>
                  </c15:layout>
                </c:ext>
                <c:ext xmlns:c16="http://schemas.microsoft.com/office/drawing/2014/chart" uri="{C3380CC4-5D6E-409C-BE32-E72D297353CC}">
                  <c16:uniqueId val="{00000036-3B03-4DF0-9E98-B80A68EB4002}"/>
                </c:ext>
              </c:extLst>
            </c:dLbl>
            <c:dLbl>
              <c:idx val="341"/>
              <c:layout>
                <c:manualLayout>
                  <c:x val="0"/>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3B03-4DF0-9E98-B80A68EB4002}"/>
                </c:ext>
              </c:extLst>
            </c:dLbl>
            <c:dLbl>
              <c:idx val="342"/>
              <c:layout>
                <c:manualLayout>
                  <c:x val="0"/>
                  <c:y val="-6.3380281690140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3B03-4DF0-9E98-B80A68EB4002}"/>
                </c:ext>
              </c:extLst>
            </c:dLbl>
            <c:dLbl>
              <c:idx val="343"/>
              <c:layout>
                <c:manualLayout>
                  <c:x val="1.7511601435951318E-4"/>
                  <c:y val="-7.7464788732394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3B03-4DF0-9E98-B80A68EB4002}"/>
                </c:ext>
              </c:extLst>
            </c:dLbl>
            <c:dLbl>
              <c:idx val="344"/>
              <c:layout>
                <c:manualLayout>
                  <c:x val="-5.2534804307864224E-4"/>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3B03-4DF0-9E98-B80A68EB4002}"/>
                </c:ext>
              </c:extLst>
            </c:dLbl>
            <c:dLbl>
              <c:idx val="345"/>
              <c:layout>
                <c:manualLayout>
                  <c:x val="1.7511601435951318E-4"/>
                  <c:y val="-6.3380281690140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3B03-4DF0-9E98-B80A68EB4002}"/>
                </c:ext>
              </c:extLst>
            </c:dLbl>
            <c:dLbl>
              <c:idx val="346"/>
              <c:layout>
                <c:manualLayout>
                  <c:x val="1.7511601435951318E-4"/>
                  <c:y val="-7.98122065727699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3B03-4DF0-9E98-B80A68EB4002}"/>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(RG!$K$3,RG!$N$5:$R$5,RG!$S$4,RG!$U$5,RG!$V$5,RG!$W$5,RG!$L$3,RG!$Z$5,RG!$AF$5)</c15:sqref>
                  </c15:fullRef>
                </c:ext>
              </c:extLst>
              <c:f>(RG!$K$3,RG!$P$5:$R$5,RG!$S$4,RG!$U$5,RG!$V$5,RG!$W$5,RG!$L$3,RG!$Z$5,RG!$AF$5)</c:f>
              <c:strCache>
                <c:ptCount val="11"/>
                <c:pt idx="0">
                  <c:v>ACUMULADO DE OBRA</c:v>
                </c:pt>
                <c:pt idx="1">
                  <c:v>Ene-25</c:v>
                </c:pt>
                <c:pt idx="2">
                  <c:v>Feb-25</c:v>
                </c:pt>
                <c:pt idx="3">
                  <c:v>Mar-25</c:v>
                </c:pt>
                <c:pt idx="4">
                  <c:v>Saldo del Ejercicio</c:v>
                </c:pt>
                <c:pt idx="5">
                  <c:v>2026</c:v>
                </c:pt>
                <c:pt idx="6">
                  <c:v>2027</c:v>
                </c:pt>
                <c:pt idx="7">
                  <c:v>2028</c:v>
                </c:pt>
                <c:pt idx="8">
                  <c:v>SALDO DE OBRA</c:v>
                </c:pt>
                <c:pt idx="9">
                  <c:v>RO con Venta Aprobada a la Fecha</c:v>
                </c:pt>
                <c:pt idx="10">
                  <c:v>Presupuesto</c:v>
                </c:pt>
              </c:strCache>
            </c:strRef>
          </c:cat>
          <c:val>
            <c:numRef>
              <c:extLst>
                <c:ext xmlns:c15="http://schemas.microsoft.com/office/drawing/2012/chart" uri="{02D57815-91ED-43cb-92C2-25804820EDAC}">
                  <c15:fullRef>
                    <c15:sqref>(RG!$K$100,RG!$N$100:$R$100,RG!$S$100,RG!$U$100,RG!$V$100,RG!$W$100,RG!$L$100,RG!$Z$100,RG!$AF$100)</c15:sqref>
                  </c15:fullRef>
                </c:ext>
              </c:extLst>
              <c:f>(RG!$K$100,RG!$P$100:$R$100,RG!$S$100,RG!$U$100,RG!$V$100,RG!$W$100,RG!$L$100,RG!$Z$100,RG!$AF$100)</c:f>
              <c:numCache>
                <c:formatCode>_ * #,##0,_ ;_ * \-#,##0,\ ;_ * "-"??_ ;_ @_ </c:formatCode>
                <c:ptCount val="11"/>
                <c:pt idx="0">
                  <c:v>0</c:v>
                </c:pt>
                <c:pt idx="1">
                  <c:v>0</c:v>
                </c:pt>
                <c:pt idx="2">
                  <c:v>0</c:v>
                </c:pt>
                <c:pt idx="3">
                  <c:v>0</c:v>
                </c:pt>
                <c:pt idx="4">
                  <c:v>0</c:v>
                </c:pt>
                <c:pt idx="5">
                  <c:v>0</c:v>
                </c:pt>
                <c:pt idx="6">
                  <c:v>0</c:v>
                </c:pt>
                <c:pt idx="8">
                  <c:v>0</c:v>
                </c:pt>
                <c:pt idx="9">
                  <c:v>0</c:v>
                </c:pt>
                <c:pt idx="10">
                  <c:v>0</c:v>
                </c:pt>
              </c:numCache>
            </c:numRef>
          </c:val>
          <c:smooth val="0"/>
          <c:extLst>
            <c:ext xmlns:c16="http://schemas.microsoft.com/office/drawing/2014/chart" uri="{C3380CC4-5D6E-409C-BE32-E72D297353CC}">
              <c16:uniqueId val="{0000003D-3B03-4DF0-9E98-B80A68EB4002}"/>
            </c:ext>
          </c:extLst>
        </c:ser>
        <c:dLbls>
          <c:showLegendKey val="0"/>
          <c:showVal val="1"/>
          <c:showCatName val="0"/>
          <c:showSerName val="0"/>
          <c:showPercent val="0"/>
          <c:showBubbleSize val="0"/>
        </c:dLbls>
        <c:marker val="1"/>
        <c:smooth val="0"/>
        <c:axId val="675492120"/>
        <c:axId val="675491336"/>
      </c:lineChart>
      <c:catAx>
        <c:axId val="67549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crossAx val="675494472"/>
        <c:crosses val="autoZero"/>
        <c:auto val="1"/>
        <c:lblAlgn val="ctr"/>
        <c:lblOffset val="100"/>
        <c:noMultiLvlLbl val="0"/>
      </c:catAx>
      <c:valAx>
        <c:axId val="675494472"/>
        <c:scaling>
          <c:orientation val="minMax"/>
          <c:max val="220000000.00000003"/>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PE"/>
                  <a:t>Miles de Soles (Venta - Costo)</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title>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crossAx val="675491728"/>
        <c:crosses val="autoZero"/>
        <c:crossBetween val="between"/>
        <c:majorUnit val="20000000"/>
      </c:valAx>
      <c:valAx>
        <c:axId val="675491336"/>
        <c:scaling>
          <c:orientation val="minMax"/>
          <c:max val="30000000"/>
          <c:min val="-20000000"/>
        </c:scaling>
        <c:delete val="0"/>
        <c:axPos val="r"/>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PE"/>
                  <a:t>Miles de Soles (Margen)</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title>
        <c:numFmt formatCode="_ * #,##0,_ ;_ * \-#,##0,\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crossAx val="675492120"/>
        <c:crosses val="max"/>
        <c:crossBetween val="between"/>
      </c:valAx>
      <c:catAx>
        <c:axId val="675492120"/>
        <c:scaling>
          <c:orientation val="minMax"/>
        </c:scaling>
        <c:delete val="1"/>
        <c:axPos val="b"/>
        <c:numFmt formatCode="General" sourceLinked="1"/>
        <c:majorTickMark val="none"/>
        <c:minorTickMark val="none"/>
        <c:tickLblPos val="nextTo"/>
        <c:crossAx val="675491336"/>
        <c:crosses val="autoZero"/>
        <c:auto val="1"/>
        <c:lblAlgn val="ctr"/>
        <c:lblOffset val="100"/>
        <c:noMultiLvlLbl val="0"/>
      </c:catAx>
      <c:spPr>
        <a:noFill/>
        <a:ln>
          <a:noFill/>
        </a:ln>
        <a:effectLst/>
      </c:spPr>
    </c:plotArea>
    <c:legend>
      <c:legendPos val="b"/>
      <c:layout>
        <c:manualLayout>
          <c:xMode val="edge"/>
          <c:yMode val="edge"/>
          <c:x val="0.41894875721019686"/>
          <c:y val="7.707321608374125E-2"/>
          <c:w val="0.18142435585382335"/>
          <c:h val="5.3800414032752951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s-PE"/>
              <a:t>DISTRIBUCIÓN COSTO DIRECTO INCURRIDO</a:t>
            </a:r>
          </a:p>
          <a:p>
            <a:pPr>
              <a:defRPr/>
            </a:pPr>
            <a:r>
              <a:rPr lang="es-PE"/>
              <a:t>TOTAL PROYECTO</a:t>
            </a:r>
          </a:p>
        </c:rich>
      </c:tx>
      <c:layout>
        <c:manualLayout>
          <c:xMode val="edge"/>
          <c:yMode val="edge"/>
          <c:x val="0.61461933888094866"/>
          <c:y val="0.8835537951392212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s-PE"/>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239680967891272E-2"/>
          <c:y val="0.14933952618186733"/>
          <c:w val="0.77104891550978116"/>
          <c:h val="0.80692476878025488"/>
        </c:manualLayout>
      </c:layout>
      <c:pie3DChart>
        <c:varyColors val="1"/>
        <c:ser>
          <c:idx val="0"/>
          <c:order val="0"/>
          <c:explosion val="22"/>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66C-48E2-8C4C-41B7F9F631D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66C-48E2-8C4C-41B7F9F631D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66C-48E2-8C4C-41B7F9F631D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66C-48E2-8C4C-41B7F9F631D5}"/>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66C-48E2-8C4C-41B7F9F631D5}"/>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466C-48E2-8C4C-41B7F9F631D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466C-48E2-8C4C-41B7F9F631D5}"/>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466C-48E2-8C4C-41B7F9F631D5}"/>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466C-48E2-8C4C-41B7F9F631D5}"/>
              </c:ext>
            </c:extLst>
          </c:dPt>
          <c:dLbls>
            <c:dLbl>
              <c:idx val="0"/>
              <c:layout>
                <c:manualLayout>
                  <c:x val="0.11238661341065163"/>
                  <c:y val="-4.670558928849450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66C-48E2-8C4C-41B7F9F631D5}"/>
                </c:ext>
              </c:extLst>
            </c:dLbl>
            <c:dLbl>
              <c:idx val="1"/>
              <c:layout>
                <c:manualLayout>
                  <c:x val="7.955671586805238E-2"/>
                  <c:y val="0.223413838985193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66C-48E2-8C4C-41B7F9F631D5}"/>
                </c:ext>
              </c:extLst>
            </c:dLbl>
            <c:dLbl>
              <c:idx val="2"/>
              <c:layout>
                <c:manualLayout>
                  <c:x val="-8.3308071891217306E-2"/>
                  <c:y val="0.1651457643307824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66C-48E2-8C4C-41B7F9F631D5}"/>
                </c:ext>
              </c:extLst>
            </c:dLbl>
            <c:dLbl>
              <c:idx val="3"/>
              <c:layout>
                <c:manualLayout>
                  <c:x val="-0.22701937503744599"/>
                  <c:y val="2.375526842320669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66C-48E2-8C4C-41B7F9F631D5}"/>
                </c:ext>
              </c:extLst>
            </c:dLbl>
            <c:dLbl>
              <c:idx val="4"/>
              <c:layout>
                <c:manualLayout>
                  <c:x val="-2.1962858668923866E-2"/>
                  <c:y val="-3.259197372254421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286253143870391"/>
                      <c:h val="0.10979426073929281"/>
                    </c:manualLayout>
                  </c15:layout>
                </c:ext>
                <c:ext xmlns:c16="http://schemas.microsoft.com/office/drawing/2014/chart" uri="{C3380CC4-5D6E-409C-BE32-E72D297353CC}">
                  <c16:uniqueId val="{00000009-466C-48E2-8C4C-41B7F9F631D5}"/>
                </c:ext>
              </c:extLst>
            </c:dLbl>
            <c:dLbl>
              <c:idx val="5"/>
              <c:layout>
                <c:manualLayout>
                  <c:x val="0.31928707918665367"/>
                  <c:y val="-2.9689414811662082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1886475206606304"/>
                      <c:h val="0.10979426073929281"/>
                    </c:manualLayout>
                  </c15:layout>
                </c:ext>
                <c:ext xmlns:c16="http://schemas.microsoft.com/office/drawing/2014/chart" uri="{C3380CC4-5D6E-409C-BE32-E72D297353CC}">
                  <c16:uniqueId val="{0000000B-466C-48E2-8C4C-41B7F9F631D5}"/>
                </c:ext>
              </c:extLst>
            </c:dLbl>
            <c:dLbl>
              <c:idx val="6"/>
              <c:layout>
                <c:manualLayout>
                  <c:x val="8.8477310900482956E-2"/>
                  <c:y val="6.246763338838941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466C-48E2-8C4C-41B7F9F631D5}"/>
                </c:ext>
              </c:extLst>
            </c:dLbl>
            <c:dLbl>
              <c:idx val="7"/>
              <c:layout>
                <c:manualLayout>
                  <c:x val="0.43683080017795611"/>
                  <c:y val="0.2661409774293422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466C-48E2-8C4C-41B7F9F631D5}"/>
                </c:ext>
              </c:extLst>
            </c:dLbl>
            <c:dLbl>
              <c:idx val="8"/>
              <c:layout>
                <c:manualLayout>
                  <c:x val="0.44520837821541615"/>
                  <c:y val="0.4146184111504034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466C-48E2-8C4C-41B7F9F631D5}"/>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s-PE"/>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RG!$B$105:$B$111</c:f>
              <c:strCache>
                <c:ptCount val="7"/>
                <c:pt idx="0">
                  <c:v>Materiales</c:v>
                </c:pt>
                <c:pt idx="1">
                  <c:v>Mano de Obra</c:v>
                </c:pt>
                <c:pt idx="2">
                  <c:v>Subcontratos de obra</c:v>
                </c:pt>
                <c:pt idx="3">
                  <c:v>Servicios Contratados</c:v>
                </c:pt>
                <c:pt idx="4">
                  <c:v>Equipos y Vehículos (Propios)</c:v>
                </c:pt>
                <c:pt idx="5">
                  <c:v>Equipos y Vehículos (Terceros)</c:v>
                </c:pt>
                <c:pt idx="6">
                  <c:v>Fletes</c:v>
                </c:pt>
              </c:strCache>
            </c:strRef>
          </c:cat>
          <c:val>
            <c:numRef>
              <c:f>RG!$C$105:$C$111</c:f>
              <c:numCache>
                <c:formatCode>_ * #,##0.00_ ;_ * \-#,##0.00_ ;_ * "-"??_ ;_ @_ </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2-466C-48E2-8C4C-41B7F9F631D5}"/>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000"/>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s-PE"/>
              <a:t>DISTRIBUCIÓN COSTO INDIRECTO INCURRIDO</a:t>
            </a:r>
          </a:p>
          <a:p>
            <a:pPr>
              <a:defRPr/>
            </a:pPr>
            <a:r>
              <a:rPr lang="es-PE"/>
              <a:t>TOTAL PROYECTO</a:t>
            </a:r>
          </a:p>
        </c:rich>
      </c:tx>
      <c:layout>
        <c:manualLayout>
          <c:xMode val="edge"/>
          <c:yMode val="edge"/>
          <c:x val="0.61461933888094866"/>
          <c:y val="0.8835537951392212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s-PE"/>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239680967891272E-2"/>
          <c:y val="0.14933952618186733"/>
          <c:w val="0.77104891550978116"/>
          <c:h val="0.80692476878025488"/>
        </c:manualLayout>
      </c:layout>
      <c:pie3DChart>
        <c:varyColors val="1"/>
        <c:ser>
          <c:idx val="0"/>
          <c:order val="0"/>
          <c:explosion val="22"/>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A39-4C23-8D0F-921B9DBC659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A39-4C23-8D0F-921B9DBC659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A39-4C23-8D0F-921B9DBC6599}"/>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BA39-4C23-8D0F-921B9DBC6599}"/>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BA39-4C23-8D0F-921B9DBC6599}"/>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BA39-4C23-8D0F-921B9DBC659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BA39-4C23-8D0F-921B9DBC6599}"/>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BA39-4C23-8D0F-921B9DBC6599}"/>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BA39-4C23-8D0F-921B9DBC6599}"/>
              </c:ext>
            </c:extLst>
          </c:dPt>
          <c:dLbls>
            <c:dLbl>
              <c:idx val="0"/>
              <c:layout>
                <c:manualLayout>
                  <c:x val="-0.28546186415051011"/>
                  <c:y val="3.114930590221035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A39-4C23-8D0F-921B9DBC6599}"/>
                </c:ext>
              </c:extLst>
            </c:dLbl>
            <c:dLbl>
              <c:idx val="1"/>
              <c:layout>
                <c:manualLayout>
                  <c:x val="-9.693258389756472E-2"/>
                  <c:y val="-3.98102754613938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A39-4C23-8D0F-921B9DBC6599}"/>
                </c:ext>
              </c:extLst>
            </c:dLbl>
            <c:dLbl>
              <c:idx val="2"/>
              <c:layout>
                <c:manualLayout>
                  <c:x val="6.4286761856210045E-2"/>
                  <c:y val="-2.76380941371404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A39-4C23-8D0F-921B9DBC6599}"/>
                </c:ext>
              </c:extLst>
            </c:dLbl>
            <c:dLbl>
              <c:idx val="3"/>
              <c:layout>
                <c:manualLayout>
                  <c:x val="0.12804148211114005"/>
                  <c:y val="-6.76605953179561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A39-4C23-8D0F-921B9DBC6599}"/>
                </c:ext>
              </c:extLst>
            </c:dLbl>
            <c:dLbl>
              <c:idx val="4"/>
              <c:layout>
                <c:manualLayout>
                  <c:x val="0.21521587834109915"/>
                  <c:y val="8.189227107208709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A39-4C23-8D0F-921B9DBC6599}"/>
                </c:ext>
              </c:extLst>
            </c:dLbl>
            <c:dLbl>
              <c:idx val="5"/>
              <c:layout>
                <c:manualLayout>
                  <c:x val="0.2208656717066772"/>
                  <c:y val="0.3038491381650736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BA39-4C23-8D0F-921B9DBC6599}"/>
                </c:ext>
              </c:extLst>
            </c:dLbl>
            <c:dLbl>
              <c:idx val="6"/>
              <c:layout>
                <c:manualLayout>
                  <c:x val="0.2187253582330336"/>
                  <c:y val="0.1477374169415091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BA39-4C23-8D0F-921B9DBC6599}"/>
                </c:ext>
              </c:extLst>
            </c:dLbl>
            <c:dLbl>
              <c:idx val="7"/>
              <c:layout>
                <c:manualLayout>
                  <c:x val="0.19560847899480269"/>
                  <c:y val="-7.15676085941149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BA39-4C23-8D0F-921B9DBC6599}"/>
                </c:ext>
              </c:extLst>
            </c:dLbl>
            <c:dLbl>
              <c:idx val="8"/>
              <c:layout>
                <c:manualLayout>
                  <c:x val="-0.12052167951251132"/>
                  <c:y val="0.1493660376961920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BA39-4C23-8D0F-921B9DBC6599}"/>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s-PE"/>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RG!$B$105:$B$113</c:f>
              <c:strCache>
                <c:ptCount val="9"/>
                <c:pt idx="0">
                  <c:v>Materiales</c:v>
                </c:pt>
                <c:pt idx="1">
                  <c:v>Mano de Obra</c:v>
                </c:pt>
                <c:pt idx="2">
                  <c:v>Subcontratos de obra</c:v>
                </c:pt>
                <c:pt idx="3">
                  <c:v>Servicios Contratados</c:v>
                </c:pt>
                <c:pt idx="4">
                  <c:v>Equipos y Vehículos (Propios)</c:v>
                </c:pt>
                <c:pt idx="5">
                  <c:v>Equipos y Vehículos (Terceros)</c:v>
                </c:pt>
                <c:pt idx="6">
                  <c:v>Fletes</c:v>
                </c:pt>
                <c:pt idx="7">
                  <c:v>Staff (Sueldos)</c:v>
                </c:pt>
                <c:pt idx="8">
                  <c:v>Gastos Generales</c:v>
                </c:pt>
              </c:strCache>
            </c:strRef>
          </c:cat>
          <c:val>
            <c:numRef>
              <c:f>RG!$E$105:$E$113</c:f>
            </c:numRef>
          </c:val>
          <c:extLst>
            <c:ext xmlns:c16="http://schemas.microsoft.com/office/drawing/2014/chart" uri="{C3380CC4-5D6E-409C-BE32-E72D297353CC}">
              <c16:uniqueId val="{00000012-BA39-4C23-8D0F-921B9DBC6599}"/>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000"/>
      </a:pPr>
      <a:endParaRPr lang="es-P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s-PE"/>
              <a:t>DISTRIBUCIÓN DEL</a:t>
            </a:r>
            <a:r>
              <a:rPr lang="es-PE" baseline="0"/>
              <a:t> C</a:t>
            </a:r>
            <a:r>
              <a:rPr lang="es-PE"/>
              <a:t>OSTO INCURRIDO</a:t>
            </a:r>
          </a:p>
          <a:p>
            <a:pPr>
              <a:defRPr/>
            </a:pPr>
            <a:r>
              <a:rPr lang="es-PE"/>
              <a:t>TOTAL PROYECTO</a:t>
            </a:r>
          </a:p>
        </c:rich>
      </c:tx>
      <c:layout>
        <c:manualLayout>
          <c:xMode val="edge"/>
          <c:yMode val="edge"/>
          <c:x val="0.61461933888094866"/>
          <c:y val="0.8835537951392212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s-PE"/>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442924611657943E-2"/>
          <c:y val="5.6654925650937445E-2"/>
          <c:w val="0.86503310692141677"/>
          <c:h val="0.90331673477156382"/>
        </c:manualLayout>
      </c:layout>
      <c:pie3DChart>
        <c:varyColors val="1"/>
        <c:ser>
          <c:idx val="0"/>
          <c:order val="0"/>
          <c:explosion val="22"/>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1C8-4832-A0BE-2AA48B43650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1C8-4832-A0BE-2AA48B43650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1C8-4832-A0BE-2AA48B43650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51C8-4832-A0BE-2AA48B43650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51C8-4832-A0BE-2AA48B43650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51C8-4832-A0BE-2AA48B436504}"/>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51C8-4832-A0BE-2AA48B436504}"/>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51C8-4832-A0BE-2AA48B436504}"/>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51C8-4832-A0BE-2AA48B436504}"/>
              </c:ext>
            </c:extLst>
          </c:dPt>
          <c:dLbls>
            <c:dLbl>
              <c:idx val="0"/>
              <c:layout>
                <c:manualLayout>
                  <c:x val="0.11238661341065163"/>
                  <c:y val="-4.670558928849450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1C8-4832-A0BE-2AA48B436504}"/>
                </c:ext>
              </c:extLst>
            </c:dLbl>
            <c:dLbl>
              <c:idx val="1"/>
              <c:layout>
                <c:manualLayout>
                  <c:x val="-8.8813289601221229E-2"/>
                  <c:y val="-6.443881268809928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C8-4832-A0BE-2AA48B436504}"/>
                </c:ext>
              </c:extLst>
            </c:dLbl>
            <c:dLbl>
              <c:idx val="2"/>
              <c:layout>
                <c:manualLayout>
                  <c:x val="-2.5026148698725052E-2"/>
                  <c:y val="-9.101248160938732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C8-4832-A0BE-2AA48B436504}"/>
                </c:ext>
              </c:extLst>
            </c:dLbl>
            <c:dLbl>
              <c:idx val="3"/>
              <c:layout>
                <c:manualLayout>
                  <c:x val="-4.084110700874484E-2"/>
                  <c:y val="-0.122430295202778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1C8-4832-A0BE-2AA48B436504}"/>
                </c:ext>
              </c:extLst>
            </c:dLbl>
            <c:dLbl>
              <c:idx val="4"/>
              <c:layout>
                <c:manualLayout>
                  <c:x val="-5.2722842888682148E-2"/>
                  <c:y val="7.7456017437334582E-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1C8-4832-A0BE-2AA48B436504}"/>
                </c:ext>
              </c:extLst>
            </c:dLbl>
            <c:dLbl>
              <c:idx val="5"/>
              <c:layout>
                <c:manualLayout>
                  <c:x val="-0.15587250333168828"/>
                  <c:y val="-9.28406538998121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1C8-4832-A0BE-2AA48B436504}"/>
                </c:ext>
              </c:extLst>
            </c:dLbl>
            <c:dLbl>
              <c:idx val="6"/>
              <c:layout>
                <c:manualLayout>
                  <c:x val="4.1723329512796857E-2"/>
                  <c:y val="-5.24610693587645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1C8-4832-A0BE-2AA48B436504}"/>
                </c:ext>
              </c:extLst>
            </c:dLbl>
            <c:dLbl>
              <c:idx val="7"/>
              <c:layout>
                <c:manualLayout>
                  <c:x val="0.19560847899480269"/>
                  <c:y val="-7.15676085941149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1C8-4832-A0BE-2AA48B43650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s-PE"/>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RG!$B$101:$B$102</c:f>
              <c:strCache>
                <c:ptCount val="2"/>
                <c:pt idx="0">
                  <c:v>DIRECTO</c:v>
                </c:pt>
                <c:pt idx="1">
                  <c:v>INDIRECTO</c:v>
                </c:pt>
              </c:strCache>
            </c:strRef>
          </c:cat>
          <c:val>
            <c:numRef>
              <c:f>RG!$C$101:$C$102</c:f>
              <c:numCache>
                <c:formatCode>_ * #,##0.00_ ;_ * \-#,##0.00_ ;_ * "-"??_ ;_ @_ </c:formatCode>
                <c:ptCount val="2"/>
                <c:pt idx="0">
                  <c:v>0</c:v>
                </c:pt>
                <c:pt idx="1">
                  <c:v>0</c:v>
                </c:pt>
              </c:numCache>
            </c:numRef>
          </c:val>
          <c:extLst>
            <c:ext xmlns:c16="http://schemas.microsoft.com/office/drawing/2014/chart" uri="{C3380CC4-5D6E-409C-BE32-E72D297353CC}">
              <c16:uniqueId val="{00000012-51C8-4832-A0BE-2AA48B436504}"/>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000"/>
      </a:pPr>
      <a:endParaRPr lang="es-P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s-PE"/>
              <a:t>RESULTADO OPERATIVO</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manualLayout>
          <c:layoutTarget val="inner"/>
          <c:xMode val="edge"/>
          <c:yMode val="edge"/>
          <c:x val="5.2127716575719671E-2"/>
          <c:y val="0.12915943580706801"/>
          <c:w val="0.90792671061934582"/>
          <c:h val="0.80020254509991362"/>
        </c:manualLayout>
      </c:layout>
      <c:barChart>
        <c:barDir val="col"/>
        <c:grouping val="clustered"/>
        <c:varyColors val="0"/>
        <c:ser>
          <c:idx val="0"/>
          <c:order val="0"/>
          <c:tx>
            <c:v>Venta</c:v>
          </c:tx>
          <c:spPr>
            <a:solidFill>
              <a:schemeClr val="accent1"/>
            </a:solidFill>
            <a:ln>
              <a:noFill/>
            </a:ln>
            <a:effectLst/>
          </c:spPr>
          <c:invertIfNegative val="0"/>
          <c:dLbls>
            <c:dLbl>
              <c:idx val="0"/>
              <c:layout>
                <c:manualLayout>
                  <c:x val="-2.0032750143520194E-2"/>
                  <c:y val="-2.11267605633801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E27-45E7-9E29-B9175D539198}"/>
                </c:ext>
              </c:extLst>
            </c:dLbl>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1</c:v>
              </c:pt>
            </c:numLit>
          </c:val>
          <c:extLst>
            <c:ext xmlns:c15="http://schemas.microsoft.com/office/drawing/2012/chart" uri="{02D57815-91ED-43cb-92C2-25804820EDAC}">
              <c15:filteredCategoryTitle>
                <c15:cat>
                  <c:multiLvlStrRef>
                    <c:extLst>
                      <c:ext uri="{02D57815-91ED-43cb-92C2-25804820EDAC}">
                        <c15:formulaRef>
                          <c15:sqref>('C+AD'!$K$3,'C+AD'!$N$5:$R$5,'C+AD'!$S$4,'C+AD'!$U$5,'C+AD'!#REF!,'C+AD'!#REF!,'C+AD'!$L$3,'C+AD'!$X$5,'C+AD'!$AB$5)</c15:sqref>
                        </c15:formulaRef>
                      </c:ext>
                    </c:extLst>
                  </c:multiLvlStrRef>
                </c15:cat>
              </c15:filteredCategoryTitle>
            </c:ext>
            <c:ext xmlns:c16="http://schemas.microsoft.com/office/drawing/2014/chart" uri="{C3380CC4-5D6E-409C-BE32-E72D297353CC}">
              <c16:uniqueId val="{00000001-2E27-45E7-9E29-B9175D539198}"/>
            </c:ext>
          </c:extLst>
        </c:ser>
        <c:ser>
          <c:idx val="1"/>
          <c:order val="1"/>
          <c:tx>
            <c:v>Costo</c:v>
          </c:tx>
          <c:spPr>
            <a:solidFill>
              <a:schemeClr val="accent2"/>
            </a:solidFill>
            <a:ln>
              <a:noFill/>
            </a:ln>
            <a:effectLst/>
          </c:spPr>
          <c:invertIfNegative val="0"/>
          <c:dLbls>
            <c:dLbl>
              <c:idx val="0"/>
              <c:layout>
                <c:manualLayout>
                  <c:x val="-3.5340879000294464E-2"/>
                  <c:y val="-3.5211267605633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E27-45E7-9E29-B9175D539198}"/>
                </c:ext>
              </c:extLst>
            </c:dLbl>
            <c:dLbl>
              <c:idx val="297"/>
              <c:layout>
                <c:manualLayout>
                  <c:x val="1.6142050040355085E-2"/>
                  <c:y val="-1.721419863619604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27-45E7-9E29-B9175D539198}"/>
                </c:ext>
              </c:extLst>
            </c:dLbl>
            <c:dLbl>
              <c:idx val="298"/>
              <c:layout>
                <c:manualLayout>
                  <c:x val="1.1299435028248548E-2"/>
                  <c:y val="-2.34741784037558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E27-45E7-9E29-B9175D539198}"/>
                </c:ext>
              </c:extLst>
            </c:dLbl>
            <c:dLbl>
              <c:idx val="299"/>
              <c:layout>
                <c:manualLayout>
                  <c:x val="6.9948883508205544E-3"/>
                  <c:y val="-1.721419863619604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E27-45E7-9E29-B9175D539198}"/>
                </c:ext>
              </c:extLst>
            </c:dLbl>
            <c:dLbl>
              <c:idx val="300"/>
              <c:layout>
                <c:manualLayout>
                  <c:x val="1.3451708366962604E-2"/>
                  <c:y val="-7.04225352112693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E27-45E7-9E29-B9175D539198}"/>
                </c:ext>
              </c:extLst>
            </c:dLbl>
            <c:dLbl>
              <c:idx val="301"/>
              <c:layout>
                <c:manualLayout>
                  <c:x val="8.6090933548560664E-3"/>
                  <c:y val="-8.607099318098023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E27-45E7-9E29-B9175D539198}"/>
                </c:ext>
              </c:extLst>
            </c:dLbl>
            <c:dLbl>
              <c:idx val="302"/>
              <c:layout>
                <c:manualLayout>
                  <c:x val="1.1837503362927012E-2"/>
                  <c:y val="8.607099318098023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E27-45E7-9E29-B9175D539198}"/>
                </c:ext>
              </c:extLst>
            </c:dLbl>
            <c:dLbl>
              <c:idx val="303"/>
              <c:layout>
                <c:manualLayout>
                  <c:x val="1.29136400322841E-2"/>
                  <c:y val="-9.389671361502347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E27-45E7-9E29-B9175D539198}"/>
                </c:ext>
              </c:extLst>
            </c:dLbl>
            <c:dLbl>
              <c:idx val="305"/>
              <c:layout>
                <c:manualLayout>
                  <c:x val="8.6090933548560664E-3"/>
                  <c:y val="-2.34741784037558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E27-45E7-9E29-B9175D539198}"/>
                </c:ext>
              </c:extLst>
            </c:dLbl>
            <c:dLbl>
              <c:idx val="333"/>
              <c:layout>
                <c:manualLayout>
                  <c:x val="1.3902533207578133E-2"/>
                  <c:y val="1.069441263254335E-2"/>
                </c:manualLayout>
              </c:layout>
              <c:showLegendKey val="0"/>
              <c:showVal val="1"/>
              <c:showCatName val="0"/>
              <c:showSerName val="0"/>
              <c:showPercent val="0"/>
              <c:showBubbleSize val="0"/>
              <c:extLst xmlns:c15="http://schemas.microsoft.com/office/drawing/2012/chart" xmlns:c16="http://schemas.microsoft.com/office/drawing/2014/chart">
                <c:ext xmlns:c15="http://schemas.microsoft.com/office/drawing/2012/chart" uri="{CE6537A1-D6FC-4f65-9D91-7224C49458BB}"/>
                <c:ext xmlns:c16="http://schemas.microsoft.com/office/drawing/2014/chart" uri="{C3380CC4-5D6E-409C-BE32-E72D297353CC}">
                  <c16:uniqueId val="{0000000B-2E27-45E7-9E29-B9175D539198}"/>
                </c:ext>
              </c:extLst>
            </c:dLbl>
            <c:dLbl>
              <c:idx val="334"/>
              <c:layout>
                <c:manualLayout>
                  <c:x val="4.6341777358593498E-3"/>
                  <c:y val="3.5648042108477832E-3"/>
                </c:manualLayout>
              </c:layout>
              <c:showLegendKey val="0"/>
              <c:showVal val="1"/>
              <c:showCatName val="0"/>
              <c:showSerName val="0"/>
              <c:showPercent val="0"/>
              <c:showBubbleSize val="0"/>
              <c:extLst xmlns:c15="http://schemas.microsoft.com/office/drawing/2012/chart" xmlns:c16="http://schemas.microsoft.com/office/drawing/2014/chart">
                <c:ext xmlns:c15="http://schemas.microsoft.com/office/drawing/2012/chart" uri="{CE6537A1-D6FC-4f65-9D91-7224C49458BB}"/>
                <c:ext xmlns:c16="http://schemas.microsoft.com/office/drawing/2014/chart" uri="{C3380CC4-5D6E-409C-BE32-E72D297353CC}">
                  <c16:uniqueId val="{0000000C-2E27-45E7-9E29-B9175D539198}"/>
                </c:ext>
              </c:extLst>
            </c:dLbl>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1</c:v>
              </c:pt>
            </c:numLit>
          </c:val>
          <c:extLst>
            <c:ext xmlns:c15="http://schemas.microsoft.com/office/drawing/2012/chart" uri="{02D57815-91ED-43cb-92C2-25804820EDAC}">
              <c15:filteredCategoryTitle>
                <c15:cat>
                  <c:multiLvlStrRef>
                    <c:extLst>
                      <c:ext uri="{02D57815-91ED-43cb-92C2-25804820EDAC}">
                        <c15:formulaRef>
                          <c15:sqref>('C+AD'!$K$3,'C+AD'!$N$5:$R$5,'C+AD'!$S$4,'C+AD'!$U$5,'C+AD'!#REF!,'C+AD'!#REF!,'C+AD'!$L$3,'C+AD'!$X$5,'C+AD'!$AB$5)</c15:sqref>
                        </c15:formulaRef>
                      </c:ext>
                    </c:extLst>
                  </c:multiLvlStrRef>
                </c15:cat>
              </c15:filteredCategoryTitle>
            </c:ext>
            <c:ext xmlns:c16="http://schemas.microsoft.com/office/drawing/2014/chart" uri="{C3380CC4-5D6E-409C-BE32-E72D297353CC}">
              <c16:uniqueId val="{0000000D-2E27-45E7-9E29-B9175D539198}"/>
            </c:ext>
          </c:extLst>
        </c:ser>
        <c:dLbls>
          <c:showLegendKey val="0"/>
          <c:showVal val="1"/>
          <c:showCatName val="0"/>
          <c:showSerName val="0"/>
          <c:showPercent val="0"/>
          <c:showBubbleSize val="0"/>
        </c:dLbls>
        <c:gapWidth val="300"/>
        <c:axId val="675491728"/>
        <c:axId val="675494472"/>
      </c:barChart>
      <c:lineChart>
        <c:grouping val="stacked"/>
        <c:varyColors val="0"/>
        <c:ser>
          <c:idx val="3"/>
          <c:order val="2"/>
          <c:tx>
            <c:v>Desempeño del Proyecto</c:v>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0"/>
              <c:layout>
                <c:manualLayout>
                  <c:x val="1.8918482647296207E-2"/>
                  <c:y val="4.92957746478874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E27-45E7-9E29-B9175D539198}"/>
                </c:ext>
              </c:extLst>
            </c:dLbl>
            <c:dLbl>
              <c:idx val="297"/>
              <c:layout>
                <c:manualLayout>
                  <c:x val="3.2284100080709854E-3"/>
                  <c:y val="-4.46009389671361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E27-45E7-9E29-B9175D539198}"/>
                </c:ext>
              </c:extLst>
            </c:dLbl>
            <c:dLbl>
              <c:idx val="298"/>
              <c:layout>
                <c:manualLayout>
                  <c:x val="4.8426150121065378E-3"/>
                  <c:y val="-6.3380281690140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E27-45E7-9E29-B9175D539198}"/>
                </c:ext>
              </c:extLst>
            </c:dLbl>
            <c:dLbl>
              <c:idx val="299"/>
              <c:layout>
                <c:manualLayout>
                  <c:x val="1.2258121005165922E-3"/>
                  <c:y val="-6.57276995305164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E27-45E7-9E29-B9175D539198}"/>
                </c:ext>
              </c:extLst>
            </c:dLbl>
            <c:dLbl>
              <c:idx val="300"/>
              <c:layout>
                <c:manualLayout>
                  <c:x val="-1.7511601435951318E-4"/>
                  <c:y val="-7.2769953051643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2E27-45E7-9E29-B9175D539198}"/>
                </c:ext>
              </c:extLst>
            </c:dLbl>
            <c:dLbl>
              <c:idx val="301"/>
              <c:layout>
                <c:manualLayout>
                  <c:x val="2.4088853300117147E-2"/>
                  <c:y val="2.8169014084507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E27-45E7-9E29-B9175D539198}"/>
                </c:ext>
              </c:extLst>
            </c:dLbl>
            <c:dLbl>
              <c:idx val="302"/>
              <c:layout>
                <c:manualLayout>
                  <c:x val="1.7511601435951318E-4"/>
                  <c:y val="-7.2769953051643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2E27-45E7-9E29-B9175D539198}"/>
                </c:ext>
              </c:extLst>
            </c:dLbl>
            <c:dLbl>
              <c:idx val="303"/>
              <c:layout>
                <c:manualLayout>
                  <c:x val="1.8994786668615576E-2"/>
                  <c:y val="-0.100938967136150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2E27-45E7-9E29-B9175D539198}"/>
                </c:ext>
              </c:extLst>
            </c:dLbl>
            <c:dLbl>
              <c:idx val="304"/>
              <c:layout>
                <c:manualLayout>
                  <c:x val="2.4225785336155013E-2"/>
                  <c:y val="-0.124413145539906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2E27-45E7-9E29-B9175D539198}"/>
                </c:ext>
              </c:extLst>
            </c:dLbl>
            <c:dLbl>
              <c:idx val="305"/>
              <c:layout>
                <c:manualLayout>
                  <c:x val="-6.0250943208370301E-2"/>
                  <c:y val="-8.68544600938967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2E27-45E7-9E29-B9175D539198}"/>
                </c:ext>
              </c:extLst>
            </c:dLbl>
            <c:dLbl>
              <c:idx val="306"/>
              <c:layout>
                <c:manualLayout>
                  <c:x val="-5.2534804307856526E-4"/>
                  <c:y val="-7.74647887323942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2E27-45E7-9E29-B9175D539198}"/>
                </c:ext>
              </c:extLst>
            </c:dLbl>
            <c:dLbl>
              <c:idx val="307"/>
              <c:layout>
                <c:manualLayout>
                  <c:x val="0"/>
                  <c:y val="-8.4507042253521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2E27-45E7-9E29-B9175D539198}"/>
                </c:ext>
              </c:extLst>
            </c:dLbl>
            <c:dLbl>
              <c:idx val="308"/>
              <c:layout>
                <c:manualLayout>
                  <c:x val="-5.2534804307853957E-4"/>
                  <c:y val="-8.4507042253521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2E27-45E7-9E29-B9175D539198}"/>
                </c:ext>
              </c:extLst>
            </c:dLbl>
            <c:dLbl>
              <c:idx val="309"/>
              <c:layout>
                <c:manualLayout>
                  <c:x val="-1.2258121005165922E-3"/>
                  <c:y val="-7.2769953051643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2E27-45E7-9E29-B9175D539198}"/>
                </c:ext>
              </c:extLst>
            </c:dLbl>
            <c:dLbl>
              <c:idx val="310"/>
              <c:layout>
                <c:manualLayout>
                  <c:x val="0"/>
                  <c:y val="-7.74647887323942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2E27-45E7-9E29-B9175D539198}"/>
                </c:ext>
              </c:extLst>
            </c:dLbl>
            <c:dLbl>
              <c:idx val="311"/>
              <c:layout>
                <c:manualLayout>
                  <c:x val="0"/>
                  <c:y val="-6.57276995305164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2E27-45E7-9E29-B9175D539198}"/>
                </c:ext>
              </c:extLst>
            </c:dLbl>
            <c:dLbl>
              <c:idx val="312"/>
              <c:layout>
                <c:manualLayout>
                  <c:x val="-1.7511601435951318E-4"/>
                  <c:y val="-7.2769953051643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2E27-45E7-9E29-B9175D539198}"/>
                </c:ext>
              </c:extLst>
            </c:dLbl>
            <c:dLbl>
              <c:idx val="313"/>
              <c:layout>
                <c:manualLayout>
                  <c:x val="-7.0046405743805272E-4"/>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2E27-45E7-9E29-B9175D539198}"/>
                </c:ext>
              </c:extLst>
            </c:dLbl>
            <c:dLbl>
              <c:idx val="314"/>
              <c:layout>
                <c:manualLayout>
                  <c:x val="-1.7511601435951318E-4"/>
                  <c:y val="-7.98122065727699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2E27-45E7-9E29-B9175D539198}"/>
                </c:ext>
              </c:extLst>
            </c:dLbl>
            <c:dLbl>
              <c:idx val="315"/>
              <c:layout>
                <c:manualLayout>
                  <c:x val="0"/>
                  <c:y val="-6.5727699530516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2E27-45E7-9E29-B9175D539198}"/>
                </c:ext>
              </c:extLst>
            </c:dLbl>
            <c:dLbl>
              <c:idx val="316"/>
              <c:layout>
                <c:manualLayout>
                  <c:x val="1.7511601435946182E-4"/>
                  <c:y val="-5.86854460093896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2E27-45E7-9E29-B9175D539198}"/>
                </c:ext>
              </c:extLst>
            </c:dLbl>
            <c:dLbl>
              <c:idx val="317"/>
              <c:layout>
                <c:manualLayout>
                  <c:x val="5.2534804307853957E-4"/>
                  <c:y val="-5.6338028169014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2E27-45E7-9E29-B9175D539198}"/>
                </c:ext>
              </c:extLst>
            </c:dLbl>
            <c:dLbl>
              <c:idx val="318"/>
              <c:layout>
                <c:manualLayout>
                  <c:x val="-5.1366770818804068E-17"/>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2E27-45E7-9E29-B9175D539198}"/>
                </c:ext>
              </c:extLst>
            </c:dLbl>
            <c:dLbl>
              <c:idx val="319"/>
              <c:layout>
                <c:manualLayout>
                  <c:x val="0"/>
                  <c:y val="-6.5727699530516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2E27-45E7-9E29-B9175D539198}"/>
                </c:ext>
              </c:extLst>
            </c:dLbl>
            <c:dLbl>
              <c:idx val="320"/>
              <c:layout>
                <c:manualLayout>
                  <c:x val="-1.7511601435961591E-4"/>
                  <c:y val="-5.8685446009389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2E27-45E7-9E29-B9175D539198}"/>
                </c:ext>
              </c:extLst>
            </c:dLbl>
            <c:dLbl>
              <c:idx val="321"/>
              <c:layout>
                <c:manualLayout>
                  <c:x val="-5.2534804307853957E-4"/>
                  <c:y val="-6.3380281690140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2E27-45E7-9E29-B9175D539198}"/>
                </c:ext>
              </c:extLst>
            </c:dLbl>
            <c:dLbl>
              <c:idx val="322"/>
              <c:layout>
                <c:manualLayout>
                  <c:x val="1.0506960861570277E-3"/>
                  <c:y val="-7.74647887323944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2E27-45E7-9E29-B9175D539198}"/>
                </c:ext>
              </c:extLst>
            </c:dLbl>
            <c:dLbl>
              <c:idx val="323"/>
              <c:layout>
                <c:manualLayout>
                  <c:x val="1.7511601435946182E-4"/>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2E27-45E7-9E29-B9175D539198}"/>
                </c:ext>
              </c:extLst>
            </c:dLbl>
            <c:dLbl>
              <c:idx val="324"/>
              <c:layout>
                <c:manualLayout>
                  <c:x val="-1.0273354163760814E-16"/>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2E27-45E7-9E29-B9175D539198}"/>
                </c:ext>
              </c:extLst>
            </c:dLbl>
            <c:dLbl>
              <c:idx val="325"/>
              <c:layout>
                <c:manualLayout>
                  <c:x val="-1.7511601435951318E-4"/>
                  <c:y val="-7.04225352112676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2E27-45E7-9E29-B9175D539198}"/>
                </c:ext>
              </c:extLst>
            </c:dLbl>
            <c:dLbl>
              <c:idx val="326"/>
              <c:layout>
                <c:manualLayout>
                  <c:x val="0"/>
                  <c:y val="-7.74647887323942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2E27-45E7-9E29-B9175D539198}"/>
                </c:ext>
              </c:extLst>
            </c:dLbl>
            <c:dLbl>
              <c:idx val="327"/>
              <c:layout>
                <c:manualLayout>
                  <c:x val="1.0506960861570791E-3"/>
                  <c:y val="-6.57276995305164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2E27-45E7-9E29-B9175D539198}"/>
                </c:ext>
              </c:extLst>
            </c:dLbl>
            <c:dLbl>
              <c:idx val="328"/>
              <c:layout>
                <c:manualLayout>
                  <c:x val="0"/>
                  <c:y val="-7.98122065727700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2E27-45E7-9E29-B9175D539198}"/>
                </c:ext>
              </c:extLst>
            </c:dLbl>
            <c:dLbl>
              <c:idx val="329"/>
              <c:layout>
                <c:manualLayout>
                  <c:x val="-1.7511601435961591E-4"/>
                  <c:y val="-6.5727699530516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2E27-45E7-9E29-B9175D539198}"/>
                </c:ext>
              </c:extLst>
            </c:dLbl>
            <c:dLbl>
              <c:idx val="330"/>
              <c:layout>
                <c:manualLayout>
                  <c:x val="-5.2534804307864224E-4"/>
                  <c:y val="-5.16431924882629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2E27-45E7-9E29-B9175D539198}"/>
                </c:ext>
              </c:extLst>
            </c:dLbl>
            <c:dLbl>
              <c:idx val="331"/>
              <c:layout>
                <c:manualLayout>
                  <c:x val="-1.7511601435951318E-4"/>
                  <c:y val="-5.63380281690141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2E27-45E7-9E29-B9175D539198}"/>
                </c:ext>
              </c:extLst>
            </c:dLbl>
            <c:dLbl>
              <c:idx val="332"/>
              <c:layout>
                <c:manualLayout>
                  <c:x val="0"/>
                  <c:y val="-5.8685446009389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2E27-45E7-9E29-B9175D539198}"/>
                </c:ext>
              </c:extLst>
            </c:dLbl>
            <c:dLbl>
              <c:idx val="333"/>
              <c:layout>
                <c:manualLayout>
                  <c:x val="5.2534804307843679E-4"/>
                  <c:y val="-7.7464788732394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2E27-45E7-9E29-B9175D539198}"/>
                </c:ext>
              </c:extLst>
            </c:dLbl>
            <c:dLbl>
              <c:idx val="334"/>
              <c:layout>
                <c:manualLayout>
                  <c:x val="1.2258121005164896E-3"/>
                  <c:y val="-7.27699530516431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2E27-45E7-9E29-B9175D539198}"/>
                </c:ext>
              </c:extLst>
            </c:dLbl>
            <c:dLbl>
              <c:idx val="335"/>
              <c:layout>
                <c:manualLayout>
                  <c:x val="-1.0506960861571817E-3"/>
                  <c:y val="-7.74647887323943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15:layout>
                    <c:manualLayout>
                      <c:w val="8.7628053585500389E-3"/>
                      <c:h val="5.1854460093896715E-2"/>
                    </c:manualLayout>
                  </c15:layout>
                </c:ext>
                <c:ext xmlns:c16="http://schemas.microsoft.com/office/drawing/2014/chart" uri="{C3380CC4-5D6E-409C-BE32-E72D297353CC}">
                  <c16:uniqueId val="{00000035-2E27-45E7-9E29-B9175D539198}"/>
                </c:ext>
              </c:extLst>
            </c:dLbl>
            <c:dLbl>
              <c:idx val="336"/>
              <c:layout>
                <c:manualLayout>
                  <c:x val="-5.2534804307853957E-4"/>
                  <c:y val="-6.5727699530516437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15:layout>
                    <c:manualLayout>
                      <c:w val="8.7628053585500389E-3"/>
                      <c:h val="6.1244131455399059E-2"/>
                    </c:manualLayout>
                  </c15:layout>
                </c:ext>
                <c:ext xmlns:c16="http://schemas.microsoft.com/office/drawing/2014/chart" uri="{C3380CC4-5D6E-409C-BE32-E72D297353CC}">
                  <c16:uniqueId val="{00000036-2E27-45E7-9E29-B9175D539198}"/>
                </c:ext>
              </c:extLst>
            </c:dLbl>
            <c:dLbl>
              <c:idx val="337"/>
              <c:layout>
                <c:manualLayout>
                  <c:x val="0"/>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2E27-45E7-9E29-B9175D539198}"/>
                </c:ext>
              </c:extLst>
            </c:dLbl>
            <c:dLbl>
              <c:idx val="338"/>
              <c:layout>
                <c:manualLayout>
                  <c:x val="0"/>
                  <c:y val="-6.3380281690140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2E27-45E7-9E29-B9175D539198}"/>
                </c:ext>
              </c:extLst>
            </c:dLbl>
            <c:dLbl>
              <c:idx val="339"/>
              <c:layout>
                <c:manualLayout>
                  <c:x val="1.7511601435951318E-4"/>
                  <c:y val="-7.7464788732394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2E27-45E7-9E29-B9175D539198}"/>
                </c:ext>
              </c:extLst>
            </c:dLbl>
            <c:dLbl>
              <c:idx val="340"/>
              <c:layout>
                <c:manualLayout>
                  <c:x val="-5.2534804307864224E-4"/>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2E27-45E7-9E29-B9175D539198}"/>
                </c:ext>
              </c:extLst>
            </c:dLbl>
            <c:dLbl>
              <c:idx val="341"/>
              <c:layout>
                <c:manualLayout>
                  <c:x val="1.7511601435951318E-4"/>
                  <c:y val="-6.3380281690140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2E27-45E7-9E29-B9175D539198}"/>
                </c:ext>
              </c:extLst>
            </c:dLbl>
            <c:dLbl>
              <c:idx val="342"/>
              <c:layout>
                <c:manualLayout>
                  <c:x val="1.7511601435951318E-4"/>
                  <c:y val="-7.98122065727699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2E27-45E7-9E29-B9175D53919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1</c:v>
              </c:pt>
            </c:numLit>
          </c:val>
          <c:smooth val="0"/>
          <c:extLst>
            <c:ext xmlns:c15="http://schemas.microsoft.com/office/drawing/2012/chart" uri="{02D57815-91ED-43cb-92C2-25804820EDAC}">
              <c15:filteredCategoryTitle>
                <c15:cat>
                  <c:multiLvlStrRef>
                    <c:extLst>
                      <c:ext uri="{02D57815-91ED-43cb-92C2-25804820EDAC}">
                        <c15:formulaRef>
                          <c15:sqref>('C+AD'!$K$3,'C+AD'!$N$5:$R$5,'C+AD'!$S$4,'C+AD'!$U$5,'C+AD'!#REF!,'C+AD'!#REF!,'C+AD'!$L$3,'C+AD'!$X$5,'C+AD'!$AB$5)</c15:sqref>
                        </c15:formulaRef>
                      </c:ext>
                    </c:extLst>
                  </c:multiLvlStrRef>
                </c15:cat>
              </c15:filteredCategoryTitle>
            </c:ext>
            <c:ext xmlns:c16="http://schemas.microsoft.com/office/drawing/2014/chart" uri="{C3380CC4-5D6E-409C-BE32-E72D297353CC}">
              <c16:uniqueId val="{0000003D-2E27-45E7-9E29-B9175D539198}"/>
            </c:ext>
          </c:extLst>
        </c:ser>
        <c:dLbls>
          <c:showLegendKey val="0"/>
          <c:showVal val="1"/>
          <c:showCatName val="0"/>
          <c:showSerName val="0"/>
          <c:showPercent val="0"/>
          <c:showBubbleSize val="0"/>
        </c:dLbls>
        <c:marker val="1"/>
        <c:smooth val="0"/>
        <c:axId val="675492120"/>
        <c:axId val="675491336"/>
      </c:lineChart>
      <c:catAx>
        <c:axId val="67549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crossAx val="675494472"/>
        <c:crosses val="autoZero"/>
        <c:auto val="1"/>
        <c:lblAlgn val="ctr"/>
        <c:lblOffset val="100"/>
        <c:noMultiLvlLbl val="0"/>
      </c:catAx>
      <c:valAx>
        <c:axId val="675494472"/>
        <c:scaling>
          <c:orientation val="minMax"/>
          <c:max val="220000000.00000003"/>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PE"/>
                  <a:t>Miles de Soles (Venta - Costo)</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crossAx val="675491728"/>
        <c:crosses val="autoZero"/>
        <c:crossBetween val="between"/>
        <c:majorUnit val="20000000"/>
      </c:valAx>
      <c:valAx>
        <c:axId val="675491336"/>
        <c:scaling>
          <c:orientation val="minMax"/>
          <c:max val="30000000"/>
          <c:min val="-20000000"/>
        </c:scaling>
        <c:delete val="0"/>
        <c:axPos val="r"/>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PE"/>
                  <a:t>Miles de Soles (Margen)</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crossAx val="675492120"/>
        <c:crosses val="max"/>
        <c:crossBetween val="between"/>
      </c:valAx>
      <c:catAx>
        <c:axId val="675492120"/>
        <c:scaling>
          <c:orientation val="minMax"/>
        </c:scaling>
        <c:delete val="1"/>
        <c:axPos val="b"/>
        <c:numFmt formatCode="General" sourceLinked="1"/>
        <c:majorTickMark val="none"/>
        <c:minorTickMark val="none"/>
        <c:tickLblPos val="nextTo"/>
        <c:crossAx val="675491336"/>
        <c:crosses val="autoZero"/>
        <c:auto val="1"/>
        <c:lblAlgn val="ctr"/>
        <c:lblOffset val="100"/>
        <c:noMultiLvlLbl val="0"/>
      </c:catAx>
      <c:spPr>
        <a:noFill/>
        <a:ln>
          <a:noFill/>
        </a:ln>
        <a:effectLst/>
      </c:spPr>
    </c:plotArea>
    <c:legend>
      <c:legendPos val="b"/>
      <c:layout>
        <c:manualLayout>
          <c:xMode val="edge"/>
          <c:yMode val="edge"/>
          <c:x val="0.41894875721019686"/>
          <c:y val="7.707321608374125E-2"/>
          <c:w val="0.18142435585382335"/>
          <c:h val="5.3800414032752951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es-P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s-PE"/>
              <a:t>DISTRIBUCIÓN COSTO DIRECTO INCURRIDO</a:t>
            </a:r>
          </a:p>
          <a:p>
            <a:pPr>
              <a:defRPr/>
            </a:pPr>
            <a:r>
              <a:rPr lang="es-PE"/>
              <a:t>TOTAL PROYECTO</a:t>
            </a:r>
          </a:p>
        </c:rich>
      </c:tx>
      <c:layout>
        <c:manualLayout>
          <c:xMode val="edge"/>
          <c:yMode val="edge"/>
          <c:x val="0.61461933888094866"/>
          <c:y val="0.8835537951392212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s-PE"/>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239680967891272E-2"/>
          <c:y val="0.14933952618186733"/>
          <c:w val="0.77104891550978116"/>
          <c:h val="0.80692476878025488"/>
        </c:manualLayout>
      </c:layout>
      <c:pie3DChart>
        <c:varyColors val="1"/>
        <c:ser>
          <c:idx val="0"/>
          <c:order val="0"/>
          <c:explosion val="22"/>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130-4FF9-8324-324C4EA0666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130-4FF9-8324-324C4EA0666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130-4FF9-8324-324C4EA0666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5130-4FF9-8324-324C4EA0666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5130-4FF9-8324-324C4EA0666D}"/>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5130-4FF9-8324-324C4EA0666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5130-4FF9-8324-324C4EA0666D}"/>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5130-4FF9-8324-324C4EA0666D}"/>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5130-4FF9-8324-324C4EA0666D}"/>
              </c:ext>
            </c:extLst>
          </c:dPt>
          <c:dLbls>
            <c:dLbl>
              <c:idx val="0"/>
              <c:layout>
                <c:manualLayout>
                  <c:x val="0.11238661341065163"/>
                  <c:y val="-4.670558928849450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130-4FF9-8324-324C4EA0666D}"/>
                </c:ext>
              </c:extLst>
            </c:dLbl>
            <c:dLbl>
              <c:idx val="1"/>
              <c:layout>
                <c:manualLayout>
                  <c:x val="7.955671586805238E-2"/>
                  <c:y val="0.223413838985193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30-4FF9-8324-324C4EA0666D}"/>
                </c:ext>
              </c:extLst>
            </c:dLbl>
            <c:dLbl>
              <c:idx val="2"/>
              <c:layout>
                <c:manualLayout>
                  <c:x val="-8.3308071891217306E-2"/>
                  <c:y val="0.1651457643307824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30-4FF9-8324-324C4EA0666D}"/>
                </c:ext>
              </c:extLst>
            </c:dLbl>
            <c:dLbl>
              <c:idx val="3"/>
              <c:layout>
                <c:manualLayout>
                  <c:x val="-0.22701937503744599"/>
                  <c:y val="2.375526842320669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130-4FF9-8324-324C4EA0666D}"/>
                </c:ext>
              </c:extLst>
            </c:dLbl>
            <c:dLbl>
              <c:idx val="4"/>
              <c:layout>
                <c:manualLayout>
                  <c:x val="-2.1962858668923866E-2"/>
                  <c:y val="-3.259197372254421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286253143870391"/>
                      <c:h val="0.10979426073929281"/>
                    </c:manualLayout>
                  </c15:layout>
                </c:ext>
                <c:ext xmlns:c16="http://schemas.microsoft.com/office/drawing/2014/chart" uri="{C3380CC4-5D6E-409C-BE32-E72D297353CC}">
                  <c16:uniqueId val="{00000009-5130-4FF9-8324-324C4EA0666D}"/>
                </c:ext>
              </c:extLst>
            </c:dLbl>
            <c:dLbl>
              <c:idx val="5"/>
              <c:layout>
                <c:manualLayout>
                  <c:x val="0.31928707918665367"/>
                  <c:y val="-2.9689414811662082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1886475206606304"/>
                      <c:h val="0.10979426073929281"/>
                    </c:manualLayout>
                  </c15:layout>
                </c:ext>
                <c:ext xmlns:c16="http://schemas.microsoft.com/office/drawing/2014/chart" uri="{C3380CC4-5D6E-409C-BE32-E72D297353CC}">
                  <c16:uniqueId val="{0000000B-5130-4FF9-8324-324C4EA0666D}"/>
                </c:ext>
              </c:extLst>
            </c:dLbl>
            <c:dLbl>
              <c:idx val="6"/>
              <c:layout>
                <c:manualLayout>
                  <c:x val="8.8477310900482956E-2"/>
                  <c:y val="6.246763338838941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130-4FF9-8324-324C4EA0666D}"/>
                </c:ext>
              </c:extLst>
            </c:dLbl>
            <c:dLbl>
              <c:idx val="7"/>
              <c:layout>
                <c:manualLayout>
                  <c:x val="0.43683080017795611"/>
                  <c:y val="0.2661409774293422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130-4FF9-8324-324C4EA0666D}"/>
                </c:ext>
              </c:extLst>
            </c:dLbl>
            <c:dLbl>
              <c:idx val="8"/>
              <c:layout>
                <c:manualLayout>
                  <c:x val="0.44520837821541615"/>
                  <c:y val="0.4146184111504034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5130-4FF9-8324-324C4EA0666D}"/>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s-PE"/>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'C+AD'!$B$105:$B$111</c:f>
              <c:strCache>
                <c:ptCount val="7"/>
                <c:pt idx="0">
                  <c:v>Materiales</c:v>
                </c:pt>
                <c:pt idx="1">
                  <c:v>Mano de Obra</c:v>
                </c:pt>
                <c:pt idx="2">
                  <c:v>Subcontratos de obra</c:v>
                </c:pt>
                <c:pt idx="3">
                  <c:v>Servicios Contratados</c:v>
                </c:pt>
                <c:pt idx="4">
                  <c:v>Equipos y Vehículos (Propios)</c:v>
                </c:pt>
                <c:pt idx="5">
                  <c:v>Equipos y Vehículos (Terceros)</c:v>
                </c:pt>
                <c:pt idx="6">
                  <c:v>Fletes</c:v>
                </c:pt>
              </c:strCache>
            </c:strRef>
          </c:cat>
          <c:val>
            <c:numRef>
              <c:f>'C+AD'!$C$105:$C$111</c:f>
              <c:numCache>
                <c:formatCode>_ * #,##0.00_ ;_ * \-#,##0.00_ ;_ * "-"??_ ;_ @_ </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2-5130-4FF9-8324-324C4EA0666D}"/>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000"/>
      </a:pPr>
      <a:endParaRPr lang="es-P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s-PE"/>
              <a:t>DISTRIBUCIÓN COSTO INDIRECTO INCURRIDO</a:t>
            </a:r>
          </a:p>
          <a:p>
            <a:pPr>
              <a:defRPr/>
            </a:pPr>
            <a:r>
              <a:rPr lang="es-PE"/>
              <a:t>TOTAL PROYECTO</a:t>
            </a:r>
          </a:p>
        </c:rich>
      </c:tx>
      <c:layout>
        <c:manualLayout>
          <c:xMode val="edge"/>
          <c:yMode val="edge"/>
          <c:x val="0.61461933888094866"/>
          <c:y val="0.8835537951392212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s-PE"/>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239680967891272E-2"/>
          <c:y val="0.14933952618186733"/>
          <c:w val="0.77104891550978116"/>
          <c:h val="0.80692476878025488"/>
        </c:manualLayout>
      </c:layout>
      <c:pie3DChart>
        <c:varyColors val="1"/>
        <c:ser>
          <c:idx val="0"/>
          <c:order val="0"/>
          <c:explosion val="22"/>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BFB-4DAD-8723-9A64B3D1046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BFB-4DAD-8723-9A64B3D1046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BFB-4DAD-8723-9A64B3D1046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BFB-4DAD-8723-9A64B3D1046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ABFB-4DAD-8723-9A64B3D10468}"/>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ABFB-4DAD-8723-9A64B3D1046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ABFB-4DAD-8723-9A64B3D10468}"/>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ABFB-4DAD-8723-9A64B3D10468}"/>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ABFB-4DAD-8723-9A64B3D10468}"/>
              </c:ext>
            </c:extLst>
          </c:dPt>
          <c:dLbls>
            <c:dLbl>
              <c:idx val="0"/>
              <c:layout>
                <c:manualLayout>
                  <c:x val="-0.28546186415051011"/>
                  <c:y val="3.114930590221035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BFB-4DAD-8723-9A64B3D10468}"/>
                </c:ext>
              </c:extLst>
            </c:dLbl>
            <c:dLbl>
              <c:idx val="1"/>
              <c:layout>
                <c:manualLayout>
                  <c:x val="-9.693258389756472E-2"/>
                  <c:y val="-3.98102754613938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BFB-4DAD-8723-9A64B3D10468}"/>
                </c:ext>
              </c:extLst>
            </c:dLbl>
            <c:dLbl>
              <c:idx val="2"/>
              <c:layout>
                <c:manualLayout>
                  <c:x val="6.4286761856210045E-2"/>
                  <c:y val="-2.76380941371404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BFB-4DAD-8723-9A64B3D10468}"/>
                </c:ext>
              </c:extLst>
            </c:dLbl>
            <c:dLbl>
              <c:idx val="3"/>
              <c:layout>
                <c:manualLayout>
                  <c:x val="0.12804148211114005"/>
                  <c:y val="-6.76605953179561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BFB-4DAD-8723-9A64B3D10468}"/>
                </c:ext>
              </c:extLst>
            </c:dLbl>
            <c:dLbl>
              <c:idx val="4"/>
              <c:layout>
                <c:manualLayout>
                  <c:x val="0.21521587834109915"/>
                  <c:y val="8.189227107208709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BFB-4DAD-8723-9A64B3D10468}"/>
                </c:ext>
              </c:extLst>
            </c:dLbl>
            <c:dLbl>
              <c:idx val="5"/>
              <c:layout>
                <c:manualLayout>
                  <c:x val="0.2208656717066772"/>
                  <c:y val="0.3038491381650736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BFB-4DAD-8723-9A64B3D10468}"/>
                </c:ext>
              </c:extLst>
            </c:dLbl>
            <c:dLbl>
              <c:idx val="6"/>
              <c:layout>
                <c:manualLayout>
                  <c:x val="0.2187253582330336"/>
                  <c:y val="0.1477374169415091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ABFB-4DAD-8723-9A64B3D10468}"/>
                </c:ext>
              </c:extLst>
            </c:dLbl>
            <c:dLbl>
              <c:idx val="7"/>
              <c:layout>
                <c:manualLayout>
                  <c:x val="0.19560847899480269"/>
                  <c:y val="-7.15676085941149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ABFB-4DAD-8723-9A64B3D10468}"/>
                </c:ext>
              </c:extLst>
            </c:dLbl>
            <c:dLbl>
              <c:idx val="8"/>
              <c:layout>
                <c:manualLayout>
                  <c:x val="-0.12052167951251132"/>
                  <c:y val="0.1493660376961920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ABFB-4DAD-8723-9A64B3D1046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s-PE"/>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'C+AD'!$B$105:$B$113</c:f>
              <c:strCache>
                <c:ptCount val="9"/>
                <c:pt idx="0">
                  <c:v>Materiales</c:v>
                </c:pt>
                <c:pt idx="1">
                  <c:v>Mano de Obra</c:v>
                </c:pt>
                <c:pt idx="2">
                  <c:v>Subcontratos de obra</c:v>
                </c:pt>
                <c:pt idx="3">
                  <c:v>Servicios Contratados</c:v>
                </c:pt>
                <c:pt idx="4">
                  <c:v>Equipos y Vehículos (Propios)</c:v>
                </c:pt>
                <c:pt idx="5">
                  <c:v>Equipos y Vehículos (Terceros)</c:v>
                </c:pt>
                <c:pt idx="6">
                  <c:v>Fletes</c:v>
                </c:pt>
                <c:pt idx="7">
                  <c:v>Staff (Sueldos)</c:v>
                </c:pt>
                <c:pt idx="8">
                  <c:v>Gastos Generales</c:v>
                </c:pt>
              </c:strCache>
            </c:strRef>
          </c:cat>
          <c:val>
            <c:numRef>
              <c:f>'C+AD'!$E$105:$E$113</c:f>
              <c:numCache>
                <c:formatCode>_ * #,##0.00_ ;_ * \-#,##0.00_ ;_ * "-"??_ ;_ @_ </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2-ABFB-4DAD-8723-9A64B3D10468}"/>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000"/>
      </a:pPr>
      <a:endParaRPr lang="es-P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s-PE"/>
              <a:t>DISTRIBUCIÓN DEL</a:t>
            </a:r>
            <a:r>
              <a:rPr lang="es-PE" baseline="0"/>
              <a:t> C</a:t>
            </a:r>
            <a:r>
              <a:rPr lang="es-PE"/>
              <a:t>OSTO INCURRIDO</a:t>
            </a:r>
          </a:p>
          <a:p>
            <a:pPr>
              <a:defRPr/>
            </a:pPr>
            <a:r>
              <a:rPr lang="es-PE"/>
              <a:t>TOTAL PROYECTO</a:t>
            </a:r>
          </a:p>
        </c:rich>
      </c:tx>
      <c:layout>
        <c:manualLayout>
          <c:xMode val="edge"/>
          <c:yMode val="edge"/>
          <c:x val="0.61461933888094866"/>
          <c:y val="0.8835537951392212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s-PE"/>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442924611657943E-2"/>
          <c:y val="5.6654925650937445E-2"/>
          <c:w val="0.86503310692141677"/>
          <c:h val="0.90331673477156382"/>
        </c:manualLayout>
      </c:layout>
      <c:pie3DChart>
        <c:varyColors val="1"/>
        <c:ser>
          <c:idx val="0"/>
          <c:order val="0"/>
          <c:explosion val="22"/>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7FF-41CC-8637-50E44F26489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7FF-41CC-8637-50E44F26489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7FF-41CC-8637-50E44F26489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7FF-41CC-8637-50E44F26489E}"/>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87FF-41CC-8637-50E44F26489E}"/>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87FF-41CC-8637-50E44F26489E}"/>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87FF-41CC-8637-50E44F26489E}"/>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87FF-41CC-8637-50E44F26489E}"/>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87FF-41CC-8637-50E44F26489E}"/>
              </c:ext>
            </c:extLst>
          </c:dPt>
          <c:dLbls>
            <c:dLbl>
              <c:idx val="0"/>
              <c:layout>
                <c:manualLayout>
                  <c:x val="0.11238661341065163"/>
                  <c:y val="-4.670558928849450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7FF-41CC-8637-50E44F26489E}"/>
                </c:ext>
              </c:extLst>
            </c:dLbl>
            <c:dLbl>
              <c:idx val="1"/>
              <c:layout>
                <c:manualLayout>
                  <c:x val="-8.8813289601221229E-2"/>
                  <c:y val="-6.443881268809928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7FF-41CC-8637-50E44F26489E}"/>
                </c:ext>
              </c:extLst>
            </c:dLbl>
            <c:dLbl>
              <c:idx val="2"/>
              <c:layout>
                <c:manualLayout>
                  <c:x val="-2.5026148698725052E-2"/>
                  <c:y val="-9.101248160938732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7FF-41CC-8637-50E44F26489E}"/>
                </c:ext>
              </c:extLst>
            </c:dLbl>
            <c:dLbl>
              <c:idx val="3"/>
              <c:layout>
                <c:manualLayout>
                  <c:x val="-4.084110700874484E-2"/>
                  <c:y val="-0.122430295202778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7FF-41CC-8637-50E44F26489E}"/>
                </c:ext>
              </c:extLst>
            </c:dLbl>
            <c:dLbl>
              <c:idx val="4"/>
              <c:layout>
                <c:manualLayout>
                  <c:x val="-5.2722842888682148E-2"/>
                  <c:y val="7.7456017437334582E-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7FF-41CC-8637-50E44F26489E}"/>
                </c:ext>
              </c:extLst>
            </c:dLbl>
            <c:dLbl>
              <c:idx val="5"/>
              <c:layout>
                <c:manualLayout>
                  <c:x val="-0.15587250333168828"/>
                  <c:y val="-9.28406538998121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87FF-41CC-8637-50E44F26489E}"/>
                </c:ext>
              </c:extLst>
            </c:dLbl>
            <c:dLbl>
              <c:idx val="6"/>
              <c:layout>
                <c:manualLayout>
                  <c:x val="4.1723329512796857E-2"/>
                  <c:y val="-5.24610693587645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87FF-41CC-8637-50E44F26489E}"/>
                </c:ext>
              </c:extLst>
            </c:dLbl>
            <c:dLbl>
              <c:idx val="7"/>
              <c:layout>
                <c:manualLayout>
                  <c:x val="0.19560847899480269"/>
                  <c:y val="-7.15676085941149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87FF-41CC-8637-50E44F26489E}"/>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s-PE"/>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'C+AD'!$B$101:$B$102</c:f>
              <c:strCache>
                <c:ptCount val="2"/>
                <c:pt idx="0">
                  <c:v>DIRECTO</c:v>
                </c:pt>
                <c:pt idx="1">
                  <c:v>INDIRECTO</c:v>
                </c:pt>
              </c:strCache>
            </c:strRef>
          </c:cat>
          <c:val>
            <c:numRef>
              <c:f>'C+AD'!$C$101:$C$102</c:f>
              <c:numCache>
                <c:formatCode>_ * #,##0.00_ ;_ * \-#,##0.00_ ;_ * "-"??_ ;_ @_ </c:formatCode>
                <c:ptCount val="2"/>
                <c:pt idx="0">
                  <c:v>0</c:v>
                </c:pt>
                <c:pt idx="1">
                  <c:v>0</c:v>
                </c:pt>
              </c:numCache>
            </c:numRef>
          </c:val>
          <c:extLst>
            <c:ext xmlns:c16="http://schemas.microsoft.com/office/drawing/2014/chart" uri="{C3380CC4-5D6E-409C-BE32-E72D297353CC}">
              <c16:uniqueId val="{00000012-87FF-41CC-8637-50E44F26489E}"/>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000"/>
      </a:pPr>
      <a:endParaRPr lang="es-P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s-PE"/>
              <a:t>RESULTADO OPERATIVO</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manualLayout>
          <c:layoutTarget val="inner"/>
          <c:xMode val="edge"/>
          <c:yMode val="edge"/>
          <c:x val="5.2127716575719671E-2"/>
          <c:y val="0.12915943580706801"/>
          <c:w val="0.90792671061934582"/>
          <c:h val="0.80020254509991362"/>
        </c:manualLayout>
      </c:layout>
      <c:barChart>
        <c:barDir val="col"/>
        <c:grouping val="clustered"/>
        <c:varyColors val="0"/>
        <c:ser>
          <c:idx val="0"/>
          <c:order val="0"/>
          <c:tx>
            <c:v>Venta</c:v>
          </c:tx>
          <c:spPr>
            <a:solidFill>
              <a:schemeClr val="accent1"/>
            </a:solidFill>
            <a:ln>
              <a:noFill/>
            </a:ln>
            <a:effectLst/>
          </c:spPr>
          <c:invertIfNegative val="0"/>
          <c:dLbls>
            <c:dLbl>
              <c:idx val="0"/>
              <c:layout>
                <c:manualLayout>
                  <c:x val="-2.0032750143520194E-2"/>
                  <c:y val="-2.11267605633801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8D-4CC9-8925-8C8CA7D3A2CE}"/>
                </c:ext>
              </c:extLst>
            </c:dLbl>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1</c:v>
              </c:pt>
            </c:numLit>
          </c:val>
          <c:extLst>
            <c:ext xmlns:c15="http://schemas.microsoft.com/office/drawing/2012/chart" uri="{02D57815-91ED-43cb-92C2-25804820EDAC}">
              <c15:filteredCategoryTitle>
                <c15:cat>
                  <c:multiLvlStrRef>
                    <c:extLst>
                      <c:ext uri="{02D57815-91ED-43cb-92C2-25804820EDAC}">
                        <c15:formulaRef>
                          <c15:sqref>(CONSOLIDADO!$K$3,CONSOLIDADO!$N$5:$R$5,CONSOLIDADO!$S$4,CONSOLIDADO!$U$5,CONSOLIDADO!#REF!,CONSOLIDADO!#REF!,CONSOLIDADO!$L$3,CONSOLIDADO!$W$5,CONSOLIDADO!$AA$5)</c15:sqref>
                        </c15:formulaRef>
                      </c:ext>
                    </c:extLst>
                  </c:multiLvlStrRef>
                </c15:cat>
              </c15:filteredCategoryTitle>
            </c:ext>
            <c:ext xmlns:c16="http://schemas.microsoft.com/office/drawing/2014/chart" uri="{C3380CC4-5D6E-409C-BE32-E72D297353CC}">
              <c16:uniqueId val="{00000000-CCEC-4612-84B3-D0DC30CE33CE}"/>
            </c:ext>
          </c:extLst>
        </c:ser>
        <c:ser>
          <c:idx val="1"/>
          <c:order val="1"/>
          <c:tx>
            <c:v>Costo</c:v>
          </c:tx>
          <c:spPr>
            <a:solidFill>
              <a:schemeClr val="accent2"/>
            </a:solidFill>
            <a:ln>
              <a:noFill/>
            </a:ln>
            <a:effectLst/>
          </c:spPr>
          <c:invertIfNegative val="0"/>
          <c:dLbls>
            <c:dLbl>
              <c:idx val="0"/>
              <c:layout>
                <c:manualLayout>
                  <c:x val="-3.5340879000294464E-2"/>
                  <c:y val="-3.5211267605633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CEC-4612-84B3-D0DC30CE33CE}"/>
                </c:ext>
              </c:extLst>
            </c:dLbl>
            <c:dLbl>
              <c:idx val="293"/>
              <c:layout>
                <c:manualLayout>
                  <c:x val="1.6142050040355085E-2"/>
                  <c:y val="-1.721419863619604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108D-4CC9-8925-8C8CA7D3A2CE}"/>
                </c:ext>
              </c:extLst>
            </c:dLbl>
            <c:dLbl>
              <c:idx val="294"/>
              <c:layout>
                <c:manualLayout>
                  <c:x val="1.1299435028248548E-2"/>
                  <c:y val="-2.34741784037558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108D-4CC9-8925-8C8CA7D3A2CE}"/>
                </c:ext>
              </c:extLst>
            </c:dLbl>
            <c:dLbl>
              <c:idx val="295"/>
              <c:layout>
                <c:manualLayout>
                  <c:x val="6.9948883508205544E-3"/>
                  <c:y val="-1.721419863619604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108D-4CC9-8925-8C8CA7D3A2CE}"/>
                </c:ext>
              </c:extLst>
            </c:dLbl>
            <c:dLbl>
              <c:idx val="296"/>
              <c:layout>
                <c:manualLayout>
                  <c:x val="1.3451708366962604E-2"/>
                  <c:y val="-7.04225352112693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108D-4CC9-8925-8C8CA7D3A2CE}"/>
                </c:ext>
              </c:extLst>
            </c:dLbl>
            <c:dLbl>
              <c:idx val="297"/>
              <c:layout>
                <c:manualLayout>
                  <c:x val="8.6090933548560664E-3"/>
                  <c:y val="-8.607099318098023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108D-4CC9-8925-8C8CA7D3A2CE}"/>
                </c:ext>
              </c:extLst>
            </c:dLbl>
            <c:dLbl>
              <c:idx val="298"/>
              <c:layout>
                <c:manualLayout>
                  <c:x val="1.1837503362927012E-2"/>
                  <c:y val="8.607099318098023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108D-4CC9-8925-8C8CA7D3A2CE}"/>
                </c:ext>
              </c:extLst>
            </c:dLbl>
            <c:dLbl>
              <c:idx val="299"/>
              <c:layout>
                <c:manualLayout>
                  <c:x val="1.29136400322841E-2"/>
                  <c:y val="-9.389671361502347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108D-4CC9-8925-8C8CA7D3A2CE}"/>
                </c:ext>
              </c:extLst>
            </c:dLbl>
            <c:dLbl>
              <c:idx val="301"/>
              <c:layout>
                <c:manualLayout>
                  <c:x val="8.6090933548560664E-3"/>
                  <c:y val="-2.34741784037558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108D-4CC9-8925-8C8CA7D3A2CE}"/>
                </c:ext>
              </c:extLst>
            </c:dLbl>
            <c:dLbl>
              <c:idx val="329"/>
              <c:layout>
                <c:manualLayout>
                  <c:x val="1.3902533207578133E-2"/>
                  <c:y val="1.069441263254335E-2"/>
                </c:manualLayout>
              </c:layout>
              <c:showLegendKey val="0"/>
              <c:showVal val="1"/>
              <c:showCatName val="0"/>
              <c:showSerName val="0"/>
              <c:showPercent val="0"/>
              <c:showBubbleSize val="0"/>
              <c:extLst xmlns:c15="http://schemas.microsoft.com/office/drawing/2012/chart" xmlns:c16="http://schemas.microsoft.com/office/drawing/2014/chart">
                <c:ext xmlns:c15="http://schemas.microsoft.com/office/drawing/2012/chart" uri="{CE6537A1-D6FC-4f65-9D91-7224C49458BB}"/>
                <c:ext xmlns:c16="http://schemas.microsoft.com/office/drawing/2014/chart" uri="{C3380CC4-5D6E-409C-BE32-E72D297353CC}">
                  <c16:uniqueId val="{00000003-CCEC-4612-84B3-D0DC30CE33CE}"/>
                </c:ext>
              </c:extLst>
            </c:dLbl>
            <c:dLbl>
              <c:idx val="330"/>
              <c:layout>
                <c:manualLayout>
                  <c:x val="4.6341777358593498E-3"/>
                  <c:y val="3.5648042108477832E-3"/>
                </c:manualLayout>
              </c:layout>
              <c:showLegendKey val="0"/>
              <c:showVal val="1"/>
              <c:showCatName val="0"/>
              <c:showSerName val="0"/>
              <c:showPercent val="0"/>
              <c:showBubbleSize val="0"/>
              <c:extLst xmlns:c15="http://schemas.microsoft.com/office/drawing/2012/chart" xmlns:c16="http://schemas.microsoft.com/office/drawing/2014/chart">
                <c:ext xmlns:c15="http://schemas.microsoft.com/office/drawing/2012/chart" uri="{CE6537A1-D6FC-4f65-9D91-7224C49458BB}"/>
                <c:ext xmlns:c16="http://schemas.microsoft.com/office/drawing/2014/chart" uri="{C3380CC4-5D6E-409C-BE32-E72D297353CC}">
                  <c16:uniqueId val="{00000004-CCEC-4612-84B3-D0DC30CE33CE}"/>
                </c:ext>
              </c:extLst>
            </c:dLbl>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1</c:v>
              </c:pt>
            </c:numLit>
          </c:val>
          <c:extLst>
            <c:ext xmlns:c15="http://schemas.microsoft.com/office/drawing/2012/chart" uri="{02D57815-91ED-43cb-92C2-25804820EDAC}">
              <c15:filteredCategoryTitle>
                <c15:cat>
                  <c:multiLvlStrRef>
                    <c:extLst>
                      <c:ext uri="{02D57815-91ED-43cb-92C2-25804820EDAC}">
                        <c15:formulaRef>
                          <c15:sqref>(CONSOLIDADO!$K$3,CONSOLIDADO!$N$5:$R$5,CONSOLIDADO!$S$4,CONSOLIDADO!$U$5,CONSOLIDADO!#REF!,CONSOLIDADO!#REF!,CONSOLIDADO!$L$3,CONSOLIDADO!$W$5,CONSOLIDADO!$AA$5)</c15:sqref>
                        </c15:formulaRef>
                      </c:ext>
                    </c:extLst>
                  </c:multiLvlStrRef>
                </c15:cat>
              </c15:filteredCategoryTitle>
            </c:ext>
            <c:ext xmlns:c16="http://schemas.microsoft.com/office/drawing/2014/chart" uri="{C3380CC4-5D6E-409C-BE32-E72D297353CC}">
              <c16:uniqueId val="{00000001-CCEC-4612-84B3-D0DC30CE33CE}"/>
            </c:ext>
          </c:extLst>
        </c:ser>
        <c:dLbls>
          <c:showLegendKey val="0"/>
          <c:showVal val="1"/>
          <c:showCatName val="0"/>
          <c:showSerName val="0"/>
          <c:showPercent val="0"/>
          <c:showBubbleSize val="0"/>
        </c:dLbls>
        <c:gapWidth val="300"/>
        <c:axId val="675491728"/>
        <c:axId val="675494472"/>
      </c:barChart>
      <c:lineChart>
        <c:grouping val="stacked"/>
        <c:varyColors val="0"/>
        <c:ser>
          <c:idx val="3"/>
          <c:order val="2"/>
          <c:tx>
            <c:v>Desempeño del Proyecto</c:v>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0"/>
              <c:layout>
                <c:manualLayout>
                  <c:x val="1.8918482647296207E-2"/>
                  <c:y val="4.92957746478874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8D-4CC9-8925-8C8CA7D3A2CE}"/>
                </c:ext>
              </c:extLst>
            </c:dLbl>
            <c:dLbl>
              <c:idx val="293"/>
              <c:layout>
                <c:manualLayout>
                  <c:x val="3.2284100080709854E-3"/>
                  <c:y val="-4.46009389671361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108D-4CC9-8925-8C8CA7D3A2CE}"/>
                </c:ext>
              </c:extLst>
            </c:dLbl>
            <c:dLbl>
              <c:idx val="294"/>
              <c:layout>
                <c:manualLayout>
                  <c:x val="4.8426150121065378E-3"/>
                  <c:y val="-6.3380281690140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108D-4CC9-8925-8C8CA7D3A2CE}"/>
                </c:ext>
              </c:extLst>
            </c:dLbl>
            <c:dLbl>
              <c:idx val="295"/>
              <c:layout>
                <c:manualLayout>
                  <c:x val="1.2258121005165922E-3"/>
                  <c:y val="-6.57276995305164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08D-4CC9-8925-8C8CA7D3A2CE}"/>
                </c:ext>
              </c:extLst>
            </c:dLbl>
            <c:dLbl>
              <c:idx val="296"/>
              <c:layout>
                <c:manualLayout>
                  <c:x val="-1.7511601435951318E-4"/>
                  <c:y val="-7.2769953051643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08D-4CC9-8925-8C8CA7D3A2CE}"/>
                </c:ext>
              </c:extLst>
            </c:dLbl>
            <c:dLbl>
              <c:idx val="297"/>
              <c:layout>
                <c:manualLayout>
                  <c:x val="2.4088853300117147E-2"/>
                  <c:y val="2.8169014084507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08D-4CC9-8925-8C8CA7D3A2CE}"/>
                </c:ext>
              </c:extLst>
            </c:dLbl>
            <c:dLbl>
              <c:idx val="298"/>
              <c:layout>
                <c:manualLayout>
                  <c:x val="1.7511601435951318E-4"/>
                  <c:y val="-7.2769953051643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08D-4CC9-8925-8C8CA7D3A2CE}"/>
                </c:ext>
              </c:extLst>
            </c:dLbl>
            <c:dLbl>
              <c:idx val="299"/>
              <c:layout>
                <c:manualLayout>
                  <c:x val="1.8994786668615576E-2"/>
                  <c:y val="-0.100938967136150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08D-4CC9-8925-8C8CA7D3A2CE}"/>
                </c:ext>
              </c:extLst>
            </c:dLbl>
            <c:dLbl>
              <c:idx val="300"/>
              <c:layout>
                <c:manualLayout>
                  <c:x val="2.4225785336155013E-2"/>
                  <c:y val="-0.124413145539906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08D-4CC9-8925-8C8CA7D3A2CE}"/>
                </c:ext>
              </c:extLst>
            </c:dLbl>
            <c:dLbl>
              <c:idx val="301"/>
              <c:layout>
                <c:manualLayout>
                  <c:x val="-6.0250943208370301E-2"/>
                  <c:y val="-8.68544600938967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08D-4CC9-8925-8C8CA7D3A2CE}"/>
                </c:ext>
              </c:extLst>
            </c:dLbl>
            <c:dLbl>
              <c:idx val="302"/>
              <c:layout>
                <c:manualLayout>
                  <c:x val="-5.2534804307856526E-4"/>
                  <c:y val="-7.74647887323942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08D-4CC9-8925-8C8CA7D3A2CE}"/>
                </c:ext>
              </c:extLst>
            </c:dLbl>
            <c:dLbl>
              <c:idx val="303"/>
              <c:layout>
                <c:manualLayout>
                  <c:x val="0"/>
                  <c:y val="-8.4507042253521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08D-4CC9-8925-8C8CA7D3A2CE}"/>
                </c:ext>
              </c:extLst>
            </c:dLbl>
            <c:dLbl>
              <c:idx val="304"/>
              <c:layout>
                <c:manualLayout>
                  <c:x val="-5.2534804307853957E-4"/>
                  <c:y val="-8.4507042253521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8D-4CC9-8925-8C8CA7D3A2CE}"/>
                </c:ext>
              </c:extLst>
            </c:dLbl>
            <c:dLbl>
              <c:idx val="305"/>
              <c:layout>
                <c:manualLayout>
                  <c:x val="-1.2258121005165922E-3"/>
                  <c:y val="-7.2769953051643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08D-4CC9-8925-8C8CA7D3A2CE}"/>
                </c:ext>
              </c:extLst>
            </c:dLbl>
            <c:dLbl>
              <c:idx val="306"/>
              <c:layout>
                <c:manualLayout>
                  <c:x val="0"/>
                  <c:y val="-7.74647887323942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08D-4CC9-8925-8C8CA7D3A2CE}"/>
                </c:ext>
              </c:extLst>
            </c:dLbl>
            <c:dLbl>
              <c:idx val="307"/>
              <c:layout>
                <c:manualLayout>
                  <c:x val="0"/>
                  <c:y val="-6.57276995305164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08D-4CC9-8925-8C8CA7D3A2CE}"/>
                </c:ext>
              </c:extLst>
            </c:dLbl>
            <c:dLbl>
              <c:idx val="308"/>
              <c:layout>
                <c:manualLayout>
                  <c:x val="-1.7511601435951318E-4"/>
                  <c:y val="-7.2769953051643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08D-4CC9-8925-8C8CA7D3A2CE}"/>
                </c:ext>
              </c:extLst>
            </c:dLbl>
            <c:dLbl>
              <c:idx val="309"/>
              <c:layout>
                <c:manualLayout>
                  <c:x val="-7.0046405743805272E-4"/>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08D-4CC9-8925-8C8CA7D3A2CE}"/>
                </c:ext>
              </c:extLst>
            </c:dLbl>
            <c:dLbl>
              <c:idx val="310"/>
              <c:layout>
                <c:manualLayout>
                  <c:x val="-1.7511601435951318E-4"/>
                  <c:y val="-7.98122065727699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108D-4CC9-8925-8C8CA7D3A2CE}"/>
                </c:ext>
              </c:extLst>
            </c:dLbl>
            <c:dLbl>
              <c:idx val="311"/>
              <c:layout>
                <c:manualLayout>
                  <c:x val="0"/>
                  <c:y val="-6.5727699530516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108D-4CC9-8925-8C8CA7D3A2CE}"/>
                </c:ext>
              </c:extLst>
            </c:dLbl>
            <c:dLbl>
              <c:idx val="312"/>
              <c:layout>
                <c:manualLayout>
                  <c:x val="1.7511601435946182E-4"/>
                  <c:y val="-5.86854460093896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108D-4CC9-8925-8C8CA7D3A2CE}"/>
                </c:ext>
              </c:extLst>
            </c:dLbl>
            <c:dLbl>
              <c:idx val="313"/>
              <c:layout>
                <c:manualLayout>
                  <c:x val="5.2534804307853957E-4"/>
                  <c:y val="-5.6338028169014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108D-4CC9-8925-8C8CA7D3A2CE}"/>
                </c:ext>
              </c:extLst>
            </c:dLbl>
            <c:dLbl>
              <c:idx val="314"/>
              <c:layout>
                <c:manualLayout>
                  <c:x val="-5.1366770818804068E-17"/>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108D-4CC9-8925-8C8CA7D3A2CE}"/>
                </c:ext>
              </c:extLst>
            </c:dLbl>
            <c:dLbl>
              <c:idx val="315"/>
              <c:layout>
                <c:manualLayout>
                  <c:x val="0"/>
                  <c:y val="-6.5727699530516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108D-4CC9-8925-8C8CA7D3A2CE}"/>
                </c:ext>
              </c:extLst>
            </c:dLbl>
            <c:dLbl>
              <c:idx val="316"/>
              <c:layout>
                <c:manualLayout>
                  <c:x val="-1.7511601435961591E-4"/>
                  <c:y val="-5.8685446009389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108D-4CC9-8925-8C8CA7D3A2CE}"/>
                </c:ext>
              </c:extLst>
            </c:dLbl>
            <c:dLbl>
              <c:idx val="317"/>
              <c:layout>
                <c:manualLayout>
                  <c:x val="-5.2534804307853957E-4"/>
                  <c:y val="-6.3380281690140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108D-4CC9-8925-8C8CA7D3A2CE}"/>
                </c:ext>
              </c:extLst>
            </c:dLbl>
            <c:dLbl>
              <c:idx val="318"/>
              <c:layout>
                <c:manualLayout>
                  <c:x val="1.0506960861570277E-3"/>
                  <c:y val="-7.74647887323944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108D-4CC9-8925-8C8CA7D3A2CE}"/>
                </c:ext>
              </c:extLst>
            </c:dLbl>
            <c:dLbl>
              <c:idx val="319"/>
              <c:layout>
                <c:manualLayout>
                  <c:x val="1.7511601435946182E-4"/>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108D-4CC9-8925-8C8CA7D3A2CE}"/>
                </c:ext>
              </c:extLst>
            </c:dLbl>
            <c:dLbl>
              <c:idx val="320"/>
              <c:layout>
                <c:manualLayout>
                  <c:x val="-1.0273354163760814E-16"/>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108D-4CC9-8925-8C8CA7D3A2CE}"/>
                </c:ext>
              </c:extLst>
            </c:dLbl>
            <c:dLbl>
              <c:idx val="321"/>
              <c:layout>
                <c:manualLayout>
                  <c:x val="-1.7511601435951318E-4"/>
                  <c:y val="-7.04225352112676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108D-4CC9-8925-8C8CA7D3A2CE}"/>
                </c:ext>
              </c:extLst>
            </c:dLbl>
            <c:dLbl>
              <c:idx val="322"/>
              <c:layout>
                <c:manualLayout>
                  <c:x val="0"/>
                  <c:y val="-7.74647887323942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108D-4CC9-8925-8C8CA7D3A2CE}"/>
                </c:ext>
              </c:extLst>
            </c:dLbl>
            <c:dLbl>
              <c:idx val="323"/>
              <c:layout>
                <c:manualLayout>
                  <c:x val="1.0506960861570791E-3"/>
                  <c:y val="-6.57276995305164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108D-4CC9-8925-8C8CA7D3A2CE}"/>
                </c:ext>
              </c:extLst>
            </c:dLbl>
            <c:dLbl>
              <c:idx val="324"/>
              <c:layout>
                <c:manualLayout>
                  <c:x val="0"/>
                  <c:y val="-7.98122065727700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108D-4CC9-8925-8C8CA7D3A2CE}"/>
                </c:ext>
              </c:extLst>
            </c:dLbl>
            <c:dLbl>
              <c:idx val="325"/>
              <c:layout>
                <c:manualLayout>
                  <c:x val="-1.7511601435961591E-4"/>
                  <c:y val="-6.5727699530516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108D-4CC9-8925-8C8CA7D3A2CE}"/>
                </c:ext>
              </c:extLst>
            </c:dLbl>
            <c:dLbl>
              <c:idx val="326"/>
              <c:layout>
                <c:manualLayout>
                  <c:x val="-5.2534804307864224E-4"/>
                  <c:y val="-5.16431924882629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108D-4CC9-8925-8C8CA7D3A2CE}"/>
                </c:ext>
              </c:extLst>
            </c:dLbl>
            <c:dLbl>
              <c:idx val="327"/>
              <c:layout>
                <c:manualLayout>
                  <c:x val="-1.7511601435951318E-4"/>
                  <c:y val="-5.63380281690141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108D-4CC9-8925-8C8CA7D3A2CE}"/>
                </c:ext>
              </c:extLst>
            </c:dLbl>
            <c:dLbl>
              <c:idx val="328"/>
              <c:layout>
                <c:manualLayout>
                  <c:x val="0"/>
                  <c:y val="-5.8685446009389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108D-4CC9-8925-8C8CA7D3A2CE}"/>
                </c:ext>
              </c:extLst>
            </c:dLbl>
            <c:dLbl>
              <c:idx val="329"/>
              <c:layout>
                <c:manualLayout>
                  <c:x val="5.2534804307843679E-4"/>
                  <c:y val="-7.7464788732394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108D-4CC9-8925-8C8CA7D3A2CE}"/>
                </c:ext>
              </c:extLst>
            </c:dLbl>
            <c:dLbl>
              <c:idx val="330"/>
              <c:layout>
                <c:manualLayout>
                  <c:x val="1.2258121005164896E-3"/>
                  <c:y val="-7.27699530516431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8D-4CC9-8925-8C8CA7D3A2CE}"/>
                </c:ext>
              </c:extLst>
            </c:dLbl>
            <c:dLbl>
              <c:idx val="331"/>
              <c:layout>
                <c:manualLayout>
                  <c:x val="-1.0506960861571817E-3"/>
                  <c:y val="-7.74647887323943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15:layout>
                    <c:manualLayout>
                      <c:w val="8.7628053585500389E-3"/>
                      <c:h val="5.1854460093896715E-2"/>
                    </c:manualLayout>
                  </c15:layout>
                </c:ext>
                <c:ext xmlns:c16="http://schemas.microsoft.com/office/drawing/2014/chart" uri="{C3380CC4-5D6E-409C-BE32-E72D297353CC}">
                  <c16:uniqueId val="{00000028-108D-4CC9-8925-8C8CA7D3A2CE}"/>
                </c:ext>
              </c:extLst>
            </c:dLbl>
            <c:dLbl>
              <c:idx val="332"/>
              <c:layout>
                <c:manualLayout>
                  <c:x val="-5.2534804307853957E-4"/>
                  <c:y val="-6.5727699530516437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15:layout>
                    <c:manualLayout>
                      <c:w val="8.7628053585500389E-3"/>
                      <c:h val="6.1244131455399059E-2"/>
                    </c:manualLayout>
                  </c15:layout>
                </c:ext>
                <c:ext xmlns:c16="http://schemas.microsoft.com/office/drawing/2014/chart" uri="{C3380CC4-5D6E-409C-BE32-E72D297353CC}">
                  <c16:uniqueId val="{00000029-108D-4CC9-8925-8C8CA7D3A2CE}"/>
                </c:ext>
              </c:extLst>
            </c:dLbl>
            <c:dLbl>
              <c:idx val="333"/>
              <c:layout>
                <c:manualLayout>
                  <c:x val="0"/>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108D-4CC9-8925-8C8CA7D3A2CE}"/>
                </c:ext>
              </c:extLst>
            </c:dLbl>
            <c:dLbl>
              <c:idx val="334"/>
              <c:layout>
                <c:manualLayout>
                  <c:x val="0"/>
                  <c:y val="-6.3380281690140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108D-4CC9-8925-8C8CA7D3A2CE}"/>
                </c:ext>
              </c:extLst>
            </c:dLbl>
            <c:dLbl>
              <c:idx val="335"/>
              <c:layout>
                <c:manualLayout>
                  <c:x val="1.7511601435951318E-4"/>
                  <c:y val="-7.7464788732394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108D-4CC9-8925-8C8CA7D3A2CE}"/>
                </c:ext>
              </c:extLst>
            </c:dLbl>
            <c:dLbl>
              <c:idx val="336"/>
              <c:layout>
                <c:manualLayout>
                  <c:x val="-5.2534804307864224E-4"/>
                  <c:y val="-7.0422535211267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108D-4CC9-8925-8C8CA7D3A2CE}"/>
                </c:ext>
              </c:extLst>
            </c:dLbl>
            <c:dLbl>
              <c:idx val="337"/>
              <c:layout>
                <c:manualLayout>
                  <c:x val="1.7511601435951318E-4"/>
                  <c:y val="-6.3380281690140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108D-4CC9-8925-8C8CA7D3A2CE}"/>
                </c:ext>
              </c:extLst>
            </c:dLbl>
            <c:dLbl>
              <c:idx val="338"/>
              <c:layout>
                <c:manualLayout>
                  <c:x val="1.7511601435951318E-4"/>
                  <c:y val="-7.98122065727699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108D-4CC9-8925-8C8CA7D3A2CE}"/>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1</c:v>
              </c:pt>
            </c:numLit>
          </c:val>
          <c:smooth val="0"/>
          <c:extLst>
            <c:ext xmlns:c15="http://schemas.microsoft.com/office/drawing/2012/chart" uri="{02D57815-91ED-43cb-92C2-25804820EDAC}">
              <c15:filteredCategoryTitle>
                <c15:cat>
                  <c:multiLvlStrRef>
                    <c:extLst>
                      <c:ext uri="{02D57815-91ED-43cb-92C2-25804820EDAC}">
                        <c15:formulaRef>
                          <c15:sqref>(CONSOLIDADO!$K$3,CONSOLIDADO!$N$5:$R$5,CONSOLIDADO!$S$4,CONSOLIDADO!$U$5,CONSOLIDADO!#REF!,CONSOLIDADO!#REF!,CONSOLIDADO!$L$3,CONSOLIDADO!$W$5,CONSOLIDADO!$AA$5)</c15:sqref>
                        </c15:formulaRef>
                      </c:ext>
                    </c:extLst>
                  </c:multiLvlStrRef>
                </c15:cat>
              </c15:filteredCategoryTitle>
            </c:ext>
            <c:ext xmlns:c16="http://schemas.microsoft.com/office/drawing/2014/chart" uri="{C3380CC4-5D6E-409C-BE32-E72D297353CC}">
              <c16:uniqueId val="{00000000-108D-4CC9-8925-8C8CA7D3A2CE}"/>
            </c:ext>
          </c:extLst>
        </c:ser>
        <c:dLbls>
          <c:showLegendKey val="0"/>
          <c:showVal val="1"/>
          <c:showCatName val="0"/>
          <c:showSerName val="0"/>
          <c:showPercent val="0"/>
          <c:showBubbleSize val="0"/>
        </c:dLbls>
        <c:marker val="1"/>
        <c:smooth val="0"/>
        <c:axId val="675492120"/>
        <c:axId val="675491336"/>
      </c:lineChart>
      <c:catAx>
        <c:axId val="67549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crossAx val="675494472"/>
        <c:crosses val="autoZero"/>
        <c:auto val="1"/>
        <c:lblAlgn val="ctr"/>
        <c:lblOffset val="100"/>
        <c:noMultiLvlLbl val="0"/>
      </c:catAx>
      <c:valAx>
        <c:axId val="675494472"/>
        <c:scaling>
          <c:orientation val="minMax"/>
          <c:max val="220000000.00000003"/>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PE"/>
                  <a:t>Miles de Soles (Venta - Costo)</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crossAx val="675491728"/>
        <c:crosses val="autoZero"/>
        <c:crossBetween val="between"/>
        <c:majorUnit val="20000000"/>
      </c:valAx>
      <c:valAx>
        <c:axId val="675491336"/>
        <c:scaling>
          <c:orientation val="minMax"/>
          <c:max val="30000000"/>
          <c:min val="-20000000"/>
        </c:scaling>
        <c:delete val="0"/>
        <c:axPos val="r"/>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PE"/>
                  <a:t>Miles de Soles (Margen)</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crossAx val="675492120"/>
        <c:crosses val="max"/>
        <c:crossBetween val="between"/>
      </c:valAx>
      <c:catAx>
        <c:axId val="675492120"/>
        <c:scaling>
          <c:orientation val="minMax"/>
        </c:scaling>
        <c:delete val="1"/>
        <c:axPos val="b"/>
        <c:numFmt formatCode="General" sourceLinked="1"/>
        <c:majorTickMark val="none"/>
        <c:minorTickMark val="none"/>
        <c:tickLblPos val="nextTo"/>
        <c:crossAx val="675491336"/>
        <c:crosses val="autoZero"/>
        <c:auto val="1"/>
        <c:lblAlgn val="ctr"/>
        <c:lblOffset val="100"/>
        <c:noMultiLvlLbl val="0"/>
      </c:catAx>
      <c:spPr>
        <a:noFill/>
        <a:ln>
          <a:noFill/>
        </a:ln>
        <a:effectLst/>
      </c:spPr>
    </c:plotArea>
    <c:legend>
      <c:legendPos val="b"/>
      <c:layout>
        <c:manualLayout>
          <c:xMode val="edge"/>
          <c:yMode val="edge"/>
          <c:x val="0.41894875721019686"/>
          <c:y val="7.707321608374125E-2"/>
          <c:w val="0.18142435585382335"/>
          <c:h val="5.3800414032752951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es-P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s-PE"/>
              <a:t>DISTRIBUCIÓN COSTO  INCURRIDO </a:t>
            </a:r>
          </a:p>
          <a:p>
            <a:pPr>
              <a:defRPr/>
            </a:pPr>
            <a:r>
              <a:rPr lang="es-PE"/>
              <a:t>A</a:t>
            </a:r>
            <a:r>
              <a:rPr lang="es-PE" baseline="0"/>
              <a:t> ABRIL 2021</a:t>
            </a:r>
            <a:endParaRPr lang="es-PE"/>
          </a:p>
        </c:rich>
      </c:tx>
      <c:layout>
        <c:manualLayout>
          <c:xMode val="edge"/>
          <c:yMode val="edge"/>
          <c:x val="0.62824870612510442"/>
          <c:y val="2.207026918693662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s-PE"/>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194493589972569"/>
          <c:y val="0.12709518162960159"/>
          <c:w val="0.68709328028091432"/>
          <c:h val="0.71979307364237244"/>
        </c:manualLayout>
      </c:layout>
      <c:pie3DChart>
        <c:varyColors val="1"/>
        <c:ser>
          <c:idx val="0"/>
          <c:order val="0"/>
          <c:explosion val="22"/>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361-42D5-A4EB-096673BCBC1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361-42D5-A4EB-096673BCBC1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361-42D5-A4EB-096673BCBC1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D361-42D5-A4EB-096673BCBC1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D361-42D5-A4EB-096673BCBC1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D361-42D5-A4EB-096673BCBC14}"/>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D361-42D5-A4EB-096673BCBC14}"/>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D361-42D5-A4EB-096673BCBC14}"/>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D361-42D5-A4EB-096673BCBC14}"/>
              </c:ext>
            </c:extLst>
          </c:dPt>
          <c:dLbls>
            <c:dLbl>
              <c:idx val="2"/>
              <c:layout>
                <c:manualLayout>
                  <c:x val="2.2446285171939025E-2"/>
                  <c:y val="9.036541068232890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361-42D5-A4EB-096673BCBC14}"/>
                </c:ext>
              </c:extLst>
            </c:dLbl>
            <c:dLbl>
              <c:idx val="3"/>
              <c:layout>
                <c:manualLayout>
                  <c:x val="-4.285199896461088E-2"/>
                  <c:y val="9.940195175056300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361-42D5-A4EB-096673BCBC14}"/>
                </c:ext>
              </c:extLst>
            </c:dLbl>
            <c:dLbl>
              <c:idx val="4"/>
              <c:layout>
                <c:manualLayout>
                  <c:x val="-5.917656999874836E-2"/>
                  <c:y val="-3.012180356077611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361-42D5-A4EB-096673BCBC14}"/>
                </c:ext>
              </c:extLst>
            </c:dLbl>
            <c:dLbl>
              <c:idx val="5"/>
              <c:layout>
                <c:manualLayout>
                  <c:x val="-9.9987997584092034E-2"/>
                  <c:y val="-0.1174750338870290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361-42D5-A4EB-096673BCBC14}"/>
                </c:ext>
              </c:extLst>
            </c:dLbl>
            <c:dLbl>
              <c:idx val="6"/>
              <c:layout>
                <c:manualLayout>
                  <c:x val="-1.428399965487029E-2"/>
                  <c:y val="-0.1054263124627183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361-42D5-A4EB-096673BCBC14}"/>
                </c:ext>
              </c:extLst>
            </c:dLbl>
            <c:dLbl>
              <c:idx val="7"/>
              <c:layout>
                <c:manualLayout>
                  <c:x val="0"/>
                  <c:y val="-0.1295237553113396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D361-42D5-A4EB-096673BCBC14}"/>
                </c:ext>
              </c:extLst>
            </c:dLbl>
            <c:dLbl>
              <c:idx val="8"/>
              <c:layout>
                <c:manualLayout>
                  <c:x val="7.3460569653618635E-2"/>
                  <c:y val="-3.012180356077666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D361-42D5-A4EB-096673BCBC14}"/>
                </c:ext>
              </c:extLst>
            </c:dLbl>
            <c:numFmt formatCode="0.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s-PE"/>
              </a:p>
            </c:txPr>
            <c:dLblPos val="outEnd"/>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borderCallout1">
                    <a:avLst/>
                  </a:prstGeom>
                  <a:pattFill prst="pct75">
                    <a:fgClr>
                      <a:schemeClr val="dk1">
                        <a:lumMod val="75000"/>
                        <a:lumOff val="25000"/>
                      </a:schemeClr>
                    </a:fgClr>
                    <a:bgClr>
                      <a:schemeClr val="dk1">
                        <a:lumMod val="65000"/>
                        <a:lumOff val="35000"/>
                      </a:schemeClr>
                    </a:bgClr>
                  </a:pattFill>
                  <a:ln>
                    <a:noFill/>
                  </a:ln>
                </c15:spPr>
              </c:ext>
            </c:extLst>
          </c:dLbls>
          <c:cat>
            <c:multiLvlStrRef>
              <c:f>CONSOLIDADO!$B$104:$C$112</c:f>
              <c:multiLvlStrCache>
                <c:ptCount val="9"/>
                <c:lvl>
                  <c:pt idx="0">
                    <c:v> #¡REF! </c:v>
                  </c:pt>
                  <c:pt idx="1">
                    <c:v> #¡REF! </c:v>
                  </c:pt>
                  <c:pt idx="2">
                    <c:v> #¡REF! </c:v>
                  </c:pt>
                  <c:pt idx="3">
                    <c:v> #¡REF! </c:v>
                  </c:pt>
                  <c:pt idx="4">
                    <c:v> #¡REF! </c:v>
                  </c:pt>
                  <c:pt idx="5">
                    <c:v> #¡REF! </c:v>
                  </c:pt>
                  <c:pt idx="6">
                    <c:v> #¡REF! </c:v>
                  </c:pt>
                  <c:pt idx="7">
                    <c:v> #¡REF! </c:v>
                  </c:pt>
                  <c:pt idx="8">
                    <c:v> #¡REF! </c:v>
                  </c:pt>
                </c:lvl>
                <c:lvl>
                  <c:pt idx="0">
                    <c:v>Materiales</c:v>
                  </c:pt>
                  <c:pt idx="1">
                    <c:v>Mano de Obra</c:v>
                  </c:pt>
                  <c:pt idx="2">
                    <c:v>Subcontratos de obra</c:v>
                  </c:pt>
                  <c:pt idx="3">
                    <c:v>Servicios Contratados</c:v>
                  </c:pt>
                  <c:pt idx="4">
                    <c:v>Equipos Propios</c:v>
                  </c:pt>
                  <c:pt idx="5">
                    <c:v>Equipos Terceros</c:v>
                  </c:pt>
                  <c:pt idx="6">
                    <c:v>Fletes</c:v>
                  </c:pt>
                  <c:pt idx="7">
                    <c:v>Staff (Sueldos)</c:v>
                  </c:pt>
                  <c:pt idx="8">
                    <c:v>Gastos Generales</c:v>
                  </c:pt>
                </c:lvl>
              </c:multiLvlStrCache>
            </c:multiLvlStrRef>
          </c:cat>
          <c:val>
            <c:numRef>
              <c:f>CONSOLIDADO!$C$104:$C$112</c:f>
              <c:numCache>
                <c:formatCode>_ * #,##0.00_ ;_ * \-#,##0.00_ ;_ * "-"??_ ;_ @_ </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0-D361-42D5-A4EB-096673BCBC14}"/>
            </c:ext>
          </c:extLst>
        </c:ser>
        <c:dLbls>
          <c:dLblPos val="ctr"/>
          <c:showLegendKey val="0"/>
          <c:showVal val="0"/>
          <c:showCatName val="0"/>
          <c:showSerName val="0"/>
          <c:showPercent val="1"/>
          <c:showBubbleSize val="0"/>
          <c:showLeaderLines val="1"/>
        </c:dLbls>
      </c:pie3DChart>
      <c:spPr>
        <a:noFill/>
        <a:ln>
          <a:noFill/>
        </a:ln>
        <a:effectLst/>
      </c:spPr>
    </c:plotArea>
    <c:legend>
      <c:legendPos val="b"/>
      <c:layout>
        <c:manualLayout>
          <c:xMode val="edge"/>
          <c:yMode val="edge"/>
          <c:x val="4.6630193953028608E-2"/>
          <c:y val="0.88369718871823089"/>
          <c:w val="0.91703262092238469"/>
          <c:h val="8.6108252797156948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s-PE"/>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000"/>
      </a:pPr>
      <a:endParaRPr lang="es-P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s-PE"/>
              <a:t>DISTRIBUCIÓN COSTO INDIRECTO INCURRIDO</a:t>
            </a:r>
          </a:p>
          <a:p>
            <a:pPr>
              <a:defRPr/>
            </a:pPr>
            <a:r>
              <a:rPr lang="es-PE"/>
              <a:t>TOTAL PROYECTO</a:t>
            </a:r>
          </a:p>
        </c:rich>
      </c:tx>
      <c:layout>
        <c:manualLayout>
          <c:xMode val="edge"/>
          <c:yMode val="edge"/>
          <c:x val="0.61461933888094866"/>
          <c:y val="0.8835537951392212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s-PE"/>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239680967891272E-2"/>
          <c:y val="0.14933952618186733"/>
          <c:w val="0.77104891550978116"/>
          <c:h val="0.80692476878025488"/>
        </c:manualLayout>
      </c:layout>
      <c:pie3DChart>
        <c:varyColors val="1"/>
        <c:ser>
          <c:idx val="0"/>
          <c:order val="0"/>
          <c:explosion val="22"/>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CAC-4A02-88E8-E55F80651F8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CAC-4A02-88E8-E55F80651F8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CAC-4A02-88E8-E55F80651F8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CAC-4A02-88E8-E55F80651F8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CCAC-4A02-88E8-E55F80651F8D}"/>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CCAC-4A02-88E8-E55F80651F8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CCAC-4A02-88E8-E55F80651F8D}"/>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CCAC-4A02-88E8-E55F80651F8D}"/>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CCAC-4A02-88E8-E55F80651F8D}"/>
              </c:ext>
            </c:extLst>
          </c:dPt>
          <c:dLbls>
            <c:dLbl>
              <c:idx val="0"/>
              <c:layout>
                <c:manualLayout>
                  <c:x val="-0.28546186415051011"/>
                  <c:y val="3.114930590221035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CAC-4A02-88E8-E55F80651F8D}"/>
                </c:ext>
              </c:extLst>
            </c:dLbl>
            <c:dLbl>
              <c:idx val="1"/>
              <c:layout>
                <c:manualLayout>
                  <c:x val="-9.693258389756472E-2"/>
                  <c:y val="-3.98102754613938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CAC-4A02-88E8-E55F80651F8D}"/>
                </c:ext>
              </c:extLst>
            </c:dLbl>
            <c:dLbl>
              <c:idx val="2"/>
              <c:layout>
                <c:manualLayout>
                  <c:x val="6.4286761856210045E-2"/>
                  <c:y val="-2.76380941371404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CAC-4A02-88E8-E55F80651F8D}"/>
                </c:ext>
              </c:extLst>
            </c:dLbl>
            <c:dLbl>
              <c:idx val="3"/>
              <c:layout>
                <c:manualLayout>
                  <c:x val="0.12804148211114005"/>
                  <c:y val="-6.76605953179561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CAC-4A02-88E8-E55F80651F8D}"/>
                </c:ext>
              </c:extLst>
            </c:dLbl>
            <c:dLbl>
              <c:idx val="4"/>
              <c:layout>
                <c:manualLayout>
                  <c:x val="0.21521587834109915"/>
                  <c:y val="8.189227107208709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CAC-4A02-88E8-E55F80651F8D}"/>
                </c:ext>
              </c:extLst>
            </c:dLbl>
            <c:dLbl>
              <c:idx val="5"/>
              <c:layout>
                <c:manualLayout>
                  <c:x val="0.2208656717066772"/>
                  <c:y val="0.3038491381650736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CCAC-4A02-88E8-E55F80651F8D}"/>
                </c:ext>
              </c:extLst>
            </c:dLbl>
            <c:dLbl>
              <c:idx val="6"/>
              <c:layout>
                <c:manualLayout>
                  <c:x val="0.2187253582330336"/>
                  <c:y val="0.1477374169415091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CCAC-4A02-88E8-E55F80651F8D}"/>
                </c:ext>
              </c:extLst>
            </c:dLbl>
            <c:dLbl>
              <c:idx val="7"/>
              <c:layout>
                <c:manualLayout>
                  <c:x val="0.19560847899480269"/>
                  <c:y val="-7.15676085941149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CCAC-4A02-88E8-E55F80651F8D}"/>
                </c:ext>
              </c:extLst>
            </c:dLbl>
            <c:dLbl>
              <c:idx val="8"/>
              <c:layout>
                <c:manualLayout>
                  <c:x val="-0.12052167951251132"/>
                  <c:y val="0.1493660376961920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CCAC-4A02-88E8-E55F80651F8D}"/>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s-PE"/>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CONSOLIDADO!$B$104:$B$111</c:f>
              <c:strCache>
                <c:ptCount val="8"/>
                <c:pt idx="0">
                  <c:v>Materiales</c:v>
                </c:pt>
                <c:pt idx="1">
                  <c:v>Mano de Obra</c:v>
                </c:pt>
                <c:pt idx="2">
                  <c:v>Subcontratos de obra</c:v>
                </c:pt>
                <c:pt idx="3">
                  <c:v>Servicios Contratados</c:v>
                </c:pt>
                <c:pt idx="4">
                  <c:v>Equipos Propios</c:v>
                </c:pt>
                <c:pt idx="5">
                  <c:v>Equipos Terceros</c:v>
                </c:pt>
                <c:pt idx="6">
                  <c:v>Fletes</c:v>
                </c:pt>
                <c:pt idx="7">
                  <c:v>Staff (Sueldos)</c:v>
                </c:pt>
              </c:strCache>
            </c:strRef>
          </c:cat>
          <c:val>
            <c:numRef>
              <c:f>CONSOLIDADO!$E$104:$E$111</c:f>
              <c:numCache>
                <c:formatCode>_ * #,##0.00_ ;_ * \-#,##0.00_ ;_ * "-"??_ ;_ @_ </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12-CCAC-4A02-88E8-E55F80651F8D}"/>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000"/>
      </a:pPr>
      <a:endParaRPr lang="es-PE"/>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s-PE"/>
              <a:t>DISTRIBUCIÓN DEL</a:t>
            </a:r>
            <a:r>
              <a:rPr lang="es-PE" baseline="0"/>
              <a:t> C</a:t>
            </a:r>
            <a:r>
              <a:rPr lang="es-PE"/>
              <a:t>OSTO INCURRIDO</a:t>
            </a:r>
          </a:p>
          <a:p>
            <a:pPr>
              <a:defRPr/>
            </a:pPr>
            <a:r>
              <a:rPr lang="es-PE"/>
              <a:t>TOTAL PROYECTO</a:t>
            </a:r>
          </a:p>
        </c:rich>
      </c:tx>
      <c:layout>
        <c:manualLayout>
          <c:xMode val="edge"/>
          <c:yMode val="edge"/>
          <c:x val="0.61461933888094866"/>
          <c:y val="0.8835537951392212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s-PE"/>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893729523902877E-2"/>
          <c:y val="9.3728744587076473E-2"/>
          <c:w val="0.86503310692141677"/>
          <c:h val="0.90331673477156382"/>
        </c:manualLayout>
      </c:layout>
      <c:pie3DChart>
        <c:varyColors val="1"/>
        <c:ser>
          <c:idx val="0"/>
          <c:order val="0"/>
          <c:explosion val="22"/>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0F1-45EA-B2F8-081DE8EF45A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0F1-45EA-B2F8-081DE8EF45A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0F1-45EA-B2F8-081DE8EF45A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B0F1-45EA-B2F8-081DE8EF45A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B0F1-45EA-B2F8-081DE8EF45AD}"/>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B0F1-45EA-B2F8-081DE8EF45A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B0F1-45EA-B2F8-081DE8EF45AD}"/>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B0F1-45EA-B2F8-081DE8EF45AD}"/>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B0F1-45EA-B2F8-081DE8EF45AD}"/>
              </c:ext>
            </c:extLst>
          </c:dPt>
          <c:dLbls>
            <c:dLbl>
              <c:idx val="0"/>
              <c:layout>
                <c:manualLayout>
                  <c:x val="0.11238661341065163"/>
                  <c:y val="-4.670558928849450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0F1-45EA-B2F8-081DE8EF45AD}"/>
                </c:ext>
              </c:extLst>
            </c:dLbl>
            <c:dLbl>
              <c:idx val="1"/>
              <c:layout>
                <c:manualLayout>
                  <c:x val="-8.8813289601221229E-2"/>
                  <c:y val="-6.443881268809928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0F1-45EA-B2F8-081DE8EF45AD}"/>
                </c:ext>
              </c:extLst>
            </c:dLbl>
            <c:dLbl>
              <c:idx val="2"/>
              <c:layout>
                <c:manualLayout>
                  <c:x val="-2.5026148698725052E-2"/>
                  <c:y val="-9.101248160938732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0F1-45EA-B2F8-081DE8EF45AD}"/>
                </c:ext>
              </c:extLst>
            </c:dLbl>
            <c:dLbl>
              <c:idx val="3"/>
              <c:layout>
                <c:manualLayout>
                  <c:x val="-4.084110700874484E-2"/>
                  <c:y val="-0.122430295202778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0F1-45EA-B2F8-081DE8EF45AD}"/>
                </c:ext>
              </c:extLst>
            </c:dLbl>
            <c:dLbl>
              <c:idx val="4"/>
              <c:layout>
                <c:manualLayout>
                  <c:x val="-5.2722842888682148E-2"/>
                  <c:y val="7.7456017437334582E-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0F1-45EA-B2F8-081DE8EF45AD}"/>
                </c:ext>
              </c:extLst>
            </c:dLbl>
            <c:dLbl>
              <c:idx val="5"/>
              <c:layout>
                <c:manualLayout>
                  <c:x val="-0.15587250333168828"/>
                  <c:y val="-9.28406538998121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B0F1-45EA-B2F8-081DE8EF45AD}"/>
                </c:ext>
              </c:extLst>
            </c:dLbl>
            <c:dLbl>
              <c:idx val="6"/>
              <c:layout>
                <c:manualLayout>
                  <c:x val="4.1723329512796857E-2"/>
                  <c:y val="-5.24610693587645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B0F1-45EA-B2F8-081DE8EF45AD}"/>
                </c:ext>
              </c:extLst>
            </c:dLbl>
            <c:dLbl>
              <c:idx val="7"/>
              <c:layout>
                <c:manualLayout>
                  <c:x val="0.19560847899480269"/>
                  <c:y val="-7.15676085941149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B0F1-45EA-B2F8-081DE8EF45AD}"/>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s-PE"/>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CONSOLIDADO!$B$100:$B$101</c:f>
              <c:strCache>
                <c:ptCount val="2"/>
                <c:pt idx="0">
                  <c:v>DIRECTO</c:v>
                </c:pt>
                <c:pt idx="1">
                  <c:v>INDIRECTO</c:v>
                </c:pt>
              </c:strCache>
            </c:strRef>
          </c:cat>
          <c:val>
            <c:numRef>
              <c:f>CONSOLIDADO!$C$100:$C$101</c:f>
              <c:numCache>
                <c:formatCode>_ * #,##0.00_ ;_ * \-#,##0.00_ ;_ * "-"??_ ;_ @_ </c:formatCode>
                <c:ptCount val="2"/>
                <c:pt idx="0">
                  <c:v>0</c:v>
                </c:pt>
                <c:pt idx="1">
                  <c:v>0</c:v>
                </c:pt>
              </c:numCache>
            </c:numRef>
          </c:val>
          <c:extLst>
            <c:ext xmlns:c16="http://schemas.microsoft.com/office/drawing/2014/chart" uri="{C3380CC4-5D6E-409C-BE32-E72D297353CC}">
              <c16:uniqueId val="{00000012-B0F1-45EA-B2F8-081DE8EF45AD}"/>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000"/>
      </a:pPr>
      <a:endParaRPr lang="es-P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s-PE"/>
              <a:t>RESULTADO OPERATIVO</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manualLayout>
          <c:layoutTarget val="inner"/>
          <c:xMode val="edge"/>
          <c:yMode val="edge"/>
          <c:x val="7.3609624883846037E-2"/>
          <c:y val="0.16089363405845455"/>
          <c:w val="0.85593602973541338"/>
          <c:h val="0.72562631789670373"/>
        </c:manualLayout>
      </c:layout>
      <c:barChart>
        <c:barDir val="col"/>
        <c:grouping val="clustered"/>
        <c:varyColors val="0"/>
        <c:ser>
          <c:idx val="0"/>
          <c:order val="0"/>
          <c:tx>
            <c:v>Venta</c:v>
          </c:tx>
          <c:spPr>
            <a:solidFill>
              <a:schemeClr val="accent1"/>
            </a:solidFill>
            <a:ln>
              <a:noFill/>
            </a:ln>
            <a:effectLst/>
          </c:spPr>
          <c:invertIfNegative val="0"/>
          <c:dLbls>
            <c:dLbl>
              <c:idx val="0"/>
              <c:layout>
                <c:manualLayout>
                  <c:x val="-8.2918739635157619E-3"/>
                  <c:y val="-2.04498977505127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6EA-4B36-915C-853D9CC9617F}"/>
                </c:ext>
              </c:extLst>
            </c:dLbl>
            <c:dLbl>
              <c:idx val="1"/>
              <c:layout>
                <c:manualLayout>
                  <c:x val="-1.8242122719734691E-2"/>
                  <c:y val="2.044989775050974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6EA-4B36-915C-853D9CC9617F}"/>
                </c:ext>
              </c:extLst>
            </c:dLbl>
            <c:dLbl>
              <c:idx val="3"/>
              <c:layout>
                <c:manualLayout>
                  <c:x val="-1.3266998341625208E-2"/>
                  <c:y val="-2.04498977505119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6EA-4B36-915C-853D9CC9617F}"/>
                </c:ext>
              </c:extLst>
            </c:dLbl>
            <c:dLbl>
              <c:idx val="4"/>
              <c:layout>
                <c:manualLayout>
                  <c:x val="-1.824212271973466E-2"/>
                  <c:y val="-1.84049079754601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6EA-4B36-915C-853D9CC9617F}"/>
                </c:ext>
              </c:extLst>
            </c:dLbl>
            <c:dLbl>
              <c:idx val="5"/>
              <c:layout>
                <c:manualLayout>
                  <c:x val="-4.0630182421227255E-2"/>
                  <c:y val="-6.13496932515337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6EA-4B36-915C-853D9CC9617F}"/>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INFORME'!$F$4:$F$6,'RESUMEN INFORME'!$I$4:$I$5,'RESUMEN INFORME'!$K$6:$M$6,'RESUMEN INFORME'!$G$4:$G$6,'RESUMEN INFORME'!$O$6:$Q$6)</c:f>
              <c:strCache>
                <c:ptCount val="9"/>
                <c:pt idx="0">
                  <c:v>ACUMULADO DE OBRA</c:v>
                </c:pt>
                <c:pt idx="1">
                  <c:v>Saldo del Ejercicio</c:v>
                </c:pt>
                <c:pt idx="2">
                  <c:v>2025</c:v>
                </c:pt>
                <c:pt idx="3">
                  <c:v>2026</c:v>
                </c:pt>
                <c:pt idx="4">
                  <c:v>2027</c:v>
                </c:pt>
                <c:pt idx="5">
                  <c:v>SALDO DE OBRA</c:v>
                </c:pt>
                <c:pt idx="6">
                  <c:v>Actual</c:v>
                </c:pt>
                <c:pt idx="7">
                  <c:v>Anterior</c:v>
                </c:pt>
                <c:pt idx="8">
                  <c:v>Presupuesto</c:v>
                </c:pt>
              </c:strCache>
            </c:strRef>
          </c:cat>
          <c:val>
            <c:numRef>
              <c:f>('RESUMEN INFORME'!$F$8,'RESUMEN INFORME'!$I$8,'RESUMEN INFORME'!$K$8:$M$8,'RESUMEN INFORME'!$G$8,'RESUMEN INFORME'!$O$8:$Q$8)</c:f>
              <c:numCache>
                <c:formatCode>_ * #,##0,_ ;_ * \-#,##0,\ ;_ * "-"??_ ;_ @_ </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D6EA-4B36-915C-853D9CC9617F}"/>
            </c:ext>
          </c:extLst>
        </c:ser>
        <c:ser>
          <c:idx val="1"/>
          <c:order val="1"/>
          <c:tx>
            <c:v>Costo</c:v>
          </c:tx>
          <c:spPr>
            <a:solidFill>
              <a:schemeClr val="accent2"/>
            </a:solidFill>
            <a:ln>
              <a:noFill/>
            </a:ln>
            <a:effectLst/>
          </c:spPr>
          <c:invertIfNegative val="0"/>
          <c:dLbls>
            <c:dLbl>
              <c:idx val="0"/>
              <c:layout>
                <c:manualLayout>
                  <c:x val="2.200051163980556E-2"/>
                  <c:y val="-8.607099318098023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EA-4B36-915C-853D9CC9617F}"/>
                </c:ext>
              </c:extLst>
            </c:dLbl>
            <c:dLbl>
              <c:idx val="1"/>
              <c:layout>
                <c:manualLayout>
                  <c:x val="2.5704809286898809E-2"/>
                  <c:y val="-1.4996418443802692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6EA-4B36-915C-853D9CC9617F}"/>
                </c:ext>
              </c:extLst>
            </c:dLbl>
            <c:dLbl>
              <c:idx val="2"/>
              <c:layout>
                <c:manualLayout>
                  <c:x val="2.072968490878932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6EA-4B36-915C-853D9CC9617F}"/>
                </c:ext>
              </c:extLst>
            </c:dLbl>
            <c:dLbl>
              <c:idx val="3"/>
              <c:layout>
                <c:manualLayout>
                  <c:x val="1.243781094527363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6EA-4B36-915C-853D9CC9617F}"/>
                </c:ext>
              </c:extLst>
            </c:dLbl>
            <c:dLbl>
              <c:idx val="4"/>
              <c:layout>
                <c:manualLayout>
                  <c:x val="1.9900497512437752E-2"/>
                  <c:y val="-2.04498977505112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D6EA-4B36-915C-853D9CC9617F}"/>
                </c:ext>
              </c:extLst>
            </c:dLbl>
            <c:dLbl>
              <c:idx val="5"/>
              <c:layout>
                <c:manualLayout>
                  <c:x val="1.3902533207578133E-2"/>
                  <c:y val="1.069441263254335E-2"/>
                </c:manualLayout>
              </c:layout>
              <c:showLegendKey val="0"/>
              <c:showVal val="1"/>
              <c:showCatName val="0"/>
              <c:showSerName val="0"/>
              <c:showPercent val="0"/>
              <c:showBubbleSize val="0"/>
              <c:extLst xmlns:c15="http://schemas.microsoft.com/office/drawing/2012/chart" xmlns:c16="http://schemas.microsoft.com/office/drawing/2014/chart">
                <c:ext xmlns:c15="http://schemas.microsoft.com/office/drawing/2012/chart" uri="{CE6537A1-D6FC-4f65-9D91-7224C49458BB}"/>
                <c:ext xmlns:c16="http://schemas.microsoft.com/office/drawing/2014/chart" uri="{C3380CC4-5D6E-409C-BE32-E72D297353CC}">
                  <c16:uniqueId val="{00000002-D6EA-4B36-915C-853D9CC9617F}"/>
                </c:ext>
              </c:extLst>
            </c:dLbl>
            <c:dLbl>
              <c:idx val="6"/>
              <c:layout>
                <c:manualLayout>
                  <c:x val="3.2826549666366334E-2"/>
                  <c:y val="1.5198943690320731E-3"/>
                </c:manualLayout>
              </c:layout>
              <c:showLegendKey val="0"/>
              <c:showVal val="1"/>
              <c:showCatName val="0"/>
              <c:showSerName val="0"/>
              <c:showPercent val="0"/>
              <c:showBubbleSize val="0"/>
              <c:extLst xmlns:c15="http://schemas.microsoft.com/office/drawing/2012/chart" xmlns:c16="http://schemas.microsoft.com/office/drawing/2014/chart">
                <c:ext xmlns:c15="http://schemas.microsoft.com/office/drawing/2012/chart" uri="{CE6537A1-D6FC-4f65-9D91-7224C49458BB}"/>
                <c:ext xmlns:c16="http://schemas.microsoft.com/office/drawing/2014/chart" uri="{C3380CC4-5D6E-409C-BE32-E72D297353CC}">
                  <c16:uniqueId val="{00000003-D6EA-4B36-915C-853D9CC9617F}"/>
                </c:ext>
              </c:extLst>
            </c:dLbl>
            <c:dLbl>
              <c:idx val="7"/>
              <c:layout>
                <c:manualLayout>
                  <c:x val="1.824212271973466E-2"/>
                  <c:y val="-6.13496932515337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6EA-4B36-915C-853D9CC9617F}"/>
                </c:ext>
              </c:extLst>
            </c:dLbl>
            <c:dLbl>
              <c:idx val="8"/>
              <c:layout>
                <c:manualLayout>
                  <c:x val="1.5754560530679813E-2"/>
                  <c:y val="-1.84049079754601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6EA-4B36-915C-853D9CC9617F}"/>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INFORME'!$F$4:$F$6,'RESUMEN INFORME'!$I$4:$I$5,'RESUMEN INFORME'!$K$6:$M$6,'RESUMEN INFORME'!$G$4:$G$6,'RESUMEN INFORME'!$O$6:$Q$6)</c:f>
              <c:strCache>
                <c:ptCount val="9"/>
                <c:pt idx="0">
                  <c:v>ACUMULADO DE OBRA</c:v>
                </c:pt>
                <c:pt idx="1">
                  <c:v>Saldo del Ejercicio</c:v>
                </c:pt>
                <c:pt idx="2">
                  <c:v>2025</c:v>
                </c:pt>
                <c:pt idx="3">
                  <c:v>2026</c:v>
                </c:pt>
                <c:pt idx="4">
                  <c:v>2027</c:v>
                </c:pt>
                <c:pt idx="5">
                  <c:v>SALDO DE OBRA</c:v>
                </c:pt>
                <c:pt idx="6">
                  <c:v>Actual</c:v>
                </c:pt>
                <c:pt idx="7">
                  <c:v>Anterior</c:v>
                </c:pt>
                <c:pt idx="8">
                  <c:v>Presupuesto</c:v>
                </c:pt>
              </c:strCache>
            </c:strRef>
          </c:cat>
          <c:val>
            <c:numRef>
              <c:f>('RESUMEN INFORME'!$F$15,'RESUMEN INFORME'!$I$15,'RESUMEN INFORME'!$K$15:$M$15,'RESUMEN INFORME'!$G$15,'RESUMEN INFORME'!$O$15:$Q$15)</c:f>
              <c:numCache>
                <c:formatCode>_ * #,##0,_ ;_ * \-#,##0,\ ;_ * "-"??_ ;_ @_ </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4-D6EA-4B36-915C-853D9CC9617F}"/>
            </c:ext>
          </c:extLst>
        </c:ser>
        <c:dLbls>
          <c:showLegendKey val="0"/>
          <c:showVal val="1"/>
          <c:showCatName val="0"/>
          <c:showSerName val="0"/>
          <c:showPercent val="0"/>
          <c:showBubbleSize val="0"/>
        </c:dLbls>
        <c:gapWidth val="300"/>
        <c:axId val="675491728"/>
        <c:axId val="675494472"/>
      </c:barChart>
      <c:lineChart>
        <c:grouping val="stacked"/>
        <c:varyColors val="0"/>
        <c:ser>
          <c:idx val="3"/>
          <c:order val="2"/>
          <c:tx>
            <c:v>Desempeño del Proyecto</c:v>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0"/>
              <c:layout>
                <c:manualLayout>
                  <c:x val="2.1361815754339118E-2"/>
                  <c:y val="6.67003749449136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2BA-47FC-A4B7-7F377E3FBC5D}"/>
                </c:ext>
              </c:extLst>
            </c:dLbl>
            <c:dLbl>
              <c:idx val="1"/>
              <c:layout>
                <c:manualLayout>
                  <c:x val="-3.263573039172014E-17"/>
                  <c:y val="-7.57958806192201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2BA-47FC-A4B7-7F377E3FBC5D}"/>
                </c:ext>
              </c:extLst>
            </c:dLbl>
            <c:dLbl>
              <c:idx val="2"/>
              <c:layout>
                <c:manualLayout>
                  <c:x val="2.4922118380062305E-2"/>
                  <c:y val="1.21273408990752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2BA-47FC-A4B7-7F377E3FBC5D}"/>
                </c:ext>
              </c:extLst>
            </c:dLbl>
            <c:dLbl>
              <c:idx val="3"/>
              <c:layout>
                <c:manualLayout>
                  <c:x val="1.4241210502892745E-2"/>
                  <c:y val="-7.27640453944513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BA-47FC-A4B7-7F377E3FBC5D}"/>
                </c:ext>
              </c:extLst>
            </c:dLbl>
            <c:dLbl>
              <c:idx val="4"/>
              <c:layout>
                <c:manualLayout>
                  <c:x val="2.9372496662216287E-2"/>
                  <c:y val="7.57958806192201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2BA-47FC-A4B7-7F377E3FBC5D}"/>
                </c:ext>
              </c:extLst>
            </c:dLbl>
            <c:dLbl>
              <c:idx val="5"/>
              <c:layout>
                <c:manualLayout>
                  <c:x val="2.4032042723631509E-2"/>
                  <c:y val="4.85093635963008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BA-47FC-A4B7-7F377E3FBC5D}"/>
                </c:ext>
              </c:extLst>
            </c:dLbl>
            <c:dLbl>
              <c:idx val="6"/>
              <c:layout>
                <c:manualLayout>
                  <c:x val="2.67022696929239E-2"/>
                  <c:y val="4.54775283715320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2BA-47FC-A4B7-7F377E3FBC5D}"/>
                </c:ext>
              </c:extLst>
            </c:dLbl>
            <c:dLbl>
              <c:idx val="7"/>
              <c:layout>
                <c:manualLayout>
                  <c:x val="2.67022696929239E-2"/>
                  <c:y val="2.70422559203509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BA-47FC-A4B7-7F377E3FBC5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INFORME'!$F$4:$F$6,'RESUMEN INFORME'!$I$4:$I$5,'RESUMEN INFORME'!$K$6:$M$6,'RESUMEN INFORME'!$G$4:$G$6,'RESUMEN INFORME'!$O$6:$Q$6)</c:f>
              <c:strCache>
                <c:ptCount val="9"/>
                <c:pt idx="0">
                  <c:v>ACUMULADO DE OBRA</c:v>
                </c:pt>
                <c:pt idx="1">
                  <c:v>Saldo del Ejercicio</c:v>
                </c:pt>
                <c:pt idx="2">
                  <c:v>2025</c:v>
                </c:pt>
                <c:pt idx="3">
                  <c:v>2026</c:v>
                </c:pt>
                <c:pt idx="4">
                  <c:v>2027</c:v>
                </c:pt>
                <c:pt idx="5">
                  <c:v>SALDO DE OBRA</c:v>
                </c:pt>
                <c:pt idx="6">
                  <c:v>Actual</c:v>
                </c:pt>
                <c:pt idx="7">
                  <c:v>Anterior</c:v>
                </c:pt>
                <c:pt idx="8">
                  <c:v>Presupuesto</c:v>
                </c:pt>
              </c:strCache>
            </c:strRef>
          </c:cat>
          <c:val>
            <c:numRef>
              <c:f>('RESUMEN INFORME'!$F$37,'RESUMEN INFORME'!$I$37,'RESUMEN INFORME'!$K$37,'RESUMEN INFORME'!$L$37,'RESUMEN INFORME'!$M$37,'RESUMEN INFORME'!$G$37,'RESUMEN INFORME'!$O$37,'RESUMEN INFORME'!$P$37,'RESUMEN INFORME'!$Q$37)</c:f>
              <c:numCache>
                <c:formatCode>_ * #,##0,_ ;_ * \-#,##0,\ ;_ * "-"??_ ;_ @_ </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0-C2BA-47FC-A4B7-7F377E3FBC5D}"/>
            </c:ext>
          </c:extLst>
        </c:ser>
        <c:dLbls>
          <c:showLegendKey val="0"/>
          <c:showVal val="1"/>
          <c:showCatName val="0"/>
          <c:showSerName val="0"/>
          <c:showPercent val="0"/>
          <c:showBubbleSize val="0"/>
        </c:dLbls>
        <c:marker val="1"/>
        <c:smooth val="0"/>
        <c:axId val="675492120"/>
        <c:axId val="675491336"/>
      </c:lineChart>
      <c:catAx>
        <c:axId val="67549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675494472"/>
        <c:crosses val="autoZero"/>
        <c:auto val="1"/>
        <c:lblAlgn val="ctr"/>
        <c:lblOffset val="100"/>
        <c:noMultiLvlLbl val="0"/>
      </c:catAx>
      <c:valAx>
        <c:axId val="675494472"/>
        <c:scaling>
          <c:orientation val="minMax"/>
          <c:max val="220000000.00000003"/>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PE"/>
                  <a:t>Miles de Soles (Venta - Costo)</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title>
        <c:numFmt formatCode="_ * #,##0,_ ;_ * \-#,##0,\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675491728"/>
        <c:crosses val="autoZero"/>
        <c:crossBetween val="between"/>
        <c:majorUnit val="20000000"/>
      </c:valAx>
      <c:valAx>
        <c:axId val="675491336"/>
        <c:scaling>
          <c:orientation val="minMax"/>
          <c:max val="25000000"/>
          <c:min val="-20000000"/>
        </c:scaling>
        <c:delete val="0"/>
        <c:axPos val="r"/>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PE"/>
                  <a:t>Miles de Soles (Margen)</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title>
        <c:numFmt formatCode="_ * #,##0,_ ;_ * \-#,##0,\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675492120"/>
        <c:crosses val="max"/>
        <c:crossBetween val="between"/>
      </c:valAx>
      <c:catAx>
        <c:axId val="675492120"/>
        <c:scaling>
          <c:orientation val="minMax"/>
        </c:scaling>
        <c:delete val="1"/>
        <c:axPos val="b"/>
        <c:numFmt formatCode="General" sourceLinked="1"/>
        <c:majorTickMark val="none"/>
        <c:minorTickMark val="none"/>
        <c:tickLblPos val="nextTo"/>
        <c:crossAx val="675491336"/>
        <c:crosses val="autoZero"/>
        <c:auto val="1"/>
        <c:lblAlgn val="ctr"/>
        <c:lblOffset val="100"/>
        <c:noMultiLvlLbl val="0"/>
      </c:catAx>
      <c:spPr>
        <a:noFill/>
        <a:ln>
          <a:noFill/>
        </a:ln>
        <a:effectLst/>
      </c:spPr>
    </c:plotArea>
    <c:legend>
      <c:legendPos val="b"/>
      <c:layout>
        <c:manualLayout>
          <c:xMode val="edge"/>
          <c:yMode val="edge"/>
          <c:x val="0.39315125769870679"/>
          <c:y val="7.2983269729320649E-2"/>
          <c:w val="0.26824616549099589"/>
          <c:h val="6.2163364830997866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114300</xdr:colOff>
      <xdr:row>68</xdr:row>
      <xdr:rowOff>133350</xdr:rowOff>
    </xdr:from>
    <xdr:to>
      <xdr:col>33</xdr:col>
      <xdr:colOff>838200</xdr:colOff>
      <xdr:row>97</xdr:row>
      <xdr:rowOff>19050</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342900</xdr:colOff>
      <xdr:row>98</xdr:row>
      <xdr:rowOff>19050</xdr:rowOff>
    </xdr:from>
    <xdr:to>
      <xdr:col>18</xdr:col>
      <xdr:colOff>895350</xdr:colOff>
      <xdr:row>116</xdr:row>
      <xdr:rowOff>15648</xdr:rowOff>
    </xdr:to>
    <xdr:graphicFrame macro="">
      <xdr:nvGraphicFramePr>
        <xdr:cNvPr id="3" name="Gráfico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98</xdr:row>
      <xdr:rowOff>0</xdr:rowOff>
    </xdr:from>
    <xdr:to>
      <xdr:col>33</xdr:col>
      <xdr:colOff>774698</xdr:colOff>
      <xdr:row>115</xdr:row>
      <xdr:rowOff>187098</xdr:rowOff>
    </xdr:to>
    <xdr:graphicFrame macro="">
      <xdr:nvGraphicFramePr>
        <xdr:cNvPr id="4" name="Gráfico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152400</xdr:colOff>
      <xdr:row>98</xdr:row>
      <xdr:rowOff>0</xdr:rowOff>
    </xdr:from>
    <xdr:to>
      <xdr:col>9</xdr:col>
      <xdr:colOff>190500</xdr:colOff>
      <xdr:row>115</xdr:row>
      <xdr:rowOff>187098</xdr:rowOff>
    </xdr:to>
    <xdr:graphicFrame macro="">
      <xdr:nvGraphicFramePr>
        <xdr:cNvPr id="5" name="Gráfico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1709209</xdr:colOff>
      <xdr:row>3</xdr:row>
      <xdr:rowOff>148167</xdr:rowOff>
    </xdr:from>
    <xdr:to>
      <xdr:col>27</xdr:col>
      <xdr:colOff>1709208</xdr:colOff>
      <xdr:row>32</xdr:row>
      <xdr:rowOff>84667</xdr:rowOff>
    </xdr:to>
    <xdr:sp macro="" textlink="">
      <xdr:nvSpPr>
        <xdr:cNvPr id="6" name="Rectángulo 5">
          <a:extLst>
            <a:ext uri="{FF2B5EF4-FFF2-40B4-BE49-F238E27FC236}">
              <a16:creationId xmlns:a16="http://schemas.microsoft.com/office/drawing/2014/main" id="{00000000-0008-0000-0000-000006000000}"/>
            </a:ext>
          </a:extLst>
        </xdr:cNvPr>
        <xdr:cNvSpPr/>
      </xdr:nvSpPr>
      <xdr:spPr>
        <a:xfrm>
          <a:off x="9043459" y="894292"/>
          <a:ext cx="1730374" cy="98425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114300</xdr:colOff>
      <xdr:row>68</xdr:row>
      <xdr:rowOff>133350</xdr:rowOff>
    </xdr:from>
    <xdr:to>
      <xdr:col>29</xdr:col>
      <xdr:colOff>838200</xdr:colOff>
      <xdr:row>97</xdr:row>
      <xdr:rowOff>19050</xdr:rowOff>
    </xdr:to>
    <xdr:graphicFrame macro="">
      <xdr:nvGraphicFramePr>
        <xdr:cNvPr id="2" name="Gráfico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342900</xdr:colOff>
      <xdr:row>98</xdr:row>
      <xdr:rowOff>19050</xdr:rowOff>
    </xdr:from>
    <xdr:to>
      <xdr:col>18</xdr:col>
      <xdr:colOff>895350</xdr:colOff>
      <xdr:row>116</xdr:row>
      <xdr:rowOff>15648</xdr:rowOff>
    </xdr:to>
    <xdr:graphicFrame macro="">
      <xdr:nvGraphicFramePr>
        <xdr:cNvPr id="3" name="Gráfico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98</xdr:row>
      <xdr:rowOff>0</xdr:rowOff>
    </xdr:from>
    <xdr:to>
      <xdr:col>29</xdr:col>
      <xdr:colOff>774698</xdr:colOff>
      <xdr:row>115</xdr:row>
      <xdr:rowOff>187098</xdr:rowOff>
    </xdr:to>
    <xdr:graphicFrame macro="">
      <xdr:nvGraphicFramePr>
        <xdr:cNvPr id="4" name="Gráfico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152400</xdr:colOff>
      <xdr:row>98</xdr:row>
      <xdr:rowOff>0</xdr:rowOff>
    </xdr:from>
    <xdr:to>
      <xdr:col>9</xdr:col>
      <xdr:colOff>190500</xdr:colOff>
      <xdr:row>115</xdr:row>
      <xdr:rowOff>187098</xdr:rowOff>
    </xdr:to>
    <xdr:graphicFrame macro="">
      <xdr:nvGraphicFramePr>
        <xdr:cNvPr id="5" name="Gráfico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114300</xdr:colOff>
      <xdr:row>67</xdr:row>
      <xdr:rowOff>133350</xdr:rowOff>
    </xdr:from>
    <xdr:to>
      <xdr:col>28</xdr:col>
      <xdr:colOff>838200</xdr:colOff>
      <xdr:row>96</xdr:row>
      <xdr:rowOff>19050</xdr:rowOff>
    </xdr:to>
    <xdr:graphicFrame macro="">
      <xdr:nvGraphicFramePr>
        <xdr:cNvPr id="2" name="Gráfico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41413</xdr:colOff>
      <xdr:row>95</xdr:row>
      <xdr:rowOff>147890</xdr:rowOff>
    </xdr:from>
    <xdr:to>
      <xdr:col>22</xdr:col>
      <xdr:colOff>2368</xdr:colOff>
      <xdr:row>132</xdr:row>
      <xdr:rowOff>129564</xdr:rowOff>
    </xdr:to>
    <xdr:graphicFrame macro="">
      <xdr:nvGraphicFramePr>
        <xdr:cNvPr id="6" name="Gráfico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0</xdr:colOff>
      <xdr:row>97</xdr:row>
      <xdr:rowOff>22412</xdr:rowOff>
    </xdr:from>
    <xdr:to>
      <xdr:col>36</xdr:col>
      <xdr:colOff>561787</xdr:colOff>
      <xdr:row>114</xdr:row>
      <xdr:rowOff>19010</xdr:rowOff>
    </xdr:to>
    <xdr:graphicFrame macro="">
      <xdr:nvGraphicFramePr>
        <xdr:cNvPr id="8" name="Gráfico 7">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186019</xdr:colOff>
      <xdr:row>97</xdr:row>
      <xdr:rowOff>44824</xdr:rowOff>
    </xdr:from>
    <xdr:to>
      <xdr:col>34</xdr:col>
      <xdr:colOff>156883</xdr:colOff>
      <xdr:row>114</xdr:row>
      <xdr:rowOff>41422</xdr:rowOff>
    </xdr:to>
    <xdr:graphicFrame macro="">
      <xdr:nvGraphicFramePr>
        <xdr:cNvPr id="9" name="Gráfico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34</xdr:row>
      <xdr:rowOff>135468</xdr:rowOff>
    </xdr:from>
    <xdr:to>
      <xdr:col>17</xdr:col>
      <xdr:colOff>0</xdr:colOff>
      <xdr:row>56</xdr:row>
      <xdr:rowOff>133350</xdr:rowOff>
    </xdr:to>
    <xdr:graphicFrame macro="">
      <xdr:nvGraphicFramePr>
        <xdr:cNvPr id="2" name="Gráfico 1">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mquispe/Downloads/RO%20OBRA%20ZACARIAS%20ABRIL%202021%20REV%20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G"/>
      <sheetName val="Riesgos y Oport."/>
      <sheetName val="C+AD"/>
      <sheetName val="CONSOLIDADO"/>
      <sheetName val="DIRECTO "/>
      <sheetName val="F-10"/>
      <sheetName val="F-20"/>
      <sheetName val="F-30"/>
      <sheetName val="F-40"/>
      <sheetName val="F-50"/>
      <sheetName val="F-60"/>
      <sheetName val="F-70"/>
      <sheetName val="F-80"/>
      <sheetName val="F-90"/>
      <sheetName val="F-100"/>
      <sheetName val="F-110"/>
      <sheetName val="F-120"/>
      <sheetName val="F-130"/>
      <sheetName val="Mat"/>
      <sheetName val="MO"/>
      <sheetName val="SC"/>
      <sheetName val="SER"/>
      <sheetName val="Eq"/>
      <sheetName val="Fletes"/>
      <sheetName val="Staff"/>
      <sheetName val="GG"/>
      <sheetName val="ER Pendiente"/>
      <sheetName val="Dif. Margenes"/>
      <sheetName val="RESUMEN INFORME"/>
      <sheetName val="Hoja1"/>
    </sheetNames>
    <sheetDataSet>
      <sheetData sheetId="0"/>
      <sheetData sheetId="1"/>
      <sheetData sheetId="2"/>
      <sheetData sheetId="3">
        <row r="4">
          <cell r="B4" t="str">
            <v>MES DE ABRIL 2021</v>
          </cell>
        </row>
      </sheetData>
      <sheetData sheetId="4">
        <row r="24">
          <cell r="BV24">
            <v>71031070.456861585</v>
          </cell>
        </row>
      </sheetData>
      <sheetData sheetId="5"/>
      <sheetData sheetId="6"/>
      <sheetData sheetId="7"/>
      <sheetData sheetId="8"/>
      <sheetData sheetId="9">
        <row r="11">
          <cell r="N11">
            <v>0</v>
          </cell>
          <cell r="O11">
            <v>0</v>
          </cell>
          <cell r="P11">
            <v>0</v>
          </cell>
          <cell r="Q11">
            <v>0</v>
          </cell>
          <cell r="R11">
            <v>0</v>
          </cell>
          <cell r="S11">
            <v>0</v>
          </cell>
          <cell r="T11">
            <v>0</v>
          </cell>
          <cell r="Z11">
            <v>0</v>
          </cell>
          <cell r="AA11">
            <v>0</v>
          </cell>
          <cell r="AB11">
            <v>0</v>
          </cell>
          <cell r="AC11">
            <v>0</v>
          </cell>
          <cell r="AD11">
            <v>0</v>
          </cell>
          <cell r="AE11">
            <v>0</v>
          </cell>
          <cell r="AF11">
            <v>0</v>
          </cell>
          <cell r="AG11">
            <v>0</v>
          </cell>
          <cell r="AH11">
            <v>0</v>
          </cell>
          <cell r="AI11">
            <v>0</v>
          </cell>
          <cell r="AJ11">
            <v>0</v>
          </cell>
          <cell r="AK11">
            <v>217363.56084000002</v>
          </cell>
          <cell r="AL11">
            <v>217363.56084000002</v>
          </cell>
          <cell r="AM11">
            <v>267.03444000000002</v>
          </cell>
          <cell r="AN11">
            <v>267.03444000000002</v>
          </cell>
          <cell r="AO11">
            <v>267.03444000000002</v>
          </cell>
          <cell r="AP11">
            <v>0</v>
          </cell>
          <cell r="AQ11">
            <v>0</v>
          </cell>
          <cell r="AR11">
            <v>0</v>
          </cell>
          <cell r="AS11">
            <v>0</v>
          </cell>
          <cell r="AT11">
            <v>0</v>
          </cell>
          <cell r="AU11">
            <v>0</v>
          </cell>
          <cell r="AV11">
            <v>0</v>
          </cell>
          <cell r="AW11">
            <v>2525.833333333333</v>
          </cell>
        </row>
      </sheetData>
      <sheetData sheetId="10"/>
      <sheetData sheetId="11"/>
      <sheetData sheetId="12">
        <row r="11">
          <cell r="N11">
            <v>0</v>
          </cell>
        </row>
      </sheetData>
      <sheetData sheetId="13">
        <row r="11">
          <cell r="N11">
            <v>0</v>
          </cell>
        </row>
      </sheetData>
      <sheetData sheetId="14">
        <row r="11">
          <cell r="N11">
            <v>0</v>
          </cell>
        </row>
      </sheetData>
      <sheetData sheetId="15"/>
      <sheetData sheetId="16"/>
      <sheetData sheetId="17"/>
      <sheetData sheetId="18"/>
      <sheetData sheetId="19">
        <row r="12">
          <cell r="B12" t="str">
            <v>Obras Preliminares</v>
          </cell>
        </row>
      </sheetData>
      <sheetData sheetId="20"/>
      <sheetData sheetId="21">
        <row r="171">
          <cell r="BY171">
            <v>2575948.1357819652</v>
          </cell>
        </row>
      </sheetData>
      <sheetData sheetId="22"/>
      <sheetData sheetId="23"/>
      <sheetData sheetId="24"/>
      <sheetData sheetId="25"/>
      <sheetData sheetId="26"/>
      <sheetData sheetId="27"/>
      <sheetData sheetId="28"/>
      <sheetData sheetId="2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Usuario/Desktop/Abril%202024/Sesion%2005%20-%20Resultado%20Operativo/RO%20OBRA%20ZACARIAS%20ABRIL%202021%20REV%20001.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refreshedDate="44273.639158333332" createdVersion="6" refreshedVersion="6" minRefreshableVersion="3" recordCount="28" xr:uid="{00000000-000A-0000-FFFF-FFFF93000000}">
  <cacheSource type="worksheet">
    <worksheetSource ref="E3:I20" sheet="Riesgos y Oport."/>
  </cacheSource>
  <cacheFields count="5">
    <cacheField name="Rubro" numFmtId="0">
      <sharedItems containsBlank="1" count="11">
        <s v="METRADO"/>
        <s v="PLAZO"/>
        <s v="PANDEMIA"/>
        <s v="ALCANCE"/>
        <s v="EXTERNO"/>
        <s v="SUPERVISION"/>
        <s v="ENTIDAD"/>
        <s v="CONTRATO"/>
        <s v="INGENIERIA"/>
        <m u="1"/>
        <s v="MATERIAL" u="1"/>
      </sharedItems>
    </cacheField>
    <cacheField name="Gravedad" numFmtId="0">
      <sharedItems/>
    </cacheField>
    <cacheField name="Monto S/." numFmtId="164">
      <sharedItems containsString="0" containsBlank="1" containsNumber="1" minValue="-210000" maxValue="3582801.216"/>
    </cacheField>
    <cacheField name="Amenazas" numFmtId="164">
      <sharedItems containsString="0" containsBlank="1" containsNumber="1" minValue="-3582801.216" maxValue="0"/>
    </cacheField>
    <cacheField name="Oportunidad" numFmtId="164">
      <sharedItems containsString="0" containsBlank="1" containsNumber="1" minValue="0" maxValue="1826087.167118644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5517.817357870372" createdVersion="6" refreshedVersion="7" minRefreshableVersion="3" recordCount="28" xr:uid="{E894383C-EF56-4885-A2B5-BF11429F768E}">
  <cacheSource type="worksheet">
    <worksheetSource ref="E3:I31" sheet="Riesgos y Oport." r:id="rId2"/>
  </cacheSource>
  <cacheFields count="5">
    <cacheField name="Rubro" numFmtId="0">
      <sharedItems containsBlank="1" count="11">
        <s v="METRADO"/>
        <s v="PLAZO"/>
        <s v="PANDEMIA"/>
        <s v="ALCANCE"/>
        <s v="EXTERNO"/>
        <s v="SUPERVISION"/>
        <s v="ENTIDAD"/>
        <s v="CONTRATO"/>
        <s v="INGENIERIA"/>
        <m u="1"/>
        <s v="MATERIAL" u="1"/>
      </sharedItems>
    </cacheField>
    <cacheField name="Gravedad" numFmtId="0">
      <sharedItems count="3">
        <s v="MUY BAJA"/>
        <s v="ALTA"/>
        <s v="MODERADA"/>
      </sharedItems>
    </cacheField>
    <cacheField name="Monto S/." numFmtId="164">
      <sharedItems containsString="0" containsBlank="1" containsNumber="1" minValue="-210000" maxValue="4453323.78" count="19">
        <m/>
        <n v="1889356.1271186441"/>
        <n v="210000"/>
        <n v="273000"/>
        <n v="1511396.6610169492"/>
        <n v="1511227.9745762714"/>
        <n v="180466.16949152542"/>
        <n v="266720.68338983052"/>
        <n v="4453323.78"/>
        <n v="-210000"/>
        <n v="1000000"/>
        <n v="2358836.14"/>
        <n v="514650"/>
        <n v="1008610.1694915255"/>
        <n v="78400"/>
        <n v="182983.6"/>
        <n v="0"/>
        <n v="3582801.216"/>
        <n v="100000"/>
      </sharedItems>
    </cacheField>
    <cacheField name="Amenazas" numFmtId="164">
      <sharedItems containsString="0" containsBlank="1" containsNumber="1" minValue="-4453323.78" maxValue="0" count="12">
        <n v="0"/>
        <m/>
        <n v="-4453323.78"/>
        <n v="-210000"/>
        <n v="-1000000"/>
        <n v="-2358836.14"/>
        <n v="-514650"/>
        <n v="-1008610.1694915255"/>
        <n v="-78400"/>
        <n v="-182983.6"/>
        <n v="-3582801.216"/>
        <n v="-100000"/>
      </sharedItems>
    </cacheField>
    <cacheField name="Oportunidad" numFmtId="164">
      <sharedItems containsString="0" containsBlank="1" containsNumber="1" minValue="0" maxValue="1826087.1671186441" count="12">
        <m/>
        <n v="1826087.1671186441"/>
        <n v="210000"/>
        <n v="273000"/>
        <n v="1470720.9010169492"/>
        <n v="1511227.9745762714"/>
        <n v="180466.16949152542"/>
        <n v="266720.68338983052"/>
        <n v="445332.37800000003"/>
        <n v="235883.61400000003"/>
        <n v="20586"/>
        <n v="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8">
  <r>
    <x v="0"/>
    <s v="MUY BAJA"/>
    <m/>
    <n v="0"/>
    <m/>
  </r>
  <r>
    <x v="0"/>
    <s v="MUY BAJA"/>
    <m/>
    <n v="0"/>
    <m/>
  </r>
  <r>
    <x v="0"/>
    <s v="ALTA"/>
    <m/>
    <n v="0"/>
    <m/>
  </r>
  <r>
    <x v="0"/>
    <s v="MUY BAJA"/>
    <m/>
    <n v="0"/>
    <m/>
  </r>
  <r>
    <x v="0"/>
    <s v="ALTA"/>
    <m/>
    <n v="0"/>
    <m/>
  </r>
  <r>
    <x v="0"/>
    <s v="MODERADA"/>
    <m/>
    <n v="0"/>
    <m/>
  </r>
  <r>
    <x v="1"/>
    <s v="ALTA"/>
    <n v="1889356.1271186441"/>
    <m/>
    <n v="1826087.1671186441"/>
  </r>
  <r>
    <x v="1"/>
    <s v="MODERADA"/>
    <n v="210000"/>
    <m/>
    <n v="210000"/>
  </r>
  <r>
    <x v="1"/>
    <s v="ALTA"/>
    <n v="273000"/>
    <m/>
    <n v="273000"/>
  </r>
  <r>
    <x v="1"/>
    <s v="ALTA"/>
    <n v="1511396.6610169492"/>
    <m/>
    <n v="1470720.9010169492"/>
  </r>
  <r>
    <x v="2"/>
    <s v="ALTA"/>
    <n v="1511227.9745762714"/>
    <m/>
    <n v="1511227.9745762714"/>
  </r>
  <r>
    <x v="2"/>
    <s v="ALTA"/>
    <n v="180466.16949152542"/>
    <m/>
    <n v="180466.16949152542"/>
  </r>
  <r>
    <x v="2"/>
    <s v="ALTA"/>
    <n v="266720.68338983052"/>
    <m/>
    <n v="266720.68338983052"/>
  </r>
  <r>
    <x v="2"/>
    <s v="MODERADA"/>
    <m/>
    <n v="0"/>
    <m/>
  </r>
  <r>
    <x v="3"/>
    <s v="MODERADA"/>
    <n v="2991483.1"/>
    <n v="-2991483.1"/>
    <n v="299148.31"/>
  </r>
  <r>
    <x v="4"/>
    <s v="MUY BAJA"/>
    <n v="-210000"/>
    <n v="-210000"/>
    <m/>
  </r>
  <r>
    <x v="5"/>
    <s v="MODERADA"/>
    <n v="1000000"/>
    <n v="-1000000"/>
    <m/>
  </r>
  <r>
    <x v="3"/>
    <s v="ALTA"/>
    <n v="2358836.14"/>
    <n v="-2358836.14"/>
    <n v="235883.61400000003"/>
  </r>
  <r>
    <x v="5"/>
    <s v="MODERADA"/>
    <n v="514650"/>
    <n v="-514650"/>
    <n v="20586"/>
  </r>
  <r>
    <x v="6"/>
    <s v="ALTA"/>
    <n v="1008610.1694915255"/>
    <n v="-1008610.1694915255"/>
    <m/>
  </r>
  <r>
    <x v="6"/>
    <s v="MODERADA"/>
    <n v="78400"/>
    <n v="-78400"/>
    <m/>
  </r>
  <r>
    <x v="3"/>
    <s v="MUY BAJA"/>
    <n v="182983.6"/>
    <n v="-182983.6"/>
    <m/>
  </r>
  <r>
    <x v="7"/>
    <s v="MODERADA"/>
    <n v="0"/>
    <n v="0"/>
    <m/>
  </r>
  <r>
    <x v="6"/>
    <s v="MUY BAJA"/>
    <n v="0"/>
    <n v="0"/>
    <m/>
  </r>
  <r>
    <x v="8"/>
    <s v="MODERADA"/>
    <n v="0"/>
    <n v="0"/>
    <m/>
  </r>
  <r>
    <x v="8"/>
    <s v="MUY BAJA"/>
    <n v="0"/>
    <n v="0"/>
    <n v="0"/>
  </r>
  <r>
    <x v="8"/>
    <s v="MUY BAJA"/>
    <n v="3582801.216"/>
    <n v="-3582801.216"/>
    <m/>
  </r>
  <r>
    <x v="3"/>
    <s v="MUY BAJA"/>
    <n v="100000"/>
    <n v="-10000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x v="0"/>
    <x v="0"/>
    <x v="0"/>
  </r>
  <r>
    <x v="0"/>
    <x v="0"/>
    <x v="0"/>
    <x v="0"/>
    <x v="0"/>
  </r>
  <r>
    <x v="0"/>
    <x v="1"/>
    <x v="0"/>
    <x v="0"/>
    <x v="0"/>
  </r>
  <r>
    <x v="0"/>
    <x v="0"/>
    <x v="0"/>
    <x v="0"/>
    <x v="0"/>
  </r>
  <r>
    <x v="0"/>
    <x v="1"/>
    <x v="0"/>
    <x v="0"/>
    <x v="0"/>
  </r>
  <r>
    <x v="0"/>
    <x v="2"/>
    <x v="0"/>
    <x v="0"/>
    <x v="0"/>
  </r>
  <r>
    <x v="1"/>
    <x v="1"/>
    <x v="1"/>
    <x v="1"/>
    <x v="1"/>
  </r>
  <r>
    <x v="1"/>
    <x v="2"/>
    <x v="2"/>
    <x v="1"/>
    <x v="2"/>
  </r>
  <r>
    <x v="1"/>
    <x v="1"/>
    <x v="3"/>
    <x v="1"/>
    <x v="3"/>
  </r>
  <r>
    <x v="1"/>
    <x v="1"/>
    <x v="4"/>
    <x v="1"/>
    <x v="4"/>
  </r>
  <r>
    <x v="2"/>
    <x v="1"/>
    <x v="5"/>
    <x v="1"/>
    <x v="5"/>
  </r>
  <r>
    <x v="2"/>
    <x v="1"/>
    <x v="6"/>
    <x v="1"/>
    <x v="6"/>
  </r>
  <r>
    <x v="2"/>
    <x v="1"/>
    <x v="7"/>
    <x v="1"/>
    <x v="7"/>
  </r>
  <r>
    <x v="2"/>
    <x v="2"/>
    <x v="0"/>
    <x v="0"/>
    <x v="0"/>
  </r>
  <r>
    <x v="3"/>
    <x v="2"/>
    <x v="8"/>
    <x v="2"/>
    <x v="8"/>
  </r>
  <r>
    <x v="4"/>
    <x v="0"/>
    <x v="9"/>
    <x v="3"/>
    <x v="0"/>
  </r>
  <r>
    <x v="5"/>
    <x v="2"/>
    <x v="10"/>
    <x v="4"/>
    <x v="0"/>
  </r>
  <r>
    <x v="3"/>
    <x v="1"/>
    <x v="11"/>
    <x v="5"/>
    <x v="9"/>
  </r>
  <r>
    <x v="5"/>
    <x v="2"/>
    <x v="12"/>
    <x v="6"/>
    <x v="10"/>
  </r>
  <r>
    <x v="6"/>
    <x v="1"/>
    <x v="13"/>
    <x v="7"/>
    <x v="0"/>
  </r>
  <r>
    <x v="6"/>
    <x v="2"/>
    <x v="14"/>
    <x v="8"/>
    <x v="0"/>
  </r>
  <r>
    <x v="3"/>
    <x v="0"/>
    <x v="15"/>
    <x v="9"/>
    <x v="0"/>
  </r>
  <r>
    <x v="7"/>
    <x v="2"/>
    <x v="16"/>
    <x v="0"/>
    <x v="0"/>
  </r>
  <r>
    <x v="6"/>
    <x v="0"/>
    <x v="16"/>
    <x v="0"/>
    <x v="0"/>
  </r>
  <r>
    <x v="8"/>
    <x v="2"/>
    <x v="16"/>
    <x v="0"/>
    <x v="0"/>
  </r>
  <r>
    <x v="8"/>
    <x v="0"/>
    <x v="16"/>
    <x v="0"/>
    <x v="11"/>
  </r>
  <r>
    <x v="8"/>
    <x v="0"/>
    <x v="17"/>
    <x v="10"/>
    <x v="0"/>
  </r>
  <r>
    <x v="3"/>
    <x v="0"/>
    <x v="18"/>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544E00-61D1-427A-A5EE-100BD2DB96B1}" name="TablaDinámica1" cacheId="2" applyNumberFormats="0" applyBorderFormats="0" applyFontFormats="0" applyPatternFormats="0" applyAlignmentFormats="0" applyWidthHeightFormats="1" dataCaption="Valores" updatedVersion="7" minRefreshableVersion="3" useAutoFormatting="1" itemPrintTitles="1" createdVersion="6" indent="0" outline="1" outlineData="1" multipleFieldFilters="0">
  <location ref="B19:D29" firstHeaderRow="0" firstDataRow="1" firstDataCol="1"/>
  <pivotFields count="5">
    <pivotField axis="axisRow" showAll="0">
      <items count="12">
        <item m="1" x="10"/>
        <item x="0"/>
        <item x="2"/>
        <item x="1"/>
        <item m="1" x="9"/>
        <item x="3"/>
        <item x="4"/>
        <item x="5"/>
        <item x="7"/>
        <item x="6"/>
        <item x="8"/>
        <item t="default"/>
      </items>
    </pivotField>
    <pivotField showAll="0"/>
    <pivotField showAll="0"/>
    <pivotField dataField="1" showAll="0" defaultSubtotal="0"/>
    <pivotField dataField="1" showAll="0"/>
  </pivotFields>
  <rowFields count="1">
    <field x="0"/>
  </rowFields>
  <rowItems count="10">
    <i>
      <x v="1"/>
    </i>
    <i>
      <x v="2"/>
    </i>
    <i>
      <x v="3"/>
    </i>
    <i>
      <x v="5"/>
    </i>
    <i>
      <x v="6"/>
    </i>
    <i>
      <x v="7"/>
    </i>
    <i>
      <x v="8"/>
    </i>
    <i>
      <x v="9"/>
    </i>
    <i>
      <x v="10"/>
    </i>
    <i t="grand">
      <x/>
    </i>
  </rowItems>
  <colFields count="1">
    <field x="-2"/>
  </colFields>
  <colItems count="2">
    <i>
      <x/>
    </i>
    <i i="1">
      <x v="1"/>
    </i>
  </colItems>
  <dataFields count="2">
    <dataField name="Suma de Amenazas" fld="3" baseField="0" baseItem="4"/>
    <dataField name="Suma de Oportunidad" fld="4" baseField="1" baseItem="2" numFmtId="164"/>
  </dataFields>
  <formats count="7">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outline="0" axis="axisValues" fieldPosition="0"/>
    </format>
    <format dxfId="37">
      <pivotArea dataOnly="0" labelOnly="1" fieldPosition="0">
        <references count="1">
          <reference field="0" count="0"/>
        </references>
      </pivotArea>
    </format>
    <format dxfId="36">
      <pivotArea dataOnly="0" labelOnly="1" grandRow="1" outline="0"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aDinámica1"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B28:D38" firstHeaderRow="0" firstDataRow="1" firstDataCol="1"/>
  <pivotFields count="5">
    <pivotField axis="axisRow" showAll="0">
      <items count="12">
        <item m="1" x="10"/>
        <item x="0"/>
        <item x="2"/>
        <item x="1"/>
        <item m="1" x="9"/>
        <item x="3"/>
        <item x="4"/>
        <item x="5"/>
        <item x="7"/>
        <item x="6"/>
        <item x="8"/>
        <item t="default"/>
      </items>
    </pivotField>
    <pivotField showAll="0"/>
    <pivotField showAll="0"/>
    <pivotField dataField="1" showAll="0" defaultSubtotal="0"/>
    <pivotField dataField="1" showAll="0"/>
  </pivotFields>
  <rowFields count="1">
    <field x="0"/>
  </rowFields>
  <rowItems count="10">
    <i>
      <x v="1"/>
    </i>
    <i>
      <x v="2"/>
    </i>
    <i>
      <x v="3"/>
    </i>
    <i>
      <x v="5"/>
    </i>
    <i>
      <x v="6"/>
    </i>
    <i>
      <x v="7"/>
    </i>
    <i>
      <x v="8"/>
    </i>
    <i>
      <x v="9"/>
    </i>
    <i>
      <x v="10"/>
    </i>
    <i t="grand">
      <x/>
    </i>
  </rowItems>
  <colFields count="1">
    <field x="-2"/>
  </colFields>
  <colItems count="2">
    <i>
      <x/>
    </i>
    <i i="1">
      <x v="1"/>
    </i>
  </colItems>
  <dataFields count="2">
    <dataField name="Suma de Amenazas" fld="3" baseField="0" baseItem="4"/>
    <dataField name="Suma de Oportunidad" fld="4" baseField="1" baseItem="2" numFmtId="164"/>
  </dataFields>
  <formats count="7">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outline="0" axis="axisValues"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1975C-4EEF-4F6A-A460-18F5F75A75C5}">
  <dimension ref="A1:AF36"/>
  <sheetViews>
    <sheetView zoomScale="115" zoomScaleNormal="115" workbookViewId="0">
      <selection activeCell="D10" sqref="D10"/>
    </sheetView>
  </sheetViews>
  <sheetFormatPr baseColWidth="10" defaultRowHeight="11.25" x14ac:dyDescent="0.25"/>
  <cols>
    <col min="1" max="1" width="5.85546875" style="763" bestFit="1" customWidth="1"/>
    <col min="2" max="2" width="44.7109375" style="729" customWidth="1"/>
    <col min="3" max="3" width="19.28515625" style="732" bestFit="1" customWidth="1"/>
    <col min="4" max="4" width="53.85546875" style="729" customWidth="1"/>
    <col min="5" max="5" width="14.5703125" style="732" customWidth="1"/>
    <col min="6" max="6" width="13.7109375" style="731" customWidth="1"/>
    <col min="7" max="9" width="16.42578125" style="1109" customWidth="1"/>
    <col min="10" max="10" width="24.140625" style="729" customWidth="1"/>
    <col min="11" max="11" width="24.140625" style="732" customWidth="1"/>
    <col min="12" max="12" width="19.42578125" style="732" customWidth="1"/>
    <col min="13" max="13" width="52.5703125" style="729" customWidth="1"/>
    <col min="14" max="16384" width="11.42578125" style="729"/>
  </cols>
  <sheetData>
    <row r="1" spans="1:32" s="801" customFormat="1" ht="19.5" customHeight="1" x14ac:dyDescent="0.25">
      <c r="A1" s="1152" t="s">
        <v>172</v>
      </c>
      <c r="B1" s="1152"/>
      <c r="C1" s="1152"/>
      <c r="D1" s="1152"/>
      <c r="E1" s="1152"/>
      <c r="F1" s="1152"/>
      <c r="G1" s="1152"/>
      <c r="H1" s="1152"/>
      <c r="I1" s="1152"/>
      <c r="J1" s="1152"/>
      <c r="K1" s="1152"/>
      <c r="L1" s="1152"/>
      <c r="M1" s="1152"/>
    </row>
    <row r="2" spans="1:32" s="730" customFormat="1" ht="3.75" customHeight="1" thickBot="1" x14ac:dyDescent="0.3">
      <c r="A2" s="762"/>
      <c r="C2" s="759"/>
      <c r="E2" s="759"/>
      <c r="F2" s="741"/>
      <c r="G2" s="1064"/>
      <c r="H2" s="1064"/>
      <c r="I2" s="1064"/>
      <c r="K2" s="759"/>
    </row>
    <row r="3" spans="1:32" s="800" customFormat="1" ht="29.25" customHeight="1" x14ac:dyDescent="0.25">
      <c r="A3" s="793" t="s">
        <v>173</v>
      </c>
      <c r="B3" s="794" t="s">
        <v>174</v>
      </c>
      <c r="C3" s="794" t="s">
        <v>230</v>
      </c>
      <c r="D3" s="794" t="s">
        <v>175</v>
      </c>
      <c r="E3" s="794" t="s">
        <v>202</v>
      </c>
      <c r="F3" s="794" t="s">
        <v>176</v>
      </c>
      <c r="G3" s="1065" t="s">
        <v>177</v>
      </c>
      <c r="H3" s="1066" t="s">
        <v>235</v>
      </c>
      <c r="I3" s="1067" t="s">
        <v>178</v>
      </c>
      <c r="J3" s="798" t="s">
        <v>179</v>
      </c>
      <c r="K3" s="794" t="s">
        <v>264</v>
      </c>
      <c r="L3" s="794" t="s">
        <v>211</v>
      </c>
      <c r="M3" s="799" t="s">
        <v>187</v>
      </c>
    </row>
    <row r="4" spans="1:32" s="1078" customFormat="1" ht="59.25" customHeight="1" x14ac:dyDescent="0.25">
      <c r="A4" s="1068" t="s">
        <v>180</v>
      </c>
      <c r="B4" s="1069" t="s">
        <v>192</v>
      </c>
      <c r="C4" s="1070" t="s">
        <v>231</v>
      </c>
      <c r="D4" s="1069" t="s">
        <v>243</v>
      </c>
      <c r="E4" s="1070" t="s">
        <v>205</v>
      </c>
      <c r="F4" s="1071" t="s">
        <v>182</v>
      </c>
      <c r="G4" s="1072">
        <v>15000</v>
      </c>
      <c r="H4" s="1073">
        <f t="shared" ref="H4:H11" si="0">+IF(G4&gt;0,G4,0)</f>
        <v>15000</v>
      </c>
      <c r="I4" s="1074"/>
      <c r="J4" s="1075" t="s">
        <v>419</v>
      </c>
      <c r="K4" s="1076" t="s">
        <v>263</v>
      </c>
      <c r="L4" s="1076" t="s">
        <v>212</v>
      </c>
      <c r="M4" s="1077" t="s">
        <v>185</v>
      </c>
      <c r="AE4" s="1079" t="s">
        <v>181</v>
      </c>
      <c r="AF4" s="1080"/>
    </row>
    <row r="5" spans="1:32" s="1078" customFormat="1" ht="59.25" customHeight="1" x14ac:dyDescent="0.25">
      <c r="A5" s="1081">
        <f>+A4+1</f>
        <v>2</v>
      </c>
      <c r="B5" s="1082" t="s">
        <v>189</v>
      </c>
      <c r="C5" s="1083" t="s">
        <v>232</v>
      </c>
      <c r="D5" s="1082" t="s">
        <v>243</v>
      </c>
      <c r="E5" s="1083" t="s">
        <v>205</v>
      </c>
      <c r="F5" s="1084" t="s">
        <v>182</v>
      </c>
      <c r="G5" s="1085">
        <v>25000</v>
      </c>
      <c r="H5" s="1086">
        <f t="shared" si="0"/>
        <v>25000</v>
      </c>
      <c r="I5" s="1087"/>
      <c r="J5" s="1075" t="s">
        <v>419</v>
      </c>
      <c r="K5" s="1088" t="s">
        <v>263</v>
      </c>
      <c r="L5" s="1088" t="s">
        <v>212</v>
      </c>
      <c r="M5" s="1089" t="s">
        <v>185</v>
      </c>
      <c r="AE5" s="1079" t="s">
        <v>181</v>
      </c>
      <c r="AF5" s="1080"/>
    </row>
    <row r="6" spans="1:32" s="1078" customFormat="1" ht="50.25" customHeight="1" x14ac:dyDescent="0.25">
      <c r="A6" s="1081">
        <f>+A5+1</f>
        <v>3</v>
      </c>
      <c r="B6" s="1082" t="s">
        <v>170</v>
      </c>
      <c r="C6" s="1083" t="s">
        <v>201</v>
      </c>
      <c r="D6" s="1082" t="s">
        <v>420</v>
      </c>
      <c r="E6" s="1083" t="s">
        <v>237</v>
      </c>
      <c r="F6" s="1084" t="s">
        <v>181</v>
      </c>
      <c r="G6" s="1085">
        <v>5000</v>
      </c>
      <c r="H6" s="1086">
        <f t="shared" si="0"/>
        <v>5000</v>
      </c>
      <c r="I6" s="1087"/>
      <c r="J6" s="1075" t="s">
        <v>421</v>
      </c>
      <c r="K6" s="1088" t="s">
        <v>262</v>
      </c>
      <c r="L6" s="1088" t="s">
        <v>213</v>
      </c>
      <c r="M6" s="1089" t="s">
        <v>199</v>
      </c>
    </row>
    <row r="7" spans="1:32" s="1078" customFormat="1" ht="55.5" customHeight="1" x14ac:dyDescent="0.25">
      <c r="A7" s="1081">
        <f>+A6+1</f>
        <v>4</v>
      </c>
      <c r="B7" s="1082" t="s">
        <v>217</v>
      </c>
      <c r="C7" s="1083" t="s">
        <v>201</v>
      </c>
      <c r="D7" s="1082" t="s">
        <v>422</v>
      </c>
      <c r="E7" s="1083" t="s">
        <v>237</v>
      </c>
      <c r="F7" s="1084" t="s">
        <v>182</v>
      </c>
      <c r="G7" s="1090">
        <v>5000</v>
      </c>
      <c r="H7" s="1086">
        <f t="shared" si="0"/>
        <v>5000</v>
      </c>
      <c r="I7" s="1087"/>
      <c r="J7" s="1091" t="s">
        <v>423</v>
      </c>
      <c r="K7" s="1088" t="s">
        <v>263</v>
      </c>
      <c r="L7" s="1092" t="s">
        <v>240</v>
      </c>
      <c r="M7" s="1089" t="s">
        <v>241</v>
      </c>
    </row>
    <row r="8" spans="1:32" s="1078" customFormat="1" ht="53.25" customHeight="1" x14ac:dyDescent="0.25">
      <c r="A8" s="1081">
        <f t="shared" ref="A8:A11" si="1">+A7+1</f>
        <v>5</v>
      </c>
      <c r="B8" s="1082" t="s">
        <v>424</v>
      </c>
      <c r="C8" s="1083" t="s">
        <v>425</v>
      </c>
      <c r="D8" s="1082" t="s">
        <v>426</v>
      </c>
      <c r="E8" s="1083" t="s">
        <v>237</v>
      </c>
      <c r="F8" s="1084" t="s">
        <v>181</v>
      </c>
      <c r="G8" s="1093">
        <v>3000</v>
      </c>
      <c r="H8" s="1086">
        <f t="shared" si="0"/>
        <v>3000</v>
      </c>
      <c r="I8" s="1087"/>
      <c r="J8" s="1091" t="s">
        <v>427</v>
      </c>
      <c r="K8" s="1088" t="s">
        <v>263</v>
      </c>
      <c r="L8" s="1092" t="s">
        <v>247</v>
      </c>
      <c r="M8" s="1089" t="s">
        <v>428</v>
      </c>
    </row>
    <row r="9" spans="1:32" s="1078" customFormat="1" ht="76.5" x14ac:dyDescent="0.25">
      <c r="A9" s="1081">
        <f t="shared" si="1"/>
        <v>6</v>
      </c>
      <c r="B9" s="1082" t="s">
        <v>429</v>
      </c>
      <c r="C9" s="1083" t="s">
        <v>232</v>
      </c>
      <c r="D9" s="1082" t="s">
        <v>430</v>
      </c>
      <c r="E9" s="1083" t="s">
        <v>237</v>
      </c>
      <c r="F9" s="1084" t="s">
        <v>182</v>
      </c>
      <c r="G9" s="1093"/>
      <c r="H9" s="1086">
        <f t="shared" si="0"/>
        <v>0</v>
      </c>
      <c r="I9" s="1087"/>
      <c r="J9" s="1091" t="s">
        <v>431</v>
      </c>
      <c r="K9" s="1088" t="s">
        <v>263</v>
      </c>
      <c r="L9" s="1092" t="s">
        <v>212</v>
      </c>
      <c r="M9" s="1089" t="s">
        <v>252</v>
      </c>
    </row>
    <row r="10" spans="1:32" s="1078" customFormat="1" ht="28.5" customHeight="1" x14ac:dyDescent="0.25">
      <c r="A10" s="1081">
        <f t="shared" si="1"/>
        <v>7</v>
      </c>
      <c r="B10" s="1082"/>
      <c r="C10" s="1083"/>
      <c r="D10" s="1082"/>
      <c r="E10" s="1083"/>
      <c r="F10" s="1084" t="s">
        <v>182</v>
      </c>
      <c r="G10" s="1093"/>
      <c r="H10" s="1086">
        <f t="shared" si="0"/>
        <v>0</v>
      </c>
      <c r="I10" s="1087"/>
      <c r="J10" s="1091"/>
      <c r="K10" s="1088"/>
      <c r="L10" s="1088"/>
      <c r="M10" s="1094"/>
    </row>
    <row r="11" spans="1:32" s="1078" customFormat="1" ht="28.5" customHeight="1" thickBot="1" x14ac:dyDescent="0.3">
      <c r="A11" s="1095">
        <f t="shared" si="1"/>
        <v>8</v>
      </c>
      <c r="B11" s="1096"/>
      <c r="C11" s="1097"/>
      <c r="D11" s="1096"/>
      <c r="E11" s="1097"/>
      <c r="F11" s="1098" t="s">
        <v>182</v>
      </c>
      <c r="G11" s="1099"/>
      <c r="H11" s="1086">
        <f t="shared" si="0"/>
        <v>0</v>
      </c>
      <c r="I11" s="1100"/>
      <c r="J11" s="1101"/>
      <c r="K11" s="1102"/>
      <c r="L11" s="1103"/>
      <c r="M11" s="1104"/>
    </row>
    <row r="12" spans="1:32" s="1078" customFormat="1" ht="15" customHeight="1" thickBot="1" x14ac:dyDescent="0.3">
      <c r="A12" s="1105"/>
      <c r="C12" s="1079"/>
      <c r="E12" s="1079"/>
      <c r="F12" s="800"/>
      <c r="G12" s="1106">
        <f>SUM(G4:G11)</f>
        <v>53000</v>
      </c>
      <c r="H12" s="1107">
        <f>SUM(H4:H11)</f>
        <v>53000</v>
      </c>
      <c r="I12" s="1108">
        <f>SUM(I4:I11)</f>
        <v>0</v>
      </c>
    </row>
    <row r="19" spans="2:6" ht="15" customHeight="1" x14ac:dyDescent="0.25">
      <c r="B19" s="39" t="s">
        <v>222</v>
      </c>
      <c r="C19" s="39" t="s">
        <v>244</v>
      </c>
      <c r="D19" s="39" t="s">
        <v>234</v>
      </c>
      <c r="E19" s="729"/>
      <c r="F19" s="729"/>
    </row>
    <row r="20" spans="2:6" ht="15" customHeight="1" x14ac:dyDescent="0.25">
      <c r="B20" s="768" t="s">
        <v>205</v>
      </c>
      <c r="C20" s="39">
        <v>0</v>
      </c>
      <c r="D20" s="39"/>
      <c r="E20" s="729"/>
      <c r="F20" s="729"/>
    </row>
    <row r="21" spans="2:6" ht="15" customHeight="1" x14ac:dyDescent="0.25">
      <c r="B21" s="768" t="s">
        <v>208</v>
      </c>
      <c r="C21" s="39">
        <v>0</v>
      </c>
      <c r="D21" s="39">
        <v>1958414.8274576273</v>
      </c>
      <c r="E21" s="729"/>
      <c r="F21" s="729"/>
    </row>
    <row r="22" spans="2:6" ht="15" customHeight="1" x14ac:dyDescent="0.25">
      <c r="B22" s="768" t="s">
        <v>207</v>
      </c>
      <c r="C22" s="39"/>
      <c r="D22" s="39">
        <v>3779808.0681355936</v>
      </c>
      <c r="E22" s="729"/>
      <c r="F22" s="729"/>
    </row>
    <row r="23" spans="2:6" ht="15" customHeight="1" x14ac:dyDescent="0.25">
      <c r="B23" s="768" t="s">
        <v>236</v>
      </c>
      <c r="C23" s="39">
        <v>-7095143.5199999996</v>
      </c>
      <c r="D23" s="39">
        <v>681215.99200000009</v>
      </c>
      <c r="E23" s="729"/>
      <c r="F23" s="729"/>
    </row>
    <row r="24" spans="2:6" ht="15" customHeight="1" x14ac:dyDescent="0.25">
      <c r="B24" s="768" t="s">
        <v>237</v>
      </c>
      <c r="C24" s="39">
        <v>-210000</v>
      </c>
      <c r="D24" s="39"/>
      <c r="E24" s="729"/>
      <c r="F24" s="729"/>
    </row>
    <row r="25" spans="2:6" ht="15" customHeight="1" x14ac:dyDescent="0.25">
      <c r="B25" s="768" t="s">
        <v>238</v>
      </c>
      <c r="C25" s="39">
        <v>-1514650</v>
      </c>
      <c r="D25" s="39">
        <v>20586</v>
      </c>
      <c r="E25" s="729"/>
      <c r="F25" s="729"/>
    </row>
    <row r="26" spans="2:6" ht="15" customHeight="1" x14ac:dyDescent="0.25">
      <c r="B26" s="768" t="s">
        <v>224</v>
      </c>
      <c r="C26" s="39">
        <v>0</v>
      </c>
      <c r="D26" s="39"/>
      <c r="E26" s="729"/>
      <c r="F26" s="729"/>
    </row>
    <row r="27" spans="2:6" ht="15" customHeight="1" x14ac:dyDescent="0.25">
      <c r="B27" s="768" t="s">
        <v>225</v>
      </c>
      <c r="C27" s="39">
        <v>-1087010.1694915255</v>
      </c>
      <c r="D27" s="39"/>
      <c r="E27"/>
      <c r="F27"/>
    </row>
    <row r="28" spans="2:6" ht="15" customHeight="1" x14ac:dyDescent="0.25">
      <c r="B28" s="768" t="s">
        <v>229</v>
      </c>
      <c r="C28" s="39">
        <v>-3582801.216</v>
      </c>
      <c r="D28" s="39">
        <v>0</v>
      </c>
      <c r="E28"/>
      <c r="F28"/>
    </row>
    <row r="29" spans="2:6" ht="15" customHeight="1" x14ac:dyDescent="0.25">
      <c r="B29" s="768" t="s">
        <v>223</v>
      </c>
      <c r="C29" s="39">
        <v>-13489604.905491525</v>
      </c>
      <c r="D29" s="39">
        <v>6440024.8875932209</v>
      </c>
      <c r="E29"/>
      <c r="F29"/>
    </row>
    <row r="30" spans="2:6" ht="15" customHeight="1" x14ac:dyDescent="0.25">
      <c r="B30"/>
      <c r="C30"/>
      <c r="D30"/>
      <c r="E30"/>
      <c r="F30"/>
    </row>
    <row r="31" spans="2:6" ht="15" customHeight="1" x14ac:dyDescent="0.25">
      <c r="B31"/>
      <c r="C31"/>
      <c r="D31"/>
      <c r="E31"/>
      <c r="F31"/>
    </row>
    <row r="32" spans="2:6" ht="15" customHeight="1" x14ac:dyDescent="0.25">
      <c r="D32"/>
      <c r="E32"/>
      <c r="F32"/>
    </row>
    <row r="33" spans="4:6" ht="15" customHeight="1" x14ac:dyDescent="0.25">
      <c r="D33"/>
      <c r="E33"/>
      <c r="F33"/>
    </row>
    <row r="34" spans="4:6" ht="15" customHeight="1" x14ac:dyDescent="0.25">
      <c r="D34"/>
      <c r="E34"/>
      <c r="F34"/>
    </row>
    <row r="35" spans="4:6" ht="15" customHeight="1" x14ac:dyDescent="0.25">
      <c r="D35"/>
      <c r="E35"/>
      <c r="F35"/>
    </row>
    <row r="36" spans="4:6" ht="15" customHeight="1" x14ac:dyDescent="0.25">
      <c r="D36"/>
      <c r="E36"/>
      <c r="F36"/>
    </row>
  </sheetData>
  <mergeCells count="1">
    <mergeCell ref="A1:M1"/>
  </mergeCells>
  <conditionalFormatting sqref="F5:F6">
    <cfRule type="cellIs" dxfId="27" priority="13" operator="equal">
      <formula>"MUY BAJA"</formula>
    </cfRule>
    <cfRule type="cellIs" dxfId="26" priority="14" operator="equal">
      <formula>"BAJA"</formula>
    </cfRule>
    <cfRule type="cellIs" dxfId="25" priority="15" operator="equal">
      <formula>"MEDIA"</formula>
    </cfRule>
    <cfRule type="cellIs" dxfId="24" priority="16" operator="equal">
      <formula>"ALTA"</formula>
    </cfRule>
    <cfRule type="cellIs" dxfId="23" priority="17" operator="equal">
      <formula>"MUY ALTA"</formula>
    </cfRule>
  </conditionalFormatting>
  <conditionalFormatting sqref="F5:F14">
    <cfRule type="cellIs" dxfId="22" priority="12" operator="equal">
      <formula>"moderada"</formula>
    </cfRule>
  </conditionalFormatting>
  <conditionalFormatting sqref="F1:F3 F37:F1048576 D19 F5:F18">
    <cfRule type="cellIs" dxfId="21" priority="10" operator="equal">
      <formula>"alta"</formula>
    </cfRule>
    <cfRule type="cellIs" dxfId="20" priority="11" operator="equal">
      <formula>"muy baja"</formula>
    </cfRule>
  </conditionalFormatting>
  <conditionalFormatting sqref="F4">
    <cfRule type="cellIs" dxfId="19" priority="5" operator="equal">
      <formula>"MUY BAJA"</formula>
    </cfRule>
    <cfRule type="cellIs" dxfId="18" priority="6" operator="equal">
      <formula>"BAJA"</formula>
    </cfRule>
    <cfRule type="cellIs" dxfId="17" priority="7" operator="equal">
      <formula>"MEDIA"</formula>
    </cfRule>
    <cfRule type="cellIs" dxfId="16" priority="8" operator="equal">
      <formula>"ALTA"</formula>
    </cfRule>
    <cfRule type="cellIs" dxfId="15" priority="9" operator="equal">
      <formula>"MUY ALTA"</formula>
    </cfRule>
  </conditionalFormatting>
  <conditionalFormatting sqref="F4">
    <cfRule type="cellIs" dxfId="14" priority="3" operator="equal">
      <formula>"alta"</formula>
    </cfRule>
    <cfRule type="cellIs" dxfId="13" priority="4" operator="equal">
      <formula>"muy baja"</formula>
    </cfRule>
  </conditionalFormatting>
  <conditionalFormatting sqref="F4">
    <cfRule type="cellIs" dxfId="12" priority="2" operator="equal">
      <formula>"moderada"</formula>
    </cfRule>
  </conditionalFormatting>
  <conditionalFormatting sqref="F37:F1048576 D19 F1:F18">
    <cfRule type="cellIs" dxfId="11" priority="1" operator="equal">
      <formula>"MODERADA"</formula>
    </cfRule>
  </conditionalFormatting>
  <dataValidations count="1">
    <dataValidation type="list" allowBlank="1" showInputMessage="1" showErrorMessage="1" sqref="F4:F11" xr:uid="{C1237A4C-B6B3-47DE-91BD-527F843319CF}">
      <formula1>$AE$5:$AE$5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pageSetUpPr fitToPage="1"/>
  </sheetPr>
  <dimension ref="A1:BA116"/>
  <sheetViews>
    <sheetView showGridLines="0" zoomScale="70" zoomScaleNormal="70" zoomScaleSheetLayoutView="70" workbookViewId="0">
      <pane xSplit="12" ySplit="6" topLeftCell="M7" activePane="bottomRight" state="frozen"/>
      <selection activeCell="CJ48" sqref="CJ48"/>
      <selection pane="topRight" activeCell="CJ48" sqref="CJ48"/>
      <selection pane="bottomLeft" activeCell="CJ48" sqref="CJ48"/>
      <selection pane="bottomRight" activeCell="N5" sqref="N5"/>
    </sheetView>
  </sheetViews>
  <sheetFormatPr baseColWidth="10" defaultColWidth="9.140625" defaultRowHeight="15" outlineLevelRow="1" outlineLevelCol="2" x14ac:dyDescent="0.25"/>
  <cols>
    <col min="1" max="1" width="3.42578125" customWidth="1"/>
    <col min="2" max="2" width="23" customWidth="1"/>
    <col min="3" max="3" width="53.85546875" customWidth="1"/>
    <col min="4" max="4" width="1.42578125" hidden="1" customWidth="1" outlineLevel="1"/>
    <col min="5" max="5" width="18.7109375" hidden="1" customWidth="1" outlineLevel="1"/>
    <col min="6" max="6" width="1.42578125" customWidth="1" collapsed="1"/>
    <col min="7" max="7" width="19.28515625" customWidth="1" outlineLevel="1"/>
    <col min="8" max="8" width="18.85546875" customWidth="1" outlineLevel="1"/>
    <col min="9" max="9" width="1.42578125" customWidth="1" outlineLevel="1"/>
    <col min="10" max="10" width="17.140625" customWidth="1" outlineLevel="2"/>
    <col min="11" max="11" width="17.140625" customWidth="1" outlineLevel="1"/>
    <col min="12" max="12" width="18.5703125" customWidth="1" outlineLevel="1"/>
    <col min="13" max="13" width="1.7109375" customWidth="1" outlineLevel="2"/>
    <col min="14" max="14" width="14.42578125" customWidth="1" outlineLevel="2"/>
    <col min="15" max="16" width="13.85546875" customWidth="1" outlineLevel="2"/>
    <col min="17" max="18" width="14.140625" customWidth="1" outlineLevel="2"/>
    <col min="19" max="19" width="19.5703125" customWidth="1" outlineLevel="2" collapsed="1"/>
    <col min="20" max="20" width="1.42578125" customWidth="1" outlineLevel="2"/>
    <col min="21" max="21" width="16.42578125" customWidth="1" outlineLevel="2"/>
    <col min="22" max="23" width="15.85546875" customWidth="1" outlineLevel="2"/>
    <col min="24" max="24" width="2.28515625" customWidth="1"/>
    <col min="25" max="25" width="25.85546875" customWidth="1" outlineLevel="1"/>
    <col min="26" max="26" width="25.85546875" customWidth="1"/>
    <col min="27" max="27" width="25.85546875" customWidth="1" outlineLevel="1"/>
    <col min="28" max="29" width="25.85546875" customWidth="1"/>
    <col min="30" max="30" width="15.85546875" hidden="1" customWidth="1" outlineLevel="1"/>
    <col min="31" max="31" width="18.42578125" hidden="1" customWidth="1" outlineLevel="1"/>
    <col min="32" max="32" width="25.85546875" customWidth="1" collapsed="1"/>
    <col min="33" max="33" width="1.5703125" customWidth="1" outlineLevel="1"/>
    <col min="34" max="34" width="19" bestFit="1" customWidth="1" outlineLevel="1"/>
    <col min="35" max="35" width="2.7109375" style="47" customWidth="1"/>
    <col min="36" max="36" width="13" style="47" hidden="1" customWidth="1" outlineLevel="1"/>
    <col min="37" max="37" width="10.42578125" style="47" hidden="1" customWidth="1" outlineLevel="1"/>
    <col min="38" max="38" width="17.42578125" hidden="1" customWidth="1" outlineLevel="1"/>
    <col min="39" max="39" width="2.85546875" customWidth="1" collapsed="1"/>
    <col min="40" max="40" width="16.7109375" customWidth="1" outlineLevel="1"/>
    <col min="41" max="42" width="16" customWidth="1" outlineLevel="1"/>
    <col min="43" max="47" width="11.28515625" customWidth="1" outlineLevel="2"/>
    <col min="48" max="48" width="9.140625" customWidth="1" outlineLevel="1"/>
    <col min="50" max="50" width="17.42578125" bestFit="1" customWidth="1"/>
    <col min="51" max="51" width="13.5703125" bestFit="1" customWidth="1"/>
  </cols>
  <sheetData>
    <row r="1" spans="1:50" ht="23.25" x14ac:dyDescent="0.35">
      <c r="A1" s="80"/>
      <c r="B1" s="1159" t="str">
        <f>CONCATENATE(B3," - ",B4," - ",B5," - ",B6)</f>
        <v xml:space="preserve">I.E.N 1182 -  - EL BOSQUE - CERCO + INGRESOS Y CASETAS - </v>
      </c>
      <c r="C1" s="1160"/>
      <c r="D1" s="1160"/>
      <c r="E1" s="1160"/>
      <c r="F1" s="1160"/>
      <c r="G1" s="1160"/>
      <c r="H1" s="1160"/>
      <c r="I1" s="1160"/>
      <c r="J1" s="1160"/>
      <c r="K1" s="1160"/>
      <c r="L1" s="1160"/>
      <c r="M1" s="1160"/>
      <c r="N1" s="1160"/>
      <c r="O1" s="1160"/>
      <c r="P1" s="1160"/>
      <c r="Q1" s="1160"/>
      <c r="R1" s="1160"/>
      <c r="S1" s="1160"/>
      <c r="T1" s="1160"/>
      <c r="U1" s="1160"/>
      <c r="V1" s="1160"/>
      <c r="W1" s="1160"/>
      <c r="X1" s="1160"/>
      <c r="Y1" s="1160"/>
      <c r="Z1" s="1160"/>
      <c r="AA1" s="1160"/>
      <c r="AB1" s="1160"/>
      <c r="AC1" s="1160"/>
      <c r="AD1" s="1160"/>
      <c r="AE1" s="1160"/>
      <c r="AF1" s="1160"/>
      <c r="AG1" s="1160"/>
      <c r="AH1" s="1161"/>
    </row>
    <row r="2" spans="1:50" ht="16.5" customHeight="1" x14ac:dyDescent="0.3">
      <c r="A2" s="80"/>
      <c r="C2" s="77"/>
      <c r="H2" s="45"/>
      <c r="J2" s="39"/>
      <c r="K2" s="46"/>
      <c r="L2" s="46"/>
      <c r="M2" s="41"/>
      <c r="N2" s="94">
        <f>+YEAR(N5)</f>
        <v>2024</v>
      </c>
      <c r="O2" s="94">
        <f t="shared" ref="O2:R2" si="0">+YEAR(O5)</f>
        <v>2024</v>
      </c>
      <c r="P2" s="94">
        <f t="shared" si="0"/>
        <v>2025</v>
      </c>
      <c r="Q2" s="94">
        <f t="shared" si="0"/>
        <v>2025</v>
      </c>
      <c r="R2" s="94">
        <f t="shared" si="0"/>
        <v>2025</v>
      </c>
      <c r="S2" s="94">
        <f>S5</f>
        <v>2025</v>
      </c>
      <c r="U2" s="34"/>
      <c r="Z2" s="53"/>
      <c r="AA2" s="53"/>
      <c r="AB2" s="53"/>
      <c r="AC2" s="37"/>
      <c r="AD2" s="37"/>
      <c r="AE2" s="37"/>
    </row>
    <row r="3" spans="1:50" s="5" customFormat="1" ht="18.75" customHeight="1" x14ac:dyDescent="0.25">
      <c r="B3" s="311" t="s">
        <v>300</v>
      </c>
      <c r="C3" s="314"/>
      <c r="D3" s="2"/>
      <c r="E3" s="1162" t="s">
        <v>48</v>
      </c>
      <c r="F3" s="3"/>
      <c r="G3" s="1164" t="s">
        <v>432</v>
      </c>
      <c r="H3" s="1165"/>
      <c r="I3" s="3"/>
      <c r="J3" s="1168" t="s">
        <v>319</v>
      </c>
      <c r="K3" s="1171" t="s">
        <v>39</v>
      </c>
      <c r="L3" s="1165" t="s">
        <v>40</v>
      </c>
      <c r="M3" s="3"/>
      <c r="N3" s="1175" t="s">
        <v>50</v>
      </c>
      <c r="O3" s="1176"/>
      <c r="P3" s="1176"/>
      <c r="Q3" s="1176"/>
      <c r="R3" s="1176"/>
      <c r="S3" s="1177"/>
      <c r="T3" s="3"/>
      <c r="U3" s="1168" t="s">
        <v>41</v>
      </c>
      <c r="V3" s="1178"/>
      <c r="W3" s="1179"/>
      <c r="X3" s="3"/>
      <c r="Y3" s="1182" t="s">
        <v>49</v>
      </c>
      <c r="Z3" s="1182"/>
      <c r="AA3" s="1182"/>
      <c r="AB3" s="1182"/>
      <c r="AC3" s="1182"/>
      <c r="AD3" s="1182"/>
      <c r="AE3" s="1182"/>
      <c r="AF3" s="1182"/>
      <c r="AG3" s="2"/>
      <c r="AH3" s="1171" t="s">
        <v>2</v>
      </c>
      <c r="AI3" s="94"/>
      <c r="AJ3" s="94"/>
      <c r="AK3" s="94"/>
      <c r="AN3" s="1183" t="s">
        <v>30</v>
      </c>
      <c r="AO3" s="1186" t="s">
        <v>35</v>
      </c>
      <c r="AP3" s="1156" t="s">
        <v>343</v>
      </c>
      <c r="AQ3" s="1153">
        <v>45597</v>
      </c>
      <c r="AR3" s="1153">
        <v>45627</v>
      </c>
      <c r="AS3" s="1153">
        <v>45658</v>
      </c>
      <c r="AT3" s="1153">
        <v>45689</v>
      </c>
      <c r="AU3" s="1153">
        <v>45717</v>
      </c>
    </row>
    <row r="4" spans="1:50" s="5" customFormat="1" ht="15.75" x14ac:dyDescent="0.25">
      <c r="B4" s="312"/>
      <c r="C4" s="314"/>
      <c r="D4" s="2"/>
      <c r="E4" s="1163"/>
      <c r="F4" s="3"/>
      <c r="G4" s="1166"/>
      <c r="H4" s="1167"/>
      <c r="I4" s="3"/>
      <c r="J4" s="1169"/>
      <c r="K4" s="1172"/>
      <c r="L4" s="1174"/>
      <c r="M4" s="3"/>
      <c r="N4" s="309">
        <v>1</v>
      </c>
      <c r="O4" s="309">
        <f>+N4+1</f>
        <v>2</v>
      </c>
      <c r="P4" s="309">
        <f t="shared" ref="P4:R4" si="1">+O4+1</f>
        <v>3</v>
      </c>
      <c r="Q4" s="309">
        <f t="shared" si="1"/>
        <v>4</v>
      </c>
      <c r="R4" s="309">
        <f t="shared" si="1"/>
        <v>5</v>
      </c>
      <c r="S4" s="291" t="s">
        <v>162</v>
      </c>
      <c r="T4" s="3"/>
      <c r="U4" s="1170"/>
      <c r="V4" s="1180"/>
      <c r="W4" s="1181"/>
      <c r="X4" s="3"/>
      <c r="Y4" s="1182"/>
      <c r="Z4" s="1182"/>
      <c r="AA4" s="1182"/>
      <c r="AB4" s="1182"/>
      <c r="AC4" s="1182"/>
      <c r="AD4" s="1182"/>
      <c r="AE4" s="1182"/>
      <c r="AF4" s="1182"/>
      <c r="AG4" s="2"/>
      <c r="AH4" s="1172"/>
      <c r="AI4" s="2"/>
      <c r="AJ4" s="2"/>
      <c r="AK4" s="2"/>
      <c r="AN4" s="1184"/>
      <c r="AO4" s="1187"/>
      <c r="AP4" s="1157"/>
      <c r="AQ4" s="1154"/>
      <c r="AR4" s="1154"/>
      <c r="AS4" s="1154"/>
      <c r="AT4" s="1154"/>
      <c r="AU4" s="1154"/>
    </row>
    <row r="5" spans="1:50" s="58" customFormat="1" ht="63" x14ac:dyDescent="0.25">
      <c r="B5" s="805" t="s">
        <v>301</v>
      </c>
      <c r="C5" s="59"/>
      <c r="D5" s="59"/>
      <c r="E5" s="63" t="s">
        <v>3</v>
      </c>
      <c r="F5" s="60"/>
      <c r="G5" s="743" t="s">
        <v>4</v>
      </c>
      <c r="H5" s="743" t="s">
        <v>5</v>
      </c>
      <c r="I5" s="60"/>
      <c r="J5" s="1170"/>
      <c r="K5" s="1173"/>
      <c r="L5" s="1167"/>
      <c r="M5" s="60"/>
      <c r="N5" s="62">
        <v>45597</v>
      </c>
      <c r="O5" s="62">
        <f t="shared" ref="O5:R5" si="2">+N5+31</f>
        <v>45628</v>
      </c>
      <c r="P5" s="62">
        <f t="shared" si="2"/>
        <v>45659</v>
      </c>
      <c r="Q5" s="62">
        <f t="shared" si="2"/>
        <v>45690</v>
      </c>
      <c r="R5" s="62">
        <f t="shared" si="2"/>
        <v>45721</v>
      </c>
      <c r="S5" s="61">
        <v>2025</v>
      </c>
      <c r="T5" s="60"/>
      <c r="U5" s="61">
        <f>+S5+1</f>
        <v>2026</v>
      </c>
      <c r="V5" s="61">
        <f>+U5+1</f>
        <v>2027</v>
      </c>
      <c r="W5" s="61">
        <f>+V5+1</f>
        <v>2028</v>
      </c>
      <c r="X5" s="60"/>
      <c r="Y5" s="754" t="s">
        <v>191</v>
      </c>
      <c r="Z5" s="754" t="s">
        <v>190</v>
      </c>
      <c r="AA5" s="754" t="s">
        <v>274</v>
      </c>
      <c r="AB5" s="754" t="s">
        <v>297</v>
      </c>
      <c r="AC5" s="755" t="s">
        <v>7</v>
      </c>
      <c r="AD5" s="755" t="s">
        <v>36</v>
      </c>
      <c r="AE5" s="756" t="s">
        <v>125</v>
      </c>
      <c r="AF5" s="756" t="s">
        <v>37</v>
      </c>
      <c r="AG5" s="59"/>
      <c r="AH5" s="743" t="s">
        <v>7</v>
      </c>
      <c r="AI5" s="452"/>
      <c r="AJ5" s="452"/>
      <c r="AK5" s="452"/>
      <c r="AN5" s="1185"/>
      <c r="AO5" s="1188"/>
      <c r="AP5" s="1158"/>
      <c r="AQ5" s="1155"/>
      <c r="AR5" s="1155"/>
      <c r="AS5" s="1155"/>
      <c r="AT5" s="1155"/>
      <c r="AU5" s="1155"/>
    </row>
    <row r="6" spans="1:50" s="5" customFormat="1" ht="8.25" customHeight="1" x14ac:dyDescent="0.25">
      <c r="B6" s="312"/>
      <c r="C6" s="2"/>
      <c r="D6" s="2"/>
      <c r="E6" s="2"/>
      <c r="F6" s="2"/>
      <c r="G6" s="2"/>
      <c r="H6" s="2"/>
      <c r="I6" s="2"/>
      <c r="J6" s="2"/>
      <c r="K6" s="2"/>
      <c r="L6" s="2"/>
      <c r="M6" s="2"/>
      <c r="N6" s="252"/>
      <c r="O6" s="252"/>
      <c r="P6" s="252"/>
      <c r="Q6" s="252"/>
      <c r="R6" s="252"/>
      <c r="S6" s="252"/>
      <c r="T6" s="2"/>
      <c r="U6" s="2"/>
      <c r="V6" s="2"/>
      <c r="W6" s="2"/>
      <c r="X6" s="2"/>
      <c r="Y6" s="2"/>
      <c r="Z6" s="2"/>
      <c r="AA6" s="2"/>
      <c r="AB6" s="2"/>
      <c r="AC6" s="2"/>
      <c r="AD6" s="2"/>
      <c r="AE6" s="2"/>
      <c r="AF6" s="2"/>
      <c r="AG6" s="2"/>
      <c r="AH6" s="2"/>
      <c r="AI6" s="94"/>
      <c r="AJ6" s="94"/>
      <c r="AK6" s="94"/>
      <c r="AN6" s="527"/>
    </row>
    <row r="7" spans="1:50" s="28" customFormat="1" ht="20.25" customHeight="1" x14ac:dyDescent="0.3">
      <c r="B7" s="806" t="s">
        <v>32</v>
      </c>
      <c r="C7" s="807"/>
      <c r="D7" s="86"/>
      <c r="E7" s="808" t="e">
        <f>+E9</f>
        <v>#REF!</v>
      </c>
      <c r="F7" s="465"/>
      <c r="G7" s="809">
        <f>+G9</f>
        <v>0</v>
      </c>
      <c r="H7" s="810">
        <f>+H9</f>
        <v>0</v>
      </c>
      <c r="I7" s="465"/>
      <c r="J7" s="811">
        <f>+J9</f>
        <v>0</v>
      </c>
      <c r="K7" s="812">
        <f>+K9</f>
        <v>0</v>
      </c>
      <c r="L7" s="810">
        <f>+L9</f>
        <v>0</v>
      </c>
      <c r="M7" s="465"/>
      <c r="N7" s="811">
        <f t="shared" ref="N7:R7" si="3">+N9</f>
        <v>0</v>
      </c>
      <c r="O7" s="813">
        <f t="shared" si="3"/>
        <v>0</v>
      </c>
      <c r="P7" s="813">
        <f t="shared" si="3"/>
        <v>0</v>
      </c>
      <c r="Q7" s="813">
        <f t="shared" si="3"/>
        <v>0</v>
      </c>
      <c r="R7" s="813">
        <f t="shared" si="3"/>
        <v>0</v>
      </c>
      <c r="S7" s="814">
        <f>+S9</f>
        <v>0</v>
      </c>
      <c r="T7" s="465"/>
      <c r="U7" s="811">
        <f>+U9</f>
        <v>0</v>
      </c>
      <c r="V7" s="813">
        <f>+V9</f>
        <v>0</v>
      </c>
      <c r="W7" s="814">
        <f>+W9</f>
        <v>0</v>
      </c>
      <c r="X7" s="465"/>
      <c r="Y7" s="809">
        <f t="shared" ref="Y7:AF7" si="4">+Y9</f>
        <v>1511227.9745762714</v>
      </c>
      <c r="Z7" s="809">
        <f t="shared" si="4"/>
        <v>0</v>
      </c>
      <c r="AA7" s="809">
        <f t="shared" si="4"/>
        <v>0</v>
      </c>
      <c r="AB7" s="809">
        <f t="shared" si="4"/>
        <v>0</v>
      </c>
      <c r="AC7" s="815">
        <f t="shared" si="4"/>
        <v>0</v>
      </c>
      <c r="AD7" s="812">
        <f t="shared" si="4"/>
        <v>0</v>
      </c>
      <c r="AE7" s="812">
        <f t="shared" si="4"/>
        <v>0</v>
      </c>
      <c r="AF7" s="816">
        <f t="shared" si="4"/>
        <v>0</v>
      </c>
      <c r="AG7" s="465"/>
      <c r="AH7" s="816">
        <f>+AH9</f>
        <v>0</v>
      </c>
      <c r="AI7" s="817"/>
      <c r="AJ7" s="818">
        <f>+AF7-Z7</f>
        <v>0</v>
      </c>
      <c r="AK7" s="817"/>
      <c r="AL7" s="300"/>
      <c r="AM7" s="300"/>
      <c r="AN7" s="392">
        <f>+AN9</f>
        <v>0</v>
      </c>
      <c r="AO7" s="393">
        <f t="shared" ref="AO7:AU7" si="5">+AO9</f>
        <v>0</v>
      </c>
      <c r="AP7" s="393"/>
      <c r="AQ7" s="393">
        <f t="shared" si="5"/>
        <v>0</v>
      </c>
      <c r="AR7" s="393">
        <f t="shared" si="5"/>
        <v>0</v>
      </c>
      <c r="AS7" s="393">
        <f t="shared" si="5"/>
        <v>0</v>
      </c>
      <c r="AT7" s="393">
        <f t="shared" si="5"/>
        <v>0</v>
      </c>
      <c r="AU7" s="393">
        <f t="shared" si="5"/>
        <v>0</v>
      </c>
      <c r="AV7" s="300"/>
    </row>
    <row r="8" spans="1:50" s="5" customFormat="1" ht="7.5" customHeight="1" x14ac:dyDescent="0.3">
      <c r="B8" s="2"/>
      <c r="C8" s="2"/>
      <c r="D8" s="2"/>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293"/>
      <c r="AJ8" s="532"/>
      <c r="AK8" s="293"/>
      <c r="AL8" s="295"/>
      <c r="AM8" s="295"/>
      <c r="AN8" s="394"/>
      <c r="AO8" s="394"/>
      <c r="AP8" s="394"/>
      <c r="AQ8" s="394"/>
      <c r="AR8" s="394"/>
      <c r="AS8" s="394"/>
      <c r="AT8" s="394"/>
      <c r="AU8" s="394"/>
      <c r="AV8" s="295"/>
    </row>
    <row r="9" spans="1:50" s="5" customFormat="1" ht="18.75" x14ac:dyDescent="0.3">
      <c r="B9" s="9" t="s">
        <v>153</v>
      </c>
      <c r="C9" s="10"/>
      <c r="D9" s="2"/>
      <c r="E9" s="663" t="e">
        <f>+SUM(E11:E13)</f>
        <v>#REF!</v>
      </c>
      <c r="F9" s="87"/>
      <c r="G9" s="609">
        <f>+SUM(G11:G13)</f>
        <v>0</v>
      </c>
      <c r="H9" s="611">
        <f>+SUM(H11:H13)</f>
        <v>0</v>
      </c>
      <c r="I9" s="87"/>
      <c r="J9" s="609">
        <f>+SUM(J11:J13)</f>
        <v>0</v>
      </c>
      <c r="K9" s="610">
        <f>+SUM(K11:K13)</f>
        <v>0</v>
      </c>
      <c r="L9" s="611">
        <f>+SUM(L11:L13)</f>
        <v>0</v>
      </c>
      <c r="M9" s="87"/>
      <c r="N9" s="609">
        <f t="shared" ref="N9:S9" si="6">+SUM(N11:N13)</f>
        <v>0</v>
      </c>
      <c r="O9" s="610">
        <f t="shared" si="6"/>
        <v>0</v>
      </c>
      <c r="P9" s="610">
        <f t="shared" si="6"/>
        <v>0</v>
      </c>
      <c r="Q9" s="610">
        <f t="shared" si="6"/>
        <v>0</v>
      </c>
      <c r="R9" s="610">
        <f t="shared" si="6"/>
        <v>0</v>
      </c>
      <c r="S9" s="611">
        <f t="shared" si="6"/>
        <v>0</v>
      </c>
      <c r="T9" s="87"/>
      <c r="U9" s="609">
        <f>+SUM(U11:U13)</f>
        <v>0</v>
      </c>
      <c r="V9" s="610">
        <f>+SUM(V11:V13)</f>
        <v>0</v>
      </c>
      <c r="W9" s="611">
        <f>+SUM(W11:W13)</f>
        <v>0</v>
      </c>
      <c r="X9" s="87"/>
      <c r="Y9" s="609">
        <f t="shared" ref="Y9:AF9" si="7">+SUM(Y11:Y13)</f>
        <v>1511227.9745762714</v>
      </c>
      <c r="Z9" s="609">
        <f t="shared" si="7"/>
        <v>0</v>
      </c>
      <c r="AA9" s="609">
        <f t="shared" si="7"/>
        <v>0</v>
      </c>
      <c r="AB9" s="609">
        <f t="shared" si="7"/>
        <v>0</v>
      </c>
      <c r="AC9" s="751">
        <f t="shared" si="7"/>
        <v>0</v>
      </c>
      <c r="AD9" s="610">
        <f t="shared" si="7"/>
        <v>0</v>
      </c>
      <c r="AE9" s="610">
        <f t="shared" si="7"/>
        <v>0</v>
      </c>
      <c r="AF9" s="663">
        <f t="shared" si="7"/>
        <v>0</v>
      </c>
      <c r="AG9" s="87"/>
      <c r="AH9" s="663">
        <f>+SUM(AH11:AH13)</f>
        <v>0</v>
      </c>
      <c r="AI9" s="444"/>
      <c r="AJ9" s="531">
        <f>+AF9-Z9</f>
        <v>0</v>
      </c>
      <c r="AK9" s="444">
        <f>+Z9-AC9</f>
        <v>0</v>
      </c>
      <c r="AL9" s="295"/>
      <c r="AM9" s="295"/>
      <c r="AN9" s="395">
        <f t="shared" ref="AN9:AU9" si="8">+SUM(AN11:AN13)</f>
        <v>0</v>
      </c>
      <c r="AO9" s="395">
        <f t="shared" si="8"/>
        <v>0</v>
      </c>
      <c r="AP9" s="395"/>
      <c r="AQ9" s="395">
        <f t="shared" si="8"/>
        <v>0</v>
      </c>
      <c r="AR9" s="395">
        <f t="shared" si="8"/>
        <v>0</v>
      </c>
      <c r="AS9" s="395">
        <f t="shared" si="8"/>
        <v>0</v>
      </c>
      <c r="AT9" s="395">
        <f t="shared" si="8"/>
        <v>0</v>
      </c>
      <c r="AU9" s="395">
        <f t="shared" si="8"/>
        <v>0</v>
      </c>
      <c r="AV9" s="295"/>
    </row>
    <row r="10" spans="1:50" s="5" customFormat="1" ht="24" customHeight="1" x14ac:dyDescent="0.3">
      <c r="E10" s="499"/>
      <c r="F10" s="499"/>
      <c r="G10" s="499"/>
      <c r="H10" s="499"/>
      <c r="I10" s="499"/>
      <c r="J10" s="499"/>
      <c r="K10" s="499"/>
      <c r="L10" s="499"/>
      <c r="M10" s="499"/>
      <c r="N10" s="499"/>
      <c r="O10" s="499"/>
      <c r="P10" s="499"/>
      <c r="Q10" s="499"/>
      <c r="R10" s="499"/>
      <c r="S10" s="499"/>
      <c r="T10" s="499"/>
      <c r="U10" s="499"/>
      <c r="V10" s="499"/>
      <c r="W10" s="499"/>
      <c r="X10" s="499"/>
      <c r="Y10" s="499"/>
      <c r="Z10" s="499"/>
      <c r="AA10" s="499"/>
      <c r="AB10" s="499"/>
      <c r="AC10" s="499"/>
      <c r="AD10" s="499"/>
      <c r="AE10" s="499"/>
      <c r="AF10" s="499"/>
      <c r="AG10" s="499"/>
      <c r="AH10" s="499"/>
      <c r="AI10" s="293"/>
      <c r="AJ10" s="532"/>
      <c r="AK10" s="293"/>
      <c r="AL10" s="295"/>
      <c r="AM10" s="295"/>
      <c r="AN10" s="396"/>
      <c r="AO10" s="396"/>
      <c r="AP10" s="396"/>
      <c r="AQ10" s="396"/>
      <c r="AR10" s="396"/>
      <c r="AS10" s="396"/>
      <c r="AT10" s="396"/>
      <c r="AU10" s="396"/>
      <c r="AV10" s="295"/>
    </row>
    <row r="11" spans="1:50" s="5" customFormat="1" ht="18.75" x14ac:dyDescent="0.3">
      <c r="B11" s="13" t="s">
        <v>151</v>
      </c>
      <c r="C11" s="14"/>
      <c r="E11" s="476" t="e">
        <f>+'DIRECTO '!E11+#REF!</f>
        <v>#REF!</v>
      </c>
      <c r="F11" s="499"/>
      <c r="G11" s="612"/>
      <c r="H11" s="523"/>
      <c r="I11" s="499"/>
      <c r="J11" s="635"/>
      <c r="K11" s="613"/>
      <c r="L11" s="520">
        <f>+SUM(N11:R11)</f>
        <v>0</v>
      </c>
      <c r="M11" s="499"/>
      <c r="N11" s="679"/>
      <c r="O11" s="680"/>
      <c r="P11" s="680"/>
      <c r="Q11" s="680"/>
      <c r="R11" s="680"/>
      <c r="S11" s="636">
        <f>+SUMIFS(N11:R11,N$2:R$2,$S$5)</f>
        <v>0</v>
      </c>
      <c r="T11" s="499"/>
      <c r="U11" s="612">
        <f>+SUMIFS(N11:S11,N$2:S$2,$U$5)</f>
        <v>0</v>
      </c>
      <c r="V11" s="613">
        <f>+SUMIFS(N11:S11,N$2:S$2,$V$5)</f>
        <v>0</v>
      </c>
      <c r="W11" s="520">
        <f>+SUMIFS(N11:S11,N$2:S$2,$W$5)</f>
        <v>0</v>
      </c>
      <c r="X11" s="499"/>
      <c r="Y11" s="612">
        <f>+Z11</f>
        <v>0</v>
      </c>
      <c r="Z11" s="747">
        <f>+K11+L11</f>
        <v>0</v>
      </c>
      <c r="AA11" s="747"/>
      <c r="AB11" s="747"/>
      <c r="AC11" s="612"/>
      <c r="AD11" s="613"/>
      <c r="AE11" s="656"/>
      <c r="AF11" s="476"/>
      <c r="AG11" s="499"/>
      <c r="AH11" s="476"/>
      <c r="AI11" s="444"/>
      <c r="AJ11" s="531">
        <f t="shared" ref="AJ11:AJ12" si="9">+AF11-Z11</f>
        <v>0</v>
      </c>
      <c r="AK11" s="444">
        <f t="shared" ref="AK11:AK12" si="10">+Z11-AC11</f>
        <v>0</v>
      </c>
      <c r="AL11" s="295"/>
      <c r="AM11" s="295"/>
      <c r="AN11" s="397"/>
      <c r="AO11" s="398"/>
      <c r="AP11" s="398"/>
      <c r="AQ11" s="398"/>
      <c r="AR11" s="398"/>
      <c r="AS11" s="398"/>
      <c r="AT11" s="398"/>
      <c r="AU11" s="398"/>
      <c r="AV11" s="295"/>
    </row>
    <row r="12" spans="1:50" s="5" customFormat="1" ht="18.75" x14ac:dyDescent="0.3">
      <c r="B12" s="15" t="s">
        <v>152</v>
      </c>
      <c r="C12" s="16"/>
      <c r="E12" s="657" t="e">
        <f>+'DIRECTO '!E12+#REF!</f>
        <v>#REF!</v>
      </c>
      <c r="F12" s="499"/>
      <c r="G12" s="645"/>
      <c r="H12" s="658"/>
      <c r="I12" s="499"/>
      <c r="J12" s="614"/>
      <c r="K12" s="615"/>
      <c r="L12" s="616">
        <f>+SUM(N12:R12)</f>
        <v>0</v>
      </c>
      <c r="M12" s="499"/>
      <c r="N12" s="638"/>
      <c r="O12" s="622"/>
      <c r="P12" s="622"/>
      <c r="Q12" s="622"/>
      <c r="R12" s="622"/>
      <c r="S12" s="621">
        <f>+SUMIFS(N12:R12,N$2:R$2,$S$5)</f>
        <v>0</v>
      </c>
      <c r="T12" s="499"/>
      <c r="U12" s="638">
        <f>+SUMIFS(N12:S12,N$2:S$2,$U$5)</f>
        <v>0</v>
      </c>
      <c r="V12" s="622">
        <f>+SUMIFS(N12:S12,N$2:S$2,$V$5)</f>
        <v>0</v>
      </c>
      <c r="W12" s="647">
        <f>+SUMIFS(N12:S12,N$2:S$2,$W$5)</f>
        <v>0</v>
      </c>
      <c r="X12" s="499"/>
      <c r="Y12" s="638">
        <f>+Z12</f>
        <v>0</v>
      </c>
      <c r="Z12" s="748">
        <f>+K12+L12</f>
        <v>0</v>
      </c>
      <c r="AA12" s="752"/>
      <c r="AB12" s="752"/>
      <c r="AC12" s="645"/>
      <c r="AD12" s="646"/>
      <c r="AE12" s="664"/>
      <c r="AF12" s="652"/>
      <c r="AG12" s="499"/>
      <c r="AH12" s="652"/>
      <c r="AI12" s="444"/>
      <c r="AJ12" s="531">
        <f t="shared" si="9"/>
        <v>0</v>
      </c>
      <c r="AK12" s="444">
        <f t="shared" si="10"/>
        <v>0</v>
      </c>
      <c r="AL12" s="295"/>
      <c r="AM12" s="295"/>
      <c r="AN12" s="397"/>
      <c r="AO12" s="398"/>
      <c r="AP12" s="398"/>
      <c r="AQ12" s="398"/>
      <c r="AR12" s="398"/>
      <c r="AS12" s="398"/>
      <c r="AT12" s="398"/>
      <c r="AU12" s="398"/>
      <c r="AV12" s="295"/>
    </row>
    <row r="13" spans="1:50" s="5" customFormat="1" ht="18.75" x14ac:dyDescent="0.3">
      <c r="B13" s="15" t="s">
        <v>336</v>
      </c>
      <c r="C13" s="16"/>
      <c r="E13" s="657"/>
      <c r="F13" s="499"/>
      <c r="G13" s="645"/>
      <c r="H13" s="658"/>
      <c r="I13" s="499"/>
      <c r="J13" s="614"/>
      <c r="K13" s="615"/>
      <c r="L13" s="616"/>
      <c r="M13" s="499"/>
      <c r="N13" s="638"/>
      <c r="O13" s="622"/>
      <c r="P13" s="622"/>
      <c r="Q13" s="622"/>
      <c r="R13" s="622"/>
      <c r="S13" s="621"/>
      <c r="T13" s="499"/>
      <c r="U13" s="638"/>
      <c r="V13" s="622"/>
      <c r="W13" s="647"/>
      <c r="X13" s="499"/>
      <c r="Y13" s="748">
        <f>1783249.01/1.18</f>
        <v>1511227.9745762714</v>
      </c>
      <c r="Z13" s="748"/>
      <c r="AA13" s="752"/>
      <c r="AB13" s="752"/>
      <c r="AC13" s="645"/>
      <c r="AD13" s="646"/>
      <c r="AE13" s="664"/>
      <c r="AF13" s="652"/>
      <c r="AG13" s="499"/>
      <c r="AH13" s="652"/>
      <c r="AI13" s="441"/>
      <c r="AJ13" s="533"/>
      <c r="AK13" s="444"/>
      <c r="AL13" s="295"/>
      <c r="AM13" s="295"/>
      <c r="AN13" s="397"/>
      <c r="AO13" s="398"/>
      <c r="AP13" s="398"/>
      <c r="AQ13" s="398"/>
      <c r="AR13" s="398"/>
      <c r="AS13" s="398"/>
      <c r="AT13" s="398"/>
      <c r="AU13" s="398"/>
      <c r="AV13" s="295"/>
    </row>
    <row r="14" spans="1:50" s="54" customFormat="1" ht="12.75" customHeight="1" x14ac:dyDescent="0.25">
      <c r="B14" s="757"/>
      <c r="C14" s="757"/>
      <c r="E14" s="515"/>
      <c r="F14" s="515"/>
      <c r="G14" s="758"/>
      <c r="H14" s="758"/>
      <c r="I14" s="515"/>
      <c r="J14" s="515"/>
      <c r="K14" s="758"/>
      <c r="L14" s="758"/>
      <c r="M14" s="515"/>
      <c r="N14" s="515"/>
      <c r="O14" s="515"/>
      <c r="P14" s="515"/>
      <c r="Q14" s="515"/>
      <c r="R14" s="515"/>
      <c r="S14" s="515"/>
      <c r="T14" s="515"/>
      <c r="U14" s="515"/>
      <c r="V14" s="515"/>
      <c r="W14" s="515"/>
      <c r="X14" s="515"/>
      <c r="Y14" s="758"/>
      <c r="Z14" s="758"/>
      <c r="AA14" s="758"/>
      <c r="AB14" s="758"/>
      <c r="AC14" s="758"/>
      <c r="AD14" s="758"/>
      <c r="AE14" s="758"/>
      <c r="AF14" s="758"/>
      <c r="AG14" s="515"/>
      <c r="AH14" s="758"/>
      <c r="AI14" s="443"/>
      <c r="AJ14" s="534"/>
      <c r="AK14" s="443"/>
      <c r="AL14" s="298"/>
      <c r="AM14" s="298"/>
      <c r="AN14" s="403"/>
      <c r="AO14" s="403"/>
      <c r="AP14" s="403"/>
      <c r="AQ14" s="403"/>
      <c r="AR14" s="403"/>
      <c r="AS14" s="403"/>
      <c r="AT14" s="403"/>
      <c r="AU14" s="403"/>
      <c r="AV14" s="299"/>
    </row>
    <row r="15" spans="1:50" s="28" customFormat="1" ht="18.75" x14ac:dyDescent="0.3">
      <c r="B15" s="806" t="s">
        <v>9</v>
      </c>
      <c r="C15" s="807"/>
      <c r="D15" s="86"/>
      <c r="E15" s="808" t="e">
        <f>+SUM(E17:E26)+E29</f>
        <v>#REF!</v>
      </c>
      <c r="F15" s="465"/>
      <c r="G15" s="809" t="e">
        <f>+SUM(G17:G26,G29)</f>
        <v>#REF!</v>
      </c>
      <c r="H15" s="810" t="e">
        <f>SUM(H17:H26,H29)</f>
        <v>#REF!</v>
      </c>
      <c r="I15" s="465"/>
      <c r="J15" s="811" t="e">
        <f>+SUM(J17:J26,J29)</f>
        <v>#REF!</v>
      </c>
      <c r="K15" s="812" t="e">
        <f>+SUM(K17:K26,K29)</f>
        <v>#REF!</v>
      </c>
      <c r="L15" s="810">
        <f>+SUM(L17:L26,L29)</f>
        <v>0</v>
      </c>
      <c r="M15" s="465"/>
      <c r="N15" s="811">
        <f t="shared" ref="N15:S15" si="11">+SUM(N17:N26,N29)</f>
        <v>0</v>
      </c>
      <c r="O15" s="813">
        <f t="shared" si="11"/>
        <v>0</v>
      </c>
      <c r="P15" s="813">
        <f t="shared" si="11"/>
        <v>0</v>
      </c>
      <c r="Q15" s="813">
        <f t="shared" si="11"/>
        <v>0</v>
      </c>
      <c r="R15" s="813">
        <f t="shared" si="11"/>
        <v>0</v>
      </c>
      <c r="S15" s="814">
        <f t="shared" si="11"/>
        <v>0</v>
      </c>
      <c r="T15" s="465"/>
      <c r="U15" s="811">
        <f>+SUM(U17:U26,U29)</f>
        <v>0</v>
      </c>
      <c r="V15" s="813">
        <f>+SUM(V17:V26,V29)</f>
        <v>0</v>
      </c>
      <c r="W15" s="814">
        <f>+SUM(W17:W26,W29)</f>
        <v>0</v>
      </c>
      <c r="X15" s="465"/>
      <c r="Y15" s="809">
        <f>+SUM(Y17:Y26,Y29)</f>
        <v>0</v>
      </c>
      <c r="Z15" s="809" t="e">
        <f>+SUM(Z17:Z26,Z29)</f>
        <v>#REF!</v>
      </c>
      <c r="AA15" s="809" t="e">
        <f>+SUM(AA17:AA26)-(#REF!+#REF!)+AA29+AA28</f>
        <v>#REF!</v>
      </c>
      <c r="AB15" s="809">
        <f>+SUM(AB17:AB26,AB29)</f>
        <v>0</v>
      </c>
      <c r="AC15" s="812" t="e">
        <f>+SUM(AC17:AC26,AC29)</f>
        <v>#REF!</v>
      </c>
      <c r="AD15" s="812" t="e">
        <f>+SUM(AD17:AD26,AD29)</f>
        <v>#REF!</v>
      </c>
      <c r="AE15" s="812" t="e">
        <f>+SUM(AE17:AE26,AE29)</f>
        <v>#REF!</v>
      </c>
      <c r="AF15" s="810" t="e">
        <f>+SUM(AF17:AF26,AF29)</f>
        <v>#REF!</v>
      </c>
      <c r="AG15" s="465"/>
      <c r="AH15" s="816" t="e">
        <f>+SUM(AH17:AH26,AH29)</f>
        <v>#REF!</v>
      </c>
      <c r="AI15" s="817"/>
      <c r="AJ15" s="818" t="e">
        <f>+AF15-Z15</f>
        <v>#REF!</v>
      </c>
      <c r="AK15" s="817"/>
      <c r="AL15" s="300"/>
      <c r="AM15" s="300"/>
      <c r="AN15" s="392" t="e">
        <f t="shared" ref="AN15:AU15" si="12">+SUM(AN17:AN26,AN29)</f>
        <v>#REF!</v>
      </c>
      <c r="AO15" s="392" t="e">
        <f t="shared" si="12"/>
        <v>#REF!</v>
      </c>
      <c r="AP15" s="392"/>
      <c r="AQ15" s="392">
        <f t="shared" si="12"/>
        <v>0</v>
      </c>
      <c r="AR15" s="392">
        <f t="shared" si="12"/>
        <v>0</v>
      </c>
      <c r="AS15" s="392">
        <f t="shared" si="12"/>
        <v>0</v>
      </c>
      <c r="AT15" s="392">
        <f t="shared" si="12"/>
        <v>0</v>
      </c>
      <c r="AU15" s="392">
        <f t="shared" si="12"/>
        <v>0</v>
      </c>
      <c r="AV15" s="300"/>
      <c r="AX15" s="597"/>
    </row>
    <row r="16" spans="1:50" s="5" customFormat="1" ht="7.5" customHeight="1" x14ac:dyDescent="0.3">
      <c r="E16" s="499"/>
      <c r="F16" s="499"/>
      <c r="G16" s="499"/>
      <c r="H16" s="499"/>
      <c r="I16" s="499"/>
      <c r="J16" s="499"/>
      <c r="K16" s="499"/>
      <c r="L16" s="499"/>
      <c r="M16" s="499"/>
      <c r="N16" s="499"/>
      <c r="O16" s="499"/>
      <c r="P16" s="499"/>
      <c r="Q16" s="499"/>
      <c r="R16" s="499"/>
      <c r="S16" s="499"/>
      <c r="T16" s="499"/>
      <c r="U16" s="499"/>
      <c r="V16" s="499"/>
      <c r="W16" s="499"/>
      <c r="X16" s="499"/>
      <c r="Y16" s="499"/>
      <c r="Z16" s="499"/>
      <c r="AA16" s="499"/>
      <c r="AB16" s="499"/>
      <c r="AC16" s="499"/>
      <c r="AD16" s="499"/>
      <c r="AE16" s="499"/>
      <c r="AF16" s="499"/>
      <c r="AG16" s="499"/>
      <c r="AH16" s="499"/>
      <c r="AI16" s="442"/>
      <c r="AJ16" s="532"/>
      <c r="AK16" s="442"/>
      <c r="AL16" s="297"/>
      <c r="AM16" s="297"/>
      <c r="AN16" s="396"/>
      <c r="AO16" s="400"/>
      <c r="AP16" s="400"/>
      <c r="AQ16" s="400"/>
      <c r="AR16" s="400"/>
      <c r="AS16" s="400"/>
      <c r="AT16" s="400"/>
      <c r="AU16" s="400"/>
      <c r="AV16" s="295"/>
    </row>
    <row r="17" spans="2:53" s="5" customFormat="1" ht="18.75" outlineLevel="1" x14ac:dyDescent="0.3">
      <c r="B17" s="13" t="s">
        <v>10</v>
      </c>
      <c r="C17" s="14"/>
      <c r="E17" s="476" t="e">
        <f>+'DIRECTO '!E17+#REF!</f>
        <v>#REF!</v>
      </c>
      <c r="F17" s="499"/>
      <c r="G17" s="612"/>
      <c r="H17" s="520"/>
      <c r="I17" s="499"/>
      <c r="J17" s="635"/>
      <c r="K17" s="613"/>
      <c r="L17" s="636">
        <f t="shared" ref="L17:L26" si="13">+SUM(N17:R17)</f>
        <v>0</v>
      </c>
      <c r="M17" s="499"/>
      <c r="N17" s="612"/>
      <c r="O17" s="613"/>
      <c r="P17" s="613"/>
      <c r="Q17" s="613"/>
      <c r="R17" s="613"/>
      <c r="S17" s="636">
        <f t="shared" ref="S17:S26" si="14">+SUMIFS(N17:R17,N$2:R$2,$S$5)</f>
        <v>0</v>
      </c>
      <c r="T17" s="499"/>
      <c r="U17" s="612">
        <f t="shared" ref="U17:U26" si="15">+SUMIFS(N17:S17,N$2:S$2,$U$5)</f>
        <v>0</v>
      </c>
      <c r="V17" s="613">
        <f t="shared" ref="V17:V26" si="16">+SUMIFS(N17:S17,N$2:S$2,$V$5)</f>
        <v>0</v>
      </c>
      <c r="W17" s="520">
        <f t="shared" ref="W17:W26" si="17">+SUMIFS(N17:S17,N$2:S$2,$W$5)</f>
        <v>0</v>
      </c>
      <c r="X17" s="499"/>
      <c r="Y17" s="612">
        <f>+Z17</f>
        <v>0</v>
      </c>
      <c r="Z17" s="747">
        <f t="shared" ref="Z17:Z26" si="18">+K17+L17</f>
        <v>0</v>
      </c>
      <c r="AA17" s="747"/>
      <c r="AB17" s="747"/>
      <c r="AC17" s="612"/>
      <c r="AD17" s="613"/>
      <c r="AE17" s="613"/>
      <c r="AF17" s="520"/>
      <c r="AG17" s="499"/>
      <c r="AH17" s="476"/>
      <c r="AI17" s="444"/>
      <c r="AJ17" s="531">
        <f t="shared" ref="AJ17:AJ26" si="19">+AF17-Z17</f>
        <v>0</v>
      </c>
      <c r="AK17" s="529">
        <f>Mat!Y26</f>
        <v>0</v>
      </c>
      <c r="AL17" s="530" t="str">
        <f t="shared" ref="AL17:AL26" si="20">IF(ABS(Z17-AK17)&gt;1,"Revisar Rubros","OK")</f>
        <v>OK</v>
      </c>
      <c r="AM17" s="528"/>
      <c r="AN17" s="397"/>
      <c r="AO17" s="398"/>
      <c r="AP17" s="398"/>
      <c r="AQ17" s="398"/>
      <c r="AR17" s="398"/>
      <c r="AS17" s="398"/>
      <c r="AT17" s="398"/>
      <c r="AU17" s="398"/>
      <c r="AV17" s="295"/>
    </row>
    <row r="18" spans="2:53" s="5" customFormat="1" ht="19.5" customHeight="1" outlineLevel="1" x14ac:dyDescent="0.3">
      <c r="B18" s="15" t="s">
        <v>11</v>
      </c>
      <c r="C18" s="16"/>
      <c r="E18" s="478" t="e">
        <f>+'DIRECTO '!E18+#REF!</f>
        <v>#REF!</v>
      </c>
      <c r="F18" s="499"/>
      <c r="G18" s="640"/>
      <c r="H18" s="624"/>
      <c r="I18" s="499"/>
      <c r="J18" s="638"/>
      <c r="K18" s="620"/>
      <c r="L18" s="639">
        <f t="shared" si="13"/>
        <v>0</v>
      </c>
      <c r="M18" s="499"/>
      <c r="N18" s="640"/>
      <c r="O18" s="620"/>
      <c r="P18" s="620"/>
      <c r="Q18" s="620"/>
      <c r="R18" s="620"/>
      <c r="S18" s="639">
        <f t="shared" si="14"/>
        <v>0</v>
      </c>
      <c r="T18" s="499"/>
      <c r="U18" s="640">
        <f t="shared" si="15"/>
        <v>0</v>
      </c>
      <c r="V18" s="620">
        <f t="shared" si="16"/>
        <v>0</v>
      </c>
      <c r="W18" s="647">
        <f t="shared" si="17"/>
        <v>0</v>
      </c>
      <c r="X18" s="499"/>
      <c r="Y18" s="638">
        <f t="shared" ref="Y18:Y26" si="21">+Z18</f>
        <v>0</v>
      </c>
      <c r="Z18" s="748">
        <f t="shared" si="18"/>
        <v>0</v>
      </c>
      <c r="AA18" s="752"/>
      <c r="AB18" s="752"/>
      <c r="AC18" s="645"/>
      <c r="AD18" s="646"/>
      <c r="AE18" s="646"/>
      <c r="AF18" s="647"/>
      <c r="AG18" s="499"/>
      <c r="AH18" s="652"/>
      <c r="AI18" s="444"/>
      <c r="AJ18" s="531">
        <f t="shared" si="19"/>
        <v>0</v>
      </c>
      <c r="AK18" s="529">
        <f>+MO!Y75</f>
        <v>0</v>
      </c>
      <c r="AL18" s="530" t="str">
        <f t="shared" si="20"/>
        <v>OK</v>
      </c>
      <c r="AM18" s="528"/>
      <c r="AN18" s="397"/>
      <c r="AO18" s="398"/>
      <c r="AP18" s="398"/>
      <c r="AQ18" s="398"/>
      <c r="AR18" s="398"/>
      <c r="AS18" s="398"/>
      <c r="AT18" s="398"/>
      <c r="AU18" s="398"/>
      <c r="AV18" s="295"/>
    </row>
    <row r="19" spans="2:53" s="5" customFormat="1" ht="18.75" outlineLevel="1" x14ac:dyDescent="0.3">
      <c r="B19" s="15" t="s">
        <v>43</v>
      </c>
      <c r="C19" s="16"/>
      <c r="E19" s="652" t="e">
        <f>+'DIRECTO '!E19+#REF!</f>
        <v>#REF!</v>
      </c>
      <c r="F19" s="499"/>
      <c r="G19" s="638"/>
      <c r="H19" s="623"/>
      <c r="I19" s="499"/>
      <c r="J19" s="638"/>
      <c r="K19" s="622"/>
      <c r="L19" s="621">
        <f t="shared" si="13"/>
        <v>0</v>
      </c>
      <c r="M19" s="499"/>
      <c r="N19" s="638"/>
      <c r="O19" s="622"/>
      <c r="P19" s="622"/>
      <c r="Q19" s="622"/>
      <c r="R19" s="622"/>
      <c r="S19" s="621">
        <f t="shared" si="14"/>
        <v>0</v>
      </c>
      <c r="T19" s="499"/>
      <c r="U19" s="638">
        <f t="shared" si="15"/>
        <v>0</v>
      </c>
      <c r="V19" s="622">
        <f t="shared" si="16"/>
        <v>0</v>
      </c>
      <c r="W19" s="647">
        <f t="shared" si="17"/>
        <v>0</v>
      </c>
      <c r="X19" s="499"/>
      <c r="Y19" s="638">
        <f t="shared" si="21"/>
        <v>0</v>
      </c>
      <c r="Z19" s="748">
        <f t="shared" si="18"/>
        <v>0</v>
      </c>
      <c r="AA19" s="752"/>
      <c r="AB19" s="752"/>
      <c r="AC19" s="645"/>
      <c r="AD19" s="646"/>
      <c r="AE19" s="646"/>
      <c r="AF19" s="647"/>
      <c r="AG19" s="499"/>
      <c r="AH19" s="652"/>
      <c r="AI19" s="444"/>
      <c r="AJ19" s="531">
        <f t="shared" si="19"/>
        <v>0</v>
      </c>
      <c r="AK19" s="529" t="e">
        <f>+SC!#REF!</f>
        <v>#REF!</v>
      </c>
      <c r="AL19" s="530" t="e">
        <f t="shared" si="20"/>
        <v>#REF!</v>
      </c>
      <c r="AM19" s="528"/>
      <c r="AN19" s="401"/>
      <c r="AO19" s="398"/>
      <c r="AP19" s="398"/>
      <c r="AQ19" s="398"/>
      <c r="AR19" s="398"/>
      <c r="AS19" s="398"/>
      <c r="AT19" s="398"/>
      <c r="AU19" s="398"/>
      <c r="AV19" s="295"/>
    </row>
    <row r="20" spans="2:53" s="5" customFormat="1" ht="18.75" outlineLevel="1" x14ac:dyDescent="0.3">
      <c r="B20" s="15" t="s">
        <v>38</v>
      </c>
      <c r="C20" s="16"/>
      <c r="E20" s="652" t="e">
        <f>+'DIRECTO '!E20+#REF!</f>
        <v>#REF!</v>
      </c>
      <c r="F20" s="499"/>
      <c r="G20" s="638"/>
      <c r="H20" s="623"/>
      <c r="I20" s="499"/>
      <c r="J20" s="638"/>
      <c r="K20" s="622"/>
      <c r="L20" s="621">
        <f t="shared" si="13"/>
        <v>0</v>
      </c>
      <c r="M20" s="499"/>
      <c r="N20" s="638"/>
      <c r="O20" s="622"/>
      <c r="P20" s="622"/>
      <c r="Q20" s="622"/>
      <c r="R20" s="622"/>
      <c r="S20" s="621">
        <f t="shared" si="14"/>
        <v>0</v>
      </c>
      <c r="T20" s="499"/>
      <c r="U20" s="638">
        <f t="shared" si="15"/>
        <v>0</v>
      </c>
      <c r="V20" s="622">
        <f t="shared" si="16"/>
        <v>0</v>
      </c>
      <c r="W20" s="647">
        <f t="shared" si="17"/>
        <v>0</v>
      </c>
      <c r="X20" s="499"/>
      <c r="Y20" s="638">
        <f t="shared" si="21"/>
        <v>0</v>
      </c>
      <c r="Z20" s="748">
        <f t="shared" si="18"/>
        <v>0</v>
      </c>
      <c r="AA20" s="752"/>
      <c r="AB20" s="752"/>
      <c r="AC20" s="645"/>
      <c r="AD20" s="646"/>
      <c r="AE20" s="646"/>
      <c r="AF20" s="647"/>
      <c r="AG20" s="499"/>
      <c r="AH20" s="478"/>
      <c r="AI20" s="444"/>
      <c r="AJ20" s="531">
        <f t="shared" si="19"/>
        <v>0</v>
      </c>
      <c r="AK20" s="529">
        <f>+SER!Y44</f>
        <v>22778.58893881</v>
      </c>
      <c r="AL20" s="530" t="str">
        <f t="shared" si="20"/>
        <v>Revisar Rubros</v>
      </c>
      <c r="AM20" s="528"/>
      <c r="AN20" s="401"/>
      <c r="AO20" s="398"/>
      <c r="AP20" s="398"/>
      <c r="AQ20" s="398"/>
      <c r="AR20" s="398"/>
      <c r="AS20" s="398"/>
      <c r="AT20" s="398"/>
      <c r="AU20" s="398"/>
      <c r="AV20" s="295"/>
      <c r="AX20" s="499"/>
    </row>
    <row r="21" spans="2:53" s="5" customFormat="1" ht="18.75" outlineLevel="1" x14ac:dyDescent="0.3">
      <c r="B21" s="15" t="s">
        <v>12</v>
      </c>
      <c r="C21" s="16"/>
      <c r="E21" s="652" t="e">
        <f>+'DIRECTO '!E21+#REF!</f>
        <v>#REF!</v>
      </c>
      <c r="F21" s="499"/>
      <c r="G21" s="638"/>
      <c r="H21" s="623"/>
      <c r="I21" s="499"/>
      <c r="J21" s="638"/>
      <c r="K21" s="622"/>
      <c r="L21" s="621">
        <f t="shared" si="13"/>
        <v>0</v>
      </c>
      <c r="M21" s="499"/>
      <c r="N21" s="638"/>
      <c r="O21" s="622"/>
      <c r="P21" s="622"/>
      <c r="Q21" s="622"/>
      <c r="R21" s="622"/>
      <c r="S21" s="621">
        <f t="shared" si="14"/>
        <v>0</v>
      </c>
      <c r="T21" s="499"/>
      <c r="U21" s="638">
        <f t="shared" si="15"/>
        <v>0</v>
      </c>
      <c r="V21" s="622">
        <f t="shared" si="16"/>
        <v>0</v>
      </c>
      <c r="W21" s="647">
        <f t="shared" si="17"/>
        <v>0</v>
      </c>
      <c r="X21" s="499"/>
      <c r="Y21" s="638">
        <f t="shared" si="21"/>
        <v>0</v>
      </c>
      <c r="Z21" s="748">
        <f t="shared" si="18"/>
        <v>0</v>
      </c>
      <c r="AA21" s="752"/>
      <c r="AB21" s="752"/>
      <c r="AC21" s="645"/>
      <c r="AD21" s="646"/>
      <c r="AE21" s="646"/>
      <c r="AF21" s="647"/>
      <c r="AG21" s="499"/>
      <c r="AH21" s="652"/>
      <c r="AI21" s="444"/>
      <c r="AJ21" s="531">
        <f t="shared" si="19"/>
        <v>0</v>
      </c>
      <c r="AK21" s="529"/>
      <c r="AL21" s="530" t="str">
        <f t="shared" si="20"/>
        <v>OK</v>
      </c>
      <c r="AM21" s="528"/>
      <c r="AN21" s="401"/>
      <c r="AO21" s="398"/>
      <c r="AP21" s="398"/>
      <c r="AQ21" s="398"/>
      <c r="AR21" s="398"/>
      <c r="AS21" s="398"/>
      <c r="AT21" s="398"/>
      <c r="AU21" s="398"/>
      <c r="AV21" s="295"/>
      <c r="AX21" s="499"/>
    </row>
    <row r="22" spans="2:53" s="5" customFormat="1" ht="18.75" outlineLevel="1" x14ac:dyDescent="0.3">
      <c r="B22" s="15"/>
      <c r="C22" s="16" t="s">
        <v>25</v>
      </c>
      <c r="E22" s="652" t="e">
        <f>+'DIRECTO '!E22+#REF!</f>
        <v>#REF!</v>
      </c>
      <c r="F22" s="499"/>
      <c r="G22" s="640"/>
      <c r="H22" s="624"/>
      <c r="I22" s="499"/>
      <c r="J22" s="638"/>
      <c r="K22" s="622"/>
      <c r="L22" s="621">
        <f t="shared" si="13"/>
        <v>0</v>
      </c>
      <c r="M22" s="499"/>
      <c r="N22" s="638"/>
      <c r="O22" s="622"/>
      <c r="P22" s="622"/>
      <c r="Q22" s="622"/>
      <c r="R22" s="622"/>
      <c r="S22" s="621">
        <f t="shared" si="14"/>
        <v>0</v>
      </c>
      <c r="T22" s="499"/>
      <c r="U22" s="638">
        <f t="shared" si="15"/>
        <v>0</v>
      </c>
      <c r="V22" s="622">
        <f t="shared" si="16"/>
        <v>0</v>
      </c>
      <c r="W22" s="647">
        <f t="shared" si="17"/>
        <v>0</v>
      </c>
      <c r="X22" s="499"/>
      <c r="Y22" s="638">
        <f t="shared" si="21"/>
        <v>0</v>
      </c>
      <c r="Z22" s="748">
        <f t="shared" si="18"/>
        <v>0</v>
      </c>
      <c r="AA22" s="752"/>
      <c r="AB22" s="752"/>
      <c r="AC22" s="645"/>
      <c r="AD22" s="646"/>
      <c r="AE22" s="646"/>
      <c r="AF22" s="647"/>
      <c r="AG22" s="499"/>
      <c r="AH22" s="478"/>
      <c r="AI22" s="444"/>
      <c r="AJ22" s="531">
        <f t="shared" si="19"/>
        <v>0</v>
      </c>
      <c r="AK22" s="529">
        <f>+Eq!Y56</f>
        <v>0</v>
      </c>
      <c r="AL22" s="530" t="str">
        <f t="shared" si="20"/>
        <v>OK</v>
      </c>
      <c r="AM22" s="528"/>
      <c r="AN22" s="401"/>
      <c r="AO22" s="398"/>
      <c r="AP22" s="398"/>
      <c r="AQ22" s="398"/>
      <c r="AR22" s="398"/>
      <c r="AS22" s="398"/>
      <c r="AT22" s="398"/>
      <c r="AU22" s="398"/>
      <c r="AV22" s="295"/>
    </row>
    <row r="23" spans="2:53" s="5" customFormat="1" ht="18.75" outlineLevel="1" x14ac:dyDescent="0.3">
      <c r="B23" s="15"/>
      <c r="C23" s="16" t="s">
        <v>14</v>
      </c>
      <c r="E23" s="652" t="e">
        <f>+'DIRECTO '!E23+#REF!</f>
        <v>#REF!</v>
      </c>
      <c r="F23" s="499"/>
      <c r="G23" s="638"/>
      <c r="H23" s="623"/>
      <c r="I23" s="499"/>
      <c r="J23" s="638"/>
      <c r="K23" s="622"/>
      <c r="L23" s="621">
        <f t="shared" si="13"/>
        <v>0</v>
      </c>
      <c r="M23" s="499"/>
      <c r="N23" s="638"/>
      <c r="O23" s="622"/>
      <c r="P23" s="622"/>
      <c r="Q23" s="622"/>
      <c r="R23" s="622"/>
      <c r="S23" s="621">
        <f t="shared" si="14"/>
        <v>0</v>
      </c>
      <c r="T23" s="499"/>
      <c r="U23" s="638">
        <f t="shared" si="15"/>
        <v>0</v>
      </c>
      <c r="V23" s="622">
        <f t="shared" si="16"/>
        <v>0</v>
      </c>
      <c r="W23" s="647">
        <f t="shared" si="17"/>
        <v>0</v>
      </c>
      <c r="X23" s="499"/>
      <c r="Y23" s="638">
        <f t="shared" si="21"/>
        <v>0</v>
      </c>
      <c r="Z23" s="748">
        <f t="shared" si="18"/>
        <v>0</v>
      </c>
      <c r="AA23" s="752"/>
      <c r="AB23" s="752"/>
      <c r="AC23" s="645"/>
      <c r="AD23" s="646"/>
      <c r="AE23" s="646"/>
      <c r="AF23" s="647"/>
      <c r="AG23" s="499"/>
      <c r="AH23" s="652"/>
      <c r="AI23" s="444"/>
      <c r="AJ23" s="531">
        <f t="shared" si="19"/>
        <v>0</v>
      </c>
      <c r="AK23" s="529">
        <f>+Eq!Y57</f>
        <v>0</v>
      </c>
      <c r="AL23" s="530" t="str">
        <f t="shared" si="20"/>
        <v>OK</v>
      </c>
      <c r="AM23" s="528"/>
      <c r="AN23" s="401"/>
      <c r="AO23" s="398"/>
      <c r="AP23" s="398"/>
      <c r="AQ23" s="398"/>
      <c r="AR23" s="398"/>
      <c r="AS23" s="398"/>
      <c r="AT23" s="398"/>
      <c r="AU23" s="398"/>
      <c r="AV23" s="295"/>
    </row>
    <row r="24" spans="2:53" s="5" customFormat="1" ht="18.75" outlineLevel="1" x14ac:dyDescent="0.3">
      <c r="B24" s="15" t="s">
        <v>13</v>
      </c>
      <c r="C24" s="16"/>
      <c r="E24" s="652" t="e">
        <f>+'DIRECTO '!E24+#REF!</f>
        <v>#REF!</v>
      </c>
      <c r="F24" s="499"/>
      <c r="G24" s="638"/>
      <c r="H24" s="623"/>
      <c r="I24" s="499"/>
      <c r="J24" s="638"/>
      <c r="K24" s="622"/>
      <c r="L24" s="621">
        <f t="shared" si="13"/>
        <v>0</v>
      </c>
      <c r="M24" s="499"/>
      <c r="N24" s="638"/>
      <c r="O24" s="622"/>
      <c r="P24" s="622"/>
      <c r="Q24" s="622"/>
      <c r="R24" s="622"/>
      <c r="S24" s="621">
        <f t="shared" si="14"/>
        <v>0</v>
      </c>
      <c r="T24" s="499"/>
      <c r="U24" s="638">
        <f t="shared" si="15"/>
        <v>0</v>
      </c>
      <c r="V24" s="622">
        <f t="shared" si="16"/>
        <v>0</v>
      </c>
      <c r="W24" s="647">
        <f t="shared" si="17"/>
        <v>0</v>
      </c>
      <c r="X24" s="499"/>
      <c r="Y24" s="638">
        <f t="shared" si="21"/>
        <v>0</v>
      </c>
      <c r="Z24" s="748">
        <f t="shared" si="18"/>
        <v>0</v>
      </c>
      <c r="AA24" s="752"/>
      <c r="AB24" s="752"/>
      <c r="AC24" s="645"/>
      <c r="AD24" s="646"/>
      <c r="AE24" s="646"/>
      <c r="AF24" s="647"/>
      <c r="AG24" s="499"/>
      <c r="AH24" s="478"/>
      <c r="AI24" s="444"/>
      <c r="AJ24" s="531">
        <f t="shared" si="19"/>
        <v>0</v>
      </c>
      <c r="AK24" s="529">
        <f>+Fletes!Y39</f>
        <v>0</v>
      </c>
      <c r="AL24" s="530" t="str">
        <f t="shared" si="20"/>
        <v>OK</v>
      </c>
      <c r="AM24" s="528"/>
      <c r="AN24" s="401"/>
      <c r="AO24" s="398"/>
      <c r="AP24" s="398"/>
      <c r="AQ24" s="398"/>
      <c r="AR24" s="398"/>
      <c r="AS24" s="398"/>
      <c r="AT24" s="398"/>
      <c r="AU24" s="398"/>
      <c r="AV24" s="295"/>
    </row>
    <row r="25" spans="2:53" s="5" customFormat="1" ht="18.75" outlineLevel="1" x14ac:dyDescent="0.3">
      <c r="B25" s="15" t="s">
        <v>31</v>
      </c>
      <c r="C25" s="16"/>
      <c r="E25" s="637" t="e">
        <f>+'DIRECTO '!E25+#REF!</f>
        <v>#REF!</v>
      </c>
      <c r="F25" s="499"/>
      <c r="G25" s="614"/>
      <c r="H25" s="616"/>
      <c r="I25" s="499"/>
      <c r="J25" s="638"/>
      <c r="K25" s="622"/>
      <c r="L25" s="621">
        <f t="shared" si="13"/>
        <v>0</v>
      </c>
      <c r="M25" s="499"/>
      <c r="N25" s="638"/>
      <c r="O25" s="622"/>
      <c r="P25" s="622"/>
      <c r="Q25" s="622"/>
      <c r="R25" s="622"/>
      <c r="S25" s="621">
        <f t="shared" si="14"/>
        <v>0</v>
      </c>
      <c r="T25" s="499"/>
      <c r="U25" s="638">
        <f t="shared" si="15"/>
        <v>0</v>
      </c>
      <c r="V25" s="622">
        <f t="shared" si="16"/>
        <v>0</v>
      </c>
      <c r="W25" s="647">
        <f t="shared" si="17"/>
        <v>0</v>
      </c>
      <c r="X25" s="499"/>
      <c r="Y25" s="638">
        <f t="shared" si="21"/>
        <v>0</v>
      </c>
      <c r="Z25" s="748">
        <f t="shared" si="18"/>
        <v>0</v>
      </c>
      <c r="AA25" s="752"/>
      <c r="AB25" s="752"/>
      <c r="AC25" s="645"/>
      <c r="AD25" s="646"/>
      <c r="AE25" s="646"/>
      <c r="AF25" s="647"/>
      <c r="AG25" s="499"/>
      <c r="AH25" s="652"/>
      <c r="AI25" s="444"/>
      <c r="AJ25" s="531">
        <f t="shared" si="19"/>
        <v>0</v>
      </c>
      <c r="AK25" s="529">
        <f>+Staff!BK27</f>
        <v>0</v>
      </c>
      <c r="AL25" s="530" t="str">
        <f t="shared" si="20"/>
        <v>OK</v>
      </c>
      <c r="AM25" s="528"/>
      <c r="AN25" s="397"/>
      <c r="AO25" s="398"/>
      <c r="AP25" s="398"/>
      <c r="AQ25" s="398"/>
      <c r="AR25" s="398"/>
      <c r="AS25" s="398"/>
      <c r="AT25" s="398"/>
      <c r="AU25" s="398"/>
      <c r="AV25" s="295"/>
      <c r="AX25" s="499"/>
      <c r="AY25" s="587"/>
      <c r="BA25" s="588"/>
    </row>
    <row r="26" spans="2:53" s="5" customFormat="1" ht="18.75" outlineLevel="1" x14ac:dyDescent="0.3">
      <c r="B26" s="17" t="s">
        <v>15</v>
      </c>
      <c r="C26" s="18"/>
      <c r="E26" s="642" t="e">
        <f>+'DIRECTO '!E26+#REF!</f>
        <v>#REF!</v>
      </c>
      <c r="F26" s="499"/>
      <c r="G26" s="617"/>
      <c r="H26" s="619"/>
      <c r="I26" s="499"/>
      <c r="J26" s="617"/>
      <c r="K26" s="618"/>
      <c r="L26" s="643">
        <f t="shared" si="13"/>
        <v>0</v>
      </c>
      <c r="M26" s="499"/>
      <c r="N26" s="617"/>
      <c r="O26" s="618"/>
      <c r="P26" s="618"/>
      <c r="Q26" s="618"/>
      <c r="R26" s="618"/>
      <c r="S26" s="643">
        <f t="shared" si="14"/>
        <v>0</v>
      </c>
      <c r="T26" s="499"/>
      <c r="U26" s="617">
        <f t="shared" si="15"/>
        <v>0</v>
      </c>
      <c r="V26" s="618">
        <f t="shared" si="16"/>
        <v>0</v>
      </c>
      <c r="W26" s="505">
        <f t="shared" si="17"/>
        <v>0</v>
      </c>
      <c r="X26" s="499"/>
      <c r="Y26" s="681">
        <f t="shared" si="21"/>
        <v>0</v>
      </c>
      <c r="Z26" s="749">
        <f t="shared" si="18"/>
        <v>0</v>
      </c>
      <c r="AA26" s="753"/>
      <c r="AB26" s="753"/>
      <c r="AC26" s="750"/>
      <c r="AD26" s="682"/>
      <c r="AE26" s="649"/>
      <c r="AF26" s="505"/>
      <c r="AG26" s="499"/>
      <c r="AH26" s="642"/>
      <c r="AI26" s="444"/>
      <c r="AJ26" s="531">
        <f t="shared" si="19"/>
        <v>0</v>
      </c>
      <c r="AK26" s="529">
        <f>+GG!Y35</f>
        <v>24799.990806000002</v>
      </c>
      <c r="AL26" s="530" t="str">
        <f t="shared" si="20"/>
        <v>Revisar Rubros</v>
      </c>
      <c r="AM26" s="528"/>
      <c r="AN26" s="401"/>
      <c r="AO26" s="398"/>
      <c r="AP26" s="398"/>
      <c r="AQ26" s="398"/>
      <c r="AR26" s="398"/>
      <c r="AS26" s="398"/>
      <c r="AT26" s="398"/>
      <c r="AU26" s="398"/>
      <c r="AV26" s="295"/>
      <c r="AX26" s="499"/>
      <c r="BA26" s="399"/>
    </row>
    <row r="27" spans="2:53" s="5" customFormat="1" ht="7.5" customHeight="1" outlineLevel="1" x14ac:dyDescent="0.3">
      <c r="E27" s="499"/>
      <c r="F27" s="499"/>
      <c r="G27" s="499"/>
      <c r="H27" s="499"/>
      <c r="I27" s="499"/>
      <c r="J27" s="499"/>
      <c r="K27" s="499"/>
      <c r="L27" s="499"/>
      <c r="M27" s="499"/>
      <c r="N27" s="499"/>
      <c r="O27" s="499"/>
      <c r="P27" s="499"/>
      <c r="Q27" s="499"/>
      <c r="R27" s="499"/>
      <c r="S27" s="499"/>
      <c r="T27" s="499"/>
      <c r="U27" s="499"/>
      <c r="V27" s="499"/>
      <c r="W27" s="499"/>
      <c r="X27" s="499"/>
      <c r="Y27" s="499"/>
      <c r="Z27" s="499"/>
      <c r="AA27" s="499"/>
      <c r="AB27" s="499"/>
      <c r="AC27" s="499"/>
      <c r="AD27" s="499"/>
      <c r="AE27" s="499"/>
      <c r="AF27" s="499"/>
      <c r="AG27" s="499"/>
      <c r="AH27" s="499"/>
      <c r="AI27" s="442"/>
      <c r="AJ27" s="532"/>
      <c r="AK27" s="442"/>
      <c r="AL27" s="297"/>
      <c r="AM27" s="297"/>
      <c r="AN27" s="396"/>
      <c r="AO27" s="402"/>
      <c r="AP27" s="402"/>
      <c r="AQ27" s="402"/>
      <c r="AR27" s="402"/>
      <c r="AS27" s="402"/>
      <c r="AT27" s="402"/>
      <c r="AU27" s="402"/>
      <c r="AV27" s="295"/>
    </row>
    <row r="28" spans="2:53" s="5" customFormat="1" ht="21" customHeight="1" outlineLevel="1" x14ac:dyDescent="0.3">
      <c r="B28" s="11" t="s">
        <v>273</v>
      </c>
      <c r="C28" s="12"/>
      <c r="E28" s="659" t="e">
        <f>+'DIRECTO '!E25+#REF!</f>
        <v>#REF!</v>
      </c>
      <c r="F28" s="499"/>
      <c r="G28" s="644"/>
      <c r="H28" s="627"/>
      <c r="I28" s="499"/>
      <c r="J28" s="644"/>
      <c r="K28" s="626"/>
      <c r="L28" s="627"/>
      <c r="M28" s="499"/>
      <c r="N28" s="644"/>
      <c r="O28" s="626"/>
      <c r="P28" s="626"/>
      <c r="Q28" s="626"/>
      <c r="R28" s="626"/>
      <c r="S28" s="627">
        <f>+SUMIFS(N28:R28,N$2:R$2,$S$5)</f>
        <v>0</v>
      </c>
      <c r="T28" s="499"/>
      <c r="U28" s="625">
        <f>+SUMIFS(N28:S28,N$2:S$2,$U$5)</f>
        <v>0</v>
      </c>
      <c r="V28" s="683">
        <f>+SUMIFS(N28:S28,N$2:S$2,$V$5)</f>
        <v>0</v>
      </c>
      <c r="W28" s="677">
        <f>+SUMIFS(N28:S28,N$2:S$2,$W$5)</f>
        <v>0</v>
      </c>
      <c r="X28" s="499"/>
      <c r="Y28" s="626"/>
      <c r="Z28" s="626"/>
      <c r="AA28" s="626" t="e">
        <f>(+#REF!+#REF!)*0.8</f>
        <v>#REF!</v>
      </c>
      <c r="AB28" s="626"/>
      <c r="AC28" s="626"/>
      <c r="AD28" s="626"/>
      <c r="AE28" s="626"/>
      <c r="AF28" s="627"/>
      <c r="AG28" s="499"/>
      <c r="AH28" s="659"/>
      <c r="AI28" s="442"/>
      <c r="AJ28" s="532"/>
      <c r="AK28" s="442"/>
      <c r="AL28" s="297"/>
      <c r="AM28" s="297"/>
      <c r="AN28" s="397" t="e">
        <f>SUM(AO28:AU28)</f>
        <v>#REF!</v>
      </c>
      <c r="AO28" s="398" t="e">
        <f>+'DIRECTO '!AK25+#REF!</f>
        <v>#REF!</v>
      </c>
      <c r="AP28" s="398"/>
      <c r="AQ28" s="398"/>
      <c r="AR28" s="398"/>
      <c r="AS28" s="398"/>
      <c r="AT28" s="398"/>
      <c r="AU28" s="398"/>
      <c r="AV28" s="295"/>
      <c r="AX28" s="499"/>
    </row>
    <row r="29" spans="2:53" s="5" customFormat="1" ht="21" customHeight="1" outlineLevel="1" x14ac:dyDescent="0.3">
      <c r="B29" s="11" t="s">
        <v>272</v>
      </c>
      <c r="C29" s="12"/>
      <c r="E29" s="659" t="e">
        <f>+'DIRECTO '!E28+#REF!</f>
        <v>#REF!</v>
      </c>
      <c r="F29" s="499"/>
      <c r="G29" s="644" t="e">
        <f>+'DIRECTO '!G28+#REF!</f>
        <v>#REF!</v>
      </c>
      <c r="H29" s="627" t="e">
        <f>+'DIRECTO '!H28+#REF!</f>
        <v>#REF!</v>
      </c>
      <c r="I29" s="499"/>
      <c r="J29" s="644" t="e">
        <f>+'DIRECTO '!J28+#REF!</f>
        <v>#REF!</v>
      </c>
      <c r="K29" s="626" t="e">
        <f>+'DIRECTO '!K28+#REF!</f>
        <v>#REF!</v>
      </c>
      <c r="L29" s="627">
        <f>+SUM(N29:R29)</f>
        <v>0</v>
      </c>
      <c r="M29" s="499"/>
      <c r="N29" s="644"/>
      <c r="O29" s="626"/>
      <c r="P29" s="626"/>
      <c r="Q29" s="626"/>
      <c r="R29" s="626"/>
      <c r="S29" s="627">
        <f>+SUMIFS(N29:R29,N$2:R$2,$S$5)</f>
        <v>0</v>
      </c>
      <c r="T29" s="499"/>
      <c r="U29" s="625">
        <f>+SUMIFS(N29:S29,N$2:S$2,$U$5)</f>
        <v>0</v>
      </c>
      <c r="V29" s="683">
        <f>+SUMIFS(N29:S29,N$2:S$2,$V$5)</f>
        <v>0</v>
      </c>
      <c r="W29" s="677">
        <f>+SUMIFS(N29:S29,N$2:S$2,$W$5)</f>
        <v>0</v>
      </c>
      <c r="X29" s="499"/>
      <c r="Y29" s="626"/>
      <c r="Z29" s="626" t="e">
        <f>+K29+L29</f>
        <v>#REF!</v>
      </c>
      <c r="AA29" s="626" t="e">
        <f>+AS37+AS38</f>
        <v>#REF!</v>
      </c>
      <c r="AB29" s="626"/>
      <c r="AC29" s="626" t="e">
        <f>+'DIRECTO '!Z28+#REF!</f>
        <v>#REF!</v>
      </c>
      <c r="AD29" s="626" t="e">
        <f>+'DIRECTO '!AA28+#REF!</f>
        <v>#REF!</v>
      </c>
      <c r="AE29" s="626" t="e">
        <f>+'DIRECTO '!AB28+#REF!</f>
        <v>#REF!</v>
      </c>
      <c r="AF29" s="627" t="e">
        <f>+'DIRECTO '!AC28+#REF!</f>
        <v>#REF!</v>
      </c>
      <c r="AG29" s="499"/>
      <c r="AH29" s="659" t="e">
        <f>+'DIRECTO '!AE28+#REF!</f>
        <v>#REF!</v>
      </c>
      <c r="AI29" s="442"/>
      <c r="AJ29" s="532"/>
      <c r="AK29" s="442"/>
      <c r="AL29" s="297"/>
      <c r="AM29" s="297"/>
      <c r="AN29" s="397" t="e">
        <f>SUM(AO29:AU29)</f>
        <v>#REF!</v>
      </c>
      <c r="AO29" s="398" t="e">
        <f>+'DIRECTO '!AK28+#REF!</f>
        <v>#REF!</v>
      </c>
      <c r="AP29" s="398"/>
      <c r="AQ29" s="398"/>
      <c r="AR29" s="398"/>
      <c r="AS29" s="398"/>
      <c r="AT29" s="398"/>
      <c r="AU29" s="398"/>
      <c r="AV29" s="295"/>
      <c r="AX29" s="499"/>
    </row>
    <row r="30" spans="2:53" s="5" customFormat="1" ht="6" customHeight="1" outlineLevel="1" x14ac:dyDescent="0.3">
      <c r="E30" s="499"/>
      <c r="F30" s="499"/>
      <c r="G30" s="499"/>
      <c r="H30" s="499"/>
      <c r="I30" s="499"/>
      <c r="J30" s="499"/>
      <c r="K30" s="499"/>
      <c r="L30" s="499"/>
      <c r="M30" s="499"/>
      <c r="N30" s="499"/>
      <c r="O30" s="499"/>
      <c r="P30" s="499"/>
      <c r="Q30" s="499"/>
      <c r="R30" s="499"/>
      <c r="S30" s="499"/>
      <c r="T30" s="499"/>
      <c r="U30" s="499"/>
      <c r="V30" s="499"/>
      <c r="W30" s="499"/>
      <c r="X30" s="499"/>
      <c r="Y30" s="499"/>
      <c r="Z30" s="499"/>
      <c r="AA30" s="499"/>
      <c r="AB30" s="499"/>
      <c r="AC30" s="499"/>
      <c r="AD30" s="499"/>
      <c r="AE30" s="499"/>
      <c r="AF30" s="499"/>
      <c r="AG30" s="499"/>
      <c r="AH30" s="499"/>
      <c r="AI30" s="399"/>
      <c r="AJ30" s="535"/>
      <c r="AK30" s="399"/>
      <c r="AL30" s="301"/>
      <c r="AM30" s="301"/>
      <c r="AN30" s="301"/>
      <c r="AO30" s="301"/>
      <c r="AP30" s="301"/>
      <c r="AQ30" s="301"/>
      <c r="AR30" s="301"/>
      <c r="AS30" s="301"/>
      <c r="AT30" s="301"/>
      <c r="AU30" s="301"/>
    </row>
    <row r="31" spans="2:53" s="834" customFormat="1" ht="18.75" x14ac:dyDescent="0.3">
      <c r="B31" s="819" t="s">
        <v>44</v>
      </c>
      <c r="C31" s="820" t="s">
        <v>29</v>
      </c>
      <c r="D31" s="100"/>
      <c r="E31" s="821" t="e">
        <f>+E7*E32</f>
        <v>#REF!</v>
      </c>
      <c r="F31" s="521"/>
      <c r="G31" s="822">
        <f>+G7*G32</f>
        <v>0</v>
      </c>
      <c r="H31" s="823">
        <f>+H7*H32</f>
        <v>0</v>
      </c>
      <c r="I31" s="521"/>
      <c r="J31" s="824">
        <f>+J7*J32</f>
        <v>0</v>
      </c>
      <c r="K31" s="825">
        <f>+K7*K32</f>
        <v>0</v>
      </c>
      <c r="L31" s="826">
        <f>+L7*L32</f>
        <v>0</v>
      </c>
      <c r="M31" s="521"/>
      <c r="N31" s="824">
        <f t="shared" ref="N31:S31" si="22">+N7*N32</f>
        <v>0</v>
      </c>
      <c r="O31" s="827">
        <f t="shared" si="22"/>
        <v>0</v>
      </c>
      <c r="P31" s="827">
        <f t="shared" si="22"/>
        <v>0</v>
      </c>
      <c r="Q31" s="827">
        <f t="shared" si="22"/>
        <v>0</v>
      </c>
      <c r="R31" s="827">
        <f t="shared" si="22"/>
        <v>0</v>
      </c>
      <c r="S31" s="828">
        <f t="shared" si="22"/>
        <v>0</v>
      </c>
      <c r="T31" s="521"/>
      <c r="U31" s="824">
        <f>+U7*U32</f>
        <v>0</v>
      </c>
      <c r="V31" s="827">
        <f>+V7*V32</f>
        <v>0</v>
      </c>
      <c r="W31" s="828">
        <f>+W7*W32</f>
        <v>0</v>
      </c>
      <c r="X31" s="521"/>
      <c r="Y31" s="822">
        <f t="shared" ref="Y31:AF31" si="23">+Y7-Y15</f>
        <v>1511227.9745762714</v>
      </c>
      <c r="Z31" s="822" t="e">
        <f t="shared" si="23"/>
        <v>#REF!</v>
      </c>
      <c r="AA31" s="822" t="e">
        <f t="shared" si="23"/>
        <v>#REF!</v>
      </c>
      <c r="AB31" s="829">
        <f t="shared" si="23"/>
        <v>0</v>
      </c>
      <c r="AC31" s="830" t="e">
        <f t="shared" si="23"/>
        <v>#REF!</v>
      </c>
      <c r="AD31" s="825" t="e">
        <f t="shared" si="23"/>
        <v>#REF!</v>
      </c>
      <c r="AE31" s="825" t="e">
        <f t="shared" si="23"/>
        <v>#REF!</v>
      </c>
      <c r="AF31" s="826" t="e">
        <f t="shared" si="23"/>
        <v>#REF!</v>
      </c>
      <c r="AG31" s="521"/>
      <c r="AH31" s="829">
        <v>0</v>
      </c>
      <c r="AI31" s="831"/>
      <c r="AJ31" s="832" t="e">
        <f>+Z31-AC31</f>
        <v>#REF!</v>
      </c>
      <c r="AK31" s="521"/>
      <c r="AL31" s="832" t="e">
        <f>+Z31</f>
        <v>#REF!</v>
      </c>
      <c r="AM31" s="833"/>
      <c r="AN31" s="833"/>
      <c r="AO31" s="833"/>
      <c r="AP31" s="833"/>
      <c r="AQ31" s="833"/>
      <c r="AR31" s="833"/>
      <c r="AS31" s="833"/>
      <c r="AT31" s="833"/>
      <c r="AU31" s="833"/>
      <c r="AV31" s="833"/>
      <c r="AX31" s="832"/>
    </row>
    <row r="32" spans="2:53" s="834" customFormat="1" ht="18.75" x14ac:dyDescent="0.3">
      <c r="B32" s="835"/>
      <c r="C32" s="836" t="s">
        <v>45</v>
      </c>
      <c r="D32" s="100"/>
      <c r="E32" s="837">
        <f>+$Z$32</f>
        <v>0</v>
      </c>
      <c r="F32" s="838"/>
      <c r="G32" s="839">
        <f>+$Z$32</f>
        <v>0</v>
      </c>
      <c r="H32" s="840">
        <f>+$Z$32</f>
        <v>0</v>
      </c>
      <c r="I32" s="838"/>
      <c r="J32" s="841">
        <f>+$Z$32</f>
        <v>0</v>
      </c>
      <c r="K32" s="842">
        <f>+$Z$32</f>
        <v>0</v>
      </c>
      <c r="L32" s="843">
        <f>+$Z$32</f>
        <v>0</v>
      </c>
      <c r="M32" s="838"/>
      <c r="N32" s="841">
        <f t="shared" ref="N32:S32" si="24">+$Z$32</f>
        <v>0</v>
      </c>
      <c r="O32" s="844">
        <f t="shared" si="24"/>
        <v>0</v>
      </c>
      <c r="P32" s="844">
        <f t="shared" si="24"/>
        <v>0</v>
      </c>
      <c r="Q32" s="844">
        <f t="shared" si="24"/>
        <v>0</v>
      </c>
      <c r="R32" s="844">
        <f t="shared" si="24"/>
        <v>0</v>
      </c>
      <c r="S32" s="845">
        <f t="shared" si="24"/>
        <v>0</v>
      </c>
      <c r="T32" s="838"/>
      <c r="U32" s="841">
        <f>+$Z$32</f>
        <v>0</v>
      </c>
      <c r="V32" s="844">
        <f>+$Z$32</f>
        <v>0</v>
      </c>
      <c r="W32" s="845">
        <f>+$Z$32</f>
        <v>0</v>
      </c>
      <c r="X32" s="838"/>
      <c r="Y32" s="839">
        <f t="shared" ref="Y32:AF32" si="25">+IF(Y7=0,0,Y31/Y7)</f>
        <v>1</v>
      </c>
      <c r="Z32" s="839">
        <f t="shared" si="25"/>
        <v>0</v>
      </c>
      <c r="AA32" s="839">
        <f t="shared" si="25"/>
        <v>0</v>
      </c>
      <c r="AB32" s="846">
        <f t="shared" si="25"/>
        <v>0</v>
      </c>
      <c r="AC32" s="847">
        <f t="shared" si="25"/>
        <v>0</v>
      </c>
      <c r="AD32" s="842">
        <f t="shared" si="25"/>
        <v>0</v>
      </c>
      <c r="AE32" s="842">
        <f t="shared" si="25"/>
        <v>0</v>
      </c>
      <c r="AF32" s="843">
        <f t="shared" si="25"/>
        <v>0</v>
      </c>
      <c r="AG32" s="838"/>
      <c r="AH32" s="846">
        <v>0</v>
      </c>
      <c r="AI32" s="848"/>
      <c r="AJ32" s="521"/>
      <c r="AK32" s="848"/>
      <c r="AX32" s="849"/>
    </row>
    <row r="33" spans="2:51" s="5" customFormat="1" ht="7.5" customHeight="1" x14ac:dyDescent="0.25">
      <c r="B33" s="2"/>
      <c r="C33" s="2"/>
      <c r="D33" s="2"/>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47"/>
      <c r="AJ33" s="47"/>
      <c r="AK33" s="47"/>
    </row>
    <row r="34" spans="2:51" s="5" customFormat="1" ht="15.75" hidden="1" customHeight="1" outlineLevel="1" x14ac:dyDescent="0.25">
      <c r="B34" s="64" t="s">
        <v>46</v>
      </c>
      <c r="C34" s="82" t="s">
        <v>29</v>
      </c>
      <c r="D34" s="2"/>
      <c r="E34" s="332" t="e">
        <f>+E7-E15+E29</f>
        <v>#REF!</v>
      </c>
      <c r="F34" s="333"/>
      <c r="G34" s="334" t="e">
        <f>+G7-G15+G29</f>
        <v>#REF!</v>
      </c>
      <c r="H34" s="335" t="e">
        <f>+H7-H15+H29</f>
        <v>#REF!</v>
      </c>
      <c r="I34" s="333"/>
      <c r="J34" s="334" t="e">
        <f>+J7-J15+J29</f>
        <v>#REF!</v>
      </c>
      <c r="K34" s="336" t="e">
        <f>+K7-K15</f>
        <v>#REF!</v>
      </c>
      <c r="L34" s="335">
        <f>+L7-L15</f>
        <v>0</v>
      </c>
      <c r="M34" s="333"/>
      <c r="N34" s="337">
        <f t="shared" ref="N34:S34" si="26">+N7-N15+N29</f>
        <v>0</v>
      </c>
      <c r="O34" s="336">
        <f t="shared" si="26"/>
        <v>0</v>
      </c>
      <c r="P34" s="336">
        <f t="shared" si="26"/>
        <v>0</v>
      </c>
      <c r="Q34" s="336">
        <f t="shared" si="26"/>
        <v>0</v>
      </c>
      <c r="R34" s="336">
        <f t="shared" si="26"/>
        <v>0</v>
      </c>
      <c r="S34" s="335">
        <f t="shared" si="26"/>
        <v>0</v>
      </c>
      <c r="T34" s="333"/>
      <c r="U34" s="337">
        <f>+U7-U15+U29</f>
        <v>0</v>
      </c>
      <c r="V34" s="336">
        <f>+V7-V15+V29</f>
        <v>0</v>
      </c>
      <c r="W34" s="335">
        <f>+W7-W15+W29</f>
        <v>0</v>
      </c>
      <c r="X34" s="333"/>
      <c r="Y34" s="337">
        <f>+Y7-Y15+Y29</f>
        <v>1511227.9745762714</v>
      </c>
      <c r="Z34" s="337" t="e">
        <f>+Z7-Z15+Z29</f>
        <v>#REF!</v>
      </c>
      <c r="AA34" s="334"/>
      <c r="AB34" s="332">
        <f>+AB7-AB15+AB29</f>
        <v>0</v>
      </c>
      <c r="AC34" s="745" t="e">
        <f>+AC7-AC15+AC29</f>
        <v>#REF!</v>
      </c>
      <c r="AD34" s="336" t="e">
        <f>+AD7-AD15+AD29</f>
        <v>#REF!</v>
      </c>
      <c r="AE34" s="336" t="e">
        <f>+AE7-AE15+AE29</f>
        <v>#REF!</v>
      </c>
      <c r="AF34" s="335" t="e">
        <f>+AF7-AF15+AF29</f>
        <v>#REF!</v>
      </c>
      <c r="AG34" s="333"/>
      <c r="AH34" s="332">
        <v>0</v>
      </c>
      <c r="AI34" s="293"/>
      <c r="AJ34" s="293"/>
      <c r="AK34" s="293"/>
      <c r="AL34" s="295"/>
      <c r="AM34" s="295"/>
      <c r="AN34" s="295"/>
      <c r="AO34" s="295"/>
      <c r="AP34" s="295"/>
      <c r="AQ34" s="295"/>
      <c r="AR34" s="295"/>
      <c r="AS34" s="295"/>
      <c r="AT34" s="295"/>
      <c r="AU34" s="295"/>
      <c r="AV34" s="295"/>
    </row>
    <row r="35" spans="2:51" s="5" customFormat="1" ht="15.75" hidden="1" customHeight="1" outlineLevel="1" x14ac:dyDescent="0.25">
      <c r="B35" s="66"/>
      <c r="C35" s="81" t="s">
        <v>45</v>
      </c>
      <c r="D35" s="2"/>
      <c r="E35" s="68" t="e">
        <f>+IF(E9=0,0,E34/E9)</f>
        <v>#REF!</v>
      </c>
      <c r="F35" s="19"/>
      <c r="G35" s="71">
        <f>+IF(G9=0,0,G34/G9)</f>
        <v>0</v>
      </c>
      <c r="H35" s="72">
        <f>+IF(H9=0,0,H34/H9)</f>
        <v>0</v>
      </c>
      <c r="I35" s="19"/>
      <c r="J35" s="71">
        <f>+IF(J7=0,0,J34/J7)</f>
        <v>0</v>
      </c>
      <c r="K35" s="75">
        <f>+IF(K7=0,0,K34/K7)</f>
        <v>0</v>
      </c>
      <c r="L35" s="76">
        <f>+IF(L7=0,0,L34/L7)</f>
        <v>0</v>
      </c>
      <c r="M35" s="19"/>
      <c r="N35" s="71">
        <f t="shared" ref="N35:S35" si="27">+IF(N7=0,0,N34/N7)</f>
        <v>0</v>
      </c>
      <c r="O35" s="75">
        <f t="shared" si="27"/>
        <v>0</v>
      </c>
      <c r="P35" s="75">
        <f t="shared" si="27"/>
        <v>0</v>
      </c>
      <c r="Q35" s="75">
        <f t="shared" si="27"/>
        <v>0</v>
      </c>
      <c r="R35" s="75">
        <f t="shared" si="27"/>
        <v>0</v>
      </c>
      <c r="S35" s="76">
        <f t="shared" si="27"/>
        <v>0</v>
      </c>
      <c r="T35" s="19"/>
      <c r="U35" s="71">
        <f>+IF(U7=0,0,U34/U7)</f>
        <v>0</v>
      </c>
      <c r="V35" s="75">
        <f>+IF(V7=0,0,V34/V7)</f>
        <v>0</v>
      </c>
      <c r="W35" s="76">
        <f>+IF(W7=0,0,W34/W7)</f>
        <v>0</v>
      </c>
      <c r="X35" s="19"/>
      <c r="Y35" s="71">
        <f>+IF(Y7=0,0,Y34/Y7)</f>
        <v>1</v>
      </c>
      <c r="Z35" s="71">
        <f>+IF(Z7=0,0,Z34/Z7)</f>
        <v>0</v>
      </c>
      <c r="AA35" s="802"/>
      <c r="AB35" s="68">
        <f>+IF(AB7=0,0,AB34/AB7)</f>
        <v>0</v>
      </c>
      <c r="AC35" s="744">
        <f>+IF(AC7=0,0,AC34/AC7)</f>
        <v>0</v>
      </c>
      <c r="AD35" s="75">
        <f>+IF(AD7=0,0,AD34/AD7)</f>
        <v>0</v>
      </c>
      <c r="AE35" s="75">
        <f>+IF(AE7=0,0,AE34/AE7)</f>
        <v>0</v>
      </c>
      <c r="AF35" s="76">
        <f>+IF(AF7=0,0,AF34/AF7)</f>
        <v>0</v>
      </c>
      <c r="AG35" s="19"/>
      <c r="AH35" s="68">
        <v>0</v>
      </c>
      <c r="AI35" s="47"/>
      <c r="AJ35" s="47"/>
      <c r="AK35" s="47"/>
    </row>
    <row r="36" spans="2:51" s="40" customFormat="1" ht="18.75" collapsed="1" x14ac:dyDescent="0.3">
      <c r="C36" s="338"/>
      <c r="H36" s="52"/>
      <c r="K36" s="52"/>
      <c r="L36" s="52"/>
      <c r="N36" s="49"/>
      <c r="O36" s="49"/>
      <c r="P36" s="49"/>
      <c r="Q36" s="49"/>
      <c r="R36" s="49"/>
      <c r="Y36" s="275"/>
      <c r="Z36" s="275"/>
      <c r="AA36" s="275"/>
      <c r="AB36" s="275"/>
      <c r="AC36" s="52"/>
      <c r="AD36" s="52"/>
      <c r="AE36" s="52"/>
      <c r="AF36" s="450"/>
      <c r="AI36" s="47"/>
      <c r="AJ36" s="47"/>
      <c r="AK36" s="47"/>
      <c r="AO36" s="803" t="s">
        <v>268</v>
      </c>
      <c r="AP36" s="803"/>
      <c r="AQ36" s="803" t="s">
        <v>269</v>
      </c>
      <c r="AR36" s="803" t="s">
        <v>270</v>
      </c>
      <c r="AS36" s="803" t="s">
        <v>30</v>
      </c>
    </row>
    <row r="37" spans="2:51" s="40" customFormat="1" x14ac:dyDescent="0.25">
      <c r="C37" s="48" t="e">
        <f>+#REF!*1.18</f>
        <v>#REF!</v>
      </c>
      <c r="H37" s="49"/>
      <c r="K37" s="52"/>
      <c r="L37" s="52"/>
      <c r="N37" s="49"/>
      <c r="O37" s="49"/>
      <c r="P37" s="49"/>
      <c r="Q37" s="49"/>
      <c r="R37" s="49"/>
      <c r="Y37" s="737" t="e">
        <f>+Y35-CONSOLIDADO!W34</f>
        <v>#REF!</v>
      </c>
      <c r="Z37" s="737" t="e">
        <f>+Z35-CONSOLIDADO!W34</f>
        <v>#REF!</v>
      </c>
      <c r="AA37" s="737"/>
      <c r="AB37" s="737"/>
      <c r="AC37" s="451"/>
      <c r="AD37" s="52"/>
      <c r="AE37" s="52"/>
      <c r="AF37" s="48"/>
      <c r="AH37" s="36"/>
      <c r="AI37" s="47"/>
      <c r="AJ37" s="444"/>
      <c r="AK37" s="47"/>
      <c r="AN37" s="40" t="s">
        <v>271</v>
      </c>
      <c r="AO37" s="590" t="e">
        <f>+#REF!</f>
        <v>#REF!</v>
      </c>
      <c r="AP37" s="590"/>
      <c r="AQ37" s="590" t="e">
        <f>+#REF!</f>
        <v>#REF!</v>
      </c>
      <c r="AR37" s="590" t="e">
        <f>+#REF!</f>
        <v>#REF!</v>
      </c>
      <c r="AS37" s="804" t="e">
        <f>+AO37+AQ37+AR37</f>
        <v>#REF!</v>
      </c>
    </row>
    <row r="38" spans="2:51" s="40" customFormat="1" x14ac:dyDescent="0.25">
      <c r="H38" s="83"/>
      <c r="K38" s="48"/>
      <c r="L38" s="48"/>
      <c r="N38" s="49"/>
      <c r="S38" s="49"/>
      <c r="AC38" s="595"/>
      <c r="AD38" s="254"/>
      <c r="AE38" s="254"/>
      <c r="AF38" s="254"/>
      <c r="AH38" s="36"/>
      <c r="AI38" s="47"/>
      <c r="AJ38" s="444"/>
      <c r="AK38" s="47"/>
      <c r="AN38" s="40" t="s">
        <v>267</v>
      </c>
      <c r="AO38" s="590" t="e">
        <f>+#REF!</f>
        <v>#REF!</v>
      </c>
      <c r="AP38" s="590"/>
      <c r="AQ38" s="590" t="e">
        <f>+#REF!</f>
        <v>#REF!</v>
      </c>
      <c r="AR38" s="590" t="e">
        <f>+#REF!</f>
        <v>#REF!</v>
      </c>
      <c r="AS38" s="804" t="e">
        <f>+AO38+AQ38+AR38</f>
        <v>#REF!</v>
      </c>
    </row>
    <row r="39" spans="2:51" ht="18.75" x14ac:dyDescent="0.3">
      <c r="B39" s="23" t="s">
        <v>19</v>
      </c>
      <c r="C39" s="24"/>
      <c r="K39" s="306">
        <f>+K7-K31</f>
        <v>0</v>
      </c>
      <c r="L39" s="48"/>
      <c r="N39" s="21"/>
      <c r="P39" s="259"/>
      <c r="Q39" s="21"/>
      <c r="R39" s="306">
        <f>R7*(1-R32)</f>
        <v>0</v>
      </c>
      <c r="V39" s="439"/>
      <c r="Y39" s="738" t="e">
        <f>+Y31-CONSOLIDADO!W33</f>
        <v>#REF!</v>
      </c>
      <c r="Z39" s="738" t="e">
        <f>+Z31-CONSOLIDADO!W33</f>
        <v>#REF!</v>
      </c>
      <c r="AA39" s="738"/>
      <c r="AB39" s="738"/>
      <c r="AC39" s="389"/>
      <c r="AD39" s="389"/>
      <c r="AE39" s="389"/>
      <c r="AF39" s="389"/>
      <c r="AH39" s="36"/>
      <c r="AJ39" s="444"/>
      <c r="AX39" s="597"/>
      <c r="AY39" s="598"/>
    </row>
    <row r="40" spans="2:51" ht="9" customHeight="1" x14ac:dyDescent="0.3">
      <c r="B40" s="25"/>
      <c r="K40" s="302"/>
      <c r="L40" s="48"/>
      <c r="P40" s="22"/>
      <c r="V40" s="439"/>
      <c r="AC40" s="21"/>
      <c r="AD40" s="389"/>
      <c r="AE40" s="389"/>
      <c r="AF40" s="389"/>
      <c r="AH40" s="36"/>
      <c r="AJ40" s="326"/>
    </row>
    <row r="41" spans="2:51" ht="18.75" x14ac:dyDescent="0.3">
      <c r="B41" s="26" t="s">
        <v>20</v>
      </c>
      <c r="C41" s="27"/>
      <c r="K41" s="307" t="e">
        <f>K15-K39</f>
        <v>#REF!</v>
      </c>
      <c r="L41" s="48"/>
      <c r="N41" s="21"/>
      <c r="P41" s="22"/>
      <c r="Q41" s="21"/>
      <c r="R41" s="306" t="e">
        <f>+R15-R39+K41</f>
        <v>#REF!</v>
      </c>
      <c r="V41" s="439"/>
      <c r="Y41" s="448"/>
      <c r="Z41" s="448"/>
      <c r="AA41" s="448"/>
      <c r="AB41" s="448"/>
      <c r="AC41" s="389"/>
      <c r="AD41" s="389"/>
      <c r="AE41" s="389"/>
      <c r="AF41" s="389"/>
      <c r="AH41" s="36"/>
      <c r="AJ41" s="326"/>
      <c r="AX41" s="597"/>
      <c r="AY41" s="440"/>
    </row>
    <row r="42" spans="2:51" ht="9" customHeight="1" x14ac:dyDescent="0.3">
      <c r="B42" s="1"/>
      <c r="K42" s="302"/>
      <c r="L42" s="48"/>
      <c r="N42" s="21"/>
      <c r="Q42" s="21"/>
      <c r="V42" s="439"/>
      <c r="Y42" s="448"/>
      <c r="Z42" s="448"/>
      <c r="AA42" s="448"/>
      <c r="AB42" s="448"/>
      <c r="AC42" s="389"/>
      <c r="AD42" s="21"/>
      <c r="AE42" s="21"/>
      <c r="AH42" s="36"/>
      <c r="AJ42" s="326"/>
    </row>
    <row r="43" spans="2:51" ht="18.75" x14ac:dyDescent="0.3">
      <c r="B43" s="23" t="s">
        <v>21</v>
      </c>
      <c r="C43" s="24"/>
      <c r="K43" s="306" t="e">
        <f>'ER Pendiente'!H40+'ER Pendiente'!H15</f>
        <v>#REF!</v>
      </c>
      <c r="L43" s="48"/>
      <c r="N43" s="21"/>
      <c r="Q43" s="21"/>
      <c r="R43" s="21"/>
      <c r="V43" s="439"/>
      <c r="Y43" s="440"/>
      <c r="Z43" s="440"/>
      <c r="AA43" s="440"/>
      <c r="AB43" s="440"/>
      <c r="AC43" s="21"/>
      <c r="AD43" s="21"/>
      <c r="AE43" s="21"/>
      <c r="AH43" s="36"/>
      <c r="AJ43" s="326"/>
    </row>
    <row r="44" spans="2:51" ht="9" customHeight="1" x14ac:dyDescent="0.3">
      <c r="B44" s="28"/>
      <c r="K44" s="302"/>
      <c r="L44" s="48"/>
      <c r="N44" s="21"/>
      <c r="Q44" s="21"/>
      <c r="V44" s="439"/>
      <c r="AC44" s="21"/>
      <c r="AD44" s="21"/>
      <c r="AE44" s="21"/>
      <c r="AH44" s="36"/>
      <c r="AJ44" s="326"/>
    </row>
    <row r="45" spans="2:51" ht="18.75" x14ac:dyDescent="0.3">
      <c r="B45" s="23" t="s">
        <v>22</v>
      </c>
      <c r="C45" s="24"/>
      <c r="K45" s="306">
        <f>+'ER Pendiente'!I40+'ER Pendiente'!I22</f>
        <v>0</v>
      </c>
      <c r="L45" s="48"/>
      <c r="N45" s="21"/>
      <c r="Q45" s="21"/>
      <c r="V45" s="439"/>
      <c r="AC45" s="21"/>
      <c r="AD45" s="21"/>
      <c r="AE45" s="21"/>
      <c r="AH45" s="36"/>
      <c r="AJ45" s="326"/>
    </row>
    <row r="46" spans="2:51" ht="9" customHeight="1" x14ac:dyDescent="0.3">
      <c r="B46" s="28"/>
      <c r="K46" s="302"/>
      <c r="L46" s="48"/>
      <c r="N46" s="21"/>
      <c r="Q46" s="21"/>
      <c r="V46" s="439"/>
      <c r="AH46" s="36"/>
      <c r="AJ46" s="326"/>
    </row>
    <row r="47" spans="2:51" ht="18.75" x14ac:dyDescent="0.3">
      <c r="B47" s="23" t="s">
        <v>23</v>
      </c>
      <c r="C47" s="24"/>
      <c r="K47" s="306" t="e">
        <f>+'DIRECTO '!K46+#REF!</f>
        <v>#REF!</v>
      </c>
      <c r="L47" s="48"/>
      <c r="N47" s="21"/>
      <c r="Q47" s="21"/>
      <c r="V47" s="439"/>
      <c r="AH47" s="36"/>
      <c r="AJ47" s="326"/>
    </row>
    <row r="48" spans="2:51" ht="9" customHeight="1" x14ac:dyDescent="0.3">
      <c r="B48" s="25"/>
      <c r="K48" s="302"/>
      <c r="L48" s="48"/>
      <c r="N48" s="21"/>
      <c r="Q48" s="21"/>
      <c r="AH48" s="36"/>
      <c r="AJ48" s="326"/>
    </row>
    <row r="49" spans="1:37" ht="15.75" x14ac:dyDescent="0.25">
      <c r="B49" s="79" t="s">
        <v>24</v>
      </c>
      <c r="C49" s="78"/>
      <c r="D49" s="5"/>
      <c r="E49" s="5"/>
      <c r="F49" s="5"/>
      <c r="G49" s="5"/>
      <c r="K49" s="308" t="e">
        <f>+K41-K43+K45</f>
        <v>#REF!</v>
      </c>
      <c r="L49" s="52"/>
      <c r="N49" s="21"/>
      <c r="Q49" s="21"/>
      <c r="V49" s="439"/>
      <c r="AH49" s="36"/>
      <c r="AJ49" s="326"/>
    </row>
    <row r="50" spans="1:37" ht="8.25" hidden="1" customHeight="1" outlineLevel="1" x14ac:dyDescent="0.25">
      <c r="K50" s="36"/>
      <c r="L50" s="48"/>
      <c r="N50" s="21"/>
      <c r="AH50" s="36"/>
      <c r="AJ50" s="326"/>
    </row>
    <row r="51" spans="1:37" ht="21" hidden="1" outlineLevel="1" x14ac:dyDescent="0.35">
      <c r="A51" s="437"/>
      <c r="C51" s="31" t="s">
        <v>26</v>
      </c>
      <c r="K51" s="35"/>
      <c r="L51" s="48"/>
      <c r="N51" s="21"/>
      <c r="AH51" s="36"/>
      <c r="AJ51" s="326"/>
    </row>
    <row r="52" spans="1:37" ht="8.25" hidden="1" customHeight="1" outlineLevel="1" x14ac:dyDescent="0.25">
      <c r="A52" s="437"/>
      <c r="C52" s="5"/>
      <c r="L52" s="48"/>
      <c r="N52" s="21"/>
      <c r="AH52" s="36"/>
      <c r="AJ52" s="326"/>
    </row>
    <row r="53" spans="1:37" ht="21.75" hidden="1" customHeight="1" outlineLevel="1" x14ac:dyDescent="0.35">
      <c r="A53" s="437"/>
      <c r="C53" s="31" t="s">
        <v>27</v>
      </c>
      <c r="K53" s="35"/>
      <c r="L53" s="48"/>
      <c r="AH53" s="36"/>
      <c r="AJ53" s="326"/>
    </row>
    <row r="54" spans="1:37" hidden="1" outlineLevel="1" x14ac:dyDescent="0.25">
      <c r="A54" s="437"/>
    </row>
    <row r="55" spans="1:37" hidden="1" outlineLevel="1" x14ac:dyDescent="0.25">
      <c r="A55" s="437"/>
    </row>
    <row r="56" spans="1:37" s="40" customFormat="1" ht="23.25" hidden="1" outlineLevel="1" x14ac:dyDescent="0.35">
      <c r="A56" s="438"/>
      <c r="B56" s="290" t="s">
        <v>147</v>
      </c>
      <c r="C56" s="24"/>
      <c r="H56" s="49"/>
      <c r="K56" s="52"/>
      <c r="L56" s="52"/>
      <c r="N56" s="49"/>
      <c r="O56" s="49"/>
      <c r="P56" s="49"/>
      <c r="Q56" s="49"/>
      <c r="R56" s="49"/>
      <c r="Z56" s="53">
        <v>11555</v>
      </c>
      <c r="AA56" s="53"/>
      <c r="AB56" s="53"/>
      <c r="AC56" s="52"/>
      <c r="AD56" s="52"/>
      <c r="AE56" s="52"/>
      <c r="AF56" s="52">
        <v>16571</v>
      </c>
      <c r="AI56" s="47"/>
      <c r="AJ56" s="47"/>
      <c r="AK56" s="47"/>
    </row>
    <row r="57" spans="1:37" s="40" customFormat="1" ht="18.75" hidden="1" outlineLevel="1" x14ac:dyDescent="0.3">
      <c r="A57" s="438"/>
      <c r="B57" s="287" t="s">
        <v>142</v>
      </c>
      <c r="C57" s="288"/>
      <c r="G57" s="69"/>
      <c r="H57" s="70"/>
      <c r="I57" s="8"/>
      <c r="J57" s="69"/>
      <c r="K57" s="74"/>
      <c r="L57" s="73"/>
      <c r="M57" s="8"/>
      <c r="N57" s="69"/>
      <c r="O57" s="74"/>
      <c r="P57" s="74"/>
      <c r="Q57" s="74"/>
      <c r="R57" s="74"/>
      <c r="S57" s="73"/>
      <c r="T57" s="8"/>
      <c r="U57" s="69"/>
      <c r="V57" s="74"/>
      <c r="W57" s="73"/>
      <c r="X57" s="8"/>
      <c r="Y57" s="8"/>
      <c r="Z57" s="69">
        <v>10554</v>
      </c>
      <c r="AA57" s="746"/>
      <c r="AB57" s="746"/>
      <c r="AC57" s="74"/>
      <c r="AD57" s="74"/>
      <c r="AE57" s="74"/>
      <c r="AF57" s="73">
        <v>10554</v>
      </c>
      <c r="AI57" s="47"/>
      <c r="AJ57" s="47"/>
      <c r="AK57" s="47"/>
    </row>
    <row r="58" spans="1:37" s="40" customFormat="1" ht="18.75" hidden="1" outlineLevel="1" x14ac:dyDescent="0.3">
      <c r="A58" s="438"/>
      <c r="B58" s="287" t="s">
        <v>146</v>
      </c>
      <c r="C58" s="24"/>
      <c r="G58" s="71"/>
      <c r="H58" s="72"/>
      <c r="I58" s="19"/>
      <c r="J58" s="71"/>
      <c r="K58" s="75"/>
      <c r="L58" s="76"/>
      <c r="M58" s="19"/>
      <c r="N58" s="71"/>
      <c r="O58" s="75"/>
      <c r="P58" s="75"/>
      <c r="Q58" s="75"/>
      <c r="R58" s="75"/>
      <c r="S58" s="76"/>
      <c r="T58" s="19"/>
      <c r="U58" s="71"/>
      <c r="V58" s="75"/>
      <c r="W58" s="76"/>
      <c r="X58" s="19"/>
      <c r="Y58" s="19"/>
      <c r="Z58" s="71">
        <v>10.01</v>
      </c>
      <c r="AA58" s="744"/>
      <c r="AB58" s="744"/>
      <c r="AC58" s="75"/>
      <c r="AD58" s="75"/>
      <c r="AE58" s="75"/>
      <c r="AF58" s="76">
        <v>59.97</v>
      </c>
      <c r="AI58" s="47"/>
      <c r="AJ58" s="47"/>
      <c r="AK58" s="47"/>
    </row>
    <row r="59" spans="1:37" s="40" customFormat="1" ht="15.75" hidden="1" outlineLevel="1" x14ac:dyDescent="0.25">
      <c r="A59" s="438"/>
      <c r="B59" s="286"/>
      <c r="H59" s="49"/>
      <c r="K59" s="52"/>
      <c r="L59" s="52"/>
      <c r="N59" s="49"/>
      <c r="O59" s="49"/>
      <c r="P59" s="49"/>
      <c r="Q59" s="49"/>
      <c r="R59" s="49"/>
      <c r="Z59" s="53"/>
      <c r="AA59" s="53"/>
      <c r="AB59" s="53"/>
      <c r="AC59" s="52"/>
      <c r="AD59" s="52"/>
      <c r="AE59" s="52"/>
      <c r="AF59" s="48"/>
      <c r="AI59" s="47"/>
      <c r="AJ59" s="47"/>
      <c r="AK59" s="47"/>
    </row>
    <row r="60" spans="1:37" s="40" customFormat="1" ht="18.75" hidden="1" outlineLevel="1" x14ac:dyDescent="0.3">
      <c r="A60" s="438"/>
      <c r="B60" s="289" t="s">
        <v>145</v>
      </c>
      <c r="C60" s="24"/>
      <c r="H60" s="49"/>
      <c r="K60" s="52"/>
      <c r="L60" s="52"/>
      <c r="N60" s="49"/>
      <c r="O60" s="49"/>
      <c r="P60" s="49"/>
      <c r="Q60" s="49"/>
      <c r="R60" s="49"/>
      <c r="Z60" s="53">
        <v>5677</v>
      </c>
      <c r="AA60" s="53"/>
      <c r="AB60" s="53"/>
      <c r="AC60" s="52"/>
      <c r="AD60" s="52"/>
      <c r="AE60" s="52"/>
      <c r="AF60" s="48">
        <v>7676</v>
      </c>
      <c r="AI60" s="47"/>
      <c r="AJ60" s="47"/>
      <c r="AK60" s="47"/>
    </row>
    <row r="61" spans="1:37" s="40" customFormat="1" ht="18.75" hidden="1" outlineLevel="1" x14ac:dyDescent="0.3">
      <c r="A61" s="438"/>
      <c r="B61" s="287" t="s">
        <v>142</v>
      </c>
      <c r="C61" s="24"/>
      <c r="G61" s="69"/>
      <c r="H61" s="70"/>
      <c r="I61" s="8"/>
      <c r="J61" s="69"/>
      <c r="K61" s="74"/>
      <c r="L61" s="73"/>
      <c r="M61" s="8"/>
      <c r="N61" s="69"/>
      <c r="O61" s="74"/>
      <c r="P61" s="74"/>
      <c r="Q61" s="74"/>
      <c r="R61" s="74"/>
      <c r="S61" s="73"/>
      <c r="T61" s="8"/>
      <c r="U61" s="69"/>
      <c r="V61" s="74"/>
      <c r="W61" s="73"/>
      <c r="X61" s="8"/>
      <c r="Y61" s="8"/>
      <c r="Z61" s="69">
        <v>5277</v>
      </c>
      <c r="AA61" s="746"/>
      <c r="AB61" s="746"/>
      <c r="AC61" s="74"/>
      <c r="AD61" s="74"/>
      <c r="AE61" s="74"/>
      <c r="AF61" s="73">
        <v>5277</v>
      </c>
      <c r="AI61" s="47"/>
      <c r="AJ61" s="47"/>
      <c r="AK61" s="47"/>
    </row>
    <row r="62" spans="1:37" s="40" customFormat="1" ht="18.75" hidden="1" outlineLevel="1" x14ac:dyDescent="0.3">
      <c r="A62" s="438"/>
      <c r="B62" s="287" t="s">
        <v>146</v>
      </c>
      <c r="C62" s="24"/>
      <c r="G62" s="71"/>
      <c r="H62" s="72"/>
      <c r="I62" s="19"/>
      <c r="J62" s="71"/>
      <c r="K62" s="75"/>
      <c r="L62" s="76"/>
      <c r="M62" s="19"/>
      <c r="N62" s="71"/>
      <c r="O62" s="75"/>
      <c r="P62" s="75"/>
      <c r="Q62" s="75"/>
      <c r="R62" s="75"/>
      <c r="S62" s="76"/>
      <c r="T62" s="19"/>
      <c r="U62" s="71"/>
      <c r="V62" s="75"/>
      <c r="W62" s="76"/>
      <c r="X62" s="19"/>
      <c r="Y62" s="19"/>
      <c r="Z62" s="71">
        <v>4</v>
      </c>
      <c r="AA62" s="744"/>
      <c r="AB62" s="744"/>
      <c r="AC62" s="75"/>
      <c r="AD62" s="75"/>
      <c r="AE62" s="75"/>
      <c r="AF62" s="76">
        <v>23.99</v>
      </c>
      <c r="AI62" s="47"/>
      <c r="AJ62" s="47"/>
      <c r="AK62" s="47"/>
    </row>
    <row r="63" spans="1:37" hidden="1" outlineLevel="1" x14ac:dyDescent="0.25">
      <c r="A63" s="437"/>
    </row>
    <row r="64" spans="1:37" ht="18.75" hidden="1" outlineLevel="1" x14ac:dyDescent="0.3">
      <c r="A64" s="437"/>
      <c r="B64" s="289" t="s">
        <v>144</v>
      </c>
      <c r="C64" s="24"/>
      <c r="Z64">
        <v>5878</v>
      </c>
      <c r="AF64">
        <v>8875</v>
      </c>
    </row>
    <row r="65" spans="1:32" ht="18.75" hidden="1" outlineLevel="1" x14ac:dyDescent="0.3">
      <c r="A65" s="437"/>
      <c r="B65" s="287" t="s">
        <v>141</v>
      </c>
      <c r="C65" s="24"/>
      <c r="G65" s="69"/>
      <c r="H65" s="70"/>
      <c r="I65" s="8"/>
      <c r="J65" s="69"/>
      <c r="K65" s="74"/>
      <c r="L65" s="73"/>
      <c r="M65" s="8"/>
      <c r="N65" s="69"/>
      <c r="O65" s="74"/>
      <c r="P65" s="74"/>
      <c r="Q65" s="74"/>
      <c r="R65" s="74"/>
      <c r="S65" s="73"/>
      <c r="T65" s="8"/>
      <c r="U65" s="69"/>
      <c r="V65" s="74"/>
      <c r="W65" s="73"/>
      <c r="X65" s="8"/>
      <c r="Y65" s="8"/>
      <c r="Z65" s="69">
        <v>5277</v>
      </c>
      <c r="AA65" s="746"/>
      <c r="AB65" s="746"/>
      <c r="AC65" s="74"/>
      <c r="AD65" s="74"/>
      <c r="AE65" s="74"/>
      <c r="AF65" s="73">
        <v>5277</v>
      </c>
    </row>
    <row r="66" spans="1:32" ht="18.75" hidden="1" outlineLevel="1" x14ac:dyDescent="0.3">
      <c r="A66" s="437"/>
      <c r="B66" s="287" t="s">
        <v>146</v>
      </c>
      <c r="C66" s="24"/>
      <c r="G66" s="71"/>
      <c r="H66" s="72"/>
      <c r="I66" s="19"/>
      <c r="J66" s="71"/>
      <c r="K66" s="75"/>
      <c r="L66" s="76"/>
      <c r="M66" s="19"/>
      <c r="N66" s="71"/>
      <c r="O66" s="75"/>
      <c r="P66" s="75"/>
      <c r="Q66" s="75"/>
      <c r="R66" s="75"/>
      <c r="S66" s="76"/>
      <c r="T66" s="19"/>
      <c r="U66" s="71"/>
      <c r="V66" s="75"/>
      <c r="W66" s="76"/>
      <c r="X66" s="19"/>
      <c r="Y66" s="19"/>
      <c r="Z66" s="71">
        <v>6.01</v>
      </c>
      <c r="AA66" s="744"/>
      <c r="AB66" s="744"/>
      <c r="AC66" s="75"/>
      <c r="AD66" s="75"/>
      <c r="AE66" s="75"/>
      <c r="AF66" s="76">
        <v>35.979999999999997</v>
      </c>
    </row>
    <row r="67" spans="1:32" hidden="1" outlineLevel="1" x14ac:dyDescent="0.25"/>
    <row r="68" spans="1:32" collapsed="1" x14ac:dyDescent="0.25"/>
    <row r="99" spans="2:37" s="40" customFormat="1" x14ac:dyDescent="0.25">
      <c r="AI99" s="47"/>
      <c r="AJ99" s="47"/>
      <c r="AK99" s="47"/>
    </row>
    <row r="100" spans="2:37" s="40" customFormat="1" x14ac:dyDescent="0.25">
      <c r="B100" s="40" t="s">
        <v>166</v>
      </c>
      <c r="K100" s="594" t="e">
        <f>K34</f>
        <v>#REF!</v>
      </c>
      <c r="L100" s="594" t="e">
        <f>+K100+L34</f>
        <v>#REF!</v>
      </c>
      <c r="N100" s="594" t="e">
        <f>+K100+N34</f>
        <v>#REF!</v>
      </c>
      <c r="O100" s="594" t="e">
        <f>+N100+O34</f>
        <v>#REF!</v>
      </c>
      <c r="P100" s="594" t="e">
        <f t="shared" ref="P100:Q100" si="28">+O100+P34</f>
        <v>#REF!</v>
      </c>
      <c r="Q100" s="594" t="e">
        <f t="shared" si="28"/>
        <v>#REF!</v>
      </c>
      <c r="R100" s="594" t="e">
        <f>+#REF!+R34</f>
        <v>#REF!</v>
      </c>
      <c r="S100" s="594" t="e">
        <f>+K100+S34</f>
        <v>#REF!</v>
      </c>
      <c r="U100" s="594" t="e">
        <f>+S100+U34</f>
        <v>#REF!</v>
      </c>
      <c r="V100" s="594" t="e">
        <f>+U100+V34</f>
        <v>#REF!</v>
      </c>
      <c r="Z100" s="594" t="e">
        <f>Z34</f>
        <v>#REF!</v>
      </c>
      <c r="AA100" s="594"/>
      <c r="AB100" s="594"/>
      <c r="AF100" s="594" t="e">
        <f>AF34</f>
        <v>#REF!</v>
      </c>
      <c r="AI100" s="47"/>
      <c r="AJ100" s="47"/>
      <c r="AK100" s="47"/>
    </row>
    <row r="101" spans="2:37" s="40" customFormat="1" x14ac:dyDescent="0.25">
      <c r="B101" s="40" t="s">
        <v>47</v>
      </c>
      <c r="C101" s="590" t="e">
        <f>'DIRECTO '!K15</f>
        <v>#REF!</v>
      </c>
      <c r="E101" s="591" t="e">
        <f>IF(C101-SUM(C105:C113)=0,"OK","REVISAR")</f>
        <v>#REF!</v>
      </c>
      <c r="AI101" s="47"/>
      <c r="AJ101" s="47"/>
      <c r="AK101" s="47"/>
    </row>
    <row r="102" spans="2:37" s="40" customFormat="1" x14ac:dyDescent="0.25">
      <c r="B102" s="40" t="s">
        <v>165</v>
      </c>
      <c r="C102" s="590" t="e">
        <f>#REF!</f>
        <v>#REF!</v>
      </c>
      <c r="E102" s="591" t="e">
        <f>IF(C102-SUM(E105:E113)=0,"OK","REVISAR")</f>
        <v>#REF!</v>
      </c>
      <c r="AI102" s="47"/>
      <c r="AJ102" s="47"/>
      <c r="AK102" s="47"/>
    </row>
    <row r="103" spans="2:37" s="40" customFormat="1" x14ac:dyDescent="0.25">
      <c r="AI103" s="47"/>
      <c r="AJ103" s="47"/>
      <c r="AK103" s="47"/>
    </row>
    <row r="104" spans="2:37" s="40" customFormat="1" x14ac:dyDescent="0.25">
      <c r="C104" s="592" t="s">
        <v>47</v>
      </c>
      <c r="D104" s="592"/>
      <c r="E104" s="592" t="s">
        <v>165</v>
      </c>
      <c r="AI104" s="47"/>
      <c r="AJ104" s="47"/>
      <c r="AK104" s="47"/>
    </row>
    <row r="105" spans="2:37" s="40" customFormat="1" x14ac:dyDescent="0.25">
      <c r="B105" s="40" t="s">
        <v>10</v>
      </c>
      <c r="C105" s="590" t="e">
        <f>'DIRECTO '!K17</f>
        <v>#REF!</v>
      </c>
      <c r="D105" s="590"/>
      <c r="E105" s="590" t="e">
        <f>#REF!</f>
        <v>#REF!</v>
      </c>
      <c r="AI105" s="47"/>
      <c r="AJ105" s="47"/>
      <c r="AK105" s="47"/>
    </row>
    <row r="106" spans="2:37" s="40" customFormat="1" x14ac:dyDescent="0.25">
      <c r="B106" s="40" t="s">
        <v>11</v>
      </c>
      <c r="C106" s="590" t="e">
        <f>'DIRECTO '!K18</f>
        <v>#REF!</v>
      </c>
      <c r="D106" s="590"/>
      <c r="E106" s="590" t="e">
        <f>#REF!</f>
        <v>#REF!</v>
      </c>
      <c r="AI106" s="47"/>
      <c r="AJ106" s="47"/>
      <c r="AK106" s="47"/>
    </row>
    <row r="107" spans="2:37" s="40" customFormat="1" x14ac:dyDescent="0.25">
      <c r="B107" s="40" t="s">
        <v>43</v>
      </c>
      <c r="C107" s="590" t="e">
        <f>'DIRECTO '!K19</f>
        <v>#REF!</v>
      </c>
      <c r="D107" s="590"/>
      <c r="E107" s="590" t="e">
        <f>#REF!</f>
        <v>#REF!</v>
      </c>
      <c r="AI107" s="47"/>
      <c r="AJ107" s="47"/>
      <c r="AK107" s="47"/>
    </row>
    <row r="108" spans="2:37" s="40" customFormat="1" x14ac:dyDescent="0.25">
      <c r="B108" s="40" t="s">
        <v>38</v>
      </c>
      <c r="C108" s="590" t="e">
        <f>'DIRECTO '!K20</f>
        <v>#REF!</v>
      </c>
      <c r="D108" s="590"/>
      <c r="E108" s="590" t="e">
        <f>#REF!</f>
        <v>#REF!</v>
      </c>
      <c r="AI108" s="47"/>
      <c r="AJ108" s="47"/>
      <c r="AK108" s="47"/>
    </row>
    <row r="109" spans="2:37" s="40" customFormat="1" x14ac:dyDescent="0.25">
      <c r="B109" s="40" t="s">
        <v>163</v>
      </c>
      <c r="C109" s="590" t="e">
        <f>'DIRECTO '!K22</f>
        <v>#REF!</v>
      </c>
      <c r="D109" s="590"/>
      <c r="E109" s="590" t="e">
        <f>#REF!</f>
        <v>#REF!</v>
      </c>
      <c r="AI109" s="47"/>
      <c r="AJ109" s="47"/>
      <c r="AK109" s="47"/>
    </row>
    <row r="110" spans="2:37" s="40" customFormat="1" x14ac:dyDescent="0.25">
      <c r="B110" s="40" t="s">
        <v>164</v>
      </c>
      <c r="C110" s="590" t="e">
        <f>'DIRECTO '!K23</f>
        <v>#REF!</v>
      </c>
      <c r="D110" s="590"/>
      <c r="E110" s="590" t="e">
        <f>#REF!</f>
        <v>#REF!</v>
      </c>
      <c r="AI110" s="47"/>
      <c r="AJ110" s="47"/>
      <c r="AK110" s="47"/>
    </row>
    <row r="111" spans="2:37" s="40" customFormat="1" x14ac:dyDescent="0.25">
      <c r="B111" s="40" t="s">
        <v>13</v>
      </c>
      <c r="C111" s="590" t="e">
        <f>'DIRECTO '!K24</f>
        <v>#REF!</v>
      </c>
      <c r="D111" s="590"/>
      <c r="E111" s="590" t="e">
        <f>#REF!</f>
        <v>#REF!</v>
      </c>
      <c r="AI111" s="47"/>
      <c r="AJ111" s="47"/>
      <c r="AK111" s="47"/>
    </row>
    <row r="112" spans="2:37" s="40" customFormat="1" x14ac:dyDescent="0.25">
      <c r="B112" s="40" t="s">
        <v>31</v>
      </c>
      <c r="C112" s="590" t="e">
        <f>'DIRECTO '!K25</f>
        <v>#REF!</v>
      </c>
      <c r="D112" s="590"/>
      <c r="E112" s="590" t="e">
        <f>#REF!</f>
        <v>#REF!</v>
      </c>
      <c r="AI112" s="47"/>
      <c r="AJ112" s="47"/>
      <c r="AK112" s="47"/>
    </row>
    <row r="113" spans="2:37" s="40" customFormat="1" x14ac:dyDescent="0.25">
      <c r="B113" s="40" t="s">
        <v>15</v>
      </c>
      <c r="C113" s="590" t="e">
        <f>'DIRECTO '!K26</f>
        <v>#REF!</v>
      </c>
      <c r="D113" s="590"/>
      <c r="E113" s="590" t="e">
        <f>#REF!</f>
        <v>#REF!</v>
      </c>
      <c r="AI113" s="47"/>
      <c r="AJ113" s="47"/>
      <c r="AK113" s="47"/>
    </row>
    <row r="114" spans="2:37" s="40" customFormat="1" x14ac:dyDescent="0.25">
      <c r="AI114" s="47"/>
      <c r="AJ114" s="47"/>
      <c r="AK114" s="47"/>
    </row>
    <row r="115" spans="2:37" s="40" customFormat="1" x14ac:dyDescent="0.25">
      <c r="AI115" s="47"/>
      <c r="AJ115" s="47"/>
      <c r="AK115" s="47"/>
    </row>
    <row r="116" spans="2:37" s="40" customFormat="1" x14ac:dyDescent="0.25">
      <c r="AI116" s="47"/>
      <c r="AJ116" s="47"/>
      <c r="AK116" s="47"/>
    </row>
  </sheetData>
  <mergeCells count="18">
    <mergeCell ref="AP3:AP5"/>
    <mergeCell ref="B1:AH1"/>
    <mergeCell ref="E3:E4"/>
    <mergeCell ref="G3:H4"/>
    <mergeCell ref="J3:J5"/>
    <mergeCell ref="K3:K5"/>
    <mergeCell ref="L3:L5"/>
    <mergeCell ref="N3:S3"/>
    <mergeCell ref="U3:W4"/>
    <mergeCell ref="AH3:AH4"/>
    <mergeCell ref="Y3:AF4"/>
    <mergeCell ref="AN3:AN5"/>
    <mergeCell ref="AO3:AO5"/>
    <mergeCell ref="AQ3:AQ5"/>
    <mergeCell ref="AR3:AR5"/>
    <mergeCell ref="AS3:AS5"/>
    <mergeCell ref="AT3:AT5"/>
    <mergeCell ref="AU3:AU5"/>
  </mergeCells>
  <printOptions horizontalCentered="1"/>
  <pageMargins left="0.23622047244094491" right="0.23622047244094491" top="0.35433070866141736" bottom="0.35433070866141736" header="0.31496062992125984" footer="0.31496062992125984"/>
  <pageSetup paperSize="9" scale="33" orientation="landscape" r:id="rId1"/>
  <headerFooter>
    <oddFooter>&amp;F</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AF45"/>
  <sheetViews>
    <sheetView showGridLines="0" zoomScaleNormal="100" zoomScaleSheetLayoutView="80" workbookViewId="0">
      <pane xSplit="6" ySplit="3" topLeftCell="M4" activePane="bottomRight" state="frozen"/>
      <selection pane="topRight" activeCell="G1" sqref="G1"/>
      <selection pane="bottomLeft" activeCell="A4" sqref="A4"/>
      <selection pane="bottomRight" activeCell="C6" sqref="C6"/>
    </sheetView>
  </sheetViews>
  <sheetFormatPr baseColWidth="10" defaultColWidth="11.42578125" defaultRowHeight="15" customHeight="1" x14ac:dyDescent="0.25"/>
  <cols>
    <col min="1" max="1" width="5.85546875" style="763" bestFit="1" customWidth="1"/>
    <col min="2" max="2" width="52.85546875" style="729" customWidth="1"/>
    <col min="3" max="3" width="19" style="732" customWidth="1"/>
    <col min="4" max="4" width="50.28515625" style="729" customWidth="1"/>
    <col min="5" max="5" width="14.5703125" style="732" customWidth="1"/>
    <col min="6" max="6" width="13.7109375" style="731" customWidth="1"/>
    <col min="7" max="9" width="16.42578125" style="766" customWidth="1"/>
    <col min="10" max="10" width="24.140625" style="729" customWidth="1"/>
    <col min="11" max="11" width="24.140625" style="732" customWidth="1"/>
    <col min="12" max="12" width="19.42578125" style="732" customWidth="1"/>
    <col min="13" max="13" width="52.5703125" style="729" customWidth="1"/>
    <col min="14" max="16384" width="11.42578125" style="729"/>
  </cols>
  <sheetData>
    <row r="1" spans="1:32" s="801" customFormat="1" ht="19.5" customHeight="1" x14ac:dyDescent="0.25">
      <c r="A1" s="1152" t="s">
        <v>172</v>
      </c>
      <c r="B1" s="1152"/>
      <c r="C1" s="1152"/>
      <c r="D1" s="1152"/>
      <c r="E1" s="1152"/>
      <c r="F1" s="1152"/>
      <c r="G1" s="1152"/>
      <c r="H1" s="1152"/>
      <c r="I1" s="1152"/>
      <c r="J1" s="1152"/>
      <c r="K1" s="1152"/>
      <c r="L1" s="1152"/>
      <c r="M1" s="1152"/>
    </row>
    <row r="2" spans="1:32" s="730" customFormat="1" ht="3.75" customHeight="1" thickBot="1" x14ac:dyDescent="0.3">
      <c r="A2" s="762"/>
      <c r="C2" s="759"/>
      <c r="E2" s="759"/>
      <c r="F2" s="741"/>
      <c r="G2" s="765"/>
      <c r="H2" s="765"/>
      <c r="I2" s="765"/>
      <c r="K2" s="759"/>
    </row>
    <row r="3" spans="1:32" s="800" customFormat="1" ht="29.25" customHeight="1" x14ac:dyDescent="0.25">
      <c r="A3" s="793" t="s">
        <v>173</v>
      </c>
      <c r="B3" s="794" t="s">
        <v>174</v>
      </c>
      <c r="C3" s="794" t="s">
        <v>230</v>
      </c>
      <c r="D3" s="794" t="s">
        <v>175</v>
      </c>
      <c r="E3" s="794" t="s">
        <v>202</v>
      </c>
      <c r="F3" s="794" t="s">
        <v>176</v>
      </c>
      <c r="G3" s="795" t="s">
        <v>177</v>
      </c>
      <c r="H3" s="796" t="s">
        <v>235</v>
      </c>
      <c r="I3" s="797" t="s">
        <v>178</v>
      </c>
      <c r="J3" s="798" t="s">
        <v>179</v>
      </c>
      <c r="K3" s="794" t="s">
        <v>264</v>
      </c>
      <c r="L3" s="794" t="s">
        <v>211</v>
      </c>
      <c r="M3" s="799" t="s">
        <v>187</v>
      </c>
    </row>
    <row r="4" spans="1:32" ht="59.25" customHeight="1" x14ac:dyDescent="0.25">
      <c r="A4" s="789" t="s">
        <v>180</v>
      </c>
      <c r="B4" s="769" t="s">
        <v>192</v>
      </c>
      <c r="C4" s="770" t="s">
        <v>231</v>
      </c>
      <c r="D4" s="769" t="s">
        <v>243</v>
      </c>
      <c r="E4" s="770" t="s">
        <v>205</v>
      </c>
      <c r="F4" s="771" t="s">
        <v>182</v>
      </c>
      <c r="G4" s="773"/>
      <c r="H4" s="782">
        <f t="shared" ref="H4:H5" si="0">+IF(G4&gt;0,G4,0)</f>
        <v>0</v>
      </c>
      <c r="I4" s="783"/>
      <c r="J4" s="779" t="s">
        <v>266</v>
      </c>
      <c r="K4" s="772" t="s">
        <v>263</v>
      </c>
      <c r="L4" s="772" t="s">
        <v>212</v>
      </c>
      <c r="M4" s="790" t="s">
        <v>185</v>
      </c>
      <c r="AE4" s="732" t="s">
        <v>181</v>
      </c>
      <c r="AF4" s="733"/>
    </row>
    <row r="5" spans="1:32" ht="59.25" customHeight="1" x14ac:dyDescent="0.25">
      <c r="A5" s="789" t="s">
        <v>302</v>
      </c>
      <c r="B5" s="739" t="s">
        <v>189</v>
      </c>
      <c r="C5" s="760" t="s">
        <v>232</v>
      </c>
      <c r="D5" s="739" t="s">
        <v>243</v>
      </c>
      <c r="E5" s="760" t="s">
        <v>205</v>
      </c>
      <c r="F5" s="740" t="s">
        <v>182</v>
      </c>
      <c r="G5" s="774"/>
      <c r="H5" s="784">
        <f t="shared" si="0"/>
        <v>0</v>
      </c>
      <c r="I5" s="785"/>
      <c r="J5" s="779" t="s">
        <v>266</v>
      </c>
      <c r="K5" s="764" t="s">
        <v>263</v>
      </c>
      <c r="L5" s="764" t="s">
        <v>212</v>
      </c>
      <c r="M5" s="791" t="s">
        <v>185</v>
      </c>
      <c r="AE5" s="732" t="s">
        <v>181</v>
      </c>
      <c r="AF5" s="733"/>
    </row>
    <row r="6" spans="1:32" ht="59.25" customHeight="1" x14ac:dyDescent="0.25">
      <c r="A6" s="789" t="s">
        <v>303</v>
      </c>
      <c r="B6" s="739" t="s">
        <v>184</v>
      </c>
      <c r="C6" s="760" t="s">
        <v>201</v>
      </c>
      <c r="D6" s="739" t="s">
        <v>204</v>
      </c>
      <c r="E6" s="760" t="s">
        <v>207</v>
      </c>
      <c r="F6" s="740" t="s">
        <v>181</v>
      </c>
      <c r="G6" s="774"/>
      <c r="H6" s="784"/>
      <c r="I6" s="785"/>
      <c r="J6" s="779"/>
      <c r="K6" s="764" t="s">
        <v>262</v>
      </c>
      <c r="L6" s="764" t="s">
        <v>213</v>
      </c>
      <c r="M6" s="792" t="s">
        <v>199</v>
      </c>
      <c r="AE6" s="732" t="s">
        <v>182</v>
      </c>
      <c r="AF6" s="734"/>
    </row>
    <row r="7" spans="1:32" ht="59.25" customHeight="1" x14ac:dyDescent="0.25">
      <c r="A7" s="789" t="s">
        <v>304</v>
      </c>
      <c r="B7" s="739" t="s">
        <v>197</v>
      </c>
      <c r="C7" s="760" t="s">
        <v>201</v>
      </c>
      <c r="D7" s="739" t="s">
        <v>193</v>
      </c>
      <c r="E7" s="760" t="s">
        <v>207</v>
      </c>
      <c r="F7" s="740" t="s">
        <v>186</v>
      </c>
      <c r="G7" s="774">
        <f>21000*10</f>
        <v>210000</v>
      </c>
      <c r="H7" s="784"/>
      <c r="I7" s="785">
        <f>+IF(G7&gt;0,G7,0)</f>
        <v>210000</v>
      </c>
      <c r="J7" s="779"/>
      <c r="K7" s="764" t="s">
        <v>262</v>
      </c>
      <c r="L7" s="764" t="s">
        <v>213</v>
      </c>
      <c r="M7" s="792" t="s">
        <v>194</v>
      </c>
      <c r="AE7" s="732"/>
      <c r="AF7" s="734"/>
    </row>
    <row r="8" spans="1:32" ht="27" x14ac:dyDescent="0.25">
      <c r="A8" s="789" t="s">
        <v>305</v>
      </c>
      <c r="B8" s="739" t="s">
        <v>198</v>
      </c>
      <c r="C8" s="760" t="s">
        <v>201</v>
      </c>
      <c r="D8" s="739" t="s">
        <v>195</v>
      </c>
      <c r="E8" s="760" t="s">
        <v>207</v>
      </c>
      <c r="F8" s="740" t="s">
        <v>181</v>
      </c>
      <c r="G8" s="774">
        <f>21000*13</f>
        <v>273000</v>
      </c>
      <c r="H8" s="784"/>
      <c r="I8" s="785">
        <f>+IF(G8&gt;0,G8,0)</f>
        <v>273000</v>
      </c>
      <c r="J8" s="779"/>
      <c r="K8" s="764" t="s">
        <v>262</v>
      </c>
      <c r="L8" s="764" t="s">
        <v>213</v>
      </c>
      <c r="M8" s="791" t="s">
        <v>196</v>
      </c>
      <c r="AE8" s="732"/>
      <c r="AF8" s="734"/>
    </row>
    <row r="9" spans="1:32" ht="39" customHeight="1" x14ac:dyDescent="0.25">
      <c r="A9" s="789" t="s">
        <v>306</v>
      </c>
      <c r="B9" s="739" t="s">
        <v>200</v>
      </c>
      <c r="C9" s="760" t="s">
        <v>201</v>
      </c>
      <c r="D9" s="739" t="s">
        <v>203</v>
      </c>
      <c r="E9" s="760" t="s">
        <v>207</v>
      </c>
      <c r="F9" s="740" t="s">
        <v>181</v>
      </c>
      <c r="G9" s="774"/>
      <c r="H9" s="784"/>
      <c r="I9" s="785"/>
      <c r="J9" s="779"/>
      <c r="K9" s="764" t="s">
        <v>262</v>
      </c>
      <c r="L9" s="764" t="s">
        <v>213</v>
      </c>
      <c r="M9" s="791" t="s">
        <v>199</v>
      </c>
    </row>
    <row r="10" spans="1:32" ht="13.5" x14ac:dyDescent="0.25">
      <c r="A10" s="789" t="s">
        <v>307</v>
      </c>
      <c r="B10" s="739" t="s">
        <v>170</v>
      </c>
      <c r="C10" s="760" t="s">
        <v>201</v>
      </c>
      <c r="D10" s="739" t="s">
        <v>220</v>
      </c>
      <c r="E10" s="760" t="s">
        <v>208</v>
      </c>
      <c r="F10" s="740" t="s">
        <v>181</v>
      </c>
      <c r="G10" s="774">
        <f>+RG!Y13</f>
        <v>1511227.9745762714</v>
      </c>
      <c r="H10" s="784"/>
      <c r="I10" s="785">
        <f>+G10</f>
        <v>1511227.9745762714</v>
      </c>
      <c r="J10" s="779"/>
      <c r="K10" s="764" t="s">
        <v>262</v>
      </c>
      <c r="L10" s="764" t="s">
        <v>213</v>
      </c>
      <c r="M10" s="791" t="s">
        <v>199</v>
      </c>
    </row>
    <row r="11" spans="1:32" ht="13.5" x14ac:dyDescent="0.25">
      <c r="A11" s="789" t="s">
        <v>308</v>
      </c>
      <c r="B11" s="739" t="s">
        <v>169</v>
      </c>
      <c r="C11" s="760" t="s">
        <v>201</v>
      </c>
      <c r="D11" s="739" t="s">
        <v>221</v>
      </c>
      <c r="E11" s="760" t="s">
        <v>208</v>
      </c>
      <c r="F11" s="740" t="s">
        <v>181</v>
      </c>
      <c r="G11" s="774">
        <f>212950.08/1.18</f>
        <v>180466.16949152542</v>
      </c>
      <c r="H11" s="784"/>
      <c r="I11" s="785">
        <f t="shared" ref="I11" si="1">+G11</f>
        <v>180466.16949152542</v>
      </c>
      <c r="J11" s="779"/>
      <c r="K11" s="764" t="s">
        <v>262</v>
      </c>
      <c r="L11" s="764" t="s">
        <v>213</v>
      </c>
      <c r="M11" s="791" t="s">
        <v>199</v>
      </c>
    </row>
    <row r="12" spans="1:32" ht="27" x14ac:dyDescent="0.25">
      <c r="A12" s="789" t="s">
        <v>309</v>
      </c>
      <c r="B12" s="739" t="s">
        <v>206</v>
      </c>
      <c r="C12" s="760" t="s">
        <v>201</v>
      </c>
      <c r="D12" s="739" t="s">
        <v>210</v>
      </c>
      <c r="E12" s="760" t="s">
        <v>208</v>
      </c>
      <c r="F12" s="740" t="s">
        <v>181</v>
      </c>
      <c r="G12" s="774"/>
      <c r="H12" s="784"/>
      <c r="I12" s="785"/>
      <c r="J12" s="779"/>
      <c r="K12" s="764" t="s">
        <v>262</v>
      </c>
      <c r="L12" s="764" t="s">
        <v>213</v>
      </c>
      <c r="M12" s="791" t="s">
        <v>214</v>
      </c>
    </row>
    <row r="13" spans="1:32" ht="44.25" customHeight="1" x14ac:dyDescent="0.25">
      <c r="A13" s="789" t="s">
        <v>310</v>
      </c>
      <c r="B13" s="739" t="s">
        <v>209</v>
      </c>
      <c r="C13" s="760" t="s">
        <v>233</v>
      </c>
      <c r="D13" s="739" t="s">
        <v>260</v>
      </c>
      <c r="E13" s="760" t="s">
        <v>208</v>
      </c>
      <c r="F13" s="740" t="s">
        <v>186</v>
      </c>
      <c r="G13" s="774"/>
      <c r="H13" s="784">
        <f t="shared" ref="H13:H20" si="2">+IF(G13&gt;0,G13,0)</f>
        <v>0</v>
      </c>
      <c r="I13" s="785"/>
      <c r="J13" s="779" t="s">
        <v>265</v>
      </c>
      <c r="K13" s="764" t="s">
        <v>263</v>
      </c>
      <c r="L13" s="764" t="s">
        <v>212</v>
      </c>
      <c r="M13" s="791" t="s">
        <v>261</v>
      </c>
    </row>
    <row r="14" spans="1:32" ht="55.5" customHeight="1" x14ac:dyDescent="0.25">
      <c r="A14" s="789" t="s">
        <v>311</v>
      </c>
      <c r="B14" s="739" t="s">
        <v>215</v>
      </c>
      <c r="C14" s="760" t="s">
        <v>231</v>
      </c>
      <c r="D14" s="739" t="s">
        <v>216</v>
      </c>
      <c r="E14" s="760" t="s">
        <v>236</v>
      </c>
      <c r="F14" s="740" t="s">
        <v>186</v>
      </c>
      <c r="G14" s="775">
        <v>4453323.78</v>
      </c>
      <c r="H14" s="786">
        <f>-IF(G14&gt;0,G14,0)</f>
        <v>-4453323.78</v>
      </c>
      <c r="I14" s="785">
        <f>-H14*0.1</f>
        <v>445332.37800000003</v>
      </c>
      <c r="J14" s="780" t="s">
        <v>246</v>
      </c>
      <c r="K14" s="764" t="s">
        <v>263</v>
      </c>
      <c r="L14" s="761" t="s">
        <v>247</v>
      </c>
      <c r="M14" s="792" t="s">
        <v>259</v>
      </c>
    </row>
    <row r="15" spans="1:32" ht="55.5" customHeight="1" x14ac:dyDescent="0.25">
      <c r="A15" s="789" t="s">
        <v>312</v>
      </c>
      <c r="B15" s="739" t="s">
        <v>217</v>
      </c>
      <c r="C15" s="760" t="s">
        <v>201</v>
      </c>
      <c r="D15" s="739" t="s">
        <v>218</v>
      </c>
      <c r="E15" s="760" t="s">
        <v>237</v>
      </c>
      <c r="F15" s="740" t="s">
        <v>182</v>
      </c>
      <c r="G15" s="775">
        <f>-21000*10</f>
        <v>-210000</v>
      </c>
      <c r="H15" s="786">
        <f>-21000*10</f>
        <v>-210000</v>
      </c>
      <c r="I15" s="785"/>
      <c r="J15" s="781"/>
      <c r="K15" s="764" t="s">
        <v>263</v>
      </c>
      <c r="L15" s="761" t="s">
        <v>240</v>
      </c>
      <c r="M15" s="791" t="s">
        <v>241</v>
      </c>
    </row>
    <row r="16" spans="1:32" ht="71.25" customHeight="1" x14ac:dyDescent="0.25">
      <c r="A16" s="789" t="s">
        <v>313</v>
      </c>
      <c r="B16" s="739" t="s">
        <v>255</v>
      </c>
      <c r="C16" s="760" t="s">
        <v>232</v>
      </c>
      <c r="D16" s="739" t="s">
        <v>256</v>
      </c>
      <c r="E16" s="760" t="s">
        <v>238</v>
      </c>
      <c r="F16" s="740" t="s">
        <v>186</v>
      </c>
      <c r="G16" s="775">
        <v>1000000</v>
      </c>
      <c r="H16" s="786">
        <f>-IF(G16&gt;0,G16,0)</f>
        <v>-1000000</v>
      </c>
      <c r="I16" s="785"/>
      <c r="J16" s="780" t="s">
        <v>257</v>
      </c>
      <c r="K16" s="764" t="s">
        <v>263</v>
      </c>
      <c r="L16" s="761" t="s">
        <v>212</v>
      </c>
      <c r="M16" s="791" t="s">
        <v>228</v>
      </c>
    </row>
    <row r="17" spans="1:13" ht="27" x14ac:dyDescent="0.25">
      <c r="A17" s="789" t="s">
        <v>314</v>
      </c>
      <c r="B17" s="739" t="s">
        <v>219</v>
      </c>
      <c r="C17" s="760" t="s">
        <v>232</v>
      </c>
      <c r="D17" s="739" t="s">
        <v>239</v>
      </c>
      <c r="E17" s="760" t="s">
        <v>236</v>
      </c>
      <c r="F17" s="740" t="s">
        <v>181</v>
      </c>
      <c r="G17" s="776">
        <v>2358836.14</v>
      </c>
      <c r="H17" s="786">
        <f>-IF(G17&gt;0,G17,0)</f>
        <v>-2358836.14</v>
      </c>
      <c r="I17" s="785">
        <f>-H17*0.1</f>
        <v>235883.61400000003</v>
      </c>
      <c r="J17" s="780" t="s">
        <v>253</v>
      </c>
      <c r="K17" s="764" t="s">
        <v>263</v>
      </c>
      <c r="L17" s="761" t="s">
        <v>247</v>
      </c>
      <c r="M17" s="792" t="s">
        <v>254</v>
      </c>
    </row>
    <row r="18" spans="1:13" ht="71.25" customHeight="1" x14ac:dyDescent="0.25">
      <c r="A18" s="789" t="s">
        <v>315</v>
      </c>
      <c r="B18" s="739" t="s">
        <v>242</v>
      </c>
      <c r="C18" s="760" t="s">
        <v>232</v>
      </c>
      <c r="D18" s="739" t="s">
        <v>245</v>
      </c>
      <c r="E18" s="760" t="s">
        <v>238</v>
      </c>
      <c r="F18" s="740" t="s">
        <v>186</v>
      </c>
      <c r="G18" s="777">
        <f>141000*3.65</f>
        <v>514650</v>
      </c>
      <c r="H18" s="786">
        <f>-IF(G18&gt;0,G18,0)</f>
        <v>-514650</v>
      </c>
      <c r="I18" s="785">
        <f>-H18*0.04</f>
        <v>20586</v>
      </c>
      <c r="J18" s="780" t="s">
        <v>246</v>
      </c>
      <c r="K18" s="764" t="s">
        <v>263</v>
      </c>
      <c r="L18" s="761" t="s">
        <v>212</v>
      </c>
      <c r="M18" s="792"/>
    </row>
    <row r="19" spans="1:13" ht="67.5" x14ac:dyDescent="0.25">
      <c r="A19" s="789" t="s">
        <v>316</v>
      </c>
      <c r="B19" s="739" t="s">
        <v>258</v>
      </c>
      <c r="C19" s="760" t="s">
        <v>232</v>
      </c>
      <c r="D19" s="739" t="s">
        <v>250</v>
      </c>
      <c r="E19" s="760" t="s">
        <v>236</v>
      </c>
      <c r="F19" s="740" t="s">
        <v>182</v>
      </c>
      <c r="G19" s="776">
        <f>914918*0.2</f>
        <v>182983.6</v>
      </c>
      <c r="H19" s="786">
        <f>-IF(G19&gt;0,G19,0)</f>
        <v>-182983.6</v>
      </c>
      <c r="I19" s="785"/>
      <c r="J19" s="780" t="s">
        <v>251</v>
      </c>
      <c r="K19" s="764" t="s">
        <v>263</v>
      </c>
      <c r="L19" s="761" t="s">
        <v>212</v>
      </c>
      <c r="M19" s="791" t="s">
        <v>252</v>
      </c>
    </row>
    <row r="20" spans="1:13" ht="59.25" customHeight="1" x14ac:dyDescent="0.25">
      <c r="A20" s="789" t="s">
        <v>317</v>
      </c>
      <c r="B20" s="739" t="s">
        <v>227</v>
      </c>
      <c r="C20" s="760" t="s">
        <v>201</v>
      </c>
      <c r="D20" s="739" t="s">
        <v>248</v>
      </c>
      <c r="E20" s="760" t="s">
        <v>225</v>
      </c>
      <c r="F20" s="740" t="s">
        <v>182</v>
      </c>
      <c r="G20" s="776">
        <v>0</v>
      </c>
      <c r="H20" s="784">
        <f t="shared" si="2"/>
        <v>0</v>
      </c>
      <c r="I20" s="785"/>
      <c r="J20" s="780" t="s">
        <v>249</v>
      </c>
      <c r="K20" s="764" t="s">
        <v>263</v>
      </c>
      <c r="L20" s="764" t="s">
        <v>213</v>
      </c>
      <c r="M20" s="791" t="s">
        <v>226</v>
      </c>
    </row>
    <row r="21" spans="1:13" ht="15" customHeight="1" thickBot="1" x14ac:dyDescent="0.3">
      <c r="G21" s="778">
        <f>SUM(G4:G20)</f>
        <v>10474487.664067797</v>
      </c>
      <c r="H21" s="787">
        <f>SUM(H4:H20)</f>
        <v>-8719793.5199999996</v>
      </c>
      <c r="I21" s="788">
        <f>SUM(I4:I20)</f>
        <v>2876496.136067797</v>
      </c>
      <c r="K21" s="729"/>
      <c r="L21" s="729"/>
    </row>
    <row r="28" spans="1:13" ht="15" customHeight="1" x14ac:dyDescent="0.25">
      <c r="B28" s="767" t="s">
        <v>222</v>
      </c>
      <c r="C28" s="39" t="s">
        <v>244</v>
      </c>
      <c r="D28" s="39" t="s">
        <v>234</v>
      </c>
      <c r="E28" s="729"/>
      <c r="F28" s="729"/>
    </row>
    <row r="29" spans="1:13" ht="15" customHeight="1" x14ac:dyDescent="0.25">
      <c r="B29" s="768" t="s">
        <v>205</v>
      </c>
      <c r="C29" s="39">
        <v>0</v>
      </c>
      <c r="D29" s="39"/>
      <c r="E29" s="729"/>
      <c r="F29" s="729"/>
    </row>
    <row r="30" spans="1:13" ht="15" customHeight="1" x14ac:dyDescent="0.25">
      <c r="B30" s="768" t="s">
        <v>208</v>
      </c>
      <c r="C30" s="39">
        <v>0</v>
      </c>
      <c r="D30" s="39">
        <v>1958414.8274576273</v>
      </c>
      <c r="E30" s="729"/>
      <c r="F30" s="729"/>
    </row>
    <row r="31" spans="1:13" ht="15" customHeight="1" x14ac:dyDescent="0.25">
      <c r="B31" s="768" t="s">
        <v>207</v>
      </c>
      <c r="C31" s="39"/>
      <c r="D31" s="39">
        <v>3779808.0681355936</v>
      </c>
      <c r="E31" s="729"/>
      <c r="F31" s="729"/>
    </row>
    <row r="32" spans="1:13" ht="15" customHeight="1" x14ac:dyDescent="0.25">
      <c r="B32" s="768" t="s">
        <v>236</v>
      </c>
      <c r="C32" s="39">
        <v>-5633302.8399999999</v>
      </c>
      <c r="D32" s="39">
        <v>535031.924</v>
      </c>
      <c r="E32" s="729"/>
      <c r="F32" s="729"/>
    </row>
    <row r="33" spans="2:6" ht="15" customHeight="1" x14ac:dyDescent="0.25">
      <c r="B33" s="768" t="s">
        <v>237</v>
      </c>
      <c r="C33" s="39">
        <v>-210000</v>
      </c>
      <c r="D33" s="39"/>
      <c r="E33" s="729"/>
      <c r="F33" s="729"/>
    </row>
    <row r="34" spans="2:6" ht="15" customHeight="1" x14ac:dyDescent="0.25">
      <c r="B34" s="768" t="s">
        <v>238</v>
      </c>
      <c r="C34" s="39">
        <v>-1514650</v>
      </c>
      <c r="D34" s="39">
        <v>20586</v>
      </c>
      <c r="E34" s="729"/>
      <c r="F34" s="729"/>
    </row>
    <row r="35" spans="2:6" ht="15" customHeight="1" x14ac:dyDescent="0.25">
      <c r="B35" s="768" t="s">
        <v>224</v>
      </c>
      <c r="C35" s="39">
        <v>0</v>
      </c>
      <c r="D35" s="39"/>
      <c r="E35" s="729"/>
      <c r="F35" s="729"/>
    </row>
    <row r="36" spans="2:6" ht="15" customHeight="1" x14ac:dyDescent="0.25">
      <c r="B36" s="768" t="s">
        <v>225</v>
      </c>
      <c r="C36" s="39">
        <v>-1087010.1694915255</v>
      </c>
      <c r="D36" s="39"/>
      <c r="E36"/>
      <c r="F36"/>
    </row>
    <row r="37" spans="2:6" ht="15" customHeight="1" x14ac:dyDescent="0.25">
      <c r="B37" s="768" t="s">
        <v>229</v>
      </c>
      <c r="C37" s="39">
        <v>-3582801.216</v>
      </c>
      <c r="D37" s="39">
        <v>0</v>
      </c>
      <c r="E37"/>
      <c r="F37"/>
    </row>
    <row r="38" spans="2:6" ht="15" customHeight="1" x14ac:dyDescent="0.25">
      <c r="B38" s="768" t="s">
        <v>223</v>
      </c>
      <c r="C38" s="39">
        <v>-12027764.225491526</v>
      </c>
      <c r="D38" s="39">
        <v>6293840.81959322</v>
      </c>
      <c r="E38"/>
      <c r="F38"/>
    </row>
    <row r="39" spans="2:6" ht="15" customHeight="1" x14ac:dyDescent="0.25">
      <c r="B39"/>
      <c r="C39"/>
      <c r="D39"/>
      <c r="E39"/>
      <c r="F39"/>
    </row>
    <row r="40" spans="2:6" ht="15" customHeight="1" x14ac:dyDescent="0.25">
      <c r="B40"/>
      <c r="C40"/>
      <c r="D40"/>
      <c r="E40"/>
      <c r="F40"/>
    </row>
    <row r="41" spans="2:6" ht="15" customHeight="1" x14ac:dyDescent="0.25">
      <c r="D41"/>
      <c r="E41"/>
      <c r="F41"/>
    </row>
    <row r="42" spans="2:6" ht="15" customHeight="1" x14ac:dyDescent="0.25">
      <c r="D42"/>
      <c r="E42"/>
      <c r="F42"/>
    </row>
    <row r="43" spans="2:6" ht="15" customHeight="1" x14ac:dyDescent="0.25">
      <c r="D43"/>
      <c r="E43"/>
      <c r="F43"/>
    </row>
    <row r="44" spans="2:6" ht="15" customHeight="1" x14ac:dyDescent="0.25">
      <c r="D44"/>
      <c r="E44"/>
      <c r="F44"/>
    </row>
    <row r="45" spans="2:6" ht="15" customHeight="1" x14ac:dyDescent="0.25">
      <c r="D45"/>
      <c r="E45"/>
      <c r="F45"/>
    </row>
  </sheetData>
  <mergeCells count="1">
    <mergeCell ref="A1:M1"/>
  </mergeCells>
  <phoneticPr fontId="70" type="noConversion"/>
  <conditionalFormatting sqref="D28 F46:F1048576 F1:F27">
    <cfRule type="cellIs" dxfId="10" priority="18" operator="equal">
      <formula>"MODERADA"</formula>
    </cfRule>
    <cfRule type="cellIs" dxfId="9" priority="28" operator="equal">
      <formula>"alta"</formula>
    </cfRule>
    <cfRule type="cellIs" dxfId="8" priority="29" operator="equal">
      <formula>"muy baja"</formula>
    </cfRule>
  </conditionalFormatting>
  <conditionalFormatting sqref="F4:F5 F9:F23">
    <cfRule type="cellIs" dxfId="7" priority="19" operator="equal">
      <formula>"moderada"</formula>
    </cfRule>
  </conditionalFormatting>
  <conditionalFormatting sqref="F4:F13">
    <cfRule type="cellIs" dxfId="6" priority="13" operator="equal">
      <formula>"MUY BAJA"</formula>
    </cfRule>
    <cfRule type="cellIs" dxfId="5" priority="14" operator="equal">
      <formula>"BAJA"</formula>
    </cfRule>
    <cfRule type="cellIs" dxfId="4" priority="15" operator="equal">
      <formula>"MEDIA"</formula>
    </cfRule>
    <cfRule type="cellIs" dxfId="3" priority="16" operator="equal">
      <formula>"ALTA"</formula>
    </cfRule>
    <cfRule type="cellIs" dxfId="2" priority="17" operator="equal">
      <formula>"MUY ALTA"</formula>
    </cfRule>
  </conditionalFormatting>
  <dataValidations count="1">
    <dataValidation type="list" allowBlank="1" showInputMessage="1" showErrorMessage="1" sqref="F4:F20" xr:uid="{00000000-0002-0000-0100-000000000000}">
      <formula1>$AE$5:$AE$6</formula1>
    </dataValidation>
  </dataValidations>
  <pageMargins left="0.70866141732283472" right="0.70866141732283472" top="0.74803149606299213" bottom="0.74803149606299213" header="0.31496062992125984" footer="0.31496062992125984"/>
  <pageSetup paperSize="9" scale="38" fitToHeight="0" orientation="landscape"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pageSetUpPr fitToPage="1"/>
  </sheetPr>
  <dimension ref="A1:CG116"/>
  <sheetViews>
    <sheetView showGridLines="0" view="pageBreakPreview" zoomScale="70" zoomScaleNormal="50" zoomScaleSheetLayoutView="70" workbookViewId="0">
      <pane xSplit="12" ySplit="6" topLeftCell="M7" activePane="bottomRight" state="frozen"/>
      <selection activeCell="CJ48" sqref="CJ48"/>
      <selection pane="topRight" activeCell="CJ48" sqref="CJ48"/>
      <selection pane="bottomLeft" activeCell="CJ48" sqref="CJ48"/>
      <selection pane="bottomRight" activeCell="N5" sqref="N5"/>
    </sheetView>
  </sheetViews>
  <sheetFormatPr baseColWidth="10" defaultColWidth="9.140625" defaultRowHeight="15" outlineLevelRow="1" outlineLevelCol="2" x14ac:dyDescent="0.25"/>
  <cols>
    <col min="1" max="1" width="3.42578125" customWidth="1"/>
    <col min="2" max="2" width="23" customWidth="1"/>
    <col min="3" max="3" width="30.140625" customWidth="1"/>
    <col min="4" max="4" width="1.42578125" customWidth="1" outlineLevel="1"/>
    <col min="5" max="5" width="18.7109375" customWidth="1" outlineLevel="1"/>
    <col min="6" max="6" width="1.42578125" customWidth="1"/>
    <col min="7" max="8" width="16" bestFit="1" customWidth="1"/>
    <col min="9" max="9" width="1.42578125" customWidth="1"/>
    <col min="10" max="11" width="17.140625" customWidth="1"/>
    <col min="12" max="12" width="18.5703125" customWidth="1"/>
    <col min="13" max="13" width="1.7109375" customWidth="1"/>
    <col min="14" max="14" width="14.42578125" customWidth="1" outlineLevel="1"/>
    <col min="15" max="16" width="13.85546875" customWidth="1" outlineLevel="1"/>
    <col min="17" max="17" width="14.140625" customWidth="1" outlineLevel="1"/>
    <col min="18" max="18" width="13.85546875" customWidth="1" outlineLevel="1"/>
    <col min="19" max="19" width="19.5703125" bestFit="1" customWidth="1"/>
    <col min="20" max="20" width="1.42578125" customWidth="1"/>
    <col min="21" max="21" width="22.85546875" customWidth="1"/>
    <col min="22" max="22" width="2.28515625" customWidth="1"/>
    <col min="23" max="23" width="18.140625" hidden="1" customWidth="1"/>
    <col min="24" max="24" width="19.85546875" customWidth="1"/>
    <col min="25" max="25" width="18" bestFit="1" customWidth="1"/>
    <col min="26" max="26" width="15.85546875" customWidth="1" outlineLevel="1"/>
    <col min="27" max="27" width="18.42578125" customWidth="1" outlineLevel="1"/>
    <col min="28" max="28" width="19.28515625" customWidth="1"/>
    <col min="29" max="29" width="1.5703125" customWidth="1" outlineLevel="1"/>
    <col min="30" max="30" width="16.28515625" bestFit="1" customWidth="1" outlineLevel="1"/>
    <col min="31" max="31" width="2.7109375" style="47" customWidth="1"/>
    <col min="32" max="32" width="13" style="47" customWidth="1" outlineLevel="1"/>
    <col min="33" max="33" width="10.42578125" style="47" customWidth="1" outlineLevel="1"/>
    <col min="34" max="34" width="17.42578125" customWidth="1" outlineLevel="1"/>
    <col min="35" max="35" width="2.85546875" customWidth="1"/>
    <col min="36" max="36" width="16.7109375" customWidth="1" outlineLevel="1"/>
    <col min="37" max="37" width="16" customWidth="1" outlineLevel="1"/>
    <col min="38" max="38" width="7.85546875" customWidth="1" outlineLevel="2"/>
    <col min="39" max="39" width="9.5703125" customWidth="1" outlineLevel="2"/>
    <col min="40" max="40" width="8.85546875" customWidth="1" outlineLevel="2"/>
    <col min="41" max="41" width="8.7109375" customWidth="1" outlineLevel="2"/>
    <col min="42" max="42" width="9.28515625" customWidth="1" outlineLevel="2"/>
    <col min="43" max="43" width="8.85546875" customWidth="1" outlineLevel="2"/>
    <col min="44" max="44" width="9.28515625" customWidth="1" outlineLevel="2"/>
    <col min="45" max="45" width="9.5703125" customWidth="1" outlineLevel="2"/>
    <col min="46" max="46" width="9.85546875" customWidth="1" outlineLevel="2"/>
    <col min="47" max="47" width="9.5703125" customWidth="1" outlineLevel="2"/>
    <col min="48" max="48" width="10.140625" customWidth="1" outlineLevel="2"/>
    <col min="49" max="49" width="9" customWidth="1" outlineLevel="2"/>
    <col min="50" max="50" width="10.28515625" customWidth="1" outlineLevel="2"/>
    <col min="51" max="51" width="10.140625" customWidth="1" outlineLevel="2"/>
    <col min="52" max="52" width="9" customWidth="1" outlineLevel="2"/>
    <col min="53" max="53" width="9.28515625" customWidth="1" outlineLevel="2"/>
    <col min="54" max="54" width="10.7109375" customWidth="1" outlineLevel="2"/>
    <col min="55" max="55" width="9.7109375" bestFit="1" customWidth="1" outlineLevel="2"/>
    <col min="56" max="56" width="10.28515625" customWidth="1" outlineLevel="1"/>
    <col min="57" max="58" width="9.28515625" customWidth="1" outlineLevel="1"/>
    <col min="59" max="59" width="10.7109375" customWidth="1" outlineLevel="1"/>
    <col min="60" max="60" width="10.28515625" customWidth="1" outlineLevel="1"/>
    <col min="61" max="61" width="8.42578125" customWidth="1" outlineLevel="1"/>
    <col min="62" max="62" width="7.85546875" customWidth="1" outlineLevel="1"/>
    <col min="63" max="63" width="9.5703125" customWidth="1" outlineLevel="1"/>
    <col min="64" max="64" width="8.42578125" customWidth="1" outlineLevel="1"/>
    <col min="65" max="66" width="9.28515625" customWidth="1" outlineLevel="1"/>
    <col min="67" max="67" width="8.85546875" customWidth="1" outlineLevel="1"/>
    <col min="68" max="68" width="9.28515625" customWidth="1" outlineLevel="2"/>
    <col min="69" max="69" width="9.5703125" customWidth="1" outlineLevel="2"/>
    <col min="70" max="70" width="9.85546875" customWidth="1" outlineLevel="2"/>
    <col min="71" max="71" width="9.5703125" customWidth="1" outlineLevel="2"/>
    <col min="72" max="72" width="10.140625" customWidth="1" outlineLevel="2"/>
    <col min="73" max="73" width="9" customWidth="1" outlineLevel="2"/>
    <col min="74" max="74" width="8.42578125" customWidth="1" outlineLevel="2"/>
    <col min="75" max="75" width="10.140625" customWidth="1" outlineLevel="2"/>
    <col min="76" max="76" width="9" customWidth="1" outlineLevel="2"/>
    <col min="77" max="77" width="9.28515625" customWidth="1" outlineLevel="2"/>
    <col min="78" max="79" width="10.140625" customWidth="1" outlineLevel="2"/>
    <col min="80" max="80" width="9.140625" customWidth="1" outlineLevel="1"/>
    <col min="82" max="82" width="17.42578125" bestFit="1" customWidth="1"/>
    <col min="83" max="83" width="13.5703125" bestFit="1" customWidth="1"/>
  </cols>
  <sheetData>
    <row r="1" spans="1:82" ht="23.25" x14ac:dyDescent="0.35">
      <c r="A1" s="80"/>
      <c r="B1" s="1189" t="str">
        <f>CONCATENATE(B3," - ",B4," - ",B5," - ",B6)</f>
        <v>I.E.N 1182 -  - EL BOSQUE - CERCO + INGRESOS Y CASETAS - CONSOLIDADO</v>
      </c>
      <c r="C1" s="1190"/>
      <c r="D1" s="1190"/>
      <c r="E1" s="1190"/>
      <c r="F1" s="1190"/>
      <c r="G1" s="1190"/>
      <c r="H1" s="1190"/>
      <c r="I1" s="1190"/>
      <c r="J1" s="1190"/>
      <c r="K1" s="1190"/>
      <c r="L1" s="1190"/>
      <c r="M1" s="1190"/>
      <c r="N1" s="1190"/>
      <c r="O1" s="1190"/>
      <c r="P1" s="1190"/>
      <c r="Q1" s="1190"/>
      <c r="R1" s="1190"/>
      <c r="S1" s="1190"/>
      <c r="T1" s="1190"/>
      <c r="U1" s="1190"/>
      <c r="V1" s="1190"/>
      <c r="W1" s="1190"/>
      <c r="X1" s="1190"/>
      <c r="Y1" s="1190"/>
      <c r="Z1" s="1190"/>
      <c r="AA1" s="1190"/>
      <c r="AB1" s="1190"/>
      <c r="AC1" s="1190"/>
      <c r="AD1" s="1191"/>
    </row>
    <row r="2" spans="1:82" ht="16.5" customHeight="1" x14ac:dyDescent="0.3">
      <c r="A2" s="80"/>
      <c r="C2" s="77"/>
      <c r="H2" s="45"/>
      <c r="J2" s="39"/>
      <c r="K2" s="46"/>
      <c r="L2" s="46"/>
      <c r="M2" s="41"/>
      <c r="N2" s="94">
        <f>+YEAR(N5)</f>
        <v>2019</v>
      </c>
      <c r="O2" s="94">
        <f t="shared" ref="O2:R2" si="0">+YEAR(O5)</f>
        <v>2019</v>
      </c>
      <c r="P2" s="94">
        <f t="shared" si="0"/>
        <v>2019</v>
      </c>
      <c r="Q2" s="94">
        <f t="shared" si="0"/>
        <v>2019</v>
      </c>
      <c r="R2" s="94">
        <f t="shared" si="0"/>
        <v>2019</v>
      </c>
      <c r="S2" s="94">
        <f>S5</f>
        <v>2024</v>
      </c>
      <c r="U2" s="34"/>
      <c r="X2" s="53"/>
      <c r="Y2" s="37"/>
      <c r="Z2" s="37"/>
      <c r="AA2" s="37"/>
      <c r="BZ2" s="5"/>
      <c r="CA2" s="5"/>
    </row>
    <row r="3" spans="1:82" s="5" customFormat="1" ht="18.75" customHeight="1" x14ac:dyDescent="0.25">
      <c r="B3" s="311" t="s">
        <v>300</v>
      </c>
      <c r="C3" s="314"/>
      <c r="D3" s="2"/>
      <c r="E3" s="1162" t="s">
        <v>48</v>
      </c>
      <c r="F3" s="3"/>
      <c r="G3" s="1192" t="str">
        <f>+RG!G3</f>
        <v>MES ENERO DEL 2025</v>
      </c>
      <c r="H3" s="1179"/>
      <c r="I3" s="3"/>
      <c r="J3" s="1168" t="s">
        <v>319</v>
      </c>
      <c r="K3" s="1193" t="s">
        <v>39</v>
      </c>
      <c r="L3" s="1196" t="s">
        <v>40</v>
      </c>
      <c r="M3" s="3"/>
      <c r="N3" s="1175" t="s">
        <v>50</v>
      </c>
      <c r="O3" s="1176"/>
      <c r="P3" s="1176"/>
      <c r="Q3" s="1176"/>
      <c r="R3" s="1176"/>
      <c r="S3" s="1177"/>
      <c r="T3" s="3"/>
      <c r="U3" s="1168" t="s">
        <v>41</v>
      </c>
      <c r="V3" s="3"/>
      <c r="W3" s="3"/>
      <c r="X3" s="1199" t="s">
        <v>49</v>
      </c>
      <c r="Y3" s="1200"/>
      <c r="Z3" s="1200"/>
      <c r="AA3" s="1200"/>
      <c r="AB3" s="1201"/>
      <c r="AC3" s="2"/>
      <c r="AD3" s="1193" t="s">
        <v>2</v>
      </c>
      <c r="AE3" s="94"/>
      <c r="AF3" s="94"/>
      <c r="AG3" s="94"/>
      <c r="AJ3" s="1183" t="s">
        <v>30</v>
      </c>
      <c r="AK3" s="1186" t="s">
        <v>35</v>
      </c>
      <c r="AL3" s="1208">
        <v>43647</v>
      </c>
      <c r="AM3" s="1208">
        <v>43678</v>
      </c>
      <c r="AN3" s="1208">
        <v>43709</v>
      </c>
      <c r="AO3" s="1208">
        <v>43739</v>
      </c>
      <c r="AP3" s="1208">
        <v>43770</v>
      </c>
      <c r="AQ3" s="1208">
        <v>43800</v>
      </c>
      <c r="AR3" s="1205">
        <v>43831</v>
      </c>
      <c r="AS3" s="1205">
        <v>43862</v>
      </c>
      <c r="AT3" s="1205">
        <v>43891</v>
      </c>
      <c r="AU3" s="1205">
        <v>43922</v>
      </c>
      <c r="AV3" s="1205">
        <v>43952</v>
      </c>
      <c r="AW3" s="1205">
        <v>43983</v>
      </c>
      <c r="AX3" s="1205">
        <v>44013</v>
      </c>
      <c r="AY3" s="1205">
        <v>44044</v>
      </c>
      <c r="AZ3" s="1205">
        <v>44075</v>
      </c>
      <c r="BA3" s="1205">
        <v>44105</v>
      </c>
      <c r="BB3" s="1205">
        <v>44136</v>
      </c>
      <c r="BC3" s="1205">
        <v>44166</v>
      </c>
      <c r="BD3" s="1211">
        <f>BC3+31</f>
        <v>44197</v>
      </c>
      <c r="BE3" s="1211">
        <f t="shared" ref="BE3:CA3" si="1">BD3+31</f>
        <v>44228</v>
      </c>
      <c r="BF3" s="1211">
        <f t="shared" si="1"/>
        <v>44259</v>
      </c>
      <c r="BG3" s="1211">
        <f t="shared" si="1"/>
        <v>44290</v>
      </c>
      <c r="BH3" s="1211">
        <f t="shared" si="1"/>
        <v>44321</v>
      </c>
      <c r="BI3" s="1211">
        <f t="shared" si="1"/>
        <v>44352</v>
      </c>
      <c r="BJ3" s="1211">
        <f t="shared" si="1"/>
        <v>44383</v>
      </c>
      <c r="BK3" s="1211">
        <f t="shared" si="1"/>
        <v>44414</v>
      </c>
      <c r="BL3" s="1211">
        <f t="shared" si="1"/>
        <v>44445</v>
      </c>
      <c r="BM3" s="1211">
        <f t="shared" si="1"/>
        <v>44476</v>
      </c>
      <c r="BN3" s="1211">
        <f t="shared" si="1"/>
        <v>44507</v>
      </c>
      <c r="BO3" s="1211">
        <f t="shared" si="1"/>
        <v>44538</v>
      </c>
      <c r="BP3" s="1214">
        <f t="shared" si="1"/>
        <v>44569</v>
      </c>
      <c r="BQ3" s="1214">
        <f t="shared" si="1"/>
        <v>44600</v>
      </c>
      <c r="BR3" s="1214">
        <f t="shared" si="1"/>
        <v>44631</v>
      </c>
      <c r="BS3" s="1214">
        <f t="shared" si="1"/>
        <v>44662</v>
      </c>
      <c r="BT3" s="1214">
        <f t="shared" si="1"/>
        <v>44693</v>
      </c>
      <c r="BU3" s="1214">
        <f t="shared" si="1"/>
        <v>44724</v>
      </c>
      <c r="BV3" s="1214">
        <f t="shared" si="1"/>
        <v>44755</v>
      </c>
      <c r="BW3" s="1214">
        <f t="shared" si="1"/>
        <v>44786</v>
      </c>
      <c r="BX3" s="1214">
        <f t="shared" si="1"/>
        <v>44817</v>
      </c>
      <c r="BY3" s="1214">
        <f t="shared" si="1"/>
        <v>44848</v>
      </c>
      <c r="BZ3" s="1214">
        <f t="shared" si="1"/>
        <v>44879</v>
      </c>
      <c r="CA3" s="1214">
        <f t="shared" si="1"/>
        <v>44910</v>
      </c>
    </row>
    <row r="4" spans="1:82" s="5" customFormat="1" ht="15.75" x14ac:dyDescent="0.25">
      <c r="B4" s="312"/>
      <c r="C4" s="314"/>
      <c r="D4" s="2"/>
      <c r="E4" s="1163"/>
      <c r="F4" s="3"/>
      <c r="G4" s="1170"/>
      <c r="H4" s="1181"/>
      <c r="I4" s="3"/>
      <c r="J4" s="1169"/>
      <c r="K4" s="1194"/>
      <c r="L4" s="1197"/>
      <c r="M4" s="3"/>
      <c r="N4" s="309">
        <v>1</v>
      </c>
      <c r="O4" s="309">
        <f>+N4+1</f>
        <v>2</v>
      </c>
      <c r="P4" s="309">
        <f t="shared" ref="P4:R4" si="2">+O4+1</f>
        <v>3</v>
      </c>
      <c r="Q4" s="309">
        <f t="shared" si="2"/>
        <v>4</v>
      </c>
      <c r="R4" s="309">
        <f t="shared" si="2"/>
        <v>5</v>
      </c>
      <c r="S4" s="291" t="s">
        <v>162</v>
      </c>
      <c r="T4" s="3"/>
      <c r="U4" s="1170"/>
      <c r="V4" s="3"/>
      <c r="W4" s="3"/>
      <c r="X4" s="1202"/>
      <c r="Y4" s="1203"/>
      <c r="Z4" s="1203"/>
      <c r="AA4" s="1203"/>
      <c r="AB4" s="1204"/>
      <c r="AC4" s="2"/>
      <c r="AD4" s="1194"/>
      <c r="AE4" s="2"/>
      <c r="AF4" s="2"/>
      <c r="AG4" s="2"/>
      <c r="AJ4" s="1184"/>
      <c r="AK4" s="1187"/>
      <c r="AL4" s="1209"/>
      <c r="AM4" s="1209"/>
      <c r="AN4" s="1209"/>
      <c r="AO4" s="1209"/>
      <c r="AP4" s="1209"/>
      <c r="AQ4" s="1209"/>
      <c r="AR4" s="1206"/>
      <c r="AS4" s="1206"/>
      <c r="AT4" s="1206"/>
      <c r="AU4" s="1206"/>
      <c r="AV4" s="1206"/>
      <c r="AW4" s="1206"/>
      <c r="AX4" s="1206"/>
      <c r="AY4" s="1206"/>
      <c r="AZ4" s="1206"/>
      <c r="BA4" s="1206"/>
      <c r="BB4" s="1206"/>
      <c r="BC4" s="1206"/>
      <c r="BD4" s="1212"/>
      <c r="BE4" s="1212"/>
      <c r="BF4" s="1212"/>
      <c r="BG4" s="1212"/>
      <c r="BH4" s="1212"/>
      <c r="BI4" s="1212"/>
      <c r="BJ4" s="1212"/>
      <c r="BK4" s="1212"/>
      <c r="BL4" s="1212"/>
      <c r="BM4" s="1212"/>
      <c r="BN4" s="1212"/>
      <c r="BO4" s="1212"/>
      <c r="BP4" s="1215"/>
      <c r="BQ4" s="1215"/>
      <c r="BR4" s="1215"/>
      <c r="BS4" s="1215"/>
      <c r="BT4" s="1215"/>
      <c r="BU4" s="1215"/>
      <c r="BV4" s="1215"/>
      <c r="BW4" s="1215"/>
      <c r="BX4" s="1215"/>
      <c r="BY4" s="1215"/>
      <c r="BZ4" s="1215"/>
      <c r="CA4" s="1215"/>
    </row>
    <row r="5" spans="1:82" s="58" customFormat="1" ht="31.5" x14ac:dyDescent="0.25">
      <c r="B5" s="805" t="s">
        <v>301</v>
      </c>
      <c r="C5" s="59"/>
      <c r="D5" s="59"/>
      <c r="E5" s="63" t="s">
        <v>3</v>
      </c>
      <c r="F5" s="60"/>
      <c r="G5" s="61" t="s">
        <v>4</v>
      </c>
      <c r="H5" s="61" t="s">
        <v>5</v>
      </c>
      <c r="I5" s="60"/>
      <c r="J5" s="1170"/>
      <c r="K5" s="1195"/>
      <c r="L5" s="1198"/>
      <c r="M5" s="60"/>
      <c r="N5" s="62">
        <v>43648</v>
      </c>
      <c r="O5" s="62">
        <f t="shared" ref="O5:R5" si="3">+N5+31</f>
        <v>43679</v>
      </c>
      <c r="P5" s="62">
        <f t="shared" si="3"/>
        <v>43710</v>
      </c>
      <c r="Q5" s="62">
        <f t="shared" si="3"/>
        <v>43741</v>
      </c>
      <c r="R5" s="62">
        <f t="shared" si="3"/>
        <v>43772</v>
      </c>
      <c r="S5" s="61">
        <v>2024</v>
      </c>
      <c r="T5" s="60"/>
      <c r="U5" s="61">
        <v>2024</v>
      </c>
      <c r="V5" s="60"/>
      <c r="W5" s="742" t="s">
        <v>188</v>
      </c>
      <c r="X5" s="62" t="s">
        <v>6</v>
      </c>
      <c r="Y5" s="61" t="s">
        <v>7</v>
      </c>
      <c r="Z5" s="61" t="s">
        <v>36</v>
      </c>
      <c r="AA5" s="63" t="s">
        <v>125</v>
      </c>
      <c r="AB5" s="63" t="s">
        <v>37</v>
      </c>
      <c r="AC5" s="59"/>
      <c r="AD5" s="61" t="s">
        <v>7</v>
      </c>
      <c r="AE5" s="452"/>
      <c r="AF5" s="452"/>
      <c r="AG5" s="452"/>
      <c r="AJ5" s="1185"/>
      <c r="AK5" s="1188"/>
      <c r="AL5" s="1210"/>
      <c r="AM5" s="1210"/>
      <c r="AN5" s="1210"/>
      <c r="AO5" s="1210"/>
      <c r="AP5" s="1210"/>
      <c r="AQ5" s="1210"/>
      <c r="AR5" s="1207"/>
      <c r="AS5" s="1207"/>
      <c r="AT5" s="1207"/>
      <c r="AU5" s="1207"/>
      <c r="AV5" s="1207"/>
      <c r="AW5" s="1207"/>
      <c r="AX5" s="1207"/>
      <c r="AY5" s="1207"/>
      <c r="AZ5" s="1207"/>
      <c r="BA5" s="1207"/>
      <c r="BB5" s="1207"/>
      <c r="BC5" s="1207"/>
      <c r="BD5" s="1213"/>
      <c r="BE5" s="1213"/>
      <c r="BF5" s="1213"/>
      <c r="BG5" s="1213"/>
      <c r="BH5" s="1213"/>
      <c r="BI5" s="1213"/>
      <c r="BJ5" s="1213"/>
      <c r="BK5" s="1213"/>
      <c r="BL5" s="1213"/>
      <c r="BM5" s="1213"/>
      <c r="BN5" s="1213"/>
      <c r="BO5" s="1213"/>
      <c r="BP5" s="1216"/>
      <c r="BQ5" s="1216"/>
      <c r="BR5" s="1216"/>
      <c r="BS5" s="1216"/>
      <c r="BT5" s="1216"/>
      <c r="BU5" s="1216"/>
      <c r="BV5" s="1216"/>
      <c r="BW5" s="1216"/>
      <c r="BX5" s="1216"/>
      <c r="BY5" s="1216"/>
      <c r="BZ5" s="1216"/>
      <c r="CA5" s="1216"/>
    </row>
    <row r="6" spans="1:82" s="5" customFormat="1" ht="16.5" customHeight="1" x14ac:dyDescent="0.25">
      <c r="B6" s="312" t="s">
        <v>128</v>
      </c>
      <c r="C6" s="2"/>
      <c r="D6" s="2"/>
      <c r="E6" s="2"/>
      <c r="F6" s="2"/>
      <c r="G6" s="2"/>
      <c r="H6" s="2"/>
      <c r="I6" s="2"/>
      <c r="J6" s="2"/>
      <c r="K6" s="2"/>
      <c r="L6" s="2"/>
      <c r="M6" s="2"/>
      <c r="N6" s="252"/>
      <c r="O6" s="252"/>
      <c r="P6" s="252"/>
      <c r="Q6" s="252"/>
      <c r="R6" s="252"/>
      <c r="S6" s="252"/>
      <c r="T6" s="2"/>
      <c r="U6" s="2"/>
      <c r="V6" s="2"/>
      <c r="W6" s="2"/>
      <c r="X6" s="2"/>
      <c r="Y6" s="2"/>
      <c r="Z6" s="2"/>
      <c r="AA6" s="2"/>
      <c r="AB6" s="2"/>
      <c r="AC6" s="2"/>
      <c r="AD6" s="2"/>
      <c r="AE6" s="94"/>
      <c r="AF6" s="94"/>
      <c r="AG6" s="94"/>
      <c r="AJ6" s="527"/>
      <c r="AQ6" s="313"/>
      <c r="AR6" s="313"/>
      <c r="AS6" s="313"/>
      <c r="AT6" s="313"/>
      <c r="AU6" s="313"/>
      <c r="AV6" s="313"/>
      <c r="AW6" s="313"/>
      <c r="AX6" s="313"/>
    </row>
    <row r="7" spans="1:82" s="5" customFormat="1" ht="20.25" customHeight="1" x14ac:dyDescent="0.3">
      <c r="B7" s="56" t="s">
        <v>32</v>
      </c>
      <c r="C7" s="57"/>
      <c r="D7" s="2"/>
      <c r="E7" s="650" t="e">
        <f>+E9</f>
        <v>#REF!</v>
      </c>
      <c r="F7" s="87"/>
      <c r="G7" s="606" t="e">
        <f>+G9</f>
        <v>#REF!</v>
      </c>
      <c r="H7" s="608" t="e">
        <f>+H9</f>
        <v>#REF!</v>
      </c>
      <c r="I7" s="87"/>
      <c r="J7" s="606" t="e">
        <f>+J9</f>
        <v>#REF!</v>
      </c>
      <c r="K7" s="607" t="e">
        <f>+K9</f>
        <v>#REF!</v>
      </c>
      <c r="L7" s="608" t="e">
        <f>+L9</f>
        <v>#REF!</v>
      </c>
      <c r="M7" s="87"/>
      <c r="N7" s="606" t="e">
        <f t="shared" ref="N7:R7" si="4">+N9</f>
        <v>#REF!</v>
      </c>
      <c r="O7" s="607" t="e">
        <f t="shared" si="4"/>
        <v>#REF!</v>
      </c>
      <c r="P7" s="607" t="e">
        <f t="shared" si="4"/>
        <v>#REF!</v>
      </c>
      <c r="Q7" s="607" t="e">
        <f t="shared" si="4"/>
        <v>#REF!</v>
      </c>
      <c r="R7" s="607" t="e">
        <f t="shared" si="4"/>
        <v>#REF!</v>
      </c>
      <c r="S7" s="608">
        <f>+S9</f>
        <v>0</v>
      </c>
      <c r="T7" s="87"/>
      <c r="U7" s="606">
        <f>+U9</f>
        <v>0</v>
      </c>
      <c r="V7" s="87"/>
      <c r="W7" s="606" t="e">
        <f t="shared" ref="W7:AB7" si="5">+W9</f>
        <v>#REF!</v>
      </c>
      <c r="X7" s="606" t="e">
        <f t="shared" si="5"/>
        <v>#REF!</v>
      </c>
      <c r="Y7" s="607" t="e">
        <f t="shared" si="5"/>
        <v>#REF!</v>
      </c>
      <c r="Z7" s="607" t="e">
        <f t="shared" si="5"/>
        <v>#REF!</v>
      </c>
      <c r="AA7" s="607" t="e">
        <f t="shared" si="5"/>
        <v>#REF!</v>
      </c>
      <c r="AB7" s="608" t="e">
        <f t="shared" si="5"/>
        <v>#REF!</v>
      </c>
      <c r="AC7" s="87"/>
      <c r="AD7" s="650" t="e">
        <f>+AD9</f>
        <v>#REF!</v>
      </c>
      <c r="AE7" s="444"/>
      <c r="AF7" s="531" t="e">
        <f>+AB7-X7</f>
        <v>#REF!</v>
      </c>
      <c r="AG7" s="444"/>
      <c r="AH7" s="295"/>
      <c r="AI7" s="295"/>
      <c r="AJ7" s="392" t="e">
        <f>+AJ9</f>
        <v>#REF!</v>
      </c>
      <c r="AK7" s="393" t="e">
        <f t="shared" ref="AK7:AZ7" si="6">+AK9</f>
        <v>#REF!</v>
      </c>
      <c r="AL7" s="393" t="e">
        <f t="shared" si="6"/>
        <v>#REF!</v>
      </c>
      <c r="AM7" s="393" t="e">
        <f t="shared" si="6"/>
        <v>#REF!</v>
      </c>
      <c r="AN7" s="393" t="e">
        <f t="shared" si="6"/>
        <v>#REF!</v>
      </c>
      <c r="AO7" s="393" t="e">
        <f t="shared" si="6"/>
        <v>#REF!</v>
      </c>
      <c r="AP7" s="393" t="e">
        <f t="shared" si="6"/>
        <v>#REF!</v>
      </c>
      <c r="AQ7" s="393" t="e">
        <f t="shared" si="6"/>
        <v>#REF!</v>
      </c>
      <c r="AR7" s="393" t="e">
        <f t="shared" si="6"/>
        <v>#REF!</v>
      </c>
      <c r="AS7" s="393" t="e">
        <f t="shared" si="6"/>
        <v>#REF!</v>
      </c>
      <c r="AT7" s="393" t="e">
        <f t="shared" si="6"/>
        <v>#REF!</v>
      </c>
      <c r="AU7" s="393" t="e">
        <f t="shared" si="6"/>
        <v>#REF!</v>
      </c>
      <c r="AV7" s="393" t="e">
        <f t="shared" si="6"/>
        <v>#REF!</v>
      </c>
      <c r="AW7" s="393" t="e">
        <f t="shared" si="6"/>
        <v>#REF!</v>
      </c>
      <c r="AX7" s="393" t="e">
        <f t="shared" si="6"/>
        <v>#REF!</v>
      </c>
      <c r="AY7" s="393" t="e">
        <f t="shared" si="6"/>
        <v>#REF!</v>
      </c>
      <c r="AZ7" s="393" t="e">
        <f t="shared" si="6"/>
        <v>#REF!</v>
      </c>
      <c r="BA7" s="393" t="e">
        <f>+BA9</f>
        <v>#REF!</v>
      </c>
      <c r="BB7" s="393" t="e">
        <f t="shared" ref="BB7:BX7" si="7">+BB9</f>
        <v>#REF!</v>
      </c>
      <c r="BC7" s="393" t="e">
        <f t="shared" si="7"/>
        <v>#REF!</v>
      </c>
      <c r="BD7" s="393" t="e">
        <f t="shared" si="7"/>
        <v>#REF!</v>
      </c>
      <c r="BE7" s="393" t="e">
        <f t="shared" si="7"/>
        <v>#REF!</v>
      </c>
      <c r="BF7" s="393" t="e">
        <f t="shared" si="7"/>
        <v>#REF!</v>
      </c>
      <c r="BG7" s="393" t="e">
        <f t="shared" si="7"/>
        <v>#REF!</v>
      </c>
      <c r="BH7" s="393" t="e">
        <f t="shared" si="7"/>
        <v>#REF!</v>
      </c>
      <c r="BI7" s="393" t="e">
        <f t="shared" si="7"/>
        <v>#REF!</v>
      </c>
      <c r="BJ7" s="393" t="e">
        <f t="shared" si="7"/>
        <v>#REF!</v>
      </c>
      <c r="BK7" s="393" t="e">
        <f t="shared" si="7"/>
        <v>#REF!</v>
      </c>
      <c r="BL7" s="393" t="e">
        <f t="shared" si="7"/>
        <v>#REF!</v>
      </c>
      <c r="BM7" s="393" t="e">
        <f t="shared" si="7"/>
        <v>#REF!</v>
      </c>
      <c r="BN7" s="393" t="e">
        <f t="shared" si="7"/>
        <v>#REF!</v>
      </c>
      <c r="BO7" s="393" t="e">
        <f t="shared" si="7"/>
        <v>#REF!</v>
      </c>
      <c r="BP7" s="393" t="e">
        <f t="shared" si="7"/>
        <v>#REF!</v>
      </c>
      <c r="BQ7" s="393" t="e">
        <f t="shared" si="7"/>
        <v>#REF!</v>
      </c>
      <c r="BR7" s="393" t="e">
        <f t="shared" si="7"/>
        <v>#REF!</v>
      </c>
      <c r="BS7" s="393" t="e">
        <f t="shared" si="7"/>
        <v>#REF!</v>
      </c>
      <c r="BT7" s="393" t="e">
        <f t="shared" si="7"/>
        <v>#REF!</v>
      </c>
      <c r="BU7" s="393" t="e">
        <f t="shared" si="7"/>
        <v>#REF!</v>
      </c>
      <c r="BV7" s="393" t="e">
        <f t="shared" si="7"/>
        <v>#REF!</v>
      </c>
      <c r="BW7" s="393" t="e">
        <f t="shared" si="7"/>
        <v>#REF!</v>
      </c>
      <c r="BX7" s="393" t="e">
        <f t="shared" si="7"/>
        <v>#REF!</v>
      </c>
      <c r="BY7" s="393" t="e">
        <f>+BY9</f>
        <v>#REF!</v>
      </c>
      <c r="BZ7" s="393" t="e">
        <f>+BZ9</f>
        <v>#REF!</v>
      </c>
      <c r="CA7" s="393" t="e">
        <f>+CA9</f>
        <v>#REF!</v>
      </c>
      <c r="CB7" s="295"/>
    </row>
    <row r="8" spans="1:82" s="5" customFormat="1" ht="7.5" customHeight="1" x14ac:dyDescent="0.3">
      <c r="B8" s="2"/>
      <c r="C8" s="2"/>
      <c r="D8" s="2"/>
      <c r="E8" s="87"/>
      <c r="F8" s="87"/>
      <c r="G8" s="87"/>
      <c r="H8" s="87"/>
      <c r="I8" s="87"/>
      <c r="J8" s="87"/>
      <c r="K8" s="87"/>
      <c r="L8" s="87"/>
      <c r="M8" s="87"/>
      <c r="N8" s="87"/>
      <c r="O8" s="87"/>
      <c r="P8" s="87"/>
      <c r="Q8" s="87"/>
      <c r="R8" s="87"/>
      <c r="S8" s="87"/>
      <c r="T8" s="87"/>
      <c r="U8" s="87"/>
      <c r="V8" s="87"/>
      <c r="W8" s="87"/>
      <c r="X8" s="87"/>
      <c r="Y8" s="87"/>
      <c r="Z8" s="87"/>
      <c r="AA8" s="87"/>
      <c r="AB8" s="87"/>
      <c r="AC8" s="87"/>
      <c r="AD8" s="87"/>
      <c r="AE8" s="293"/>
      <c r="AF8" s="532"/>
      <c r="AG8" s="293"/>
      <c r="AH8" s="295"/>
      <c r="AI8" s="295"/>
      <c r="AJ8" s="394"/>
      <c r="AK8" s="394"/>
      <c r="AL8" s="394"/>
      <c r="AM8" s="394"/>
      <c r="AN8" s="394"/>
      <c r="AO8" s="394"/>
      <c r="AP8" s="394"/>
      <c r="AQ8" s="394"/>
      <c r="AR8" s="394"/>
      <c r="AS8" s="394"/>
      <c r="AT8" s="394"/>
      <c r="AU8" s="394"/>
      <c r="AV8" s="394"/>
      <c r="AW8" s="394"/>
      <c r="AX8" s="394"/>
      <c r="AY8" s="394"/>
      <c r="AZ8" s="394"/>
      <c r="BA8" s="394"/>
      <c r="BB8" s="394"/>
      <c r="BC8" s="394"/>
      <c r="BD8" s="394"/>
      <c r="BE8" s="394"/>
      <c r="BF8" s="394"/>
      <c r="BG8" s="394"/>
      <c r="BH8" s="394"/>
      <c r="BI8" s="394"/>
      <c r="BJ8" s="394"/>
      <c r="BK8" s="394"/>
      <c r="BL8" s="394"/>
      <c r="BM8" s="394"/>
      <c r="BN8" s="394"/>
      <c r="BO8" s="394"/>
      <c r="BP8" s="394"/>
      <c r="BQ8" s="394"/>
      <c r="BR8" s="394"/>
      <c r="BS8" s="394"/>
      <c r="BT8" s="394"/>
      <c r="BU8" s="394"/>
      <c r="BV8" s="394"/>
      <c r="BW8" s="394"/>
      <c r="BX8" s="394"/>
      <c r="BY8" s="394"/>
      <c r="BZ8" s="394"/>
      <c r="CA8" s="394"/>
      <c r="CB8" s="295"/>
    </row>
    <row r="9" spans="1:82" s="5" customFormat="1" ht="18.75" x14ac:dyDescent="0.3">
      <c r="B9" s="9" t="s">
        <v>153</v>
      </c>
      <c r="C9" s="10"/>
      <c r="D9" s="2"/>
      <c r="E9" s="663" t="e">
        <f>+SUM(E11:E14)</f>
        <v>#REF!</v>
      </c>
      <c r="F9" s="87"/>
      <c r="G9" s="609" t="e">
        <f>+SUM(G11:G14)</f>
        <v>#REF!</v>
      </c>
      <c r="H9" s="611" t="e">
        <f>+SUM(H11:H14)</f>
        <v>#REF!</v>
      </c>
      <c r="I9" s="87"/>
      <c r="J9" s="609" t="e">
        <f>+SUM(J11:J14)</f>
        <v>#REF!</v>
      </c>
      <c r="K9" s="610" t="e">
        <f>+SUM(K11:K14)</f>
        <v>#REF!</v>
      </c>
      <c r="L9" s="611" t="e">
        <f>+SUM(L11:L14)</f>
        <v>#REF!</v>
      </c>
      <c r="M9" s="87"/>
      <c r="N9" s="609" t="e">
        <f t="shared" ref="N9:S9" si="8">+SUM(N11:N14)</f>
        <v>#REF!</v>
      </c>
      <c r="O9" s="610" t="e">
        <f t="shared" si="8"/>
        <v>#REF!</v>
      </c>
      <c r="P9" s="610" t="e">
        <f t="shared" si="8"/>
        <v>#REF!</v>
      </c>
      <c r="Q9" s="610" t="e">
        <f t="shared" si="8"/>
        <v>#REF!</v>
      </c>
      <c r="R9" s="610" t="e">
        <f t="shared" si="8"/>
        <v>#REF!</v>
      </c>
      <c r="S9" s="611">
        <f t="shared" si="8"/>
        <v>0</v>
      </c>
      <c r="T9" s="87"/>
      <c r="U9" s="609">
        <f>+SUM(U11:U14)</f>
        <v>0</v>
      </c>
      <c r="V9" s="87"/>
      <c r="W9" s="609" t="e">
        <f t="shared" ref="W9:AB9" si="9">+SUM(W11:W14)</f>
        <v>#REF!</v>
      </c>
      <c r="X9" s="609" t="e">
        <f t="shared" si="9"/>
        <v>#REF!</v>
      </c>
      <c r="Y9" s="610" t="e">
        <f t="shared" si="9"/>
        <v>#REF!</v>
      </c>
      <c r="Z9" s="610" t="e">
        <f t="shared" si="9"/>
        <v>#REF!</v>
      </c>
      <c r="AA9" s="610" t="e">
        <f t="shared" si="9"/>
        <v>#REF!</v>
      </c>
      <c r="AB9" s="611" t="e">
        <f t="shared" si="9"/>
        <v>#REF!</v>
      </c>
      <c r="AC9" s="87"/>
      <c r="AD9" s="663" t="e">
        <f>+SUM(AD11:AD14)</f>
        <v>#REF!</v>
      </c>
      <c r="AE9" s="444"/>
      <c r="AF9" s="531" t="e">
        <f>+AB9-X9</f>
        <v>#REF!</v>
      </c>
      <c r="AG9" s="444" t="e">
        <f>+X9-Y9</f>
        <v>#REF!</v>
      </c>
      <c r="AH9" s="295"/>
      <c r="AI9" s="295"/>
      <c r="AJ9" s="395" t="e">
        <f t="shared" ref="AJ9:CA9" si="10">+SUM(AJ11:AJ14)</f>
        <v>#REF!</v>
      </c>
      <c r="AK9" s="395" t="e">
        <f t="shared" si="10"/>
        <v>#REF!</v>
      </c>
      <c r="AL9" s="395" t="e">
        <f t="shared" si="10"/>
        <v>#REF!</v>
      </c>
      <c r="AM9" s="395" t="e">
        <f t="shared" si="10"/>
        <v>#REF!</v>
      </c>
      <c r="AN9" s="395" t="e">
        <f t="shared" si="10"/>
        <v>#REF!</v>
      </c>
      <c r="AO9" s="395" t="e">
        <f t="shared" si="10"/>
        <v>#REF!</v>
      </c>
      <c r="AP9" s="395" t="e">
        <f t="shared" si="10"/>
        <v>#REF!</v>
      </c>
      <c r="AQ9" s="395" t="e">
        <f t="shared" si="10"/>
        <v>#REF!</v>
      </c>
      <c r="AR9" s="395" t="e">
        <f t="shared" si="10"/>
        <v>#REF!</v>
      </c>
      <c r="AS9" s="395" t="e">
        <f t="shared" si="10"/>
        <v>#REF!</v>
      </c>
      <c r="AT9" s="395" t="e">
        <f t="shared" si="10"/>
        <v>#REF!</v>
      </c>
      <c r="AU9" s="395" t="e">
        <f t="shared" si="10"/>
        <v>#REF!</v>
      </c>
      <c r="AV9" s="395" t="e">
        <f t="shared" si="10"/>
        <v>#REF!</v>
      </c>
      <c r="AW9" s="395" t="e">
        <f t="shared" si="10"/>
        <v>#REF!</v>
      </c>
      <c r="AX9" s="395" t="e">
        <f t="shared" si="10"/>
        <v>#REF!</v>
      </c>
      <c r="AY9" s="395" t="e">
        <f t="shared" si="10"/>
        <v>#REF!</v>
      </c>
      <c r="AZ9" s="395" t="e">
        <f t="shared" si="10"/>
        <v>#REF!</v>
      </c>
      <c r="BA9" s="395" t="e">
        <f t="shared" si="10"/>
        <v>#REF!</v>
      </c>
      <c r="BB9" s="395" t="e">
        <f t="shared" si="10"/>
        <v>#REF!</v>
      </c>
      <c r="BC9" s="526" t="e">
        <f t="shared" si="10"/>
        <v>#REF!</v>
      </c>
      <c r="BD9" s="395" t="e">
        <f t="shared" si="10"/>
        <v>#REF!</v>
      </c>
      <c r="BE9" s="395" t="e">
        <f t="shared" si="10"/>
        <v>#REF!</v>
      </c>
      <c r="BF9" s="395" t="e">
        <f t="shared" si="10"/>
        <v>#REF!</v>
      </c>
      <c r="BG9" s="395" t="e">
        <f t="shared" si="10"/>
        <v>#REF!</v>
      </c>
      <c r="BH9" s="395" t="e">
        <f t="shared" si="10"/>
        <v>#REF!</v>
      </c>
      <c r="BI9" s="395" t="e">
        <f t="shared" si="10"/>
        <v>#REF!</v>
      </c>
      <c r="BJ9" s="395" t="e">
        <f t="shared" si="10"/>
        <v>#REF!</v>
      </c>
      <c r="BK9" s="395" t="e">
        <f t="shared" si="10"/>
        <v>#REF!</v>
      </c>
      <c r="BL9" s="395" t="e">
        <f t="shared" si="10"/>
        <v>#REF!</v>
      </c>
      <c r="BM9" s="395" t="e">
        <f t="shared" si="10"/>
        <v>#REF!</v>
      </c>
      <c r="BN9" s="395" t="e">
        <f t="shared" si="10"/>
        <v>#REF!</v>
      </c>
      <c r="BO9" s="395" t="e">
        <f t="shared" si="10"/>
        <v>#REF!</v>
      </c>
      <c r="BP9" s="395" t="e">
        <f t="shared" si="10"/>
        <v>#REF!</v>
      </c>
      <c r="BQ9" s="395" t="e">
        <f t="shared" si="10"/>
        <v>#REF!</v>
      </c>
      <c r="BR9" s="395" t="e">
        <f t="shared" si="10"/>
        <v>#REF!</v>
      </c>
      <c r="BS9" s="395" t="e">
        <f t="shared" si="10"/>
        <v>#REF!</v>
      </c>
      <c r="BT9" s="395" t="e">
        <f t="shared" si="10"/>
        <v>#REF!</v>
      </c>
      <c r="BU9" s="395" t="e">
        <f t="shared" si="10"/>
        <v>#REF!</v>
      </c>
      <c r="BV9" s="395" t="e">
        <f t="shared" si="10"/>
        <v>#REF!</v>
      </c>
      <c r="BW9" s="395" t="e">
        <f t="shared" si="10"/>
        <v>#REF!</v>
      </c>
      <c r="BX9" s="395" t="e">
        <f t="shared" si="10"/>
        <v>#REF!</v>
      </c>
      <c r="BY9" s="395" t="e">
        <f t="shared" si="10"/>
        <v>#REF!</v>
      </c>
      <c r="BZ9" s="395" t="e">
        <f t="shared" si="10"/>
        <v>#REF!</v>
      </c>
      <c r="CA9" s="526" t="e">
        <f t="shared" si="10"/>
        <v>#REF!</v>
      </c>
      <c r="CB9" s="295"/>
    </row>
    <row r="10" spans="1:82" s="5" customFormat="1" ht="7.5" customHeight="1" x14ac:dyDescent="0.3">
      <c r="E10" s="499"/>
      <c r="F10" s="499"/>
      <c r="G10" s="499"/>
      <c r="H10" s="499"/>
      <c r="I10" s="499"/>
      <c r="J10" s="499"/>
      <c r="K10" s="499"/>
      <c r="L10" s="499"/>
      <c r="M10" s="499"/>
      <c r="N10" s="499"/>
      <c r="O10" s="499"/>
      <c r="P10" s="499"/>
      <c r="Q10" s="499"/>
      <c r="R10" s="499"/>
      <c r="S10" s="499"/>
      <c r="T10" s="499"/>
      <c r="U10" s="499"/>
      <c r="V10" s="499"/>
      <c r="W10" s="499"/>
      <c r="X10" s="499"/>
      <c r="Y10" s="499"/>
      <c r="Z10" s="499"/>
      <c r="AA10" s="499"/>
      <c r="AB10" s="499"/>
      <c r="AC10" s="499"/>
      <c r="AD10" s="499"/>
      <c r="AE10" s="293"/>
      <c r="AF10" s="532"/>
      <c r="AG10" s="293"/>
      <c r="AH10" s="295"/>
      <c r="AI10" s="295"/>
      <c r="AJ10" s="396"/>
      <c r="AK10" s="396"/>
      <c r="AL10" s="396"/>
      <c r="AM10" s="396"/>
      <c r="AN10" s="396"/>
      <c r="AO10" s="396"/>
      <c r="AP10" s="396"/>
      <c r="AQ10" s="396"/>
      <c r="AR10" s="396"/>
      <c r="AS10" s="396"/>
      <c r="AT10" s="396"/>
      <c r="AU10" s="396"/>
      <c r="AV10" s="396"/>
      <c r="AW10" s="396"/>
      <c r="AX10" s="396"/>
      <c r="AY10" s="396"/>
      <c r="AZ10" s="396"/>
      <c r="BA10" s="396"/>
      <c r="BB10" s="396"/>
      <c r="BC10" s="396"/>
      <c r="BD10" s="396"/>
      <c r="BE10" s="396"/>
      <c r="BF10" s="396"/>
      <c r="BG10" s="396"/>
      <c r="BH10" s="396"/>
      <c r="BI10" s="396"/>
      <c r="BJ10" s="396"/>
      <c r="BK10" s="396"/>
      <c r="BL10" s="396"/>
      <c r="BM10" s="396"/>
      <c r="BN10" s="396"/>
      <c r="BO10" s="396"/>
      <c r="BP10" s="396"/>
      <c r="BQ10" s="396"/>
      <c r="BR10" s="396"/>
      <c r="BS10" s="396"/>
      <c r="BT10" s="396"/>
      <c r="BU10" s="396"/>
      <c r="BV10" s="396"/>
      <c r="BW10" s="396"/>
      <c r="BX10" s="396"/>
      <c r="BY10" s="396"/>
      <c r="BZ10" s="396"/>
      <c r="CA10" s="396"/>
      <c r="CB10" s="295"/>
    </row>
    <row r="11" spans="1:82" s="5" customFormat="1" ht="18.75" x14ac:dyDescent="0.3">
      <c r="B11" s="13" t="s">
        <v>151</v>
      </c>
      <c r="C11" s="14"/>
      <c r="E11" s="476" t="e">
        <f>+'DIRECTO '!E11+#REF!</f>
        <v>#REF!</v>
      </c>
      <c r="F11" s="499"/>
      <c r="G11" s="612" t="e">
        <f>+'DIRECTO '!G11+#REF!</f>
        <v>#REF!</v>
      </c>
      <c r="H11" s="523" t="e">
        <f>+'DIRECTO '!H11+#REF!</f>
        <v>#REF!</v>
      </c>
      <c r="I11" s="499"/>
      <c r="J11" s="635" t="e">
        <f>+'DIRECTO '!J11+#REF!</f>
        <v>#REF!</v>
      </c>
      <c r="K11" s="613" t="e">
        <f>+'DIRECTO '!K11+#REF!</f>
        <v>#REF!</v>
      </c>
      <c r="L11" s="520" t="e">
        <f>+SUM(N11:R11)</f>
        <v>#REF!</v>
      </c>
      <c r="M11" s="499"/>
      <c r="N11" s="679" t="e">
        <f>+'DIRECTO '!N11+#REF!</f>
        <v>#REF!</v>
      </c>
      <c r="O11" s="680" t="e">
        <f>+'DIRECTO '!O11+#REF!</f>
        <v>#REF!</v>
      </c>
      <c r="P11" s="680" t="e">
        <f>+'DIRECTO '!P11+#REF!</f>
        <v>#REF!</v>
      </c>
      <c r="Q11" s="680" t="e">
        <f>+'DIRECTO '!Q11+#REF!</f>
        <v>#REF!</v>
      </c>
      <c r="R11" s="680" t="e">
        <f>+'DIRECTO '!R11+#REF!</f>
        <v>#REF!</v>
      </c>
      <c r="S11" s="636">
        <f>+SUMIFS(N11:R11,N$2:R$2,$S$5)</f>
        <v>0</v>
      </c>
      <c r="T11" s="499"/>
      <c r="U11" s="612">
        <f>+SUMIFS(N11:S11,N$2:S$2,$U$5)</f>
        <v>0</v>
      </c>
      <c r="V11" s="499"/>
      <c r="W11" s="612" t="e">
        <f>+X11</f>
        <v>#REF!</v>
      </c>
      <c r="X11" s="612" t="e">
        <f>+K11+L11</f>
        <v>#REF!</v>
      </c>
      <c r="Y11" s="613" t="e">
        <f>+'DIRECTO '!Z11+#REF!</f>
        <v>#REF!</v>
      </c>
      <c r="Z11" s="613" t="e">
        <f>+'DIRECTO '!AA11+#REF!</f>
        <v>#REF!</v>
      </c>
      <c r="AA11" s="613" t="e">
        <f>+'DIRECTO '!AB11+#REF!</f>
        <v>#REF!</v>
      </c>
      <c r="AB11" s="520" t="e">
        <f>+'DIRECTO '!AC11+#REF!</f>
        <v>#REF!</v>
      </c>
      <c r="AC11" s="499"/>
      <c r="AD11" s="476" t="e">
        <f>+'DIRECTO '!AE11+#REF!</f>
        <v>#REF!</v>
      </c>
      <c r="AE11" s="444"/>
      <c r="AF11" s="531" t="e">
        <f>+AB11-X11</f>
        <v>#REF!</v>
      </c>
      <c r="AG11" s="444" t="e">
        <f t="shared" ref="AG11:AG14" si="11">+X11-Y11</f>
        <v>#REF!</v>
      </c>
      <c r="AH11" s="295"/>
      <c r="AI11" s="295"/>
      <c r="AJ11" s="397" t="e">
        <f>SUM(AK11:CA11)</f>
        <v>#REF!</v>
      </c>
      <c r="AK11" s="398" t="e">
        <f>+'DIRECTO '!AK11+#REF!</f>
        <v>#REF!</v>
      </c>
      <c r="AL11" s="398" t="e">
        <f>+'DIRECTO '!AM11+#REF!</f>
        <v>#REF!</v>
      </c>
      <c r="AM11" s="398" t="e">
        <f>+'DIRECTO '!AN11+#REF!</f>
        <v>#REF!</v>
      </c>
      <c r="AN11" s="398" t="e">
        <f>+'DIRECTO '!AO11+#REF!</f>
        <v>#REF!</v>
      </c>
      <c r="AO11" s="398" t="e">
        <f>+'DIRECTO '!AP11+#REF!</f>
        <v>#REF!</v>
      </c>
      <c r="AP11" s="398" t="e">
        <f>+'DIRECTO '!AQ11+#REF!</f>
        <v>#REF!</v>
      </c>
      <c r="AQ11" s="398" t="e">
        <f>+'DIRECTO '!#REF!+#REF!</f>
        <v>#REF!</v>
      </c>
      <c r="AR11" s="398" t="e">
        <f>+'DIRECTO '!#REF!+#REF!</f>
        <v>#REF!</v>
      </c>
      <c r="AS11" s="398" t="e">
        <f>+'DIRECTO '!#REF!+#REF!</f>
        <v>#REF!</v>
      </c>
      <c r="AT11" s="398" t="e">
        <f>+'DIRECTO '!#REF!+#REF!</f>
        <v>#REF!</v>
      </c>
      <c r="AU11" s="398" t="e">
        <f>+'DIRECTO '!#REF!+#REF!</f>
        <v>#REF!</v>
      </c>
      <c r="AV11" s="398" t="e">
        <f>+'DIRECTO '!#REF!+#REF!</f>
        <v>#REF!</v>
      </c>
      <c r="AW11" s="398" t="e">
        <f>+'DIRECTO '!#REF!+#REF!</f>
        <v>#REF!</v>
      </c>
      <c r="AX11" s="398" t="e">
        <f>+'DIRECTO '!#REF!+#REF!</f>
        <v>#REF!</v>
      </c>
      <c r="AY11" s="398" t="e">
        <f>+'DIRECTO '!#REF!+#REF!</f>
        <v>#REF!</v>
      </c>
      <c r="AZ11" s="398" t="e">
        <f>+'DIRECTO '!#REF!+#REF!</f>
        <v>#REF!</v>
      </c>
      <c r="BA11" s="398" t="e">
        <f>+'DIRECTO '!#REF!+#REF!</f>
        <v>#REF!</v>
      </c>
      <c r="BB11" s="398" t="e">
        <f>+'DIRECTO '!#REF!+#REF!</f>
        <v>#REF!</v>
      </c>
      <c r="BC11" s="398" t="e">
        <f>+'DIRECTO '!#REF!+#REF!</f>
        <v>#REF!</v>
      </c>
      <c r="BD11" s="398" t="e">
        <f>+'DIRECTO '!#REF!+#REF!</f>
        <v>#REF!</v>
      </c>
      <c r="BE11" s="398" t="e">
        <f>+'DIRECTO '!#REF!+#REF!</f>
        <v>#REF!</v>
      </c>
      <c r="BF11" s="398" t="e">
        <f>+'DIRECTO '!#REF!+#REF!</f>
        <v>#REF!</v>
      </c>
      <c r="BG11" s="398" t="e">
        <f>+'DIRECTO '!#REF!+#REF!</f>
        <v>#REF!</v>
      </c>
      <c r="BH11" s="398" t="e">
        <f>+'DIRECTO '!#REF!+#REF!</f>
        <v>#REF!</v>
      </c>
      <c r="BI11" s="398" t="e">
        <f>+'DIRECTO '!#REF!+#REF!</f>
        <v>#REF!</v>
      </c>
      <c r="BJ11" s="398" t="e">
        <f>+'DIRECTO '!#REF!+#REF!</f>
        <v>#REF!</v>
      </c>
      <c r="BK11" s="398" t="e">
        <f>+'DIRECTO '!#REF!+#REF!</f>
        <v>#REF!</v>
      </c>
      <c r="BL11" s="398" t="e">
        <f>+'DIRECTO '!#REF!+#REF!</f>
        <v>#REF!</v>
      </c>
      <c r="BM11" s="398" t="e">
        <f>+'DIRECTO '!#REF!+#REF!</f>
        <v>#REF!</v>
      </c>
      <c r="BN11" s="398" t="e">
        <f>+'DIRECTO '!#REF!+#REF!</f>
        <v>#REF!</v>
      </c>
      <c r="BO11" s="398" t="e">
        <f>+'DIRECTO '!#REF!+#REF!</f>
        <v>#REF!</v>
      </c>
      <c r="BP11" s="398" t="e">
        <f>+'DIRECTO '!#REF!+#REF!</f>
        <v>#REF!</v>
      </c>
      <c r="BQ11" s="398" t="e">
        <f>+'DIRECTO '!#REF!+#REF!</f>
        <v>#REF!</v>
      </c>
      <c r="BR11" s="398" t="e">
        <f>+'DIRECTO '!#REF!+#REF!</f>
        <v>#REF!</v>
      </c>
      <c r="BS11" s="398" t="e">
        <f>+'DIRECTO '!#REF!+#REF!</f>
        <v>#REF!</v>
      </c>
      <c r="BT11" s="398" t="e">
        <f>+'DIRECTO '!#REF!+#REF!</f>
        <v>#REF!</v>
      </c>
      <c r="BU11" s="398" t="e">
        <f>+'DIRECTO '!#REF!+#REF!</f>
        <v>#REF!</v>
      </c>
      <c r="BV11" s="398" t="e">
        <f>+'DIRECTO '!#REF!+#REF!</f>
        <v>#REF!</v>
      </c>
      <c r="BW11" s="398" t="e">
        <f>+'DIRECTO '!#REF!+#REF!</f>
        <v>#REF!</v>
      </c>
      <c r="BX11" s="398" t="e">
        <f>+'DIRECTO '!#REF!+#REF!</f>
        <v>#REF!</v>
      </c>
      <c r="BY11" s="398" t="e">
        <f>+'DIRECTO '!#REF!+#REF!</f>
        <v>#REF!</v>
      </c>
      <c r="BZ11" s="398" t="e">
        <f>+'DIRECTO '!#REF!+#REF!</f>
        <v>#REF!</v>
      </c>
      <c r="CA11" s="398" t="e">
        <f>+'DIRECTO '!#REF!+#REF!</f>
        <v>#REF!</v>
      </c>
      <c r="CB11" s="295"/>
    </row>
    <row r="12" spans="1:82" s="5" customFormat="1" ht="18.75" x14ac:dyDescent="0.3">
      <c r="B12" s="15" t="s">
        <v>152</v>
      </c>
      <c r="C12" s="16"/>
      <c r="E12" s="657" t="e">
        <f>+'DIRECTO '!E12+#REF!</f>
        <v>#REF!</v>
      </c>
      <c r="F12" s="499"/>
      <c r="G12" s="645" t="e">
        <f>+'DIRECTO '!G12+#REF!</f>
        <v>#REF!</v>
      </c>
      <c r="H12" s="658" t="e">
        <f>+'DIRECTO '!H12+#REF!</f>
        <v>#REF!</v>
      </c>
      <c r="I12" s="499"/>
      <c r="J12" s="614" t="e">
        <f>+'DIRECTO '!J12+#REF!</f>
        <v>#REF!</v>
      </c>
      <c r="K12" s="615" t="e">
        <f>+'DIRECTO '!K12+#REF!</f>
        <v>#REF!</v>
      </c>
      <c r="L12" s="616" t="e">
        <f>+SUM(N12:R12)</f>
        <v>#REF!</v>
      </c>
      <c r="M12" s="499"/>
      <c r="N12" s="638" t="e">
        <f>+'DIRECTO '!N12+#REF!</f>
        <v>#REF!</v>
      </c>
      <c r="O12" s="622" t="e">
        <f>+'DIRECTO '!O12+#REF!</f>
        <v>#REF!</v>
      </c>
      <c r="P12" s="622" t="e">
        <f>+'DIRECTO '!P12+#REF!</f>
        <v>#REF!</v>
      </c>
      <c r="Q12" s="622" t="e">
        <f>+'DIRECTO '!Q12+#REF!</f>
        <v>#REF!</v>
      </c>
      <c r="R12" s="622" t="e">
        <f>+'DIRECTO '!R12+#REF!</f>
        <v>#REF!</v>
      </c>
      <c r="S12" s="621">
        <f>+SUMIFS(N12:R12,N$2:R$2,$S$5)</f>
        <v>0</v>
      </c>
      <c r="T12" s="499"/>
      <c r="U12" s="638">
        <f>+SUMIFS(N12:S12,N$2:S$2,$U$5)</f>
        <v>0</v>
      </c>
      <c r="V12" s="499"/>
      <c r="W12" s="638" t="e">
        <f>+X12</f>
        <v>#REF!</v>
      </c>
      <c r="X12" s="638" t="e">
        <f>+K12+L12</f>
        <v>#REF!</v>
      </c>
      <c r="Y12" s="646" t="e">
        <f>+'DIRECTO '!Z12+#REF!</f>
        <v>#REF!</v>
      </c>
      <c r="Z12" s="646" t="e">
        <f>+'DIRECTO '!AA12+#REF!</f>
        <v>#REF!</v>
      </c>
      <c r="AA12" s="646" t="e">
        <f>+'DIRECTO '!AB12+#REF!</f>
        <v>#REF!</v>
      </c>
      <c r="AB12" s="623" t="e">
        <f>+'DIRECTO '!AC12+#REF!</f>
        <v>#REF!</v>
      </c>
      <c r="AC12" s="499"/>
      <c r="AD12" s="652" t="e">
        <f>+'DIRECTO '!AE12+#REF!</f>
        <v>#REF!</v>
      </c>
      <c r="AE12" s="444"/>
      <c r="AF12" s="531" t="e">
        <f>+AB12-X12</f>
        <v>#REF!</v>
      </c>
      <c r="AG12" s="444" t="e">
        <f t="shared" si="11"/>
        <v>#REF!</v>
      </c>
      <c r="AH12" s="295"/>
      <c r="AI12" s="295"/>
      <c r="AJ12" s="397" t="e">
        <f t="shared" ref="AJ12:AJ14" si="12">SUM(AK12:CA12)</f>
        <v>#REF!</v>
      </c>
      <c r="AK12" s="398" t="e">
        <f>+'DIRECTO '!AK12+#REF!</f>
        <v>#REF!</v>
      </c>
      <c r="AL12" s="398" t="e">
        <f>+'DIRECTO '!AM12+#REF!</f>
        <v>#REF!</v>
      </c>
      <c r="AM12" s="398" t="e">
        <f>+'DIRECTO '!AN12+#REF!</f>
        <v>#REF!</v>
      </c>
      <c r="AN12" s="398" t="e">
        <f>+'DIRECTO '!AO12+#REF!</f>
        <v>#REF!</v>
      </c>
      <c r="AO12" s="398" t="e">
        <f>+'DIRECTO '!AP12+#REF!</f>
        <v>#REF!</v>
      </c>
      <c r="AP12" s="398" t="e">
        <f>+'DIRECTO '!AQ12+#REF!</f>
        <v>#REF!</v>
      </c>
      <c r="AQ12" s="398" t="e">
        <f>+'DIRECTO '!#REF!+#REF!</f>
        <v>#REF!</v>
      </c>
      <c r="AR12" s="398" t="e">
        <f>+'DIRECTO '!#REF!+#REF!</f>
        <v>#REF!</v>
      </c>
      <c r="AS12" s="398" t="e">
        <f>+'DIRECTO '!#REF!+#REF!</f>
        <v>#REF!</v>
      </c>
      <c r="AT12" s="398" t="e">
        <f>+'DIRECTO '!#REF!+#REF!</f>
        <v>#REF!</v>
      </c>
      <c r="AU12" s="398" t="e">
        <f>+'DIRECTO '!#REF!+#REF!</f>
        <v>#REF!</v>
      </c>
      <c r="AV12" s="398" t="e">
        <f>+'DIRECTO '!#REF!+#REF!</f>
        <v>#REF!</v>
      </c>
      <c r="AW12" s="398" t="e">
        <f>+'DIRECTO '!#REF!+#REF!</f>
        <v>#REF!</v>
      </c>
      <c r="AX12" s="398" t="e">
        <f>+'DIRECTO '!#REF!+#REF!</f>
        <v>#REF!</v>
      </c>
      <c r="AY12" s="398" t="e">
        <f>+'DIRECTO '!#REF!+#REF!</f>
        <v>#REF!</v>
      </c>
      <c r="AZ12" s="398" t="e">
        <f>+'DIRECTO '!#REF!+#REF!</f>
        <v>#REF!</v>
      </c>
      <c r="BA12" s="398" t="e">
        <f>+'DIRECTO '!#REF!+#REF!</f>
        <v>#REF!</v>
      </c>
      <c r="BB12" s="398" t="e">
        <f>+'DIRECTO '!#REF!+#REF!</f>
        <v>#REF!</v>
      </c>
      <c r="BC12" s="398" t="e">
        <f>+'DIRECTO '!#REF!+#REF!</f>
        <v>#REF!</v>
      </c>
      <c r="BD12" s="398" t="e">
        <f>+'DIRECTO '!#REF!+#REF!</f>
        <v>#REF!</v>
      </c>
      <c r="BE12" s="398" t="e">
        <f>+'DIRECTO '!#REF!+#REF!</f>
        <v>#REF!</v>
      </c>
      <c r="BF12" s="398" t="e">
        <f>+'DIRECTO '!#REF!+#REF!</f>
        <v>#REF!</v>
      </c>
      <c r="BG12" s="398" t="e">
        <f>+'DIRECTO '!#REF!+#REF!</f>
        <v>#REF!</v>
      </c>
      <c r="BH12" s="398" t="e">
        <f>+'DIRECTO '!#REF!+#REF!</f>
        <v>#REF!</v>
      </c>
      <c r="BI12" s="398" t="e">
        <f>+'DIRECTO '!#REF!+#REF!</f>
        <v>#REF!</v>
      </c>
      <c r="BJ12" s="398" t="e">
        <f>+'DIRECTO '!#REF!+#REF!</f>
        <v>#REF!</v>
      </c>
      <c r="BK12" s="398" t="e">
        <f>+'DIRECTO '!#REF!+#REF!</f>
        <v>#REF!</v>
      </c>
      <c r="BL12" s="398" t="e">
        <f>+'DIRECTO '!#REF!+#REF!</f>
        <v>#REF!</v>
      </c>
      <c r="BM12" s="398" t="e">
        <f>+'DIRECTO '!#REF!+#REF!</f>
        <v>#REF!</v>
      </c>
      <c r="BN12" s="398" t="e">
        <f>+'DIRECTO '!#REF!+#REF!</f>
        <v>#REF!</v>
      </c>
      <c r="BO12" s="398" t="e">
        <f>+'DIRECTO '!#REF!+#REF!</f>
        <v>#REF!</v>
      </c>
      <c r="BP12" s="398" t="e">
        <f>+'DIRECTO '!#REF!+#REF!</f>
        <v>#REF!</v>
      </c>
      <c r="BQ12" s="398" t="e">
        <f>+'DIRECTO '!#REF!+#REF!</f>
        <v>#REF!</v>
      </c>
      <c r="BR12" s="398" t="e">
        <f>+'DIRECTO '!#REF!+#REF!</f>
        <v>#REF!</v>
      </c>
      <c r="BS12" s="398" t="e">
        <f>+'DIRECTO '!#REF!+#REF!</f>
        <v>#REF!</v>
      </c>
      <c r="BT12" s="398" t="e">
        <f>+'DIRECTO '!#REF!+#REF!</f>
        <v>#REF!</v>
      </c>
      <c r="BU12" s="398" t="e">
        <f>+'DIRECTO '!#REF!+#REF!</f>
        <v>#REF!</v>
      </c>
      <c r="BV12" s="398" t="e">
        <f>+'DIRECTO '!#REF!+#REF!</f>
        <v>#REF!</v>
      </c>
      <c r="BW12" s="398" t="e">
        <f>+'DIRECTO '!#REF!+#REF!</f>
        <v>#REF!</v>
      </c>
      <c r="BX12" s="398" t="e">
        <f>+'DIRECTO '!#REF!+#REF!</f>
        <v>#REF!</v>
      </c>
      <c r="BY12" s="398" t="e">
        <f>+'DIRECTO '!#REF!+#REF!</f>
        <v>#REF!</v>
      </c>
      <c r="BZ12" s="398" t="e">
        <f>+'DIRECTO '!#REF!+#REF!</f>
        <v>#REF!</v>
      </c>
      <c r="CA12" s="398" t="e">
        <f>+'DIRECTO '!#REF!+#REF!</f>
        <v>#REF!</v>
      </c>
      <c r="CB12" s="295"/>
    </row>
    <row r="13" spans="1:82" s="5" customFormat="1" ht="18.75" x14ac:dyDescent="0.3">
      <c r="B13" s="15" t="s">
        <v>42</v>
      </c>
      <c r="C13" s="16"/>
      <c r="E13" s="657" t="e">
        <f>+'DIRECTO '!#REF!+#REF!</f>
        <v>#REF!</v>
      </c>
      <c r="F13" s="499"/>
      <c r="G13" s="645" t="e">
        <f>+'DIRECTO '!#REF!+#REF!</f>
        <v>#REF!</v>
      </c>
      <c r="H13" s="658" t="e">
        <f>+'DIRECTO '!#REF!+#REF!</f>
        <v>#REF!</v>
      </c>
      <c r="I13" s="499"/>
      <c r="J13" s="614" t="e">
        <f>+'DIRECTO '!#REF!+#REF!</f>
        <v>#REF!</v>
      </c>
      <c r="K13" s="615" t="e">
        <f>+'DIRECTO '!#REF!+#REF!</f>
        <v>#REF!</v>
      </c>
      <c r="L13" s="616" t="e">
        <f>+SUM(N13:R13)</f>
        <v>#REF!</v>
      </c>
      <c r="M13" s="499"/>
      <c r="N13" s="638" t="e">
        <f>+'DIRECTO '!#REF!+#REF!</f>
        <v>#REF!</v>
      </c>
      <c r="O13" s="622" t="e">
        <f>+'DIRECTO '!#REF!+#REF!</f>
        <v>#REF!</v>
      </c>
      <c r="P13" s="622" t="e">
        <f>+'DIRECTO '!#REF!+#REF!</f>
        <v>#REF!</v>
      </c>
      <c r="Q13" s="622" t="e">
        <f>+'DIRECTO '!#REF!+#REF!</f>
        <v>#REF!</v>
      </c>
      <c r="R13" s="622" t="e">
        <f>+'DIRECTO '!#REF!+#REF!</f>
        <v>#REF!</v>
      </c>
      <c r="S13" s="621">
        <f>+SUMIFS(N13:R13,N$2:R$2,$S$5)</f>
        <v>0</v>
      </c>
      <c r="T13" s="499"/>
      <c r="U13" s="638">
        <f>+SUMIFS(N13:S13,N$2:S$2,$U$5)</f>
        <v>0</v>
      </c>
      <c r="V13" s="499"/>
      <c r="W13" s="638">
        <f t="shared" ref="W13:W14" si="13">+X13</f>
        <v>0</v>
      </c>
      <c r="X13" s="638">
        <v>0</v>
      </c>
      <c r="Y13" s="646" t="e">
        <f>+'DIRECTO '!#REF!+#REF!</f>
        <v>#REF!</v>
      </c>
      <c r="Z13" s="646" t="e">
        <f>+'DIRECTO '!#REF!+#REF!</f>
        <v>#REF!</v>
      </c>
      <c r="AA13" s="646" t="e">
        <f>+'DIRECTO '!#REF!+#REF!</f>
        <v>#REF!</v>
      </c>
      <c r="AB13" s="623" t="e">
        <f>+'DIRECTO '!#REF!+#REF!</f>
        <v>#REF!</v>
      </c>
      <c r="AC13" s="499"/>
      <c r="AD13" s="652" t="e">
        <f>+'DIRECTO '!#REF!+#REF!</f>
        <v>#REF!</v>
      </c>
      <c r="AE13" s="443"/>
      <c r="AF13" s="534" t="e">
        <f t="shared" ref="AF13:AF14" si="14">+AB13-X13</f>
        <v>#REF!</v>
      </c>
      <c r="AG13" s="444" t="e">
        <f t="shared" si="11"/>
        <v>#REF!</v>
      </c>
      <c r="AH13" s="295"/>
      <c r="AI13" s="295"/>
      <c r="AJ13" s="401" t="e">
        <f t="shared" si="12"/>
        <v>#REF!</v>
      </c>
      <c r="AK13" s="398" t="e">
        <f>+'DIRECTO '!#REF!+#REF!</f>
        <v>#REF!</v>
      </c>
      <c r="AL13" s="398" t="e">
        <f>+'DIRECTO '!#REF!+#REF!</f>
        <v>#REF!</v>
      </c>
      <c r="AM13" s="398" t="e">
        <f>+'DIRECTO '!#REF!+#REF!</f>
        <v>#REF!</v>
      </c>
      <c r="AN13" s="398" t="e">
        <f>+'DIRECTO '!#REF!+#REF!</f>
        <v>#REF!</v>
      </c>
      <c r="AO13" s="398" t="e">
        <f>+'DIRECTO '!#REF!+#REF!</f>
        <v>#REF!</v>
      </c>
      <c r="AP13" s="398" t="e">
        <f>+'DIRECTO '!#REF!+#REF!</f>
        <v>#REF!</v>
      </c>
      <c r="AQ13" s="398" t="e">
        <f>+'DIRECTO '!#REF!+#REF!</f>
        <v>#REF!</v>
      </c>
      <c r="AR13" s="398" t="e">
        <f>+'DIRECTO '!#REF!+#REF!</f>
        <v>#REF!</v>
      </c>
      <c r="AS13" s="398" t="e">
        <f>+'DIRECTO '!#REF!+#REF!</f>
        <v>#REF!</v>
      </c>
      <c r="AT13" s="398" t="e">
        <f>+'DIRECTO '!#REF!+#REF!</f>
        <v>#REF!</v>
      </c>
      <c r="AU13" s="398" t="e">
        <f>+'DIRECTO '!#REF!+#REF!</f>
        <v>#REF!</v>
      </c>
      <c r="AV13" s="398" t="e">
        <f>+'DIRECTO '!#REF!+#REF!</f>
        <v>#REF!</v>
      </c>
      <c r="AW13" s="398" t="e">
        <f>+'DIRECTO '!#REF!+#REF!</f>
        <v>#REF!</v>
      </c>
      <c r="AX13" s="398" t="e">
        <f>+'DIRECTO '!#REF!+#REF!</f>
        <v>#REF!</v>
      </c>
      <c r="AY13" s="398" t="e">
        <f>+'DIRECTO '!#REF!+#REF!</f>
        <v>#REF!</v>
      </c>
      <c r="AZ13" s="398" t="e">
        <f>+'DIRECTO '!#REF!+#REF!</f>
        <v>#REF!</v>
      </c>
      <c r="BA13" s="398" t="e">
        <f>+'DIRECTO '!#REF!+#REF!</f>
        <v>#REF!</v>
      </c>
      <c r="BB13" s="398" t="e">
        <f>+'DIRECTO '!#REF!+#REF!</f>
        <v>#REF!</v>
      </c>
      <c r="BC13" s="398" t="e">
        <f>+'DIRECTO '!#REF!+#REF!</f>
        <v>#REF!</v>
      </c>
      <c r="BD13" s="398" t="e">
        <f>+'DIRECTO '!#REF!+#REF!</f>
        <v>#REF!</v>
      </c>
      <c r="BE13" s="398" t="e">
        <f>+'DIRECTO '!#REF!+#REF!</f>
        <v>#REF!</v>
      </c>
      <c r="BF13" s="398" t="e">
        <f>+'DIRECTO '!#REF!+#REF!</f>
        <v>#REF!</v>
      </c>
      <c r="BG13" s="398" t="e">
        <f>+'DIRECTO '!#REF!+#REF!</f>
        <v>#REF!</v>
      </c>
      <c r="BH13" s="398" t="e">
        <f>+'DIRECTO '!#REF!+#REF!</f>
        <v>#REF!</v>
      </c>
      <c r="BI13" s="398" t="e">
        <f>+'DIRECTO '!#REF!+#REF!</f>
        <v>#REF!</v>
      </c>
      <c r="BJ13" s="398" t="e">
        <f>+'DIRECTO '!#REF!+#REF!</f>
        <v>#REF!</v>
      </c>
      <c r="BK13" s="398" t="e">
        <f>+'DIRECTO '!#REF!+#REF!</f>
        <v>#REF!</v>
      </c>
      <c r="BL13" s="398" t="e">
        <f>+'DIRECTO '!#REF!+#REF!</f>
        <v>#REF!</v>
      </c>
      <c r="BM13" s="398" t="e">
        <f>+'DIRECTO '!#REF!+#REF!</f>
        <v>#REF!</v>
      </c>
      <c r="BN13" s="398" t="e">
        <f>+'DIRECTO '!#REF!+#REF!</f>
        <v>#REF!</v>
      </c>
      <c r="BO13" s="398" t="e">
        <f>+'DIRECTO '!#REF!+#REF!</f>
        <v>#REF!</v>
      </c>
      <c r="BP13" s="398" t="e">
        <f>+'DIRECTO '!#REF!+#REF!</f>
        <v>#REF!</v>
      </c>
      <c r="BQ13" s="398" t="e">
        <f>+'DIRECTO '!#REF!+#REF!</f>
        <v>#REF!</v>
      </c>
      <c r="BR13" s="398" t="e">
        <f>+'DIRECTO '!#REF!+#REF!</f>
        <v>#REF!</v>
      </c>
      <c r="BS13" s="398" t="e">
        <f>+'DIRECTO '!#REF!+#REF!</f>
        <v>#REF!</v>
      </c>
      <c r="BT13" s="398" t="e">
        <f>+'DIRECTO '!#REF!+#REF!</f>
        <v>#REF!</v>
      </c>
      <c r="BU13" s="398" t="e">
        <f>+'DIRECTO '!#REF!+#REF!</f>
        <v>#REF!</v>
      </c>
      <c r="BV13" s="398" t="e">
        <f>+'DIRECTO '!#REF!+#REF!</f>
        <v>#REF!</v>
      </c>
      <c r="BW13" s="398" t="e">
        <f>+'DIRECTO '!#REF!+#REF!</f>
        <v>#REF!</v>
      </c>
      <c r="BX13" s="398" t="e">
        <f>+'DIRECTO '!#REF!+#REF!</f>
        <v>#REF!</v>
      </c>
      <c r="BY13" s="398" t="e">
        <f>+'DIRECTO '!#REF!+#REF!</f>
        <v>#REF!</v>
      </c>
      <c r="BZ13" s="398" t="e">
        <f>+'DIRECTO '!#REF!+#REF!</f>
        <v>#REF!</v>
      </c>
      <c r="CA13" s="398" t="e">
        <f>+'DIRECTO '!#REF!+#REF!</f>
        <v>#REF!</v>
      </c>
      <c r="CB13" s="295"/>
    </row>
    <row r="14" spans="1:82" s="5" customFormat="1" ht="18.75" x14ac:dyDescent="0.3">
      <c r="B14" s="17" t="s">
        <v>183</v>
      </c>
      <c r="C14" s="18"/>
      <c r="E14" s="479" t="e">
        <f>+'DIRECTO '!E13+#REF!</f>
        <v>#REF!</v>
      </c>
      <c r="F14" s="499"/>
      <c r="G14" s="648" t="e">
        <f>+'DIRECTO '!G13+#REF!</f>
        <v>#REF!</v>
      </c>
      <c r="H14" s="524" t="e">
        <f>+'DIRECTO '!H13+#REF!</f>
        <v>#REF!</v>
      </c>
      <c r="I14" s="499"/>
      <c r="J14" s="617" t="e">
        <f>+'DIRECTO '!J13+#REF!</f>
        <v>#REF!</v>
      </c>
      <c r="K14" s="618" t="e">
        <f>+'DIRECTO '!K13+#REF!</f>
        <v>#REF!</v>
      </c>
      <c r="L14" s="619" t="e">
        <f>+SUM(N14:R14)</f>
        <v>#REF!</v>
      </c>
      <c r="M14" s="499"/>
      <c r="N14" s="617" t="e">
        <f>+'DIRECTO '!N13+#REF!</f>
        <v>#REF!</v>
      </c>
      <c r="O14" s="618" t="e">
        <f>+'DIRECTO '!O13+#REF!</f>
        <v>#REF!</v>
      </c>
      <c r="P14" s="618" t="e">
        <f>+'DIRECTO '!P13+#REF!</f>
        <v>#REF!</v>
      </c>
      <c r="Q14" s="618" t="e">
        <f>+'DIRECTO '!Q13+#REF!</f>
        <v>#REF!</v>
      </c>
      <c r="R14" s="618" t="e">
        <f>+'DIRECTO '!R13+#REF!</f>
        <v>#REF!</v>
      </c>
      <c r="S14" s="643">
        <f>+SUMIFS(N14:R14,N$2:R$2,$S$5)</f>
        <v>0</v>
      </c>
      <c r="T14" s="499"/>
      <c r="U14" s="617">
        <f>+SUMIFS(N14:S14,N$2:S$2,$U$5)</f>
        <v>0</v>
      </c>
      <c r="V14" s="499"/>
      <c r="W14" s="642" t="e">
        <f t="shared" si="13"/>
        <v>#REF!</v>
      </c>
      <c r="X14" s="617" t="e">
        <f>+CONSOLIDADO!#REF!</f>
        <v>#REF!</v>
      </c>
      <c r="Y14" s="649" t="e">
        <f>+'DIRECTO '!Z13+#REF!</f>
        <v>#REF!</v>
      </c>
      <c r="Z14" s="649" t="e">
        <f>+'DIRECTO '!AA13+#REF!</f>
        <v>#REF!</v>
      </c>
      <c r="AA14" s="649" t="e">
        <f>+'DIRECTO '!AB13+#REF!</f>
        <v>#REF!</v>
      </c>
      <c r="AB14" s="619" t="e">
        <f>+'DIRECTO '!AC13+#REF!</f>
        <v>#REF!</v>
      </c>
      <c r="AC14" s="499"/>
      <c r="AD14" s="642" t="e">
        <f>+'DIRECTO '!AE13+#REF!</f>
        <v>#REF!</v>
      </c>
      <c r="AE14" s="443"/>
      <c r="AF14" s="534" t="e">
        <f t="shared" si="14"/>
        <v>#REF!</v>
      </c>
      <c r="AG14" s="444" t="e">
        <f t="shared" si="11"/>
        <v>#REF!</v>
      </c>
      <c r="AH14" s="297"/>
      <c r="AI14" s="297"/>
      <c r="AJ14" s="401" t="e">
        <f t="shared" si="12"/>
        <v>#REF!</v>
      </c>
      <c r="AK14" s="398" t="e">
        <f>+'DIRECTO '!AK13+#REF!</f>
        <v>#REF!</v>
      </c>
      <c r="AL14" s="398" t="e">
        <f>+'DIRECTO '!AM13+#REF!</f>
        <v>#REF!</v>
      </c>
      <c r="AM14" s="398" t="e">
        <f>+'DIRECTO '!AN13+#REF!</f>
        <v>#REF!</v>
      </c>
      <c r="AN14" s="398" t="e">
        <f>+'DIRECTO '!AO13+#REF!</f>
        <v>#REF!</v>
      </c>
      <c r="AO14" s="398" t="e">
        <f>+'DIRECTO '!AP13+#REF!</f>
        <v>#REF!</v>
      </c>
      <c r="AP14" s="398" t="e">
        <f>+'DIRECTO '!AQ13+#REF!</f>
        <v>#REF!</v>
      </c>
      <c r="AQ14" s="398" t="e">
        <f>+'DIRECTO '!#REF!+#REF!</f>
        <v>#REF!</v>
      </c>
      <c r="AR14" s="398" t="e">
        <f>+'DIRECTO '!#REF!+#REF!</f>
        <v>#REF!</v>
      </c>
      <c r="AS14" s="398" t="e">
        <f>+'DIRECTO '!#REF!+#REF!</f>
        <v>#REF!</v>
      </c>
      <c r="AT14" s="398" t="e">
        <f>+'DIRECTO '!#REF!+#REF!</f>
        <v>#REF!</v>
      </c>
      <c r="AU14" s="398" t="e">
        <f>+'DIRECTO '!#REF!+#REF!</f>
        <v>#REF!</v>
      </c>
      <c r="AV14" s="398" t="e">
        <f>+'DIRECTO '!#REF!+#REF!</f>
        <v>#REF!</v>
      </c>
      <c r="AW14" s="398" t="e">
        <f>+'DIRECTO '!#REF!+#REF!</f>
        <v>#REF!</v>
      </c>
      <c r="AX14" s="398" t="e">
        <f>+'DIRECTO '!#REF!+#REF!</f>
        <v>#REF!</v>
      </c>
      <c r="AY14" s="398" t="e">
        <f>+'DIRECTO '!#REF!+#REF!</f>
        <v>#REF!</v>
      </c>
      <c r="AZ14" s="398" t="e">
        <f>+'DIRECTO '!#REF!+#REF!</f>
        <v>#REF!</v>
      </c>
      <c r="BA14" s="398" t="e">
        <f>+'DIRECTO '!#REF!+#REF!</f>
        <v>#REF!</v>
      </c>
      <c r="BB14" s="398" t="e">
        <f>+'DIRECTO '!#REF!+#REF!</f>
        <v>#REF!</v>
      </c>
      <c r="BC14" s="398" t="e">
        <f>+'DIRECTO '!#REF!+#REF!</f>
        <v>#REF!</v>
      </c>
      <c r="BD14" s="398" t="e">
        <f>+'DIRECTO '!#REF!+#REF!</f>
        <v>#REF!</v>
      </c>
      <c r="BE14" s="398" t="e">
        <f>+'DIRECTO '!#REF!+#REF!</f>
        <v>#REF!</v>
      </c>
      <c r="BF14" s="398" t="e">
        <f>+'DIRECTO '!#REF!+#REF!</f>
        <v>#REF!</v>
      </c>
      <c r="BG14" s="398" t="e">
        <f>+'DIRECTO '!#REF!+#REF!</f>
        <v>#REF!</v>
      </c>
      <c r="BH14" s="398" t="e">
        <f>+'DIRECTO '!#REF!+#REF!</f>
        <v>#REF!</v>
      </c>
      <c r="BI14" s="398" t="e">
        <f>+'DIRECTO '!#REF!+#REF!</f>
        <v>#REF!</v>
      </c>
      <c r="BJ14" s="398" t="e">
        <f>+'DIRECTO '!#REF!+#REF!</f>
        <v>#REF!</v>
      </c>
      <c r="BK14" s="398" t="e">
        <f>+'DIRECTO '!#REF!+#REF!</f>
        <v>#REF!</v>
      </c>
      <c r="BL14" s="398" t="e">
        <f>+'DIRECTO '!#REF!+#REF!</f>
        <v>#REF!</v>
      </c>
      <c r="BM14" s="398" t="e">
        <f>+'DIRECTO '!#REF!+#REF!</f>
        <v>#REF!</v>
      </c>
      <c r="BN14" s="398" t="e">
        <f>+'DIRECTO '!#REF!+#REF!</f>
        <v>#REF!</v>
      </c>
      <c r="BO14" s="398" t="e">
        <f>+'DIRECTO '!#REF!+#REF!</f>
        <v>#REF!</v>
      </c>
      <c r="BP14" s="398" t="e">
        <f>+'DIRECTO '!#REF!+#REF!</f>
        <v>#REF!</v>
      </c>
      <c r="BQ14" s="398" t="e">
        <f>+'DIRECTO '!#REF!+#REF!</f>
        <v>#REF!</v>
      </c>
      <c r="BR14" s="398" t="e">
        <f>+'DIRECTO '!#REF!+#REF!</f>
        <v>#REF!</v>
      </c>
      <c r="BS14" s="398" t="e">
        <f>+'DIRECTO '!#REF!+#REF!</f>
        <v>#REF!</v>
      </c>
      <c r="BT14" s="398" t="e">
        <f>+'DIRECTO '!#REF!+#REF!</f>
        <v>#REF!</v>
      </c>
      <c r="BU14" s="398" t="e">
        <f>+'DIRECTO '!#REF!+#REF!</f>
        <v>#REF!</v>
      </c>
      <c r="BV14" s="398" t="e">
        <f>+'DIRECTO '!#REF!+#REF!</f>
        <v>#REF!</v>
      </c>
      <c r="BW14" s="398" t="e">
        <f>+'DIRECTO '!#REF!+#REF!</f>
        <v>#REF!</v>
      </c>
      <c r="BX14" s="398" t="e">
        <f>+'DIRECTO '!#REF!+#REF!</f>
        <v>#REF!</v>
      </c>
      <c r="BY14" s="398" t="e">
        <f>+'DIRECTO '!#REF!+#REF!</f>
        <v>#REF!</v>
      </c>
      <c r="BZ14" s="398" t="e">
        <f>+'DIRECTO '!#REF!+#REF!</f>
        <v>#REF!</v>
      </c>
      <c r="CA14" s="398" t="e">
        <f>+'DIRECTO '!#REF!+#REF!</f>
        <v>#REF!</v>
      </c>
      <c r="CB14" s="295"/>
    </row>
    <row r="15" spans="1:82" s="54" customFormat="1" ht="22.5" customHeight="1" x14ac:dyDescent="0.3">
      <c r="E15" s="515"/>
      <c r="F15" s="515"/>
      <c r="G15" s="515"/>
      <c r="H15" s="515"/>
      <c r="I15" s="515"/>
      <c r="J15" s="515"/>
      <c r="K15" s="515"/>
      <c r="L15" s="515"/>
      <c r="M15" s="515"/>
      <c r="N15" s="515"/>
      <c r="O15" s="515"/>
      <c r="P15" s="515"/>
      <c r="Q15" s="515"/>
      <c r="R15" s="515"/>
      <c r="S15" s="515"/>
      <c r="T15" s="515"/>
      <c r="U15" s="515"/>
      <c r="V15" s="515"/>
      <c r="W15" s="515"/>
      <c r="X15" s="515"/>
      <c r="Y15" s="515"/>
      <c r="Z15" s="515"/>
      <c r="AA15" s="515"/>
      <c r="AB15" s="515"/>
      <c r="AC15" s="515"/>
      <c r="AD15" s="515"/>
      <c r="AE15" s="443"/>
      <c r="AF15" s="534"/>
      <c r="AG15" s="443"/>
      <c r="AH15" s="298"/>
      <c r="AI15" s="298"/>
      <c r="AJ15" s="403"/>
      <c r="AK15" s="403"/>
      <c r="AL15" s="403"/>
      <c r="AM15" s="403"/>
      <c r="AN15" s="403"/>
      <c r="AO15" s="403"/>
      <c r="AP15" s="403"/>
      <c r="AQ15" s="403"/>
      <c r="AR15" s="404"/>
      <c r="AS15" s="404"/>
      <c r="AT15" s="404"/>
      <c r="AU15" s="404"/>
      <c r="AV15" s="404"/>
      <c r="AW15" s="404"/>
      <c r="AX15" s="404"/>
      <c r="AY15" s="405"/>
      <c r="AZ15" s="405"/>
      <c r="BA15" s="405"/>
      <c r="BB15" s="403"/>
      <c r="BC15" s="403"/>
      <c r="BD15" s="403"/>
      <c r="BE15" s="403"/>
      <c r="BF15" s="403"/>
      <c r="BG15" s="403"/>
      <c r="BH15" s="403"/>
      <c r="BI15" s="403"/>
      <c r="BJ15" s="403"/>
      <c r="BK15" s="403"/>
      <c r="BL15" s="403"/>
      <c r="BM15" s="403"/>
      <c r="BN15" s="403"/>
      <c r="BO15" s="403"/>
      <c r="BP15" s="403"/>
      <c r="BQ15" s="403"/>
      <c r="BR15" s="403"/>
      <c r="BS15" s="403"/>
      <c r="BT15" s="403"/>
      <c r="BU15" s="403"/>
      <c r="BV15" s="403"/>
      <c r="BW15" s="403"/>
      <c r="BX15" s="403"/>
      <c r="BY15" s="403"/>
      <c r="BZ15" s="403"/>
      <c r="CA15" s="403"/>
      <c r="CB15" s="299"/>
    </row>
    <row r="16" spans="1:82" s="5" customFormat="1" ht="18.75" x14ac:dyDescent="0.3">
      <c r="B16" s="56" t="s">
        <v>9</v>
      </c>
      <c r="C16" s="57"/>
      <c r="D16" s="2"/>
      <c r="E16" s="650" t="e">
        <f>+SUM(E18:E27)+E29</f>
        <v>#REF!</v>
      </c>
      <c r="F16" s="87"/>
      <c r="G16" s="606" t="e">
        <f>+SUM(G18:G27,G29)</f>
        <v>#REF!</v>
      </c>
      <c r="H16" s="608" t="e">
        <f>SUM(H18:H27,H29)</f>
        <v>#REF!</v>
      </c>
      <c r="I16" s="87"/>
      <c r="J16" s="606" t="e">
        <f>+SUM(J18:J27,J29)</f>
        <v>#REF!</v>
      </c>
      <c r="K16" s="607" t="e">
        <f>+SUM(K18:K27,K29)</f>
        <v>#REF!</v>
      </c>
      <c r="L16" s="608" t="e">
        <f>+SUM(L18:L27,L29)</f>
        <v>#REF!</v>
      </c>
      <c r="M16" s="87"/>
      <c r="N16" s="606" t="e">
        <f>+SUM(N18:N27,N29)</f>
        <v>#REF!</v>
      </c>
      <c r="O16" s="607" t="e">
        <f t="shared" ref="O16:S16" si="15">+SUM(O18:O27,O29)</f>
        <v>#REF!</v>
      </c>
      <c r="P16" s="607" t="e">
        <f t="shared" si="15"/>
        <v>#REF!</v>
      </c>
      <c r="Q16" s="607" t="e">
        <f t="shared" si="15"/>
        <v>#REF!</v>
      </c>
      <c r="R16" s="607" t="e">
        <f t="shared" si="15"/>
        <v>#REF!</v>
      </c>
      <c r="S16" s="608">
        <f t="shared" si="15"/>
        <v>0</v>
      </c>
      <c r="T16" s="87"/>
      <c r="U16" s="606">
        <f>+SUM(U18:U27,U29)</f>
        <v>0</v>
      </c>
      <c r="V16" s="87"/>
      <c r="W16" s="606" t="e">
        <f t="shared" ref="W16:AB16" si="16">+SUM(W18:W27,W29)</f>
        <v>#REF!</v>
      </c>
      <c r="X16" s="606" t="e">
        <f t="shared" si="16"/>
        <v>#REF!</v>
      </c>
      <c r="Y16" s="607" t="e">
        <f t="shared" si="16"/>
        <v>#REF!</v>
      </c>
      <c r="Z16" s="607" t="e">
        <f t="shared" si="16"/>
        <v>#REF!</v>
      </c>
      <c r="AA16" s="607" t="e">
        <f t="shared" si="16"/>
        <v>#REF!</v>
      </c>
      <c r="AB16" s="608" t="e">
        <f t="shared" si="16"/>
        <v>#REF!</v>
      </c>
      <c r="AC16" s="87"/>
      <c r="AD16" s="650" t="e">
        <f>+SUM(AD18:AD27,AD29)</f>
        <v>#REF!</v>
      </c>
      <c r="AE16" s="444"/>
      <c r="AF16" s="531" t="e">
        <f>+AB16-X16</f>
        <v>#REF!</v>
      </c>
      <c r="AG16" s="444"/>
      <c r="AH16" s="297"/>
      <c r="AI16" s="297"/>
      <c r="AJ16" s="392" t="e">
        <f>+SUM(AJ18:AJ27,AJ29)</f>
        <v>#REF!</v>
      </c>
      <c r="AK16" s="392" t="e">
        <f t="shared" ref="AK16:CA16" si="17">+SUM(AK18:AK27,AK29)</f>
        <v>#REF!</v>
      </c>
      <c r="AL16" s="392" t="e">
        <f t="shared" si="17"/>
        <v>#REF!</v>
      </c>
      <c r="AM16" s="392" t="e">
        <f t="shared" si="17"/>
        <v>#REF!</v>
      </c>
      <c r="AN16" s="392" t="e">
        <f t="shared" si="17"/>
        <v>#REF!</v>
      </c>
      <c r="AO16" s="392" t="e">
        <f t="shared" si="17"/>
        <v>#REF!</v>
      </c>
      <c r="AP16" s="392" t="e">
        <f t="shared" si="17"/>
        <v>#REF!</v>
      </c>
      <c r="AQ16" s="392" t="e">
        <f t="shared" si="17"/>
        <v>#REF!</v>
      </c>
      <c r="AR16" s="392" t="e">
        <f t="shared" si="17"/>
        <v>#REF!</v>
      </c>
      <c r="AS16" s="392" t="e">
        <f t="shared" si="17"/>
        <v>#REF!</v>
      </c>
      <c r="AT16" s="392" t="e">
        <f t="shared" si="17"/>
        <v>#REF!</v>
      </c>
      <c r="AU16" s="392" t="e">
        <f t="shared" si="17"/>
        <v>#REF!</v>
      </c>
      <c r="AV16" s="392" t="e">
        <f t="shared" si="17"/>
        <v>#REF!</v>
      </c>
      <c r="AW16" s="392" t="e">
        <f t="shared" si="17"/>
        <v>#REF!</v>
      </c>
      <c r="AX16" s="392" t="e">
        <f t="shared" si="17"/>
        <v>#REF!</v>
      </c>
      <c r="AY16" s="392" t="e">
        <f t="shared" si="17"/>
        <v>#REF!</v>
      </c>
      <c r="AZ16" s="392" t="e">
        <f t="shared" si="17"/>
        <v>#REF!</v>
      </c>
      <c r="BA16" s="392" t="e">
        <f t="shared" si="17"/>
        <v>#REF!</v>
      </c>
      <c r="BB16" s="392" t="e">
        <f t="shared" si="17"/>
        <v>#REF!</v>
      </c>
      <c r="BC16" s="392" t="e">
        <f t="shared" si="17"/>
        <v>#REF!</v>
      </c>
      <c r="BD16" s="392" t="e">
        <f t="shared" si="17"/>
        <v>#REF!</v>
      </c>
      <c r="BE16" s="392" t="e">
        <f t="shared" si="17"/>
        <v>#REF!</v>
      </c>
      <c r="BF16" s="392" t="e">
        <f t="shared" si="17"/>
        <v>#REF!</v>
      </c>
      <c r="BG16" s="392" t="e">
        <f t="shared" si="17"/>
        <v>#REF!</v>
      </c>
      <c r="BH16" s="392" t="e">
        <f t="shared" si="17"/>
        <v>#REF!</v>
      </c>
      <c r="BI16" s="392" t="e">
        <f t="shared" si="17"/>
        <v>#REF!</v>
      </c>
      <c r="BJ16" s="392" t="e">
        <f t="shared" si="17"/>
        <v>#REF!</v>
      </c>
      <c r="BK16" s="392" t="e">
        <f t="shared" si="17"/>
        <v>#REF!</v>
      </c>
      <c r="BL16" s="392" t="e">
        <f t="shared" si="17"/>
        <v>#REF!</v>
      </c>
      <c r="BM16" s="392" t="e">
        <f t="shared" si="17"/>
        <v>#REF!</v>
      </c>
      <c r="BN16" s="392" t="e">
        <f t="shared" si="17"/>
        <v>#REF!</v>
      </c>
      <c r="BO16" s="392" t="e">
        <f t="shared" si="17"/>
        <v>#REF!</v>
      </c>
      <c r="BP16" s="392" t="e">
        <f t="shared" si="17"/>
        <v>#REF!</v>
      </c>
      <c r="BQ16" s="392" t="e">
        <f t="shared" si="17"/>
        <v>#REF!</v>
      </c>
      <c r="BR16" s="392" t="e">
        <f t="shared" si="17"/>
        <v>#REF!</v>
      </c>
      <c r="BS16" s="392" t="e">
        <f t="shared" si="17"/>
        <v>#REF!</v>
      </c>
      <c r="BT16" s="392" t="e">
        <f t="shared" si="17"/>
        <v>#REF!</v>
      </c>
      <c r="BU16" s="392" t="e">
        <f t="shared" si="17"/>
        <v>#REF!</v>
      </c>
      <c r="BV16" s="392" t="e">
        <f t="shared" si="17"/>
        <v>#REF!</v>
      </c>
      <c r="BW16" s="392" t="e">
        <f t="shared" si="17"/>
        <v>#REF!</v>
      </c>
      <c r="BX16" s="392" t="e">
        <f t="shared" si="17"/>
        <v>#REF!</v>
      </c>
      <c r="BY16" s="392" t="e">
        <f t="shared" si="17"/>
        <v>#REF!</v>
      </c>
      <c r="BZ16" s="392" t="e">
        <f t="shared" si="17"/>
        <v>#REF!</v>
      </c>
      <c r="CA16" s="392" t="e">
        <f t="shared" si="17"/>
        <v>#REF!</v>
      </c>
      <c r="CB16" s="295"/>
      <c r="CD16" s="499">
        <v>525387.51000000164</v>
      </c>
    </row>
    <row r="17" spans="2:85" s="5" customFormat="1" ht="7.5" customHeight="1" x14ac:dyDescent="0.3">
      <c r="E17" s="499"/>
      <c r="F17" s="499"/>
      <c r="G17" s="499"/>
      <c r="H17" s="499"/>
      <c r="I17" s="499"/>
      <c r="J17" s="499"/>
      <c r="K17" s="499"/>
      <c r="L17" s="499"/>
      <c r="M17" s="499"/>
      <c r="N17" s="499"/>
      <c r="O17" s="499"/>
      <c r="P17" s="499"/>
      <c r="Q17" s="499"/>
      <c r="R17" s="499"/>
      <c r="S17" s="499"/>
      <c r="T17" s="499"/>
      <c r="U17" s="499"/>
      <c r="V17" s="499"/>
      <c r="W17" s="499"/>
      <c r="X17" s="499"/>
      <c r="Y17" s="499"/>
      <c r="Z17" s="499"/>
      <c r="AA17" s="499"/>
      <c r="AB17" s="499"/>
      <c r="AC17" s="499"/>
      <c r="AD17" s="499"/>
      <c r="AE17" s="442"/>
      <c r="AF17" s="532"/>
      <c r="AG17" s="442"/>
      <c r="AH17" s="297"/>
      <c r="AI17" s="297"/>
      <c r="AJ17" s="396"/>
      <c r="AK17" s="400"/>
      <c r="AL17" s="400"/>
      <c r="AM17" s="400"/>
      <c r="AN17" s="400"/>
      <c r="AO17" s="400"/>
      <c r="AP17" s="400"/>
      <c r="AQ17" s="400"/>
      <c r="AR17" s="400"/>
      <c r="AS17" s="400"/>
      <c r="AT17" s="400"/>
      <c r="AU17" s="396"/>
      <c r="AV17" s="396"/>
      <c r="AW17" s="396"/>
      <c r="AX17" s="396"/>
      <c r="AY17" s="396"/>
      <c r="AZ17" s="396"/>
      <c r="BA17" s="396"/>
      <c r="BB17" s="396"/>
      <c r="BC17" s="396"/>
      <c r="BD17" s="396"/>
      <c r="BE17" s="396"/>
      <c r="BF17" s="396"/>
      <c r="BG17" s="396"/>
      <c r="BH17" s="396"/>
      <c r="BI17" s="396"/>
      <c r="BJ17" s="396"/>
      <c r="BK17" s="396"/>
      <c r="BL17" s="396"/>
      <c r="BM17" s="396"/>
      <c r="BN17" s="396"/>
      <c r="BO17" s="396"/>
      <c r="BP17" s="396"/>
      <c r="BQ17" s="396"/>
      <c r="BR17" s="396"/>
      <c r="BS17" s="396"/>
      <c r="BT17" s="396"/>
      <c r="BU17" s="396"/>
      <c r="BV17" s="396"/>
      <c r="BW17" s="396"/>
      <c r="BX17" s="396"/>
      <c r="BY17" s="396"/>
      <c r="BZ17" s="396"/>
      <c r="CA17" s="396"/>
      <c r="CB17" s="295"/>
    </row>
    <row r="18" spans="2:85" s="5" customFormat="1" ht="18.75" x14ac:dyDescent="0.3">
      <c r="B18" s="13" t="s">
        <v>10</v>
      </c>
      <c r="C18" s="14"/>
      <c r="E18" s="476" t="e">
        <f>+'DIRECTO '!E17+#REF!</f>
        <v>#REF!</v>
      </c>
      <c r="F18" s="499"/>
      <c r="G18" s="612" t="e">
        <f>+'DIRECTO '!G17+#REF!</f>
        <v>#REF!</v>
      </c>
      <c r="H18" s="520" t="e">
        <f>+'DIRECTO '!H17+#REF!</f>
        <v>#REF!</v>
      </c>
      <c r="I18" s="499"/>
      <c r="J18" s="635" t="e">
        <f>+'DIRECTO '!J17+#REF!</f>
        <v>#REF!</v>
      </c>
      <c r="K18" s="613" t="e">
        <f>+'DIRECTO '!K17+#REF!</f>
        <v>#REF!</v>
      </c>
      <c r="L18" s="636" t="e">
        <f t="shared" ref="L18:L27" si="18">+SUM(N18:R18)</f>
        <v>#REF!</v>
      </c>
      <c r="M18" s="499"/>
      <c r="N18" s="612" t="e">
        <f>+'DIRECTO '!N17+#REF!</f>
        <v>#REF!</v>
      </c>
      <c r="O18" s="613" t="e">
        <f>+'DIRECTO '!O17+#REF!</f>
        <v>#REF!</v>
      </c>
      <c r="P18" s="613" t="e">
        <f>+'DIRECTO '!P17+#REF!</f>
        <v>#REF!</v>
      </c>
      <c r="Q18" s="613" t="e">
        <f>+'DIRECTO '!Q17+#REF!</f>
        <v>#REF!</v>
      </c>
      <c r="R18" s="613" t="e">
        <f>+'DIRECTO '!R17+#REF!</f>
        <v>#REF!</v>
      </c>
      <c r="S18" s="636">
        <f t="shared" ref="S18:S27" si="19">+SUMIFS(N18:R18,N$2:R$2,$S$5)</f>
        <v>0</v>
      </c>
      <c r="T18" s="499"/>
      <c r="U18" s="612">
        <f t="shared" ref="U18:U27" si="20">+SUMIFS(N18:S18,N$2:S$2,$U$5)</f>
        <v>0</v>
      </c>
      <c r="V18" s="499"/>
      <c r="W18" s="612" t="e">
        <f>+X18</f>
        <v>#REF!</v>
      </c>
      <c r="X18" s="612" t="e">
        <f t="shared" ref="X18:X27" si="21">+K18+L18</f>
        <v>#REF!</v>
      </c>
      <c r="Y18" s="613" t="e">
        <f>+'DIRECTO '!Z17+#REF!</f>
        <v>#REF!</v>
      </c>
      <c r="Z18" s="613" t="e">
        <f>+'DIRECTO '!AA17+#REF!</f>
        <v>#REF!</v>
      </c>
      <c r="AA18" s="613" t="e">
        <f>+'DIRECTO '!AB17+#REF!</f>
        <v>#REF!</v>
      </c>
      <c r="AB18" s="520" t="e">
        <f>+'DIRECTO '!AC17+#REF!</f>
        <v>#REF!</v>
      </c>
      <c r="AC18" s="499"/>
      <c r="AD18" s="476" t="e">
        <f>+'DIRECTO '!AE17+#REF!</f>
        <v>#REF!</v>
      </c>
      <c r="AE18" s="444"/>
      <c r="AF18" s="531" t="e">
        <f>+AB18-X18</f>
        <v>#REF!</v>
      </c>
      <c r="AG18" s="529">
        <f>Mat!Y26</f>
        <v>0</v>
      </c>
      <c r="AH18" s="530" t="e">
        <f>IF(ABS(X18-AG18)&gt;1,"Revisar Rubros","OK")</f>
        <v>#REF!</v>
      </c>
      <c r="AI18" s="528"/>
      <c r="AJ18" s="397" t="e">
        <f t="shared" ref="AJ18:AJ27" si="22">SUM(AK18:CA18)</f>
        <v>#REF!</v>
      </c>
      <c r="AK18" s="398" t="e">
        <f>+'DIRECTO '!AK17+#REF!</f>
        <v>#REF!</v>
      </c>
      <c r="AL18" s="398" t="e">
        <f>+'DIRECTO '!AM17+#REF!</f>
        <v>#REF!</v>
      </c>
      <c r="AM18" s="398" t="e">
        <f>+'DIRECTO '!AN17+#REF!</f>
        <v>#REF!</v>
      </c>
      <c r="AN18" s="398" t="e">
        <f>+'DIRECTO '!AO17+#REF!</f>
        <v>#REF!</v>
      </c>
      <c r="AO18" s="398" t="e">
        <f>+'DIRECTO '!AP17+#REF!</f>
        <v>#REF!</v>
      </c>
      <c r="AP18" s="398" t="e">
        <f>+'DIRECTO '!AQ17+#REF!</f>
        <v>#REF!</v>
      </c>
      <c r="AQ18" s="398" t="e">
        <f>+'DIRECTO '!#REF!+#REF!</f>
        <v>#REF!</v>
      </c>
      <c r="AR18" s="398" t="e">
        <f>+'DIRECTO '!#REF!+#REF!</f>
        <v>#REF!</v>
      </c>
      <c r="AS18" s="398" t="e">
        <f>+'DIRECTO '!#REF!+#REF!</f>
        <v>#REF!</v>
      </c>
      <c r="AT18" s="398" t="e">
        <f>+'DIRECTO '!#REF!+#REF!</f>
        <v>#REF!</v>
      </c>
      <c r="AU18" s="398" t="e">
        <f>+'DIRECTO '!#REF!+#REF!</f>
        <v>#REF!</v>
      </c>
      <c r="AV18" s="398" t="e">
        <f>+'DIRECTO '!#REF!+#REF!</f>
        <v>#REF!</v>
      </c>
      <c r="AW18" s="398" t="e">
        <f>+'DIRECTO '!#REF!+#REF!</f>
        <v>#REF!</v>
      </c>
      <c r="AX18" s="398" t="e">
        <f>+'DIRECTO '!#REF!+#REF!</f>
        <v>#REF!</v>
      </c>
      <c r="AY18" s="398" t="e">
        <f>+'DIRECTO '!#REF!+#REF!</f>
        <v>#REF!</v>
      </c>
      <c r="AZ18" s="398" t="e">
        <f>+'DIRECTO '!#REF!+#REF!</f>
        <v>#REF!</v>
      </c>
      <c r="BA18" s="398" t="e">
        <f>+'DIRECTO '!#REF!+#REF!</f>
        <v>#REF!</v>
      </c>
      <c r="BB18" s="398" t="e">
        <f>+'DIRECTO '!#REF!+#REF!</f>
        <v>#REF!</v>
      </c>
      <c r="BC18" s="398" t="e">
        <f>+'DIRECTO '!#REF!+#REF!</f>
        <v>#REF!</v>
      </c>
      <c r="BD18" s="398" t="e">
        <f>+'DIRECTO '!#REF!+#REF!</f>
        <v>#REF!</v>
      </c>
      <c r="BE18" s="398" t="e">
        <f>+'DIRECTO '!#REF!+#REF!</f>
        <v>#REF!</v>
      </c>
      <c r="BF18" s="398" t="e">
        <f>+'DIRECTO '!#REF!+#REF!</f>
        <v>#REF!</v>
      </c>
      <c r="BG18" s="398" t="e">
        <f>+'DIRECTO '!#REF!+#REF!</f>
        <v>#REF!</v>
      </c>
      <c r="BH18" s="398" t="e">
        <f>+'DIRECTO '!#REF!+#REF!</f>
        <v>#REF!</v>
      </c>
      <c r="BI18" s="398" t="e">
        <f>+'DIRECTO '!#REF!+#REF!</f>
        <v>#REF!</v>
      </c>
      <c r="BJ18" s="398" t="e">
        <f>+'DIRECTO '!#REF!+#REF!</f>
        <v>#REF!</v>
      </c>
      <c r="BK18" s="398" t="e">
        <f>+'DIRECTO '!#REF!+#REF!</f>
        <v>#REF!</v>
      </c>
      <c r="BL18" s="398" t="e">
        <f>+'DIRECTO '!#REF!+#REF!</f>
        <v>#REF!</v>
      </c>
      <c r="BM18" s="398" t="e">
        <f>+'DIRECTO '!#REF!+#REF!</f>
        <v>#REF!</v>
      </c>
      <c r="BN18" s="398" t="e">
        <f>+'DIRECTO '!#REF!+#REF!</f>
        <v>#REF!</v>
      </c>
      <c r="BO18" s="398" t="e">
        <f>+'DIRECTO '!#REF!+#REF!</f>
        <v>#REF!</v>
      </c>
      <c r="BP18" s="398" t="e">
        <f>+'DIRECTO '!#REF!+#REF!</f>
        <v>#REF!</v>
      </c>
      <c r="BQ18" s="398" t="e">
        <f>+'DIRECTO '!#REF!+#REF!</f>
        <v>#REF!</v>
      </c>
      <c r="BR18" s="398" t="e">
        <f>+'DIRECTO '!#REF!+#REF!</f>
        <v>#REF!</v>
      </c>
      <c r="BS18" s="398" t="e">
        <f>+'DIRECTO '!#REF!+#REF!</f>
        <v>#REF!</v>
      </c>
      <c r="BT18" s="398" t="e">
        <f>+'DIRECTO '!#REF!+#REF!</f>
        <v>#REF!</v>
      </c>
      <c r="BU18" s="398" t="e">
        <f>+'DIRECTO '!#REF!+#REF!</f>
        <v>#REF!</v>
      </c>
      <c r="BV18" s="398" t="e">
        <f>+'DIRECTO '!#REF!+#REF!</f>
        <v>#REF!</v>
      </c>
      <c r="BW18" s="398" t="e">
        <f>+'DIRECTO '!#REF!+#REF!</f>
        <v>#REF!</v>
      </c>
      <c r="BX18" s="398" t="e">
        <f>+'DIRECTO '!#REF!+#REF!</f>
        <v>#REF!</v>
      </c>
      <c r="BY18" s="398" t="e">
        <f>+'DIRECTO '!#REF!+#REF!</f>
        <v>#REF!</v>
      </c>
      <c r="BZ18" s="398" t="e">
        <f>+'DIRECTO '!#REF!+#REF!</f>
        <v>#REF!</v>
      </c>
      <c r="CA18" s="398" t="e">
        <f>+'DIRECTO '!#REF!+#REF!</f>
        <v>#REF!</v>
      </c>
      <c r="CB18" s="295"/>
    </row>
    <row r="19" spans="2:85" s="5" customFormat="1" ht="19.5" customHeight="1" x14ac:dyDescent="0.3">
      <c r="B19" s="15" t="s">
        <v>11</v>
      </c>
      <c r="C19" s="16"/>
      <c r="E19" s="478" t="e">
        <f>+'DIRECTO '!E18+#REF!</f>
        <v>#REF!</v>
      </c>
      <c r="F19" s="499"/>
      <c r="G19" s="640" t="e">
        <f>+'DIRECTO '!G18+#REF!</f>
        <v>#REF!</v>
      </c>
      <c r="H19" s="624" t="e">
        <f>+'DIRECTO '!H18+#REF!</f>
        <v>#REF!</v>
      </c>
      <c r="I19" s="499"/>
      <c r="J19" s="638" t="e">
        <f>+'DIRECTO '!J18+#REF!</f>
        <v>#REF!</v>
      </c>
      <c r="K19" s="620" t="e">
        <f>+'DIRECTO '!K18+#REF!</f>
        <v>#REF!</v>
      </c>
      <c r="L19" s="639" t="e">
        <f t="shared" si="18"/>
        <v>#REF!</v>
      </c>
      <c r="M19" s="499"/>
      <c r="N19" s="640" t="e">
        <f>+'DIRECTO '!N18+#REF!</f>
        <v>#REF!</v>
      </c>
      <c r="O19" s="620" t="e">
        <f>+'DIRECTO '!O18+#REF!</f>
        <v>#REF!</v>
      </c>
      <c r="P19" s="620" t="e">
        <f>+'DIRECTO '!P18+#REF!</f>
        <v>#REF!</v>
      </c>
      <c r="Q19" s="620" t="e">
        <f>+'DIRECTO '!Q18+#REF!</f>
        <v>#REF!</v>
      </c>
      <c r="R19" s="620" t="e">
        <f>+'DIRECTO '!R18+#REF!</f>
        <v>#REF!</v>
      </c>
      <c r="S19" s="639">
        <f t="shared" si="19"/>
        <v>0</v>
      </c>
      <c r="T19" s="499"/>
      <c r="U19" s="640">
        <f t="shared" si="20"/>
        <v>0</v>
      </c>
      <c r="V19" s="499"/>
      <c r="W19" s="638" t="e">
        <f t="shared" ref="W19:W27" si="23">+X19</f>
        <v>#REF!</v>
      </c>
      <c r="X19" s="638" t="e">
        <f t="shared" si="21"/>
        <v>#REF!</v>
      </c>
      <c r="Y19" s="646" t="e">
        <f>+'DIRECTO '!Z18+#REF!</f>
        <v>#REF!</v>
      </c>
      <c r="Z19" s="646" t="e">
        <f>+'DIRECTO '!AA18+#REF!</f>
        <v>#REF!</v>
      </c>
      <c r="AA19" s="646" t="e">
        <f>+'DIRECTO '!AB18+#REF!</f>
        <v>#REF!</v>
      </c>
      <c r="AB19" s="647" t="e">
        <f>+'DIRECTO '!AC18+#REF!</f>
        <v>#REF!</v>
      </c>
      <c r="AC19" s="499"/>
      <c r="AD19" s="652" t="e">
        <f>+'DIRECTO '!AE18+#REF!</f>
        <v>#REF!</v>
      </c>
      <c r="AE19" s="444"/>
      <c r="AF19" s="531" t="e">
        <f t="shared" ref="AF19:AF27" si="24">+AB19-X19</f>
        <v>#REF!</v>
      </c>
      <c r="AG19" s="529">
        <f>+MO!Y75</f>
        <v>0</v>
      </c>
      <c r="AH19" s="530" t="e">
        <f t="shared" ref="AH19:AH27" si="25">IF(ABS(X19-AG19)&gt;1,"Revisar Rubros","OK")</f>
        <v>#REF!</v>
      </c>
      <c r="AI19" s="528"/>
      <c r="AJ19" s="397" t="e">
        <f t="shared" si="22"/>
        <v>#REF!</v>
      </c>
      <c r="AK19" s="398" t="e">
        <f>+'DIRECTO '!AK18+#REF!</f>
        <v>#REF!</v>
      </c>
      <c r="AL19" s="398" t="e">
        <f>+'DIRECTO '!AM18+#REF!</f>
        <v>#REF!</v>
      </c>
      <c r="AM19" s="398" t="e">
        <f>+'DIRECTO '!AN18+#REF!</f>
        <v>#REF!</v>
      </c>
      <c r="AN19" s="398" t="e">
        <f>+'DIRECTO '!AO18+#REF!</f>
        <v>#REF!</v>
      </c>
      <c r="AO19" s="398" t="e">
        <f>+'DIRECTO '!AP18+#REF!</f>
        <v>#REF!</v>
      </c>
      <c r="AP19" s="398" t="e">
        <f>+'DIRECTO '!AQ18+#REF!</f>
        <v>#REF!</v>
      </c>
      <c r="AQ19" s="398" t="e">
        <f>+'DIRECTO '!#REF!+#REF!</f>
        <v>#REF!</v>
      </c>
      <c r="AR19" s="398" t="e">
        <f>+'DIRECTO '!#REF!+#REF!</f>
        <v>#REF!</v>
      </c>
      <c r="AS19" s="398" t="e">
        <f>+'DIRECTO '!#REF!+#REF!</f>
        <v>#REF!</v>
      </c>
      <c r="AT19" s="398" t="e">
        <f>+'DIRECTO '!#REF!+#REF!</f>
        <v>#REF!</v>
      </c>
      <c r="AU19" s="398" t="e">
        <f>+'DIRECTO '!#REF!+#REF!</f>
        <v>#REF!</v>
      </c>
      <c r="AV19" s="398" t="e">
        <f>+'DIRECTO '!#REF!+#REF!</f>
        <v>#REF!</v>
      </c>
      <c r="AW19" s="398" t="e">
        <f>+'DIRECTO '!#REF!+#REF!</f>
        <v>#REF!</v>
      </c>
      <c r="AX19" s="398" t="e">
        <f>+'DIRECTO '!#REF!+#REF!</f>
        <v>#REF!</v>
      </c>
      <c r="AY19" s="398" t="e">
        <f>+'DIRECTO '!#REF!+#REF!</f>
        <v>#REF!</v>
      </c>
      <c r="AZ19" s="398" t="e">
        <f>+'DIRECTO '!#REF!+#REF!</f>
        <v>#REF!</v>
      </c>
      <c r="BA19" s="398" t="e">
        <f>+'DIRECTO '!#REF!+#REF!</f>
        <v>#REF!</v>
      </c>
      <c r="BB19" s="398" t="e">
        <f>+'DIRECTO '!#REF!+#REF!</f>
        <v>#REF!</v>
      </c>
      <c r="BC19" s="398" t="e">
        <f>+'DIRECTO '!#REF!+#REF!</f>
        <v>#REF!</v>
      </c>
      <c r="BD19" s="398" t="e">
        <f>+'DIRECTO '!#REF!+#REF!</f>
        <v>#REF!</v>
      </c>
      <c r="BE19" s="398" t="e">
        <f>+'DIRECTO '!#REF!+#REF!</f>
        <v>#REF!</v>
      </c>
      <c r="BF19" s="398" t="e">
        <f>+'DIRECTO '!#REF!+#REF!</f>
        <v>#REF!</v>
      </c>
      <c r="BG19" s="398" t="e">
        <f>+'DIRECTO '!#REF!+#REF!</f>
        <v>#REF!</v>
      </c>
      <c r="BH19" s="398" t="e">
        <f>+'DIRECTO '!#REF!+#REF!</f>
        <v>#REF!</v>
      </c>
      <c r="BI19" s="398" t="e">
        <f>+'DIRECTO '!#REF!+#REF!</f>
        <v>#REF!</v>
      </c>
      <c r="BJ19" s="398" t="e">
        <f>+'DIRECTO '!#REF!+#REF!</f>
        <v>#REF!</v>
      </c>
      <c r="BK19" s="398" t="e">
        <f>+'DIRECTO '!#REF!+#REF!</f>
        <v>#REF!</v>
      </c>
      <c r="BL19" s="398" t="e">
        <f>+'DIRECTO '!#REF!+#REF!</f>
        <v>#REF!</v>
      </c>
      <c r="BM19" s="398" t="e">
        <f>+'DIRECTO '!#REF!+#REF!</f>
        <v>#REF!</v>
      </c>
      <c r="BN19" s="398" t="e">
        <f>+'DIRECTO '!#REF!+#REF!</f>
        <v>#REF!</v>
      </c>
      <c r="BO19" s="398" t="e">
        <f>+'DIRECTO '!#REF!+#REF!</f>
        <v>#REF!</v>
      </c>
      <c r="BP19" s="398" t="e">
        <f>+'DIRECTO '!#REF!+#REF!</f>
        <v>#REF!</v>
      </c>
      <c r="BQ19" s="398" t="e">
        <f>+'DIRECTO '!#REF!+#REF!</f>
        <v>#REF!</v>
      </c>
      <c r="BR19" s="398" t="e">
        <f>+'DIRECTO '!#REF!+#REF!</f>
        <v>#REF!</v>
      </c>
      <c r="BS19" s="398" t="e">
        <f>+'DIRECTO '!#REF!+#REF!</f>
        <v>#REF!</v>
      </c>
      <c r="BT19" s="398" t="e">
        <f>+'DIRECTO '!#REF!+#REF!</f>
        <v>#REF!</v>
      </c>
      <c r="BU19" s="398" t="e">
        <f>+'DIRECTO '!#REF!+#REF!</f>
        <v>#REF!</v>
      </c>
      <c r="BV19" s="398" t="e">
        <f>+'DIRECTO '!#REF!+#REF!</f>
        <v>#REF!</v>
      </c>
      <c r="BW19" s="398" t="e">
        <f>+'DIRECTO '!#REF!+#REF!</f>
        <v>#REF!</v>
      </c>
      <c r="BX19" s="398" t="e">
        <f>+'DIRECTO '!#REF!+#REF!</f>
        <v>#REF!</v>
      </c>
      <c r="BY19" s="398" t="e">
        <f>+'DIRECTO '!#REF!+#REF!</f>
        <v>#REF!</v>
      </c>
      <c r="BZ19" s="398" t="e">
        <f>+'DIRECTO '!#REF!+#REF!</f>
        <v>#REF!</v>
      </c>
      <c r="CA19" s="398" t="e">
        <f>+'DIRECTO '!#REF!+#REF!</f>
        <v>#REF!</v>
      </c>
      <c r="CB19" s="295"/>
    </row>
    <row r="20" spans="2:85" s="5" customFormat="1" ht="18.75" x14ac:dyDescent="0.3">
      <c r="B20" s="15" t="s">
        <v>43</v>
      </c>
      <c r="C20" s="16"/>
      <c r="E20" s="652" t="e">
        <f>+'DIRECTO '!E19+#REF!</f>
        <v>#REF!</v>
      </c>
      <c r="F20" s="499"/>
      <c r="G20" s="638" t="e">
        <f>+'DIRECTO '!G19+#REF!</f>
        <v>#REF!</v>
      </c>
      <c r="H20" s="623" t="e">
        <f>+'DIRECTO '!H19+#REF!</f>
        <v>#REF!</v>
      </c>
      <c r="I20" s="499"/>
      <c r="J20" s="638" t="e">
        <f>+'DIRECTO '!J19+#REF!</f>
        <v>#REF!</v>
      </c>
      <c r="K20" s="622" t="e">
        <f>+'DIRECTO '!K19+#REF!</f>
        <v>#REF!</v>
      </c>
      <c r="L20" s="621" t="e">
        <f t="shared" si="18"/>
        <v>#REF!</v>
      </c>
      <c r="M20" s="499"/>
      <c r="N20" s="638" t="e">
        <f>+'DIRECTO '!N19+#REF!</f>
        <v>#REF!</v>
      </c>
      <c r="O20" s="622" t="e">
        <f>+'DIRECTO '!O19+#REF!</f>
        <v>#REF!</v>
      </c>
      <c r="P20" s="622" t="e">
        <f>+'DIRECTO '!P19+#REF!</f>
        <v>#REF!</v>
      </c>
      <c r="Q20" s="622" t="e">
        <f>+'DIRECTO '!Q19+#REF!</f>
        <v>#REF!</v>
      </c>
      <c r="R20" s="622" t="e">
        <f>+'DIRECTO '!R19+#REF!</f>
        <v>#REF!</v>
      </c>
      <c r="S20" s="621">
        <f t="shared" si="19"/>
        <v>0</v>
      </c>
      <c r="T20" s="499"/>
      <c r="U20" s="638">
        <f t="shared" si="20"/>
        <v>0</v>
      </c>
      <c r="V20" s="499"/>
      <c r="W20" s="638" t="e">
        <f t="shared" si="23"/>
        <v>#REF!</v>
      </c>
      <c r="X20" s="638" t="e">
        <f t="shared" si="21"/>
        <v>#REF!</v>
      </c>
      <c r="Y20" s="646" t="e">
        <f>+'DIRECTO '!Z19+#REF!</f>
        <v>#REF!</v>
      </c>
      <c r="Z20" s="646" t="e">
        <f>+'DIRECTO '!AA19+#REF!</f>
        <v>#REF!</v>
      </c>
      <c r="AA20" s="646" t="e">
        <f>+'DIRECTO '!AB19+#REF!</f>
        <v>#REF!</v>
      </c>
      <c r="AB20" s="647" t="e">
        <f>+'DIRECTO '!AC19+#REF!</f>
        <v>#REF!</v>
      </c>
      <c r="AC20" s="499"/>
      <c r="AD20" s="652" t="e">
        <f>+'DIRECTO '!AE19+#REF!</f>
        <v>#REF!</v>
      </c>
      <c r="AE20" s="444"/>
      <c r="AF20" s="531" t="e">
        <f t="shared" si="24"/>
        <v>#REF!</v>
      </c>
      <c r="AG20" s="529" t="e">
        <f>+SC!#REF!</f>
        <v>#REF!</v>
      </c>
      <c r="AH20" s="530" t="e">
        <f t="shared" si="25"/>
        <v>#REF!</v>
      </c>
      <c r="AI20" s="528"/>
      <c r="AJ20" s="401" t="e">
        <f t="shared" si="22"/>
        <v>#REF!</v>
      </c>
      <c r="AK20" s="398" t="e">
        <f>+'DIRECTO '!AK19+#REF!</f>
        <v>#REF!</v>
      </c>
      <c r="AL20" s="398" t="e">
        <f>+'DIRECTO '!AM19+#REF!</f>
        <v>#REF!</v>
      </c>
      <c r="AM20" s="398" t="e">
        <f>+'DIRECTO '!AN19+#REF!</f>
        <v>#REF!</v>
      </c>
      <c r="AN20" s="398" t="e">
        <f>+'DIRECTO '!AO19+#REF!</f>
        <v>#REF!</v>
      </c>
      <c r="AO20" s="398" t="e">
        <f>+'DIRECTO '!AP19+#REF!</f>
        <v>#REF!</v>
      </c>
      <c r="AP20" s="398" t="e">
        <f>+'DIRECTO '!AQ19+#REF!</f>
        <v>#REF!</v>
      </c>
      <c r="AQ20" s="398" t="e">
        <f>+'DIRECTO '!#REF!+#REF!</f>
        <v>#REF!</v>
      </c>
      <c r="AR20" s="398" t="e">
        <f>+'DIRECTO '!#REF!+#REF!</f>
        <v>#REF!</v>
      </c>
      <c r="AS20" s="398" t="e">
        <f>+'DIRECTO '!#REF!+#REF!</f>
        <v>#REF!</v>
      </c>
      <c r="AT20" s="398" t="e">
        <f>+'DIRECTO '!#REF!+#REF!</f>
        <v>#REF!</v>
      </c>
      <c r="AU20" s="398" t="e">
        <f>+'DIRECTO '!#REF!+#REF!</f>
        <v>#REF!</v>
      </c>
      <c r="AV20" s="398" t="e">
        <f>+'DIRECTO '!#REF!+#REF!</f>
        <v>#REF!</v>
      </c>
      <c r="AW20" s="398" t="e">
        <f>+'DIRECTO '!#REF!+#REF!</f>
        <v>#REF!</v>
      </c>
      <c r="AX20" s="398" t="e">
        <f>+'DIRECTO '!#REF!+#REF!</f>
        <v>#REF!</v>
      </c>
      <c r="AY20" s="398" t="e">
        <f>+'DIRECTO '!#REF!+#REF!</f>
        <v>#REF!</v>
      </c>
      <c r="AZ20" s="398" t="e">
        <f>+'DIRECTO '!#REF!+#REF!</f>
        <v>#REF!</v>
      </c>
      <c r="BA20" s="398" t="e">
        <f>+'DIRECTO '!#REF!+#REF!</f>
        <v>#REF!</v>
      </c>
      <c r="BB20" s="398" t="e">
        <f>+'DIRECTO '!#REF!+#REF!</f>
        <v>#REF!</v>
      </c>
      <c r="BC20" s="398" t="e">
        <f>+'DIRECTO '!#REF!+#REF!</f>
        <v>#REF!</v>
      </c>
      <c r="BD20" s="398" t="e">
        <f>+'DIRECTO '!#REF!+#REF!</f>
        <v>#REF!</v>
      </c>
      <c r="BE20" s="398" t="e">
        <f>+'DIRECTO '!#REF!+#REF!</f>
        <v>#REF!</v>
      </c>
      <c r="BF20" s="398" t="e">
        <f>+'DIRECTO '!#REF!+#REF!</f>
        <v>#REF!</v>
      </c>
      <c r="BG20" s="398" t="e">
        <f>+'DIRECTO '!#REF!+#REF!</f>
        <v>#REF!</v>
      </c>
      <c r="BH20" s="398" t="e">
        <f>+'DIRECTO '!#REF!+#REF!</f>
        <v>#REF!</v>
      </c>
      <c r="BI20" s="398" t="e">
        <f>+'DIRECTO '!#REF!+#REF!</f>
        <v>#REF!</v>
      </c>
      <c r="BJ20" s="398" t="e">
        <f>+'DIRECTO '!#REF!+#REF!</f>
        <v>#REF!</v>
      </c>
      <c r="BK20" s="398" t="e">
        <f>+'DIRECTO '!#REF!+#REF!</f>
        <v>#REF!</v>
      </c>
      <c r="BL20" s="398" t="e">
        <f>+'DIRECTO '!#REF!+#REF!</f>
        <v>#REF!</v>
      </c>
      <c r="BM20" s="398" t="e">
        <f>+'DIRECTO '!#REF!+#REF!</f>
        <v>#REF!</v>
      </c>
      <c r="BN20" s="398" t="e">
        <f>+'DIRECTO '!#REF!+#REF!</f>
        <v>#REF!</v>
      </c>
      <c r="BO20" s="398" t="e">
        <f>+'DIRECTO '!#REF!+#REF!</f>
        <v>#REF!</v>
      </c>
      <c r="BP20" s="398" t="e">
        <f>+'DIRECTO '!#REF!+#REF!</f>
        <v>#REF!</v>
      </c>
      <c r="BQ20" s="398" t="e">
        <f>+'DIRECTO '!#REF!+#REF!</f>
        <v>#REF!</v>
      </c>
      <c r="BR20" s="398" t="e">
        <f>+'DIRECTO '!#REF!+#REF!</f>
        <v>#REF!</v>
      </c>
      <c r="BS20" s="398" t="e">
        <f>+'DIRECTO '!#REF!+#REF!</f>
        <v>#REF!</v>
      </c>
      <c r="BT20" s="398" t="e">
        <f>+'DIRECTO '!#REF!+#REF!</f>
        <v>#REF!</v>
      </c>
      <c r="BU20" s="398" t="e">
        <f>+'DIRECTO '!#REF!+#REF!</f>
        <v>#REF!</v>
      </c>
      <c r="BV20" s="398" t="e">
        <f>+'DIRECTO '!#REF!+#REF!</f>
        <v>#REF!</v>
      </c>
      <c r="BW20" s="398" t="e">
        <f>+'DIRECTO '!#REF!+#REF!</f>
        <v>#REF!</v>
      </c>
      <c r="BX20" s="398" t="e">
        <f>+'DIRECTO '!#REF!+#REF!</f>
        <v>#REF!</v>
      </c>
      <c r="BY20" s="398" t="e">
        <f>+'DIRECTO '!#REF!+#REF!</f>
        <v>#REF!</v>
      </c>
      <c r="BZ20" s="398" t="e">
        <f>+'DIRECTO '!#REF!+#REF!</f>
        <v>#REF!</v>
      </c>
      <c r="CA20" s="398" t="e">
        <f>+'DIRECTO '!#REF!+#REF!</f>
        <v>#REF!</v>
      </c>
      <c r="CB20" s="295"/>
    </row>
    <row r="21" spans="2:85" s="5" customFormat="1" ht="18.75" x14ac:dyDescent="0.3">
      <c r="B21" s="15" t="s">
        <v>38</v>
      </c>
      <c r="C21" s="16"/>
      <c r="E21" s="652" t="e">
        <f>+'DIRECTO '!E20+#REF!</f>
        <v>#REF!</v>
      </c>
      <c r="F21" s="499"/>
      <c r="G21" s="638" t="e">
        <f>+'DIRECTO '!G20+#REF!</f>
        <v>#REF!</v>
      </c>
      <c r="H21" s="623" t="e">
        <f>+'DIRECTO '!H20+#REF!</f>
        <v>#REF!</v>
      </c>
      <c r="I21" s="499"/>
      <c r="J21" s="638" t="e">
        <f>+'DIRECTO '!J20+#REF!</f>
        <v>#REF!</v>
      </c>
      <c r="K21" s="622" t="e">
        <f>+'DIRECTO '!K20+#REF!</f>
        <v>#REF!</v>
      </c>
      <c r="L21" s="621" t="e">
        <f t="shared" si="18"/>
        <v>#REF!</v>
      </c>
      <c r="M21" s="499"/>
      <c r="N21" s="638" t="e">
        <f>+'DIRECTO '!N20+#REF!</f>
        <v>#REF!</v>
      </c>
      <c r="O21" s="622" t="e">
        <f>+'DIRECTO '!O20+#REF!</f>
        <v>#REF!</v>
      </c>
      <c r="P21" s="622" t="e">
        <f>+'DIRECTO '!P20+#REF!</f>
        <v>#REF!</v>
      </c>
      <c r="Q21" s="622" t="e">
        <f>+'DIRECTO '!Q20+#REF!</f>
        <v>#REF!</v>
      </c>
      <c r="R21" s="622" t="e">
        <f>+'DIRECTO '!R20+#REF!</f>
        <v>#REF!</v>
      </c>
      <c r="S21" s="621">
        <f t="shared" si="19"/>
        <v>0</v>
      </c>
      <c r="T21" s="499"/>
      <c r="U21" s="638">
        <f t="shared" si="20"/>
        <v>0</v>
      </c>
      <c r="V21" s="499"/>
      <c r="W21" s="638" t="e">
        <f t="shared" si="23"/>
        <v>#REF!</v>
      </c>
      <c r="X21" s="638" t="e">
        <f t="shared" si="21"/>
        <v>#REF!</v>
      </c>
      <c r="Y21" s="646" t="e">
        <f>+'DIRECTO '!Z20+#REF!</f>
        <v>#REF!</v>
      </c>
      <c r="Z21" s="646" t="e">
        <f>+'DIRECTO '!AA20+#REF!</f>
        <v>#REF!</v>
      </c>
      <c r="AA21" s="646" t="e">
        <f>+'DIRECTO '!AB20+#REF!</f>
        <v>#REF!</v>
      </c>
      <c r="AB21" s="647" t="e">
        <f>+'DIRECTO '!AC20+#REF!</f>
        <v>#REF!</v>
      </c>
      <c r="AC21" s="499"/>
      <c r="AD21" s="478" t="e">
        <f>+'DIRECTO '!AE20+#REF!</f>
        <v>#REF!</v>
      </c>
      <c r="AE21" s="444"/>
      <c r="AF21" s="531" t="e">
        <f t="shared" si="24"/>
        <v>#REF!</v>
      </c>
      <c r="AG21" s="529">
        <f>+SER!Y44</f>
        <v>22778.58893881</v>
      </c>
      <c r="AH21" s="530" t="e">
        <f t="shared" si="25"/>
        <v>#REF!</v>
      </c>
      <c r="AI21" s="528"/>
      <c r="AJ21" s="401" t="e">
        <f t="shared" si="22"/>
        <v>#REF!</v>
      </c>
      <c r="AK21" s="398" t="e">
        <f>+'DIRECTO '!AK20+#REF!</f>
        <v>#REF!</v>
      </c>
      <c r="AL21" s="398" t="e">
        <f>+'DIRECTO '!AM20+#REF!</f>
        <v>#REF!</v>
      </c>
      <c r="AM21" s="398" t="e">
        <f>+'DIRECTO '!AN20+#REF!</f>
        <v>#REF!</v>
      </c>
      <c r="AN21" s="398" t="e">
        <f>+'DIRECTO '!AO20+#REF!</f>
        <v>#REF!</v>
      </c>
      <c r="AO21" s="398" t="e">
        <f>+'DIRECTO '!AP20+#REF!</f>
        <v>#REF!</v>
      </c>
      <c r="AP21" s="398" t="e">
        <f>+'DIRECTO '!AQ20+#REF!</f>
        <v>#REF!</v>
      </c>
      <c r="AQ21" s="398" t="e">
        <f>+'DIRECTO '!#REF!+#REF!</f>
        <v>#REF!</v>
      </c>
      <c r="AR21" s="398" t="e">
        <f>+'DIRECTO '!#REF!+#REF!</f>
        <v>#REF!</v>
      </c>
      <c r="AS21" s="398" t="e">
        <f>+'DIRECTO '!#REF!+#REF!</f>
        <v>#REF!</v>
      </c>
      <c r="AT21" s="398" t="e">
        <f>+'DIRECTO '!#REF!+#REF!</f>
        <v>#REF!</v>
      </c>
      <c r="AU21" s="398" t="e">
        <f>+'DIRECTO '!#REF!+#REF!</f>
        <v>#REF!</v>
      </c>
      <c r="AV21" s="398" t="e">
        <f>+'DIRECTO '!#REF!+#REF!</f>
        <v>#REF!</v>
      </c>
      <c r="AW21" s="398" t="e">
        <f>+'DIRECTO '!#REF!+#REF!</f>
        <v>#REF!</v>
      </c>
      <c r="AX21" s="398" t="e">
        <f>+'DIRECTO '!#REF!+#REF!</f>
        <v>#REF!</v>
      </c>
      <c r="AY21" s="398" t="e">
        <f>+'DIRECTO '!#REF!+#REF!</f>
        <v>#REF!</v>
      </c>
      <c r="AZ21" s="398" t="e">
        <f>+'DIRECTO '!#REF!+#REF!</f>
        <v>#REF!</v>
      </c>
      <c r="BA21" s="398" t="e">
        <f>+'DIRECTO '!#REF!+#REF!</f>
        <v>#REF!</v>
      </c>
      <c r="BB21" s="398" t="e">
        <f>+'DIRECTO '!#REF!+#REF!</f>
        <v>#REF!</v>
      </c>
      <c r="BC21" s="398" t="e">
        <f>+'DIRECTO '!#REF!+#REF!</f>
        <v>#REF!</v>
      </c>
      <c r="BD21" s="398" t="e">
        <f>+'DIRECTO '!#REF!+#REF!</f>
        <v>#REF!</v>
      </c>
      <c r="BE21" s="398" t="e">
        <f>+'DIRECTO '!#REF!+#REF!</f>
        <v>#REF!</v>
      </c>
      <c r="BF21" s="398" t="e">
        <f>+'DIRECTO '!#REF!+#REF!</f>
        <v>#REF!</v>
      </c>
      <c r="BG21" s="398" t="e">
        <f>+'DIRECTO '!#REF!+#REF!</f>
        <v>#REF!</v>
      </c>
      <c r="BH21" s="398" t="e">
        <f>+'DIRECTO '!#REF!+#REF!</f>
        <v>#REF!</v>
      </c>
      <c r="BI21" s="398" t="e">
        <f>+'DIRECTO '!#REF!+#REF!</f>
        <v>#REF!</v>
      </c>
      <c r="BJ21" s="398" t="e">
        <f>+'DIRECTO '!#REF!+#REF!</f>
        <v>#REF!</v>
      </c>
      <c r="BK21" s="398" t="e">
        <f>+'DIRECTO '!#REF!+#REF!</f>
        <v>#REF!</v>
      </c>
      <c r="BL21" s="398" t="e">
        <f>+'DIRECTO '!#REF!+#REF!</f>
        <v>#REF!</v>
      </c>
      <c r="BM21" s="398" t="e">
        <f>+'DIRECTO '!#REF!+#REF!</f>
        <v>#REF!</v>
      </c>
      <c r="BN21" s="398" t="e">
        <f>+'DIRECTO '!#REF!+#REF!</f>
        <v>#REF!</v>
      </c>
      <c r="BO21" s="398" t="e">
        <f>+'DIRECTO '!#REF!+#REF!</f>
        <v>#REF!</v>
      </c>
      <c r="BP21" s="398" t="e">
        <f>+'DIRECTO '!#REF!+#REF!</f>
        <v>#REF!</v>
      </c>
      <c r="BQ21" s="398" t="e">
        <f>+'DIRECTO '!#REF!+#REF!</f>
        <v>#REF!</v>
      </c>
      <c r="BR21" s="398" t="e">
        <f>+'DIRECTO '!#REF!+#REF!</f>
        <v>#REF!</v>
      </c>
      <c r="BS21" s="398" t="e">
        <f>+'DIRECTO '!#REF!+#REF!</f>
        <v>#REF!</v>
      </c>
      <c r="BT21" s="398" t="e">
        <f>+'DIRECTO '!#REF!+#REF!</f>
        <v>#REF!</v>
      </c>
      <c r="BU21" s="398" t="e">
        <f>+'DIRECTO '!#REF!+#REF!</f>
        <v>#REF!</v>
      </c>
      <c r="BV21" s="398" t="e">
        <f>+'DIRECTO '!#REF!+#REF!</f>
        <v>#REF!</v>
      </c>
      <c r="BW21" s="398" t="e">
        <f>+'DIRECTO '!#REF!+#REF!</f>
        <v>#REF!</v>
      </c>
      <c r="BX21" s="398" t="e">
        <f>+'DIRECTO '!#REF!+#REF!</f>
        <v>#REF!</v>
      </c>
      <c r="BY21" s="398" t="e">
        <f>+'DIRECTO '!#REF!+#REF!</f>
        <v>#REF!</v>
      </c>
      <c r="BZ21" s="398" t="e">
        <f>+'DIRECTO '!#REF!+#REF!</f>
        <v>#REF!</v>
      </c>
      <c r="CA21" s="398" t="e">
        <f>+'DIRECTO '!#REF!+#REF!</f>
        <v>#REF!</v>
      </c>
      <c r="CB21" s="295"/>
      <c r="CD21" s="499" t="e">
        <f>+X16-X26-X27</f>
        <v>#REF!</v>
      </c>
    </row>
    <row r="22" spans="2:85" s="5" customFormat="1" ht="18.75" x14ac:dyDescent="0.3">
      <c r="B22" s="15" t="s">
        <v>12</v>
      </c>
      <c r="C22" s="16"/>
      <c r="E22" s="652" t="e">
        <f>+'DIRECTO '!E21+#REF!</f>
        <v>#REF!</v>
      </c>
      <c r="F22" s="499"/>
      <c r="G22" s="638" t="e">
        <f>+'DIRECTO '!G21+#REF!</f>
        <v>#REF!</v>
      </c>
      <c r="H22" s="623" t="e">
        <f>+'DIRECTO '!H21+#REF!</f>
        <v>#REF!</v>
      </c>
      <c r="I22" s="499"/>
      <c r="J22" s="638" t="e">
        <f>+'DIRECTO '!J21+#REF!</f>
        <v>#REF!</v>
      </c>
      <c r="K22" s="622" t="e">
        <f>+'DIRECTO '!K21+#REF!</f>
        <v>#REF!</v>
      </c>
      <c r="L22" s="621" t="e">
        <f t="shared" si="18"/>
        <v>#REF!</v>
      </c>
      <c r="M22" s="499"/>
      <c r="N22" s="638" t="e">
        <f>+'DIRECTO '!N21+#REF!</f>
        <v>#REF!</v>
      </c>
      <c r="O22" s="622" t="e">
        <f>+'DIRECTO '!O21+#REF!</f>
        <v>#REF!</v>
      </c>
      <c r="P22" s="622" t="e">
        <f>+'DIRECTO '!P21+#REF!</f>
        <v>#REF!</v>
      </c>
      <c r="Q22" s="622" t="e">
        <f>+'DIRECTO '!Q21+#REF!</f>
        <v>#REF!</v>
      </c>
      <c r="R22" s="622" t="e">
        <f>+'DIRECTO '!R21+#REF!</f>
        <v>#REF!</v>
      </c>
      <c r="S22" s="621">
        <f t="shared" si="19"/>
        <v>0</v>
      </c>
      <c r="T22" s="499"/>
      <c r="U22" s="638">
        <f t="shared" si="20"/>
        <v>0</v>
      </c>
      <c r="V22" s="499"/>
      <c r="W22" s="638" t="e">
        <f t="shared" si="23"/>
        <v>#REF!</v>
      </c>
      <c r="X22" s="638" t="e">
        <f t="shared" si="21"/>
        <v>#REF!</v>
      </c>
      <c r="Y22" s="646" t="e">
        <f>+'DIRECTO '!Z21+#REF!</f>
        <v>#REF!</v>
      </c>
      <c r="Z22" s="646" t="e">
        <f>+'DIRECTO '!AA21+#REF!</f>
        <v>#REF!</v>
      </c>
      <c r="AA22" s="646" t="e">
        <f>+'DIRECTO '!AB21+#REF!</f>
        <v>#REF!</v>
      </c>
      <c r="AB22" s="647" t="e">
        <f>+'DIRECTO '!AC21+#REF!</f>
        <v>#REF!</v>
      </c>
      <c r="AC22" s="499"/>
      <c r="AD22" s="652" t="e">
        <f>+'DIRECTO '!AE21+#REF!</f>
        <v>#REF!</v>
      </c>
      <c r="AE22" s="444"/>
      <c r="AF22" s="531" t="e">
        <f t="shared" si="24"/>
        <v>#REF!</v>
      </c>
      <c r="AG22" s="529"/>
      <c r="AH22" s="530" t="e">
        <f t="shared" si="25"/>
        <v>#REF!</v>
      </c>
      <c r="AI22" s="528"/>
      <c r="AJ22" s="401" t="e">
        <f t="shared" si="22"/>
        <v>#REF!</v>
      </c>
      <c r="AK22" s="398" t="e">
        <f>+'DIRECTO '!AK21+#REF!</f>
        <v>#REF!</v>
      </c>
      <c r="AL22" s="398" t="e">
        <f>+'DIRECTO '!AM21+#REF!</f>
        <v>#REF!</v>
      </c>
      <c r="AM22" s="398" t="e">
        <f>+'DIRECTO '!AN21+#REF!</f>
        <v>#REF!</v>
      </c>
      <c r="AN22" s="398" t="e">
        <f>+'DIRECTO '!AO21+#REF!</f>
        <v>#REF!</v>
      </c>
      <c r="AO22" s="398" t="e">
        <f>+'DIRECTO '!AP21+#REF!</f>
        <v>#REF!</v>
      </c>
      <c r="AP22" s="398" t="e">
        <f>+'DIRECTO '!AQ21+#REF!</f>
        <v>#REF!</v>
      </c>
      <c r="AQ22" s="398" t="e">
        <f>+'DIRECTO '!#REF!+#REF!</f>
        <v>#REF!</v>
      </c>
      <c r="AR22" s="398" t="e">
        <f>+'DIRECTO '!#REF!+#REF!</f>
        <v>#REF!</v>
      </c>
      <c r="AS22" s="398" t="e">
        <f>+'DIRECTO '!#REF!+#REF!</f>
        <v>#REF!</v>
      </c>
      <c r="AT22" s="398" t="e">
        <f>+'DIRECTO '!#REF!+#REF!</f>
        <v>#REF!</v>
      </c>
      <c r="AU22" s="398" t="e">
        <f>+'DIRECTO '!#REF!+#REF!</f>
        <v>#REF!</v>
      </c>
      <c r="AV22" s="398" t="e">
        <f>+'DIRECTO '!#REF!+#REF!</f>
        <v>#REF!</v>
      </c>
      <c r="AW22" s="398" t="e">
        <f>+'DIRECTO '!#REF!+#REF!</f>
        <v>#REF!</v>
      </c>
      <c r="AX22" s="398" t="e">
        <f>+'DIRECTO '!#REF!+#REF!</f>
        <v>#REF!</v>
      </c>
      <c r="AY22" s="398" t="e">
        <f>+'DIRECTO '!#REF!+#REF!</f>
        <v>#REF!</v>
      </c>
      <c r="AZ22" s="398" t="e">
        <f>+'DIRECTO '!#REF!+#REF!</f>
        <v>#REF!</v>
      </c>
      <c r="BA22" s="398" t="e">
        <f>+'DIRECTO '!#REF!+#REF!</f>
        <v>#REF!</v>
      </c>
      <c r="BB22" s="398" t="e">
        <f>+'DIRECTO '!#REF!+#REF!</f>
        <v>#REF!</v>
      </c>
      <c r="BC22" s="398" t="e">
        <f>+'DIRECTO '!#REF!+#REF!</f>
        <v>#REF!</v>
      </c>
      <c r="BD22" s="398" t="e">
        <f>+'DIRECTO '!#REF!+#REF!</f>
        <v>#REF!</v>
      </c>
      <c r="BE22" s="398" t="e">
        <f>+'DIRECTO '!#REF!+#REF!</f>
        <v>#REF!</v>
      </c>
      <c r="BF22" s="398" t="e">
        <f>+'DIRECTO '!#REF!+#REF!</f>
        <v>#REF!</v>
      </c>
      <c r="BG22" s="398" t="e">
        <f>+'DIRECTO '!#REF!+#REF!</f>
        <v>#REF!</v>
      </c>
      <c r="BH22" s="398" t="e">
        <f>+'DIRECTO '!#REF!+#REF!</f>
        <v>#REF!</v>
      </c>
      <c r="BI22" s="398" t="e">
        <f>+'DIRECTO '!#REF!+#REF!</f>
        <v>#REF!</v>
      </c>
      <c r="BJ22" s="398" t="e">
        <f>+'DIRECTO '!#REF!+#REF!</f>
        <v>#REF!</v>
      </c>
      <c r="BK22" s="398" t="e">
        <f>+'DIRECTO '!#REF!+#REF!</f>
        <v>#REF!</v>
      </c>
      <c r="BL22" s="398" t="e">
        <f>+'DIRECTO '!#REF!+#REF!</f>
        <v>#REF!</v>
      </c>
      <c r="BM22" s="398" t="e">
        <f>+'DIRECTO '!#REF!+#REF!</f>
        <v>#REF!</v>
      </c>
      <c r="BN22" s="398" t="e">
        <f>+'DIRECTO '!#REF!+#REF!</f>
        <v>#REF!</v>
      </c>
      <c r="BO22" s="398" t="e">
        <f>+'DIRECTO '!#REF!+#REF!</f>
        <v>#REF!</v>
      </c>
      <c r="BP22" s="398" t="e">
        <f>+'DIRECTO '!#REF!+#REF!</f>
        <v>#REF!</v>
      </c>
      <c r="BQ22" s="398" t="e">
        <f>+'DIRECTO '!#REF!+#REF!</f>
        <v>#REF!</v>
      </c>
      <c r="BR22" s="398" t="e">
        <f>+'DIRECTO '!#REF!+#REF!</f>
        <v>#REF!</v>
      </c>
      <c r="BS22" s="398" t="e">
        <f>+'DIRECTO '!#REF!+#REF!</f>
        <v>#REF!</v>
      </c>
      <c r="BT22" s="398" t="e">
        <f>+'DIRECTO '!#REF!+#REF!</f>
        <v>#REF!</v>
      </c>
      <c r="BU22" s="398" t="e">
        <f>+'DIRECTO '!#REF!+#REF!</f>
        <v>#REF!</v>
      </c>
      <c r="BV22" s="398" t="e">
        <f>+'DIRECTO '!#REF!+#REF!</f>
        <v>#REF!</v>
      </c>
      <c r="BW22" s="398" t="e">
        <f>+'DIRECTO '!#REF!+#REF!</f>
        <v>#REF!</v>
      </c>
      <c r="BX22" s="398" t="e">
        <f>+'DIRECTO '!#REF!+#REF!</f>
        <v>#REF!</v>
      </c>
      <c r="BY22" s="398" t="e">
        <f>+'DIRECTO '!#REF!+#REF!</f>
        <v>#REF!</v>
      </c>
      <c r="BZ22" s="398" t="e">
        <f>+'DIRECTO '!#REF!+#REF!</f>
        <v>#REF!</v>
      </c>
      <c r="CA22" s="398" t="e">
        <f>+'DIRECTO '!#REF!+#REF!</f>
        <v>#REF!</v>
      </c>
      <c r="CB22" s="295"/>
      <c r="CD22" s="499">
        <v>20864058.326847453</v>
      </c>
    </row>
    <row r="23" spans="2:85" s="5" customFormat="1" ht="18.75" x14ac:dyDescent="0.3">
      <c r="B23" s="15"/>
      <c r="C23" s="16" t="s">
        <v>25</v>
      </c>
      <c r="E23" s="652" t="e">
        <f>+'DIRECTO '!E22+#REF!</f>
        <v>#REF!</v>
      </c>
      <c r="F23" s="499"/>
      <c r="G23" s="640" t="e">
        <f>+'DIRECTO '!G22+#REF!</f>
        <v>#REF!</v>
      </c>
      <c r="H23" s="624" t="e">
        <f>+'DIRECTO '!H22+#REF!</f>
        <v>#REF!</v>
      </c>
      <c r="I23" s="499"/>
      <c r="J23" s="638" t="e">
        <f>+'DIRECTO '!J22+#REF!</f>
        <v>#REF!</v>
      </c>
      <c r="K23" s="622" t="e">
        <f>+'DIRECTO '!K22+#REF!</f>
        <v>#REF!</v>
      </c>
      <c r="L23" s="621" t="e">
        <f t="shared" si="18"/>
        <v>#REF!</v>
      </c>
      <c r="M23" s="499"/>
      <c r="N23" s="638" t="e">
        <f>+'DIRECTO '!N22+#REF!</f>
        <v>#REF!</v>
      </c>
      <c r="O23" s="622" t="e">
        <f>+'DIRECTO '!O22+#REF!</f>
        <v>#REF!</v>
      </c>
      <c r="P23" s="622" t="e">
        <f>+'DIRECTO '!P22+#REF!</f>
        <v>#REF!</v>
      </c>
      <c r="Q23" s="622" t="e">
        <f>+'DIRECTO '!Q22+#REF!</f>
        <v>#REF!</v>
      </c>
      <c r="R23" s="622" t="e">
        <f>+'DIRECTO '!R22+#REF!</f>
        <v>#REF!</v>
      </c>
      <c r="S23" s="621">
        <f t="shared" si="19"/>
        <v>0</v>
      </c>
      <c r="T23" s="499"/>
      <c r="U23" s="638">
        <f t="shared" si="20"/>
        <v>0</v>
      </c>
      <c r="V23" s="499"/>
      <c r="W23" s="638" t="e">
        <f t="shared" si="23"/>
        <v>#REF!</v>
      </c>
      <c r="X23" s="638" t="e">
        <f t="shared" si="21"/>
        <v>#REF!</v>
      </c>
      <c r="Y23" s="646" t="e">
        <f>+'DIRECTO '!Z22+#REF!</f>
        <v>#REF!</v>
      </c>
      <c r="Z23" s="646" t="e">
        <f>+'DIRECTO '!AA22+#REF!</f>
        <v>#REF!</v>
      </c>
      <c r="AA23" s="646" t="e">
        <f>+'DIRECTO '!AB22+#REF!</f>
        <v>#REF!</v>
      </c>
      <c r="AB23" s="647" t="e">
        <f>+'DIRECTO '!AC22+#REF!</f>
        <v>#REF!</v>
      </c>
      <c r="AC23" s="499"/>
      <c r="AD23" s="478" t="e">
        <f>+'DIRECTO '!AE22+#REF!</f>
        <v>#REF!</v>
      </c>
      <c r="AE23" s="444"/>
      <c r="AF23" s="531" t="e">
        <f t="shared" si="24"/>
        <v>#REF!</v>
      </c>
      <c r="AG23" s="529">
        <f>+Eq!Y56</f>
        <v>0</v>
      </c>
      <c r="AH23" s="530" t="e">
        <f t="shared" si="25"/>
        <v>#REF!</v>
      </c>
      <c r="AI23" s="528"/>
      <c r="AJ23" s="401" t="e">
        <f t="shared" si="22"/>
        <v>#REF!</v>
      </c>
      <c r="AK23" s="398" t="e">
        <f>+'DIRECTO '!AK22+#REF!</f>
        <v>#REF!</v>
      </c>
      <c r="AL23" s="398" t="e">
        <f>+'DIRECTO '!AM22+#REF!</f>
        <v>#REF!</v>
      </c>
      <c r="AM23" s="398" t="e">
        <f>+'DIRECTO '!AN22+#REF!</f>
        <v>#REF!</v>
      </c>
      <c r="AN23" s="398" t="e">
        <f>+'DIRECTO '!AO22+#REF!</f>
        <v>#REF!</v>
      </c>
      <c r="AO23" s="398" t="e">
        <f>+'DIRECTO '!AP22+#REF!</f>
        <v>#REF!</v>
      </c>
      <c r="AP23" s="398" t="e">
        <f>+'DIRECTO '!AQ22+#REF!</f>
        <v>#REF!</v>
      </c>
      <c r="AQ23" s="398" t="e">
        <f>+'DIRECTO '!#REF!+#REF!</f>
        <v>#REF!</v>
      </c>
      <c r="AR23" s="398" t="e">
        <f>+'DIRECTO '!#REF!+#REF!</f>
        <v>#REF!</v>
      </c>
      <c r="AS23" s="398" t="e">
        <f>+'DIRECTO '!#REF!+#REF!</f>
        <v>#REF!</v>
      </c>
      <c r="AT23" s="398" t="e">
        <f>+'DIRECTO '!#REF!+#REF!</f>
        <v>#REF!</v>
      </c>
      <c r="AU23" s="398" t="e">
        <f>+'DIRECTO '!#REF!+#REF!</f>
        <v>#REF!</v>
      </c>
      <c r="AV23" s="398" t="e">
        <f>+'DIRECTO '!#REF!+#REF!</f>
        <v>#REF!</v>
      </c>
      <c r="AW23" s="398" t="e">
        <f>+'DIRECTO '!#REF!+#REF!</f>
        <v>#REF!</v>
      </c>
      <c r="AX23" s="398" t="e">
        <f>+'DIRECTO '!#REF!+#REF!</f>
        <v>#REF!</v>
      </c>
      <c r="AY23" s="398" t="e">
        <f>+'DIRECTO '!#REF!+#REF!</f>
        <v>#REF!</v>
      </c>
      <c r="AZ23" s="398" t="e">
        <f>+'DIRECTO '!#REF!+#REF!</f>
        <v>#REF!</v>
      </c>
      <c r="BA23" s="398" t="e">
        <f>+'DIRECTO '!#REF!+#REF!</f>
        <v>#REF!</v>
      </c>
      <c r="BB23" s="398" t="e">
        <f>+'DIRECTO '!#REF!+#REF!</f>
        <v>#REF!</v>
      </c>
      <c r="BC23" s="398" t="e">
        <f>+'DIRECTO '!#REF!+#REF!</f>
        <v>#REF!</v>
      </c>
      <c r="BD23" s="398" t="e">
        <f>+'DIRECTO '!#REF!+#REF!</f>
        <v>#REF!</v>
      </c>
      <c r="BE23" s="398" t="e">
        <f>+'DIRECTO '!#REF!+#REF!</f>
        <v>#REF!</v>
      </c>
      <c r="BF23" s="398" t="e">
        <f>+'DIRECTO '!#REF!+#REF!</f>
        <v>#REF!</v>
      </c>
      <c r="BG23" s="398" t="e">
        <f>+'DIRECTO '!#REF!+#REF!</f>
        <v>#REF!</v>
      </c>
      <c r="BH23" s="398" t="e">
        <f>+'DIRECTO '!#REF!+#REF!</f>
        <v>#REF!</v>
      </c>
      <c r="BI23" s="398" t="e">
        <f>+'DIRECTO '!#REF!+#REF!</f>
        <v>#REF!</v>
      </c>
      <c r="BJ23" s="398" t="e">
        <f>+'DIRECTO '!#REF!+#REF!</f>
        <v>#REF!</v>
      </c>
      <c r="BK23" s="398" t="e">
        <f>+'DIRECTO '!#REF!+#REF!</f>
        <v>#REF!</v>
      </c>
      <c r="BL23" s="398" t="e">
        <f>+'DIRECTO '!#REF!+#REF!</f>
        <v>#REF!</v>
      </c>
      <c r="BM23" s="398" t="e">
        <f>+'DIRECTO '!#REF!+#REF!</f>
        <v>#REF!</v>
      </c>
      <c r="BN23" s="398" t="e">
        <f>+'DIRECTO '!#REF!+#REF!</f>
        <v>#REF!</v>
      </c>
      <c r="BO23" s="398" t="e">
        <f>+'DIRECTO '!#REF!+#REF!</f>
        <v>#REF!</v>
      </c>
      <c r="BP23" s="398" t="e">
        <f>+'DIRECTO '!#REF!+#REF!</f>
        <v>#REF!</v>
      </c>
      <c r="BQ23" s="398" t="e">
        <f>+'DIRECTO '!#REF!+#REF!</f>
        <v>#REF!</v>
      </c>
      <c r="BR23" s="398" t="e">
        <f>+'DIRECTO '!#REF!+#REF!</f>
        <v>#REF!</v>
      </c>
      <c r="BS23" s="398" t="e">
        <f>+'DIRECTO '!#REF!+#REF!</f>
        <v>#REF!</v>
      </c>
      <c r="BT23" s="398" t="e">
        <f>+'DIRECTO '!#REF!+#REF!</f>
        <v>#REF!</v>
      </c>
      <c r="BU23" s="398" t="e">
        <f>+'DIRECTO '!#REF!+#REF!</f>
        <v>#REF!</v>
      </c>
      <c r="BV23" s="398" t="e">
        <f>+'DIRECTO '!#REF!+#REF!</f>
        <v>#REF!</v>
      </c>
      <c r="BW23" s="398" t="e">
        <f>+'DIRECTO '!#REF!+#REF!</f>
        <v>#REF!</v>
      </c>
      <c r="BX23" s="398" t="e">
        <f>+'DIRECTO '!#REF!+#REF!</f>
        <v>#REF!</v>
      </c>
      <c r="BY23" s="398" t="e">
        <f>+'DIRECTO '!#REF!+#REF!</f>
        <v>#REF!</v>
      </c>
      <c r="BZ23" s="398" t="e">
        <f>+'DIRECTO '!#REF!+#REF!</f>
        <v>#REF!</v>
      </c>
      <c r="CA23" s="398" t="e">
        <f>+'DIRECTO '!#REF!+#REF!</f>
        <v>#REF!</v>
      </c>
      <c r="CB23" s="295"/>
    </row>
    <row r="24" spans="2:85" s="5" customFormat="1" ht="18.75" x14ac:dyDescent="0.3">
      <c r="B24" s="15"/>
      <c r="C24" s="16" t="s">
        <v>14</v>
      </c>
      <c r="E24" s="652" t="e">
        <f>+'DIRECTO '!E23+#REF!</f>
        <v>#REF!</v>
      </c>
      <c r="F24" s="499"/>
      <c r="G24" s="638" t="e">
        <f>+'DIRECTO '!G23+#REF!</f>
        <v>#REF!</v>
      </c>
      <c r="H24" s="623" t="e">
        <f>+'DIRECTO '!H23+#REF!</f>
        <v>#REF!</v>
      </c>
      <c r="I24" s="499"/>
      <c r="J24" s="638" t="e">
        <f>+'DIRECTO '!J23+#REF!</f>
        <v>#REF!</v>
      </c>
      <c r="K24" s="622" t="e">
        <f>+'DIRECTO '!K23+#REF!</f>
        <v>#REF!</v>
      </c>
      <c r="L24" s="621" t="e">
        <f t="shared" si="18"/>
        <v>#REF!</v>
      </c>
      <c r="M24" s="499"/>
      <c r="N24" s="638" t="e">
        <f>+'DIRECTO '!N23+#REF!</f>
        <v>#REF!</v>
      </c>
      <c r="O24" s="622" t="e">
        <f>+'DIRECTO '!O23+#REF!</f>
        <v>#REF!</v>
      </c>
      <c r="P24" s="622" t="e">
        <f>+'DIRECTO '!P23+#REF!</f>
        <v>#REF!</v>
      </c>
      <c r="Q24" s="622" t="e">
        <f>+'DIRECTO '!Q23+#REF!</f>
        <v>#REF!</v>
      </c>
      <c r="R24" s="622" t="e">
        <f>+'DIRECTO '!R23+#REF!</f>
        <v>#REF!</v>
      </c>
      <c r="S24" s="621">
        <f t="shared" si="19"/>
        <v>0</v>
      </c>
      <c r="T24" s="499"/>
      <c r="U24" s="638">
        <f t="shared" si="20"/>
        <v>0</v>
      </c>
      <c r="V24" s="499"/>
      <c r="W24" s="638" t="e">
        <f t="shared" si="23"/>
        <v>#REF!</v>
      </c>
      <c r="X24" s="638" t="e">
        <f t="shared" si="21"/>
        <v>#REF!</v>
      </c>
      <c r="Y24" s="646" t="e">
        <f ca="1">+'DIRECTO '!Z23+#REF!</f>
        <v>#REF!</v>
      </c>
      <c r="Z24" s="646" t="e">
        <f ca="1">+'DIRECTO '!AA23+#REF!</f>
        <v>#REF!</v>
      </c>
      <c r="AA24" s="646" t="e">
        <f ca="1">+'DIRECTO '!AB23+#REF!</f>
        <v>#REF!</v>
      </c>
      <c r="AB24" s="647" t="e">
        <f>+'DIRECTO '!AC23+#REF!</f>
        <v>#REF!</v>
      </c>
      <c r="AC24" s="499"/>
      <c r="AD24" s="652" t="e">
        <f>+'DIRECTO '!AE23+#REF!</f>
        <v>#REF!</v>
      </c>
      <c r="AE24" s="444"/>
      <c r="AF24" s="531" t="e">
        <f t="shared" si="24"/>
        <v>#REF!</v>
      </c>
      <c r="AG24" s="529">
        <f>+Eq!Y57</f>
        <v>0</v>
      </c>
      <c r="AH24" s="530" t="e">
        <f t="shared" si="25"/>
        <v>#REF!</v>
      </c>
      <c r="AI24" s="528"/>
      <c r="AJ24" s="401" t="e">
        <f t="shared" si="22"/>
        <v>#REF!</v>
      </c>
      <c r="AK24" s="398" t="e">
        <f>+'DIRECTO '!AK23+#REF!</f>
        <v>#REF!</v>
      </c>
      <c r="AL24" s="398" t="e">
        <f>+'DIRECTO '!AM23+#REF!</f>
        <v>#REF!</v>
      </c>
      <c r="AM24" s="398" t="e">
        <f>+'DIRECTO '!AN23+#REF!</f>
        <v>#REF!</v>
      </c>
      <c r="AN24" s="398" t="e">
        <f>+'DIRECTO '!AO23+#REF!</f>
        <v>#REF!</v>
      </c>
      <c r="AO24" s="398" t="e">
        <f>+'DIRECTO '!AP23+#REF!</f>
        <v>#REF!</v>
      </c>
      <c r="AP24" s="398" t="e">
        <f>+'DIRECTO '!AQ23+#REF!</f>
        <v>#REF!</v>
      </c>
      <c r="AQ24" s="398" t="e">
        <f>+'DIRECTO '!#REF!+#REF!</f>
        <v>#REF!</v>
      </c>
      <c r="AR24" s="398" t="e">
        <f>+'DIRECTO '!#REF!+#REF!</f>
        <v>#REF!</v>
      </c>
      <c r="AS24" s="398" t="e">
        <f>+'DIRECTO '!#REF!+#REF!</f>
        <v>#REF!</v>
      </c>
      <c r="AT24" s="398" t="e">
        <f>+'DIRECTO '!#REF!+#REF!</f>
        <v>#REF!</v>
      </c>
      <c r="AU24" s="398" t="e">
        <f>+'DIRECTO '!#REF!+#REF!</f>
        <v>#REF!</v>
      </c>
      <c r="AV24" s="398" t="e">
        <f>+'DIRECTO '!#REF!+#REF!</f>
        <v>#REF!</v>
      </c>
      <c r="AW24" s="398" t="e">
        <f>+'DIRECTO '!#REF!+#REF!</f>
        <v>#REF!</v>
      </c>
      <c r="AX24" s="398" t="e">
        <f>+'DIRECTO '!#REF!+#REF!</f>
        <v>#REF!</v>
      </c>
      <c r="AY24" s="398" t="e">
        <f>+'DIRECTO '!#REF!+#REF!</f>
        <v>#REF!</v>
      </c>
      <c r="AZ24" s="398" t="e">
        <f>+'DIRECTO '!#REF!+#REF!</f>
        <v>#REF!</v>
      </c>
      <c r="BA24" s="398" t="e">
        <f>+'DIRECTO '!#REF!+#REF!</f>
        <v>#REF!</v>
      </c>
      <c r="BB24" s="398" t="e">
        <f>+'DIRECTO '!#REF!+#REF!</f>
        <v>#REF!</v>
      </c>
      <c r="BC24" s="398" t="e">
        <f>+'DIRECTO '!#REF!+#REF!</f>
        <v>#REF!</v>
      </c>
      <c r="BD24" s="398" t="e">
        <f>+'DIRECTO '!#REF!+#REF!</f>
        <v>#REF!</v>
      </c>
      <c r="BE24" s="398" t="e">
        <f>+'DIRECTO '!#REF!+#REF!</f>
        <v>#REF!</v>
      </c>
      <c r="BF24" s="398" t="e">
        <f>+'DIRECTO '!#REF!+#REF!</f>
        <v>#REF!</v>
      </c>
      <c r="BG24" s="398" t="e">
        <f>+'DIRECTO '!#REF!+#REF!</f>
        <v>#REF!</v>
      </c>
      <c r="BH24" s="398" t="e">
        <f>+'DIRECTO '!#REF!+#REF!</f>
        <v>#REF!</v>
      </c>
      <c r="BI24" s="398" t="e">
        <f>+'DIRECTO '!#REF!+#REF!</f>
        <v>#REF!</v>
      </c>
      <c r="BJ24" s="398" t="e">
        <f>+'DIRECTO '!#REF!+#REF!</f>
        <v>#REF!</v>
      </c>
      <c r="BK24" s="398" t="e">
        <f>+'DIRECTO '!#REF!+#REF!</f>
        <v>#REF!</v>
      </c>
      <c r="BL24" s="398" t="e">
        <f>+'DIRECTO '!#REF!+#REF!</f>
        <v>#REF!</v>
      </c>
      <c r="BM24" s="398" t="e">
        <f>+'DIRECTO '!#REF!+#REF!</f>
        <v>#REF!</v>
      </c>
      <c r="BN24" s="398" t="e">
        <f>+'DIRECTO '!#REF!+#REF!</f>
        <v>#REF!</v>
      </c>
      <c r="BO24" s="398" t="e">
        <f>+'DIRECTO '!#REF!+#REF!</f>
        <v>#REF!</v>
      </c>
      <c r="BP24" s="398" t="e">
        <f>+'DIRECTO '!#REF!+#REF!</f>
        <v>#REF!</v>
      </c>
      <c r="BQ24" s="398" t="e">
        <f>+'DIRECTO '!#REF!+#REF!</f>
        <v>#REF!</v>
      </c>
      <c r="BR24" s="398" t="e">
        <f>+'DIRECTO '!#REF!+#REF!</f>
        <v>#REF!</v>
      </c>
      <c r="BS24" s="398" t="e">
        <f>+'DIRECTO '!#REF!+#REF!</f>
        <v>#REF!</v>
      </c>
      <c r="BT24" s="398" t="e">
        <f>+'DIRECTO '!#REF!+#REF!</f>
        <v>#REF!</v>
      </c>
      <c r="BU24" s="398" t="e">
        <f>+'DIRECTO '!#REF!+#REF!</f>
        <v>#REF!</v>
      </c>
      <c r="BV24" s="398" t="e">
        <f>+'DIRECTO '!#REF!+#REF!</f>
        <v>#REF!</v>
      </c>
      <c r="BW24" s="398" t="e">
        <f>+'DIRECTO '!#REF!+#REF!</f>
        <v>#REF!</v>
      </c>
      <c r="BX24" s="398" t="e">
        <f>+'DIRECTO '!#REF!+#REF!</f>
        <v>#REF!</v>
      </c>
      <c r="BY24" s="398" t="e">
        <f>+'DIRECTO '!#REF!+#REF!</f>
        <v>#REF!</v>
      </c>
      <c r="BZ24" s="398" t="e">
        <f>+'DIRECTO '!#REF!+#REF!</f>
        <v>#REF!</v>
      </c>
      <c r="CA24" s="398" t="e">
        <f>+'DIRECTO '!#REF!+#REF!</f>
        <v>#REF!</v>
      </c>
      <c r="CB24" s="295"/>
    </row>
    <row r="25" spans="2:85" s="5" customFormat="1" ht="18.75" x14ac:dyDescent="0.3">
      <c r="B25" s="15" t="s">
        <v>13</v>
      </c>
      <c r="C25" s="16"/>
      <c r="E25" s="652" t="e">
        <f>+'DIRECTO '!E24+#REF!</f>
        <v>#REF!</v>
      </c>
      <c r="F25" s="499"/>
      <c r="G25" s="638" t="e">
        <f>+'DIRECTO '!G24+#REF!</f>
        <v>#REF!</v>
      </c>
      <c r="H25" s="623" t="e">
        <f>+'DIRECTO '!H24+#REF!</f>
        <v>#REF!</v>
      </c>
      <c r="I25" s="499"/>
      <c r="J25" s="638" t="e">
        <f>+'DIRECTO '!J24+#REF!</f>
        <v>#REF!</v>
      </c>
      <c r="K25" s="622" t="e">
        <f>+'DIRECTO '!K24+#REF!</f>
        <v>#REF!</v>
      </c>
      <c r="L25" s="621" t="e">
        <f t="shared" si="18"/>
        <v>#REF!</v>
      </c>
      <c r="M25" s="499"/>
      <c r="N25" s="638" t="e">
        <f>+'DIRECTO '!N24+#REF!</f>
        <v>#REF!</v>
      </c>
      <c r="O25" s="622" t="e">
        <f>+'DIRECTO '!O24+#REF!</f>
        <v>#REF!</v>
      </c>
      <c r="P25" s="622" t="e">
        <f>+'DIRECTO '!P24+#REF!</f>
        <v>#REF!</v>
      </c>
      <c r="Q25" s="622" t="e">
        <f>+'DIRECTO '!Q24+#REF!</f>
        <v>#REF!</v>
      </c>
      <c r="R25" s="622" t="e">
        <f>+'DIRECTO '!R24+#REF!</f>
        <v>#REF!</v>
      </c>
      <c r="S25" s="621">
        <f t="shared" si="19"/>
        <v>0</v>
      </c>
      <c r="T25" s="499"/>
      <c r="U25" s="638">
        <f t="shared" si="20"/>
        <v>0</v>
      </c>
      <c r="V25" s="499"/>
      <c r="W25" s="638" t="e">
        <f t="shared" si="23"/>
        <v>#REF!</v>
      </c>
      <c r="X25" s="638" t="e">
        <f t="shared" si="21"/>
        <v>#REF!</v>
      </c>
      <c r="Y25" s="646" t="e">
        <f>+'DIRECTO '!Z24+#REF!</f>
        <v>#REF!</v>
      </c>
      <c r="Z25" s="646" t="e">
        <f>+'DIRECTO '!AA24+#REF!</f>
        <v>#REF!</v>
      </c>
      <c r="AA25" s="646" t="e">
        <f>+'DIRECTO '!AB24+#REF!</f>
        <v>#REF!</v>
      </c>
      <c r="AB25" s="647" t="e">
        <f>+'DIRECTO '!AC24+#REF!</f>
        <v>#REF!</v>
      </c>
      <c r="AC25" s="499"/>
      <c r="AD25" s="478" t="e">
        <f>+'DIRECTO '!AE24+#REF!</f>
        <v>#REF!</v>
      </c>
      <c r="AE25" s="444"/>
      <c r="AF25" s="531" t="e">
        <f t="shared" si="24"/>
        <v>#REF!</v>
      </c>
      <c r="AG25" s="529">
        <f>+Fletes!Y39</f>
        <v>0</v>
      </c>
      <c r="AH25" s="530" t="e">
        <f t="shared" si="25"/>
        <v>#REF!</v>
      </c>
      <c r="AI25" s="528"/>
      <c r="AJ25" s="401" t="e">
        <f t="shared" si="22"/>
        <v>#REF!</v>
      </c>
      <c r="AK25" s="398" t="e">
        <f>+'DIRECTO '!AK24+#REF!</f>
        <v>#REF!</v>
      </c>
      <c r="AL25" s="398" t="e">
        <f>+'DIRECTO '!AM24+#REF!</f>
        <v>#REF!</v>
      </c>
      <c r="AM25" s="398" t="e">
        <f>+'DIRECTO '!AN24+#REF!</f>
        <v>#REF!</v>
      </c>
      <c r="AN25" s="398" t="e">
        <f>+'DIRECTO '!AO24+#REF!</f>
        <v>#REF!</v>
      </c>
      <c r="AO25" s="398" t="e">
        <f>+'DIRECTO '!AP24+#REF!</f>
        <v>#REF!</v>
      </c>
      <c r="AP25" s="398" t="e">
        <f>+'DIRECTO '!AQ24+#REF!</f>
        <v>#REF!</v>
      </c>
      <c r="AQ25" s="398" t="e">
        <f>+'DIRECTO '!#REF!+#REF!</f>
        <v>#REF!</v>
      </c>
      <c r="AR25" s="398" t="e">
        <f>+'DIRECTO '!#REF!+#REF!</f>
        <v>#REF!</v>
      </c>
      <c r="AS25" s="398" t="e">
        <f>+'DIRECTO '!#REF!+#REF!</f>
        <v>#REF!</v>
      </c>
      <c r="AT25" s="398" t="e">
        <f>+'DIRECTO '!#REF!+#REF!</f>
        <v>#REF!</v>
      </c>
      <c r="AU25" s="398" t="e">
        <f>+'DIRECTO '!#REF!+#REF!</f>
        <v>#REF!</v>
      </c>
      <c r="AV25" s="398" t="e">
        <f>+'DIRECTO '!#REF!+#REF!</f>
        <v>#REF!</v>
      </c>
      <c r="AW25" s="398" t="e">
        <f>+'DIRECTO '!#REF!+#REF!</f>
        <v>#REF!</v>
      </c>
      <c r="AX25" s="398" t="e">
        <f>+'DIRECTO '!#REF!+#REF!</f>
        <v>#REF!</v>
      </c>
      <c r="AY25" s="398" t="e">
        <f>+'DIRECTO '!#REF!+#REF!</f>
        <v>#REF!</v>
      </c>
      <c r="AZ25" s="398" t="e">
        <f>+'DIRECTO '!#REF!+#REF!</f>
        <v>#REF!</v>
      </c>
      <c r="BA25" s="398" t="e">
        <f>+'DIRECTO '!#REF!+#REF!</f>
        <v>#REF!</v>
      </c>
      <c r="BB25" s="398" t="e">
        <f>+'DIRECTO '!#REF!+#REF!</f>
        <v>#REF!</v>
      </c>
      <c r="BC25" s="398" t="e">
        <f>+'DIRECTO '!#REF!+#REF!</f>
        <v>#REF!</v>
      </c>
      <c r="BD25" s="398" t="e">
        <f>+'DIRECTO '!#REF!+#REF!</f>
        <v>#REF!</v>
      </c>
      <c r="BE25" s="398" t="e">
        <f>+'DIRECTO '!#REF!+#REF!</f>
        <v>#REF!</v>
      </c>
      <c r="BF25" s="398" t="e">
        <f>+'DIRECTO '!#REF!+#REF!</f>
        <v>#REF!</v>
      </c>
      <c r="BG25" s="398" t="e">
        <f>+'DIRECTO '!#REF!+#REF!</f>
        <v>#REF!</v>
      </c>
      <c r="BH25" s="398" t="e">
        <f>+'DIRECTO '!#REF!+#REF!</f>
        <v>#REF!</v>
      </c>
      <c r="BI25" s="398" t="e">
        <f>+'DIRECTO '!#REF!+#REF!</f>
        <v>#REF!</v>
      </c>
      <c r="BJ25" s="398" t="e">
        <f>+'DIRECTO '!#REF!+#REF!</f>
        <v>#REF!</v>
      </c>
      <c r="BK25" s="398" t="e">
        <f>+'DIRECTO '!#REF!+#REF!</f>
        <v>#REF!</v>
      </c>
      <c r="BL25" s="398" t="e">
        <f>+'DIRECTO '!#REF!+#REF!</f>
        <v>#REF!</v>
      </c>
      <c r="BM25" s="398" t="e">
        <f>+'DIRECTO '!#REF!+#REF!</f>
        <v>#REF!</v>
      </c>
      <c r="BN25" s="398" t="e">
        <f>+'DIRECTO '!#REF!+#REF!</f>
        <v>#REF!</v>
      </c>
      <c r="BO25" s="398" t="e">
        <f>+'DIRECTO '!#REF!+#REF!</f>
        <v>#REF!</v>
      </c>
      <c r="BP25" s="398" t="e">
        <f>+'DIRECTO '!#REF!+#REF!</f>
        <v>#REF!</v>
      </c>
      <c r="BQ25" s="398" t="e">
        <f>+'DIRECTO '!#REF!+#REF!</f>
        <v>#REF!</v>
      </c>
      <c r="BR25" s="398" t="e">
        <f>+'DIRECTO '!#REF!+#REF!</f>
        <v>#REF!</v>
      </c>
      <c r="BS25" s="398" t="e">
        <f>+'DIRECTO '!#REF!+#REF!</f>
        <v>#REF!</v>
      </c>
      <c r="BT25" s="398" t="e">
        <f>+'DIRECTO '!#REF!+#REF!</f>
        <v>#REF!</v>
      </c>
      <c r="BU25" s="398" t="e">
        <f>+'DIRECTO '!#REF!+#REF!</f>
        <v>#REF!</v>
      </c>
      <c r="BV25" s="398" t="e">
        <f>+'DIRECTO '!#REF!+#REF!</f>
        <v>#REF!</v>
      </c>
      <c r="BW25" s="398" t="e">
        <f>+'DIRECTO '!#REF!+#REF!</f>
        <v>#REF!</v>
      </c>
      <c r="BX25" s="398" t="e">
        <f>+'DIRECTO '!#REF!+#REF!</f>
        <v>#REF!</v>
      </c>
      <c r="BY25" s="398" t="e">
        <f>+'DIRECTO '!#REF!+#REF!</f>
        <v>#REF!</v>
      </c>
      <c r="BZ25" s="398" t="e">
        <f>+'DIRECTO '!#REF!+#REF!</f>
        <v>#REF!</v>
      </c>
      <c r="CA25" s="398" t="e">
        <f>+'DIRECTO '!#REF!+#REF!</f>
        <v>#REF!</v>
      </c>
      <c r="CB25" s="295"/>
    </row>
    <row r="26" spans="2:85" s="5" customFormat="1" ht="18.75" x14ac:dyDescent="0.3">
      <c r="B26" s="15" t="s">
        <v>31</v>
      </c>
      <c r="C26" s="16"/>
      <c r="E26" s="637" t="e">
        <f>+'DIRECTO '!E25+#REF!</f>
        <v>#REF!</v>
      </c>
      <c r="F26" s="499"/>
      <c r="G26" s="614" t="e">
        <f>+'DIRECTO '!G25+#REF!</f>
        <v>#REF!</v>
      </c>
      <c r="H26" s="616" t="e">
        <f>+'DIRECTO '!H25+#REF!</f>
        <v>#REF!</v>
      </c>
      <c r="I26" s="499"/>
      <c r="J26" s="638" t="e">
        <f>+'DIRECTO '!J25+#REF!</f>
        <v>#REF!</v>
      </c>
      <c r="K26" s="622" t="e">
        <f>+'DIRECTO '!K25+#REF!</f>
        <v>#REF!</v>
      </c>
      <c r="L26" s="621" t="e">
        <f t="shared" si="18"/>
        <v>#REF!</v>
      </c>
      <c r="M26" s="499"/>
      <c r="N26" s="638" t="e">
        <f>+'DIRECTO '!N25+#REF!</f>
        <v>#REF!</v>
      </c>
      <c r="O26" s="622" t="e">
        <f>+'DIRECTO '!O25+#REF!</f>
        <v>#REF!</v>
      </c>
      <c r="P26" s="622" t="e">
        <f>+'DIRECTO '!P25+#REF!</f>
        <v>#REF!</v>
      </c>
      <c r="Q26" s="622" t="e">
        <f>+'DIRECTO '!Q25+#REF!</f>
        <v>#REF!</v>
      </c>
      <c r="R26" s="622" t="e">
        <f>+'DIRECTO '!R25+#REF!</f>
        <v>#REF!</v>
      </c>
      <c r="S26" s="621">
        <f t="shared" si="19"/>
        <v>0</v>
      </c>
      <c r="T26" s="499"/>
      <c r="U26" s="638">
        <f t="shared" si="20"/>
        <v>0</v>
      </c>
      <c r="V26" s="499"/>
      <c r="W26" s="638" t="e">
        <f t="shared" si="23"/>
        <v>#REF!</v>
      </c>
      <c r="X26" s="638" t="e">
        <f t="shared" si="21"/>
        <v>#REF!</v>
      </c>
      <c r="Y26" s="646" t="e">
        <f>+'DIRECTO '!Z25+#REF!</f>
        <v>#REF!</v>
      </c>
      <c r="Z26" s="646" t="e">
        <f>+'DIRECTO '!AA25+#REF!</f>
        <v>#REF!</v>
      </c>
      <c r="AA26" s="646" t="e">
        <f>+'DIRECTO '!AB25+#REF!</f>
        <v>#REF!</v>
      </c>
      <c r="AB26" s="647" t="e">
        <f>+'DIRECTO '!AC25+#REF!</f>
        <v>#REF!</v>
      </c>
      <c r="AC26" s="499"/>
      <c r="AD26" s="652" t="e">
        <f>+'DIRECTO '!AE25+#REF!</f>
        <v>#REF!</v>
      </c>
      <c r="AE26" s="444"/>
      <c r="AF26" s="531" t="e">
        <f t="shared" si="24"/>
        <v>#REF!</v>
      </c>
      <c r="AG26" s="529">
        <f>+Staff!BK27</f>
        <v>0</v>
      </c>
      <c r="AH26" s="530" t="e">
        <f t="shared" si="25"/>
        <v>#REF!</v>
      </c>
      <c r="AI26" s="528"/>
      <c r="AJ26" s="397" t="e">
        <f t="shared" si="22"/>
        <v>#REF!</v>
      </c>
      <c r="AK26" s="398" t="e">
        <f>+'DIRECTO '!AK25+#REF!</f>
        <v>#REF!</v>
      </c>
      <c r="AL26" s="398" t="e">
        <f>+'DIRECTO '!AM25+#REF!</f>
        <v>#REF!</v>
      </c>
      <c r="AM26" s="398" t="e">
        <f>+'DIRECTO '!AN25+#REF!</f>
        <v>#REF!</v>
      </c>
      <c r="AN26" s="398" t="e">
        <f>+'DIRECTO '!AO25+#REF!</f>
        <v>#REF!</v>
      </c>
      <c r="AO26" s="398" t="e">
        <f>+'DIRECTO '!AP25+#REF!</f>
        <v>#REF!</v>
      </c>
      <c r="AP26" s="398" t="e">
        <f>+'DIRECTO '!AQ25+#REF!</f>
        <v>#REF!</v>
      </c>
      <c r="AQ26" s="398" t="e">
        <f>+'DIRECTO '!#REF!+#REF!</f>
        <v>#REF!</v>
      </c>
      <c r="AR26" s="398" t="e">
        <f>+'DIRECTO '!#REF!+#REF!</f>
        <v>#REF!</v>
      </c>
      <c r="AS26" s="398" t="e">
        <f>+'DIRECTO '!#REF!+#REF!</f>
        <v>#REF!</v>
      </c>
      <c r="AT26" s="398" t="e">
        <f>+'DIRECTO '!#REF!+#REF!</f>
        <v>#REF!</v>
      </c>
      <c r="AU26" s="398" t="e">
        <f>+'DIRECTO '!#REF!+#REF!</f>
        <v>#REF!</v>
      </c>
      <c r="AV26" s="398" t="e">
        <f>+'DIRECTO '!#REF!+#REF!</f>
        <v>#REF!</v>
      </c>
      <c r="AW26" s="398" t="e">
        <f>+'DIRECTO '!#REF!+#REF!</f>
        <v>#REF!</v>
      </c>
      <c r="AX26" s="398" t="e">
        <f>+'DIRECTO '!#REF!+#REF!</f>
        <v>#REF!</v>
      </c>
      <c r="AY26" s="398" t="e">
        <f>+'DIRECTO '!#REF!+#REF!</f>
        <v>#REF!</v>
      </c>
      <c r="AZ26" s="398" t="e">
        <f>+'DIRECTO '!#REF!+#REF!</f>
        <v>#REF!</v>
      </c>
      <c r="BA26" s="398" t="e">
        <f>+'DIRECTO '!#REF!+#REF!</f>
        <v>#REF!</v>
      </c>
      <c r="BB26" s="398" t="e">
        <f>+'DIRECTO '!#REF!+#REF!</f>
        <v>#REF!</v>
      </c>
      <c r="BC26" s="398" t="e">
        <f>+'DIRECTO '!#REF!+#REF!</f>
        <v>#REF!</v>
      </c>
      <c r="BD26" s="398" t="e">
        <f>+'DIRECTO '!#REF!+#REF!</f>
        <v>#REF!</v>
      </c>
      <c r="BE26" s="398" t="e">
        <f>+'DIRECTO '!#REF!+#REF!</f>
        <v>#REF!</v>
      </c>
      <c r="BF26" s="398" t="e">
        <f>+'DIRECTO '!#REF!+#REF!</f>
        <v>#REF!</v>
      </c>
      <c r="BG26" s="398" t="e">
        <f>+'DIRECTO '!#REF!+#REF!</f>
        <v>#REF!</v>
      </c>
      <c r="BH26" s="398" t="e">
        <f>+'DIRECTO '!#REF!+#REF!</f>
        <v>#REF!</v>
      </c>
      <c r="BI26" s="398" t="e">
        <f>+'DIRECTO '!#REF!+#REF!</f>
        <v>#REF!</v>
      </c>
      <c r="BJ26" s="398" t="e">
        <f>+'DIRECTO '!#REF!+#REF!</f>
        <v>#REF!</v>
      </c>
      <c r="BK26" s="398" t="e">
        <f>+'DIRECTO '!#REF!+#REF!</f>
        <v>#REF!</v>
      </c>
      <c r="BL26" s="398" t="e">
        <f>+'DIRECTO '!#REF!+#REF!</f>
        <v>#REF!</v>
      </c>
      <c r="BM26" s="398" t="e">
        <f>+'DIRECTO '!#REF!+#REF!</f>
        <v>#REF!</v>
      </c>
      <c r="BN26" s="398" t="e">
        <f>+'DIRECTO '!#REF!+#REF!</f>
        <v>#REF!</v>
      </c>
      <c r="BO26" s="398" t="e">
        <f>+'DIRECTO '!#REF!+#REF!</f>
        <v>#REF!</v>
      </c>
      <c r="BP26" s="398" t="e">
        <f>+'DIRECTO '!#REF!+#REF!</f>
        <v>#REF!</v>
      </c>
      <c r="BQ26" s="398" t="e">
        <f>+'DIRECTO '!#REF!+#REF!</f>
        <v>#REF!</v>
      </c>
      <c r="BR26" s="398" t="e">
        <f>+'DIRECTO '!#REF!+#REF!</f>
        <v>#REF!</v>
      </c>
      <c r="BS26" s="398" t="e">
        <f>+'DIRECTO '!#REF!+#REF!</f>
        <v>#REF!</v>
      </c>
      <c r="BT26" s="398" t="e">
        <f>+'DIRECTO '!#REF!+#REF!</f>
        <v>#REF!</v>
      </c>
      <c r="BU26" s="398" t="e">
        <f>+'DIRECTO '!#REF!+#REF!</f>
        <v>#REF!</v>
      </c>
      <c r="BV26" s="398" t="e">
        <f>+'DIRECTO '!#REF!+#REF!</f>
        <v>#REF!</v>
      </c>
      <c r="BW26" s="398" t="e">
        <f>+'DIRECTO '!#REF!+#REF!</f>
        <v>#REF!</v>
      </c>
      <c r="BX26" s="398" t="e">
        <f>+'DIRECTO '!#REF!+#REF!</f>
        <v>#REF!</v>
      </c>
      <c r="BY26" s="398" t="e">
        <f>+'DIRECTO '!#REF!+#REF!</f>
        <v>#REF!</v>
      </c>
      <c r="BZ26" s="398" t="e">
        <f>+'DIRECTO '!#REF!+#REF!</f>
        <v>#REF!</v>
      </c>
      <c r="CA26" s="398" t="e">
        <f>+'DIRECTO '!#REF!+#REF!</f>
        <v>#REF!</v>
      </c>
      <c r="CB26" s="295"/>
      <c r="CD26" s="499">
        <v>21280334.386847455</v>
      </c>
      <c r="CE26" s="587" t="e">
        <f>+CD26-X26</f>
        <v>#REF!</v>
      </c>
      <c r="CG26" s="588" t="e">
        <f>+CG27/X16</f>
        <v>#REF!</v>
      </c>
    </row>
    <row r="27" spans="2:85" s="5" customFormat="1" ht="18.75" x14ac:dyDescent="0.3">
      <c r="B27" s="17" t="s">
        <v>15</v>
      </c>
      <c r="C27" s="18"/>
      <c r="E27" s="642" t="e">
        <f>+'DIRECTO '!E26+#REF!</f>
        <v>#REF!</v>
      </c>
      <c r="F27" s="499"/>
      <c r="G27" s="617" t="e">
        <f>+'DIRECTO '!G26+#REF!</f>
        <v>#REF!</v>
      </c>
      <c r="H27" s="619" t="e">
        <f>+'DIRECTO '!H26+#REF!</f>
        <v>#REF!</v>
      </c>
      <c r="I27" s="499"/>
      <c r="J27" s="617" t="e">
        <f>+'DIRECTO '!J26+#REF!</f>
        <v>#REF!</v>
      </c>
      <c r="K27" s="618" t="e">
        <f>+'DIRECTO '!K26+#REF!</f>
        <v>#REF!</v>
      </c>
      <c r="L27" s="643" t="e">
        <f t="shared" si="18"/>
        <v>#REF!</v>
      </c>
      <c r="M27" s="499"/>
      <c r="N27" s="617" t="e">
        <f>+'DIRECTO '!N26+#REF!</f>
        <v>#REF!</v>
      </c>
      <c r="O27" s="618" t="e">
        <f>+'DIRECTO '!O26+#REF!</f>
        <v>#REF!</v>
      </c>
      <c r="P27" s="618" t="e">
        <f>+'DIRECTO '!P26+#REF!</f>
        <v>#REF!</v>
      </c>
      <c r="Q27" s="618" t="e">
        <f>+'DIRECTO '!Q26+#REF!</f>
        <v>#REF!</v>
      </c>
      <c r="R27" s="618" t="e">
        <f>+'DIRECTO '!R26+#REF!</f>
        <v>#REF!</v>
      </c>
      <c r="S27" s="643">
        <f t="shared" si="19"/>
        <v>0</v>
      </c>
      <c r="T27" s="499"/>
      <c r="U27" s="617">
        <f t="shared" si="20"/>
        <v>0</v>
      </c>
      <c r="V27" s="499"/>
      <c r="W27" s="681" t="e">
        <f t="shared" si="23"/>
        <v>#REF!</v>
      </c>
      <c r="X27" s="681" t="e">
        <f t="shared" si="21"/>
        <v>#REF!</v>
      </c>
      <c r="Y27" s="682" t="e">
        <f>+'DIRECTO '!Z26+#REF!</f>
        <v>#REF!</v>
      </c>
      <c r="Z27" s="682" t="e">
        <f>+'DIRECTO '!AA26+#REF!</f>
        <v>#REF!</v>
      </c>
      <c r="AA27" s="649" t="e">
        <f>+'DIRECTO '!AB26+#REF!</f>
        <v>#REF!</v>
      </c>
      <c r="AB27" s="505" t="e">
        <f>+'DIRECTO '!AC26+#REF!</f>
        <v>#REF!</v>
      </c>
      <c r="AC27" s="499"/>
      <c r="AD27" s="642" t="e">
        <f>+'DIRECTO '!AE26+#REF!</f>
        <v>#REF!</v>
      </c>
      <c r="AE27" s="444"/>
      <c r="AF27" s="531" t="e">
        <f t="shared" si="24"/>
        <v>#REF!</v>
      </c>
      <c r="AG27" s="529">
        <f>+GG!Y35</f>
        <v>24799.990806000002</v>
      </c>
      <c r="AH27" s="530" t="e">
        <f t="shared" si="25"/>
        <v>#REF!</v>
      </c>
      <c r="AI27" s="528"/>
      <c r="AJ27" s="401" t="e">
        <f t="shared" si="22"/>
        <v>#REF!</v>
      </c>
      <c r="AK27" s="398" t="e">
        <f>+'DIRECTO '!AK26+#REF!</f>
        <v>#REF!</v>
      </c>
      <c r="AL27" s="398" t="e">
        <f>+'DIRECTO '!AM26+#REF!</f>
        <v>#REF!</v>
      </c>
      <c r="AM27" s="398" t="e">
        <f>+'DIRECTO '!AN26+#REF!</f>
        <v>#REF!</v>
      </c>
      <c r="AN27" s="398" t="e">
        <f>+'DIRECTO '!AO26+#REF!</f>
        <v>#REF!</v>
      </c>
      <c r="AO27" s="398" t="e">
        <f>+'DIRECTO '!AP26+#REF!</f>
        <v>#REF!</v>
      </c>
      <c r="AP27" s="398" t="e">
        <f>+'DIRECTO '!AQ26+#REF!</f>
        <v>#REF!</v>
      </c>
      <c r="AQ27" s="398" t="e">
        <f>+'DIRECTO '!#REF!+#REF!</f>
        <v>#REF!</v>
      </c>
      <c r="AR27" s="398" t="e">
        <f>+'DIRECTO '!#REF!+#REF!</f>
        <v>#REF!</v>
      </c>
      <c r="AS27" s="398" t="e">
        <f>+'DIRECTO '!#REF!+#REF!</f>
        <v>#REF!</v>
      </c>
      <c r="AT27" s="398" t="e">
        <f>+'DIRECTO '!#REF!+#REF!</f>
        <v>#REF!</v>
      </c>
      <c r="AU27" s="398" t="e">
        <f>+'DIRECTO '!#REF!+#REF!</f>
        <v>#REF!</v>
      </c>
      <c r="AV27" s="398" t="e">
        <f>+'DIRECTO '!#REF!+#REF!</f>
        <v>#REF!</v>
      </c>
      <c r="AW27" s="398" t="e">
        <f>+'DIRECTO '!#REF!+#REF!</f>
        <v>#REF!</v>
      </c>
      <c r="AX27" s="398" t="e">
        <f>+'DIRECTO '!#REF!+#REF!</f>
        <v>#REF!</v>
      </c>
      <c r="AY27" s="398" t="e">
        <f>+'DIRECTO '!#REF!+#REF!</f>
        <v>#REF!</v>
      </c>
      <c r="AZ27" s="398" t="e">
        <f>+'DIRECTO '!#REF!+#REF!</f>
        <v>#REF!</v>
      </c>
      <c r="BA27" s="398" t="e">
        <f>+'DIRECTO '!#REF!+#REF!</f>
        <v>#REF!</v>
      </c>
      <c r="BB27" s="398" t="e">
        <f>+'DIRECTO '!#REF!+#REF!</f>
        <v>#REF!</v>
      </c>
      <c r="BC27" s="398" t="e">
        <f>+'DIRECTO '!#REF!+#REF!</f>
        <v>#REF!</v>
      </c>
      <c r="BD27" s="398" t="e">
        <f>+'DIRECTO '!#REF!+#REF!</f>
        <v>#REF!</v>
      </c>
      <c r="BE27" s="398" t="e">
        <f>+'DIRECTO '!#REF!+#REF!</f>
        <v>#REF!</v>
      </c>
      <c r="BF27" s="398" t="e">
        <f>+'DIRECTO '!#REF!+#REF!</f>
        <v>#REF!</v>
      </c>
      <c r="BG27" s="398" t="e">
        <f>+'DIRECTO '!#REF!+#REF!</f>
        <v>#REF!</v>
      </c>
      <c r="BH27" s="398" t="e">
        <f>+'DIRECTO '!#REF!+#REF!</f>
        <v>#REF!</v>
      </c>
      <c r="BI27" s="398" t="e">
        <f>+'DIRECTO '!#REF!+#REF!</f>
        <v>#REF!</v>
      </c>
      <c r="BJ27" s="398" t="e">
        <f>+'DIRECTO '!#REF!+#REF!</f>
        <v>#REF!</v>
      </c>
      <c r="BK27" s="398" t="e">
        <f>+'DIRECTO '!#REF!+#REF!</f>
        <v>#REF!</v>
      </c>
      <c r="BL27" s="398" t="e">
        <f>+'DIRECTO '!#REF!+#REF!</f>
        <v>#REF!</v>
      </c>
      <c r="BM27" s="398" t="e">
        <f>+'DIRECTO '!#REF!+#REF!</f>
        <v>#REF!</v>
      </c>
      <c r="BN27" s="398" t="e">
        <f>+'DIRECTO '!#REF!+#REF!</f>
        <v>#REF!</v>
      </c>
      <c r="BO27" s="398" t="e">
        <f>+'DIRECTO '!#REF!+#REF!</f>
        <v>#REF!</v>
      </c>
      <c r="BP27" s="398" t="e">
        <f>+'DIRECTO '!#REF!+#REF!</f>
        <v>#REF!</v>
      </c>
      <c r="BQ27" s="398" t="e">
        <f>+'DIRECTO '!#REF!+#REF!</f>
        <v>#REF!</v>
      </c>
      <c r="BR27" s="398" t="e">
        <f>+'DIRECTO '!#REF!+#REF!</f>
        <v>#REF!</v>
      </c>
      <c r="BS27" s="398" t="e">
        <f>+'DIRECTO '!#REF!+#REF!</f>
        <v>#REF!</v>
      </c>
      <c r="BT27" s="398" t="e">
        <f>+'DIRECTO '!#REF!+#REF!</f>
        <v>#REF!</v>
      </c>
      <c r="BU27" s="398" t="e">
        <f>+'DIRECTO '!#REF!+#REF!</f>
        <v>#REF!</v>
      </c>
      <c r="BV27" s="398" t="e">
        <f>+'DIRECTO '!#REF!+#REF!</f>
        <v>#REF!</v>
      </c>
      <c r="BW27" s="398" t="e">
        <f>+'DIRECTO '!#REF!+#REF!</f>
        <v>#REF!</v>
      </c>
      <c r="BX27" s="398" t="e">
        <f>+'DIRECTO '!#REF!+#REF!</f>
        <v>#REF!</v>
      </c>
      <c r="BY27" s="398" t="e">
        <f>+'DIRECTO '!#REF!+#REF!</f>
        <v>#REF!</v>
      </c>
      <c r="BZ27" s="398" t="e">
        <f>+'DIRECTO '!#REF!+#REF!</f>
        <v>#REF!</v>
      </c>
      <c r="CA27" s="398" t="e">
        <f>+'DIRECTO '!#REF!+#REF!</f>
        <v>#REF!</v>
      </c>
      <c r="CB27" s="295"/>
      <c r="CD27" s="499">
        <v>12574361.76743063</v>
      </c>
      <c r="CG27" s="399" t="e">
        <f>+X27+X26</f>
        <v>#REF!</v>
      </c>
    </row>
    <row r="28" spans="2:85" s="5" customFormat="1" ht="7.5" customHeight="1" x14ac:dyDescent="0.3">
      <c r="E28" s="499"/>
      <c r="F28" s="499"/>
      <c r="G28" s="499"/>
      <c r="H28" s="499"/>
      <c r="I28" s="499"/>
      <c r="J28" s="499"/>
      <c r="K28" s="499"/>
      <c r="L28" s="499"/>
      <c r="M28" s="499"/>
      <c r="N28" s="499"/>
      <c r="O28" s="499"/>
      <c r="P28" s="499"/>
      <c r="Q28" s="499"/>
      <c r="R28" s="499"/>
      <c r="S28" s="499"/>
      <c r="T28" s="499"/>
      <c r="U28" s="499"/>
      <c r="V28" s="499"/>
      <c r="W28" s="499"/>
      <c r="X28" s="499"/>
      <c r="Y28" s="499"/>
      <c r="Z28" s="499"/>
      <c r="AA28" s="499"/>
      <c r="AB28" s="499"/>
      <c r="AC28" s="499"/>
      <c r="AD28" s="499"/>
      <c r="AE28" s="442"/>
      <c r="AF28" s="532"/>
      <c r="AG28" s="442"/>
      <c r="AH28" s="297"/>
      <c r="AI28" s="297"/>
      <c r="AJ28" s="396"/>
      <c r="AK28" s="402"/>
      <c r="AL28" s="402"/>
      <c r="AM28" s="402"/>
      <c r="AN28" s="402"/>
      <c r="AO28" s="402"/>
      <c r="AP28" s="402"/>
      <c r="AQ28" s="402"/>
      <c r="AR28" s="402"/>
      <c r="AS28" s="402"/>
      <c r="AT28" s="402"/>
      <c r="AU28" s="402"/>
      <c r="AV28" s="402"/>
      <c r="AW28" s="402"/>
      <c r="AX28" s="402"/>
      <c r="AY28" s="402"/>
      <c r="AZ28" s="402"/>
      <c r="BA28" s="402"/>
      <c r="BB28" s="402"/>
      <c r="BC28" s="402"/>
      <c r="BD28" s="402"/>
      <c r="BE28" s="402"/>
      <c r="BF28" s="402"/>
      <c r="BG28" s="402"/>
      <c r="BH28" s="402"/>
      <c r="BI28" s="402"/>
      <c r="BJ28" s="402"/>
      <c r="BK28" s="402"/>
      <c r="BL28" s="402"/>
      <c r="BM28" s="402"/>
      <c r="BN28" s="402"/>
      <c r="BO28" s="402"/>
      <c r="BP28" s="402"/>
      <c r="BQ28" s="402"/>
      <c r="BR28" s="402"/>
      <c r="BS28" s="402"/>
      <c r="BT28" s="402"/>
      <c r="BU28" s="402"/>
      <c r="BV28" s="402"/>
      <c r="BW28" s="402"/>
      <c r="BX28" s="402"/>
      <c r="BY28" s="402"/>
      <c r="BZ28" s="402"/>
      <c r="CA28" s="402"/>
      <c r="CB28" s="295"/>
    </row>
    <row r="29" spans="2:85" s="5" customFormat="1" ht="21" customHeight="1" x14ac:dyDescent="0.3">
      <c r="B29" s="11" t="s">
        <v>16</v>
      </c>
      <c r="C29" s="12"/>
      <c r="E29" s="659" t="e">
        <f>+'DIRECTO '!E28+#REF!</f>
        <v>#REF!</v>
      </c>
      <c r="F29" s="499"/>
      <c r="G29" s="644" t="e">
        <f>+'DIRECTO '!G28+#REF!</f>
        <v>#REF!</v>
      </c>
      <c r="H29" s="627" t="e">
        <f>+'DIRECTO '!H28+#REF!</f>
        <v>#REF!</v>
      </c>
      <c r="I29" s="499"/>
      <c r="J29" s="644" t="e">
        <f>+'DIRECTO '!J28+#REF!</f>
        <v>#REF!</v>
      </c>
      <c r="K29" s="626" t="e">
        <f>+'DIRECTO '!K28+#REF!</f>
        <v>#REF!</v>
      </c>
      <c r="L29" s="627" t="e">
        <f>+SUM(N29:R29)</f>
        <v>#REF!</v>
      </c>
      <c r="M29" s="499"/>
      <c r="N29" s="644" t="e">
        <f>+'DIRECTO '!N28+#REF!</f>
        <v>#REF!</v>
      </c>
      <c r="O29" s="626" t="e">
        <f>+'DIRECTO '!O28+#REF!</f>
        <v>#REF!</v>
      </c>
      <c r="P29" s="626" t="e">
        <f>+'DIRECTO '!P28+#REF!</f>
        <v>#REF!</v>
      </c>
      <c r="Q29" s="626" t="e">
        <f>+'DIRECTO '!Q28+#REF!</f>
        <v>#REF!</v>
      </c>
      <c r="R29" s="626" t="e">
        <f>+'DIRECTO '!R28+#REF!</f>
        <v>#REF!</v>
      </c>
      <c r="S29" s="627">
        <f>+SUMIFS(N29:R29,N$2:R$2,$S$5)</f>
        <v>0</v>
      </c>
      <c r="T29" s="499"/>
      <c r="U29" s="625">
        <f>+SUMIFS(N29:S29,N$2:S$2,$U$5)</f>
        <v>0</v>
      </c>
      <c r="V29" s="499"/>
      <c r="W29" s="644"/>
      <c r="X29" s="644" t="e">
        <f>+K29+L29</f>
        <v>#REF!</v>
      </c>
      <c r="Y29" s="626" t="e">
        <f>+'DIRECTO '!Z28+#REF!</f>
        <v>#REF!</v>
      </c>
      <c r="Z29" s="626" t="e">
        <f>+'DIRECTO '!AA28+#REF!</f>
        <v>#REF!</v>
      </c>
      <c r="AA29" s="626" t="e">
        <f>+'DIRECTO '!AB28+#REF!</f>
        <v>#REF!</v>
      </c>
      <c r="AB29" s="627" t="e">
        <f>+'DIRECTO '!AC28+#REF!</f>
        <v>#REF!</v>
      </c>
      <c r="AC29" s="499"/>
      <c r="AD29" s="659" t="e">
        <f>+'DIRECTO '!AE28+#REF!</f>
        <v>#REF!</v>
      </c>
      <c r="AE29" s="442"/>
      <c r="AF29" s="532"/>
      <c r="AG29" s="442"/>
      <c r="AH29" s="297"/>
      <c r="AI29" s="297"/>
      <c r="AJ29" s="397" t="e">
        <f>SUM(AK29:CA29)</f>
        <v>#REF!</v>
      </c>
      <c r="AK29" s="398" t="e">
        <f>+'DIRECTO '!AK28+#REF!</f>
        <v>#REF!</v>
      </c>
      <c r="AL29" s="398" t="e">
        <f>+'DIRECTO '!AM28+#REF!</f>
        <v>#REF!</v>
      </c>
      <c r="AM29" s="398" t="e">
        <f>+'DIRECTO '!AN28+#REF!</f>
        <v>#REF!</v>
      </c>
      <c r="AN29" s="398" t="e">
        <f>+'DIRECTO '!AO28+#REF!</f>
        <v>#REF!</v>
      </c>
      <c r="AO29" s="398" t="e">
        <f>+'DIRECTO '!AP28+#REF!</f>
        <v>#REF!</v>
      </c>
      <c r="AP29" s="398" t="e">
        <f>+'DIRECTO '!AQ28+#REF!</f>
        <v>#REF!</v>
      </c>
      <c r="AQ29" s="398" t="e">
        <f>+'DIRECTO '!#REF!+#REF!</f>
        <v>#REF!</v>
      </c>
      <c r="AR29" s="398" t="e">
        <f>+'DIRECTO '!#REF!+#REF!</f>
        <v>#REF!</v>
      </c>
      <c r="AS29" s="398" t="e">
        <f>+'DIRECTO '!#REF!+#REF!</f>
        <v>#REF!</v>
      </c>
      <c r="AT29" s="398" t="e">
        <f>+'DIRECTO '!#REF!+#REF!</f>
        <v>#REF!</v>
      </c>
      <c r="AU29" s="398" t="e">
        <f>+'DIRECTO '!#REF!+#REF!</f>
        <v>#REF!</v>
      </c>
      <c r="AV29" s="398" t="e">
        <f>+'DIRECTO '!#REF!+#REF!</f>
        <v>#REF!</v>
      </c>
      <c r="AW29" s="398" t="e">
        <f>+'DIRECTO '!#REF!+#REF!</f>
        <v>#REF!</v>
      </c>
      <c r="AX29" s="398" t="e">
        <f>+'DIRECTO '!#REF!+#REF!</f>
        <v>#REF!</v>
      </c>
      <c r="AY29" s="398" t="e">
        <f>+'DIRECTO '!#REF!+#REF!</f>
        <v>#REF!</v>
      </c>
      <c r="AZ29" s="398" t="e">
        <f>+'DIRECTO '!#REF!+#REF!</f>
        <v>#REF!</v>
      </c>
      <c r="BA29" s="398" t="e">
        <f>+'DIRECTO '!#REF!+#REF!</f>
        <v>#REF!</v>
      </c>
      <c r="BB29" s="398" t="e">
        <f>+'DIRECTO '!#REF!+#REF!</f>
        <v>#REF!</v>
      </c>
      <c r="BC29" s="398" t="e">
        <f>+'DIRECTO '!#REF!+#REF!</f>
        <v>#REF!</v>
      </c>
      <c r="BD29" s="398" t="e">
        <f>+'DIRECTO '!#REF!+#REF!</f>
        <v>#REF!</v>
      </c>
      <c r="BE29" s="398" t="e">
        <f>+'DIRECTO '!#REF!+#REF!</f>
        <v>#REF!</v>
      </c>
      <c r="BF29" s="398" t="e">
        <f>+'DIRECTO '!#REF!+#REF!</f>
        <v>#REF!</v>
      </c>
      <c r="BG29" s="398" t="e">
        <f>+'DIRECTO '!#REF!+#REF!</f>
        <v>#REF!</v>
      </c>
      <c r="BH29" s="398" t="e">
        <f>+'DIRECTO '!#REF!+#REF!</f>
        <v>#REF!</v>
      </c>
      <c r="BI29" s="398" t="e">
        <f>+'DIRECTO '!#REF!+#REF!</f>
        <v>#REF!</v>
      </c>
      <c r="BJ29" s="398" t="e">
        <f>+'DIRECTO '!#REF!+#REF!</f>
        <v>#REF!</v>
      </c>
      <c r="BK29" s="398" t="e">
        <f>+'DIRECTO '!#REF!+#REF!</f>
        <v>#REF!</v>
      </c>
      <c r="BL29" s="398" t="e">
        <f>+'DIRECTO '!#REF!+#REF!</f>
        <v>#REF!</v>
      </c>
      <c r="BM29" s="398" t="e">
        <f>+'DIRECTO '!#REF!+#REF!</f>
        <v>#REF!</v>
      </c>
      <c r="BN29" s="398" t="e">
        <f>+'DIRECTO '!#REF!+#REF!</f>
        <v>#REF!</v>
      </c>
      <c r="BO29" s="398" t="e">
        <f>+'DIRECTO '!#REF!+#REF!</f>
        <v>#REF!</v>
      </c>
      <c r="BP29" s="398" t="e">
        <f>+'DIRECTO '!#REF!+#REF!</f>
        <v>#REF!</v>
      </c>
      <c r="BQ29" s="398" t="e">
        <f>+'DIRECTO '!#REF!+#REF!</f>
        <v>#REF!</v>
      </c>
      <c r="BR29" s="398" t="e">
        <f>+'DIRECTO '!#REF!+#REF!</f>
        <v>#REF!</v>
      </c>
      <c r="BS29" s="398" t="e">
        <f>+'DIRECTO '!#REF!+#REF!</f>
        <v>#REF!</v>
      </c>
      <c r="BT29" s="398" t="e">
        <f>+'DIRECTO '!#REF!+#REF!</f>
        <v>#REF!</v>
      </c>
      <c r="BU29" s="398" t="e">
        <f>+'DIRECTO '!#REF!+#REF!</f>
        <v>#REF!</v>
      </c>
      <c r="BV29" s="398" t="e">
        <f>+'DIRECTO '!#REF!+#REF!</f>
        <v>#REF!</v>
      </c>
      <c r="BW29" s="398" t="e">
        <f>+'DIRECTO '!#REF!+#REF!</f>
        <v>#REF!</v>
      </c>
      <c r="BX29" s="398" t="e">
        <f>+'DIRECTO '!#REF!+#REF!</f>
        <v>#REF!</v>
      </c>
      <c r="BY29" s="398" t="e">
        <f>+'DIRECTO '!#REF!+#REF!</f>
        <v>#REF!</v>
      </c>
      <c r="BZ29" s="398" t="e">
        <f>+'DIRECTO '!#REF!+#REF!</f>
        <v>#REF!</v>
      </c>
      <c r="CA29" s="398" t="e">
        <f>+'DIRECTO '!#REF!+#REF!</f>
        <v>#REF!</v>
      </c>
      <c r="CB29" s="295"/>
      <c r="CD29" s="499">
        <v>5329828.3346020281</v>
      </c>
    </row>
    <row r="30" spans="2:85" s="5" customFormat="1" ht="15.75" customHeight="1" x14ac:dyDescent="0.3">
      <c r="E30" s="499"/>
      <c r="F30" s="499"/>
      <c r="G30" s="499"/>
      <c r="H30" s="499"/>
      <c r="I30" s="499"/>
      <c r="J30" s="499"/>
      <c r="K30" s="499"/>
      <c r="L30" s="499"/>
      <c r="M30" s="499"/>
      <c r="N30" s="499"/>
      <c r="O30" s="499"/>
      <c r="P30" s="499"/>
      <c r="Q30" s="499"/>
      <c r="R30" s="499"/>
      <c r="S30" s="499"/>
      <c r="T30" s="499"/>
      <c r="U30" s="499"/>
      <c r="V30" s="499"/>
      <c r="W30" s="499"/>
      <c r="X30" s="499"/>
      <c r="Y30" s="499"/>
      <c r="Z30" s="499"/>
      <c r="AA30" s="499"/>
      <c r="AB30" s="499"/>
      <c r="AC30" s="499"/>
      <c r="AD30" s="499"/>
      <c r="AE30" s="399"/>
      <c r="AF30" s="535"/>
      <c r="AG30" s="399"/>
      <c r="AH30" s="301"/>
      <c r="AI30" s="301"/>
      <c r="AJ30" s="301"/>
      <c r="AK30" s="301"/>
      <c r="AL30" s="301"/>
      <c r="AM30" s="301"/>
      <c r="AN30" s="301"/>
      <c r="AO30" s="301"/>
      <c r="AP30" s="301"/>
      <c r="AQ30" s="301"/>
      <c r="AR30" s="300"/>
      <c r="AS30" s="300"/>
      <c r="AT30" s="300"/>
      <c r="AU30" s="300"/>
      <c r="AV30" s="300"/>
      <c r="AW30" s="300"/>
      <c r="AX30" s="300"/>
      <c r="AY30" s="300"/>
      <c r="AZ30" s="300"/>
      <c r="BA30" s="300"/>
      <c r="BB30" s="295"/>
      <c r="BC30" s="295"/>
      <c r="BD30" s="295"/>
      <c r="BE30" s="295"/>
      <c r="BF30" s="295"/>
      <c r="BG30" s="295"/>
      <c r="BH30" s="295"/>
      <c r="BI30" s="295"/>
      <c r="BJ30" s="295"/>
      <c r="BK30" s="295"/>
      <c r="BL30" s="295"/>
      <c r="BM30" s="295"/>
      <c r="BN30" s="295"/>
      <c r="BO30" s="295"/>
      <c r="BP30" s="295"/>
      <c r="BQ30" s="295"/>
      <c r="BR30" s="295"/>
      <c r="BS30" s="295"/>
      <c r="BT30" s="295"/>
      <c r="BU30" s="295"/>
      <c r="BV30" s="295"/>
      <c r="BW30" s="295"/>
      <c r="BX30" s="295"/>
      <c r="BY30" s="295"/>
      <c r="BZ30" s="295"/>
    </row>
    <row r="31" spans="2:85" s="5" customFormat="1" ht="15.75" x14ac:dyDescent="0.25">
      <c r="B31" s="64" t="s">
        <v>44</v>
      </c>
      <c r="C31" s="82" t="s">
        <v>29</v>
      </c>
      <c r="D31" s="2"/>
      <c r="E31" s="661" t="e">
        <f>+E7*E32</f>
        <v>#REF!</v>
      </c>
      <c r="F31" s="87"/>
      <c r="G31" s="628" t="e">
        <f>+G7*G32</f>
        <v>#REF!</v>
      </c>
      <c r="H31" s="630" t="e">
        <f>+H7*H32</f>
        <v>#REF!</v>
      </c>
      <c r="I31" s="87"/>
      <c r="J31" s="628" t="e">
        <f>+J7*J32</f>
        <v>#REF!</v>
      </c>
      <c r="K31" s="629" t="e">
        <f>+K7*K32</f>
        <v>#REF!</v>
      </c>
      <c r="L31" s="662" t="e">
        <f>+L7*L32</f>
        <v>#REF!</v>
      </c>
      <c r="M31" s="87"/>
      <c r="N31" s="628" t="e">
        <f t="shared" ref="N31:S31" si="26">+N7*N32</f>
        <v>#REF!</v>
      </c>
      <c r="O31" s="629" t="e">
        <f t="shared" si="26"/>
        <v>#REF!</v>
      </c>
      <c r="P31" s="629" t="e">
        <f t="shared" si="26"/>
        <v>#REF!</v>
      </c>
      <c r="Q31" s="629" t="e">
        <f t="shared" si="26"/>
        <v>#REF!</v>
      </c>
      <c r="R31" s="629" t="e">
        <f t="shared" si="26"/>
        <v>#REF!</v>
      </c>
      <c r="S31" s="662" t="e">
        <f t="shared" si="26"/>
        <v>#REF!</v>
      </c>
      <c r="T31" s="87"/>
      <c r="U31" s="628" t="e">
        <f>+U7*U32</f>
        <v>#REF!</v>
      </c>
      <c r="V31" s="87"/>
      <c r="W31" s="628" t="e">
        <f t="shared" ref="W31:AB31" si="27">+W7-W16</f>
        <v>#REF!</v>
      </c>
      <c r="X31" s="628" t="e">
        <f t="shared" si="27"/>
        <v>#REF!</v>
      </c>
      <c r="Y31" s="629" t="e">
        <f t="shared" si="27"/>
        <v>#REF!</v>
      </c>
      <c r="Z31" s="629" t="e">
        <f t="shared" si="27"/>
        <v>#REF!</v>
      </c>
      <c r="AA31" s="629" t="e">
        <f t="shared" si="27"/>
        <v>#REF!</v>
      </c>
      <c r="AB31" s="662" t="e">
        <f t="shared" si="27"/>
        <v>#REF!</v>
      </c>
      <c r="AC31" s="87"/>
      <c r="AD31" s="661">
        <v>0</v>
      </c>
      <c r="AE31" s="445"/>
      <c r="AF31" s="499" t="e">
        <f>+X31-Y31</f>
        <v>#REF!</v>
      </c>
      <c r="AG31" s="282"/>
      <c r="AH31" s="499" t="e">
        <f>+X31</f>
        <v>#REF!</v>
      </c>
      <c r="AI31" s="295"/>
      <c r="AJ31" s="295"/>
      <c r="AK31" s="295"/>
      <c r="AL31" s="295"/>
      <c r="AM31" s="295"/>
      <c r="AN31" s="295"/>
      <c r="AO31" s="295"/>
      <c r="AP31" s="295"/>
      <c r="AQ31" s="295"/>
      <c r="AR31" s="295"/>
      <c r="AS31" s="295"/>
      <c r="AT31" s="295"/>
      <c r="AU31" s="295"/>
      <c r="AV31" s="295"/>
      <c r="AW31" s="295"/>
      <c r="AX31" s="295"/>
      <c r="AY31" s="295"/>
      <c r="AZ31" s="295"/>
      <c r="BA31" s="295"/>
      <c r="BB31" s="295"/>
      <c r="BC31" s="295"/>
      <c r="BD31" s="295"/>
      <c r="BE31" s="295"/>
      <c r="BF31" s="295"/>
      <c r="BG31" s="295"/>
      <c r="BH31" s="295"/>
      <c r="BI31" s="295"/>
      <c r="BJ31" s="295"/>
      <c r="BK31" s="295"/>
      <c r="BL31" s="295"/>
      <c r="BM31" s="295"/>
      <c r="BN31" s="295"/>
      <c r="BO31" s="295"/>
      <c r="BP31" s="295"/>
      <c r="BQ31" s="295"/>
      <c r="BR31" s="295"/>
      <c r="BS31" s="295"/>
      <c r="BT31" s="295"/>
      <c r="BU31" s="295"/>
      <c r="BV31" s="295"/>
      <c r="BW31" s="295"/>
      <c r="BX31" s="295"/>
      <c r="BY31" s="295"/>
      <c r="BZ31" s="295"/>
      <c r="CA31" s="295"/>
      <c r="CB31" s="295"/>
      <c r="CD31" s="499" t="e">
        <f>+X31-Y31</f>
        <v>#REF!</v>
      </c>
    </row>
    <row r="32" spans="2:85" s="5" customFormat="1" ht="15.75" x14ac:dyDescent="0.25">
      <c r="B32" s="66"/>
      <c r="C32" s="81" t="s">
        <v>45</v>
      </c>
      <c r="D32" s="2"/>
      <c r="E32" s="68" t="e">
        <f>+$X$32</f>
        <v>#REF!</v>
      </c>
      <c r="F32" s="19"/>
      <c r="G32" s="71" t="e">
        <f>+$X$32</f>
        <v>#REF!</v>
      </c>
      <c r="H32" s="72" t="e">
        <f>+$X$32</f>
        <v>#REF!</v>
      </c>
      <c r="I32" s="19"/>
      <c r="J32" s="71" t="e">
        <f>+$X$32</f>
        <v>#REF!</v>
      </c>
      <c r="K32" s="75" t="e">
        <f>+$X$32</f>
        <v>#REF!</v>
      </c>
      <c r="L32" s="76" t="e">
        <f>+$X$32</f>
        <v>#REF!</v>
      </c>
      <c r="M32" s="19"/>
      <c r="N32" s="71" t="e">
        <f t="shared" ref="N32:S32" si="28">+$X$32</f>
        <v>#REF!</v>
      </c>
      <c r="O32" s="75" t="e">
        <f t="shared" si="28"/>
        <v>#REF!</v>
      </c>
      <c r="P32" s="75" t="e">
        <f t="shared" si="28"/>
        <v>#REF!</v>
      </c>
      <c r="Q32" s="75" t="e">
        <f t="shared" si="28"/>
        <v>#REF!</v>
      </c>
      <c r="R32" s="75" t="e">
        <f t="shared" si="28"/>
        <v>#REF!</v>
      </c>
      <c r="S32" s="76" t="e">
        <f t="shared" si="28"/>
        <v>#REF!</v>
      </c>
      <c r="T32" s="19"/>
      <c r="U32" s="71" t="e">
        <f>+$X$32</f>
        <v>#REF!</v>
      </c>
      <c r="V32" s="19"/>
      <c r="W32" s="71" t="e">
        <f t="shared" ref="W32:AB32" si="29">+IF(W7=0,0,W31/W7)</f>
        <v>#REF!</v>
      </c>
      <c r="X32" s="71" t="e">
        <f t="shared" si="29"/>
        <v>#REF!</v>
      </c>
      <c r="Y32" s="75" t="e">
        <f t="shared" si="29"/>
        <v>#REF!</v>
      </c>
      <c r="Z32" s="75" t="e">
        <f t="shared" si="29"/>
        <v>#REF!</v>
      </c>
      <c r="AA32" s="75" t="e">
        <f t="shared" si="29"/>
        <v>#REF!</v>
      </c>
      <c r="AB32" s="76" t="e">
        <f t="shared" si="29"/>
        <v>#REF!</v>
      </c>
      <c r="AC32" s="19"/>
      <c r="AD32" s="68">
        <v>0</v>
      </c>
      <c r="AE32" s="253"/>
      <c r="AF32" s="599"/>
      <c r="AG32" s="253"/>
      <c r="CD32" s="585" t="e">
        <f>+X32-Y32</f>
        <v>#REF!</v>
      </c>
    </row>
    <row r="33" spans="2:83" s="5" customFormat="1" ht="7.5" customHeight="1" x14ac:dyDescent="0.25">
      <c r="B33" s="2"/>
      <c r="C33" s="2"/>
      <c r="D33" s="2"/>
      <c r="E33" s="8"/>
      <c r="F33" s="8"/>
      <c r="G33" s="8"/>
      <c r="H33" s="8"/>
      <c r="I33" s="8"/>
      <c r="J33" s="8"/>
      <c r="K33" s="8"/>
      <c r="L33" s="8"/>
      <c r="M33" s="8"/>
      <c r="N33" s="8"/>
      <c r="O33" s="8"/>
      <c r="P33" s="8"/>
      <c r="Q33" s="8"/>
      <c r="R33" s="8"/>
      <c r="S33" s="8"/>
      <c r="T33" s="8"/>
      <c r="U33" s="8"/>
      <c r="V33" s="8"/>
      <c r="W33" s="8"/>
      <c r="X33" s="8"/>
      <c r="Y33" s="8"/>
      <c r="Z33" s="8"/>
      <c r="AA33" s="8"/>
      <c r="AB33" s="8"/>
      <c r="AC33" s="8"/>
      <c r="AD33" s="8"/>
      <c r="AE33" s="47"/>
      <c r="AF33" s="47"/>
      <c r="AG33" s="47"/>
    </row>
    <row r="34" spans="2:83" s="5" customFormat="1" ht="15.75" customHeight="1" x14ac:dyDescent="0.25">
      <c r="B34" s="64" t="s">
        <v>46</v>
      </c>
      <c r="C34" s="82" t="s">
        <v>29</v>
      </c>
      <c r="D34" s="2"/>
      <c r="E34" s="332" t="e">
        <f>+E7-E16+E29</f>
        <v>#REF!</v>
      </c>
      <c r="F34" s="333"/>
      <c r="G34" s="334" t="e">
        <f>+G7-G16+G29</f>
        <v>#REF!</v>
      </c>
      <c r="H34" s="335" t="e">
        <f>+H7-H16+H29</f>
        <v>#REF!</v>
      </c>
      <c r="I34" s="333"/>
      <c r="J34" s="334" t="e">
        <f>+J7-J16+J29</f>
        <v>#REF!</v>
      </c>
      <c r="K34" s="336" t="e">
        <f>+K7-K16</f>
        <v>#REF!</v>
      </c>
      <c r="L34" s="335" t="e">
        <f>+L7-L16</f>
        <v>#REF!</v>
      </c>
      <c r="M34" s="333"/>
      <c r="N34" s="337" t="e">
        <f t="shared" ref="N34:S34" si="30">+N7-N16+N29</f>
        <v>#REF!</v>
      </c>
      <c r="O34" s="336" t="e">
        <f t="shared" si="30"/>
        <v>#REF!</v>
      </c>
      <c r="P34" s="336" t="e">
        <f t="shared" si="30"/>
        <v>#REF!</v>
      </c>
      <c r="Q34" s="336" t="e">
        <f t="shared" si="30"/>
        <v>#REF!</v>
      </c>
      <c r="R34" s="336" t="e">
        <f t="shared" si="30"/>
        <v>#REF!</v>
      </c>
      <c r="S34" s="335">
        <f t="shared" si="30"/>
        <v>0</v>
      </c>
      <c r="T34" s="333"/>
      <c r="U34" s="337">
        <f>+U7-U16+U29</f>
        <v>0</v>
      </c>
      <c r="V34" s="333"/>
      <c r="W34" s="337" t="e">
        <f t="shared" ref="W34:AB34" si="31">+W7-W16+W29</f>
        <v>#REF!</v>
      </c>
      <c r="X34" s="337" t="e">
        <f t="shared" si="31"/>
        <v>#REF!</v>
      </c>
      <c r="Y34" s="336" t="e">
        <f t="shared" si="31"/>
        <v>#REF!</v>
      </c>
      <c r="Z34" s="336" t="e">
        <f t="shared" si="31"/>
        <v>#REF!</v>
      </c>
      <c r="AA34" s="336" t="e">
        <f t="shared" si="31"/>
        <v>#REF!</v>
      </c>
      <c r="AB34" s="335" t="e">
        <f t="shared" si="31"/>
        <v>#REF!</v>
      </c>
      <c r="AC34" s="333"/>
      <c r="AD34" s="332">
        <v>0</v>
      </c>
      <c r="AE34" s="293"/>
      <c r="AF34" s="293"/>
      <c r="AG34" s="293"/>
      <c r="AH34" s="295"/>
      <c r="AI34" s="295"/>
      <c r="AJ34" s="295"/>
      <c r="AK34" s="295"/>
      <c r="AL34" s="295"/>
      <c r="AM34" s="295"/>
      <c r="AN34" s="295"/>
      <c r="AO34" s="295"/>
      <c r="AP34" s="295"/>
      <c r="AQ34" s="295"/>
      <c r="AR34" s="295"/>
      <c r="AS34" s="295"/>
      <c r="AT34" s="295"/>
      <c r="AU34" s="295"/>
      <c r="AV34" s="295"/>
      <c r="AW34" s="295"/>
      <c r="AX34" s="295"/>
      <c r="AY34" s="295"/>
      <c r="AZ34" s="295"/>
      <c r="BA34" s="295"/>
      <c r="BB34" s="295"/>
      <c r="BC34" s="295"/>
      <c r="BD34" s="295"/>
      <c r="BE34" s="295"/>
      <c r="BF34" s="295"/>
      <c r="BG34" s="295"/>
      <c r="BH34" s="295"/>
      <c r="BI34" s="295"/>
      <c r="BJ34" s="295"/>
      <c r="BK34" s="295"/>
      <c r="BL34" s="295"/>
      <c r="BM34" s="295"/>
      <c r="BN34" s="295"/>
      <c r="BO34" s="295"/>
      <c r="BP34" s="295"/>
      <c r="BQ34" s="295"/>
      <c r="BR34" s="295"/>
      <c r="BS34" s="295"/>
      <c r="BT34" s="295"/>
      <c r="BU34" s="295"/>
      <c r="BV34" s="295"/>
      <c r="BW34" s="295"/>
      <c r="BX34" s="295"/>
      <c r="BY34" s="295"/>
      <c r="BZ34" s="295"/>
      <c r="CA34" s="295"/>
      <c r="CB34" s="295"/>
    </row>
    <row r="35" spans="2:83" s="5" customFormat="1" ht="15.75" customHeight="1" x14ac:dyDescent="0.25">
      <c r="B35" s="66"/>
      <c r="C35" s="81" t="s">
        <v>45</v>
      </c>
      <c r="D35" s="2"/>
      <c r="E35" s="68" t="e">
        <f>+IF(E9=0,0,E34/E9)</f>
        <v>#REF!</v>
      </c>
      <c r="F35" s="19"/>
      <c r="G35" s="71" t="e">
        <f>+IF(G9=0,0,G34/G9)</f>
        <v>#REF!</v>
      </c>
      <c r="H35" s="72" t="e">
        <f>+IF(H9=0,0,H34/H9)</f>
        <v>#REF!</v>
      </c>
      <c r="I35" s="19"/>
      <c r="J35" s="71" t="e">
        <f>+IF(J7=0,0,J34/J7)</f>
        <v>#REF!</v>
      </c>
      <c r="K35" s="75" t="e">
        <f>+IF(K7=0,0,K34/K7)</f>
        <v>#REF!</v>
      </c>
      <c r="L35" s="76" t="e">
        <f>+IF(L7=0,0,L34/L7)</f>
        <v>#REF!</v>
      </c>
      <c r="M35" s="19"/>
      <c r="N35" s="71" t="e">
        <f t="shared" ref="N35:S35" si="32">+IF(N7=0,0,N34/N7)</f>
        <v>#REF!</v>
      </c>
      <c r="O35" s="75" t="e">
        <f t="shared" si="32"/>
        <v>#REF!</v>
      </c>
      <c r="P35" s="75" t="e">
        <f t="shared" si="32"/>
        <v>#REF!</v>
      </c>
      <c r="Q35" s="75" t="e">
        <f t="shared" si="32"/>
        <v>#REF!</v>
      </c>
      <c r="R35" s="75" t="e">
        <f t="shared" si="32"/>
        <v>#REF!</v>
      </c>
      <c r="S35" s="76">
        <f t="shared" si="32"/>
        <v>0</v>
      </c>
      <c r="T35" s="19"/>
      <c r="U35" s="71">
        <f>+IF(U7=0,0,U34/U7)</f>
        <v>0</v>
      </c>
      <c r="V35" s="19"/>
      <c r="W35" s="71" t="e">
        <f t="shared" ref="W35:AB35" si="33">+IF(W7=0,0,W34/W7)</f>
        <v>#REF!</v>
      </c>
      <c r="X35" s="71" t="e">
        <f t="shared" si="33"/>
        <v>#REF!</v>
      </c>
      <c r="Y35" s="75" t="e">
        <f t="shared" si="33"/>
        <v>#REF!</v>
      </c>
      <c r="Z35" s="75" t="e">
        <f t="shared" si="33"/>
        <v>#REF!</v>
      </c>
      <c r="AA35" s="75" t="e">
        <f t="shared" si="33"/>
        <v>#REF!</v>
      </c>
      <c r="AB35" s="76" t="e">
        <f t="shared" si="33"/>
        <v>#REF!</v>
      </c>
      <c r="AC35" s="19"/>
      <c r="AD35" s="68">
        <v>0</v>
      </c>
      <c r="AE35" s="47"/>
      <c r="AF35" s="47"/>
      <c r="AG35" s="47"/>
    </row>
    <row r="36" spans="2:83" s="40" customFormat="1" ht="18.75" x14ac:dyDescent="0.3">
      <c r="C36" s="338"/>
      <c r="H36" s="52"/>
      <c r="K36" s="52"/>
      <c r="L36" s="52"/>
      <c r="N36" s="49"/>
      <c r="O36" s="49"/>
      <c r="P36" s="49"/>
      <c r="Q36" s="49"/>
      <c r="R36" s="49"/>
      <c r="W36" s="275"/>
      <c r="X36" s="275"/>
      <c r="Y36" s="52"/>
      <c r="Z36" s="52"/>
      <c r="AA36" s="52"/>
      <c r="AB36" s="450"/>
      <c r="AE36" s="47"/>
      <c r="AF36" s="47"/>
      <c r="AG36" s="47"/>
    </row>
    <row r="37" spans="2:83" s="40" customFormat="1" x14ac:dyDescent="0.25">
      <c r="H37" s="49"/>
      <c r="K37" s="52"/>
      <c r="L37" s="52"/>
      <c r="N37" s="49"/>
      <c r="O37" s="49"/>
      <c r="P37" s="49"/>
      <c r="Q37" s="49"/>
      <c r="R37" s="49"/>
      <c r="W37" s="737" t="e">
        <f>+W35-CONSOLIDADO!W34</f>
        <v>#REF!</v>
      </c>
      <c r="X37" s="737" t="e">
        <f>+X35-CONSOLIDADO!W34</f>
        <v>#REF!</v>
      </c>
      <c r="Y37" s="451"/>
      <c r="Z37" s="52"/>
      <c r="AA37" s="52"/>
      <c r="AB37" s="48"/>
      <c r="AD37" s="36"/>
      <c r="AE37" s="47"/>
      <c r="AF37" s="444"/>
      <c r="AG37" s="47"/>
    </row>
    <row r="38" spans="2:83" s="40" customFormat="1" x14ac:dyDescent="0.25">
      <c r="H38" s="83"/>
      <c r="K38" s="48"/>
      <c r="L38" s="48"/>
      <c r="N38" s="49"/>
      <c r="S38" s="49"/>
      <c r="Y38" s="595"/>
      <c r="Z38" s="254"/>
      <c r="AA38" s="254"/>
      <c r="AB38" s="254"/>
      <c r="AD38" s="36"/>
      <c r="AE38" s="47"/>
      <c r="AF38" s="444"/>
      <c r="AG38" s="47"/>
    </row>
    <row r="39" spans="2:83" ht="18.75" x14ac:dyDescent="0.3">
      <c r="B39" s="23" t="s">
        <v>19</v>
      </c>
      <c r="C39" s="24"/>
      <c r="K39" s="306" t="e">
        <f>+K7-K31</f>
        <v>#REF!</v>
      </c>
      <c r="L39" s="48"/>
      <c r="N39" s="21"/>
      <c r="P39" s="259"/>
      <c r="Q39" s="21"/>
      <c r="W39" s="738" t="e">
        <f>+W31-CONSOLIDADO!W33</f>
        <v>#REF!</v>
      </c>
      <c r="X39" s="738" t="e">
        <f>+X31-CONSOLIDADO!W33</f>
        <v>#REF!</v>
      </c>
      <c r="Y39" s="389"/>
      <c r="Z39" s="389"/>
      <c r="AA39" s="389"/>
      <c r="AB39" s="389"/>
      <c r="AD39" s="36"/>
      <c r="AF39" s="444"/>
      <c r="CD39" s="597" t="e">
        <f>Y31</f>
        <v>#REF!</v>
      </c>
      <c r="CE39" s="598" t="e">
        <f>+X32-Y32</f>
        <v>#REF!</v>
      </c>
    </row>
    <row r="40" spans="2:83" ht="9" customHeight="1" x14ac:dyDescent="0.3">
      <c r="B40" s="25"/>
      <c r="K40" s="302"/>
      <c r="L40" s="48"/>
      <c r="P40" s="22"/>
      <c r="Y40" s="21"/>
      <c r="Z40" s="389"/>
      <c r="AA40" s="389"/>
      <c r="AB40" s="389"/>
      <c r="AD40" s="36"/>
      <c r="AF40" s="326"/>
    </row>
    <row r="41" spans="2:83" ht="18.75" x14ac:dyDescent="0.3">
      <c r="B41" s="26" t="s">
        <v>20</v>
      </c>
      <c r="C41" s="27"/>
      <c r="K41" s="307" t="e">
        <f>K16-K39</f>
        <v>#REF!</v>
      </c>
      <c r="L41" s="48"/>
      <c r="N41" s="21"/>
      <c r="P41" s="22"/>
      <c r="Q41" s="21"/>
      <c r="W41" s="448"/>
      <c r="X41" s="448"/>
      <c r="Y41" s="389"/>
      <c r="Z41" s="389"/>
      <c r="AA41" s="389"/>
      <c r="AB41" s="389"/>
      <c r="AD41" s="36"/>
      <c r="AF41" s="326"/>
      <c r="CD41" s="597" t="e">
        <f>X31</f>
        <v>#REF!</v>
      </c>
      <c r="CE41" s="440" t="e">
        <f>+CD41-CD39</f>
        <v>#REF!</v>
      </c>
    </row>
    <row r="42" spans="2:83" ht="9" customHeight="1" x14ac:dyDescent="0.3">
      <c r="B42" s="1"/>
      <c r="K42" s="302"/>
      <c r="L42" s="48"/>
      <c r="N42" s="21"/>
      <c r="Q42" s="21"/>
      <c r="W42" s="448"/>
      <c r="X42" s="448"/>
      <c r="Y42" s="389"/>
      <c r="Z42" s="21"/>
      <c r="AA42" s="21"/>
      <c r="AD42" s="36"/>
      <c r="AF42" s="326"/>
    </row>
    <row r="43" spans="2:83" ht="18.75" x14ac:dyDescent="0.3">
      <c r="B43" s="23" t="s">
        <v>21</v>
      </c>
      <c r="C43" s="24"/>
      <c r="K43" s="306" t="e">
        <f>'ER Pendiente'!H40+'ER Pendiente'!H15</f>
        <v>#REF!</v>
      </c>
      <c r="L43" s="48"/>
      <c r="N43" s="21"/>
      <c r="Q43" s="21"/>
      <c r="W43" s="440"/>
      <c r="X43" s="440"/>
      <c r="Y43" s="21"/>
      <c r="Z43" s="21"/>
      <c r="AA43" s="21"/>
      <c r="AD43" s="36"/>
      <c r="AF43" s="326"/>
    </row>
    <row r="44" spans="2:83" ht="9" customHeight="1" x14ac:dyDescent="0.3">
      <c r="B44" s="28"/>
      <c r="K44" s="302"/>
      <c r="L44" s="48"/>
      <c r="N44" s="21"/>
      <c r="Q44" s="21"/>
      <c r="Y44" s="21"/>
      <c r="Z44" s="21"/>
      <c r="AA44" s="21"/>
      <c r="AD44" s="36"/>
      <c r="AF44" s="326"/>
    </row>
    <row r="45" spans="2:83" ht="18.75" x14ac:dyDescent="0.3">
      <c r="B45" s="23" t="s">
        <v>22</v>
      </c>
      <c r="C45" s="24"/>
      <c r="K45" s="306">
        <f>+'ER Pendiente'!I40+'ER Pendiente'!I22</f>
        <v>0</v>
      </c>
      <c r="L45" s="48"/>
      <c r="N45" s="21"/>
      <c r="Q45" s="21"/>
      <c r="Y45" s="21"/>
      <c r="Z45" s="21"/>
      <c r="AA45" s="21"/>
      <c r="AD45" s="36"/>
      <c r="AF45" s="326"/>
    </row>
    <row r="46" spans="2:83" ht="9" customHeight="1" x14ac:dyDescent="0.3">
      <c r="B46" s="28"/>
      <c r="K46" s="302"/>
      <c r="L46" s="48"/>
      <c r="N46" s="21"/>
      <c r="Q46" s="21"/>
      <c r="AD46" s="36"/>
      <c r="AF46" s="326"/>
    </row>
    <row r="47" spans="2:83" ht="18.75" x14ac:dyDescent="0.3">
      <c r="B47" s="23" t="s">
        <v>23</v>
      </c>
      <c r="C47" s="24"/>
      <c r="K47" s="306" t="e">
        <f>+'DIRECTO '!K46+#REF!</f>
        <v>#REF!</v>
      </c>
      <c r="L47" s="48"/>
      <c r="N47" s="21"/>
      <c r="Q47" s="21"/>
      <c r="AD47" s="36"/>
      <c r="AF47" s="326"/>
    </row>
    <row r="48" spans="2:83" ht="9" customHeight="1" x14ac:dyDescent="0.3">
      <c r="B48" s="25"/>
      <c r="K48" s="302"/>
      <c r="L48" s="48"/>
      <c r="N48" s="21"/>
      <c r="Q48" s="21"/>
      <c r="AD48" s="36"/>
      <c r="AF48" s="326"/>
    </row>
    <row r="49" spans="1:33" ht="15.75" x14ac:dyDescent="0.25">
      <c r="B49" s="79" t="s">
        <v>24</v>
      </c>
      <c r="C49" s="78"/>
      <c r="D49" s="5"/>
      <c r="E49" s="5"/>
      <c r="F49" s="5"/>
      <c r="G49" s="5"/>
      <c r="K49" s="308" t="e">
        <f>+K41-K43+K45</f>
        <v>#REF!</v>
      </c>
      <c r="L49" s="52"/>
      <c r="N49" s="21"/>
      <c r="Q49" s="21"/>
      <c r="AD49" s="36"/>
      <c r="AF49" s="326"/>
    </row>
    <row r="50" spans="1:33" ht="8.25" hidden="1" customHeight="1" outlineLevel="1" x14ac:dyDescent="0.25">
      <c r="K50" s="36"/>
      <c r="L50" s="48"/>
      <c r="N50" s="21"/>
      <c r="AD50" s="36"/>
      <c r="AF50" s="326"/>
    </row>
    <row r="51" spans="1:33" ht="21" hidden="1" outlineLevel="1" x14ac:dyDescent="0.35">
      <c r="A51" s="437"/>
      <c r="C51" s="31" t="s">
        <v>26</v>
      </c>
      <c r="K51" s="35"/>
      <c r="L51" s="48"/>
      <c r="N51" s="21"/>
      <c r="AD51" s="36"/>
      <c r="AF51" s="326"/>
    </row>
    <row r="52" spans="1:33" ht="8.25" hidden="1" customHeight="1" outlineLevel="1" x14ac:dyDescent="0.25">
      <c r="A52" s="437"/>
      <c r="C52" s="5"/>
      <c r="L52" s="48"/>
      <c r="N52" s="21"/>
      <c r="AD52" s="36"/>
      <c r="AF52" s="326"/>
    </row>
    <row r="53" spans="1:33" ht="21.75" hidden="1" customHeight="1" outlineLevel="1" x14ac:dyDescent="0.35">
      <c r="A53" s="437"/>
      <c r="C53" s="31" t="s">
        <v>27</v>
      </c>
      <c r="K53" s="35"/>
      <c r="L53" s="48"/>
      <c r="AD53" s="36"/>
      <c r="AF53" s="326"/>
    </row>
    <row r="54" spans="1:33" hidden="1" outlineLevel="1" x14ac:dyDescent="0.25">
      <c r="A54" s="437"/>
    </row>
    <row r="55" spans="1:33" hidden="1" outlineLevel="1" x14ac:dyDescent="0.25">
      <c r="A55" s="437"/>
    </row>
    <row r="56" spans="1:33" s="40" customFormat="1" ht="23.25" hidden="1" outlineLevel="1" x14ac:dyDescent="0.35">
      <c r="A56" s="438"/>
      <c r="B56" s="290" t="s">
        <v>147</v>
      </c>
      <c r="C56" s="24"/>
      <c r="H56" s="49"/>
      <c r="K56" s="52"/>
      <c r="L56" s="52"/>
      <c r="N56" s="49"/>
      <c r="O56" s="49"/>
      <c r="P56" s="49"/>
      <c r="Q56" s="49"/>
      <c r="R56" s="49"/>
      <c r="X56" s="53">
        <v>11555</v>
      </c>
      <c r="Y56" s="52"/>
      <c r="Z56" s="52"/>
      <c r="AA56" s="52"/>
      <c r="AB56" s="52">
        <v>16571</v>
      </c>
      <c r="AE56" s="47"/>
      <c r="AF56" s="47"/>
      <c r="AG56" s="47"/>
    </row>
    <row r="57" spans="1:33" s="40" customFormat="1" ht="18.75" hidden="1" outlineLevel="1" x14ac:dyDescent="0.3">
      <c r="A57" s="438"/>
      <c r="B57" s="287" t="s">
        <v>142</v>
      </c>
      <c r="C57" s="288"/>
      <c r="G57" s="69"/>
      <c r="H57" s="70"/>
      <c r="I57" s="8"/>
      <c r="J57" s="69"/>
      <c r="K57" s="74"/>
      <c r="L57" s="73"/>
      <c r="M57" s="8"/>
      <c r="N57" s="69"/>
      <c r="O57" s="74"/>
      <c r="P57" s="74"/>
      <c r="Q57" s="74"/>
      <c r="R57" s="74"/>
      <c r="S57" s="73"/>
      <c r="T57" s="8"/>
      <c r="U57" s="69"/>
      <c r="V57" s="8"/>
      <c r="W57" s="8"/>
      <c r="X57" s="69">
        <v>10554</v>
      </c>
      <c r="Y57" s="74"/>
      <c r="Z57" s="74"/>
      <c r="AA57" s="74"/>
      <c r="AB57" s="73">
        <v>10554</v>
      </c>
      <c r="AE57" s="47"/>
      <c r="AF57" s="47"/>
      <c r="AG57" s="47"/>
    </row>
    <row r="58" spans="1:33" s="40" customFormat="1" ht="18.75" hidden="1" outlineLevel="1" x14ac:dyDescent="0.3">
      <c r="A58" s="438"/>
      <c r="B58" s="287" t="s">
        <v>146</v>
      </c>
      <c r="C58" s="24"/>
      <c r="G58" s="71"/>
      <c r="H58" s="72"/>
      <c r="I58" s="19"/>
      <c r="J58" s="71"/>
      <c r="K58" s="75"/>
      <c r="L58" s="76"/>
      <c r="M58" s="19"/>
      <c r="N58" s="71"/>
      <c r="O58" s="75"/>
      <c r="P58" s="75"/>
      <c r="Q58" s="75"/>
      <c r="R58" s="75"/>
      <c r="S58" s="76"/>
      <c r="T58" s="19"/>
      <c r="U58" s="71"/>
      <c r="V58" s="19"/>
      <c r="W58" s="19"/>
      <c r="X58" s="71">
        <v>10.01</v>
      </c>
      <c r="Y58" s="75"/>
      <c r="Z58" s="75"/>
      <c r="AA58" s="75"/>
      <c r="AB58" s="76">
        <v>59.97</v>
      </c>
      <c r="AE58" s="47"/>
      <c r="AF58" s="47"/>
      <c r="AG58" s="47"/>
    </row>
    <row r="59" spans="1:33" s="40" customFormat="1" ht="15.75" hidden="1" outlineLevel="1" x14ac:dyDescent="0.25">
      <c r="A59" s="438"/>
      <c r="B59" s="286"/>
      <c r="H59" s="49"/>
      <c r="K59" s="52"/>
      <c r="L59" s="52"/>
      <c r="N59" s="49"/>
      <c r="O59" s="49"/>
      <c r="P59" s="49"/>
      <c r="Q59" s="49"/>
      <c r="R59" s="49"/>
      <c r="X59" s="53"/>
      <c r="Y59" s="52"/>
      <c r="Z59" s="52"/>
      <c r="AA59" s="52"/>
      <c r="AB59" s="48"/>
      <c r="AE59" s="47"/>
      <c r="AF59" s="47"/>
      <c r="AG59" s="47"/>
    </row>
    <row r="60" spans="1:33" s="40" customFormat="1" ht="18.75" hidden="1" outlineLevel="1" x14ac:dyDescent="0.3">
      <c r="A60" s="438"/>
      <c r="B60" s="289" t="s">
        <v>145</v>
      </c>
      <c r="C60" s="24"/>
      <c r="H60" s="49"/>
      <c r="K60" s="52"/>
      <c r="L60" s="52"/>
      <c r="N60" s="49"/>
      <c r="O60" s="49"/>
      <c r="P60" s="49"/>
      <c r="Q60" s="49"/>
      <c r="R60" s="49"/>
      <c r="X60" s="53">
        <v>5677</v>
      </c>
      <c r="Y60" s="52"/>
      <c r="Z60" s="52"/>
      <c r="AA60" s="52"/>
      <c r="AB60" s="48">
        <v>7676</v>
      </c>
      <c r="AE60" s="47"/>
      <c r="AF60" s="47"/>
      <c r="AG60" s="47"/>
    </row>
    <row r="61" spans="1:33" s="40" customFormat="1" ht="18.75" hidden="1" outlineLevel="1" x14ac:dyDescent="0.3">
      <c r="A61" s="438"/>
      <c r="B61" s="287" t="s">
        <v>142</v>
      </c>
      <c r="C61" s="24"/>
      <c r="G61" s="69"/>
      <c r="H61" s="70"/>
      <c r="I61" s="8"/>
      <c r="J61" s="69"/>
      <c r="K61" s="74"/>
      <c r="L61" s="73"/>
      <c r="M61" s="8"/>
      <c r="N61" s="69"/>
      <c r="O61" s="74"/>
      <c r="P61" s="74"/>
      <c r="Q61" s="74"/>
      <c r="R61" s="74"/>
      <c r="S61" s="73"/>
      <c r="T61" s="8"/>
      <c r="U61" s="69"/>
      <c r="V61" s="8"/>
      <c r="W61" s="8"/>
      <c r="X61" s="69">
        <v>5277</v>
      </c>
      <c r="Y61" s="74"/>
      <c r="Z61" s="74"/>
      <c r="AA61" s="74"/>
      <c r="AB61" s="73">
        <v>5277</v>
      </c>
      <c r="AE61" s="47"/>
      <c r="AF61" s="47"/>
      <c r="AG61" s="47"/>
    </row>
    <row r="62" spans="1:33" s="40" customFormat="1" ht="18.75" hidden="1" outlineLevel="1" x14ac:dyDescent="0.3">
      <c r="A62" s="438"/>
      <c r="B62" s="287" t="s">
        <v>146</v>
      </c>
      <c r="C62" s="24"/>
      <c r="G62" s="71"/>
      <c r="H62" s="72"/>
      <c r="I62" s="19"/>
      <c r="J62" s="71"/>
      <c r="K62" s="75"/>
      <c r="L62" s="76"/>
      <c r="M62" s="19"/>
      <c r="N62" s="71"/>
      <c r="O62" s="75"/>
      <c r="P62" s="75"/>
      <c r="Q62" s="75"/>
      <c r="R62" s="75"/>
      <c r="S62" s="76"/>
      <c r="T62" s="19"/>
      <c r="U62" s="71"/>
      <c r="V62" s="19"/>
      <c r="W62" s="19"/>
      <c r="X62" s="71">
        <v>4</v>
      </c>
      <c r="Y62" s="75"/>
      <c r="Z62" s="75"/>
      <c r="AA62" s="75"/>
      <c r="AB62" s="76">
        <v>23.99</v>
      </c>
      <c r="AE62" s="47"/>
      <c r="AF62" s="47"/>
      <c r="AG62" s="47"/>
    </row>
    <row r="63" spans="1:33" hidden="1" outlineLevel="1" x14ac:dyDescent="0.25">
      <c r="A63" s="437"/>
    </row>
    <row r="64" spans="1:33" ht="18.75" hidden="1" outlineLevel="1" x14ac:dyDescent="0.3">
      <c r="A64" s="437"/>
      <c r="B64" s="289" t="s">
        <v>144</v>
      </c>
      <c r="C64" s="24"/>
      <c r="X64">
        <v>5878</v>
      </c>
      <c r="AB64">
        <v>8875</v>
      </c>
    </row>
    <row r="65" spans="1:28" ht="18.75" hidden="1" outlineLevel="1" x14ac:dyDescent="0.3">
      <c r="A65" s="437"/>
      <c r="B65" s="287" t="s">
        <v>141</v>
      </c>
      <c r="C65" s="24"/>
      <c r="G65" s="69"/>
      <c r="H65" s="70"/>
      <c r="I65" s="8"/>
      <c r="J65" s="69"/>
      <c r="K65" s="74"/>
      <c r="L65" s="73"/>
      <c r="M65" s="8"/>
      <c r="N65" s="69"/>
      <c r="O65" s="74"/>
      <c r="P65" s="74"/>
      <c r="Q65" s="74"/>
      <c r="R65" s="74"/>
      <c r="S65" s="73"/>
      <c r="T65" s="8"/>
      <c r="U65" s="69"/>
      <c r="V65" s="8"/>
      <c r="W65" s="8"/>
      <c r="X65" s="69">
        <v>5277</v>
      </c>
      <c r="Y65" s="74"/>
      <c r="Z65" s="74"/>
      <c r="AA65" s="74"/>
      <c r="AB65" s="73">
        <v>5277</v>
      </c>
    </row>
    <row r="66" spans="1:28" ht="18.75" hidden="1" outlineLevel="1" x14ac:dyDescent="0.3">
      <c r="A66" s="437"/>
      <c r="B66" s="287" t="s">
        <v>146</v>
      </c>
      <c r="C66" s="24"/>
      <c r="G66" s="71"/>
      <c r="H66" s="72"/>
      <c r="I66" s="19"/>
      <c r="J66" s="71"/>
      <c r="K66" s="75"/>
      <c r="L66" s="76"/>
      <c r="M66" s="19"/>
      <c r="N66" s="71"/>
      <c r="O66" s="75"/>
      <c r="P66" s="75"/>
      <c r="Q66" s="75"/>
      <c r="R66" s="75"/>
      <c r="S66" s="76"/>
      <c r="T66" s="19"/>
      <c r="U66" s="71"/>
      <c r="V66" s="19"/>
      <c r="W66" s="19"/>
      <c r="X66" s="71">
        <v>6.01</v>
      </c>
      <c r="Y66" s="75"/>
      <c r="Z66" s="75"/>
      <c r="AA66" s="75"/>
      <c r="AB66" s="76">
        <v>35.979999999999997</v>
      </c>
    </row>
    <row r="67" spans="1:28" hidden="1" outlineLevel="1" x14ac:dyDescent="0.25"/>
    <row r="68" spans="1:28" collapsed="1" x14ac:dyDescent="0.25"/>
    <row r="99" spans="2:33" s="40" customFormat="1" x14ac:dyDescent="0.25">
      <c r="AE99" s="47"/>
      <c r="AF99" s="47"/>
      <c r="AG99" s="47"/>
    </row>
    <row r="100" spans="2:33" s="40" customFormat="1" x14ac:dyDescent="0.25">
      <c r="B100" s="40" t="s">
        <v>166</v>
      </c>
      <c r="K100" s="594" t="e">
        <f>K34</f>
        <v>#REF!</v>
      </c>
      <c r="L100" s="594" t="e">
        <f>+K100+L34</f>
        <v>#REF!</v>
      </c>
      <c r="N100" s="594" t="e">
        <f>+K100+N34</f>
        <v>#REF!</v>
      </c>
      <c r="O100" s="594" t="e">
        <f>+N100+O34</f>
        <v>#REF!</v>
      </c>
      <c r="P100" s="594" t="e">
        <f t="shared" ref="P100:R100" si="34">+O100+P34</f>
        <v>#REF!</v>
      </c>
      <c r="Q100" s="594" t="e">
        <f t="shared" si="34"/>
        <v>#REF!</v>
      </c>
      <c r="R100" s="594" t="e">
        <f t="shared" si="34"/>
        <v>#REF!</v>
      </c>
      <c r="S100" s="594" t="e">
        <f>+K100+S34</f>
        <v>#REF!</v>
      </c>
      <c r="U100" s="594" t="e">
        <f>+S100+U34</f>
        <v>#REF!</v>
      </c>
      <c r="X100" s="594" t="e">
        <f>X34</f>
        <v>#REF!</v>
      </c>
      <c r="AB100" s="594" t="e">
        <f>AB34</f>
        <v>#REF!</v>
      </c>
      <c r="AE100" s="47"/>
      <c r="AF100" s="47"/>
      <c r="AG100" s="47"/>
    </row>
    <row r="101" spans="2:33" s="40" customFormat="1" x14ac:dyDescent="0.25">
      <c r="B101" s="40" t="s">
        <v>47</v>
      </c>
      <c r="C101" s="590" t="e">
        <f>'DIRECTO '!K15</f>
        <v>#REF!</v>
      </c>
      <c r="E101" s="591" t="e">
        <f>IF(C101-SUM(C105:C113)=0,"OK","REVISAR")</f>
        <v>#REF!</v>
      </c>
      <c r="AE101" s="47"/>
      <c r="AF101" s="47"/>
      <c r="AG101" s="47"/>
    </row>
    <row r="102" spans="2:33" s="40" customFormat="1" x14ac:dyDescent="0.25">
      <c r="B102" s="40" t="s">
        <v>165</v>
      </c>
      <c r="C102" s="590" t="e">
        <f>#REF!</f>
        <v>#REF!</v>
      </c>
      <c r="E102" s="591" t="e">
        <f>IF(C102-SUM(E105:E113)=0,"OK","REVISAR")</f>
        <v>#REF!</v>
      </c>
      <c r="AE102" s="47"/>
      <c r="AF102" s="47"/>
      <c r="AG102" s="47"/>
    </row>
    <row r="103" spans="2:33" s="40" customFormat="1" x14ac:dyDescent="0.25">
      <c r="AE103" s="47"/>
      <c r="AF103" s="47"/>
      <c r="AG103" s="47"/>
    </row>
    <row r="104" spans="2:33" s="40" customFormat="1" x14ac:dyDescent="0.25">
      <c r="C104" s="592" t="s">
        <v>47</v>
      </c>
      <c r="D104" s="592"/>
      <c r="E104" s="592" t="s">
        <v>165</v>
      </c>
      <c r="AE104" s="47"/>
      <c r="AF104" s="47"/>
      <c r="AG104" s="47"/>
    </row>
    <row r="105" spans="2:33" s="40" customFormat="1" x14ac:dyDescent="0.25">
      <c r="B105" s="40" t="s">
        <v>10</v>
      </c>
      <c r="C105" s="590" t="e">
        <f>'DIRECTO '!K17</f>
        <v>#REF!</v>
      </c>
      <c r="D105" s="590"/>
      <c r="E105" s="590" t="e">
        <f>#REF!</f>
        <v>#REF!</v>
      </c>
      <c r="AE105" s="47"/>
      <c r="AF105" s="47"/>
      <c r="AG105" s="47"/>
    </row>
    <row r="106" spans="2:33" s="40" customFormat="1" x14ac:dyDescent="0.25">
      <c r="B106" s="40" t="s">
        <v>11</v>
      </c>
      <c r="C106" s="590" t="e">
        <f>'DIRECTO '!K18</f>
        <v>#REF!</v>
      </c>
      <c r="D106" s="590"/>
      <c r="E106" s="590" t="e">
        <f>#REF!</f>
        <v>#REF!</v>
      </c>
      <c r="AE106" s="47"/>
      <c r="AF106" s="47"/>
      <c r="AG106" s="47"/>
    </row>
    <row r="107" spans="2:33" s="40" customFormat="1" x14ac:dyDescent="0.25">
      <c r="B107" s="40" t="s">
        <v>43</v>
      </c>
      <c r="C107" s="590" t="e">
        <f>'DIRECTO '!K19</f>
        <v>#REF!</v>
      </c>
      <c r="D107" s="590"/>
      <c r="E107" s="590" t="e">
        <f>#REF!</f>
        <v>#REF!</v>
      </c>
      <c r="AE107" s="47"/>
      <c r="AF107" s="47"/>
      <c r="AG107" s="47"/>
    </row>
    <row r="108" spans="2:33" s="40" customFormat="1" x14ac:dyDescent="0.25">
      <c r="B108" s="40" t="s">
        <v>38</v>
      </c>
      <c r="C108" s="590" t="e">
        <f>'DIRECTO '!K20</f>
        <v>#REF!</v>
      </c>
      <c r="D108" s="590"/>
      <c r="E108" s="590" t="e">
        <f>#REF!</f>
        <v>#REF!</v>
      </c>
      <c r="AE108" s="47"/>
      <c r="AF108" s="47"/>
      <c r="AG108" s="47"/>
    </row>
    <row r="109" spans="2:33" s="40" customFormat="1" x14ac:dyDescent="0.25">
      <c r="B109" s="40" t="s">
        <v>163</v>
      </c>
      <c r="C109" s="590" t="e">
        <f>'DIRECTO '!K22</f>
        <v>#REF!</v>
      </c>
      <c r="D109" s="590"/>
      <c r="E109" s="590" t="e">
        <f>#REF!</f>
        <v>#REF!</v>
      </c>
      <c r="AE109" s="47"/>
      <c r="AF109" s="47"/>
      <c r="AG109" s="47"/>
    </row>
    <row r="110" spans="2:33" s="40" customFormat="1" x14ac:dyDescent="0.25">
      <c r="B110" s="40" t="s">
        <v>164</v>
      </c>
      <c r="C110" s="590" t="e">
        <f>'DIRECTO '!K23</f>
        <v>#REF!</v>
      </c>
      <c r="D110" s="590"/>
      <c r="E110" s="590" t="e">
        <f>#REF!</f>
        <v>#REF!</v>
      </c>
      <c r="AE110" s="47"/>
      <c r="AF110" s="47"/>
      <c r="AG110" s="47"/>
    </row>
    <row r="111" spans="2:33" s="40" customFormat="1" x14ac:dyDescent="0.25">
      <c r="B111" s="40" t="s">
        <v>13</v>
      </c>
      <c r="C111" s="590" t="e">
        <f>'DIRECTO '!K24</f>
        <v>#REF!</v>
      </c>
      <c r="D111" s="590"/>
      <c r="E111" s="590" t="e">
        <f>#REF!</f>
        <v>#REF!</v>
      </c>
      <c r="AE111" s="47"/>
      <c r="AF111" s="47"/>
      <c r="AG111" s="47"/>
    </row>
    <row r="112" spans="2:33" s="40" customFormat="1" x14ac:dyDescent="0.25">
      <c r="B112" s="40" t="s">
        <v>31</v>
      </c>
      <c r="C112" s="590" t="e">
        <f>'DIRECTO '!K25</f>
        <v>#REF!</v>
      </c>
      <c r="D112" s="590"/>
      <c r="E112" s="590" t="e">
        <f>#REF!</f>
        <v>#REF!</v>
      </c>
      <c r="AE112" s="47"/>
      <c r="AF112" s="47"/>
      <c r="AG112" s="47"/>
    </row>
    <row r="113" spans="2:33" s="40" customFormat="1" x14ac:dyDescent="0.25">
      <c r="B113" s="40" t="s">
        <v>15</v>
      </c>
      <c r="C113" s="590" t="e">
        <f>'DIRECTO '!K26</f>
        <v>#REF!</v>
      </c>
      <c r="D113" s="590"/>
      <c r="E113" s="590" t="e">
        <f>#REF!</f>
        <v>#REF!</v>
      </c>
      <c r="AE113" s="47"/>
      <c r="AF113" s="47"/>
      <c r="AG113" s="47"/>
    </row>
    <row r="114" spans="2:33" s="40" customFormat="1" x14ac:dyDescent="0.25">
      <c r="AE114" s="47"/>
      <c r="AF114" s="47"/>
      <c r="AG114" s="47"/>
    </row>
    <row r="115" spans="2:33" s="40" customFormat="1" x14ac:dyDescent="0.25">
      <c r="AE115" s="47"/>
      <c r="AF115" s="47"/>
      <c r="AG115" s="47"/>
    </row>
    <row r="116" spans="2:33" s="40" customFormat="1" x14ac:dyDescent="0.25">
      <c r="AE116" s="47"/>
      <c r="AF116" s="47"/>
      <c r="AG116" s="47"/>
    </row>
  </sheetData>
  <mergeCells count="54">
    <mergeCell ref="BZ3:BZ5"/>
    <mergeCell ref="CA3:CA5"/>
    <mergeCell ref="BT3:BT5"/>
    <mergeCell ref="BU3:BU5"/>
    <mergeCell ref="BV3:BV5"/>
    <mergeCell ref="BW3:BW5"/>
    <mergeCell ref="BX3:BX5"/>
    <mergeCell ref="BY3:BY5"/>
    <mergeCell ref="BS3:BS5"/>
    <mergeCell ref="BH3:BH5"/>
    <mergeCell ref="BI3:BI5"/>
    <mergeCell ref="BJ3:BJ5"/>
    <mergeCell ref="BK3:BK5"/>
    <mergeCell ref="BL3:BL5"/>
    <mergeCell ref="BM3:BM5"/>
    <mergeCell ref="BN3:BN5"/>
    <mergeCell ref="BO3:BO5"/>
    <mergeCell ref="BP3:BP5"/>
    <mergeCell ref="BQ3:BQ5"/>
    <mergeCell ref="BR3:BR5"/>
    <mergeCell ref="BG3:BG5"/>
    <mergeCell ref="AV3:AV5"/>
    <mergeCell ref="AW3:AW5"/>
    <mergeCell ref="AX3:AX5"/>
    <mergeCell ref="AY3:AY5"/>
    <mergeCell ref="AZ3:AZ5"/>
    <mergeCell ref="BA3:BA5"/>
    <mergeCell ref="BB3:BB5"/>
    <mergeCell ref="BC3:BC5"/>
    <mergeCell ref="BD3:BD5"/>
    <mergeCell ref="BE3:BE5"/>
    <mergeCell ref="BF3:BF5"/>
    <mergeCell ref="AU3:AU5"/>
    <mergeCell ref="AJ3:AJ5"/>
    <mergeCell ref="AK3:AK5"/>
    <mergeCell ref="AL3:AL5"/>
    <mergeCell ref="AM3:AM5"/>
    <mergeCell ref="AN3:AN5"/>
    <mergeCell ref="AO3:AO5"/>
    <mergeCell ref="AP3:AP5"/>
    <mergeCell ref="AQ3:AQ5"/>
    <mergeCell ref="AR3:AR5"/>
    <mergeCell ref="AS3:AS5"/>
    <mergeCell ref="AT3:AT5"/>
    <mergeCell ref="B1:AD1"/>
    <mergeCell ref="E3:E4"/>
    <mergeCell ref="G3:H4"/>
    <mergeCell ref="J3:J5"/>
    <mergeCell ref="K3:K5"/>
    <mergeCell ref="L3:L5"/>
    <mergeCell ref="N3:S3"/>
    <mergeCell ref="U3:U4"/>
    <mergeCell ref="X3:AB4"/>
    <mergeCell ref="AD3:AD4"/>
  </mergeCells>
  <printOptions horizontalCentered="1"/>
  <pageMargins left="0.23622047244094491" right="0.23622047244094491" top="0.35433070866141736" bottom="0.35433070866141736" header="0.31496062992125984" footer="0.31496062992125984"/>
  <pageSetup paperSize="9" scale="35" orientation="landscape" r:id="rId1"/>
  <headerFooter>
    <oddFooter>&amp;F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A1:AR114"/>
  <sheetViews>
    <sheetView showGridLines="0" view="pageBreakPreview" zoomScale="55" zoomScaleNormal="50" zoomScaleSheetLayoutView="55" workbookViewId="0">
      <selection activeCell="Q21" sqref="Q21"/>
    </sheetView>
  </sheetViews>
  <sheetFormatPr baseColWidth="10" defaultColWidth="9.140625" defaultRowHeight="15" outlineLevelRow="1" outlineLevelCol="2" x14ac:dyDescent="0.25"/>
  <cols>
    <col min="1" max="1" width="3.42578125" customWidth="1"/>
    <col min="2" max="2" width="23" customWidth="1"/>
    <col min="3" max="3" width="26.42578125" customWidth="1"/>
    <col min="4" max="4" width="1.42578125" customWidth="1"/>
    <col min="5" max="5" width="18.7109375" customWidth="1" outlineLevel="1"/>
    <col min="6" max="6" width="1.42578125" customWidth="1"/>
    <col min="7" max="7" width="17.85546875" customWidth="1"/>
    <col min="8" max="8" width="17.28515625" customWidth="1"/>
    <col min="9" max="9" width="1.42578125" customWidth="1"/>
    <col min="10" max="12" width="19" customWidth="1" outlineLevel="1"/>
    <col min="13" max="13" width="1.7109375" customWidth="1" outlineLevel="1"/>
    <col min="14" max="14" width="14.42578125" customWidth="1" outlineLevel="2"/>
    <col min="15" max="16" width="13.85546875" customWidth="1" outlineLevel="2"/>
    <col min="17" max="17" width="14.140625" customWidth="1" outlineLevel="2"/>
    <col min="18" max="18" width="13.85546875" customWidth="1" outlineLevel="2"/>
    <col min="19" max="19" width="19.5703125" customWidth="1" outlineLevel="1"/>
    <col min="20" max="20" width="1.42578125" customWidth="1" outlineLevel="2"/>
    <col min="21" max="21" width="19" customWidth="1" outlineLevel="1"/>
    <col min="22" max="22" width="1" customWidth="1" outlineLevel="1"/>
    <col min="23" max="23" width="21.28515625" customWidth="1"/>
    <col min="24" max="24" width="20.140625" bestFit="1" customWidth="1"/>
    <col min="25" max="25" width="17.7109375" hidden="1" customWidth="1" outlineLevel="1"/>
    <col min="26" max="26" width="18.42578125" hidden="1" customWidth="1" outlineLevel="1"/>
    <col min="27" max="27" width="20.5703125" bestFit="1" customWidth="1" collapsed="1"/>
    <col min="28" max="28" width="1.5703125" customWidth="1" outlineLevel="1"/>
    <col min="29" max="29" width="20.85546875" customWidth="1" outlineLevel="1"/>
    <col min="30" max="30" width="2.85546875" customWidth="1"/>
    <col min="31" max="31" width="16.7109375" customWidth="1" outlineLevel="1"/>
    <col min="32" max="33" width="16" customWidth="1" outlineLevel="1"/>
    <col min="34" max="34" width="7.85546875" customWidth="1" outlineLevel="2"/>
    <col min="35" max="35" width="9.5703125" customWidth="1" outlineLevel="2"/>
    <col min="36" max="36" width="8.85546875" customWidth="1" outlineLevel="2"/>
    <col min="37" max="37" width="8.7109375" customWidth="1" outlineLevel="2"/>
    <col min="38" max="38" width="9.28515625" customWidth="1" outlineLevel="2"/>
    <col min="39" max="39" width="9.140625" customWidth="1" outlineLevel="1"/>
    <col min="41" max="41" width="17.42578125" bestFit="1" customWidth="1"/>
    <col min="42" max="42" width="13.5703125" bestFit="1" customWidth="1"/>
  </cols>
  <sheetData>
    <row r="1" spans="1:41" ht="23.25" x14ac:dyDescent="0.35">
      <c r="A1" s="80"/>
      <c r="B1" s="1189" t="str">
        <f>CONCATENATE(B3," - ",B4," - ",B5," - ",B6)</f>
        <v>I.E.N 1182 - MES DE JULIO 2024 - EL BOSQUE - CERCO + INGRESOS Y CASETAS - CONSOLIDADO - JULIO 2024</v>
      </c>
      <c r="C1" s="1190"/>
      <c r="D1" s="1190"/>
      <c r="E1" s="1190"/>
      <c r="F1" s="1190"/>
      <c r="G1" s="1190"/>
      <c r="H1" s="1190"/>
      <c r="I1" s="1190"/>
      <c r="J1" s="1190"/>
      <c r="K1" s="1190"/>
      <c r="L1" s="1190"/>
      <c r="M1" s="1190"/>
      <c r="N1" s="1190"/>
      <c r="O1" s="1190"/>
      <c r="P1" s="1190"/>
      <c r="Q1" s="1190"/>
      <c r="R1" s="1190"/>
      <c r="S1" s="1190"/>
      <c r="T1" s="1190"/>
      <c r="U1" s="1190"/>
      <c r="V1" s="1190"/>
      <c r="W1" s="1190"/>
      <c r="X1" s="1190"/>
      <c r="Y1" s="1190"/>
      <c r="Z1" s="1190"/>
      <c r="AA1" s="1190"/>
      <c r="AB1" s="1190"/>
      <c r="AC1" s="1191"/>
    </row>
    <row r="2" spans="1:41" ht="16.5" customHeight="1" x14ac:dyDescent="0.3">
      <c r="A2" s="80"/>
      <c r="C2" s="77"/>
      <c r="H2" s="45"/>
      <c r="J2" s="39"/>
      <c r="K2" s="501"/>
      <c r="L2" s="46"/>
      <c r="M2" s="41"/>
      <c r="N2" s="94">
        <f>+YEAR(N5)</f>
        <v>2024</v>
      </c>
      <c r="O2" s="94">
        <f>+YEAR(O5)</f>
        <v>2024</v>
      </c>
      <c r="P2" s="94">
        <f>+YEAR(P5)</f>
        <v>2024</v>
      </c>
      <c r="Q2" s="94">
        <f>+YEAR(Q5)</f>
        <v>2024</v>
      </c>
      <c r="R2" s="94">
        <f>+YEAR(R5)</f>
        <v>2024</v>
      </c>
      <c r="S2" s="94">
        <f>S5</f>
        <v>2024</v>
      </c>
      <c r="U2" s="34"/>
      <c r="W2" s="53"/>
      <c r="X2" s="37"/>
      <c r="Y2" s="37"/>
      <c r="Z2" s="37"/>
    </row>
    <row r="3" spans="1:41" s="5" customFormat="1" ht="18.75" customHeight="1" x14ac:dyDescent="0.25">
      <c r="B3" s="311" t="s">
        <v>300</v>
      </c>
      <c r="C3" s="314"/>
      <c r="D3" s="2"/>
      <c r="E3" s="1162" t="s">
        <v>48</v>
      </c>
      <c r="F3" s="3"/>
      <c r="G3" s="1192" t="s">
        <v>318</v>
      </c>
      <c r="H3" s="1179"/>
      <c r="I3" s="3"/>
      <c r="J3" s="1168" t="s">
        <v>319</v>
      </c>
      <c r="K3" s="1193" t="s">
        <v>39</v>
      </c>
      <c r="L3" s="1196" t="s">
        <v>40</v>
      </c>
      <c r="M3" s="3"/>
      <c r="N3" s="1175" t="s">
        <v>50</v>
      </c>
      <c r="O3" s="1176"/>
      <c r="P3" s="1176"/>
      <c r="Q3" s="1176"/>
      <c r="R3" s="1176"/>
      <c r="S3" s="1177"/>
      <c r="T3" s="3"/>
      <c r="U3" s="1168" t="s">
        <v>41</v>
      </c>
      <c r="V3" s="3"/>
      <c r="W3" s="1199" t="s">
        <v>49</v>
      </c>
      <c r="X3" s="1200"/>
      <c r="Y3" s="1200"/>
      <c r="Z3" s="1200"/>
      <c r="AA3" s="1201"/>
      <c r="AB3" s="2"/>
      <c r="AC3" s="1193" t="s">
        <v>2</v>
      </c>
      <c r="AE3" s="1183" t="s">
        <v>30</v>
      </c>
      <c r="AF3" s="1186" t="s">
        <v>35</v>
      </c>
      <c r="AG3" s="1156" t="s">
        <v>343</v>
      </c>
      <c r="AH3" s="1208">
        <v>45474</v>
      </c>
      <c r="AI3" s="1208">
        <v>45505</v>
      </c>
      <c r="AJ3" s="1208">
        <v>45536</v>
      </c>
      <c r="AK3" s="1208">
        <v>45566</v>
      </c>
      <c r="AL3" s="1208">
        <v>45597</v>
      </c>
    </row>
    <row r="4" spans="1:41" s="5" customFormat="1" ht="15.75" x14ac:dyDescent="0.25">
      <c r="B4" s="312" t="s">
        <v>318</v>
      </c>
      <c r="C4" s="314"/>
      <c r="D4" s="2"/>
      <c r="E4" s="1163"/>
      <c r="F4" s="3"/>
      <c r="G4" s="1170"/>
      <c r="H4" s="1181"/>
      <c r="I4" s="3"/>
      <c r="J4" s="1169"/>
      <c r="K4" s="1194"/>
      <c r="L4" s="1197"/>
      <c r="M4" s="3"/>
      <c r="N4" s="309">
        <v>1</v>
      </c>
      <c r="O4" s="309">
        <f>+N4+1</f>
        <v>2</v>
      </c>
      <c r="P4" s="309">
        <f t="shared" ref="P4:R4" si="0">+O4+1</f>
        <v>3</v>
      </c>
      <c r="Q4" s="309">
        <f t="shared" si="0"/>
        <v>4</v>
      </c>
      <c r="R4" s="309">
        <f t="shared" si="0"/>
        <v>5</v>
      </c>
      <c r="S4" s="291" t="s">
        <v>162</v>
      </c>
      <c r="T4" s="3"/>
      <c r="U4" s="1170"/>
      <c r="V4" s="3"/>
      <c r="W4" s="1202"/>
      <c r="X4" s="1203"/>
      <c r="Y4" s="1203"/>
      <c r="Z4" s="1203"/>
      <c r="AA4" s="1204"/>
      <c r="AB4" s="2"/>
      <c r="AC4" s="1194"/>
      <c r="AE4" s="1184"/>
      <c r="AF4" s="1187"/>
      <c r="AG4" s="1157"/>
      <c r="AH4" s="1209"/>
      <c r="AI4" s="1209"/>
      <c r="AJ4" s="1209"/>
      <c r="AK4" s="1209"/>
      <c r="AL4" s="1209"/>
    </row>
    <row r="5" spans="1:41" s="58" customFormat="1" ht="31.5" x14ac:dyDescent="0.25">
      <c r="B5" s="805" t="s">
        <v>301</v>
      </c>
      <c r="C5" s="59"/>
      <c r="D5" s="59"/>
      <c r="E5" s="63" t="s">
        <v>3</v>
      </c>
      <c r="F5" s="60"/>
      <c r="G5" s="61" t="s">
        <v>4</v>
      </c>
      <c r="H5" s="61" t="s">
        <v>5</v>
      </c>
      <c r="I5" s="60"/>
      <c r="J5" s="1170"/>
      <c r="K5" s="1195"/>
      <c r="L5" s="1198"/>
      <c r="M5" s="60"/>
      <c r="N5" s="62">
        <v>45475</v>
      </c>
      <c r="O5" s="62">
        <f t="shared" ref="O5:R5" si="1">+N5+31</f>
        <v>45506</v>
      </c>
      <c r="P5" s="62">
        <f t="shared" si="1"/>
        <v>45537</v>
      </c>
      <c r="Q5" s="62">
        <f t="shared" si="1"/>
        <v>45568</v>
      </c>
      <c r="R5" s="62">
        <f t="shared" si="1"/>
        <v>45599</v>
      </c>
      <c r="S5" s="61">
        <v>2024</v>
      </c>
      <c r="T5" s="60"/>
      <c r="U5" s="61">
        <f>+S5+1</f>
        <v>2025</v>
      </c>
      <c r="V5" s="60"/>
      <c r="W5" s="62" t="s">
        <v>6</v>
      </c>
      <c r="X5" s="61" t="s">
        <v>7</v>
      </c>
      <c r="Y5" s="61" t="s">
        <v>36</v>
      </c>
      <c r="Z5" s="63" t="s">
        <v>125</v>
      </c>
      <c r="AA5" s="63" t="s">
        <v>37</v>
      </c>
      <c r="AB5" s="59"/>
      <c r="AC5" s="61" t="s">
        <v>7</v>
      </c>
      <c r="AE5" s="1185"/>
      <c r="AF5" s="1188"/>
      <c r="AG5" s="1158"/>
      <c r="AH5" s="1210"/>
      <c r="AI5" s="1210"/>
      <c r="AJ5" s="1210"/>
      <c r="AK5" s="1210"/>
      <c r="AL5" s="1210"/>
    </row>
    <row r="6" spans="1:41" s="5" customFormat="1" ht="16.5" customHeight="1" x14ac:dyDescent="0.25">
      <c r="B6" s="312" t="s">
        <v>333</v>
      </c>
      <c r="C6" s="2"/>
      <c r="D6" s="2"/>
      <c r="E6" s="2"/>
      <c r="F6" s="2"/>
      <c r="G6" s="2"/>
      <c r="H6" s="2"/>
      <c r="I6" s="2"/>
      <c r="J6" s="2"/>
      <c r="K6" s="2"/>
      <c r="L6" s="2"/>
      <c r="M6" s="2"/>
      <c r="N6" s="252"/>
      <c r="O6" s="252"/>
      <c r="P6" s="252"/>
      <c r="Q6" s="252"/>
      <c r="R6" s="252"/>
      <c r="S6" s="252"/>
      <c r="T6" s="2"/>
      <c r="U6" s="2"/>
      <c r="V6" s="2"/>
      <c r="W6" s="449"/>
      <c r="X6" s="87"/>
      <c r="Y6" s="2"/>
      <c r="Z6" s="2"/>
      <c r="AA6" s="2"/>
      <c r="AB6" s="2"/>
      <c r="AC6" s="2"/>
      <c r="AE6" s="527"/>
    </row>
    <row r="7" spans="1:41" s="5" customFormat="1" ht="29.25" customHeight="1" x14ac:dyDescent="0.3">
      <c r="B7" s="56" t="s">
        <v>32</v>
      </c>
      <c r="C7" s="57"/>
      <c r="D7" s="2"/>
      <c r="E7" s="650" t="e">
        <f>+E9</f>
        <v>#REF!</v>
      </c>
      <c r="F7" s="87"/>
      <c r="G7" s="606" t="e">
        <f>+G9</f>
        <v>#REF!</v>
      </c>
      <c r="H7" s="608" t="e">
        <f>+H9</f>
        <v>#REF!</v>
      </c>
      <c r="I7" s="87"/>
      <c r="J7" s="606" t="e">
        <f>+J9</f>
        <v>#REF!</v>
      </c>
      <c r="K7" s="607" t="e">
        <f>+K9</f>
        <v>#REF!</v>
      </c>
      <c r="L7" s="608" t="e">
        <f>+L9</f>
        <v>#REF!</v>
      </c>
      <c r="M7" s="87"/>
      <c r="N7" s="606" t="e">
        <f t="shared" ref="N7:R7" si="2">+N9</f>
        <v>#REF!</v>
      </c>
      <c r="O7" s="607" t="e">
        <f t="shared" si="2"/>
        <v>#REF!</v>
      </c>
      <c r="P7" s="607" t="e">
        <f t="shared" si="2"/>
        <v>#REF!</v>
      </c>
      <c r="Q7" s="607" t="e">
        <f t="shared" si="2"/>
        <v>#REF!</v>
      </c>
      <c r="R7" s="607" t="e">
        <f t="shared" si="2"/>
        <v>#REF!</v>
      </c>
      <c r="S7" s="608" t="e">
        <f>+S9</f>
        <v>#REF!</v>
      </c>
      <c r="T7" s="87"/>
      <c r="U7" s="606">
        <f>+U9</f>
        <v>0</v>
      </c>
      <c r="V7" s="87"/>
      <c r="W7" s="606" t="e">
        <f>+W9</f>
        <v>#REF!</v>
      </c>
      <c r="X7" s="607" t="e">
        <f>+X9</f>
        <v>#REF!</v>
      </c>
      <c r="Y7" s="607" t="e">
        <f>+Y9</f>
        <v>#REF!</v>
      </c>
      <c r="Z7" s="607" t="e">
        <f>+Z9</f>
        <v>#REF!</v>
      </c>
      <c r="AA7" s="608" t="e">
        <f>+AA9</f>
        <v>#REF!</v>
      </c>
      <c r="AB7" s="87"/>
      <c r="AC7" s="650" t="e">
        <f>+AC9</f>
        <v>#REF!</v>
      </c>
      <c r="AD7" s="295"/>
      <c r="AE7" s="392"/>
      <c r="AF7" s="393"/>
      <c r="AG7" s="393"/>
      <c r="AH7" s="393"/>
      <c r="AI7" s="393"/>
      <c r="AJ7" s="393"/>
      <c r="AK7" s="393"/>
      <c r="AL7" s="393"/>
      <c r="AM7" s="295"/>
    </row>
    <row r="8" spans="1:41" s="5" customFormat="1" ht="24" customHeight="1" outlineLevel="1" x14ac:dyDescent="0.3">
      <c r="B8" s="2"/>
      <c r="C8" s="2"/>
      <c r="D8" s="2"/>
      <c r="E8" s="87"/>
      <c r="F8" s="87"/>
      <c r="G8" s="87"/>
      <c r="H8" s="87"/>
      <c r="I8" s="87"/>
      <c r="J8" s="87"/>
      <c r="K8" s="87"/>
      <c r="L8" s="87"/>
      <c r="M8" s="87"/>
      <c r="N8" s="87"/>
      <c r="O8" s="87"/>
      <c r="P8" s="87"/>
      <c r="Q8" s="87"/>
      <c r="R8" s="87"/>
      <c r="S8" s="87"/>
      <c r="T8" s="87"/>
      <c r="U8" s="87"/>
      <c r="V8" s="87"/>
      <c r="W8" s="87"/>
      <c r="X8" s="87"/>
      <c r="Y8" s="87"/>
      <c r="Z8" s="87"/>
      <c r="AA8" s="87"/>
      <c r="AB8" s="87"/>
      <c r="AC8" s="87"/>
      <c r="AD8" s="295"/>
      <c r="AE8" s="394"/>
      <c r="AF8" s="394"/>
      <c r="AG8" s="394"/>
      <c r="AH8" s="394"/>
      <c r="AI8" s="394"/>
      <c r="AJ8" s="394"/>
      <c r="AK8" s="394"/>
      <c r="AL8" s="394"/>
      <c r="AM8" s="295"/>
    </row>
    <row r="9" spans="1:41" s="5" customFormat="1" ht="18.75" outlineLevel="1" x14ac:dyDescent="0.3">
      <c r="B9" s="9" t="s">
        <v>153</v>
      </c>
      <c r="C9" s="10"/>
      <c r="D9" s="2"/>
      <c r="E9" s="663" t="e">
        <f>+SUM(E11:E13)</f>
        <v>#REF!</v>
      </c>
      <c r="F9" s="87"/>
      <c r="G9" s="609" t="e">
        <f>+SUM(G11:G13)</f>
        <v>#REF!</v>
      </c>
      <c r="H9" s="611" t="e">
        <f>+SUM(H11:H13)</f>
        <v>#REF!</v>
      </c>
      <c r="I9" s="87"/>
      <c r="J9" s="609" t="e">
        <f>+SUM(J11:J13)</f>
        <v>#REF!</v>
      </c>
      <c r="K9" s="610" t="e">
        <f>+SUM(K11:K13)</f>
        <v>#REF!</v>
      </c>
      <c r="L9" s="611" t="e">
        <f>+SUM(L11:L13)</f>
        <v>#REF!</v>
      </c>
      <c r="M9" s="87"/>
      <c r="N9" s="609" t="e">
        <f t="shared" ref="N9:S9" si="3">+SUM(N11:N13)</f>
        <v>#REF!</v>
      </c>
      <c r="O9" s="610" t="e">
        <f t="shared" si="3"/>
        <v>#REF!</v>
      </c>
      <c r="P9" s="610" t="e">
        <f t="shared" si="3"/>
        <v>#REF!</v>
      </c>
      <c r="Q9" s="610" t="e">
        <f t="shared" si="3"/>
        <v>#REF!</v>
      </c>
      <c r="R9" s="610" t="e">
        <f t="shared" si="3"/>
        <v>#REF!</v>
      </c>
      <c r="S9" s="611" t="e">
        <f t="shared" si="3"/>
        <v>#REF!</v>
      </c>
      <c r="T9" s="87"/>
      <c r="U9" s="609">
        <f>+SUM(U11:U13)</f>
        <v>0</v>
      </c>
      <c r="V9" s="87"/>
      <c r="W9" s="609" t="e">
        <f>+SUM(W11:W13)</f>
        <v>#REF!</v>
      </c>
      <c r="X9" s="610" t="e">
        <f>+SUM(X11:X13)</f>
        <v>#REF!</v>
      </c>
      <c r="Y9" s="610" t="e">
        <f>+SUM(Y11:Y13)</f>
        <v>#REF!</v>
      </c>
      <c r="Z9" s="610" t="e">
        <f>+SUM(Z11:Z13)</f>
        <v>#REF!</v>
      </c>
      <c r="AA9" s="611" t="e">
        <f>+SUM(AA11:AA13)</f>
        <v>#REF!</v>
      </c>
      <c r="AB9" s="87"/>
      <c r="AC9" s="663" t="e">
        <f>+SUM(AC11:AC13)</f>
        <v>#REF!</v>
      </c>
      <c r="AD9" s="295"/>
      <c r="AE9" s="395"/>
      <c r="AF9" s="395"/>
      <c r="AG9" s="395"/>
      <c r="AH9" s="395"/>
      <c r="AI9" s="395"/>
      <c r="AJ9" s="395"/>
      <c r="AK9" s="395"/>
      <c r="AL9" s="395"/>
      <c r="AM9" s="295"/>
    </row>
    <row r="10" spans="1:41" s="5" customFormat="1" ht="7.5" customHeight="1" outlineLevel="1" x14ac:dyDescent="0.3">
      <c r="E10" s="499"/>
      <c r="F10" s="499"/>
      <c r="G10" s="499"/>
      <c r="H10" s="499"/>
      <c r="I10" s="499"/>
      <c r="J10" s="499"/>
      <c r="K10" s="499"/>
      <c r="L10" s="499"/>
      <c r="M10" s="499"/>
      <c r="N10" s="499"/>
      <c r="O10" s="499"/>
      <c r="P10" s="499"/>
      <c r="Q10" s="499"/>
      <c r="R10" s="499"/>
      <c r="S10" s="499"/>
      <c r="T10" s="499"/>
      <c r="U10" s="499"/>
      <c r="V10" s="499"/>
      <c r="W10" s="499"/>
      <c r="X10" s="499"/>
      <c r="Y10" s="499"/>
      <c r="Z10" s="499"/>
      <c r="AA10" s="499"/>
      <c r="AB10" s="499"/>
      <c r="AC10" s="499"/>
      <c r="AD10" s="295"/>
      <c r="AE10" s="396"/>
      <c r="AF10" s="396"/>
      <c r="AG10" s="396"/>
      <c r="AH10" s="396"/>
      <c r="AI10" s="396"/>
      <c r="AJ10" s="396"/>
      <c r="AK10" s="396"/>
      <c r="AL10" s="396"/>
      <c r="AM10" s="295"/>
    </row>
    <row r="11" spans="1:41" s="5" customFormat="1" ht="18.75" outlineLevel="1" x14ac:dyDescent="0.3">
      <c r="B11" s="13" t="s">
        <v>151</v>
      </c>
      <c r="C11" s="14"/>
      <c r="E11" s="476" t="e">
        <f>+'DIRECTO '!E11+#REF!</f>
        <v>#REF!</v>
      </c>
      <c r="F11" s="499"/>
      <c r="G11" s="612" t="e">
        <f>+'DIRECTO '!G11+#REF!</f>
        <v>#REF!</v>
      </c>
      <c r="H11" s="523" t="e">
        <f>+'DIRECTO '!H11+#REF!</f>
        <v>#REF!</v>
      </c>
      <c r="I11" s="499"/>
      <c r="J11" s="635" t="e">
        <f>+'DIRECTO '!J11+#REF!</f>
        <v>#REF!</v>
      </c>
      <c r="K11" s="613" t="e">
        <f>+'DIRECTO '!K11+#REF!</f>
        <v>#REF!</v>
      </c>
      <c r="L11" s="520" t="e">
        <f>+SUM(N11:R11)</f>
        <v>#REF!</v>
      </c>
      <c r="M11" s="499"/>
      <c r="N11" s="679" t="e">
        <f>+'DIRECTO '!N11+#REF!</f>
        <v>#REF!</v>
      </c>
      <c r="O11" s="680" t="e">
        <f>+'DIRECTO '!O11+#REF!</f>
        <v>#REF!</v>
      </c>
      <c r="P11" s="680" t="e">
        <f>+'DIRECTO '!P11+#REF!</f>
        <v>#REF!</v>
      </c>
      <c r="Q11" s="680" t="e">
        <f>+'DIRECTO '!Q11+#REF!</f>
        <v>#REF!</v>
      </c>
      <c r="R11" s="680" t="e">
        <f>+'DIRECTO '!R11+#REF!</f>
        <v>#REF!</v>
      </c>
      <c r="S11" s="636" t="e">
        <f>+SUMIFS(N11:R11,N$2:R$2,$S$5)</f>
        <v>#REF!</v>
      </c>
      <c r="T11" s="499"/>
      <c r="U11" s="612">
        <f>+SUMIFS(N11:S11,N$2:S$2,$U$5)</f>
        <v>0</v>
      </c>
      <c r="V11" s="499"/>
      <c r="W11" s="612" t="e">
        <f>+K11+L11</f>
        <v>#REF!</v>
      </c>
      <c r="X11" s="613" t="e">
        <f>+'DIRECTO '!Z11+#REF!</f>
        <v>#REF!</v>
      </c>
      <c r="Y11" s="613" t="e">
        <f>+'DIRECTO '!AA11+#REF!</f>
        <v>#REF!</v>
      </c>
      <c r="Z11" s="613" t="e">
        <f>+'DIRECTO '!AB11+#REF!</f>
        <v>#REF!</v>
      </c>
      <c r="AA11" s="520" t="e">
        <f>+'DIRECTO '!AC11+#REF!</f>
        <v>#REF!</v>
      </c>
      <c r="AB11" s="499"/>
      <c r="AC11" s="476" t="e">
        <f>+'DIRECTO '!AE11+#REF!</f>
        <v>#REF!</v>
      </c>
      <c r="AD11" s="295"/>
      <c r="AE11" s="397"/>
      <c r="AF11" s="398"/>
      <c r="AG11" s="398"/>
      <c r="AH11" s="398"/>
      <c r="AI11" s="398"/>
      <c r="AJ11" s="398"/>
      <c r="AK11" s="398"/>
      <c r="AL11" s="398"/>
      <c r="AM11" s="295"/>
    </row>
    <row r="12" spans="1:41" s="5" customFormat="1" ht="18.75" outlineLevel="1" x14ac:dyDescent="0.3">
      <c r="B12" s="15" t="s">
        <v>152</v>
      </c>
      <c r="C12" s="16"/>
      <c r="E12" s="657" t="e">
        <f>+'DIRECTO '!E12+#REF!</f>
        <v>#REF!</v>
      </c>
      <c r="F12" s="499"/>
      <c r="G12" s="645" t="e">
        <f>+'DIRECTO '!G12+#REF!</f>
        <v>#REF!</v>
      </c>
      <c r="H12" s="658" t="e">
        <f>+'DIRECTO '!H12+#REF!</f>
        <v>#REF!</v>
      </c>
      <c r="I12" s="499"/>
      <c r="J12" s="614" t="e">
        <f>+'DIRECTO '!J12+#REF!</f>
        <v>#REF!</v>
      </c>
      <c r="K12" s="615" t="e">
        <f>+'DIRECTO '!K12+#REF!</f>
        <v>#REF!</v>
      </c>
      <c r="L12" s="616" t="e">
        <f>+SUM(N12:R12)</f>
        <v>#REF!</v>
      </c>
      <c r="M12" s="499"/>
      <c r="N12" s="638" t="e">
        <f>+'DIRECTO '!N12+#REF!</f>
        <v>#REF!</v>
      </c>
      <c r="O12" s="622" t="e">
        <f>+'DIRECTO '!O12+#REF!</f>
        <v>#REF!</v>
      </c>
      <c r="P12" s="622" t="e">
        <f>+'DIRECTO '!P12+#REF!</f>
        <v>#REF!</v>
      </c>
      <c r="Q12" s="622" t="e">
        <f>+'DIRECTO '!Q12+#REF!</f>
        <v>#REF!</v>
      </c>
      <c r="R12" s="622" t="e">
        <f>+'DIRECTO '!R12+#REF!</f>
        <v>#REF!</v>
      </c>
      <c r="S12" s="621" t="e">
        <f>+SUMIFS(N12:R12,N$2:R$2,$S$5)</f>
        <v>#REF!</v>
      </c>
      <c r="T12" s="499"/>
      <c r="U12" s="638">
        <f>+SUMIFS(N12:S12,N$2:S$2,$U$5)</f>
        <v>0</v>
      </c>
      <c r="V12" s="499"/>
      <c r="W12" s="638" t="e">
        <f>+K12+L12</f>
        <v>#REF!</v>
      </c>
      <c r="X12" s="646" t="e">
        <f>+'DIRECTO '!Z12+#REF!</f>
        <v>#REF!</v>
      </c>
      <c r="Y12" s="646" t="e">
        <f>+'DIRECTO '!AA12+#REF!</f>
        <v>#REF!</v>
      </c>
      <c r="Z12" s="646" t="e">
        <f>+'DIRECTO '!AB12+#REF!</f>
        <v>#REF!</v>
      </c>
      <c r="AA12" s="623" t="e">
        <f>+'DIRECTO '!AC12+#REF!</f>
        <v>#REF!</v>
      </c>
      <c r="AB12" s="499"/>
      <c r="AC12" s="652" t="e">
        <f>+'DIRECTO '!AE12+#REF!</f>
        <v>#REF!</v>
      </c>
      <c r="AD12" s="295"/>
      <c r="AE12" s="397"/>
      <c r="AF12" s="398"/>
      <c r="AG12" s="398"/>
      <c r="AH12" s="398"/>
      <c r="AI12" s="398"/>
      <c r="AJ12" s="398"/>
      <c r="AK12" s="398"/>
      <c r="AL12" s="398"/>
      <c r="AM12" s="295"/>
    </row>
    <row r="13" spans="1:41" s="5" customFormat="1" ht="18.75" outlineLevel="1" x14ac:dyDescent="0.3">
      <c r="B13" s="15" t="s">
        <v>42</v>
      </c>
      <c r="C13" s="16"/>
      <c r="E13" s="657" t="e">
        <f>+'DIRECTO '!#REF!+#REF!</f>
        <v>#REF!</v>
      </c>
      <c r="F13" s="499"/>
      <c r="G13" s="645" t="e">
        <f>+'DIRECTO '!#REF!+#REF!</f>
        <v>#REF!</v>
      </c>
      <c r="H13" s="658" t="e">
        <f>+'DIRECTO '!#REF!+#REF!</f>
        <v>#REF!</v>
      </c>
      <c r="I13" s="499"/>
      <c r="J13" s="614" t="e">
        <f>+'DIRECTO '!#REF!+#REF!</f>
        <v>#REF!</v>
      </c>
      <c r="K13" s="615" t="e">
        <f>+'DIRECTO '!#REF!+#REF!</f>
        <v>#REF!</v>
      </c>
      <c r="L13" s="616" t="e">
        <f>+SUM(N13:R13)</f>
        <v>#REF!</v>
      </c>
      <c r="M13" s="499"/>
      <c r="N13" s="638" t="e">
        <f>+'DIRECTO '!#REF!+#REF!</f>
        <v>#REF!</v>
      </c>
      <c r="O13" s="622" t="e">
        <f>+'DIRECTO '!#REF!+#REF!</f>
        <v>#REF!</v>
      </c>
      <c r="P13" s="622" t="e">
        <f>+'DIRECTO '!#REF!+#REF!</f>
        <v>#REF!</v>
      </c>
      <c r="Q13" s="622" t="e">
        <f>+'DIRECTO '!#REF!+#REF!</f>
        <v>#REF!</v>
      </c>
      <c r="R13" s="622" t="e">
        <f>+'DIRECTO '!#REF!+#REF!</f>
        <v>#REF!</v>
      </c>
      <c r="S13" s="621" t="e">
        <f>+SUMIFS(N13:R13,N$2:R$2,$S$5)</f>
        <v>#REF!</v>
      </c>
      <c r="T13" s="499"/>
      <c r="U13" s="638">
        <f>+SUMIFS(N13:S13,N$2:S$2,$U$5)</f>
        <v>0</v>
      </c>
      <c r="V13" s="499"/>
      <c r="W13" s="638" t="e">
        <f>+K13+L13</f>
        <v>#REF!</v>
      </c>
      <c r="X13" s="646" t="e">
        <f>+'DIRECTO '!#REF!+#REF!</f>
        <v>#REF!</v>
      </c>
      <c r="Y13" s="646" t="e">
        <f>+'DIRECTO '!#REF!+#REF!</f>
        <v>#REF!</v>
      </c>
      <c r="Z13" s="646" t="e">
        <f>+'DIRECTO '!#REF!+#REF!</f>
        <v>#REF!</v>
      </c>
      <c r="AA13" s="623" t="e">
        <f>+'DIRECTO '!#REF!+#REF!</f>
        <v>#REF!</v>
      </c>
      <c r="AB13" s="499"/>
      <c r="AC13" s="652" t="e">
        <f>+'DIRECTO '!#REF!+#REF!</f>
        <v>#REF!</v>
      </c>
      <c r="AD13" s="295"/>
      <c r="AE13" s="401"/>
      <c r="AF13" s="398"/>
      <c r="AG13" s="398"/>
      <c r="AH13" s="398"/>
      <c r="AI13" s="398"/>
      <c r="AJ13" s="398"/>
      <c r="AK13" s="398"/>
      <c r="AL13" s="398"/>
      <c r="AM13" s="295"/>
    </row>
    <row r="14" spans="1:41" s="54" customFormat="1" ht="8.25" customHeight="1" x14ac:dyDescent="0.25">
      <c r="E14" s="515"/>
      <c r="F14" s="515"/>
      <c r="G14" s="515"/>
      <c r="H14" s="515"/>
      <c r="I14" s="515"/>
      <c r="J14" s="515"/>
      <c r="K14" s="515"/>
      <c r="L14" s="515"/>
      <c r="M14" s="515"/>
      <c r="N14" s="515"/>
      <c r="O14" s="515"/>
      <c r="P14" s="515"/>
      <c r="Q14" s="515"/>
      <c r="R14" s="515"/>
      <c r="S14" s="515"/>
      <c r="T14" s="515"/>
      <c r="U14" s="515"/>
      <c r="V14" s="515"/>
      <c r="W14" s="515"/>
      <c r="X14" s="515"/>
      <c r="Y14" s="515"/>
      <c r="Z14" s="515"/>
      <c r="AA14" s="515"/>
      <c r="AB14" s="515"/>
      <c r="AC14" s="515"/>
      <c r="AD14" s="298"/>
      <c r="AE14" s="403"/>
      <c r="AF14" s="403"/>
      <c r="AG14" s="403"/>
      <c r="AH14" s="403"/>
      <c r="AI14" s="403"/>
      <c r="AJ14" s="403"/>
      <c r="AK14" s="403"/>
      <c r="AL14" s="403"/>
      <c r="AM14" s="299"/>
    </row>
    <row r="15" spans="1:41" s="5" customFormat="1" ht="18.75" x14ac:dyDescent="0.3">
      <c r="B15" s="56" t="s">
        <v>9</v>
      </c>
      <c r="C15" s="57"/>
      <c r="D15" s="2"/>
      <c r="E15" s="650" t="e">
        <f>+SUM(E17:E26)+E28</f>
        <v>#REF!</v>
      </c>
      <c r="F15" s="87"/>
      <c r="G15" s="606" t="e">
        <f>+SUM(G17:G26,G28)</f>
        <v>#REF!</v>
      </c>
      <c r="H15" s="608" t="e">
        <f>SUM(H17:H26,H28)</f>
        <v>#REF!</v>
      </c>
      <c r="I15" s="87"/>
      <c r="J15" s="606" t="e">
        <f>+SUM(J17:J26,J28)</f>
        <v>#REF!</v>
      </c>
      <c r="K15" s="607" t="e">
        <f>+SUM(K17:K26,K28)</f>
        <v>#REF!</v>
      </c>
      <c r="L15" s="608" t="e">
        <f>+SUM(L17:L26,L28)</f>
        <v>#REF!</v>
      </c>
      <c r="M15" s="87"/>
      <c r="N15" s="606" t="e">
        <f>+SUM(N17:N26,N28)</f>
        <v>#REF!</v>
      </c>
      <c r="O15" s="607" t="e">
        <f t="shared" ref="O15:S15" si="4">+SUM(O17:O26,O28)</f>
        <v>#REF!</v>
      </c>
      <c r="P15" s="607" t="e">
        <f t="shared" si="4"/>
        <v>#REF!</v>
      </c>
      <c r="Q15" s="607" t="e">
        <f t="shared" si="4"/>
        <v>#REF!</v>
      </c>
      <c r="R15" s="607" t="e">
        <f t="shared" si="4"/>
        <v>#REF!</v>
      </c>
      <c r="S15" s="608" t="e">
        <f t="shared" si="4"/>
        <v>#REF!</v>
      </c>
      <c r="T15" s="87"/>
      <c r="U15" s="606">
        <f>+SUM(U17:U26,U28)</f>
        <v>0</v>
      </c>
      <c r="V15" s="87"/>
      <c r="W15" s="606" t="e">
        <f>+SUM(W17:W26,W28)</f>
        <v>#REF!</v>
      </c>
      <c r="X15" s="607" t="e">
        <f>+SUM(X17:X26,X28)</f>
        <v>#REF!</v>
      </c>
      <c r="Y15" s="607" t="e">
        <f>+SUM(Y17:Y26,Y28)</f>
        <v>#REF!</v>
      </c>
      <c r="Z15" s="607" t="e">
        <f>+SUM(Z17:Z26,Z28)</f>
        <v>#REF!</v>
      </c>
      <c r="AA15" s="608" t="e">
        <f>+SUM(AA17:AA26,AA28)</f>
        <v>#REF!</v>
      </c>
      <c r="AB15" s="87"/>
      <c r="AC15" s="650" t="e">
        <f>+SUM(AC17:AC26,AC28)</f>
        <v>#REF!</v>
      </c>
      <c r="AD15" s="297"/>
      <c r="AE15" s="392"/>
      <c r="AF15" s="392"/>
      <c r="AG15" s="392"/>
      <c r="AH15" s="392"/>
      <c r="AI15" s="392"/>
      <c r="AJ15" s="392"/>
      <c r="AK15" s="392"/>
      <c r="AL15" s="392"/>
      <c r="AM15" s="295"/>
      <c r="AO15" s="499">
        <v>525387.51000000164</v>
      </c>
    </row>
    <row r="16" spans="1:41" s="5" customFormat="1" ht="17.25" customHeight="1" outlineLevel="1" x14ac:dyDescent="0.3">
      <c r="E16" s="499"/>
      <c r="F16" s="499"/>
      <c r="G16" s="499"/>
      <c r="H16" s="499"/>
      <c r="I16" s="499"/>
      <c r="J16" s="499"/>
      <c r="K16" s="499"/>
      <c r="L16" s="499"/>
      <c r="M16" s="499"/>
      <c r="N16" s="499"/>
      <c r="O16" s="499"/>
      <c r="P16" s="499"/>
      <c r="Q16" s="499"/>
      <c r="R16" s="499"/>
      <c r="S16" s="499"/>
      <c r="T16" s="499"/>
      <c r="U16" s="499"/>
      <c r="V16" s="499"/>
      <c r="W16" s="499"/>
      <c r="X16" s="499"/>
      <c r="Y16" s="499"/>
      <c r="Z16" s="499"/>
      <c r="AA16" s="499"/>
      <c r="AB16" s="499"/>
      <c r="AC16" s="499"/>
      <c r="AD16" s="297"/>
      <c r="AE16" s="396"/>
      <c r="AF16" s="400"/>
      <c r="AG16" s="400"/>
      <c r="AH16" s="400"/>
      <c r="AI16" s="400"/>
      <c r="AJ16" s="400"/>
      <c r="AK16" s="400"/>
      <c r="AL16" s="400"/>
      <c r="AM16" s="295"/>
    </row>
    <row r="17" spans="2:44" s="5" customFormat="1" ht="18.75" outlineLevel="1" x14ac:dyDescent="0.3">
      <c r="B17" s="13" t="s">
        <v>10</v>
      </c>
      <c r="C17" s="14"/>
      <c r="E17" s="476" t="e">
        <f>+'DIRECTO '!E17+#REF!</f>
        <v>#REF!</v>
      </c>
      <c r="F17" s="499"/>
      <c r="G17" s="612" t="e">
        <f>+'DIRECTO '!G17+#REF!</f>
        <v>#REF!</v>
      </c>
      <c r="H17" s="520" t="e">
        <f>+'DIRECTO '!H17+#REF!</f>
        <v>#REF!</v>
      </c>
      <c r="I17" s="499"/>
      <c r="J17" s="635" t="e">
        <f>+'DIRECTO '!J17+#REF!</f>
        <v>#REF!</v>
      </c>
      <c r="K17" s="613" t="e">
        <f>+'DIRECTO '!K17+#REF!</f>
        <v>#REF!</v>
      </c>
      <c r="L17" s="636" t="e">
        <f t="shared" ref="L17:L26" si="5">+SUM(N17:R17)</f>
        <v>#REF!</v>
      </c>
      <c r="M17" s="499"/>
      <c r="N17" s="612" t="e">
        <f>+'DIRECTO '!N17+#REF!</f>
        <v>#REF!</v>
      </c>
      <c r="O17" s="613" t="e">
        <f>+'DIRECTO '!O17+#REF!</f>
        <v>#REF!</v>
      </c>
      <c r="P17" s="613" t="e">
        <f>+'DIRECTO '!P17+#REF!</f>
        <v>#REF!</v>
      </c>
      <c r="Q17" s="613" t="e">
        <f>+'DIRECTO '!Q17+#REF!</f>
        <v>#REF!</v>
      </c>
      <c r="R17" s="613" t="e">
        <f>+'DIRECTO '!R17+#REF!</f>
        <v>#REF!</v>
      </c>
      <c r="S17" s="636" t="e">
        <f t="shared" ref="S17:S26" si="6">+SUMIFS(N17:R17,N$2:R$2,$S$5)</f>
        <v>#REF!</v>
      </c>
      <c r="T17" s="499"/>
      <c r="U17" s="612">
        <f t="shared" ref="U17:U26" si="7">+SUMIFS(N17:S17,N$2:S$2,$U$5)</f>
        <v>0</v>
      </c>
      <c r="V17" s="499"/>
      <c r="W17" s="939" t="e">
        <f t="shared" ref="W17:W26" si="8">+K17+L17</f>
        <v>#REF!</v>
      </c>
      <c r="X17" s="940" t="e">
        <f>+'DIRECTO '!Z17+#REF!</f>
        <v>#REF!</v>
      </c>
      <c r="Y17" s="613" t="e">
        <f>+'DIRECTO '!AA17+#REF!</f>
        <v>#REF!</v>
      </c>
      <c r="Z17" s="613" t="e">
        <f>+'DIRECTO '!AB17+#REF!</f>
        <v>#REF!</v>
      </c>
      <c r="AA17" s="520" t="e">
        <f>+'DIRECTO '!AC17+#REF!</f>
        <v>#REF!</v>
      </c>
      <c r="AB17" s="499"/>
      <c r="AC17" s="476" t="e">
        <f>+'DIRECTO '!AE17+#REF!</f>
        <v>#REF!</v>
      </c>
      <c r="AD17" s="528"/>
      <c r="AE17" s="397"/>
      <c r="AF17" s="398"/>
      <c r="AG17" s="398"/>
      <c r="AH17" s="398"/>
      <c r="AI17" s="398"/>
      <c r="AJ17" s="398"/>
      <c r="AK17" s="398"/>
      <c r="AL17" s="398"/>
      <c r="AM17" s="295"/>
    </row>
    <row r="18" spans="2:44" s="5" customFormat="1" ht="19.5" customHeight="1" outlineLevel="1" x14ac:dyDescent="0.3">
      <c r="B18" s="15" t="s">
        <v>11</v>
      </c>
      <c r="C18" s="16"/>
      <c r="E18" s="478" t="e">
        <f>+'DIRECTO '!E18+#REF!</f>
        <v>#REF!</v>
      </c>
      <c r="F18" s="499"/>
      <c r="G18" s="640" t="e">
        <f>+'DIRECTO '!G18+#REF!</f>
        <v>#REF!</v>
      </c>
      <c r="H18" s="624" t="e">
        <f>+'DIRECTO '!H18+#REF!</f>
        <v>#REF!</v>
      </c>
      <c r="I18" s="499"/>
      <c r="J18" s="638" t="e">
        <f>+'DIRECTO '!J18+#REF!</f>
        <v>#REF!</v>
      </c>
      <c r="K18" s="620" t="e">
        <f>+'DIRECTO '!K18+#REF!</f>
        <v>#REF!</v>
      </c>
      <c r="L18" s="639" t="e">
        <f t="shared" si="5"/>
        <v>#REF!</v>
      </c>
      <c r="M18" s="499"/>
      <c r="N18" s="640" t="e">
        <f>+'DIRECTO '!N18+#REF!</f>
        <v>#REF!</v>
      </c>
      <c r="O18" s="620" t="e">
        <f>+'DIRECTO '!O18+#REF!</f>
        <v>#REF!</v>
      </c>
      <c r="P18" s="620" t="e">
        <f>+'DIRECTO '!P18+#REF!</f>
        <v>#REF!</v>
      </c>
      <c r="Q18" s="620" t="e">
        <f>+'DIRECTO '!Q18+#REF!</f>
        <v>#REF!</v>
      </c>
      <c r="R18" s="620" t="e">
        <f>+'DIRECTO '!R18+#REF!</f>
        <v>#REF!</v>
      </c>
      <c r="S18" s="639" t="e">
        <f t="shared" si="6"/>
        <v>#REF!</v>
      </c>
      <c r="T18" s="499"/>
      <c r="U18" s="640">
        <f t="shared" si="7"/>
        <v>0</v>
      </c>
      <c r="V18" s="499"/>
      <c r="W18" s="941" t="e">
        <f t="shared" si="8"/>
        <v>#REF!</v>
      </c>
      <c r="X18" s="942" t="e">
        <f>+'DIRECTO '!Z18+#REF!</f>
        <v>#REF!</v>
      </c>
      <c r="Y18" s="646" t="e">
        <f>+'DIRECTO '!AA18+#REF!</f>
        <v>#REF!</v>
      </c>
      <c r="Z18" s="646" t="e">
        <f>+'DIRECTO '!AB18+#REF!</f>
        <v>#REF!</v>
      </c>
      <c r="AA18" s="647" t="e">
        <f>+'DIRECTO '!AC18+#REF!</f>
        <v>#REF!</v>
      </c>
      <c r="AB18" s="499"/>
      <c r="AC18" s="652" t="e">
        <f>+'DIRECTO '!AE18+#REF!</f>
        <v>#REF!</v>
      </c>
      <c r="AD18" s="528"/>
      <c r="AE18" s="397"/>
      <c r="AF18" s="398"/>
      <c r="AG18" s="398"/>
      <c r="AH18" s="398"/>
      <c r="AI18" s="398"/>
      <c r="AJ18" s="398"/>
      <c r="AK18" s="398"/>
      <c r="AL18" s="398"/>
      <c r="AM18" s="295"/>
    </row>
    <row r="19" spans="2:44" s="5" customFormat="1" ht="18.75" outlineLevel="1" x14ac:dyDescent="0.3">
      <c r="B19" s="15" t="s">
        <v>43</v>
      </c>
      <c r="C19" s="16"/>
      <c r="E19" s="652" t="e">
        <f>+'DIRECTO '!E19+#REF!</f>
        <v>#REF!</v>
      </c>
      <c r="F19" s="499"/>
      <c r="G19" s="638" t="e">
        <f>+'DIRECTO '!G19+#REF!</f>
        <v>#REF!</v>
      </c>
      <c r="H19" s="623" t="e">
        <f>+'DIRECTO '!H19+#REF!</f>
        <v>#REF!</v>
      </c>
      <c r="I19" s="499"/>
      <c r="J19" s="638" t="e">
        <f>+'DIRECTO '!J19+#REF!</f>
        <v>#REF!</v>
      </c>
      <c r="K19" s="622" t="e">
        <f>+'DIRECTO '!K19+#REF!</f>
        <v>#REF!</v>
      </c>
      <c r="L19" s="621" t="e">
        <f t="shared" si="5"/>
        <v>#REF!</v>
      </c>
      <c r="M19" s="499"/>
      <c r="N19" s="638" t="e">
        <f>+'DIRECTO '!N19+#REF!</f>
        <v>#REF!</v>
      </c>
      <c r="O19" s="622" t="e">
        <f>+'DIRECTO '!O19+#REF!</f>
        <v>#REF!</v>
      </c>
      <c r="P19" s="622" t="e">
        <f>+'DIRECTO '!P19+#REF!</f>
        <v>#REF!</v>
      </c>
      <c r="Q19" s="622" t="e">
        <f>+'DIRECTO '!Q19+#REF!</f>
        <v>#REF!</v>
      </c>
      <c r="R19" s="622" t="e">
        <f>+'DIRECTO '!R19+#REF!</f>
        <v>#REF!</v>
      </c>
      <c r="S19" s="621" t="e">
        <f t="shared" si="6"/>
        <v>#REF!</v>
      </c>
      <c r="T19" s="499"/>
      <c r="U19" s="638">
        <f t="shared" si="7"/>
        <v>0</v>
      </c>
      <c r="V19" s="499"/>
      <c r="W19" s="941" t="e">
        <f t="shared" si="8"/>
        <v>#REF!</v>
      </c>
      <c r="X19" s="942" t="e">
        <f>+'DIRECTO '!Z19+#REF!</f>
        <v>#REF!</v>
      </c>
      <c r="Y19" s="646" t="e">
        <f>+'DIRECTO '!AA19+#REF!</f>
        <v>#REF!</v>
      </c>
      <c r="Z19" s="646" t="e">
        <f>+'DIRECTO '!AB19+#REF!</f>
        <v>#REF!</v>
      </c>
      <c r="AA19" s="647" t="e">
        <f>+'DIRECTO '!AC19+#REF!</f>
        <v>#REF!</v>
      </c>
      <c r="AB19" s="499"/>
      <c r="AC19" s="652" t="e">
        <f>+'DIRECTO '!AE19+#REF!</f>
        <v>#REF!</v>
      </c>
      <c r="AD19" s="528"/>
      <c r="AE19" s="397"/>
      <c r="AF19" s="398"/>
      <c r="AG19" s="398"/>
      <c r="AH19" s="398"/>
      <c r="AI19" s="398"/>
      <c r="AJ19" s="398"/>
      <c r="AK19" s="398"/>
      <c r="AL19" s="398"/>
      <c r="AM19" s="295"/>
    </row>
    <row r="20" spans="2:44" s="5" customFormat="1" ht="18.75" outlineLevel="1" x14ac:dyDescent="0.3">
      <c r="B20" s="15" t="s">
        <v>38</v>
      </c>
      <c r="C20" s="16"/>
      <c r="E20" s="652" t="e">
        <f>+'DIRECTO '!E20+#REF!</f>
        <v>#REF!</v>
      </c>
      <c r="F20" s="499"/>
      <c r="G20" s="638" t="e">
        <f>+'DIRECTO '!G20+#REF!</f>
        <v>#REF!</v>
      </c>
      <c r="H20" s="623" t="e">
        <f>+'DIRECTO '!H20+#REF!</f>
        <v>#REF!</v>
      </c>
      <c r="I20" s="499"/>
      <c r="J20" s="638" t="e">
        <f>+'DIRECTO '!J20+#REF!</f>
        <v>#REF!</v>
      </c>
      <c r="K20" s="622" t="e">
        <f>+'DIRECTO '!K20+#REF!</f>
        <v>#REF!</v>
      </c>
      <c r="L20" s="621" t="e">
        <f t="shared" si="5"/>
        <v>#REF!</v>
      </c>
      <c r="M20" s="499"/>
      <c r="N20" s="638" t="e">
        <f>+'DIRECTO '!N20+#REF!</f>
        <v>#REF!</v>
      </c>
      <c r="O20" s="622" t="e">
        <f>+'DIRECTO '!O20+#REF!</f>
        <v>#REF!</v>
      </c>
      <c r="P20" s="622" t="e">
        <f>+'DIRECTO '!P20+#REF!</f>
        <v>#REF!</v>
      </c>
      <c r="Q20" s="622" t="e">
        <f>+'DIRECTO '!Q20+#REF!</f>
        <v>#REF!</v>
      </c>
      <c r="R20" s="622" t="e">
        <f>+'DIRECTO '!R20+#REF!</f>
        <v>#REF!</v>
      </c>
      <c r="S20" s="621" t="e">
        <f t="shared" si="6"/>
        <v>#REF!</v>
      </c>
      <c r="T20" s="499"/>
      <c r="U20" s="638">
        <f t="shared" si="7"/>
        <v>0</v>
      </c>
      <c r="V20" s="499"/>
      <c r="W20" s="941" t="e">
        <f t="shared" si="8"/>
        <v>#REF!</v>
      </c>
      <c r="X20" s="942" t="e">
        <f>+'DIRECTO '!Z20+#REF!</f>
        <v>#REF!</v>
      </c>
      <c r="Y20" s="646" t="e">
        <f>+'DIRECTO '!AA20+#REF!</f>
        <v>#REF!</v>
      </c>
      <c r="Z20" s="646" t="e">
        <f>+'DIRECTO '!AB20+#REF!</f>
        <v>#REF!</v>
      </c>
      <c r="AA20" s="647" t="e">
        <f>+'DIRECTO '!AC20+#REF!</f>
        <v>#REF!</v>
      </c>
      <c r="AB20" s="499"/>
      <c r="AC20" s="478" t="e">
        <f>+'DIRECTO '!AE20+#REF!</f>
        <v>#REF!</v>
      </c>
      <c r="AD20" s="528"/>
      <c r="AE20" s="401"/>
      <c r="AF20" s="398"/>
      <c r="AG20" s="398"/>
      <c r="AH20" s="398"/>
      <c r="AI20" s="398"/>
      <c r="AJ20" s="398"/>
      <c r="AK20" s="398"/>
      <c r="AL20" s="398"/>
      <c r="AM20" s="295"/>
      <c r="AO20" s="499" t="e">
        <f>+W15-W25-W26</f>
        <v>#REF!</v>
      </c>
    </row>
    <row r="21" spans="2:44" s="5" customFormat="1" ht="18.75" outlineLevel="1" x14ac:dyDescent="0.3">
      <c r="B21" s="15" t="s">
        <v>12</v>
      </c>
      <c r="C21" s="16"/>
      <c r="E21" s="652" t="e">
        <f>+'DIRECTO '!E21+#REF!</f>
        <v>#REF!</v>
      </c>
      <c r="F21" s="499"/>
      <c r="G21" s="638" t="e">
        <f>+'DIRECTO '!G21+#REF!</f>
        <v>#REF!</v>
      </c>
      <c r="H21" s="623" t="e">
        <f>+'DIRECTO '!H21+#REF!</f>
        <v>#REF!</v>
      </c>
      <c r="I21" s="499"/>
      <c r="J21" s="638" t="e">
        <f>+'DIRECTO '!J21+#REF!</f>
        <v>#REF!</v>
      </c>
      <c r="K21" s="622" t="e">
        <f>+'DIRECTO '!K21+#REF!</f>
        <v>#REF!</v>
      </c>
      <c r="L21" s="621" t="e">
        <f t="shared" si="5"/>
        <v>#REF!</v>
      </c>
      <c r="M21" s="499"/>
      <c r="N21" s="638" t="e">
        <f>+'DIRECTO '!N21+#REF!</f>
        <v>#REF!</v>
      </c>
      <c r="O21" s="622" t="e">
        <f>+'DIRECTO '!O21+#REF!</f>
        <v>#REF!</v>
      </c>
      <c r="P21" s="622" t="e">
        <f>+'DIRECTO '!P21+#REF!</f>
        <v>#REF!</v>
      </c>
      <c r="Q21" s="622" t="e">
        <f>+'DIRECTO '!Q21+#REF!</f>
        <v>#REF!</v>
      </c>
      <c r="R21" s="622" t="e">
        <f>+'DIRECTO '!R21+#REF!</f>
        <v>#REF!</v>
      </c>
      <c r="S21" s="621" t="e">
        <f t="shared" si="6"/>
        <v>#REF!</v>
      </c>
      <c r="T21" s="499"/>
      <c r="U21" s="638">
        <f t="shared" si="7"/>
        <v>0</v>
      </c>
      <c r="V21" s="499"/>
      <c r="W21" s="941" t="e">
        <f t="shared" si="8"/>
        <v>#REF!</v>
      </c>
      <c r="X21" s="942" t="e">
        <f>+'DIRECTO '!Z21+#REF!</f>
        <v>#REF!</v>
      </c>
      <c r="Y21" s="646" t="e">
        <f>+'DIRECTO '!AA21+#REF!</f>
        <v>#REF!</v>
      </c>
      <c r="Z21" s="646" t="e">
        <f>+'DIRECTO '!AB21+#REF!</f>
        <v>#REF!</v>
      </c>
      <c r="AA21" s="647" t="e">
        <f>+'DIRECTO '!AC21+#REF!</f>
        <v>#REF!</v>
      </c>
      <c r="AB21" s="499"/>
      <c r="AC21" s="652" t="e">
        <f>+'DIRECTO '!AE21+#REF!</f>
        <v>#REF!</v>
      </c>
      <c r="AD21" s="528"/>
      <c r="AE21" s="401"/>
      <c r="AF21" s="398"/>
      <c r="AG21" s="398"/>
      <c r="AH21" s="398"/>
      <c r="AI21" s="398"/>
      <c r="AJ21" s="398"/>
      <c r="AK21" s="398"/>
      <c r="AL21" s="398"/>
      <c r="AM21" s="295"/>
      <c r="AO21" s="499">
        <v>20864058.326847453</v>
      </c>
    </row>
    <row r="22" spans="2:44" s="5" customFormat="1" ht="18.75" outlineLevel="1" x14ac:dyDescent="0.3">
      <c r="B22" s="15"/>
      <c r="C22" s="16" t="s">
        <v>25</v>
      </c>
      <c r="E22" s="652" t="e">
        <f>+'DIRECTO '!E22+#REF!</f>
        <v>#REF!</v>
      </c>
      <c r="F22" s="499"/>
      <c r="G22" s="640" t="e">
        <f>+'DIRECTO '!G22+#REF!</f>
        <v>#REF!</v>
      </c>
      <c r="H22" s="624" t="e">
        <f>+'DIRECTO '!H22+#REF!</f>
        <v>#REF!</v>
      </c>
      <c r="I22" s="499"/>
      <c r="J22" s="638" t="e">
        <f>+'DIRECTO '!J22+#REF!</f>
        <v>#REF!</v>
      </c>
      <c r="K22" s="622" t="e">
        <f>+'DIRECTO '!K22+#REF!</f>
        <v>#REF!</v>
      </c>
      <c r="L22" s="621" t="e">
        <f t="shared" si="5"/>
        <v>#REF!</v>
      </c>
      <c r="M22" s="499"/>
      <c r="N22" s="638" t="e">
        <f>+'DIRECTO '!N22+#REF!</f>
        <v>#REF!</v>
      </c>
      <c r="O22" s="622" t="e">
        <f>+'DIRECTO '!O22+#REF!</f>
        <v>#REF!</v>
      </c>
      <c r="P22" s="622" t="e">
        <f>+'DIRECTO '!P22+#REF!</f>
        <v>#REF!</v>
      </c>
      <c r="Q22" s="622" t="e">
        <f>+'DIRECTO '!Q22+#REF!</f>
        <v>#REF!</v>
      </c>
      <c r="R22" s="622" t="e">
        <f>+'DIRECTO '!R22+#REF!</f>
        <v>#REF!</v>
      </c>
      <c r="S22" s="621" t="e">
        <f t="shared" si="6"/>
        <v>#REF!</v>
      </c>
      <c r="T22" s="499"/>
      <c r="U22" s="638">
        <f t="shared" si="7"/>
        <v>0</v>
      </c>
      <c r="V22" s="499"/>
      <c r="W22" s="941" t="e">
        <f t="shared" si="8"/>
        <v>#REF!</v>
      </c>
      <c r="X22" s="942" t="e">
        <f>+'DIRECTO '!Z22+#REF!</f>
        <v>#REF!</v>
      </c>
      <c r="Y22" s="646" t="e">
        <f>+'DIRECTO '!AA22+#REF!</f>
        <v>#REF!</v>
      </c>
      <c r="Z22" s="646" t="e">
        <f>+'DIRECTO '!AB22+#REF!</f>
        <v>#REF!</v>
      </c>
      <c r="AA22" s="647" t="e">
        <f>+'DIRECTO '!AC22+#REF!</f>
        <v>#REF!</v>
      </c>
      <c r="AB22" s="499"/>
      <c r="AC22" s="478" t="e">
        <f>+'DIRECTO '!AE22+#REF!</f>
        <v>#REF!</v>
      </c>
      <c r="AD22" s="528"/>
      <c r="AE22" s="401"/>
      <c r="AF22" s="398"/>
      <c r="AG22" s="398"/>
      <c r="AH22" s="398"/>
      <c r="AI22" s="398"/>
      <c r="AJ22" s="398"/>
      <c r="AK22" s="398"/>
      <c r="AL22" s="398"/>
      <c r="AM22" s="295"/>
    </row>
    <row r="23" spans="2:44" s="5" customFormat="1" ht="18.75" outlineLevel="1" x14ac:dyDescent="0.3">
      <c r="B23" s="15"/>
      <c r="C23" s="16" t="s">
        <v>14</v>
      </c>
      <c r="E23" s="652" t="e">
        <f>+'DIRECTO '!E23+#REF!</f>
        <v>#REF!</v>
      </c>
      <c r="F23" s="499"/>
      <c r="G23" s="638" t="e">
        <f>+'DIRECTO '!G23+#REF!</f>
        <v>#REF!</v>
      </c>
      <c r="H23" s="623" t="e">
        <f>+'DIRECTO '!H23+#REF!</f>
        <v>#REF!</v>
      </c>
      <c r="I23" s="499"/>
      <c r="J23" s="638" t="e">
        <f>+'DIRECTO '!J23+#REF!</f>
        <v>#REF!</v>
      </c>
      <c r="K23" s="622" t="e">
        <f>+'DIRECTO '!K23+#REF!</f>
        <v>#REF!</v>
      </c>
      <c r="L23" s="621" t="e">
        <f t="shared" si="5"/>
        <v>#REF!</v>
      </c>
      <c r="M23" s="499"/>
      <c r="N23" s="638" t="e">
        <f>+'DIRECTO '!N23+#REF!</f>
        <v>#REF!</v>
      </c>
      <c r="O23" s="622" t="e">
        <f>+'DIRECTO '!O23+#REF!</f>
        <v>#REF!</v>
      </c>
      <c r="P23" s="622" t="e">
        <f>+'DIRECTO '!P23+#REF!</f>
        <v>#REF!</v>
      </c>
      <c r="Q23" s="622" t="e">
        <f>+'DIRECTO '!Q23+#REF!</f>
        <v>#REF!</v>
      </c>
      <c r="R23" s="622" t="e">
        <f>+'DIRECTO '!R23+#REF!</f>
        <v>#REF!</v>
      </c>
      <c r="S23" s="621" t="e">
        <f t="shared" si="6"/>
        <v>#REF!</v>
      </c>
      <c r="T23" s="499"/>
      <c r="U23" s="638">
        <f t="shared" si="7"/>
        <v>0</v>
      </c>
      <c r="V23" s="499"/>
      <c r="W23" s="941" t="e">
        <f t="shared" si="8"/>
        <v>#REF!</v>
      </c>
      <c r="X23" s="942" t="e">
        <f ca="1">+'DIRECTO '!Z23+#REF!</f>
        <v>#REF!</v>
      </c>
      <c r="Y23" s="646" t="e">
        <f ca="1">+'DIRECTO '!AA23+#REF!</f>
        <v>#REF!</v>
      </c>
      <c r="Z23" s="646" t="e">
        <f ca="1">+'DIRECTO '!AB23+#REF!</f>
        <v>#REF!</v>
      </c>
      <c r="AA23" s="647" t="e">
        <f>+'DIRECTO '!AC23+#REF!</f>
        <v>#REF!</v>
      </c>
      <c r="AB23" s="499"/>
      <c r="AC23" s="652" t="e">
        <f>+'DIRECTO '!AE23+#REF!</f>
        <v>#REF!</v>
      </c>
      <c r="AD23" s="528"/>
      <c r="AE23" s="401"/>
      <c r="AF23" s="398"/>
      <c r="AG23" s="398"/>
      <c r="AH23" s="398"/>
      <c r="AI23" s="398"/>
      <c r="AJ23" s="398"/>
      <c r="AK23" s="398"/>
      <c r="AL23" s="398"/>
      <c r="AM23" s="295"/>
    </row>
    <row r="24" spans="2:44" s="5" customFormat="1" ht="18.75" outlineLevel="1" x14ac:dyDescent="0.3">
      <c r="B24" s="15" t="s">
        <v>13</v>
      </c>
      <c r="C24" s="16"/>
      <c r="E24" s="652" t="e">
        <f>+'DIRECTO '!E24+#REF!</f>
        <v>#REF!</v>
      </c>
      <c r="F24" s="499"/>
      <c r="G24" s="638" t="e">
        <f>+'DIRECTO '!G24+#REF!</f>
        <v>#REF!</v>
      </c>
      <c r="H24" s="623" t="e">
        <f>+'DIRECTO '!H24+#REF!</f>
        <v>#REF!</v>
      </c>
      <c r="I24" s="499"/>
      <c r="J24" s="638" t="e">
        <f>+'DIRECTO '!J24+#REF!</f>
        <v>#REF!</v>
      </c>
      <c r="K24" s="622" t="e">
        <f>+'DIRECTO '!K24+#REF!</f>
        <v>#REF!</v>
      </c>
      <c r="L24" s="621" t="e">
        <f t="shared" si="5"/>
        <v>#REF!</v>
      </c>
      <c r="M24" s="499"/>
      <c r="N24" s="638" t="e">
        <f>+'DIRECTO '!N24+#REF!</f>
        <v>#REF!</v>
      </c>
      <c r="O24" s="622" t="e">
        <f>+'DIRECTO '!O24+#REF!</f>
        <v>#REF!</v>
      </c>
      <c r="P24" s="622" t="e">
        <f>+'DIRECTO '!P24+#REF!</f>
        <v>#REF!</v>
      </c>
      <c r="Q24" s="622" t="e">
        <f>+'DIRECTO '!Q24+#REF!</f>
        <v>#REF!</v>
      </c>
      <c r="R24" s="622" t="e">
        <f>+'DIRECTO '!R24+#REF!</f>
        <v>#REF!</v>
      </c>
      <c r="S24" s="621" t="e">
        <f t="shared" si="6"/>
        <v>#REF!</v>
      </c>
      <c r="T24" s="499"/>
      <c r="U24" s="638">
        <f t="shared" si="7"/>
        <v>0</v>
      </c>
      <c r="V24" s="499"/>
      <c r="W24" s="941" t="e">
        <f t="shared" si="8"/>
        <v>#REF!</v>
      </c>
      <c r="X24" s="942" t="e">
        <f>+'DIRECTO '!Z24+#REF!</f>
        <v>#REF!</v>
      </c>
      <c r="Y24" s="646" t="e">
        <f>+'DIRECTO '!AA24+#REF!</f>
        <v>#REF!</v>
      </c>
      <c r="Z24" s="646" t="e">
        <f>+'DIRECTO '!AB24+#REF!</f>
        <v>#REF!</v>
      </c>
      <c r="AA24" s="647" t="e">
        <f>+'DIRECTO '!AC24+#REF!</f>
        <v>#REF!</v>
      </c>
      <c r="AB24" s="499"/>
      <c r="AC24" s="478" t="e">
        <f>+'DIRECTO '!AE24+#REF!</f>
        <v>#REF!</v>
      </c>
      <c r="AD24" s="528"/>
      <c r="AE24" s="401"/>
      <c r="AF24" s="398"/>
      <c r="AG24" s="398"/>
      <c r="AH24" s="398"/>
      <c r="AI24" s="398"/>
      <c r="AJ24" s="398"/>
      <c r="AK24" s="398"/>
      <c r="AL24" s="398"/>
      <c r="AM24" s="295"/>
    </row>
    <row r="25" spans="2:44" s="5" customFormat="1" ht="18.75" outlineLevel="1" x14ac:dyDescent="0.3">
      <c r="B25" s="15" t="s">
        <v>31</v>
      </c>
      <c r="C25" s="16"/>
      <c r="E25" s="637" t="e">
        <f>+'DIRECTO '!E25+#REF!</f>
        <v>#REF!</v>
      </c>
      <c r="F25" s="499"/>
      <c r="G25" s="614" t="e">
        <f>+'DIRECTO '!G25+#REF!</f>
        <v>#REF!</v>
      </c>
      <c r="H25" s="616" t="e">
        <f>+'DIRECTO '!H25+#REF!</f>
        <v>#REF!</v>
      </c>
      <c r="I25" s="499"/>
      <c r="J25" s="638" t="e">
        <f>+'DIRECTO '!J25+#REF!</f>
        <v>#REF!</v>
      </c>
      <c r="K25" s="622" t="e">
        <f>+'DIRECTO '!K25+#REF!</f>
        <v>#REF!</v>
      </c>
      <c r="L25" s="621" t="e">
        <f t="shared" si="5"/>
        <v>#REF!</v>
      </c>
      <c r="M25" s="499"/>
      <c r="N25" s="638" t="e">
        <f>+'DIRECTO '!N25+#REF!</f>
        <v>#REF!</v>
      </c>
      <c r="O25" s="622" t="e">
        <f>+'DIRECTO '!O25+#REF!</f>
        <v>#REF!</v>
      </c>
      <c r="P25" s="622" t="e">
        <f>+'DIRECTO '!P25+#REF!</f>
        <v>#REF!</v>
      </c>
      <c r="Q25" s="622" t="e">
        <f>+'DIRECTO '!Q25+#REF!</f>
        <v>#REF!</v>
      </c>
      <c r="R25" s="622" t="e">
        <f>+'DIRECTO '!R25+#REF!</f>
        <v>#REF!</v>
      </c>
      <c r="S25" s="621" t="e">
        <f t="shared" si="6"/>
        <v>#REF!</v>
      </c>
      <c r="T25" s="499"/>
      <c r="U25" s="638">
        <f t="shared" si="7"/>
        <v>0</v>
      </c>
      <c r="V25" s="499"/>
      <c r="W25" s="941" t="e">
        <f t="shared" si="8"/>
        <v>#REF!</v>
      </c>
      <c r="X25" s="942" t="e">
        <f>+'DIRECTO '!Z25+#REF!</f>
        <v>#REF!</v>
      </c>
      <c r="Y25" s="646" t="e">
        <f>+'DIRECTO '!AA25+#REF!</f>
        <v>#REF!</v>
      </c>
      <c r="Z25" s="646" t="e">
        <f>+'DIRECTO '!AB25+#REF!</f>
        <v>#REF!</v>
      </c>
      <c r="AA25" s="647" t="e">
        <f>+'DIRECTO '!AC25+#REF!</f>
        <v>#REF!</v>
      </c>
      <c r="AB25" s="499"/>
      <c r="AC25" s="652" t="e">
        <f>+'DIRECTO '!AE25+#REF!</f>
        <v>#REF!</v>
      </c>
      <c r="AD25" s="528"/>
      <c r="AE25" s="397"/>
      <c r="AF25" s="398"/>
      <c r="AG25" s="398"/>
      <c r="AH25" s="398"/>
      <c r="AI25" s="398"/>
      <c r="AJ25" s="398"/>
      <c r="AK25" s="398"/>
      <c r="AL25" s="398"/>
      <c r="AM25" s="295"/>
      <c r="AO25" s="499">
        <v>21280334.386847455</v>
      </c>
      <c r="AP25" s="587" t="e">
        <f>+AO25-W25</f>
        <v>#REF!</v>
      </c>
      <c r="AR25" s="588" t="e">
        <f>+AR26/W15</f>
        <v>#REF!</v>
      </c>
    </row>
    <row r="26" spans="2:44" s="5" customFormat="1" ht="18.75" outlineLevel="1" x14ac:dyDescent="0.3">
      <c r="B26" s="17" t="s">
        <v>15</v>
      </c>
      <c r="C26" s="18"/>
      <c r="E26" s="642" t="e">
        <f>+'DIRECTO '!E26+#REF!</f>
        <v>#REF!</v>
      </c>
      <c r="F26" s="499"/>
      <c r="G26" s="617" t="e">
        <f>+'DIRECTO '!G26+#REF!</f>
        <v>#REF!</v>
      </c>
      <c r="H26" s="619" t="e">
        <f>+'DIRECTO '!H26+#REF!</f>
        <v>#REF!</v>
      </c>
      <c r="I26" s="499"/>
      <c r="J26" s="617" t="e">
        <f>+'DIRECTO '!J26+#REF!</f>
        <v>#REF!</v>
      </c>
      <c r="K26" s="618" t="e">
        <f>+'DIRECTO '!K26+#REF!</f>
        <v>#REF!</v>
      </c>
      <c r="L26" s="643" t="e">
        <f t="shared" si="5"/>
        <v>#REF!</v>
      </c>
      <c r="M26" s="499"/>
      <c r="N26" s="617" t="e">
        <f>+'DIRECTO '!N26+#REF!</f>
        <v>#REF!</v>
      </c>
      <c r="O26" s="618" t="e">
        <f>+'DIRECTO '!O26+#REF!</f>
        <v>#REF!</v>
      </c>
      <c r="P26" s="618" t="e">
        <f>+'DIRECTO '!P26+#REF!</f>
        <v>#REF!</v>
      </c>
      <c r="Q26" s="618" t="e">
        <f>+'DIRECTO '!Q26+#REF!</f>
        <v>#REF!</v>
      </c>
      <c r="R26" s="618" t="e">
        <f>+'DIRECTO '!R26+#REF!</f>
        <v>#REF!</v>
      </c>
      <c r="S26" s="643" t="e">
        <f t="shared" si="6"/>
        <v>#REF!</v>
      </c>
      <c r="T26" s="499"/>
      <c r="U26" s="617">
        <f t="shared" si="7"/>
        <v>0</v>
      </c>
      <c r="V26" s="499"/>
      <c r="W26" s="944" t="e">
        <f t="shared" si="8"/>
        <v>#REF!</v>
      </c>
      <c r="X26" s="943" t="e">
        <f>+'DIRECTO '!Z26+#REF!</f>
        <v>#REF!</v>
      </c>
      <c r="Y26" s="682" t="e">
        <f>+'DIRECTO '!AA26+#REF!</f>
        <v>#REF!</v>
      </c>
      <c r="Z26" s="649" t="e">
        <f>+'DIRECTO '!AB26+#REF!</f>
        <v>#REF!</v>
      </c>
      <c r="AA26" s="505" t="e">
        <f>+'DIRECTO '!AC26+#REF!</f>
        <v>#REF!</v>
      </c>
      <c r="AB26" s="499"/>
      <c r="AC26" s="642" t="e">
        <f>+'DIRECTO '!AE26+#REF!</f>
        <v>#REF!</v>
      </c>
      <c r="AD26" s="528"/>
      <c r="AE26" s="401"/>
      <c r="AF26" s="398"/>
      <c r="AG26" s="398"/>
      <c r="AH26" s="398"/>
      <c r="AI26" s="398"/>
      <c r="AJ26" s="398"/>
      <c r="AK26" s="398"/>
      <c r="AL26" s="398"/>
      <c r="AM26" s="295"/>
      <c r="AO26" s="499">
        <v>12574361.76743063</v>
      </c>
      <c r="AR26" s="399" t="e">
        <f>+W26+W25</f>
        <v>#REF!</v>
      </c>
    </row>
    <row r="27" spans="2:44" s="5" customFormat="1" ht="7.5" customHeight="1" outlineLevel="1" x14ac:dyDescent="0.3">
      <c r="E27" s="499"/>
      <c r="F27" s="499"/>
      <c r="G27" s="499"/>
      <c r="H27" s="499"/>
      <c r="I27" s="499"/>
      <c r="J27" s="499"/>
      <c r="K27" s="499"/>
      <c r="L27" s="499"/>
      <c r="M27" s="499"/>
      <c r="N27" s="499"/>
      <c r="O27" s="499"/>
      <c r="P27" s="499"/>
      <c r="Q27" s="499"/>
      <c r="R27" s="499"/>
      <c r="S27" s="499"/>
      <c r="T27" s="499"/>
      <c r="U27" s="499"/>
      <c r="V27" s="499"/>
      <c r="W27" s="499"/>
      <c r="X27" s="499"/>
      <c r="Y27" s="499"/>
      <c r="Z27" s="499"/>
      <c r="AA27" s="499"/>
      <c r="AB27" s="499"/>
      <c r="AC27" s="499"/>
      <c r="AD27" s="297"/>
      <c r="AE27" s="396"/>
      <c r="AF27" s="402"/>
      <c r="AG27" s="402"/>
      <c r="AH27" s="402"/>
      <c r="AI27" s="402"/>
      <c r="AJ27" s="402"/>
      <c r="AK27" s="402"/>
      <c r="AL27" s="402"/>
      <c r="AM27" s="295"/>
    </row>
    <row r="28" spans="2:44" s="5" customFormat="1" ht="21" customHeight="1" outlineLevel="1" x14ac:dyDescent="0.3">
      <c r="B28" s="11" t="s">
        <v>16</v>
      </c>
      <c r="C28" s="12"/>
      <c r="E28" s="659" t="e">
        <f>+'DIRECTO '!E28+#REF!</f>
        <v>#REF!</v>
      </c>
      <c r="F28" s="499"/>
      <c r="G28" s="644" t="e">
        <f>+'DIRECTO '!G28+#REF!</f>
        <v>#REF!</v>
      </c>
      <c r="H28" s="627" t="e">
        <f>+'DIRECTO '!H28+#REF!</f>
        <v>#REF!</v>
      </c>
      <c r="I28" s="499"/>
      <c r="J28" s="644" t="e">
        <f>+'DIRECTO '!J28+#REF!</f>
        <v>#REF!</v>
      </c>
      <c r="K28" s="626" t="e">
        <f>+'DIRECTO '!K28+#REF!</f>
        <v>#REF!</v>
      </c>
      <c r="L28" s="627" t="e">
        <f>+SUM(N28:R28)</f>
        <v>#REF!</v>
      </c>
      <c r="M28" s="499"/>
      <c r="N28" s="644" t="e">
        <f>+'DIRECTO '!N28+#REF!</f>
        <v>#REF!</v>
      </c>
      <c r="O28" s="626" t="e">
        <f>+'DIRECTO '!O28+#REF!</f>
        <v>#REF!</v>
      </c>
      <c r="P28" s="626" t="e">
        <f>+'DIRECTO '!P28+#REF!</f>
        <v>#REF!</v>
      </c>
      <c r="Q28" s="626" t="e">
        <f>+'DIRECTO '!Q28+#REF!</f>
        <v>#REF!</v>
      </c>
      <c r="R28" s="626" t="e">
        <f>+'DIRECTO '!R28+#REF!</f>
        <v>#REF!</v>
      </c>
      <c r="S28" s="627" t="e">
        <f>+SUMIFS(N28:R28,N$2:R$2,$S$5)</f>
        <v>#REF!</v>
      </c>
      <c r="T28" s="499"/>
      <c r="U28" s="625">
        <f>+SUMIFS(N28:S28,N$2:S$2,$U$5)</f>
        <v>0</v>
      </c>
      <c r="V28" s="499"/>
      <c r="W28" s="644" t="e">
        <f>+K28+L28</f>
        <v>#REF!</v>
      </c>
      <c r="X28" s="626" t="e">
        <f>+'DIRECTO '!Z28+#REF!</f>
        <v>#REF!</v>
      </c>
      <c r="Y28" s="626" t="e">
        <f>+'DIRECTO '!AA28+#REF!</f>
        <v>#REF!</v>
      </c>
      <c r="Z28" s="626" t="e">
        <f>+'DIRECTO '!AB28+#REF!</f>
        <v>#REF!</v>
      </c>
      <c r="AA28" s="627" t="e">
        <f>+'DIRECTO '!AC28+#REF!</f>
        <v>#REF!</v>
      </c>
      <c r="AB28" s="499"/>
      <c r="AC28" s="659" t="e">
        <f>+'DIRECTO '!AE28+#REF!</f>
        <v>#REF!</v>
      </c>
      <c r="AD28" s="297"/>
      <c r="AE28" s="397"/>
      <c r="AF28" s="398"/>
      <c r="AG28" s="398"/>
      <c r="AH28" s="398"/>
      <c r="AI28" s="398"/>
      <c r="AJ28" s="398"/>
      <c r="AK28" s="398"/>
      <c r="AL28" s="398"/>
      <c r="AM28" s="295"/>
      <c r="AO28" s="499">
        <v>5329828.3346020281</v>
      </c>
    </row>
    <row r="29" spans="2:44" s="5" customFormat="1" ht="15.75" customHeight="1" x14ac:dyDescent="0.3">
      <c r="E29" s="499"/>
      <c r="F29" s="499"/>
      <c r="G29" s="499"/>
      <c r="H29" s="499"/>
      <c r="I29" s="499"/>
      <c r="J29" s="499"/>
      <c r="K29" s="499"/>
      <c r="L29" s="499"/>
      <c r="M29" s="499"/>
      <c r="N29" s="499"/>
      <c r="O29" s="499"/>
      <c r="P29" s="499"/>
      <c r="Q29" s="499"/>
      <c r="R29" s="499"/>
      <c r="S29" s="499"/>
      <c r="T29" s="499"/>
      <c r="U29" s="499"/>
      <c r="V29" s="499"/>
      <c r="W29" s="499"/>
      <c r="X29" s="499"/>
      <c r="Y29" s="499"/>
      <c r="Z29" s="499"/>
      <c r="AA29" s="499"/>
      <c r="AB29" s="499"/>
      <c r="AC29" s="499"/>
      <c r="AD29" s="301"/>
      <c r="AE29" s="301"/>
      <c r="AF29" s="301"/>
      <c r="AG29" s="301"/>
      <c r="AH29" s="301"/>
      <c r="AI29" s="301"/>
      <c r="AJ29" s="301"/>
      <c r="AK29" s="301"/>
      <c r="AL29" s="301"/>
    </row>
    <row r="30" spans="2:44" s="5" customFormat="1" ht="15.75" x14ac:dyDescent="0.25">
      <c r="B30" s="64" t="s">
        <v>44</v>
      </c>
      <c r="C30" s="82" t="s">
        <v>29</v>
      </c>
      <c r="D30" s="2"/>
      <c r="E30" s="661" t="e">
        <f>+E7*E31</f>
        <v>#REF!</v>
      </c>
      <c r="F30" s="87"/>
      <c r="G30" s="628" t="e">
        <f>+G7*G31</f>
        <v>#REF!</v>
      </c>
      <c r="H30" s="630" t="e">
        <f>+H7*H31</f>
        <v>#REF!</v>
      </c>
      <c r="I30" s="87"/>
      <c r="J30" s="628" t="e">
        <f>+J7*J31</f>
        <v>#REF!</v>
      </c>
      <c r="K30" s="629" t="e">
        <f>+K7*K31</f>
        <v>#REF!</v>
      </c>
      <c r="L30" s="662" t="e">
        <f>+L7*L31</f>
        <v>#REF!</v>
      </c>
      <c r="M30" s="87"/>
      <c r="N30" s="628" t="e">
        <f t="shared" ref="N30:S30" si="9">+N7*N31</f>
        <v>#REF!</v>
      </c>
      <c r="O30" s="629" t="e">
        <f t="shared" si="9"/>
        <v>#REF!</v>
      </c>
      <c r="P30" s="629" t="e">
        <f t="shared" si="9"/>
        <v>#REF!</v>
      </c>
      <c r="Q30" s="629" t="e">
        <f t="shared" si="9"/>
        <v>#REF!</v>
      </c>
      <c r="R30" s="629" t="e">
        <f t="shared" si="9"/>
        <v>#REF!</v>
      </c>
      <c r="S30" s="662" t="e">
        <f t="shared" si="9"/>
        <v>#REF!</v>
      </c>
      <c r="T30" s="87"/>
      <c r="U30" s="628" t="e">
        <f>+U7*U31</f>
        <v>#REF!</v>
      </c>
      <c r="V30" s="87"/>
      <c r="W30" s="628" t="e">
        <f>+W7-W15</f>
        <v>#REF!</v>
      </c>
      <c r="X30" s="629" t="e">
        <f>+X7-X15</f>
        <v>#REF!</v>
      </c>
      <c r="Y30" s="629" t="e">
        <f>+Y7-Y15</f>
        <v>#REF!</v>
      </c>
      <c r="Z30" s="629" t="e">
        <f>+Z7-Z15</f>
        <v>#REF!</v>
      </c>
      <c r="AA30" s="662" t="e">
        <f>+AA7-AA15</f>
        <v>#REF!</v>
      </c>
      <c r="AB30" s="87"/>
      <c r="AC30" s="661">
        <v>0</v>
      </c>
      <c r="AD30" s="295"/>
      <c r="AE30" s="295"/>
      <c r="AF30" s="295"/>
      <c r="AG30" s="295"/>
      <c r="AH30" s="295"/>
      <c r="AI30" s="295"/>
      <c r="AJ30" s="295"/>
      <c r="AK30" s="295"/>
      <c r="AL30" s="295"/>
      <c r="AM30" s="295"/>
      <c r="AO30" s="499" t="e">
        <f>+W30-X30</f>
        <v>#REF!</v>
      </c>
    </row>
    <row r="31" spans="2:44" s="5" customFormat="1" ht="15.75" x14ac:dyDescent="0.25">
      <c r="B31" s="66"/>
      <c r="C31" s="81" t="s">
        <v>45</v>
      </c>
      <c r="D31" s="2"/>
      <c r="E31" s="68" t="e">
        <f>+$W$31</f>
        <v>#REF!</v>
      </c>
      <c r="F31" s="19"/>
      <c r="G31" s="71" t="e">
        <f>+$W$31</f>
        <v>#REF!</v>
      </c>
      <c r="H31" s="72" t="e">
        <f>+$W$31</f>
        <v>#REF!</v>
      </c>
      <c r="I31" s="19"/>
      <c r="J31" s="71" t="e">
        <f>+$W$31</f>
        <v>#REF!</v>
      </c>
      <c r="K31" s="75" t="e">
        <f>+$W$31</f>
        <v>#REF!</v>
      </c>
      <c r="L31" s="76" t="e">
        <f>+$W$31</f>
        <v>#REF!</v>
      </c>
      <c r="M31" s="19"/>
      <c r="N31" s="71" t="e">
        <f t="shared" ref="N31:S31" si="10">+$W$31</f>
        <v>#REF!</v>
      </c>
      <c r="O31" s="75" t="e">
        <f t="shared" si="10"/>
        <v>#REF!</v>
      </c>
      <c r="P31" s="75" t="e">
        <f t="shared" si="10"/>
        <v>#REF!</v>
      </c>
      <c r="Q31" s="75" t="e">
        <f t="shared" si="10"/>
        <v>#REF!</v>
      </c>
      <c r="R31" s="75" t="e">
        <f t="shared" si="10"/>
        <v>#REF!</v>
      </c>
      <c r="S31" s="76" t="e">
        <f t="shared" si="10"/>
        <v>#REF!</v>
      </c>
      <c r="T31" s="19"/>
      <c r="U31" s="71" t="e">
        <f>+$W$31</f>
        <v>#REF!</v>
      </c>
      <c r="V31" s="19"/>
      <c r="W31" s="71" t="e">
        <f>+IF(W7=0,0,W30/W7)</f>
        <v>#REF!</v>
      </c>
      <c r="X31" s="75" t="e">
        <f>+IF(X7=0,0,X30/X7)</f>
        <v>#REF!</v>
      </c>
      <c r="Y31" s="75" t="e">
        <f>+IF(Y7=0,0,Y30/Y7)</f>
        <v>#REF!</v>
      </c>
      <c r="Z31" s="75" t="e">
        <f>+IF(Z7=0,0,Z30/Z7)</f>
        <v>#REF!</v>
      </c>
      <c r="AA31" s="76" t="e">
        <f>+IF(AA7=0,0,AA30/AA7)</f>
        <v>#REF!</v>
      </c>
      <c r="AB31" s="19"/>
      <c r="AC31" s="68">
        <v>0</v>
      </c>
      <c r="AO31" s="585" t="e">
        <f>+W31-X31</f>
        <v>#REF!</v>
      </c>
    </row>
    <row r="32" spans="2:44" s="5" customFormat="1" ht="7.5" customHeight="1" x14ac:dyDescent="0.25">
      <c r="B32" s="2"/>
      <c r="C32" s="2"/>
      <c r="D32" s="2"/>
      <c r="E32" s="8"/>
      <c r="F32" s="8"/>
      <c r="G32" s="8"/>
      <c r="H32" s="8"/>
      <c r="I32" s="8"/>
      <c r="J32" s="8"/>
      <c r="K32" s="8"/>
      <c r="L32" s="8"/>
      <c r="M32" s="8"/>
      <c r="N32" s="8"/>
      <c r="O32" s="8"/>
      <c r="P32" s="8"/>
      <c r="Q32" s="8"/>
      <c r="R32" s="8"/>
      <c r="S32" s="8"/>
      <c r="T32" s="8"/>
      <c r="U32" s="8"/>
      <c r="V32" s="8"/>
      <c r="W32" s="8"/>
      <c r="X32" s="8"/>
      <c r="Y32" s="8"/>
      <c r="Z32" s="8"/>
      <c r="AA32" s="8"/>
      <c r="AB32" s="8"/>
      <c r="AC32" s="8"/>
    </row>
    <row r="33" spans="2:42" s="499" customFormat="1" ht="15.75" customHeight="1" outlineLevel="1" x14ac:dyDescent="0.25">
      <c r="B33" s="678" t="s">
        <v>46</v>
      </c>
      <c r="C33" s="736" t="s">
        <v>29</v>
      </c>
      <c r="D33" s="87"/>
      <c r="E33" s="661" t="e">
        <f>+E7-E15+E28</f>
        <v>#REF!</v>
      </c>
      <c r="F33" s="87"/>
      <c r="G33" s="678" t="e">
        <f>+G7-G15+G28</f>
        <v>#REF!</v>
      </c>
      <c r="H33" s="662" t="e">
        <f>+H7-H15+H28</f>
        <v>#REF!</v>
      </c>
      <c r="I33" s="87"/>
      <c r="J33" s="678" t="e">
        <f>+J7-J15+J28</f>
        <v>#REF!</v>
      </c>
      <c r="K33" s="629" t="e">
        <f>+K7-K15</f>
        <v>#REF!</v>
      </c>
      <c r="L33" s="662" t="e">
        <f>+L7-L15</f>
        <v>#REF!</v>
      </c>
      <c r="M33" s="87"/>
      <c r="N33" s="628" t="e">
        <f t="shared" ref="N33:S33" si="11">+N7-N15+N28</f>
        <v>#REF!</v>
      </c>
      <c r="O33" s="629" t="e">
        <f t="shared" si="11"/>
        <v>#REF!</v>
      </c>
      <c r="P33" s="629" t="e">
        <f t="shared" si="11"/>
        <v>#REF!</v>
      </c>
      <c r="Q33" s="629" t="e">
        <f t="shared" si="11"/>
        <v>#REF!</v>
      </c>
      <c r="R33" s="629" t="e">
        <f t="shared" si="11"/>
        <v>#REF!</v>
      </c>
      <c r="S33" s="662" t="e">
        <f t="shared" si="11"/>
        <v>#REF!</v>
      </c>
      <c r="T33" s="87"/>
      <c r="U33" s="628">
        <f>+U7-U15+U28</f>
        <v>0</v>
      </c>
      <c r="V33" s="87"/>
      <c r="W33" s="628" t="e">
        <f>+W7-W15+W28</f>
        <v>#REF!</v>
      </c>
      <c r="X33" s="629" t="e">
        <f>+X7-X15+X28</f>
        <v>#REF!</v>
      </c>
      <c r="Y33" s="629" t="e">
        <f>+Y7-Y15+Y28</f>
        <v>#REF!</v>
      </c>
      <c r="Z33" s="629" t="e">
        <f>+Z7-Z15+Z28</f>
        <v>#REF!</v>
      </c>
      <c r="AA33" s="662" t="e">
        <f>+AA7-AA15+AA28</f>
        <v>#REF!</v>
      </c>
      <c r="AB33" s="87"/>
      <c r="AC33" s="661">
        <v>0</v>
      </c>
    </row>
    <row r="34" spans="2:42" s="5" customFormat="1" ht="15.75" customHeight="1" outlineLevel="1" x14ac:dyDescent="0.25">
      <c r="B34" s="66"/>
      <c r="C34" s="81" t="s">
        <v>45</v>
      </c>
      <c r="D34" s="2"/>
      <c r="E34" s="68" t="e">
        <f>+IF(E9=0,0,E33/E9)</f>
        <v>#REF!</v>
      </c>
      <c r="F34" s="19"/>
      <c r="G34" s="71" t="e">
        <f>+IF(G9=0,0,G33/G9)</f>
        <v>#REF!</v>
      </c>
      <c r="H34" s="72" t="e">
        <f>+IF(H9=0,0,H33/H9)</f>
        <v>#REF!</v>
      </c>
      <c r="I34" s="19"/>
      <c r="J34" s="71" t="e">
        <f>+IF(J7=0,0,J33/J7)</f>
        <v>#REF!</v>
      </c>
      <c r="K34" s="75" t="e">
        <f>+IF(K7=0,0,K33/K7)</f>
        <v>#REF!</v>
      </c>
      <c r="L34" s="76" t="e">
        <f>+IF(L7=0,0,L33/L7)</f>
        <v>#REF!</v>
      </c>
      <c r="M34" s="19"/>
      <c r="N34" s="71" t="e">
        <f t="shared" ref="N34:S34" si="12">+IF(N7=0,0,N33/N7)</f>
        <v>#REF!</v>
      </c>
      <c r="O34" s="75" t="e">
        <f t="shared" si="12"/>
        <v>#REF!</v>
      </c>
      <c r="P34" s="75" t="e">
        <f t="shared" si="12"/>
        <v>#REF!</v>
      </c>
      <c r="Q34" s="75" t="e">
        <f t="shared" si="12"/>
        <v>#REF!</v>
      </c>
      <c r="R34" s="75" t="e">
        <f t="shared" si="12"/>
        <v>#REF!</v>
      </c>
      <c r="S34" s="76" t="e">
        <f t="shared" si="12"/>
        <v>#REF!</v>
      </c>
      <c r="T34" s="19"/>
      <c r="U34" s="71">
        <f>+IF(U7=0,0,U33/U7)</f>
        <v>0</v>
      </c>
      <c r="V34" s="19"/>
      <c r="W34" s="71" t="e">
        <f>+IF(W7=0,0,W33/W7)</f>
        <v>#REF!</v>
      </c>
      <c r="X34" s="75" t="e">
        <f>+IF(X7=0,0,X33/X7)</f>
        <v>#REF!</v>
      </c>
      <c r="Y34" s="75" t="e">
        <f>+IF(Y7=0,0,Y33/Y7)</f>
        <v>#REF!</v>
      </c>
      <c r="Z34" s="75" t="e">
        <f>+IF(Z7=0,0,Z33/Z7)</f>
        <v>#REF!</v>
      </c>
      <c r="AA34" s="76" t="e">
        <f>+IF(AA7=0,0,AA33/AA7)</f>
        <v>#REF!</v>
      </c>
      <c r="AB34" s="19"/>
      <c r="AC34" s="68">
        <v>0</v>
      </c>
    </row>
    <row r="35" spans="2:42" s="40" customFormat="1" ht="18.75" x14ac:dyDescent="0.3">
      <c r="C35" s="338"/>
      <c r="H35" s="52"/>
      <c r="K35" s="52"/>
      <c r="L35" s="52"/>
      <c r="N35" s="49"/>
      <c r="O35" s="49"/>
      <c r="P35" s="49"/>
      <c r="Q35" s="49"/>
      <c r="R35" s="49"/>
      <c r="U35" s="44"/>
      <c r="W35" s="597"/>
      <c r="Y35" s="52"/>
      <c r="Z35" s="52"/>
      <c r="AA35" s="884"/>
    </row>
    <row r="36" spans="2:42" s="40" customFormat="1" x14ac:dyDescent="0.25">
      <c r="H36" s="49"/>
      <c r="K36" s="52"/>
      <c r="L36" s="52"/>
      <c r="N36" s="49"/>
      <c r="O36" s="49"/>
      <c r="P36" s="49"/>
      <c r="Q36" s="49"/>
      <c r="R36" s="49"/>
      <c r="U36" s="44"/>
      <c r="W36" s="53"/>
      <c r="X36" s="451"/>
      <c r="Y36" s="52"/>
      <c r="Z36" s="52"/>
      <c r="AA36" s="48"/>
      <c r="AC36" s="36"/>
    </row>
    <row r="37" spans="2:42" s="40" customFormat="1" x14ac:dyDescent="0.25">
      <c r="H37" s="634"/>
      <c r="K37" s="48"/>
      <c r="L37" s="48"/>
      <c r="N37" s="49"/>
      <c r="S37" s="49"/>
      <c r="U37" s="44"/>
      <c r="W37" s="254" t="e">
        <f>+W31-X31</f>
        <v>#REF!</v>
      </c>
      <c r="X37" s="879"/>
      <c r="Y37" s="254"/>
      <c r="Z37" s="254"/>
      <c r="AA37" s="878"/>
      <c r="AC37" s="36"/>
    </row>
    <row r="38" spans="2:42" ht="18.75" x14ac:dyDescent="0.3">
      <c r="B38" s="23" t="s">
        <v>19</v>
      </c>
      <c r="C38" s="24"/>
      <c r="H38" s="440"/>
      <c r="K38" s="306" t="e">
        <f>+K7-K30</f>
        <v>#REF!</v>
      </c>
      <c r="L38" s="48"/>
      <c r="N38" s="21"/>
      <c r="P38" s="259"/>
      <c r="Q38" s="21"/>
      <c r="U38" s="44"/>
      <c r="W38" s="882" t="e">
        <f>+W30-X30</f>
        <v>#REF!</v>
      </c>
      <c r="X38" s="881"/>
      <c r="Y38" s="880"/>
      <c r="Z38" s="880"/>
      <c r="AA38" s="882"/>
      <c r="AC38" s="36"/>
      <c r="AO38" s="597" t="e">
        <f>X30</f>
        <v>#REF!</v>
      </c>
      <c r="AP38" s="598" t="e">
        <f>+W31-X31</f>
        <v>#REF!</v>
      </c>
    </row>
    <row r="39" spans="2:42" ht="9" customHeight="1" x14ac:dyDescent="0.3">
      <c r="B39" s="25"/>
      <c r="K39" s="302"/>
      <c r="L39" s="48"/>
      <c r="P39" s="22"/>
      <c r="U39" s="44"/>
      <c r="X39" s="52"/>
      <c r="Y39" s="880"/>
      <c r="Z39" s="880"/>
      <c r="AA39" s="880"/>
      <c r="AC39" s="36"/>
    </row>
    <row r="40" spans="2:42" ht="18.75" x14ac:dyDescent="0.3">
      <c r="B40" s="26" t="s">
        <v>20</v>
      </c>
      <c r="C40" s="27"/>
      <c r="K40" s="307" t="e">
        <f>K15-K38</f>
        <v>#REF!</v>
      </c>
      <c r="L40" s="48"/>
      <c r="N40" s="21"/>
      <c r="P40" s="22"/>
      <c r="Q40" s="21"/>
      <c r="U40" s="44"/>
      <c r="W40" s="701"/>
      <c r="X40" s="883"/>
      <c r="Y40" s="880"/>
      <c r="Z40" s="880"/>
      <c r="AA40" s="882"/>
      <c r="AC40" s="36"/>
      <c r="AO40" s="597" t="e">
        <f>W30</f>
        <v>#REF!</v>
      </c>
      <c r="AP40" s="440" t="e">
        <f>+AO40-AO38</f>
        <v>#REF!</v>
      </c>
    </row>
    <row r="41" spans="2:42" ht="9" customHeight="1" x14ac:dyDescent="0.3">
      <c r="B41" s="1"/>
      <c r="K41" s="302"/>
      <c r="L41" s="48"/>
      <c r="N41" s="21"/>
      <c r="Q41" s="21"/>
      <c r="U41" s="44"/>
      <c r="W41" s="448"/>
      <c r="X41" s="880"/>
      <c r="Y41" s="52"/>
      <c r="Z41" s="52"/>
      <c r="AA41" s="48"/>
      <c r="AC41" s="36"/>
    </row>
    <row r="42" spans="2:42" ht="18.75" x14ac:dyDescent="0.3">
      <c r="B42" s="23" t="s">
        <v>21</v>
      </c>
      <c r="C42" s="24"/>
      <c r="J42">
        <f>14+8</f>
        <v>22</v>
      </c>
      <c r="K42" s="306" t="e">
        <f>'ER Pendiente'!H40+'ER Pendiente'!H15</f>
        <v>#REF!</v>
      </c>
      <c r="L42" s="48"/>
      <c r="N42" s="21"/>
      <c r="Q42" s="21"/>
      <c r="U42" s="44"/>
      <c r="W42" s="440"/>
      <c r="X42" s="52"/>
      <c r="Y42" s="52"/>
      <c r="Z42" s="52"/>
      <c r="AA42" s="48"/>
      <c r="AC42" s="36"/>
    </row>
    <row r="43" spans="2:42" ht="9" customHeight="1" x14ac:dyDescent="0.3">
      <c r="B43" s="28"/>
      <c r="K43" s="302"/>
      <c r="L43" s="48"/>
      <c r="N43" s="21"/>
      <c r="Q43" s="21"/>
      <c r="X43" s="21"/>
      <c r="Y43" s="21"/>
      <c r="Z43" s="21"/>
      <c r="AC43" s="36"/>
    </row>
    <row r="44" spans="2:42" ht="18.75" x14ac:dyDescent="0.3">
      <c r="B44" s="23" t="s">
        <v>22</v>
      </c>
      <c r="C44" s="24"/>
      <c r="K44" s="306">
        <f>+'ER Pendiente'!I40+'ER Pendiente'!I22</f>
        <v>0</v>
      </c>
      <c r="L44" s="48"/>
      <c r="N44" s="21"/>
      <c r="Q44" s="21"/>
      <c r="W44" s="36"/>
      <c r="X44" s="21"/>
      <c r="Y44" s="21"/>
      <c r="Z44" s="21"/>
      <c r="AC44" s="36"/>
    </row>
    <row r="45" spans="2:42" ht="9" customHeight="1" x14ac:dyDescent="0.3">
      <c r="B45" s="28"/>
      <c r="K45" s="302"/>
      <c r="L45" s="48"/>
      <c r="N45" s="21"/>
      <c r="Q45" s="21"/>
      <c r="AC45" s="36"/>
    </row>
    <row r="46" spans="2:42" ht="18.75" x14ac:dyDescent="0.3">
      <c r="B46" s="23" t="s">
        <v>23</v>
      </c>
      <c r="C46" s="24"/>
      <c r="K46" s="306" t="e">
        <f>+'DIRECTO '!K46+#REF!</f>
        <v>#REF!</v>
      </c>
      <c r="L46" s="48"/>
      <c r="N46" s="21"/>
      <c r="Q46" s="21"/>
      <c r="AC46" s="36"/>
    </row>
    <row r="47" spans="2:42" ht="9" customHeight="1" x14ac:dyDescent="0.3">
      <c r="B47" s="25"/>
      <c r="K47" s="302"/>
      <c r="L47" s="48"/>
      <c r="N47" s="21"/>
      <c r="Q47" s="21"/>
      <c r="AC47" s="36"/>
    </row>
    <row r="48" spans="2:42" ht="15.75" x14ac:dyDescent="0.25">
      <c r="B48" s="79" t="s">
        <v>24</v>
      </c>
      <c r="C48" s="78"/>
      <c r="D48" s="5"/>
      <c r="E48" s="5"/>
      <c r="F48" s="5"/>
      <c r="G48" s="5"/>
      <c r="K48" s="308" t="e">
        <f>+K40-K42+K44</f>
        <v>#REF!</v>
      </c>
      <c r="L48" s="52"/>
      <c r="N48" s="21"/>
      <c r="Q48" s="21"/>
      <c r="AC48" s="36"/>
    </row>
    <row r="49" spans="1:29" ht="8.25" customHeight="1" outlineLevel="1" x14ac:dyDescent="0.25">
      <c r="K49" s="36"/>
      <c r="L49" s="48"/>
      <c r="N49" s="21"/>
      <c r="AC49" s="36"/>
    </row>
    <row r="50" spans="1:29" ht="21" outlineLevel="1" x14ac:dyDescent="0.35">
      <c r="A50" s="437"/>
      <c r="C50" s="31" t="s">
        <v>26</v>
      </c>
      <c r="K50" s="35"/>
      <c r="L50" s="48"/>
      <c r="N50" s="21"/>
      <c r="AC50" s="36"/>
    </row>
    <row r="51" spans="1:29" ht="8.25" customHeight="1" outlineLevel="1" x14ac:dyDescent="0.25">
      <c r="A51" s="437"/>
      <c r="C51" s="5"/>
      <c r="L51" s="48"/>
      <c r="N51" s="21"/>
      <c r="AC51" s="36"/>
    </row>
    <row r="52" spans="1:29" ht="21.75" customHeight="1" outlineLevel="1" x14ac:dyDescent="0.35">
      <c r="A52" s="437"/>
      <c r="C52" s="31" t="s">
        <v>27</v>
      </c>
      <c r="K52" s="35"/>
      <c r="L52" s="48"/>
      <c r="AC52" s="36"/>
    </row>
    <row r="53" spans="1:29" outlineLevel="1" x14ac:dyDescent="0.25">
      <c r="A53" s="437"/>
    </row>
    <row r="54" spans="1:29" outlineLevel="1" x14ac:dyDescent="0.25">
      <c r="A54" s="437"/>
    </row>
    <row r="55" spans="1:29" s="40" customFormat="1" ht="23.25" outlineLevel="1" x14ac:dyDescent="0.35">
      <c r="A55" s="438"/>
      <c r="B55" s="290" t="s">
        <v>147</v>
      </c>
      <c r="C55" s="24"/>
      <c r="H55" s="49"/>
      <c r="K55" s="52"/>
      <c r="L55" s="52"/>
      <c r="N55" s="49"/>
      <c r="O55" s="49"/>
      <c r="P55" s="49"/>
      <c r="Q55" s="49"/>
      <c r="R55" s="49"/>
      <c r="W55" s="53">
        <v>11555</v>
      </c>
      <c r="X55" s="52"/>
      <c r="Y55" s="52"/>
      <c r="Z55" s="52"/>
      <c r="AA55" s="52">
        <v>16571</v>
      </c>
    </row>
    <row r="56" spans="1:29" s="40" customFormat="1" ht="18.75" outlineLevel="1" x14ac:dyDescent="0.3">
      <c r="A56" s="438"/>
      <c r="B56" s="287" t="s">
        <v>142</v>
      </c>
      <c r="C56" s="288"/>
      <c r="G56" s="69"/>
      <c r="H56" s="70"/>
      <c r="I56" s="8"/>
      <c r="J56" s="69"/>
      <c r="K56" s="74"/>
      <c r="L56" s="73"/>
      <c r="M56" s="8"/>
      <c r="N56" s="69"/>
      <c r="O56" s="74"/>
      <c r="P56" s="74"/>
      <c r="Q56" s="74"/>
      <c r="R56" s="74"/>
      <c r="S56" s="73"/>
      <c r="T56" s="8"/>
      <c r="U56" s="69"/>
      <c r="V56" s="8"/>
      <c r="W56" s="69">
        <v>10554</v>
      </c>
      <c r="X56" s="74"/>
      <c r="Y56" s="74"/>
      <c r="Z56" s="74"/>
      <c r="AA56" s="73">
        <v>10554</v>
      </c>
    </row>
    <row r="57" spans="1:29" s="40" customFormat="1" ht="18.75" outlineLevel="1" x14ac:dyDescent="0.3">
      <c r="A57" s="438"/>
      <c r="B57" s="287" t="s">
        <v>146</v>
      </c>
      <c r="C57" s="24"/>
      <c r="G57" s="71"/>
      <c r="H57" s="72"/>
      <c r="I57" s="19"/>
      <c r="J57" s="71"/>
      <c r="K57" s="75"/>
      <c r="L57" s="76"/>
      <c r="M57" s="19"/>
      <c r="N57" s="71"/>
      <c r="O57" s="75"/>
      <c r="P57" s="75"/>
      <c r="Q57" s="75"/>
      <c r="R57" s="75"/>
      <c r="S57" s="76"/>
      <c r="T57" s="19"/>
      <c r="U57" s="71"/>
      <c r="V57" s="19"/>
      <c r="W57" s="71">
        <v>10.01</v>
      </c>
      <c r="X57" s="75"/>
      <c r="Y57" s="75"/>
      <c r="Z57" s="75"/>
      <c r="AA57" s="76">
        <v>59.97</v>
      </c>
    </row>
    <row r="58" spans="1:29" s="40" customFormat="1" ht="15.75" outlineLevel="1" x14ac:dyDescent="0.25">
      <c r="A58" s="438"/>
      <c r="B58" s="286"/>
      <c r="H58" s="49"/>
      <c r="K58" s="52"/>
      <c r="L58" s="52"/>
      <c r="N58" s="49"/>
      <c r="O58" s="49"/>
      <c r="P58" s="49"/>
      <c r="Q58" s="49"/>
      <c r="R58" s="49"/>
      <c r="W58" s="53"/>
      <c r="X58" s="52"/>
      <c r="Y58" s="52"/>
      <c r="Z58" s="52"/>
      <c r="AA58" s="48"/>
    </row>
    <row r="59" spans="1:29" s="40" customFormat="1" ht="18.75" outlineLevel="1" x14ac:dyDescent="0.3">
      <c r="A59" s="438"/>
      <c r="B59" s="289" t="s">
        <v>145</v>
      </c>
      <c r="C59" s="24"/>
      <c r="H59" s="49"/>
      <c r="K59" s="52"/>
      <c r="L59" s="52"/>
      <c r="N59" s="49"/>
      <c r="O59" s="49"/>
      <c r="P59" s="49"/>
      <c r="Q59" s="49"/>
      <c r="R59" s="49"/>
      <c r="W59" s="53">
        <v>5677</v>
      </c>
      <c r="X59" s="52"/>
      <c r="Y59" s="52"/>
      <c r="Z59" s="52"/>
      <c r="AA59" s="48">
        <v>7676</v>
      </c>
    </row>
    <row r="60" spans="1:29" s="40" customFormat="1" ht="18.75" outlineLevel="1" x14ac:dyDescent="0.3">
      <c r="A60" s="438"/>
      <c r="B60" s="287" t="s">
        <v>142</v>
      </c>
      <c r="C60" s="24"/>
      <c r="G60" s="69"/>
      <c r="H60" s="70"/>
      <c r="I60" s="8"/>
      <c r="J60" s="69"/>
      <c r="K60" s="74"/>
      <c r="L60" s="73"/>
      <c r="M60" s="8"/>
      <c r="N60" s="69"/>
      <c r="O60" s="74"/>
      <c r="P60" s="74"/>
      <c r="Q60" s="74"/>
      <c r="R60" s="74"/>
      <c r="S60" s="73"/>
      <c r="T60" s="8"/>
      <c r="U60" s="69"/>
      <c r="V60" s="8"/>
      <c r="W60" s="69">
        <v>5277</v>
      </c>
      <c r="X60" s="74"/>
      <c r="Y60" s="74"/>
      <c r="Z60" s="74"/>
      <c r="AA60" s="73">
        <v>5277</v>
      </c>
    </row>
    <row r="61" spans="1:29" s="40" customFormat="1" ht="18.75" outlineLevel="1" x14ac:dyDescent="0.3">
      <c r="A61" s="438"/>
      <c r="B61" s="287" t="s">
        <v>146</v>
      </c>
      <c r="C61" s="24"/>
      <c r="G61" s="71"/>
      <c r="H61" s="72"/>
      <c r="I61" s="19"/>
      <c r="J61" s="71"/>
      <c r="K61" s="75"/>
      <c r="L61" s="76"/>
      <c r="M61" s="19"/>
      <c r="N61" s="71"/>
      <c r="O61" s="75"/>
      <c r="P61" s="75"/>
      <c r="Q61" s="75"/>
      <c r="R61" s="75"/>
      <c r="S61" s="76"/>
      <c r="T61" s="19"/>
      <c r="U61" s="71"/>
      <c r="V61" s="19"/>
      <c r="W61" s="71">
        <v>4</v>
      </c>
      <c r="X61" s="75"/>
      <c r="Y61" s="75"/>
      <c r="Z61" s="75"/>
      <c r="AA61" s="76">
        <v>23.99</v>
      </c>
    </row>
    <row r="62" spans="1:29" outlineLevel="1" x14ac:dyDescent="0.25">
      <c r="A62" s="437"/>
    </row>
    <row r="63" spans="1:29" ht="18.75" outlineLevel="1" x14ac:dyDescent="0.3">
      <c r="A63" s="437"/>
      <c r="B63" s="289" t="s">
        <v>144</v>
      </c>
      <c r="C63" s="24"/>
      <c r="W63">
        <v>5878</v>
      </c>
      <c r="AA63">
        <v>8875</v>
      </c>
    </row>
    <row r="64" spans="1:29" ht="18.75" outlineLevel="1" x14ac:dyDescent="0.3">
      <c r="A64" s="437"/>
      <c r="B64" s="287" t="s">
        <v>141</v>
      </c>
      <c r="C64" s="24"/>
      <c r="G64" s="69"/>
      <c r="H64" s="70"/>
      <c r="I64" s="8"/>
      <c r="J64" s="69"/>
      <c r="K64" s="74"/>
      <c r="L64" s="73"/>
      <c r="M64" s="8"/>
      <c r="N64" s="69"/>
      <c r="O64" s="74"/>
      <c r="P64" s="74"/>
      <c r="Q64" s="74"/>
      <c r="R64" s="74"/>
      <c r="S64" s="73"/>
      <c r="T64" s="8"/>
      <c r="U64" s="69"/>
      <c r="V64" s="8"/>
      <c r="W64" s="69">
        <v>5277</v>
      </c>
      <c r="X64" s="74"/>
      <c r="Y64" s="74"/>
      <c r="Z64" s="74"/>
      <c r="AA64" s="73">
        <v>5277</v>
      </c>
    </row>
    <row r="65" spans="1:27" ht="18.75" outlineLevel="1" x14ac:dyDescent="0.3">
      <c r="A65" s="437"/>
      <c r="B65" s="287" t="s">
        <v>146</v>
      </c>
      <c r="C65" s="24"/>
      <c r="G65" s="71"/>
      <c r="H65" s="72"/>
      <c r="I65" s="19"/>
      <c r="J65" s="71"/>
      <c r="K65" s="75"/>
      <c r="L65" s="76"/>
      <c r="M65" s="19"/>
      <c r="N65" s="71"/>
      <c r="O65" s="75"/>
      <c r="P65" s="75"/>
      <c r="Q65" s="75"/>
      <c r="R65" s="75"/>
      <c r="S65" s="76"/>
      <c r="T65" s="19"/>
      <c r="U65" s="71"/>
      <c r="V65" s="19"/>
      <c r="W65" s="71">
        <v>6.01</v>
      </c>
      <c r="X65" s="75"/>
      <c r="Y65" s="75"/>
      <c r="Z65" s="75"/>
      <c r="AA65" s="76">
        <v>35.979999999999997</v>
      </c>
    </row>
    <row r="66" spans="1:27" outlineLevel="1" x14ac:dyDescent="0.25"/>
    <row r="98" spans="2:27" s="40" customFormat="1" x14ac:dyDescent="0.25">
      <c r="J98" s="44"/>
      <c r="K98" s="44"/>
      <c r="L98" s="44"/>
    </row>
    <row r="99" spans="2:27" s="40" customFormat="1" x14ac:dyDescent="0.25">
      <c r="B99" s="44" t="s">
        <v>166</v>
      </c>
      <c r="C99" s="44"/>
      <c r="J99" s="44"/>
      <c r="K99" s="593" t="e">
        <f>K33</f>
        <v>#REF!</v>
      </c>
      <c r="L99" s="593" t="e">
        <f>+K99+L33</f>
        <v>#REF!</v>
      </c>
      <c r="N99" s="594" t="e">
        <f>+K99+N33</f>
        <v>#REF!</v>
      </c>
      <c r="O99" s="594" t="e">
        <f>+N99+O33</f>
        <v>#REF!</v>
      </c>
      <c r="P99" s="594" t="e">
        <f t="shared" ref="P99:R99" si="13">+O99+P33</f>
        <v>#REF!</v>
      </c>
      <c r="Q99" s="594" t="e">
        <f t="shared" si="13"/>
        <v>#REF!</v>
      </c>
      <c r="R99" s="594" t="e">
        <f t="shared" si="13"/>
        <v>#REF!</v>
      </c>
      <c r="S99" s="594" t="e">
        <f>+K99+S33</f>
        <v>#REF!</v>
      </c>
      <c r="U99" s="594" t="e">
        <f>+S99+U33</f>
        <v>#REF!</v>
      </c>
      <c r="W99" s="594" t="e">
        <f>W33</f>
        <v>#REF!</v>
      </c>
      <c r="AA99" s="594" t="e">
        <f>AA33</f>
        <v>#REF!</v>
      </c>
    </row>
    <row r="100" spans="2:27" s="40" customFormat="1" x14ac:dyDescent="0.25">
      <c r="B100" s="44" t="s">
        <v>47</v>
      </c>
      <c r="C100" s="338" t="e">
        <f>'DIRECTO '!K15</f>
        <v>#REF!</v>
      </c>
      <c r="E100" s="591" t="e">
        <f>IF(C100-SUM(C104:C111)=0,"OK","REVISAR")</f>
        <v>#REF!</v>
      </c>
      <c r="J100" s="44"/>
      <c r="K100" s="44"/>
      <c r="L100" s="44"/>
    </row>
    <row r="101" spans="2:27" s="40" customFormat="1" x14ac:dyDescent="0.25">
      <c r="B101" s="44" t="s">
        <v>165</v>
      </c>
      <c r="C101" s="338" t="e">
        <f>#REF!</f>
        <v>#REF!</v>
      </c>
      <c r="E101" s="591" t="e">
        <f>IF(C101-SUM(E104:E111)=0,"OK","REVISAR")</f>
        <v>#REF!</v>
      </c>
      <c r="J101" s="44"/>
      <c r="K101" s="44"/>
      <c r="L101" s="44"/>
    </row>
    <row r="102" spans="2:27" s="40" customFormat="1" x14ac:dyDescent="0.25">
      <c r="B102" s="44"/>
      <c r="C102" s="44"/>
      <c r="J102" s="44"/>
      <c r="K102" s="44"/>
      <c r="L102" s="44"/>
    </row>
    <row r="103" spans="2:27" s="40" customFormat="1" x14ac:dyDescent="0.25">
      <c r="B103" s="44"/>
      <c r="C103" s="850" t="s">
        <v>47</v>
      </c>
      <c r="D103" s="592"/>
      <c r="E103" s="592" t="s">
        <v>165</v>
      </c>
      <c r="J103" s="44"/>
      <c r="K103" s="44"/>
      <c r="L103" s="44"/>
    </row>
    <row r="104" spans="2:27" s="40" customFormat="1" x14ac:dyDescent="0.25">
      <c r="B104" s="44" t="s">
        <v>10</v>
      </c>
      <c r="C104" s="338" t="e">
        <f>+K17</f>
        <v>#REF!</v>
      </c>
      <c r="D104" s="590"/>
      <c r="E104" s="590" t="e">
        <f>#REF!</f>
        <v>#REF!</v>
      </c>
      <c r="J104" s="44"/>
      <c r="K104" s="44"/>
      <c r="L104" s="44"/>
    </row>
    <row r="105" spans="2:27" s="40" customFormat="1" x14ac:dyDescent="0.25">
      <c r="B105" s="44" t="s">
        <v>11</v>
      </c>
      <c r="C105" s="338" t="e">
        <f t="shared" ref="C105:C107" si="14">+K18</f>
        <v>#REF!</v>
      </c>
      <c r="D105" s="590"/>
      <c r="E105" s="590" t="e">
        <f>#REF!</f>
        <v>#REF!</v>
      </c>
      <c r="J105" s="44"/>
      <c r="K105" s="44"/>
      <c r="L105" s="44"/>
    </row>
    <row r="106" spans="2:27" s="40" customFormat="1" x14ac:dyDescent="0.25">
      <c r="B106" s="44" t="s">
        <v>43</v>
      </c>
      <c r="C106" s="338" t="e">
        <f t="shared" si="14"/>
        <v>#REF!</v>
      </c>
      <c r="D106" s="590"/>
      <c r="E106" s="590" t="e">
        <f>#REF!</f>
        <v>#REF!</v>
      </c>
      <c r="J106" s="44"/>
      <c r="K106" s="44"/>
      <c r="L106" s="44"/>
    </row>
    <row r="107" spans="2:27" s="40" customFormat="1" x14ac:dyDescent="0.25">
      <c r="B107" s="44" t="s">
        <v>38</v>
      </c>
      <c r="C107" s="338" t="e">
        <f t="shared" si="14"/>
        <v>#REF!</v>
      </c>
      <c r="D107" s="590"/>
      <c r="E107" s="590" t="e">
        <f>#REF!</f>
        <v>#REF!</v>
      </c>
      <c r="J107" s="44"/>
      <c r="K107" s="44"/>
      <c r="L107" s="44"/>
    </row>
    <row r="108" spans="2:27" s="40" customFormat="1" x14ac:dyDescent="0.25">
      <c r="B108" s="44" t="s">
        <v>275</v>
      </c>
      <c r="C108" s="338" t="e">
        <f>+K22</f>
        <v>#REF!</v>
      </c>
      <c r="D108" s="590"/>
      <c r="E108" s="590" t="e">
        <f>#REF!</f>
        <v>#REF!</v>
      </c>
      <c r="J108" s="44"/>
      <c r="K108" s="44"/>
      <c r="L108" s="44"/>
    </row>
    <row r="109" spans="2:27" s="40" customFormat="1" x14ac:dyDescent="0.25">
      <c r="B109" s="44" t="s">
        <v>276</v>
      </c>
      <c r="C109" s="338" t="e">
        <f>+K23</f>
        <v>#REF!</v>
      </c>
      <c r="D109" s="590"/>
      <c r="E109" s="590" t="e">
        <f>#REF!</f>
        <v>#REF!</v>
      </c>
      <c r="J109" s="44"/>
      <c r="K109" s="44"/>
      <c r="L109" s="44"/>
    </row>
    <row r="110" spans="2:27" s="40" customFormat="1" x14ac:dyDescent="0.25">
      <c r="B110" s="44" t="s">
        <v>13</v>
      </c>
      <c r="C110" s="338" t="e">
        <f>+K24</f>
        <v>#REF!</v>
      </c>
      <c r="D110" s="590"/>
      <c r="E110" s="590" t="e">
        <f>#REF!</f>
        <v>#REF!</v>
      </c>
      <c r="J110" s="44"/>
      <c r="K110" s="44"/>
      <c r="L110" s="44"/>
    </row>
    <row r="111" spans="2:27" s="40" customFormat="1" x14ac:dyDescent="0.25">
      <c r="B111" s="44" t="s">
        <v>31</v>
      </c>
      <c r="C111" s="338" t="e">
        <f>+K25</f>
        <v>#REF!</v>
      </c>
      <c r="D111" s="590"/>
      <c r="E111" s="590" t="e">
        <f>#REF!</f>
        <v>#REF!</v>
      </c>
      <c r="J111" s="44"/>
      <c r="K111" s="44"/>
      <c r="L111" s="44"/>
    </row>
    <row r="112" spans="2:27" s="40" customFormat="1" x14ac:dyDescent="0.25">
      <c r="B112" s="44" t="s">
        <v>15</v>
      </c>
      <c r="C112" s="338" t="e">
        <f>+K26</f>
        <v>#REF!</v>
      </c>
      <c r="J112" s="44"/>
      <c r="K112" s="44"/>
      <c r="L112" s="44"/>
    </row>
    <row r="113" spans="2:12" s="40" customFormat="1" x14ac:dyDescent="0.25">
      <c r="B113" s="44"/>
      <c r="C113" s="44"/>
      <c r="J113" s="44"/>
      <c r="K113" s="44"/>
      <c r="L113" s="44"/>
    </row>
    <row r="114" spans="2:12" s="40" customFormat="1" x14ac:dyDescent="0.25">
      <c r="B114" s="44"/>
      <c r="C114" s="44"/>
      <c r="J114" s="44"/>
      <c r="K114" s="44"/>
      <c r="L114" s="44"/>
    </row>
  </sheetData>
  <mergeCells count="18">
    <mergeCell ref="L3:L5"/>
    <mergeCell ref="N3:S3"/>
    <mergeCell ref="AH3:AH5"/>
    <mergeCell ref="AG3:AG5"/>
    <mergeCell ref="B1:AC1"/>
    <mergeCell ref="AF3:AF5"/>
    <mergeCell ref="AE3:AE5"/>
    <mergeCell ref="E3:E4"/>
    <mergeCell ref="G3:H4"/>
    <mergeCell ref="J3:J5"/>
    <mergeCell ref="K3:K5"/>
    <mergeCell ref="AJ3:AJ5"/>
    <mergeCell ref="AK3:AK5"/>
    <mergeCell ref="AL3:AL5"/>
    <mergeCell ref="AI3:AI5"/>
    <mergeCell ref="U3:U4"/>
    <mergeCell ref="W3:AA4"/>
    <mergeCell ref="AC3:AC4"/>
  </mergeCells>
  <printOptions horizontalCentered="1"/>
  <pageMargins left="0.23622047244094491" right="0.23622047244094491" top="0.35433070866141736" bottom="0.35433070866141736" header="0.31496062992125984" footer="0.31496062992125984"/>
  <pageSetup paperSize="9" scale="30" orientation="landscape" r:id="rId1"/>
  <headerFooter>
    <oddFooter>&amp;F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B1:AY55"/>
  <sheetViews>
    <sheetView showGridLines="0" view="pageBreakPreview" zoomScale="70" zoomScaleNormal="50" zoomScaleSheetLayoutView="70" workbookViewId="0">
      <pane xSplit="12" ySplit="6" topLeftCell="M7" activePane="bottomRight" state="frozen"/>
      <selection activeCell="CJ48" sqref="CJ48"/>
      <selection pane="topRight" activeCell="CJ48" sqref="CJ48"/>
      <selection pane="bottomLeft" activeCell="CJ48" sqref="CJ48"/>
      <selection pane="bottomRight" activeCell="Q21" sqref="Q21"/>
    </sheetView>
  </sheetViews>
  <sheetFormatPr baseColWidth="10" defaultColWidth="9.140625" defaultRowHeight="15" outlineLevelRow="1" outlineLevelCol="2" x14ac:dyDescent="0.25"/>
  <cols>
    <col min="1" max="1" width="3.42578125" customWidth="1"/>
    <col min="2" max="2" width="33.5703125" customWidth="1"/>
    <col min="3" max="3" width="20.28515625" customWidth="1"/>
    <col min="4" max="4" width="1.42578125" customWidth="1"/>
    <col min="5" max="5" width="18.7109375" customWidth="1" outlineLevel="1"/>
    <col min="6" max="6" width="1.42578125" customWidth="1" outlineLevel="1"/>
    <col min="7" max="8" width="15" bestFit="1" customWidth="1"/>
    <col min="9" max="9" width="1.42578125" customWidth="1"/>
    <col min="10" max="11" width="17" customWidth="1"/>
    <col min="12" max="12" width="17.42578125" bestFit="1" customWidth="1"/>
    <col min="13" max="13" width="1.42578125" customWidth="1"/>
    <col min="14" max="14" width="8.42578125" customWidth="1" outlineLevel="1"/>
    <col min="15" max="15" width="9.5703125" customWidth="1" outlineLevel="1"/>
    <col min="16" max="17" width="9" customWidth="1" outlineLevel="1"/>
    <col min="18" max="18" width="9.28515625" customWidth="1" outlineLevel="1"/>
    <col min="19" max="19" width="16.28515625" bestFit="1" customWidth="1"/>
    <col min="20" max="20" width="1.42578125" customWidth="1"/>
    <col min="21" max="21" width="17.28515625" customWidth="1"/>
    <col min="22" max="22" width="15" bestFit="1" customWidth="1"/>
    <col min="23" max="23" width="15.5703125" customWidth="1" outlineLevel="1"/>
    <col min="24" max="24" width="1.42578125" customWidth="1"/>
    <col min="25" max="26" width="17.42578125" bestFit="1" customWidth="1"/>
    <col min="27" max="27" width="15" customWidth="1" outlineLevel="1"/>
    <col min="28" max="28" width="17.5703125" customWidth="1" outlineLevel="1"/>
    <col min="29" max="29" width="17.42578125" bestFit="1" customWidth="1"/>
    <col min="30" max="30" width="1.5703125" customWidth="1" outlineLevel="1"/>
    <col min="31" max="31" width="16.28515625" bestFit="1" customWidth="1" outlineLevel="1"/>
    <col min="32" max="32" width="2.7109375" customWidth="1"/>
    <col min="33" max="33" width="12.7109375" customWidth="1" outlineLevel="1"/>
    <col min="34" max="34" width="4.42578125" customWidth="1" outlineLevel="1"/>
    <col min="35" max="35" width="2.7109375" customWidth="1"/>
    <col min="36" max="36" width="16.7109375" customWidth="1" outlineLevel="1"/>
    <col min="37" max="38" width="13" customWidth="1" outlineLevel="1"/>
    <col min="39" max="39" width="7.85546875" customWidth="1" outlineLevel="2"/>
    <col min="40" max="40" width="9.5703125" customWidth="1" outlineLevel="2"/>
    <col min="41" max="41" width="8.42578125" customWidth="1" outlineLevel="2"/>
    <col min="42" max="42" width="8.7109375" customWidth="1" outlineLevel="2"/>
    <col min="43" max="43" width="9.28515625" customWidth="1" outlineLevel="2"/>
    <col min="44" max="44" width="9.140625" customWidth="1" outlineLevel="1"/>
    <col min="47" max="47" width="17" bestFit="1" customWidth="1"/>
    <col min="48" max="48" width="18.7109375" bestFit="1" customWidth="1"/>
    <col min="51" max="51" width="12.140625" bestFit="1" customWidth="1"/>
  </cols>
  <sheetData>
    <row r="1" spans="2:51" ht="23.25" x14ac:dyDescent="0.35">
      <c r="B1" s="1189" t="str">
        <f>CONCATENATE(B3," - ",B4," - ",B5," - ",B6)</f>
        <v>I.E.N 1182 -  - EL BOSQUE - CERCO + INGRESOS Y CASETAS - DIRECTO- JULIO 2024</v>
      </c>
      <c r="C1" s="1190"/>
      <c r="D1" s="1190"/>
      <c r="E1" s="1190"/>
      <c r="F1" s="1190"/>
      <c r="G1" s="1190"/>
      <c r="H1" s="1190"/>
      <c r="I1" s="1190"/>
      <c r="J1" s="1190"/>
      <c r="K1" s="1190"/>
      <c r="L1" s="1190"/>
      <c r="M1" s="1190"/>
      <c r="N1" s="1190"/>
      <c r="O1" s="1190"/>
      <c r="P1" s="1190"/>
      <c r="Q1" s="1190"/>
      <c r="R1" s="1190"/>
      <c r="S1" s="1190"/>
      <c r="T1" s="1190"/>
      <c r="U1" s="1190"/>
      <c r="V1" s="1190"/>
      <c r="W1" s="1190"/>
      <c r="X1" s="1190"/>
      <c r="Y1" s="1190"/>
      <c r="Z1" s="1190"/>
      <c r="AA1" s="1190"/>
      <c r="AB1" s="1190"/>
      <c r="AC1" s="1190"/>
      <c r="AD1" s="1190"/>
      <c r="AE1" s="1191"/>
      <c r="AN1" s="274"/>
      <c r="AO1" s="274"/>
      <c r="AP1" s="274"/>
      <c r="AQ1" s="274"/>
    </row>
    <row r="2" spans="2:51" ht="15.75" x14ac:dyDescent="0.25">
      <c r="H2" s="37"/>
      <c r="J2" s="39"/>
      <c r="K2" s="43"/>
      <c r="L2" s="43"/>
      <c r="M2" s="41"/>
      <c r="N2" s="94">
        <f>+YEAR(N5)</f>
        <v>2019</v>
      </c>
      <c r="O2" s="94">
        <f t="shared" ref="O2:R2" si="0">+YEAR(O5)</f>
        <v>2019</v>
      </c>
      <c r="P2" s="94">
        <f t="shared" si="0"/>
        <v>2019</v>
      </c>
      <c r="Q2" s="94">
        <f t="shared" si="0"/>
        <v>2019</v>
      </c>
      <c r="R2" s="94">
        <f t="shared" si="0"/>
        <v>2019</v>
      </c>
      <c r="S2" s="94">
        <f>S5</f>
        <v>2024</v>
      </c>
      <c r="U2" s="34"/>
      <c r="Y2" s="21"/>
      <c r="Z2" s="37"/>
      <c r="AA2" s="37"/>
      <c r="AB2" s="37"/>
      <c r="AM2" s="274"/>
      <c r="AN2" s="274"/>
      <c r="AO2" s="274"/>
      <c r="AP2" s="274"/>
      <c r="AQ2" s="274"/>
    </row>
    <row r="3" spans="2:51" s="5" customFormat="1" ht="15.75" customHeight="1" x14ac:dyDescent="0.25">
      <c r="B3" s="311" t="s">
        <v>300</v>
      </c>
      <c r="C3" s="2"/>
      <c r="D3" s="2"/>
      <c r="E3" s="1162" t="s">
        <v>48</v>
      </c>
      <c r="F3" s="3"/>
      <c r="G3" s="1192">
        <v>45474</v>
      </c>
      <c r="H3" s="1179"/>
      <c r="I3" s="3"/>
      <c r="J3" s="1168" t="s">
        <v>319</v>
      </c>
      <c r="K3" s="1193" t="s">
        <v>39</v>
      </c>
      <c r="L3" s="1196" t="s">
        <v>40</v>
      </c>
      <c r="M3" s="3"/>
      <c r="N3" s="1175" t="s">
        <v>50</v>
      </c>
      <c r="O3" s="1176"/>
      <c r="P3" s="1176"/>
      <c r="Q3" s="1176"/>
      <c r="R3" s="1176"/>
      <c r="S3" s="1177"/>
      <c r="T3" s="3"/>
      <c r="U3" s="1168" t="s">
        <v>41</v>
      </c>
      <c r="V3" s="1178"/>
      <c r="W3" s="1179"/>
      <c r="X3" s="3"/>
      <c r="Y3" s="1199" t="s">
        <v>49</v>
      </c>
      <c r="Z3" s="1200"/>
      <c r="AA3" s="1200"/>
      <c r="AB3" s="1200"/>
      <c r="AC3" s="1201"/>
      <c r="AD3" s="2"/>
      <c r="AE3" s="1193" t="s">
        <v>2</v>
      </c>
      <c r="AJ3" s="1183" t="s">
        <v>30</v>
      </c>
      <c r="AK3" s="1186" t="s">
        <v>35</v>
      </c>
      <c r="AL3" s="1156" t="s">
        <v>343</v>
      </c>
      <c r="AM3" s="1208">
        <v>45474</v>
      </c>
      <c r="AN3" s="1208">
        <v>45505</v>
      </c>
      <c r="AO3" s="1208">
        <v>45536</v>
      </c>
      <c r="AP3" s="1208">
        <v>45566</v>
      </c>
      <c r="AQ3" s="1208">
        <v>45597</v>
      </c>
    </row>
    <row r="4" spans="2:51" s="5" customFormat="1" ht="31.5" x14ac:dyDescent="0.25">
      <c r="B4" s="312"/>
      <c r="C4" s="2"/>
      <c r="D4" s="2"/>
      <c r="E4" s="1163"/>
      <c r="F4" s="3"/>
      <c r="G4" s="1170"/>
      <c r="H4" s="1181"/>
      <c r="I4" s="3"/>
      <c r="J4" s="1169"/>
      <c r="K4" s="1194"/>
      <c r="L4" s="1197"/>
      <c r="M4" s="3"/>
      <c r="N4" s="309">
        <v>1</v>
      </c>
      <c r="O4" s="309">
        <f>+N4+1</f>
        <v>2</v>
      </c>
      <c r="P4" s="309">
        <f t="shared" ref="P4:R4" si="1">+O4+1</f>
        <v>3</v>
      </c>
      <c r="Q4" s="309">
        <f t="shared" si="1"/>
        <v>4</v>
      </c>
      <c r="R4" s="309">
        <f t="shared" si="1"/>
        <v>5</v>
      </c>
      <c r="S4" s="291" t="s">
        <v>150</v>
      </c>
      <c r="T4" s="3"/>
      <c r="U4" s="1170"/>
      <c r="V4" s="1180"/>
      <c r="W4" s="1181"/>
      <c r="X4" s="3"/>
      <c r="Y4" s="1202"/>
      <c r="Z4" s="1203"/>
      <c r="AA4" s="1203"/>
      <c r="AB4" s="1203"/>
      <c r="AC4" s="1204"/>
      <c r="AD4" s="2"/>
      <c r="AE4" s="1194"/>
      <c r="AJ4" s="1184"/>
      <c r="AK4" s="1187"/>
      <c r="AL4" s="1157"/>
      <c r="AM4" s="1209"/>
      <c r="AN4" s="1209"/>
      <c r="AO4" s="1209"/>
      <c r="AP4" s="1209"/>
      <c r="AQ4" s="1209"/>
    </row>
    <row r="5" spans="2:51" s="5" customFormat="1" ht="31.5" x14ac:dyDescent="0.25">
      <c r="B5" s="805" t="s">
        <v>301</v>
      </c>
      <c r="C5" s="2"/>
      <c r="D5" s="2"/>
      <c r="E5" s="63" t="s">
        <v>3</v>
      </c>
      <c r="F5" s="3"/>
      <c r="G5" s="55" t="s">
        <v>4</v>
      </c>
      <c r="H5" s="55" t="s">
        <v>5</v>
      </c>
      <c r="I5" s="3"/>
      <c r="J5" s="1170"/>
      <c r="K5" s="1195"/>
      <c r="L5" s="1198"/>
      <c r="M5" s="60"/>
      <c r="N5" s="62">
        <v>43648</v>
      </c>
      <c r="O5" s="62">
        <f>+N5+31</f>
        <v>43679</v>
      </c>
      <c r="P5" s="62">
        <f t="shared" ref="P5:R5" si="2">+O5+31</f>
        <v>43710</v>
      </c>
      <c r="Q5" s="62">
        <f t="shared" si="2"/>
        <v>43741</v>
      </c>
      <c r="R5" s="62">
        <f t="shared" si="2"/>
        <v>43772</v>
      </c>
      <c r="S5" s="61">
        <f>CONSOLIDADO!S5</f>
        <v>2024</v>
      </c>
      <c r="T5" s="3"/>
      <c r="U5" s="61">
        <v>2024</v>
      </c>
      <c r="V5" s="61">
        <f>+U5+1</f>
        <v>2025</v>
      </c>
      <c r="W5" s="61">
        <f>+V5+1</f>
        <v>2026</v>
      </c>
      <c r="X5" s="60"/>
      <c r="Y5" s="62" t="s">
        <v>6</v>
      </c>
      <c r="Z5" s="61" t="s">
        <v>7</v>
      </c>
      <c r="AA5" s="61" t="s">
        <v>36</v>
      </c>
      <c r="AB5" s="63" t="s">
        <v>125</v>
      </c>
      <c r="AC5" s="61" t="s">
        <v>8</v>
      </c>
      <c r="AD5" s="59"/>
      <c r="AE5" s="61" t="s">
        <v>7</v>
      </c>
      <c r="AJ5" s="1185"/>
      <c r="AK5" s="1188"/>
      <c r="AL5" s="1158"/>
      <c r="AM5" s="1210"/>
      <c r="AN5" s="1210"/>
      <c r="AO5" s="1210"/>
      <c r="AP5" s="1210"/>
      <c r="AQ5" s="1210"/>
    </row>
    <row r="6" spans="2:51" s="5" customFormat="1" ht="16.5" customHeight="1" x14ac:dyDescent="0.25">
      <c r="B6" s="312" t="s">
        <v>332</v>
      </c>
      <c r="C6" s="2"/>
      <c r="D6" s="2"/>
      <c r="E6" s="2"/>
      <c r="F6" s="2"/>
      <c r="G6" s="2"/>
      <c r="H6" s="2"/>
      <c r="I6" s="2"/>
      <c r="J6" s="2"/>
      <c r="K6" s="2"/>
      <c r="L6" s="2"/>
      <c r="M6" s="2"/>
      <c r="N6" s="2"/>
      <c r="O6" s="7"/>
      <c r="P6" s="2"/>
      <c r="Q6" s="2"/>
      <c r="R6" s="2"/>
      <c r="S6" s="2"/>
      <c r="T6" s="2"/>
      <c r="U6" s="2"/>
      <c r="V6" s="2"/>
      <c r="W6" s="2"/>
      <c r="X6" s="2"/>
      <c r="Y6" s="2"/>
      <c r="Z6" s="2"/>
      <c r="AA6" s="2"/>
      <c r="AB6" s="2"/>
      <c r="AC6" s="2"/>
      <c r="AD6" s="2"/>
      <c r="AE6" s="2"/>
      <c r="AJ6" s="527"/>
    </row>
    <row r="7" spans="2:51" s="5" customFormat="1" ht="18.75" x14ac:dyDescent="0.3">
      <c r="B7" s="56" t="s">
        <v>32</v>
      </c>
      <c r="C7" s="57"/>
      <c r="D7" s="2"/>
      <c r="E7" s="650" t="e">
        <f>+E9</f>
        <v>#REF!</v>
      </c>
      <c r="F7" s="87"/>
      <c r="G7" s="606" t="e">
        <f>+G9</f>
        <v>#REF!</v>
      </c>
      <c r="H7" s="608" t="e">
        <f>+H9</f>
        <v>#REF!</v>
      </c>
      <c r="I7" s="87"/>
      <c r="J7" s="606" t="e">
        <f>+J9</f>
        <v>#REF!</v>
      </c>
      <c r="K7" s="607" t="e">
        <f>+K9</f>
        <v>#REF!</v>
      </c>
      <c r="L7" s="608" t="e">
        <f>+L9</f>
        <v>#REF!</v>
      </c>
      <c r="M7" s="87"/>
      <c r="N7" s="606" t="e">
        <f t="shared" ref="N7:R7" si="3">+N9</f>
        <v>#REF!</v>
      </c>
      <c r="O7" s="607" t="e">
        <f t="shared" si="3"/>
        <v>#REF!</v>
      </c>
      <c r="P7" s="607" t="e">
        <f t="shared" si="3"/>
        <v>#REF!</v>
      </c>
      <c r="Q7" s="607" t="e">
        <f t="shared" si="3"/>
        <v>#REF!</v>
      </c>
      <c r="R7" s="607" t="e">
        <f t="shared" si="3"/>
        <v>#REF!</v>
      </c>
      <c r="S7" s="608">
        <f>+S9</f>
        <v>0</v>
      </c>
      <c r="T7" s="87"/>
      <c r="U7" s="606">
        <f>+U9</f>
        <v>0</v>
      </c>
      <c r="V7" s="607">
        <f>+V9</f>
        <v>0</v>
      </c>
      <c r="W7" s="608">
        <f>+W9</f>
        <v>0</v>
      </c>
      <c r="X7" s="333"/>
      <c r="Y7" s="606" t="e">
        <f>+Y9</f>
        <v>#REF!</v>
      </c>
      <c r="Z7" s="607" t="e">
        <f>+Z9</f>
        <v>#REF!</v>
      </c>
      <c r="AA7" s="607" t="e">
        <f>+AA9</f>
        <v>#REF!</v>
      </c>
      <c r="AB7" s="607" t="e">
        <f>+AB9</f>
        <v>#REF!</v>
      </c>
      <c r="AC7" s="608" t="e">
        <f>+AC9</f>
        <v>#REF!</v>
      </c>
      <c r="AD7" s="333"/>
      <c r="AE7" s="650" t="e">
        <f>+AE9</f>
        <v>#REF!</v>
      </c>
      <c r="AF7" s="444"/>
      <c r="AG7" s="531" t="e">
        <f>+AC7-Y7</f>
        <v>#REF!</v>
      </c>
      <c r="AH7" s="295"/>
      <c r="AI7" s="295"/>
      <c r="AJ7" s="392" t="e">
        <f>+AJ9</f>
        <v>#REF!</v>
      </c>
      <c r="AK7" s="393" t="e">
        <f t="shared" ref="AK7" si="4">+AK9</f>
        <v>#REF!</v>
      </c>
      <c r="AL7" s="393"/>
      <c r="AM7" s="393"/>
      <c r="AN7" s="393"/>
      <c r="AO7" s="393"/>
      <c r="AP7" s="393"/>
      <c r="AQ7" s="393"/>
      <c r="AR7" s="295"/>
      <c r="AS7" s="295"/>
    </row>
    <row r="8" spans="2:51" s="5" customFormat="1" ht="13.9" customHeight="1" x14ac:dyDescent="0.3">
      <c r="B8" s="2"/>
      <c r="C8" s="2"/>
      <c r="D8" s="2"/>
      <c r="E8" s="87"/>
      <c r="F8" s="87"/>
      <c r="G8" s="87"/>
      <c r="H8" s="87"/>
      <c r="I8" s="87"/>
      <c r="J8" s="87"/>
      <c r="K8" s="87"/>
      <c r="L8" s="87"/>
      <c r="M8" s="87"/>
      <c r="N8" s="87"/>
      <c r="O8" s="87"/>
      <c r="P8" s="87"/>
      <c r="Q8" s="87"/>
      <c r="R8" s="87"/>
      <c r="S8" s="87"/>
      <c r="T8" s="87"/>
      <c r="U8" s="87"/>
      <c r="V8" s="87"/>
      <c r="W8" s="87"/>
      <c r="X8" s="333"/>
      <c r="Y8" s="87"/>
      <c r="Z8" s="87"/>
      <c r="AA8" s="87"/>
      <c r="AB8" s="87"/>
      <c r="AC8" s="87"/>
      <c r="AD8" s="333"/>
      <c r="AE8" s="87"/>
      <c r="AF8" s="293"/>
      <c r="AG8" s="532"/>
      <c r="AH8" s="295"/>
      <c r="AI8" s="295"/>
      <c r="AJ8" s="394"/>
      <c r="AK8" s="394"/>
      <c r="AL8" s="394"/>
      <c r="AM8" s="394"/>
      <c r="AN8" s="394"/>
      <c r="AO8" s="394"/>
      <c r="AP8" s="394"/>
      <c r="AQ8" s="394"/>
      <c r="AR8" s="295"/>
      <c r="AS8" s="295"/>
    </row>
    <row r="9" spans="2:51" s="54" customFormat="1" ht="24.6" customHeight="1" x14ac:dyDescent="0.3">
      <c r="B9" s="702" t="s">
        <v>153</v>
      </c>
      <c r="C9" s="703"/>
      <c r="D9" s="114"/>
      <c r="E9" s="704" t="e">
        <f>+SUM(E11:E13)</f>
        <v>#REF!</v>
      </c>
      <c r="F9" s="282"/>
      <c r="G9" s="705" t="e">
        <f>+SUM(G11:G13)</f>
        <v>#REF!</v>
      </c>
      <c r="H9" s="706" t="e">
        <f>+SUM(H11:H13)</f>
        <v>#REF!</v>
      </c>
      <c r="I9" s="282"/>
      <c r="J9" s="705" t="e">
        <f>+SUM(J11:J13)</f>
        <v>#REF!</v>
      </c>
      <c r="K9" s="707" t="e">
        <f>+SUM(K11:K13)</f>
        <v>#REF!</v>
      </c>
      <c r="L9" s="706" t="e">
        <f>+SUM(L11:L12)</f>
        <v>#REF!</v>
      </c>
      <c r="M9" s="282"/>
      <c r="N9" s="705" t="e">
        <f t="shared" ref="N9:S9" si="5">+SUM(N11:N13)</f>
        <v>#REF!</v>
      </c>
      <c r="O9" s="707" t="e">
        <f t="shared" si="5"/>
        <v>#REF!</v>
      </c>
      <c r="P9" s="707" t="e">
        <f t="shared" si="5"/>
        <v>#REF!</v>
      </c>
      <c r="Q9" s="707" t="e">
        <f t="shared" si="5"/>
        <v>#REF!</v>
      </c>
      <c r="R9" s="707" t="e">
        <f t="shared" si="5"/>
        <v>#REF!</v>
      </c>
      <c r="S9" s="706">
        <f t="shared" si="5"/>
        <v>0</v>
      </c>
      <c r="T9" s="282"/>
      <c r="U9" s="705">
        <f>+SUM(U11:U13)</f>
        <v>0</v>
      </c>
      <c r="V9" s="707">
        <f>+SUM(V11:V13)</f>
        <v>0</v>
      </c>
      <c r="W9" s="706">
        <f>+SUM(W11:W13)</f>
        <v>0</v>
      </c>
      <c r="X9" s="708"/>
      <c r="Y9" s="705" t="e">
        <f>+SUM(Y11:Y13)</f>
        <v>#REF!</v>
      </c>
      <c r="Z9" s="707" t="e">
        <f>+SUM(Z11:Z13)</f>
        <v>#REF!</v>
      </c>
      <c r="AA9" s="707" t="e">
        <f>+SUM(AA11:AA13)</f>
        <v>#REF!</v>
      </c>
      <c r="AB9" s="707" t="e">
        <f>+SUM(AB11:AB13)</f>
        <v>#REF!</v>
      </c>
      <c r="AC9" s="706" t="e">
        <f>+SUM(AC11:AC13)</f>
        <v>#REF!</v>
      </c>
      <c r="AD9" s="708"/>
      <c r="AE9" s="704" t="e">
        <f>+SUM(AE11:AE13)</f>
        <v>#REF!</v>
      </c>
      <c r="AF9" s="444"/>
      <c r="AG9" s="531" t="e">
        <f>+AC9-Y9</f>
        <v>#REF!</v>
      </c>
      <c r="AH9" s="299"/>
      <c r="AI9" s="709"/>
      <c r="AJ9" s="710" t="e">
        <f t="shared" ref="AJ9:AK9" si="6">+SUM(AJ11:AJ13)</f>
        <v>#REF!</v>
      </c>
      <c r="AK9" s="710" t="e">
        <f t="shared" si="6"/>
        <v>#REF!</v>
      </c>
      <c r="AL9" s="710"/>
      <c r="AM9" s="710"/>
      <c r="AN9" s="710"/>
      <c r="AO9" s="710"/>
      <c r="AP9" s="710"/>
      <c r="AQ9" s="710"/>
      <c r="AR9" s="299"/>
      <c r="AS9" s="299"/>
    </row>
    <row r="10" spans="2:51" s="54" customFormat="1" ht="7.5" customHeight="1" x14ac:dyDescent="0.3">
      <c r="E10" s="515"/>
      <c r="F10" s="515"/>
      <c r="G10" s="515"/>
      <c r="H10" s="515"/>
      <c r="I10" s="515"/>
      <c r="J10" s="515"/>
      <c r="K10" s="515"/>
      <c r="L10" s="515"/>
      <c r="M10" s="515"/>
      <c r="N10" s="515"/>
      <c r="O10" s="515"/>
      <c r="P10" s="515"/>
      <c r="Q10" s="515"/>
      <c r="R10" s="515"/>
      <c r="S10" s="515"/>
      <c r="T10" s="515"/>
      <c r="U10" s="515"/>
      <c r="V10" s="515"/>
      <c r="W10" s="515"/>
      <c r="X10" s="369"/>
      <c r="Y10" s="515"/>
      <c r="Z10" s="515"/>
      <c r="AA10" s="515"/>
      <c r="AB10" s="515"/>
      <c r="AC10" s="515"/>
      <c r="AD10" s="369"/>
      <c r="AE10" s="515"/>
      <c r="AF10" s="711"/>
      <c r="AG10" s="531"/>
      <c r="AH10" s="299"/>
      <c r="AI10" s="299"/>
      <c r="AJ10" s="405"/>
      <c r="AK10" s="405"/>
      <c r="AL10" s="405"/>
      <c r="AM10" s="405"/>
      <c r="AN10" s="405"/>
      <c r="AO10" s="405"/>
      <c r="AP10" s="405"/>
      <c r="AQ10" s="405"/>
      <c r="AR10" s="299"/>
      <c r="AS10" s="299"/>
    </row>
    <row r="11" spans="2:51" s="54" customFormat="1" ht="18.75" x14ac:dyDescent="0.3">
      <c r="B11" s="712" t="s">
        <v>151</v>
      </c>
      <c r="C11" s="713"/>
      <c r="E11" s="498" t="e">
        <f>+'F-100'!E11+'F-200'!E11+'F-300'!E11+'F-400'!E11+'F-500'!E11+'F-600'!E11+#REF!+#REF!+#REF!+#REF!+#REF!+#REF!</f>
        <v>#REF!</v>
      </c>
      <c r="F11" s="515"/>
      <c r="G11" s="714" t="e">
        <f>+'F-100'!G11+'F-200'!G11+'F-300'!G11+'F-400'!G11+'F-500'!G11+'F-600'!G11+#REF!+#REF!+#REF!+#REF!+#REF!++#REF!</f>
        <v>#REF!</v>
      </c>
      <c r="H11" s="523" t="e">
        <f>+'F-100'!H11+'F-200'!H11+'F-300'!H11+'F-400'!H11+'F-500'!H11+'F-600'!H11+#REF!+#REF!+#REF!+#REF!+#REF!++#REF!</f>
        <v>#REF!</v>
      </c>
      <c r="I11" s="515"/>
      <c r="J11" s="714">
        <f>+'F-100'!J11+'F-200'!J11+'F-300'!J11+'F-400'!J11+'F-500'!J11+'F-600'!J11</f>
        <v>0</v>
      </c>
      <c r="K11" s="715" t="e">
        <f>+'F-100'!K11+'F-200'!K11+'F-300'!K11+'F-400'!K11+'F-500'!K11+'F-600'!K11+#REF!+#REF!+#REF!+#REF!+#REF!</f>
        <v>#REF!</v>
      </c>
      <c r="L11" s="523" t="e">
        <f>+'F-100'!L11+'F-200'!L11+'F-300'!L11+'F-400'!L11+'F-500'!L11+'F-600'!L11+#REF!+#REF!+#REF!+#REF!+#REF!</f>
        <v>#REF!</v>
      </c>
      <c r="M11" s="515"/>
      <c r="N11" s="716" t="e">
        <f>+'F-100'!N11+'F-200'!N11+'F-300'!N11+'F-400'!N11+'F-500'!N11+'F-600'!N11+#REF!+#REF!+#REF!+#REF!+#REF!+#REF!</f>
        <v>#REF!</v>
      </c>
      <c r="O11" s="715" t="e">
        <f>+'F-100'!O11+'F-200'!O11+'F-300'!O11+'F-400'!O11+'F-500'!O11+'F-600'!O11+#REF!+#REF!+#REF!+#REF!+#REF!+#REF!</f>
        <v>#REF!</v>
      </c>
      <c r="P11" s="715" t="e">
        <f>+'F-100'!P11+'F-200'!P11+'F-300'!P11+'F-400'!P11+'F-500'!P11+'F-600'!P11+#REF!+#REF!+#REF!+#REF!+#REF!+#REF!</f>
        <v>#REF!</v>
      </c>
      <c r="Q11" s="715" t="e">
        <f>+'F-100'!Q11+'F-200'!Q11+'F-300'!Q11+'F-400'!Q11+'F-500'!Q11+'F-600'!Q11+#REF!+#REF!+#REF!+#REF!+#REF!+#REF!</f>
        <v>#REF!</v>
      </c>
      <c r="R11" s="715" t="e">
        <f>+'F-100'!R11+'F-200'!R11+'F-300'!R11+'F-400'!R11+'F-500'!R11+'F-600'!R11+#REF!+#REF!+#REF!+#REF!+#REF!+#REF!</f>
        <v>#REF!</v>
      </c>
      <c r="S11" s="717">
        <f>+SUMIFS(N11:R11,N$2:R$2,$S$5)</f>
        <v>0</v>
      </c>
      <c r="T11" s="515"/>
      <c r="U11" s="716">
        <f>+SUMIFS(N11:S11,N$2:S$2,$U$5)</f>
        <v>0</v>
      </c>
      <c r="V11" s="715">
        <f>+SUMIFS(N11:S11,N$2:S$2,$V$5)</f>
        <v>0</v>
      </c>
      <c r="W11" s="523">
        <f>+SUMIFS(N11:S11,N$2:S$2,$W$5)</f>
        <v>0</v>
      </c>
      <c r="X11" s="369"/>
      <c r="Y11" s="716" t="e">
        <f>+K11+L11</f>
        <v>#REF!</v>
      </c>
      <c r="Z11" s="715" t="e">
        <f>+'F-100'!Z11+'F-200'!Z11+'F-300'!Z11+'F-400'!Z11+'F-500'!Z11+'F-600'!Z11+#REF!+#REF!+#REF!+#REF!+#REF!+#REF!</f>
        <v>#REF!</v>
      </c>
      <c r="AA11" s="715" t="e">
        <f>+'F-100'!AA11+'F-200'!AA11+'F-300'!AA11+'F-400'!AA11+'F-500'!AA11+'F-600'!AA11+#REF!+#REF!+#REF!+#REF!+#REF!+#REF!</f>
        <v>#REF!</v>
      </c>
      <c r="AB11" s="715" t="e">
        <f>+'F-100'!AB11+'F-200'!AB11+'F-300'!AB11+'F-400'!AB11+'F-500'!AB11+'F-600'!AB11+#REF!+#REF!+#REF!+#REF!+#REF!+#REF!</f>
        <v>#REF!</v>
      </c>
      <c r="AC11" s="523" t="e">
        <f>+'F-100'!AC11+'F-200'!AC11+'F-300'!AC11+'F-400'!AC11+'F-500'!AC11+'F-600'!AC11+#REF!+#REF!+#REF!+#REF!+#REF!+#REF!</f>
        <v>#REF!</v>
      </c>
      <c r="AD11" s="369"/>
      <c r="AE11" s="498" t="e">
        <f>+'F-100'!AE11+'F-200'!AE11+'F-300'!AE11+'F-400'!AE11+'F-500'!AE11+'F-600'!AE11+#REF!+#REF!+#REF!+#REF!+#REF!+#REF!</f>
        <v>#REF!</v>
      </c>
      <c r="AF11" s="444"/>
      <c r="AG11" s="718" t="e">
        <f>+AC11-Y11</f>
        <v>#REF!</v>
      </c>
      <c r="AH11" s="299"/>
      <c r="AI11" s="299"/>
      <c r="AJ11" s="719" t="e">
        <f>SUM(AK11:AQ11)</f>
        <v>#REF!</v>
      </c>
      <c r="AK11" s="720" t="e">
        <f>+'F-100'!AK11+'F-200'!AK11+'F-300'!AJ11+'F-400'!AJ11+'F-500'!AJ11+'F-600'!AJ11+#REF!+#REF!+#REF!+#REF!+#REF!+#REF!</f>
        <v>#REF!</v>
      </c>
      <c r="AL11" s="720"/>
      <c r="AM11" s="720"/>
      <c r="AN11" s="720"/>
      <c r="AO11" s="720"/>
      <c r="AP11" s="720"/>
      <c r="AQ11" s="720"/>
      <c r="AR11" s="299"/>
      <c r="AS11" s="299"/>
    </row>
    <row r="12" spans="2:51" s="54" customFormat="1" ht="18.75" x14ac:dyDescent="0.3">
      <c r="B12" s="721" t="s">
        <v>152</v>
      </c>
      <c r="C12" s="722"/>
      <c r="E12" s="723" t="e">
        <f>+'F-100'!E12+'F-200'!E12+'F-300'!E12+'F-400'!E12+'F-500'!E12+'F-600'!E12+#REF!+#REF!+#REF!+#REF!+#REF!+#REF!</f>
        <v>#REF!</v>
      </c>
      <c r="F12" s="515"/>
      <c r="G12" s="724" t="e">
        <f>+'F-100'!G12+'F-200'!G12+'F-300'!G12+'F-400'!G12+'F-500'!G12+'F-600'!G12+#REF!+#REF!+#REF!+#REF!+#REF!++#REF!</f>
        <v>#REF!</v>
      </c>
      <c r="H12" s="654" t="e">
        <f>+'F-100'!H12+'F-200'!H12+'F-300'!H12+'F-400'!H12+'F-500'!H12+'F-600'!H12+#REF!+#REF!+#REF!+#REF!+#REF!++#REF!</f>
        <v>#REF!</v>
      </c>
      <c r="I12" s="515"/>
      <c r="J12" s="724" t="e">
        <f>+'F-100'!J12+'F-200'!J12+'F-300'!J12+'F-400'!J12+'F-500'!J12+'F-600'!J12+#REF!+#REF!+#REF!+#REF!+#REF!</f>
        <v>#REF!</v>
      </c>
      <c r="K12" s="725" t="e">
        <f>+'F-100'!K12+'F-200'!K12+'F-300'!K12+'F-400'!K12+'F-500'!K12+'F-600'!K12+#REF!+#REF!+#REF!+#REF!+#REF!</f>
        <v>#REF!</v>
      </c>
      <c r="L12" s="654" t="e">
        <f>+'F-100'!L12+'F-200'!L12+'F-300'!L12+'F-400'!L12+'F-500'!L12+'F-600'!L12+#REF!+#REF!+#REF!+#REF!+#REF!</f>
        <v>#REF!</v>
      </c>
      <c r="M12" s="515"/>
      <c r="N12" s="653" t="e">
        <f>+'F-100'!N12+'F-200'!N12+'F-300'!N12+'F-400'!N12+'F-500'!N12+'F-600'!N12+#REF!+#REF!+#REF!+#REF!+#REF!+#REF!</f>
        <v>#REF!</v>
      </c>
      <c r="O12" s="726" t="e">
        <f>+'F-100'!O12+'F-200'!O12+'F-300'!O12+'F-400'!O12+'F-500'!O12+'F-600'!O12+#REF!+#REF!+#REF!+#REF!+#REF!+#REF!</f>
        <v>#REF!</v>
      </c>
      <c r="P12" s="726" t="e">
        <f>+'F-100'!P12+'F-200'!P12+'F-300'!P12+'F-400'!P12+'F-500'!P12+'F-600'!P12+#REF!+#REF!+#REF!+#REF!+#REF!+#REF!</f>
        <v>#REF!</v>
      </c>
      <c r="Q12" s="726" t="e">
        <f>+'F-100'!Q12+'F-200'!Q12+'F-300'!Q12+'F-400'!Q12+'F-500'!Q12+'F-600'!Q12+#REF!+#REF!+#REF!+#REF!+#REF!+#REF!</f>
        <v>#REF!</v>
      </c>
      <c r="R12" s="726" t="e">
        <f>+'F-100'!R12+'F-200'!R12+'F-300'!R12+'F-400'!R12+'F-500'!R12+'F-600'!R12+#REF!+#REF!+#REF!+#REF!+#REF!+#REF!</f>
        <v>#REF!</v>
      </c>
      <c r="S12" s="727">
        <f>+SUMIFS(N12:R12,N$2:R$2,$S$5)</f>
        <v>0</v>
      </c>
      <c r="T12" s="515"/>
      <c r="U12" s="653">
        <f>+SUMIFS(N12:S12,N$2:S$2,$U$5)</f>
        <v>0</v>
      </c>
      <c r="V12" s="726">
        <f>+SUMIFS(N12:S12,N$2:S$2,$V$5)</f>
        <v>0</v>
      </c>
      <c r="W12" s="651">
        <f>+SUMIFS(N12:S12,N$2:S$2,$W$5)</f>
        <v>0</v>
      </c>
      <c r="X12" s="369"/>
      <c r="Y12" s="653" t="e">
        <f>+K12+L12</f>
        <v>#REF!</v>
      </c>
      <c r="Z12" s="725" t="e">
        <f>+'F-100'!Z12+'F-200'!Z12+'F-300'!Z12+'F-400'!Z12+'F-500'!Z12+'F-600'!Z12+#REF!+#REF!+#REF!+#REF!+#REF!+#REF!</f>
        <v>#REF!</v>
      </c>
      <c r="AA12" s="725" t="e">
        <f>+'F-100'!AA12+'F-200'!AA12+'F-300'!AA12+'F-400'!AA12+'F-500'!AA12+'F-600'!AA12+#REF!+#REF!+#REF!+#REF!+#REF!+#REF!</f>
        <v>#REF!</v>
      </c>
      <c r="AB12" s="725" t="e">
        <f>+'F-100'!AB12+'F-200'!AB12+'F-300'!AB12+'F-400'!AB12+'F-500'!AB12+'F-600'!AB12+#REF!+#REF!+#REF!+#REF!+#REF!+#REF!</f>
        <v>#REF!</v>
      </c>
      <c r="AC12" s="654" t="e">
        <f>+'F-100'!AC12+'F-200'!AC12+'F-300'!AC12+'F-400'!AC12+'F-500'!AC12+'F-600'!AC12+#REF!+#REF!+#REF!+#REF!+#REF!+#REF!</f>
        <v>#REF!</v>
      </c>
      <c r="AD12" s="369"/>
      <c r="AE12" s="723" t="e">
        <f>+'F-100'!AE12+'F-200'!AE12+'F-300'!AE12+'F-400'!AE12+'F-500'!AE12+'F-600'!AE12+#REF!+#REF!+#REF!+#REF!+#REF!+#REF!</f>
        <v>#REF!</v>
      </c>
      <c r="AF12" s="444"/>
      <c r="AG12" s="531" t="e">
        <f>+AC12-Y12</f>
        <v>#REF!</v>
      </c>
      <c r="AH12" s="299"/>
      <c r="AI12" s="299"/>
      <c r="AJ12" s="719" t="e">
        <f>SUM(AK12:AQ12)</f>
        <v>#REF!</v>
      </c>
      <c r="AK12" s="720" t="e">
        <f>+'F-100'!AK12+'F-200'!AK12+'F-300'!AJ12+'F-400'!AJ12+'F-500'!AJ12+'F-600'!AJ12+#REF!+#REF!+#REF!+#REF!+#REF!+#REF!</f>
        <v>#REF!</v>
      </c>
      <c r="AL12" s="720"/>
      <c r="AM12" s="720"/>
      <c r="AN12" s="720"/>
      <c r="AO12" s="720"/>
      <c r="AP12" s="720"/>
      <c r="AQ12" s="720"/>
      <c r="AR12" s="299"/>
      <c r="AS12" s="299"/>
    </row>
    <row r="13" spans="2:51" s="5" customFormat="1" ht="18.75" x14ac:dyDescent="0.3">
      <c r="B13" s="17" t="s">
        <v>42</v>
      </c>
      <c r="C13" s="18"/>
      <c r="E13" s="642" t="e">
        <f>+'F-100'!E13+'F-200'!E13+'F-300'!E13+'F-400'!#REF!+'F-500'!E13+'F-600'!E13+#REF!+#REF!+#REF!+#REF!+#REF!+#REF!</f>
        <v>#REF!</v>
      </c>
      <c r="F13" s="499"/>
      <c r="G13" s="617" t="e">
        <f>+'F-100'!G13+'F-200'!G13+'F-300'!G13+'F-400'!#REF!+'F-500'!G13+'F-600'!G13+#REF!+#REF!+#REF!+#REF!+#REF!++#REF!</f>
        <v>#REF!</v>
      </c>
      <c r="H13" s="619" t="e">
        <f>+'F-100'!H13+'F-200'!H13+'F-300'!H13+'F-400'!#REF!+'F-500'!H13+'F-600'!H13+#REF!+#REF!+#REF!+#REF!+#REF!++#REF!</f>
        <v>#REF!</v>
      </c>
      <c r="I13" s="499"/>
      <c r="J13" s="617" t="e">
        <f>+'F-100'!J13+'F-200'!J13+'F-300'!J13+'F-400'!#REF!+'F-500'!J13+'F-600'!J13+#REF!+#REF!+#REF!+#REF!+#REF!</f>
        <v>#REF!</v>
      </c>
      <c r="K13" s="618" t="e">
        <f>+'F-100'!K13+'F-200'!K13+'F-300'!K13+'F-400'!#REF!+'F-500'!K13+'F-600'!K13+#REF!+#REF!+#REF!+#REF!+#REF!</f>
        <v>#REF!</v>
      </c>
      <c r="L13" s="619" t="e">
        <f>+'F-100'!L13+'F-200'!L13+'F-300'!L13+'F-400'!#REF!+'F-500'!L13+'F-600'!L13+#REF!+#REF!+#REF!+#REF!+#REF!</f>
        <v>#REF!</v>
      </c>
      <c r="M13" s="499"/>
      <c r="N13" s="617" t="e">
        <f>+'F-100'!N13+'F-200'!N13+'F-300'!N13+'F-400'!#REF!+'F-500'!N13+'F-600'!N13+#REF!+#REF!+#REF!+#REF!+#REF!+#REF!</f>
        <v>#REF!</v>
      </c>
      <c r="O13" s="618" t="e">
        <f>+'F-100'!O13+'F-200'!O13+'F-300'!O13+'F-400'!#REF!+'F-500'!O13+'F-600'!O13+#REF!+#REF!+#REF!+#REF!+#REF!+#REF!</f>
        <v>#REF!</v>
      </c>
      <c r="P13" s="618" t="e">
        <f>+'F-100'!P13+'F-200'!P13+'F-300'!P13+'F-400'!#REF!+'F-500'!P13+'F-600'!P13+#REF!+#REF!+#REF!+#REF!+#REF!+#REF!</f>
        <v>#REF!</v>
      </c>
      <c r="Q13" s="618" t="e">
        <f>+'F-100'!Q13+'F-200'!Q13+'F-300'!Q13+'F-400'!#REF!+'F-500'!Q13+'F-600'!Q13+#REF!+#REF!+#REF!+#REF!+#REF!+#REF!</f>
        <v>#REF!</v>
      </c>
      <c r="R13" s="618" t="e">
        <f>+'F-100'!R13+'F-200'!R13+'F-300'!R13+'F-400'!#REF!+'F-500'!R13+'F-600'!R13+#REF!+#REF!+#REF!+#REF!+#REF!+#REF!</f>
        <v>#REF!</v>
      </c>
      <c r="S13" s="666">
        <f>+SUMIFS(N13:R13,N$2:R$2,$S$5)</f>
        <v>0</v>
      </c>
      <c r="T13" s="499"/>
      <c r="U13" s="617">
        <f>+SUMIFS(N13:S13,N$2:S$2,$U$5)</f>
        <v>0</v>
      </c>
      <c r="V13" s="618">
        <f>+SUMIFS(N13:S13,N$2:S$2,$V$5)</f>
        <v>0</v>
      </c>
      <c r="W13" s="619">
        <f>+SUMIFS(N13:S13,N$2:S$2,$W$5)</f>
        <v>0</v>
      </c>
      <c r="X13" s="347"/>
      <c r="Y13" s="617" t="e">
        <f>+K13+L13</f>
        <v>#REF!</v>
      </c>
      <c r="Z13" s="618" t="e">
        <f>+'F-100'!Z13+'F-200'!Z13+'F-300'!Z13+'F-400'!#REF!+'F-500'!Z13+'F-600'!Z13+#REF!+#REF!+#REF!+#REF!+#REF!+#REF!</f>
        <v>#REF!</v>
      </c>
      <c r="AA13" s="618" t="e">
        <f>+'F-100'!AA13+'F-200'!AA13+'F-300'!AA13+'F-400'!#REF!+'F-500'!AA13+'F-600'!AA13+#REF!+#REF!+#REF!+#REF!+#REF!+#REF!</f>
        <v>#REF!</v>
      </c>
      <c r="AB13" s="618" t="e">
        <f>+'F-100'!AB13+'F-200'!AB13+'F-300'!AB13+'F-400'!#REF!+'F-500'!AB13+'F-600'!AB13+#REF!+#REF!+#REF!+#REF!+#REF!+#REF!</f>
        <v>#REF!</v>
      </c>
      <c r="AC13" s="619" t="e">
        <f>+'F-100'!AC13+'F-200'!AC13+'F-300'!AC13+'F-400'!#REF!+'F-500'!AC13+'F-600'!AC13+#REF!+#REF!+#REF!+#REF!+#REF!+#REF!</f>
        <v>#REF!</v>
      </c>
      <c r="AD13" s="347"/>
      <c r="AE13" s="642" t="e">
        <f>+'F-100'!AE13+'F-200'!AE13+'F-300'!AE13+'F-400'!#REF!+'F-500'!AE13+'F-600'!AE13+#REF!+#REF!+#REF!+#REF!+#REF!+#REF!</f>
        <v>#REF!</v>
      </c>
      <c r="AF13" s="443"/>
      <c r="AG13" s="534" t="e">
        <f t="shared" ref="AG13" si="7">+AC13-Y13</f>
        <v>#REF!</v>
      </c>
      <c r="AH13" s="295"/>
      <c r="AI13" s="295"/>
      <c r="AJ13" s="397" t="e">
        <f>SUM(AK13:AQ13)</f>
        <v>#REF!</v>
      </c>
      <c r="AK13" s="398" t="e">
        <f>+'F-100'!AK13+'F-200'!AK13+'F-300'!AJ13+'F-400'!#REF!+'F-500'!AJ13+'F-600'!AJ13+#REF!+#REF!+#REF!+#REF!+#REF!+#REF!</f>
        <v>#REF!</v>
      </c>
      <c r="AL13" s="398"/>
      <c r="AM13" s="398"/>
      <c r="AN13" s="398"/>
      <c r="AO13" s="398"/>
      <c r="AP13" s="398"/>
      <c r="AQ13" s="398"/>
      <c r="AR13" s="295"/>
      <c r="AS13" s="295"/>
    </row>
    <row r="14" spans="2:51" s="5" customFormat="1" ht="15.75" x14ac:dyDescent="0.25">
      <c r="E14" s="347"/>
      <c r="F14" s="347"/>
      <c r="G14" s="347"/>
      <c r="H14" s="347"/>
      <c r="I14" s="347"/>
      <c r="J14" s="347"/>
      <c r="K14" s="347"/>
      <c r="L14" s="389"/>
      <c r="M14" s="347"/>
      <c r="N14" s="347"/>
      <c r="O14" s="347"/>
      <c r="P14" s="347"/>
      <c r="Q14" s="347"/>
      <c r="R14" s="347"/>
      <c r="S14" s="347"/>
      <c r="T14" s="347"/>
      <c r="U14" s="347"/>
      <c r="V14" s="347"/>
      <c r="W14" s="347"/>
      <c r="X14" s="347"/>
      <c r="Y14" s="499"/>
      <c r="Z14" s="499"/>
      <c r="AA14" s="499"/>
      <c r="AB14" s="499"/>
      <c r="AC14" s="499"/>
      <c r="AD14" s="347"/>
      <c r="AE14" s="499"/>
      <c r="AF14" s="443"/>
      <c r="AG14" s="534"/>
      <c r="AH14" s="294"/>
      <c r="AI14" s="294"/>
      <c r="AJ14" s="399"/>
      <c r="AK14" s="399"/>
      <c r="AL14" s="399"/>
      <c r="AM14" s="399"/>
      <c r="AN14" s="399"/>
      <c r="AO14" s="399"/>
      <c r="AP14" s="399"/>
      <c r="AQ14" s="399"/>
      <c r="AR14" s="295"/>
      <c r="AS14" s="295"/>
      <c r="AU14" s="589" t="s">
        <v>161</v>
      </c>
    </row>
    <row r="15" spans="2:51" s="5" customFormat="1" ht="18.75" x14ac:dyDescent="0.3">
      <c r="B15" s="56" t="s">
        <v>9</v>
      </c>
      <c r="C15" s="57"/>
      <c r="D15" s="2"/>
      <c r="E15" s="606" t="e">
        <f>+SUM(E17:E26)+E28</f>
        <v>#REF!</v>
      </c>
      <c r="F15" s="87"/>
      <c r="G15" s="606" t="e">
        <f>+SUM(G17:G26)+G28</f>
        <v>#REF!</v>
      </c>
      <c r="H15" s="608" t="e">
        <f>+SUM(H17:H26)+H28</f>
        <v>#REF!</v>
      </c>
      <c r="I15" s="87"/>
      <c r="J15" s="606" t="e">
        <f>+SUM(J17:J26)+J28</f>
        <v>#REF!</v>
      </c>
      <c r="K15" s="607" t="e">
        <f>+SUM(K17:K26)+K28</f>
        <v>#REF!</v>
      </c>
      <c r="L15" s="608" t="e">
        <f>+SUM(L17:L26)+L28</f>
        <v>#REF!</v>
      </c>
      <c r="M15" s="87"/>
      <c r="N15" s="606" t="e">
        <f t="shared" ref="N15:S15" si="8">+SUM(N17:N26)+N28</f>
        <v>#REF!</v>
      </c>
      <c r="O15" s="607" t="e">
        <f t="shared" si="8"/>
        <v>#REF!</v>
      </c>
      <c r="P15" s="607" t="e">
        <f t="shared" si="8"/>
        <v>#REF!</v>
      </c>
      <c r="Q15" s="607" t="e">
        <f t="shared" si="8"/>
        <v>#REF!</v>
      </c>
      <c r="R15" s="607" t="e">
        <f t="shared" si="8"/>
        <v>#REF!</v>
      </c>
      <c r="S15" s="608">
        <f t="shared" si="8"/>
        <v>0</v>
      </c>
      <c r="T15" s="87"/>
      <c r="U15" s="606">
        <f>+SUM(U17:U26)+U28</f>
        <v>0</v>
      </c>
      <c r="V15" s="607">
        <f>+SUM(V17:V26)+V28</f>
        <v>0</v>
      </c>
      <c r="W15" s="608">
        <f>+SUM(W17:W26)+W28</f>
        <v>0</v>
      </c>
      <c r="X15" s="333"/>
      <c r="Y15" s="606" t="e">
        <f>+SUM(Y17:Y26)+Y28</f>
        <v>#REF!</v>
      </c>
      <c r="Z15" s="607" t="e">
        <f>+SUM(Z17:Z26)+Z28</f>
        <v>#REF!</v>
      </c>
      <c r="AA15" s="607" t="e">
        <f>+SUM(AA17:AA26)+AA28</f>
        <v>#REF!</v>
      </c>
      <c r="AB15" s="607" t="e">
        <f>+SUM(AB17:AB26)+AB28</f>
        <v>#REF!</v>
      </c>
      <c r="AC15" s="608" t="e">
        <f>+SUM(AC17:AC26)+AC28</f>
        <v>#REF!</v>
      </c>
      <c r="AD15" s="333"/>
      <c r="AE15" s="650" t="e">
        <f>+SUM(AE17:AE26)+AE28</f>
        <v>#REF!</v>
      </c>
      <c r="AF15" s="444"/>
      <c r="AG15" s="531" t="e">
        <f>+AC15-Y15</f>
        <v>#REF!</v>
      </c>
      <c r="AH15" s="296"/>
      <c r="AI15" s="295"/>
      <c r="AJ15" s="392" t="e">
        <f>+SUM(AJ17:AJ26,AJ28,AJ30:AJ33)</f>
        <v>#REF!</v>
      </c>
      <c r="AK15" s="392" t="e">
        <f t="shared" ref="AK15" si="9">+SUM(AK17:AK26,AK28,AK30:AK33)</f>
        <v>#REF!</v>
      </c>
      <c r="AL15" s="392"/>
      <c r="AM15" s="392"/>
      <c r="AN15" s="392"/>
      <c r="AO15" s="392"/>
      <c r="AP15" s="392"/>
      <c r="AQ15" s="392"/>
      <c r="AR15" s="295"/>
      <c r="AS15" s="295"/>
      <c r="AU15" s="499">
        <v>4480984.1833156003</v>
      </c>
      <c r="AV15" s="587" t="e">
        <f>+K15-AU15</f>
        <v>#REF!</v>
      </c>
      <c r="AY15" s="499" t="e">
        <f>+Y15/36000</f>
        <v>#REF!</v>
      </c>
    </row>
    <row r="16" spans="2:51" s="5" customFormat="1" ht="7.5" customHeight="1" x14ac:dyDescent="0.3">
      <c r="E16" s="499"/>
      <c r="F16" s="499"/>
      <c r="G16" s="499"/>
      <c r="H16" s="499"/>
      <c r="I16" s="499"/>
      <c r="J16" s="499"/>
      <c r="K16" s="499"/>
      <c r="L16" s="499"/>
      <c r="M16" s="499"/>
      <c r="N16" s="499"/>
      <c r="O16" s="499"/>
      <c r="P16" s="499"/>
      <c r="Q16" s="499"/>
      <c r="R16" s="499"/>
      <c r="S16" s="499"/>
      <c r="T16" s="499"/>
      <c r="U16" s="499"/>
      <c r="V16" s="499"/>
      <c r="W16" s="499"/>
      <c r="X16" s="347"/>
      <c r="Y16" s="499"/>
      <c r="Z16" s="499"/>
      <c r="AA16" s="499"/>
      <c r="AB16" s="499"/>
      <c r="AC16" s="499"/>
      <c r="AD16" s="347"/>
      <c r="AE16" s="499"/>
      <c r="AF16" s="442"/>
      <c r="AG16" s="532"/>
      <c r="AH16" s="296"/>
      <c r="AI16" s="295"/>
      <c r="AJ16" s="396"/>
      <c r="AK16" s="400"/>
      <c r="AL16" s="400"/>
      <c r="AM16" s="400"/>
      <c r="AN16" s="400"/>
      <c r="AO16" s="400"/>
      <c r="AP16" s="400"/>
      <c r="AQ16" s="400"/>
      <c r="AR16" s="295"/>
      <c r="AS16" s="295"/>
    </row>
    <row r="17" spans="2:45" s="5" customFormat="1" ht="18.75" x14ac:dyDescent="0.3">
      <c r="B17" s="13" t="s">
        <v>10</v>
      </c>
      <c r="C17" s="14"/>
      <c r="E17" s="476" t="e">
        <f>+'F-100'!E17+'F-200'!E17+'F-300'!E17+'F-400'!E17+'F-500'!E17+'F-600'!E17+#REF!+#REF!+#REF!+#REF!+#REF!+#REF!</f>
        <v>#REF!</v>
      </c>
      <c r="F17" s="499"/>
      <c r="G17" s="612" t="e">
        <f>+'F-100'!G17+'F-200'!G17+'F-300'!G17+'F-400'!G17+'F-500'!G17+'F-600'!G17+#REF!+#REF!+#REF!+#REF!+#REF!+#REF!</f>
        <v>#REF!</v>
      </c>
      <c r="H17" s="523" t="e">
        <f>+'F-100'!H17+'F-200'!H17+'F-300'!H17+'F-400'!H17+'F-500'!H17+'F-600'!H17+#REF!+#REF!+#REF!+#REF!+#REF!+#REF!</f>
        <v>#REF!</v>
      </c>
      <c r="I17" s="499"/>
      <c r="J17" s="635" t="e">
        <f>+'F-100'!J17+'F-200'!J17+'F-300'!J17+'F-400'!J17+'F-500'!J17+'F-600'!J17+#REF!+#REF!+#REF!+#REF!+#REF!+#REF!</f>
        <v>#REF!</v>
      </c>
      <c r="K17" s="613" t="e">
        <f>+'F-100'!K17+'F-200'!K17+'F-300'!K17+'F-400'!K17+'F-500'!K17+'F-600'!K17+#REF!+#REF!+#REF!+#REF!+#REF!+#REF!</f>
        <v>#REF!</v>
      </c>
      <c r="L17" s="636" t="e">
        <f>+'F-100'!L17+'F-200'!L17+'F-300'!L17+'F-400'!L17+'F-500'!L17+'F-600'!L17+#REF!+#REF!+#REF!+#REF!+#REF!+#REF!</f>
        <v>#REF!</v>
      </c>
      <c r="M17" s="499"/>
      <c r="N17" s="612" t="e">
        <f>+'F-100'!N17+'F-200'!N17+'F-300'!N17+'F-400'!N17+'F-500'!N17+'F-600'!N17+#REF!+#REF!+#REF!+#REF!+#REF!+#REF!</f>
        <v>#REF!</v>
      </c>
      <c r="O17" s="613" t="e">
        <f>+'F-100'!O17+'F-200'!O17+'F-300'!O17+'F-400'!O17+'F-500'!O17+'F-600'!O17+#REF!+#REF!+#REF!+#REF!+#REF!+#REF!</f>
        <v>#REF!</v>
      </c>
      <c r="P17" s="613" t="e">
        <f>+'F-100'!P17+'F-200'!P17+'F-300'!P17+'F-400'!P17+'F-500'!P17+'F-600'!P17+#REF!+#REF!+#REF!+#REF!+#REF!+#REF!</f>
        <v>#REF!</v>
      </c>
      <c r="Q17" s="613" t="e">
        <f>+'F-100'!Q17+'F-200'!Q17+'F-300'!Q17+'F-400'!Q17+'F-500'!Q17+'F-600'!Q17+#REF!+#REF!+#REF!+#REF!+#REF!+#REF!</f>
        <v>#REF!</v>
      </c>
      <c r="R17" s="613" t="e">
        <f>+'F-100'!R17+'F-200'!R17+'F-300'!R17+'F-400'!R17+'F-500'!R17+'F-600'!R17+#REF!+#REF!+#REF!+#REF!+#REF!+#REF!</f>
        <v>#REF!</v>
      </c>
      <c r="S17" s="636">
        <f t="shared" ref="S17:S26" si="10">+SUMIFS(N17:R17,N$2:R$2,$S$5)</f>
        <v>0</v>
      </c>
      <c r="T17" s="499"/>
      <c r="U17" s="612">
        <f t="shared" ref="U17:U26" si="11">+SUMIFS(N17:S17,N$2:S$2,$U$5)</f>
        <v>0</v>
      </c>
      <c r="V17" s="613">
        <f t="shared" ref="V17:V26" si="12">+SUMIFS(N17:S17,N$2:S$2,$V$5)</f>
        <v>0</v>
      </c>
      <c r="W17" s="520">
        <f t="shared" ref="W17:W26" si="13">+SUMIFS(N17:S17,N$2:S$2,$W$5)</f>
        <v>0</v>
      </c>
      <c r="X17" s="347"/>
      <c r="Y17" s="612" t="e">
        <f t="shared" ref="Y17:Y26" si="14">+K17+L17</f>
        <v>#REF!</v>
      </c>
      <c r="Z17" s="613" t="e">
        <f>+'F-100'!Z17+'F-200'!Z17+'F-300'!Z17+'F-400'!Z17+'F-500'!Z17+'F-600'!Z17+#REF!+#REF!+#REF!+#REF!+#REF!+#REF!</f>
        <v>#REF!</v>
      </c>
      <c r="AA17" s="613" t="e">
        <f>+'F-100'!AA17+'F-200'!AA17+'F-300'!AA17+'F-400'!AA17+'F-500'!AA17+'F-600'!AA17+#REF!+#REF!+#REF!+#REF!+#REF!+#REF!</f>
        <v>#REF!</v>
      </c>
      <c r="AB17" s="613" t="e">
        <f>+'F-100'!AB17+'F-200'!AB17+'F-300'!AB17+'F-400'!AB17+'F-500'!AB17+'F-600'!AB17+#REF!+#REF!+#REF!+#REF!+#REF!+#REF!</f>
        <v>#REF!</v>
      </c>
      <c r="AC17" s="636" t="e">
        <f>+'F-100'!AC17+'F-200'!AC17+'F-300'!AC17+'F-400'!AC17+'F-500'!AC17+'F-600'!AC17+#REF!+#REF!+#REF!+#REF!+#REF!+#REF!</f>
        <v>#REF!</v>
      </c>
      <c r="AD17" s="347"/>
      <c r="AE17" s="476" t="e">
        <f>+'F-100'!AE17+'F-200'!AE17+'F-300'!AE17+'F-400'!AE17+'F-500'!AE17+'F-600'!AE17+#REF!+#REF!+#REF!+#REF!+#REF!+#REF!</f>
        <v>#REF!</v>
      </c>
      <c r="AF17" s="444"/>
      <c r="AG17" s="531" t="e">
        <f>+AC17-Y17</f>
        <v>#REF!</v>
      </c>
      <c r="AH17" s="296"/>
      <c r="AI17" s="295"/>
      <c r="AJ17" s="397" t="e">
        <f t="shared" ref="AJ17:AJ26" si="15">SUM(AK17:AQ17)</f>
        <v>#REF!</v>
      </c>
      <c r="AK17" s="398" t="e">
        <f>+'F-100'!AK17+'F-200'!AK17+'F-300'!AJ17+'F-400'!AJ17+'F-500'!AJ17+'F-600'!AJ17+#REF!+#REF!+#REF!+#REF!+#REF!+#REF!</f>
        <v>#REF!</v>
      </c>
      <c r="AL17" s="398"/>
      <c r="AM17" s="398"/>
      <c r="AN17" s="398"/>
      <c r="AO17" s="398"/>
      <c r="AP17" s="398"/>
      <c r="AQ17" s="398"/>
      <c r="AR17" s="295"/>
      <c r="AS17" s="295"/>
    </row>
    <row r="18" spans="2:45" s="5" customFormat="1" ht="18.75" x14ac:dyDescent="0.3">
      <c r="B18" s="15" t="s">
        <v>11</v>
      </c>
      <c r="C18" s="16"/>
      <c r="E18" s="657" t="e">
        <f>+'F-100'!E18+'F-200'!E18+'F-300'!E18+'F-400'!E18+'F-500'!E18+'F-600'!E18+#REF!+#REF!+#REF!+#REF!+#REF!+#REF!</f>
        <v>#REF!</v>
      </c>
      <c r="F18" s="499"/>
      <c r="G18" s="645" t="e">
        <f>+'F-100'!G18+'F-200'!G18+'F-300'!G18+'F-400'!G18+'F-500'!G18+'F-600'!G18+#REF!+#REF!+#REF!+#REF!+#REF!+#REF!</f>
        <v>#REF!</v>
      </c>
      <c r="H18" s="658" t="e">
        <f>+'F-100'!H18+'F-200'!H18+'F-300'!H18+'F-400'!H18+'F-500'!H18+'F-600'!H18+#REF!+#REF!+#REF!+#REF!+#REF!+#REF!</f>
        <v>#REF!</v>
      </c>
      <c r="I18" s="499"/>
      <c r="J18" s="638" t="e">
        <f>+'F-100'!J18+'F-200'!J18+'F-300'!J18+'F-400'!J18+'F-500'!J18+'F-600'!J18+#REF!+#REF!+#REF!+#REF!+#REF!+#REF!</f>
        <v>#REF!</v>
      </c>
      <c r="K18" s="622" t="e">
        <f>+'F-100'!K18+'F-200'!K18+'F-300'!K18+'F-400'!K18+'F-500'!K18+'F-600'!K18+#REF!+#REF!+#REF!+#REF!+#REF!+#REF!</f>
        <v>#REF!</v>
      </c>
      <c r="L18" s="639" t="e">
        <f>+'F-100'!L18+'F-200'!L18+'F-300'!L18+'F-400'!L18+'F-500'!L18+'F-600'!L18+#REF!+#REF!+#REF!+#REF!+#REF!+#REF!</f>
        <v>#REF!</v>
      </c>
      <c r="M18" s="499"/>
      <c r="N18" s="640" t="e">
        <f>+'F-100'!N18+'F-200'!N18+'F-300'!N18+'F-400'!N18+'F-500'!N18+'F-600'!N18+#REF!+#REF!+#REF!+#REF!+#REF!+#REF!</f>
        <v>#REF!</v>
      </c>
      <c r="O18" s="620" t="e">
        <f>+'F-100'!O18+'F-200'!O18+'F-300'!O18+'F-400'!O18+'F-500'!O18+'F-600'!O18+#REF!+#REF!+#REF!+#REF!+#REF!+#REF!</f>
        <v>#REF!</v>
      </c>
      <c r="P18" s="620" t="e">
        <f>+'F-100'!P18+'F-200'!P18+'F-300'!P18+'F-400'!P18+'F-500'!P18+'F-600'!P18+#REF!+#REF!+#REF!+#REF!+#REF!+#REF!</f>
        <v>#REF!</v>
      </c>
      <c r="Q18" s="620" t="e">
        <f>+'F-100'!Q18+'F-200'!Q18+'F-300'!Q18+'F-400'!Q18+'F-500'!Q18+'F-600'!Q18+#REF!+#REF!+#REF!+#REF!+#REF!+#REF!</f>
        <v>#REF!</v>
      </c>
      <c r="R18" s="620" t="e">
        <f>+'F-100'!R18+'F-200'!R18+'F-300'!R18+'F-400'!R18+'F-500'!R18+'F-600'!R18+#REF!+#REF!+#REF!+#REF!+#REF!+#REF!</f>
        <v>#REF!</v>
      </c>
      <c r="S18" s="639">
        <f t="shared" si="10"/>
        <v>0</v>
      </c>
      <c r="T18" s="499"/>
      <c r="U18" s="640">
        <f t="shared" si="11"/>
        <v>0</v>
      </c>
      <c r="V18" s="620">
        <f t="shared" si="12"/>
        <v>0</v>
      </c>
      <c r="W18" s="624">
        <f t="shared" si="13"/>
        <v>0</v>
      </c>
      <c r="X18" s="347"/>
      <c r="Y18" s="614" t="e">
        <f t="shared" si="14"/>
        <v>#REF!</v>
      </c>
      <c r="Z18" s="620" t="e">
        <f>+'F-100'!Z18+'F-200'!Z18+'F-300'!Z18+'F-400'!Z18+'F-500'!Z18+'F-600'!Z18+#REF!+#REF!+#REF!+#REF!+#REF!+#REF!</f>
        <v>#REF!</v>
      </c>
      <c r="AA18" s="620" t="e">
        <f>+'F-100'!AA18+'F-200'!AA18+'F-300'!AA18+'F-400'!AA18+'F-500'!AA18+'F-600'!AA18+#REF!+#REF!+#REF!+#REF!+#REF!+#REF!</f>
        <v>#REF!</v>
      </c>
      <c r="AB18" s="620" t="e">
        <f>+'F-100'!AB18+'F-200'!AB18+'F-300'!AB18+'F-400'!AB18+'F-500'!AB18+'F-600'!AB18+#REF!+#REF!+#REF!+#REF!+#REF!+#REF!</f>
        <v>#REF!</v>
      </c>
      <c r="AC18" s="639" t="e">
        <f>+'F-100'!AC18+'F-200'!AC18+'F-300'!AC18+'F-400'!AC18+'F-500'!AC18+'F-600'!AC18+#REF!+#REF!+#REF!+#REF!+#REF!+#REF!</f>
        <v>#REF!</v>
      </c>
      <c r="AD18" s="347"/>
      <c r="AE18" s="478" t="e">
        <f>+'F-100'!AE18+'F-200'!AE18+'F-300'!AE18+'F-400'!AE18+'F-500'!AE18+'F-600'!AE18+#REF!+#REF!+#REF!+#REF!+#REF!+#REF!</f>
        <v>#REF!</v>
      </c>
      <c r="AF18" s="444"/>
      <c r="AG18" s="531" t="e">
        <f t="shared" ref="AG18:AG26" si="16">+AC18-Y18</f>
        <v>#REF!</v>
      </c>
      <c r="AH18" s="296"/>
      <c r="AI18" s="295"/>
      <c r="AJ18" s="397" t="e">
        <f t="shared" si="15"/>
        <v>#REF!</v>
      </c>
      <c r="AK18" s="398" t="e">
        <f>+'F-100'!AK18+'F-200'!AK18+'F-300'!AJ18+'F-400'!AJ18+'F-500'!AJ18+'F-600'!AJ18+#REF!+#REF!+#REF!+#REF!+#REF!+#REF!</f>
        <v>#REF!</v>
      </c>
      <c r="AL18" s="398"/>
      <c r="AM18" s="398"/>
      <c r="AN18" s="398"/>
      <c r="AO18" s="398"/>
      <c r="AP18" s="398"/>
      <c r="AQ18" s="398"/>
      <c r="AR18" s="295"/>
      <c r="AS18" s="295"/>
    </row>
    <row r="19" spans="2:45" s="5" customFormat="1" ht="18.75" x14ac:dyDescent="0.3">
      <c r="B19" s="15" t="s">
        <v>43</v>
      </c>
      <c r="C19" s="16"/>
      <c r="E19" s="652" t="e">
        <f>+'F-100'!E19+'F-200'!E19+'F-300'!E19+'F-400'!E19+'F-500'!E19+'F-600'!E19+#REF!+#REF!+#REF!+#REF!+#REF!+#REF!</f>
        <v>#REF!</v>
      </c>
      <c r="F19" s="499"/>
      <c r="G19" s="638" t="e">
        <f>+'F-100'!G19+'F-200'!G19+'F-300'!G19+'F-400'!G19+'F-500'!G19+'F-600'!G19+#REF!+#REF!+#REF!+#REF!+#REF!+#REF!</f>
        <v>#REF!</v>
      </c>
      <c r="H19" s="658" t="e">
        <f>+'F-100'!H19+'F-200'!H19+'F-300'!H19+'F-400'!H19+'F-500'!H19+'F-600'!H19+#REF!+#REF!+#REF!+#REF!+#REF!+#REF!</f>
        <v>#REF!</v>
      </c>
      <c r="I19" s="499"/>
      <c r="J19" s="638" t="e">
        <f>+'F-100'!J19+'F-200'!J19+'F-300'!J19+'F-400'!J19+'F-500'!J19+'F-600'!J19+#REF!+#REF!+#REF!+#REF!+#REF!+#REF!</f>
        <v>#REF!</v>
      </c>
      <c r="K19" s="622" t="e">
        <f>+'F-100'!K19+'F-200'!K19+'F-300'!K19+'F-400'!K19+'F-500'!K19+'F-600'!K19+#REF!+#REF!+#REF!+#REF!+#REF!+#REF!</f>
        <v>#REF!</v>
      </c>
      <c r="L19" s="621" t="e">
        <f>+'F-100'!L19+'F-200'!L19+'F-300'!L19+'F-400'!L19+'F-500'!L19+'F-600'!L19+#REF!+#REF!+#REF!+#REF!+#REF!+#REF!</f>
        <v>#REF!</v>
      </c>
      <c r="M19" s="499"/>
      <c r="N19" s="638" t="e">
        <f>+'F-100'!N19+'F-200'!N19+'F-300'!N19+'F-400'!N19+'F-500'!N19+'F-600'!N19+#REF!+#REF!+#REF!+#REF!+#REF!+#REF!</f>
        <v>#REF!</v>
      </c>
      <c r="O19" s="622" t="e">
        <f>+'F-100'!O19+'F-200'!O19+'F-300'!O19+'F-400'!O19+'F-500'!O19+'F-600'!O19+#REF!+#REF!+#REF!+#REF!+#REF!+#REF!</f>
        <v>#REF!</v>
      </c>
      <c r="P19" s="622" t="e">
        <f>+'F-100'!P19+'F-200'!P19+'F-300'!P19+'F-400'!P19+'F-500'!P19+'F-600'!P19+#REF!+#REF!+#REF!+#REF!+#REF!+#REF!</f>
        <v>#REF!</v>
      </c>
      <c r="Q19" s="622" t="e">
        <f>+'F-100'!Q19+'F-200'!Q19+'F-300'!Q19+'F-400'!Q19+'F-500'!Q19+'F-600'!Q19+#REF!+#REF!+#REF!+#REF!+#REF!+#REF!</f>
        <v>#REF!</v>
      </c>
      <c r="R19" s="622" t="e">
        <f>+'F-100'!R19+'F-200'!R19+'F-300'!R19+'F-400'!R19+'F-500'!R19+'F-600'!R19+#REF!+#REF!+#REF!+#REF!+#REF!+#REF!</f>
        <v>#REF!</v>
      </c>
      <c r="S19" s="621">
        <f t="shared" si="10"/>
        <v>0</v>
      </c>
      <c r="T19" s="499"/>
      <c r="U19" s="638">
        <f t="shared" si="11"/>
        <v>0</v>
      </c>
      <c r="V19" s="622">
        <f t="shared" si="12"/>
        <v>0</v>
      </c>
      <c r="W19" s="623">
        <f t="shared" si="13"/>
        <v>0</v>
      </c>
      <c r="X19" s="347"/>
      <c r="Y19" s="614" t="e">
        <f t="shared" si="14"/>
        <v>#REF!</v>
      </c>
      <c r="Z19" s="622" t="e">
        <f>+'F-100'!Z19+'F-200'!Z19+'F-300'!Z19+'F-400'!Z19+'F-500'!Z19+'F-600'!Z19+#REF!+#REF!+#REF!+#REF!+#REF!+#REF!</f>
        <v>#REF!</v>
      </c>
      <c r="AA19" s="622" t="e">
        <f>+'F-100'!AA19+'F-200'!AA19+'F-300'!AA19+'F-400'!AA19+'F-500'!AA19+'F-600'!AA19+#REF!+#REF!+#REF!+#REF!+#REF!+#REF!</f>
        <v>#REF!</v>
      </c>
      <c r="AB19" s="622" t="e">
        <f>+'F-100'!AB19+'F-200'!AB19+'F-300'!AB19+'F-400'!AB19+'F-500'!AB19+'F-600'!AB19+#REF!+#REF!+#REF!+#REF!+#REF!+#REF!</f>
        <v>#REF!</v>
      </c>
      <c r="AC19" s="621" t="e">
        <f>+'F-100'!AC19+'F-200'!AC19+'F-300'!AC19+'F-400'!AC19+'F-500'!AC19+'F-600'!AC19+#REF!+#REF!+#REF!+#REF!+#REF!+#REF!</f>
        <v>#REF!</v>
      </c>
      <c r="AD19" s="347"/>
      <c r="AE19" s="652" t="e">
        <f>+'F-100'!AE19+'F-200'!AE19+'F-300'!AE19+'F-400'!AE19+'F-500'!AE19+'F-600'!AE19+#REF!+#REF!+#REF!+#REF!+#REF!+#REF!</f>
        <v>#REF!</v>
      </c>
      <c r="AF19" s="593"/>
      <c r="AG19" s="885" t="e">
        <f t="shared" si="16"/>
        <v>#REF!</v>
      </c>
      <c r="AH19" s="296"/>
      <c r="AI19" s="295"/>
      <c r="AJ19" s="397" t="e">
        <f t="shared" si="15"/>
        <v>#REF!</v>
      </c>
      <c r="AK19" s="398" t="e">
        <f>+'F-100'!AK19+'F-200'!AK19+'F-300'!AJ19+'F-400'!AJ19+'F-500'!AJ19+'F-600'!AJ19+#REF!+#REF!+#REF!+#REF!+#REF!+#REF!</f>
        <v>#REF!</v>
      </c>
      <c r="AL19" s="398"/>
      <c r="AM19" s="398"/>
      <c r="AN19" s="398"/>
      <c r="AO19" s="398"/>
      <c r="AP19" s="398"/>
      <c r="AQ19" s="398"/>
      <c r="AR19" s="295"/>
      <c r="AS19" s="295"/>
    </row>
    <row r="20" spans="2:45" s="5" customFormat="1" ht="18.75" x14ac:dyDescent="0.3">
      <c r="B20" s="15" t="s">
        <v>38</v>
      </c>
      <c r="C20" s="16"/>
      <c r="E20" s="652" t="e">
        <f>+'F-100'!E20+'F-200'!E20+'F-300'!E20+'F-400'!E20+'F-500'!E20+'F-600'!E20+#REF!+#REF!+#REF!+#REF!+#REF!+#REF!</f>
        <v>#REF!</v>
      </c>
      <c r="F20" s="499"/>
      <c r="G20" s="638" t="e">
        <f>+'F-100'!G20+'F-200'!G20+'F-300'!G20+'F-400'!G20+'F-500'!G20+'F-600'!G20+#REF!+#REF!+#REF!+#REF!+#REF!+#REF!</f>
        <v>#REF!</v>
      </c>
      <c r="H20" s="658" t="e">
        <f>+'F-100'!H20+'F-200'!H20+'F-300'!H20+'F-400'!H20+'F-500'!H20+'F-600'!H20+#REF!+#REF!+#REF!+#REF!+#REF!+#REF!</f>
        <v>#REF!</v>
      </c>
      <c r="I20" s="499"/>
      <c r="J20" s="638" t="e">
        <f>+'F-100'!J20+'F-200'!J20+'F-300'!J20+'F-400'!J20+'F-500'!J20+'F-600'!J20+#REF!+#REF!+#REF!+#REF!+#REF!+#REF!</f>
        <v>#REF!</v>
      </c>
      <c r="K20" s="622" t="e">
        <f>+'F-100'!K20+'F-200'!K20+'F-300'!K20+'F-400'!K20+'F-500'!K20+'F-600'!K20+#REF!+#REF!+#REF!+#REF!+#REF!+#REF!</f>
        <v>#REF!</v>
      </c>
      <c r="L20" s="621" t="e">
        <f>+'F-100'!L20+'F-200'!L20+'F-300'!L20+'F-400'!L20+'F-500'!L20+'F-600'!L20+#REF!+#REF!+#REF!+#REF!+#REF!+#REF!</f>
        <v>#REF!</v>
      </c>
      <c r="M20" s="499"/>
      <c r="N20" s="638" t="e">
        <f>+'F-100'!N20+'F-200'!N20+'F-300'!N20+'F-400'!N20+'F-500'!N20+'F-600'!N20+#REF!+#REF!+#REF!+#REF!+#REF!+#REF!</f>
        <v>#REF!</v>
      </c>
      <c r="O20" s="622" t="e">
        <f>+'F-100'!O20+'F-200'!O20+'F-300'!O20+'F-400'!O20+'F-500'!O20+'F-600'!O20+#REF!+#REF!+#REF!+#REF!+#REF!+#REF!</f>
        <v>#REF!</v>
      </c>
      <c r="P20" s="622" t="e">
        <f>+'F-100'!P20+'F-200'!P20+'F-300'!P20+'F-400'!P20+'F-500'!P20+'F-600'!P20+#REF!+#REF!+#REF!+#REF!+#REF!+#REF!</f>
        <v>#REF!</v>
      </c>
      <c r="Q20" s="622" t="e">
        <f>+'F-100'!Q20+'F-200'!Q20+'F-300'!Q20+'F-400'!Q20+'F-500'!Q20+'F-600'!Q20+#REF!+#REF!+#REF!+#REF!+#REF!+#REF!</f>
        <v>#REF!</v>
      </c>
      <c r="R20" s="622" t="e">
        <f>+'F-100'!R20+'F-200'!R20+'F-300'!R20+'F-400'!R20+'F-500'!R20+'F-600'!R20+#REF!+#REF!+#REF!+#REF!+#REF!+#REF!</f>
        <v>#REF!</v>
      </c>
      <c r="S20" s="621">
        <f t="shared" si="10"/>
        <v>0</v>
      </c>
      <c r="T20" s="499"/>
      <c r="U20" s="638">
        <f t="shared" si="11"/>
        <v>0</v>
      </c>
      <c r="V20" s="622">
        <f t="shared" si="12"/>
        <v>0</v>
      </c>
      <c r="W20" s="623">
        <f t="shared" si="13"/>
        <v>0</v>
      </c>
      <c r="X20" s="347"/>
      <c r="Y20" s="614" t="e">
        <f t="shared" si="14"/>
        <v>#REF!</v>
      </c>
      <c r="Z20" s="620" t="e">
        <f>+'F-100'!Z20+'F-200'!Z20+'F-300'!Z20+'F-400'!Z20+'F-500'!Z20+'F-600'!Z20+#REF!+#REF!+#REF!+#REF!+#REF!+#REF!</f>
        <v>#REF!</v>
      </c>
      <c r="AA20" s="620" t="e">
        <f>+'F-100'!AA20+'F-200'!AA20+'F-300'!AA20+'F-400'!AA20+'F-500'!AA20+'F-600'!AA20+#REF!+#REF!+#REF!+#REF!+#REF!+#REF!</f>
        <v>#REF!</v>
      </c>
      <c r="AB20" s="620" t="e">
        <f>+'F-100'!AB20+'F-200'!AB20+'F-300'!AB20+'F-400'!AB20+'F-500'!AB20+'F-600'!AB20+#REF!+#REF!+#REF!+#REF!+#REF!+#REF!</f>
        <v>#REF!</v>
      </c>
      <c r="AC20" s="639" t="e">
        <f>+'F-100'!AC20+'F-200'!AC20+'F-300'!AC20+'F-400'!AC20+'F-500'!AC20+'F-600'!AC20+#REF!+#REF!+#REF!+#REF!+#REF!+#REF!</f>
        <v>#REF!</v>
      </c>
      <c r="AD20" s="347"/>
      <c r="AE20" s="652" t="e">
        <f>+'F-100'!AE20+'F-200'!AE20+'F-300'!AE20+'F-400'!AE20+'F-500'!AE20+'F-600'!AE20+#REF!+#REF!+#REF!+#REF!+#REF!+#REF!</f>
        <v>#REF!</v>
      </c>
      <c r="AF20" s="444"/>
      <c r="AG20" s="531" t="e">
        <f t="shared" si="16"/>
        <v>#REF!</v>
      </c>
      <c r="AH20" s="296"/>
      <c r="AI20" s="295"/>
      <c r="AJ20" s="401" t="e">
        <f t="shared" si="15"/>
        <v>#REF!</v>
      </c>
      <c r="AK20" s="398" t="e">
        <f>+'F-100'!AK20+'F-200'!AK20+'F-300'!AJ20+'F-400'!AJ20+'F-500'!AJ20+'F-600'!AJ20+#REF!+#REF!+#REF!+#REF!+#REF!+#REF!</f>
        <v>#REF!</v>
      </c>
      <c r="AL20" s="398"/>
      <c r="AM20" s="398"/>
      <c r="AN20" s="398"/>
      <c r="AO20" s="398"/>
      <c r="AP20" s="398"/>
      <c r="AQ20" s="398"/>
      <c r="AR20" s="295"/>
      <c r="AS20" s="295"/>
    </row>
    <row r="21" spans="2:45" s="5" customFormat="1" ht="18.75" x14ac:dyDescent="0.3">
      <c r="B21" s="15" t="s">
        <v>12</v>
      </c>
      <c r="C21" s="16"/>
      <c r="E21" s="652" t="e">
        <f>+'F-100'!E21+'F-200'!E21+'F-300'!E21+'F-400'!E21+'F-500'!E21+'F-600'!E21+#REF!+#REF!+#REF!+#REF!+#REF!+#REF!</f>
        <v>#REF!</v>
      </c>
      <c r="F21" s="499"/>
      <c r="G21" s="638" t="e">
        <f>+'F-100'!G21+'F-200'!G21+'F-300'!G21+'F-400'!G21+'F-500'!G21+'F-600'!G21+#REF!+#REF!+#REF!+#REF!+#REF!+#REF!</f>
        <v>#REF!</v>
      </c>
      <c r="H21" s="658" t="e">
        <f>+'F-100'!H21+'F-200'!H21+'F-300'!H21+'F-400'!H21+'F-500'!H21+'F-600'!H21+#REF!+#REF!+#REF!+#REF!+#REF!+#REF!</f>
        <v>#REF!</v>
      </c>
      <c r="I21" s="499"/>
      <c r="J21" s="638" t="e">
        <f>+'F-100'!J21+'F-200'!J21+'F-300'!J21+'F-400'!J21+'F-500'!J21+'F-600'!J21+#REF!+#REF!+#REF!+#REF!+#REF!+#REF!</f>
        <v>#REF!</v>
      </c>
      <c r="K21" s="622" t="e">
        <f>+'F-100'!K21+'F-200'!K21+'F-300'!K21+'F-400'!K21+'F-500'!K21+'F-600'!K21+#REF!+#REF!+#REF!+#REF!+#REF!+#REF!</f>
        <v>#REF!</v>
      </c>
      <c r="L21" s="621" t="e">
        <f>+'F-100'!L21+'F-200'!L21+'F-300'!L21+'F-400'!L21+'F-500'!L21+'F-600'!L21+#REF!+#REF!+#REF!+#REF!+#REF!+#REF!</f>
        <v>#REF!</v>
      </c>
      <c r="M21" s="499"/>
      <c r="N21" s="638" t="e">
        <f>+'F-100'!N21+'F-200'!N21+'F-300'!N21+'F-400'!N21+'F-500'!N21+'F-600'!N21+#REF!+#REF!+#REF!+#REF!+#REF!+#REF!</f>
        <v>#REF!</v>
      </c>
      <c r="O21" s="622" t="e">
        <f>+'F-100'!O21+'F-200'!O21+'F-300'!O21+'F-400'!O21+'F-500'!O21+'F-600'!O21+#REF!+#REF!+#REF!+#REF!+#REF!+#REF!</f>
        <v>#REF!</v>
      </c>
      <c r="P21" s="622" t="e">
        <f>+'F-100'!P21+'F-200'!P21+'F-300'!P21+'F-400'!P21+'F-500'!P21+'F-600'!P21+#REF!+#REF!+#REF!+#REF!+#REF!+#REF!</f>
        <v>#REF!</v>
      </c>
      <c r="Q21" s="622" t="e">
        <f>+'F-100'!Q21+'F-200'!Q21+'F-300'!Q21+'F-400'!Q21+'F-500'!Q21+'F-600'!Q21+#REF!+#REF!+#REF!+#REF!+#REF!+#REF!</f>
        <v>#REF!</v>
      </c>
      <c r="R21" s="622" t="e">
        <f>+'F-100'!R21+'F-200'!R21+'F-300'!R21+'F-400'!R21+'F-500'!R21+'F-600'!R21+#REF!+#REF!+#REF!+#REF!+#REF!+#REF!</f>
        <v>#REF!</v>
      </c>
      <c r="S21" s="621">
        <f t="shared" si="10"/>
        <v>0</v>
      </c>
      <c r="T21" s="499"/>
      <c r="U21" s="638">
        <f t="shared" si="11"/>
        <v>0</v>
      </c>
      <c r="V21" s="622">
        <f t="shared" si="12"/>
        <v>0</v>
      </c>
      <c r="W21" s="623">
        <f t="shared" si="13"/>
        <v>0</v>
      </c>
      <c r="X21" s="347"/>
      <c r="Y21" s="614" t="e">
        <f t="shared" si="14"/>
        <v>#REF!</v>
      </c>
      <c r="Z21" s="622" t="e">
        <f>+'F-100'!Z21+'F-200'!Z21+'F-300'!Z21+'F-400'!Z21+'F-500'!Z21+'F-600'!Z21+#REF!+#REF!+#REF!+#REF!+#REF!+#REF!</f>
        <v>#REF!</v>
      </c>
      <c r="AA21" s="622" t="e">
        <f>+'F-100'!AA21+'F-200'!AA21+'F-300'!AA21+'F-400'!AA21+'F-500'!AA21+'F-600'!AA21+#REF!+#REF!+#REF!+#REF!+#REF!+#REF!</f>
        <v>#REF!</v>
      </c>
      <c r="AB21" s="622" t="e">
        <f>+'F-100'!AB21+'F-200'!AB21+'F-300'!AB21+'F-400'!AB21+'F-500'!AB21+'F-600'!AB21+#REF!+#REF!+#REF!+#REF!+#REF!+#REF!</f>
        <v>#REF!</v>
      </c>
      <c r="AC21" s="621" t="e">
        <f>+'F-100'!AC21+'F-200'!AC21+'F-300'!AC21+'F-400'!AC21+'F-500'!AC21+'F-600'!AC21+#REF!+#REF!+#REF!+#REF!+#REF!+#REF!</f>
        <v>#REF!</v>
      </c>
      <c r="AD21" s="347"/>
      <c r="AE21" s="478" t="e">
        <f>+'F-100'!AE21+'F-200'!AE21+'F-300'!AE21+'F-400'!AE21+'F-500'!AE21+'F-600'!AE21+#REF!+#REF!+#REF!+#REF!+#REF!+#REF!</f>
        <v>#REF!</v>
      </c>
      <c r="AF21" s="444"/>
      <c r="AG21" s="531" t="e">
        <f t="shared" si="16"/>
        <v>#REF!</v>
      </c>
      <c r="AH21" s="296"/>
      <c r="AI21" s="295"/>
      <c r="AJ21" s="401" t="e">
        <f t="shared" si="15"/>
        <v>#REF!</v>
      </c>
      <c r="AK21" s="398" t="e">
        <f>+'F-100'!AK21+'F-200'!AK21+'F-300'!AJ21+'F-400'!AJ21+'F-500'!AJ21+'F-600'!AJ21+#REF!+#REF!+#REF!+#REF!+#REF!+#REF!</f>
        <v>#REF!</v>
      </c>
      <c r="AL21" s="398"/>
      <c r="AM21" s="398"/>
      <c r="AN21" s="398"/>
      <c r="AO21" s="398"/>
      <c r="AP21" s="398"/>
      <c r="AQ21" s="398"/>
      <c r="AR21" s="295"/>
      <c r="AS21" s="295"/>
    </row>
    <row r="22" spans="2:45" s="5" customFormat="1" ht="18.75" x14ac:dyDescent="0.3">
      <c r="B22" s="15"/>
      <c r="C22" s="16" t="s">
        <v>25</v>
      </c>
      <c r="E22" s="657" t="e">
        <f>+'F-100'!E22+'F-200'!E22+'F-300'!E22+'F-400'!E22+'F-500'!E22+'F-600'!E22+#REF!+#REF!+#REF!+#REF!+#REF!+#REF!</f>
        <v>#REF!</v>
      </c>
      <c r="F22" s="499"/>
      <c r="G22" s="638" t="e">
        <f>+'F-100'!G22+'F-200'!G22+'F-300'!G22+'F-400'!G22+'F-500'!G22+'F-600'!G22+#REF!+#REF!+#REF!+#REF!+#REF!+#REF!</f>
        <v>#REF!</v>
      </c>
      <c r="H22" s="658" t="e">
        <f>+'F-100'!H22+'F-200'!H22+'F-300'!H22+'F-400'!H22+'F-500'!H22+'F-600'!H22+#REF!+#REF!+#REF!+#REF!+#REF!+#REF!</f>
        <v>#REF!</v>
      </c>
      <c r="I22" s="499"/>
      <c r="J22" s="638" t="e">
        <f>+'F-100'!J22+'F-200'!J22+'F-300'!J22+'F-400'!J22+'F-500'!J22+'F-600'!J22+#REF!+#REF!+#REF!+#REF!+#REF!+#REF!</f>
        <v>#REF!</v>
      </c>
      <c r="K22" s="620" t="e">
        <f>+'F-100'!K22+'F-200'!K22+'F-300'!K22+'F-400'!K22+'F-500'!K22+'F-600'!K22+#REF!+#REF!+#REF!+#REF!+#REF!+#REF!</f>
        <v>#REF!</v>
      </c>
      <c r="L22" s="621" t="e">
        <f>+'F-100'!L22+'F-200'!L22+'F-300'!L22+'F-400'!L22+'F-500'!L22+'F-600'!L22+#REF!+#REF!+#REF!+#REF!+#REF!+#REF!</f>
        <v>#REF!</v>
      </c>
      <c r="M22" s="499"/>
      <c r="N22" s="640" t="e">
        <f>+'F-100'!N22+'F-200'!N22+'F-300'!N22+'F-400'!N22+'F-500'!N22+'F-600'!N22+#REF!+#REF!+#REF!+#REF!+#REF!+#REF!</f>
        <v>#REF!</v>
      </c>
      <c r="O22" s="620" t="e">
        <f>+'F-100'!O22+'F-200'!O22+'F-300'!O22+'F-400'!O22+'F-500'!O22+'F-600'!O22+#REF!+#REF!+#REF!+#REF!+#REF!+#REF!</f>
        <v>#REF!</v>
      </c>
      <c r="P22" s="620" t="e">
        <f>+'F-100'!P22+'F-200'!P22+'F-300'!P22+'F-400'!P22+'F-500'!P22+'F-600'!P22+#REF!+#REF!+#REF!+#REF!+#REF!+#REF!</f>
        <v>#REF!</v>
      </c>
      <c r="Q22" s="620" t="e">
        <f>+'F-100'!Q22+'F-200'!Q22+'F-300'!Q22+'F-400'!Q22+'F-500'!Q22+'F-600'!Q22+#REF!+#REF!+#REF!+#REF!+#REF!+#REF!</f>
        <v>#REF!</v>
      </c>
      <c r="R22" s="620" t="e">
        <f>+'F-100'!R22+'F-200'!R22+'F-300'!R22+'F-400'!R22+'F-500'!R22+'F-600'!R22+#REF!+#REF!+#REF!+#REF!+#REF!+#REF!</f>
        <v>#REF!</v>
      </c>
      <c r="S22" s="639">
        <f t="shared" si="10"/>
        <v>0</v>
      </c>
      <c r="T22" s="499"/>
      <c r="U22" s="638">
        <f t="shared" si="11"/>
        <v>0</v>
      </c>
      <c r="V22" s="622">
        <f t="shared" si="12"/>
        <v>0</v>
      </c>
      <c r="W22" s="624">
        <f t="shared" si="13"/>
        <v>0</v>
      </c>
      <c r="X22" s="347"/>
      <c r="Y22" s="614" t="e">
        <f t="shared" si="14"/>
        <v>#REF!</v>
      </c>
      <c r="Z22" s="622" t="e">
        <f>+'F-100'!Z22+'F-200'!Z22+'F-300'!Z22+'F-400'!Z22+'F-500'!Z22+'F-600'!Z22+#REF!+#REF!+#REF!+#REF!+#REF!+#REF!</f>
        <v>#REF!</v>
      </c>
      <c r="AA22" s="622" t="e">
        <f>+'F-100'!AA22+'F-200'!AA22+'F-300'!AA22+'F-400'!AA22+'F-500'!AA22+'F-600'!AA22+#REF!+#REF!+#REF!+#REF!+#REF!+#REF!</f>
        <v>#REF!</v>
      </c>
      <c r="AB22" s="622" t="e">
        <f>+'F-100'!AB22+'F-200'!AB22+'F-300'!AB22+'F-400'!AB22+'F-500'!AB22+'F-600'!AB22+#REF!+#REF!+#REF!+#REF!+#REF!+#REF!</f>
        <v>#REF!</v>
      </c>
      <c r="AC22" s="621" t="e">
        <f>+'F-100'!AC22+'F-200'!AC22+'F-300'!AC22+'F-400'!AC22+'F-500'!AC22+'F-600'!AC22+#REF!+#REF!+#REF!+#REF!+#REF!+#REF!</f>
        <v>#REF!</v>
      </c>
      <c r="AD22" s="347"/>
      <c r="AE22" s="652" t="e">
        <f>+'F-100'!AE22+'F-200'!AE22+'F-300'!AE22+'F-400'!AE22+'F-500'!AE22+'F-600'!AE22+#REF!+#REF!+#REF!+#REF!+#REF!+#REF!</f>
        <v>#REF!</v>
      </c>
      <c r="AF22" s="444"/>
      <c r="AG22" s="531" t="e">
        <f t="shared" si="16"/>
        <v>#REF!</v>
      </c>
      <c r="AH22" s="296"/>
      <c r="AI22" s="295"/>
      <c r="AJ22" s="401" t="e">
        <f t="shared" si="15"/>
        <v>#REF!</v>
      </c>
      <c r="AK22" s="398" t="e">
        <f>+'F-100'!AK22+'F-200'!AK22+'F-300'!AJ22+'F-400'!AJ22+'F-500'!AJ22+'F-600'!AJ22+#REF!+#REF!+#REF!+#REF!+#REF!+#REF!</f>
        <v>#REF!</v>
      </c>
      <c r="AL22" s="398"/>
      <c r="AM22" s="398"/>
      <c r="AN22" s="398"/>
      <c r="AO22" s="398"/>
      <c r="AP22" s="398"/>
      <c r="AQ22" s="398"/>
      <c r="AR22" s="295"/>
      <c r="AS22" s="295"/>
    </row>
    <row r="23" spans="2:45" s="5" customFormat="1" ht="18.75" x14ac:dyDescent="0.3">
      <c r="B23" s="15"/>
      <c r="C23" s="16" t="s">
        <v>14</v>
      </c>
      <c r="E23" s="652" t="e">
        <f>+'F-100'!E23+'F-200'!E23+'F-300'!E23+'F-400'!E23+'F-500'!E23+'F-600'!E23+#REF!+#REF!+#REF!+#REF!+#REF!+#REF!</f>
        <v>#REF!</v>
      </c>
      <c r="F23" s="499"/>
      <c r="G23" s="640" t="e">
        <f>+'F-100'!G23+'F-200'!G23+'F-300'!G23+'F-400'!G23+'F-500'!G23+'F-600'!G23+#REF!+#REF!+#REF!+#REF!+#REF!+#REF!</f>
        <v>#REF!</v>
      </c>
      <c r="H23" s="658" t="e">
        <f>+'F-100'!H23+'F-200'!H23+'F-300'!H23+'F-400'!H23+'F-500'!H23+'F-600'!H23+#REF!+#REF!+#REF!+#REF!+#REF!+#REF!</f>
        <v>#REF!</v>
      </c>
      <c r="I23" s="499"/>
      <c r="J23" s="638" t="e">
        <f>+'F-100'!J23+'F-200'!J23+'F-300'!J23+'F-400'!J23+'F-500'!J23+'F-600'!J23+#REF!+#REF!+#REF!+#REF!+#REF!+#REF!</f>
        <v>#REF!</v>
      </c>
      <c r="K23" s="622" t="e">
        <f>+'F-100'!K23+'F-200'!K23+'F-300'!K23+'F-400'!K23+'F-500'!K23+'F-600'!K23+#REF!+#REF!+#REF!+#REF!+#REF!+#REF!</f>
        <v>#REF!</v>
      </c>
      <c r="L23" s="621" t="e">
        <f>+'F-100'!L23+'F-200'!L23+'F-300'!L23+'F-400'!L23+'F-500'!L23+'F-600'!L23+#REF!+#REF!+#REF!+#REF!+#REF!+#REF!</f>
        <v>#REF!</v>
      </c>
      <c r="M23" s="499"/>
      <c r="N23" s="638" t="e">
        <f>+'F-100'!N23+'F-200'!N23+'F-300'!N23+'F-400'!N23+'F-500'!N23+'F-600'!N23+#REF!+#REF!+#REF!+#REF!+#REF!+#REF!</f>
        <v>#REF!</v>
      </c>
      <c r="O23" s="622" t="e">
        <f>+'F-100'!O23+'F-200'!O23+'F-300'!O23+'F-400'!O23+'F-500'!O23+'F-600'!O23+#REF!+#REF!+#REF!+#REF!+#REF!+#REF!</f>
        <v>#REF!</v>
      </c>
      <c r="P23" s="622" t="e">
        <f>+'F-100'!P23+'F-200'!P23+'F-300'!P23+'F-400'!P23+'F-500'!P23+'F-600'!P23+#REF!+#REF!+#REF!+#REF!+#REF!+#REF!</f>
        <v>#REF!</v>
      </c>
      <c r="Q23" s="622" t="e">
        <f>+'F-100'!Q23+'F-200'!Q23+'F-300'!Q23+'F-400'!Q23+'F-500'!Q23+'F-600'!Q23+#REF!+#REF!+#REF!+#REF!+#REF!+#REF!</f>
        <v>#REF!</v>
      </c>
      <c r="R23" s="622" t="e">
        <f>+'F-100'!R23+'F-200'!R23+'F-300'!R23+'F-400'!R23+'F-500'!R23+'F-600'!R23+#REF!+#REF!+#REF!+#REF!+#REF!+#REF!</f>
        <v>#REF!</v>
      </c>
      <c r="S23" s="621">
        <f t="shared" si="10"/>
        <v>0</v>
      </c>
      <c r="T23" s="499"/>
      <c r="U23" s="638">
        <f t="shared" si="11"/>
        <v>0</v>
      </c>
      <c r="V23" s="622">
        <f t="shared" si="12"/>
        <v>0</v>
      </c>
      <c r="W23" s="623">
        <f t="shared" si="13"/>
        <v>0</v>
      </c>
      <c r="X23" s="347"/>
      <c r="Y23" s="614" t="e">
        <f t="shared" si="14"/>
        <v>#REF!</v>
      </c>
      <c r="Z23" s="620" t="e">
        <f ca="1">+'F-100'!Z23+'F-200'!Z23+'F-300'!Z23+'F-400'!Z23+'F-500'!Z23+'F-600'!Z23+#REF!+#REF!+#REF!+#REF!+#REF!+#REF!</f>
        <v>#REF!</v>
      </c>
      <c r="AA23" s="620" t="e">
        <f ca="1">+'F-100'!AA23+'F-200'!AA23+'F-300'!AA23+'F-400'!AA23+'F-500'!AA23+'F-600'!AA23+#REF!+#REF!+#REF!+#REF!+#REF!+#REF!</f>
        <v>#REF!</v>
      </c>
      <c r="AB23" s="620" t="e">
        <f ca="1">+'F-100'!AB23+'F-200'!AB23+'F-300'!AB23+'F-400'!AB23+'F-500'!AB23+'F-600'!AB23+#REF!+#REF!+#REF!+#REF!+#REF!+#REF!</f>
        <v>#REF!</v>
      </c>
      <c r="AC23" s="639" t="e">
        <f>+'F-100'!AC23+'F-200'!AC23+'F-300'!AC23+'F-400'!AC23+'F-500'!AC23+'F-600'!AC23+#REF!+#REF!+#REF!+#REF!+#REF!+#REF!</f>
        <v>#REF!</v>
      </c>
      <c r="AD23" s="347"/>
      <c r="AE23" s="478" t="e">
        <f>+'F-100'!AE23+'F-200'!AE23+'F-300'!AE23+'F-400'!AE23+'F-500'!AE23+'F-600'!AE23+#REF!+#REF!+#REF!+#REF!+#REF!+#REF!</f>
        <v>#REF!</v>
      </c>
      <c r="AF23" s="444"/>
      <c r="AG23" s="531" t="e">
        <f t="shared" si="16"/>
        <v>#REF!</v>
      </c>
      <c r="AH23" s="296"/>
      <c r="AI23" s="295"/>
      <c r="AJ23" s="401" t="e">
        <f t="shared" si="15"/>
        <v>#REF!</v>
      </c>
      <c r="AK23" s="398" t="e">
        <f>+'F-100'!AK23+'F-200'!AK23+'F-300'!AJ23+'F-400'!AJ23+'F-500'!AJ23+'F-600'!AJ23+#REF!+#REF!+#REF!+#REF!+#REF!+#REF!</f>
        <v>#REF!</v>
      </c>
      <c r="AL23" s="398"/>
      <c r="AM23" s="398"/>
      <c r="AN23" s="398"/>
      <c r="AO23" s="398"/>
      <c r="AP23" s="398"/>
      <c r="AQ23" s="398"/>
      <c r="AR23" s="295"/>
      <c r="AS23" s="295"/>
    </row>
    <row r="24" spans="2:45" s="5" customFormat="1" ht="18.75" x14ac:dyDescent="0.3">
      <c r="B24" s="15" t="s">
        <v>13</v>
      </c>
      <c r="C24" s="16"/>
      <c r="E24" s="652" t="e">
        <f>+'F-100'!E24+'F-200'!E24+'F-300'!E24+'F-400'!E24+'F-500'!E24+'F-600'!E24+#REF!+#REF!+#REF!+#REF!+#REF!+#REF!</f>
        <v>#REF!</v>
      </c>
      <c r="F24" s="499"/>
      <c r="G24" s="638" t="e">
        <f>+'F-100'!G24+'F-200'!G24+'F-300'!G24+'F-400'!G24+'F-500'!G24+'F-600'!G24+#REF!+#REF!+#REF!+#REF!+#REF!+#REF!</f>
        <v>#REF!</v>
      </c>
      <c r="H24" s="658" t="e">
        <f>+'F-100'!H24+'F-200'!H24+'F-300'!H24+'F-400'!H24+'F-500'!H24+'F-600'!H24+#REF!+#REF!+#REF!+#REF!+#REF!+#REF!</f>
        <v>#REF!</v>
      </c>
      <c r="I24" s="499"/>
      <c r="J24" s="638" t="e">
        <f>+'F-100'!J24+'F-200'!J24+'F-300'!J24+'F-400'!J24+'F-500'!J24+'F-600'!J24+#REF!+#REF!+#REF!+#REF!+#REF!+#REF!</f>
        <v>#REF!</v>
      </c>
      <c r="K24" s="622" t="e">
        <f>+'F-100'!K24+'F-200'!K24+'F-300'!K24+'F-400'!K24+'F-500'!K24+'F-600'!K24+#REF!+#REF!+#REF!+#REF!+#REF!+#REF!</f>
        <v>#REF!</v>
      </c>
      <c r="L24" s="621" t="e">
        <f>+'F-100'!L24+'F-200'!L24+'F-300'!L24+'F-400'!L24+'F-500'!L24+'F-600'!L24+#REF!+#REF!+#REF!+#REF!+#REF!+#REF!</f>
        <v>#REF!</v>
      </c>
      <c r="M24" s="499"/>
      <c r="N24" s="638" t="e">
        <f>+'F-100'!N24+'F-200'!N24+'F-300'!N24+'F-400'!N24+'F-500'!N24+'F-600'!N24+#REF!+#REF!+#REF!+#REF!+#REF!+#REF!</f>
        <v>#REF!</v>
      </c>
      <c r="O24" s="622" t="e">
        <f>+'F-100'!O24+'F-200'!O24+'F-300'!O24+'F-400'!O24+'F-500'!O24+'F-600'!O24+#REF!+#REF!+#REF!+#REF!+#REF!+#REF!</f>
        <v>#REF!</v>
      </c>
      <c r="P24" s="622" t="e">
        <f>+'F-100'!P24+'F-200'!P24+'F-300'!P24+'F-400'!P24+'F-500'!P24+'F-600'!P24+#REF!+#REF!+#REF!+#REF!+#REF!+#REF!</f>
        <v>#REF!</v>
      </c>
      <c r="Q24" s="622" t="e">
        <f>+'F-100'!Q24+'F-200'!Q24+'F-300'!Q24+'F-400'!Q24+'F-500'!Q24+'F-600'!Q24+#REF!+#REF!+#REF!+#REF!+#REF!+#REF!</f>
        <v>#REF!</v>
      </c>
      <c r="R24" s="622" t="e">
        <f>+'F-100'!R24+'F-200'!R24+'F-300'!R24+'F-400'!R24+'F-500'!R24+'F-600'!R24+#REF!+#REF!+#REF!+#REF!+#REF!+#REF!</f>
        <v>#REF!</v>
      </c>
      <c r="S24" s="621">
        <f t="shared" si="10"/>
        <v>0</v>
      </c>
      <c r="T24" s="499"/>
      <c r="U24" s="638">
        <f t="shared" si="11"/>
        <v>0</v>
      </c>
      <c r="V24" s="622">
        <f t="shared" si="12"/>
        <v>0</v>
      </c>
      <c r="W24" s="623">
        <f t="shared" si="13"/>
        <v>0</v>
      </c>
      <c r="X24" s="347"/>
      <c r="Y24" s="614" t="e">
        <f t="shared" si="14"/>
        <v>#REF!</v>
      </c>
      <c r="Z24" s="622" t="e">
        <f>+'F-100'!Z24+'F-200'!Z24+'F-300'!Z24+'F-400'!Z24+'F-500'!Z24+'F-600'!Z24+#REF!+#REF!+#REF!+#REF!+#REF!+#REF!</f>
        <v>#REF!</v>
      </c>
      <c r="AA24" s="622" t="e">
        <f>+'F-100'!AA24+'F-200'!AA24+'F-300'!AA24+'F-400'!AA24+'F-500'!AA24+'F-600'!AA24+#REF!+#REF!+#REF!+#REF!+#REF!+#REF!</f>
        <v>#REF!</v>
      </c>
      <c r="AB24" s="622" t="e">
        <f>+'F-100'!AB24+'F-200'!AB24+'F-300'!AB24+'F-400'!AB24+'F-500'!AB24+'F-600'!AB24+#REF!+#REF!+#REF!+#REF!+#REF!+#REF!</f>
        <v>#REF!</v>
      </c>
      <c r="AC24" s="621" t="e">
        <f>+'F-100'!AC24+'F-200'!AC24+'F-300'!AC24+'F-400'!AC24+'F-500'!AC24+'F-600'!AC24+#REF!+#REF!+#REF!+#REF!+#REF!+#REF!</f>
        <v>#REF!</v>
      </c>
      <c r="AD24" s="347"/>
      <c r="AE24" s="652" t="e">
        <f>+'F-100'!AE24+'F-200'!AE24+'F-300'!AE24+'F-400'!AE24+'F-500'!AE24+'F-600'!AE24+#REF!+#REF!+#REF!+#REF!+#REF!+#REF!</f>
        <v>#REF!</v>
      </c>
      <c r="AF24" s="444"/>
      <c r="AG24" s="531" t="e">
        <f t="shared" si="16"/>
        <v>#REF!</v>
      </c>
      <c r="AH24" s="296"/>
      <c r="AI24" s="295"/>
      <c r="AJ24" s="401" t="e">
        <f t="shared" si="15"/>
        <v>#REF!</v>
      </c>
      <c r="AK24" s="398" t="e">
        <f>+'F-100'!AK24+'F-200'!AK24+'F-300'!AJ24+'F-400'!AJ24+'F-500'!AJ24+'F-600'!AJ24+#REF!+#REF!+#REF!+#REF!+#REF!+#REF!</f>
        <v>#REF!</v>
      </c>
      <c r="AL24" s="398"/>
      <c r="AM24" s="398"/>
      <c r="AN24" s="398"/>
      <c r="AO24" s="398"/>
      <c r="AP24" s="398"/>
      <c r="AQ24" s="398"/>
      <c r="AR24" s="295"/>
      <c r="AS24" s="295"/>
    </row>
    <row r="25" spans="2:45" s="5" customFormat="1" ht="18.75" x14ac:dyDescent="0.3">
      <c r="B25" s="15" t="s">
        <v>31</v>
      </c>
      <c r="C25" s="16"/>
      <c r="E25" s="637" t="e">
        <f>+'F-100'!E25+'F-200'!E25+'F-300'!E25+'F-400'!E25+'F-500'!E25+'F-600'!E25+#REF!+#REF!+#REF!+#REF!+#REF!+#REF!</f>
        <v>#REF!</v>
      </c>
      <c r="F25" s="499"/>
      <c r="G25" s="614" t="e">
        <f>+'F-100'!G25+'F-200'!G25+'F-300'!G25+'F-400'!G25+'F-500'!G25+'F-600'!G25+#REF!+#REF!+#REF!+#REF!+#REF!+#REF!</f>
        <v>#REF!</v>
      </c>
      <c r="H25" s="658" t="e">
        <f>+'F-100'!H25+'F-200'!H25+'F-300'!H25+'F-400'!H25+'F-500'!H25+'F-600'!H25+#REF!+#REF!+#REF!+#REF!+#REF!+#REF!</f>
        <v>#REF!</v>
      </c>
      <c r="I25" s="499"/>
      <c r="J25" s="638" t="e">
        <f>+'F-100'!J25+'F-200'!J25+'F-300'!J25+'F-400'!J25+'F-500'!J25+'F-600'!J25+#REF!+#REF!+#REF!+#REF!+#REF!+#REF!</f>
        <v>#REF!</v>
      </c>
      <c r="K25" s="615" t="e">
        <f>+'F-100'!K25+'F-200'!K25+'F-300'!K25+'F-400'!K25+'F-500'!K25+'F-600'!K25+#REF!+#REF!+#REF!+#REF!+#REF!+#REF!</f>
        <v>#REF!</v>
      </c>
      <c r="L25" s="621" t="e">
        <f>+'F-100'!L25+'F-200'!L25+'F-300'!L25+'F-400'!L25+'F-500'!L25+'F-600'!L25+#REF!+#REF!+#REF!+#REF!+#REF!+#REF!</f>
        <v>#REF!</v>
      </c>
      <c r="M25" s="499"/>
      <c r="N25" s="614" t="e">
        <f>+'F-100'!N25+'F-200'!N25+'F-300'!N25+'F-400'!N25+'F-500'!N25+'F-600'!N25+#REF!+#REF!+#REF!+#REF!+#REF!+#REF!</f>
        <v>#REF!</v>
      </c>
      <c r="O25" s="615" t="e">
        <f>+'F-100'!O25+'F-200'!O25+'F-300'!O25+'F-400'!O25+'F-500'!O25+'F-600'!O25+#REF!+#REF!+#REF!+#REF!+#REF!+#REF!</f>
        <v>#REF!</v>
      </c>
      <c r="P25" s="615" t="e">
        <f>+'F-100'!P25+'F-200'!P25+'F-300'!P25+'F-400'!P25+'F-500'!P25+'F-600'!P25+#REF!+#REF!+#REF!+#REF!+#REF!+#REF!</f>
        <v>#REF!</v>
      </c>
      <c r="Q25" s="615" t="e">
        <f>+'F-100'!Q25+'F-200'!Q25+'F-300'!Q25+'F-400'!Q25+'F-500'!Q25+'F-600'!Q25+#REF!+#REF!+#REF!+#REF!+#REF!+#REF!</f>
        <v>#REF!</v>
      </c>
      <c r="R25" s="615" t="e">
        <f>+'F-100'!R25+'F-200'!R25+'F-300'!R25+'F-400'!R25+'F-500'!R25+'F-600'!R25+#REF!+#REF!+#REF!+#REF!+#REF!+#REF!</f>
        <v>#REF!</v>
      </c>
      <c r="S25" s="641">
        <f t="shared" si="10"/>
        <v>0</v>
      </c>
      <c r="T25" s="499"/>
      <c r="U25" s="638">
        <f t="shared" si="11"/>
        <v>0</v>
      </c>
      <c r="V25" s="622">
        <f t="shared" si="12"/>
        <v>0</v>
      </c>
      <c r="W25" s="616">
        <f t="shared" si="13"/>
        <v>0</v>
      </c>
      <c r="X25" s="347"/>
      <c r="Y25" s="614" t="e">
        <f t="shared" si="14"/>
        <v>#REF!</v>
      </c>
      <c r="Z25" s="622" t="e">
        <f>+'F-100'!Z25+'F-200'!Z25+'F-300'!Z25+'F-400'!Z25+'F-500'!Z25+'F-600'!Z25+#REF!+#REF!+#REF!+#REF!+#REF!+#REF!</f>
        <v>#REF!</v>
      </c>
      <c r="AA25" s="622" t="e">
        <f>+'F-100'!AA25+'F-200'!AA25+'F-300'!AA25+'F-400'!AA25+'F-500'!AA25+'F-600'!AA25+#REF!+#REF!+#REF!+#REF!+#REF!+#REF!</f>
        <v>#REF!</v>
      </c>
      <c r="AB25" s="622" t="e">
        <f>+'F-100'!AB25+'F-200'!AB25+'F-300'!AB25+'F-400'!AB25+'F-500'!AB25+'F-600'!AB25+#REF!+#REF!+#REF!+#REF!+#REF!+#REF!</f>
        <v>#REF!</v>
      </c>
      <c r="AC25" s="621" t="e">
        <f>+'F-100'!AC25+'F-200'!AC25+'F-300'!AC25+'F-400'!AC25+'F-500'!AC25+'F-600'!AC25+#REF!+#REF!+#REF!+#REF!+#REF!+#REF!</f>
        <v>#REF!</v>
      </c>
      <c r="AD25" s="347"/>
      <c r="AE25" s="652" t="e">
        <f>+'F-100'!AE25+'F-200'!AE25+'F-300'!AE25+'F-400'!AE25+'F-500'!AE25+'F-600'!AE25+#REF!+#REF!+#REF!+#REF!+#REF!+#REF!</f>
        <v>#REF!</v>
      </c>
      <c r="AF25" s="444"/>
      <c r="AG25" s="531" t="e">
        <f t="shared" si="16"/>
        <v>#REF!</v>
      </c>
      <c r="AH25" s="296"/>
      <c r="AI25" s="295"/>
      <c r="AJ25" s="397" t="e">
        <f t="shared" si="15"/>
        <v>#REF!</v>
      </c>
      <c r="AK25" s="398" t="e">
        <f>+'F-100'!AK25+'F-200'!AK25+'F-300'!AJ25+'F-400'!AJ25+'F-500'!AJ25+'F-600'!AJ25+#REF!+#REF!+#REF!+#REF!+#REF!+#REF!</f>
        <v>#REF!</v>
      </c>
      <c r="AL25" s="398"/>
      <c r="AM25" s="398"/>
      <c r="AN25" s="398"/>
      <c r="AO25" s="398"/>
      <c r="AP25" s="398"/>
      <c r="AQ25" s="398"/>
      <c r="AR25" s="295"/>
      <c r="AS25" s="295"/>
    </row>
    <row r="26" spans="2:45" s="5" customFormat="1" ht="18.75" x14ac:dyDescent="0.3">
      <c r="B26" s="17" t="s">
        <v>15</v>
      </c>
      <c r="C26" s="18"/>
      <c r="E26" s="642" t="e">
        <f>+'F-100'!E26+'F-200'!E26+'F-300'!E26+'F-400'!E26+'F-500'!E26+'F-600'!E26+#REF!+#REF!+#REF!+#REF!+#REF!+#REF!</f>
        <v>#REF!</v>
      </c>
      <c r="F26" s="499"/>
      <c r="G26" s="617" t="e">
        <f>+'F-100'!G26+'F-200'!G26+'F-300'!G26+'F-400'!G26+'F-500'!G26+'F-600'!G26+#REF!+#REF!+#REF!+#REF!+#REF!+#REF!</f>
        <v>#REF!</v>
      </c>
      <c r="H26" s="655" t="e">
        <f>+'F-100'!H26+'F-200'!H26+'F-300'!H26+'F-400'!H26+'F-500'!H26+'F-600'!H26+#REF!+#REF!+#REF!+#REF!+#REF!+#REF!</f>
        <v>#REF!</v>
      </c>
      <c r="I26" s="499"/>
      <c r="J26" s="617" t="e">
        <f>+'F-100'!J26+'F-200'!J26+'F-300'!J26+'F-400'!J26+'F-500'!J26+'F-600'!J26+#REF!+#REF!+#REF!+#REF!+#REF!+#REF!</f>
        <v>#REF!</v>
      </c>
      <c r="K26" s="618" t="e">
        <f>+'F-100'!K26+'F-200'!K26+'F-300'!K26+'F-400'!K26+'F-500'!K26+'F-600'!K26+#REF!+#REF!+#REF!+#REF!+#REF!+#REF!</f>
        <v>#REF!</v>
      </c>
      <c r="L26" s="643" t="e">
        <f>+'F-100'!L26+'F-200'!L26+'F-300'!L26+'F-400'!L26+'F-500'!L26+'F-600'!L26+#REF!+#REF!+#REF!+#REF!+#REF!+#REF!</f>
        <v>#REF!</v>
      </c>
      <c r="M26" s="499"/>
      <c r="N26" s="617" t="e">
        <f>+'F-100'!N26+'F-200'!N26+'F-300'!N26+'F-400'!N26+'F-500'!N26+'F-600'!N26+#REF!+#REF!+#REF!+#REF!+#REF!+#REF!</f>
        <v>#REF!</v>
      </c>
      <c r="O26" s="618" t="e">
        <f>+'F-100'!O26+'F-200'!O26+'F-300'!O26+'F-400'!O26+'F-500'!O26+'F-600'!O26+#REF!+#REF!+#REF!+#REF!+#REF!+#REF!</f>
        <v>#REF!</v>
      </c>
      <c r="P26" s="618" t="e">
        <f>+'F-100'!P26+'F-200'!P26+'F-300'!P26+'F-400'!P26+'F-500'!P26+'F-600'!P26+#REF!+#REF!+#REF!+#REF!+#REF!+#REF!</f>
        <v>#REF!</v>
      </c>
      <c r="Q26" s="618" t="e">
        <f>+'F-100'!Q26+'F-200'!Q26+'F-300'!Q26+'F-400'!Q26+'F-500'!Q26+'F-600'!Q26+#REF!+#REF!+#REF!+#REF!+#REF!+#REF!</f>
        <v>#REF!</v>
      </c>
      <c r="R26" s="618" t="e">
        <f>+'F-100'!R26+'F-200'!R26+'F-300'!R26+'F-400'!R26+'F-500'!R26+'F-600'!R26+#REF!+#REF!+#REF!+#REF!+#REF!+#REF!</f>
        <v>#REF!</v>
      </c>
      <c r="S26" s="643">
        <f t="shared" si="10"/>
        <v>0</v>
      </c>
      <c r="T26" s="499"/>
      <c r="U26" s="617">
        <f t="shared" si="11"/>
        <v>0</v>
      </c>
      <c r="V26" s="618">
        <f t="shared" si="12"/>
        <v>0</v>
      </c>
      <c r="W26" s="619">
        <f t="shared" si="13"/>
        <v>0</v>
      </c>
      <c r="X26" s="347"/>
      <c r="Y26" s="617" t="e">
        <f t="shared" si="14"/>
        <v>#REF!</v>
      </c>
      <c r="Z26" s="618" t="e">
        <f>+'F-100'!Z26+'F-200'!Z26+'F-300'!Z26+'F-400'!Z26+'F-500'!Z26+'F-600'!Z26+#REF!+#REF!+#REF!+#REF!+#REF!+#REF!</f>
        <v>#REF!</v>
      </c>
      <c r="AA26" s="618" t="e">
        <f>+'F-100'!AA26+'F-200'!AA26+'F-300'!AA26+'F-400'!AA26+'F-500'!AA26+'F-600'!AA26+#REF!+#REF!+#REF!+#REF!+#REF!+#REF!</f>
        <v>#REF!</v>
      </c>
      <c r="AB26" s="618" t="e">
        <f>+'F-100'!AB26+'F-200'!AB26+'F-300'!AB26+'F-400'!AB26+'F-500'!AB26+'F-600'!AB26+#REF!+#REF!+#REF!+#REF!+#REF!+#REF!</f>
        <v>#REF!</v>
      </c>
      <c r="AC26" s="643" t="e">
        <f>+'F-100'!AC26+'F-200'!AC26+'F-300'!AC26+'F-400'!AC26+'F-500'!AC26+'F-600'!AC26+#REF!+#REF!+#REF!+#REF!+#REF!+#REF!</f>
        <v>#REF!</v>
      </c>
      <c r="AD26" s="347"/>
      <c r="AE26" s="642" t="e">
        <f>+'F-100'!AE26+'F-200'!AE26+'F-300'!AE26+'F-400'!AE26+'F-500'!AE26+'F-600'!AE26+#REF!+#REF!+#REF!+#REF!+#REF!+#REF!</f>
        <v>#REF!</v>
      </c>
      <c r="AF26" s="444"/>
      <c r="AG26" s="531" t="e">
        <f t="shared" si="16"/>
        <v>#REF!</v>
      </c>
      <c r="AH26" s="296"/>
      <c r="AI26" s="295"/>
      <c r="AJ26" s="401" t="e">
        <f t="shared" si="15"/>
        <v>#REF!</v>
      </c>
      <c r="AK26" s="398" t="e">
        <f>+'F-100'!AK26+'F-200'!AK26+'F-300'!AJ26+'F-400'!AJ26+'F-500'!AJ26+'F-600'!AJ26+#REF!+#REF!+#REF!+#REF!+#REF!+#REF!</f>
        <v>#REF!</v>
      </c>
      <c r="AL26" s="398"/>
      <c r="AM26" s="398"/>
      <c r="AN26" s="398"/>
      <c r="AO26" s="398"/>
      <c r="AP26" s="398"/>
      <c r="AQ26" s="398"/>
      <c r="AR26" s="295"/>
      <c r="AS26" s="295"/>
    </row>
    <row r="27" spans="2:45" s="5" customFormat="1" ht="7.5" customHeight="1" x14ac:dyDescent="0.3">
      <c r="E27" s="499"/>
      <c r="F27" s="499"/>
      <c r="G27" s="499"/>
      <c r="H27" s="499"/>
      <c r="I27" s="499"/>
      <c r="J27" s="499"/>
      <c r="K27" s="499"/>
      <c r="L27" s="499"/>
      <c r="M27" s="499"/>
      <c r="N27" s="499"/>
      <c r="O27" s="499"/>
      <c r="P27" s="499"/>
      <c r="Q27" s="499"/>
      <c r="R27" s="499"/>
      <c r="S27" s="499"/>
      <c r="T27" s="499"/>
      <c r="U27" s="499"/>
      <c r="V27" s="499"/>
      <c r="W27" s="499"/>
      <c r="X27" s="347"/>
      <c r="Y27" s="499"/>
      <c r="Z27" s="499"/>
      <c r="AA27" s="499"/>
      <c r="AB27" s="499"/>
      <c r="AC27" s="499"/>
      <c r="AD27" s="347"/>
      <c r="AE27" s="499"/>
      <c r="AF27" s="442"/>
      <c r="AG27" s="532"/>
      <c r="AH27" s="296"/>
      <c r="AI27" s="295"/>
      <c r="AJ27" s="396"/>
      <c r="AK27" s="402"/>
      <c r="AL27" s="402"/>
      <c r="AM27" s="402"/>
      <c r="AN27" s="402"/>
      <c r="AO27" s="402"/>
      <c r="AP27" s="402"/>
      <c r="AQ27" s="402"/>
      <c r="AR27" s="295"/>
      <c r="AS27" s="295"/>
    </row>
    <row r="28" spans="2:45" s="5" customFormat="1" ht="15.75" customHeight="1" x14ac:dyDescent="0.3">
      <c r="B28" s="11" t="s">
        <v>16</v>
      </c>
      <c r="C28" s="12"/>
      <c r="E28" s="659" t="e">
        <f>+'F-100'!E28+'F-200'!E28+'F-300'!E28+'F-400'!E28+'F-500'!E28+'F-600'!E28+#REF!+#REF!+#REF!+#REF!+#REF!+#REF!</f>
        <v>#REF!</v>
      </c>
      <c r="F28" s="499"/>
      <c r="G28" s="644" t="e">
        <f>+'F-100'!G28+'F-200'!G28+'F-300'!G28+'F-400'!G28+'F-500'!G28+'F-600'!G28+#REF!+#REF!+#REF!+#REF!+#REF!+#REF!</f>
        <v>#REF!</v>
      </c>
      <c r="H28" s="660" t="e">
        <f>+'F-100'!H28+'F-200'!H28+'F-300'!H28+'F-400'!H28+'F-500'!H28+'F-600'!H28+#REF!+#REF!+#REF!+#REF!+#REF!+#REF!</f>
        <v>#REF!</v>
      </c>
      <c r="I28" s="499"/>
      <c r="J28" s="644" t="e">
        <f>+'F-100'!J28+'F-200'!J28+'F-300'!J28+'F-400'!J28+'F-500'!J28+'F-600'!J28+#REF!+#REF!+#REF!+#REF!+#REF!+#REF!</f>
        <v>#REF!</v>
      </c>
      <c r="K28" s="626" t="e">
        <f>+'F-100'!K28+'F-200'!K28+'F-300'!K28+'F-400'!K28+'F-500'!K28+'F-600'!K28+#REF!+#REF!+#REF!+#REF!+#REF!+#REF!</f>
        <v>#REF!</v>
      </c>
      <c r="L28" s="627" t="e">
        <f>+'F-100'!L28+'F-200'!L28+'F-300'!L28+'F-400'!L28+'F-500'!L28+'F-600'!L28+#REF!+#REF!+#REF!+#REF!+#REF!+#REF!</f>
        <v>#REF!</v>
      </c>
      <c r="M28" s="499"/>
      <c r="N28" s="644" t="e">
        <f>+'F-100'!N28+'F-200'!N28+'F-300'!N28+'F-400'!N28+'F-500'!N28+'F-600'!N28+#REF!+#REF!+#REF!+#REF!+#REF!+#REF!</f>
        <v>#REF!</v>
      </c>
      <c r="O28" s="626" t="e">
        <f>+'F-100'!O28+'F-200'!O28+'F-300'!O28+'F-400'!O28+'F-500'!O28+'F-600'!O28+#REF!+#REF!+#REF!+#REF!+#REF!+#REF!</f>
        <v>#REF!</v>
      </c>
      <c r="P28" s="626" t="e">
        <f>+'F-100'!P28+'F-200'!P28+'F-300'!P28+'F-400'!P28+'F-500'!P28+'F-600'!P28+#REF!+#REF!+#REF!+#REF!+#REF!+#REF!</f>
        <v>#REF!</v>
      </c>
      <c r="Q28" s="626" t="e">
        <f>+'F-100'!Q28+'F-200'!Q28+'F-300'!Q28+'F-400'!Q28+'F-500'!Q28+'F-600'!Q28+#REF!+#REF!+#REF!+#REF!+#REF!+#REF!</f>
        <v>#REF!</v>
      </c>
      <c r="R28" s="626" t="e">
        <f>+'F-100'!R28+'F-200'!R28+'F-300'!R28+'F-400'!R28+'F-500'!R28+'F-600'!R28+#REF!+#REF!+#REF!+#REF!+#REF!+#REF!</f>
        <v>#REF!</v>
      </c>
      <c r="S28" s="627">
        <f>+SUMIFS(N28:R28,N$2:R$2,$S$5)</f>
        <v>0</v>
      </c>
      <c r="T28" s="499"/>
      <c r="U28" s="644">
        <f>+SUMIFS(N28:S28,N$2:S$2,$U$5)</f>
        <v>0</v>
      </c>
      <c r="V28" s="626">
        <f>+SUMIFS(N28:S28,N$2:S$2,$V$5)</f>
        <v>0</v>
      </c>
      <c r="W28" s="627">
        <f>+SUMIFS(N28:S28,N$2:S$2,$W$5)</f>
        <v>0</v>
      </c>
      <c r="X28" s="347"/>
      <c r="Y28" s="644">
        <v>0</v>
      </c>
      <c r="Z28" s="626" t="e">
        <f>+'F-100'!Z28+'F-200'!Z28+'F-300'!Z28+'F-400'!Z28+'F-500'!Z28+'F-600'!Z28+#REF!+#REF!+#REF!+#REF!+#REF!+#REF!</f>
        <v>#REF!</v>
      </c>
      <c r="AA28" s="626" t="e">
        <f>+'F-100'!AA28+'F-200'!AA28+'F-300'!AA28+'F-400'!AA28+'F-500'!AA28+'F-600'!AA28+#REF!+#REF!+#REF!+#REF!+#REF!+#REF!</f>
        <v>#REF!</v>
      </c>
      <c r="AB28" s="626" t="e">
        <f>+'F-100'!AB28+'F-200'!AB28+'F-300'!AB28+'F-400'!AB28+'F-500'!AB28+'F-600'!AB28+#REF!+#REF!+#REF!+#REF!+#REF!+#REF!</f>
        <v>#REF!</v>
      </c>
      <c r="AC28" s="627" t="e">
        <f>+'F-100'!AC28+'F-200'!AC28+'F-300'!AC28+'F-400'!AC28+'F-500'!AC28+'F-600'!AC28+#REF!+#REF!+#REF!+#REF!+#REF!+#REF!</f>
        <v>#REF!</v>
      </c>
      <c r="AD28" s="347"/>
      <c r="AE28" s="659" t="e">
        <f>+'F-100'!AE28+'F-200'!AE28+'F-300'!AE28+'F-400'!AE28+'F-500'!AE28+'F-600'!AE28+#REF!+#REF!+#REF!+#REF!+#REF!+#REF!</f>
        <v>#REF!</v>
      </c>
      <c r="AF28" s="442"/>
      <c r="AG28" s="532"/>
      <c r="AH28" s="295"/>
      <c r="AI28" s="295"/>
      <c r="AJ28" s="397" t="e">
        <f>SUM(AK28:AQ28)</f>
        <v>#REF!</v>
      </c>
      <c r="AK28" s="398" t="e">
        <f>+'F-100'!AK28+'F-200'!AK28+'F-300'!AJ28+'F-400'!AJ28+'F-500'!AJ28+'F-600'!AJ28+#REF!+#REF!+#REF!+#REF!+#REF!+#REF!</f>
        <v>#REF!</v>
      </c>
      <c r="AL28" s="398"/>
      <c r="AM28" s="398"/>
      <c r="AN28" s="398"/>
      <c r="AO28" s="398"/>
      <c r="AP28" s="398"/>
      <c r="AQ28" s="398"/>
      <c r="AR28" s="295"/>
      <c r="AS28" s="295"/>
    </row>
    <row r="29" spans="2:45" s="5" customFormat="1" ht="15.75" customHeight="1" x14ac:dyDescent="0.3">
      <c r="E29" s="499"/>
      <c r="F29" s="499"/>
      <c r="G29" s="499"/>
      <c r="H29" s="499"/>
      <c r="I29" s="499"/>
      <c r="J29" s="499"/>
      <c r="K29" s="499"/>
      <c r="L29" s="499"/>
      <c r="M29" s="499"/>
      <c r="N29" s="499"/>
      <c r="O29" s="499"/>
      <c r="P29" s="499"/>
      <c r="Q29" s="499"/>
      <c r="R29" s="499"/>
      <c r="S29" s="499"/>
      <c r="T29" s="499"/>
      <c r="U29" s="499"/>
      <c r="V29" s="499"/>
      <c r="W29" s="499"/>
      <c r="X29" s="347"/>
      <c r="Y29" s="499"/>
      <c r="Z29" s="499"/>
      <c r="AA29" s="499"/>
      <c r="AB29" s="499"/>
      <c r="AC29" s="499"/>
      <c r="AD29" s="347"/>
      <c r="AE29" s="499"/>
      <c r="AF29" s="399"/>
      <c r="AG29" s="535"/>
      <c r="AH29" s="295"/>
      <c r="AI29" s="295"/>
      <c r="AJ29" s="396"/>
      <c r="AK29" s="400"/>
      <c r="AL29" s="400"/>
      <c r="AM29" s="400"/>
      <c r="AN29" s="400"/>
      <c r="AO29" s="400"/>
      <c r="AP29" s="400"/>
      <c r="AQ29" s="400"/>
      <c r="AR29" s="295"/>
      <c r="AS29" s="295"/>
    </row>
    <row r="30" spans="2:45" s="5" customFormat="1" ht="18.75" x14ac:dyDescent="0.3">
      <c r="B30" s="64" t="s">
        <v>17</v>
      </c>
      <c r="C30" s="65"/>
      <c r="D30" s="2"/>
      <c r="E30" s="661" t="e">
        <f>+E7*E31</f>
        <v>#REF!</v>
      </c>
      <c r="F30" s="87"/>
      <c r="G30" s="628" t="e">
        <f>+G7*G31</f>
        <v>#REF!</v>
      </c>
      <c r="H30" s="630" t="e">
        <f>+H7*H31</f>
        <v>#REF!</v>
      </c>
      <c r="I30" s="87"/>
      <c r="J30" s="628" t="e">
        <f>+J7*J31</f>
        <v>#REF!</v>
      </c>
      <c r="K30" s="629" t="e">
        <f>+K7*K31</f>
        <v>#REF!</v>
      </c>
      <c r="L30" s="662" t="e">
        <f>+L7*L31</f>
        <v>#REF!</v>
      </c>
      <c r="M30" s="87"/>
      <c r="N30" s="628" t="e">
        <f t="shared" ref="N30:S30" si="17">+N7*N31</f>
        <v>#REF!</v>
      </c>
      <c r="O30" s="629" t="e">
        <f t="shared" si="17"/>
        <v>#REF!</v>
      </c>
      <c r="P30" s="629" t="e">
        <f t="shared" si="17"/>
        <v>#REF!</v>
      </c>
      <c r="Q30" s="629" t="e">
        <f t="shared" si="17"/>
        <v>#REF!</v>
      </c>
      <c r="R30" s="629" t="e">
        <f t="shared" si="17"/>
        <v>#REF!</v>
      </c>
      <c r="S30" s="662" t="e">
        <f t="shared" si="17"/>
        <v>#REF!</v>
      </c>
      <c r="T30" s="87"/>
      <c r="U30" s="628" t="e">
        <f>+U7*U31</f>
        <v>#REF!</v>
      </c>
      <c r="V30" s="629" t="e">
        <f>+V7*V31</f>
        <v>#REF!</v>
      </c>
      <c r="W30" s="662" t="e">
        <f>+W7*W31</f>
        <v>#REF!</v>
      </c>
      <c r="X30" s="333"/>
      <c r="Y30" s="628" t="e">
        <f>+Y7-Y15</f>
        <v>#REF!</v>
      </c>
      <c r="Z30" s="629" t="e">
        <f>+Z7-Z15</f>
        <v>#REF!</v>
      </c>
      <c r="AA30" s="629" t="e">
        <f>+AA7-AA15</f>
        <v>#REF!</v>
      </c>
      <c r="AB30" s="629" t="e">
        <f>+AB7-AB15</f>
        <v>#REF!</v>
      </c>
      <c r="AC30" s="630" t="e">
        <f>+AC7-AC15</f>
        <v>#REF!</v>
      </c>
      <c r="AD30" s="333"/>
      <c r="AE30" s="661">
        <v>0</v>
      </c>
      <c r="AF30" s="445"/>
      <c r="AG30" s="531" t="e">
        <f>+Y30-AC30</f>
        <v>#REF!</v>
      </c>
      <c r="AH30" s="295"/>
      <c r="AI30" s="295"/>
      <c r="AJ30" s="400"/>
      <c r="AK30" s="400"/>
      <c r="AL30" s="400"/>
      <c r="AM30" s="400"/>
      <c r="AN30" s="400"/>
      <c r="AO30" s="400"/>
      <c r="AP30" s="400"/>
      <c r="AQ30" s="400"/>
      <c r="AR30" s="295"/>
      <c r="AS30" s="295"/>
    </row>
    <row r="31" spans="2:45" s="5" customFormat="1" ht="18.75" x14ac:dyDescent="0.3">
      <c r="B31" s="66" t="s">
        <v>18</v>
      </c>
      <c r="C31" s="67"/>
      <c r="D31" s="2"/>
      <c r="E31" s="68" t="e">
        <f>+$Y$31</f>
        <v>#REF!</v>
      </c>
      <c r="F31" s="19"/>
      <c r="G31" s="71" t="e">
        <f>+$Y$31</f>
        <v>#REF!</v>
      </c>
      <c r="H31" s="72" t="e">
        <f>+$Y$31</f>
        <v>#REF!</v>
      </c>
      <c r="I31" s="19"/>
      <c r="J31" s="71" t="e">
        <f>+$Y$31</f>
        <v>#REF!</v>
      </c>
      <c r="K31" s="75" t="e">
        <f>+$Y$31</f>
        <v>#REF!</v>
      </c>
      <c r="L31" s="76" t="e">
        <f>+$Y$31</f>
        <v>#REF!</v>
      </c>
      <c r="M31" s="19"/>
      <c r="N31" s="71" t="e">
        <f t="shared" ref="N31:S31" si="18">+$Y$31</f>
        <v>#REF!</v>
      </c>
      <c r="O31" s="75" t="e">
        <f t="shared" si="18"/>
        <v>#REF!</v>
      </c>
      <c r="P31" s="75" t="e">
        <f t="shared" si="18"/>
        <v>#REF!</v>
      </c>
      <c r="Q31" s="75" t="e">
        <f t="shared" si="18"/>
        <v>#REF!</v>
      </c>
      <c r="R31" s="75" t="e">
        <f t="shared" si="18"/>
        <v>#REF!</v>
      </c>
      <c r="S31" s="76" t="e">
        <f t="shared" si="18"/>
        <v>#REF!</v>
      </c>
      <c r="T31" s="19"/>
      <c r="U31" s="71" t="e">
        <f>+$Y$31</f>
        <v>#REF!</v>
      </c>
      <c r="V31" s="75" t="e">
        <f>+$Y$31</f>
        <v>#REF!</v>
      </c>
      <c r="W31" s="76" t="e">
        <f>+$Y$31</f>
        <v>#REF!</v>
      </c>
      <c r="X31" s="19"/>
      <c r="Y31" s="71" t="e">
        <f>+IF(Y7=0,0,Y30/Y7)</f>
        <v>#REF!</v>
      </c>
      <c r="Z31" s="75" t="e">
        <f>+IF(Z7=0,0,Z30/Z7)</f>
        <v>#REF!</v>
      </c>
      <c r="AA31" s="75" t="e">
        <f>+IF(AA7=0,0,AA30/AA7)</f>
        <v>#REF!</v>
      </c>
      <c r="AB31" s="75" t="e">
        <f>+IF(AB7=0,0,AB30/AB7)</f>
        <v>#REF!</v>
      </c>
      <c r="AC31" s="72" t="e">
        <f>+IF(AC7=0,0,AC30/AC7)</f>
        <v>#REF!</v>
      </c>
      <c r="AD31" s="19"/>
      <c r="AE31" s="68">
        <v>0</v>
      </c>
      <c r="AJ31" s="400"/>
      <c r="AK31" s="400"/>
      <c r="AL31" s="400"/>
      <c r="AM31" s="400"/>
      <c r="AN31" s="400"/>
      <c r="AO31" s="400"/>
      <c r="AP31" s="400"/>
      <c r="AQ31" s="400"/>
    </row>
    <row r="32" spans="2:45" s="5" customFormat="1" ht="7.5" customHeight="1" x14ac:dyDescent="0.3">
      <c r="B32" s="2"/>
      <c r="C32" s="2"/>
      <c r="D32" s="2"/>
      <c r="E32" s="333"/>
      <c r="F32" s="333"/>
      <c r="G32" s="333"/>
      <c r="H32" s="333"/>
      <c r="I32" s="333"/>
      <c r="J32" s="333"/>
      <c r="K32" s="333"/>
      <c r="L32" s="333"/>
      <c r="M32" s="333"/>
      <c r="N32" s="333"/>
      <c r="O32" s="333"/>
      <c r="P32" s="333"/>
      <c r="Q32" s="333"/>
      <c r="R32" s="333"/>
      <c r="S32" s="333"/>
      <c r="T32" s="333"/>
      <c r="U32" s="333"/>
      <c r="V32" s="333"/>
      <c r="W32" s="333"/>
      <c r="X32" s="333"/>
      <c r="Y32" s="333"/>
      <c r="Z32" s="333"/>
      <c r="AA32" s="333"/>
      <c r="AB32" s="333"/>
      <c r="AC32" s="333"/>
      <c r="AD32" s="333"/>
      <c r="AE32" s="333"/>
      <c r="AJ32" s="400"/>
      <c r="AK32" s="400"/>
      <c r="AL32" s="400"/>
      <c r="AM32" s="400"/>
      <c r="AN32" s="400"/>
      <c r="AO32" s="400"/>
      <c r="AP32" s="400"/>
      <c r="AQ32" s="400"/>
    </row>
    <row r="33" spans="2:45" s="5" customFormat="1" ht="15.75" customHeight="1" x14ac:dyDescent="0.3">
      <c r="B33" s="64" t="s">
        <v>33</v>
      </c>
      <c r="C33" s="65"/>
      <c r="D33" s="2"/>
      <c r="E33" s="332" t="e">
        <f>+E7-E15+E28</f>
        <v>#REF!</v>
      </c>
      <c r="F33" s="333"/>
      <c r="G33" s="334" t="e">
        <f>+G7-G15+G28</f>
        <v>#REF!</v>
      </c>
      <c r="H33" s="335" t="e">
        <f>+H7-H15+H28</f>
        <v>#REF!</v>
      </c>
      <c r="I33" s="333"/>
      <c r="J33" s="334" t="e">
        <f>+J7-J15+J28</f>
        <v>#REF!</v>
      </c>
      <c r="K33" s="336" t="e">
        <f>+K7-K15+K28</f>
        <v>#REF!</v>
      </c>
      <c r="L33" s="335" t="e">
        <f>+L7-L15+L28</f>
        <v>#REF!</v>
      </c>
      <c r="M33" s="333"/>
      <c r="N33" s="337" t="e">
        <f t="shared" ref="N33:S33" si="19">+N7-N15+N28</f>
        <v>#REF!</v>
      </c>
      <c r="O33" s="336" t="e">
        <f t="shared" si="19"/>
        <v>#REF!</v>
      </c>
      <c r="P33" s="336" t="e">
        <f t="shared" si="19"/>
        <v>#REF!</v>
      </c>
      <c r="Q33" s="336" t="e">
        <f t="shared" si="19"/>
        <v>#REF!</v>
      </c>
      <c r="R33" s="336" t="e">
        <f t="shared" si="19"/>
        <v>#REF!</v>
      </c>
      <c r="S33" s="335">
        <f t="shared" si="19"/>
        <v>0</v>
      </c>
      <c r="T33" s="333"/>
      <c r="U33" s="337">
        <f>+U7-U15+U28</f>
        <v>0</v>
      </c>
      <c r="V33" s="336">
        <f>+V7-V15+V28</f>
        <v>0</v>
      </c>
      <c r="W33" s="335">
        <f>+W7-W15+W28</f>
        <v>0</v>
      </c>
      <c r="X33" s="333"/>
      <c r="Y33" s="337" t="e">
        <f>+Y7-Y15+Y28</f>
        <v>#REF!</v>
      </c>
      <c r="Z33" s="336" t="e">
        <f>+Z7-Z15+Z28</f>
        <v>#REF!</v>
      </c>
      <c r="AA33" s="336" t="e">
        <f>+AA7-AA15+AA28</f>
        <v>#REF!</v>
      </c>
      <c r="AB33" s="336" t="e">
        <f>+AB7-AB15+AB28</f>
        <v>#REF!</v>
      </c>
      <c r="AC33" s="335" t="e">
        <f>+AC7-AC15+AC28</f>
        <v>#REF!</v>
      </c>
      <c r="AD33" s="333"/>
      <c r="AE33" s="332">
        <v>0</v>
      </c>
      <c r="AF33" s="295"/>
      <c r="AG33" s="295"/>
      <c r="AH33" s="295"/>
      <c r="AI33" s="295"/>
      <c r="AJ33" s="400"/>
      <c r="AK33" s="400"/>
      <c r="AL33" s="400"/>
      <c r="AM33" s="400"/>
      <c r="AN33" s="400"/>
      <c r="AO33" s="400"/>
      <c r="AP33" s="400"/>
      <c r="AQ33" s="400"/>
      <c r="AR33" s="295"/>
      <c r="AS33" s="295"/>
    </row>
    <row r="34" spans="2:45" s="5" customFormat="1" ht="15.75" customHeight="1" x14ac:dyDescent="0.25">
      <c r="B34" s="66" t="s">
        <v>34</v>
      </c>
      <c r="C34" s="67"/>
      <c r="D34" s="2"/>
      <c r="E34" s="68" t="e">
        <f>+IF(E7=0,0,E33/E7)</f>
        <v>#REF!</v>
      </c>
      <c r="F34" s="19"/>
      <c r="G34" s="71" t="e">
        <f>+IF(G7=0,0,G33/G7)</f>
        <v>#REF!</v>
      </c>
      <c r="H34" s="72" t="e">
        <f>+IF(H7=0,0,H33/H7)</f>
        <v>#REF!</v>
      </c>
      <c r="I34" s="19"/>
      <c r="J34" s="71" t="e">
        <f>+IF(J7=0,0,J33/J7)</f>
        <v>#REF!</v>
      </c>
      <c r="K34" s="75" t="e">
        <f>+IF(K7=0,0,K33/K7)</f>
        <v>#REF!</v>
      </c>
      <c r="L34" s="76" t="e">
        <f>+IF(L7=0,0,L33/L7)</f>
        <v>#REF!</v>
      </c>
      <c r="M34" s="19"/>
      <c r="N34" s="71" t="e">
        <f t="shared" ref="N34:S34" si="20">+IF(N7=0,0,N33/N7)</f>
        <v>#REF!</v>
      </c>
      <c r="O34" s="75" t="e">
        <f t="shared" si="20"/>
        <v>#REF!</v>
      </c>
      <c r="P34" s="75" t="e">
        <f t="shared" si="20"/>
        <v>#REF!</v>
      </c>
      <c r="Q34" s="75" t="e">
        <f t="shared" si="20"/>
        <v>#REF!</v>
      </c>
      <c r="R34" s="75" t="e">
        <f t="shared" si="20"/>
        <v>#REF!</v>
      </c>
      <c r="S34" s="76">
        <f t="shared" si="20"/>
        <v>0</v>
      </c>
      <c r="T34" s="19"/>
      <c r="U34" s="71">
        <f>+IF(U7=0,0,U33/U7)</f>
        <v>0</v>
      </c>
      <c r="V34" s="75">
        <f>+IF(V7=0,0,V33/V7)</f>
        <v>0</v>
      </c>
      <c r="W34" s="76">
        <f>+IF(W7=0,0,W33/W7)</f>
        <v>0</v>
      </c>
      <c r="X34" s="19"/>
      <c r="Y34" s="71" t="e">
        <f>+IF(Y7=0,0,Y33/Y7)</f>
        <v>#REF!</v>
      </c>
      <c r="Z34" s="75" t="e">
        <f>+IF(Z7=0,0,Z33/Z7)</f>
        <v>#REF!</v>
      </c>
      <c r="AA34" s="75" t="e">
        <f>+IF(AA7=0,0,AA33/AA7)</f>
        <v>#REF!</v>
      </c>
      <c r="AB34" s="75" t="e">
        <f>+IF(AB7=0,0,AB33/AB7)</f>
        <v>#REF!</v>
      </c>
      <c r="AC34" s="72" t="e">
        <f>+IF(AC7=0,0,AC33/AC7)</f>
        <v>#REF!</v>
      </c>
      <c r="AD34" s="19"/>
      <c r="AE34" s="68">
        <v>0</v>
      </c>
    </row>
    <row r="35" spans="2:45" ht="18.75" x14ac:dyDescent="0.3">
      <c r="Y35" s="275"/>
    </row>
    <row r="36" spans="2:45" x14ac:dyDescent="0.25">
      <c r="K36" s="21"/>
      <c r="L36" s="40"/>
      <c r="Y36" s="21"/>
    </row>
    <row r="37" spans="2:45" x14ac:dyDescent="0.25">
      <c r="L37" s="40"/>
      <c r="P37" s="22"/>
    </row>
    <row r="38" spans="2:45" ht="18.75" x14ac:dyDescent="0.3">
      <c r="B38" s="23" t="s">
        <v>19</v>
      </c>
      <c r="C38" s="24"/>
      <c r="K38" s="306" t="e">
        <f>+K7-K30</f>
        <v>#REF!</v>
      </c>
      <c r="L38" s="84"/>
      <c r="P38" s="22"/>
      <c r="Y38" s="36"/>
      <c r="Z38" s="440"/>
      <c r="AE38" s="439"/>
    </row>
    <row r="39" spans="2:45" ht="6.75" customHeight="1" x14ac:dyDescent="0.3">
      <c r="B39" s="25"/>
      <c r="K39" s="302"/>
      <c r="L39" s="84"/>
      <c r="P39" s="22"/>
      <c r="Y39" s="36"/>
      <c r="Z39" s="440"/>
    </row>
    <row r="40" spans="2:45" ht="18.75" x14ac:dyDescent="0.3">
      <c r="B40" s="26" t="s">
        <v>20</v>
      </c>
      <c r="C40" s="27"/>
      <c r="K40" s="307" t="e">
        <f>K15-K38</f>
        <v>#REF!</v>
      </c>
      <c r="L40" s="84"/>
      <c r="P40" s="22"/>
      <c r="Y40" s="36"/>
      <c r="Z40" s="440"/>
    </row>
    <row r="41" spans="2:45" ht="8.25" customHeight="1" x14ac:dyDescent="0.3">
      <c r="B41" s="1"/>
      <c r="K41" s="302"/>
      <c r="L41" s="84"/>
      <c r="Y41" s="36"/>
      <c r="Z41" s="440"/>
    </row>
    <row r="42" spans="2:45" ht="18.75" x14ac:dyDescent="0.3">
      <c r="B42" s="23" t="s">
        <v>21</v>
      </c>
      <c r="C42" s="24"/>
      <c r="K42" s="306" t="e">
        <f>'F-100'!K42+'F-200'!K42+'F-300'!K42+'F-400'!K42+'F-500'!K42+'F-600'!K42+#REF!+#REF!+#REF!+#REF!+#REF!</f>
        <v>#REF!</v>
      </c>
      <c r="L42" s="84"/>
      <c r="Y42" s="36"/>
      <c r="Z42" s="440"/>
    </row>
    <row r="43" spans="2:45" ht="8.25" customHeight="1" x14ac:dyDescent="0.3">
      <c r="B43" s="28"/>
      <c r="K43" s="302"/>
      <c r="L43" s="84"/>
      <c r="Y43" s="36"/>
      <c r="Z43" s="440"/>
    </row>
    <row r="44" spans="2:45" ht="18.75" x14ac:dyDescent="0.3">
      <c r="B44" s="23" t="s">
        <v>22</v>
      </c>
      <c r="C44" s="24"/>
      <c r="K44" s="306" t="e">
        <f>'F-100'!K44+'F-200'!K44+'F-300'!K44+'F-400'!K44+'F-500'!K44+'F-600'!K44+#REF!+#REF!+#REF!+#REF!+#REF!</f>
        <v>#REF!</v>
      </c>
      <c r="L44" s="84"/>
      <c r="Y44" s="36"/>
      <c r="Z44" s="440"/>
    </row>
    <row r="45" spans="2:45" ht="8.25" customHeight="1" x14ac:dyDescent="0.3">
      <c r="B45" s="28"/>
      <c r="K45" s="302"/>
      <c r="L45" s="84"/>
      <c r="Y45" s="36"/>
      <c r="Z45" s="440"/>
    </row>
    <row r="46" spans="2:45" ht="18.75" x14ac:dyDescent="0.3">
      <c r="B46" s="23" t="s">
        <v>23</v>
      </c>
      <c r="C46" s="24"/>
      <c r="K46" s="306" t="e">
        <f>'F-100'!K46+'F-200'!K46+'F-300'!K46+'F-400'!K46+'F-500'!K46+'F-600'!K46+#REF!+#REF!+#REF!+#REF!+#REF!</f>
        <v>#REF!</v>
      </c>
      <c r="L46" s="84"/>
      <c r="Y46" s="36"/>
      <c r="Z46" s="440"/>
    </row>
    <row r="47" spans="2:45" ht="8.25" customHeight="1" x14ac:dyDescent="0.3">
      <c r="B47" s="25"/>
      <c r="K47" s="302"/>
      <c r="L47" s="84"/>
      <c r="Y47" s="36"/>
      <c r="Z47" s="440"/>
    </row>
    <row r="48" spans="2:45" ht="18.75" x14ac:dyDescent="0.3">
      <c r="B48" s="29" t="s">
        <v>24</v>
      </c>
      <c r="C48" s="30"/>
      <c r="K48" s="315" t="e">
        <f>+K40-K42+K44</f>
        <v>#REF!</v>
      </c>
      <c r="L48" s="84"/>
      <c r="Y48" s="36"/>
      <c r="Z48" s="440"/>
    </row>
    <row r="49" spans="3:26" ht="18.75" x14ac:dyDescent="0.3">
      <c r="L49" s="84"/>
      <c r="Y49" s="36"/>
      <c r="Z49" s="440"/>
    </row>
    <row r="50" spans="3:26" ht="21" hidden="1" outlineLevel="1" x14ac:dyDescent="0.35">
      <c r="C50" s="31" t="s">
        <v>26</v>
      </c>
      <c r="K50" s="32"/>
      <c r="L50" s="84"/>
      <c r="Y50" s="36"/>
    </row>
    <row r="51" spans="3:26" ht="18.75" hidden="1" outlineLevel="1" x14ac:dyDescent="0.3">
      <c r="C51" s="5"/>
      <c r="L51" s="84"/>
      <c r="Y51" s="36"/>
    </row>
    <row r="52" spans="3:26" ht="23.25" hidden="1" outlineLevel="1" x14ac:dyDescent="0.35">
      <c r="C52" s="31" t="s">
        <v>27</v>
      </c>
      <c r="K52" s="33"/>
      <c r="L52" s="84"/>
    </row>
    <row r="53" spans="3:26" ht="18.75" hidden="1" outlineLevel="1" x14ac:dyDescent="0.3">
      <c r="L53" s="84"/>
    </row>
    <row r="54" spans="3:26" ht="18.75" collapsed="1" x14ac:dyDescent="0.3">
      <c r="L54" s="84"/>
    </row>
    <row r="55" spans="3:26" ht="18.75" x14ac:dyDescent="0.3">
      <c r="L55" s="84"/>
    </row>
  </sheetData>
  <mergeCells count="18">
    <mergeCell ref="B1:AE1"/>
    <mergeCell ref="AE3:AE4"/>
    <mergeCell ref="E3:E4"/>
    <mergeCell ref="G3:H4"/>
    <mergeCell ref="U3:W4"/>
    <mergeCell ref="Y3:AC4"/>
    <mergeCell ref="N3:S3"/>
    <mergeCell ref="J3:J5"/>
    <mergeCell ref="K3:K5"/>
    <mergeCell ref="L3:L5"/>
    <mergeCell ref="AP3:AP5"/>
    <mergeCell ref="AQ3:AQ5"/>
    <mergeCell ref="AJ3:AJ5"/>
    <mergeCell ref="AK3:AK5"/>
    <mergeCell ref="AM3:AM5"/>
    <mergeCell ref="AN3:AN5"/>
    <mergeCell ref="AO3:AO5"/>
    <mergeCell ref="AL3:AL5"/>
  </mergeCells>
  <pageMargins left="0.23622047244094491" right="0.23622047244094491" top="0.74803149606299213" bottom="0.74803149606299213" header="0.31496062992125984" footer="0.31496062992125984"/>
  <pageSetup paperSize="9" scale="37" orientation="landscape" r:id="rId1"/>
  <headerFooter>
    <oddFooter>&amp;F</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B1:AT55"/>
  <sheetViews>
    <sheetView showGridLines="0" tabSelected="1" zoomScale="55" zoomScaleNormal="55" zoomScaleSheetLayoutView="85" workbookViewId="0">
      <pane xSplit="12" ySplit="6" topLeftCell="AH7" activePane="bottomRight" state="frozen"/>
      <selection activeCell="AH24" sqref="AH24"/>
      <selection pane="topRight" activeCell="AH24" sqref="AH24"/>
      <selection pane="bottomLeft" activeCell="AH24" sqref="AH24"/>
      <selection pane="bottomRight" activeCell="L24" sqref="L24"/>
    </sheetView>
  </sheetViews>
  <sheetFormatPr baseColWidth="10" defaultColWidth="9.140625" defaultRowHeight="15" outlineLevelRow="1" outlineLevelCol="2" x14ac:dyDescent="0.25"/>
  <cols>
    <col min="1" max="1" width="1.85546875" customWidth="1"/>
    <col min="2" max="2" width="26.42578125" customWidth="1"/>
    <col min="3" max="3" width="28.5703125" customWidth="1"/>
    <col min="4" max="4" width="1.42578125" customWidth="1"/>
    <col min="5" max="5" width="18.7109375" bestFit="1" customWidth="1" outlineLevel="1"/>
    <col min="6" max="6" width="1.42578125" customWidth="1" outlineLevel="1"/>
    <col min="7" max="7" width="18.7109375" bestFit="1" customWidth="1"/>
    <col min="8" max="8" width="17" bestFit="1" customWidth="1"/>
    <col min="9" max="9" width="1.42578125" customWidth="1"/>
    <col min="10" max="10" width="28" bestFit="1" customWidth="1"/>
    <col min="11" max="11" width="28.28515625" bestFit="1" customWidth="1"/>
    <col min="12" max="12" width="21.140625" bestFit="1" customWidth="1"/>
    <col min="13" max="13" width="1.7109375" customWidth="1"/>
    <col min="14" max="14" width="9" customWidth="1" outlineLevel="1"/>
    <col min="15" max="15" width="9.5703125" customWidth="1" outlineLevel="1"/>
    <col min="16" max="17" width="9" customWidth="1" outlineLevel="1"/>
    <col min="18" max="18" width="9.28515625" customWidth="1" outlineLevel="1"/>
    <col min="19" max="19" width="17" bestFit="1" customWidth="1"/>
    <col min="20" max="20" width="1.42578125" customWidth="1"/>
    <col min="21" max="21" width="17" bestFit="1" customWidth="1"/>
    <col min="22" max="22" width="13.85546875" bestFit="1" customWidth="1"/>
    <col min="23" max="23" width="13" customWidth="1" outlineLevel="1"/>
    <col min="24" max="24" width="1.42578125" customWidth="1"/>
    <col min="25" max="25" width="18.7109375" style="36" bestFit="1" customWidth="1"/>
    <col min="26" max="26" width="18.28515625" style="36" bestFit="1" customWidth="1"/>
    <col min="27" max="27" width="13.85546875" style="36" customWidth="1" outlineLevel="1"/>
    <col min="28" max="28" width="14.7109375" style="36" customWidth="1" outlineLevel="1"/>
    <col min="29" max="29" width="17.5703125" style="36" bestFit="1" customWidth="1"/>
    <col min="30" max="30" width="1.5703125" customWidth="1" outlineLevel="1"/>
    <col min="31" max="31" width="13" customWidth="1" outlineLevel="1"/>
    <col min="32" max="32" width="2.7109375" style="44" customWidth="1"/>
    <col min="33" max="33" width="10.85546875" style="44" customWidth="1" outlineLevel="1"/>
    <col min="34" max="34" width="1.28515625" customWidth="1"/>
    <col min="35" max="35" width="17.85546875" customWidth="1" outlineLevel="1"/>
    <col min="36" max="37" width="19.140625" customWidth="1" outlineLevel="1"/>
    <col min="38" max="42" width="11.5703125" customWidth="1" outlineLevel="2"/>
    <col min="43" max="43" width="9.140625" customWidth="1" outlineLevel="1"/>
    <col min="45" max="45" width="16.42578125" bestFit="1" customWidth="1"/>
    <col min="46" max="46" width="18.42578125" bestFit="1" customWidth="1"/>
  </cols>
  <sheetData>
    <row r="1" spans="2:45" ht="23.25" x14ac:dyDescent="0.35">
      <c r="B1" s="1189" t="str">
        <f>CONCATENATE(B3," - ",B4," - ",B5," - ",B6)</f>
        <v xml:space="preserve">I.E.N 1182 - MES DE ENERO DEL 2025 - EL BOSQUE - CERCO + INGRESOS Y CASETAS - FASE 100 : OBRAS PRELIMINARES </v>
      </c>
      <c r="C1" s="1190"/>
      <c r="D1" s="1190"/>
      <c r="E1" s="1190"/>
      <c r="F1" s="1190"/>
      <c r="G1" s="1190"/>
      <c r="H1" s="1190"/>
      <c r="I1" s="1190"/>
      <c r="J1" s="1190"/>
      <c r="K1" s="1190"/>
      <c r="L1" s="1190"/>
      <c r="M1" s="1190"/>
      <c r="N1" s="1190"/>
      <c r="O1" s="1190"/>
      <c r="P1" s="1190"/>
      <c r="Q1" s="1190"/>
      <c r="R1" s="1190"/>
      <c r="S1" s="1190"/>
      <c r="T1" s="1190"/>
      <c r="U1" s="1190"/>
      <c r="V1" s="1190"/>
      <c r="W1" s="1190"/>
      <c r="X1" s="1190"/>
      <c r="Y1" s="1190"/>
      <c r="Z1" s="1190"/>
      <c r="AA1" s="1190"/>
      <c r="AB1" s="1190"/>
      <c r="AC1" s="1190"/>
      <c r="AD1" s="1190"/>
      <c r="AE1" s="1191"/>
    </row>
    <row r="2" spans="2:45" ht="17.25" customHeight="1" x14ac:dyDescent="0.25">
      <c r="H2" s="37"/>
      <c r="J2" s="39"/>
      <c r="K2" s="43" t="e">
        <f>+K7/Y7</f>
        <v>#DIV/0!</v>
      </c>
      <c r="L2" s="43"/>
      <c r="M2" s="41"/>
      <c r="N2" s="94">
        <f>+YEAR(N5)</f>
        <v>2019</v>
      </c>
      <c r="O2" s="94">
        <f t="shared" ref="O2:R2" si="0">+YEAR(O5)</f>
        <v>2019</v>
      </c>
      <c r="P2" s="94">
        <f t="shared" si="0"/>
        <v>2019</v>
      </c>
      <c r="Q2" s="94">
        <f t="shared" si="0"/>
        <v>2019</v>
      </c>
      <c r="R2" s="94">
        <f t="shared" si="0"/>
        <v>2019</v>
      </c>
      <c r="S2" s="94">
        <f>S5</f>
        <v>2024</v>
      </c>
      <c r="U2" s="34">
        <v>43466</v>
      </c>
    </row>
    <row r="3" spans="2:45" s="5" customFormat="1" ht="15.75" x14ac:dyDescent="0.25">
      <c r="B3" s="311" t="s">
        <v>300</v>
      </c>
      <c r="C3" s="2"/>
      <c r="D3" s="2"/>
      <c r="E3" s="1162" t="s">
        <v>48</v>
      </c>
      <c r="F3" s="3"/>
      <c r="G3" s="1192" t="str">
        <f>+B4</f>
        <v>MES DE ENERO DEL 2025</v>
      </c>
      <c r="H3" s="1179"/>
      <c r="I3" s="3"/>
      <c r="J3" s="1168" t="s">
        <v>319</v>
      </c>
      <c r="K3" s="1193" t="s">
        <v>39</v>
      </c>
      <c r="L3" s="1196" t="s">
        <v>40</v>
      </c>
      <c r="M3" s="3"/>
      <c r="N3" s="1175" t="s">
        <v>50</v>
      </c>
      <c r="O3" s="1176"/>
      <c r="P3" s="1176"/>
      <c r="Q3" s="1176"/>
      <c r="R3" s="1176"/>
      <c r="S3" s="1177"/>
      <c r="T3" s="3"/>
      <c r="U3" s="1168" t="s">
        <v>41</v>
      </c>
      <c r="V3" s="1178"/>
      <c r="W3" s="1179"/>
      <c r="X3" s="3"/>
      <c r="Y3" s="1220" t="s">
        <v>49</v>
      </c>
      <c r="Z3" s="1221"/>
      <c r="AA3" s="1221"/>
      <c r="AB3" s="1221"/>
      <c r="AC3" s="1222"/>
      <c r="AD3" s="2"/>
      <c r="AE3" s="1193" t="s">
        <v>417</v>
      </c>
      <c r="AF3" s="54"/>
      <c r="AG3" s="54"/>
      <c r="AI3" s="1183" t="s">
        <v>30</v>
      </c>
      <c r="AJ3" s="1156" t="s">
        <v>342</v>
      </c>
      <c r="AK3" s="1186" t="s">
        <v>35</v>
      </c>
      <c r="AL3" s="1217">
        <v>45597</v>
      </c>
      <c r="AM3" s="1217">
        <v>45627</v>
      </c>
      <c r="AN3" s="1217">
        <v>45658</v>
      </c>
      <c r="AO3" s="1217">
        <v>45689</v>
      </c>
      <c r="AP3" s="1217">
        <v>45717</v>
      </c>
    </row>
    <row r="4" spans="2:45" s="5" customFormat="1" ht="31.5" x14ac:dyDescent="0.25">
      <c r="B4" s="312" t="s">
        <v>433</v>
      </c>
      <c r="C4" s="2"/>
      <c r="D4" s="2"/>
      <c r="E4" s="1163"/>
      <c r="F4" s="3"/>
      <c r="G4" s="1170"/>
      <c r="H4" s="1181"/>
      <c r="I4" s="3"/>
      <c r="J4" s="1169"/>
      <c r="K4" s="1194"/>
      <c r="L4" s="1197"/>
      <c r="M4" s="3"/>
      <c r="N4" s="309">
        <v>1</v>
      </c>
      <c r="O4" s="309">
        <f>+N4+1</f>
        <v>2</v>
      </c>
      <c r="P4" s="309">
        <f t="shared" ref="P4:R4" si="1">+O4+1</f>
        <v>3</v>
      </c>
      <c r="Q4" s="309">
        <f t="shared" si="1"/>
        <v>4</v>
      </c>
      <c r="R4" s="309">
        <f t="shared" si="1"/>
        <v>5</v>
      </c>
      <c r="S4" s="291" t="s">
        <v>150</v>
      </c>
      <c r="T4" s="3"/>
      <c r="U4" s="1170"/>
      <c r="V4" s="1180"/>
      <c r="W4" s="1181"/>
      <c r="X4" s="3"/>
      <c r="Y4" s="1223"/>
      <c r="Z4" s="1224"/>
      <c r="AA4" s="1224"/>
      <c r="AB4" s="1224"/>
      <c r="AC4" s="1225"/>
      <c r="AD4" s="2"/>
      <c r="AE4" s="1194"/>
      <c r="AF4" s="54"/>
      <c r="AG4" s="54"/>
      <c r="AI4" s="1184"/>
      <c r="AJ4" s="1157"/>
      <c r="AK4" s="1187"/>
      <c r="AL4" s="1218"/>
      <c r="AM4" s="1218"/>
      <c r="AN4" s="1218"/>
      <c r="AO4" s="1218"/>
      <c r="AP4" s="1218"/>
    </row>
    <row r="5" spans="2:45" s="5" customFormat="1" ht="31.5" x14ac:dyDescent="0.25">
      <c r="B5" s="805" t="s">
        <v>301</v>
      </c>
      <c r="C5" s="2"/>
      <c r="D5" s="2"/>
      <c r="E5" s="63" t="s">
        <v>3</v>
      </c>
      <c r="F5" s="60"/>
      <c r="G5" s="61" t="s">
        <v>4</v>
      </c>
      <c r="H5" s="61" t="s">
        <v>5</v>
      </c>
      <c r="I5" s="60"/>
      <c r="J5" s="1170"/>
      <c r="K5" s="1195"/>
      <c r="L5" s="1198"/>
      <c r="M5" s="3"/>
      <c r="N5" s="62">
        <v>43648</v>
      </c>
      <c r="O5" s="62">
        <f>+N5+31</f>
        <v>43679</v>
      </c>
      <c r="P5" s="62">
        <f t="shared" ref="P5:R5" si="2">+O5+31</f>
        <v>43710</v>
      </c>
      <c r="Q5" s="62">
        <f t="shared" si="2"/>
        <v>43741</v>
      </c>
      <c r="R5" s="62">
        <f t="shared" si="2"/>
        <v>43772</v>
      </c>
      <c r="S5" s="61">
        <f>+'DIRECTO '!S5</f>
        <v>2024</v>
      </c>
      <c r="T5" s="3"/>
      <c r="U5" s="61">
        <v>2025</v>
      </c>
      <c r="V5" s="61">
        <f>+U5+1</f>
        <v>2026</v>
      </c>
      <c r="W5" s="61">
        <f>+V5+1</f>
        <v>2027</v>
      </c>
      <c r="X5" s="60"/>
      <c r="Y5" s="604" t="s">
        <v>6</v>
      </c>
      <c r="Z5" s="604" t="s">
        <v>7</v>
      </c>
      <c r="AA5" s="604" t="s">
        <v>36</v>
      </c>
      <c r="AB5" s="605" t="s">
        <v>125</v>
      </c>
      <c r="AC5" s="605" t="s">
        <v>37</v>
      </c>
      <c r="AD5" s="2"/>
      <c r="AE5" s="61" t="s">
        <v>7</v>
      </c>
      <c r="AF5" s="54"/>
      <c r="AG5" s="54"/>
      <c r="AI5" s="1185"/>
      <c r="AJ5" s="1158"/>
      <c r="AK5" s="1188"/>
      <c r="AL5" s="1219"/>
      <c r="AM5" s="1219"/>
      <c r="AN5" s="1219"/>
      <c r="AO5" s="1219"/>
      <c r="AP5" s="1219"/>
    </row>
    <row r="6" spans="2:45" s="5" customFormat="1" ht="15.75" customHeight="1" x14ac:dyDescent="0.25">
      <c r="B6" s="312" t="s">
        <v>320</v>
      </c>
      <c r="C6" s="2"/>
      <c r="D6" s="2"/>
      <c r="E6" s="2"/>
      <c r="F6" s="2"/>
      <c r="G6" s="2"/>
      <c r="H6" s="2"/>
      <c r="I6" s="2"/>
      <c r="J6" s="2"/>
      <c r="K6" s="2"/>
      <c r="L6" s="2"/>
      <c r="M6" s="2"/>
      <c r="N6" s="2"/>
      <c r="O6" s="7"/>
      <c r="P6" s="2"/>
      <c r="Q6" s="2"/>
      <c r="R6" s="2"/>
      <c r="S6" s="2"/>
      <c r="T6" s="2"/>
      <c r="U6" s="2"/>
      <c r="V6" s="2"/>
      <c r="W6" s="2"/>
      <c r="X6" s="2"/>
      <c r="Y6" s="87"/>
      <c r="Z6" s="87"/>
      <c r="AA6" s="87"/>
      <c r="AB6" s="87"/>
      <c r="AC6" s="87"/>
      <c r="AD6" s="2"/>
      <c r="AE6" s="2"/>
      <c r="AF6" s="54"/>
      <c r="AG6" s="54"/>
      <c r="AI6" s="527"/>
    </row>
    <row r="7" spans="2:45" s="5" customFormat="1" ht="18.75" x14ac:dyDescent="0.3">
      <c r="B7" s="56" t="s">
        <v>32</v>
      </c>
      <c r="C7" s="57"/>
      <c r="D7" s="2"/>
      <c r="E7" s="684">
        <f>+E9</f>
        <v>0</v>
      </c>
      <c r="F7" s="685"/>
      <c r="G7" s="686">
        <f>+G9</f>
        <v>0</v>
      </c>
      <c r="H7" s="686">
        <f>+H9</f>
        <v>0</v>
      </c>
      <c r="I7" s="687"/>
      <c r="J7" s="684">
        <f>+J9</f>
        <v>0</v>
      </c>
      <c r="K7" s="688">
        <f>+K9</f>
        <v>0</v>
      </c>
      <c r="L7" s="608">
        <f>+L9+L14</f>
        <v>0</v>
      </c>
      <c r="M7" s="87"/>
      <c r="N7" s="606">
        <f t="shared" ref="N7:R7" si="3">+N9</f>
        <v>0</v>
      </c>
      <c r="O7" s="607">
        <f t="shared" si="3"/>
        <v>0</v>
      </c>
      <c r="P7" s="607">
        <f t="shared" si="3"/>
        <v>0</v>
      </c>
      <c r="Q7" s="607">
        <f t="shared" si="3"/>
        <v>0</v>
      </c>
      <c r="R7" s="607">
        <f t="shared" si="3"/>
        <v>0</v>
      </c>
      <c r="S7" s="608">
        <f>+S9+S14</f>
        <v>0</v>
      </c>
      <c r="T7" s="87"/>
      <c r="U7" s="606">
        <f>+U9</f>
        <v>0</v>
      </c>
      <c r="V7" s="607">
        <f>+V9</f>
        <v>0</v>
      </c>
      <c r="W7" s="608">
        <f>+W9</f>
        <v>0</v>
      </c>
      <c r="X7" s="333"/>
      <c r="Y7" s="606">
        <f>+Y9</f>
        <v>0</v>
      </c>
      <c r="Z7" s="606">
        <f>+Z9</f>
        <v>0</v>
      </c>
      <c r="AA7" s="607">
        <f>+AA9</f>
        <v>0</v>
      </c>
      <c r="AB7" s="607">
        <f>+AB9</f>
        <v>0</v>
      </c>
      <c r="AC7" s="608">
        <f>+AC9</f>
        <v>0</v>
      </c>
      <c r="AD7" s="333"/>
      <c r="AE7" s="339">
        <f>+AE9</f>
        <v>0</v>
      </c>
      <c r="AF7" s="444"/>
      <c r="AG7" s="531"/>
      <c r="AH7" s="303"/>
      <c r="AI7" s="392">
        <f>+AI9</f>
        <v>0</v>
      </c>
      <c r="AJ7" s="667"/>
      <c r="AK7" s="667">
        <f>+AK9</f>
        <v>0</v>
      </c>
      <c r="AL7" s="393">
        <f t="shared" ref="AL7:AP7" si="4">+AL9</f>
        <v>0</v>
      </c>
      <c r="AM7" s="393">
        <f t="shared" si="4"/>
        <v>0</v>
      </c>
      <c r="AN7" s="393">
        <f t="shared" si="4"/>
        <v>0</v>
      </c>
      <c r="AO7" s="393">
        <f t="shared" si="4"/>
        <v>0</v>
      </c>
      <c r="AP7" s="393">
        <f t="shared" si="4"/>
        <v>0</v>
      </c>
      <c r="AQ7" s="295"/>
      <c r="AR7" s="295"/>
      <c r="AS7" s="295"/>
    </row>
    <row r="8" spans="2:45" s="5" customFormat="1" ht="7.5" customHeight="1" x14ac:dyDescent="0.3">
      <c r="B8" s="2"/>
      <c r="C8" s="2"/>
      <c r="D8" s="2"/>
      <c r="E8" s="685"/>
      <c r="F8" s="685"/>
      <c r="G8" s="685"/>
      <c r="H8" s="685"/>
      <c r="I8" s="687"/>
      <c r="J8" s="685"/>
      <c r="K8" s="685"/>
      <c r="L8" s="87"/>
      <c r="M8" s="87"/>
      <c r="N8" s="87"/>
      <c r="O8" s="87"/>
      <c r="P8" s="87"/>
      <c r="Q8" s="87"/>
      <c r="R8" s="87"/>
      <c r="S8" s="87"/>
      <c r="T8" s="87"/>
      <c r="U8" s="87"/>
      <c r="V8" s="87"/>
      <c r="W8" s="87"/>
      <c r="X8" s="333"/>
      <c r="Y8" s="87"/>
      <c r="Z8" s="87"/>
      <c r="AA8" s="87"/>
      <c r="AB8" s="87"/>
      <c r="AC8" s="87"/>
      <c r="AD8" s="333"/>
      <c r="AE8" s="333"/>
      <c r="AF8" s="293"/>
      <c r="AG8" s="532"/>
      <c r="AH8" s="295"/>
      <c r="AI8" s="394"/>
      <c r="AJ8" s="465"/>
      <c r="AK8" s="465"/>
      <c r="AL8" s="394"/>
      <c r="AM8" s="394"/>
      <c r="AN8" s="394"/>
      <c r="AO8" s="394"/>
      <c r="AP8" s="394"/>
      <c r="AQ8" s="295"/>
      <c r="AR8" s="295"/>
      <c r="AS8" s="295"/>
    </row>
    <row r="9" spans="2:45" s="5" customFormat="1" ht="18.75" x14ac:dyDescent="0.3">
      <c r="B9" s="9" t="s">
        <v>153</v>
      </c>
      <c r="C9" s="10"/>
      <c r="D9" s="2"/>
      <c r="E9" s="689">
        <f>+SUM(E11:E13)</f>
        <v>0</v>
      </c>
      <c r="F9" s="685"/>
      <c r="G9" s="690">
        <f>+SUM(G11:G13)</f>
        <v>0</v>
      </c>
      <c r="H9" s="690">
        <f>+SUM(H11:H13)</f>
        <v>0</v>
      </c>
      <c r="I9" s="687"/>
      <c r="J9" s="689">
        <f>+SUM(J11:J13)</f>
        <v>0</v>
      </c>
      <c r="K9" s="691">
        <f>+SUM(K11:K13)</f>
        <v>0</v>
      </c>
      <c r="L9" s="611">
        <f>+SUM(L11:L12)</f>
        <v>0</v>
      </c>
      <c r="M9" s="87"/>
      <c r="N9" s="609">
        <f t="shared" ref="N9:S9" si="5">+SUM(N11:N13)</f>
        <v>0</v>
      </c>
      <c r="O9" s="610">
        <f t="shared" si="5"/>
        <v>0</v>
      </c>
      <c r="P9" s="610">
        <f t="shared" si="5"/>
        <v>0</v>
      </c>
      <c r="Q9" s="610">
        <f t="shared" si="5"/>
        <v>0</v>
      </c>
      <c r="R9" s="610">
        <f t="shared" si="5"/>
        <v>0</v>
      </c>
      <c r="S9" s="611">
        <f t="shared" si="5"/>
        <v>0</v>
      </c>
      <c r="T9" s="87"/>
      <c r="U9" s="609">
        <f>+SUM(U11:U13)</f>
        <v>0</v>
      </c>
      <c r="V9" s="610">
        <f>+SUM(V11:V13)</f>
        <v>0</v>
      </c>
      <c r="W9" s="611">
        <f>+SUM(W11:W13)</f>
        <v>0</v>
      </c>
      <c r="X9" s="333"/>
      <c r="Y9" s="609">
        <f>+SUM(Y11:Y13)</f>
        <v>0</v>
      </c>
      <c r="Z9" s="609">
        <f>+SUM(Z11:Z13)</f>
        <v>0</v>
      </c>
      <c r="AA9" s="610">
        <f>+SUM(AA11:AA13)</f>
        <v>0</v>
      </c>
      <c r="AB9" s="610">
        <f>+SUM(AB11:AB13)</f>
        <v>0</v>
      </c>
      <c r="AC9" s="611">
        <f>+SUM(AC11:AC13)</f>
        <v>0</v>
      </c>
      <c r="AD9" s="333"/>
      <c r="AE9" s="343">
        <f>+SUM(AE11:AE13)</f>
        <v>0</v>
      </c>
      <c r="AF9" s="444"/>
      <c r="AG9" s="531"/>
      <c r="AH9" s="303"/>
      <c r="AI9" s="395">
        <f t="shared" ref="AI9:AP9" si="6">+SUM(AI11:AI13)</f>
        <v>0</v>
      </c>
      <c r="AJ9" s="668"/>
      <c r="AK9" s="668">
        <f>+SUM(AK11:AK13)</f>
        <v>0</v>
      </c>
      <c r="AL9" s="395">
        <f t="shared" si="6"/>
        <v>0</v>
      </c>
      <c r="AM9" s="395">
        <f t="shared" si="6"/>
        <v>0</v>
      </c>
      <c r="AN9" s="395">
        <f t="shared" si="6"/>
        <v>0</v>
      </c>
      <c r="AO9" s="395">
        <f t="shared" si="6"/>
        <v>0</v>
      </c>
      <c r="AP9" s="395">
        <f t="shared" si="6"/>
        <v>0</v>
      </c>
      <c r="AQ9" s="295"/>
      <c r="AR9" s="295"/>
      <c r="AS9" s="295"/>
    </row>
    <row r="10" spans="2:45" s="5" customFormat="1" ht="7.5" customHeight="1" x14ac:dyDescent="0.3">
      <c r="E10" s="692"/>
      <c r="F10" s="692"/>
      <c r="G10" s="692"/>
      <c r="H10" s="692"/>
      <c r="I10" s="693"/>
      <c r="J10" s="692"/>
      <c r="K10" s="692"/>
      <c r="L10" s="499"/>
      <c r="M10" s="499"/>
      <c r="N10" s="499"/>
      <c r="O10" s="499"/>
      <c r="P10" s="499"/>
      <c r="Q10" s="499"/>
      <c r="R10" s="499"/>
      <c r="S10" s="499"/>
      <c r="T10" s="499"/>
      <c r="U10" s="499"/>
      <c r="V10" s="499"/>
      <c r="W10" s="499"/>
      <c r="X10" s="347"/>
      <c r="Y10" s="499"/>
      <c r="Z10" s="499"/>
      <c r="AA10" s="499"/>
      <c r="AB10" s="499"/>
      <c r="AC10" s="499"/>
      <c r="AD10" s="347"/>
      <c r="AE10" s="347"/>
      <c r="AF10" s="293"/>
      <c r="AG10" s="532"/>
      <c r="AH10" s="295"/>
      <c r="AI10" s="396"/>
      <c r="AJ10" s="597"/>
      <c r="AK10" s="597"/>
      <c r="AL10" s="396"/>
      <c r="AM10" s="396"/>
      <c r="AN10" s="396"/>
      <c r="AO10" s="396"/>
      <c r="AP10" s="396"/>
      <c r="AQ10" s="295"/>
      <c r="AR10" s="295"/>
      <c r="AS10" s="295"/>
    </row>
    <row r="11" spans="2:45" s="5" customFormat="1" ht="18.75" x14ac:dyDescent="0.3">
      <c r="B11" s="13" t="s">
        <v>151</v>
      </c>
      <c r="C11" s="14"/>
      <c r="E11" s="694">
        <f>AJ11</f>
        <v>0</v>
      </c>
      <c r="F11" s="692"/>
      <c r="G11" s="695">
        <v>0</v>
      </c>
      <c r="H11" s="696">
        <f>+AK11</f>
        <v>0</v>
      </c>
      <c r="I11" s="692"/>
      <c r="J11" s="697">
        <f>+H11+AE11</f>
        <v>0</v>
      </c>
      <c r="K11" s="698">
        <f>+E11+J11</f>
        <v>0</v>
      </c>
      <c r="L11" s="698">
        <f>+SUM(O11:R11)</f>
        <v>0</v>
      </c>
      <c r="M11" s="499"/>
      <c r="N11" s="612">
        <v>0</v>
      </c>
      <c r="O11" s="613">
        <v>0</v>
      </c>
      <c r="P11" s="613">
        <v>0</v>
      </c>
      <c r="Q11" s="613">
        <v>0</v>
      </c>
      <c r="R11" s="613">
        <v>0</v>
      </c>
      <c r="S11" s="636">
        <f>+SUMIFS(N11:R11,N$2:R$2,$S$5)</f>
        <v>0</v>
      </c>
      <c r="T11" s="499"/>
      <c r="U11" s="612">
        <f>+SUMIFS(N11:S11,N$2:S$2,$U$5)</f>
        <v>0</v>
      </c>
      <c r="V11" s="613">
        <f>+SUMIFS(N11:S11,N$2:S$2,$V$5)</f>
        <v>0</v>
      </c>
      <c r="W11" s="520">
        <f>+SUMIFS(N11:S11,N$2:S$2,$W$5)</f>
        <v>0</v>
      </c>
      <c r="X11" s="347"/>
      <c r="Y11" s="612">
        <f>+K11+L11</f>
        <v>0</v>
      </c>
      <c r="Z11" s="613"/>
      <c r="AA11" s="613"/>
      <c r="AB11" s="613"/>
      <c r="AC11" s="520"/>
      <c r="AD11" s="347"/>
      <c r="AE11" s="348"/>
      <c r="AF11" s="444"/>
      <c r="AG11" s="531"/>
      <c r="AH11" s="303"/>
      <c r="AI11" s="397">
        <f>SUM(AL11:AP11)</f>
        <v>0</v>
      </c>
      <c r="AJ11" s="953">
        <f>SUM(AL11:AM11)</f>
        <v>0</v>
      </c>
      <c r="AK11" s="671">
        <f>+AN11</f>
        <v>0</v>
      </c>
      <c r="AL11" s="1110"/>
      <c r="AM11" s="1110"/>
      <c r="AN11" s="1110"/>
      <c r="AO11" s="1110"/>
      <c r="AP11" s="1110"/>
      <c r="AQ11" s="295"/>
      <c r="AR11" s="295"/>
      <c r="AS11" s="295"/>
    </row>
    <row r="12" spans="2:45" s="5" customFormat="1" ht="18.75" x14ac:dyDescent="0.3">
      <c r="B12" s="15" t="s">
        <v>152</v>
      </c>
      <c r="C12" s="16"/>
      <c r="E12" s="637">
        <f>AJ12</f>
        <v>0</v>
      </c>
      <c r="F12" s="499"/>
      <c r="G12" s="614">
        <v>0</v>
      </c>
      <c r="H12" s="616">
        <f>+AK12</f>
        <v>0</v>
      </c>
      <c r="I12" s="499"/>
      <c r="J12" s="614">
        <f>+H12+AE12</f>
        <v>0</v>
      </c>
      <c r="K12" s="615">
        <f>+E12+J12</f>
        <v>0</v>
      </c>
      <c r="L12" s="615">
        <f t="shared" ref="L12:L13" si="7">+SUM(O12:R12)</f>
        <v>0</v>
      </c>
      <c r="M12" s="347"/>
      <c r="N12" s="354">
        <v>0</v>
      </c>
      <c r="O12" s="355">
        <v>0</v>
      </c>
      <c r="P12" s="355">
        <v>0</v>
      </c>
      <c r="Q12" s="355">
        <v>0</v>
      </c>
      <c r="R12" s="355">
        <v>0</v>
      </c>
      <c r="S12" s="387">
        <f>+SUMIFS(N12:R12,N$2:R$2,$S$5)</f>
        <v>0</v>
      </c>
      <c r="T12" s="347"/>
      <c r="U12" s="357">
        <f>+SUMIFS(N12:S12,N$2:S$2,$U$5)</f>
        <v>0</v>
      </c>
      <c r="V12" s="358">
        <f>+SUMIFS(N12:S12,N$2:S$2,$V$5)</f>
        <v>0</v>
      </c>
      <c r="W12" s="361">
        <f>+SUMIFS(N12:S12,N$2:S$2,$W$5)</f>
        <v>0</v>
      </c>
      <c r="X12" s="347"/>
      <c r="Y12" s="614">
        <f>+K12+L12</f>
        <v>0</v>
      </c>
      <c r="Z12" s="615"/>
      <c r="AA12" s="615"/>
      <c r="AB12" s="615"/>
      <c r="AC12" s="616"/>
      <c r="AD12" s="347"/>
      <c r="AE12" s="375"/>
      <c r="AF12" s="444"/>
      <c r="AG12" s="531"/>
      <c r="AH12" s="295"/>
      <c r="AI12" s="397">
        <f t="shared" ref="AI12:AI13" si="8">SUM(AL12:AP12)</f>
        <v>0</v>
      </c>
      <c r="AJ12" s="953">
        <f t="shared" ref="AJ12:AJ13" si="9">SUM(AL12:AM12)</f>
        <v>0</v>
      </c>
      <c r="AK12" s="671">
        <f t="shared" ref="AK12:AK13" si="10">+AN12</f>
        <v>0</v>
      </c>
      <c r="AL12" s="1110"/>
      <c r="AM12" s="1110"/>
      <c r="AN12" s="1110"/>
      <c r="AO12" s="1110"/>
      <c r="AP12" s="1110"/>
      <c r="AQ12" s="295"/>
      <c r="AR12" s="295"/>
      <c r="AS12" s="295"/>
    </row>
    <row r="13" spans="2:45" s="5" customFormat="1" ht="18.75" x14ac:dyDescent="0.3">
      <c r="B13" s="17" t="s">
        <v>42</v>
      </c>
      <c r="C13" s="18"/>
      <c r="E13" s="642">
        <f>AJ13</f>
        <v>0</v>
      </c>
      <c r="F13" s="499"/>
      <c r="G13" s="617">
        <v>0</v>
      </c>
      <c r="H13" s="619">
        <f>+AK13</f>
        <v>0</v>
      </c>
      <c r="I13" s="499"/>
      <c r="J13" s="617">
        <f>+H13+AE13</f>
        <v>0</v>
      </c>
      <c r="K13" s="618">
        <f t="shared" ref="K13" si="11">+E13+J13</f>
        <v>0</v>
      </c>
      <c r="L13" s="618">
        <f t="shared" si="7"/>
        <v>0</v>
      </c>
      <c r="M13" s="347"/>
      <c r="N13" s="364">
        <v>0</v>
      </c>
      <c r="O13" s="365">
        <v>0</v>
      </c>
      <c r="P13" s="365">
        <v>0</v>
      </c>
      <c r="Q13" s="365">
        <v>0</v>
      </c>
      <c r="R13" s="365">
        <v>0</v>
      </c>
      <c r="S13" s="388">
        <f>+SUMIFS(N13:R13,N$2:R$2,$S$5)</f>
        <v>0</v>
      </c>
      <c r="T13" s="347"/>
      <c r="U13" s="364">
        <f>+SUMIFS(N13:S13,N$2:S$2,$U$5)</f>
        <v>0</v>
      </c>
      <c r="V13" s="365">
        <f>+SUMIFS(N13:S13,N$2:S$2,$V$5)</f>
        <v>0</v>
      </c>
      <c r="W13" s="366">
        <f>+SUMIFS(N13:S13,N$2:S$2,$W$5)</f>
        <v>0</v>
      </c>
      <c r="X13" s="347"/>
      <c r="Y13" s="617">
        <f>+K13+L13</f>
        <v>0</v>
      </c>
      <c r="Z13" s="618"/>
      <c r="AA13" s="618"/>
      <c r="AB13" s="618"/>
      <c r="AC13" s="619"/>
      <c r="AD13" s="347"/>
      <c r="AE13" s="368"/>
      <c r="AF13" s="443"/>
      <c r="AG13" s="534"/>
      <c r="AH13" s="295"/>
      <c r="AI13" s="397">
        <f t="shared" si="8"/>
        <v>0</v>
      </c>
      <c r="AJ13" s="953">
        <f t="shared" si="9"/>
        <v>0</v>
      </c>
      <c r="AK13" s="671">
        <f t="shared" si="10"/>
        <v>0</v>
      </c>
      <c r="AL13" s="1111"/>
      <c r="AM13" s="1111"/>
      <c r="AN13" s="1111"/>
      <c r="AO13" s="1111"/>
      <c r="AP13" s="1111"/>
      <c r="AQ13" s="295"/>
      <c r="AR13" s="295"/>
      <c r="AS13" s="295"/>
    </row>
    <row r="14" spans="2:45" s="5" customFormat="1" ht="18.75" x14ac:dyDescent="0.3">
      <c r="E14" s="347"/>
      <c r="F14" s="347"/>
      <c r="G14" s="347"/>
      <c r="H14" s="347"/>
      <c r="I14" s="347"/>
      <c r="J14" s="347"/>
      <c r="K14" s="347"/>
      <c r="L14" s="369"/>
      <c r="M14" s="347"/>
      <c r="N14" s="347"/>
      <c r="O14" s="347"/>
      <c r="P14" s="347"/>
      <c r="Q14" s="347"/>
      <c r="R14" s="347"/>
      <c r="S14" s="347"/>
      <c r="T14" s="347"/>
      <c r="U14" s="347"/>
      <c r="V14" s="347"/>
      <c r="W14" s="347"/>
      <c r="X14" s="347"/>
      <c r="Y14" s="499"/>
      <c r="Z14" s="499"/>
      <c r="AA14" s="499"/>
      <c r="AB14" s="499"/>
      <c r="AC14" s="499"/>
      <c r="AD14" s="347"/>
      <c r="AE14" s="347"/>
      <c r="AF14" s="443"/>
      <c r="AG14" s="534"/>
      <c r="AH14" s="294"/>
      <c r="AI14" s="399"/>
      <c r="AJ14" s="669"/>
      <c r="AK14" s="669"/>
      <c r="AL14" s="400"/>
      <c r="AM14" s="400"/>
      <c r="AN14" s="400"/>
      <c r="AO14" s="400"/>
      <c r="AP14" s="400"/>
      <c r="AQ14" s="295"/>
      <c r="AR14" s="295"/>
      <c r="AS14" s="295"/>
    </row>
    <row r="15" spans="2:45" s="5" customFormat="1" ht="18.75" x14ac:dyDescent="0.3">
      <c r="B15" s="56" t="s">
        <v>9</v>
      </c>
      <c r="C15" s="57"/>
      <c r="D15" s="2"/>
      <c r="E15" s="650">
        <f>+SUM(E17:E26)+E28</f>
        <v>0</v>
      </c>
      <c r="F15" s="87"/>
      <c r="G15" s="606">
        <f>+SUM(G17:G26)+G28</f>
        <v>0</v>
      </c>
      <c r="H15" s="608">
        <f>+SUM(H17:H26)+H28</f>
        <v>0</v>
      </c>
      <c r="I15" s="87"/>
      <c r="J15" s="606">
        <f>+SUM(J17:J26)+J28</f>
        <v>0</v>
      </c>
      <c r="K15" s="607">
        <f>+SUM(K17:K26)+K28</f>
        <v>0</v>
      </c>
      <c r="L15" s="608">
        <f>+SUM(L17:L26,L28)</f>
        <v>0</v>
      </c>
      <c r="M15" s="87"/>
      <c r="N15" s="606">
        <f t="shared" ref="N15:R15" si="12">+SUM(N17:N26)+N28</f>
        <v>0</v>
      </c>
      <c r="O15" s="607">
        <f t="shared" si="12"/>
        <v>0</v>
      </c>
      <c r="P15" s="607">
        <f t="shared" si="12"/>
        <v>0</v>
      </c>
      <c r="Q15" s="607">
        <f t="shared" si="12"/>
        <v>0</v>
      </c>
      <c r="R15" s="607">
        <f t="shared" si="12"/>
        <v>0</v>
      </c>
      <c r="S15" s="608">
        <f t="shared" ref="S15" si="13">+SUM(S17:S26)+S28</f>
        <v>0</v>
      </c>
      <c r="T15" s="87"/>
      <c r="U15" s="606">
        <f>+SUM(U17:U26)+U28</f>
        <v>0</v>
      </c>
      <c r="V15" s="607">
        <f>+SUM(V17:V26)+V28</f>
        <v>0</v>
      </c>
      <c r="W15" s="608">
        <f>+SUM(W17:W26)+W28</f>
        <v>0</v>
      </c>
      <c r="X15" s="87"/>
      <c r="Y15" s="606">
        <f>+SUM(Y17:Y26)+Y28</f>
        <v>0</v>
      </c>
      <c r="Z15" s="606">
        <f ca="1">+SUM(Z17:Z26)+Z28</f>
        <v>0</v>
      </c>
      <c r="AA15" s="607">
        <f ca="1">+SUM(AA17:AA26)+AA28</f>
        <v>0</v>
      </c>
      <c r="AB15" s="607">
        <f ca="1">+SUM(AB17:AB26)+AB28</f>
        <v>0</v>
      </c>
      <c r="AC15" s="608">
        <f>+SUM(AC17:AC26,AC28)</f>
        <v>4572553.5163999991</v>
      </c>
      <c r="AD15" s="333"/>
      <c r="AE15" s="339">
        <f>+SUM(AE17:AE26)+AE28</f>
        <v>0</v>
      </c>
      <c r="AF15" s="444"/>
      <c r="AG15" s="531"/>
      <c r="AH15" s="295"/>
      <c r="AI15" s="392">
        <f>+SUM(AI17:AI26)</f>
        <v>0</v>
      </c>
      <c r="AJ15" s="670"/>
      <c r="AK15" s="670">
        <f>+SUM(AK17:AK26)</f>
        <v>0</v>
      </c>
      <c r="AL15" s="392">
        <f t="shared" ref="AL15:AP15" si="14">+SUM(AL17:AL26)</f>
        <v>0</v>
      </c>
      <c r="AM15" s="392">
        <f t="shared" si="14"/>
        <v>0</v>
      </c>
      <c r="AN15" s="392">
        <f t="shared" si="14"/>
        <v>0</v>
      </c>
      <c r="AO15" s="392">
        <f t="shared" si="14"/>
        <v>0</v>
      </c>
      <c r="AP15" s="392">
        <f t="shared" si="14"/>
        <v>0</v>
      </c>
      <c r="AQ15" s="295"/>
      <c r="AR15" s="295"/>
      <c r="AS15" s="295"/>
    </row>
    <row r="16" spans="2:45" s="5" customFormat="1" ht="7.5" customHeight="1" x14ac:dyDescent="0.3">
      <c r="E16" s="347"/>
      <c r="F16" s="347"/>
      <c r="G16" s="347"/>
      <c r="H16" s="347"/>
      <c r="I16" s="347"/>
      <c r="J16" s="347"/>
      <c r="K16" s="347"/>
      <c r="L16" s="347"/>
      <c r="M16" s="347"/>
      <c r="N16" s="347"/>
      <c r="O16" s="347"/>
      <c r="P16" s="347"/>
      <c r="Q16" s="347"/>
      <c r="R16" s="347"/>
      <c r="S16" s="347"/>
      <c r="T16" s="347"/>
      <c r="U16" s="347"/>
      <c r="V16" s="347"/>
      <c r="W16" s="347"/>
      <c r="X16" s="347"/>
      <c r="Y16" s="499"/>
      <c r="Z16" s="499"/>
      <c r="AA16" s="499"/>
      <c r="AB16" s="499"/>
      <c r="AC16" s="499"/>
      <c r="AD16" s="347"/>
      <c r="AE16" s="347"/>
      <c r="AF16" s="442"/>
      <c r="AG16" s="532"/>
      <c r="AH16" s="295"/>
      <c r="AI16" s="396"/>
      <c r="AJ16" s="669"/>
      <c r="AK16" s="669"/>
      <c r="AL16" s="400"/>
      <c r="AM16" s="400"/>
      <c r="AN16" s="400"/>
      <c r="AO16" s="400"/>
      <c r="AP16" s="400"/>
      <c r="AQ16" s="295"/>
      <c r="AR16" s="295"/>
      <c r="AS16" s="295"/>
    </row>
    <row r="17" spans="2:45" s="5" customFormat="1" ht="18.75" x14ac:dyDescent="0.3">
      <c r="B17" s="13" t="s">
        <v>10</v>
      </c>
      <c r="C17" s="14"/>
      <c r="E17" s="637">
        <f t="shared" ref="E17:E26" si="15">AJ17</f>
        <v>0</v>
      </c>
      <c r="F17" s="499"/>
      <c r="G17" s="635">
        <f>+Mat!H19</f>
        <v>0</v>
      </c>
      <c r="H17" s="542">
        <f>+AK17</f>
        <v>0</v>
      </c>
      <c r="I17" s="499"/>
      <c r="J17" s="635">
        <f t="shared" ref="J17:J26" si="16">+H17+AE17</f>
        <v>0</v>
      </c>
      <c r="K17" s="613">
        <f>+E17+J17</f>
        <v>0</v>
      </c>
      <c r="L17" s="615">
        <f t="shared" ref="L17:L28" si="17">+SUM(O17:R17)</f>
        <v>0</v>
      </c>
      <c r="M17" s="499"/>
      <c r="N17" s="612">
        <f>+Mat!O19</f>
        <v>0</v>
      </c>
      <c r="O17" s="613">
        <f>+Mat!P19</f>
        <v>0</v>
      </c>
      <c r="P17" s="613">
        <f>+Mat!Q19</f>
        <v>0</v>
      </c>
      <c r="Q17" s="613">
        <f>+Mat!R19</f>
        <v>0</v>
      </c>
      <c r="R17" s="613">
        <f>+Mat!S19</f>
        <v>0</v>
      </c>
      <c r="S17" s="636">
        <f t="shared" ref="S17:S26" si="18">+SUMIFS(N17:R17,N$2:R$2,$S$5)</f>
        <v>0</v>
      </c>
      <c r="T17" s="499"/>
      <c r="U17" s="612">
        <f t="shared" ref="U17:U26" si="19">+SUMIFS(N17:S17,N$2:S$2,$U$5)</f>
        <v>0</v>
      </c>
      <c r="V17" s="351">
        <f t="shared" ref="V17:V26" si="20">+SUMIFS(N17:S17,N$2:S$2,$V$5)</f>
        <v>0</v>
      </c>
      <c r="W17" s="352">
        <f t="shared" ref="W17:W26" si="21">+SUMIFS(N17:S17,N$2:S$2,$W$5)</f>
        <v>0</v>
      </c>
      <c r="X17" s="347"/>
      <c r="Y17" s="612">
        <f t="shared" ref="Y17:Y26" si="22">+K17+L17</f>
        <v>0</v>
      </c>
      <c r="Z17" s="613">
        <f>+Mat!Z19</f>
        <v>0</v>
      </c>
      <c r="AA17" s="613">
        <f>+Mat!AA19</f>
        <v>0</v>
      </c>
      <c r="AB17" s="613">
        <f>+Mat!AB19</f>
        <v>0</v>
      </c>
      <c r="AC17" s="520">
        <v>120349.24969999884</v>
      </c>
      <c r="AD17" s="347"/>
      <c r="AE17" s="348"/>
      <c r="AF17" s="444"/>
      <c r="AG17" s="531"/>
      <c r="AH17" s="295"/>
      <c r="AI17" s="397">
        <f t="shared" ref="AI17:AI26" si="23">SUM(AL17:AP17)</f>
        <v>0</v>
      </c>
      <c r="AJ17" s="953">
        <f t="shared" ref="AJ17:AJ26" si="24">SUM(AL17:AM17)</f>
        <v>0</v>
      </c>
      <c r="AK17" s="671">
        <f t="shared" ref="AK17:AK26" si="25">+AN17</f>
        <v>0</v>
      </c>
      <c r="AL17" s="1110"/>
      <c r="AM17" s="1110"/>
      <c r="AN17" s="1110"/>
      <c r="AO17" s="1110"/>
      <c r="AP17" s="1110"/>
      <c r="AQ17" s="295"/>
      <c r="AR17" s="295"/>
      <c r="AS17" s="295"/>
    </row>
    <row r="18" spans="2:45" s="5" customFormat="1" ht="18.75" x14ac:dyDescent="0.3">
      <c r="B18" s="15" t="s">
        <v>11</v>
      </c>
      <c r="C18" s="16"/>
      <c r="E18" s="637">
        <f t="shared" si="15"/>
        <v>0</v>
      </c>
      <c r="F18" s="499"/>
      <c r="G18" s="638">
        <f>+MO!H21</f>
        <v>0</v>
      </c>
      <c r="H18" s="623">
        <f>+AK18</f>
        <v>0</v>
      </c>
      <c r="I18" s="499"/>
      <c r="J18" s="638">
        <f t="shared" si="16"/>
        <v>0</v>
      </c>
      <c r="K18" s="622">
        <f>+J18+E18</f>
        <v>0</v>
      </c>
      <c r="L18" s="615">
        <f t="shared" si="17"/>
        <v>0</v>
      </c>
      <c r="M18" s="499"/>
      <c r="N18" s="640">
        <f>+N19ai19</f>
        <v>0</v>
      </c>
      <c r="O18" s="620">
        <f>+MO!P21</f>
        <v>0</v>
      </c>
      <c r="P18" s="620">
        <f>+MO!Q21</f>
        <v>0</v>
      </c>
      <c r="Q18" s="620">
        <f>+MO!R21</f>
        <v>0</v>
      </c>
      <c r="R18" s="620">
        <f>+MO!S21</f>
        <v>0</v>
      </c>
      <c r="S18" s="639">
        <f t="shared" si="18"/>
        <v>0</v>
      </c>
      <c r="T18" s="499"/>
      <c r="U18" s="640">
        <f t="shared" si="19"/>
        <v>0</v>
      </c>
      <c r="V18" s="372">
        <f t="shared" si="20"/>
        <v>0</v>
      </c>
      <c r="W18" s="371">
        <f t="shared" si="21"/>
        <v>0</v>
      </c>
      <c r="X18" s="347"/>
      <c r="Y18" s="614">
        <f t="shared" si="22"/>
        <v>0</v>
      </c>
      <c r="Z18" s="620">
        <f>+MO!Z21</f>
        <v>0</v>
      </c>
      <c r="AA18" s="620">
        <f>+MO!AA21</f>
        <v>0</v>
      </c>
      <c r="AB18" s="620">
        <f>+MO!AB21</f>
        <v>0</v>
      </c>
      <c r="AC18" s="621">
        <v>508729.33030000003</v>
      </c>
      <c r="AD18" s="347"/>
      <c r="AE18" s="375"/>
      <c r="AF18" s="444"/>
      <c r="AG18" s="531"/>
      <c r="AH18" s="295"/>
      <c r="AI18" s="397">
        <f t="shared" si="23"/>
        <v>0</v>
      </c>
      <c r="AJ18" s="953">
        <f t="shared" si="24"/>
        <v>0</v>
      </c>
      <c r="AK18" s="671">
        <f t="shared" si="25"/>
        <v>0</v>
      </c>
      <c r="AL18" s="1110"/>
      <c r="AM18" s="1110"/>
      <c r="AN18" s="1110"/>
      <c r="AO18" s="1110"/>
      <c r="AP18" s="1110"/>
      <c r="AQ18" s="295"/>
      <c r="AR18" s="295"/>
      <c r="AS18" s="295"/>
    </row>
    <row r="19" spans="2:45" s="5" customFormat="1" ht="18.75" x14ac:dyDescent="0.3">
      <c r="B19" s="15" t="s">
        <v>43</v>
      </c>
      <c r="C19" s="16"/>
      <c r="E19" s="637">
        <f t="shared" si="15"/>
        <v>0</v>
      </c>
      <c r="F19" s="499"/>
      <c r="G19" s="638">
        <f>+SC!H19</f>
        <v>0</v>
      </c>
      <c r="H19" s="623">
        <f>+AK19</f>
        <v>0</v>
      </c>
      <c r="I19" s="499"/>
      <c r="J19" s="638">
        <f t="shared" si="16"/>
        <v>0</v>
      </c>
      <c r="K19" s="622">
        <f t="shared" ref="K19:K25" si="26">+J19+E19</f>
        <v>0</v>
      </c>
      <c r="L19" s="615">
        <f t="shared" si="17"/>
        <v>0</v>
      </c>
      <c r="M19" s="499"/>
      <c r="N19" s="638">
        <f>+SC!O19</f>
        <v>0</v>
      </c>
      <c r="O19" s="622">
        <f>+SC!P19</f>
        <v>0</v>
      </c>
      <c r="P19" s="622">
        <f>+SC!Q19</f>
        <v>0</v>
      </c>
      <c r="Q19" s="622">
        <f>+SC!R19</f>
        <v>0</v>
      </c>
      <c r="R19" s="622">
        <f>+SC!S19</f>
        <v>0</v>
      </c>
      <c r="S19" s="621">
        <f t="shared" si="18"/>
        <v>0</v>
      </c>
      <c r="T19" s="499"/>
      <c r="U19" s="638">
        <f t="shared" si="19"/>
        <v>0</v>
      </c>
      <c r="V19" s="358">
        <f t="shared" si="20"/>
        <v>0</v>
      </c>
      <c r="W19" s="361">
        <f t="shared" si="21"/>
        <v>0</v>
      </c>
      <c r="X19" s="347"/>
      <c r="Y19" s="614">
        <f t="shared" si="22"/>
        <v>0</v>
      </c>
      <c r="Z19" s="622">
        <f>+SC!Z19</f>
        <v>0</v>
      </c>
      <c r="AA19" s="622">
        <f>+SC!AA19</f>
        <v>0</v>
      </c>
      <c r="AB19" s="622">
        <f>+SC!AB19</f>
        <v>0</v>
      </c>
      <c r="AC19" s="623">
        <v>453396.28639999998</v>
      </c>
      <c r="AD19" s="347"/>
      <c r="AE19" s="375"/>
      <c r="AF19" s="444"/>
      <c r="AG19" s="531"/>
      <c r="AH19" s="295"/>
      <c r="AI19" s="397">
        <f t="shared" si="23"/>
        <v>0</v>
      </c>
      <c r="AJ19" s="953">
        <f t="shared" si="24"/>
        <v>0</v>
      </c>
      <c r="AK19" s="671">
        <f t="shared" si="25"/>
        <v>0</v>
      </c>
      <c r="AL19" s="1110"/>
      <c r="AM19" s="1110"/>
      <c r="AN19" s="1110"/>
      <c r="AO19" s="1110"/>
      <c r="AP19" s="1110"/>
      <c r="AQ19" s="295"/>
      <c r="AR19" s="295"/>
      <c r="AS19" s="295"/>
    </row>
    <row r="20" spans="2:45" s="5" customFormat="1" ht="18.75" x14ac:dyDescent="0.3">
      <c r="B20" s="15" t="s">
        <v>38</v>
      </c>
      <c r="C20" s="16"/>
      <c r="E20" s="637">
        <f t="shared" si="15"/>
        <v>0</v>
      </c>
      <c r="F20" s="499"/>
      <c r="G20" s="638">
        <f>+SER!H16</f>
        <v>0</v>
      </c>
      <c r="H20" s="623">
        <f>+AK20</f>
        <v>0</v>
      </c>
      <c r="I20" s="499"/>
      <c r="J20" s="638">
        <f t="shared" si="16"/>
        <v>0</v>
      </c>
      <c r="K20" s="622">
        <f>+J20+E20</f>
        <v>0</v>
      </c>
      <c r="L20" s="615">
        <f t="shared" si="17"/>
        <v>0</v>
      </c>
      <c r="M20" s="499"/>
      <c r="N20" s="638">
        <f>+SER!O16</f>
        <v>0</v>
      </c>
      <c r="O20" s="622">
        <f>+SER!P16</f>
        <v>0</v>
      </c>
      <c r="P20" s="622">
        <f>+SER!Q16</f>
        <v>0</v>
      </c>
      <c r="Q20" s="622">
        <f>+SER!R16</f>
        <v>0</v>
      </c>
      <c r="R20" s="622">
        <f>+SER!S16</f>
        <v>0</v>
      </c>
      <c r="S20" s="621">
        <f t="shared" si="18"/>
        <v>0</v>
      </c>
      <c r="T20" s="499"/>
      <c r="U20" s="638">
        <f t="shared" si="19"/>
        <v>0</v>
      </c>
      <c r="V20" s="358">
        <f t="shared" si="20"/>
        <v>0</v>
      </c>
      <c r="W20" s="361">
        <f t="shared" si="21"/>
        <v>0</v>
      </c>
      <c r="X20" s="347"/>
      <c r="Y20" s="614">
        <f t="shared" si="22"/>
        <v>0</v>
      </c>
      <c r="Z20" s="622">
        <f>+SER!Z16</f>
        <v>0</v>
      </c>
      <c r="AA20" s="622">
        <f>+SER!AA16</f>
        <v>0</v>
      </c>
      <c r="AB20" s="622">
        <f>+SER!AB16</f>
        <v>0</v>
      </c>
      <c r="AC20" s="623">
        <v>32000</v>
      </c>
      <c r="AD20" s="347"/>
      <c r="AE20" s="375"/>
      <c r="AF20" s="444"/>
      <c r="AG20" s="531"/>
      <c r="AH20" s="295"/>
      <c r="AI20" s="397">
        <f t="shared" si="23"/>
        <v>0</v>
      </c>
      <c r="AJ20" s="953">
        <f t="shared" si="24"/>
        <v>0</v>
      </c>
      <c r="AK20" s="671">
        <f t="shared" si="25"/>
        <v>0</v>
      </c>
      <c r="AL20" s="1110"/>
      <c r="AM20" s="1110"/>
      <c r="AN20" s="1110"/>
      <c r="AO20" s="1110"/>
      <c r="AP20" s="1110"/>
      <c r="AQ20" s="295"/>
      <c r="AR20" s="295"/>
      <c r="AS20" s="295"/>
    </row>
    <row r="21" spans="2:45" s="5" customFormat="1" ht="18.75" x14ac:dyDescent="0.3">
      <c r="B21" s="15" t="s">
        <v>12</v>
      </c>
      <c r="C21" s="16"/>
      <c r="E21" s="637">
        <f t="shared" si="15"/>
        <v>0</v>
      </c>
      <c r="F21" s="499"/>
      <c r="G21" s="638">
        <v>0</v>
      </c>
      <c r="H21" s="623">
        <f>+AK21</f>
        <v>0</v>
      </c>
      <c r="I21" s="499"/>
      <c r="J21" s="638">
        <f t="shared" si="16"/>
        <v>0</v>
      </c>
      <c r="K21" s="622">
        <f t="shared" si="26"/>
        <v>0</v>
      </c>
      <c r="L21" s="615">
        <f t="shared" si="17"/>
        <v>0</v>
      </c>
      <c r="M21" s="499"/>
      <c r="N21" s="638"/>
      <c r="O21" s="622"/>
      <c r="P21" s="622"/>
      <c r="Q21" s="622"/>
      <c r="R21" s="622"/>
      <c r="S21" s="621">
        <f t="shared" si="18"/>
        <v>0</v>
      </c>
      <c r="T21" s="499"/>
      <c r="U21" s="638">
        <f t="shared" si="19"/>
        <v>0</v>
      </c>
      <c r="V21" s="358">
        <f t="shared" si="20"/>
        <v>0</v>
      </c>
      <c r="W21" s="361">
        <f t="shared" si="21"/>
        <v>0</v>
      </c>
      <c r="X21" s="347"/>
      <c r="Y21" s="614">
        <f t="shared" si="22"/>
        <v>0</v>
      </c>
      <c r="Z21" s="622">
        <v>0</v>
      </c>
      <c r="AA21" s="622"/>
      <c r="AB21" s="622"/>
      <c r="AC21" s="623"/>
      <c r="AD21" s="347"/>
      <c r="AE21" s="375"/>
      <c r="AF21" s="444"/>
      <c r="AG21" s="531"/>
      <c r="AH21" s="295"/>
      <c r="AI21" s="397">
        <f t="shared" si="23"/>
        <v>0</v>
      </c>
      <c r="AJ21" s="953">
        <f t="shared" si="24"/>
        <v>0</v>
      </c>
      <c r="AK21" s="671">
        <f t="shared" si="25"/>
        <v>0</v>
      </c>
      <c r="AL21" s="1110"/>
      <c r="AM21" s="1110"/>
      <c r="AN21" s="1110"/>
      <c r="AO21" s="1110"/>
      <c r="AP21" s="1110"/>
      <c r="AQ21" s="295"/>
      <c r="AR21" s="295"/>
      <c r="AS21" s="295"/>
    </row>
    <row r="22" spans="2:45" s="5" customFormat="1" ht="18.75" x14ac:dyDescent="0.3">
      <c r="B22" s="15"/>
      <c r="C22" s="16" t="s">
        <v>25</v>
      </c>
      <c r="E22" s="637">
        <f t="shared" si="15"/>
        <v>0</v>
      </c>
      <c r="F22" s="499"/>
      <c r="G22" s="638">
        <f>+Eq!H17</f>
        <v>0</v>
      </c>
      <c r="H22" s="623">
        <f>+AK22</f>
        <v>0</v>
      </c>
      <c r="I22" s="499"/>
      <c r="J22" s="638">
        <f t="shared" si="16"/>
        <v>0</v>
      </c>
      <c r="K22" s="620">
        <f t="shared" si="26"/>
        <v>0</v>
      </c>
      <c r="L22" s="615">
        <f t="shared" si="17"/>
        <v>0</v>
      </c>
      <c r="M22" s="499"/>
      <c r="N22" s="640">
        <f>+Eq!O17</f>
        <v>0</v>
      </c>
      <c r="O22" s="620">
        <f>+Eq!P17</f>
        <v>0</v>
      </c>
      <c r="P22" s="620">
        <f>+Eq!Q17</f>
        <v>0</v>
      </c>
      <c r="Q22" s="620">
        <f>+Eq!R17</f>
        <v>0</v>
      </c>
      <c r="R22" s="620">
        <f>+Eq!S17</f>
        <v>0</v>
      </c>
      <c r="S22" s="639">
        <f t="shared" si="18"/>
        <v>0</v>
      </c>
      <c r="T22" s="499"/>
      <c r="U22" s="638">
        <f t="shared" si="19"/>
        <v>0</v>
      </c>
      <c r="V22" s="358">
        <f t="shared" si="20"/>
        <v>0</v>
      </c>
      <c r="W22" s="371">
        <f t="shared" si="21"/>
        <v>0</v>
      </c>
      <c r="X22" s="347"/>
      <c r="Y22" s="614">
        <f t="shared" si="22"/>
        <v>0</v>
      </c>
      <c r="Z22" s="620">
        <f>+Eq!Z17</f>
        <v>0</v>
      </c>
      <c r="AA22" s="620">
        <f>+Eq!AA17</f>
        <v>0</v>
      </c>
      <c r="AB22" s="620">
        <f>+Eq!AB17</f>
        <v>0</v>
      </c>
      <c r="AC22" s="624">
        <v>6691.85</v>
      </c>
      <c r="AD22" s="347"/>
      <c r="AE22" s="375"/>
      <c r="AF22" s="444"/>
      <c r="AG22" s="531"/>
      <c r="AH22" s="295"/>
      <c r="AI22" s="397">
        <f t="shared" si="23"/>
        <v>0</v>
      </c>
      <c r="AJ22" s="953">
        <f t="shared" si="24"/>
        <v>0</v>
      </c>
      <c r="AK22" s="671">
        <f t="shared" si="25"/>
        <v>0</v>
      </c>
      <c r="AL22" s="1110"/>
      <c r="AM22" s="1110"/>
      <c r="AN22" s="1110"/>
      <c r="AO22" s="1110"/>
      <c r="AP22" s="1110"/>
      <c r="AQ22" s="295"/>
      <c r="AR22" s="295"/>
      <c r="AS22" s="295"/>
    </row>
    <row r="23" spans="2:45" s="5" customFormat="1" ht="18.75" x14ac:dyDescent="0.3">
      <c r="B23" s="15"/>
      <c r="C23" s="16" t="s">
        <v>14</v>
      </c>
      <c r="E23" s="637">
        <f t="shared" si="15"/>
        <v>0</v>
      </c>
      <c r="F23" s="499"/>
      <c r="G23" s="638">
        <f>+Eq!H20</f>
        <v>0</v>
      </c>
      <c r="H23" s="623">
        <f>+AK23</f>
        <v>0</v>
      </c>
      <c r="I23" s="499"/>
      <c r="J23" s="638">
        <f t="shared" si="16"/>
        <v>0</v>
      </c>
      <c r="K23" s="622">
        <f t="shared" si="26"/>
        <v>0</v>
      </c>
      <c r="L23" s="615">
        <f t="shared" si="17"/>
        <v>0</v>
      </c>
      <c r="M23" s="499"/>
      <c r="N23" s="638">
        <f>+Eq!O20</f>
        <v>0</v>
      </c>
      <c r="O23" s="622">
        <f>+Eq!P20</f>
        <v>0</v>
      </c>
      <c r="P23" s="622">
        <f>+Eq!Q20</f>
        <v>0</v>
      </c>
      <c r="Q23" s="622">
        <f>+Eq!R20</f>
        <v>0</v>
      </c>
      <c r="R23" s="622">
        <f>+Eq!S20</f>
        <v>0</v>
      </c>
      <c r="S23" s="621">
        <f t="shared" si="18"/>
        <v>0</v>
      </c>
      <c r="T23" s="499"/>
      <c r="U23" s="638">
        <f t="shared" si="19"/>
        <v>0</v>
      </c>
      <c r="V23" s="358">
        <f t="shared" si="20"/>
        <v>0</v>
      </c>
      <c r="W23" s="361">
        <f t="shared" si="21"/>
        <v>0</v>
      </c>
      <c r="X23" s="347"/>
      <c r="Y23" s="614">
        <f t="shared" si="22"/>
        <v>0</v>
      </c>
      <c r="Z23" s="622">
        <f ca="1">+Eq!Z20</f>
        <v>0</v>
      </c>
      <c r="AA23" s="622">
        <f ca="1">+Eq!AA20</f>
        <v>0</v>
      </c>
      <c r="AB23" s="622">
        <f ca="1">+Eq!AB20</f>
        <v>0</v>
      </c>
      <c r="AC23" s="623">
        <v>3188211.8000000003</v>
      </c>
      <c r="AD23" s="347"/>
      <c r="AE23" s="375"/>
      <c r="AF23" s="444"/>
      <c r="AG23" s="531"/>
      <c r="AH23" s="295"/>
      <c r="AI23" s="397">
        <f t="shared" si="23"/>
        <v>0</v>
      </c>
      <c r="AJ23" s="953">
        <f t="shared" si="24"/>
        <v>0</v>
      </c>
      <c r="AK23" s="671">
        <f t="shared" si="25"/>
        <v>0</v>
      </c>
      <c r="AL23" s="1110"/>
      <c r="AM23" s="1110"/>
      <c r="AN23" s="1110"/>
      <c r="AO23" s="1110"/>
      <c r="AP23" s="1110"/>
      <c r="AQ23" s="295"/>
      <c r="AR23" s="295"/>
      <c r="AS23" s="295"/>
    </row>
    <row r="24" spans="2:45" s="5" customFormat="1" ht="18.75" x14ac:dyDescent="0.3">
      <c r="B24" s="15" t="s">
        <v>13</v>
      </c>
      <c r="C24" s="16"/>
      <c r="E24" s="637">
        <f t="shared" si="15"/>
        <v>0</v>
      </c>
      <c r="F24" s="499"/>
      <c r="G24" s="638">
        <f>+Fletes!H15</f>
        <v>0</v>
      </c>
      <c r="H24" s="623">
        <f>+AK24</f>
        <v>0</v>
      </c>
      <c r="I24" s="499"/>
      <c r="J24" s="638">
        <f t="shared" si="16"/>
        <v>0</v>
      </c>
      <c r="K24" s="622">
        <f t="shared" si="26"/>
        <v>0</v>
      </c>
      <c r="L24" s="615">
        <f t="shared" si="17"/>
        <v>0</v>
      </c>
      <c r="M24" s="499"/>
      <c r="N24" s="638">
        <f>+Fletes!O15</f>
        <v>0</v>
      </c>
      <c r="O24" s="622">
        <f>+Fletes!P15</f>
        <v>0</v>
      </c>
      <c r="P24" s="622">
        <f>+Fletes!Q15</f>
        <v>0</v>
      </c>
      <c r="Q24" s="622">
        <f>+Fletes!R15</f>
        <v>0</v>
      </c>
      <c r="R24" s="622">
        <f>+Fletes!S15</f>
        <v>0</v>
      </c>
      <c r="S24" s="621">
        <f t="shared" si="18"/>
        <v>0</v>
      </c>
      <c r="T24" s="499"/>
      <c r="U24" s="638">
        <f t="shared" si="19"/>
        <v>0</v>
      </c>
      <c r="V24" s="358">
        <f t="shared" si="20"/>
        <v>0</v>
      </c>
      <c r="W24" s="361">
        <f t="shared" si="21"/>
        <v>0</v>
      </c>
      <c r="X24" s="347"/>
      <c r="Y24" s="614">
        <f t="shared" si="22"/>
        <v>0</v>
      </c>
      <c r="Z24" s="622">
        <f>+Fletes!Z15</f>
        <v>0</v>
      </c>
      <c r="AA24" s="622">
        <f>+Fletes!AA39</f>
        <v>0</v>
      </c>
      <c r="AB24" s="622">
        <f>+Fletes!AB39</f>
        <v>0</v>
      </c>
      <c r="AC24" s="623">
        <v>263175.00000000006</v>
      </c>
      <c r="AD24" s="347"/>
      <c r="AE24" s="375"/>
      <c r="AF24" s="444"/>
      <c r="AG24" s="531"/>
      <c r="AH24" s="295"/>
      <c r="AI24" s="397">
        <f t="shared" si="23"/>
        <v>0</v>
      </c>
      <c r="AJ24" s="953">
        <f t="shared" si="24"/>
        <v>0</v>
      </c>
      <c r="AK24" s="671">
        <f t="shared" si="25"/>
        <v>0</v>
      </c>
      <c r="AL24" s="1110"/>
      <c r="AM24" s="1110"/>
      <c r="AN24" s="1110"/>
      <c r="AO24" s="1110"/>
      <c r="AP24" s="1110"/>
      <c r="AQ24" s="295"/>
      <c r="AR24" s="295"/>
      <c r="AS24" s="295"/>
    </row>
    <row r="25" spans="2:45" s="5" customFormat="1" ht="18.75" x14ac:dyDescent="0.3">
      <c r="B25" s="15" t="s">
        <v>31</v>
      </c>
      <c r="C25" s="16"/>
      <c r="E25" s="637">
        <f t="shared" si="15"/>
        <v>0</v>
      </c>
      <c r="F25" s="499"/>
      <c r="G25" s="638">
        <v>0</v>
      </c>
      <c r="H25" s="623">
        <f>+AK25</f>
        <v>0</v>
      </c>
      <c r="I25" s="499"/>
      <c r="J25" s="638">
        <f t="shared" si="16"/>
        <v>0</v>
      </c>
      <c r="K25" s="615">
        <f t="shared" si="26"/>
        <v>0</v>
      </c>
      <c r="L25" s="615">
        <f t="shared" si="17"/>
        <v>0</v>
      </c>
      <c r="M25" s="499"/>
      <c r="N25" s="614"/>
      <c r="O25" s="615"/>
      <c r="P25" s="615"/>
      <c r="Q25" s="615"/>
      <c r="R25" s="615"/>
      <c r="S25" s="641">
        <f t="shared" si="18"/>
        <v>0</v>
      </c>
      <c r="T25" s="499"/>
      <c r="U25" s="638">
        <f t="shared" si="19"/>
        <v>0</v>
      </c>
      <c r="V25" s="358">
        <f t="shared" si="20"/>
        <v>0</v>
      </c>
      <c r="W25" s="356">
        <f t="shared" si="21"/>
        <v>0</v>
      </c>
      <c r="X25" s="347"/>
      <c r="Y25" s="614">
        <f t="shared" si="22"/>
        <v>0</v>
      </c>
      <c r="Z25" s="615">
        <v>0</v>
      </c>
      <c r="AA25" s="615"/>
      <c r="AB25" s="615">
        <v>0</v>
      </c>
      <c r="AC25" s="616">
        <v>0</v>
      </c>
      <c r="AD25" s="347"/>
      <c r="AE25" s="375"/>
      <c r="AF25" s="444"/>
      <c r="AG25" s="531"/>
      <c r="AH25" s="295"/>
      <c r="AI25" s="397">
        <f t="shared" si="23"/>
        <v>0</v>
      </c>
      <c r="AJ25" s="953">
        <f t="shared" si="24"/>
        <v>0</v>
      </c>
      <c r="AK25" s="671">
        <f t="shared" si="25"/>
        <v>0</v>
      </c>
      <c r="AL25" s="1110"/>
      <c r="AM25" s="1110"/>
      <c r="AN25" s="1110"/>
      <c r="AO25" s="1110"/>
      <c r="AP25" s="1110"/>
      <c r="AQ25" s="295"/>
      <c r="AR25" s="295"/>
      <c r="AS25" s="295"/>
    </row>
    <row r="26" spans="2:45" s="5" customFormat="1" ht="18.75" x14ac:dyDescent="0.3">
      <c r="B26" s="17" t="s">
        <v>15</v>
      </c>
      <c r="C26" s="18"/>
      <c r="E26" s="637">
        <f t="shared" si="15"/>
        <v>0</v>
      </c>
      <c r="F26" s="499"/>
      <c r="G26" s="617">
        <v>0</v>
      </c>
      <c r="H26" s="619">
        <f>+AK26</f>
        <v>0</v>
      </c>
      <c r="I26" s="499"/>
      <c r="J26" s="617">
        <f t="shared" si="16"/>
        <v>0</v>
      </c>
      <c r="K26" s="618">
        <f>+J26+E26</f>
        <v>0</v>
      </c>
      <c r="L26" s="615">
        <f t="shared" si="17"/>
        <v>0</v>
      </c>
      <c r="M26" s="499"/>
      <c r="N26" s="617"/>
      <c r="O26" s="618"/>
      <c r="P26" s="618"/>
      <c r="Q26" s="618"/>
      <c r="R26" s="618"/>
      <c r="S26" s="643">
        <f t="shared" si="18"/>
        <v>0</v>
      </c>
      <c r="T26" s="499"/>
      <c r="U26" s="617">
        <f t="shared" si="19"/>
        <v>0</v>
      </c>
      <c r="V26" s="365">
        <f t="shared" si="20"/>
        <v>0</v>
      </c>
      <c r="W26" s="366">
        <f t="shared" si="21"/>
        <v>0</v>
      </c>
      <c r="X26" s="347"/>
      <c r="Y26" s="617">
        <f t="shared" si="22"/>
        <v>0</v>
      </c>
      <c r="Z26" s="618">
        <v>0</v>
      </c>
      <c r="AA26" s="618">
        <v>0</v>
      </c>
      <c r="AB26" s="618">
        <v>0</v>
      </c>
      <c r="AC26" s="619">
        <v>0</v>
      </c>
      <c r="AD26" s="347"/>
      <c r="AE26" s="368"/>
      <c r="AF26" s="444"/>
      <c r="AG26" s="531"/>
      <c r="AH26" s="295"/>
      <c r="AI26" s="397">
        <f t="shared" si="23"/>
        <v>0</v>
      </c>
      <c r="AJ26" s="953">
        <f t="shared" si="24"/>
        <v>0</v>
      </c>
      <c r="AK26" s="671">
        <f t="shared" si="25"/>
        <v>0</v>
      </c>
      <c r="AL26" s="1110"/>
      <c r="AM26" s="1110"/>
      <c r="AN26" s="1110"/>
      <c r="AO26" s="1110"/>
      <c r="AP26" s="1110"/>
      <c r="AQ26" s="295"/>
      <c r="AR26" s="295"/>
      <c r="AS26" s="295"/>
    </row>
    <row r="27" spans="2:45" s="5" customFormat="1" ht="7.5" customHeight="1" x14ac:dyDescent="0.3">
      <c r="E27" s="347"/>
      <c r="F27" s="347"/>
      <c r="G27" s="347"/>
      <c r="H27" s="347"/>
      <c r="I27" s="347"/>
      <c r="J27" s="347"/>
      <c r="K27" s="347"/>
      <c r="L27" s="347"/>
      <c r="M27" s="347"/>
      <c r="N27" s="347"/>
      <c r="O27" s="347"/>
      <c r="P27" s="347"/>
      <c r="Q27" s="347"/>
      <c r="R27" s="347"/>
      <c r="S27" s="347"/>
      <c r="T27" s="347"/>
      <c r="U27" s="347"/>
      <c r="V27" s="347"/>
      <c r="W27" s="347"/>
      <c r="X27" s="347"/>
      <c r="Y27" s="499"/>
      <c r="Z27" s="499"/>
      <c r="AA27" s="499"/>
      <c r="AB27" s="499"/>
      <c r="AC27" s="499"/>
      <c r="AD27" s="347"/>
      <c r="AE27" s="347"/>
      <c r="AF27" s="442"/>
      <c r="AG27" s="532"/>
      <c r="AH27" s="295"/>
      <c r="AI27" s="396"/>
      <c r="AJ27" s="402"/>
      <c r="AK27" s="402"/>
      <c r="AL27" s="402"/>
      <c r="AM27" s="402"/>
      <c r="AN27" s="402"/>
      <c r="AO27" s="402"/>
      <c r="AP27" s="402"/>
      <c r="AQ27" s="295"/>
      <c r="AR27" s="295"/>
      <c r="AS27" s="295"/>
    </row>
    <row r="28" spans="2:45" s="5" customFormat="1" ht="15.75" customHeight="1" x14ac:dyDescent="0.3">
      <c r="B28" s="11" t="s">
        <v>16</v>
      </c>
      <c r="C28" s="12"/>
      <c r="E28" s="379">
        <f>AJ28</f>
        <v>0</v>
      </c>
      <c r="F28" s="347"/>
      <c r="G28" s="380"/>
      <c r="H28" s="381">
        <v>0</v>
      </c>
      <c r="I28" s="347"/>
      <c r="J28" s="407">
        <f>+H28+AE28</f>
        <v>0</v>
      </c>
      <c r="K28" s="382">
        <f>+J28+E28</f>
        <v>0</v>
      </c>
      <c r="L28" s="615">
        <f t="shared" si="17"/>
        <v>0</v>
      </c>
      <c r="M28" s="347"/>
      <c r="N28" s="380">
        <f>-H28/3</f>
        <v>0</v>
      </c>
      <c r="O28" s="382">
        <f>+N28</f>
        <v>0</v>
      </c>
      <c r="P28" s="382">
        <f>+O28</f>
        <v>0</v>
      </c>
      <c r="Q28" s="382"/>
      <c r="R28" s="382"/>
      <c r="S28" s="381">
        <f>+SUMIFS(N28:R28,N$2:R$2,$S$5)</f>
        <v>0</v>
      </c>
      <c r="T28" s="347"/>
      <c r="U28" s="383">
        <f>+SUMIFS(N28:S28,N$2:S$2,$U$5)</f>
        <v>0</v>
      </c>
      <c r="V28" s="384">
        <f>+SUMIFS(N28:S28,N$2:S$2,$V$5)</f>
        <v>0</v>
      </c>
      <c r="W28" s="385">
        <f>+SUMIFS(N28:S28,N$2:S$2,$W$5)</f>
        <v>0</v>
      </c>
      <c r="X28" s="347"/>
      <c r="Y28" s="625">
        <v>0</v>
      </c>
      <c r="Z28" s="626">
        <v>0</v>
      </c>
      <c r="AA28" s="626">
        <v>0</v>
      </c>
      <c r="AB28" s="626"/>
      <c r="AC28" s="627">
        <v>0</v>
      </c>
      <c r="AD28" s="347"/>
      <c r="AE28" s="379"/>
      <c r="AF28" s="442"/>
      <c r="AG28" s="532"/>
      <c r="AH28" s="295"/>
      <c r="AI28" s="409">
        <f>SUM(AJ28:AP28)</f>
        <v>0</v>
      </c>
      <c r="AJ28" s="408">
        <v>0</v>
      </c>
      <c r="AK28" s="408"/>
      <c r="AL28" s="1110"/>
      <c r="AM28" s="1110"/>
      <c r="AN28" s="1110"/>
      <c r="AO28" s="1110"/>
      <c r="AP28" s="1110"/>
      <c r="AQ28" s="295"/>
      <c r="AR28" s="295"/>
      <c r="AS28" s="295"/>
    </row>
    <row r="29" spans="2:45" s="5" customFormat="1" ht="15.75" x14ac:dyDescent="0.25">
      <c r="E29" s="347"/>
      <c r="F29" s="347"/>
      <c r="G29" s="347"/>
      <c r="H29" s="347"/>
      <c r="I29" s="347"/>
      <c r="J29" s="347"/>
      <c r="K29" s="347"/>
      <c r="L29" s="347"/>
      <c r="M29" s="347"/>
      <c r="N29" s="347"/>
      <c r="O29" s="347"/>
      <c r="P29" s="347"/>
      <c r="Q29" s="347"/>
      <c r="R29" s="347"/>
      <c r="S29" s="347"/>
      <c r="T29" s="347"/>
      <c r="U29" s="347"/>
      <c r="V29" s="347"/>
      <c r="W29" s="347"/>
      <c r="X29" s="347"/>
      <c r="Y29" s="499"/>
      <c r="Z29" s="499"/>
      <c r="AA29" s="499"/>
      <c r="AB29" s="499"/>
      <c r="AC29" s="499"/>
      <c r="AD29" s="347"/>
      <c r="AE29" s="347"/>
      <c r="AF29" s="399"/>
      <c r="AG29" s="535"/>
      <c r="AH29" s="295"/>
      <c r="AI29" s="295"/>
      <c r="AJ29" s="295"/>
      <c r="AK29" s="295"/>
      <c r="AL29" s="295"/>
      <c r="AM29" s="295"/>
      <c r="AN29" s="295"/>
      <c r="AO29" s="295"/>
      <c r="AP29" s="295"/>
      <c r="AQ29" s="295"/>
      <c r="AR29" s="295"/>
      <c r="AS29" s="295"/>
    </row>
    <row r="30" spans="2:45" s="5" customFormat="1" ht="15.75" x14ac:dyDescent="0.25">
      <c r="B30" s="64" t="s">
        <v>17</v>
      </c>
      <c r="C30" s="65"/>
      <c r="D30" s="2"/>
      <c r="E30" s="332">
        <f>+E9*E31</f>
        <v>0</v>
      </c>
      <c r="F30" s="333"/>
      <c r="G30" s="337">
        <f>+G9*G31</f>
        <v>0</v>
      </c>
      <c r="H30" s="386">
        <f>+H9*H31</f>
        <v>0</v>
      </c>
      <c r="I30" s="333"/>
      <c r="J30" s="337">
        <f>+J7*J31</f>
        <v>0</v>
      </c>
      <c r="K30" s="336">
        <f>+K7*K31</f>
        <v>0</v>
      </c>
      <c r="L30" s="335">
        <f>+L7*L31</f>
        <v>0</v>
      </c>
      <c r="M30" s="333"/>
      <c r="N30" s="337">
        <f t="shared" ref="N30:S30" si="27">+N7*N31</f>
        <v>0</v>
      </c>
      <c r="O30" s="336">
        <f t="shared" si="27"/>
        <v>0</v>
      </c>
      <c r="P30" s="336">
        <f t="shared" si="27"/>
        <v>0</v>
      </c>
      <c r="Q30" s="336">
        <f t="shared" si="27"/>
        <v>0</v>
      </c>
      <c r="R30" s="336">
        <f t="shared" si="27"/>
        <v>0</v>
      </c>
      <c r="S30" s="335">
        <f t="shared" si="27"/>
        <v>0</v>
      </c>
      <c r="T30" s="333"/>
      <c r="U30" s="337">
        <f>+U7*U31</f>
        <v>0</v>
      </c>
      <c r="V30" s="336">
        <f>+V7*V31</f>
        <v>0</v>
      </c>
      <c r="W30" s="335">
        <f>+W7*W31</f>
        <v>0</v>
      </c>
      <c r="X30" s="333"/>
      <c r="Y30" s="628">
        <f>+Y7-Y15</f>
        <v>0</v>
      </c>
      <c r="Z30" s="628">
        <f ca="1">+Z7-Z15</f>
        <v>0</v>
      </c>
      <c r="AA30" s="629">
        <f ca="1">+AA7-AA15</f>
        <v>0</v>
      </c>
      <c r="AB30" s="629">
        <f ca="1">+AB7-AB15</f>
        <v>0</v>
      </c>
      <c r="AC30" s="630">
        <f>+AC7-AC15</f>
        <v>-4572553.5163999991</v>
      </c>
      <c r="AD30" s="333"/>
      <c r="AE30" s="332">
        <f>+AE9*AE31</f>
        <v>0</v>
      </c>
      <c r="AF30" s="445"/>
      <c r="AG30" s="531"/>
      <c r="AH30" s="295"/>
      <c r="AI30" s="295"/>
      <c r="AJ30" s="295"/>
      <c r="AK30" s="295"/>
      <c r="AL30" s="295"/>
      <c r="AM30" s="295"/>
      <c r="AN30" s="295"/>
      <c r="AO30" s="295"/>
      <c r="AP30" s="295"/>
      <c r="AQ30" s="295"/>
      <c r="AR30" s="295"/>
      <c r="AS30" s="295"/>
    </row>
    <row r="31" spans="2:45" s="5" customFormat="1" ht="15.75" x14ac:dyDescent="0.25">
      <c r="B31" s="66" t="s">
        <v>18</v>
      </c>
      <c r="C31" s="67"/>
      <c r="D31" s="2"/>
      <c r="E31" s="68">
        <f>+$Y$31</f>
        <v>0</v>
      </c>
      <c r="F31" s="19"/>
      <c r="G31" s="71">
        <f>+$Y$31</f>
        <v>0</v>
      </c>
      <c r="H31" s="72">
        <f>+$Y$31</f>
        <v>0</v>
      </c>
      <c r="I31" s="19"/>
      <c r="J31" s="71">
        <f>+$Y$31</f>
        <v>0</v>
      </c>
      <c r="K31" s="75">
        <f>+$Y$31</f>
        <v>0</v>
      </c>
      <c r="L31" s="76">
        <f>+$Y$31</f>
        <v>0</v>
      </c>
      <c r="M31" s="19"/>
      <c r="N31" s="71">
        <f t="shared" ref="N31:S31" si="28">+$Y$31</f>
        <v>0</v>
      </c>
      <c r="O31" s="75">
        <f t="shared" si="28"/>
        <v>0</v>
      </c>
      <c r="P31" s="75">
        <f t="shared" si="28"/>
        <v>0</v>
      </c>
      <c r="Q31" s="75">
        <f t="shared" si="28"/>
        <v>0</v>
      </c>
      <c r="R31" s="75">
        <f t="shared" si="28"/>
        <v>0</v>
      </c>
      <c r="S31" s="76">
        <f t="shared" si="28"/>
        <v>0</v>
      </c>
      <c r="T31" s="19"/>
      <c r="U31" s="71">
        <f>+$Y$31</f>
        <v>0</v>
      </c>
      <c r="V31" s="75">
        <f>+$Y$31</f>
        <v>0</v>
      </c>
      <c r="W31" s="76">
        <f>+$Y$31</f>
        <v>0</v>
      </c>
      <c r="X31" s="19"/>
      <c r="Y31" s="631">
        <f>+IF(Y7=0,0,Y30/Y7)</f>
        <v>0</v>
      </c>
      <c r="Z31" s="71">
        <f>+IF(Z7=0,0,Z30/Z7)</f>
        <v>0</v>
      </c>
      <c r="AA31" s="632">
        <f>+IF(AA7=0,0,AA30/AA7)</f>
        <v>0</v>
      </c>
      <c r="AB31" s="632">
        <f>+IF(AB7=0,0,AB30/AB7)</f>
        <v>0</v>
      </c>
      <c r="AC31" s="633">
        <f>+IF(AC7=0,0,AC30/AC7)</f>
        <v>0</v>
      </c>
      <c r="AD31" s="19"/>
      <c r="AE31" s="68">
        <f>+$Y$31</f>
        <v>0</v>
      </c>
      <c r="AF31" s="54"/>
      <c r="AG31" s="54"/>
    </row>
    <row r="32" spans="2:45" s="5" customFormat="1" ht="7.5" customHeight="1" x14ac:dyDescent="0.25">
      <c r="B32" s="2"/>
      <c r="C32" s="2"/>
      <c r="D32" s="2"/>
      <c r="E32" s="8"/>
      <c r="F32" s="8"/>
      <c r="G32" s="8"/>
      <c r="H32" s="8"/>
      <c r="I32" s="8"/>
      <c r="J32" s="8"/>
      <c r="K32" s="8"/>
      <c r="L32" s="8"/>
      <c r="M32" s="8"/>
      <c r="N32" s="8"/>
      <c r="O32" s="8"/>
      <c r="P32" s="8"/>
      <c r="Q32" s="8"/>
      <c r="R32" s="8"/>
      <c r="S32" s="8"/>
      <c r="T32" s="8"/>
      <c r="U32" s="8"/>
      <c r="V32" s="8"/>
      <c r="W32" s="8"/>
      <c r="X32" s="8"/>
      <c r="Y32" s="87"/>
      <c r="Z32" s="87"/>
      <c r="AA32" s="87"/>
      <c r="AB32" s="87"/>
      <c r="AC32" s="87"/>
      <c r="AD32" s="8"/>
      <c r="AE32" s="8"/>
      <c r="AF32" s="54"/>
      <c r="AG32" s="54"/>
    </row>
    <row r="33" spans="2:46" s="5" customFormat="1" ht="15.75" customHeight="1" x14ac:dyDescent="0.25">
      <c r="B33" s="64" t="s">
        <v>33</v>
      </c>
      <c r="C33" s="65"/>
      <c r="D33" s="2"/>
      <c r="E33" s="332">
        <f>+E7-E15+E28</f>
        <v>0</v>
      </c>
      <c r="F33" s="333"/>
      <c r="G33" s="337">
        <f>+G7-G15+G28</f>
        <v>0</v>
      </c>
      <c r="H33" s="386">
        <f>+H7-H15+H28</f>
        <v>0</v>
      </c>
      <c r="I33" s="333"/>
      <c r="J33" s="334">
        <f>+J7-J15+J28</f>
        <v>0</v>
      </c>
      <c r="K33" s="336">
        <f>+K7-K15</f>
        <v>0</v>
      </c>
      <c r="L33" s="335">
        <f>+L7-L15</f>
        <v>0</v>
      </c>
      <c r="M33" s="333"/>
      <c r="N33" s="337">
        <f t="shared" ref="N33:S33" si="29">+N7-N15+N28</f>
        <v>0</v>
      </c>
      <c r="O33" s="336">
        <f t="shared" si="29"/>
        <v>0</v>
      </c>
      <c r="P33" s="336">
        <f t="shared" si="29"/>
        <v>0</v>
      </c>
      <c r="Q33" s="336">
        <f t="shared" si="29"/>
        <v>0</v>
      </c>
      <c r="R33" s="336">
        <f t="shared" si="29"/>
        <v>0</v>
      </c>
      <c r="S33" s="335">
        <f t="shared" si="29"/>
        <v>0</v>
      </c>
      <c r="T33" s="333"/>
      <c r="U33" s="337">
        <f>+U7-U15+U28</f>
        <v>0</v>
      </c>
      <c r="V33" s="336">
        <f>+V7-V15+V28</f>
        <v>0</v>
      </c>
      <c r="W33" s="335">
        <f>+W7-W15+W28</f>
        <v>0</v>
      </c>
      <c r="X33" s="333"/>
      <c r="Y33" s="628">
        <f>+Y7-Y15+Y28</f>
        <v>0</v>
      </c>
      <c r="Z33" s="629">
        <v>-2144335.4631454321</v>
      </c>
      <c r="AA33" s="629">
        <f ca="1">+AA7-AA15+AA28</f>
        <v>0</v>
      </c>
      <c r="AB33" s="629">
        <f ca="1">+AB7-AB15+AB28</f>
        <v>0</v>
      </c>
      <c r="AC33" s="630">
        <f>+AC7-AC15+AC28</f>
        <v>-4572553.5163999991</v>
      </c>
      <c r="AD33" s="333"/>
      <c r="AE33" s="332">
        <f>+AE7-AE15+AE28</f>
        <v>0</v>
      </c>
      <c r="AF33" s="299"/>
      <c r="AG33" s="299"/>
      <c r="AH33" s="295"/>
      <c r="AI33" s="295"/>
      <c r="AJ33" s="295"/>
      <c r="AK33" s="295"/>
      <c r="AL33" s="295"/>
      <c r="AM33" s="295"/>
      <c r="AN33" s="295"/>
      <c r="AO33" s="295"/>
      <c r="AP33" s="295"/>
      <c r="AQ33" s="295"/>
      <c r="AR33" s="295"/>
      <c r="AS33" s="295"/>
    </row>
    <row r="34" spans="2:46" s="5" customFormat="1" ht="15.75" customHeight="1" x14ac:dyDescent="0.25">
      <c r="B34" s="66" t="s">
        <v>34</v>
      </c>
      <c r="C34" s="67"/>
      <c r="D34" s="2"/>
      <c r="E34" s="68">
        <f>+IF(E7=0,0,E33/E7)</f>
        <v>0</v>
      </c>
      <c r="F34" s="19"/>
      <c r="G34" s="71">
        <f>+IF(G7=0,0,G33/G7)</f>
        <v>0</v>
      </c>
      <c r="H34" s="72">
        <f>+IF(H7=0,0,H33/H7)</f>
        <v>0</v>
      </c>
      <c r="I34" s="19"/>
      <c r="J34" s="71">
        <f>+IF(J7=0,0,J33/J7)</f>
        <v>0</v>
      </c>
      <c r="K34" s="75">
        <f>+IF(K7=0,0,K33/K7)</f>
        <v>0</v>
      </c>
      <c r="L34" s="76">
        <f>+IF(L7=0,0,L33/L7)</f>
        <v>0</v>
      </c>
      <c r="M34" s="19"/>
      <c r="N34" s="71">
        <f t="shared" ref="N34:S34" si="30">+IF(N7=0,0,N33/N7)</f>
        <v>0</v>
      </c>
      <c r="O34" s="75">
        <f t="shared" si="30"/>
        <v>0</v>
      </c>
      <c r="P34" s="75">
        <f t="shared" si="30"/>
        <v>0</v>
      </c>
      <c r="Q34" s="75">
        <f t="shared" si="30"/>
        <v>0</v>
      </c>
      <c r="R34" s="75">
        <f t="shared" si="30"/>
        <v>0</v>
      </c>
      <c r="S34" s="76">
        <f t="shared" si="30"/>
        <v>0</v>
      </c>
      <c r="T34" s="19"/>
      <c r="U34" s="71">
        <f>+IF(U7=0,0,U33/U7)</f>
        <v>0</v>
      </c>
      <c r="V34" s="75">
        <f>+IF(V7=0,0,V33/V7)</f>
        <v>0</v>
      </c>
      <c r="W34" s="76">
        <f>+IF(W7=0,0,W33/W7)</f>
        <v>0</v>
      </c>
      <c r="X34" s="19"/>
      <c r="Y34" s="631">
        <f>+IF(Y7=0,0,Y33/Y7)</f>
        <v>0</v>
      </c>
      <c r="Z34" s="71">
        <f>+IF(Z7=0,0,Z33/Z7)</f>
        <v>0</v>
      </c>
      <c r="AA34" s="632">
        <f>+IF(AA7=0,0,AA33/AA7)</f>
        <v>0</v>
      </c>
      <c r="AB34" s="632">
        <f>+IF(AB7=0,0,AB33/AB7)</f>
        <v>0</v>
      </c>
      <c r="AC34" s="633">
        <f>+IF(AC7=0,0,AC33/AC7)</f>
        <v>0</v>
      </c>
      <c r="AD34" s="19"/>
      <c r="AE34" s="68">
        <f>+IF(AE7=0,0,AE33/AE7)</f>
        <v>0</v>
      </c>
      <c r="AF34" s="54"/>
      <c r="AG34" s="54"/>
    </row>
    <row r="35" spans="2:46" s="40" customFormat="1" x14ac:dyDescent="0.25">
      <c r="Y35" s="634"/>
      <c r="Z35" s="634"/>
      <c r="AA35" s="634"/>
      <c r="AB35" s="634"/>
      <c r="AC35" s="634"/>
      <c r="AF35" s="44"/>
      <c r="AG35" s="44"/>
    </row>
    <row r="36" spans="2:46" s="40" customFormat="1" x14ac:dyDescent="0.25">
      <c r="Y36" s="338"/>
      <c r="Z36" s="590"/>
      <c r="AA36" s="634"/>
      <c r="AB36" s="590"/>
      <c r="AC36" s="590">
        <v>0.15002593235112727</v>
      </c>
      <c r="AE36" s="40">
        <v>-98756.833327862958</v>
      </c>
      <c r="AF36" s="44"/>
      <c r="AG36" s="44"/>
    </row>
    <row r="37" spans="2:46" s="40" customFormat="1" x14ac:dyDescent="0.25">
      <c r="E37" s="49"/>
      <c r="G37" s="49"/>
      <c r="P37" s="50"/>
      <c r="Y37" s="338"/>
      <c r="Z37" s="590"/>
      <c r="AA37" s="634"/>
      <c r="AB37" s="590"/>
      <c r="AC37" s="590">
        <v>1.3007552723600647E-7</v>
      </c>
      <c r="AE37" s="40">
        <v>-0.39313065027236471</v>
      </c>
      <c r="AF37" s="44"/>
      <c r="AG37" s="44"/>
    </row>
    <row r="38" spans="2:46" ht="18.75" x14ac:dyDescent="0.3">
      <c r="B38" s="23" t="s">
        <v>19</v>
      </c>
      <c r="C38" s="24"/>
      <c r="K38" s="306">
        <f>+K7-K30</f>
        <v>0</v>
      </c>
      <c r="L38" s="84"/>
      <c r="P38" s="22"/>
      <c r="AS38" s="597">
        <f>H33</f>
        <v>0</v>
      </c>
      <c r="AT38" s="597">
        <f>Y33</f>
        <v>0</v>
      </c>
    </row>
    <row r="39" spans="2:46" ht="9" customHeight="1" x14ac:dyDescent="0.3">
      <c r="B39" s="25"/>
      <c r="K39" s="302"/>
      <c r="L39" s="84"/>
      <c r="P39" s="22"/>
    </row>
    <row r="40" spans="2:46" ht="18.75" x14ac:dyDescent="0.3">
      <c r="B40" s="26" t="s">
        <v>20</v>
      </c>
      <c r="C40" s="27"/>
      <c r="K40" s="307">
        <f>K15-K38</f>
        <v>0</v>
      </c>
      <c r="L40" s="84"/>
      <c r="N40" s="21"/>
      <c r="P40" s="22"/>
    </row>
    <row r="41" spans="2:46" ht="9" customHeight="1" x14ac:dyDescent="0.3">
      <c r="B41" s="1"/>
      <c r="K41" s="302"/>
      <c r="L41" s="84"/>
    </row>
    <row r="42" spans="2:46" ht="18.75" x14ac:dyDescent="0.3">
      <c r="B42" s="23" t="s">
        <v>21</v>
      </c>
      <c r="C42" s="24"/>
      <c r="K42" s="306">
        <f>IF('ER Pendiente'!B38&gt;0,'ER Pendiente'!B15+'ER Pendiente'!B38,'ER Pendiente'!B15)</f>
        <v>0</v>
      </c>
      <c r="L42" s="84"/>
    </row>
    <row r="43" spans="2:46" ht="9" customHeight="1" x14ac:dyDescent="0.3">
      <c r="B43" s="28"/>
      <c r="K43" s="302"/>
      <c r="L43" s="84"/>
    </row>
    <row r="44" spans="2:46" ht="18.75" x14ac:dyDescent="0.3">
      <c r="B44" s="23" t="s">
        <v>22</v>
      </c>
      <c r="C44" s="24"/>
      <c r="K44" s="306">
        <f>IF('ER Pendiente'!B38&lt;0,-'ER Pendiente'!B38-'ER Pendiente'!B22,-'ER Pendiente'!B22)</f>
        <v>0</v>
      </c>
      <c r="L44" s="84"/>
    </row>
    <row r="45" spans="2:46" ht="9" customHeight="1" x14ac:dyDescent="0.3">
      <c r="B45" s="28"/>
      <c r="K45" s="302"/>
      <c r="L45" s="84"/>
    </row>
    <row r="46" spans="2:46" ht="18.75" x14ac:dyDescent="0.3">
      <c r="B46" s="23" t="s">
        <v>23</v>
      </c>
      <c r="C46" s="24"/>
      <c r="K46" s="306">
        <f>'Dif. Margenes'!I11</f>
        <v>0</v>
      </c>
      <c r="L46" s="84"/>
    </row>
    <row r="47" spans="2:46" ht="9" customHeight="1" x14ac:dyDescent="0.3">
      <c r="B47" s="25"/>
      <c r="K47" s="302"/>
      <c r="L47" s="84"/>
    </row>
    <row r="48" spans="2:46" ht="18.75" x14ac:dyDescent="0.3">
      <c r="B48" s="29" t="s">
        <v>24</v>
      </c>
      <c r="C48" s="30"/>
      <c r="K48" s="315">
        <f>+K40-K42+K44</f>
        <v>0</v>
      </c>
      <c r="L48" s="84"/>
    </row>
    <row r="49" spans="3:12" ht="8.25" customHeight="1" x14ac:dyDescent="0.3">
      <c r="L49" s="84"/>
    </row>
    <row r="50" spans="3:12" ht="21" outlineLevel="1" x14ac:dyDescent="0.35">
      <c r="C50" s="31" t="s">
        <v>26</v>
      </c>
      <c r="K50" s="35"/>
      <c r="L50" s="84"/>
    </row>
    <row r="51" spans="3:12" ht="8.25" customHeight="1" outlineLevel="1" x14ac:dyDescent="0.3">
      <c r="C51" s="5"/>
      <c r="L51" s="84"/>
    </row>
    <row r="52" spans="3:12" ht="23.25" outlineLevel="1" x14ac:dyDescent="0.35">
      <c r="C52" s="31" t="s">
        <v>27</v>
      </c>
      <c r="K52" s="33"/>
      <c r="L52" s="84"/>
    </row>
    <row r="53" spans="3:12" ht="18.75" outlineLevel="1" x14ac:dyDescent="0.3">
      <c r="L53" s="84"/>
    </row>
    <row r="54" spans="3:12" ht="18.75" x14ac:dyDescent="0.3">
      <c r="L54" s="84"/>
    </row>
    <row r="55" spans="3:12" ht="18.75" x14ac:dyDescent="0.3">
      <c r="L55" s="84"/>
    </row>
  </sheetData>
  <mergeCells count="18">
    <mergeCell ref="B1:AE1"/>
    <mergeCell ref="AE3:AE4"/>
    <mergeCell ref="E3:E4"/>
    <mergeCell ref="G3:H4"/>
    <mergeCell ref="N3:S3"/>
    <mergeCell ref="Y3:AC4"/>
    <mergeCell ref="J3:J5"/>
    <mergeCell ref="K3:K5"/>
    <mergeCell ref="L3:L5"/>
    <mergeCell ref="U3:W4"/>
    <mergeCell ref="AP3:AP5"/>
    <mergeCell ref="AI3:AI5"/>
    <mergeCell ref="AK3:AK5"/>
    <mergeCell ref="AL3:AL5"/>
    <mergeCell ref="AM3:AM5"/>
    <mergeCell ref="AN3:AN5"/>
    <mergeCell ref="AO3:AO5"/>
    <mergeCell ref="AJ3:AJ5"/>
  </mergeCells>
  <pageMargins left="0.23622047244094491" right="0.23622047244094491" top="0.74803149606299213" bottom="0.74803149606299213" header="0.31496062992125984" footer="0.31496062992125984"/>
  <pageSetup paperSize="9" scale="35" orientation="landscape" r:id="rId1"/>
  <headerFooter>
    <oddFooter>&amp;F</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1:AT54"/>
  <sheetViews>
    <sheetView showGridLines="0" zoomScale="50" zoomScaleNormal="50" zoomScaleSheetLayoutView="55" workbookViewId="0">
      <pane xSplit="12" ySplit="6" topLeftCell="AG7" activePane="bottomRight" state="frozen"/>
      <selection activeCell="AH24" sqref="AH24"/>
      <selection pane="topRight" activeCell="AH24" sqref="AH24"/>
      <selection pane="bottomLeft" activeCell="AH24" sqref="AH24"/>
      <selection pane="bottomRight" activeCell="AI17" sqref="AI17:AK26"/>
    </sheetView>
  </sheetViews>
  <sheetFormatPr baseColWidth="10" defaultColWidth="9.140625" defaultRowHeight="15" outlineLevelRow="1" outlineLevelCol="2" x14ac:dyDescent="0.25"/>
  <cols>
    <col min="1" max="1" width="3.42578125" customWidth="1"/>
    <col min="2" max="2" width="38.140625" customWidth="1"/>
    <col min="3" max="3" width="15.7109375" customWidth="1"/>
    <col min="4" max="4" width="1.42578125" customWidth="1"/>
    <col min="5" max="5" width="18.7109375" customWidth="1" outlineLevel="1"/>
    <col min="6" max="6" width="1.42578125" customWidth="1" outlineLevel="1"/>
    <col min="7" max="7" width="13" customWidth="1"/>
    <col min="8" max="8" width="14.7109375" bestFit="1" customWidth="1"/>
    <col min="9" max="9" width="1.42578125" customWidth="1"/>
    <col min="10" max="10" width="18.28515625" customWidth="1"/>
    <col min="11" max="11" width="17.7109375" customWidth="1"/>
    <col min="12" max="12" width="21.140625" bestFit="1" customWidth="1"/>
    <col min="13" max="13" width="1.42578125" customWidth="1"/>
    <col min="14" max="18" width="9.5703125" customWidth="1" outlineLevel="1"/>
    <col min="19" max="19" width="14.85546875" bestFit="1" customWidth="1"/>
    <col min="20" max="20" width="1.42578125" customWidth="1"/>
    <col min="21" max="21" width="17.5703125" bestFit="1" customWidth="1"/>
    <col min="22" max="22" width="13.85546875" bestFit="1" customWidth="1"/>
    <col min="23" max="23" width="13" customWidth="1" outlineLevel="1"/>
    <col min="24" max="24" width="1.42578125" customWidth="1"/>
    <col min="25" max="26" width="17.28515625" style="36" bestFit="1" customWidth="1"/>
    <col min="27" max="27" width="15.5703125" hidden="1" customWidth="1" outlineLevel="1"/>
    <col min="28" max="28" width="16.7109375" hidden="1" customWidth="1" outlineLevel="1"/>
    <col min="29" max="29" width="17.5703125" style="36" bestFit="1" customWidth="1" collapsed="1"/>
    <col min="30" max="30" width="1.5703125" customWidth="1" outlineLevel="1"/>
    <col min="31" max="31" width="13" customWidth="1" outlineLevel="1"/>
    <col min="32" max="32" width="2.7109375" customWidth="1"/>
    <col min="33" max="33" width="13" customWidth="1" outlineLevel="1"/>
    <col min="34" max="34" width="2.85546875" customWidth="1"/>
    <col min="35" max="36" width="16.7109375" customWidth="1" outlineLevel="1"/>
    <col min="37" max="37" width="19.85546875" style="36" customWidth="1" outlineLevel="1"/>
    <col min="38" max="42" width="13.5703125" customWidth="1" outlineLevel="2"/>
    <col min="43" max="43" width="9.140625" customWidth="1" outlineLevel="1"/>
    <col min="45" max="45" width="15" bestFit="1" customWidth="1"/>
    <col min="46" max="46" width="16.42578125" bestFit="1" customWidth="1"/>
  </cols>
  <sheetData>
    <row r="1" spans="1:43" ht="23.25" x14ac:dyDescent="0.35">
      <c r="B1" s="1189" t="str">
        <f>CONCATENATE(B3," - ",B4," - ",B5," - ",B6)</f>
        <v>I.E.N 1182 - MES DE ENERO DEL 2025 - EL BOSQUE - CERCO + INGRESOS Y CASETAS - FASE 200 : MOVIMIENTOS DE TIERRAS</v>
      </c>
      <c r="C1" s="1190"/>
      <c r="D1" s="1190"/>
      <c r="E1" s="1190"/>
      <c r="F1" s="1190"/>
      <c r="G1" s="1190"/>
      <c r="H1" s="1190"/>
      <c r="I1" s="1190"/>
      <c r="J1" s="1190"/>
      <c r="K1" s="1190"/>
      <c r="L1" s="1190"/>
      <c r="M1" s="1190"/>
      <c r="N1" s="1190"/>
      <c r="O1" s="1190"/>
      <c r="P1" s="1190"/>
      <c r="Q1" s="1190"/>
      <c r="R1" s="1190"/>
      <c r="S1" s="1190"/>
      <c r="T1" s="1190"/>
      <c r="U1" s="1190"/>
      <c r="V1" s="1190"/>
      <c r="W1" s="1190"/>
      <c r="X1" s="1190"/>
      <c r="Y1" s="1190"/>
      <c r="Z1" s="1190"/>
      <c r="AA1" s="1190"/>
      <c r="AB1" s="1190"/>
      <c r="AC1" s="1190"/>
      <c r="AD1" s="1190"/>
      <c r="AE1" s="1191"/>
    </row>
    <row r="2" spans="1:43" ht="15.75" x14ac:dyDescent="0.25">
      <c r="H2" s="37"/>
      <c r="J2" s="39"/>
      <c r="K2" s="43" t="e">
        <f>+K7/Y7</f>
        <v>#DIV/0!</v>
      </c>
      <c r="L2" s="43"/>
      <c r="M2" s="41"/>
      <c r="N2" s="94">
        <f>+YEAR(N5)</f>
        <v>2024</v>
      </c>
      <c r="O2" s="94">
        <f t="shared" ref="O2:R2" si="0">+YEAR(O5)</f>
        <v>2024</v>
      </c>
      <c r="P2" s="94">
        <f t="shared" si="0"/>
        <v>2024</v>
      </c>
      <c r="Q2" s="94">
        <f t="shared" si="0"/>
        <v>2024</v>
      </c>
      <c r="R2" s="94">
        <f t="shared" si="0"/>
        <v>2024</v>
      </c>
      <c r="S2" s="94">
        <f>S5</f>
        <v>2024</v>
      </c>
      <c r="U2" s="34">
        <v>43466</v>
      </c>
      <c r="AA2" s="45"/>
      <c r="AB2" s="45"/>
    </row>
    <row r="3" spans="1:43" s="5" customFormat="1" ht="18.75" customHeight="1" x14ac:dyDescent="0.25">
      <c r="A3" s="311"/>
      <c r="B3" s="311" t="s">
        <v>300</v>
      </c>
      <c r="C3" s="2"/>
      <c r="D3" s="2"/>
      <c r="E3" s="1162" t="s">
        <v>48</v>
      </c>
      <c r="F3" s="3"/>
      <c r="G3" s="1192" t="str">
        <f>+B4</f>
        <v>MES DE ENERO DEL 2025</v>
      </c>
      <c r="H3" s="1179"/>
      <c r="I3" s="3"/>
      <c r="J3" s="1168" t="s">
        <v>319</v>
      </c>
      <c r="K3" s="1193" t="s">
        <v>39</v>
      </c>
      <c r="L3" s="1196" t="s">
        <v>40</v>
      </c>
      <c r="M3" s="3"/>
      <c r="N3" s="1175" t="s">
        <v>50</v>
      </c>
      <c r="O3" s="1176"/>
      <c r="P3" s="1176"/>
      <c r="Q3" s="1176"/>
      <c r="R3" s="1176"/>
      <c r="S3" s="1177"/>
      <c r="T3" s="3"/>
      <c r="U3" s="1168" t="s">
        <v>41</v>
      </c>
      <c r="V3" s="1178"/>
      <c r="W3" s="1179"/>
      <c r="X3" s="3"/>
      <c r="Y3" s="1199" t="s">
        <v>49</v>
      </c>
      <c r="Z3" s="1200"/>
      <c r="AA3" s="1200"/>
      <c r="AB3" s="1200"/>
      <c r="AC3" s="1201"/>
      <c r="AD3" s="2"/>
      <c r="AE3" s="1193" t="s">
        <v>2</v>
      </c>
      <c r="AI3" s="1183" t="s">
        <v>30</v>
      </c>
      <c r="AJ3" s="1330" t="s">
        <v>342</v>
      </c>
      <c r="AK3" s="1226" t="s">
        <v>35</v>
      </c>
      <c r="AL3" s="1153">
        <v>45597</v>
      </c>
      <c r="AM3" s="1153">
        <v>45627</v>
      </c>
      <c r="AN3" s="1153">
        <v>45658</v>
      </c>
      <c r="AO3" s="1153">
        <v>45689</v>
      </c>
      <c r="AP3" s="1153">
        <v>45717</v>
      </c>
    </row>
    <row r="4" spans="1:43" s="5" customFormat="1" ht="31.5" x14ac:dyDescent="0.25">
      <c r="B4" s="312" t="s">
        <v>433</v>
      </c>
      <c r="C4" s="2"/>
      <c r="D4" s="2"/>
      <c r="E4" s="1163"/>
      <c r="F4" s="3"/>
      <c r="G4" s="1170"/>
      <c r="H4" s="1181"/>
      <c r="I4" s="3"/>
      <c r="J4" s="1169"/>
      <c r="K4" s="1194"/>
      <c r="L4" s="1197"/>
      <c r="M4" s="3"/>
      <c r="N4" s="309">
        <v>1</v>
      </c>
      <c r="O4" s="309">
        <f>+N4+1</f>
        <v>2</v>
      </c>
      <c r="P4" s="309">
        <f t="shared" ref="P4:R4" si="1">+O4+1</f>
        <v>3</v>
      </c>
      <c r="Q4" s="309">
        <f t="shared" si="1"/>
        <v>4</v>
      </c>
      <c r="R4" s="309">
        <f t="shared" si="1"/>
        <v>5</v>
      </c>
      <c r="S4" s="291" t="s">
        <v>150</v>
      </c>
      <c r="T4" s="3"/>
      <c r="U4" s="1170"/>
      <c r="V4" s="1180"/>
      <c r="W4" s="1181"/>
      <c r="X4" s="3"/>
      <c r="Y4" s="1202"/>
      <c r="Z4" s="1203"/>
      <c r="AA4" s="1203"/>
      <c r="AB4" s="1203"/>
      <c r="AC4" s="1204"/>
      <c r="AD4" s="2"/>
      <c r="AE4" s="1194"/>
      <c r="AI4" s="1184"/>
      <c r="AJ4" s="1331"/>
      <c r="AK4" s="1227"/>
      <c r="AL4" s="1154"/>
      <c r="AM4" s="1154"/>
      <c r="AN4" s="1154"/>
      <c r="AO4" s="1154"/>
      <c r="AP4" s="1154"/>
    </row>
    <row r="5" spans="1:43" s="5" customFormat="1" ht="31.5" x14ac:dyDescent="0.25">
      <c r="B5" s="805" t="s">
        <v>301</v>
      </c>
      <c r="C5" s="2"/>
      <c r="D5" s="2"/>
      <c r="E5" s="63" t="s">
        <v>3</v>
      </c>
      <c r="F5" s="60"/>
      <c r="G5" s="61" t="s">
        <v>4</v>
      </c>
      <c r="H5" s="61" t="s">
        <v>5</v>
      </c>
      <c r="I5" s="60"/>
      <c r="J5" s="1170"/>
      <c r="K5" s="1195"/>
      <c r="L5" s="1198"/>
      <c r="M5" s="3"/>
      <c r="N5" s="62">
        <v>45475</v>
      </c>
      <c r="O5" s="62">
        <f>+N5+31</f>
        <v>45506</v>
      </c>
      <c r="P5" s="62">
        <f t="shared" ref="P5:R5" si="2">+O5+31</f>
        <v>45537</v>
      </c>
      <c r="Q5" s="62">
        <f t="shared" si="2"/>
        <v>45568</v>
      </c>
      <c r="R5" s="62">
        <f t="shared" si="2"/>
        <v>45599</v>
      </c>
      <c r="S5" s="61">
        <f>+'DIRECTO '!S5</f>
        <v>2024</v>
      </c>
      <c r="T5" s="3"/>
      <c r="U5" s="61">
        <v>2024</v>
      </c>
      <c r="V5" s="61">
        <f>+U5+1</f>
        <v>2025</v>
      </c>
      <c r="W5" s="61">
        <f>+V5+1</f>
        <v>2026</v>
      </c>
      <c r="X5" s="60"/>
      <c r="Y5" s="604" t="s">
        <v>6</v>
      </c>
      <c r="Z5" s="604" t="s">
        <v>7</v>
      </c>
      <c r="AA5" s="61" t="s">
        <v>36</v>
      </c>
      <c r="AB5" s="63" t="s">
        <v>125</v>
      </c>
      <c r="AC5" s="604" t="s">
        <v>8</v>
      </c>
      <c r="AD5" s="59"/>
      <c r="AE5" s="61" t="s">
        <v>7</v>
      </c>
      <c r="AI5" s="1185"/>
      <c r="AJ5" s="1332"/>
      <c r="AK5" s="1228"/>
      <c r="AL5" s="1155"/>
      <c r="AM5" s="1155"/>
      <c r="AN5" s="1155"/>
      <c r="AO5" s="1155"/>
      <c r="AP5" s="1155"/>
    </row>
    <row r="6" spans="1:43" s="5" customFormat="1" ht="18.75" customHeight="1" x14ac:dyDescent="0.25">
      <c r="B6" s="312" t="s">
        <v>322</v>
      </c>
      <c r="C6" s="2"/>
      <c r="D6" s="2"/>
      <c r="E6" s="2"/>
      <c r="F6" s="2"/>
      <c r="G6" s="2"/>
      <c r="H6" s="2"/>
      <c r="I6" s="2"/>
      <c r="J6" s="2"/>
      <c r="K6" s="2"/>
      <c r="L6" s="2"/>
      <c r="M6" s="2"/>
      <c r="N6" s="2"/>
      <c r="O6" s="7"/>
      <c r="P6" s="2"/>
      <c r="Q6" s="2"/>
      <c r="R6" s="2"/>
      <c r="S6" s="2"/>
      <c r="T6" s="2"/>
      <c r="U6" s="2"/>
      <c r="V6" s="2"/>
      <c r="W6" s="2"/>
      <c r="X6" s="2"/>
      <c r="Y6" s="87"/>
      <c r="Z6" s="87"/>
      <c r="AA6" s="2"/>
      <c r="AB6" s="2"/>
      <c r="AC6" s="87"/>
      <c r="AD6" s="2"/>
      <c r="AE6" s="2"/>
      <c r="AI6" s="527"/>
      <c r="AJ6" s="313"/>
      <c r="AK6" s="499"/>
    </row>
    <row r="7" spans="1:43" s="5" customFormat="1" ht="22.15" customHeight="1" x14ac:dyDescent="0.3">
      <c r="B7" s="56" t="s">
        <v>32</v>
      </c>
      <c r="C7" s="57"/>
      <c r="D7" s="2"/>
      <c r="E7" s="650">
        <f>+E9</f>
        <v>0</v>
      </c>
      <c r="F7" s="333"/>
      <c r="G7" s="341">
        <f>+G9</f>
        <v>0</v>
      </c>
      <c r="H7" s="608">
        <f>+H9</f>
        <v>0</v>
      </c>
      <c r="I7" s="333"/>
      <c r="J7" s="606">
        <f>+J9</f>
        <v>0</v>
      </c>
      <c r="K7" s="607">
        <f>+K9</f>
        <v>0</v>
      </c>
      <c r="L7" s="608">
        <f>+L9</f>
        <v>0</v>
      </c>
      <c r="M7" s="87"/>
      <c r="N7" s="606">
        <f t="shared" ref="N7:S7" si="3">+N9</f>
        <v>0</v>
      </c>
      <c r="O7" s="607">
        <f t="shared" si="3"/>
        <v>0</v>
      </c>
      <c r="P7" s="607">
        <f t="shared" si="3"/>
        <v>0</v>
      </c>
      <c r="Q7" s="607">
        <f t="shared" si="3"/>
        <v>0</v>
      </c>
      <c r="R7" s="607">
        <f t="shared" si="3"/>
        <v>0</v>
      </c>
      <c r="S7" s="608">
        <f t="shared" si="3"/>
        <v>0</v>
      </c>
      <c r="T7" s="87"/>
      <c r="U7" s="606">
        <f>+U9</f>
        <v>0</v>
      </c>
      <c r="V7" s="607">
        <f>+V9</f>
        <v>0</v>
      </c>
      <c r="W7" s="608">
        <f>+W9</f>
        <v>0</v>
      </c>
      <c r="X7" s="333"/>
      <c r="Y7" s="606">
        <f>+Y9</f>
        <v>0</v>
      </c>
      <c r="Z7" s="606">
        <f>+Z9</f>
        <v>0</v>
      </c>
      <c r="AA7" s="342">
        <f>+AA9</f>
        <v>0</v>
      </c>
      <c r="AB7" s="342">
        <f>+AB9</f>
        <v>0</v>
      </c>
      <c r="AC7" s="608">
        <f>+AC9</f>
        <v>0</v>
      </c>
      <c r="AD7" s="333"/>
      <c r="AE7" s="339">
        <f>+AE9</f>
        <v>0</v>
      </c>
      <c r="AF7" s="444"/>
      <c r="AG7" s="531">
        <f>+AC7-Y7</f>
        <v>0</v>
      </c>
      <c r="AH7" s="295"/>
      <c r="AI7" s="392"/>
      <c r="AJ7" s="1329"/>
      <c r="AK7" s="667"/>
      <c r="AL7" s="393"/>
      <c r="AM7" s="393"/>
      <c r="AN7" s="393"/>
      <c r="AO7" s="393"/>
      <c r="AP7" s="393"/>
      <c r="AQ7" s="295"/>
    </row>
    <row r="8" spans="1:43" s="5" customFormat="1" ht="22.15" customHeight="1" x14ac:dyDescent="0.3">
      <c r="B8" s="2"/>
      <c r="C8" s="2"/>
      <c r="D8" s="2"/>
      <c r="E8" s="87"/>
      <c r="F8" s="333"/>
      <c r="G8" s="333"/>
      <c r="H8" s="87"/>
      <c r="I8" s="333"/>
      <c r="J8" s="87"/>
      <c r="K8" s="87"/>
      <c r="L8" s="87"/>
      <c r="M8" s="87"/>
      <c r="N8" s="87"/>
      <c r="O8" s="87"/>
      <c r="P8" s="87"/>
      <c r="Q8" s="87"/>
      <c r="R8" s="87"/>
      <c r="S8" s="87"/>
      <c r="T8" s="87"/>
      <c r="U8" s="87"/>
      <c r="V8" s="87"/>
      <c r="W8" s="87"/>
      <c r="X8" s="333"/>
      <c r="Y8" s="87"/>
      <c r="Z8" s="87"/>
      <c r="AA8" s="333"/>
      <c r="AB8" s="333"/>
      <c r="AC8" s="87"/>
      <c r="AD8" s="333"/>
      <c r="AE8" s="333"/>
      <c r="AF8" s="293"/>
      <c r="AG8" s="532"/>
      <c r="AH8" s="295"/>
      <c r="AI8" s="394"/>
      <c r="AJ8" s="394"/>
      <c r="AK8" s="465"/>
      <c r="AL8" s="394"/>
      <c r="AM8" s="394"/>
      <c r="AN8" s="394"/>
      <c r="AO8" s="394"/>
      <c r="AP8" s="394"/>
      <c r="AQ8" s="295"/>
    </row>
    <row r="9" spans="1:43" s="5" customFormat="1" ht="22.15" customHeight="1" x14ac:dyDescent="0.3">
      <c r="B9" s="9" t="s">
        <v>153</v>
      </c>
      <c r="C9" s="10"/>
      <c r="D9" s="2"/>
      <c r="E9" s="663">
        <f>+SUM(E11:E13)</f>
        <v>0</v>
      </c>
      <c r="F9" s="333"/>
      <c r="G9" s="345">
        <f>+SUM(G11:G13)</f>
        <v>0</v>
      </c>
      <c r="H9" s="611">
        <f>+SUM(H11:H13)</f>
        <v>0</v>
      </c>
      <c r="I9" s="333"/>
      <c r="J9" s="609">
        <f>+SUM(J11:J13)</f>
        <v>0</v>
      </c>
      <c r="K9" s="610">
        <f>+SUM(K11:K13)</f>
        <v>0</v>
      </c>
      <c r="L9" s="611">
        <f>+SUM(L11:L12)</f>
        <v>0</v>
      </c>
      <c r="M9" s="87"/>
      <c r="N9" s="609">
        <f t="shared" ref="N9:S9" si="4">+SUM(N11:N13)</f>
        <v>0</v>
      </c>
      <c r="O9" s="610">
        <f t="shared" si="4"/>
        <v>0</v>
      </c>
      <c r="P9" s="610">
        <f t="shared" si="4"/>
        <v>0</v>
      </c>
      <c r="Q9" s="610">
        <f t="shared" si="4"/>
        <v>0</v>
      </c>
      <c r="R9" s="610">
        <f t="shared" si="4"/>
        <v>0</v>
      </c>
      <c r="S9" s="611">
        <f t="shared" si="4"/>
        <v>0</v>
      </c>
      <c r="T9" s="87"/>
      <c r="U9" s="609">
        <f>+SUM(U11:U13)</f>
        <v>0</v>
      </c>
      <c r="V9" s="610">
        <f>+SUM(V11:V13)</f>
        <v>0</v>
      </c>
      <c r="W9" s="611">
        <f>+SUM(W11:W13)</f>
        <v>0</v>
      </c>
      <c r="X9" s="333"/>
      <c r="Y9" s="609">
        <f>+SUM(Y11:Y13)</f>
        <v>0</v>
      </c>
      <c r="Z9" s="609">
        <f>+SUM(Z11:Z13)</f>
        <v>0</v>
      </c>
      <c r="AA9" s="346">
        <f>+SUM(AA11:AA13)</f>
        <v>0</v>
      </c>
      <c r="AB9" s="346">
        <f>+SUM(AB11:AB13)</f>
        <v>0</v>
      </c>
      <c r="AC9" s="611">
        <f>+SUM(AC11:AC13)</f>
        <v>0</v>
      </c>
      <c r="AD9" s="333"/>
      <c r="AE9" s="343">
        <f>+SUM(AE11:AE13)</f>
        <v>0</v>
      </c>
      <c r="AF9" s="444"/>
      <c r="AG9" s="531">
        <f>+AC9-Y9</f>
        <v>0</v>
      </c>
      <c r="AH9" s="295"/>
      <c r="AI9" s="395"/>
      <c r="AJ9" s="395"/>
      <c r="AK9" s="668"/>
      <c r="AL9" s="395"/>
      <c r="AM9" s="395"/>
      <c r="AN9" s="395"/>
      <c r="AO9" s="395"/>
      <c r="AP9" s="395"/>
      <c r="AQ9" s="295"/>
    </row>
    <row r="10" spans="1:43" s="5" customFormat="1" ht="7.5" customHeight="1" x14ac:dyDescent="0.3">
      <c r="E10" s="499"/>
      <c r="F10" s="347"/>
      <c r="G10" s="347"/>
      <c r="H10" s="499"/>
      <c r="I10" s="347"/>
      <c r="J10" s="499"/>
      <c r="K10" s="499"/>
      <c r="L10" s="499"/>
      <c r="M10" s="499"/>
      <c r="N10" s="499"/>
      <c r="O10" s="499"/>
      <c r="P10" s="499"/>
      <c r="Q10" s="499"/>
      <c r="R10" s="499"/>
      <c r="S10" s="499"/>
      <c r="T10" s="499"/>
      <c r="U10" s="499"/>
      <c r="V10" s="499"/>
      <c r="W10" s="499"/>
      <c r="X10" s="347"/>
      <c r="Y10" s="499"/>
      <c r="Z10" s="499"/>
      <c r="AA10" s="347"/>
      <c r="AB10" s="347"/>
      <c r="AC10" s="499"/>
      <c r="AD10" s="347"/>
      <c r="AE10" s="347"/>
      <c r="AF10" s="293"/>
      <c r="AG10" s="532"/>
      <c r="AH10" s="295"/>
      <c r="AI10" s="396"/>
      <c r="AJ10" s="396"/>
      <c r="AK10" s="597"/>
      <c r="AL10" s="396"/>
      <c r="AM10" s="396"/>
      <c r="AN10" s="396"/>
      <c r="AO10" s="396"/>
      <c r="AP10" s="396"/>
      <c r="AQ10" s="295"/>
    </row>
    <row r="11" spans="1:43" s="5" customFormat="1" ht="18.75" x14ac:dyDescent="0.3">
      <c r="B11" s="13" t="s">
        <v>151</v>
      </c>
      <c r="C11" s="14"/>
      <c r="E11" s="476">
        <f>+SUM(AL11:AP11)</f>
        <v>0</v>
      </c>
      <c r="F11" s="347"/>
      <c r="G11" s="349">
        <v>0</v>
      </c>
      <c r="H11" s="523">
        <f>+AK11</f>
        <v>0</v>
      </c>
      <c r="I11" s="347"/>
      <c r="J11" s="635">
        <f>+H11+AE11</f>
        <v>0</v>
      </c>
      <c r="K11" s="613">
        <f>+E11+J11</f>
        <v>0</v>
      </c>
      <c r="L11" s="520">
        <f>+SUM(N11:R11)</f>
        <v>0</v>
      </c>
      <c r="M11" s="499"/>
      <c r="N11" s="612"/>
      <c r="O11" s="613"/>
      <c r="P11" s="613"/>
      <c r="Q11" s="613"/>
      <c r="R11" s="613"/>
      <c r="S11" s="636">
        <f>+SUMIFS(N11:R11,N$2:R$2,$S$5)</f>
        <v>0</v>
      </c>
      <c r="T11" s="499"/>
      <c r="U11" s="612">
        <f>+SUMIFS(N11:S11,N$2:S$2,$U$5)</f>
        <v>0</v>
      </c>
      <c r="V11" s="613">
        <f>+SUMIFS(N11:S11,N$2:S$2,$V$5)</f>
        <v>0</v>
      </c>
      <c r="W11" s="520">
        <f>+SUMIFS(N11:S11,N$2:S$2,$W$5)</f>
        <v>0</v>
      </c>
      <c r="X11" s="347"/>
      <c r="Y11" s="612"/>
      <c r="Z11" s="613"/>
      <c r="AA11" s="351"/>
      <c r="AB11" s="351"/>
      <c r="AC11" s="520"/>
      <c r="AD11" s="347"/>
      <c r="AE11" s="348"/>
      <c r="AF11" s="444"/>
      <c r="AG11" s="531">
        <f>+AC11-Y11</f>
        <v>0</v>
      </c>
      <c r="AH11" s="295"/>
      <c r="AI11" s="397">
        <f>SUM(AL11:AP11)</f>
        <v>0</v>
      </c>
      <c r="AJ11" s="953">
        <f>SUM(AL11:AM11)</f>
        <v>0</v>
      </c>
      <c r="AK11" s="671">
        <f>+AN11</f>
        <v>0</v>
      </c>
      <c r="AL11" s="671"/>
      <c r="AM11" s="671"/>
      <c r="AN11" s="671"/>
      <c r="AO11" s="671"/>
      <c r="AP11" s="671"/>
      <c r="AQ11" s="295"/>
    </row>
    <row r="12" spans="1:43" s="5" customFormat="1" ht="18.75" x14ac:dyDescent="0.3">
      <c r="B12" s="15" t="s">
        <v>152</v>
      </c>
      <c r="C12" s="16"/>
      <c r="E12" s="652">
        <f>+SUM(AL12:AP12)</f>
        <v>0</v>
      </c>
      <c r="F12" s="347"/>
      <c r="G12" s="357">
        <v>0</v>
      </c>
      <c r="H12" s="651">
        <f>+AK12</f>
        <v>0</v>
      </c>
      <c r="I12" s="347"/>
      <c r="J12" s="614">
        <f>+H12+AE12</f>
        <v>0</v>
      </c>
      <c r="K12" s="615">
        <f>+E12+J12</f>
        <v>0</v>
      </c>
      <c r="L12" s="616">
        <f>+SUM(N12:R12)</f>
        <v>0</v>
      </c>
      <c r="M12" s="499"/>
      <c r="N12" s="638">
        <v>0</v>
      </c>
      <c r="O12" s="622">
        <v>0</v>
      </c>
      <c r="P12" s="622">
        <v>0</v>
      </c>
      <c r="Q12" s="622">
        <v>0</v>
      </c>
      <c r="R12" s="622">
        <v>0</v>
      </c>
      <c r="S12" s="665">
        <f>+SUMIFS(N12:R12,N$2:R$2,$S$5)</f>
        <v>0</v>
      </c>
      <c r="T12" s="499"/>
      <c r="U12" s="638">
        <f>+SUMIFS(N12:S12,N$2:S$2,$U$5)</f>
        <v>0</v>
      </c>
      <c r="V12" s="622">
        <f>+SUMIFS(N12:S12,N$2:S$2,$V$5)</f>
        <v>0</v>
      </c>
      <c r="W12" s="623">
        <f>+SUMIFS(N12:S12,N$2:S$2,$W$5)</f>
        <v>0</v>
      </c>
      <c r="X12" s="347"/>
      <c r="Y12" s="614">
        <f>+K12+L12</f>
        <v>0</v>
      </c>
      <c r="Z12" s="615">
        <v>0</v>
      </c>
      <c r="AA12" s="358"/>
      <c r="AB12" s="358"/>
      <c r="AC12" s="623"/>
      <c r="AD12" s="347"/>
      <c r="AE12" s="363"/>
      <c r="AF12" s="444"/>
      <c r="AG12" s="531">
        <f>+AC12-Y12</f>
        <v>0</v>
      </c>
      <c r="AH12" s="295"/>
      <c r="AI12" s="397">
        <f>SUM(AL12:AP12)</f>
        <v>0</v>
      </c>
      <c r="AJ12" s="953">
        <f>SUM(AL12:AM12)</f>
        <v>0</v>
      </c>
      <c r="AK12" s="671">
        <f>+AN12</f>
        <v>0</v>
      </c>
      <c r="AL12" s="670"/>
      <c r="AM12" s="670"/>
      <c r="AN12" s="670"/>
      <c r="AO12" s="670"/>
      <c r="AP12" s="670"/>
      <c r="AQ12" s="295"/>
    </row>
    <row r="13" spans="1:43" s="5" customFormat="1" ht="18.75" x14ac:dyDescent="0.3">
      <c r="B13" s="17" t="s">
        <v>42</v>
      </c>
      <c r="C13" s="18"/>
      <c r="E13" s="642">
        <f>+SUM(AL13:AP13)</f>
        <v>0</v>
      </c>
      <c r="F13" s="347"/>
      <c r="G13" s="364"/>
      <c r="H13" s="391"/>
      <c r="I13" s="347"/>
      <c r="J13" s="617"/>
      <c r="K13" s="618"/>
      <c r="L13" s="619">
        <f>+SUM(N13:R13)</f>
        <v>0</v>
      </c>
      <c r="M13" s="499"/>
      <c r="N13" s="617"/>
      <c r="O13" s="618"/>
      <c r="P13" s="618"/>
      <c r="Q13" s="618"/>
      <c r="R13" s="618"/>
      <c r="S13" s="666">
        <f>+SUMIFS(N13:R13,N$2:R$2,$S$5)</f>
        <v>0</v>
      </c>
      <c r="T13" s="499"/>
      <c r="U13" s="617">
        <f>+SUMIFS(N13:S13,N$2:S$2,$U$5)</f>
        <v>0</v>
      </c>
      <c r="V13" s="618">
        <f>+SUMIFS(N13:S13,N$2:S$2,$V$5)</f>
        <v>0</v>
      </c>
      <c r="W13" s="619">
        <f>+SUMIFS(N13:S13,N$2:S$2,$W$5)</f>
        <v>0</v>
      </c>
      <c r="X13" s="347"/>
      <c r="Y13" s="617">
        <f>+K13+L13</f>
        <v>0</v>
      </c>
      <c r="Z13" s="618">
        <v>0</v>
      </c>
      <c r="AA13" s="365"/>
      <c r="AB13" s="365"/>
      <c r="AC13" s="619"/>
      <c r="AD13" s="347"/>
      <c r="AE13" s="368"/>
      <c r="AF13" s="443"/>
      <c r="AG13" s="534">
        <f t="shared" ref="AG13" si="5">+AC13-Y13</f>
        <v>0</v>
      </c>
      <c r="AH13" s="295"/>
      <c r="AI13" s="397">
        <f>SUM(AL13:AP13)</f>
        <v>0</v>
      </c>
      <c r="AJ13" s="953">
        <f>SUM(AL13:AM13)</f>
        <v>0</v>
      </c>
      <c r="AK13" s="671">
        <f>+AN13</f>
        <v>0</v>
      </c>
      <c r="AL13" s="670"/>
      <c r="AM13" s="670"/>
      <c r="AN13" s="670"/>
      <c r="AO13" s="670"/>
      <c r="AP13" s="670"/>
      <c r="AQ13" s="295"/>
    </row>
    <row r="14" spans="1:43" s="5" customFormat="1" ht="18.75" x14ac:dyDescent="0.3">
      <c r="E14" s="499"/>
      <c r="F14" s="347"/>
      <c r="G14" s="347"/>
      <c r="H14" s="347"/>
      <c r="I14" s="347"/>
      <c r="J14" s="499"/>
      <c r="K14" s="499"/>
      <c r="L14" s="515"/>
      <c r="M14" s="499"/>
      <c r="N14" s="499"/>
      <c r="O14" s="499"/>
      <c r="P14" s="499"/>
      <c r="Q14" s="499"/>
      <c r="R14" s="499"/>
      <c r="S14" s="499"/>
      <c r="T14" s="499"/>
      <c r="U14" s="499"/>
      <c r="V14" s="499"/>
      <c r="W14" s="499"/>
      <c r="X14" s="347"/>
      <c r="Y14" s="499"/>
      <c r="Z14" s="499"/>
      <c r="AA14" s="347"/>
      <c r="AB14" s="347"/>
      <c r="AC14" s="499"/>
      <c r="AD14" s="347"/>
      <c r="AE14" s="347"/>
      <c r="AF14" s="443"/>
      <c r="AG14" s="534"/>
      <c r="AH14" s="294"/>
      <c r="AI14" s="399"/>
      <c r="AJ14" s="399"/>
      <c r="AK14" s="669"/>
      <c r="AL14" s="669"/>
      <c r="AM14" s="669"/>
      <c r="AN14" s="669"/>
      <c r="AO14" s="669"/>
      <c r="AP14" s="669"/>
      <c r="AQ14" s="295"/>
    </row>
    <row r="15" spans="1:43" s="5" customFormat="1" ht="18.75" x14ac:dyDescent="0.3">
      <c r="B15" s="56" t="s">
        <v>9</v>
      </c>
      <c r="C15" s="57"/>
      <c r="D15" s="2"/>
      <c r="E15" s="650">
        <f>+SUM(E17:E26)+E28</f>
        <v>0</v>
      </c>
      <c r="F15" s="333"/>
      <c r="G15" s="340">
        <f>+SUM(G17:G26)+G28</f>
        <v>0</v>
      </c>
      <c r="H15" s="341">
        <f>+SUM(H17:H26)+H28</f>
        <v>0</v>
      </c>
      <c r="I15" s="333"/>
      <c r="J15" s="606">
        <f>+SUM(J17:J26)+J28</f>
        <v>0</v>
      </c>
      <c r="K15" s="607">
        <f>+SUM(K17:K26)+K28</f>
        <v>0</v>
      </c>
      <c r="L15" s="608">
        <f>+SUM(L17:L26,L28)</f>
        <v>0</v>
      </c>
      <c r="M15" s="87"/>
      <c r="N15" s="606">
        <f>+SUM(N17:N26)+N28</f>
        <v>0</v>
      </c>
      <c r="O15" s="607">
        <f t="shared" ref="O15:R15" si="6">+SUM(O17:O26)+O28</f>
        <v>0</v>
      </c>
      <c r="P15" s="607">
        <f t="shared" si="6"/>
        <v>0</v>
      </c>
      <c r="Q15" s="607">
        <f t="shared" si="6"/>
        <v>0</v>
      </c>
      <c r="R15" s="607">
        <f t="shared" si="6"/>
        <v>0</v>
      </c>
      <c r="S15" s="608">
        <f t="shared" ref="S15" si="7">+SUM(S17:S26)+S28</f>
        <v>0</v>
      </c>
      <c r="T15" s="87"/>
      <c r="U15" s="606">
        <f>+SUM(U17:U26)+U28</f>
        <v>0</v>
      </c>
      <c r="V15" s="607">
        <f>+SUM(V17:V26)+V28</f>
        <v>0</v>
      </c>
      <c r="W15" s="608">
        <f>+SUM(W17:W26)+W28</f>
        <v>0</v>
      </c>
      <c r="X15" s="333"/>
      <c r="Y15" s="606">
        <f>+SUM(Y17:Y26)+Y28</f>
        <v>0</v>
      </c>
      <c r="Z15" s="606">
        <f>+SUM(Z17:Z26)+Z28</f>
        <v>0</v>
      </c>
      <c r="AA15" s="342">
        <f>+SUM(AA17:AA26)+AA28</f>
        <v>0</v>
      </c>
      <c r="AB15" s="342">
        <f>+SUM(AB17:AB26)+AB28</f>
        <v>0</v>
      </c>
      <c r="AC15" s="608">
        <f>+SUM(AC17:AC26,AC28)</f>
        <v>0</v>
      </c>
      <c r="AD15" s="333"/>
      <c r="AE15" s="339">
        <f>+SUM(AE17:AE26,AE28)</f>
        <v>0</v>
      </c>
      <c r="AF15" s="444"/>
      <c r="AG15" s="531">
        <f>+AC15-Y15</f>
        <v>0</v>
      </c>
      <c r="AH15" s="295"/>
      <c r="AI15" s="392"/>
      <c r="AJ15" s="392"/>
      <c r="AK15" s="392"/>
      <c r="AL15" s="670"/>
      <c r="AM15" s="670"/>
      <c r="AN15" s="670"/>
      <c r="AO15" s="670"/>
      <c r="AP15" s="670"/>
      <c r="AQ15" s="295"/>
    </row>
    <row r="16" spans="1:43" s="5" customFormat="1" ht="7.5" customHeight="1" x14ac:dyDescent="0.3">
      <c r="E16" s="499"/>
      <c r="F16" s="347"/>
      <c r="G16" s="347"/>
      <c r="H16" s="347"/>
      <c r="I16" s="347"/>
      <c r="J16" s="499"/>
      <c r="K16" s="499"/>
      <c r="L16" s="499"/>
      <c r="M16" s="499"/>
      <c r="N16" s="499"/>
      <c r="O16" s="499"/>
      <c r="P16" s="499"/>
      <c r="Q16" s="499"/>
      <c r="R16" s="499"/>
      <c r="S16" s="499"/>
      <c r="T16" s="499"/>
      <c r="U16" s="499"/>
      <c r="V16" s="499"/>
      <c r="W16" s="499"/>
      <c r="X16" s="347"/>
      <c r="Y16" s="499"/>
      <c r="Z16" s="499"/>
      <c r="AA16" s="347"/>
      <c r="AB16" s="347"/>
      <c r="AC16" s="499"/>
      <c r="AD16" s="347"/>
      <c r="AE16" s="347"/>
      <c r="AF16" s="442"/>
      <c r="AG16" s="532"/>
      <c r="AH16" s="295"/>
      <c r="AI16" s="396"/>
      <c r="AJ16" s="396"/>
      <c r="AK16" s="669"/>
      <c r="AL16" s="669"/>
      <c r="AM16" s="669"/>
      <c r="AN16" s="669"/>
      <c r="AO16" s="669"/>
      <c r="AP16" s="669"/>
      <c r="AQ16" s="295"/>
    </row>
    <row r="17" spans="2:43" s="5" customFormat="1" ht="18.75" x14ac:dyDescent="0.3">
      <c r="B17" s="13" t="s">
        <v>10</v>
      </c>
      <c r="C17" s="14"/>
      <c r="E17" s="476"/>
      <c r="F17" s="347"/>
      <c r="G17" s="350"/>
      <c r="H17" s="406"/>
      <c r="I17" s="347"/>
      <c r="J17" s="635"/>
      <c r="K17" s="613"/>
      <c r="L17" s="636"/>
      <c r="M17" s="499"/>
      <c r="N17" s="612"/>
      <c r="O17" s="613"/>
      <c r="P17" s="613"/>
      <c r="Q17" s="613"/>
      <c r="R17" s="613"/>
      <c r="S17" s="636"/>
      <c r="T17" s="499"/>
      <c r="U17" s="612">
        <f t="shared" ref="U17:U26" si="8">+SUMIFS(N17:S17,N$2:S$2,$U$5)</f>
        <v>0</v>
      </c>
      <c r="V17" s="613">
        <f t="shared" ref="V17:V26" si="9">+SUMIFS(N17:S17,N$2:S$2,$V$5)</f>
        <v>0</v>
      </c>
      <c r="W17" s="520">
        <f t="shared" ref="W17:W26" si="10">+SUMIFS(N17:S17,N$2:S$2,$W$5)</f>
        <v>0</v>
      </c>
      <c r="X17" s="347"/>
      <c r="Y17" s="612"/>
      <c r="Z17" s="613"/>
      <c r="AA17" s="351"/>
      <c r="AB17" s="351"/>
      <c r="AC17" s="520"/>
      <c r="AD17" s="347"/>
      <c r="AE17" s="348"/>
      <c r="AF17" s="444"/>
      <c r="AG17" s="531">
        <f>+AC17-Y17</f>
        <v>0</v>
      </c>
      <c r="AH17" s="295"/>
      <c r="AI17" s="397">
        <f>SUM(AL17:AP17)</f>
        <v>0</v>
      </c>
      <c r="AJ17" s="953">
        <f>SUM(AL17:AM17)</f>
        <v>0</v>
      </c>
      <c r="AK17" s="671">
        <f>+AN17</f>
        <v>0</v>
      </c>
      <c r="AL17" s="672"/>
      <c r="AM17" s="672"/>
      <c r="AN17" s="672"/>
      <c r="AO17" s="672"/>
      <c r="AP17" s="672"/>
      <c r="AQ17" s="295"/>
    </row>
    <row r="18" spans="2:43" s="5" customFormat="1" ht="18.75" x14ac:dyDescent="0.3">
      <c r="B18" s="15" t="s">
        <v>11</v>
      </c>
      <c r="C18" s="16"/>
      <c r="E18" s="652"/>
      <c r="F18" s="347"/>
      <c r="G18" s="357"/>
      <c r="H18" s="361"/>
      <c r="I18" s="347"/>
      <c r="J18" s="638"/>
      <c r="K18" s="622"/>
      <c r="L18" s="639"/>
      <c r="M18" s="499"/>
      <c r="N18" s="640"/>
      <c r="O18" s="620"/>
      <c r="P18" s="620"/>
      <c r="Q18" s="620"/>
      <c r="R18" s="620"/>
      <c r="S18" s="639"/>
      <c r="T18" s="499"/>
      <c r="U18" s="640">
        <f t="shared" si="8"/>
        <v>0</v>
      </c>
      <c r="V18" s="620">
        <f t="shared" si="9"/>
        <v>0</v>
      </c>
      <c r="W18" s="624">
        <f t="shared" si="10"/>
        <v>0</v>
      </c>
      <c r="X18" s="347"/>
      <c r="Y18" s="614"/>
      <c r="Z18" s="620"/>
      <c r="AA18" s="372"/>
      <c r="AB18" s="372"/>
      <c r="AC18" s="624"/>
      <c r="AD18" s="347"/>
      <c r="AE18" s="348"/>
      <c r="AF18" s="444"/>
      <c r="AG18" s="531">
        <f t="shared" ref="AG18:AG26" si="11">+AC18-Y18</f>
        <v>0</v>
      </c>
      <c r="AH18" s="295"/>
      <c r="AI18" s="397">
        <f>SUM(AL18:AP18)</f>
        <v>0</v>
      </c>
      <c r="AJ18" s="953">
        <f>SUM(AL18:AM18)</f>
        <v>0</v>
      </c>
      <c r="AK18" s="671">
        <f>+AN18</f>
        <v>0</v>
      </c>
      <c r="AL18" s="672"/>
      <c r="AM18" s="672"/>
      <c r="AN18" s="672"/>
      <c r="AO18" s="672"/>
      <c r="AP18" s="672"/>
      <c r="AQ18" s="295"/>
    </row>
    <row r="19" spans="2:43" s="5" customFormat="1" ht="18.75" x14ac:dyDescent="0.3">
      <c r="B19" s="15" t="s">
        <v>43</v>
      </c>
      <c r="C19" s="16"/>
      <c r="E19" s="652"/>
      <c r="F19" s="347"/>
      <c r="G19" s="357"/>
      <c r="H19" s="361"/>
      <c r="I19" s="347"/>
      <c r="J19" s="638"/>
      <c r="K19" s="622"/>
      <c r="L19" s="621"/>
      <c r="M19" s="499"/>
      <c r="N19" s="638"/>
      <c r="O19" s="622"/>
      <c r="P19" s="622"/>
      <c r="Q19" s="622"/>
      <c r="R19" s="622"/>
      <c r="S19" s="621"/>
      <c r="T19" s="499"/>
      <c r="U19" s="638">
        <f t="shared" si="8"/>
        <v>0</v>
      </c>
      <c r="V19" s="622">
        <f t="shared" si="9"/>
        <v>0</v>
      </c>
      <c r="W19" s="623">
        <f t="shared" si="10"/>
        <v>0</v>
      </c>
      <c r="X19" s="347"/>
      <c r="Y19" s="614"/>
      <c r="Z19" s="622"/>
      <c r="AA19" s="358"/>
      <c r="AB19" s="358"/>
      <c r="AC19" s="623"/>
      <c r="AD19" s="347"/>
      <c r="AE19" s="348"/>
      <c r="AF19" s="444"/>
      <c r="AG19" s="531">
        <f t="shared" si="11"/>
        <v>0</v>
      </c>
      <c r="AH19" s="295"/>
      <c r="AI19" s="397">
        <f>SUM(AL19:AP19)</f>
        <v>0</v>
      </c>
      <c r="AJ19" s="953">
        <f>SUM(AL19:AM19)</f>
        <v>0</v>
      </c>
      <c r="AK19" s="671">
        <f>+AN19</f>
        <v>0</v>
      </c>
      <c r="AL19" s="672"/>
      <c r="AM19" s="672"/>
      <c r="AN19" s="672"/>
      <c r="AO19" s="672"/>
      <c r="AP19" s="672"/>
      <c r="AQ19" s="295"/>
    </row>
    <row r="20" spans="2:43" s="5" customFormat="1" ht="18.75" x14ac:dyDescent="0.3">
      <c r="B20" s="15" t="s">
        <v>38</v>
      </c>
      <c r="C20" s="16"/>
      <c r="E20" s="652"/>
      <c r="F20" s="347"/>
      <c r="G20" s="357"/>
      <c r="H20" s="361"/>
      <c r="I20" s="347"/>
      <c r="J20" s="638"/>
      <c r="K20" s="622"/>
      <c r="L20" s="621"/>
      <c r="M20" s="499"/>
      <c r="N20" s="638"/>
      <c r="O20" s="622"/>
      <c r="P20" s="622"/>
      <c r="Q20" s="622"/>
      <c r="R20" s="622"/>
      <c r="S20" s="621"/>
      <c r="T20" s="499"/>
      <c r="U20" s="638">
        <f t="shared" si="8"/>
        <v>0</v>
      </c>
      <c r="V20" s="622">
        <f t="shared" si="9"/>
        <v>0</v>
      </c>
      <c r="W20" s="623">
        <f t="shared" si="10"/>
        <v>0</v>
      </c>
      <c r="X20" s="347"/>
      <c r="Y20" s="614"/>
      <c r="Z20" s="622"/>
      <c r="AA20" s="358"/>
      <c r="AB20" s="358"/>
      <c r="AC20" s="623"/>
      <c r="AD20" s="347"/>
      <c r="AE20" s="348"/>
      <c r="AF20" s="444"/>
      <c r="AG20" s="531">
        <f t="shared" si="11"/>
        <v>0</v>
      </c>
      <c r="AH20" s="295"/>
      <c r="AI20" s="397">
        <f>SUM(AL20:AP20)</f>
        <v>0</v>
      </c>
      <c r="AJ20" s="953">
        <f>SUM(AL20:AM20)</f>
        <v>0</v>
      </c>
      <c r="AK20" s="671">
        <f>+AN20</f>
        <v>0</v>
      </c>
      <c r="AL20" s="672"/>
      <c r="AM20" s="672"/>
      <c r="AN20" s="672"/>
      <c r="AO20" s="672"/>
      <c r="AP20" s="672"/>
      <c r="AQ20" s="295"/>
    </row>
    <row r="21" spans="2:43" s="5" customFormat="1" ht="18.75" x14ac:dyDescent="0.3">
      <c r="B21" s="15" t="s">
        <v>12</v>
      </c>
      <c r="C21" s="16"/>
      <c r="E21" s="652"/>
      <c r="F21" s="347"/>
      <c r="G21" s="357"/>
      <c r="H21" s="361"/>
      <c r="I21" s="347"/>
      <c r="J21" s="638"/>
      <c r="K21" s="622"/>
      <c r="L21" s="621"/>
      <c r="M21" s="499"/>
      <c r="N21" s="638"/>
      <c r="O21" s="622"/>
      <c r="P21" s="622"/>
      <c r="Q21" s="622"/>
      <c r="R21" s="622"/>
      <c r="S21" s="621"/>
      <c r="T21" s="499"/>
      <c r="U21" s="638">
        <f t="shared" si="8"/>
        <v>0</v>
      </c>
      <c r="V21" s="622">
        <f t="shared" si="9"/>
        <v>0</v>
      </c>
      <c r="W21" s="623">
        <f t="shared" si="10"/>
        <v>0</v>
      </c>
      <c r="X21" s="347"/>
      <c r="Y21" s="614"/>
      <c r="Z21" s="622"/>
      <c r="AA21" s="358"/>
      <c r="AB21" s="358"/>
      <c r="AC21" s="623"/>
      <c r="AD21" s="347"/>
      <c r="AE21" s="348"/>
      <c r="AF21" s="444"/>
      <c r="AG21" s="531">
        <f t="shared" si="11"/>
        <v>0</v>
      </c>
      <c r="AH21" s="295"/>
      <c r="AI21" s="397">
        <f>SUM(AL21:AP21)</f>
        <v>0</v>
      </c>
      <c r="AJ21" s="953">
        <f>SUM(AL21:AM21)</f>
        <v>0</v>
      </c>
      <c r="AK21" s="671">
        <f>+AN21</f>
        <v>0</v>
      </c>
      <c r="AL21" s="672"/>
      <c r="AM21" s="672"/>
      <c r="AN21" s="672"/>
      <c r="AO21" s="672"/>
      <c r="AP21" s="672"/>
      <c r="AQ21" s="295"/>
    </row>
    <row r="22" spans="2:43" s="5" customFormat="1" ht="18.75" x14ac:dyDescent="0.3">
      <c r="B22" s="15"/>
      <c r="C22" s="16" t="s">
        <v>25</v>
      </c>
      <c r="E22" s="652"/>
      <c r="F22" s="347"/>
      <c r="G22" s="357"/>
      <c r="H22" s="361"/>
      <c r="I22" s="347"/>
      <c r="J22" s="638"/>
      <c r="K22" s="620"/>
      <c r="L22" s="621"/>
      <c r="M22" s="499"/>
      <c r="N22" s="640"/>
      <c r="O22" s="620"/>
      <c r="P22" s="620"/>
      <c r="Q22" s="620"/>
      <c r="R22" s="620"/>
      <c r="S22" s="639"/>
      <c r="T22" s="499"/>
      <c r="U22" s="638">
        <f t="shared" si="8"/>
        <v>0</v>
      </c>
      <c r="V22" s="622">
        <f t="shared" si="9"/>
        <v>0</v>
      </c>
      <c r="W22" s="624">
        <f t="shared" si="10"/>
        <v>0</v>
      </c>
      <c r="X22" s="347"/>
      <c r="Y22" s="614"/>
      <c r="Z22" s="620"/>
      <c r="AA22" s="372"/>
      <c r="AB22" s="372"/>
      <c r="AC22" s="624"/>
      <c r="AD22" s="347"/>
      <c r="AE22" s="348"/>
      <c r="AF22" s="444"/>
      <c r="AG22" s="531">
        <f t="shared" si="11"/>
        <v>0</v>
      </c>
      <c r="AH22" s="295"/>
      <c r="AI22" s="397">
        <f>SUM(AL22:AP22)</f>
        <v>0</v>
      </c>
      <c r="AJ22" s="953">
        <f>SUM(AL22:AM22)</f>
        <v>0</v>
      </c>
      <c r="AK22" s="671">
        <f>+AN22</f>
        <v>0</v>
      </c>
      <c r="AL22" s="672"/>
      <c r="AM22" s="672"/>
      <c r="AN22" s="672"/>
      <c r="AO22" s="672"/>
      <c r="AP22" s="672"/>
      <c r="AQ22" s="295"/>
    </row>
    <row r="23" spans="2:43" s="5" customFormat="1" ht="18.75" x14ac:dyDescent="0.3">
      <c r="B23" s="15"/>
      <c r="C23" s="16" t="s">
        <v>14</v>
      </c>
      <c r="E23" s="652"/>
      <c r="F23" s="347"/>
      <c r="G23" s="357"/>
      <c r="H23" s="361"/>
      <c r="I23" s="347"/>
      <c r="J23" s="638"/>
      <c r="K23" s="622"/>
      <c r="L23" s="621"/>
      <c r="M23" s="499"/>
      <c r="N23" s="638"/>
      <c r="O23" s="622"/>
      <c r="P23" s="622"/>
      <c r="Q23" s="622"/>
      <c r="R23" s="622"/>
      <c r="S23" s="621"/>
      <c r="T23" s="499"/>
      <c r="U23" s="638">
        <f t="shared" si="8"/>
        <v>0</v>
      </c>
      <c r="V23" s="622">
        <f t="shared" si="9"/>
        <v>0</v>
      </c>
      <c r="W23" s="623">
        <f t="shared" si="10"/>
        <v>0</v>
      </c>
      <c r="X23" s="347"/>
      <c r="Y23" s="614"/>
      <c r="Z23" s="622"/>
      <c r="AA23" s="358"/>
      <c r="AB23" s="358"/>
      <c r="AC23" s="623"/>
      <c r="AD23" s="347"/>
      <c r="AE23" s="348"/>
      <c r="AF23" s="444"/>
      <c r="AG23" s="531">
        <f t="shared" si="11"/>
        <v>0</v>
      </c>
      <c r="AH23" s="295"/>
      <c r="AI23" s="397">
        <f>SUM(AL23:AP23)</f>
        <v>0</v>
      </c>
      <c r="AJ23" s="953">
        <f>SUM(AL23:AM23)</f>
        <v>0</v>
      </c>
      <c r="AK23" s="671">
        <f>+AN23</f>
        <v>0</v>
      </c>
      <c r="AL23" s="672"/>
      <c r="AM23" s="672"/>
      <c r="AN23" s="672"/>
      <c r="AO23" s="672"/>
      <c r="AP23" s="672"/>
      <c r="AQ23" s="295"/>
    </row>
    <row r="24" spans="2:43" s="5" customFormat="1" ht="18.75" x14ac:dyDescent="0.3">
      <c r="B24" s="15" t="s">
        <v>13</v>
      </c>
      <c r="C24" s="16"/>
      <c r="E24" s="652"/>
      <c r="F24" s="347"/>
      <c r="G24" s="357"/>
      <c r="H24" s="361"/>
      <c r="I24" s="347"/>
      <c r="J24" s="357"/>
      <c r="K24" s="358"/>
      <c r="L24" s="359"/>
      <c r="M24" s="347"/>
      <c r="N24" s="357"/>
      <c r="O24" s="358"/>
      <c r="P24" s="358"/>
      <c r="Q24" s="358"/>
      <c r="R24" s="358"/>
      <c r="S24" s="359"/>
      <c r="T24" s="347"/>
      <c r="U24" s="357">
        <f t="shared" si="8"/>
        <v>0</v>
      </c>
      <c r="V24" s="358">
        <f t="shared" si="9"/>
        <v>0</v>
      </c>
      <c r="W24" s="361">
        <f t="shared" si="10"/>
        <v>0</v>
      </c>
      <c r="X24" s="347"/>
      <c r="Y24" s="614"/>
      <c r="Z24" s="622"/>
      <c r="AA24" s="358"/>
      <c r="AB24" s="358"/>
      <c r="AC24" s="623"/>
      <c r="AD24" s="347"/>
      <c r="AE24" s="348"/>
      <c r="AF24" s="444"/>
      <c r="AG24" s="531">
        <f t="shared" si="11"/>
        <v>0</v>
      </c>
      <c r="AH24" s="295"/>
      <c r="AI24" s="397">
        <f>SUM(AL24:AP24)</f>
        <v>0</v>
      </c>
      <c r="AJ24" s="953">
        <f>SUM(AL24:AM24)</f>
        <v>0</v>
      </c>
      <c r="AK24" s="671">
        <f>+AN24</f>
        <v>0</v>
      </c>
      <c r="AL24" s="672"/>
      <c r="AM24" s="672"/>
      <c r="AN24" s="672"/>
      <c r="AO24" s="672"/>
      <c r="AP24" s="672"/>
      <c r="AQ24" s="295"/>
    </row>
    <row r="25" spans="2:43" s="5" customFormat="1" ht="18.75" x14ac:dyDescent="0.3">
      <c r="B25" s="15" t="s">
        <v>31</v>
      </c>
      <c r="C25" s="16"/>
      <c r="E25" s="652"/>
      <c r="F25" s="347"/>
      <c r="G25" s="357"/>
      <c r="H25" s="361"/>
      <c r="I25" s="347"/>
      <c r="J25" s="357"/>
      <c r="K25" s="355"/>
      <c r="L25" s="359"/>
      <c r="M25" s="347"/>
      <c r="N25" s="354"/>
      <c r="O25" s="355"/>
      <c r="P25" s="355"/>
      <c r="Q25" s="355"/>
      <c r="R25" s="355"/>
      <c r="S25" s="390"/>
      <c r="T25" s="347"/>
      <c r="U25" s="357">
        <f t="shared" si="8"/>
        <v>0</v>
      </c>
      <c r="V25" s="358">
        <f t="shared" si="9"/>
        <v>0</v>
      </c>
      <c r="W25" s="356">
        <f t="shared" si="10"/>
        <v>0</v>
      </c>
      <c r="X25" s="347"/>
      <c r="Y25" s="614"/>
      <c r="Z25" s="615"/>
      <c r="AA25" s="355"/>
      <c r="AB25" s="355"/>
      <c r="AC25" s="616"/>
      <c r="AD25" s="347"/>
      <c r="AE25" s="348"/>
      <c r="AF25" s="444"/>
      <c r="AG25" s="531">
        <f t="shared" si="11"/>
        <v>0</v>
      </c>
      <c r="AH25" s="295"/>
      <c r="AI25" s="397">
        <f>SUM(AL25:AP25)</f>
        <v>0</v>
      </c>
      <c r="AJ25" s="953">
        <f>SUM(AL25:AM25)</f>
        <v>0</v>
      </c>
      <c r="AK25" s="671">
        <f>+AN25</f>
        <v>0</v>
      </c>
      <c r="AL25" s="673"/>
      <c r="AM25" s="673"/>
      <c r="AN25" s="673"/>
      <c r="AO25" s="673"/>
      <c r="AP25" s="673"/>
      <c r="AQ25" s="295"/>
    </row>
    <row r="26" spans="2:43" s="5" customFormat="1" ht="18.75" x14ac:dyDescent="0.3">
      <c r="B26" s="17" t="s">
        <v>15</v>
      </c>
      <c r="C26" s="18"/>
      <c r="E26" s="642"/>
      <c r="F26" s="347"/>
      <c r="G26" s="364"/>
      <c r="H26" s="366"/>
      <c r="I26" s="347"/>
      <c r="J26" s="364"/>
      <c r="K26" s="365"/>
      <c r="L26" s="367"/>
      <c r="M26" s="347"/>
      <c r="N26" s="364"/>
      <c r="O26" s="365"/>
      <c r="P26" s="365"/>
      <c r="Q26" s="365"/>
      <c r="R26" s="365"/>
      <c r="S26" s="367"/>
      <c r="T26" s="347"/>
      <c r="U26" s="364">
        <f t="shared" si="8"/>
        <v>0</v>
      </c>
      <c r="V26" s="365">
        <f t="shared" si="9"/>
        <v>0</v>
      </c>
      <c r="W26" s="366">
        <f t="shared" si="10"/>
        <v>0</v>
      </c>
      <c r="X26" s="347"/>
      <c r="Y26" s="617"/>
      <c r="Z26" s="618"/>
      <c r="AA26" s="365"/>
      <c r="AB26" s="365"/>
      <c r="AC26" s="619"/>
      <c r="AD26" s="347"/>
      <c r="AE26" s="379"/>
      <c r="AF26" s="444"/>
      <c r="AG26" s="531">
        <f t="shared" si="11"/>
        <v>0</v>
      </c>
      <c r="AH26" s="295"/>
      <c r="AI26" s="397">
        <f>SUM(AL26:AP26)</f>
        <v>0</v>
      </c>
      <c r="AJ26" s="953">
        <f>SUM(AL26:AM26)</f>
        <v>0</v>
      </c>
      <c r="AK26" s="671">
        <f>+AN26</f>
        <v>0</v>
      </c>
      <c r="AL26" s="673"/>
      <c r="AM26" s="673"/>
      <c r="AN26" s="673"/>
      <c r="AO26" s="673"/>
      <c r="AP26" s="673"/>
      <c r="AQ26" s="295"/>
    </row>
    <row r="27" spans="2:43" s="5" customFormat="1" ht="7.5" customHeight="1" x14ac:dyDescent="0.3">
      <c r="E27" s="499"/>
      <c r="F27" s="347"/>
      <c r="G27" s="347"/>
      <c r="H27" s="347"/>
      <c r="I27" s="347"/>
      <c r="J27" s="347"/>
      <c r="K27" s="347"/>
      <c r="L27" s="347"/>
      <c r="M27" s="347"/>
      <c r="N27" s="347"/>
      <c r="O27" s="347"/>
      <c r="P27" s="347"/>
      <c r="Q27" s="347"/>
      <c r="R27" s="347"/>
      <c r="S27" s="347"/>
      <c r="T27" s="347"/>
      <c r="U27" s="347"/>
      <c r="V27" s="347"/>
      <c r="W27" s="347"/>
      <c r="X27" s="347"/>
      <c r="Y27" s="499"/>
      <c r="Z27" s="499"/>
      <c r="AA27" s="347"/>
      <c r="AB27" s="347"/>
      <c r="AC27" s="499"/>
      <c r="AD27" s="347"/>
      <c r="AE27" s="347"/>
      <c r="AF27" s="442"/>
      <c r="AG27" s="532"/>
      <c r="AH27" s="295"/>
      <c r="AI27" s="396"/>
      <c r="AJ27" s="396"/>
      <c r="AK27" s="597"/>
      <c r="AL27" s="597"/>
      <c r="AM27" s="597"/>
      <c r="AN27" s="597"/>
      <c r="AO27" s="597"/>
      <c r="AP27" s="597"/>
      <c r="AQ27" s="295"/>
    </row>
    <row r="28" spans="2:43" s="5" customFormat="1" ht="15.75" customHeight="1" x14ac:dyDescent="0.3">
      <c r="B28" s="11" t="s">
        <v>16</v>
      </c>
      <c r="C28" s="12"/>
      <c r="E28" s="659">
        <f>+SUM(AL28:AP28)</f>
        <v>0</v>
      </c>
      <c r="F28" s="347"/>
      <c r="G28" s="380">
        <v>0</v>
      </c>
      <c r="H28" s="381">
        <v>0</v>
      </c>
      <c r="I28" s="347"/>
      <c r="J28" s="383">
        <f>+H28+AE28</f>
        <v>0</v>
      </c>
      <c r="K28" s="382">
        <f>+J28+E28</f>
        <v>0</v>
      </c>
      <c r="L28" s="381">
        <f>+SUM(N28:S28)</f>
        <v>0</v>
      </c>
      <c r="M28" s="347"/>
      <c r="N28" s="380">
        <f>-K28</f>
        <v>0</v>
      </c>
      <c r="O28" s="382"/>
      <c r="P28" s="382"/>
      <c r="Q28" s="382"/>
      <c r="R28" s="382"/>
      <c r="S28" s="381">
        <f>+SUMIFS(N28:R28,N$2:R$2,$S$5)</f>
        <v>0</v>
      </c>
      <c r="T28" s="347"/>
      <c r="U28" s="380">
        <f>+SUMIFS(N28:S28,N$2:S$2,$U$5)</f>
        <v>0</v>
      </c>
      <c r="V28" s="382">
        <f>+SUMIFS(N28:S28,N$2:S$2,$V$5)</f>
        <v>0</v>
      </c>
      <c r="W28" s="381">
        <f>+SUMIFS(N28:S28,N$2:S$2,$W$5)</f>
        <v>0</v>
      </c>
      <c r="X28" s="347"/>
      <c r="Y28" s="644">
        <v>0</v>
      </c>
      <c r="Z28" s="626">
        <v>0</v>
      </c>
      <c r="AA28" s="382">
        <v>0</v>
      </c>
      <c r="AB28" s="382"/>
      <c r="AC28" s="627">
        <v>0</v>
      </c>
      <c r="AD28" s="347"/>
      <c r="AE28" s="379"/>
      <c r="AF28" s="442"/>
      <c r="AG28" s="532"/>
      <c r="AH28" s="295"/>
      <c r="AI28" s="409"/>
      <c r="AJ28" s="409"/>
      <c r="AK28" s="674"/>
      <c r="AL28" s="674"/>
      <c r="AM28" s="674"/>
      <c r="AN28" s="674"/>
      <c r="AO28" s="674"/>
      <c r="AP28" s="674"/>
      <c r="AQ28" s="295"/>
    </row>
    <row r="29" spans="2:43" s="5" customFormat="1" ht="15.75" x14ac:dyDescent="0.25">
      <c r="E29" s="499"/>
      <c r="F29" s="347"/>
      <c r="G29" s="347"/>
      <c r="H29" s="347"/>
      <c r="I29" s="347"/>
      <c r="J29" s="347"/>
      <c r="K29" s="347"/>
      <c r="L29" s="347"/>
      <c r="M29" s="347"/>
      <c r="N29" s="347"/>
      <c r="O29" s="347"/>
      <c r="P29" s="347"/>
      <c r="Q29" s="347"/>
      <c r="R29" s="347"/>
      <c r="S29" s="347"/>
      <c r="T29" s="347"/>
      <c r="U29" s="347"/>
      <c r="V29" s="347"/>
      <c r="W29" s="347"/>
      <c r="X29" s="347"/>
      <c r="Y29" s="499"/>
      <c r="Z29" s="499"/>
      <c r="AA29" s="347"/>
      <c r="AB29" s="347"/>
      <c r="AC29" s="499"/>
      <c r="AD29" s="347"/>
      <c r="AE29" s="347"/>
      <c r="AF29" s="399"/>
      <c r="AG29" s="535"/>
      <c r="AH29" s="295"/>
      <c r="AI29" s="295"/>
      <c r="AJ29" s="295"/>
      <c r="AK29" s="499"/>
      <c r="AL29" s="295"/>
      <c r="AM29" s="295"/>
      <c r="AN29" s="295"/>
      <c r="AO29" s="295"/>
      <c r="AP29" s="295"/>
      <c r="AQ29" s="295"/>
    </row>
    <row r="30" spans="2:43" s="5" customFormat="1" ht="15.75" x14ac:dyDescent="0.25">
      <c r="B30" s="64" t="s">
        <v>17</v>
      </c>
      <c r="C30" s="65"/>
      <c r="D30" s="2"/>
      <c r="E30" s="661">
        <f>+E7*E31</f>
        <v>0</v>
      </c>
      <c r="F30" s="87"/>
      <c r="G30" s="628">
        <f>+G7*G31</f>
        <v>0</v>
      </c>
      <c r="H30" s="630">
        <f>+H7*H31</f>
        <v>0</v>
      </c>
      <c r="I30" s="87"/>
      <c r="J30" s="628">
        <f>+J7*J31</f>
        <v>0</v>
      </c>
      <c r="K30" s="629">
        <f>+K7*K31</f>
        <v>0</v>
      </c>
      <c r="L30" s="629">
        <f>+L7*L31</f>
        <v>0</v>
      </c>
      <c r="M30" s="87"/>
      <c r="N30" s="628">
        <f t="shared" ref="N30:S30" si="12">+N7*N31</f>
        <v>0</v>
      </c>
      <c r="O30" s="629">
        <f t="shared" si="12"/>
        <v>0</v>
      </c>
      <c r="P30" s="629">
        <f t="shared" si="12"/>
        <v>0</v>
      </c>
      <c r="Q30" s="629">
        <f t="shared" si="12"/>
        <v>0</v>
      </c>
      <c r="R30" s="629">
        <f t="shared" si="12"/>
        <v>0</v>
      </c>
      <c r="S30" s="662">
        <f t="shared" si="12"/>
        <v>0</v>
      </c>
      <c r="T30" s="87"/>
      <c r="U30" s="628">
        <f>+U7*U31</f>
        <v>0</v>
      </c>
      <c r="V30" s="629">
        <f>+V7*V31</f>
        <v>0</v>
      </c>
      <c r="W30" s="662">
        <f>+W7*W31</f>
        <v>0</v>
      </c>
      <c r="X30" s="87"/>
      <c r="Y30" s="628">
        <f>+Y7-Y15</f>
        <v>0</v>
      </c>
      <c r="Z30" s="628">
        <f>+Z7-Z15</f>
        <v>0</v>
      </c>
      <c r="AA30" s="629">
        <f>+AA7-AA15</f>
        <v>0</v>
      </c>
      <c r="AB30" s="629">
        <f>+AB7-AB15</f>
        <v>0</v>
      </c>
      <c r="AC30" s="630">
        <f>+AC7-AC15</f>
        <v>0</v>
      </c>
      <c r="AD30" s="87"/>
      <c r="AE30" s="661">
        <f>+AE7*AE31</f>
        <v>0</v>
      </c>
      <c r="AF30" s="445"/>
      <c r="AG30" s="531">
        <f>+Y30-AC30</f>
        <v>0</v>
      </c>
      <c r="AH30" s="295"/>
      <c r="AI30" s="295"/>
      <c r="AJ30" s="295"/>
      <c r="AK30" s="499"/>
      <c r="AL30" s="295"/>
      <c r="AM30" s="295"/>
      <c r="AN30" s="295"/>
      <c r="AO30" s="295"/>
      <c r="AP30" s="295"/>
      <c r="AQ30" s="295"/>
    </row>
    <row r="31" spans="2:43" s="5" customFormat="1" ht="15.75" x14ac:dyDescent="0.25">
      <c r="B31" s="66" t="s">
        <v>18</v>
      </c>
      <c r="C31" s="67"/>
      <c r="D31" s="2"/>
      <c r="E31" s="68">
        <f>+$Y$31</f>
        <v>0</v>
      </c>
      <c r="F31" s="19"/>
      <c r="G31" s="71">
        <f>+$Y$31</f>
        <v>0</v>
      </c>
      <c r="H31" s="72">
        <f>+$Y$31</f>
        <v>0</v>
      </c>
      <c r="I31" s="19"/>
      <c r="J31" s="71">
        <f>+$Y$31</f>
        <v>0</v>
      </c>
      <c r="K31" s="75">
        <f>+$Y$31</f>
        <v>0</v>
      </c>
      <c r="L31" s="75">
        <f>+$Y$31</f>
        <v>0</v>
      </c>
      <c r="M31" s="19"/>
      <c r="N31" s="71">
        <f t="shared" ref="N31:S31" si="13">+$Y$31</f>
        <v>0</v>
      </c>
      <c r="O31" s="75">
        <f t="shared" si="13"/>
        <v>0</v>
      </c>
      <c r="P31" s="75">
        <f t="shared" si="13"/>
        <v>0</v>
      </c>
      <c r="Q31" s="75">
        <f t="shared" si="13"/>
        <v>0</v>
      </c>
      <c r="R31" s="75">
        <f t="shared" si="13"/>
        <v>0</v>
      </c>
      <c r="S31" s="76">
        <f t="shared" si="13"/>
        <v>0</v>
      </c>
      <c r="T31" s="19"/>
      <c r="U31" s="71">
        <f>+$Y$31</f>
        <v>0</v>
      </c>
      <c r="V31" s="75">
        <f>+$Y$31</f>
        <v>0</v>
      </c>
      <c r="W31" s="76">
        <f>+$Y$31</f>
        <v>0</v>
      </c>
      <c r="X31" s="19"/>
      <c r="Y31" s="71">
        <f>+IF(Y7=0,0,Y30/Y7)</f>
        <v>0</v>
      </c>
      <c r="Z31" s="71">
        <f>+IF(Z7=0,0,Z30/Z7)</f>
        <v>0</v>
      </c>
      <c r="AA31" s="75">
        <f>+IF(AA7=0,0,AA30/AA7)</f>
        <v>0</v>
      </c>
      <c r="AB31" s="75">
        <f>+IF(AB7=0,0,AB30/AB7)</f>
        <v>0</v>
      </c>
      <c r="AC31" s="633">
        <f>+IF(AC7=0,0,AC30/AC7)</f>
        <v>0</v>
      </c>
      <c r="AD31" s="19"/>
      <c r="AE31" s="68">
        <f>+$Y$31</f>
        <v>0</v>
      </c>
      <c r="AK31" s="499"/>
    </row>
    <row r="32" spans="2:43" s="5" customFormat="1" ht="7.5" customHeight="1" x14ac:dyDescent="0.25">
      <c r="B32" s="2"/>
      <c r="C32" s="2"/>
      <c r="D32" s="2"/>
      <c r="E32" s="8"/>
      <c r="F32" s="8"/>
      <c r="G32" s="8"/>
      <c r="H32" s="8"/>
      <c r="I32" s="8"/>
      <c r="J32" s="8"/>
      <c r="K32" s="8"/>
      <c r="L32" s="8"/>
      <c r="M32" s="8"/>
      <c r="N32" s="8"/>
      <c r="O32" s="8"/>
      <c r="P32" s="8"/>
      <c r="Q32" s="8"/>
      <c r="R32" s="8"/>
      <c r="S32" s="8"/>
      <c r="T32" s="8"/>
      <c r="U32" s="8"/>
      <c r="V32" s="8"/>
      <c r="W32" s="8"/>
      <c r="X32" s="8"/>
      <c r="Y32" s="87"/>
      <c r="Z32" s="87"/>
      <c r="AA32" s="8"/>
      <c r="AB32" s="8"/>
      <c r="AC32" s="87"/>
      <c r="AD32" s="8"/>
      <c r="AE32" s="8"/>
      <c r="AK32" s="499"/>
    </row>
    <row r="33" spans="2:46" s="5" customFormat="1" ht="15.75" customHeight="1" x14ac:dyDescent="0.25">
      <c r="B33" s="64" t="s">
        <v>33</v>
      </c>
      <c r="C33" s="65"/>
      <c r="D33" s="2"/>
      <c r="E33" s="332">
        <f>+E7-E15+E28</f>
        <v>0</v>
      </c>
      <c r="F33" s="333"/>
      <c r="G33" s="337">
        <f>+G7-G15+G28</f>
        <v>0</v>
      </c>
      <c r="H33" s="386">
        <f>+H7-H15+H28</f>
        <v>0</v>
      </c>
      <c r="I33" s="333"/>
      <c r="J33" s="334">
        <f>+J7-J15+J28</f>
        <v>0</v>
      </c>
      <c r="K33" s="336">
        <f>+K7-K15+K28</f>
        <v>0</v>
      </c>
      <c r="L33" s="335">
        <f>+L7-L15+L28</f>
        <v>0</v>
      </c>
      <c r="M33" s="333"/>
      <c r="N33" s="337">
        <f t="shared" ref="N33:S33" si="14">+N7-N15+N28</f>
        <v>0</v>
      </c>
      <c r="O33" s="336">
        <f t="shared" si="14"/>
        <v>0</v>
      </c>
      <c r="P33" s="336">
        <f t="shared" si="14"/>
        <v>0</v>
      </c>
      <c r="Q33" s="336">
        <f t="shared" si="14"/>
        <v>0</v>
      </c>
      <c r="R33" s="336">
        <f t="shared" si="14"/>
        <v>0</v>
      </c>
      <c r="S33" s="335">
        <f t="shared" si="14"/>
        <v>0</v>
      </c>
      <c r="T33" s="333"/>
      <c r="U33" s="337">
        <f>+U7-U15+U28</f>
        <v>0</v>
      </c>
      <c r="V33" s="336">
        <f>+V7-V15+V28</f>
        <v>0</v>
      </c>
      <c r="W33" s="335">
        <f>+W7-W15+W28</f>
        <v>0</v>
      </c>
      <c r="X33" s="333"/>
      <c r="Y33" s="628">
        <f>+Y7-Y15+Y28</f>
        <v>0</v>
      </c>
      <c r="Z33" s="628">
        <f>+Z7-Z15+Z28</f>
        <v>0</v>
      </c>
      <c r="AA33" s="336">
        <f>+AA7-AA15+AA28</f>
        <v>0</v>
      </c>
      <c r="AB33" s="336">
        <f>+AB7-AB15+AB28</f>
        <v>0</v>
      </c>
      <c r="AC33" s="630">
        <f>+AC7-AC15+AC28</f>
        <v>0</v>
      </c>
      <c r="AD33" s="333"/>
      <c r="AE33" s="332">
        <f>+AE7-AE15+AE28</f>
        <v>0</v>
      </c>
      <c r="AF33" s="295"/>
      <c r="AG33" s="295"/>
      <c r="AH33" s="295"/>
      <c r="AI33" s="295"/>
      <c r="AJ33" s="295"/>
      <c r="AK33" s="499"/>
      <c r="AL33" s="295"/>
      <c r="AM33" s="295"/>
      <c r="AN33" s="295"/>
      <c r="AO33" s="295"/>
      <c r="AP33" s="295"/>
      <c r="AQ33" s="295"/>
    </row>
    <row r="34" spans="2:46" s="5" customFormat="1" ht="15.75" customHeight="1" x14ac:dyDescent="0.25">
      <c r="B34" s="66" t="s">
        <v>34</v>
      </c>
      <c r="C34" s="67"/>
      <c r="D34" s="2"/>
      <c r="E34" s="68">
        <f>+IF(E7=0,0,E33/E7)</f>
        <v>0</v>
      </c>
      <c r="F34" s="19"/>
      <c r="G34" s="71">
        <v>0</v>
      </c>
      <c r="H34" s="72">
        <f>+IF(H7=0,0,H33/H7)</f>
        <v>0</v>
      </c>
      <c r="I34" s="19"/>
      <c r="J34" s="71">
        <f>+IF(J7=0,0,J33/J7)</f>
        <v>0</v>
      </c>
      <c r="K34" s="75">
        <f>+IF(K7=0,0,K33/K7)</f>
        <v>0</v>
      </c>
      <c r="L34" s="76">
        <f>+IF(L7=0,0,L33/L7)</f>
        <v>0</v>
      </c>
      <c r="M34" s="19"/>
      <c r="N34" s="71">
        <f t="shared" ref="N34:S34" si="15">+IF(N7=0,0,N33/N7)</f>
        <v>0</v>
      </c>
      <c r="O34" s="75">
        <f t="shared" si="15"/>
        <v>0</v>
      </c>
      <c r="P34" s="75">
        <f t="shared" si="15"/>
        <v>0</v>
      </c>
      <c r="Q34" s="75">
        <f t="shared" si="15"/>
        <v>0</v>
      </c>
      <c r="R34" s="75">
        <f t="shared" si="15"/>
        <v>0</v>
      </c>
      <c r="S34" s="76">
        <f t="shared" si="15"/>
        <v>0</v>
      </c>
      <c r="T34" s="19"/>
      <c r="U34" s="71">
        <f>+IF(U7=0,0,U33/U7)</f>
        <v>0</v>
      </c>
      <c r="V34" s="75">
        <f>+IF(V7=0,0,V33/V7)</f>
        <v>0</v>
      </c>
      <c r="W34" s="76">
        <f>+IF(W7=0,0,W33/W7)</f>
        <v>0</v>
      </c>
      <c r="X34" s="19"/>
      <c r="Y34" s="71">
        <f>+IF(Y7=0,0,Y33/Y7)</f>
        <v>0</v>
      </c>
      <c r="Z34" s="71">
        <f>+IF(Z7=0,0,Z33/Z7)</f>
        <v>0</v>
      </c>
      <c r="AA34" s="75">
        <f>+IF(AA7=0,0,AA33/AA7)</f>
        <v>0</v>
      </c>
      <c r="AB34" s="75">
        <f>+IF(AB7=0,0,AB33/AB7)</f>
        <v>0</v>
      </c>
      <c r="AC34" s="633">
        <f>+IF(AC7=0,0,AC33/AC7)</f>
        <v>0</v>
      </c>
      <c r="AD34" s="19"/>
      <c r="AE34" s="68">
        <f>+IF(AE7=0,0,AE33/AE7)</f>
        <v>0</v>
      </c>
      <c r="AK34" s="499"/>
    </row>
    <row r="35" spans="2:46" s="40" customFormat="1" x14ac:dyDescent="0.25">
      <c r="N35" s="48"/>
      <c r="Y35" s="634"/>
      <c r="Z35" s="634"/>
      <c r="AA35" s="48"/>
      <c r="AB35" s="48"/>
      <c r="AC35" s="634"/>
      <c r="AK35" s="590"/>
    </row>
    <row r="36" spans="2:46" s="40" customFormat="1" x14ac:dyDescent="0.25">
      <c r="N36" s="52"/>
      <c r="Y36" s="338"/>
      <c r="Z36" s="590"/>
      <c r="AC36" s="590">
        <v>0</v>
      </c>
      <c r="AE36" s="40">
        <v>0</v>
      </c>
      <c r="AK36" s="590"/>
    </row>
    <row r="37" spans="2:46" s="40" customFormat="1" x14ac:dyDescent="0.25">
      <c r="G37" s="49"/>
      <c r="N37" s="48"/>
      <c r="P37" s="50"/>
      <c r="Y37" s="590"/>
      <c r="Z37" s="590"/>
      <c r="AC37" s="590"/>
      <c r="AK37" s="590"/>
    </row>
    <row r="38" spans="2:46" ht="18.75" x14ac:dyDescent="0.3">
      <c r="B38" s="23" t="s">
        <v>19</v>
      </c>
      <c r="C38" s="24"/>
      <c r="J38" s="40"/>
      <c r="K38" s="306">
        <f>+K7-K30</f>
        <v>0</v>
      </c>
      <c r="L38" s="40"/>
      <c r="M38" s="40"/>
      <c r="N38" s="48"/>
      <c r="O38" s="40"/>
      <c r="P38" s="22"/>
      <c r="R38" s="21"/>
    </row>
    <row r="39" spans="2:46" ht="9" customHeight="1" x14ac:dyDescent="0.3">
      <c r="B39" s="25"/>
      <c r="J39" s="40"/>
      <c r="K39" s="302"/>
      <c r="L39" s="40"/>
      <c r="M39" s="40"/>
      <c r="N39" s="48"/>
      <c r="O39" s="40"/>
      <c r="P39" s="22"/>
    </row>
    <row r="40" spans="2:46" ht="18.75" x14ac:dyDescent="0.3">
      <c r="B40" s="26" t="s">
        <v>20</v>
      </c>
      <c r="C40" s="27"/>
      <c r="J40" s="40"/>
      <c r="K40" s="307">
        <f>K15-K38</f>
        <v>0</v>
      </c>
      <c r="L40" s="40"/>
      <c r="M40" s="40"/>
      <c r="N40" s="48"/>
      <c r="O40" s="40"/>
      <c r="P40" s="22"/>
      <c r="R40" s="21"/>
      <c r="AS40" s="597">
        <f>H33</f>
        <v>0</v>
      </c>
      <c r="AT40" s="597">
        <f>Y33</f>
        <v>0</v>
      </c>
    </row>
    <row r="41" spans="2:46" ht="9" customHeight="1" x14ac:dyDescent="0.3">
      <c r="B41" s="1"/>
      <c r="J41" s="40"/>
      <c r="K41" s="302"/>
      <c r="L41" s="40"/>
      <c r="M41" s="40"/>
      <c r="N41" s="48"/>
      <c r="O41" s="40"/>
    </row>
    <row r="42" spans="2:46" ht="18.75" x14ac:dyDescent="0.3">
      <c r="B42" s="23" t="s">
        <v>21</v>
      </c>
      <c r="C42" s="24"/>
      <c r="J42" s="40"/>
      <c r="K42" s="306">
        <f>IF('ER Pendiente'!C38&gt;0,'ER Pendiente'!C15+'ER Pendiente'!C38,'ER Pendiente'!C15)</f>
        <v>0</v>
      </c>
      <c r="L42" s="40"/>
      <c r="M42" s="40"/>
      <c r="N42" s="48"/>
      <c r="O42" s="40"/>
      <c r="R42" s="21"/>
    </row>
    <row r="43" spans="2:46" ht="9" customHeight="1" x14ac:dyDescent="0.3">
      <c r="B43" s="28"/>
      <c r="J43" s="40"/>
      <c r="K43" s="302"/>
      <c r="L43" s="40"/>
      <c r="M43" s="40"/>
      <c r="N43" s="48"/>
      <c r="O43" s="40"/>
    </row>
    <row r="44" spans="2:46" ht="18.75" x14ac:dyDescent="0.3">
      <c r="B44" s="23" t="s">
        <v>22</v>
      </c>
      <c r="C44" s="24"/>
      <c r="J44" s="40"/>
      <c r="K44" s="306">
        <f>IF('ER Pendiente'!C38&lt;0,-'ER Pendiente'!C38-'ER Pendiente'!C22,-'ER Pendiente'!C22)</f>
        <v>0</v>
      </c>
      <c r="L44" s="40"/>
      <c r="M44" s="40"/>
      <c r="N44" s="48"/>
      <c r="O44" s="40"/>
    </row>
    <row r="45" spans="2:46" ht="9" customHeight="1" x14ac:dyDescent="0.3">
      <c r="B45" s="28"/>
      <c r="J45" s="40"/>
      <c r="K45" s="302"/>
      <c r="L45" s="40"/>
      <c r="M45" s="40"/>
      <c r="N45" s="48"/>
      <c r="O45" s="40"/>
    </row>
    <row r="46" spans="2:46" ht="18.75" x14ac:dyDescent="0.3">
      <c r="B46" s="23" t="s">
        <v>23</v>
      </c>
      <c r="C46" s="24"/>
      <c r="J46" s="40"/>
      <c r="K46" s="306">
        <f>+'Dif. Margenes'!I12</f>
        <v>0</v>
      </c>
      <c r="L46" s="40"/>
      <c r="M46" s="40"/>
      <c r="N46" s="48"/>
      <c r="O46" s="40"/>
    </row>
    <row r="47" spans="2:46" ht="9" customHeight="1" x14ac:dyDescent="0.3">
      <c r="B47" s="25"/>
      <c r="J47" s="40"/>
      <c r="K47" s="302"/>
      <c r="L47" s="40"/>
      <c r="M47" s="40"/>
      <c r="N47" s="48"/>
      <c r="O47" s="40"/>
    </row>
    <row r="48" spans="2:46" ht="18.75" x14ac:dyDescent="0.3">
      <c r="B48" s="29" t="s">
        <v>24</v>
      </c>
      <c r="C48" s="30"/>
      <c r="J48" s="40"/>
      <c r="K48" s="315">
        <f>+K40-K42+K44</f>
        <v>0</v>
      </c>
      <c r="L48" s="40"/>
      <c r="M48" s="40"/>
      <c r="N48" s="48"/>
      <c r="O48" s="40"/>
    </row>
    <row r="49" spans="3:15" ht="8.25" customHeight="1" x14ac:dyDescent="0.25">
      <c r="J49" s="40"/>
      <c r="L49" s="40"/>
      <c r="M49" s="40"/>
      <c r="N49" s="48"/>
      <c r="O49" s="40"/>
    </row>
    <row r="50" spans="3:15" ht="21" hidden="1" customHeight="1" outlineLevel="1" x14ac:dyDescent="0.35">
      <c r="C50" s="31" t="s">
        <v>26</v>
      </c>
      <c r="J50" s="40"/>
      <c r="K50" s="35"/>
      <c r="L50" s="40"/>
      <c r="M50" s="40"/>
      <c r="N50" s="48"/>
      <c r="O50" s="40"/>
    </row>
    <row r="51" spans="3:15" ht="8.25" hidden="1" customHeight="1" outlineLevel="1" x14ac:dyDescent="0.25">
      <c r="C51" s="5"/>
      <c r="J51" s="40"/>
      <c r="L51" s="40"/>
      <c r="M51" s="40"/>
      <c r="N51" s="48"/>
      <c r="O51" s="40"/>
    </row>
    <row r="52" spans="3:15" ht="23.25" hidden="1" customHeight="1" outlineLevel="1" x14ac:dyDescent="0.35">
      <c r="C52" s="31" t="s">
        <v>27</v>
      </c>
      <c r="J52" s="40"/>
      <c r="K52" s="33"/>
      <c r="L52" s="40"/>
      <c r="M52" s="40"/>
      <c r="N52" s="48"/>
      <c r="O52" s="40"/>
    </row>
    <row r="53" spans="3:15" ht="15" hidden="1" customHeight="1" outlineLevel="1" x14ac:dyDescent="0.25">
      <c r="J53" s="40"/>
      <c r="K53" s="40"/>
      <c r="L53" s="40"/>
      <c r="M53" s="40"/>
      <c r="N53" s="48"/>
      <c r="O53" s="40"/>
    </row>
    <row r="54" spans="3:15" collapsed="1" x14ac:dyDescent="0.25"/>
  </sheetData>
  <mergeCells count="18">
    <mergeCell ref="B1:AE1"/>
    <mergeCell ref="AE3:AE4"/>
    <mergeCell ref="E3:E4"/>
    <mergeCell ref="G3:H4"/>
    <mergeCell ref="N3:S3"/>
    <mergeCell ref="U3:W4"/>
    <mergeCell ref="Y3:AC4"/>
    <mergeCell ref="J3:J5"/>
    <mergeCell ref="K3:K5"/>
    <mergeCell ref="L3:L5"/>
    <mergeCell ref="AN3:AN5"/>
    <mergeCell ref="AO3:AO5"/>
    <mergeCell ref="AP3:AP5"/>
    <mergeCell ref="AI3:AI5"/>
    <mergeCell ref="AK3:AK5"/>
    <mergeCell ref="AL3:AL5"/>
    <mergeCell ref="AM3:AM5"/>
    <mergeCell ref="AJ3:AJ5"/>
  </mergeCells>
  <pageMargins left="0.23622047244094491" right="0.23622047244094491" top="0.74803149606299213" bottom="0.74803149606299213" header="0.31496062992125984" footer="0.31496062992125984"/>
  <pageSetup paperSize="9" scale="41" orientation="landscape" r:id="rId1"/>
  <headerFooter>
    <oddFooter>&amp;F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1:AT57"/>
  <sheetViews>
    <sheetView showGridLines="0" zoomScale="50" zoomScaleNormal="50" workbookViewId="0">
      <pane xSplit="12" ySplit="6" topLeftCell="AE7" activePane="bottomRight" state="frozen"/>
      <selection activeCell="AH24" sqref="AH24"/>
      <selection pane="topRight" activeCell="AH24" sqref="AH24"/>
      <selection pane="bottomLeft" activeCell="AH24" sqref="AH24"/>
      <selection pane="bottomRight" activeCell="AI11" sqref="AI11:AK11"/>
    </sheetView>
  </sheetViews>
  <sheetFormatPr baseColWidth="10" defaultColWidth="9.140625" defaultRowHeight="15" outlineLevelRow="1" outlineLevelCol="2" x14ac:dyDescent="0.25"/>
  <cols>
    <col min="1" max="1" width="3.42578125" customWidth="1"/>
    <col min="2" max="2" width="32.7109375" customWidth="1"/>
    <col min="3" max="3" width="22.5703125" customWidth="1"/>
    <col min="4" max="4" width="1.42578125" customWidth="1"/>
    <col min="5" max="5" width="18.7109375" customWidth="1" outlineLevel="1"/>
    <col min="6" max="6" width="1.42578125" customWidth="1" outlineLevel="1"/>
    <col min="7" max="7" width="13" customWidth="1"/>
    <col min="8" max="8" width="15.28515625" bestFit="1" customWidth="1"/>
    <col min="9" max="9" width="1.42578125" customWidth="1"/>
    <col min="10" max="10" width="17" customWidth="1"/>
    <col min="11" max="11" width="23.28515625" customWidth="1"/>
    <col min="12" max="12" width="17" customWidth="1"/>
    <col min="13" max="13" width="1.42578125" customWidth="1"/>
    <col min="14" max="18" width="9.5703125" customWidth="1" outlineLevel="1"/>
    <col min="19" max="19" width="15" bestFit="1" customWidth="1"/>
    <col min="20" max="20" width="1.42578125" customWidth="1"/>
    <col min="21" max="21" width="14.85546875" bestFit="1" customWidth="1"/>
    <col min="22" max="22" width="13" customWidth="1"/>
    <col min="23" max="23" width="13" customWidth="1" outlineLevel="1"/>
    <col min="24" max="24" width="1.42578125" customWidth="1"/>
    <col min="25" max="26" width="17.5703125" bestFit="1" customWidth="1"/>
    <col min="27" max="27" width="13" customWidth="1" outlineLevel="1"/>
    <col min="28" max="28" width="15" customWidth="1" outlineLevel="1"/>
    <col min="29" max="29" width="17" bestFit="1" customWidth="1"/>
    <col min="30" max="30" width="1.5703125" customWidth="1" outlineLevel="1"/>
    <col min="31" max="31" width="15.28515625" bestFit="1" customWidth="1" outlineLevel="1"/>
    <col min="32" max="32" width="2.7109375" style="40" customWidth="1"/>
    <col min="33" max="33" width="13" style="40" hidden="1" customWidth="1" outlineLevel="1"/>
    <col min="34" max="34" width="2.85546875" customWidth="1" collapsed="1"/>
    <col min="35" max="35" width="16.7109375" customWidth="1" outlineLevel="1"/>
    <col min="36" max="36" width="24.140625" bestFit="1" customWidth="1" outlineLevel="1"/>
    <col min="37" max="37" width="24.140625" customWidth="1" outlineLevel="1"/>
    <col min="38" max="38" width="14" bestFit="1" customWidth="1" outlineLevel="2"/>
    <col min="39" max="42" width="15.42578125" bestFit="1" customWidth="1" outlineLevel="2"/>
    <col min="43" max="43" width="9.140625" customWidth="1" outlineLevel="1"/>
    <col min="45" max="45" width="14.7109375" bestFit="1" customWidth="1"/>
    <col min="46" max="46" width="18.42578125" bestFit="1" customWidth="1"/>
  </cols>
  <sheetData>
    <row r="1" spans="1:45" ht="23.25" x14ac:dyDescent="0.35">
      <c r="B1" s="1189" t="str">
        <f>CONCATENATE(B3," - ",B4," - ",B5," - ",B6)</f>
        <v xml:space="preserve">I.E.N 1182 - MES DE ENERO DEL 2025 - EL BOSQUE - CERCO + INGRESOS Y CASETAS - FASE 300: CONCRETO </v>
      </c>
      <c r="C1" s="1190"/>
      <c r="D1" s="1190"/>
      <c r="E1" s="1190"/>
      <c r="F1" s="1190"/>
      <c r="G1" s="1190"/>
      <c r="H1" s="1190"/>
      <c r="I1" s="1190"/>
      <c r="J1" s="1190"/>
      <c r="K1" s="1190"/>
      <c r="L1" s="1190"/>
      <c r="M1" s="1190"/>
      <c r="N1" s="1190"/>
      <c r="O1" s="1190"/>
      <c r="P1" s="1190"/>
      <c r="Q1" s="1190"/>
      <c r="R1" s="1190"/>
      <c r="S1" s="1190"/>
      <c r="T1" s="1190"/>
      <c r="U1" s="1190"/>
      <c r="V1" s="1190"/>
      <c r="W1" s="1190"/>
      <c r="X1" s="1190"/>
      <c r="Y1" s="1190"/>
      <c r="Z1" s="1190"/>
      <c r="AA1" s="1190"/>
      <c r="AB1" s="1190"/>
      <c r="AC1" s="1190"/>
      <c r="AD1" s="1190"/>
      <c r="AE1" s="1191"/>
    </row>
    <row r="2" spans="1:45" ht="15.75" x14ac:dyDescent="0.25">
      <c r="H2" s="39"/>
      <c r="J2" s="21"/>
      <c r="K2" s="42"/>
      <c r="L2" s="42"/>
      <c r="N2" s="94">
        <f>+YEAR(N5)</f>
        <v>2019</v>
      </c>
      <c r="O2" s="94">
        <f>+YEAR(O5)</f>
        <v>2019</v>
      </c>
      <c r="P2" s="94">
        <f>+YEAR(P5)</f>
        <v>2019</v>
      </c>
      <c r="Q2" s="94">
        <f>+YEAR(Q5)</f>
        <v>2019</v>
      </c>
      <c r="R2" s="94">
        <f>+YEAR(R5)</f>
        <v>2019</v>
      </c>
      <c r="S2" s="94">
        <f>S5</f>
        <v>2024</v>
      </c>
      <c r="U2" s="34">
        <v>43466</v>
      </c>
    </row>
    <row r="3" spans="1:45" s="5" customFormat="1" ht="16.5" customHeight="1" x14ac:dyDescent="0.25">
      <c r="A3" s="311"/>
      <c r="B3" s="311" t="s">
        <v>300</v>
      </c>
      <c r="C3" s="2"/>
      <c r="D3" s="2"/>
      <c r="E3" s="1162" t="s">
        <v>48</v>
      </c>
      <c r="F3" s="3"/>
      <c r="G3" s="1192" t="str">
        <f>+B4</f>
        <v>MES DE ENERO DEL 2025</v>
      </c>
      <c r="H3" s="1179"/>
      <c r="I3" s="3"/>
      <c r="J3" s="1168" t="s">
        <v>319</v>
      </c>
      <c r="K3" s="1193" t="s">
        <v>39</v>
      </c>
      <c r="L3" s="1196" t="s">
        <v>40</v>
      </c>
      <c r="M3" s="3"/>
      <c r="N3" s="1175" t="s">
        <v>50</v>
      </c>
      <c r="O3" s="1176"/>
      <c r="P3" s="1176"/>
      <c r="Q3" s="1176"/>
      <c r="R3" s="1176"/>
      <c r="S3" s="1177"/>
      <c r="T3" s="4"/>
      <c r="U3" s="1168" t="s">
        <v>41</v>
      </c>
      <c r="V3" s="1178"/>
      <c r="W3" s="1179"/>
      <c r="X3" s="3"/>
      <c r="Y3" s="1199" t="s">
        <v>49</v>
      </c>
      <c r="Z3" s="1200"/>
      <c r="AA3" s="1200"/>
      <c r="AB3" s="1200"/>
      <c r="AC3" s="1201"/>
      <c r="AD3" s="2"/>
      <c r="AE3" s="1193" t="s">
        <v>2</v>
      </c>
      <c r="AF3" s="51"/>
      <c r="AG3" s="51"/>
      <c r="AI3" s="1183" t="s">
        <v>30</v>
      </c>
      <c r="AJ3" s="1330" t="s">
        <v>342</v>
      </c>
      <c r="AK3" s="1226" t="s">
        <v>35</v>
      </c>
      <c r="AL3" s="1333">
        <v>45597</v>
      </c>
      <c r="AM3" s="1333">
        <v>45627</v>
      </c>
      <c r="AN3" s="1333">
        <v>45658</v>
      </c>
      <c r="AO3" s="1333">
        <v>45689</v>
      </c>
      <c r="AP3" s="1333">
        <v>45717</v>
      </c>
    </row>
    <row r="4" spans="1:45" s="5" customFormat="1" ht="45" customHeight="1" x14ac:dyDescent="0.25">
      <c r="B4" s="312" t="s">
        <v>433</v>
      </c>
      <c r="C4" s="2"/>
      <c r="D4" s="2"/>
      <c r="E4" s="1163"/>
      <c r="F4" s="3"/>
      <c r="G4" s="1170"/>
      <c r="H4" s="1181"/>
      <c r="I4" s="3"/>
      <c r="J4" s="1169"/>
      <c r="K4" s="1194"/>
      <c r="L4" s="1197"/>
      <c r="M4" s="3"/>
      <c r="N4" s="309">
        <v>1</v>
      </c>
      <c r="O4" s="309">
        <f>+N4+1</f>
        <v>2</v>
      </c>
      <c r="P4" s="309">
        <f t="shared" ref="P4:R4" si="0">+O4+1</f>
        <v>3</v>
      </c>
      <c r="Q4" s="309">
        <f t="shared" si="0"/>
        <v>4</v>
      </c>
      <c r="R4" s="309">
        <f t="shared" si="0"/>
        <v>5</v>
      </c>
      <c r="S4" s="291" t="s">
        <v>150</v>
      </c>
      <c r="T4" s="3"/>
      <c r="U4" s="1170"/>
      <c r="V4" s="1180"/>
      <c r="W4" s="1181"/>
      <c r="X4" s="3"/>
      <c r="Y4" s="1202"/>
      <c r="Z4" s="1203"/>
      <c r="AA4" s="1203"/>
      <c r="AB4" s="1203"/>
      <c r="AC4" s="1204"/>
      <c r="AD4" s="2"/>
      <c r="AE4" s="1194"/>
      <c r="AF4" s="51"/>
      <c r="AG4" s="51"/>
      <c r="AI4" s="1184"/>
      <c r="AJ4" s="1331"/>
      <c r="AK4" s="1227"/>
      <c r="AL4" s="1334"/>
      <c r="AM4" s="1334"/>
      <c r="AN4" s="1334"/>
      <c r="AO4" s="1334"/>
      <c r="AP4" s="1334"/>
    </row>
    <row r="5" spans="1:45" s="5" customFormat="1" ht="31.5" x14ac:dyDescent="0.25">
      <c r="B5" s="805" t="s">
        <v>301</v>
      </c>
      <c r="C5" s="2"/>
      <c r="D5" s="2"/>
      <c r="E5" s="63" t="s">
        <v>3</v>
      </c>
      <c r="F5" s="60"/>
      <c r="G5" s="61" t="s">
        <v>4</v>
      </c>
      <c r="H5" s="61" t="s">
        <v>5</v>
      </c>
      <c r="I5" s="60"/>
      <c r="J5" s="1170"/>
      <c r="K5" s="1195"/>
      <c r="L5" s="1198"/>
      <c r="M5" s="3"/>
      <c r="N5" s="62">
        <v>43648</v>
      </c>
      <c r="O5" s="62">
        <f>+N5+31</f>
        <v>43679</v>
      </c>
      <c r="P5" s="62">
        <f t="shared" ref="P5:R5" si="1">+O5+31</f>
        <v>43710</v>
      </c>
      <c r="Q5" s="62">
        <f t="shared" si="1"/>
        <v>43741</v>
      </c>
      <c r="R5" s="62">
        <f t="shared" si="1"/>
        <v>43772</v>
      </c>
      <c r="S5" s="61">
        <f>+'DIRECTO '!S5</f>
        <v>2024</v>
      </c>
      <c r="T5" s="310"/>
      <c r="U5" s="61">
        <v>2024</v>
      </c>
      <c r="V5" s="61">
        <f>+U5+1</f>
        <v>2025</v>
      </c>
      <c r="W5" s="61">
        <f>+V5+1</f>
        <v>2026</v>
      </c>
      <c r="X5" s="60"/>
      <c r="Y5" s="62" t="s">
        <v>6</v>
      </c>
      <c r="Z5" s="61" t="s">
        <v>7</v>
      </c>
      <c r="AA5" s="61" t="s">
        <v>36</v>
      </c>
      <c r="AB5" s="63" t="s">
        <v>125</v>
      </c>
      <c r="AC5" s="61" t="s">
        <v>8</v>
      </c>
      <c r="AD5" s="59"/>
      <c r="AE5" s="61" t="s">
        <v>7</v>
      </c>
      <c r="AF5" s="51"/>
      <c r="AG5" s="51"/>
      <c r="AI5" s="1185"/>
      <c r="AJ5" s="1332"/>
      <c r="AK5" s="1228"/>
      <c r="AL5" s="1335"/>
      <c r="AM5" s="1335"/>
      <c r="AN5" s="1335"/>
      <c r="AO5" s="1335"/>
      <c r="AP5" s="1335"/>
    </row>
    <row r="6" spans="1:45" s="5" customFormat="1" ht="15.75" customHeight="1" x14ac:dyDescent="0.25">
      <c r="B6" s="312" t="s">
        <v>321</v>
      </c>
      <c r="C6" s="2"/>
      <c r="D6" s="2"/>
      <c r="E6" s="2"/>
      <c r="F6" s="2"/>
      <c r="G6" s="2"/>
      <c r="H6" s="2"/>
      <c r="I6" s="2"/>
      <c r="J6" s="2"/>
      <c r="K6" s="2"/>
      <c r="L6" s="2"/>
      <c r="M6" s="2"/>
      <c r="N6" s="2"/>
      <c r="O6" s="7"/>
      <c r="P6" s="2"/>
      <c r="Q6" s="2"/>
      <c r="R6" s="2"/>
      <c r="S6" s="2"/>
      <c r="T6" s="2"/>
      <c r="U6" s="2"/>
      <c r="V6" s="2"/>
      <c r="W6" s="2"/>
      <c r="X6" s="2"/>
      <c r="Y6" s="2"/>
      <c r="Z6" s="2"/>
      <c r="AA6" s="2"/>
      <c r="AB6" s="2"/>
      <c r="AC6" s="2"/>
      <c r="AD6" s="2"/>
      <c r="AE6" s="2"/>
      <c r="AF6" s="51"/>
      <c r="AG6" s="51"/>
      <c r="AI6" s="527"/>
    </row>
    <row r="7" spans="1:45" s="5" customFormat="1" ht="18.75" x14ac:dyDescent="0.3">
      <c r="B7" s="56" t="s">
        <v>32</v>
      </c>
      <c r="C7" s="57"/>
      <c r="D7" s="2"/>
      <c r="E7" s="606">
        <f>+E9</f>
        <v>0</v>
      </c>
      <c r="F7" s="87"/>
      <c r="G7" s="608">
        <f>+G9</f>
        <v>0</v>
      </c>
      <c r="H7" s="608">
        <f>+H9</f>
        <v>0</v>
      </c>
      <c r="I7" s="87"/>
      <c r="J7" s="606">
        <f>+J9</f>
        <v>0</v>
      </c>
      <c r="K7" s="607">
        <f>+K9</f>
        <v>0</v>
      </c>
      <c r="L7" s="608">
        <f>+L9</f>
        <v>0</v>
      </c>
      <c r="M7" s="87"/>
      <c r="N7" s="606">
        <f t="shared" ref="N7:S7" si="2">+N9</f>
        <v>0</v>
      </c>
      <c r="O7" s="607">
        <f t="shared" si="2"/>
        <v>0</v>
      </c>
      <c r="P7" s="607">
        <f t="shared" si="2"/>
        <v>0</v>
      </c>
      <c r="Q7" s="607">
        <f t="shared" si="2"/>
        <v>0</v>
      </c>
      <c r="R7" s="607">
        <f t="shared" si="2"/>
        <v>0</v>
      </c>
      <c r="S7" s="608">
        <f t="shared" si="2"/>
        <v>0</v>
      </c>
      <c r="T7" s="469"/>
      <c r="U7" s="606">
        <f>+U9</f>
        <v>0</v>
      </c>
      <c r="V7" s="607">
        <f>+V9</f>
        <v>0</v>
      </c>
      <c r="W7" s="608">
        <f>+W9</f>
        <v>0</v>
      </c>
      <c r="X7" s="87"/>
      <c r="Y7" s="606">
        <f>+Y9</f>
        <v>0</v>
      </c>
      <c r="Z7" s="607">
        <v>3283340.2468006741</v>
      </c>
      <c r="AA7" s="607">
        <f>+AA9</f>
        <v>0</v>
      </c>
      <c r="AB7" s="607">
        <f>+AB9</f>
        <v>0</v>
      </c>
      <c r="AC7" s="608">
        <f>+AC9</f>
        <v>0</v>
      </c>
      <c r="AD7" s="87"/>
      <c r="AE7" s="650">
        <f>+AE9</f>
        <v>0</v>
      </c>
      <c r="AF7" s="444"/>
      <c r="AG7" s="531">
        <f>+AC7-Y7</f>
        <v>0</v>
      </c>
      <c r="AH7" s="295"/>
      <c r="AI7" s="392">
        <f>+AI9</f>
        <v>0</v>
      </c>
      <c r="AJ7" s="667">
        <f t="shared" ref="AJ7:AP7" si="3">+AJ9</f>
        <v>0</v>
      </c>
      <c r="AK7" s="667"/>
      <c r="AL7" s="667">
        <f t="shared" si="3"/>
        <v>0</v>
      </c>
      <c r="AM7" s="667">
        <f t="shared" si="3"/>
        <v>0</v>
      </c>
      <c r="AN7" s="667">
        <f t="shared" si="3"/>
        <v>0</v>
      </c>
      <c r="AO7" s="667">
        <f t="shared" si="3"/>
        <v>0</v>
      </c>
      <c r="AP7" s="667">
        <f t="shared" si="3"/>
        <v>0</v>
      </c>
      <c r="AQ7" s="295"/>
      <c r="AR7" s="295"/>
      <c r="AS7" s="295"/>
    </row>
    <row r="8" spans="1:45" s="5" customFormat="1" ht="21" customHeight="1" x14ac:dyDescent="0.3">
      <c r="B8" s="2"/>
      <c r="C8" s="2"/>
      <c r="D8" s="2"/>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293"/>
      <c r="AG8" s="532"/>
      <c r="AH8" s="295"/>
      <c r="AI8" s="394"/>
      <c r="AJ8" s="465"/>
      <c r="AK8" s="465"/>
      <c r="AL8" s="465"/>
      <c r="AM8" s="465"/>
      <c r="AN8" s="465"/>
      <c r="AO8" s="465"/>
      <c r="AP8" s="465"/>
      <c r="AQ8" s="295"/>
      <c r="AR8" s="295"/>
      <c r="AS8" s="295"/>
    </row>
    <row r="9" spans="1:45" s="5" customFormat="1" ht="18.75" x14ac:dyDescent="0.3">
      <c r="B9" s="9" t="s">
        <v>153</v>
      </c>
      <c r="C9" s="10"/>
      <c r="D9" s="2"/>
      <c r="E9" s="663">
        <f>+SUM(E11:E13)</f>
        <v>0</v>
      </c>
      <c r="F9" s="87"/>
      <c r="G9" s="611">
        <f>+SUM(G11:G13)</f>
        <v>0</v>
      </c>
      <c r="H9" s="611">
        <f>+SUM(H11:H13)</f>
        <v>0</v>
      </c>
      <c r="I9" s="87"/>
      <c r="J9" s="609">
        <f>+SUM(J11:J13)</f>
        <v>0</v>
      </c>
      <c r="K9" s="610">
        <f>+SUM(K11:K13)</f>
        <v>0</v>
      </c>
      <c r="L9" s="611">
        <f>+SUM(L11:L12)</f>
        <v>0</v>
      </c>
      <c r="M9" s="87"/>
      <c r="N9" s="609">
        <f t="shared" ref="N9:S9" si="4">+SUM(N11:N13)</f>
        <v>0</v>
      </c>
      <c r="O9" s="610">
        <f t="shared" si="4"/>
        <v>0</v>
      </c>
      <c r="P9" s="610">
        <f t="shared" si="4"/>
        <v>0</v>
      </c>
      <c r="Q9" s="610">
        <f t="shared" si="4"/>
        <v>0</v>
      </c>
      <c r="R9" s="610">
        <f t="shared" si="4"/>
        <v>0</v>
      </c>
      <c r="S9" s="611">
        <f t="shared" si="4"/>
        <v>0</v>
      </c>
      <c r="T9" s="469"/>
      <c r="U9" s="609">
        <f>+SUM(U11:U13)</f>
        <v>0</v>
      </c>
      <c r="V9" s="610">
        <f>+SUM(V11:V13)</f>
        <v>0</v>
      </c>
      <c r="W9" s="611">
        <f>+SUM(W11:W13)</f>
        <v>0</v>
      </c>
      <c r="X9" s="87"/>
      <c r="Y9" s="609">
        <f>+SUM(Y11:Y13)</f>
        <v>0</v>
      </c>
      <c r="Z9" s="610">
        <v>3283340.2468006741</v>
      </c>
      <c r="AA9" s="610">
        <f>+SUM(AA11:AA13)</f>
        <v>0</v>
      </c>
      <c r="AB9" s="610">
        <f>+SUM(AB11:AB13)</f>
        <v>0</v>
      </c>
      <c r="AC9" s="611">
        <f>+SUM(AC11:AC13)</f>
        <v>0</v>
      </c>
      <c r="AD9" s="87"/>
      <c r="AE9" s="663">
        <f>+SUM(AE11:AE13)</f>
        <v>0</v>
      </c>
      <c r="AF9" s="444"/>
      <c r="AG9" s="531">
        <f>+AC9-Y9</f>
        <v>0</v>
      </c>
      <c r="AH9" s="295"/>
      <c r="AI9" s="395">
        <f t="shared" ref="AI9:AP9" si="5">+SUM(AI11:AI13)</f>
        <v>0</v>
      </c>
      <c r="AJ9" s="668">
        <f t="shared" si="5"/>
        <v>0</v>
      </c>
      <c r="AK9" s="668"/>
      <c r="AL9" s="668">
        <f t="shared" si="5"/>
        <v>0</v>
      </c>
      <c r="AM9" s="668">
        <f t="shared" si="5"/>
        <v>0</v>
      </c>
      <c r="AN9" s="668">
        <f t="shared" si="5"/>
        <v>0</v>
      </c>
      <c r="AO9" s="668">
        <f t="shared" si="5"/>
        <v>0</v>
      </c>
      <c r="AP9" s="668">
        <f t="shared" si="5"/>
        <v>0</v>
      </c>
      <c r="AQ9" s="295"/>
      <c r="AR9" s="295"/>
      <c r="AS9" s="295"/>
    </row>
    <row r="10" spans="1:45" s="5" customFormat="1" ht="22.9" customHeight="1" x14ac:dyDescent="0.3">
      <c r="E10" s="499"/>
      <c r="F10" s="499"/>
      <c r="G10" s="499"/>
      <c r="H10" s="499"/>
      <c r="I10" s="499"/>
      <c r="J10" s="499"/>
      <c r="K10" s="499"/>
      <c r="L10" s="499"/>
      <c r="M10" s="499"/>
      <c r="N10" s="499"/>
      <c r="O10" s="499"/>
      <c r="P10" s="499"/>
      <c r="Q10" s="499"/>
      <c r="R10" s="499"/>
      <c r="S10" s="499"/>
      <c r="T10" s="499"/>
      <c r="U10" s="499"/>
      <c r="V10" s="499"/>
      <c r="W10" s="499"/>
      <c r="X10" s="499"/>
      <c r="Y10" s="499"/>
      <c r="Z10" s="499"/>
      <c r="AA10" s="499"/>
      <c r="AB10" s="499"/>
      <c r="AC10" s="499"/>
      <c r="AD10" s="499"/>
      <c r="AE10" s="499"/>
      <c r="AF10" s="293"/>
      <c r="AG10" s="532"/>
      <c r="AH10" s="295"/>
      <c r="AI10" s="396"/>
      <c r="AJ10" s="597"/>
      <c r="AK10" s="597"/>
      <c r="AL10" s="597"/>
      <c r="AM10" s="597"/>
      <c r="AN10" s="597"/>
      <c r="AO10" s="597"/>
      <c r="AP10" s="597"/>
      <c r="AQ10" s="295"/>
      <c r="AR10" s="295"/>
      <c r="AS10" s="295"/>
    </row>
    <row r="11" spans="1:45" s="5" customFormat="1" ht="22.9" customHeight="1" x14ac:dyDescent="0.3">
      <c r="B11" s="13" t="s">
        <v>151</v>
      </c>
      <c r="C11" s="14"/>
      <c r="E11" s="476">
        <f>+SUM(AL11:AP11)</f>
        <v>0</v>
      </c>
      <c r="F11" s="499"/>
      <c r="G11" s="612">
        <v>0</v>
      </c>
      <c r="H11" s="523">
        <f>+AJ11</f>
        <v>0</v>
      </c>
      <c r="I11" s="499"/>
      <c r="J11" s="635">
        <f>+H11+AE11</f>
        <v>0</v>
      </c>
      <c r="K11" s="613">
        <f t="shared" ref="K11:K12" si="6">+E11+J11</f>
        <v>0</v>
      </c>
      <c r="L11" s="520"/>
      <c r="M11" s="499"/>
      <c r="N11" s="612"/>
      <c r="O11" s="613"/>
      <c r="P11" s="613"/>
      <c r="Q11" s="613"/>
      <c r="R11" s="613"/>
      <c r="S11" s="636">
        <f>+SUMIFS(N11:R11,N$2:R$2,$S$5)</f>
        <v>0</v>
      </c>
      <c r="T11" s="478"/>
      <c r="U11" s="612">
        <f>+SUMIFS(N11:S11,N$2:S$2,$U$5)</f>
        <v>0</v>
      </c>
      <c r="V11" s="613">
        <f>+SUMIFS(N11:S11,N$2:S$2,$V$5)</f>
        <v>0</v>
      </c>
      <c r="W11" s="520">
        <f>+SUMIFS(N11:S11,N$2:S$2,$W$5)</f>
        <v>0</v>
      </c>
      <c r="X11" s="499"/>
      <c r="Y11" s="612"/>
      <c r="Z11" s="613"/>
      <c r="AA11" s="613"/>
      <c r="AB11" s="613"/>
      <c r="AC11" s="520"/>
      <c r="AD11" s="499"/>
      <c r="AE11" s="476"/>
      <c r="AF11" s="444"/>
      <c r="AG11" s="531">
        <f>+AC11-Y11</f>
        <v>0</v>
      </c>
      <c r="AH11" s="295"/>
      <c r="AI11" s="397">
        <f>SUM(AL11:AP11)</f>
        <v>0</v>
      </c>
      <c r="AJ11" s="953">
        <f>SUM(AL11:AM11)</f>
        <v>0</v>
      </c>
      <c r="AK11" s="671">
        <f>+AN11</f>
        <v>0</v>
      </c>
      <c r="AL11" s="1336"/>
      <c r="AM11" s="1336"/>
      <c r="AN11" s="1336"/>
      <c r="AO11" s="1336"/>
      <c r="AP11" s="1336"/>
      <c r="AQ11" s="295"/>
      <c r="AR11" s="295"/>
      <c r="AS11" s="295"/>
    </row>
    <row r="12" spans="1:45" s="5" customFormat="1" ht="18.75" x14ac:dyDescent="0.3">
      <c r="B12" s="15" t="s">
        <v>152</v>
      </c>
      <c r="C12" s="16"/>
      <c r="E12" s="657">
        <f>+SUM(AL12:AP12)</f>
        <v>0</v>
      </c>
      <c r="F12" s="499"/>
      <c r="G12" s="645">
        <v>0</v>
      </c>
      <c r="H12" s="647">
        <f>+AJ12</f>
        <v>0</v>
      </c>
      <c r="I12" s="499"/>
      <c r="J12" s="614">
        <f>+H12+AE12</f>
        <v>0</v>
      </c>
      <c r="K12" s="622">
        <f t="shared" si="6"/>
        <v>0</v>
      </c>
      <c r="L12" s="616"/>
      <c r="M12" s="499"/>
      <c r="N12" s="645">
        <v>0</v>
      </c>
      <c r="O12" s="646">
        <v>0</v>
      </c>
      <c r="P12" s="646">
        <v>0</v>
      </c>
      <c r="Q12" s="646">
        <v>0</v>
      </c>
      <c r="R12" s="646">
        <v>0</v>
      </c>
      <c r="S12" s="665">
        <f>+SUMIFS(N12:R12,N$2:R$2,$S$5)</f>
        <v>0</v>
      </c>
      <c r="T12" s="478"/>
      <c r="U12" s="638">
        <f>+SUMIFS(N12:S12,N$2:S$2,$U$5)</f>
        <v>0</v>
      </c>
      <c r="V12" s="622">
        <f>+SUMIFS(N12:S12,N$2:S$2,$V$5)</f>
        <v>0</v>
      </c>
      <c r="W12" s="624">
        <f>+SUMIFS(N12:S12,N$2:S$2,$W$5)</f>
        <v>0</v>
      </c>
      <c r="X12" s="499"/>
      <c r="Y12" s="645"/>
      <c r="Z12" s="646"/>
      <c r="AA12" s="646"/>
      <c r="AB12" s="646"/>
      <c r="AC12" s="647"/>
      <c r="AD12" s="499"/>
      <c r="AE12" s="657"/>
      <c r="AF12" s="444"/>
      <c r="AG12" s="531">
        <f>+AC12-Y12</f>
        <v>0</v>
      </c>
      <c r="AH12" s="295"/>
      <c r="AI12" s="397">
        <f>SUM(AL12:AP12)</f>
        <v>0</v>
      </c>
      <c r="AJ12" s="953">
        <f>SUM(AL12:AM12)</f>
        <v>0</v>
      </c>
      <c r="AK12" s="671">
        <f>+AN12</f>
        <v>0</v>
      </c>
      <c r="AL12" s="1336"/>
      <c r="AM12" s="1336"/>
      <c r="AN12" s="1336"/>
      <c r="AO12" s="1336"/>
      <c r="AP12" s="1336"/>
      <c r="AQ12" s="295"/>
      <c r="AR12" s="295"/>
      <c r="AS12" s="295"/>
    </row>
    <row r="13" spans="1:45" s="5" customFormat="1" ht="18.75" x14ac:dyDescent="0.3">
      <c r="B13" s="17" t="s">
        <v>42</v>
      </c>
      <c r="C13" s="18"/>
      <c r="E13" s="642">
        <f>+SUM(AL13:AP13)</f>
        <v>0</v>
      </c>
      <c r="F13" s="499"/>
      <c r="G13" s="617"/>
      <c r="H13" s="619"/>
      <c r="I13" s="499"/>
      <c r="J13" s="617"/>
      <c r="K13" s="618"/>
      <c r="L13" s="619"/>
      <c r="M13" s="499"/>
      <c r="N13" s="617"/>
      <c r="O13" s="618"/>
      <c r="P13" s="618"/>
      <c r="Q13" s="618"/>
      <c r="R13" s="618"/>
      <c r="S13" s="666">
        <f>+SUMIFS(N13:R13,N$2:R$2,$S$5)</f>
        <v>0</v>
      </c>
      <c r="T13" s="478"/>
      <c r="U13" s="617">
        <f>+SUMIFS(N13:S13,N$2:S$2,$U$5)</f>
        <v>0</v>
      </c>
      <c r="V13" s="618">
        <f>+SUMIFS(N13:S13,N$2:S$2,$V$5)</f>
        <v>0</v>
      </c>
      <c r="W13" s="619">
        <f>+SUMIFS(N13:S13,N$2:S$2,$W$5)</f>
        <v>0</v>
      </c>
      <c r="X13" s="499"/>
      <c r="Y13" s="648"/>
      <c r="Z13" s="618"/>
      <c r="AA13" s="618"/>
      <c r="AB13" s="618"/>
      <c r="AC13" s="619"/>
      <c r="AD13" s="499"/>
      <c r="AE13" s="642"/>
      <c r="AF13" s="443"/>
      <c r="AG13" s="534">
        <f t="shared" ref="AG13" si="7">+AC13-Y13</f>
        <v>0</v>
      </c>
      <c r="AH13" s="295"/>
      <c r="AI13" s="397">
        <f>SUM(AL13:AP13)</f>
        <v>0</v>
      </c>
      <c r="AJ13" s="953">
        <f>SUM(AL13:AM13)</f>
        <v>0</v>
      </c>
      <c r="AK13" s="671">
        <f>+AN13</f>
        <v>0</v>
      </c>
      <c r="AL13" s="1336"/>
      <c r="AM13" s="1336"/>
      <c r="AN13" s="1336"/>
      <c r="AO13" s="1336"/>
      <c r="AP13" s="1336"/>
      <c r="AQ13" s="295"/>
      <c r="AR13" s="295"/>
      <c r="AS13" s="295"/>
    </row>
    <row r="14" spans="1:45" s="5" customFormat="1" ht="18.75" x14ac:dyDescent="0.3">
      <c r="E14" s="499"/>
      <c r="F14" s="499"/>
      <c r="G14" s="499"/>
      <c r="H14" s="499"/>
      <c r="I14" s="499"/>
      <c r="J14" s="499"/>
      <c r="K14" s="499"/>
      <c r="L14" s="515"/>
      <c r="M14" s="499"/>
      <c r="N14" s="499"/>
      <c r="O14" s="499"/>
      <c r="P14" s="499"/>
      <c r="Q14" s="499"/>
      <c r="R14" s="499"/>
      <c r="S14" s="499"/>
      <c r="T14" s="499"/>
      <c r="U14" s="499"/>
      <c r="V14" s="499"/>
      <c r="W14" s="499"/>
      <c r="X14" s="499"/>
      <c r="Y14" s="499"/>
      <c r="Z14" s="499"/>
      <c r="AA14" s="499"/>
      <c r="AB14" s="499"/>
      <c r="AC14" s="499"/>
      <c r="AD14" s="499"/>
      <c r="AE14" s="499"/>
      <c r="AF14" s="443"/>
      <c r="AG14" s="534"/>
      <c r="AH14" s="294"/>
      <c r="AI14" s="399"/>
      <c r="AJ14" s="669"/>
      <c r="AK14" s="669"/>
      <c r="AL14" s="669"/>
      <c r="AM14" s="669"/>
      <c r="AN14" s="669"/>
      <c r="AO14" s="669"/>
      <c r="AP14" s="669"/>
      <c r="AQ14" s="295"/>
      <c r="AR14" s="295"/>
      <c r="AS14" s="295"/>
    </row>
    <row r="15" spans="1:45" s="5" customFormat="1" ht="18.75" x14ac:dyDescent="0.3">
      <c r="B15" s="56" t="s">
        <v>9</v>
      </c>
      <c r="C15" s="57"/>
      <c r="D15" s="2"/>
      <c r="E15" s="650">
        <f>+SUM(E17:E26)+E28</f>
        <v>0</v>
      </c>
      <c r="F15" s="87"/>
      <c r="G15" s="606">
        <f>+SUM(G17:G26)+G28</f>
        <v>0</v>
      </c>
      <c r="H15" s="608">
        <f>+SUM(H17:H26)+H28</f>
        <v>0</v>
      </c>
      <c r="I15" s="87"/>
      <c r="J15" s="606">
        <f>+SUM(J17:J26)+J28</f>
        <v>0</v>
      </c>
      <c r="K15" s="607">
        <f>+SUM(K17:K26)+K28</f>
        <v>0</v>
      </c>
      <c r="L15" s="608">
        <f>+SUM(L17:L26,L28)</f>
        <v>0</v>
      </c>
      <c r="M15" s="87"/>
      <c r="N15" s="606">
        <f t="shared" ref="N15:R15" si="8">+SUM(N17:N26)+N28</f>
        <v>0</v>
      </c>
      <c r="O15" s="607">
        <f t="shared" si="8"/>
        <v>0</v>
      </c>
      <c r="P15" s="607">
        <f t="shared" si="8"/>
        <v>0</v>
      </c>
      <c r="Q15" s="607">
        <f t="shared" si="8"/>
        <v>0</v>
      </c>
      <c r="R15" s="607">
        <f t="shared" si="8"/>
        <v>0</v>
      </c>
      <c r="S15" s="608">
        <f t="shared" ref="S15" si="9">+SUM(S17:S26)+S28</f>
        <v>0</v>
      </c>
      <c r="T15" s="469"/>
      <c r="U15" s="606">
        <f>+SUM(U17:U26)+U28</f>
        <v>0</v>
      </c>
      <c r="V15" s="607">
        <f>+SUM(V17:V26)+V28</f>
        <v>0</v>
      </c>
      <c r="W15" s="608">
        <f>+SUM(W17:W26)+W28</f>
        <v>0</v>
      </c>
      <c r="X15" s="87"/>
      <c r="Y15" s="606">
        <f>+SUM(Y17:Y26)+Y28</f>
        <v>0</v>
      </c>
      <c r="Z15" s="606">
        <f>+SUM(Z17:Z26)+Z28</f>
        <v>0</v>
      </c>
      <c r="AA15" s="607">
        <f>+SUM(AA17:AA26,AA28)</f>
        <v>0</v>
      </c>
      <c r="AB15" s="607">
        <f>+SUM(AB17:AB26,AB28)</f>
        <v>0</v>
      </c>
      <c r="AC15" s="608">
        <f>+SUM(AC17:AC26,AC28)</f>
        <v>0</v>
      </c>
      <c r="AD15" s="87"/>
      <c r="AE15" s="650">
        <f>+SUM(AE17:AE26,AE28)</f>
        <v>0</v>
      </c>
      <c r="AF15" s="444"/>
      <c r="AG15" s="531">
        <f>+AC15-Y15</f>
        <v>0</v>
      </c>
      <c r="AH15" s="295"/>
      <c r="AI15" s="392">
        <f>+SUM(AI17:AI26,AI28)</f>
        <v>0</v>
      </c>
      <c r="AJ15" s="670">
        <f t="shared" ref="AJ15:AP15" si="10">+SUM(AJ17:AJ26,AJ28)</f>
        <v>0</v>
      </c>
      <c r="AK15" s="670"/>
      <c r="AL15" s="670">
        <f t="shared" si="10"/>
        <v>0</v>
      </c>
      <c r="AM15" s="670">
        <f t="shared" si="10"/>
        <v>0</v>
      </c>
      <c r="AN15" s="670">
        <f t="shared" si="10"/>
        <v>0</v>
      </c>
      <c r="AO15" s="670">
        <f t="shared" si="10"/>
        <v>0</v>
      </c>
      <c r="AP15" s="670">
        <f t="shared" si="10"/>
        <v>0</v>
      </c>
      <c r="AQ15" s="295"/>
      <c r="AR15" s="295"/>
      <c r="AS15" s="295"/>
    </row>
    <row r="16" spans="1:45" s="5" customFormat="1" ht="7.5" customHeight="1" x14ac:dyDescent="0.3">
      <c r="E16" s="499"/>
      <c r="F16" s="499"/>
      <c r="G16" s="499"/>
      <c r="H16" s="499"/>
      <c r="I16" s="499"/>
      <c r="J16" s="499"/>
      <c r="K16" s="499"/>
      <c r="L16" s="499"/>
      <c r="M16" s="499"/>
      <c r="N16" s="499"/>
      <c r="O16" s="499"/>
      <c r="P16" s="499"/>
      <c r="Q16" s="499"/>
      <c r="R16" s="499"/>
      <c r="S16" s="499"/>
      <c r="T16" s="499"/>
      <c r="U16" s="499"/>
      <c r="V16" s="499"/>
      <c r="W16" s="499"/>
      <c r="X16" s="499"/>
      <c r="Y16" s="499"/>
      <c r="Z16" s="499"/>
      <c r="AA16" s="499"/>
      <c r="AB16" s="499"/>
      <c r="AC16" s="499"/>
      <c r="AD16" s="499"/>
      <c r="AE16" s="499"/>
      <c r="AF16" s="442"/>
      <c r="AG16" s="532"/>
      <c r="AH16" s="295"/>
      <c r="AI16" s="396"/>
      <c r="AJ16" s="669"/>
      <c r="AK16" s="669"/>
      <c r="AL16" s="669"/>
      <c r="AM16" s="669"/>
      <c r="AN16" s="669"/>
      <c r="AO16" s="669"/>
      <c r="AP16" s="669"/>
      <c r="AQ16" s="295"/>
      <c r="AR16" s="295"/>
      <c r="AS16" s="295"/>
    </row>
    <row r="17" spans="1:45" s="5" customFormat="1" ht="18.75" x14ac:dyDescent="0.3">
      <c r="B17" s="13" t="s">
        <v>10</v>
      </c>
      <c r="C17" s="14"/>
      <c r="E17" s="476">
        <f t="shared" ref="E17:E26" si="11">+SUM(AL17:AP17)</f>
        <v>0</v>
      </c>
      <c r="F17" s="499"/>
      <c r="G17" s="612"/>
      <c r="H17" s="542">
        <f t="shared" ref="H17:H26" si="12">+AJ17</f>
        <v>0</v>
      </c>
      <c r="I17" s="499"/>
      <c r="J17" s="635">
        <f t="shared" ref="J17:J26" si="13">+H17+AE17</f>
        <v>0</v>
      </c>
      <c r="K17" s="613">
        <f>+E17+J17</f>
        <v>0</v>
      </c>
      <c r="L17" s="636">
        <f t="shared" ref="L17:L26" si="14">+SUM(N17:R17)</f>
        <v>0</v>
      </c>
      <c r="M17" s="499"/>
      <c r="N17" s="612"/>
      <c r="O17" s="613"/>
      <c r="P17" s="613"/>
      <c r="Q17" s="613"/>
      <c r="R17" s="613"/>
      <c r="S17" s="636">
        <f t="shared" ref="S17:S26" si="15">+SUMIFS(N17:R17,N$2:R$2,$S$5)</f>
        <v>0</v>
      </c>
      <c r="T17" s="478"/>
      <c r="U17" s="612">
        <f t="shared" ref="U17:U26" si="16">+SUMIFS(N17:S17,N$2:S$2,$U$5)</f>
        <v>0</v>
      </c>
      <c r="V17" s="613">
        <f t="shared" ref="V17:V26" si="17">+SUMIFS(N17:S17,N$2:S$2,$V$5)</f>
        <v>0</v>
      </c>
      <c r="W17" s="636">
        <f t="shared" ref="W17:W26" si="18">+SUMIFS(N17:S17,N$2:S$2,$W$5)</f>
        <v>0</v>
      </c>
      <c r="X17" s="499"/>
      <c r="Y17" s="612"/>
      <c r="Z17" s="613"/>
      <c r="AA17" s="613"/>
      <c r="AB17" s="613"/>
      <c r="AC17" s="520"/>
      <c r="AD17" s="499"/>
      <c r="AE17" s="476"/>
      <c r="AF17" s="444"/>
      <c r="AG17" s="531">
        <f>+AC17-Y17</f>
        <v>0</v>
      </c>
      <c r="AH17" s="295"/>
      <c r="AI17" s="397">
        <f>SUM(AL17:AP17)</f>
        <v>0</v>
      </c>
      <c r="AJ17" s="953">
        <f>SUM(AL17:AM17)</f>
        <v>0</v>
      </c>
      <c r="AK17" s="671">
        <f>+AN17</f>
        <v>0</v>
      </c>
      <c r="AL17" s="1336"/>
      <c r="AM17" s="1336"/>
      <c r="AN17" s="1336"/>
      <c r="AO17" s="1336"/>
      <c r="AP17" s="1336"/>
      <c r="AQ17" s="295"/>
      <c r="AR17" s="295"/>
      <c r="AS17" s="295"/>
    </row>
    <row r="18" spans="1:45" s="5" customFormat="1" ht="18.75" x14ac:dyDescent="0.3">
      <c r="B18" s="15" t="s">
        <v>11</v>
      </c>
      <c r="C18" s="16"/>
      <c r="E18" s="478">
        <f t="shared" si="11"/>
        <v>0</v>
      </c>
      <c r="F18" s="499"/>
      <c r="G18" s="640"/>
      <c r="H18" s="623">
        <f t="shared" si="12"/>
        <v>0</v>
      </c>
      <c r="I18" s="499"/>
      <c r="J18" s="638">
        <f t="shared" si="13"/>
        <v>0</v>
      </c>
      <c r="K18" s="620">
        <f>+J18+E18</f>
        <v>0</v>
      </c>
      <c r="L18" s="639">
        <f t="shared" si="14"/>
        <v>0</v>
      </c>
      <c r="M18" s="499"/>
      <c r="N18" s="640"/>
      <c r="O18" s="620"/>
      <c r="P18" s="620"/>
      <c r="Q18" s="620"/>
      <c r="R18" s="620"/>
      <c r="S18" s="639">
        <f t="shared" si="15"/>
        <v>0</v>
      </c>
      <c r="T18" s="478"/>
      <c r="U18" s="640">
        <f t="shared" si="16"/>
        <v>0</v>
      </c>
      <c r="V18" s="620">
        <f t="shared" si="17"/>
        <v>0</v>
      </c>
      <c r="W18" s="639">
        <f t="shared" si="18"/>
        <v>0</v>
      </c>
      <c r="X18" s="499"/>
      <c r="Y18" s="614"/>
      <c r="Z18" s="620"/>
      <c r="AA18" s="620"/>
      <c r="AB18" s="620"/>
      <c r="AC18" s="624"/>
      <c r="AD18" s="499"/>
      <c r="AE18" s="476"/>
      <c r="AF18" s="444"/>
      <c r="AG18" s="531">
        <f t="shared" ref="AG18:AG26" si="19">+AC18-Y18</f>
        <v>0</v>
      </c>
      <c r="AH18" s="295"/>
      <c r="AI18" s="397">
        <f>SUM(AL18:AP18)</f>
        <v>0</v>
      </c>
      <c r="AJ18" s="953">
        <f>SUM(AL18:AM18)</f>
        <v>0</v>
      </c>
      <c r="AK18" s="671">
        <f>+AN18</f>
        <v>0</v>
      </c>
      <c r="AL18" s="1336"/>
      <c r="AM18" s="1336"/>
      <c r="AN18" s="1336"/>
      <c r="AO18" s="1336"/>
      <c r="AP18" s="1336"/>
      <c r="AQ18" s="295"/>
      <c r="AR18" s="295"/>
      <c r="AS18" s="295"/>
    </row>
    <row r="19" spans="1:45" s="5" customFormat="1" ht="18.75" x14ac:dyDescent="0.3">
      <c r="B19" s="15" t="s">
        <v>43</v>
      </c>
      <c r="C19" s="16"/>
      <c r="E19" s="652">
        <f t="shared" si="11"/>
        <v>0</v>
      </c>
      <c r="F19" s="499"/>
      <c r="G19" s="653"/>
      <c r="H19" s="623">
        <f t="shared" si="12"/>
        <v>0</v>
      </c>
      <c r="I19" s="499"/>
      <c r="J19" s="638">
        <f t="shared" si="13"/>
        <v>0</v>
      </c>
      <c r="K19" s="622">
        <f t="shared" ref="K19:K25" si="20">+J19+E19</f>
        <v>0</v>
      </c>
      <c r="L19" s="621">
        <f t="shared" si="14"/>
        <v>0</v>
      </c>
      <c r="M19" s="499"/>
      <c r="N19" s="638"/>
      <c r="O19" s="622"/>
      <c r="P19" s="622"/>
      <c r="Q19" s="622"/>
      <c r="R19" s="622"/>
      <c r="S19" s="621">
        <f t="shared" si="15"/>
        <v>0</v>
      </c>
      <c r="T19" s="478"/>
      <c r="U19" s="638">
        <f t="shared" si="16"/>
        <v>0</v>
      </c>
      <c r="V19" s="622">
        <f t="shared" si="17"/>
        <v>0</v>
      </c>
      <c r="W19" s="621">
        <f t="shared" si="18"/>
        <v>0</v>
      </c>
      <c r="X19" s="499"/>
      <c r="Y19" s="614"/>
      <c r="Z19" s="622"/>
      <c r="AA19" s="622"/>
      <c r="AB19" s="622"/>
      <c r="AC19" s="623"/>
      <c r="AD19" s="499"/>
      <c r="AE19" s="476"/>
      <c r="AF19" s="444"/>
      <c r="AG19" s="531">
        <f t="shared" si="19"/>
        <v>0</v>
      </c>
      <c r="AH19" s="295"/>
      <c r="AI19" s="397">
        <f>SUM(AL19:AP19)</f>
        <v>0</v>
      </c>
      <c r="AJ19" s="953">
        <f>SUM(AL19:AM19)</f>
        <v>0</v>
      </c>
      <c r="AK19" s="671">
        <f>+AN19</f>
        <v>0</v>
      </c>
      <c r="AL19" s="1336"/>
      <c r="AM19" s="1336"/>
      <c r="AN19" s="1336"/>
      <c r="AO19" s="1336"/>
      <c r="AP19" s="1336"/>
      <c r="AQ19" s="295"/>
      <c r="AR19" s="295"/>
      <c r="AS19" s="295"/>
    </row>
    <row r="20" spans="1:45" s="5" customFormat="1" ht="18.75" x14ac:dyDescent="0.3">
      <c r="A20" s="5">
        <v>30</v>
      </c>
      <c r="B20" s="15" t="s">
        <v>38</v>
      </c>
      <c r="C20" s="16"/>
      <c r="E20" s="652">
        <f t="shared" si="11"/>
        <v>0</v>
      </c>
      <c r="F20" s="499"/>
      <c r="G20" s="653"/>
      <c r="H20" s="623">
        <f t="shared" si="12"/>
        <v>0</v>
      </c>
      <c r="I20" s="499"/>
      <c r="J20" s="638">
        <f t="shared" si="13"/>
        <v>0</v>
      </c>
      <c r="K20" s="622">
        <f>+J20+E20</f>
        <v>0</v>
      </c>
      <c r="L20" s="621">
        <f t="shared" si="14"/>
        <v>0</v>
      </c>
      <c r="M20" s="499"/>
      <c r="N20" s="638"/>
      <c r="O20" s="622"/>
      <c r="P20" s="622"/>
      <c r="Q20" s="622"/>
      <c r="R20" s="622"/>
      <c r="S20" s="621">
        <f t="shared" si="15"/>
        <v>0</v>
      </c>
      <c r="T20" s="478"/>
      <c r="U20" s="638">
        <f t="shared" si="16"/>
        <v>0</v>
      </c>
      <c r="V20" s="622">
        <f t="shared" si="17"/>
        <v>0</v>
      </c>
      <c r="W20" s="621">
        <f t="shared" si="18"/>
        <v>0</v>
      </c>
      <c r="X20" s="499"/>
      <c r="Y20" s="614"/>
      <c r="Z20" s="622"/>
      <c r="AA20" s="622"/>
      <c r="AB20" s="622"/>
      <c r="AC20" s="623"/>
      <c r="AD20" s="499"/>
      <c r="AE20" s="476"/>
      <c r="AF20" s="444"/>
      <c r="AG20" s="531">
        <f t="shared" si="19"/>
        <v>0</v>
      </c>
      <c r="AH20" s="295"/>
      <c r="AI20" s="397">
        <f>SUM(AL20:AP20)</f>
        <v>0</v>
      </c>
      <c r="AJ20" s="953">
        <f>SUM(AL20:AM20)</f>
        <v>0</v>
      </c>
      <c r="AK20" s="671">
        <f>+AN20</f>
        <v>0</v>
      </c>
      <c r="AL20" s="1336"/>
      <c r="AM20" s="1336"/>
      <c r="AN20" s="1336"/>
      <c r="AO20" s="1336"/>
      <c r="AP20" s="1336"/>
      <c r="AQ20" s="295"/>
      <c r="AR20" s="295"/>
      <c r="AS20" s="295"/>
    </row>
    <row r="21" spans="1:45" s="5" customFormat="1" ht="18.75" x14ac:dyDescent="0.3">
      <c r="B21" s="15" t="s">
        <v>12</v>
      </c>
      <c r="C21" s="16"/>
      <c r="E21" s="652">
        <f t="shared" si="11"/>
        <v>0</v>
      </c>
      <c r="F21" s="499"/>
      <c r="G21" s="638"/>
      <c r="H21" s="623">
        <f t="shared" si="12"/>
        <v>0</v>
      </c>
      <c r="I21" s="499"/>
      <c r="J21" s="638">
        <f t="shared" si="13"/>
        <v>0</v>
      </c>
      <c r="K21" s="622">
        <f>+J21+E21</f>
        <v>0</v>
      </c>
      <c r="L21" s="621">
        <f t="shared" si="14"/>
        <v>0</v>
      </c>
      <c r="M21" s="499"/>
      <c r="N21" s="638"/>
      <c r="O21" s="622"/>
      <c r="P21" s="622"/>
      <c r="Q21" s="622"/>
      <c r="R21" s="622"/>
      <c r="S21" s="621">
        <f t="shared" si="15"/>
        <v>0</v>
      </c>
      <c r="T21" s="478"/>
      <c r="U21" s="638">
        <f t="shared" si="16"/>
        <v>0</v>
      </c>
      <c r="V21" s="622">
        <f t="shared" si="17"/>
        <v>0</v>
      </c>
      <c r="W21" s="621">
        <f t="shared" si="18"/>
        <v>0</v>
      </c>
      <c r="X21" s="499"/>
      <c r="Y21" s="614"/>
      <c r="Z21" s="622"/>
      <c r="AA21" s="622"/>
      <c r="AB21" s="622"/>
      <c r="AC21" s="623"/>
      <c r="AD21" s="499"/>
      <c r="AE21" s="476"/>
      <c r="AF21" s="444"/>
      <c r="AG21" s="531">
        <f t="shared" si="19"/>
        <v>0</v>
      </c>
      <c r="AH21" s="295"/>
      <c r="AI21" s="397">
        <f>SUM(AL21:AP21)</f>
        <v>0</v>
      </c>
      <c r="AJ21" s="953">
        <f>SUM(AL21:AM21)</f>
        <v>0</v>
      </c>
      <c r="AK21" s="671">
        <f>+AN21</f>
        <v>0</v>
      </c>
      <c r="AL21" s="1336"/>
      <c r="AM21" s="1336"/>
      <c r="AN21" s="1336"/>
      <c r="AO21" s="1336"/>
      <c r="AP21" s="1336"/>
      <c r="AQ21" s="295"/>
      <c r="AR21" s="295"/>
      <c r="AS21" s="295"/>
    </row>
    <row r="22" spans="1:45" s="5" customFormat="1" ht="18.75" x14ac:dyDescent="0.3">
      <c r="B22" s="15"/>
      <c r="C22" s="16" t="s">
        <v>25</v>
      </c>
      <c r="E22" s="652">
        <f t="shared" si="11"/>
        <v>0</v>
      </c>
      <c r="F22" s="499"/>
      <c r="G22" s="638"/>
      <c r="H22" s="623">
        <f t="shared" si="12"/>
        <v>0</v>
      </c>
      <c r="I22" s="499"/>
      <c r="J22" s="638">
        <f t="shared" si="13"/>
        <v>0</v>
      </c>
      <c r="K22" s="622">
        <f>+J22+E22</f>
        <v>0</v>
      </c>
      <c r="L22" s="621">
        <f t="shared" si="14"/>
        <v>0</v>
      </c>
      <c r="M22" s="499"/>
      <c r="N22" s="638"/>
      <c r="O22" s="622"/>
      <c r="P22" s="622"/>
      <c r="Q22" s="622"/>
      <c r="R22" s="622"/>
      <c r="S22" s="639">
        <f t="shared" si="15"/>
        <v>0</v>
      </c>
      <c r="T22" s="478"/>
      <c r="U22" s="638">
        <f t="shared" si="16"/>
        <v>0</v>
      </c>
      <c r="V22" s="622">
        <f t="shared" si="17"/>
        <v>0</v>
      </c>
      <c r="W22" s="639">
        <f t="shared" si="18"/>
        <v>0</v>
      </c>
      <c r="X22" s="499"/>
      <c r="Y22" s="614"/>
      <c r="Z22" s="620"/>
      <c r="AA22" s="620"/>
      <c r="AB22" s="620"/>
      <c r="AC22" s="624"/>
      <c r="AD22" s="499"/>
      <c r="AE22" s="476"/>
      <c r="AF22" s="444"/>
      <c r="AG22" s="531">
        <f t="shared" si="19"/>
        <v>0</v>
      </c>
      <c r="AH22" s="295"/>
      <c r="AI22" s="397">
        <f>SUM(AL22:AP22)</f>
        <v>0</v>
      </c>
      <c r="AJ22" s="953">
        <f>SUM(AL22:AM22)</f>
        <v>0</v>
      </c>
      <c r="AK22" s="671">
        <f>+AN22</f>
        <v>0</v>
      </c>
      <c r="AL22" s="1336"/>
      <c r="AM22" s="1336"/>
      <c r="AN22" s="1336"/>
      <c r="AO22" s="1336"/>
      <c r="AP22" s="1336"/>
      <c r="AQ22" s="295"/>
      <c r="AR22" s="295"/>
      <c r="AS22" s="295"/>
    </row>
    <row r="23" spans="1:45" s="5" customFormat="1" ht="18.75" x14ac:dyDescent="0.3">
      <c r="B23" s="15"/>
      <c r="C23" s="16" t="s">
        <v>14</v>
      </c>
      <c r="E23" s="652">
        <f t="shared" si="11"/>
        <v>0</v>
      </c>
      <c r="F23" s="499"/>
      <c r="G23" s="638"/>
      <c r="H23" s="623">
        <f t="shared" si="12"/>
        <v>0</v>
      </c>
      <c r="I23" s="499"/>
      <c r="J23" s="638">
        <f t="shared" si="13"/>
        <v>0</v>
      </c>
      <c r="K23" s="622">
        <f t="shared" si="20"/>
        <v>0</v>
      </c>
      <c r="L23" s="621">
        <f t="shared" si="14"/>
        <v>0</v>
      </c>
      <c r="M23" s="499"/>
      <c r="N23" s="638"/>
      <c r="O23" s="622"/>
      <c r="P23" s="622"/>
      <c r="Q23" s="622"/>
      <c r="R23" s="622"/>
      <c r="S23" s="621">
        <f t="shared" si="15"/>
        <v>0</v>
      </c>
      <c r="T23" s="478"/>
      <c r="U23" s="638">
        <f t="shared" si="16"/>
        <v>0</v>
      </c>
      <c r="V23" s="622">
        <f t="shared" si="17"/>
        <v>0</v>
      </c>
      <c r="W23" s="621">
        <f t="shared" si="18"/>
        <v>0</v>
      </c>
      <c r="X23" s="499"/>
      <c r="Y23" s="614"/>
      <c r="Z23" s="622"/>
      <c r="AA23" s="622"/>
      <c r="AB23" s="622"/>
      <c r="AC23" s="623"/>
      <c r="AD23" s="499"/>
      <c r="AE23" s="476"/>
      <c r="AF23" s="444"/>
      <c r="AG23" s="531">
        <f t="shared" si="19"/>
        <v>0</v>
      </c>
      <c r="AH23" s="295"/>
      <c r="AI23" s="397">
        <f>SUM(AL23:AP23)</f>
        <v>0</v>
      </c>
      <c r="AJ23" s="953">
        <f>SUM(AL23:AM23)</f>
        <v>0</v>
      </c>
      <c r="AK23" s="671">
        <f>+AN23</f>
        <v>0</v>
      </c>
      <c r="AL23" s="1336"/>
      <c r="AM23" s="1336"/>
      <c r="AN23" s="1336"/>
      <c r="AO23" s="1336"/>
      <c r="AP23" s="1336"/>
      <c r="AQ23" s="295"/>
      <c r="AR23" s="295"/>
      <c r="AS23" s="295"/>
    </row>
    <row r="24" spans="1:45" s="5" customFormat="1" ht="18.75" x14ac:dyDescent="0.3">
      <c r="B24" s="15" t="s">
        <v>13</v>
      </c>
      <c r="C24" s="16"/>
      <c r="E24" s="652">
        <f t="shared" si="11"/>
        <v>0</v>
      </c>
      <c r="F24" s="499"/>
      <c r="G24" s="638"/>
      <c r="H24" s="623">
        <f t="shared" si="12"/>
        <v>0</v>
      </c>
      <c r="I24" s="499"/>
      <c r="J24" s="638">
        <f t="shared" si="13"/>
        <v>0</v>
      </c>
      <c r="K24" s="622">
        <f t="shared" si="20"/>
        <v>0</v>
      </c>
      <c r="L24" s="621">
        <f t="shared" si="14"/>
        <v>0</v>
      </c>
      <c r="M24" s="499"/>
      <c r="N24" s="638"/>
      <c r="O24" s="622"/>
      <c r="P24" s="622"/>
      <c r="Q24" s="622"/>
      <c r="R24" s="622"/>
      <c r="S24" s="621">
        <f t="shared" si="15"/>
        <v>0</v>
      </c>
      <c r="T24" s="478"/>
      <c r="U24" s="638">
        <f t="shared" si="16"/>
        <v>0</v>
      </c>
      <c r="V24" s="622">
        <f t="shared" si="17"/>
        <v>0</v>
      </c>
      <c r="W24" s="621">
        <f t="shared" si="18"/>
        <v>0</v>
      </c>
      <c r="X24" s="499"/>
      <c r="Y24" s="614"/>
      <c r="Z24" s="622"/>
      <c r="AA24" s="622"/>
      <c r="AB24" s="622"/>
      <c r="AC24" s="623"/>
      <c r="AD24" s="499"/>
      <c r="AE24" s="476"/>
      <c r="AF24" s="444"/>
      <c r="AG24" s="531">
        <f t="shared" si="19"/>
        <v>0</v>
      </c>
      <c r="AH24" s="295"/>
      <c r="AI24" s="397">
        <f>SUM(AL24:AP24)</f>
        <v>0</v>
      </c>
      <c r="AJ24" s="953">
        <f>SUM(AL24:AM24)</f>
        <v>0</v>
      </c>
      <c r="AK24" s="671">
        <f>+AN24</f>
        <v>0</v>
      </c>
      <c r="AL24" s="1336"/>
      <c r="AM24" s="1336"/>
      <c r="AN24" s="1336"/>
      <c r="AO24" s="1336"/>
      <c r="AP24" s="1336"/>
      <c r="AQ24" s="295"/>
      <c r="AR24" s="295"/>
      <c r="AS24" s="295"/>
    </row>
    <row r="25" spans="1:45" s="5" customFormat="1" ht="18.75" x14ac:dyDescent="0.3">
      <c r="B25" s="15" t="s">
        <v>31</v>
      </c>
      <c r="C25" s="16"/>
      <c r="E25" s="652">
        <f t="shared" si="11"/>
        <v>0</v>
      </c>
      <c r="F25" s="499"/>
      <c r="G25" s="614"/>
      <c r="H25" s="623">
        <f t="shared" si="12"/>
        <v>0</v>
      </c>
      <c r="I25" s="499"/>
      <c r="J25" s="638">
        <f t="shared" si="13"/>
        <v>0</v>
      </c>
      <c r="K25" s="622">
        <f t="shared" si="20"/>
        <v>0</v>
      </c>
      <c r="L25" s="621">
        <f t="shared" si="14"/>
        <v>0</v>
      </c>
      <c r="M25" s="499"/>
      <c r="N25" s="638"/>
      <c r="O25" s="622"/>
      <c r="P25" s="622"/>
      <c r="Q25" s="622"/>
      <c r="R25" s="622"/>
      <c r="S25" s="641">
        <f t="shared" si="15"/>
        <v>0</v>
      </c>
      <c r="T25" s="478"/>
      <c r="U25" s="638">
        <f t="shared" si="16"/>
        <v>0</v>
      </c>
      <c r="V25" s="622">
        <f t="shared" si="17"/>
        <v>0</v>
      </c>
      <c r="W25" s="641">
        <f t="shared" si="18"/>
        <v>0</v>
      </c>
      <c r="X25" s="499"/>
      <c r="Y25" s="614"/>
      <c r="Z25" s="615"/>
      <c r="AA25" s="615"/>
      <c r="AB25" s="615"/>
      <c r="AC25" s="616"/>
      <c r="AD25" s="499"/>
      <c r="AE25" s="476"/>
      <c r="AF25" s="444"/>
      <c r="AG25" s="531">
        <f t="shared" si="19"/>
        <v>0</v>
      </c>
      <c r="AH25" s="295"/>
      <c r="AI25" s="397">
        <f>SUM(AL25:AP25)</f>
        <v>0</v>
      </c>
      <c r="AJ25" s="953">
        <f>SUM(AL25:AM25)</f>
        <v>0</v>
      </c>
      <c r="AK25" s="671">
        <f>+AN25</f>
        <v>0</v>
      </c>
      <c r="AL25" s="1336"/>
      <c r="AM25" s="1336"/>
      <c r="AN25" s="1336"/>
      <c r="AO25" s="1336"/>
      <c r="AP25" s="1336"/>
      <c r="AQ25" s="295"/>
      <c r="AR25" s="295"/>
      <c r="AS25" s="295"/>
    </row>
    <row r="26" spans="1:45" s="5" customFormat="1" ht="18.75" x14ac:dyDescent="0.3">
      <c r="B26" s="17" t="s">
        <v>15</v>
      </c>
      <c r="C26" s="18"/>
      <c r="E26" s="642">
        <f t="shared" si="11"/>
        <v>0</v>
      </c>
      <c r="F26" s="499"/>
      <c r="G26" s="617"/>
      <c r="H26" s="619">
        <f t="shared" si="12"/>
        <v>0</v>
      </c>
      <c r="I26" s="499"/>
      <c r="J26" s="617">
        <f t="shared" si="13"/>
        <v>0</v>
      </c>
      <c r="K26" s="618">
        <f>+J26+E26</f>
        <v>0</v>
      </c>
      <c r="L26" s="643">
        <f t="shared" si="14"/>
        <v>0</v>
      </c>
      <c r="M26" s="499"/>
      <c r="N26" s="617"/>
      <c r="O26" s="618"/>
      <c r="P26" s="618"/>
      <c r="Q26" s="618"/>
      <c r="R26" s="618"/>
      <c r="S26" s="643">
        <f t="shared" si="15"/>
        <v>0</v>
      </c>
      <c r="T26" s="478"/>
      <c r="U26" s="617">
        <f t="shared" si="16"/>
        <v>0</v>
      </c>
      <c r="V26" s="618">
        <f t="shared" si="17"/>
        <v>0</v>
      </c>
      <c r="W26" s="643">
        <f t="shared" si="18"/>
        <v>0</v>
      </c>
      <c r="X26" s="499"/>
      <c r="Y26" s="617">
        <f t="shared" ref="Y26" si="21">+K26+L26</f>
        <v>0</v>
      </c>
      <c r="Z26" s="618">
        <v>0</v>
      </c>
      <c r="AA26" s="618">
        <v>0</v>
      </c>
      <c r="AB26" s="618"/>
      <c r="AC26" s="619">
        <v>0</v>
      </c>
      <c r="AD26" s="499"/>
      <c r="AE26" s="659"/>
      <c r="AF26" s="444"/>
      <c r="AG26" s="531">
        <f t="shared" si="19"/>
        <v>0</v>
      </c>
      <c r="AH26" s="295"/>
      <c r="AI26" s="397">
        <f>SUM(AL26:AP26)</f>
        <v>0</v>
      </c>
      <c r="AJ26" s="953">
        <f>SUM(AL26:AM26)</f>
        <v>0</v>
      </c>
      <c r="AK26" s="671">
        <f>+AN26</f>
        <v>0</v>
      </c>
      <c r="AL26" s="1336"/>
      <c r="AM26" s="1336"/>
      <c r="AN26" s="1336"/>
      <c r="AO26" s="1336"/>
      <c r="AP26" s="1336"/>
      <c r="AQ26" s="295"/>
      <c r="AR26" s="295"/>
      <c r="AS26" s="295"/>
    </row>
    <row r="27" spans="1:45" s="5" customFormat="1" ht="7.5" customHeight="1" x14ac:dyDescent="0.3">
      <c r="E27" s="347"/>
      <c r="F27" s="347"/>
      <c r="G27" s="347"/>
      <c r="H27" s="347"/>
      <c r="I27" s="347"/>
      <c r="J27" s="347"/>
      <c r="K27" s="347"/>
      <c r="L27" s="347"/>
      <c r="M27" s="347"/>
      <c r="N27" s="347"/>
      <c r="O27" s="347"/>
      <c r="P27" s="347"/>
      <c r="Q27" s="347"/>
      <c r="R27" s="347"/>
      <c r="S27" s="347"/>
      <c r="T27" s="347"/>
      <c r="U27" s="347"/>
      <c r="V27" s="347"/>
      <c r="W27" s="347"/>
      <c r="X27" s="347"/>
      <c r="Y27" s="499"/>
      <c r="Z27" s="499"/>
      <c r="AA27" s="499"/>
      <c r="AB27" s="499"/>
      <c r="AC27" s="499"/>
      <c r="AD27" s="347"/>
      <c r="AE27" s="347"/>
      <c r="AF27" s="442"/>
      <c r="AG27" s="532"/>
      <c r="AH27" s="295"/>
      <c r="AI27" s="396"/>
      <c r="AJ27" s="597"/>
      <c r="AK27" s="597"/>
      <c r="AL27" s="597"/>
      <c r="AM27" s="597"/>
      <c r="AN27" s="597"/>
      <c r="AO27" s="597"/>
      <c r="AP27" s="597"/>
      <c r="AQ27" s="295"/>
      <c r="AR27" s="295"/>
      <c r="AS27" s="295"/>
    </row>
    <row r="28" spans="1:45" s="5" customFormat="1" ht="15.75" customHeight="1" x14ac:dyDescent="0.3">
      <c r="B28" s="11" t="s">
        <v>16</v>
      </c>
      <c r="C28" s="12"/>
      <c r="E28" s="379">
        <f>+SUM(AL28:AP28)</f>
        <v>0</v>
      </c>
      <c r="F28" s="347"/>
      <c r="G28" s="380">
        <v>0</v>
      </c>
      <c r="H28" s="381">
        <v>0</v>
      </c>
      <c r="I28" s="347"/>
      <c r="J28" s="383">
        <f>+H28+AE28</f>
        <v>0</v>
      </c>
      <c r="K28" s="382">
        <f>+E28+J28</f>
        <v>0</v>
      </c>
      <c r="L28" s="381">
        <f>+SUM(N28:S28)</f>
        <v>0</v>
      </c>
      <c r="M28" s="347"/>
      <c r="N28" s="380">
        <f>-K28</f>
        <v>0</v>
      </c>
      <c r="O28" s="382">
        <v>0</v>
      </c>
      <c r="P28" s="382">
        <v>0</v>
      </c>
      <c r="Q28" s="382">
        <v>0</v>
      </c>
      <c r="R28" s="382">
        <v>0</v>
      </c>
      <c r="S28" s="381">
        <f>+SUMIFS(N28:R28,N$2:R$2,$S$5)</f>
        <v>0</v>
      </c>
      <c r="T28" s="370"/>
      <c r="U28" s="380">
        <f>+SUMIFS(N28:S28,N$2:S$2,$U$5)</f>
        <v>0</v>
      </c>
      <c r="V28" s="382">
        <f>+SUMIFS(N28:S28,N$2:S$2,$V$5)</f>
        <v>0</v>
      </c>
      <c r="W28" s="381">
        <f>+SUMIFS(N28:S28,N$2:S$2,$W$5)</f>
        <v>0</v>
      </c>
      <c r="X28" s="347"/>
      <c r="Y28" s="644">
        <v>0</v>
      </c>
      <c r="Z28" s="626">
        <v>0</v>
      </c>
      <c r="AA28" s="626">
        <v>0</v>
      </c>
      <c r="AB28" s="626"/>
      <c r="AC28" s="627">
        <v>0</v>
      </c>
      <c r="AD28" s="347"/>
      <c r="AE28" s="379"/>
      <c r="AF28" s="442"/>
      <c r="AG28" s="532"/>
      <c r="AH28" s="295"/>
      <c r="AI28" s="409">
        <f>SUM(AJ28:AP28)</f>
        <v>0</v>
      </c>
      <c r="AJ28" s="674"/>
      <c r="AK28" s="674"/>
      <c r="AL28" s="1336"/>
      <c r="AM28" s="1336"/>
      <c r="AN28" s="1336"/>
      <c r="AO28" s="1336"/>
      <c r="AP28" s="1336"/>
      <c r="AQ28" s="295"/>
      <c r="AR28" s="295"/>
      <c r="AS28" s="295"/>
    </row>
    <row r="29" spans="1:45" s="5" customFormat="1" ht="15.75" x14ac:dyDescent="0.25">
      <c r="E29" s="347"/>
      <c r="F29" s="347"/>
      <c r="G29" s="347"/>
      <c r="H29" s="347"/>
      <c r="I29" s="347"/>
      <c r="J29" s="347"/>
      <c r="K29" s="347"/>
      <c r="L29" s="347"/>
      <c r="M29" s="347"/>
      <c r="N29" s="347"/>
      <c r="O29" s="347"/>
      <c r="P29" s="347"/>
      <c r="Q29" s="347"/>
      <c r="R29" s="347"/>
      <c r="S29" s="347"/>
      <c r="T29" s="347"/>
      <c r="U29" s="347"/>
      <c r="V29" s="347"/>
      <c r="W29" s="347"/>
      <c r="X29" s="347"/>
      <c r="Y29" s="347"/>
      <c r="Z29" s="347"/>
      <c r="AA29" s="347"/>
      <c r="AB29" s="347"/>
      <c r="AC29" s="347"/>
      <c r="AD29" s="347"/>
      <c r="AE29" s="347"/>
      <c r="AF29" s="399"/>
      <c r="AG29" s="535"/>
      <c r="AH29" s="295"/>
      <c r="AI29" s="295"/>
      <c r="AJ29" s="499"/>
      <c r="AK29" s="499"/>
      <c r="AL29" s="499"/>
      <c r="AM29" s="499"/>
      <c r="AN29" s="499"/>
      <c r="AO29" s="499"/>
      <c r="AP29" s="499"/>
      <c r="AQ29" s="295"/>
      <c r="AR29" s="295"/>
      <c r="AS29" s="295"/>
    </row>
    <row r="30" spans="1:45" s="5" customFormat="1" ht="15.75" x14ac:dyDescent="0.25">
      <c r="B30" s="64" t="s">
        <v>17</v>
      </c>
      <c r="C30" s="65"/>
      <c r="D30" s="2"/>
      <c r="E30" s="332">
        <f>+E7*E31</f>
        <v>0</v>
      </c>
      <c r="F30" s="333"/>
      <c r="G30" s="337">
        <v>0</v>
      </c>
      <c r="H30" s="386">
        <f>+H7*H31</f>
        <v>0</v>
      </c>
      <c r="I30" s="333"/>
      <c r="J30" s="337">
        <f>+J7*J31</f>
        <v>0</v>
      </c>
      <c r="K30" s="336">
        <f>+K7*K31</f>
        <v>0</v>
      </c>
      <c r="L30" s="335">
        <f>+L7*L31</f>
        <v>0</v>
      </c>
      <c r="M30" s="333"/>
      <c r="N30" s="337">
        <f t="shared" ref="N30:S30" si="22">+N7*N31</f>
        <v>0</v>
      </c>
      <c r="O30" s="336">
        <f t="shared" si="22"/>
        <v>0</v>
      </c>
      <c r="P30" s="336">
        <f t="shared" si="22"/>
        <v>0</v>
      </c>
      <c r="Q30" s="336">
        <f t="shared" si="22"/>
        <v>0</v>
      </c>
      <c r="R30" s="336">
        <f t="shared" si="22"/>
        <v>0</v>
      </c>
      <c r="S30" s="336">
        <f t="shared" si="22"/>
        <v>0</v>
      </c>
      <c r="T30" s="410"/>
      <c r="U30" s="337">
        <f>+U7*U31</f>
        <v>0</v>
      </c>
      <c r="V30" s="336">
        <f>+V7*V31</f>
        <v>0</v>
      </c>
      <c r="W30" s="335">
        <f>+W7*W31</f>
        <v>0</v>
      </c>
      <c r="X30" s="333"/>
      <c r="Y30" s="337">
        <f>+Y7-Y15</f>
        <v>0</v>
      </c>
      <c r="Z30" s="337">
        <f>+Z7-Z15</f>
        <v>3283340.2468006741</v>
      </c>
      <c r="AA30" s="336">
        <f>+AA7-AA15</f>
        <v>0</v>
      </c>
      <c r="AB30" s="336">
        <f>+AB7-AB15</f>
        <v>0</v>
      </c>
      <c r="AC30" s="386">
        <f>+AC7-AC15</f>
        <v>0</v>
      </c>
      <c r="AD30" s="333"/>
      <c r="AE30" s="332">
        <f>+AE7*AE31</f>
        <v>0</v>
      </c>
      <c r="AF30" s="445"/>
      <c r="AG30" s="531">
        <f>+Y30-AC30</f>
        <v>0</v>
      </c>
      <c r="AH30" s="295"/>
      <c r="AI30" s="295"/>
      <c r="AJ30" s="499"/>
      <c r="AK30" s="499"/>
      <c r="AL30" s="499"/>
      <c r="AM30" s="499"/>
      <c r="AN30" s="499"/>
      <c r="AO30" s="499"/>
      <c r="AP30" s="499"/>
      <c r="AQ30" s="295"/>
      <c r="AR30" s="295"/>
      <c r="AS30" s="295"/>
    </row>
    <row r="31" spans="1:45" s="5" customFormat="1" ht="15.75" x14ac:dyDescent="0.25">
      <c r="B31" s="66" t="s">
        <v>18</v>
      </c>
      <c r="C31" s="67"/>
      <c r="D31" s="2"/>
      <c r="E31" s="68">
        <f>+$Y$31</f>
        <v>0</v>
      </c>
      <c r="F31" s="19"/>
      <c r="G31" s="71">
        <f>+$Y$31</f>
        <v>0</v>
      </c>
      <c r="H31" s="72">
        <f>+$Y$31</f>
        <v>0</v>
      </c>
      <c r="I31" s="19"/>
      <c r="J31" s="71">
        <f>+$Y$31</f>
        <v>0</v>
      </c>
      <c r="K31" s="75">
        <f>+$Y$31</f>
        <v>0</v>
      </c>
      <c r="L31" s="76">
        <f>+$Y$31</f>
        <v>0</v>
      </c>
      <c r="M31" s="19"/>
      <c r="N31" s="71">
        <f t="shared" ref="N31:S31" si="23">+$Y$31</f>
        <v>0</v>
      </c>
      <c r="O31" s="75">
        <f t="shared" si="23"/>
        <v>0</v>
      </c>
      <c r="P31" s="75">
        <f t="shared" si="23"/>
        <v>0</v>
      </c>
      <c r="Q31" s="75">
        <f t="shared" si="23"/>
        <v>0</v>
      </c>
      <c r="R31" s="75">
        <f t="shared" si="23"/>
        <v>0</v>
      </c>
      <c r="S31" s="75">
        <f t="shared" si="23"/>
        <v>0</v>
      </c>
      <c r="T31" s="20"/>
      <c r="U31" s="71">
        <f>+$Y$31</f>
        <v>0</v>
      </c>
      <c r="V31" s="75">
        <f>+$Y$31</f>
        <v>0</v>
      </c>
      <c r="W31" s="76">
        <f>+$Y$31</f>
        <v>0</v>
      </c>
      <c r="X31" s="19"/>
      <c r="Y31" s="71">
        <f>+IF(Y7=0,0,Y30/Y7)</f>
        <v>0</v>
      </c>
      <c r="Z31" s="71">
        <f>+IF(Z7=0,0,Z30/Z7)</f>
        <v>1</v>
      </c>
      <c r="AA31" s="75">
        <f>+IF(AA7=0,0,AA30/AA7)</f>
        <v>0</v>
      </c>
      <c r="AB31" s="75">
        <f>+IF(AB7=0,0,AB30/AB7)</f>
        <v>0</v>
      </c>
      <c r="AC31" s="72">
        <f>+IF(AC7=0,0,AC30/AC7)</f>
        <v>0</v>
      </c>
      <c r="AD31" s="19"/>
      <c r="AE31" s="68">
        <f>+$Y$31</f>
        <v>0</v>
      </c>
      <c r="AF31" s="51"/>
      <c r="AG31" s="51"/>
    </row>
    <row r="32" spans="1:45" s="5" customFormat="1" ht="7.5" customHeight="1" x14ac:dyDescent="0.25">
      <c r="B32" s="2"/>
      <c r="C32" s="2"/>
      <c r="D32" s="2"/>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51"/>
      <c r="AG32" s="51"/>
    </row>
    <row r="33" spans="2:46" s="5" customFormat="1" ht="15.75" customHeight="1" x14ac:dyDescent="0.25">
      <c r="B33" s="64" t="s">
        <v>33</v>
      </c>
      <c r="C33" s="65"/>
      <c r="D33" s="2"/>
      <c r="E33" s="332">
        <f>+E7-E15+E28</f>
        <v>0</v>
      </c>
      <c r="F33" s="333"/>
      <c r="G33" s="337">
        <f>+G7-G15+G28</f>
        <v>0</v>
      </c>
      <c r="H33" s="386">
        <f>+H7-H15+H28</f>
        <v>0</v>
      </c>
      <c r="I33" s="333"/>
      <c r="J33" s="334">
        <f>+J7-J15+J28</f>
        <v>0</v>
      </c>
      <c r="K33" s="336">
        <f>+K7-K15+K28</f>
        <v>0</v>
      </c>
      <c r="L33" s="335">
        <f>+L7-L15+L28</f>
        <v>0</v>
      </c>
      <c r="M33" s="333"/>
      <c r="N33" s="337">
        <f t="shared" ref="N33:S33" si="24">+N7-N15+N28</f>
        <v>0</v>
      </c>
      <c r="O33" s="336">
        <f t="shared" si="24"/>
        <v>0</v>
      </c>
      <c r="P33" s="336">
        <f t="shared" si="24"/>
        <v>0</v>
      </c>
      <c r="Q33" s="336">
        <f t="shared" si="24"/>
        <v>0</v>
      </c>
      <c r="R33" s="336">
        <f t="shared" si="24"/>
        <v>0</v>
      </c>
      <c r="S33" s="336">
        <f t="shared" si="24"/>
        <v>0</v>
      </c>
      <c r="T33" s="410"/>
      <c r="U33" s="337">
        <f>+U7-U15+U28</f>
        <v>0</v>
      </c>
      <c r="V33" s="336">
        <f>+V7-V15+V28</f>
        <v>0</v>
      </c>
      <c r="W33" s="335">
        <f>+W7-W15+W28</f>
        <v>0</v>
      </c>
      <c r="X33" s="333"/>
      <c r="Y33" s="337">
        <f>+Y7-Y15+Y28</f>
        <v>0</v>
      </c>
      <c r="Z33" s="337">
        <f>+Z7-Z15+Z28</f>
        <v>3283340.2468006741</v>
      </c>
      <c r="AA33" s="336">
        <f>+AA7-AA15+AA28</f>
        <v>0</v>
      </c>
      <c r="AB33" s="336">
        <f>+AB7-AB15+AB28</f>
        <v>0</v>
      </c>
      <c r="AC33" s="386">
        <f>+AC7-AC15+AC28</f>
        <v>0</v>
      </c>
      <c r="AD33" s="333"/>
      <c r="AE33" s="332">
        <f>+AE7-AE15+AE28</f>
        <v>0</v>
      </c>
      <c r="AF33" s="304"/>
      <c r="AG33" s="304"/>
      <c r="AH33" s="295"/>
      <c r="AI33" s="295"/>
      <c r="AJ33" s="295"/>
      <c r="AK33" s="295"/>
      <c r="AL33" s="295"/>
      <c r="AM33" s="295"/>
      <c r="AN33" s="295"/>
      <c r="AO33" s="295"/>
      <c r="AP33" s="295"/>
      <c r="AQ33" s="295"/>
      <c r="AR33" s="295"/>
      <c r="AS33" s="295"/>
    </row>
    <row r="34" spans="2:46" s="5" customFormat="1" ht="15.75" customHeight="1" x14ac:dyDescent="0.25">
      <c r="B34" s="66" t="s">
        <v>34</v>
      </c>
      <c r="C34" s="67"/>
      <c r="D34" s="2"/>
      <c r="E34" s="68">
        <f>+IF(E7=0,0,E33/E7)</f>
        <v>0</v>
      </c>
      <c r="F34" s="19"/>
      <c r="G34" s="71">
        <f>+IF(G7=0,0,G33/G7)</f>
        <v>0</v>
      </c>
      <c r="H34" s="72">
        <f>+IF(H7=0,0,H33/H7)</f>
        <v>0</v>
      </c>
      <c r="I34" s="19"/>
      <c r="J34" s="71">
        <f>+IF(J7=0,0,J33/J7)</f>
        <v>0</v>
      </c>
      <c r="K34" s="75">
        <f>+IF(K7=0,0,K33/K7)</f>
        <v>0</v>
      </c>
      <c r="L34" s="76">
        <f>+IF(L7=0,0,L33/L7)</f>
        <v>0</v>
      </c>
      <c r="M34" s="19"/>
      <c r="N34" s="71">
        <f t="shared" ref="N34:S34" si="25">+IF(N7=0,0,N33/N7)</f>
        <v>0</v>
      </c>
      <c r="O34" s="75">
        <f t="shared" si="25"/>
        <v>0</v>
      </c>
      <c r="P34" s="75">
        <f t="shared" si="25"/>
        <v>0</v>
      </c>
      <c r="Q34" s="75">
        <f t="shared" si="25"/>
        <v>0</v>
      </c>
      <c r="R34" s="75">
        <f t="shared" si="25"/>
        <v>0</v>
      </c>
      <c r="S34" s="75">
        <f t="shared" si="25"/>
        <v>0</v>
      </c>
      <c r="T34" s="20"/>
      <c r="U34" s="71">
        <f>+IF(U7=0,0,U33/U7)</f>
        <v>0</v>
      </c>
      <c r="V34" s="75">
        <f>+IF(V7=0,0,V33/V7)</f>
        <v>0</v>
      </c>
      <c r="W34" s="76">
        <f>+IF(W7=0,0,W33/W7)</f>
        <v>0</v>
      </c>
      <c r="X34" s="19"/>
      <c r="Y34" s="71">
        <f>+IF(Y7=0,0,Y33/Y7)</f>
        <v>0</v>
      </c>
      <c r="Z34" s="71">
        <f>+IF(Z7=0,0,Z33/Z7)</f>
        <v>1</v>
      </c>
      <c r="AA34" s="75">
        <f>+IF(AA7=0,0,AA33/AA7)</f>
        <v>0</v>
      </c>
      <c r="AB34" s="75">
        <f>+IF(AB7=0,0,AB33/AB7)</f>
        <v>0</v>
      </c>
      <c r="AC34" s="72">
        <f>+IF(AC7=0,0,AC33/AC7)</f>
        <v>0</v>
      </c>
      <c r="AD34" s="19"/>
      <c r="AE34" s="68">
        <f>+IF(AE7=0,0,AE33/AE7)</f>
        <v>0</v>
      </c>
      <c r="AF34" s="51"/>
      <c r="AG34" s="51"/>
    </row>
    <row r="35" spans="2:46" s="40" customFormat="1" ht="18.75" x14ac:dyDescent="0.3">
      <c r="Y35" s="276"/>
      <c r="Z35" s="48"/>
      <c r="AA35" s="48"/>
      <c r="AB35" s="48"/>
      <c r="AC35" s="48"/>
    </row>
    <row r="36" spans="2:46" s="40" customFormat="1" x14ac:dyDescent="0.25">
      <c r="Y36" s="47">
        <v>113237.66964975512</v>
      </c>
      <c r="Z36" s="47">
        <v>113237.66964975512</v>
      </c>
      <c r="AA36" s="47"/>
      <c r="AB36" s="47"/>
      <c r="AC36" s="47">
        <v>-6.9849193096160889E-10</v>
      </c>
      <c r="AD36" s="47"/>
      <c r="AE36" s="47">
        <v>-1540.7038800000012</v>
      </c>
      <c r="AF36" s="47"/>
      <c r="AG36" s="47"/>
      <c r="AH36" s="47"/>
      <c r="AI36" s="47"/>
    </row>
    <row r="37" spans="2:46" s="40" customFormat="1" x14ac:dyDescent="0.25">
      <c r="P37" s="50"/>
      <c r="Y37" s="49"/>
    </row>
    <row r="38" spans="2:46" ht="18.75" x14ac:dyDescent="0.3">
      <c r="B38" s="23" t="s">
        <v>19</v>
      </c>
      <c r="C38" s="24"/>
      <c r="J38" s="40"/>
      <c r="K38" s="306">
        <f>+K7-K30</f>
        <v>0</v>
      </c>
      <c r="P38" s="22"/>
      <c r="AS38" s="597">
        <f>H33</f>
        <v>0</v>
      </c>
      <c r="AT38" s="597">
        <f>Y33</f>
        <v>0</v>
      </c>
    </row>
    <row r="39" spans="2:46" ht="9" customHeight="1" x14ac:dyDescent="0.3">
      <c r="B39" s="25"/>
      <c r="J39" s="40"/>
      <c r="K39" s="302"/>
      <c r="P39" s="22"/>
    </row>
    <row r="40" spans="2:46" ht="18.75" x14ac:dyDescent="0.3">
      <c r="B40" s="26" t="s">
        <v>20</v>
      </c>
      <c r="C40" s="27"/>
      <c r="J40" s="40"/>
      <c r="K40" s="307">
        <f>K15-K38</f>
        <v>0</v>
      </c>
      <c r="P40" s="22"/>
    </row>
    <row r="41" spans="2:46" ht="9" customHeight="1" x14ac:dyDescent="0.3">
      <c r="B41" s="1"/>
      <c r="J41" s="40"/>
      <c r="K41" s="302"/>
    </row>
    <row r="42" spans="2:46" ht="18.75" x14ac:dyDescent="0.3">
      <c r="B42" s="23" t="s">
        <v>21</v>
      </c>
      <c r="C42" s="24"/>
      <c r="J42" s="40"/>
      <c r="K42" s="306">
        <f>IF('ER Pendiente'!D38&gt;0,'ER Pendiente'!D15+'ER Pendiente'!D38,'ER Pendiente'!D15)</f>
        <v>0</v>
      </c>
    </row>
    <row r="43" spans="2:46" ht="9" customHeight="1" x14ac:dyDescent="0.3">
      <c r="B43" s="28"/>
      <c r="J43" s="40"/>
      <c r="K43" s="302"/>
    </row>
    <row r="44" spans="2:46" ht="18.75" x14ac:dyDescent="0.3">
      <c r="B44" s="23" t="s">
        <v>22</v>
      </c>
      <c r="C44" s="24"/>
      <c r="J44" s="40"/>
      <c r="K44" s="306">
        <f>IF('ER Pendiente'!D38&lt;0,-'ER Pendiente'!D38-'ER Pendiente'!D22,-'ER Pendiente'!D22)</f>
        <v>0</v>
      </c>
    </row>
    <row r="45" spans="2:46" ht="9" customHeight="1" x14ac:dyDescent="0.3">
      <c r="B45" s="28"/>
      <c r="J45" s="40"/>
      <c r="K45" s="302"/>
    </row>
    <row r="46" spans="2:46" ht="18.75" x14ac:dyDescent="0.3">
      <c r="B46" s="23" t="s">
        <v>23</v>
      </c>
      <c r="C46" s="24"/>
      <c r="J46" s="40"/>
      <c r="K46" s="306">
        <f>+'Dif. Margenes'!I13</f>
        <v>0</v>
      </c>
    </row>
    <row r="47" spans="2:46" ht="9" customHeight="1" x14ac:dyDescent="0.3">
      <c r="B47" s="25"/>
      <c r="J47" s="40"/>
      <c r="K47" s="302"/>
    </row>
    <row r="48" spans="2:46" ht="18.75" x14ac:dyDescent="0.3">
      <c r="B48" s="29" t="s">
        <v>24</v>
      </c>
      <c r="C48" s="30"/>
      <c r="J48" s="40"/>
      <c r="K48" s="315">
        <f>+K40-K42+K44</f>
        <v>0</v>
      </c>
    </row>
    <row r="49" spans="3:11" ht="8.25" customHeight="1" x14ac:dyDescent="0.25">
      <c r="J49" s="40"/>
    </row>
    <row r="50" spans="3:11" ht="21" hidden="1" outlineLevel="1" x14ac:dyDescent="0.35">
      <c r="C50" s="31" t="s">
        <v>26</v>
      </c>
      <c r="J50" s="40"/>
      <c r="K50" s="35"/>
    </row>
    <row r="51" spans="3:11" ht="8.25" hidden="1" customHeight="1" outlineLevel="1" x14ac:dyDescent="0.25">
      <c r="C51" s="5"/>
      <c r="J51" s="40"/>
    </row>
    <row r="52" spans="3:11" ht="23.25" hidden="1" outlineLevel="1" x14ac:dyDescent="0.35">
      <c r="C52" s="31" t="s">
        <v>27</v>
      </c>
      <c r="J52" s="40"/>
      <c r="K52" s="33"/>
    </row>
    <row r="53" spans="3:11" hidden="1" outlineLevel="1" x14ac:dyDescent="0.25">
      <c r="J53" s="40"/>
    </row>
    <row r="54" spans="3:11" collapsed="1" x14ac:dyDescent="0.25">
      <c r="J54" s="40"/>
    </row>
    <row r="55" spans="3:11" x14ac:dyDescent="0.25">
      <c r="J55" s="40"/>
    </row>
    <row r="56" spans="3:11" x14ac:dyDescent="0.25">
      <c r="J56" s="40"/>
    </row>
    <row r="57" spans="3:11" x14ac:dyDescent="0.25">
      <c r="J57" s="40"/>
    </row>
  </sheetData>
  <mergeCells count="18">
    <mergeCell ref="AI3:AI5"/>
    <mergeCell ref="AJ3:AJ5"/>
    <mergeCell ref="AL3:AL5"/>
    <mergeCell ref="B1:AE1"/>
    <mergeCell ref="AE3:AE4"/>
    <mergeCell ref="E3:E4"/>
    <mergeCell ref="G3:H4"/>
    <mergeCell ref="N3:S3"/>
    <mergeCell ref="U3:W4"/>
    <mergeCell ref="Y3:AC4"/>
    <mergeCell ref="J3:J5"/>
    <mergeCell ref="K3:K5"/>
    <mergeCell ref="L3:L5"/>
    <mergeCell ref="AM3:AM5"/>
    <mergeCell ref="AK3:AK5"/>
    <mergeCell ref="AN3:AN5"/>
    <mergeCell ref="AO3:AO5"/>
    <mergeCell ref="AP3:AP5"/>
  </mergeCells>
  <pageMargins left="0.23622047244094491" right="0.23622047244094491" top="0.74803149606299213" bottom="0.74803149606299213" header="0.31496062992125984" footer="0.31496062992125984"/>
  <pageSetup paperSize="9" scale="38" orientation="landscape" r:id="rId1"/>
  <headerFooter>
    <oddFooter>&amp;F</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pageSetUpPr fitToPage="1"/>
  </sheetPr>
  <dimension ref="A1:AT54"/>
  <sheetViews>
    <sheetView showGridLines="0" view="pageBreakPreview" zoomScale="70" zoomScaleNormal="50" zoomScaleSheetLayoutView="70" workbookViewId="0">
      <pane xSplit="12" ySplit="6" topLeftCell="AH13" activePane="bottomRight" state="frozen"/>
      <selection activeCell="AH24" sqref="AH24"/>
      <selection pane="topRight" activeCell="AH24" sqref="AH24"/>
      <selection pane="bottomLeft" activeCell="AH24" sqref="AH24"/>
      <selection pane="bottomRight" activeCell="AI17" sqref="AI17:AK26"/>
    </sheetView>
  </sheetViews>
  <sheetFormatPr baseColWidth="10" defaultColWidth="9.140625" defaultRowHeight="15" outlineLevelRow="1" outlineLevelCol="2" x14ac:dyDescent="0.25"/>
  <cols>
    <col min="1" max="1" width="3.42578125" customWidth="1"/>
    <col min="2" max="2" width="37.85546875" customWidth="1"/>
    <col min="3" max="3" width="16" customWidth="1"/>
    <col min="4" max="4" width="1.42578125" customWidth="1"/>
    <col min="5" max="5" width="18.7109375" customWidth="1" outlineLevel="1"/>
    <col min="6" max="6" width="1.42578125" customWidth="1" outlineLevel="1"/>
    <col min="7" max="8" width="17.5703125" bestFit="1" customWidth="1"/>
    <col min="9" max="9" width="1.42578125" customWidth="1"/>
    <col min="10" max="10" width="28" bestFit="1" customWidth="1"/>
    <col min="11" max="11" width="28.28515625" bestFit="1" customWidth="1"/>
    <col min="12" max="12" width="21.140625" bestFit="1" customWidth="1"/>
    <col min="13" max="13" width="1.42578125" customWidth="1"/>
    <col min="14" max="18" width="10.42578125" customWidth="1" outlineLevel="1"/>
    <col min="19" max="19" width="19" bestFit="1" customWidth="1"/>
    <col min="20" max="20" width="1.42578125" customWidth="1"/>
    <col min="21" max="21" width="17" bestFit="1" customWidth="1"/>
    <col min="22" max="22" width="14.140625" bestFit="1" customWidth="1"/>
    <col min="23" max="23" width="13" customWidth="1" outlineLevel="1"/>
    <col min="24" max="24" width="1.42578125" customWidth="1"/>
    <col min="25" max="26" width="19" bestFit="1" customWidth="1"/>
    <col min="27" max="27" width="13.85546875" hidden="1" customWidth="1" outlineLevel="1"/>
    <col min="28" max="28" width="17.28515625" hidden="1" customWidth="1" outlineLevel="1"/>
    <col min="29" max="29" width="18.42578125" bestFit="1" customWidth="1" collapsed="1"/>
    <col min="30" max="30" width="1.5703125" customWidth="1" outlineLevel="1"/>
    <col min="31" max="31" width="17.5703125" style="36" bestFit="1" customWidth="1" outlineLevel="1"/>
    <col min="32" max="32" width="2.7109375" customWidth="1"/>
    <col min="33" max="33" width="11.28515625" hidden="1" customWidth="1" outlineLevel="1"/>
    <col min="34" max="34" width="2.7109375" customWidth="1" collapsed="1"/>
    <col min="35" max="35" width="16.7109375" customWidth="1" outlineLevel="1"/>
    <col min="36" max="37" width="15.42578125" customWidth="1" outlineLevel="1"/>
    <col min="38" max="42" width="13.85546875" customWidth="1" outlineLevel="2"/>
    <col min="43" max="43" width="9.140625" customWidth="1" outlineLevel="1"/>
    <col min="45" max="45" width="15.28515625" bestFit="1" customWidth="1"/>
    <col min="46" max="46" width="16.42578125" bestFit="1" customWidth="1"/>
  </cols>
  <sheetData>
    <row r="1" spans="1:42" ht="23.25" x14ac:dyDescent="0.35">
      <c r="B1" s="1189" t="str">
        <f>CONCATENATE(B3," - ",B4," - ",B5," - ",B6)</f>
        <v xml:space="preserve">I.E.N 1182 - MES DE ENERO DEL 2025 - EL BOSQUE - CERCO + INGRESOS Y CASETAS - FASE 400: ENCOFRADO </v>
      </c>
      <c r="C1" s="1190"/>
      <c r="D1" s="1190"/>
      <c r="E1" s="1190"/>
      <c r="F1" s="1190"/>
      <c r="G1" s="1190"/>
      <c r="H1" s="1190"/>
      <c r="I1" s="1190"/>
      <c r="J1" s="1190"/>
      <c r="K1" s="1190"/>
      <c r="L1" s="1190"/>
      <c r="M1" s="1190"/>
      <c r="N1" s="1190"/>
      <c r="O1" s="1190"/>
      <c r="P1" s="1190"/>
      <c r="Q1" s="1190"/>
      <c r="R1" s="1190"/>
      <c r="S1" s="1190"/>
      <c r="T1" s="1190"/>
      <c r="U1" s="1190"/>
      <c r="V1" s="1190"/>
      <c r="W1" s="1190"/>
      <c r="X1" s="1190"/>
      <c r="Y1" s="1190"/>
      <c r="Z1" s="1190"/>
      <c r="AA1" s="1190"/>
      <c r="AB1" s="1190"/>
      <c r="AC1" s="1190"/>
      <c r="AD1" s="1190"/>
      <c r="AE1" s="1191"/>
    </row>
    <row r="2" spans="1:42" ht="15.75" x14ac:dyDescent="0.25">
      <c r="H2" s="37"/>
      <c r="J2" s="39"/>
      <c r="K2" s="43" t="e">
        <f>+K7/Y7</f>
        <v>#DIV/0!</v>
      </c>
      <c r="L2" s="43"/>
      <c r="M2" s="41"/>
      <c r="N2" s="94">
        <f>+YEAR(N5)</f>
        <v>2019</v>
      </c>
      <c r="O2" s="94">
        <f t="shared" ref="O2:R2" si="0">+YEAR(O5)</f>
        <v>2019</v>
      </c>
      <c r="P2" s="94">
        <f t="shared" si="0"/>
        <v>2019</v>
      </c>
      <c r="Q2" s="94">
        <f t="shared" si="0"/>
        <v>2019</v>
      </c>
      <c r="R2" s="94">
        <f t="shared" si="0"/>
        <v>2019</v>
      </c>
      <c r="S2" s="94">
        <f>S5</f>
        <v>2024</v>
      </c>
      <c r="U2" s="34">
        <v>43466</v>
      </c>
      <c r="Y2" s="21"/>
      <c r="Z2" s="37"/>
      <c r="AA2" s="37"/>
      <c r="AB2" s="37"/>
    </row>
    <row r="3" spans="1:42" s="5" customFormat="1" ht="18.75" customHeight="1" x14ac:dyDescent="0.25">
      <c r="A3" s="311"/>
      <c r="B3" s="311" t="s">
        <v>300</v>
      </c>
      <c r="C3" s="2"/>
      <c r="D3" s="2"/>
      <c r="E3" s="1162" t="s">
        <v>48</v>
      </c>
      <c r="F3" s="3"/>
      <c r="G3" s="1192" t="str">
        <f>+B4</f>
        <v>MES DE ENERO DEL 2025</v>
      </c>
      <c r="H3" s="1179"/>
      <c r="I3" s="3"/>
      <c r="J3" s="1168" t="s">
        <v>319</v>
      </c>
      <c r="K3" s="1193" t="s">
        <v>39</v>
      </c>
      <c r="L3" s="1196" t="s">
        <v>40</v>
      </c>
      <c r="M3" s="3"/>
      <c r="N3" s="1175" t="s">
        <v>50</v>
      </c>
      <c r="O3" s="1176"/>
      <c r="P3" s="1176"/>
      <c r="Q3" s="1176"/>
      <c r="R3" s="1176"/>
      <c r="S3" s="1177"/>
      <c r="T3" s="3"/>
      <c r="U3" s="1168" t="s">
        <v>41</v>
      </c>
      <c r="V3" s="1178"/>
      <c r="W3" s="1179"/>
      <c r="X3" s="3"/>
      <c r="Y3" s="1199" t="s">
        <v>49</v>
      </c>
      <c r="Z3" s="1200"/>
      <c r="AA3" s="1200"/>
      <c r="AB3" s="1200"/>
      <c r="AC3" s="1201"/>
      <c r="AD3" s="2"/>
      <c r="AE3" s="1229" t="s">
        <v>2</v>
      </c>
      <c r="AI3" s="1183" t="s">
        <v>30</v>
      </c>
      <c r="AJ3" s="1330" t="s">
        <v>342</v>
      </c>
      <c r="AK3" s="1226" t="s">
        <v>35</v>
      </c>
      <c r="AL3" s="1208">
        <v>45597</v>
      </c>
      <c r="AM3" s="1208">
        <v>45627</v>
      </c>
      <c r="AN3" s="1208">
        <v>45658</v>
      </c>
      <c r="AO3" s="1208">
        <v>45689</v>
      </c>
      <c r="AP3" s="1208">
        <v>45717</v>
      </c>
    </row>
    <row r="4" spans="1:42" s="5" customFormat="1" ht="31.5" x14ac:dyDescent="0.25">
      <c r="B4" s="312" t="s">
        <v>433</v>
      </c>
      <c r="C4" s="2"/>
      <c r="D4" s="2"/>
      <c r="E4" s="1163"/>
      <c r="F4" s="3"/>
      <c r="G4" s="1170"/>
      <c r="H4" s="1181"/>
      <c r="I4" s="3"/>
      <c r="J4" s="1169"/>
      <c r="K4" s="1194"/>
      <c r="L4" s="1197"/>
      <c r="M4" s="3"/>
      <c r="N4" s="309">
        <v>1</v>
      </c>
      <c r="O4" s="309">
        <f>+N4+1</f>
        <v>2</v>
      </c>
      <c r="P4" s="309">
        <f t="shared" ref="P4:R4" si="1">+O4+1</f>
        <v>3</v>
      </c>
      <c r="Q4" s="309">
        <f t="shared" si="1"/>
        <v>4</v>
      </c>
      <c r="R4" s="309">
        <f t="shared" si="1"/>
        <v>5</v>
      </c>
      <c r="S4" s="291" t="s">
        <v>150</v>
      </c>
      <c r="T4" s="3"/>
      <c r="U4" s="1170"/>
      <c r="V4" s="1180"/>
      <c r="W4" s="1181"/>
      <c r="X4" s="3"/>
      <c r="Y4" s="1202"/>
      <c r="Z4" s="1203"/>
      <c r="AA4" s="1203"/>
      <c r="AB4" s="1203"/>
      <c r="AC4" s="1204"/>
      <c r="AD4" s="2"/>
      <c r="AE4" s="1230"/>
      <c r="AI4" s="1184"/>
      <c r="AJ4" s="1331"/>
      <c r="AK4" s="1227"/>
      <c r="AL4" s="1209"/>
      <c r="AM4" s="1209"/>
      <c r="AN4" s="1209"/>
      <c r="AO4" s="1209"/>
      <c r="AP4" s="1209"/>
    </row>
    <row r="5" spans="1:42" s="5" customFormat="1" ht="31.5" x14ac:dyDescent="0.25">
      <c r="B5" s="805" t="s">
        <v>301</v>
      </c>
      <c r="C5" s="2"/>
      <c r="D5" s="2"/>
      <c r="E5" s="63" t="s">
        <v>3</v>
      </c>
      <c r="F5" s="60"/>
      <c r="G5" s="61" t="s">
        <v>4</v>
      </c>
      <c r="H5" s="61" t="s">
        <v>5</v>
      </c>
      <c r="I5" s="60"/>
      <c r="J5" s="1170"/>
      <c r="K5" s="1195"/>
      <c r="L5" s="1198"/>
      <c r="M5" s="3"/>
      <c r="N5" s="62">
        <v>43648</v>
      </c>
      <c r="O5" s="62">
        <f>+N5+31</f>
        <v>43679</v>
      </c>
      <c r="P5" s="62">
        <f t="shared" ref="P5:R5" si="2">+O5+31</f>
        <v>43710</v>
      </c>
      <c r="Q5" s="62">
        <f t="shared" si="2"/>
        <v>43741</v>
      </c>
      <c r="R5" s="62">
        <f t="shared" si="2"/>
        <v>43772</v>
      </c>
      <c r="S5" s="61">
        <f>+'DIRECTO '!S5</f>
        <v>2024</v>
      </c>
      <c r="T5" s="3"/>
      <c r="U5" s="61">
        <v>2024</v>
      </c>
      <c r="V5" s="61">
        <f>+U5+1</f>
        <v>2025</v>
      </c>
      <c r="W5" s="61">
        <f>+V5+1</f>
        <v>2026</v>
      </c>
      <c r="X5" s="60"/>
      <c r="Y5" s="62" t="s">
        <v>6</v>
      </c>
      <c r="Z5" s="61" t="s">
        <v>7</v>
      </c>
      <c r="AA5" s="61" t="s">
        <v>36</v>
      </c>
      <c r="AB5" s="63" t="s">
        <v>125</v>
      </c>
      <c r="AC5" s="61" t="s">
        <v>8</v>
      </c>
      <c r="AD5" s="59"/>
      <c r="AE5" s="604" t="s">
        <v>7</v>
      </c>
      <c r="AI5" s="1185"/>
      <c r="AJ5" s="1332"/>
      <c r="AK5" s="1228"/>
      <c r="AL5" s="1210"/>
      <c r="AM5" s="1210"/>
      <c r="AN5" s="1210"/>
      <c r="AO5" s="1210"/>
      <c r="AP5" s="1210"/>
    </row>
    <row r="6" spans="1:42" s="5" customFormat="1" ht="15.75" x14ac:dyDescent="0.25">
      <c r="B6" s="312" t="s">
        <v>323</v>
      </c>
      <c r="C6" s="2"/>
      <c r="D6" s="2"/>
      <c r="E6" s="2"/>
      <c r="F6" s="2"/>
      <c r="G6" s="2"/>
      <c r="H6" s="2"/>
      <c r="I6" s="2"/>
      <c r="J6" s="2"/>
      <c r="K6" s="2"/>
      <c r="L6" s="2"/>
      <c r="M6" s="2"/>
      <c r="N6" s="2"/>
      <c r="O6" s="7"/>
      <c r="P6" s="2"/>
      <c r="Q6" s="2"/>
      <c r="R6" s="2"/>
      <c r="S6" s="2"/>
      <c r="T6" s="2"/>
      <c r="U6" s="2"/>
      <c r="V6" s="2"/>
      <c r="W6" s="2"/>
      <c r="X6" s="2"/>
      <c r="Y6" s="2"/>
      <c r="Z6" s="2"/>
      <c r="AA6" s="2"/>
      <c r="AB6" s="2"/>
      <c r="AC6" s="2"/>
      <c r="AD6" s="2"/>
      <c r="AE6" s="87"/>
      <c r="AI6" s="527"/>
    </row>
    <row r="7" spans="1:42" s="5" customFormat="1" ht="27.6" customHeight="1" x14ac:dyDescent="0.3">
      <c r="B7" s="56" t="s">
        <v>32</v>
      </c>
      <c r="C7" s="57"/>
      <c r="D7" s="2"/>
      <c r="E7" s="606">
        <f>+E9</f>
        <v>0</v>
      </c>
      <c r="F7" s="87"/>
      <c r="G7" s="608">
        <f>+G9</f>
        <v>5240945.6499458179</v>
      </c>
      <c r="H7" s="608">
        <f>+H9</f>
        <v>0</v>
      </c>
      <c r="I7" s="87"/>
      <c r="J7" s="606">
        <f>+J9</f>
        <v>0</v>
      </c>
      <c r="K7" s="607">
        <f>+K9</f>
        <v>0</v>
      </c>
      <c r="L7" s="608">
        <f>+L9</f>
        <v>0</v>
      </c>
      <c r="M7" s="87"/>
      <c r="N7" s="606">
        <f t="shared" ref="N7:S7" si="3">+N9</f>
        <v>0</v>
      </c>
      <c r="O7" s="607">
        <f t="shared" si="3"/>
        <v>0</v>
      </c>
      <c r="P7" s="607">
        <f t="shared" si="3"/>
        <v>0</v>
      </c>
      <c r="Q7" s="607">
        <f t="shared" si="3"/>
        <v>0</v>
      </c>
      <c r="R7" s="607">
        <f t="shared" si="3"/>
        <v>0</v>
      </c>
      <c r="S7" s="608">
        <f t="shared" si="3"/>
        <v>0</v>
      </c>
      <c r="T7" s="87"/>
      <c r="U7" s="606">
        <f>+U9</f>
        <v>0</v>
      </c>
      <c r="V7" s="607">
        <f>+V9</f>
        <v>0</v>
      </c>
      <c r="W7" s="608">
        <f>+W9</f>
        <v>0</v>
      </c>
      <c r="X7" s="333"/>
      <c r="Y7" s="606">
        <f>+Y9</f>
        <v>0</v>
      </c>
      <c r="Z7" s="606">
        <f>+Z9</f>
        <v>46197191.833873391</v>
      </c>
      <c r="AA7" s="607">
        <f>+AA9</f>
        <v>0</v>
      </c>
      <c r="AB7" s="607">
        <f>+AB9</f>
        <v>0</v>
      </c>
      <c r="AC7" s="608">
        <f>+AC9</f>
        <v>46197191.845799997</v>
      </c>
      <c r="AD7" s="333"/>
      <c r="AE7" s="650">
        <f>+AE9</f>
        <v>0</v>
      </c>
      <c r="AF7" s="444"/>
      <c r="AG7" s="531">
        <f>+AC7-Y7</f>
        <v>46197191.845799997</v>
      </c>
      <c r="AH7" s="295"/>
      <c r="AI7" s="392">
        <f>+AI9</f>
        <v>0</v>
      </c>
      <c r="AJ7" s="393">
        <f t="shared" ref="AJ7:AP7" si="4">+AJ9</f>
        <v>0</v>
      </c>
      <c r="AK7" s="393"/>
      <c r="AL7" s="393">
        <f t="shared" si="4"/>
        <v>0</v>
      </c>
      <c r="AM7" s="393">
        <f t="shared" si="4"/>
        <v>0</v>
      </c>
      <c r="AN7" s="393">
        <f t="shared" si="4"/>
        <v>0</v>
      </c>
      <c r="AO7" s="393">
        <f t="shared" si="4"/>
        <v>0</v>
      </c>
      <c r="AP7" s="393">
        <f t="shared" si="4"/>
        <v>0</v>
      </c>
    </row>
    <row r="8" spans="1:42" s="5" customFormat="1" ht="19.149999999999999" customHeight="1" x14ac:dyDescent="0.3">
      <c r="B8" s="2"/>
      <c r="C8" s="2"/>
      <c r="D8" s="2"/>
      <c r="E8" s="87"/>
      <c r="F8" s="87"/>
      <c r="G8" s="87"/>
      <c r="H8" s="87"/>
      <c r="I8" s="87"/>
      <c r="J8" s="87"/>
      <c r="K8" s="87"/>
      <c r="L8" s="87"/>
      <c r="M8" s="87"/>
      <c r="N8" s="87"/>
      <c r="O8" s="87"/>
      <c r="P8" s="87"/>
      <c r="Q8" s="87"/>
      <c r="R8" s="87"/>
      <c r="S8" s="87"/>
      <c r="T8" s="87"/>
      <c r="U8" s="87"/>
      <c r="V8" s="87"/>
      <c r="W8" s="87"/>
      <c r="X8" s="333"/>
      <c r="Y8" s="87"/>
      <c r="Z8" s="87"/>
      <c r="AA8" s="87"/>
      <c r="AB8" s="87"/>
      <c r="AC8" s="87"/>
      <c r="AD8" s="333"/>
      <c r="AE8" s="87"/>
      <c r="AF8" s="293"/>
      <c r="AG8" s="532"/>
      <c r="AH8" s="295"/>
      <c r="AI8" s="394"/>
      <c r="AJ8" s="394"/>
      <c r="AK8" s="394"/>
      <c r="AL8" s="394"/>
      <c r="AM8" s="394"/>
      <c r="AN8" s="394"/>
      <c r="AO8" s="394"/>
      <c r="AP8" s="394"/>
    </row>
    <row r="9" spans="1:42" s="5" customFormat="1" ht="18.75" x14ac:dyDescent="0.3">
      <c r="B9" s="9" t="s">
        <v>153</v>
      </c>
      <c r="C9" s="10"/>
      <c r="D9" s="2"/>
      <c r="E9" s="663">
        <f>+SUM(E11:E13)</f>
        <v>0</v>
      </c>
      <c r="F9" s="87"/>
      <c r="G9" s="611">
        <f>+SUM(G11:G13)</f>
        <v>5240945.6499458179</v>
      </c>
      <c r="H9" s="611">
        <f>+SUM(H11:H13)</f>
        <v>0</v>
      </c>
      <c r="I9" s="87"/>
      <c r="J9" s="609">
        <f>+SUM(J11:J13)</f>
        <v>0</v>
      </c>
      <c r="K9" s="610">
        <f>+SUM(K11:K13)</f>
        <v>0</v>
      </c>
      <c r="L9" s="611">
        <f>+SUM(L11:L12)</f>
        <v>0</v>
      </c>
      <c r="M9" s="87"/>
      <c r="N9" s="609">
        <f t="shared" ref="N9:S9" si="5">+SUM(N11:N13)</f>
        <v>0</v>
      </c>
      <c r="O9" s="610">
        <f t="shared" si="5"/>
        <v>0</v>
      </c>
      <c r="P9" s="610">
        <f t="shared" si="5"/>
        <v>0</v>
      </c>
      <c r="Q9" s="610">
        <f t="shared" si="5"/>
        <v>0</v>
      </c>
      <c r="R9" s="610">
        <f t="shared" si="5"/>
        <v>0</v>
      </c>
      <c r="S9" s="611">
        <f t="shared" si="5"/>
        <v>0</v>
      </c>
      <c r="T9" s="87"/>
      <c r="U9" s="609">
        <f>+SUM(U11:U13)</f>
        <v>0</v>
      </c>
      <c r="V9" s="610">
        <f>+SUM(V11:V13)</f>
        <v>0</v>
      </c>
      <c r="W9" s="611">
        <f>+SUM(W11:W13)</f>
        <v>0</v>
      </c>
      <c r="X9" s="333"/>
      <c r="Y9" s="609">
        <f>+SUM(Y11:Y13)</f>
        <v>0</v>
      </c>
      <c r="Z9" s="609">
        <f>+SUM(Z11:Z13)</f>
        <v>46197191.833873391</v>
      </c>
      <c r="AA9" s="610">
        <f>+SUM(AA11:AA13)</f>
        <v>0</v>
      </c>
      <c r="AB9" s="610">
        <f>+SUM(AB11:AB13)</f>
        <v>0</v>
      </c>
      <c r="AC9" s="611">
        <f>+SUM(AC11:AC13)</f>
        <v>46197191.845799997</v>
      </c>
      <c r="AD9" s="333"/>
      <c r="AE9" s="663">
        <f>+SUM(AE11:AE13)</f>
        <v>0</v>
      </c>
      <c r="AF9" s="444"/>
      <c r="AG9" s="531">
        <f>+AC9-Y9</f>
        <v>46197191.845799997</v>
      </c>
      <c r="AH9" s="295"/>
      <c r="AI9" s="395">
        <f t="shared" ref="AI9:AP9" si="6">+SUM(AI11:AI13)</f>
        <v>0</v>
      </c>
      <c r="AJ9" s="395">
        <f t="shared" si="6"/>
        <v>0</v>
      </c>
      <c r="AK9" s="395"/>
      <c r="AL9" s="395">
        <f t="shared" si="6"/>
        <v>0</v>
      </c>
      <c r="AM9" s="395">
        <f t="shared" si="6"/>
        <v>0</v>
      </c>
      <c r="AN9" s="395">
        <f t="shared" si="6"/>
        <v>0</v>
      </c>
      <c r="AO9" s="395">
        <f t="shared" si="6"/>
        <v>0</v>
      </c>
      <c r="AP9" s="395">
        <f t="shared" si="6"/>
        <v>0</v>
      </c>
    </row>
    <row r="10" spans="1:42" s="5" customFormat="1" ht="7.5" customHeight="1" x14ac:dyDescent="0.3">
      <c r="E10" s="499"/>
      <c r="F10" s="499"/>
      <c r="G10" s="499"/>
      <c r="H10" s="499"/>
      <c r="I10" s="499"/>
      <c r="J10" s="499"/>
      <c r="K10" s="499"/>
      <c r="L10" s="499"/>
      <c r="M10" s="499"/>
      <c r="N10" s="499"/>
      <c r="O10" s="499"/>
      <c r="P10" s="499"/>
      <c r="Q10" s="499"/>
      <c r="R10" s="499"/>
      <c r="S10" s="499"/>
      <c r="T10" s="499"/>
      <c r="U10" s="499"/>
      <c r="V10" s="499"/>
      <c r="W10" s="499"/>
      <c r="X10" s="347"/>
      <c r="Y10" s="499"/>
      <c r="Z10" s="499"/>
      <c r="AA10" s="499"/>
      <c r="AB10" s="499"/>
      <c r="AC10" s="499"/>
      <c r="AD10" s="347"/>
      <c r="AE10" s="499"/>
      <c r="AF10" s="293"/>
      <c r="AG10" s="532"/>
      <c r="AH10" s="295"/>
      <c r="AI10" s="396"/>
      <c r="AJ10" s="396"/>
      <c r="AK10" s="396"/>
      <c r="AL10" s="396"/>
      <c r="AM10" s="396"/>
      <c r="AN10" s="396"/>
      <c r="AO10" s="396"/>
      <c r="AP10" s="396"/>
    </row>
    <row r="11" spans="1:42" s="5" customFormat="1" ht="18.75" x14ac:dyDescent="0.3">
      <c r="B11" s="13" t="s">
        <v>151</v>
      </c>
      <c r="C11" s="14"/>
      <c r="E11" s="476">
        <f>+SUM(AL11:AP11)</f>
        <v>0</v>
      </c>
      <c r="F11" s="499"/>
      <c r="G11" s="612">
        <v>5240945.6499458179</v>
      </c>
      <c r="H11" s="523">
        <f>AJ11</f>
        <v>0</v>
      </c>
      <c r="I11" s="499"/>
      <c r="J11" s="635">
        <f>+H11+AE11</f>
        <v>0</v>
      </c>
      <c r="K11" s="613">
        <f>+E11+J11</f>
        <v>0</v>
      </c>
      <c r="L11" s="520"/>
      <c r="M11" s="499"/>
      <c r="N11" s="612">
        <v>0</v>
      </c>
      <c r="O11" s="613">
        <v>0</v>
      </c>
      <c r="P11" s="613">
        <v>0</v>
      </c>
      <c r="Q11" s="613">
        <v>0</v>
      </c>
      <c r="R11" s="613"/>
      <c r="S11" s="636">
        <f>+SUMIFS(N11:R11,N$2:R$2,$S$5)</f>
        <v>0</v>
      </c>
      <c r="T11" s="499"/>
      <c r="U11" s="612">
        <f>+SUMIFS(N11:S11,N$2:S$2,$U$5)</f>
        <v>0</v>
      </c>
      <c r="V11" s="613">
        <f>+SUMIFS(N11:S11,N$2:S$2,$V$5)</f>
        <v>0</v>
      </c>
      <c r="W11" s="520">
        <f>+SUMIFS(N11:S11,N$2:S$2,$W$5)</f>
        <v>0</v>
      </c>
      <c r="X11" s="347"/>
      <c r="Y11" s="612"/>
      <c r="Z11" s="613">
        <v>46197191.833873391</v>
      </c>
      <c r="AA11" s="613">
        <v>0</v>
      </c>
      <c r="AB11" s="613">
        <v>0</v>
      </c>
      <c r="AC11" s="520">
        <v>46197191.845799997</v>
      </c>
      <c r="AD11" s="347"/>
      <c r="AE11" s="476"/>
      <c r="AF11" s="444"/>
      <c r="AG11" s="531">
        <f>+AC11-Y11</f>
        <v>46197191.845799997</v>
      </c>
      <c r="AH11" s="295"/>
      <c r="AI11" s="397">
        <f>SUM(AL11:AP11)</f>
        <v>0</v>
      </c>
      <c r="AJ11" s="953">
        <f>SUM(AL11:AM11)</f>
        <v>0</v>
      </c>
      <c r="AK11" s="671">
        <f>+AN11</f>
        <v>0</v>
      </c>
      <c r="AL11" s="446"/>
      <c r="AM11" s="446"/>
      <c r="AN11" s="446"/>
      <c r="AO11" s="446"/>
      <c r="AP11" s="446"/>
    </row>
    <row r="12" spans="1:42" s="5" customFormat="1" ht="18.75" x14ac:dyDescent="0.3">
      <c r="B12" s="15" t="s">
        <v>152</v>
      </c>
      <c r="C12" s="16"/>
      <c r="E12" s="652">
        <f>+SUM(AL12:AP12)</f>
        <v>0</v>
      </c>
      <c r="F12" s="499"/>
      <c r="G12" s="638">
        <v>0</v>
      </c>
      <c r="H12" s="658">
        <f>AJ12</f>
        <v>0</v>
      </c>
      <c r="I12" s="499"/>
      <c r="J12" s="614">
        <f>+H12+AE12</f>
        <v>0</v>
      </c>
      <c r="K12" s="615">
        <f>+E12+J12</f>
        <v>0</v>
      </c>
      <c r="L12" s="616">
        <f>+SUM(N12:R12)</f>
        <v>0</v>
      </c>
      <c r="M12" s="499"/>
      <c r="N12" s="638">
        <v>0</v>
      </c>
      <c r="O12" s="622">
        <v>0</v>
      </c>
      <c r="P12" s="622">
        <v>0</v>
      </c>
      <c r="Q12" s="622">
        <v>0</v>
      </c>
      <c r="R12" s="622">
        <v>0</v>
      </c>
      <c r="S12" s="665">
        <f>+SUMIFS(N12:R12,N$2:R$2,$S$5)</f>
        <v>0</v>
      </c>
      <c r="T12" s="499"/>
      <c r="U12" s="638">
        <f>+SUMIFS(N12:S12,N$2:S$2,$U$5)</f>
        <v>0</v>
      </c>
      <c r="V12" s="622">
        <f>+SUMIFS(N12:S12,N$2:S$2,$V$5)</f>
        <v>0</v>
      </c>
      <c r="W12" s="624">
        <f>+SUMIFS(N12:S12,N$2:S$2,$W$5)</f>
        <v>0</v>
      </c>
      <c r="X12" s="347"/>
      <c r="Y12" s="645">
        <f>+K12+L12</f>
        <v>0</v>
      </c>
      <c r="Z12" s="622">
        <v>0</v>
      </c>
      <c r="AA12" s="622">
        <v>0</v>
      </c>
      <c r="AB12" s="622"/>
      <c r="AC12" s="623">
        <v>0</v>
      </c>
      <c r="AD12" s="347"/>
      <c r="AE12" s="652"/>
      <c r="AF12" s="444"/>
      <c r="AG12" s="531">
        <f>+AC12-Y12</f>
        <v>0</v>
      </c>
      <c r="AH12" s="295"/>
      <c r="AI12" s="397">
        <f>SUM(AL12:AP12)</f>
        <v>0</v>
      </c>
      <c r="AJ12" s="953">
        <f>SUM(AL12:AM12)</f>
        <v>0</v>
      </c>
      <c r="AK12" s="671">
        <f>+AN12</f>
        <v>0</v>
      </c>
      <c r="AL12" s="446"/>
      <c r="AM12" s="446"/>
      <c r="AN12" s="446"/>
      <c r="AO12" s="446"/>
      <c r="AP12" s="446"/>
    </row>
    <row r="13" spans="1:42" s="5" customFormat="1" ht="18.75" x14ac:dyDescent="0.3">
      <c r="B13" s="17" t="s">
        <v>42</v>
      </c>
      <c r="C13" s="18"/>
      <c r="D13" s="728"/>
      <c r="E13" s="642">
        <f>+SUM(AL13:AP13)</f>
        <v>0</v>
      </c>
      <c r="F13" s="947"/>
      <c r="G13" s="617"/>
      <c r="H13" s="524">
        <f>AJ13</f>
        <v>0</v>
      </c>
      <c r="I13" s="947"/>
      <c r="J13" s="617">
        <f>+H13+AE13</f>
        <v>0</v>
      </c>
      <c r="K13" s="618">
        <f t="shared" ref="K13" si="7">+E13+J13</f>
        <v>0</v>
      </c>
      <c r="L13" s="619">
        <f>+SUM(N13:R13)</f>
        <v>0</v>
      </c>
      <c r="M13" s="947"/>
      <c r="N13" s="648"/>
      <c r="O13" s="649"/>
      <c r="P13" s="649"/>
      <c r="Q13" s="649"/>
      <c r="R13" s="649"/>
      <c r="S13" s="666">
        <f>+SUMIFS(N13:R13,N$2:R$2,$S$5)</f>
        <v>0</v>
      </c>
      <c r="T13" s="947"/>
      <c r="U13" s="617">
        <f>+SUMIFS(N13:S13,N$2:S$2,$U$5)</f>
        <v>0</v>
      </c>
      <c r="V13" s="618">
        <f>+SUMIFS(N13:S13,N$2:S$2,$V$5)</f>
        <v>0</v>
      </c>
      <c r="W13" s="505">
        <f>+SUMIFS(N13:S13,N$2:S$2,$W$5)</f>
        <v>0</v>
      </c>
      <c r="X13" s="584"/>
      <c r="Y13" s="648">
        <f>+K13+L13</f>
        <v>0</v>
      </c>
      <c r="Z13" s="618">
        <v>0</v>
      </c>
      <c r="AA13" s="618"/>
      <c r="AB13" s="618"/>
      <c r="AC13" s="619"/>
      <c r="AD13" s="584"/>
      <c r="AE13" s="642"/>
      <c r="AF13" s="948"/>
      <c r="AG13" s="949">
        <f t="shared" ref="AG13" si="8">+AC13-Y13</f>
        <v>0</v>
      </c>
      <c r="AH13" s="950"/>
      <c r="AI13" s="397">
        <f>SUM(AL13:AP13)</f>
        <v>0</v>
      </c>
      <c r="AJ13" s="953">
        <f>SUM(AL13:AM13)</f>
        <v>0</v>
      </c>
      <c r="AK13" s="671">
        <f>+AN13</f>
        <v>0</v>
      </c>
      <c r="AL13" s="446"/>
      <c r="AM13" s="446"/>
      <c r="AN13" s="446"/>
      <c r="AO13" s="446"/>
      <c r="AP13" s="446"/>
    </row>
    <row r="14" spans="1:42" s="5" customFormat="1" ht="18.75" x14ac:dyDescent="0.3">
      <c r="E14" s="347"/>
      <c r="F14" s="347"/>
      <c r="G14" s="347"/>
      <c r="H14" s="347"/>
      <c r="I14" s="347"/>
      <c r="J14" s="347"/>
      <c r="K14" s="347"/>
      <c r="L14" s="369"/>
      <c r="M14" s="347"/>
      <c r="N14" s="347"/>
      <c r="O14" s="347"/>
      <c r="P14" s="347"/>
      <c r="Q14" s="347"/>
      <c r="R14" s="347"/>
      <c r="S14" s="347"/>
      <c r="T14" s="347"/>
      <c r="U14" s="347"/>
      <c r="V14" s="347"/>
      <c r="W14" s="347"/>
      <c r="X14" s="347"/>
      <c r="Y14" s="347"/>
      <c r="Z14" s="347"/>
      <c r="AA14" s="347"/>
      <c r="AB14" s="347"/>
      <c r="AC14" s="347"/>
      <c r="AD14" s="347"/>
      <c r="AE14" s="499"/>
      <c r="AF14" s="443"/>
      <c r="AG14" s="534"/>
      <c r="AH14" s="294"/>
      <c r="AI14" s="399"/>
      <c r="AJ14" s="400"/>
      <c r="AK14" s="400"/>
      <c r="AL14" s="400"/>
      <c r="AM14" s="400"/>
      <c r="AN14" s="400"/>
      <c r="AO14" s="400"/>
      <c r="AP14" s="400"/>
    </row>
    <row r="15" spans="1:42" s="5" customFormat="1" ht="18.75" x14ac:dyDescent="0.3">
      <c r="B15" s="56" t="s">
        <v>9</v>
      </c>
      <c r="C15" s="57"/>
      <c r="D15" s="2"/>
      <c r="E15" s="650">
        <f>+SUM(E17:E26)+E28</f>
        <v>0</v>
      </c>
      <c r="F15" s="87"/>
      <c r="G15" s="606">
        <f>+SUM(G17:G26)+G28</f>
        <v>0</v>
      </c>
      <c r="H15" s="608">
        <f>+SUM(H17:H26)+H28</f>
        <v>0</v>
      </c>
      <c r="I15" s="87"/>
      <c r="J15" s="606">
        <f>+SUM(J17:J26)+J28</f>
        <v>0</v>
      </c>
      <c r="K15" s="607">
        <f>+SUM(K17:K26)+K28</f>
        <v>0</v>
      </c>
      <c r="L15" s="608">
        <f>+SUM(L17:L26,L28)</f>
        <v>0</v>
      </c>
      <c r="M15" s="87"/>
      <c r="N15" s="606">
        <f t="shared" ref="N15:R15" si="9">+SUM(N17:N26)+N28</f>
        <v>0</v>
      </c>
      <c r="O15" s="607">
        <f t="shared" si="9"/>
        <v>0</v>
      </c>
      <c r="P15" s="607">
        <f t="shared" si="9"/>
        <v>0</v>
      </c>
      <c r="Q15" s="607">
        <f t="shared" si="9"/>
        <v>0</v>
      </c>
      <c r="R15" s="607">
        <f t="shared" si="9"/>
        <v>0</v>
      </c>
      <c r="S15" s="608">
        <f>+SUM(S17:S26)+S28</f>
        <v>0</v>
      </c>
      <c r="T15" s="87"/>
      <c r="U15" s="606">
        <f>+SUM(U17:U26)+U28</f>
        <v>0</v>
      </c>
      <c r="V15" s="607">
        <f>+SUM(V17:V26)+V28</f>
        <v>0</v>
      </c>
      <c r="W15" s="608">
        <f>+SUM(W17:W26)+W28</f>
        <v>0</v>
      </c>
      <c r="X15" s="333"/>
      <c r="Y15" s="606">
        <f>+SUM(Y17:Y26)+Y28</f>
        <v>0</v>
      </c>
      <c r="Z15" s="606" t="e">
        <f>+SUM(Z17:Z26)+Z28</f>
        <v>#REF!</v>
      </c>
      <c r="AA15" s="607" t="e">
        <f>+SUM(AA17:AA26,AA28)</f>
        <v>#REF!</v>
      </c>
      <c r="AB15" s="607" t="e">
        <f>+SUM(AB17:AB26,AB28)</f>
        <v>#REF!</v>
      </c>
      <c r="AC15" s="608">
        <f>+SUM(AC17:AC26,AC28)</f>
        <v>46197191.84580002</v>
      </c>
      <c r="AD15" s="333"/>
      <c r="AE15" s="650">
        <f>+SUM(AE17:AE26,AE28)</f>
        <v>0</v>
      </c>
      <c r="AF15" s="444"/>
      <c r="AG15" s="531">
        <f>+AC15-Y15</f>
        <v>46197191.84580002</v>
      </c>
      <c r="AH15" s="295"/>
      <c r="AI15" s="392">
        <f>+SUM(AI17:AI26,AI28)</f>
        <v>0</v>
      </c>
      <c r="AJ15" s="392">
        <f t="shared" ref="AJ15:AP15" si="10">+SUM(AJ17:AJ26,AJ28)</f>
        <v>0</v>
      </c>
      <c r="AK15" s="392"/>
      <c r="AL15" s="392">
        <f t="shared" si="10"/>
        <v>0</v>
      </c>
      <c r="AM15" s="392">
        <f t="shared" si="10"/>
        <v>0</v>
      </c>
      <c r="AN15" s="392">
        <f t="shared" si="10"/>
        <v>0</v>
      </c>
      <c r="AO15" s="392">
        <f t="shared" si="10"/>
        <v>0</v>
      </c>
      <c r="AP15" s="392">
        <f t="shared" si="10"/>
        <v>0</v>
      </c>
    </row>
    <row r="16" spans="1:42" s="5" customFormat="1" ht="7.5" customHeight="1" x14ac:dyDescent="0.3">
      <c r="E16" s="499"/>
      <c r="F16" s="499"/>
      <c r="G16" s="499"/>
      <c r="H16" s="499"/>
      <c r="I16" s="499"/>
      <c r="J16" s="499"/>
      <c r="K16" s="499"/>
      <c r="L16" s="499"/>
      <c r="M16" s="499"/>
      <c r="N16" s="499"/>
      <c r="O16" s="499"/>
      <c r="P16" s="499"/>
      <c r="Q16" s="499"/>
      <c r="R16" s="499"/>
      <c r="S16" s="499"/>
      <c r="T16" s="499"/>
      <c r="U16" s="499"/>
      <c r="V16" s="499"/>
      <c r="W16" s="499"/>
      <c r="X16" s="347"/>
      <c r="Y16" s="499"/>
      <c r="Z16" s="499"/>
      <c r="AA16" s="499"/>
      <c r="AB16" s="499"/>
      <c r="AC16" s="499"/>
      <c r="AD16" s="347"/>
      <c r="AE16" s="499"/>
      <c r="AF16" s="442"/>
      <c r="AG16" s="532"/>
      <c r="AH16" s="295"/>
      <c r="AI16" s="396"/>
      <c r="AJ16" s="400"/>
      <c r="AK16" s="400"/>
      <c r="AL16" s="400"/>
      <c r="AM16" s="400"/>
      <c r="AN16" s="400"/>
      <c r="AO16" s="400"/>
      <c r="AP16" s="400"/>
    </row>
    <row r="17" spans="2:42" s="5" customFormat="1" ht="18.75" x14ac:dyDescent="0.3">
      <c r="B17" s="13" t="s">
        <v>10</v>
      </c>
      <c r="C17" s="14"/>
      <c r="E17" s="476">
        <f t="shared" ref="E17:E26" si="11">+SUM(AL17:AP17)</f>
        <v>0</v>
      </c>
      <c r="F17" s="499"/>
      <c r="G17" s="612"/>
      <c r="H17" s="523">
        <f t="shared" ref="H17:H26" si="12">AJ17</f>
        <v>0</v>
      </c>
      <c r="I17" s="499"/>
      <c r="J17" s="635">
        <f t="shared" ref="J17:J26" si="13">+H17+AE17</f>
        <v>0</v>
      </c>
      <c r="K17" s="613">
        <f>+E17+J17</f>
        <v>0</v>
      </c>
      <c r="L17" s="636">
        <f t="shared" ref="L17:L26" si="14">+SUM(N17:R17)</f>
        <v>0</v>
      </c>
      <c r="M17" s="499"/>
      <c r="N17" s="612"/>
      <c r="O17" s="613"/>
      <c r="P17" s="613"/>
      <c r="Q17" s="613"/>
      <c r="R17" s="613"/>
      <c r="S17" s="636">
        <f t="shared" ref="S17:S26" si="15">+SUMIFS(N17:R17,N$2:R$2,$S$5)</f>
        <v>0</v>
      </c>
      <c r="T17" s="499"/>
      <c r="U17" s="612">
        <f t="shared" ref="U17:U26" si="16">+SUMIFS(N17:S17,N$2:S$2,$U$5)</f>
        <v>0</v>
      </c>
      <c r="V17" s="613">
        <f t="shared" ref="V17:V26" si="17">+SUMIFS(N17:S17,N$2:S$2,$V$5)</f>
        <v>0</v>
      </c>
      <c r="W17" s="636">
        <f t="shared" ref="W17:W26" si="18">+SUMIFS(N17:S17,N$2:S$2,$W$5)</f>
        <v>0</v>
      </c>
      <c r="X17" s="347"/>
      <c r="Y17" s="612">
        <f t="shared" ref="Y17:Y26" si="19">+K17+L17</f>
        <v>0</v>
      </c>
      <c r="Z17" s="613" t="e">
        <f>+Mat!#REF!</f>
        <v>#REF!</v>
      </c>
      <c r="AA17" s="613" t="e">
        <f>+Mat!#REF!</f>
        <v>#REF!</v>
      </c>
      <c r="AB17" s="613" t="e">
        <f>+Mat!#REF!</f>
        <v>#REF!</v>
      </c>
      <c r="AC17" s="520">
        <v>32677215.798648324</v>
      </c>
      <c r="AD17" s="347"/>
      <c r="AE17" s="476"/>
      <c r="AF17" s="444"/>
      <c r="AG17" s="531">
        <f>+AC17-Y17</f>
        <v>32677215.798648324</v>
      </c>
      <c r="AH17" s="295"/>
      <c r="AI17" s="397">
        <f>SUM(AL17:AP17)</f>
        <v>0</v>
      </c>
      <c r="AJ17" s="953">
        <f>SUM(AL17:AM17)</f>
        <v>0</v>
      </c>
      <c r="AK17" s="671">
        <f>+AN17</f>
        <v>0</v>
      </c>
      <c r="AL17" s="446"/>
      <c r="AM17" s="446"/>
      <c r="AN17" s="446"/>
      <c r="AO17" s="446"/>
      <c r="AP17" s="446"/>
    </row>
    <row r="18" spans="2:42" s="5" customFormat="1" ht="18.75" x14ac:dyDescent="0.3">
      <c r="B18" s="15" t="s">
        <v>11</v>
      </c>
      <c r="C18" s="16"/>
      <c r="E18" s="478">
        <f t="shared" si="11"/>
        <v>0</v>
      </c>
      <c r="F18" s="499"/>
      <c r="G18" s="640"/>
      <c r="H18" s="651">
        <f t="shared" si="12"/>
        <v>0</v>
      </c>
      <c r="I18" s="499"/>
      <c r="J18" s="638">
        <f t="shared" si="13"/>
        <v>0</v>
      </c>
      <c r="K18" s="622">
        <f>+J18+E18</f>
        <v>0</v>
      </c>
      <c r="L18" s="639">
        <f t="shared" si="14"/>
        <v>0</v>
      </c>
      <c r="M18" s="499"/>
      <c r="N18" s="640"/>
      <c r="O18" s="620"/>
      <c r="P18" s="620"/>
      <c r="Q18" s="620"/>
      <c r="R18" s="620"/>
      <c r="S18" s="639">
        <f t="shared" si="15"/>
        <v>0</v>
      </c>
      <c r="T18" s="499"/>
      <c r="U18" s="640">
        <f t="shared" si="16"/>
        <v>0</v>
      </c>
      <c r="V18" s="620">
        <f t="shared" si="17"/>
        <v>0</v>
      </c>
      <c r="W18" s="639">
        <f t="shared" si="18"/>
        <v>0</v>
      </c>
      <c r="X18" s="347"/>
      <c r="Y18" s="645">
        <f t="shared" si="19"/>
        <v>0</v>
      </c>
      <c r="Z18" s="620">
        <f>+MO!Z57</f>
        <v>0</v>
      </c>
      <c r="AA18" s="620">
        <f>+MO!AA57</f>
        <v>0</v>
      </c>
      <c r="AB18" s="620">
        <f>+MO!AB57</f>
        <v>0</v>
      </c>
      <c r="AC18" s="624">
        <v>11496337.688673779</v>
      </c>
      <c r="AD18" s="347"/>
      <c r="AE18" s="476"/>
      <c r="AF18" s="444"/>
      <c r="AG18" s="531">
        <f t="shared" ref="AG18:AG26" si="20">+AC18-Y18</f>
        <v>11496337.688673779</v>
      </c>
      <c r="AH18" s="295"/>
      <c r="AI18" s="397">
        <f>SUM(AL18:AP18)</f>
        <v>0</v>
      </c>
      <c r="AJ18" s="953">
        <f>SUM(AL18:AM18)</f>
        <v>0</v>
      </c>
      <c r="AK18" s="671">
        <f>+AN18</f>
        <v>0</v>
      </c>
      <c r="AL18" s="446"/>
      <c r="AM18" s="446"/>
      <c r="AN18" s="446"/>
      <c r="AO18" s="446"/>
      <c r="AP18" s="446"/>
    </row>
    <row r="19" spans="2:42" s="5" customFormat="1" ht="18.75" x14ac:dyDescent="0.3">
      <c r="B19" s="15" t="s">
        <v>43</v>
      </c>
      <c r="C19" s="16"/>
      <c r="E19" s="652">
        <f t="shared" si="11"/>
        <v>0</v>
      </c>
      <c r="F19" s="499"/>
      <c r="G19" s="638"/>
      <c r="H19" s="651">
        <f t="shared" si="12"/>
        <v>0</v>
      </c>
      <c r="I19" s="499"/>
      <c r="J19" s="638">
        <f t="shared" si="13"/>
        <v>0</v>
      </c>
      <c r="K19" s="622">
        <f t="shared" ref="K19:K25" si="21">+J19+E19</f>
        <v>0</v>
      </c>
      <c r="L19" s="621">
        <f t="shared" si="14"/>
        <v>0</v>
      </c>
      <c r="M19" s="499"/>
      <c r="N19" s="638"/>
      <c r="O19" s="622"/>
      <c r="P19" s="622"/>
      <c r="Q19" s="622"/>
      <c r="R19" s="622"/>
      <c r="S19" s="621">
        <f t="shared" si="15"/>
        <v>0</v>
      </c>
      <c r="T19" s="499"/>
      <c r="U19" s="638">
        <f t="shared" si="16"/>
        <v>0</v>
      </c>
      <c r="V19" s="622">
        <f t="shared" si="17"/>
        <v>0</v>
      </c>
      <c r="W19" s="621">
        <f t="shared" si="18"/>
        <v>0</v>
      </c>
      <c r="X19" s="347"/>
      <c r="Y19" s="645">
        <f t="shared" si="19"/>
        <v>0</v>
      </c>
      <c r="Z19" s="622">
        <f>+SC!Z39</f>
        <v>0</v>
      </c>
      <c r="AA19" s="622">
        <f>+SC!AA39</f>
        <v>0</v>
      </c>
      <c r="AB19" s="622">
        <f>+SC!AB39</f>
        <v>0</v>
      </c>
      <c r="AC19" s="623">
        <v>0</v>
      </c>
      <c r="AD19" s="347"/>
      <c r="AE19" s="476"/>
      <c r="AF19" s="444"/>
      <c r="AG19" s="531">
        <f t="shared" si="20"/>
        <v>0</v>
      </c>
      <c r="AH19" s="295"/>
      <c r="AI19" s="397">
        <f>SUM(AL19:AP19)</f>
        <v>0</v>
      </c>
      <c r="AJ19" s="953">
        <f>SUM(AL19:AM19)</f>
        <v>0</v>
      </c>
      <c r="AK19" s="671">
        <f>+AN19</f>
        <v>0</v>
      </c>
      <c r="AL19" s="446"/>
      <c r="AM19" s="446"/>
      <c r="AN19" s="446"/>
      <c r="AO19" s="446"/>
      <c r="AP19" s="446"/>
    </row>
    <row r="20" spans="2:42" s="5" customFormat="1" ht="18.75" x14ac:dyDescent="0.3">
      <c r="B20" s="15" t="s">
        <v>38</v>
      </c>
      <c r="C20" s="16"/>
      <c r="E20" s="652">
        <f t="shared" si="11"/>
        <v>0</v>
      </c>
      <c r="F20" s="499"/>
      <c r="G20" s="638"/>
      <c r="H20" s="651">
        <f t="shared" si="12"/>
        <v>0</v>
      </c>
      <c r="I20" s="499"/>
      <c r="J20" s="638">
        <f t="shared" si="13"/>
        <v>0</v>
      </c>
      <c r="K20" s="622">
        <f>+J20+E20</f>
        <v>0</v>
      </c>
      <c r="L20" s="621">
        <f t="shared" si="14"/>
        <v>0</v>
      </c>
      <c r="M20" s="499"/>
      <c r="N20" s="638"/>
      <c r="O20" s="622"/>
      <c r="P20" s="622"/>
      <c r="Q20" s="622"/>
      <c r="R20" s="622"/>
      <c r="S20" s="621">
        <f t="shared" si="15"/>
        <v>0</v>
      </c>
      <c r="T20" s="499"/>
      <c r="U20" s="638">
        <f t="shared" si="16"/>
        <v>0</v>
      </c>
      <c r="V20" s="622">
        <f t="shared" si="17"/>
        <v>0</v>
      </c>
      <c r="W20" s="621">
        <f t="shared" si="18"/>
        <v>0</v>
      </c>
      <c r="X20" s="347"/>
      <c r="Y20" s="645">
        <f t="shared" si="19"/>
        <v>0</v>
      </c>
      <c r="Z20" s="622">
        <f>+SER!Z35</f>
        <v>0</v>
      </c>
      <c r="AA20" s="622"/>
      <c r="AB20" s="622"/>
      <c r="AC20" s="623"/>
      <c r="AD20" s="347"/>
      <c r="AE20" s="476"/>
      <c r="AF20" s="444"/>
      <c r="AG20" s="531">
        <f t="shared" si="20"/>
        <v>0</v>
      </c>
      <c r="AH20" s="295"/>
      <c r="AI20" s="397">
        <f>SUM(AL20:AP20)</f>
        <v>0</v>
      </c>
      <c r="AJ20" s="953">
        <f>SUM(AL20:AM20)</f>
        <v>0</v>
      </c>
      <c r="AK20" s="671">
        <f>+AN20</f>
        <v>0</v>
      </c>
      <c r="AL20" s="446"/>
      <c r="AM20" s="446"/>
      <c r="AN20" s="446"/>
      <c r="AO20" s="446"/>
      <c r="AP20" s="446"/>
    </row>
    <row r="21" spans="2:42" s="5" customFormat="1" ht="18.75" x14ac:dyDescent="0.3">
      <c r="B21" s="15" t="s">
        <v>12</v>
      </c>
      <c r="C21" s="16"/>
      <c r="E21" s="652">
        <f t="shared" si="11"/>
        <v>0</v>
      </c>
      <c r="F21" s="499"/>
      <c r="G21" s="638"/>
      <c r="H21" s="651">
        <f t="shared" si="12"/>
        <v>0</v>
      </c>
      <c r="I21" s="499"/>
      <c r="J21" s="638">
        <f t="shared" si="13"/>
        <v>0</v>
      </c>
      <c r="K21" s="622">
        <f>+J21+E21</f>
        <v>0</v>
      </c>
      <c r="L21" s="621">
        <f t="shared" si="14"/>
        <v>0</v>
      </c>
      <c r="M21" s="499"/>
      <c r="N21" s="638"/>
      <c r="O21" s="622"/>
      <c r="P21" s="622"/>
      <c r="Q21" s="622"/>
      <c r="R21" s="622"/>
      <c r="S21" s="621">
        <f t="shared" si="15"/>
        <v>0</v>
      </c>
      <c r="T21" s="499"/>
      <c r="U21" s="638">
        <f t="shared" si="16"/>
        <v>0</v>
      </c>
      <c r="V21" s="622">
        <f t="shared" si="17"/>
        <v>0</v>
      </c>
      <c r="W21" s="621">
        <f t="shared" si="18"/>
        <v>0</v>
      </c>
      <c r="X21" s="347"/>
      <c r="Y21" s="645">
        <f t="shared" si="19"/>
        <v>0</v>
      </c>
      <c r="Z21" s="622">
        <v>0</v>
      </c>
      <c r="AA21" s="622">
        <v>0</v>
      </c>
      <c r="AB21" s="622">
        <v>0</v>
      </c>
      <c r="AC21" s="623">
        <v>0</v>
      </c>
      <c r="AD21" s="347"/>
      <c r="AE21" s="476"/>
      <c r="AF21" s="444"/>
      <c r="AG21" s="531">
        <f t="shared" si="20"/>
        <v>0</v>
      </c>
      <c r="AH21" s="295"/>
      <c r="AI21" s="397">
        <f>SUM(AL21:AP21)</f>
        <v>0</v>
      </c>
      <c r="AJ21" s="953">
        <f>SUM(AL21:AM21)</f>
        <v>0</v>
      </c>
      <c r="AK21" s="671">
        <f>+AN21</f>
        <v>0</v>
      </c>
      <c r="AL21" s="446"/>
      <c r="AM21" s="446"/>
      <c r="AN21" s="446"/>
      <c r="AO21" s="446"/>
      <c r="AP21" s="446"/>
    </row>
    <row r="22" spans="2:42" s="5" customFormat="1" ht="18.75" x14ac:dyDescent="0.3">
      <c r="B22" s="15"/>
      <c r="C22" s="16" t="s">
        <v>25</v>
      </c>
      <c r="E22" s="478">
        <f t="shared" si="11"/>
        <v>0</v>
      </c>
      <c r="F22" s="499"/>
      <c r="G22" s="638"/>
      <c r="H22" s="651">
        <f t="shared" si="12"/>
        <v>0</v>
      </c>
      <c r="I22" s="499"/>
      <c r="J22" s="638">
        <f t="shared" si="13"/>
        <v>0</v>
      </c>
      <c r="K22" s="620">
        <f t="shared" si="21"/>
        <v>0</v>
      </c>
      <c r="L22" s="621">
        <f t="shared" si="14"/>
        <v>0</v>
      </c>
      <c r="M22" s="499"/>
      <c r="N22" s="638"/>
      <c r="O22" s="622"/>
      <c r="P22" s="622"/>
      <c r="Q22" s="622"/>
      <c r="R22" s="622"/>
      <c r="S22" s="639">
        <f t="shared" si="15"/>
        <v>0</v>
      </c>
      <c r="T22" s="499"/>
      <c r="U22" s="638">
        <f t="shared" si="16"/>
        <v>0</v>
      </c>
      <c r="V22" s="622">
        <f t="shared" si="17"/>
        <v>0</v>
      </c>
      <c r="W22" s="639">
        <f t="shared" si="18"/>
        <v>0</v>
      </c>
      <c r="X22" s="347"/>
      <c r="Y22" s="645">
        <f t="shared" si="19"/>
        <v>0</v>
      </c>
      <c r="Z22" s="620">
        <f>+Eq!Z43</f>
        <v>0</v>
      </c>
      <c r="AA22" s="620">
        <f>+Eq!AA43</f>
        <v>0</v>
      </c>
      <c r="AB22" s="620">
        <f>+Eq!AB43</f>
        <v>0</v>
      </c>
      <c r="AC22" s="624">
        <v>449540.38647791115</v>
      </c>
      <c r="AD22" s="347"/>
      <c r="AE22" s="476"/>
      <c r="AF22" s="444"/>
      <c r="AG22" s="531">
        <f t="shared" si="20"/>
        <v>449540.38647791115</v>
      </c>
      <c r="AH22" s="295"/>
      <c r="AI22" s="397">
        <f>SUM(AL22:AP22)</f>
        <v>0</v>
      </c>
      <c r="AJ22" s="953">
        <f>SUM(AL22:AM22)</f>
        <v>0</v>
      </c>
      <c r="AK22" s="671">
        <f>+AN22</f>
        <v>0</v>
      </c>
      <c r="AL22" s="446"/>
      <c r="AM22" s="446"/>
      <c r="AN22" s="446"/>
      <c r="AO22" s="446"/>
      <c r="AP22" s="446"/>
    </row>
    <row r="23" spans="2:42" s="5" customFormat="1" ht="18.75" x14ac:dyDescent="0.3">
      <c r="B23" s="15"/>
      <c r="C23" s="16" t="s">
        <v>14</v>
      </c>
      <c r="E23" s="652">
        <f t="shared" si="11"/>
        <v>0</v>
      </c>
      <c r="F23" s="499"/>
      <c r="G23" s="638"/>
      <c r="H23" s="651">
        <f t="shared" si="12"/>
        <v>0</v>
      </c>
      <c r="I23" s="499"/>
      <c r="J23" s="638">
        <f t="shared" si="13"/>
        <v>0</v>
      </c>
      <c r="K23" s="622">
        <f t="shared" si="21"/>
        <v>0</v>
      </c>
      <c r="L23" s="621">
        <f t="shared" si="14"/>
        <v>0</v>
      </c>
      <c r="M23" s="499"/>
      <c r="N23" s="638"/>
      <c r="O23" s="622"/>
      <c r="P23" s="622"/>
      <c r="Q23" s="622"/>
      <c r="R23" s="622"/>
      <c r="S23" s="621">
        <f t="shared" si="15"/>
        <v>0</v>
      </c>
      <c r="T23" s="499"/>
      <c r="U23" s="638">
        <f t="shared" si="16"/>
        <v>0</v>
      </c>
      <c r="V23" s="622">
        <f t="shared" si="17"/>
        <v>0</v>
      </c>
      <c r="W23" s="621">
        <f t="shared" si="18"/>
        <v>0</v>
      </c>
      <c r="X23" s="347"/>
      <c r="Y23" s="645">
        <f t="shared" si="19"/>
        <v>0</v>
      </c>
      <c r="Z23" s="622">
        <f>+Eq!Z46</f>
        <v>0</v>
      </c>
      <c r="AA23" s="622">
        <f>+Eq!AA46</f>
        <v>0</v>
      </c>
      <c r="AB23" s="622">
        <f>+Eq!AB46</f>
        <v>0</v>
      </c>
      <c r="AC23" s="623">
        <v>1574097.9720000001</v>
      </c>
      <c r="AD23" s="347"/>
      <c r="AE23" s="476"/>
      <c r="AF23" s="444"/>
      <c r="AG23" s="531">
        <f t="shared" si="20"/>
        <v>1574097.9720000001</v>
      </c>
      <c r="AH23" s="295"/>
      <c r="AI23" s="397">
        <f>SUM(AL23:AP23)</f>
        <v>0</v>
      </c>
      <c r="AJ23" s="953">
        <f>SUM(AL23:AM23)</f>
        <v>0</v>
      </c>
      <c r="AK23" s="671">
        <f>+AN23</f>
        <v>0</v>
      </c>
      <c r="AL23" s="446"/>
      <c r="AM23" s="446"/>
      <c r="AN23" s="446"/>
      <c r="AO23" s="446"/>
      <c r="AP23" s="446"/>
    </row>
    <row r="24" spans="2:42" s="5" customFormat="1" ht="18.75" x14ac:dyDescent="0.3">
      <c r="B24" s="15" t="s">
        <v>13</v>
      </c>
      <c r="C24" s="16"/>
      <c r="E24" s="652">
        <f t="shared" si="11"/>
        <v>0</v>
      </c>
      <c r="F24" s="499"/>
      <c r="G24" s="638"/>
      <c r="H24" s="651">
        <f t="shared" si="12"/>
        <v>0</v>
      </c>
      <c r="I24" s="499"/>
      <c r="J24" s="638">
        <f t="shared" si="13"/>
        <v>0</v>
      </c>
      <c r="K24" s="622">
        <f t="shared" si="21"/>
        <v>0</v>
      </c>
      <c r="L24" s="621">
        <f t="shared" si="14"/>
        <v>0</v>
      </c>
      <c r="M24" s="499"/>
      <c r="N24" s="638"/>
      <c r="O24" s="622"/>
      <c r="P24" s="622"/>
      <c r="Q24" s="622"/>
      <c r="R24" s="622"/>
      <c r="S24" s="621">
        <f t="shared" si="15"/>
        <v>0</v>
      </c>
      <c r="T24" s="499"/>
      <c r="U24" s="638">
        <f t="shared" si="16"/>
        <v>0</v>
      </c>
      <c r="V24" s="622">
        <f t="shared" si="17"/>
        <v>0</v>
      </c>
      <c r="W24" s="621">
        <f t="shared" si="18"/>
        <v>0</v>
      </c>
      <c r="X24" s="347"/>
      <c r="Y24" s="645">
        <f t="shared" si="19"/>
        <v>0</v>
      </c>
      <c r="Z24" s="622">
        <f>+Fletes!Z27</f>
        <v>0</v>
      </c>
      <c r="AA24" s="622">
        <v>0</v>
      </c>
      <c r="AB24" s="622"/>
      <c r="AC24" s="623">
        <v>0</v>
      </c>
      <c r="AD24" s="347"/>
      <c r="AE24" s="476"/>
      <c r="AF24" s="444"/>
      <c r="AG24" s="531">
        <f t="shared" si="20"/>
        <v>0</v>
      </c>
      <c r="AH24" s="295"/>
      <c r="AI24" s="397">
        <f>SUM(AL24:AP24)</f>
        <v>0</v>
      </c>
      <c r="AJ24" s="953">
        <f>SUM(AL24:AM24)</f>
        <v>0</v>
      </c>
      <c r="AK24" s="671">
        <f>+AN24</f>
        <v>0</v>
      </c>
      <c r="AL24" s="446"/>
      <c r="AM24" s="446"/>
      <c r="AN24" s="446"/>
      <c r="AO24" s="446"/>
      <c r="AP24" s="446"/>
    </row>
    <row r="25" spans="2:42" s="5" customFormat="1" ht="18.75" x14ac:dyDescent="0.3">
      <c r="B25" s="15" t="s">
        <v>31</v>
      </c>
      <c r="C25" s="16"/>
      <c r="E25" s="637">
        <f t="shared" si="11"/>
        <v>0</v>
      </c>
      <c r="F25" s="499"/>
      <c r="G25" s="638"/>
      <c r="H25" s="654">
        <f t="shared" si="12"/>
        <v>0</v>
      </c>
      <c r="I25" s="499"/>
      <c r="J25" s="638">
        <f t="shared" si="13"/>
        <v>0</v>
      </c>
      <c r="K25" s="615">
        <f t="shared" si="21"/>
        <v>0</v>
      </c>
      <c r="L25" s="621">
        <f t="shared" si="14"/>
        <v>0</v>
      </c>
      <c r="M25" s="499"/>
      <c r="N25" s="638"/>
      <c r="O25" s="622"/>
      <c r="P25" s="622"/>
      <c r="Q25" s="622"/>
      <c r="R25" s="622"/>
      <c r="S25" s="641">
        <f t="shared" si="15"/>
        <v>0</v>
      </c>
      <c r="T25" s="499"/>
      <c r="U25" s="638">
        <f t="shared" si="16"/>
        <v>0</v>
      </c>
      <c r="V25" s="622">
        <f t="shared" si="17"/>
        <v>0</v>
      </c>
      <c r="W25" s="641">
        <f t="shared" si="18"/>
        <v>0</v>
      </c>
      <c r="X25" s="347"/>
      <c r="Y25" s="645">
        <f t="shared" si="19"/>
        <v>0</v>
      </c>
      <c r="Z25" s="615">
        <v>0</v>
      </c>
      <c r="AA25" s="615">
        <v>0</v>
      </c>
      <c r="AB25" s="615"/>
      <c r="AC25" s="616">
        <v>0</v>
      </c>
      <c r="AD25" s="347"/>
      <c r="AE25" s="476"/>
      <c r="AF25" s="444"/>
      <c r="AG25" s="531">
        <f t="shared" si="20"/>
        <v>0</v>
      </c>
      <c r="AH25" s="295"/>
      <c r="AI25" s="397">
        <f>SUM(AL25:AP25)</f>
        <v>0</v>
      </c>
      <c r="AJ25" s="953">
        <f>SUM(AL25:AM25)</f>
        <v>0</v>
      </c>
      <c r="AK25" s="671">
        <f>+AN25</f>
        <v>0</v>
      </c>
      <c r="AL25" s="446"/>
      <c r="AM25" s="446"/>
      <c r="AN25" s="446"/>
      <c r="AO25" s="446"/>
      <c r="AP25" s="446"/>
    </row>
    <row r="26" spans="2:42" s="5" customFormat="1" ht="18.75" x14ac:dyDescent="0.3">
      <c r="B26" s="17" t="s">
        <v>15</v>
      </c>
      <c r="C26" s="18"/>
      <c r="E26" s="368">
        <f t="shared" si="11"/>
        <v>0</v>
      </c>
      <c r="F26" s="347"/>
      <c r="G26" s="364"/>
      <c r="H26" s="391">
        <f t="shared" si="12"/>
        <v>0</v>
      </c>
      <c r="I26" s="347"/>
      <c r="J26" s="364">
        <f t="shared" si="13"/>
        <v>0</v>
      </c>
      <c r="K26" s="365">
        <f>+J26+E26</f>
        <v>0</v>
      </c>
      <c r="L26" s="367">
        <f t="shared" si="14"/>
        <v>0</v>
      </c>
      <c r="M26" s="347"/>
      <c r="N26" s="364"/>
      <c r="O26" s="365"/>
      <c r="P26" s="365"/>
      <c r="Q26" s="365"/>
      <c r="R26" s="365"/>
      <c r="S26" s="367">
        <f t="shared" si="15"/>
        <v>0</v>
      </c>
      <c r="T26" s="347"/>
      <c r="U26" s="364">
        <f t="shared" si="16"/>
        <v>0</v>
      </c>
      <c r="V26" s="365">
        <f t="shared" si="17"/>
        <v>0</v>
      </c>
      <c r="W26" s="367">
        <f t="shared" si="18"/>
        <v>0</v>
      </c>
      <c r="X26" s="347"/>
      <c r="Y26" s="648">
        <f t="shared" si="19"/>
        <v>0</v>
      </c>
      <c r="Z26" s="618">
        <v>0</v>
      </c>
      <c r="AA26" s="618">
        <v>0</v>
      </c>
      <c r="AB26" s="618"/>
      <c r="AC26" s="619">
        <v>0</v>
      </c>
      <c r="AD26" s="347"/>
      <c r="AE26" s="659"/>
      <c r="AF26" s="444"/>
      <c r="AG26" s="531">
        <f t="shared" si="20"/>
        <v>0</v>
      </c>
      <c r="AH26" s="295"/>
      <c r="AI26" s="397">
        <f>SUM(AL26:AP26)</f>
        <v>0</v>
      </c>
      <c r="AJ26" s="953">
        <f>SUM(AL26:AM26)</f>
        <v>0</v>
      </c>
      <c r="AK26" s="671">
        <f>+AN26</f>
        <v>0</v>
      </c>
      <c r="AL26" s="446"/>
      <c r="AM26" s="446"/>
      <c r="AN26" s="446"/>
      <c r="AO26" s="446"/>
      <c r="AP26" s="446"/>
    </row>
    <row r="27" spans="2:42" s="5" customFormat="1" ht="7.5" customHeight="1" x14ac:dyDescent="0.3">
      <c r="E27" s="347"/>
      <c r="F27" s="347"/>
      <c r="G27" s="347"/>
      <c r="H27" s="347"/>
      <c r="I27" s="347"/>
      <c r="J27" s="347"/>
      <c r="K27" s="347"/>
      <c r="L27" s="347"/>
      <c r="M27" s="347"/>
      <c r="N27" s="347"/>
      <c r="O27" s="347"/>
      <c r="P27" s="347"/>
      <c r="Q27" s="347"/>
      <c r="R27" s="347"/>
      <c r="S27" s="347"/>
      <c r="T27" s="347"/>
      <c r="U27" s="347"/>
      <c r="V27" s="347"/>
      <c r="W27" s="347"/>
      <c r="X27" s="347"/>
      <c r="Y27" s="499"/>
      <c r="Z27" s="499"/>
      <c r="AA27" s="499"/>
      <c r="AB27" s="499"/>
      <c r="AC27" s="499"/>
      <c r="AD27" s="347"/>
      <c r="AE27" s="499"/>
      <c r="AF27" s="442"/>
      <c r="AG27" s="532"/>
      <c r="AH27" s="295"/>
      <c r="AI27" s="396"/>
      <c r="AJ27" s="402"/>
      <c r="AK27" s="402"/>
      <c r="AL27" s="402"/>
      <c r="AM27" s="402"/>
      <c r="AN27" s="402"/>
      <c r="AO27" s="402"/>
      <c r="AP27" s="402"/>
    </row>
    <row r="28" spans="2:42" s="5" customFormat="1" ht="15.75" customHeight="1" x14ac:dyDescent="0.3">
      <c r="B28" s="11" t="s">
        <v>16</v>
      </c>
      <c r="C28" s="12"/>
      <c r="E28" s="379">
        <f>+SUM(AL28:AP28)</f>
        <v>0</v>
      </c>
      <c r="F28" s="347"/>
      <c r="G28" s="380">
        <v>0</v>
      </c>
      <c r="H28" s="381">
        <f>AJ28</f>
        <v>0</v>
      </c>
      <c r="I28" s="347"/>
      <c r="J28" s="383">
        <f>+H28+AE28</f>
        <v>0</v>
      </c>
      <c r="K28" s="382">
        <f>+E28+J28</f>
        <v>0</v>
      </c>
      <c r="L28" s="381">
        <f>+SUM(N28:S28)</f>
        <v>0</v>
      </c>
      <c r="M28" s="347"/>
      <c r="N28" s="380">
        <f>-K28</f>
        <v>0</v>
      </c>
      <c r="O28" s="382">
        <v>0</v>
      </c>
      <c r="P28" s="382">
        <v>0</v>
      </c>
      <c r="Q28" s="382">
        <v>0</v>
      </c>
      <c r="R28" s="382">
        <v>0</v>
      </c>
      <c r="S28" s="381">
        <f>+SUMIFS(N28:R28,N$2:R$2,$S$5)</f>
        <v>0</v>
      </c>
      <c r="T28" s="347"/>
      <c r="U28" s="380">
        <f>+SUMIFS(N28:S28,N$2:S$2,$U$5)</f>
        <v>0</v>
      </c>
      <c r="V28" s="382">
        <f>+SUMIFS(N28:S28,N$2:S$2,$V$5)</f>
        <v>0</v>
      </c>
      <c r="W28" s="381">
        <f>+SUMIFS(N28:S28,N$2:S$2,$W$5)</f>
        <v>0</v>
      </c>
      <c r="X28" s="347"/>
      <c r="Y28" s="644">
        <v>0</v>
      </c>
      <c r="Z28" s="626">
        <v>0</v>
      </c>
      <c r="AA28" s="626">
        <v>0</v>
      </c>
      <c r="AB28" s="626"/>
      <c r="AC28" s="627">
        <v>0</v>
      </c>
      <c r="AD28" s="347"/>
      <c r="AE28" s="659"/>
      <c r="AF28" s="442"/>
      <c r="AG28" s="532"/>
      <c r="AH28" s="295"/>
      <c r="AI28" s="409">
        <f>SUM(AJ28:AP28)</f>
        <v>0</v>
      </c>
      <c r="AJ28" s="408"/>
      <c r="AK28" s="408"/>
      <c r="AL28" s="446"/>
      <c r="AM28" s="446"/>
      <c r="AN28" s="446"/>
      <c r="AO28" s="446"/>
      <c r="AP28" s="446"/>
    </row>
    <row r="29" spans="2:42" s="5" customFormat="1" ht="15.75" x14ac:dyDescent="0.25">
      <c r="E29" s="347"/>
      <c r="F29" s="347"/>
      <c r="G29" s="347"/>
      <c r="H29" s="347"/>
      <c r="I29" s="347"/>
      <c r="J29" s="347"/>
      <c r="K29" s="347"/>
      <c r="L29" s="347"/>
      <c r="M29" s="347"/>
      <c r="N29" s="347"/>
      <c r="O29" s="347"/>
      <c r="P29" s="347"/>
      <c r="Q29" s="347"/>
      <c r="R29" s="347"/>
      <c r="S29" s="347"/>
      <c r="T29" s="347"/>
      <c r="U29" s="347"/>
      <c r="V29" s="347"/>
      <c r="W29" s="347"/>
      <c r="X29" s="347"/>
      <c r="Y29" s="499"/>
      <c r="Z29" s="499"/>
      <c r="AA29" s="499"/>
      <c r="AB29" s="499"/>
      <c r="AC29" s="499"/>
      <c r="AD29" s="347"/>
      <c r="AE29" s="499"/>
      <c r="AF29" s="399"/>
      <c r="AG29" s="535"/>
      <c r="AH29" s="295"/>
      <c r="AI29" s="295"/>
      <c r="AJ29" s="295"/>
      <c r="AK29" s="295"/>
      <c r="AL29" s="295"/>
      <c r="AM29" s="295"/>
      <c r="AN29" s="295"/>
      <c r="AO29" s="295"/>
      <c r="AP29" s="295"/>
    </row>
    <row r="30" spans="2:42" s="5" customFormat="1" ht="15.75" x14ac:dyDescent="0.25">
      <c r="B30" s="64" t="s">
        <v>17</v>
      </c>
      <c r="C30" s="65"/>
      <c r="D30" s="2"/>
      <c r="E30" s="332">
        <f>+E7*E31</f>
        <v>0</v>
      </c>
      <c r="F30" s="333"/>
      <c r="G30" s="337">
        <f>+G7*G31</f>
        <v>0</v>
      </c>
      <c r="H30" s="386">
        <f>+H7*H31</f>
        <v>0</v>
      </c>
      <c r="I30" s="333"/>
      <c r="J30" s="337">
        <f>+J7*J31</f>
        <v>0</v>
      </c>
      <c r="K30" s="336">
        <f>+K7*K31</f>
        <v>0</v>
      </c>
      <c r="L30" s="335">
        <f>+L7*L31</f>
        <v>0</v>
      </c>
      <c r="M30" s="333"/>
      <c r="N30" s="337">
        <f t="shared" ref="N30:S30" si="22">+N7*N31</f>
        <v>0</v>
      </c>
      <c r="O30" s="336">
        <f t="shared" si="22"/>
        <v>0</v>
      </c>
      <c r="P30" s="336">
        <f t="shared" si="22"/>
        <v>0</v>
      </c>
      <c r="Q30" s="336">
        <f t="shared" si="22"/>
        <v>0</v>
      </c>
      <c r="R30" s="336">
        <f t="shared" si="22"/>
        <v>0</v>
      </c>
      <c r="S30" s="336">
        <f t="shared" si="22"/>
        <v>0</v>
      </c>
      <c r="T30" s="333"/>
      <c r="U30" s="337">
        <f>+U7*U31</f>
        <v>0</v>
      </c>
      <c r="V30" s="336">
        <f>+V7*V31</f>
        <v>0</v>
      </c>
      <c r="W30" s="335">
        <f>+W7*W31</f>
        <v>0</v>
      </c>
      <c r="X30" s="333"/>
      <c r="Y30" s="628">
        <f>+Y7-Y15</f>
        <v>0</v>
      </c>
      <c r="Z30" s="628" t="e">
        <f>+Z7-Z15</f>
        <v>#REF!</v>
      </c>
      <c r="AA30" s="629" t="e">
        <f>+AA7-AA15</f>
        <v>#REF!</v>
      </c>
      <c r="AB30" s="629" t="e">
        <f>+AB7-AB15</f>
        <v>#REF!</v>
      </c>
      <c r="AC30" s="630">
        <f>+AC7-AC15</f>
        <v>0</v>
      </c>
      <c r="AD30" s="333"/>
      <c r="AE30" s="661"/>
      <c r="AF30" s="445"/>
      <c r="AG30" s="531">
        <f>+Y30-AC30</f>
        <v>0</v>
      </c>
      <c r="AH30" s="295"/>
      <c r="AI30" s="295"/>
      <c r="AJ30" s="295"/>
      <c r="AK30" s="295"/>
      <c r="AL30" s="295"/>
      <c r="AM30" s="295"/>
      <c r="AN30" s="295"/>
      <c r="AO30" s="295"/>
      <c r="AP30" s="295"/>
    </row>
    <row r="31" spans="2:42" s="5" customFormat="1" ht="15.75" x14ac:dyDescent="0.25">
      <c r="B31" s="66" t="s">
        <v>18</v>
      </c>
      <c r="C31" s="67"/>
      <c r="D31" s="2"/>
      <c r="E31" s="68">
        <f>+$Y$31</f>
        <v>0</v>
      </c>
      <c r="F31" s="19"/>
      <c r="G31" s="71">
        <f>+$Y$31</f>
        <v>0</v>
      </c>
      <c r="H31" s="72">
        <f>+$Y$31</f>
        <v>0</v>
      </c>
      <c r="I31" s="19"/>
      <c r="J31" s="71">
        <f>+$Y$31</f>
        <v>0</v>
      </c>
      <c r="K31" s="75">
        <f>+$Y$31</f>
        <v>0</v>
      </c>
      <c r="L31" s="76">
        <f>+$Y$31</f>
        <v>0</v>
      </c>
      <c r="M31" s="19"/>
      <c r="N31" s="71">
        <f t="shared" ref="N31:S31" si="23">+$Y$31</f>
        <v>0</v>
      </c>
      <c r="O31" s="75">
        <f t="shared" si="23"/>
        <v>0</v>
      </c>
      <c r="P31" s="75">
        <f t="shared" si="23"/>
        <v>0</v>
      </c>
      <c r="Q31" s="75">
        <f t="shared" si="23"/>
        <v>0</v>
      </c>
      <c r="R31" s="75">
        <f t="shared" si="23"/>
        <v>0</v>
      </c>
      <c r="S31" s="75">
        <f t="shared" si="23"/>
        <v>0</v>
      </c>
      <c r="T31" s="19"/>
      <c r="U31" s="71">
        <f>+$Y$31</f>
        <v>0</v>
      </c>
      <c r="V31" s="75">
        <f>+$Y$31</f>
        <v>0</v>
      </c>
      <c r="W31" s="76">
        <f>+$Y$31</f>
        <v>0</v>
      </c>
      <c r="X31" s="19"/>
      <c r="Y31" s="71">
        <f>+IF(Y7=0,0,Y30/Y7)</f>
        <v>0</v>
      </c>
      <c r="Z31" s="71" t="e">
        <f>+IF(Z7=0,0,Z30/Z7)</f>
        <v>#REF!</v>
      </c>
      <c r="AA31" s="75">
        <f>+IF(AA7=0,0,AA30/AA7)</f>
        <v>0</v>
      </c>
      <c r="AB31" s="75">
        <f>+IF(AB7=0,0,AB30/AB7)</f>
        <v>0</v>
      </c>
      <c r="AC31" s="72">
        <f>+IF(AC7=0,0,AC30/AC7)</f>
        <v>0</v>
      </c>
      <c r="AD31" s="19"/>
      <c r="AE31" s="699"/>
    </row>
    <row r="32" spans="2:42" s="5" customFormat="1" ht="7.5" customHeight="1" x14ac:dyDescent="0.25">
      <c r="B32" s="2"/>
      <c r="C32" s="2"/>
      <c r="D32" s="2"/>
      <c r="E32" s="292"/>
      <c r="F32" s="292"/>
      <c r="G32" s="292"/>
      <c r="H32" s="292"/>
      <c r="I32" s="292"/>
      <c r="J32" s="292"/>
      <c r="K32" s="292"/>
      <c r="L32" s="292"/>
      <c r="M32" s="292"/>
      <c r="N32" s="292"/>
      <c r="O32" s="292"/>
      <c r="P32" s="292"/>
      <c r="Q32" s="292"/>
      <c r="R32" s="292"/>
      <c r="S32" s="292"/>
      <c r="T32" s="292"/>
      <c r="U32" s="292"/>
      <c r="V32" s="292"/>
      <c r="W32" s="292"/>
      <c r="X32" s="292"/>
      <c r="Y32" s="292"/>
      <c r="Z32" s="292"/>
      <c r="AA32" s="292"/>
      <c r="AB32" s="292"/>
      <c r="AC32" s="292"/>
      <c r="AD32" s="292"/>
      <c r="AE32" s="87"/>
      <c r="AF32" s="295"/>
      <c r="AG32" s="295"/>
      <c r="AH32" s="295"/>
    </row>
    <row r="33" spans="2:46" s="5" customFormat="1" ht="15.75" customHeight="1" x14ac:dyDescent="0.25">
      <c r="B33" s="64" t="s">
        <v>33</v>
      </c>
      <c r="C33" s="65"/>
      <c r="D33" s="2"/>
      <c r="E33" s="332">
        <f>+E7-E15+E28</f>
        <v>0</v>
      </c>
      <c r="F33" s="333"/>
      <c r="G33" s="337">
        <f>+G7-G15+G28</f>
        <v>5240945.6499458179</v>
      </c>
      <c r="H33" s="386">
        <f>+H7-H15+H28</f>
        <v>0</v>
      </c>
      <c r="I33" s="333"/>
      <c r="J33" s="334">
        <f>+J7-J15+J28</f>
        <v>0</v>
      </c>
      <c r="K33" s="336">
        <f>+K7-K15+K28</f>
        <v>0</v>
      </c>
      <c r="L33" s="335">
        <f>+L7-L15+L28</f>
        <v>0</v>
      </c>
      <c r="M33" s="333"/>
      <c r="N33" s="337">
        <f t="shared" ref="N33:S33" si="24">+N7-N15+N28</f>
        <v>0</v>
      </c>
      <c r="O33" s="336">
        <f t="shared" si="24"/>
        <v>0</v>
      </c>
      <c r="P33" s="336">
        <f t="shared" si="24"/>
        <v>0</v>
      </c>
      <c r="Q33" s="336">
        <f t="shared" si="24"/>
        <v>0</v>
      </c>
      <c r="R33" s="336">
        <f t="shared" si="24"/>
        <v>0</v>
      </c>
      <c r="S33" s="336">
        <f t="shared" si="24"/>
        <v>0</v>
      </c>
      <c r="T33" s="333"/>
      <c r="U33" s="337">
        <f>+U7-U15+U28</f>
        <v>0</v>
      </c>
      <c r="V33" s="336">
        <f>+V7-V15+V28</f>
        <v>0</v>
      </c>
      <c r="W33" s="335">
        <f>+W7-W15+W28</f>
        <v>0</v>
      </c>
      <c r="X33" s="333"/>
      <c r="Y33" s="337">
        <f>+Y7-Y15+Y28</f>
        <v>0</v>
      </c>
      <c r="Z33" s="337" t="e">
        <f>+Z7-Z15+Z28</f>
        <v>#REF!</v>
      </c>
      <c r="AA33" s="336" t="e">
        <f>+AA7-AA15+AA28</f>
        <v>#REF!</v>
      </c>
      <c r="AB33" s="336" t="e">
        <f>+AB7-AB15+AB28</f>
        <v>#REF!</v>
      </c>
      <c r="AC33" s="386">
        <f>+AC7-AC15+AC28</f>
        <v>-2.2351741790771484E-8</v>
      </c>
      <c r="AD33" s="333"/>
      <c r="AE33" s="661">
        <f>+AE7-AE15+AE28</f>
        <v>0</v>
      </c>
      <c r="AF33" s="295"/>
      <c r="AG33" s="295"/>
      <c r="AH33" s="295"/>
      <c r="AI33" s="295"/>
      <c r="AJ33" s="295"/>
      <c r="AK33" s="295"/>
      <c r="AL33" s="295"/>
      <c r="AM33" s="295"/>
      <c r="AN33" s="295"/>
      <c r="AO33" s="295"/>
      <c r="AP33" s="295"/>
    </row>
    <row r="34" spans="2:46" s="5" customFormat="1" ht="15.75" customHeight="1" x14ac:dyDescent="0.25">
      <c r="B34" s="66" t="s">
        <v>34</v>
      </c>
      <c r="C34" s="67"/>
      <c r="D34" s="2"/>
      <c r="E34" s="68">
        <f>+IF(E7=0,0,E33/E7)</f>
        <v>0</v>
      </c>
      <c r="F34" s="19"/>
      <c r="G34" s="71">
        <v>0</v>
      </c>
      <c r="H34" s="72">
        <f>+IF(H7=0,0,H33/H7)</f>
        <v>0</v>
      </c>
      <c r="I34" s="19"/>
      <c r="J34" s="71">
        <f>+IF(J7=0,0,J33/J7)</f>
        <v>0</v>
      </c>
      <c r="K34" s="75">
        <f>+IF(K7=0,0,K33/K7)</f>
        <v>0</v>
      </c>
      <c r="L34" s="76">
        <f>+IF(L7=0,0,L33/L7)</f>
        <v>0</v>
      </c>
      <c r="M34" s="19"/>
      <c r="N34" s="71">
        <f t="shared" ref="N34:S34" si="25">+IF(N7=0,0,N33/N7)</f>
        <v>0</v>
      </c>
      <c r="O34" s="75">
        <f t="shared" si="25"/>
        <v>0</v>
      </c>
      <c r="P34" s="75">
        <f t="shared" si="25"/>
        <v>0</v>
      </c>
      <c r="Q34" s="75">
        <f t="shared" si="25"/>
        <v>0</v>
      </c>
      <c r="R34" s="75">
        <f t="shared" si="25"/>
        <v>0</v>
      </c>
      <c r="S34" s="75">
        <f t="shared" si="25"/>
        <v>0</v>
      </c>
      <c r="T34" s="19"/>
      <c r="U34" s="71">
        <f>+IF(U7=0,0,U33/U7)</f>
        <v>0</v>
      </c>
      <c r="V34" s="75">
        <f>+IF(V7=0,0,V33/V7)</f>
        <v>0</v>
      </c>
      <c r="W34" s="76">
        <f>+IF(W7=0,0,W33/W7)</f>
        <v>0</v>
      </c>
      <c r="X34" s="19"/>
      <c r="Y34" s="71">
        <f>+IF(Y7=0,0,Y33/Y7)</f>
        <v>0</v>
      </c>
      <c r="Z34" s="71" t="e">
        <f>+IF(Z7=0,0,Z33/Z7)</f>
        <v>#REF!</v>
      </c>
      <c r="AA34" s="75">
        <f>+IF(AA7=0,0,AA33/AA7)</f>
        <v>0</v>
      </c>
      <c r="AB34" s="75">
        <f>+IF(AB7=0,0,AB33/AB7)</f>
        <v>0</v>
      </c>
      <c r="AC34" s="72">
        <f>+IF(AC7=0,0,AC33/AC7)</f>
        <v>-4.8383334349366054E-16</v>
      </c>
      <c r="AD34" s="19"/>
      <c r="AE34" s="699">
        <f>+IF(AE7=0,0,AE33/AE7)</f>
        <v>0</v>
      </c>
    </row>
    <row r="35" spans="2:46" s="40" customFormat="1" ht="18.75" x14ac:dyDescent="0.3">
      <c r="Y35" s="276"/>
      <c r="Z35" s="48"/>
      <c r="AA35" s="48"/>
      <c r="AB35" s="48"/>
      <c r="AC35" s="48"/>
      <c r="AE35" s="590"/>
    </row>
    <row r="36" spans="2:46" s="40" customFormat="1" x14ac:dyDescent="0.25">
      <c r="Y36" s="48"/>
      <c r="Z36" s="735"/>
      <c r="AC36" s="40">
        <v>1.3969838619232178E-9</v>
      </c>
      <c r="AE36" s="590">
        <v>9819.56</v>
      </c>
    </row>
    <row r="37" spans="2:46" s="40" customFormat="1" x14ac:dyDescent="0.25">
      <c r="P37" s="50"/>
      <c r="Y37" s="634"/>
      <c r="Z37" s="48"/>
      <c r="AE37" s="590"/>
    </row>
    <row r="38" spans="2:46" ht="18.75" x14ac:dyDescent="0.3">
      <c r="B38" s="23" t="s">
        <v>19</v>
      </c>
      <c r="C38" s="24"/>
      <c r="J38" s="40"/>
      <c r="K38" s="306">
        <f>+K7-K30</f>
        <v>0</v>
      </c>
      <c r="L38" s="40"/>
      <c r="P38" s="22"/>
      <c r="Y38" s="48"/>
      <c r="Z38" s="48"/>
      <c r="AS38" s="597">
        <f>H33</f>
        <v>0</v>
      </c>
      <c r="AT38" s="597">
        <f>Y33</f>
        <v>0</v>
      </c>
    </row>
    <row r="39" spans="2:46" ht="9" customHeight="1" x14ac:dyDescent="0.3">
      <c r="B39" s="25"/>
      <c r="J39" s="40"/>
      <c r="K39" s="302"/>
      <c r="L39" s="40"/>
      <c r="P39" s="22"/>
      <c r="Y39" s="48"/>
      <c r="Z39" s="48"/>
    </row>
    <row r="40" spans="2:46" ht="18.75" x14ac:dyDescent="0.3">
      <c r="B40" s="26" t="s">
        <v>20</v>
      </c>
      <c r="C40" s="27"/>
      <c r="J40" s="40"/>
      <c r="K40" s="307">
        <f>K15-K38</f>
        <v>0</v>
      </c>
      <c r="L40" s="40"/>
      <c r="P40" s="22"/>
      <c r="Y40" s="48"/>
      <c r="Z40" s="48"/>
    </row>
    <row r="41" spans="2:46" ht="9" customHeight="1" x14ac:dyDescent="0.3">
      <c r="B41" s="1"/>
      <c r="J41" s="40"/>
      <c r="K41" s="302"/>
      <c r="L41" s="40"/>
      <c r="Y41" s="48"/>
      <c r="Z41" s="48"/>
    </row>
    <row r="42" spans="2:46" ht="18.75" x14ac:dyDescent="0.3">
      <c r="B42" s="23" t="s">
        <v>21</v>
      </c>
      <c r="C42" s="24"/>
      <c r="J42" s="40"/>
      <c r="K42" s="306">
        <f>IF('ER Pendiente'!E38&gt;0,'ER Pendiente'!E15+'ER Pendiente'!E38,'ER Pendiente'!E15)</f>
        <v>0</v>
      </c>
      <c r="L42" s="40"/>
      <c r="Y42" s="48"/>
      <c r="Z42" s="48"/>
    </row>
    <row r="43" spans="2:46" ht="9" customHeight="1" x14ac:dyDescent="0.3">
      <c r="B43" s="28"/>
      <c r="J43" s="40"/>
      <c r="K43" s="302"/>
      <c r="L43" s="40"/>
    </row>
    <row r="44" spans="2:46" ht="18.75" x14ac:dyDescent="0.3">
      <c r="B44" s="23" t="s">
        <v>22</v>
      </c>
      <c r="C44" s="24"/>
      <c r="J44" s="40"/>
      <c r="K44" s="306">
        <f>IF('ER Pendiente'!E38&lt;0,-'ER Pendiente'!E38-'ER Pendiente'!E22,-'ER Pendiente'!E22)</f>
        <v>0</v>
      </c>
      <c r="L44" s="40"/>
    </row>
    <row r="45" spans="2:46" ht="9" customHeight="1" x14ac:dyDescent="0.3">
      <c r="B45" s="28"/>
      <c r="J45" s="40"/>
      <c r="K45" s="302"/>
      <c r="L45" s="40"/>
    </row>
    <row r="46" spans="2:46" ht="18.75" x14ac:dyDescent="0.3">
      <c r="B46" s="23" t="s">
        <v>23</v>
      </c>
      <c r="C46" s="24"/>
      <c r="G46" s="39">
        <f>+G11+'F-500'!G11+'F-600'!G11</f>
        <v>5369679.9899458177</v>
      </c>
      <c r="J46" s="40"/>
      <c r="K46" s="306">
        <f>+'Dif. Margenes'!I14</f>
        <v>0</v>
      </c>
      <c r="L46" s="40"/>
    </row>
    <row r="47" spans="2:46" ht="9" customHeight="1" x14ac:dyDescent="0.3">
      <c r="B47" s="25"/>
      <c r="J47" s="40"/>
      <c r="K47" s="302"/>
      <c r="L47" s="40"/>
    </row>
    <row r="48" spans="2:46" ht="18.75" x14ac:dyDescent="0.3">
      <c r="B48" s="29" t="s">
        <v>24</v>
      </c>
      <c r="C48" s="30"/>
      <c r="J48" s="40"/>
      <c r="K48" s="315">
        <f>+K40-K42+K44</f>
        <v>0</v>
      </c>
      <c r="L48" s="40"/>
    </row>
    <row r="49" spans="3:12" ht="8.25" customHeight="1" x14ac:dyDescent="0.25">
      <c r="J49" s="40"/>
      <c r="L49" s="40"/>
    </row>
    <row r="50" spans="3:12" ht="21" hidden="1" outlineLevel="1" x14ac:dyDescent="0.35">
      <c r="C50" s="31" t="s">
        <v>26</v>
      </c>
      <c r="J50" s="40"/>
      <c r="K50" s="35"/>
      <c r="L50" s="40"/>
    </row>
    <row r="51" spans="3:12" ht="8.25" hidden="1" customHeight="1" outlineLevel="1" x14ac:dyDescent="0.25">
      <c r="C51" s="5"/>
      <c r="J51" s="40"/>
      <c r="L51" s="40"/>
    </row>
    <row r="52" spans="3:12" ht="23.25" hidden="1" outlineLevel="1" x14ac:dyDescent="0.35">
      <c r="C52" s="31" t="s">
        <v>27</v>
      </c>
      <c r="J52" s="40"/>
      <c r="K52" s="33"/>
      <c r="L52" s="40"/>
    </row>
    <row r="53" spans="3:12" hidden="1" outlineLevel="1" x14ac:dyDescent="0.25">
      <c r="J53" s="40"/>
    </row>
    <row r="54" spans="3:12" collapsed="1" x14ac:dyDescent="0.25">
      <c r="J54" s="40"/>
    </row>
  </sheetData>
  <mergeCells count="18">
    <mergeCell ref="AI3:AI5"/>
    <mergeCell ref="AJ3:AJ5"/>
    <mergeCell ref="AL3:AL5"/>
    <mergeCell ref="B1:AE1"/>
    <mergeCell ref="AE3:AE4"/>
    <mergeCell ref="E3:E4"/>
    <mergeCell ref="G3:H4"/>
    <mergeCell ref="N3:S3"/>
    <mergeCell ref="U3:W4"/>
    <mergeCell ref="Y3:AC4"/>
    <mergeCell ref="J3:J5"/>
    <mergeCell ref="K3:K5"/>
    <mergeCell ref="L3:L5"/>
    <mergeCell ref="AM3:AM5"/>
    <mergeCell ref="AN3:AN5"/>
    <mergeCell ref="AO3:AO5"/>
    <mergeCell ref="AP3:AP5"/>
    <mergeCell ref="AK3:AK5"/>
  </mergeCells>
  <pageMargins left="0.23622047244094491" right="0.23622047244094491" top="0.74803149606299213" bottom="0.74803149606299213" header="0.31496062992125984" footer="0.31496062992125984"/>
  <pageSetup paperSize="9" scale="36" orientation="landscape" r:id="rId1"/>
  <headerFooter>
    <oddFooter>&amp;F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pageSetUpPr fitToPage="1"/>
  </sheetPr>
  <dimension ref="A1:AT57"/>
  <sheetViews>
    <sheetView showGridLines="0" view="pageBreakPreview" zoomScale="70" zoomScaleNormal="50" zoomScaleSheetLayoutView="70" workbookViewId="0">
      <pane xSplit="12" ySplit="6" topLeftCell="AH13" activePane="bottomRight" state="frozen"/>
      <selection activeCell="AH24" sqref="AH24"/>
      <selection pane="topRight" activeCell="AH24" sqref="AH24"/>
      <selection pane="bottomLeft" activeCell="AH24" sqref="AH24"/>
      <selection pane="bottomRight" activeCell="AJ21" sqref="AJ21"/>
    </sheetView>
  </sheetViews>
  <sheetFormatPr baseColWidth="10" defaultColWidth="9.140625" defaultRowHeight="15" outlineLevelRow="1" outlineLevelCol="2" x14ac:dyDescent="0.25"/>
  <cols>
    <col min="1" max="1" width="3.42578125" customWidth="1"/>
    <col min="2" max="2" width="30.5703125" customWidth="1"/>
    <col min="3" max="3" width="23.140625" customWidth="1"/>
    <col min="4" max="4" width="1.42578125" customWidth="1"/>
    <col min="5" max="5" width="18.7109375" customWidth="1" outlineLevel="1"/>
    <col min="6" max="6" width="1.42578125" customWidth="1" outlineLevel="1"/>
    <col min="7" max="7" width="17" bestFit="1" customWidth="1"/>
    <col min="8" max="8" width="16.5703125" bestFit="1" customWidth="1"/>
    <col min="9" max="9" width="1.42578125" customWidth="1"/>
    <col min="10" max="10" width="17" customWidth="1"/>
    <col min="11" max="11" width="23" customWidth="1"/>
    <col min="12" max="12" width="17" customWidth="1"/>
    <col min="13" max="13" width="1.42578125" customWidth="1"/>
    <col min="14" max="14" width="8.42578125" customWidth="1" outlineLevel="1"/>
    <col min="15" max="15" width="9.5703125" customWidth="1" outlineLevel="1"/>
    <col min="16" max="17" width="9" customWidth="1" outlineLevel="1"/>
    <col min="18" max="18" width="9.28515625" customWidth="1" outlineLevel="1"/>
    <col min="19" max="19" width="15.140625" bestFit="1" customWidth="1"/>
    <col min="20" max="20" width="1.42578125" customWidth="1"/>
    <col min="21" max="21" width="14.7109375" bestFit="1" customWidth="1"/>
    <col min="22" max="22" width="13" customWidth="1"/>
    <col min="23" max="23" width="13" customWidth="1" outlineLevel="1"/>
    <col min="24" max="24" width="1.42578125" customWidth="1"/>
    <col min="25" max="25" width="18.140625" bestFit="1" customWidth="1"/>
    <col min="26" max="26" width="18.42578125" bestFit="1" customWidth="1"/>
    <col min="27" max="27" width="13.85546875" customWidth="1" outlineLevel="1"/>
    <col min="28" max="28" width="15.5703125" customWidth="1" outlineLevel="1"/>
    <col min="29" max="29" width="18.42578125" bestFit="1" customWidth="1"/>
    <col min="30" max="30" width="1.5703125" customWidth="1" outlineLevel="1"/>
    <col min="31" max="31" width="16.5703125" bestFit="1" customWidth="1" outlineLevel="1"/>
    <col min="32" max="32" width="2.7109375" customWidth="1"/>
    <col min="33" max="33" width="11.85546875" customWidth="1" outlineLevel="1"/>
    <col min="34" max="34" width="2.85546875" customWidth="1"/>
    <col min="35" max="35" width="16.7109375" customWidth="1" outlineLevel="1"/>
    <col min="36" max="37" width="13.7109375" customWidth="1" outlineLevel="1"/>
    <col min="38" max="42" width="11.5703125" customWidth="1" outlineLevel="2"/>
    <col min="43" max="43" width="9.140625" customWidth="1" outlineLevel="1"/>
    <col min="45" max="45" width="13.28515625" bestFit="1" customWidth="1"/>
    <col min="46" max="46" width="18.42578125" bestFit="1" customWidth="1"/>
  </cols>
  <sheetData>
    <row r="1" spans="1:43" ht="23.25" x14ac:dyDescent="0.35">
      <c r="B1" s="1189" t="str">
        <f>CONCATENATE(B3," - ",B4," - ",B5," - ",B6)</f>
        <v>I.E.N 1182 - MES DE ENERO DEL 2025 - EL BOSQUE - CERCO + INGRESOS Y CASETAS - FASE 500: ACERO FY=4200KG/CM2</v>
      </c>
      <c r="C1" s="1190"/>
      <c r="D1" s="1190"/>
      <c r="E1" s="1190"/>
      <c r="F1" s="1190"/>
      <c r="G1" s="1190"/>
      <c r="H1" s="1190"/>
      <c r="I1" s="1190"/>
      <c r="J1" s="1190"/>
      <c r="K1" s="1190"/>
      <c r="L1" s="1190"/>
      <c r="M1" s="1190"/>
      <c r="N1" s="1190"/>
      <c r="O1" s="1190"/>
      <c r="P1" s="1190"/>
      <c r="Q1" s="1190"/>
      <c r="R1" s="1190"/>
      <c r="S1" s="1190"/>
      <c r="T1" s="1190"/>
      <c r="U1" s="1190"/>
      <c r="V1" s="1190"/>
      <c r="W1" s="1190"/>
      <c r="X1" s="1190"/>
      <c r="Y1" s="1190"/>
      <c r="Z1" s="1190"/>
      <c r="AA1" s="1190"/>
      <c r="AB1" s="1190"/>
      <c r="AC1" s="1190"/>
      <c r="AD1" s="1190"/>
      <c r="AE1" s="1191"/>
    </row>
    <row r="2" spans="1:43" ht="15.75" x14ac:dyDescent="0.25">
      <c r="N2" s="94">
        <f>+YEAR(N5)</f>
        <v>2019</v>
      </c>
      <c r="O2" s="94">
        <f t="shared" ref="O2:R2" si="0">+YEAR(O5)</f>
        <v>2019</v>
      </c>
      <c r="P2" s="94">
        <f t="shared" si="0"/>
        <v>2019</v>
      </c>
      <c r="Q2" s="94">
        <f t="shared" si="0"/>
        <v>2019</v>
      </c>
      <c r="R2" s="94">
        <f t="shared" si="0"/>
        <v>2019</v>
      </c>
      <c r="S2" s="94">
        <f>S5</f>
        <v>2024</v>
      </c>
      <c r="U2" s="34">
        <v>43466</v>
      </c>
      <c r="AA2" s="21"/>
      <c r="AB2" s="21"/>
    </row>
    <row r="3" spans="1:43" s="5" customFormat="1" ht="18.75" customHeight="1" x14ac:dyDescent="0.25">
      <c r="A3" s="311"/>
      <c r="B3" s="311" t="s">
        <v>300</v>
      </c>
      <c r="C3" s="2"/>
      <c r="D3" s="2"/>
      <c r="E3" s="1162" t="s">
        <v>48</v>
      </c>
      <c r="F3" s="3"/>
      <c r="G3" s="1192" t="str">
        <f>+B4</f>
        <v>MES DE ENERO DEL 2025</v>
      </c>
      <c r="H3" s="1179"/>
      <c r="I3" s="3"/>
      <c r="J3" s="1168" t="s">
        <v>334</v>
      </c>
      <c r="K3" s="1193" t="s">
        <v>39</v>
      </c>
      <c r="L3" s="1196" t="s">
        <v>40</v>
      </c>
      <c r="M3" s="3"/>
      <c r="N3" s="1175" t="s">
        <v>50</v>
      </c>
      <c r="O3" s="1176"/>
      <c r="P3" s="1176"/>
      <c r="Q3" s="1176"/>
      <c r="R3" s="1176"/>
      <c r="S3" s="1177"/>
      <c r="T3" s="3"/>
      <c r="U3" s="1168" t="s">
        <v>41</v>
      </c>
      <c r="V3" s="1178"/>
      <c r="W3" s="1179"/>
      <c r="X3" s="3"/>
      <c r="Y3" s="1199" t="s">
        <v>49</v>
      </c>
      <c r="Z3" s="1200"/>
      <c r="AA3" s="1200"/>
      <c r="AB3" s="1200"/>
      <c r="AC3" s="1201"/>
      <c r="AD3" s="2"/>
      <c r="AE3" s="1193" t="s">
        <v>2</v>
      </c>
      <c r="AI3" s="1183" t="s">
        <v>30</v>
      </c>
      <c r="AJ3" s="1330" t="s">
        <v>342</v>
      </c>
      <c r="AK3" s="1226" t="s">
        <v>35</v>
      </c>
      <c r="AL3" s="1208">
        <v>45597</v>
      </c>
      <c r="AM3" s="1208">
        <v>45627</v>
      </c>
      <c r="AN3" s="1208">
        <v>45658</v>
      </c>
      <c r="AO3" s="1208">
        <v>45689</v>
      </c>
      <c r="AP3" s="1208">
        <v>45717</v>
      </c>
    </row>
    <row r="4" spans="1:43" s="5" customFormat="1" ht="31.5" x14ac:dyDescent="0.25">
      <c r="B4" s="312" t="s">
        <v>433</v>
      </c>
      <c r="C4" s="2"/>
      <c r="D4" s="2"/>
      <c r="E4" s="1163"/>
      <c r="F4" s="3"/>
      <c r="G4" s="1170"/>
      <c r="H4" s="1181"/>
      <c r="I4" s="3"/>
      <c r="J4" s="1169"/>
      <c r="K4" s="1194"/>
      <c r="L4" s="1197"/>
      <c r="M4" s="3"/>
      <c r="N4" s="309">
        <v>1</v>
      </c>
      <c r="O4" s="309">
        <f>+N4+1</f>
        <v>2</v>
      </c>
      <c r="P4" s="309">
        <f t="shared" ref="P4:R4" si="1">+O4+1</f>
        <v>3</v>
      </c>
      <c r="Q4" s="309">
        <f t="shared" si="1"/>
        <v>4</v>
      </c>
      <c r="R4" s="309">
        <f t="shared" si="1"/>
        <v>5</v>
      </c>
      <c r="S4" s="291" t="s">
        <v>150</v>
      </c>
      <c r="T4" s="3"/>
      <c r="U4" s="1170"/>
      <c r="V4" s="1180"/>
      <c r="W4" s="1181"/>
      <c r="X4" s="3"/>
      <c r="Y4" s="1202"/>
      <c r="Z4" s="1203"/>
      <c r="AA4" s="1203"/>
      <c r="AB4" s="1203"/>
      <c r="AC4" s="1204"/>
      <c r="AD4" s="2"/>
      <c r="AE4" s="1194"/>
      <c r="AI4" s="1184"/>
      <c r="AJ4" s="1331"/>
      <c r="AK4" s="1227"/>
      <c r="AL4" s="1209"/>
      <c r="AM4" s="1209"/>
      <c r="AN4" s="1209"/>
      <c r="AO4" s="1209"/>
      <c r="AP4" s="1209"/>
    </row>
    <row r="5" spans="1:43" s="5" customFormat="1" ht="31.5" x14ac:dyDescent="0.25">
      <c r="B5" s="805" t="s">
        <v>301</v>
      </c>
      <c r="C5" s="2"/>
      <c r="D5" s="2"/>
      <c r="E5" s="63" t="s">
        <v>3</v>
      </c>
      <c r="F5" s="60"/>
      <c r="G5" s="61" t="s">
        <v>4</v>
      </c>
      <c r="H5" s="61" t="s">
        <v>5</v>
      </c>
      <c r="I5" s="60"/>
      <c r="J5" s="1170"/>
      <c r="K5" s="1195"/>
      <c r="L5" s="1198"/>
      <c r="M5" s="3"/>
      <c r="N5" s="62">
        <v>43648</v>
      </c>
      <c r="O5" s="62">
        <f>+N5+31</f>
        <v>43679</v>
      </c>
      <c r="P5" s="62">
        <f t="shared" ref="P5:R5" si="2">+O5+31</f>
        <v>43710</v>
      </c>
      <c r="Q5" s="62">
        <f t="shared" si="2"/>
        <v>43741</v>
      </c>
      <c r="R5" s="62">
        <f t="shared" si="2"/>
        <v>43772</v>
      </c>
      <c r="S5" s="61">
        <f>+'DIRECTO '!S5</f>
        <v>2024</v>
      </c>
      <c r="T5" s="3"/>
      <c r="U5" s="61">
        <v>2024</v>
      </c>
      <c r="V5" s="61">
        <f>+U5+1</f>
        <v>2025</v>
      </c>
      <c r="W5" s="61">
        <f>+V5+1</f>
        <v>2026</v>
      </c>
      <c r="X5" s="60"/>
      <c r="Y5" s="62" t="s">
        <v>6</v>
      </c>
      <c r="Z5" s="61" t="s">
        <v>7</v>
      </c>
      <c r="AA5" s="61" t="s">
        <v>36</v>
      </c>
      <c r="AB5" s="63" t="s">
        <v>125</v>
      </c>
      <c r="AC5" s="61" t="s">
        <v>8</v>
      </c>
      <c r="AD5" s="59"/>
      <c r="AE5" s="61" t="s">
        <v>7</v>
      </c>
      <c r="AI5" s="1185"/>
      <c r="AJ5" s="1332"/>
      <c r="AK5" s="1228"/>
      <c r="AL5" s="1210"/>
      <c r="AM5" s="1210"/>
      <c r="AN5" s="1210"/>
      <c r="AO5" s="1210"/>
      <c r="AP5" s="1210"/>
    </row>
    <row r="6" spans="1:43" s="5" customFormat="1" ht="17.25" customHeight="1" x14ac:dyDescent="0.25">
      <c r="B6" s="312" t="s">
        <v>324</v>
      </c>
      <c r="C6" s="2"/>
      <c r="D6" s="2"/>
      <c r="E6" s="2"/>
      <c r="F6" s="2"/>
      <c r="G6" s="2"/>
      <c r="H6" s="2"/>
      <c r="I6" s="2"/>
      <c r="J6" s="2"/>
      <c r="K6" s="2"/>
      <c r="L6" s="2"/>
      <c r="M6" s="2"/>
      <c r="N6" s="2"/>
      <c r="O6" s="7"/>
      <c r="P6" s="2"/>
      <c r="Q6" s="2"/>
      <c r="R6" s="2"/>
      <c r="S6" s="2"/>
      <c r="T6" s="2"/>
      <c r="U6" s="2"/>
      <c r="V6" s="2"/>
      <c r="W6" s="2"/>
      <c r="X6" s="2"/>
      <c r="Y6" s="2"/>
      <c r="Z6" s="2"/>
      <c r="AA6" s="2"/>
      <c r="AB6" s="2"/>
      <c r="AC6" s="2"/>
      <c r="AD6" s="2"/>
      <c r="AE6" s="2"/>
      <c r="AI6" s="527"/>
    </row>
    <row r="7" spans="1:43" s="5" customFormat="1" ht="18.75" x14ac:dyDescent="0.3">
      <c r="B7" s="56" t="s">
        <v>32</v>
      </c>
      <c r="C7" s="57"/>
      <c r="D7" s="2"/>
      <c r="E7" s="606">
        <f>+E9</f>
        <v>0</v>
      </c>
      <c r="F7" s="87"/>
      <c r="G7" s="608">
        <f>+G9</f>
        <v>128734.34000000014</v>
      </c>
      <c r="H7" s="608">
        <f>+H9</f>
        <v>0</v>
      </c>
      <c r="I7" s="87"/>
      <c r="J7" s="606">
        <f>+J9</f>
        <v>0</v>
      </c>
      <c r="K7" s="607">
        <f>+K9</f>
        <v>0</v>
      </c>
      <c r="L7" s="608">
        <f>+L9</f>
        <v>0</v>
      </c>
      <c r="M7" s="87"/>
      <c r="N7" s="606">
        <f t="shared" ref="N7:S7" si="3">+N9</f>
        <v>0</v>
      </c>
      <c r="O7" s="607">
        <f t="shared" si="3"/>
        <v>0</v>
      </c>
      <c r="P7" s="607">
        <f t="shared" si="3"/>
        <v>0</v>
      </c>
      <c r="Q7" s="607">
        <f t="shared" si="3"/>
        <v>0</v>
      </c>
      <c r="R7" s="607">
        <f t="shared" si="3"/>
        <v>0</v>
      </c>
      <c r="S7" s="608">
        <f t="shared" si="3"/>
        <v>0</v>
      </c>
      <c r="T7" s="87"/>
      <c r="U7" s="606">
        <f>+U9</f>
        <v>0</v>
      </c>
      <c r="V7" s="607">
        <f>+V9</f>
        <v>0</v>
      </c>
      <c r="W7" s="608">
        <f>+W9</f>
        <v>0</v>
      </c>
      <c r="X7" s="87"/>
      <c r="Y7" s="606">
        <f>+Y9</f>
        <v>0</v>
      </c>
      <c r="Z7" s="607">
        <v>15306455.454800002</v>
      </c>
      <c r="AA7" s="607">
        <f>+AA9</f>
        <v>0</v>
      </c>
      <c r="AB7" s="607">
        <f>+AB9</f>
        <v>0</v>
      </c>
      <c r="AC7" s="608">
        <f>+AC9</f>
        <v>15306455.455000002</v>
      </c>
      <c r="AD7" s="87"/>
      <c r="AE7" s="650">
        <f>+AE9</f>
        <v>0</v>
      </c>
      <c r="AF7" s="444"/>
      <c r="AG7" s="531"/>
      <c r="AH7" s="295"/>
      <c r="AI7" s="392">
        <f>+AI9</f>
        <v>0</v>
      </c>
      <c r="AJ7" s="393">
        <f t="shared" ref="AJ7:AP7" si="4">+AJ9</f>
        <v>0</v>
      </c>
      <c r="AK7" s="393"/>
      <c r="AL7" s="393">
        <f t="shared" si="4"/>
        <v>0</v>
      </c>
      <c r="AM7" s="393">
        <f t="shared" si="4"/>
        <v>0</v>
      </c>
      <c r="AN7" s="393">
        <f t="shared" si="4"/>
        <v>0</v>
      </c>
      <c r="AO7" s="393">
        <f t="shared" si="4"/>
        <v>0</v>
      </c>
      <c r="AP7" s="393">
        <f t="shared" si="4"/>
        <v>0</v>
      </c>
      <c r="AQ7" s="295"/>
    </row>
    <row r="8" spans="1:43" s="5" customFormat="1" ht="7.5" customHeight="1" x14ac:dyDescent="0.3">
      <c r="B8" s="2"/>
      <c r="C8" s="2"/>
      <c r="D8" s="2"/>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293"/>
      <c r="AG8" s="532"/>
      <c r="AH8" s="295"/>
      <c r="AI8" s="394"/>
      <c r="AJ8" s="394"/>
      <c r="AK8" s="394"/>
      <c r="AL8" s="394"/>
      <c r="AM8" s="394"/>
      <c r="AN8" s="394"/>
      <c r="AO8" s="394"/>
      <c r="AP8" s="394"/>
      <c r="AQ8" s="295"/>
    </row>
    <row r="9" spans="1:43" s="5" customFormat="1" ht="18.75" x14ac:dyDescent="0.3">
      <c r="B9" s="9" t="s">
        <v>153</v>
      </c>
      <c r="C9" s="10"/>
      <c r="D9" s="2"/>
      <c r="E9" s="663">
        <f>+SUM(E11:E13)</f>
        <v>0</v>
      </c>
      <c r="F9" s="87"/>
      <c r="G9" s="611">
        <f>+SUM(G11:G13)</f>
        <v>128734.34000000014</v>
      </c>
      <c r="H9" s="611">
        <f>+SUM(H11:H13)</f>
        <v>0</v>
      </c>
      <c r="I9" s="87"/>
      <c r="J9" s="609">
        <f>+SUM(J11:J13)</f>
        <v>0</v>
      </c>
      <c r="K9" s="610">
        <f>+SUM(K11:K13)</f>
        <v>0</v>
      </c>
      <c r="L9" s="611">
        <f>+SUM(L11:L12)</f>
        <v>0</v>
      </c>
      <c r="M9" s="87"/>
      <c r="N9" s="609">
        <f t="shared" ref="N9:S9" si="5">+SUM(N11:N13)</f>
        <v>0</v>
      </c>
      <c r="O9" s="610">
        <f t="shared" si="5"/>
        <v>0</v>
      </c>
      <c r="P9" s="610">
        <f t="shared" si="5"/>
        <v>0</v>
      </c>
      <c r="Q9" s="610">
        <f t="shared" si="5"/>
        <v>0</v>
      </c>
      <c r="R9" s="610">
        <f t="shared" si="5"/>
        <v>0</v>
      </c>
      <c r="S9" s="611">
        <f t="shared" si="5"/>
        <v>0</v>
      </c>
      <c r="T9" s="87"/>
      <c r="U9" s="609">
        <f>+SUM(U11:U13)</f>
        <v>0</v>
      </c>
      <c r="V9" s="610">
        <f>+SUM(V11:V13)</f>
        <v>0</v>
      </c>
      <c r="W9" s="611">
        <f>+SUM(W11:W13)</f>
        <v>0</v>
      </c>
      <c r="X9" s="87"/>
      <c r="Y9" s="609">
        <f>+SUM(Y11:Y13)</f>
        <v>0</v>
      </c>
      <c r="Z9" s="610">
        <v>15306455.454800002</v>
      </c>
      <c r="AA9" s="610">
        <f>+SUM(AA11:AA13)</f>
        <v>0</v>
      </c>
      <c r="AB9" s="610">
        <f>+SUM(AB11:AB13)</f>
        <v>0</v>
      </c>
      <c r="AC9" s="611">
        <f>+SUM(AC11:AC13)</f>
        <v>15306455.455000002</v>
      </c>
      <c r="AD9" s="87"/>
      <c r="AE9" s="663">
        <f>+SUM(AE11:AE13)</f>
        <v>0</v>
      </c>
      <c r="AF9" s="444"/>
      <c r="AG9" s="531"/>
      <c r="AH9" s="295"/>
      <c r="AI9" s="395">
        <f t="shared" ref="AI9:AP9" si="6">+SUM(AI11:AI13)</f>
        <v>0</v>
      </c>
      <c r="AJ9" s="395">
        <f t="shared" si="6"/>
        <v>0</v>
      </c>
      <c r="AK9" s="395"/>
      <c r="AL9" s="395">
        <f t="shared" si="6"/>
        <v>0</v>
      </c>
      <c r="AM9" s="395">
        <f t="shared" si="6"/>
        <v>0</v>
      </c>
      <c r="AN9" s="395">
        <f t="shared" si="6"/>
        <v>0</v>
      </c>
      <c r="AO9" s="395">
        <f t="shared" si="6"/>
        <v>0</v>
      </c>
      <c r="AP9" s="395">
        <f t="shared" si="6"/>
        <v>0</v>
      </c>
      <c r="AQ9" s="295"/>
    </row>
    <row r="10" spans="1:43" s="5" customFormat="1" ht="7.5" customHeight="1" x14ac:dyDescent="0.3">
      <c r="E10" s="499"/>
      <c r="F10" s="499"/>
      <c r="G10" s="499"/>
      <c r="H10" s="499"/>
      <c r="I10" s="499"/>
      <c r="J10" s="499"/>
      <c r="K10" s="499"/>
      <c r="L10" s="499"/>
      <c r="M10" s="499"/>
      <c r="N10" s="499"/>
      <c r="O10" s="499"/>
      <c r="P10" s="499"/>
      <c r="Q10" s="499"/>
      <c r="R10" s="499"/>
      <c r="S10" s="499"/>
      <c r="T10" s="499"/>
      <c r="U10" s="499"/>
      <c r="V10" s="499"/>
      <c r="W10" s="499"/>
      <c r="X10" s="499"/>
      <c r="Y10" s="499"/>
      <c r="Z10" s="499"/>
      <c r="AA10" s="499"/>
      <c r="AB10" s="499"/>
      <c r="AC10" s="499"/>
      <c r="AD10" s="499"/>
      <c r="AE10" s="499"/>
      <c r="AF10" s="293"/>
      <c r="AG10" s="532"/>
      <c r="AH10" s="295"/>
      <c r="AI10" s="396"/>
      <c r="AJ10" s="396"/>
      <c r="AK10" s="396"/>
      <c r="AL10" s="396"/>
      <c r="AM10" s="396"/>
      <c r="AN10" s="396"/>
      <c r="AO10" s="396"/>
      <c r="AP10" s="396"/>
      <c r="AQ10" s="295"/>
    </row>
    <row r="11" spans="1:43" s="5" customFormat="1" ht="18.75" x14ac:dyDescent="0.3">
      <c r="B11" s="13" t="s">
        <v>151</v>
      </c>
      <c r="C11" s="14"/>
      <c r="E11" s="476">
        <f>+SUM(AL11:AP11)</f>
        <v>0</v>
      </c>
      <c r="F11" s="499"/>
      <c r="G11" s="612">
        <v>128734.34000000014</v>
      </c>
      <c r="H11" s="596">
        <f>AJ11</f>
        <v>0</v>
      </c>
      <c r="I11" s="499"/>
      <c r="J11" s="635">
        <f>+H11+AE11</f>
        <v>0</v>
      </c>
      <c r="K11" s="613">
        <f t="shared" ref="K11:K12" si="7">+E11+J11</f>
        <v>0</v>
      </c>
      <c r="L11" s="520"/>
      <c r="M11" s="499"/>
      <c r="N11" s="612">
        <v>0</v>
      </c>
      <c r="O11" s="613">
        <v>0</v>
      </c>
      <c r="P11" s="613">
        <v>0</v>
      </c>
      <c r="Q11" s="613">
        <v>0</v>
      </c>
      <c r="R11" s="613">
        <v>0</v>
      </c>
      <c r="S11" s="636">
        <f>+SUMIFS(N11:R11,N$2:R$2,$S$5)</f>
        <v>0</v>
      </c>
      <c r="T11" s="499"/>
      <c r="U11" s="612">
        <f>+SUMIFS(N11:S11,N$2:S$2,$U$5)</f>
        <v>0</v>
      </c>
      <c r="V11" s="613">
        <f>+SUMIFS(N11:S11,N$2:S$2,$V$5)</f>
        <v>0</v>
      </c>
      <c r="W11" s="520">
        <v>0</v>
      </c>
      <c r="X11" s="499"/>
      <c r="Y11" s="612">
        <f>+K11+L11</f>
        <v>0</v>
      </c>
      <c r="Z11" s="613">
        <v>15306455.455000002</v>
      </c>
      <c r="AA11" s="613">
        <v>0</v>
      </c>
      <c r="AB11" s="613">
        <v>0</v>
      </c>
      <c r="AC11" s="520">
        <v>15306455.455000002</v>
      </c>
      <c r="AD11" s="499"/>
      <c r="AE11" s="476"/>
      <c r="AF11" s="444"/>
      <c r="AG11" s="531"/>
      <c r="AH11" s="295"/>
      <c r="AI11" s="397">
        <f>SUM(AL11:AP11)</f>
        <v>0</v>
      </c>
      <c r="AJ11" s="953">
        <f>SUM(AL11:AM11)</f>
        <v>0</v>
      </c>
      <c r="AK11" s="671">
        <f>+AN11</f>
        <v>0</v>
      </c>
      <c r="AL11" s="446"/>
      <c r="AM11" s="446"/>
      <c r="AN11" s="446"/>
      <c r="AO11" s="446"/>
      <c r="AP11" s="446"/>
      <c r="AQ11" s="295"/>
    </row>
    <row r="12" spans="1:43" s="5" customFormat="1" ht="18.75" x14ac:dyDescent="0.3">
      <c r="B12" s="15" t="s">
        <v>152</v>
      </c>
      <c r="C12" s="16"/>
      <c r="E12" s="652">
        <f>+SUM(AL12:AP12)</f>
        <v>0</v>
      </c>
      <c r="F12" s="499"/>
      <c r="G12" s="638">
        <v>0</v>
      </c>
      <c r="H12" s="623">
        <f t="shared" ref="H12:H13" si="8">AJ12</f>
        <v>0</v>
      </c>
      <c r="I12" s="499"/>
      <c r="J12" s="614">
        <f>+H12+AE12</f>
        <v>0</v>
      </c>
      <c r="K12" s="615">
        <f t="shared" si="7"/>
        <v>0</v>
      </c>
      <c r="L12" s="616">
        <f>+SUM(N12:R12)</f>
        <v>0</v>
      </c>
      <c r="M12" s="499"/>
      <c r="N12" s="638">
        <v>0</v>
      </c>
      <c r="O12" s="622">
        <v>0</v>
      </c>
      <c r="P12" s="622">
        <v>0</v>
      </c>
      <c r="Q12" s="622">
        <v>0</v>
      </c>
      <c r="R12" s="622">
        <v>0</v>
      </c>
      <c r="S12" s="665">
        <f>+SUMIFS(N12:R12,N$2:R$2,$S$5)</f>
        <v>0</v>
      </c>
      <c r="T12" s="499"/>
      <c r="U12" s="638">
        <f>+SUMIFS(N12:S12,N$2:S$2,$U$5)</f>
        <v>0</v>
      </c>
      <c r="V12" s="622">
        <f>+SUMIFS(N12:S12,N$2:S$2,$V$5)</f>
        <v>0</v>
      </c>
      <c r="W12" s="624">
        <v>0</v>
      </c>
      <c r="X12" s="499"/>
      <c r="Y12" s="645">
        <f>+K12+L12</f>
        <v>0</v>
      </c>
      <c r="Z12" s="622">
        <v>0</v>
      </c>
      <c r="AA12" s="622">
        <v>0</v>
      </c>
      <c r="AB12" s="622"/>
      <c r="AC12" s="623">
        <v>0</v>
      </c>
      <c r="AD12" s="499"/>
      <c r="AE12" s="652"/>
      <c r="AF12" s="444"/>
      <c r="AG12" s="531"/>
      <c r="AH12" s="295"/>
      <c r="AI12" s="397">
        <f>SUM(AL12:AP12)</f>
        <v>0</v>
      </c>
      <c r="AJ12" s="953">
        <f>SUM(AL12:AM12)</f>
        <v>0</v>
      </c>
      <c r="AK12" s="671">
        <f>+AN12</f>
        <v>0</v>
      </c>
      <c r="AL12" s="446"/>
      <c r="AM12" s="446"/>
      <c r="AN12" s="446"/>
      <c r="AO12" s="446"/>
      <c r="AP12" s="446"/>
      <c r="AQ12" s="295"/>
    </row>
    <row r="13" spans="1:43" s="5" customFormat="1" ht="18.75" x14ac:dyDescent="0.3">
      <c r="B13" s="17" t="s">
        <v>42</v>
      </c>
      <c r="C13" s="18"/>
      <c r="E13" s="479">
        <f>+SUM(AL13:AP13)</f>
        <v>0</v>
      </c>
      <c r="F13" s="499"/>
      <c r="G13" s="648"/>
      <c r="H13" s="505">
        <f t="shared" si="8"/>
        <v>0</v>
      </c>
      <c r="I13" s="499"/>
      <c r="J13" s="617"/>
      <c r="K13" s="618"/>
      <c r="L13" s="619">
        <f>+SUM(N13:R13)</f>
        <v>0</v>
      </c>
      <c r="M13" s="499"/>
      <c r="N13" s="648"/>
      <c r="O13" s="649"/>
      <c r="P13" s="649"/>
      <c r="Q13" s="649"/>
      <c r="R13" s="649"/>
      <c r="S13" s="666">
        <f>+SUMIFS(N13:R13,N$2:R$2,$S$5)</f>
        <v>0</v>
      </c>
      <c r="T13" s="499"/>
      <c r="U13" s="617">
        <f>+SUMIFS(N13:S13,N$2:S$2,$U$5)</f>
        <v>0</v>
      </c>
      <c r="V13" s="618">
        <f>+SUMIFS(N13:S13,N$2:S$2,$V$5)</f>
        <v>0</v>
      </c>
      <c r="W13" s="619">
        <v>0</v>
      </c>
      <c r="X13" s="499"/>
      <c r="Y13" s="648">
        <f>+K13+L13</f>
        <v>0</v>
      </c>
      <c r="Z13" s="649">
        <v>0</v>
      </c>
      <c r="AA13" s="649">
        <v>0</v>
      </c>
      <c r="AB13" s="649"/>
      <c r="AC13" s="505">
        <v>0</v>
      </c>
      <c r="AD13" s="499"/>
      <c r="AE13" s="642"/>
      <c r="AF13" s="443"/>
      <c r="AG13" s="534"/>
      <c r="AH13" s="295"/>
      <c r="AI13" s="397">
        <f>SUM(AL13:AP13)</f>
        <v>0</v>
      </c>
      <c r="AJ13" s="953">
        <f>SUM(AL13:AM13)</f>
        <v>0</v>
      </c>
      <c r="AK13" s="671">
        <f>+AN13</f>
        <v>0</v>
      </c>
      <c r="AL13" s="447"/>
      <c r="AM13" s="447"/>
      <c r="AN13" s="447"/>
      <c r="AO13" s="447"/>
      <c r="AP13" s="447"/>
      <c r="AQ13" s="295"/>
    </row>
    <row r="14" spans="1:43" s="5" customFormat="1" ht="18.75" x14ac:dyDescent="0.3">
      <c r="E14" s="499"/>
      <c r="F14" s="499"/>
      <c r="G14" s="499"/>
      <c r="H14" s="499"/>
      <c r="I14" s="499"/>
      <c r="J14" s="499"/>
      <c r="K14" s="499"/>
      <c r="L14" s="515"/>
      <c r="M14" s="499"/>
      <c r="N14" s="499"/>
      <c r="O14" s="499"/>
      <c r="P14" s="499"/>
      <c r="Q14" s="499"/>
      <c r="R14" s="499"/>
      <c r="S14" s="499"/>
      <c r="T14" s="499"/>
      <c r="U14" s="499"/>
      <c r="V14" s="499"/>
      <c r="W14" s="499"/>
      <c r="X14" s="499"/>
      <c r="Y14" s="499"/>
      <c r="Z14" s="499"/>
      <c r="AA14" s="499"/>
      <c r="AB14" s="499"/>
      <c r="AC14" s="499"/>
      <c r="AD14" s="499"/>
      <c r="AE14" s="499"/>
      <c r="AF14" s="443"/>
      <c r="AG14" s="534"/>
      <c r="AH14" s="294"/>
      <c r="AI14" s="399"/>
      <c r="AJ14" s="400"/>
      <c r="AK14" s="400"/>
      <c r="AL14" s="400"/>
      <c r="AM14" s="400"/>
      <c r="AN14" s="400"/>
      <c r="AO14" s="400"/>
      <c r="AP14" s="400"/>
      <c r="AQ14" s="295"/>
    </row>
    <row r="15" spans="1:43" s="5" customFormat="1" ht="18.75" x14ac:dyDescent="0.3">
      <c r="B15" s="56" t="s">
        <v>9</v>
      </c>
      <c r="C15" s="57"/>
      <c r="D15" s="2"/>
      <c r="E15" s="650">
        <f>+SUM(E17:E26)+E28</f>
        <v>0</v>
      </c>
      <c r="F15" s="87"/>
      <c r="G15" s="606">
        <f>+SUM(G17:G26)+G28</f>
        <v>0</v>
      </c>
      <c r="H15" s="608">
        <f>+SUM(H17:H26)+H28</f>
        <v>0</v>
      </c>
      <c r="I15" s="87"/>
      <c r="J15" s="606">
        <f>+SUM(J17:J26)+J28</f>
        <v>0</v>
      </c>
      <c r="K15" s="607">
        <f>+SUM(K17:K26)+K28</f>
        <v>0</v>
      </c>
      <c r="L15" s="608">
        <f>+SUM(L17:L26,L28)</f>
        <v>0</v>
      </c>
      <c r="M15" s="87"/>
      <c r="N15" s="606">
        <f t="shared" ref="N15:R15" si="9">+SUM(N17:N26)+N28</f>
        <v>0</v>
      </c>
      <c r="O15" s="607">
        <f>+SUM(O17:O26)+O28</f>
        <v>0</v>
      </c>
      <c r="P15" s="607">
        <f t="shared" si="9"/>
        <v>0</v>
      </c>
      <c r="Q15" s="607">
        <f t="shared" si="9"/>
        <v>0</v>
      </c>
      <c r="R15" s="607">
        <f t="shared" si="9"/>
        <v>0</v>
      </c>
      <c r="S15" s="608">
        <f>+SUM(S17:S26)+S28</f>
        <v>0</v>
      </c>
      <c r="T15" s="87"/>
      <c r="U15" s="606">
        <f>+SUM(U17:U26)+U28</f>
        <v>0</v>
      </c>
      <c r="V15" s="607">
        <f>+SUM(V17:V26)+V28</f>
        <v>0</v>
      </c>
      <c r="W15" s="608">
        <f>+SUM(W17:W26)+W28</f>
        <v>0</v>
      </c>
      <c r="X15" s="87"/>
      <c r="Y15" s="606">
        <f>+SUM(Y17:Y26)+Y28</f>
        <v>0</v>
      </c>
      <c r="Z15" s="606">
        <f>+SUM(Z17:Z26)+Z28</f>
        <v>0</v>
      </c>
      <c r="AA15" s="607">
        <f>+SUM(AA17:AA26)+AA28</f>
        <v>0</v>
      </c>
      <c r="AB15" s="607">
        <f>+SUM(AB17:AB26)+AB28</f>
        <v>0</v>
      </c>
      <c r="AC15" s="608">
        <f>+SUM(AC17:AC26,AC28)</f>
        <v>15306455.455000004</v>
      </c>
      <c r="AD15" s="87"/>
      <c r="AE15" s="650">
        <f>+SUM(AE17:AE26,AE28)</f>
        <v>0</v>
      </c>
      <c r="AF15" s="444"/>
      <c r="AG15" s="531"/>
      <c r="AH15" s="295"/>
      <c r="AI15" s="392">
        <f>+SUM(AI17:AI26,AI28)</f>
        <v>0</v>
      </c>
      <c r="AJ15" s="392">
        <f t="shared" ref="AJ15:AP15" si="10">+SUM(AJ17:AJ26,AJ28)</f>
        <v>0</v>
      </c>
      <c r="AK15" s="392"/>
      <c r="AL15" s="392">
        <f t="shared" si="10"/>
        <v>0</v>
      </c>
      <c r="AM15" s="392">
        <f t="shared" si="10"/>
        <v>0</v>
      </c>
      <c r="AN15" s="392">
        <f t="shared" si="10"/>
        <v>0</v>
      </c>
      <c r="AO15" s="392">
        <f t="shared" si="10"/>
        <v>0</v>
      </c>
      <c r="AP15" s="392">
        <f t="shared" si="10"/>
        <v>0</v>
      </c>
      <c r="AQ15" s="295"/>
    </row>
    <row r="16" spans="1:43" s="5" customFormat="1" ht="7.5" customHeight="1" x14ac:dyDescent="0.3">
      <c r="E16" s="499"/>
      <c r="F16" s="499"/>
      <c r="G16" s="499"/>
      <c r="H16" s="499"/>
      <c r="I16" s="499"/>
      <c r="J16" s="499"/>
      <c r="K16" s="499"/>
      <c r="L16" s="499"/>
      <c r="M16" s="499"/>
      <c r="N16" s="499"/>
      <c r="O16" s="499"/>
      <c r="P16" s="499"/>
      <c r="Q16" s="499"/>
      <c r="R16" s="499"/>
      <c r="S16" s="499"/>
      <c r="T16" s="499"/>
      <c r="U16" s="499"/>
      <c r="V16" s="499"/>
      <c r="W16" s="499"/>
      <c r="X16" s="499"/>
      <c r="Y16" s="499"/>
      <c r="Z16" s="499"/>
      <c r="AA16" s="499"/>
      <c r="AB16" s="499"/>
      <c r="AC16" s="499"/>
      <c r="AD16" s="499"/>
      <c r="AE16" s="499"/>
      <c r="AF16" s="442"/>
      <c r="AG16" s="532"/>
      <c r="AH16" s="295"/>
      <c r="AI16" s="396"/>
      <c r="AJ16" s="400"/>
      <c r="AK16" s="400"/>
      <c r="AL16" s="400"/>
      <c r="AM16" s="400"/>
      <c r="AN16" s="400"/>
      <c r="AO16" s="400"/>
      <c r="AP16" s="400"/>
      <c r="AQ16" s="295"/>
    </row>
    <row r="17" spans="2:43" s="5" customFormat="1" ht="18.75" x14ac:dyDescent="0.3">
      <c r="B17" s="13" t="s">
        <v>10</v>
      </c>
      <c r="C17" s="14"/>
      <c r="E17" s="476">
        <f t="shared" ref="E17:E26" si="11">+SUM(AL17:AP17)</f>
        <v>0</v>
      </c>
      <c r="F17" s="499"/>
      <c r="G17" s="612"/>
      <c r="H17" s="596">
        <f t="shared" ref="H17:H26" si="12">AJ17</f>
        <v>0</v>
      </c>
      <c r="I17" s="499"/>
      <c r="J17" s="635">
        <f t="shared" ref="J17:J26" si="13">+H17+AE17</f>
        <v>0</v>
      </c>
      <c r="K17" s="613">
        <f>+E17+J17</f>
        <v>0</v>
      </c>
      <c r="L17" s="636">
        <f t="shared" ref="L17:L26" si="14">+SUM(N17:R17)</f>
        <v>0</v>
      </c>
      <c r="M17" s="499"/>
      <c r="N17" s="612"/>
      <c r="O17" s="613"/>
      <c r="P17" s="613"/>
      <c r="Q17" s="613"/>
      <c r="R17" s="613"/>
      <c r="S17" s="636">
        <f t="shared" ref="S17:S26" si="15">+SUMIFS(N17:R17,N$2:R$2,$S$5)</f>
        <v>0</v>
      </c>
      <c r="T17" s="499"/>
      <c r="U17" s="612">
        <f t="shared" ref="U17:U26" si="16">+SUMIFS(N17:S17,N$2:S$2,$U$5)</f>
        <v>0</v>
      </c>
      <c r="V17" s="613">
        <f t="shared" ref="V17:V26" si="17">+SUMIFS(N17:S17,N$2:S$2,$V$5)</f>
        <v>0</v>
      </c>
      <c r="W17" s="636">
        <v>0</v>
      </c>
      <c r="X17" s="499"/>
      <c r="Y17" s="612">
        <f t="shared" ref="Y17:Y26" si="18">+K17+L17</f>
        <v>0</v>
      </c>
      <c r="Z17" s="613"/>
      <c r="AA17" s="613"/>
      <c r="AB17" s="613"/>
      <c r="AC17" s="520">
        <v>12088495.698799999</v>
      </c>
      <c r="AD17" s="499"/>
      <c r="AE17" s="476"/>
      <c r="AF17" s="444"/>
      <c r="AG17" s="531"/>
      <c r="AH17" s="295"/>
      <c r="AI17" s="397">
        <f>SUM(AL17:AP17)</f>
        <v>0</v>
      </c>
      <c r="AJ17" s="953">
        <f>SUM(AL17:AM17)</f>
        <v>0</v>
      </c>
      <c r="AK17" s="671">
        <f>+AN17</f>
        <v>0</v>
      </c>
      <c r="AL17" s="446"/>
      <c r="AM17" s="446"/>
      <c r="AN17" s="446"/>
      <c r="AO17" s="446"/>
      <c r="AP17" s="446"/>
      <c r="AQ17" s="295"/>
    </row>
    <row r="18" spans="2:43" s="5" customFormat="1" ht="18.75" x14ac:dyDescent="0.3">
      <c r="B18" s="15" t="s">
        <v>11</v>
      </c>
      <c r="C18" s="16"/>
      <c r="E18" s="478">
        <f t="shared" si="11"/>
        <v>0</v>
      </c>
      <c r="F18" s="499"/>
      <c r="G18" s="640"/>
      <c r="H18" s="651">
        <f t="shared" si="12"/>
        <v>0</v>
      </c>
      <c r="I18" s="499"/>
      <c r="J18" s="638">
        <f t="shared" si="13"/>
        <v>0</v>
      </c>
      <c r="K18" s="622">
        <f>+J18+E18</f>
        <v>0</v>
      </c>
      <c r="L18" s="639">
        <f t="shared" si="14"/>
        <v>0</v>
      </c>
      <c r="M18" s="499"/>
      <c r="N18" s="640"/>
      <c r="O18" s="620"/>
      <c r="P18" s="620"/>
      <c r="Q18" s="620"/>
      <c r="R18" s="620"/>
      <c r="S18" s="639">
        <f t="shared" si="15"/>
        <v>0</v>
      </c>
      <c r="T18" s="499"/>
      <c r="U18" s="640">
        <f t="shared" si="16"/>
        <v>0</v>
      </c>
      <c r="V18" s="620">
        <f t="shared" si="17"/>
        <v>0</v>
      </c>
      <c r="W18" s="639">
        <v>0</v>
      </c>
      <c r="X18" s="499"/>
      <c r="Y18" s="645">
        <f t="shared" si="18"/>
        <v>0</v>
      </c>
      <c r="Z18" s="620">
        <f>+MO!Z69</f>
        <v>0</v>
      </c>
      <c r="AA18" s="620">
        <f>+MO!AA69</f>
        <v>0</v>
      </c>
      <c r="AB18" s="620">
        <f>+MO!AB69</f>
        <v>0</v>
      </c>
      <c r="AC18" s="624">
        <v>132910.32939888819</v>
      </c>
      <c r="AD18" s="499"/>
      <c r="AE18" s="476"/>
      <c r="AF18" s="444"/>
      <c r="AG18" s="531"/>
      <c r="AH18" s="295"/>
      <c r="AI18" s="397">
        <f>SUM(AL18:AP18)</f>
        <v>0</v>
      </c>
      <c r="AJ18" s="953">
        <f>SUM(AL18:AM18)</f>
        <v>0</v>
      </c>
      <c r="AK18" s="671">
        <f>+AN18</f>
        <v>0</v>
      </c>
      <c r="AL18" s="446"/>
      <c r="AM18" s="446"/>
      <c r="AN18" s="446"/>
      <c r="AO18" s="446"/>
      <c r="AP18" s="446"/>
      <c r="AQ18" s="295"/>
    </row>
    <row r="19" spans="2:43" s="5" customFormat="1" ht="18.75" x14ac:dyDescent="0.3">
      <c r="B19" s="15" t="s">
        <v>43</v>
      </c>
      <c r="C19" s="16"/>
      <c r="E19" s="652">
        <f t="shared" si="11"/>
        <v>0</v>
      </c>
      <c r="F19" s="499"/>
      <c r="G19" s="638"/>
      <c r="H19" s="651">
        <f t="shared" si="12"/>
        <v>0</v>
      </c>
      <c r="I19" s="499"/>
      <c r="J19" s="638">
        <f t="shared" si="13"/>
        <v>0</v>
      </c>
      <c r="K19" s="622">
        <f t="shared" ref="K19:K25" si="19">+J19+E19</f>
        <v>0</v>
      </c>
      <c r="L19" s="621">
        <f t="shared" si="14"/>
        <v>0</v>
      </c>
      <c r="M19" s="499"/>
      <c r="N19" s="638"/>
      <c r="O19" s="622"/>
      <c r="P19" s="622"/>
      <c r="Q19" s="622"/>
      <c r="R19" s="622"/>
      <c r="S19" s="621">
        <f t="shared" si="15"/>
        <v>0</v>
      </c>
      <c r="T19" s="499"/>
      <c r="U19" s="638">
        <f t="shared" si="16"/>
        <v>0</v>
      </c>
      <c r="V19" s="622">
        <f t="shared" si="17"/>
        <v>0</v>
      </c>
      <c r="W19" s="621">
        <v>0</v>
      </c>
      <c r="X19" s="499"/>
      <c r="Y19" s="645">
        <f t="shared" si="18"/>
        <v>0</v>
      </c>
      <c r="Z19" s="622">
        <f>+SC!Z44</f>
        <v>0</v>
      </c>
      <c r="AA19" s="622">
        <f>+SC!AA44</f>
        <v>0</v>
      </c>
      <c r="AB19" s="622">
        <f>+SC!AB44</f>
        <v>0</v>
      </c>
      <c r="AC19" s="623">
        <v>0</v>
      </c>
      <c r="AD19" s="499"/>
      <c r="AE19" s="476"/>
      <c r="AF19" s="444"/>
      <c r="AG19" s="531"/>
      <c r="AH19" s="295"/>
      <c r="AI19" s="397">
        <f>SUM(AL19:AP19)</f>
        <v>0</v>
      </c>
      <c r="AJ19" s="953">
        <f>SUM(AL19:AM19)</f>
        <v>0</v>
      </c>
      <c r="AK19" s="671">
        <f>+AN19</f>
        <v>0</v>
      </c>
      <c r="AL19" s="446"/>
      <c r="AM19" s="446"/>
      <c r="AN19" s="446"/>
      <c r="AO19" s="446"/>
      <c r="AP19" s="446"/>
      <c r="AQ19" s="295"/>
    </row>
    <row r="20" spans="2:43" s="5" customFormat="1" ht="18.75" x14ac:dyDescent="0.3">
      <c r="B20" s="15" t="s">
        <v>38</v>
      </c>
      <c r="C20" s="16"/>
      <c r="E20" s="652">
        <f t="shared" si="11"/>
        <v>0</v>
      </c>
      <c r="F20" s="499"/>
      <c r="G20" s="638"/>
      <c r="H20" s="651">
        <f t="shared" si="12"/>
        <v>0</v>
      </c>
      <c r="I20" s="499"/>
      <c r="J20" s="638">
        <f t="shared" si="13"/>
        <v>0</v>
      </c>
      <c r="K20" s="622">
        <f>+J20+E20</f>
        <v>0</v>
      </c>
      <c r="L20" s="621">
        <f t="shared" si="14"/>
        <v>0</v>
      </c>
      <c r="M20" s="499"/>
      <c r="N20" s="638"/>
      <c r="O20" s="622"/>
      <c r="P20" s="622"/>
      <c r="Q20" s="622"/>
      <c r="R20" s="622"/>
      <c r="S20" s="621">
        <f t="shared" si="15"/>
        <v>0</v>
      </c>
      <c r="T20" s="499"/>
      <c r="U20" s="638">
        <f t="shared" si="16"/>
        <v>0</v>
      </c>
      <c r="V20" s="622">
        <f t="shared" si="17"/>
        <v>0</v>
      </c>
      <c r="W20" s="621">
        <v>0</v>
      </c>
      <c r="X20" s="499"/>
      <c r="Y20" s="645">
        <f t="shared" si="18"/>
        <v>0</v>
      </c>
      <c r="Z20" s="622">
        <f>+SER!Z42</f>
        <v>0</v>
      </c>
      <c r="AA20" s="622"/>
      <c r="AB20" s="622"/>
      <c r="AC20" s="623"/>
      <c r="AD20" s="499"/>
      <c r="AE20" s="476"/>
      <c r="AF20" s="444"/>
      <c r="AG20" s="531"/>
      <c r="AH20" s="295"/>
      <c r="AI20" s="397">
        <f>SUM(AL20:AP20)</f>
        <v>0</v>
      </c>
      <c r="AJ20" s="953">
        <f>SUM(AL20:AM20)</f>
        <v>0</v>
      </c>
      <c r="AK20" s="671">
        <f>+AN20</f>
        <v>0</v>
      </c>
      <c r="AL20" s="446"/>
      <c r="AM20" s="446"/>
      <c r="AN20" s="446"/>
      <c r="AO20" s="446"/>
      <c r="AP20" s="446"/>
      <c r="AQ20" s="295"/>
    </row>
    <row r="21" spans="2:43" s="5" customFormat="1" ht="18.75" x14ac:dyDescent="0.3">
      <c r="B21" s="15" t="s">
        <v>12</v>
      </c>
      <c r="C21" s="16"/>
      <c r="E21" s="652">
        <f t="shared" si="11"/>
        <v>0</v>
      </c>
      <c r="F21" s="499"/>
      <c r="G21" s="638"/>
      <c r="H21" s="651">
        <f t="shared" si="12"/>
        <v>0</v>
      </c>
      <c r="I21" s="499"/>
      <c r="J21" s="638">
        <f t="shared" si="13"/>
        <v>0</v>
      </c>
      <c r="K21" s="622">
        <f>+J21+E21</f>
        <v>0</v>
      </c>
      <c r="L21" s="621">
        <f t="shared" si="14"/>
        <v>0</v>
      </c>
      <c r="M21" s="499"/>
      <c r="N21" s="638"/>
      <c r="O21" s="622"/>
      <c r="P21" s="622"/>
      <c r="Q21" s="622"/>
      <c r="R21" s="622"/>
      <c r="S21" s="621">
        <f t="shared" si="15"/>
        <v>0</v>
      </c>
      <c r="T21" s="499"/>
      <c r="U21" s="638">
        <f t="shared" si="16"/>
        <v>0</v>
      </c>
      <c r="V21" s="622">
        <f t="shared" si="17"/>
        <v>0</v>
      </c>
      <c r="W21" s="621">
        <v>0</v>
      </c>
      <c r="X21" s="499"/>
      <c r="Y21" s="645">
        <f t="shared" si="18"/>
        <v>0</v>
      </c>
      <c r="Z21" s="622">
        <v>0</v>
      </c>
      <c r="AA21" s="622"/>
      <c r="AB21" s="622"/>
      <c r="AC21" s="623">
        <v>0</v>
      </c>
      <c r="AD21" s="499"/>
      <c r="AE21" s="476"/>
      <c r="AF21" s="444"/>
      <c r="AG21" s="531"/>
      <c r="AH21" s="295"/>
      <c r="AI21" s="397">
        <f>SUM(AL21:AP21)</f>
        <v>0</v>
      </c>
      <c r="AJ21" s="953">
        <f>SUM(AL21:AM21)</f>
        <v>0</v>
      </c>
      <c r="AK21" s="671">
        <f>+AN21</f>
        <v>0</v>
      </c>
      <c r="AL21" s="446"/>
      <c r="AM21" s="446"/>
      <c r="AN21" s="446"/>
      <c r="AO21" s="446"/>
      <c r="AP21" s="446"/>
      <c r="AQ21" s="295"/>
    </row>
    <row r="22" spans="2:43" s="5" customFormat="1" ht="18.75" x14ac:dyDescent="0.3">
      <c r="B22" s="15"/>
      <c r="C22" s="16" t="s">
        <v>25</v>
      </c>
      <c r="E22" s="478">
        <f t="shared" si="11"/>
        <v>0</v>
      </c>
      <c r="F22" s="499"/>
      <c r="G22" s="640"/>
      <c r="H22" s="651">
        <f t="shared" si="12"/>
        <v>0</v>
      </c>
      <c r="I22" s="499"/>
      <c r="J22" s="638">
        <f t="shared" si="13"/>
        <v>0</v>
      </c>
      <c r="K22" s="622">
        <f>+J22+E22</f>
        <v>0</v>
      </c>
      <c r="L22" s="621">
        <f t="shared" si="14"/>
        <v>0</v>
      </c>
      <c r="M22" s="499"/>
      <c r="N22" s="640"/>
      <c r="O22" s="622"/>
      <c r="P22" s="622"/>
      <c r="Q22" s="622"/>
      <c r="R22" s="622"/>
      <c r="S22" s="639">
        <f t="shared" si="15"/>
        <v>0</v>
      </c>
      <c r="T22" s="499"/>
      <c r="U22" s="638">
        <f t="shared" si="16"/>
        <v>0</v>
      </c>
      <c r="V22" s="622">
        <f t="shared" si="17"/>
        <v>0</v>
      </c>
      <c r="W22" s="639">
        <v>0</v>
      </c>
      <c r="X22" s="499"/>
      <c r="Y22" s="645">
        <f t="shared" si="18"/>
        <v>0</v>
      </c>
      <c r="Z22" s="620">
        <f>+Eq!Z51</f>
        <v>0</v>
      </c>
      <c r="AA22" s="620">
        <f>+Eq!AA51</f>
        <v>0</v>
      </c>
      <c r="AB22" s="620">
        <f>+Eq!AB51</f>
        <v>0</v>
      </c>
      <c r="AC22" s="624">
        <v>3211.2228011153638</v>
      </c>
      <c r="AD22" s="499"/>
      <c r="AE22" s="476"/>
      <c r="AF22" s="444"/>
      <c r="AG22" s="531"/>
      <c r="AH22" s="295"/>
      <c r="AI22" s="397">
        <f>SUM(AL22:AP22)</f>
        <v>0</v>
      </c>
      <c r="AJ22" s="953">
        <f>SUM(AL22:AM22)</f>
        <v>0</v>
      </c>
      <c r="AK22" s="671">
        <f>+AN22</f>
        <v>0</v>
      </c>
      <c r="AL22" s="446"/>
      <c r="AM22" s="446"/>
      <c r="AN22" s="446"/>
      <c r="AO22" s="446"/>
      <c r="AP22" s="446"/>
      <c r="AQ22" s="295"/>
    </row>
    <row r="23" spans="2:43" s="5" customFormat="1" ht="18.75" x14ac:dyDescent="0.3">
      <c r="B23" s="15"/>
      <c r="C23" s="16" t="s">
        <v>14</v>
      </c>
      <c r="E23" s="652">
        <f t="shared" si="11"/>
        <v>0</v>
      </c>
      <c r="F23" s="499"/>
      <c r="G23" s="638"/>
      <c r="H23" s="651">
        <f t="shared" si="12"/>
        <v>0</v>
      </c>
      <c r="I23" s="499"/>
      <c r="J23" s="638">
        <f t="shared" si="13"/>
        <v>0</v>
      </c>
      <c r="K23" s="622">
        <f t="shared" si="19"/>
        <v>0</v>
      </c>
      <c r="L23" s="621">
        <f t="shared" si="14"/>
        <v>0</v>
      </c>
      <c r="M23" s="499"/>
      <c r="N23" s="638"/>
      <c r="O23" s="622"/>
      <c r="P23" s="622"/>
      <c r="Q23" s="622"/>
      <c r="R23" s="622"/>
      <c r="S23" s="621">
        <f t="shared" si="15"/>
        <v>0</v>
      </c>
      <c r="T23" s="499"/>
      <c r="U23" s="638">
        <f t="shared" si="16"/>
        <v>0</v>
      </c>
      <c r="V23" s="622">
        <f t="shared" si="17"/>
        <v>0</v>
      </c>
      <c r="W23" s="621">
        <v>0</v>
      </c>
      <c r="X23" s="499"/>
      <c r="Y23" s="645">
        <f t="shared" si="18"/>
        <v>0</v>
      </c>
      <c r="Z23" s="622">
        <f>+Eq!Z54</f>
        <v>0</v>
      </c>
      <c r="AA23" s="622">
        <f>+Eq!AA54</f>
        <v>0</v>
      </c>
      <c r="AB23" s="622">
        <f>+Eq!AB54</f>
        <v>0</v>
      </c>
      <c r="AC23" s="623">
        <v>38940.724000000002</v>
      </c>
      <c r="AD23" s="499"/>
      <c r="AE23" s="476"/>
      <c r="AF23" s="444"/>
      <c r="AG23" s="531"/>
      <c r="AH23" s="295"/>
      <c r="AI23" s="397">
        <f>SUM(AL23:AP23)</f>
        <v>0</v>
      </c>
      <c r="AJ23" s="953">
        <f>SUM(AL23:AM23)</f>
        <v>0</v>
      </c>
      <c r="AK23" s="671">
        <f>+AN23</f>
        <v>0</v>
      </c>
      <c r="AL23" s="446"/>
      <c r="AM23" s="446"/>
      <c r="AN23" s="446"/>
      <c r="AO23" s="446"/>
      <c r="AP23" s="446"/>
      <c r="AQ23" s="295"/>
    </row>
    <row r="24" spans="2:43" s="5" customFormat="1" ht="18.75" x14ac:dyDescent="0.3">
      <c r="B24" s="15" t="s">
        <v>13</v>
      </c>
      <c r="C24" s="16"/>
      <c r="E24" s="652">
        <f t="shared" si="11"/>
        <v>0</v>
      </c>
      <c r="F24" s="499"/>
      <c r="G24" s="638"/>
      <c r="H24" s="651">
        <f t="shared" si="12"/>
        <v>0</v>
      </c>
      <c r="I24" s="499"/>
      <c r="J24" s="638">
        <f t="shared" si="13"/>
        <v>0</v>
      </c>
      <c r="K24" s="622">
        <f t="shared" si="19"/>
        <v>0</v>
      </c>
      <c r="L24" s="621">
        <f t="shared" si="14"/>
        <v>0</v>
      </c>
      <c r="M24" s="499"/>
      <c r="N24" s="638"/>
      <c r="O24" s="622"/>
      <c r="P24" s="622"/>
      <c r="Q24" s="622"/>
      <c r="R24" s="622"/>
      <c r="S24" s="621">
        <f t="shared" si="15"/>
        <v>0</v>
      </c>
      <c r="T24" s="499"/>
      <c r="U24" s="638">
        <f t="shared" si="16"/>
        <v>0</v>
      </c>
      <c r="V24" s="622">
        <f t="shared" si="17"/>
        <v>0</v>
      </c>
      <c r="W24" s="621">
        <v>0</v>
      </c>
      <c r="X24" s="499"/>
      <c r="Y24" s="645">
        <f t="shared" si="18"/>
        <v>0</v>
      </c>
      <c r="Z24" s="622">
        <f>+Fletes!Z31</f>
        <v>0</v>
      </c>
      <c r="AA24" s="622"/>
      <c r="AB24" s="622"/>
      <c r="AC24" s="623">
        <v>3042897.4800000009</v>
      </c>
      <c r="AD24" s="499"/>
      <c r="AE24" s="476"/>
      <c r="AF24" s="444"/>
      <c r="AG24" s="531"/>
      <c r="AH24" s="295"/>
      <c r="AI24" s="397">
        <f>SUM(AL24:AP24)</f>
        <v>0</v>
      </c>
      <c r="AJ24" s="953">
        <f>SUM(AL24:AM24)</f>
        <v>0</v>
      </c>
      <c r="AK24" s="671">
        <f>+AN24</f>
        <v>0</v>
      </c>
      <c r="AL24" s="446"/>
      <c r="AM24" s="446"/>
      <c r="AN24" s="446"/>
      <c r="AO24" s="446"/>
      <c r="AP24" s="446"/>
      <c r="AQ24" s="295"/>
    </row>
    <row r="25" spans="2:43" s="5" customFormat="1" ht="18.75" x14ac:dyDescent="0.3">
      <c r="B25" s="15" t="s">
        <v>31</v>
      </c>
      <c r="C25" s="16"/>
      <c r="E25" s="637">
        <f t="shared" si="11"/>
        <v>0</v>
      </c>
      <c r="F25" s="499"/>
      <c r="G25" s="614"/>
      <c r="H25" s="616">
        <f t="shared" si="12"/>
        <v>0</v>
      </c>
      <c r="I25" s="499"/>
      <c r="J25" s="638">
        <f t="shared" si="13"/>
        <v>0</v>
      </c>
      <c r="K25" s="615">
        <f t="shared" si="19"/>
        <v>0</v>
      </c>
      <c r="L25" s="621">
        <f t="shared" si="14"/>
        <v>0</v>
      </c>
      <c r="M25" s="499"/>
      <c r="N25" s="614"/>
      <c r="O25" s="622"/>
      <c r="P25" s="622"/>
      <c r="Q25" s="622"/>
      <c r="R25" s="622"/>
      <c r="S25" s="641">
        <f t="shared" si="15"/>
        <v>0</v>
      </c>
      <c r="T25" s="499"/>
      <c r="U25" s="638">
        <f t="shared" si="16"/>
        <v>0</v>
      </c>
      <c r="V25" s="622">
        <f t="shared" si="17"/>
        <v>0</v>
      </c>
      <c r="W25" s="641">
        <v>0</v>
      </c>
      <c r="X25" s="499"/>
      <c r="Y25" s="645">
        <f t="shared" si="18"/>
        <v>0</v>
      </c>
      <c r="Z25" s="615">
        <v>0</v>
      </c>
      <c r="AA25" s="615"/>
      <c r="AB25" s="615"/>
      <c r="AC25" s="616">
        <v>0</v>
      </c>
      <c r="AD25" s="499"/>
      <c r="AE25" s="476"/>
      <c r="AF25" s="444"/>
      <c r="AG25" s="531"/>
      <c r="AH25" s="295"/>
      <c r="AI25" s="397">
        <f>SUM(AL25:AP25)</f>
        <v>0</v>
      </c>
      <c r="AJ25" s="953">
        <f>SUM(AL25:AM25)</f>
        <v>0</v>
      </c>
      <c r="AK25" s="671">
        <f>+AN25</f>
        <v>0</v>
      </c>
      <c r="AL25" s="446"/>
      <c r="AM25" s="446"/>
      <c r="AN25" s="446"/>
      <c r="AO25" s="446"/>
      <c r="AP25" s="446"/>
      <c r="AQ25" s="295"/>
    </row>
    <row r="26" spans="2:43" s="5" customFormat="1" ht="18.75" x14ac:dyDescent="0.3">
      <c r="B26" s="17" t="s">
        <v>15</v>
      </c>
      <c r="C26" s="18"/>
      <c r="E26" s="642">
        <f t="shared" si="11"/>
        <v>0</v>
      </c>
      <c r="F26" s="499"/>
      <c r="G26" s="617"/>
      <c r="H26" s="619">
        <f t="shared" si="12"/>
        <v>0</v>
      </c>
      <c r="I26" s="499"/>
      <c r="J26" s="617">
        <f t="shared" si="13"/>
        <v>0</v>
      </c>
      <c r="K26" s="618">
        <f>+J26+E26</f>
        <v>0</v>
      </c>
      <c r="L26" s="643">
        <f t="shared" si="14"/>
        <v>0</v>
      </c>
      <c r="M26" s="499"/>
      <c r="N26" s="617"/>
      <c r="O26" s="618"/>
      <c r="P26" s="618"/>
      <c r="Q26" s="618"/>
      <c r="R26" s="618"/>
      <c r="S26" s="643">
        <f t="shared" si="15"/>
        <v>0</v>
      </c>
      <c r="T26" s="499"/>
      <c r="U26" s="617">
        <f t="shared" si="16"/>
        <v>0</v>
      </c>
      <c r="V26" s="618">
        <f t="shared" si="17"/>
        <v>0</v>
      </c>
      <c r="W26" s="643">
        <v>0</v>
      </c>
      <c r="X26" s="499"/>
      <c r="Y26" s="648">
        <f t="shared" si="18"/>
        <v>0</v>
      </c>
      <c r="Z26" s="618">
        <v>0</v>
      </c>
      <c r="AA26" s="618"/>
      <c r="AB26" s="618"/>
      <c r="AC26" s="619">
        <v>0</v>
      </c>
      <c r="AD26" s="499"/>
      <c r="AE26" s="659"/>
      <c r="AF26" s="444"/>
      <c r="AG26" s="531"/>
      <c r="AH26" s="295"/>
      <c r="AI26" s="397">
        <f>SUM(AL26:AP26)</f>
        <v>0</v>
      </c>
      <c r="AJ26" s="953">
        <f>SUM(AL26:AM26)</f>
        <v>0</v>
      </c>
      <c r="AK26" s="671">
        <f>+AN26</f>
        <v>0</v>
      </c>
      <c r="AL26" s="446"/>
      <c r="AM26" s="446"/>
      <c r="AN26" s="446"/>
      <c r="AO26" s="446"/>
      <c r="AP26" s="446"/>
      <c r="AQ26" s="295"/>
    </row>
    <row r="27" spans="2:43" s="5" customFormat="1" ht="7.5" customHeight="1" x14ac:dyDescent="0.3">
      <c r="E27" s="499"/>
      <c r="F27" s="499"/>
      <c r="G27" s="499"/>
      <c r="H27" s="499"/>
      <c r="I27" s="499"/>
      <c r="J27" s="499"/>
      <c r="K27" s="499"/>
      <c r="L27" s="499"/>
      <c r="M27" s="499"/>
      <c r="N27" s="499"/>
      <c r="O27" s="499"/>
      <c r="P27" s="499"/>
      <c r="Q27" s="499"/>
      <c r="R27" s="499"/>
      <c r="S27" s="499"/>
      <c r="T27" s="499"/>
      <c r="U27" s="499"/>
      <c r="V27" s="499"/>
      <c r="W27" s="499"/>
      <c r="X27" s="499"/>
      <c r="Y27" s="499"/>
      <c r="Z27" s="499"/>
      <c r="AA27" s="499"/>
      <c r="AB27" s="499"/>
      <c r="AC27" s="499"/>
      <c r="AD27" s="499"/>
      <c r="AE27" s="499"/>
      <c r="AF27" s="442"/>
      <c r="AG27" s="532"/>
      <c r="AH27" s="295"/>
      <c r="AI27" s="396"/>
      <c r="AJ27" s="402"/>
      <c r="AK27" s="402"/>
      <c r="AL27" s="402"/>
      <c r="AM27" s="402"/>
      <c r="AN27" s="402"/>
      <c r="AO27" s="402"/>
      <c r="AP27" s="402"/>
      <c r="AQ27" s="295"/>
    </row>
    <row r="28" spans="2:43" s="5" customFormat="1" ht="15.75" customHeight="1" x14ac:dyDescent="0.3">
      <c r="B28" s="11" t="s">
        <v>16</v>
      </c>
      <c r="C28" s="12"/>
      <c r="E28" s="659">
        <f>+SUM(AL28:AP28)</f>
        <v>0</v>
      </c>
      <c r="F28" s="499"/>
      <c r="G28" s="644"/>
      <c r="H28" s="627">
        <f>AJ28</f>
        <v>0</v>
      </c>
      <c r="I28" s="499"/>
      <c r="J28" s="625">
        <f>+H28+AE28</f>
        <v>0</v>
      </c>
      <c r="K28" s="626">
        <f>+E28+J28</f>
        <v>0</v>
      </c>
      <c r="L28" s="627">
        <f>+SUM(N28:S28)</f>
        <v>0</v>
      </c>
      <c r="M28" s="499"/>
      <c r="N28" s="644">
        <f>-H28</f>
        <v>0</v>
      </c>
      <c r="O28" s="626">
        <v>0</v>
      </c>
      <c r="P28" s="626">
        <v>0</v>
      </c>
      <c r="Q28" s="626">
        <v>0</v>
      </c>
      <c r="R28" s="626">
        <v>0</v>
      </c>
      <c r="S28" s="627">
        <f>+SUMIFS(N28:R28,N$2:R$2,$S$5)</f>
        <v>0</v>
      </c>
      <c r="T28" s="499"/>
      <c r="U28" s="644">
        <f>+SUMIFS(N28:S28,N$2:S$2,$U$5)</f>
        <v>0</v>
      </c>
      <c r="V28" s="626">
        <f>+SUMIFS(N28:S28,N$2:S$2,$V$5)</f>
        <v>0</v>
      </c>
      <c r="W28" s="627">
        <v>0</v>
      </c>
      <c r="X28" s="499"/>
      <c r="Y28" s="644">
        <v>0</v>
      </c>
      <c r="Z28" s="626">
        <v>0</v>
      </c>
      <c r="AA28" s="626">
        <v>0</v>
      </c>
      <c r="AB28" s="626"/>
      <c r="AC28" s="627">
        <v>0</v>
      </c>
      <c r="AD28" s="499"/>
      <c r="AE28" s="659"/>
      <c r="AF28" s="442"/>
      <c r="AG28" s="532"/>
      <c r="AH28" s="295"/>
      <c r="AI28" s="409">
        <f>SUM(AJ28:AP28)</f>
        <v>0</v>
      </c>
      <c r="AJ28" s="408"/>
      <c r="AK28" s="408"/>
      <c r="AL28" s="446"/>
      <c r="AM28" s="446"/>
      <c r="AN28" s="446"/>
      <c r="AO28" s="446"/>
      <c r="AP28" s="446"/>
      <c r="AQ28" s="295"/>
    </row>
    <row r="29" spans="2:43" s="5" customFormat="1" ht="15.75" x14ac:dyDescent="0.25">
      <c r="E29" s="499"/>
      <c r="F29" s="499"/>
      <c r="G29" s="499"/>
      <c r="H29" s="499"/>
      <c r="I29" s="499"/>
      <c r="J29" s="499"/>
      <c r="K29" s="499"/>
      <c r="L29" s="499"/>
      <c r="M29" s="499"/>
      <c r="N29" s="499"/>
      <c r="O29" s="499"/>
      <c r="P29" s="499"/>
      <c r="Q29" s="499"/>
      <c r="R29" s="499"/>
      <c r="S29" s="499"/>
      <c r="T29" s="499"/>
      <c r="U29" s="499"/>
      <c r="V29" s="499"/>
      <c r="W29" s="499"/>
      <c r="X29" s="499"/>
      <c r="Y29" s="499"/>
      <c r="Z29" s="499"/>
      <c r="AA29" s="499"/>
      <c r="AB29" s="499"/>
      <c r="AC29" s="499"/>
      <c r="AD29" s="499"/>
      <c r="AE29" s="499"/>
      <c r="AF29" s="399"/>
      <c r="AG29" s="535"/>
      <c r="AH29" s="295"/>
      <c r="AI29" s="295"/>
      <c r="AJ29" s="295"/>
      <c r="AK29" s="295"/>
      <c r="AL29" s="295"/>
      <c r="AM29" s="295"/>
      <c r="AN29" s="295"/>
      <c r="AO29" s="295"/>
      <c r="AP29" s="295"/>
      <c r="AQ29" s="295"/>
    </row>
    <row r="30" spans="2:43" s="5" customFormat="1" ht="15.75" x14ac:dyDescent="0.25">
      <c r="B30" s="64" t="s">
        <v>17</v>
      </c>
      <c r="C30" s="65"/>
      <c r="D30" s="2"/>
      <c r="E30" s="661">
        <f>+E7*E31</f>
        <v>0</v>
      </c>
      <c r="F30" s="87"/>
      <c r="G30" s="628">
        <f>+G7*G31</f>
        <v>0</v>
      </c>
      <c r="H30" s="630">
        <f>+H7*H31</f>
        <v>0</v>
      </c>
      <c r="I30" s="87"/>
      <c r="J30" s="628">
        <f>+J7*J31</f>
        <v>0</v>
      </c>
      <c r="K30" s="629">
        <f>+K7*K31</f>
        <v>0</v>
      </c>
      <c r="L30" s="662">
        <f>+L7*L31</f>
        <v>0</v>
      </c>
      <c r="M30" s="87"/>
      <c r="N30" s="628">
        <f t="shared" ref="N30:S30" si="20">+N7*N31</f>
        <v>0</v>
      </c>
      <c r="O30" s="629">
        <f t="shared" si="20"/>
        <v>0</v>
      </c>
      <c r="P30" s="629">
        <f t="shared" si="20"/>
        <v>0</v>
      </c>
      <c r="Q30" s="629">
        <f t="shared" si="20"/>
        <v>0</v>
      </c>
      <c r="R30" s="629">
        <f t="shared" si="20"/>
        <v>0</v>
      </c>
      <c r="S30" s="629">
        <f t="shared" si="20"/>
        <v>0</v>
      </c>
      <c r="T30" s="87"/>
      <c r="U30" s="628">
        <f>+U7*U31</f>
        <v>0</v>
      </c>
      <c r="V30" s="629">
        <f>+V7*V31</f>
        <v>0</v>
      </c>
      <c r="W30" s="662">
        <f>+W7*W31</f>
        <v>0</v>
      </c>
      <c r="X30" s="87"/>
      <c r="Y30" s="628">
        <f>+Y7-Y15</f>
        <v>0</v>
      </c>
      <c r="Z30" s="628">
        <f>+Z7-Z15</f>
        <v>15306455.454800002</v>
      </c>
      <c r="AA30" s="629">
        <f>+AA7-AA15</f>
        <v>0</v>
      </c>
      <c r="AB30" s="629">
        <f>+AB7-AB15</f>
        <v>0</v>
      </c>
      <c r="AC30" s="630">
        <f>+AC7-AC15</f>
        <v>0</v>
      </c>
      <c r="AD30" s="87"/>
      <c r="AE30" s="661">
        <f>+AE7*AE31</f>
        <v>0</v>
      </c>
      <c r="AF30" s="445"/>
      <c r="AG30" s="531"/>
      <c r="AH30" s="295"/>
      <c r="AI30" s="295"/>
      <c r="AJ30" s="295"/>
      <c r="AK30" s="295"/>
      <c r="AL30" s="295"/>
      <c r="AM30" s="295"/>
      <c r="AN30" s="295"/>
      <c r="AO30" s="295"/>
      <c r="AP30" s="295"/>
      <c r="AQ30" s="295"/>
    </row>
    <row r="31" spans="2:43" s="5" customFormat="1" ht="15.75" x14ac:dyDescent="0.25">
      <c r="B31" s="66" t="s">
        <v>18</v>
      </c>
      <c r="C31" s="67"/>
      <c r="D31" s="2"/>
      <c r="E31" s="68">
        <f>+$Y$31</f>
        <v>0</v>
      </c>
      <c r="F31" s="19"/>
      <c r="G31" s="71">
        <f>+$Y$31</f>
        <v>0</v>
      </c>
      <c r="H31" s="72">
        <f>+$Y$31</f>
        <v>0</v>
      </c>
      <c r="I31" s="19"/>
      <c r="J31" s="71">
        <f>+$Y$31</f>
        <v>0</v>
      </c>
      <c r="K31" s="75">
        <f>+$Y$31</f>
        <v>0</v>
      </c>
      <c r="L31" s="76">
        <f>+$Y$31</f>
        <v>0</v>
      </c>
      <c r="M31" s="19"/>
      <c r="N31" s="71">
        <f t="shared" ref="N31:S31" si="21">+$Y$31</f>
        <v>0</v>
      </c>
      <c r="O31" s="75">
        <f t="shared" si="21"/>
        <v>0</v>
      </c>
      <c r="P31" s="75">
        <f t="shared" si="21"/>
        <v>0</v>
      </c>
      <c r="Q31" s="75">
        <f t="shared" si="21"/>
        <v>0</v>
      </c>
      <c r="R31" s="75">
        <f t="shared" si="21"/>
        <v>0</v>
      </c>
      <c r="S31" s="75">
        <f t="shared" si="21"/>
        <v>0</v>
      </c>
      <c r="T31" s="19"/>
      <c r="U31" s="71">
        <f>+$Y$31</f>
        <v>0</v>
      </c>
      <c r="V31" s="75">
        <f>+$Y$31</f>
        <v>0</v>
      </c>
      <c r="W31" s="76">
        <f>+$Y$31</f>
        <v>0</v>
      </c>
      <c r="X31" s="19"/>
      <c r="Y31" s="71">
        <f>+IF(Y7=0,0,Y30/Y7)</f>
        <v>0</v>
      </c>
      <c r="Z31" s="71">
        <f>+IF(Z7=0,0,Z30/Z7)</f>
        <v>1</v>
      </c>
      <c r="AA31" s="75">
        <f>+IF(AA7=0,0,AA30/AA7)</f>
        <v>0</v>
      </c>
      <c r="AB31" s="75">
        <f>+IF(AB7=0,0,AB30/AB7)</f>
        <v>0</v>
      </c>
      <c r="AC31" s="72">
        <f>+IF(AC7=0,0,AC30/AC7)</f>
        <v>0</v>
      </c>
      <c r="AD31" s="19"/>
      <c r="AE31" s="68">
        <f>+$Y$31</f>
        <v>0</v>
      </c>
    </row>
    <row r="32" spans="2:43" s="5" customFormat="1" ht="7.5" customHeight="1" x14ac:dyDescent="0.25">
      <c r="B32" s="2"/>
      <c r="C32" s="2"/>
      <c r="D32" s="2"/>
      <c r="E32" s="8"/>
      <c r="F32" s="8"/>
      <c r="G32" s="8"/>
      <c r="H32" s="8"/>
      <c r="I32" s="8"/>
      <c r="J32" s="8"/>
      <c r="K32" s="8"/>
      <c r="L32" s="8"/>
      <c r="M32" s="8"/>
      <c r="N32" s="8"/>
      <c r="O32" s="8"/>
      <c r="P32" s="8"/>
      <c r="Q32" s="8"/>
      <c r="R32" s="8"/>
      <c r="S32" s="8"/>
      <c r="T32" s="8"/>
      <c r="U32" s="8"/>
      <c r="V32" s="8"/>
      <c r="W32" s="8"/>
      <c r="X32" s="8"/>
      <c r="Y32" s="8"/>
      <c r="Z32" s="8"/>
      <c r="AA32" s="8"/>
      <c r="AB32" s="8"/>
      <c r="AC32" s="8"/>
      <c r="AD32" s="8"/>
      <c r="AE32" s="8"/>
    </row>
    <row r="33" spans="2:46" s="5" customFormat="1" ht="15.75" customHeight="1" x14ac:dyDescent="0.25">
      <c r="B33" s="64" t="s">
        <v>33</v>
      </c>
      <c r="C33" s="65"/>
      <c r="D33" s="2"/>
      <c r="E33" s="332">
        <f>+E7-E15+E28</f>
        <v>0</v>
      </c>
      <c r="F33" s="333"/>
      <c r="G33" s="337">
        <f>+G7-G15+G28</f>
        <v>128734.34000000014</v>
      </c>
      <c r="H33" s="386">
        <f>+H7-H15+H28</f>
        <v>0</v>
      </c>
      <c r="I33" s="333"/>
      <c r="J33" s="334">
        <f>+J7-J15+J28</f>
        <v>0</v>
      </c>
      <c r="K33" s="336">
        <f>+K7-K15+K28</f>
        <v>0</v>
      </c>
      <c r="L33" s="335">
        <f>+L7-L15+L28</f>
        <v>0</v>
      </c>
      <c r="M33" s="333"/>
      <c r="N33" s="337">
        <f t="shared" ref="N33:S33" si="22">+N7-N15+N28</f>
        <v>0</v>
      </c>
      <c r="O33" s="336">
        <f t="shared" si="22"/>
        <v>0</v>
      </c>
      <c r="P33" s="336">
        <f t="shared" si="22"/>
        <v>0</v>
      </c>
      <c r="Q33" s="336">
        <f t="shared" si="22"/>
        <v>0</v>
      </c>
      <c r="R33" s="336">
        <f t="shared" si="22"/>
        <v>0</v>
      </c>
      <c r="S33" s="336">
        <f t="shared" si="22"/>
        <v>0</v>
      </c>
      <c r="T33" s="333"/>
      <c r="U33" s="337">
        <f>+U7-U15+U28</f>
        <v>0</v>
      </c>
      <c r="V33" s="336">
        <f>+V7-V15+V28</f>
        <v>0</v>
      </c>
      <c r="W33" s="335">
        <f>+W7-W15+W28</f>
        <v>0</v>
      </c>
      <c r="X33" s="333"/>
      <c r="Y33" s="337">
        <f>+Y7-Y15+Y28</f>
        <v>0</v>
      </c>
      <c r="Z33" s="337">
        <f>+Z7-Z15+Z28</f>
        <v>15306455.454800002</v>
      </c>
      <c r="AA33" s="336">
        <f>+AA7-AA15+AA28</f>
        <v>0</v>
      </c>
      <c r="AB33" s="336">
        <f>+AB7-AB15+AB28</f>
        <v>0</v>
      </c>
      <c r="AC33" s="386">
        <f>+AC7-AC15+AC28</f>
        <v>-1.862645149230957E-9</v>
      </c>
      <c r="AD33" s="333"/>
      <c r="AE33" s="332">
        <f>+AE7-AE15+AE28</f>
        <v>0</v>
      </c>
      <c r="AF33" s="295"/>
      <c r="AG33" s="295"/>
      <c r="AH33" s="295"/>
      <c r="AI33" s="295"/>
      <c r="AJ33" s="295"/>
      <c r="AK33" s="295"/>
      <c r="AL33" s="295"/>
      <c r="AM33" s="295"/>
      <c r="AN33" s="295"/>
      <c r="AO33" s="295"/>
      <c r="AP33" s="295"/>
      <c r="AQ33" s="295"/>
    </row>
    <row r="34" spans="2:46" s="5" customFormat="1" ht="15.75" customHeight="1" x14ac:dyDescent="0.25">
      <c r="B34" s="66" t="s">
        <v>34</v>
      </c>
      <c r="C34" s="67"/>
      <c r="D34" s="2"/>
      <c r="E34" s="68">
        <f>+IF(E7=0,0,E33/E7)</f>
        <v>0</v>
      </c>
      <c r="F34" s="19"/>
      <c r="G34" s="71">
        <v>0</v>
      </c>
      <c r="H34" s="72">
        <f>+IF(H7=0,0,H33/H7)</f>
        <v>0</v>
      </c>
      <c r="I34" s="19"/>
      <c r="J34" s="71">
        <f>+IF(J7=0,0,J33/J7)</f>
        <v>0</v>
      </c>
      <c r="K34" s="75">
        <f>+IF(K7=0,0,K33/K7)</f>
        <v>0</v>
      </c>
      <c r="L34" s="76">
        <f>+IF(L7=0,0,L33/L7)</f>
        <v>0</v>
      </c>
      <c r="M34" s="19"/>
      <c r="N34" s="71">
        <f t="shared" ref="N34:S34" si="23">+IF(N7=0,0,N33/N7)</f>
        <v>0</v>
      </c>
      <c r="O34" s="75">
        <f t="shared" si="23"/>
        <v>0</v>
      </c>
      <c r="P34" s="75">
        <f t="shared" si="23"/>
        <v>0</v>
      </c>
      <c r="Q34" s="75">
        <f t="shared" si="23"/>
        <v>0</v>
      </c>
      <c r="R34" s="75">
        <f t="shared" si="23"/>
        <v>0</v>
      </c>
      <c r="S34" s="75">
        <f t="shared" si="23"/>
        <v>0</v>
      </c>
      <c r="T34" s="19"/>
      <c r="U34" s="71">
        <f>+IF(U7=0,0,U33/U7)</f>
        <v>0</v>
      </c>
      <c r="V34" s="75">
        <f>+IF(V7=0,0,V33/V7)</f>
        <v>0</v>
      </c>
      <c r="W34" s="76">
        <f>+IF(W7=0,0,W33/W7)</f>
        <v>0</v>
      </c>
      <c r="X34" s="19"/>
      <c r="Y34" s="71">
        <f>+IF(Y7=0,0,Y33/Y7)</f>
        <v>0</v>
      </c>
      <c r="Z34" s="71">
        <f>+IF(Z7=0,0,Z33/Z7)</f>
        <v>1</v>
      </c>
      <c r="AA34" s="75">
        <f>+IF(AA7=0,0,AA33/AA7)</f>
        <v>0</v>
      </c>
      <c r="AB34" s="75">
        <f>+IF(AB7=0,0,AB33/AB7)</f>
        <v>0</v>
      </c>
      <c r="AC34" s="72">
        <f>+IF(AC7=0,0,AC33/AC7)</f>
        <v>-1.2169016887724361E-16</v>
      </c>
      <c r="AD34" s="19"/>
      <c r="AE34" s="68">
        <f>+IF(AE7=0,0,AE33/AE7)</f>
        <v>0</v>
      </c>
    </row>
    <row r="35" spans="2:46" s="40" customFormat="1" ht="18.75" x14ac:dyDescent="0.3">
      <c r="Y35" s="276"/>
      <c r="Z35" s="48"/>
      <c r="AA35" s="48"/>
      <c r="AB35" s="48"/>
      <c r="AC35" s="48"/>
    </row>
    <row r="36" spans="2:46" s="40" customFormat="1" x14ac:dyDescent="0.25">
      <c r="AC36" s="40">
        <v>0</v>
      </c>
      <c r="AE36" s="40">
        <v>-271103.13358982885</v>
      </c>
    </row>
    <row r="37" spans="2:46" s="40" customFormat="1" x14ac:dyDescent="0.25">
      <c r="P37" s="50"/>
      <c r="Y37" s="49">
        <f>+Y36-Z30</f>
        <v>-15306455.454800002</v>
      </c>
    </row>
    <row r="38" spans="2:46" ht="18.75" x14ac:dyDescent="0.3">
      <c r="B38" s="23" t="s">
        <v>19</v>
      </c>
      <c r="C38" s="24"/>
      <c r="J38" s="40"/>
      <c r="K38" s="306">
        <f>+K7-K30</f>
        <v>0</v>
      </c>
      <c r="P38" s="22"/>
      <c r="AS38" s="597">
        <f>H33</f>
        <v>0</v>
      </c>
      <c r="AT38" s="597">
        <f>Y33</f>
        <v>0</v>
      </c>
    </row>
    <row r="39" spans="2:46" ht="9" customHeight="1" x14ac:dyDescent="0.3">
      <c r="B39" s="25"/>
      <c r="J39" s="40"/>
      <c r="K39" s="302"/>
      <c r="P39" s="22"/>
    </row>
    <row r="40" spans="2:46" ht="18.75" x14ac:dyDescent="0.3">
      <c r="B40" s="26" t="s">
        <v>20</v>
      </c>
      <c r="C40" s="27"/>
      <c r="J40" s="40"/>
      <c r="K40" s="307">
        <f>K15-K38</f>
        <v>0</v>
      </c>
      <c r="P40" s="22"/>
    </row>
    <row r="41" spans="2:46" ht="9" customHeight="1" x14ac:dyDescent="0.3">
      <c r="B41" s="1"/>
      <c r="J41" s="40"/>
      <c r="K41" s="302"/>
    </row>
    <row r="42" spans="2:46" ht="18.75" x14ac:dyDescent="0.3">
      <c r="B42" s="23" t="s">
        <v>21</v>
      </c>
      <c r="C42" s="24"/>
      <c r="J42" s="40"/>
      <c r="K42" s="306">
        <f>IF('ER Pendiente'!F38&gt;0,'ER Pendiente'!F15+'ER Pendiente'!F38,'ER Pendiente'!F15)</f>
        <v>0</v>
      </c>
    </row>
    <row r="43" spans="2:46" ht="9" customHeight="1" x14ac:dyDescent="0.3">
      <c r="B43" s="28"/>
      <c r="J43" s="40"/>
      <c r="K43" s="302"/>
    </row>
    <row r="44" spans="2:46" ht="18.75" x14ac:dyDescent="0.3">
      <c r="B44" s="23" t="s">
        <v>22</v>
      </c>
      <c r="C44" s="24"/>
      <c r="J44" s="40"/>
      <c r="K44" s="306">
        <f>IF('ER Pendiente'!F38&lt;0,-'ER Pendiente'!F38-'ER Pendiente'!F22,-'ER Pendiente'!F22)</f>
        <v>0</v>
      </c>
    </row>
    <row r="45" spans="2:46" ht="9" customHeight="1" x14ac:dyDescent="0.3">
      <c r="B45" s="28"/>
      <c r="J45" s="40"/>
      <c r="K45" s="302"/>
    </row>
    <row r="46" spans="2:46" ht="18.75" x14ac:dyDescent="0.3">
      <c r="B46" s="23" t="s">
        <v>23</v>
      </c>
      <c r="C46" s="24"/>
      <c r="J46" s="40"/>
      <c r="K46" s="306">
        <f>+'Dif. Margenes'!I15</f>
        <v>0</v>
      </c>
    </row>
    <row r="47" spans="2:46" ht="9" customHeight="1" x14ac:dyDescent="0.3">
      <c r="B47" s="25"/>
      <c r="J47" s="40"/>
      <c r="K47" s="302"/>
    </row>
    <row r="48" spans="2:46" ht="18.75" x14ac:dyDescent="0.3">
      <c r="B48" s="29" t="s">
        <v>24</v>
      </c>
      <c r="C48" s="30"/>
      <c r="J48" s="40"/>
      <c r="K48" s="315">
        <f>+K40-K42+K44</f>
        <v>0</v>
      </c>
    </row>
    <row r="49" spans="3:11" ht="8.25" customHeight="1" x14ac:dyDescent="0.25">
      <c r="J49" s="40"/>
    </row>
    <row r="50" spans="3:11" ht="21" hidden="1" outlineLevel="1" x14ac:dyDescent="0.35">
      <c r="C50" s="31" t="s">
        <v>26</v>
      </c>
      <c r="J50" s="40"/>
      <c r="K50" s="35"/>
    </row>
    <row r="51" spans="3:11" ht="8.25" hidden="1" customHeight="1" outlineLevel="1" x14ac:dyDescent="0.25">
      <c r="C51" s="5"/>
      <c r="J51" s="40"/>
    </row>
    <row r="52" spans="3:11" ht="23.25" hidden="1" outlineLevel="1" x14ac:dyDescent="0.35">
      <c r="C52" s="31" t="s">
        <v>27</v>
      </c>
      <c r="J52" s="40"/>
      <c r="K52" s="33"/>
    </row>
    <row r="53" spans="3:11" hidden="1" outlineLevel="1" x14ac:dyDescent="0.25">
      <c r="J53" s="40"/>
    </row>
    <row r="54" spans="3:11" collapsed="1" x14ac:dyDescent="0.25">
      <c r="J54" s="40"/>
    </row>
    <row r="55" spans="3:11" x14ac:dyDescent="0.25">
      <c r="J55" s="40"/>
    </row>
    <row r="56" spans="3:11" x14ac:dyDescent="0.25">
      <c r="J56" s="40"/>
    </row>
    <row r="57" spans="3:11" x14ac:dyDescent="0.25">
      <c r="J57" s="40"/>
    </row>
  </sheetData>
  <mergeCells count="18">
    <mergeCell ref="AI3:AI5"/>
    <mergeCell ref="AJ3:AJ5"/>
    <mergeCell ref="AL3:AL5"/>
    <mergeCell ref="B1:AE1"/>
    <mergeCell ref="AE3:AE4"/>
    <mergeCell ref="E3:E4"/>
    <mergeCell ref="G3:H4"/>
    <mergeCell ref="N3:S3"/>
    <mergeCell ref="U3:W4"/>
    <mergeCell ref="Y3:AC4"/>
    <mergeCell ref="J3:J5"/>
    <mergeCell ref="K3:K5"/>
    <mergeCell ref="L3:L5"/>
    <mergeCell ref="AM3:AM5"/>
    <mergeCell ref="AN3:AN5"/>
    <mergeCell ref="AO3:AO5"/>
    <mergeCell ref="AP3:AP5"/>
    <mergeCell ref="AK3:AK5"/>
  </mergeCells>
  <pageMargins left="0.23622047244094491" right="0.23622047244094491" top="0.74803149606299213" bottom="0.74803149606299213" header="0.31496062992125984" footer="0.31496062992125984"/>
  <pageSetup paperSize="9" scale="37" orientation="landscape" r:id="rId1"/>
  <headerFooter>
    <oddFooter>&amp;F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fitToPage="1"/>
  </sheetPr>
  <dimension ref="A1:AT55"/>
  <sheetViews>
    <sheetView showGridLines="0" view="pageBreakPreview" zoomScale="85" zoomScaleNormal="50" zoomScaleSheetLayoutView="85" workbookViewId="0">
      <pane xSplit="12" ySplit="6" topLeftCell="AI25" activePane="bottomRight" state="frozen"/>
      <selection activeCell="AH24" sqref="AH24"/>
      <selection pane="topRight" activeCell="AH24" sqref="AH24"/>
      <selection pane="bottomLeft" activeCell="AH24" sqref="AH24"/>
      <selection pane="bottomRight" activeCell="AI32" sqref="AI32"/>
    </sheetView>
  </sheetViews>
  <sheetFormatPr baseColWidth="10" defaultColWidth="9.140625" defaultRowHeight="15" outlineLevelRow="1" outlineLevelCol="2" x14ac:dyDescent="0.25"/>
  <cols>
    <col min="1" max="1" width="3.42578125" customWidth="1"/>
    <col min="2" max="2" width="27" customWidth="1"/>
    <col min="3" max="3" width="26.5703125" customWidth="1"/>
    <col min="4" max="4" width="1.42578125" customWidth="1"/>
    <col min="5" max="5" width="18.7109375" customWidth="1" outlineLevel="1"/>
    <col min="6" max="6" width="1.42578125" customWidth="1" outlineLevel="1"/>
    <col min="7" max="7" width="15.5703125" customWidth="1"/>
    <col min="8" max="8" width="13" customWidth="1"/>
    <col min="9" max="9" width="1.42578125" customWidth="1"/>
    <col min="10" max="11" width="17" customWidth="1"/>
    <col min="12" max="12" width="21.140625" bestFit="1" customWidth="1"/>
    <col min="13" max="13" width="1.42578125" customWidth="1"/>
    <col min="14" max="14" width="8.42578125" customWidth="1" outlineLevel="1"/>
    <col min="15" max="15" width="9.5703125" customWidth="1" outlineLevel="1"/>
    <col min="16" max="17" width="9" customWidth="1" outlineLevel="1"/>
    <col min="18" max="18" width="9.28515625" customWidth="1" outlineLevel="1"/>
    <col min="19" max="19" width="18" bestFit="1" customWidth="1"/>
    <col min="20" max="20" width="1.42578125" customWidth="1"/>
    <col min="21" max="21" width="19" bestFit="1" customWidth="1"/>
    <col min="22" max="22" width="15.140625" bestFit="1" customWidth="1"/>
    <col min="23" max="23" width="13.85546875" customWidth="1" outlineLevel="1"/>
    <col min="24" max="24" width="1.42578125" customWidth="1"/>
    <col min="25" max="26" width="19.140625" bestFit="1" customWidth="1"/>
    <col min="27" max="27" width="13.85546875" customWidth="1" outlineLevel="1"/>
    <col min="28" max="28" width="16.140625" customWidth="1" outlineLevel="1"/>
    <col min="29" max="29" width="18.5703125" bestFit="1" customWidth="1"/>
    <col min="30" max="30" width="1.5703125" customWidth="1" outlineLevel="1"/>
    <col min="31" max="31" width="16.85546875" customWidth="1" outlineLevel="1"/>
    <col min="32" max="32" width="2.28515625" style="40" customWidth="1"/>
    <col min="33" max="33" width="11.5703125" style="40" customWidth="1" outlineLevel="1"/>
    <col min="34" max="34" width="2.85546875" style="40" customWidth="1"/>
    <col min="35" max="35" width="17.140625" style="40" customWidth="1" outlineLevel="1"/>
    <col min="36" max="37" width="17.5703125" style="40" customWidth="1" outlineLevel="1"/>
    <col min="38" max="42" width="11.85546875" customWidth="1" outlineLevel="2"/>
    <col min="43" max="43" width="9.140625" customWidth="1" outlineLevel="1"/>
    <col min="45" max="46" width="14.7109375" bestFit="1" customWidth="1"/>
  </cols>
  <sheetData>
    <row r="1" spans="1:44" ht="24.75" customHeight="1" x14ac:dyDescent="0.35">
      <c r="B1" s="1189" t="str">
        <f>CONCATENATE(B3," - ",B4," - ",B5," - ",B6)</f>
        <v>I.E.N 1182 - MES DE ENERO DEL 2025 - EL BOSQUE - CERCO + INGRESOS Y CASETAS - FASE 600: GASTOS GENERALES - JULIO 2024</v>
      </c>
      <c r="C1" s="1190"/>
      <c r="D1" s="1190"/>
      <c r="E1" s="1190"/>
      <c r="F1" s="1190"/>
      <c r="G1" s="1190"/>
      <c r="H1" s="1190"/>
      <c r="I1" s="1190"/>
      <c r="J1" s="1190"/>
      <c r="K1" s="1190"/>
      <c r="L1" s="1190"/>
      <c r="M1" s="1190"/>
      <c r="N1" s="1190"/>
      <c r="O1" s="1190"/>
      <c r="P1" s="1190"/>
      <c r="Q1" s="1190"/>
      <c r="R1" s="1190"/>
      <c r="S1" s="1190"/>
      <c r="T1" s="1190"/>
      <c r="U1" s="1190"/>
      <c r="V1" s="1190"/>
      <c r="W1" s="1190"/>
      <c r="X1" s="1190"/>
      <c r="Y1" s="1190"/>
      <c r="Z1" s="1190"/>
      <c r="AA1" s="1190"/>
      <c r="AB1" s="1190"/>
      <c r="AC1" s="1190"/>
      <c r="AD1" s="1190"/>
      <c r="AE1" s="1191"/>
    </row>
    <row r="2" spans="1:44" ht="15.75" x14ac:dyDescent="0.25">
      <c r="N2" s="94">
        <f>+YEAR(N5)</f>
        <v>2019</v>
      </c>
      <c r="O2" s="94">
        <f t="shared" ref="O2:R2" si="0">+YEAR(O5)</f>
        <v>2019</v>
      </c>
      <c r="P2" s="94">
        <f t="shared" si="0"/>
        <v>2019</v>
      </c>
      <c r="Q2" s="94">
        <f t="shared" si="0"/>
        <v>2019</v>
      </c>
      <c r="R2" s="94">
        <f t="shared" si="0"/>
        <v>2019</v>
      </c>
      <c r="S2" s="94">
        <f>S5</f>
        <v>2024</v>
      </c>
      <c r="U2" s="34">
        <v>43466</v>
      </c>
    </row>
    <row r="3" spans="1:44" s="5" customFormat="1" ht="18.75" customHeight="1" x14ac:dyDescent="0.25">
      <c r="A3" s="311"/>
      <c r="B3" s="311" t="s">
        <v>300</v>
      </c>
      <c r="C3" s="2"/>
      <c r="D3" s="2"/>
      <c r="E3" s="1162" t="s">
        <v>48</v>
      </c>
      <c r="F3" s="3"/>
      <c r="G3" s="1192" t="str">
        <f>+B4</f>
        <v>MES DE ENERO DEL 2025</v>
      </c>
      <c r="H3" s="1179"/>
      <c r="I3" s="3"/>
      <c r="J3" s="1168" t="s">
        <v>334</v>
      </c>
      <c r="K3" s="1193" t="s">
        <v>39</v>
      </c>
      <c r="L3" s="1196" t="s">
        <v>40</v>
      </c>
      <c r="M3" s="3"/>
      <c r="N3" s="1175" t="s">
        <v>50</v>
      </c>
      <c r="O3" s="1176"/>
      <c r="P3" s="1176"/>
      <c r="Q3" s="1176"/>
      <c r="R3" s="1176"/>
      <c r="S3" s="1177"/>
      <c r="T3" s="4"/>
      <c r="U3" s="1168" t="s">
        <v>41</v>
      </c>
      <c r="V3" s="1178"/>
      <c r="W3" s="1179"/>
      <c r="X3" s="3"/>
      <c r="Y3" s="1199" t="s">
        <v>49</v>
      </c>
      <c r="Z3" s="1200"/>
      <c r="AA3" s="1200"/>
      <c r="AB3" s="1200"/>
      <c r="AC3" s="1201"/>
      <c r="AD3" s="2"/>
      <c r="AE3" s="1193" t="s">
        <v>2</v>
      </c>
      <c r="AF3" s="51"/>
      <c r="AG3" s="51"/>
      <c r="AH3" s="51"/>
      <c r="AI3" s="1183" t="s">
        <v>30</v>
      </c>
      <c r="AJ3" s="1330" t="s">
        <v>342</v>
      </c>
      <c r="AK3" s="1226" t="s">
        <v>35</v>
      </c>
      <c r="AL3" s="1208">
        <v>45597</v>
      </c>
      <c r="AM3" s="1208">
        <v>45627</v>
      </c>
      <c r="AN3" s="1208">
        <v>45658</v>
      </c>
      <c r="AO3" s="1208">
        <v>45689</v>
      </c>
      <c r="AP3" s="1208">
        <v>45717</v>
      </c>
    </row>
    <row r="4" spans="1:44" s="5" customFormat="1" ht="31.5" x14ac:dyDescent="0.25">
      <c r="B4" s="312" t="s">
        <v>433</v>
      </c>
      <c r="C4" s="2"/>
      <c r="D4" s="2"/>
      <c r="E4" s="1163"/>
      <c r="F4" s="3"/>
      <c r="G4" s="1170"/>
      <c r="H4" s="1181"/>
      <c r="I4" s="3"/>
      <c r="J4" s="1169"/>
      <c r="K4" s="1194"/>
      <c r="L4" s="1197"/>
      <c r="M4" s="3"/>
      <c r="N4" s="309">
        <v>1</v>
      </c>
      <c r="O4" s="309">
        <f>+N4+1</f>
        <v>2</v>
      </c>
      <c r="P4" s="309">
        <f t="shared" ref="P4:R4" si="1">+O4+1</f>
        <v>3</v>
      </c>
      <c r="Q4" s="309">
        <f t="shared" si="1"/>
        <v>4</v>
      </c>
      <c r="R4" s="309">
        <f t="shared" si="1"/>
        <v>5</v>
      </c>
      <c r="S4" s="291" t="s">
        <v>150</v>
      </c>
      <c r="T4" s="3"/>
      <c r="U4" s="1170"/>
      <c r="V4" s="1180"/>
      <c r="W4" s="1181"/>
      <c r="X4" s="3"/>
      <c r="Y4" s="1202"/>
      <c r="Z4" s="1203"/>
      <c r="AA4" s="1203"/>
      <c r="AB4" s="1203"/>
      <c r="AC4" s="1204"/>
      <c r="AD4" s="2"/>
      <c r="AE4" s="1194"/>
      <c r="AF4" s="51"/>
      <c r="AG4" s="51"/>
      <c r="AH4" s="51"/>
      <c r="AI4" s="1184"/>
      <c r="AJ4" s="1331"/>
      <c r="AK4" s="1227"/>
      <c r="AL4" s="1209"/>
      <c r="AM4" s="1209"/>
      <c r="AN4" s="1209"/>
      <c r="AO4" s="1209"/>
      <c r="AP4" s="1209"/>
    </row>
    <row r="5" spans="1:44" s="5" customFormat="1" ht="31.5" x14ac:dyDescent="0.25">
      <c r="B5" s="805" t="s">
        <v>301</v>
      </c>
      <c r="C5" s="2"/>
      <c r="D5" s="2"/>
      <c r="E5" s="63" t="s">
        <v>3</v>
      </c>
      <c r="F5" s="60"/>
      <c r="G5" s="61" t="s">
        <v>4</v>
      </c>
      <c r="H5" s="61" t="s">
        <v>5</v>
      </c>
      <c r="I5" s="60"/>
      <c r="J5" s="1170"/>
      <c r="K5" s="1195"/>
      <c r="L5" s="1198"/>
      <c r="M5" s="3"/>
      <c r="N5" s="62">
        <v>43648</v>
      </c>
      <c r="O5" s="62">
        <f>+N5+31</f>
        <v>43679</v>
      </c>
      <c r="P5" s="62">
        <f t="shared" ref="P5:R5" si="2">+O5+31</f>
        <v>43710</v>
      </c>
      <c r="Q5" s="62">
        <f t="shared" si="2"/>
        <v>43741</v>
      </c>
      <c r="R5" s="62">
        <f t="shared" si="2"/>
        <v>43772</v>
      </c>
      <c r="S5" s="61">
        <f>+'DIRECTO '!S5</f>
        <v>2024</v>
      </c>
      <c r="T5" s="310"/>
      <c r="U5" s="61">
        <v>2024</v>
      </c>
      <c r="V5" s="61">
        <f>+U5+1</f>
        <v>2025</v>
      </c>
      <c r="W5" s="61">
        <f>+V5+1</f>
        <v>2026</v>
      </c>
      <c r="X5" s="60"/>
      <c r="Y5" s="62" t="s">
        <v>6</v>
      </c>
      <c r="Z5" s="61" t="s">
        <v>7</v>
      </c>
      <c r="AA5" s="61" t="s">
        <v>36</v>
      </c>
      <c r="AB5" s="63" t="s">
        <v>125</v>
      </c>
      <c r="AC5" s="61" t="s">
        <v>8</v>
      </c>
      <c r="AD5" s="59"/>
      <c r="AE5" s="61" t="s">
        <v>7</v>
      </c>
      <c r="AF5" s="51"/>
      <c r="AG5" s="51"/>
      <c r="AH5" s="51"/>
      <c r="AI5" s="1185"/>
      <c r="AJ5" s="1332"/>
      <c r="AK5" s="1228"/>
      <c r="AL5" s="1210"/>
      <c r="AM5" s="1210"/>
      <c r="AN5" s="1210"/>
      <c r="AO5" s="1210"/>
      <c r="AP5" s="1210"/>
    </row>
    <row r="6" spans="1:44" s="5" customFormat="1" ht="17.25" customHeight="1" x14ac:dyDescent="0.25">
      <c r="B6" s="312" t="s">
        <v>335</v>
      </c>
      <c r="C6" s="2"/>
      <c r="D6" s="2"/>
      <c r="E6" s="2"/>
      <c r="F6" s="2"/>
      <c r="G6" s="2"/>
      <c r="H6" s="2"/>
      <c r="I6" s="2"/>
      <c r="J6" s="2"/>
      <c r="K6" s="2"/>
      <c r="L6" s="2"/>
      <c r="M6" s="2"/>
      <c r="N6" s="2"/>
      <c r="O6" s="7"/>
      <c r="P6" s="2"/>
      <c r="Q6" s="2"/>
      <c r="R6" s="2"/>
      <c r="S6" s="2"/>
      <c r="T6" s="2"/>
      <c r="U6" s="2"/>
      <c r="V6" s="2"/>
      <c r="W6" s="2"/>
      <c r="X6" s="2"/>
      <c r="Y6" s="2"/>
      <c r="Z6" s="2"/>
      <c r="AA6" s="2"/>
      <c r="AB6" s="2"/>
      <c r="AC6" s="2"/>
      <c r="AD6" s="2"/>
      <c r="AE6" s="2"/>
      <c r="AF6" s="51"/>
      <c r="AG6" s="51"/>
      <c r="AH6" s="51"/>
      <c r="AI6" s="527"/>
    </row>
    <row r="7" spans="1:44" s="5" customFormat="1" ht="18.75" x14ac:dyDescent="0.3">
      <c r="B7" s="56" t="s">
        <v>32</v>
      </c>
      <c r="C7" s="57"/>
      <c r="D7" s="2"/>
      <c r="E7" s="606">
        <f>+E9</f>
        <v>0</v>
      </c>
      <c r="F7" s="87"/>
      <c r="G7" s="608">
        <f>+G9</f>
        <v>0</v>
      </c>
      <c r="H7" s="608">
        <f>+H9</f>
        <v>0</v>
      </c>
      <c r="I7" s="87"/>
      <c r="J7" s="606">
        <f>+J9</f>
        <v>0</v>
      </c>
      <c r="K7" s="607">
        <f>+K9</f>
        <v>0</v>
      </c>
      <c r="L7" s="608">
        <f>+L9</f>
        <v>0</v>
      </c>
      <c r="M7" s="87"/>
      <c r="N7" s="606">
        <f t="shared" ref="N7:S7" si="3">+N9</f>
        <v>0</v>
      </c>
      <c r="O7" s="607">
        <f t="shared" si="3"/>
        <v>0</v>
      </c>
      <c r="P7" s="607">
        <f t="shared" si="3"/>
        <v>0</v>
      </c>
      <c r="Q7" s="607">
        <f t="shared" si="3"/>
        <v>0</v>
      </c>
      <c r="R7" s="607">
        <f t="shared" si="3"/>
        <v>0</v>
      </c>
      <c r="S7" s="608">
        <f t="shared" si="3"/>
        <v>0</v>
      </c>
      <c r="T7" s="469"/>
      <c r="U7" s="606">
        <f>+U9</f>
        <v>0</v>
      </c>
      <c r="V7" s="607">
        <f>+V9</f>
        <v>0</v>
      </c>
      <c r="W7" s="608">
        <f>+W9</f>
        <v>0</v>
      </c>
      <c r="X7" s="87"/>
      <c r="Y7" s="606">
        <f>+Y9</f>
        <v>0</v>
      </c>
      <c r="Z7" s="607">
        <v>33570631.391199999</v>
      </c>
      <c r="AA7" s="607">
        <f>+AA9</f>
        <v>0</v>
      </c>
      <c r="AB7" s="607">
        <f>+AB9</f>
        <v>0</v>
      </c>
      <c r="AC7" s="608">
        <f>+AC9</f>
        <v>0</v>
      </c>
      <c r="AD7" s="333"/>
      <c r="AE7" s="339">
        <f>+AE9</f>
        <v>0</v>
      </c>
      <c r="AF7" s="444"/>
      <c r="AG7" s="531">
        <f>+AC7-Y7</f>
        <v>0</v>
      </c>
      <c r="AH7" s="304"/>
      <c r="AI7" s="670">
        <f>+AI9</f>
        <v>0</v>
      </c>
      <c r="AJ7" s="667">
        <f t="shared" ref="AJ7:AP7" si="4">+AJ9</f>
        <v>0</v>
      </c>
      <c r="AK7" s="667"/>
      <c r="AL7" s="667">
        <f t="shared" si="4"/>
        <v>0</v>
      </c>
      <c r="AM7" s="667">
        <f t="shared" si="4"/>
        <v>0</v>
      </c>
      <c r="AN7" s="667">
        <f t="shared" si="4"/>
        <v>0</v>
      </c>
      <c r="AO7" s="667">
        <f t="shared" si="4"/>
        <v>0</v>
      </c>
      <c r="AP7" s="667">
        <f t="shared" si="4"/>
        <v>0</v>
      </c>
      <c r="AQ7" s="295"/>
      <c r="AR7" s="295"/>
    </row>
    <row r="8" spans="1:44" s="5" customFormat="1" ht="7.5" customHeight="1" x14ac:dyDescent="0.3">
      <c r="B8" s="2"/>
      <c r="C8" s="2"/>
      <c r="D8" s="2"/>
      <c r="E8" s="87"/>
      <c r="F8" s="87"/>
      <c r="G8" s="87"/>
      <c r="H8" s="87"/>
      <c r="I8" s="87"/>
      <c r="J8" s="87"/>
      <c r="K8" s="87"/>
      <c r="L8" s="87"/>
      <c r="M8" s="87"/>
      <c r="N8" s="87"/>
      <c r="O8" s="87"/>
      <c r="P8" s="87"/>
      <c r="Q8" s="87"/>
      <c r="R8" s="87"/>
      <c r="S8" s="87"/>
      <c r="T8" s="87"/>
      <c r="U8" s="87"/>
      <c r="V8" s="87"/>
      <c r="W8" s="87"/>
      <c r="X8" s="87"/>
      <c r="Y8" s="87"/>
      <c r="Z8" s="87"/>
      <c r="AA8" s="87"/>
      <c r="AB8" s="87"/>
      <c r="AC8" s="87"/>
      <c r="AD8" s="333"/>
      <c r="AE8" s="333"/>
      <c r="AF8" s="293"/>
      <c r="AG8" s="532"/>
      <c r="AH8" s="304"/>
      <c r="AI8" s="465"/>
      <c r="AJ8" s="465"/>
      <c r="AK8" s="465"/>
      <c r="AL8" s="465"/>
      <c r="AM8" s="465"/>
      <c r="AN8" s="465"/>
      <c r="AO8" s="465"/>
      <c r="AP8" s="465"/>
      <c r="AQ8" s="295"/>
      <c r="AR8" s="295"/>
    </row>
    <row r="9" spans="1:44" s="5" customFormat="1" ht="18.75" x14ac:dyDescent="0.3">
      <c r="B9" s="9" t="s">
        <v>153</v>
      </c>
      <c r="C9" s="10"/>
      <c r="D9" s="2"/>
      <c r="E9" s="663">
        <f>+SUM(E11:E13)</f>
        <v>0</v>
      </c>
      <c r="F9" s="87"/>
      <c r="G9" s="611">
        <f>+SUM(G11:G13)</f>
        <v>0</v>
      </c>
      <c r="H9" s="611">
        <f>+SUM(H11:H13)</f>
        <v>0</v>
      </c>
      <c r="I9" s="87"/>
      <c r="J9" s="609">
        <f>+SUM(J11:J13)</f>
        <v>0</v>
      </c>
      <c r="K9" s="610">
        <f>+SUM(K11:K13)</f>
        <v>0</v>
      </c>
      <c r="L9" s="611">
        <f>+SUM(L11:L12)</f>
        <v>0</v>
      </c>
      <c r="M9" s="87"/>
      <c r="N9" s="609">
        <f t="shared" ref="N9:S9" si="5">+SUM(N11:N13)</f>
        <v>0</v>
      </c>
      <c r="O9" s="610">
        <f t="shared" si="5"/>
        <v>0</v>
      </c>
      <c r="P9" s="610">
        <f t="shared" si="5"/>
        <v>0</v>
      </c>
      <c r="Q9" s="610">
        <f t="shared" si="5"/>
        <v>0</v>
      </c>
      <c r="R9" s="610">
        <f t="shared" si="5"/>
        <v>0</v>
      </c>
      <c r="S9" s="611">
        <f t="shared" si="5"/>
        <v>0</v>
      </c>
      <c r="T9" s="469"/>
      <c r="U9" s="609">
        <f>+SUM(U11:U13)</f>
        <v>0</v>
      </c>
      <c r="V9" s="610">
        <f>+SUM(V11:V13)</f>
        <v>0</v>
      </c>
      <c r="W9" s="611">
        <f>+SUM(W11:W13)</f>
        <v>0</v>
      </c>
      <c r="X9" s="87"/>
      <c r="Y9" s="609">
        <f>+SUM(Y11:Y13)</f>
        <v>0</v>
      </c>
      <c r="Z9" s="610"/>
      <c r="AA9" s="610">
        <f>+SUM(AA11:AA13)</f>
        <v>0</v>
      </c>
      <c r="AB9" s="610">
        <f>+SUM(AB11:AB13)</f>
        <v>0</v>
      </c>
      <c r="AC9" s="611">
        <f>+SUM(AC11:AC13)</f>
        <v>0</v>
      </c>
      <c r="AD9" s="333"/>
      <c r="AE9" s="343">
        <f>+SUM(AE11:AE13)</f>
        <v>0</v>
      </c>
      <c r="AF9" s="444"/>
      <c r="AG9" s="531">
        <f>+AC9-Y9</f>
        <v>0</v>
      </c>
      <c r="AH9" s="304"/>
      <c r="AI9" s="668">
        <f t="shared" ref="AI9:AP9" si="6">+SUM(AI11:AI13)</f>
        <v>0</v>
      </c>
      <c r="AJ9" s="668"/>
      <c r="AK9" s="668"/>
      <c r="AL9" s="668">
        <f t="shared" si="6"/>
        <v>0</v>
      </c>
      <c r="AM9" s="668">
        <f t="shared" si="6"/>
        <v>0</v>
      </c>
      <c r="AN9" s="668">
        <f t="shared" si="6"/>
        <v>0</v>
      </c>
      <c r="AO9" s="668">
        <f t="shared" si="6"/>
        <v>0</v>
      </c>
      <c r="AP9" s="668">
        <f t="shared" si="6"/>
        <v>0</v>
      </c>
      <c r="AQ9" s="295"/>
      <c r="AR9" s="295"/>
    </row>
    <row r="10" spans="1:44" s="5" customFormat="1" ht="7.5" customHeight="1" x14ac:dyDescent="0.3">
      <c r="E10" s="499"/>
      <c r="F10" s="499"/>
      <c r="G10" s="499"/>
      <c r="H10" s="499"/>
      <c r="I10" s="499"/>
      <c r="J10" s="499"/>
      <c r="K10" s="499"/>
      <c r="L10" s="499"/>
      <c r="M10" s="499"/>
      <c r="N10" s="499"/>
      <c r="O10" s="499"/>
      <c r="P10" s="499"/>
      <c r="Q10" s="499"/>
      <c r="R10" s="499"/>
      <c r="S10" s="499"/>
      <c r="T10" s="499"/>
      <c r="U10" s="499"/>
      <c r="V10" s="499"/>
      <c r="W10" s="499"/>
      <c r="X10" s="499"/>
      <c r="Y10" s="499"/>
      <c r="Z10" s="499"/>
      <c r="AA10" s="499"/>
      <c r="AB10" s="499"/>
      <c r="AC10" s="499"/>
      <c r="AD10" s="347"/>
      <c r="AE10" s="347"/>
      <c r="AF10" s="293"/>
      <c r="AG10" s="532"/>
      <c r="AH10" s="304"/>
      <c r="AI10" s="597"/>
      <c r="AJ10" s="597"/>
      <c r="AK10" s="597"/>
      <c r="AL10" s="597"/>
      <c r="AM10" s="597"/>
      <c r="AN10" s="597"/>
      <c r="AO10" s="597"/>
      <c r="AP10" s="597"/>
      <c r="AQ10" s="295"/>
      <c r="AR10" s="295"/>
    </row>
    <row r="11" spans="1:44" s="5" customFormat="1" ht="18.75" x14ac:dyDescent="0.3">
      <c r="B11" s="13" t="s">
        <v>151</v>
      </c>
      <c r="C11" s="14"/>
      <c r="E11" s="476">
        <f>+SUM(AL11:AP11)</f>
        <v>0</v>
      </c>
      <c r="F11" s="499"/>
      <c r="G11" s="635"/>
      <c r="H11" s="596">
        <f>AJ11</f>
        <v>0</v>
      </c>
      <c r="I11" s="499"/>
      <c r="J11" s="635">
        <f>+H11+AE11</f>
        <v>0</v>
      </c>
      <c r="K11" s="613">
        <f t="shared" ref="K11:K13" si="7">+E11+J11</f>
        <v>0</v>
      </c>
      <c r="L11" s="520"/>
      <c r="M11" s="499"/>
      <c r="N11" s="612">
        <v>0</v>
      </c>
      <c r="O11" s="613">
        <v>0</v>
      </c>
      <c r="P11" s="613">
        <v>0</v>
      </c>
      <c r="Q11" s="613">
        <v>0</v>
      </c>
      <c r="R11" s="613">
        <v>0</v>
      </c>
      <c r="S11" s="636">
        <f>+SUMIFS(N11:R11,N$2:R$2,$S$5)</f>
        <v>0</v>
      </c>
      <c r="T11" s="478"/>
      <c r="U11" s="612">
        <f>+SUMIFS(N11:S11,N$2:S$2,$U$5)</f>
        <v>0</v>
      </c>
      <c r="V11" s="613">
        <f>+SUMIFS(N11:S11,N$2:S$2,$V$5)</f>
        <v>0</v>
      </c>
      <c r="W11" s="520">
        <f>+SUMIFS(N11:S11,N$2:S$2,$W$5)</f>
        <v>0</v>
      </c>
      <c r="X11" s="499"/>
      <c r="Y11" s="612">
        <f>+K11+L11</f>
        <v>0</v>
      </c>
      <c r="Z11" s="613"/>
      <c r="AA11" s="613">
        <v>0</v>
      </c>
      <c r="AB11" s="613"/>
      <c r="AC11" s="520"/>
      <c r="AD11" s="347"/>
      <c r="AE11" s="348"/>
      <c r="AF11" s="444"/>
      <c r="AG11" s="531">
        <f>+AC11-Y11</f>
        <v>0</v>
      </c>
      <c r="AH11" s="304"/>
      <c r="AI11" s="397">
        <f>SUM(AL11:AP11)</f>
        <v>0</v>
      </c>
      <c r="AJ11" s="953">
        <f>SUM(AL11:AM11)</f>
        <v>0</v>
      </c>
      <c r="AK11" s="671">
        <f>+AN11</f>
        <v>0</v>
      </c>
      <c r="AL11" s="675"/>
      <c r="AM11" s="675"/>
      <c r="AN11" s="675"/>
      <c r="AO11" s="675"/>
      <c r="AP11" s="675"/>
      <c r="AQ11" s="295"/>
      <c r="AR11" s="295"/>
    </row>
    <row r="12" spans="1:44" s="5" customFormat="1" ht="18.75" x14ac:dyDescent="0.3">
      <c r="B12" s="15" t="s">
        <v>152</v>
      </c>
      <c r="C12" s="16"/>
      <c r="E12" s="652">
        <f>+SUM(AL12:AP12)</f>
        <v>0</v>
      </c>
      <c r="F12" s="499"/>
      <c r="G12" s="638">
        <v>0</v>
      </c>
      <c r="H12" s="651">
        <f>AJ12</f>
        <v>0</v>
      </c>
      <c r="I12" s="499"/>
      <c r="J12" s="614">
        <f>+H12+AE12</f>
        <v>0</v>
      </c>
      <c r="K12" s="615">
        <f t="shared" si="7"/>
        <v>0</v>
      </c>
      <c r="L12" s="616"/>
      <c r="M12" s="499"/>
      <c r="N12" s="638">
        <v>0</v>
      </c>
      <c r="O12" s="622">
        <v>0</v>
      </c>
      <c r="P12" s="622">
        <v>0</v>
      </c>
      <c r="Q12" s="622">
        <v>0</v>
      </c>
      <c r="R12" s="622">
        <v>0</v>
      </c>
      <c r="S12" s="665">
        <f>+SUMIFS(N12:R12,N$2:R$2,$S$5)</f>
        <v>0</v>
      </c>
      <c r="T12" s="478"/>
      <c r="U12" s="638">
        <f>+SUMIFS(N12:S12,N$2:S$2,$U$5)</f>
        <v>0</v>
      </c>
      <c r="V12" s="622">
        <f>+SUMIFS(N12:S12,N$2:S$2,$V$5)</f>
        <v>0</v>
      </c>
      <c r="W12" s="623">
        <f>+SUMIFS(N12:S12,N$2:S$2,$W$5)</f>
        <v>0</v>
      </c>
      <c r="X12" s="499"/>
      <c r="Y12" s="645">
        <f>+K12+L12</f>
        <v>0</v>
      </c>
      <c r="Z12" s="622">
        <v>0</v>
      </c>
      <c r="AA12" s="622"/>
      <c r="AB12" s="622"/>
      <c r="AC12" s="623"/>
      <c r="AD12" s="347"/>
      <c r="AE12" s="363"/>
      <c r="AF12" s="444"/>
      <c r="AG12" s="531">
        <f>+AC12-Y12</f>
        <v>0</v>
      </c>
      <c r="AH12" s="304"/>
      <c r="AI12" s="397">
        <f>SUM(AL12:AP12)</f>
        <v>0</v>
      </c>
      <c r="AJ12" s="953">
        <f>SUM(AL12:AM12)</f>
        <v>0</v>
      </c>
      <c r="AK12" s="671">
        <f>+AN12</f>
        <v>0</v>
      </c>
      <c r="AL12" s="675"/>
      <c r="AM12" s="675"/>
      <c r="AN12" s="675"/>
      <c r="AO12" s="675"/>
      <c r="AP12" s="675"/>
      <c r="AQ12" s="295"/>
      <c r="AR12" s="295"/>
    </row>
    <row r="13" spans="1:44" s="5" customFormat="1" ht="18.75" x14ac:dyDescent="0.3">
      <c r="B13" s="17" t="s">
        <v>42</v>
      </c>
      <c r="C13" s="18"/>
      <c r="E13" s="642">
        <f>+SUM(AL13:AP13)</f>
        <v>0</v>
      </c>
      <c r="F13" s="499"/>
      <c r="G13" s="617">
        <v>0</v>
      </c>
      <c r="H13" s="619">
        <f>AJ13</f>
        <v>0</v>
      </c>
      <c r="I13" s="499"/>
      <c r="J13" s="617">
        <f>+H13+AE13</f>
        <v>0</v>
      </c>
      <c r="K13" s="618">
        <f t="shared" si="7"/>
        <v>0</v>
      </c>
      <c r="L13" s="619"/>
      <c r="M13" s="499"/>
      <c r="N13" s="617">
        <v>0</v>
      </c>
      <c r="O13" s="618">
        <v>0</v>
      </c>
      <c r="P13" s="618">
        <v>0</v>
      </c>
      <c r="Q13" s="618">
        <v>0</v>
      </c>
      <c r="R13" s="618">
        <v>0</v>
      </c>
      <c r="S13" s="666">
        <f>+SUMIFS(N13:R13,N$2:R$2,$S$5)</f>
        <v>0</v>
      </c>
      <c r="T13" s="478"/>
      <c r="U13" s="617">
        <f>+SUMIFS(N13:S13,N$2:S$2,$U$5)</f>
        <v>0</v>
      </c>
      <c r="V13" s="618">
        <f>+SUMIFS(N13:S13,N$2:S$2,$V$5)</f>
        <v>0</v>
      </c>
      <c r="W13" s="619">
        <f>+SUMIFS(N13:S13,N$2:S$2,$W$5)</f>
        <v>0</v>
      </c>
      <c r="X13" s="499"/>
      <c r="Y13" s="617">
        <f>+K13+L13</f>
        <v>0</v>
      </c>
      <c r="Z13" s="618">
        <v>0</v>
      </c>
      <c r="AA13" s="618">
        <v>0</v>
      </c>
      <c r="AB13" s="618"/>
      <c r="AC13" s="619"/>
      <c r="AD13" s="347"/>
      <c r="AE13" s="368"/>
      <c r="AF13" s="443"/>
      <c r="AG13" s="534">
        <f t="shared" ref="AG13" si="8">+AC13-Y13</f>
        <v>0</v>
      </c>
      <c r="AH13" s="304"/>
      <c r="AI13" s="397">
        <f>SUM(AL13:AP13)</f>
        <v>0</v>
      </c>
      <c r="AJ13" s="953">
        <f>SUM(AL13:AM13)</f>
        <v>0</v>
      </c>
      <c r="AK13" s="671">
        <f>+AN13</f>
        <v>0</v>
      </c>
      <c r="AL13" s="675"/>
      <c r="AM13" s="675"/>
      <c r="AN13" s="675"/>
      <c r="AO13" s="675"/>
      <c r="AP13" s="675"/>
      <c r="AQ13" s="295"/>
      <c r="AR13" s="295"/>
    </row>
    <row r="14" spans="1:44" s="5" customFormat="1" ht="18.75" x14ac:dyDescent="0.3">
      <c r="E14" s="499"/>
      <c r="F14" s="499"/>
      <c r="G14" s="499"/>
      <c r="H14" s="499"/>
      <c r="I14" s="499"/>
      <c r="J14" s="499"/>
      <c r="K14" s="499"/>
      <c r="L14" s="515"/>
      <c r="M14" s="499"/>
      <c r="N14" s="499"/>
      <c r="O14" s="499"/>
      <c r="P14" s="499"/>
      <c r="Q14" s="499"/>
      <c r="R14" s="499"/>
      <c r="S14" s="499"/>
      <c r="T14" s="499"/>
      <c r="U14" s="499"/>
      <c r="V14" s="499"/>
      <c r="W14" s="499"/>
      <c r="X14" s="499"/>
      <c r="Y14" s="499"/>
      <c r="Z14" s="499"/>
      <c r="AA14" s="499"/>
      <c r="AB14" s="499"/>
      <c r="AC14" s="499"/>
      <c r="AD14" s="347"/>
      <c r="AE14" s="347"/>
      <c r="AF14" s="443"/>
      <c r="AG14" s="534"/>
      <c r="AH14" s="305"/>
      <c r="AI14" s="499"/>
      <c r="AJ14" s="669"/>
      <c r="AK14" s="669"/>
      <c r="AL14" s="669"/>
      <c r="AM14" s="669"/>
      <c r="AN14" s="669"/>
      <c r="AO14" s="669"/>
      <c r="AP14" s="669"/>
      <c r="AQ14" s="295"/>
      <c r="AR14" s="295"/>
    </row>
    <row r="15" spans="1:44" s="5" customFormat="1" ht="18.75" x14ac:dyDescent="0.3">
      <c r="B15" s="56" t="s">
        <v>9</v>
      </c>
      <c r="C15" s="57"/>
      <c r="D15" s="2"/>
      <c r="E15" s="650">
        <f>+SUM(E17:E26)+E28</f>
        <v>0</v>
      </c>
      <c r="F15" s="87"/>
      <c r="G15" s="606">
        <f>+SUM(G17:G26)+G28</f>
        <v>0</v>
      </c>
      <c r="H15" s="608">
        <f>+SUM(H17:H26)+H28</f>
        <v>0</v>
      </c>
      <c r="I15" s="87"/>
      <c r="J15" s="606">
        <f>+SUM(J17:J26)+J28</f>
        <v>0</v>
      </c>
      <c r="K15" s="607">
        <f>+SUM(K17:K26)+K28</f>
        <v>0</v>
      </c>
      <c r="L15" s="608">
        <f>+SUM(L17:L26,L28)</f>
        <v>0</v>
      </c>
      <c r="M15" s="87"/>
      <c r="N15" s="606">
        <f t="shared" ref="N15:R15" si="9">+SUM(N17:N26)+N28</f>
        <v>0</v>
      </c>
      <c r="O15" s="607">
        <f t="shared" si="9"/>
        <v>0</v>
      </c>
      <c r="P15" s="607">
        <f t="shared" si="9"/>
        <v>0</v>
      </c>
      <c r="Q15" s="607">
        <f t="shared" si="9"/>
        <v>0</v>
      </c>
      <c r="R15" s="607">
        <f t="shared" si="9"/>
        <v>0</v>
      </c>
      <c r="S15" s="608">
        <f>+SUM(S17:S26)+S28</f>
        <v>0</v>
      </c>
      <c r="T15" s="469"/>
      <c r="U15" s="606">
        <f>+SUM(U17:U26)+U28</f>
        <v>0</v>
      </c>
      <c r="V15" s="607">
        <f>+SUM(V17:V26)+V28</f>
        <v>0</v>
      </c>
      <c r="W15" s="608">
        <f>+SUM(W17:W26)+W28</f>
        <v>0</v>
      </c>
      <c r="X15" s="87"/>
      <c r="Y15" s="606">
        <f>+SUM(Y17:Y26)+Y28</f>
        <v>0</v>
      </c>
      <c r="Z15" s="606">
        <f>+SUM(Z17:Z26)+Z28</f>
        <v>0</v>
      </c>
      <c r="AA15" s="607">
        <f>+SUM(AA17:AA26)+AA28</f>
        <v>0</v>
      </c>
      <c r="AB15" s="607">
        <f>+SUM(AB17:AB26)+AB28</f>
        <v>0</v>
      </c>
      <c r="AC15" s="608">
        <f>+SUM(AC17:AC26,AC28)</f>
        <v>0</v>
      </c>
      <c r="AD15" s="333"/>
      <c r="AE15" s="339">
        <f>+SUM(AE17:AE26,AE28)</f>
        <v>0</v>
      </c>
      <c r="AF15" s="444"/>
      <c r="AG15" s="531">
        <f>+AC15-Y15</f>
        <v>0</v>
      </c>
      <c r="AH15" s="304"/>
      <c r="AI15" s="670"/>
      <c r="AJ15" s="670"/>
      <c r="AK15" s="670"/>
      <c r="AL15" s="670"/>
      <c r="AM15" s="670"/>
      <c r="AN15" s="670"/>
      <c r="AO15" s="670"/>
      <c r="AP15" s="670"/>
      <c r="AQ15" s="295"/>
      <c r="AR15" s="295"/>
    </row>
    <row r="16" spans="1:44" s="5" customFormat="1" ht="7.5" customHeight="1" x14ac:dyDescent="0.3">
      <c r="E16" s="499"/>
      <c r="F16" s="499"/>
      <c r="G16" s="499"/>
      <c r="H16" s="499"/>
      <c r="I16" s="499"/>
      <c r="J16" s="499"/>
      <c r="K16" s="499"/>
      <c r="L16" s="499"/>
      <c r="M16" s="499"/>
      <c r="N16" s="499"/>
      <c r="O16" s="499"/>
      <c r="P16" s="499"/>
      <c r="Q16" s="499"/>
      <c r="R16" s="499"/>
      <c r="S16" s="499"/>
      <c r="T16" s="499"/>
      <c r="U16" s="499"/>
      <c r="V16" s="499"/>
      <c r="W16" s="499"/>
      <c r="X16" s="499"/>
      <c r="Y16" s="499"/>
      <c r="Z16" s="499"/>
      <c r="AA16" s="499"/>
      <c r="AB16" s="499"/>
      <c r="AC16" s="499"/>
      <c r="AD16" s="347"/>
      <c r="AE16" s="347"/>
      <c r="AF16" s="442"/>
      <c r="AG16" s="532"/>
      <c r="AH16" s="304"/>
      <c r="AI16" s="669"/>
      <c r="AJ16" s="669"/>
      <c r="AK16" s="669"/>
      <c r="AL16" s="669"/>
      <c r="AM16" s="669"/>
      <c r="AN16" s="669"/>
      <c r="AO16" s="669"/>
      <c r="AP16" s="669"/>
      <c r="AQ16" s="295"/>
      <c r="AR16" s="295"/>
    </row>
    <row r="17" spans="2:44" s="5" customFormat="1" ht="18.75" x14ac:dyDescent="0.3">
      <c r="B17" s="13" t="s">
        <v>10</v>
      </c>
      <c r="C17" s="14"/>
      <c r="E17" s="476">
        <f t="shared" ref="E17:E26" si="10">+SUM(AL17:AP17)</f>
        <v>0</v>
      </c>
      <c r="F17" s="499"/>
      <c r="G17" s="612"/>
      <c r="H17" s="596">
        <f t="shared" ref="H17:H26" si="11">AJ17</f>
        <v>0</v>
      </c>
      <c r="I17" s="499"/>
      <c r="J17" s="635">
        <f t="shared" ref="J17:J26" si="12">+H17+AE17</f>
        <v>0</v>
      </c>
      <c r="K17" s="613">
        <f>+E17+J17</f>
        <v>0</v>
      </c>
      <c r="L17" s="636">
        <f t="shared" ref="L17:L26" si="13">+SUM(N17:R17)</f>
        <v>0</v>
      </c>
      <c r="M17" s="499"/>
      <c r="N17" s="612"/>
      <c r="O17" s="613"/>
      <c r="P17" s="613"/>
      <c r="Q17" s="613"/>
      <c r="R17" s="613"/>
      <c r="S17" s="636"/>
      <c r="T17" s="478"/>
      <c r="U17" s="612">
        <f t="shared" ref="U17:U26" si="14">+SUMIFS(N17:S17,N$2:S$2,$U$5)</f>
        <v>0</v>
      </c>
      <c r="V17" s="613">
        <f t="shared" ref="V17:V26" si="15">+SUMIFS(N17:S17,N$2:S$2,$V$5)</f>
        <v>0</v>
      </c>
      <c r="W17" s="520">
        <f t="shared" ref="W17:W26" si="16">+SUMIFS(N17:S17,N$2:S$2,$W$5)</f>
        <v>0</v>
      </c>
      <c r="X17" s="499"/>
      <c r="Y17" s="612">
        <f t="shared" ref="Y17:Y26" si="17">+K17+L17</f>
        <v>0</v>
      </c>
      <c r="Z17" s="613"/>
      <c r="AA17" s="613"/>
      <c r="AB17" s="613"/>
      <c r="AC17" s="520"/>
      <c r="AD17" s="347"/>
      <c r="AE17" s="348"/>
      <c r="AF17" s="444"/>
      <c r="AG17" s="531">
        <f>+AC17-Y17</f>
        <v>0</v>
      </c>
      <c r="AH17" s="304"/>
      <c r="AI17" s="397">
        <f>SUM(AL17:AP17)</f>
        <v>0</v>
      </c>
      <c r="AJ17" s="953">
        <f>SUM(AL17:AM17)</f>
        <v>0</v>
      </c>
      <c r="AK17" s="671">
        <f>+AN17</f>
        <v>0</v>
      </c>
      <c r="AL17" s="675"/>
      <c r="AM17" s="675"/>
      <c r="AN17" s="675"/>
      <c r="AO17" s="675"/>
      <c r="AP17" s="675"/>
      <c r="AQ17" s="295"/>
      <c r="AR17" s="295"/>
    </row>
    <row r="18" spans="2:44" s="5" customFormat="1" ht="18.75" x14ac:dyDescent="0.3">
      <c r="B18" s="15" t="s">
        <v>11</v>
      </c>
      <c r="C18" s="16"/>
      <c r="E18" s="478">
        <f t="shared" si="10"/>
        <v>0</v>
      </c>
      <c r="F18" s="499"/>
      <c r="G18" s="676"/>
      <c r="H18" s="654">
        <f t="shared" si="11"/>
        <v>0</v>
      </c>
      <c r="I18" s="499"/>
      <c r="J18" s="638">
        <f t="shared" si="12"/>
        <v>0</v>
      </c>
      <c r="K18" s="622">
        <f>+J18+E18</f>
        <v>0</v>
      </c>
      <c r="L18" s="639">
        <f t="shared" si="13"/>
        <v>0</v>
      </c>
      <c r="M18" s="499"/>
      <c r="N18" s="640"/>
      <c r="O18" s="620"/>
      <c r="P18" s="620"/>
      <c r="Q18" s="620"/>
      <c r="R18" s="620"/>
      <c r="S18" s="639"/>
      <c r="T18" s="478"/>
      <c r="U18" s="640">
        <f t="shared" si="14"/>
        <v>0</v>
      </c>
      <c r="V18" s="620">
        <f t="shared" si="15"/>
        <v>0</v>
      </c>
      <c r="W18" s="616">
        <f t="shared" si="16"/>
        <v>0</v>
      </c>
      <c r="X18" s="499"/>
      <c r="Y18" s="645">
        <f t="shared" si="17"/>
        <v>0</v>
      </c>
      <c r="Z18" s="620"/>
      <c r="AA18" s="620"/>
      <c r="AB18" s="620"/>
      <c r="AC18" s="624"/>
      <c r="AD18" s="347"/>
      <c r="AE18" s="348"/>
      <c r="AF18" s="444"/>
      <c r="AG18" s="531">
        <f t="shared" ref="AG18:AG26" si="18">+AC18-Y18</f>
        <v>0</v>
      </c>
      <c r="AH18" s="304"/>
      <c r="AI18" s="397">
        <f>SUM(AL18:AP18)</f>
        <v>0</v>
      </c>
      <c r="AJ18" s="953">
        <f>SUM(AL18:AM18)</f>
        <v>0</v>
      </c>
      <c r="AK18" s="671">
        <f>+AN18</f>
        <v>0</v>
      </c>
      <c r="AL18" s="675"/>
      <c r="AM18" s="675"/>
      <c r="AN18" s="675"/>
      <c r="AO18" s="675"/>
      <c r="AP18" s="675"/>
      <c r="AQ18" s="295"/>
      <c r="AR18" s="295"/>
    </row>
    <row r="19" spans="2:44" s="5" customFormat="1" ht="18.75" x14ac:dyDescent="0.3">
      <c r="B19" s="15" t="s">
        <v>43</v>
      </c>
      <c r="C19" s="16"/>
      <c r="E19" s="652">
        <f t="shared" si="10"/>
        <v>0</v>
      </c>
      <c r="F19" s="499">
        <v>0</v>
      </c>
      <c r="G19" s="638"/>
      <c r="H19" s="654">
        <f t="shared" si="11"/>
        <v>0</v>
      </c>
      <c r="I19" s="499"/>
      <c r="J19" s="638">
        <f t="shared" si="12"/>
        <v>0</v>
      </c>
      <c r="K19" s="622">
        <f t="shared" ref="K19:K25" si="19">+J19+E19</f>
        <v>0</v>
      </c>
      <c r="L19" s="621">
        <f t="shared" si="13"/>
        <v>0</v>
      </c>
      <c r="M19" s="499"/>
      <c r="N19" s="638"/>
      <c r="O19" s="622"/>
      <c r="P19" s="622"/>
      <c r="Q19" s="622"/>
      <c r="R19" s="622"/>
      <c r="S19" s="621"/>
      <c r="T19" s="478"/>
      <c r="U19" s="638">
        <f t="shared" si="14"/>
        <v>0</v>
      </c>
      <c r="V19" s="622">
        <f t="shared" si="15"/>
        <v>0</v>
      </c>
      <c r="W19" s="616">
        <f t="shared" si="16"/>
        <v>0</v>
      </c>
      <c r="X19" s="499"/>
      <c r="Y19" s="645">
        <f t="shared" si="17"/>
        <v>0</v>
      </c>
      <c r="Z19" s="622"/>
      <c r="AA19" s="622"/>
      <c r="AB19" s="622"/>
      <c r="AC19" s="623"/>
      <c r="AD19" s="347"/>
      <c r="AE19" s="348"/>
      <c r="AF19" s="444"/>
      <c r="AG19" s="531">
        <f t="shared" si="18"/>
        <v>0</v>
      </c>
      <c r="AH19" s="304">
        <v>-43926.123657729477</v>
      </c>
      <c r="AI19" s="397">
        <f>SUM(AL19:AP19)</f>
        <v>0</v>
      </c>
      <c r="AJ19" s="953">
        <f>SUM(AL19:AM19)</f>
        <v>0</v>
      </c>
      <c r="AK19" s="671">
        <f>+AN19</f>
        <v>0</v>
      </c>
      <c r="AL19" s="675"/>
      <c r="AM19" s="675"/>
      <c r="AN19" s="675"/>
      <c r="AO19" s="675"/>
      <c r="AP19" s="675"/>
      <c r="AQ19" s="295"/>
      <c r="AR19" s="295"/>
    </row>
    <row r="20" spans="2:44" s="5" customFormat="1" ht="18.75" x14ac:dyDescent="0.3">
      <c r="B20" s="15" t="s">
        <v>38</v>
      </c>
      <c r="C20" s="16"/>
      <c r="E20" s="652">
        <f t="shared" si="10"/>
        <v>0</v>
      </c>
      <c r="F20" s="499"/>
      <c r="G20" s="638"/>
      <c r="H20" s="654">
        <f>AJ20</f>
        <v>0</v>
      </c>
      <c r="I20" s="499"/>
      <c r="J20" s="638">
        <f t="shared" si="12"/>
        <v>0</v>
      </c>
      <c r="K20" s="622">
        <f>+J20+E20</f>
        <v>0</v>
      </c>
      <c r="L20" s="621">
        <f t="shared" si="13"/>
        <v>0</v>
      </c>
      <c r="M20" s="499"/>
      <c r="N20" s="638"/>
      <c r="O20" s="622"/>
      <c r="P20" s="622"/>
      <c r="Q20" s="622"/>
      <c r="R20" s="622"/>
      <c r="S20" s="621"/>
      <c r="T20" s="478"/>
      <c r="U20" s="638">
        <f t="shared" si="14"/>
        <v>0</v>
      </c>
      <c r="V20" s="622">
        <f t="shared" si="15"/>
        <v>0</v>
      </c>
      <c r="W20" s="616">
        <f t="shared" si="16"/>
        <v>0</v>
      </c>
      <c r="X20" s="499"/>
      <c r="Y20" s="645">
        <f t="shared" si="17"/>
        <v>0</v>
      </c>
      <c r="Z20" s="622"/>
      <c r="AA20" s="622"/>
      <c r="AB20" s="622"/>
      <c r="AC20" s="623"/>
      <c r="AD20" s="347"/>
      <c r="AE20" s="348"/>
      <c r="AF20" s="444"/>
      <c r="AG20" s="531">
        <f t="shared" si="18"/>
        <v>0</v>
      </c>
      <c r="AH20" s="304"/>
      <c r="AI20" s="397">
        <f>SUM(AL20:AP20)</f>
        <v>0</v>
      </c>
      <c r="AJ20" s="953">
        <f>SUM(AL20:AM20)</f>
        <v>0</v>
      </c>
      <c r="AK20" s="671">
        <f>+AN20</f>
        <v>0</v>
      </c>
      <c r="AL20" s="675"/>
      <c r="AM20" s="675"/>
      <c r="AN20" s="675"/>
      <c r="AO20" s="675"/>
      <c r="AP20" s="675"/>
      <c r="AQ20" s="295"/>
      <c r="AR20" s="295"/>
    </row>
    <row r="21" spans="2:44" s="5" customFormat="1" ht="18.75" x14ac:dyDescent="0.3">
      <c r="B21" s="15" t="s">
        <v>12</v>
      </c>
      <c r="C21" s="16"/>
      <c r="E21" s="652">
        <f t="shared" si="10"/>
        <v>0</v>
      </c>
      <c r="F21" s="499"/>
      <c r="G21" s="638"/>
      <c r="H21" s="654">
        <f>AJ21</f>
        <v>0</v>
      </c>
      <c r="I21" s="499"/>
      <c r="J21" s="638">
        <f t="shared" si="12"/>
        <v>0</v>
      </c>
      <c r="K21" s="622">
        <f>+J21+E21</f>
        <v>0</v>
      </c>
      <c r="L21" s="621">
        <f t="shared" si="13"/>
        <v>0</v>
      </c>
      <c r="M21" s="499"/>
      <c r="N21" s="638"/>
      <c r="O21" s="622"/>
      <c r="P21" s="622"/>
      <c r="Q21" s="622"/>
      <c r="R21" s="622"/>
      <c r="S21" s="621"/>
      <c r="T21" s="478"/>
      <c r="U21" s="638">
        <f t="shared" si="14"/>
        <v>0</v>
      </c>
      <c r="V21" s="622">
        <f t="shared" si="15"/>
        <v>0</v>
      </c>
      <c r="W21" s="616">
        <f t="shared" si="16"/>
        <v>0</v>
      </c>
      <c r="X21" s="499"/>
      <c r="Y21" s="645">
        <f t="shared" si="17"/>
        <v>0</v>
      </c>
      <c r="Z21" s="622"/>
      <c r="AA21" s="622"/>
      <c r="AB21" s="622"/>
      <c r="AC21" s="623"/>
      <c r="AD21" s="347"/>
      <c r="AE21" s="348"/>
      <c r="AF21" s="444"/>
      <c r="AG21" s="531">
        <f t="shared" si="18"/>
        <v>0</v>
      </c>
      <c r="AH21" s="304"/>
      <c r="AI21" s="397">
        <f>SUM(AL21:AP21)</f>
        <v>0</v>
      </c>
      <c r="AJ21" s="953">
        <f>SUM(AL21:AM21)</f>
        <v>0</v>
      </c>
      <c r="AK21" s="671">
        <f>+AN21</f>
        <v>0</v>
      </c>
      <c r="AL21" s="675"/>
      <c r="AM21" s="675"/>
      <c r="AN21" s="675"/>
      <c r="AO21" s="675"/>
      <c r="AP21" s="675"/>
      <c r="AQ21" s="295"/>
      <c r="AR21" s="295"/>
    </row>
    <row r="22" spans="2:44" s="5" customFormat="1" ht="18.75" x14ac:dyDescent="0.3">
      <c r="B22" s="15"/>
      <c r="C22" s="16" t="s">
        <v>25</v>
      </c>
      <c r="E22" s="478">
        <f t="shared" si="10"/>
        <v>0</v>
      </c>
      <c r="F22" s="499"/>
      <c r="G22" s="638"/>
      <c r="H22" s="654">
        <f>AJ22</f>
        <v>0</v>
      </c>
      <c r="I22" s="499"/>
      <c r="J22" s="638">
        <f t="shared" si="12"/>
        <v>0</v>
      </c>
      <c r="K22" s="622">
        <f>+J22+E22</f>
        <v>0</v>
      </c>
      <c r="L22" s="621">
        <f t="shared" si="13"/>
        <v>0</v>
      </c>
      <c r="M22" s="499"/>
      <c r="N22" s="638"/>
      <c r="O22" s="622"/>
      <c r="P22" s="622"/>
      <c r="Q22" s="622"/>
      <c r="R22" s="622"/>
      <c r="S22" s="639"/>
      <c r="T22" s="478"/>
      <c r="U22" s="638">
        <f t="shared" si="14"/>
        <v>0</v>
      </c>
      <c r="V22" s="622">
        <f t="shared" si="15"/>
        <v>0</v>
      </c>
      <c r="W22" s="616">
        <f t="shared" si="16"/>
        <v>0</v>
      </c>
      <c r="X22" s="499"/>
      <c r="Y22" s="645">
        <f t="shared" si="17"/>
        <v>0</v>
      </c>
      <c r="Z22" s="620"/>
      <c r="AA22" s="620"/>
      <c r="AB22" s="620"/>
      <c r="AC22" s="624"/>
      <c r="AD22" s="347"/>
      <c r="AE22" s="348"/>
      <c r="AF22" s="444"/>
      <c r="AG22" s="531">
        <f t="shared" si="18"/>
        <v>0</v>
      </c>
      <c r="AH22" s="304"/>
      <c r="AI22" s="397">
        <f>SUM(AL22:AP22)</f>
        <v>0</v>
      </c>
      <c r="AJ22" s="953">
        <f>SUM(AL22:AM22)</f>
        <v>0</v>
      </c>
      <c r="AK22" s="671">
        <f>+AN22</f>
        <v>0</v>
      </c>
      <c r="AL22" s="675"/>
      <c r="AM22" s="675"/>
      <c r="AN22" s="675"/>
      <c r="AO22" s="675"/>
      <c r="AP22" s="675"/>
      <c r="AQ22" s="295"/>
      <c r="AR22" s="295"/>
    </row>
    <row r="23" spans="2:44" s="5" customFormat="1" ht="18.75" x14ac:dyDescent="0.3">
      <c r="B23" s="15"/>
      <c r="C23" s="16" t="s">
        <v>14</v>
      </c>
      <c r="E23" s="652">
        <f t="shared" si="10"/>
        <v>0</v>
      </c>
      <c r="F23" s="499"/>
      <c r="G23" s="638"/>
      <c r="H23" s="654">
        <f>AJ23</f>
        <v>0</v>
      </c>
      <c r="I23" s="499"/>
      <c r="J23" s="638">
        <f t="shared" si="12"/>
        <v>0</v>
      </c>
      <c r="K23" s="622">
        <f t="shared" si="19"/>
        <v>0</v>
      </c>
      <c r="L23" s="621">
        <f t="shared" si="13"/>
        <v>0</v>
      </c>
      <c r="M23" s="499"/>
      <c r="N23" s="638"/>
      <c r="O23" s="622"/>
      <c r="P23" s="622"/>
      <c r="Q23" s="622"/>
      <c r="R23" s="622"/>
      <c r="S23" s="621"/>
      <c r="T23" s="478"/>
      <c r="U23" s="638">
        <f t="shared" si="14"/>
        <v>0</v>
      </c>
      <c r="V23" s="622">
        <f t="shared" si="15"/>
        <v>0</v>
      </c>
      <c r="W23" s="616">
        <f t="shared" si="16"/>
        <v>0</v>
      </c>
      <c r="X23" s="499"/>
      <c r="Y23" s="645">
        <f t="shared" si="17"/>
        <v>0</v>
      </c>
      <c r="Z23" s="622"/>
      <c r="AA23" s="622"/>
      <c r="AB23" s="622"/>
      <c r="AC23" s="623"/>
      <c r="AD23" s="347"/>
      <c r="AE23" s="348"/>
      <c r="AF23" s="444"/>
      <c r="AG23" s="531">
        <f t="shared" si="18"/>
        <v>0</v>
      </c>
      <c r="AH23" s="304"/>
      <c r="AI23" s="397">
        <f>SUM(AL23:AP23)</f>
        <v>0</v>
      </c>
      <c r="AJ23" s="953">
        <f>SUM(AL23:AM23)</f>
        <v>0</v>
      </c>
      <c r="AK23" s="671">
        <f>+AN23</f>
        <v>0</v>
      </c>
      <c r="AL23" s="675"/>
      <c r="AM23" s="675"/>
      <c r="AN23" s="675"/>
      <c r="AO23" s="675"/>
      <c r="AP23" s="675"/>
      <c r="AQ23" s="295"/>
      <c r="AR23" s="295"/>
    </row>
    <row r="24" spans="2:44" s="5" customFormat="1" ht="18.75" x14ac:dyDescent="0.3">
      <c r="B24" s="15" t="s">
        <v>13</v>
      </c>
      <c r="C24" s="16"/>
      <c r="E24" s="652">
        <f t="shared" si="10"/>
        <v>0</v>
      </c>
      <c r="F24" s="499"/>
      <c r="G24" s="638"/>
      <c r="H24" s="654">
        <f>AJ24</f>
        <v>0</v>
      </c>
      <c r="I24" s="499"/>
      <c r="J24" s="638">
        <f t="shared" si="12"/>
        <v>0</v>
      </c>
      <c r="K24" s="622">
        <f t="shared" si="19"/>
        <v>0</v>
      </c>
      <c r="L24" s="621">
        <f t="shared" si="13"/>
        <v>0</v>
      </c>
      <c r="M24" s="499"/>
      <c r="N24" s="638"/>
      <c r="O24" s="622"/>
      <c r="P24" s="622"/>
      <c r="Q24" s="622"/>
      <c r="R24" s="622"/>
      <c r="S24" s="621"/>
      <c r="T24" s="478"/>
      <c r="U24" s="638">
        <f t="shared" si="14"/>
        <v>0</v>
      </c>
      <c r="V24" s="622">
        <f t="shared" si="15"/>
        <v>0</v>
      </c>
      <c r="W24" s="616">
        <f t="shared" si="16"/>
        <v>0</v>
      </c>
      <c r="X24" s="499"/>
      <c r="Y24" s="645">
        <f t="shared" si="17"/>
        <v>0</v>
      </c>
      <c r="Z24" s="622"/>
      <c r="AA24" s="622"/>
      <c r="AB24" s="622"/>
      <c r="AC24" s="623"/>
      <c r="AD24" s="347"/>
      <c r="AE24" s="348"/>
      <c r="AF24" s="444"/>
      <c r="AG24" s="531">
        <f t="shared" si="18"/>
        <v>0</v>
      </c>
      <c r="AH24" s="304"/>
      <c r="AI24" s="397">
        <f>SUM(AL24:AP24)</f>
        <v>0</v>
      </c>
      <c r="AJ24" s="953">
        <f>SUM(AL24:AM24)</f>
        <v>0</v>
      </c>
      <c r="AK24" s="671">
        <f>+AN24</f>
        <v>0</v>
      </c>
      <c r="AL24" s="675"/>
      <c r="AM24" s="675"/>
      <c r="AN24" s="675"/>
      <c r="AO24" s="675"/>
      <c r="AP24" s="675"/>
      <c r="AQ24" s="295"/>
      <c r="AR24" s="295"/>
    </row>
    <row r="25" spans="2:44" s="5" customFormat="1" ht="18.75" x14ac:dyDescent="0.3">
      <c r="B25" s="15" t="s">
        <v>31</v>
      </c>
      <c r="C25" s="16"/>
      <c r="E25" s="637">
        <f t="shared" si="10"/>
        <v>0</v>
      </c>
      <c r="F25" s="499"/>
      <c r="G25" s="614"/>
      <c r="H25" s="616">
        <f t="shared" si="11"/>
        <v>0</v>
      </c>
      <c r="I25" s="499"/>
      <c r="J25" s="638">
        <f t="shared" si="12"/>
        <v>0</v>
      </c>
      <c r="K25" s="615">
        <f t="shared" si="19"/>
        <v>0</v>
      </c>
      <c r="L25" s="621">
        <f t="shared" si="13"/>
        <v>0</v>
      </c>
      <c r="M25" s="499"/>
      <c r="N25" s="638"/>
      <c r="O25" s="622"/>
      <c r="P25" s="622"/>
      <c r="Q25" s="622"/>
      <c r="R25" s="622"/>
      <c r="S25" s="641"/>
      <c r="T25" s="478"/>
      <c r="U25" s="638">
        <f t="shared" si="14"/>
        <v>0</v>
      </c>
      <c r="V25" s="622">
        <f t="shared" si="15"/>
        <v>0</v>
      </c>
      <c r="W25" s="616">
        <f t="shared" si="16"/>
        <v>0</v>
      </c>
      <c r="X25" s="499"/>
      <c r="Y25" s="645">
        <f t="shared" si="17"/>
        <v>0</v>
      </c>
      <c r="Z25" s="615">
        <v>0</v>
      </c>
      <c r="AA25" s="615">
        <v>0</v>
      </c>
      <c r="AB25" s="615"/>
      <c r="AC25" s="616"/>
      <c r="AD25" s="347"/>
      <c r="AE25" s="348"/>
      <c r="AF25" s="444"/>
      <c r="AG25" s="531">
        <f t="shared" si="18"/>
        <v>0</v>
      </c>
      <c r="AH25" s="304"/>
      <c r="AI25" s="397">
        <f>SUM(AL25:AP25)</f>
        <v>0</v>
      </c>
      <c r="AJ25" s="953">
        <f>SUM(AL25:AM25)</f>
        <v>0</v>
      </c>
      <c r="AK25" s="671">
        <f>+AN25</f>
        <v>0</v>
      </c>
      <c r="AL25" s="675"/>
      <c r="AM25" s="675"/>
      <c r="AN25" s="675"/>
      <c r="AO25" s="675"/>
      <c r="AP25" s="675"/>
      <c r="AQ25" s="295"/>
      <c r="AR25" s="295"/>
    </row>
    <row r="26" spans="2:44" s="5" customFormat="1" ht="18.75" x14ac:dyDescent="0.3">
      <c r="B26" s="17" t="s">
        <v>15</v>
      </c>
      <c r="C26" s="18"/>
      <c r="E26" s="642">
        <f t="shared" si="10"/>
        <v>0</v>
      </c>
      <c r="F26" s="499"/>
      <c r="G26" s="617"/>
      <c r="H26" s="619">
        <f t="shared" si="11"/>
        <v>0</v>
      </c>
      <c r="I26" s="499"/>
      <c r="J26" s="617">
        <f t="shared" si="12"/>
        <v>0</v>
      </c>
      <c r="K26" s="618">
        <f>+J26+E26</f>
        <v>0</v>
      </c>
      <c r="L26" s="643">
        <f t="shared" si="13"/>
        <v>0</v>
      </c>
      <c r="M26" s="499"/>
      <c r="N26" s="617"/>
      <c r="O26" s="618"/>
      <c r="P26" s="618"/>
      <c r="Q26" s="618"/>
      <c r="R26" s="618"/>
      <c r="S26" s="643"/>
      <c r="T26" s="478"/>
      <c r="U26" s="617">
        <f t="shared" si="14"/>
        <v>0</v>
      </c>
      <c r="V26" s="618">
        <f t="shared" si="15"/>
        <v>0</v>
      </c>
      <c r="W26" s="619">
        <f t="shared" si="16"/>
        <v>0</v>
      </c>
      <c r="X26" s="499"/>
      <c r="Y26" s="617">
        <f t="shared" si="17"/>
        <v>0</v>
      </c>
      <c r="Z26" s="618">
        <v>0</v>
      </c>
      <c r="AA26" s="618">
        <v>0</v>
      </c>
      <c r="AB26" s="618"/>
      <c r="AC26" s="619"/>
      <c r="AD26" s="347"/>
      <c r="AE26" s="379"/>
      <c r="AF26" s="444"/>
      <c r="AG26" s="531">
        <f t="shared" si="18"/>
        <v>0</v>
      </c>
      <c r="AH26" s="304"/>
      <c r="AI26" s="397">
        <f>SUM(AL26:AP26)</f>
        <v>0</v>
      </c>
      <c r="AJ26" s="953">
        <f>SUM(AL26:AM26)</f>
        <v>0</v>
      </c>
      <c r="AK26" s="671">
        <f>+AN26</f>
        <v>0</v>
      </c>
      <c r="AL26" s="675"/>
      <c r="AM26" s="675"/>
      <c r="AN26" s="675"/>
      <c r="AO26" s="675"/>
      <c r="AP26" s="675"/>
      <c r="AQ26" s="295"/>
      <c r="AR26" s="295"/>
    </row>
    <row r="27" spans="2:44" s="5" customFormat="1" ht="7.5" customHeight="1" x14ac:dyDescent="0.3">
      <c r="E27" s="499"/>
      <c r="F27" s="499"/>
      <c r="G27" s="499"/>
      <c r="H27" s="499"/>
      <c r="I27" s="499"/>
      <c r="J27" s="499"/>
      <c r="K27" s="499"/>
      <c r="L27" s="499"/>
      <c r="M27" s="499"/>
      <c r="N27" s="499"/>
      <c r="O27" s="499"/>
      <c r="P27" s="499"/>
      <c r="Q27" s="499"/>
      <c r="R27" s="499"/>
      <c r="S27" s="499"/>
      <c r="T27" s="499"/>
      <c r="U27" s="499"/>
      <c r="V27" s="499"/>
      <c r="W27" s="499"/>
      <c r="X27" s="499"/>
      <c r="Y27" s="499"/>
      <c r="Z27" s="499"/>
      <c r="AA27" s="499"/>
      <c r="AB27" s="499"/>
      <c r="AC27" s="499"/>
      <c r="AD27" s="347"/>
      <c r="AE27" s="347"/>
      <c r="AF27" s="442"/>
      <c r="AG27" s="532"/>
      <c r="AH27" s="304"/>
      <c r="AI27" s="597"/>
      <c r="AJ27" s="597"/>
      <c r="AK27" s="597"/>
      <c r="AL27" s="597"/>
      <c r="AM27" s="597"/>
      <c r="AN27" s="597"/>
      <c r="AO27" s="597"/>
      <c r="AP27" s="597"/>
      <c r="AQ27" s="295"/>
      <c r="AR27" s="295"/>
    </row>
    <row r="28" spans="2:44" s="5" customFormat="1" ht="15.75" customHeight="1" x14ac:dyDescent="0.3">
      <c r="B28" s="11" t="s">
        <v>16</v>
      </c>
      <c r="C28" s="12"/>
      <c r="E28" s="659">
        <f>+SUM(AL28:AP28)</f>
        <v>0</v>
      </c>
      <c r="F28" s="499"/>
      <c r="G28" s="644">
        <v>0</v>
      </c>
      <c r="H28" s="627">
        <f>AJ28</f>
        <v>0</v>
      </c>
      <c r="I28" s="499"/>
      <c r="J28" s="625">
        <f>+H28+AE28</f>
        <v>0</v>
      </c>
      <c r="K28" s="626">
        <f>+E28+J28</f>
        <v>0</v>
      </c>
      <c r="L28" s="627">
        <f>+SUM(N28:S28)</f>
        <v>0</v>
      </c>
      <c r="M28" s="499"/>
      <c r="N28" s="644">
        <f>-H28</f>
        <v>0</v>
      </c>
      <c r="O28" s="626">
        <v>0</v>
      </c>
      <c r="P28" s="626">
        <v>0</v>
      </c>
      <c r="Q28" s="626">
        <v>0</v>
      </c>
      <c r="R28" s="626">
        <v>0</v>
      </c>
      <c r="S28" s="627">
        <f>+SUMIFS(N28:R28,N$2:R$2,$S$5)</f>
        <v>0</v>
      </c>
      <c r="T28" s="478"/>
      <c r="U28" s="644">
        <f>+SUMIFS(N28:S28,N$2:S$2,$U$5)</f>
        <v>0</v>
      </c>
      <c r="V28" s="626">
        <f>+SUMIFS(N28:S28,N$2:S$2,$V$5)</f>
        <v>0</v>
      </c>
      <c r="W28" s="627">
        <f>+SUMIFS(N28:S28,N$2:S$2,$W$5)</f>
        <v>0</v>
      </c>
      <c r="X28" s="499"/>
      <c r="Y28" s="625">
        <v>0</v>
      </c>
      <c r="Z28" s="626">
        <v>0</v>
      </c>
      <c r="AA28" s="626">
        <v>0</v>
      </c>
      <c r="AB28" s="626"/>
      <c r="AC28" s="627">
        <v>0</v>
      </c>
      <c r="AD28" s="347"/>
      <c r="AE28" s="379"/>
      <c r="AF28" s="442"/>
      <c r="AG28" s="532"/>
      <c r="AH28" s="304"/>
      <c r="AI28" s="674">
        <f>SUM(AJ28:AP28)</f>
        <v>0</v>
      </c>
      <c r="AJ28" s="674"/>
      <c r="AK28" s="674"/>
      <c r="AL28" s="675"/>
      <c r="AM28" s="675"/>
      <c r="AN28" s="675"/>
      <c r="AO28" s="675"/>
      <c r="AP28" s="675"/>
      <c r="AQ28" s="295"/>
      <c r="AR28" s="295"/>
    </row>
    <row r="29" spans="2:44" s="5" customFormat="1" ht="15.75" x14ac:dyDescent="0.25">
      <c r="E29" s="499"/>
      <c r="F29" s="499"/>
      <c r="G29" s="499"/>
      <c r="H29" s="499"/>
      <c r="I29" s="499"/>
      <c r="J29" s="499"/>
      <c r="K29" s="499"/>
      <c r="L29" s="499"/>
      <c r="M29" s="499"/>
      <c r="N29" s="499"/>
      <c r="O29" s="499"/>
      <c r="P29" s="499"/>
      <c r="Q29" s="499"/>
      <c r="R29" s="499"/>
      <c r="S29" s="499"/>
      <c r="T29" s="499"/>
      <c r="U29" s="499"/>
      <c r="V29" s="499"/>
      <c r="W29" s="499"/>
      <c r="X29" s="499"/>
      <c r="Y29" s="499"/>
      <c r="Z29" s="499"/>
      <c r="AA29" s="499"/>
      <c r="AB29" s="499"/>
      <c r="AC29" s="499"/>
      <c r="AD29" s="347"/>
      <c r="AE29" s="347"/>
      <c r="AF29" s="399"/>
      <c r="AG29" s="535"/>
      <c r="AH29" s="304"/>
      <c r="AI29" s="516"/>
      <c r="AJ29" s="516"/>
      <c r="AK29" s="516"/>
      <c r="AL29" s="516"/>
      <c r="AM29" s="516"/>
      <c r="AN29" s="516"/>
      <c r="AO29" s="516"/>
      <c r="AP29" s="516"/>
      <c r="AQ29" s="295"/>
      <c r="AR29" s="295"/>
    </row>
    <row r="30" spans="2:44" s="5" customFormat="1" ht="15.75" x14ac:dyDescent="0.25">
      <c r="B30" s="64" t="s">
        <v>17</v>
      </c>
      <c r="C30" s="65"/>
      <c r="D30" s="2"/>
      <c r="E30" s="661">
        <f>+E7*E31</f>
        <v>0</v>
      </c>
      <c r="F30" s="87"/>
      <c r="G30" s="628">
        <v>0</v>
      </c>
      <c r="H30" s="630">
        <f>+H7*H31</f>
        <v>0</v>
      </c>
      <c r="I30" s="87"/>
      <c r="J30" s="628">
        <f>+J7*J31</f>
        <v>0</v>
      </c>
      <c r="K30" s="629">
        <f>+K7*K31</f>
        <v>0</v>
      </c>
      <c r="L30" s="662">
        <f>+L7*L31</f>
        <v>0</v>
      </c>
      <c r="M30" s="87"/>
      <c r="N30" s="628">
        <f t="shared" ref="N30:S30" si="20">+N7*N31</f>
        <v>0</v>
      </c>
      <c r="O30" s="629">
        <f t="shared" si="20"/>
        <v>0</v>
      </c>
      <c r="P30" s="629">
        <f t="shared" si="20"/>
        <v>0</v>
      </c>
      <c r="Q30" s="629">
        <f t="shared" si="20"/>
        <v>0</v>
      </c>
      <c r="R30" s="629">
        <f t="shared" si="20"/>
        <v>0</v>
      </c>
      <c r="S30" s="629">
        <f t="shared" si="20"/>
        <v>0</v>
      </c>
      <c r="T30" s="469"/>
      <c r="U30" s="628">
        <f>+U7*U31</f>
        <v>0</v>
      </c>
      <c r="V30" s="629">
        <f>+V7*V31</f>
        <v>0</v>
      </c>
      <c r="W30" s="662">
        <f>+W7*W31</f>
        <v>0</v>
      </c>
      <c r="X30" s="87"/>
      <c r="Y30" s="628">
        <f>+Y7-Y15</f>
        <v>0</v>
      </c>
      <c r="Z30" s="628">
        <f>+Z7-Z15</f>
        <v>33570631.391199999</v>
      </c>
      <c r="AA30" s="629">
        <f>+AA7-AA15</f>
        <v>0</v>
      </c>
      <c r="AB30" s="629">
        <f>+AB7-AB15</f>
        <v>0</v>
      </c>
      <c r="AC30" s="630">
        <f>+AC7-AC15</f>
        <v>0</v>
      </c>
      <c r="AD30" s="333"/>
      <c r="AE30" s="332">
        <f>+AE7*AE31</f>
        <v>0</v>
      </c>
      <c r="AF30" s="445"/>
      <c r="AG30" s="531">
        <f>+Y30-AC30</f>
        <v>0</v>
      </c>
      <c r="AH30" s="304"/>
      <c r="AI30" s="304"/>
      <c r="AJ30" s="304"/>
      <c r="AK30" s="304"/>
      <c r="AL30" s="304"/>
      <c r="AM30" s="304"/>
      <c r="AN30" s="304"/>
      <c r="AO30" s="304"/>
      <c r="AP30" s="304"/>
      <c r="AQ30" s="295"/>
      <c r="AR30" s="295"/>
    </row>
    <row r="31" spans="2:44" s="5" customFormat="1" ht="15.75" x14ac:dyDescent="0.25">
      <c r="B31" s="66" t="s">
        <v>18</v>
      </c>
      <c r="C31" s="67"/>
      <c r="D31" s="2"/>
      <c r="E31" s="68">
        <f>+$Y$31</f>
        <v>0</v>
      </c>
      <c r="F31" s="19"/>
      <c r="G31" s="71">
        <f>+$Y$31</f>
        <v>0</v>
      </c>
      <c r="H31" s="72">
        <f>+$Y$31</f>
        <v>0</v>
      </c>
      <c r="I31" s="19"/>
      <c r="J31" s="71">
        <f>+$Y$31</f>
        <v>0</v>
      </c>
      <c r="K31" s="75">
        <f>+$Y$31</f>
        <v>0</v>
      </c>
      <c r="L31" s="76">
        <f>+$Y$31</f>
        <v>0</v>
      </c>
      <c r="M31" s="19"/>
      <c r="N31" s="71">
        <f t="shared" ref="N31:S31" si="21">+$Y$31</f>
        <v>0</v>
      </c>
      <c r="O31" s="75">
        <f t="shared" si="21"/>
        <v>0</v>
      </c>
      <c r="P31" s="75">
        <f t="shared" si="21"/>
        <v>0</v>
      </c>
      <c r="Q31" s="75">
        <f t="shared" si="21"/>
        <v>0</v>
      </c>
      <c r="R31" s="75">
        <f t="shared" si="21"/>
        <v>0</v>
      </c>
      <c r="S31" s="75">
        <f t="shared" si="21"/>
        <v>0</v>
      </c>
      <c r="T31" s="20"/>
      <c r="U31" s="71">
        <f>+$Y$31</f>
        <v>0</v>
      </c>
      <c r="V31" s="75">
        <f>+$Y$31</f>
        <v>0</v>
      </c>
      <c r="W31" s="76">
        <f>+$Y$31</f>
        <v>0</v>
      </c>
      <c r="X31" s="19"/>
      <c r="Y31" s="71">
        <f>+IF(Y7=0,0,Y30/Y7)</f>
        <v>0</v>
      </c>
      <c r="Z31" s="71">
        <f>+IF(Z7=0,0,Z30/Z7)</f>
        <v>1</v>
      </c>
      <c r="AA31" s="75">
        <f>+IF(AA7=0,0,AA30/AA7)</f>
        <v>0</v>
      </c>
      <c r="AB31" s="75">
        <f>+IF(AB7=0,0,AB30/AB7)</f>
        <v>0</v>
      </c>
      <c r="AC31" s="72">
        <f>+IF(AC7=0,0,AC30/AC7)</f>
        <v>0</v>
      </c>
      <c r="AD31" s="19"/>
      <c r="AE31" s="68">
        <f>+$Y$31</f>
        <v>0</v>
      </c>
      <c r="AF31" s="51"/>
      <c r="AG31" s="51"/>
      <c r="AH31" s="51"/>
      <c r="AI31" s="51"/>
      <c r="AJ31" s="51"/>
      <c r="AK31" s="51"/>
      <c r="AL31" s="51"/>
      <c r="AM31" s="51"/>
      <c r="AN31" s="51"/>
      <c r="AO31" s="51"/>
      <c r="AP31" s="51"/>
    </row>
    <row r="32" spans="2:44" s="5" customFormat="1" ht="7.5" customHeight="1" x14ac:dyDescent="0.25">
      <c r="B32" s="2"/>
      <c r="C32" s="2"/>
      <c r="D32" s="2"/>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51"/>
      <c r="AG32" s="51"/>
      <c r="AH32" s="51"/>
      <c r="AI32" s="51"/>
      <c r="AJ32" s="51"/>
      <c r="AK32" s="51"/>
      <c r="AL32" s="51"/>
      <c r="AM32" s="51"/>
      <c r="AN32" s="51"/>
      <c r="AO32" s="51"/>
      <c r="AP32" s="51"/>
    </row>
    <row r="33" spans="2:46" s="5" customFormat="1" ht="15.75" customHeight="1" x14ac:dyDescent="0.25">
      <c r="B33" s="64" t="s">
        <v>33</v>
      </c>
      <c r="C33" s="65"/>
      <c r="D33" s="2"/>
      <c r="E33" s="332">
        <f>+E7-E15+E28</f>
        <v>0</v>
      </c>
      <c r="F33" s="333"/>
      <c r="G33" s="337">
        <f>+G7-G15+G28</f>
        <v>0</v>
      </c>
      <c r="H33" s="386">
        <f>+H7-H15+H28</f>
        <v>0</v>
      </c>
      <c r="I33" s="333"/>
      <c r="J33" s="334">
        <f>+J7-J15+J28</f>
        <v>0</v>
      </c>
      <c r="K33" s="336">
        <f>+K7-K15+K28</f>
        <v>0</v>
      </c>
      <c r="L33" s="335">
        <f>+L7-L15+L28</f>
        <v>0</v>
      </c>
      <c r="M33" s="333"/>
      <c r="N33" s="337">
        <f t="shared" ref="N33:S33" si="22">+N7-N15+N28</f>
        <v>0</v>
      </c>
      <c r="O33" s="336">
        <f t="shared" si="22"/>
        <v>0</v>
      </c>
      <c r="P33" s="336">
        <f t="shared" si="22"/>
        <v>0</v>
      </c>
      <c r="Q33" s="336">
        <f t="shared" si="22"/>
        <v>0</v>
      </c>
      <c r="R33" s="336">
        <f t="shared" si="22"/>
        <v>0</v>
      </c>
      <c r="S33" s="336">
        <f t="shared" si="22"/>
        <v>0</v>
      </c>
      <c r="T33" s="410"/>
      <c r="U33" s="337">
        <f>+U7-U15+U28</f>
        <v>0</v>
      </c>
      <c r="V33" s="336">
        <f>+V7-V15+V28</f>
        <v>0</v>
      </c>
      <c r="W33" s="335">
        <f>+W7-W15+W28</f>
        <v>0</v>
      </c>
      <c r="X33" s="333"/>
      <c r="Y33" s="628">
        <f>+Y7-Y15+Y28</f>
        <v>0</v>
      </c>
      <c r="Z33" s="628">
        <f>+Z7-Z15+Z28</f>
        <v>33570631.391199999</v>
      </c>
      <c r="AA33" s="336">
        <f>+AA7-AA15+AA28</f>
        <v>0</v>
      </c>
      <c r="AB33" s="336">
        <f>+AB7-AB15+AB28</f>
        <v>0</v>
      </c>
      <c r="AC33" s="386">
        <f>+AC7-AC15+AC28</f>
        <v>0</v>
      </c>
      <c r="AD33" s="333"/>
      <c r="AE33" s="332">
        <f>+AE7-AE15+AE28</f>
        <v>0</v>
      </c>
      <c r="AF33" s="304"/>
      <c r="AG33" s="304"/>
      <c r="AH33" s="304"/>
      <c r="AI33" s="304"/>
      <c r="AJ33" s="304"/>
      <c r="AK33" s="304"/>
      <c r="AL33" s="304"/>
      <c r="AM33" s="304"/>
      <c r="AN33" s="304"/>
      <c r="AO33" s="304"/>
      <c r="AP33" s="304"/>
      <c r="AQ33" s="295"/>
      <c r="AR33" s="295"/>
    </row>
    <row r="34" spans="2:46" s="5" customFormat="1" ht="15.75" customHeight="1" x14ac:dyDescent="0.25">
      <c r="B34" s="66" t="s">
        <v>34</v>
      </c>
      <c r="C34" s="67"/>
      <c r="D34" s="2"/>
      <c r="E34" s="68">
        <f>+IF(E7=0,0,E33/E7)</f>
        <v>0</v>
      </c>
      <c r="F34" s="19"/>
      <c r="G34" s="71">
        <v>0</v>
      </c>
      <c r="H34" s="72">
        <f>+IF(H7=0,0,H33/H7)</f>
        <v>0</v>
      </c>
      <c r="I34" s="19"/>
      <c r="J34" s="71">
        <f>+IF(J7=0,0,J33/J7)</f>
        <v>0</v>
      </c>
      <c r="K34" s="75">
        <f>+IF(K7=0,0,K33/K7)</f>
        <v>0</v>
      </c>
      <c r="L34" s="76">
        <f>+IF(L7=0,0,L33/L7)</f>
        <v>0</v>
      </c>
      <c r="M34" s="19"/>
      <c r="N34" s="71">
        <f t="shared" ref="N34:S34" si="23">+IF(N7=0,0,N33/N7)</f>
        <v>0</v>
      </c>
      <c r="O34" s="75">
        <f t="shared" si="23"/>
        <v>0</v>
      </c>
      <c r="P34" s="75">
        <f t="shared" si="23"/>
        <v>0</v>
      </c>
      <c r="Q34" s="75">
        <f t="shared" si="23"/>
        <v>0</v>
      </c>
      <c r="R34" s="75">
        <f t="shared" si="23"/>
        <v>0</v>
      </c>
      <c r="S34" s="75">
        <f t="shared" si="23"/>
        <v>0</v>
      </c>
      <c r="T34" s="20"/>
      <c r="U34" s="71">
        <f>+IF(U7=0,0,U33/U7)</f>
        <v>0</v>
      </c>
      <c r="V34" s="75">
        <f>+IF(V7=0,0,V33/V7)</f>
        <v>0</v>
      </c>
      <c r="W34" s="76">
        <f>+IF(W7=0,0,W33/W7)</f>
        <v>0</v>
      </c>
      <c r="X34" s="19"/>
      <c r="Y34" s="71">
        <f>+IF(Y7=0,0,Y33/Y7)</f>
        <v>0</v>
      </c>
      <c r="Z34" s="71">
        <f>+IF(Z7=0,0,Z33/Z7)</f>
        <v>1</v>
      </c>
      <c r="AA34" s="75">
        <f>+IF(AA7=0,0,AA33/AA7)</f>
        <v>0</v>
      </c>
      <c r="AB34" s="75">
        <f>+IF(AB7=0,0,AB33/AB7)</f>
        <v>0</v>
      </c>
      <c r="AC34" s="72">
        <f>+IF(AC7=0,0,AC33/AC7)</f>
        <v>0</v>
      </c>
      <c r="AD34" s="19"/>
      <c r="AE34" s="68">
        <f>+IF(AE7=0,0,AE33/AE7)</f>
        <v>0</v>
      </c>
      <c r="AF34" s="51"/>
      <c r="AG34" s="51"/>
      <c r="AH34" s="51"/>
      <c r="AI34" s="51"/>
      <c r="AJ34" s="51"/>
      <c r="AK34" s="51"/>
    </row>
    <row r="35" spans="2:46" s="40" customFormat="1" ht="18.75" x14ac:dyDescent="0.3">
      <c r="Y35" s="276"/>
      <c r="Z35" s="48"/>
      <c r="AA35" s="48"/>
      <c r="AB35" s="48"/>
      <c r="AC35" s="48"/>
    </row>
    <row r="36" spans="2:46" s="40" customFormat="1" x14ac:dyDescent="0.25">
      <c r="Y36" s="40">
        <v>255551.7747335406</v>
      </c>
      <c r="Z36" s="49">
        <v>318111.12678365689</v>
      </c>
      <c r="AA36" s="49"/>
      <c r="AB36" s="49"/>
      <c r="AC36" s="40">
        <v>0</v>
      </c>
      <c r="AE36" s="40">
        <v>628589.0841459455</v>
      </c>
    </row>
    <row r="37" spans="2:46" s="40" customFormat="1" x14ac:dyDescent="0.25">
      <c r="P37" s="50"/>
      <c r="Y37" s="49">
        <f>+Y36-Z30</f>
        <v>-33315079.616466459</v>
      </c>
    </row>
    <row r="38" spans="2:46" ht="18.75" x14ac:dyDescent="0.3">
      <c r="B38" s="23" t="s">
        <v>19</v>
      </c>
      <c r="C38" s="24"/>
      <c r="J38" s="40"/>
      <c r="K38" s="306">
        <f>+K7-K30</f>
        <v>0</v>
      </c>
      <c r="L38" s="40"/>
      <c r="P38" s="22"/>
      <c r="AS38" s="597">
        <f>H33</f>
        <v>0</v>
      </c>
      <c r="AT38" s="597">
        <f>Y33</f>
        <v>0</v>
      </c>
    </row>
    <row r="39" spans="2:46" ht="9" customHeight="1" x14ac:dyDescent="0.3">
      <c r="B39" s="25"/>
      <c r="J39" s="40"/>
      <c r="K39" s="302"/>
      <c r="L39" s="40"/>
      <c r="P39" s="22"/>
    </row>
    <row r="40" spans="2:46" ht="18.75" x14ac:dyDescent="0.3">
      <c r="B40" s="26" t="s">
        <v>20</v>
      </c>
      <c r="C40" s="27"/>
      <c r="J40" s="40"/>
      <c r="K40" s="307">
        <f>K15-K38</f>
        <v>0</v>
      </c>
      <c r="L40" s="40"/>
      <c r="P40" s="22"/>
    </row>
    <row r="41" spans="2:46" ht="9" customHeight="1" x14ac:dyDescent="0.3">
      <c r="B41" s="1"/>
      <c r="J41" s="40"/>
      <c r="K41" s="302"/>
      <c r="L41" s="40"/>
    </row>
    <row r="42" spans="2:46" ht="18.75" x14ac:dyDescent="0.3">
      <c r="B42" s="23" t="s">
        <v>21</v>
      </c>
      <c r="C42" s="24"/>
      <c r="J42" s="40"/>
      <c r="K42" s="306" t="e">
        <f>IF('ER Pendiente'!G38&gt;0,'ER Pendiente'!G15+'ER Pendiente'!G38,'ER Pendiente'!G15)</f>
        <v>#REF!</v>
      </c>
      <c r="L42" s="40"/>
    </row>
    <row r="43" spans="2:46" ht="9" customHeight="1" x14ac:dyDescent="0.3">
      <c r="B43" s="28"/>
      <c r="J43" s="40"/>
      <c r="K43" s="302"/>
      <c r="L43" s="40"/>
    </row>
    <row r="44" spans="2:46" ht="18.75" x14ac:dyDescent="0.3">
      <c r="B44" s="23" t="s">
        <v>22</v>
      </c>
      <c r="C44" s="24"/>
      <c r="J44" s="40"/>
      <c r="K44" s="306" t="e">
        <f>IF('ER Pendiente'!G38&lt;0,-'ER Pendiente'!G38-'ER Pendiente'!G22,-'ER Pendiente'!G22)</f>
        <v>#REF!</v>
      </c>
      <c r="L44" s="40"/>
      <c r="W44">
        <f>200*120/25</f>
        <v>960</v>
      </c>
    </row>
    <row r="45" spans="2:46" ht="9" customHeight="1" x14ac:dyDescent="0.3">
      <c r="B45" s="28"/>
      <c r="J45" s="40"/>
      <c r="K45" s="302"/>
      <c r="L45" s="40"/>
    </row>
    <row r="46" spans="2:46" ht="18.75" x14ac:dyDescent="0.3">
      <c r="B46" s="23" t="s">
        <v>23</v>
      </c>
      <c r="C46" s="24"/>
      <c r="J46" s="40"/>
      <c r="K46" s="306" t="e">
        <f>+'Dif. Margenes'!#REF!</f>
        <v>#REF!</v>
      </c>
      <c r="L46" s="40"/>
    </row>
    <row r="47" spans="2:46" ht="9" customHeight="1" x14ac:dyDescent="0.3">
      <c r="B47" s="25"/>
      <c r="J47" s="40"/>
      <c r="K47" s="302"/>
      <c r="L47" s="40"/>
    </row>
    <row r="48" spans="2:46" ht="18.75" x14ac:dyDescent="0.3">
      <c r="B48" s="29" t="s">
        <v>24</v>
      </c>
      <c r="C48" s="30"/>
      <c r="J48" s="40"/>
      <c r="K48" s="315" t="e">
        <f>+K40-K42+K44</f>
        <v>#REF!</v>
      </c>
      <c r="L48" s="40"/>
    </row>
    <row r="49" spans="3:12" ht="8.25" customHeight="1" x14ac:dyDescent="0.25">
      <c r="J49" s="40"/>
      <c r="L49" s="40"/>
    </row>
    <row r="50" spans="3:12" ht="21" hidden="1" outlineLevel="1" x14ac:dyDescent="0.35">
      <c r="C50" s="31" t="s">
        <v>26</v>
      </c>
      <c r="J50" s="40"/>
      <c r="K50" s="35"/>
      <c r="L50" s="40"/>
    </row>
    <row r="51" spans="3:12" ht="8.25" hidden="1" customHeight="1" outlineLevel="1" x14ac:dyDescent="0.25">
      <c r="C51" s="5"/>
      <c r="J51" s="40"/>
      <c r="L51" s="40"/>
    </row>
    <row r="52" spans="3:12" ht="23.25" hidden="1" outlineLevel="1" x14ac:dyDescent="0.35">
      <c r="C52" s="31" t="s">
        <v>27</v>
      </c>
      <c r="J52" s="40"/>
      <c r="K52" s="33"/>
      <c r="L52" s="40"/>
    </row>
    <row r="53" spans="3:12" hidden="1" outlineLevel="1" x14ac:dyDescent="0.25">
      <c r="J53" s="40"/>
      <c r="L53" s="40"/>
    </row>
    <row r="54" spans="3:12" collapsed="1" x14ac:dyDescent="0.25">
      <c r="L54" s="40"/>
    </row>
    <row r="55" spans="3:12" x14ac:dyDescent="0.25">
      <c r="L55" s="40"/>
    </row>
  </sheetData>
  <mergeCells count="18">
    <mergeCell ref="AI3:AI5"/>
    <mergeCell ref="AJ3:AJ5"/>
    <mergeCell ref="AL3:AL5"/>
    <mergeCell ref="B1:AE1"/>
    <mergeCell ref="AE3:AE4"/>
    <mergeCell ref="E3:E4"/>
    <mergeCell ref="G3:H4"/>
    <mergeCell ref="N3:S3"/>
    <mergeCell ref="U3:W4"/>
    <mergeCell ref="Y3:AC4"/>
    <mergeCell ref="J3:J5"/>
    <mergeCell ref="K3:K5"/>
    <mergeCell ref="L3:L5"/>
    <mergeCell ref="AM3:AM5"/>
    <mergeCell ref="AN3:AN5"/>
    <mergeCell ref="AO3:AO5"/>
    <mergeCell ref="AP3:AP5"/>
    <mergeCell ref="AK3:AK5"/>
  </mergeCells>
  <pageMargins left="0.23622047244094491" right="0.23622047244094491" top="0.74803149606299213" bottom="0.74803149606299213" header="0.31496062992125984" footer="0.31496062992125984"/>
  <pageSetup paperSize="9" scale="37" orientation="landscape" r:id="rId1"/>
  <headerFooter>
    <oddFooter>&amp;F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1:AU82"/>
  <sheetViews>
    <sheetView topLeftCell="R1" zoomScale="55" zoomScaleNormal="55" workbookViewId="0">
      <selection activeCell="AH13" sqref="AH13"/>
    </sheetView>
  </sheetViews>
  <sheetFormatPr baseColWidth="10" defaultColWidth="11.42578125" defaultRowHeight="21" customHeight="1" outlineLevelRow="1" outlineLevelCol="2" x14ac:dyDescent="0.3"/>
  <cols>
    <col min="1" max="1" width="14.5703125" style="86" customWidth="1"/>
    <col min="2" max="2" width="72.5703125" style="86" customWidth="1"/>
    <col min="3" max="3" width="16.140625" style="86" customWidth="1" outlineLevel="1"/>
    <col min="4" max="4" width="24.140625" style="2" customWidth="1" outlineLevel="1"/>
    <col min="5" max="5" width="2.7109375" style="2" customWidth="1" outlineLevel="1"/>
    <col min="6" max="6" width="24.85546875" style="2" customWidth="1" outlineLevel="1"/>
    <col min="7" max="7" width="2.7109375" style="2" customWidth="1" outlineLevel="1"/>
    <col min="8" max="9" width="23.5703125" style="2" customWidth="1" outlineLevel="1"/>
    <col min="10" max="10" width="2.7109375" style="2" customWidth="1" outlineLevel="1"/>
    <col min="11" max="11" width="30.5703125" style="2" customWidth="1" outlineLevel="1"/>
    <col min="12" max="12" width="27.5703125" style="2" customWidth="1" outlineLevel="1"/>
    <col min="13" max="13" width="24.42578125" style="2" customWidth="1"/>
    <col min="14" max="14" width="1.85546875" style="2" customWidth="1"/>
    <col min="15" max="19" width="15.5703125" style="2" customWidth="1" outlineLevel="1"/>
    <col min="20" max="20" width="2.42578125" style="2" customWidth="1"/>
    <col min="21" max="22" width="23.5703125" style="2" customWidth="1"/>
    <col min="23" max="23" width="22.42578125" style="2" customWidth="1"/>
    <col min="24" max="24" width="2.28515625" style="2" customWidth="1"/>
    <col min="25" max="25" width="24.140625" style="2" customWidth="1"/>
    <col min="26" max="26" width="26.28515625" style="2" customWidth="1"/>
    <col min="27" max="28" width="15.85546875" style="2" customWidth="1"/>
    <col min="29" max="29" width="24.7109375" style="2" customWidth="1"/>
    <col min="30" max="30" width="1.42578125" style="2" customWidth="1" outlineLevel="1"/>
    <col min="31" max="31" width="23.5703125" style="2" customWidth="1" outlineLevel="1"/>
    <col min="32" max="32" width="4.7109375" style="121" customWidth="1"/>
    <col min="33" max="33" width="4.85546875" style="2" customWidth="1"/>
    <col min="34" max="34" width="24.85546875" style="2" customWidth="1" outlineLevel="1"/>
    <col min="35" max="36" width="23.28515625" style="121" customWidth="1" outlineLevel="1"/>
    <col min="37" max="41" width="18.85546875" style="2" customWidth="1" outlineLevel="2"/>
    <col min="42" max="42" width="11.42578125" style="2" outlineLevel="1"/>
    <col min="43" max="16384" width="11.42578125" style="2"/>
  </cols>
  <sheetData>
    <row r="1" spans="1:41" ht="31.5" customHeight="1" x14ac:dyDescent="0.35">
      <c r="A1" s="88" t="s">
        <v>129</v>
      </c>
      <c r="B1" s="89"/>
      <c r="C1" s="89"/>
      <c r="D1" s="89"/>
      <c r="E1" s="89"/>
      <c r="F1" s="89"/>
      <c r="G1" s="89"/>
      <c r="H1" s="89"/>
      <c r="I1" s="89"/>
      <c r="J1" s="89"/>
      <c r="K1" s="89"/>
      <c r="L1" s="89"/>
      <c r="M1" s="89"/>
      <c r="N1" s="89"/>
      <c r="O1" s="89"/>
      <c r="P1" s="89"/>
      <c r="Q1" s="89"/>
      <c r="R1" s="89"/>
      <c r="S1" s="89"/>
      <c r="T1" s="89"/>
      <c r="U1" s="89"/>
      <c r="V1" s="89"/>
      <c r="W1" s="89"/>
      <c r="X1" s="89"/>
      <c r="Y1" s="250"/>
      <c r="Z1" s="89"/>
      <c r="AA1" s="285"/>
      <c r="AB1" s="89"/>
      <c r="AC1" s="89"/>
    </row>
    <row r="2" spans="1:41" ht="21" customHeight="1" x14ac:dyDescent="0.3">
      <c r="A2" s="244" t="s">
        <v>433</v>
      </c>
      <c r="D2" s="86"/>
      <c r="E2" s="86"/>
      <c r="F2" s="86"/>
      <c r="G2" s="86"/>
      <c r="H2" s="86"/>
      <c r="I2" s="283"/>
      <c r="J2" s="86"/>
      <c r="K2" s="86" t="s">
        <v>51</v>
      </c>
      <c r="L2" s="86"/>
      <c r="M2" s="86"/>
      <c r="N2" s="86"/>
      <c r="O2" s="86"/>
      <c r="P2" s="86"/>
      <c r="Q2" s="86"/>
      <c r="R2" s="86"/>
      <c r="S2" s="86"/>
      <c r="T2" s="86"/>
      <c r="U2" s="86"/>
      <c r="V2" s="86"/>
      <c r="W2" s="86"/>
      <c r="X2" s="86"/>
      <c r="Y2" s="86"/>
      <c r="Z2" s="86"/>
      <c r="AA2" s="86"/>
      <c r="AB2" s="86"/>
      <c r="AC2" s="86"/>
    </row>
    <row r="3" spans="1:41" ht="8.25" customHeight="1" x14ac:dyDescent="0.3"/>
    <row r="4" spans="1:41" ht="8.25" customHeight="1" x14ac:dyDescent="0.3"/>
    <row r="5" spans="1:41" s="86" customFormat="1" ht="21" customHeight="1" x14ac:dyDescent="0.3">
      <c r="A5" s="90" t="s">
        <v>52</v>
      </c>
      <c r="B5" s="90" t="s">
        <v>301</v>
      </c>
      <c r="C5" s="91"/>
      <c r="D5" s="90"/>
      <c r="E5" s="90"/>
      <c r="F5" s="90"/>
      <c r="G5" s="90"/>
      <c r="H5" s="90"/>
      <c r="I5" s="90"/>
      <c r="J5" s="90"/>
      <c r="K5" s="165"/>
      <c r="L5" s="268"/>
      <c r="M5" s="90"/>
      <c r="N5" s="90"/>
      <c r="O5" s="92"/>
      <c r="P5" s="92"/>
      <c r="Q5" s="92"/>
      <c r="R5" s="92"/>
      <c r="S5" s="90"/>
      <c r="T5" s="90"/>
      <c r="U5" s="90"/>
      <c r="V5" s="90"/>
      <c r="W5" s="90"/>
      <c r="X5" s="90"/>
      <c r="Y5" s="90"/>
      <c r="Z5" s="90"/>
      <c r="AA5" s="90"/>
      <c r="AB5" s="90"/>
      <c r="AC5" s="90"/>
      <c r="AF5" s="156"/>
      <c r="AI5" s="875"/>
      <c r="AJ5" s="875"/>
    </row>
    <row r="6" spans="1:41" s="86" customFormat="1" ht="21" customHeight="1" x14ac:dyDescent="0.3">
      <c r="A6" s="90" t="s">
        <v>54</v>
      </c>
      <c r="B6" s="90"/>
      <c r="C6" s="91"/>
      <c r="D6" s="90"/>
      <c r="E6" s="90"/>
      <c r="F6" s="90"/>
      <c r="G6" s="90"/>
      <c r="H6" s="90"/>
      <c r="I6" s="90"/>
      <c r="J6" s="90"/>
      <c r="K6" s="165" t="s">
        <v>55</v>
      </c>
      <c r="L6" s="90"/>
      <c r="M6" s="90"/>
      <c r="N6" s="90"/>
      <c r="O6" s="90"/>
      <c r="P6" s="90"/>
      <c r="Q6" s="90"/>
      <c r="R6" s="90"/>
      <c r="S6" s="90"/>
      <c r="T6" s="90"/>
      <c r="U6" s="90"/>
      <c r="V6" s="90"/>
      <c r="W6" s="90"/>
      <c r="X6" s="90"/>
      <c r="Y6" s="90"/>
      <c r="Z6" s="90"/>
      <c r="AA6" s="90"/>
      <c r="AB6" s="90"/>
      <c r="AC6" s="90"/>
      <c r="AF6" s="156"/>
      <c r="AI6" s="156"/>
      <c r="AJ6" s="156"/>
    </row>
    <row r="7" spans="1:41" ht="12.75" customHeight="1" x14ac:dyDescent="0.3">
      <c r="A7" s="88"/>
      <c r="I7" s="93"/>
      <c r="L7" s="5"/>
      <c r="M7" s="93"/>
      <c r="AE7" s="86"/>
      <c r="AK7" s="2" t="s">
        <v>418</v>
      </c>
    </row>
    <row r="8" spans="1:41" ht="14.25" customHeight="1" x14ac:dyDescent="0.3">
      <c r="O8" s="94">
        <f t="shared" ref="O8:S8" si="0">+YEAR(O11)</f>
        <v>2025</v>
      </c>
      <c r="P8" s="94">
        <f t="shared" si="0"/>
        <v>2025</v>
      </c>
      <c r="Q8" s="94">
        <f t="shared" si="0"/>
        <v>2025</v>
      </c>
      <c r="R8" s="94">
        <f t="shared" si="0"/>
        <v>2025</v>
      </c>
      <c r="S8" s="94">
        <f t="shared" si="0"/>
        <v>2025</v>
      </c>
    </row>
    <row r="9" spans="1:41" s="95" customFormat="1" ht="18.75" customHeight="1" x14ac:dyDescent="0.25">
      <c r="A9" s="1238" t="s">
        <v>56</v>
      </c>
      <c r="B9" s="1238" t="s">
        <v>57</v>
      </c>
      <c r="C9" s="1238" t="s">
        <v>58</v>
      </c>
      <c r="D9" s="1241" t="s">
        <v>59</v>
      </c>
      <c r="F9" s="1241" t="s">
        <v>60</v>
      </c>
      <c r="H9" s="1244" t="str">
        <f>+A2</f>
        <v>MES DE ENERO DEL 2025</v>
      </c>
      <c r="I9" s="1245"/>
      <c r="K9" s="1237" t="s">
        <v>434</v>
      </c>
      <c r="L9" s="1237" t="s">
        <v>39</v>
      </c>
      <c r="M9" s="1237" t="s">
        <v>40</v>
      </c>
      <c r="O9" s="1258" t="s">
        <v>0</v>
      </c>
      <c r="P9" s="1258"/>
      <c r="Q9" s="1258"/>
      <c r="R9" s="1258"/>
      <c r="S9" s="1258"/>
      <c r="U9" s="1231" t="s">
        <v>41</v>
      </c>
      <c r="V9" s="1232"/>
      <c r="W9" s="1233"/>
      <c r="Y9" s="1231" t="s">
        <v>1</v>
      </c>
      <c r="Z9" s="1232"/>
      <c r="AA9" s="1232"/>
      <c r="AB9" s="1232"/>
      <c r="AC9" s="1233"/>
      <c r="AE9" s="1241" t="s">
        <v>435</v>
      </c>
      <c r="AF9" s="153"/>
      <c r="AG9" s="2"/>
      <c r="AH9" s="1259" t="s">
        <v>30</v>
      </c>
      <c r="AI9" s="1251" t="s">
        <v>342</v>
      </c>
      <c r="AJ9" s="1251" t="s">
        <v>35</v>
      </c>
      <c r="AK9" s="1248">
        <v>45597</v>
      </c>
      <c r="AL9" s="1248">
        <v>45627</v>
      </c>
      <c r="AM9" s="1248">
        <v>45658</v>
      </c>
      <c r="AN9" s="1248">
        <v>45689</v>
      </c>
      <c r="AO9" s="1248">
        <v>45717</v>
      </c>
    </row>
    <row r="10" spans="1:41" s="95" customFormat="1" ht="18.75" x14ac:dyDescent="0.25">
      <c r="A10" s="1239"/>
      <c r="B10" s="1239"/>
      <c r="C10" s="1239"/>
      <c r="D10" s="1242"/>
      <c r="F10" s="1242"/>
      <c r="H10" s="1246"/>
      <c r="I10" s="1247"/>
      <c r="K10" s="1237"/>
      <c r="L10" s="1237"/>
      <c r="M10" s="1237"/>
      <c r="O10" s="309">
        <v>4</v>
      </c>
      <c r="P10" s="309">
        <f>+O10+1</f>
        <v>5</v>
      </c>
      <c r="Q10" s="309">
        <f t="shared" ref="Q10:S10" si="1">+P10+1</f>
        <v>6</v>
      </c>
      <c r="R10" s="309">
        <f t="shared" si="1"/>
        <v>7</v>
      </c>
      <c r="S10" s="309">
        <f t="shared" si="1"/>
        <v>8</v>
      </c>
      <c r="U10" s="1234"/>
      <c r="V10" s="1235"/>
      <c r="W10" s="1236"/>
      <c r="Y10" s="1234"/>
      <c r="Z10" s="1235"/>
      <c r="AA10" s="1235"/>
      <c r="AB10" s="1235"/>
      <c r="AC10" s="1236"/>
      <c r="AE10" s="1243"/>
      <c r="AF10" s="153"/>
      <c r="AG10" s="2"/>
      <c r="AH10" s="1260"/>
      <c r="AI10" s="1252"/>
      <c r="AJ10" s="1252"/>
      <c r="AK10" s="1249"/>
      <c r="AL10" s="1249"/>
      <c r="AM10" s="1249"/>
      <c r="AN10" s="1249"/>
      <c r="AO10" s="1249"/>
    </row>
    <row r="11" spans="1:41" s="97" customFormat="1" ht="37.5" x14ac:dyDescent="0.25">
      <c r="A11" s="1240"/>
      <c r="B11" s="1240"/>
      <c r="C11" s="1240"/>
      <c r="D11" s="1243"/>
      <c r="E11" s="95"/>
      <c r="F11" s="1240"/>
      <c r="H11" s="246" t="s">
        <v>4</v>
      </c>
      <c r="I11" s="246" t="s">
        <v>5</v>
      </c>
      <c r="J11" s="95"/>
      <c r="K11" s="1237"/>
      <c r="L11" s="1237"/>
      <c r="M11" s="1237"/>
      <c r="N11" s="95"/>
      <c r="O11" s="247">
        <v>45689</v>
      </c>
      <c r="P11" s="247">
        <f t="shared" ref="P11:S11" si="2">+O11+31</f>
        <v>45720</v>
      </c>
      <c r="Q11" s="247">
        <f t="shared" si="2"/>
        <v>45751</v>
      </c>
      <c r="R11" s="247">
        <f t="shared" si="2"/>
        <v>45782</v>
      </c>
      <c r="S11" s="247">
        <f t="shared" si="2"/>
        <v>45813</v>
      </c>
      <c r="U11" s="246">
        <v>2025</v>
      </c>
      <c r="V11" s="1112">
        <f>+U11+1</f>
        <v>2026</v>
      </c>
      <c r="W11" s="1112">
        <f>+V11+1</f>
        <v>2027</v>
      </c>
      <c r="Y11" s="246" t="s">
        <v>6</v>
      </c>
      <c r="Z11" s="246" t="s">
        <v>7</v>
      </c>
      <c r="AA11" s="246" t="s">
        <v>36</v>
      </c>
      <c r="AB11" s="248" t="s">
        <v>125</v>
      </c>
      <c r="AC11" s="246" t="s">
        <v>8</v>
      </c>
      <c r="AE11" s="248" t="s">
        <v>436</v>
      </c>
      <c r="AF11" s="154"/>
      <c r="AG11" s="95"/>
      <c r="AH11" s="1261"/>
      <c r="AI11" s="1253"/>
      <c r="AJ11" s="1253"/>
      <c r="AK11" s="1250"/>
      <c r="AL11" s="1250"/>
      <c r="AM11" s="1250"/>
      <c r="AN11" s="1250"/>
      <c r="AO11" s="1250"/>
    </row>
    <row r="12" spans="1:41" s="97" customFormat="1" ht="26.25" customHeight="1" x14ac:dyDescent="0.25">
      <c r="A12" s="955">
        <v>100</v>
      </c>
      <c r="B12" s="99" t="s">
        <v>345</v>
      </c>
      <c r="C12" s="956"/>
      <c r="D12" s="957"/>
      <c r="E12" s="95"/>
      <c r="F12" s="123"/>
      <c r="G12" s="123"/>
      <c r="H12" s="123"/>
      <c r="I12" s="1003"/>
      <c r="J12" s="123"/>
      <c r="K12" s="123"/>
      <c r="L12" s="123"/>
      <c r="M12" s="123"/>
      <c r="N12" s="95"/>
      <c r="O12" s="1004"/>
      <c r="P12" s="1004"/>
      <c r="Q12" s="1004"/>
      <c r="R12" s="1004"/>
      <c r="S12" s="1004"/>
      <c r="U12" s="123"/>
      <c r="V12" s="123"/>
      <c r="W12" s="123"/>
      <c r="X12" s="123"/>
      <c r="Y12" s="123"/>
      <c r="Z12" s="123"/>
      <c r="AA12" s="123"/>
      <c r="AB12" s="123"/>
      <c r="AC12" s="123"/>
      <c r="AD12" s="123"/>
      <c r="AE12" s="123"/>
      <c r="AF12" s="123"/>
      <c r="AH12" s="59"/>
      <c r="AI12" s="958"/>
      <c r="AJ12" s="958"/>
      <c r="AK12" s="59"/>
      <c r="AL12" s="59"/>
      <c r="AM12" s="59"/>
      <c r="AN12" s="59"/>
      <c r="AO12" s="59"/>
    </row>
    <row r="13" spans="1:41" s="967" customFormat="1" ht="18.75" x14ac:dyDescent="0.25">
      <c r="A13" s="959">
        <v>1</v>
      </c>
      <c r="B13" s="960"/>
      <c r="C13" s="961" t="s">
        <v>29</v>
      </c>
      <c r="D13" s="962"/>
      <c r="E13" s="923"/>
      <c r="F13" s="963">
        <f>AI13</f>
        <v>0</v>
      </c>
      <c r="G13" s="964"/>
      <c r="H13" s="963"/>
      <c r="I13" s="998">
        <f>AJ13</f>
        <v>0</v>
      </c>
      <c r="J13" s="964"/>
      <c r="K13" s="963">
        <f>+I13+AE13</f>
        <v>0</v>
      </c>
      <c r="L13" s="963">
        <f>+K13+F13</f>
        <v>0</v>
      </c>
      <c r="M13" s="963">
        <f>+D13-L13</f>
        <v>0</v>
      </c>
      <c r="N13" s="923"/>
      <c r="O13" s="963">
        <f>+O$12*$M13</f>
        <v>0</v>
      </c>
      <c r="P13" s="998">
        <f t="shared" ref="P13:S18" si="3">+P$12*$M13</f>
        <v>0</v>
      </c>
      <c r="Q13" s="998">
        <f t="shared" si="3"/>
        <v>0</v>
      </c>
      <c r="R13" s="998">
        <f t="shared" si="3"/>
        <v>0</v>
      </c>
      <c r="S13" s="998">
        <f t="shared" si="3"/>
        <v>0</v>
      </c>
      <c r="T13" s="922"/>
      <c r="U13" s="963">
        <f>+SUMIFS(O13:S13,O$8:S$8,$U$11)</f>
        <v>0</v>
      </c>
      <c r="V13" s="963">
        <f t="shared" ref="V13" si="4">+SUMIFS(O13:S13,O$8:S$8,$V$11)</f>
        <v>0</v>
      </c>
      <c r="W13" s="963">
        <f>+SUMIFS(O13:S13,O$8:S$8,$W$11)</f>
        <v>0</v>
      </c>
      <c r="X13" s="964"/>
      <c r="Y13" s="963">
        <f>+L13+M13</f>
        <v>0</v>
      </c>
      <c r="Z13" s="963"/>
      <c r="AA13" s="963"/>
      <c r="AB13" s="963"/>
      <c r="AC13" s="963"/>
      <c r="AD13" s="964"/>
      <c r="AE13" s="963"/>
      <c r="AF13" s="965"/>
      <c r="AG13" s="966"/>
      <c r="AH13" s="963">
        <f>SUM(AK13:AO13)</f>
        <v>0</v>
      </c>
      <c r="AI13" s="963">
        <f>SUM(AK13:AL13)</f>
        <v>0</v>
      </c>
      <c r="AJ13" s="963">
        <f>+AM13</f>
        <v>0</v>
      </c>
      <c r="AK13" s="963"/>
      <c r="AL13" s="963"/>
      <c r="AM13" s="963"/>
      <c r="AN13" s="963"/>
      <c r="AO13" s="963"/>
    </row>
    <row r="14" spans="1:41" s="967" customFormat="1" ht="21" customHeight="1" x14ac:dyDescent="0.25">
      <c r="A14" s="968">
        <v>2</v>
      </c>
      <c r="B14" s="969"/>
      <c r="C14" s="1033" t="s">
        <v>29</v>
      </c>
      <c r="D14" s="971"/>
      <c r="E14" s="923"/>
      <c r="F14" s="972">
        <f>AI14</f>
        <v>0</v>
      </c>
      <c r="G14" s="964"/>
      <c r="H14" s="972"/>
      <c r="I14" s="998">
        <f t="shared" ref="I14:I18" si="5">AJ14</f>
        <v>0</v>
      </c>
      <c r="J14" s="964"/>
      <c r="K14" s="972">
        <f>+I14+AE14</f>
        <v>0</v>
      </c>
      <c r="L14" s="972">
        <f>+K14+F14</f>
        <v>0</v>
      </c>
      <c r="M14" s="972">
        <f>+D14-L14</f>
        <v>0</v>
      </c>
      <c r="N14" s="923"/>
      <c r="O14" s="972">
        <f t="shared" ref="O14:O18" si="6">+O$12*$M14</f>
        <v>0</v>
      </c>
      <c r="P14" s="972">
        <f t="shared" si="3"/>
        <v>0</v>
      </c>
      <c r="Q14" s="972">
        <f t="shared" si="3"/>
        <v>0</v>
      </c>
      <c r="R14" s="972">
        <f t="shared" si="3"/>
        <v>0</v>
      </c>
      <c r="S14" s="972">
        <f t="shared" si="3"/>
        <v>0</v>
      </c>
      <c r="T14" s="922"/>
      <c r="U14" s="972">
        <f t="shared" ref="U14:U18" si="7">+SUMIFS(O14:S14,O$8:S$8,$U$11)</f>
        <v>0</v>
      </c>
      <c r="V14" s="972">
        <f t="shared" ref="V14:V18" si="8">+SUMIFS(O14:S14,O$8:S$8,$V$11)</f>
        <v>0</v>
      </c>
      <c r="W14" s="972">
        <f t="shared" ref="W14:W18" si="9">+SUMIFS(O14:S14,O$8:S$8,$W$11)</f>
        <v>0</v>
      </c>
      <c r="X14" s="964"/>
      <c r="Y14" s="998">
        <f>+L14+M14</f>
        <v>0</v>
      </c>
      <c r="Z14" s="972"/>
      <c r="AA14" s="972"/>
      <c r="AB14" s="972"/>
      <c r="AC14" s="972"/>
      <c r="AD14" s="964"/>
      <c r="AE14" s="972"/>
      <c r="AF14" s="965"/>
      <c r="AG14" s="973"/>
      <c r="AH14" s="972">
        <f>SUM(AK14:AO14)</f>
        <v>0</v>
      </c>
      <c r="AI14" s="972">
        <f>SUM(AK14:AL14)</f>
        <v>0</v>
      </c>
      <c r="AJ14" s="972">
        <f>+AM14</f>
        <v>0</v>
      </c>
      <c r="AK14" s="972"/>
      <c r="AL14" s="972"/>
      <c r="AM14" s="972"/>
      <c r="AN14" s="972"/>
      <c r="AO14" s="972"/>
    </row>
    <row r="15" spans="1:41" s="979" customFormat="1" ht="18.75" x14ac:dyDescent="0.25">
      <c r="A15" s="974">
        <v>3</v>
      </c>
      <c r="B15" s="975"/>
      <c r="C15" s="1033" t="s">
        <v>29</v>
      </c>
      <c r="D15" s="971"/>
      <c r="E15" s="923"/>
      <c r="F15" s="972">
        <f t="shared" ref="F15:F18" si="10">AI15</f>
        <v>0</v>
      </c>
      <c r="G15" s="976"/>
      <c r="H15" s="972"/>
      <c r="I15" s="998">
        <f t="shared" si="5"/>
        <v>0</v>
      </c>
      <c r="J15" s="976"/>
      <c r="K15" s="972">
        <f t="shared" ref="K15:K18" si="11">+I15+AE15</f>
        <v>0</v>
      </c>
      <c r="L15" s="972">
        <f t="shared" ref="L15:L18" si="12">+K15+F15</f>
        <v>0</v>
      </c>
      <c r="M15" s="972">
        <f t="shared" ref="M15:M18" si="13">+D15-L15</f>
        <v>0</v>
      </c>
      <c r="N15" s="95"/>
      <c r="O15" s="972">
        <f t="shared" si="6"/>
        <v>0</v>
      </c>
      <c r="P15" s="972">
        <f t="shared" si="3"/>
        <v>0</v>
      </c>
      <c r="Q15" s="972">
        <f t="shared" si="3"/>
        <v>0</v>
      </c>
      <c r="R15" s="972">
        <f t="shared" si="3"/>
        <v>0</v>
      </c>
      <c r="S15" s="972">
        <f t="shared" si="3"/>
        <v>0</v>
      </c>
      <c r="T15" s="874"/>
      <c r="U15" s="972">
        <f t="shared" si="7"/>
        <v>0</v>
      </c>
      <c r="V15" s="972">
        <f t="shared" si="8"/>
        <v>0</v>
      </c>
      <c r="W15" s="972">
        <f t="shared" si="9"/>
        <v>0</v>
      </c>
      <c r="X15" s="976"/>
      <c r="Y15" s="998">
        <f t="shared" ref="Y15:Y18" si="14">+L15+M15</f>
        <v>0</v>
      </c>
      <c r="Z15" s="972"/>
      <c r="AA15" s="972"/>
      <c r="AB15" s="972"/>
      <c r="AC15" s="972"/>
      <c r="AD15" s="976"/>
      <c r="AE15" s="972"/>
      <c r="AF15" s="977"/>
      <c r="AG15" s="978"/>
      <c r="AH15" s="972">
        <f t="shared" ref="AH15:AH18" si="15">SUM(AK15:AO15)</f>
        <v>0</v>
      </c>
      <c r="AI15" s="972">
        <f t="shared" ref="AI15:AI18" si="16">SUM(AK15:AL15)</f>
        <v>0</v>
      </c>
      <c r="AJ15" s="972">
        <f t="shared" ref="AJ15:AJ18" si="17">+AM15</f>
        <v>0</v>
      </c>
      <c r="AK15" s="972"/>
      <c r="AL15" s="972"/>
      <c r="AM15" s="972"/>
      <c r="AN15" s="972"/>
      <c r="AO15" s="972"/>
    </row>
    <row r="16" spans="1:41" s="979" customFormat="1" ht="21" customHeight="1" x14ac:dyDescent="0.25">
      <c r="A16" s="980">
        <v>4</v>
      </c>
      <c r="B16" s="981"/>
      <c r="C16" s="1033" t="s">
        <v>29</v>
      </c>
      <c r="D16" s="971"/>
      <c r="E16" s="923"/>
      <c r="F16" s="972">
        <f t="shared" si="10"/>
        <v>0</v>
      </c>
      <c r="G16" s="976"/>
      <c r="H16" s="972"/>
      <c r="I16" s="998">
        <f t="shared" si="5"/>
        <v>0</v>
      </c>
      <c r="J16" s="976"/>
      <c r="K16" s="972">
        <f t="shared" si="11"/>
        <v>0</v>
      </c>
      <c r="L16" s="972">
        <f t="shared" si="12"/>
        <v>0</v>
      </c>
      <c r="M16" s="972">
        <f t="shared" si="13"/>
        <v>0</v>
      </c>
      <c r="N16" s="95"/>
      <c r="O16" s="972">
        <f t="shared" si="6"/>
        <v>0</v>
      </c>
      <c r="P16" s="972">
        <f t="shared" si="3"/>
        <v>0</v>
      </c>
      <c r="Q16" s="972">
        <f t="shared" si="3"/>
        <v>0</v>
      </c>
      <c r="R16" s="972">
        <f t="shared" si="3"/>
        <v>0</v>
      </c>
      <c r="S16" s="972">
        <f t="shared" si="3"/>
        <v>0</v>
      </c>
      <c r="T16" s="874"/>
      <c r="U16" s="972">
        <f t="shared" si="7"/>
        <v>0</v>
      </c>
      <c r="V16" s="972">
        <f t="shared" si="8"/>
        <v>0</v>
      </c>
      <c r="W16" s="972">
        <f t="shared" si="9"/>
        <v>0</v>
      </c>
      <c r="X16" s="976"/>
      <c r="Y16" s="998">
        <f t="shared" si="14"/>
        <v>0</v>
      </c>
      <c r="Z16" s="972"/>
      <c r="AA16" s="972"/>
      <c r="AB16" s="972"/>
      <c r="AC16" s="972"/>
      <c r="AD16" s="976"/>
      <c r="AE16" s="972"/>
      <c r="AF16" s="977"/>
      <c r="AG16" s="978"/>
      <c r="AH16" s="972">
        <f t="shared" si="15"/>
        <v>0</v>
      </c>
      <c r="AI16" s="972">
        <f t="shared" si="16"/>
        <v>0</v>
      </c>
      <c r="AJ16" s="972">
        <f t="shared" si="17"/>
        <v>0</v>
      </c>
      <c r="AK16" s="972"/>
      <c r="AL16" s="972"/>
      <c r="AM16" s="972"/>
      <c r="AN16" s="972"/>
      <c r="AO16" s="972"/>
    </row>
    <row r="17" spans="1:47" s="967" customFormat="1" ht="20.25" customHeight="1" x14ac:dyDescent="0.25">
      <c r="A17" s="968">
        <v>5</v>
      </c>
      <c r="B17" s="969"/>
      <c r="C17" s="1033" t="s">
        <v>29</v>
      </c>
      <c r="D17" s="971"/>
      <c r="E17" s="923"/>
      <c r="F17" s="972">
        <f t="shared" si="10"/>
        <v>0</v>
      </c>
      <c r="G17" s="964"/>
      <c r="H17" s="972"/>
      <c r="I17" s="998">
        <f t="shared" si="5"/>
        <v>0</v>
      </c>
      <c r="J17" s="964"/>
      <c r="K17" s="972">
        <f t="shared" si="11"/>
        <v>0</v>
      </c>
      <c r="L17" s="972">
        <f t="shared" si="12"/>
        <v>0</v>
      </c>
      <c r="M17" s="972">
        <f t="shared" si="13"/>
        <v>0</v>
      </c>
      <c r="N17" s="923"/>
      <c r="O17" s="972">
        <f t="shared" si="6"/>
        <v>0</v>
      </c>
      <c r="P17" s="972">
        <f t="shared" si="3"/>
        <v>0</v>
      </c>
      <c r="Q17" s="972">
        <f t="shared" si="3"/>
        <v>0</v>
      </c>
      <c r="R17" s="972">
        <f t="shared" si="3"/>
        <v>0</v>
      </c>
      <c r="S17" s="972">
        <f t="shared" si="3"/>
        <v>0</v>
      </c>
      <c r="T17" s="922"/>
      <c r="U17" s="972">
        <f t="shared" si="7"/>
        <v>0</v>
      </c>
      <c r="V17" s="972">
        <f t="shared" si="8"/>
        <v>0</v>
      </c>
      <c r="W17" s="972">
        <f t="shared" si="9"/>
        <v>0</v>
      </c>
      <c r="X17" s="964"/>
      <c r="Y17" s="998">
        <f t="shared" si="14"/>
        <v>0</v>
      </c>
      <c r="Z17" s="972"/>
      <c r="AA17" s="972"/>
      <c r="AB17" s="972"/>
      <c r="AC17" s="972"/>
      <c r="AD17" s="964"/>
      <c r="AE17" s="972"/>
      <c r="AF17" s="965"/>
      <c r="AG17" s="973"/>
      <c r="AH17" s="972">
        <f t="shared" si="15"/>
        <v>0</v>
      </c>
      <c r="AI17" s="972">
        <f t="shared" si="16"/>
        <v>0</v>
      </c>
      <c r="AJ17" s="972">
        <f t="shared" si="17"/>
        <v>0</v>
      </c>
      <c r="AK17" s="972"/>
      <c r="AL17" s="972"/>
      <c r="AM17" s="972"/>
      <c r="AN17" s="972"/>
      <c r="AO17" s="972"/>
    </row>
    <row r="18" spans="1:47" s="967" customFormat="1" ht="21" customHeight="1" x14ac:dyDescent="0.25">
      <c r="A18" s="974">
        <v>6</v>
      </c>
      <c r="B18" s="982"/>
      <c r="C18" s="1034" t="s">
        <v>29</v>
      </c>
      <c r="D18" s="984"/>
      <c r="E18" s="923"/>
      <c r="F18" s="972">
        <f t="shared" si="10"/>
        <v>0</v>
      </c>
      <c r="G18" s="1001"/>
      <c r="H18" s="996"/>
      <c r="I18" s="998">
        <f t="shared" si="5"/>
        <v>0</v>
      </c>
      <c r="J18" s="964"/>
      <c r="K18" s="994">
        <f t="shared" si="11"/>
        <v>0</v>
      </c>
      <c r="L18" s="1005">
        <f t="shared" si="12"/>
        <v>0</v>
      </c>
      <c r="M18" s="972">
        <f t="shared" si="13"/>
        <v>0</v>
      </c>
      <c r="N18" s="923"/>
      <c r="O18" s="972">
        <f t="shared" si="6"/>
        <v>0</v>
      </c>
      <c r="P18" s="972">
        <f t="shared" si="3"/>
        <v>0</v>
      </c>
      <c r="Q18" s="972">
        <f t="shared" si="3"/>
        <v>0</v>
      </c>
      <c r="R18" s="972">
        <f t="shared" si="3"/>
        <v>0</v>
      </c>
      <c r="S18" s="972">
        <f t="shared" si="3"/>
        <v>0</v>
      </c>
      <c r="T18" s="922"/>
      <c r="U18" s="972">
        <f t="shared" si="7"/>
        <v>0</v>
      </c>
      <c r="V18" s="972">
        <f t="shared" si="8"/>
        <v>0</v>
      </c>
      <c r="W18" s="972">
        <f t="shared" si="9"/>
        <v>0</v>
      </c>
      <c r="X18" s="964"/>
      <c r="Y18" s="998">
        <f t="shared" si="14"/>
        <v>0</v>
      </c>
      <c r="Z18" s="972"/>
      <c r="AA18" s="972"/>
      <c r="AB18" s="972"/>
      <c r="AC18" s="972"/>
      <c r="AD18" s="964"/>
      <c r="AE18" s="972"/>
      <c r="AF18" s="965"/>
      <c r="AG18" s="973"/>
      <c r="AH18" s="972">
        <f t="shared" si="15"/>
        <v>0</v>
      </c>
      <c r="AI18" s="972">
        <f t="shared" si="16"/>
        <v>0</v>
      </c>
      <c r="AJ18" s="972">
        <f t="shared" si="17"/>
        <v>0</v>
      </c>
      <c r="AK18" s="972"/>
      <c r="AL18" s="972"/>
      <c r="AM18" s="972"/>
      <c r="AN18" s="972"/>
      <c r="AO18" s="972"/>
    </row>
    <row r="19" spans="1:47" s="88" customFormat="1" ht="21" customHeight="1" x14ac:dyDescent="0.3">
      <c r="A19" s="1256" t="str">
        <f>+"TOTAL FASE  "&amp;A12&amp;" : "&amp;B12</f>
        <v>TOTAL FASE  100 : OBRAS PRELIMINARES</v>
      </c>
      <c r="B19" s="1257"/>
      <c r="C19" s="954"/>
      <c r="D19" s="160" t="s">
        <v>29</v>
      </c>
      <c r="E19" s="995"/>
      <c r="F19" s="473">
        <f>SUM(F13:F18)</f>
        <v>0</v>
      </c>
      <c r="G19" s="1002"/>
      <c r="H19" s="473">
        <f>SUM(H13:H18)</f>
        <v>0</v>
      </c>
      <c r="I19" s="473">
        <f>SUM(I13:I18)</f>
        <v>0</v>
      </c>
      <c r="J19" s="474"/>
      <c r="K19" s="480">
        <f>+I19+AE19</f>
        <v>0</v>
      </c>
      <c r="L19" s="473">
        <f>+K19+F19</f>
        <v>0</v>
      </c>
      <c r="M19" s="473">
        <f>SUM(M13:M18)</f>
        <v>0</v>
      </c>
      <c r="N19" s="986"/>
      <c r="O19" s="480">
        <f t="shared" ref="O19:S19" si="18">SUM(O13:O18)</f>
        <v>0</v>
      </c>
      <c r="P19" s="473">
        <f t="shared" si="18"/>
        <v>0</v>
      </c>
      <c r="Q19" s="473">
        <f t="shared" si="18"/>
        <v>0</v>
      </c>
      <c r="R19" s="473">
        <f t="shared" si="18"/>
        <v>0</v>
      </c>
      <c r="S19" s="473">
        <f t="shared" si="18"/>
        <v>0</v>
      </c>
      <c r="T19" s="987"/>
      <c r="U19" s="480">
        <f t="shared" ref="U19" si="19">SUM(U13:U18)</f>
        <v>0</v>
      </c>
      <c r="V19" s="473">
        <f t="shared" ref="V19" si="20">SUM(V13:V18)</f>
        <v>0</v>
      </c>
      <c r="W19" s="473">
        <f t="shared" ref="W19" si="21">SUM(W13:W18)</f>
        <v>0</v>
      </c>
      <c r="X19" s="474"/>
      <c r="Y19" s="480">
        <f t="shared" ref="Y19" si="22">SUM(Y13:Y18)</f>
        <v>0</v>
      </c>
      <c r="Z19" s="473">
        <f t="shared" ref="Z19" si="23">SUM(Z13:Z18)</f>
        <v>0</v>
      </c>
      <c r="AA19" s="473">
        <f t="shared" ref="AA19" si="24">SUM(AA13:AA18)</f>
        <v>0</v>
      </c>
      <c r="AB19" s="473">
        <f t="shared" ref="AB19" si="25">SUM(AB13:AB18)</f>
        <v>0</v>
      </c>
      <c r="AC19" s="473">
        <f t="shared" ref="AC19:AE19" si="26">SUM(AC13:AC18)</f>
        <v>0</v>
      </c>
      <c r="AD19" s="474"/>
      <c r="AE19" s="480">
        <f t="shared" si="26"/>
        <v>0</v>
      </c>
      <c r="AF19" s="522"/>
      <c r="AG19" s="474"/>
      <c r="AH19" s="985">
        <f t="shared" ref="AH13:AH19" si="27">SUM(AI19:AO19)</f>
        <v>0</v>
      </c>
      <c r="AI19" s="985">
        <f t="shared" ref="AI19:AJ19" si="28">SUM(AJ19:AP19)</f>
        <v>0</v>
      </c>
      <c r="AJ19" s="985">
        <f t="shared" si="28"/>
        <v>0</v>
      </c>
      <c r="AK19" s="985">
        <f>SUM(AK13:AK18)</f>
        <v>0</v>
      </c>
      <c r="AL19" s="985">
        <f t="shared" ref="AL19:AO19" si="29">SUM(AL13:AL18)</f>
        <v>0</v>
      </c>
      <c r="AM19" s="985">
        <f t="shared" si="29"/>
        <v>0</v>
      </c>
      <c r="AN19" s="985">
        <f t="shared" si="29"/>
        <v>0</v>
      </c>
      <c r="AO19" s="985">
        <f t="shared" si="29"/>
        <v>0</v>
      </c>
    </row>
    <row r="20" spans="1:47" s="910" customFormat="1" ht="21" customHeight="1" x14ac:dyDescent="0.3">
      <c r="A20" s="98">
        <v>200</v>
      </c>
      <c r="B20" s="102" t="s">
        <v>325</v>
      </c>
      <c r="C20" s="102"/>
      <c r="D20" s="93"/>
      <c r="E20" s="95"/>
      <c r="F20" s="174"/>
      <c r="G20" s="174"/>
      <c r="H20" s="174"/>
      <c r="I20" s="174"/>
      <c r="J20" s="174"/>
      <c r="K20" s="174"/>
      <c r="L20" s="279"/>
      <c r="M20" s="174"/>
      <c r="N20" s="95"/>
      <c r="O20" s="174"/>
      <c r="P20" s="174"/>
      <c r="Q20" s="174"/>
      <c r="R20" s="174"/>
      <c r="S20" s="174"/>
      <c r="T20" s="97"/>
      <c r="U20" s="174"/>
      <c r="V20" s="174"/>
      <c r="W20" s="174"/>
      <c r="X20" s="174"/>
      <c r="Y20" s="282"/>
      <c r="Z20" s="174"/>
      <c r="AA20" s="174"/>
      <c r="AB20" s="174"/>
      <c r="AC20" s="174"/>
      <c r="AD20" s="174"/>
      <c r="AE20" s="174" t="e">
        <f>+AE22+AE24+#REF!+#REF!</f>
        <v>#REF!</v>
      </c>
      <c r="AF20" s="279"/>
      <c r="AG20" s="87"/>
      <c r="AH20" s="87"/>
      <c r="AI20" s="279"/>
      <c r="AJ20" s="279"/>
      <c r="AK20" s="87"/>
      <c r="AL20" s="87"/>
      <c r="AM20" s="87"/>
      <c r="AN20" s="87"/>
      <c r="AO20" s="87"/>
      <c r="AP20" s="2"/>
      <c r="AQ20" s="2"/>
      <c r="AR20" s="2"/>
      <c r="AS20" s="2"/>
      <c r="AT20" s="2"/>
      <c r="AU20" s="2"/>
    </row>
    <row r="21" spans="1:47" ht="20.25" customHeight="1" outlineLevel="1" x14ac:dyDescent="0.3">
      <c r="A21" s="959">
        <v>1</v>
      </c>
      <c r="B21" s="960"/>
      <c r="C21" s="1033" t="s">
        <v>29</v>
      </c>
      <c r="D21" s="962"/>
      <c r="E21" s="95"/>
      <c r="F21" s="963">
        <f t="shared" ref="F21:F26" si="30">AI21</f>
        <v>0</v>
      </c>
      <c r="G21" s="865"/>
      <c r="H21" s="963"/>
      <c r="I21" s="963">
        <f t="shared" ref="I21:I26" si="31">AJ21</f>
        <v>0</v>
      </c>
      <c r="J21" s="865"/>
      <c r="K21" s="963">
        <f t="shared" ref="K21:K26" si="32">+I21+AE21</f>
        <v>0</v>
      </c>
      <c r="L21" s="963">
        <f t="shared" ref="L21:L24" si="33">+K21+F21</f>
        <v>0</v>
      </c>
      <c r="M21" s="963">
        <f>+D21-L21</f>
        <v>0</v>
      </c>
      <c r="N21" s="95"/>
      <c r="O21" s="963">
        <f>+O$20*$M21</f>
        <v>0</v>
      </c>
      <c r="P21" s="963">
        <f t="shared" ref="P21:S21" si="34">+P$20*$M21</f>
        <v>0</v>
      </c>
      <c r="Q21" s="963">
        <f t="shared" si="34"/>
        <v>0</v>
      </c>
      <c r="R21" s="963">
        <f t="shared" si="34"/>
        <v>0</v>
      </c>
      <c r="S21" s="963">
        <f t="shared" si="34"/>
        <v>0</v>
      </c>
      <c r="T21" s="922"/>
      <c r="U21" s="963">
        <f t="shared" ref="U21:U26" si="35">+SUMIFS(O21:S21,O$8:S$8,$U$11)</f>
        <v>0</v>
      </c>
      <c r="V21" s="963">
        <f t="shared" ref="V21:V26" si="36">+SUMIFS(O21:S21,O$8:S$8,$V$11)</f>
        <v>0</v>
      </c>
      <c r="W21" s="963">
        <f t="shared" ref="W21:W26" si="37">+SUMIFS(P21:T21,P$8:T$8,$W$11)</f>
        <v>0</v>
      </c>
      <c r="X21" s="925"/>
      <c r="Y21" s="963">
        <f>+L21+M21</f>
        <v>0</v>
      </c>
      <c r="Z21" s="963"/>
      <c r="AA21" s="963"/>
      <c r="AB21" s="963"/>
      <c r="AC21" s="963"/>
      <c r="AD21" s="925"/>
      <c r="AE21" s="963"/>
      <c r="AF21" s="917"/>
      <c r="AG21" s="912"/>
      <c r="AH21" s="963">
        <f t="shared" ref="AH21:AH26" si="38">SUM(AK21:AO21)</f>
        <v>0</v>
      </c>
      <c r="AI21" s="963">
        <f t="shared" ref="AI21:AI26" si="39">SUM(AK21:AL21)</f>
        <v>0</v>
      </c>
      <c r="AJ21" s="963">
        <f t="shared" ref="AJ21:AJ26" si="40">+AM21</f>
        <v>0</v>
      </c>
      <c r="AK21" s="963"/>
      <c r="AL21" s="963"/>
      <c r="AM21" s="963"/>
      <c r="AN21" s="963"/>
      <c r="AO21" s="963"/>
      <c r="AP21" s="910"/>
      <c r="AQ21" s="910"/>
      <c r="AR21" s="910"/>
      <c r="AS21" s="910"/>
      <c r="AT21" s="910"/>
      <c r="AU21" s="910"/>
    </row>
    <row r="22" spans="1:47" ht="21" customHeight="1" outlineLevel="1" x14ac:dyDescent="0.3">
      <c r="A22" s="968">
        <v>2</v>
      </c>
      <c r="B22" s="969"/>
      <c r="C22" s="1033" t="s">
        <v>29</v>
      </c>
      <c r="D22" s="971"/>
      <c r="E22" s="95"/>
      <c r="F22" s="972">
        <f t="shared" si="30"/>
        <v>0</v>
      </c>
      <c r="G22" s="865"/>
      <c r="H22" s="972"/>
      <c r="I22" s="998">
        <f t="shared" si="31"/>
        <v>0</v>
      </c>
      <c r="J22" s="865"/>
      <c r="K22" s="972">
        <f t="shared" si="32"/>
        <v>0</v>
      </c>
      <c r="L22" s="972">
        <f t="shared" si="33"/>
        <v>0</v>
      </c>
      <c r="M22" s="972">
        <f>+D22-L22</f>
        <v>0</v>
      </c>
      <c r="N22" s="95"/>
      <c r="O22" s="972">
        <f t="shared" ref="O22:S26" si="41">+O$20*$M22</f>
        <v>0</v>
      </c>
      <c r="P22" s="972">
        <f t="shared" si="41"/>
        <v>0</v>
      </c>
      <c r="Q22" s="972">
        <f t="shared" si="41"/>
        <v>0</v>
      </c>
      <c r="R22" s="972">
        <f t="shared" si="41"/>
        <v>0</v>
      </c>
      <c r="S22" s="972">
        <f t="shared" si="41"/>
        <v>0</v>
      </c>
      <c r="T22" s="922"/>
      <c r="U22" s="972">
        <f t="shared" si="35"/>
        <v>0</v>
      </c>
      <c r="V22" s="972">
        <f t="shared" si="36"/>
        <v>0</v>
      </c>
      <c r="W22" s="972">
        <f t="shared" si="37"/>
        <v>0</v>
      </c>
      <c r="X22" s="925"/>
      <c r="Y22" s="998">
        <f>+L22+M22</f>
        <v>0</v>
      </c>
      <c r="Z22" s="972"/>
      <c r="AA22" s="972"/>
      <c r="AB22" s="972"/>
      <c r="AC22" s="972"/>
      <c r="AD22" s="925"/>
      <c r="AE22" s="972"/>
      <c r="AF22" s="917"/>
      <c r="AG22" s="912"/>
      <c r="AH22" s="972">
        <f t="shared" si="38"/>
        <v>0</v>
      </c>
      <c r="AI22" s="972">
        <f t="shared" si="39"/>
        <v>0</v>
      </c>
      <c r="AJ22" s="972">
        <f t="shared" si="40"/>
        <v>0</v>
      </c>
      <c r="AK22" s="972"/>
      <c r="AL22" s="972"/>
      <c r="AM22" s="972"/>
      <c r="AN22" s="972"/>
      <c r="AO22" s="972"/>
      <c r="AP22" s="910"/>
      <c r="AQ22" s="910"/>
      <c r="AR22" s="910"/>
      <c r="AS22" s="910"/>
      <c r="AT22" s="910"/>
      <c r="AU22" s="910"/>
    </row>
    <row r="23" spans="1:47" ht="18.600000000000001" customHeight="1" outlineLevel="1" x14ac:dyDescent="0.3">
      <c r="A23" s="974">
        <v>3</v>
      </c>
      <c r="B23" s="975"/>
      <c r="C23" s="1033" t="s">
        <v>29</v>
      </c>
      <c r="D23" s="971"/>
      <c r="E23" s="95"/>
      <c r="F23" s="972">
        <f t="shared" si="30"/>
        <v>0</v>
      </c>
      <c r="G23" s="865"/>
      <c r="H23" s="972"/>
      <c r="I23" s="998">
        <f t="shared" si="31"/>
        <v>0</v>
      </c>
      <c r="J23" s="865"/>
      <c r="K23" s="972">
        <f t="shared" si="32"/>
        <v>0</v>
      </c>
      <c r="L23" s="972">
        <f t="shared" si="33"/>
        <v>0</v>
      </c>
      <c r="M23" s="972">
        <f t="shared" ref="M23:M26" si="42">+D23-L23</f>
        <v>0</v>
      </c>
      <c r="N23" s="95"/>
      <c r="O23" s="972">
        <f t="shared" si="41"/>
        <v>0</v>
      </c>
      <c r="P23" s="972">
        <f t="shared" si="41"/>
        <v>0</v>
      </c>
      <c r="Q23" s="972">
        <f t="shared" si="41"/>
        <v>0</v>
      </c>
      <c r="R23" s="972">
        <f t="shared" si="41"/>
        <v>0</v>
      </c>
      <c r="S23" s="972">
        <f t="shared" si="41"/>
        <v>0</v>
      </c>
      <c r="T23" s="922"/>
      <c r="U23" s="972">
        <f t="shared" si="35"/>
        <v>0</v>
      </c>
      <c r="V23" s="972">
        <f t="shared" si="36"/>
        <v>0</v>
      </c>
      <c r="W23" s="972">
        <f t="shared" si="37"/>
        <v>0</v>
      </c>
      <c r="X23" s="925"/>
      <c r="Y23" s="998">
        <f t="shared" ref="Y23:Y26" si="43">+L23+M23</f>
        <v>0</v>
      </c>
      <c r="Z23" s="972"/>
      <c r="AA23" s="972"/>
      <c r="AB23" s="972"/>
      <c r="AC23" s="972"/>
      <c r="AD23" s="925"/>
      <c r="AE23" s="972"/>
      <c r="AF23" s="917"/>
      <c r="AG23" s="912"/>
      <c r="AH23" s="972">
        <f t="shared" si="38"/>
        <v>0</v>
      </c>
      <c r="AI23" s="972">
        <f t="shared" si="39"/>
        <v>0</v>
      </c>
      <c r="AJ23" s="972">
        <f t="shared" si="40"/>
        <v>0</v>
      </c>
      <c r="AK23" s="972"/>
      <c r="AL23" s="972"/>
      <c r="AM23" s="972"/>
      <c r="AN23" s="972"/>
      <c r="AO23" s="972"/>
      <c r="AP23" s="910"/>
      <c r="AQ23" s="910"/>
      <c r="AR23" s="910"/>
      <c r="AS23" s="910"/>
      <c r="AT23" s="910"/>
      <c r="AU23" s="910"/>
    </row>
    <row r="24" spans="1:47" ht="21" customHeight="1" outlineLevel="1" x14ac:dyDescent="0.3">
      <c r="A24" s="980">
        <v>4</v>
      </c>
      <c r="B24" s="981"/>
      <c r="C24" s="1033" t="s">
        <v>29</v>
      </c>
      <c r="D24" s="971"/>
      <c r="E24" s="95"/>
      <c r="F24" s="972">
        <f t="shared" si="30"/>
        <v>0</v>
      </c>
      <c r="G24" s="865"/>
      <c r="H24" s="972"/>
      <c r="I24" s="998">
        <f t="shared" si="31"/>
        <v>0</v>
      </c>
      <c r="J24" s="865"/>
      <c r="K24" s="972">
        <f t="shared" si="32"/>
        <v>0</v>
      </c>
      <c r="L24" s="972">
        <f t="shared" si="33"/>
        <v>0</v>
      </c>
      <c r="M24" s="972">
        <f t="shared" si="42"/>
        <v>0</v>
      </c>
      <c r="N24" s="95"/>
      <c r="O24" s="972">
        <f t="shared" si="41"/>
        <v>0</v>
      </c>
      <c r="P24" s="972">
        <f t="shared" si="41"/>
        <v>0</v>
      </c>
      <c r="Q24" s="972">
        <f t="shared" si="41"/>
        <v>0</v>
      </c>
      <c r="R24" s="972">
        <f t="shared" si="41"/>
        <v>0</v>
      </c>
      <c r="S24" s="972">
        <f t="shared" si="41"/>
        <v>0</v>
      </c>
      <c r="T24" s="922"/>
      <c r="U24" s="972">
        <f t="shared" si="35"/>
        <v>0</v>
      </c>
      <c r="V24" s="972">
        <f t="shared" si="36"/>
        <v>0</v>
      </c>
      <c r="W24" s="972">
        <f t="shared" si="37"/>
        <v>0</v>
      </c>
      <c r="X24" s="925"/>
      <c r="Y24" s="998">
        <f t="shared" si="43"/>
        <v>0</v>
      </c>
      <c r="Z24" s="972"/>
      <c r="AA24" s="972"/>
      <c r="AB24" s="972"/>
      <c r="AC24" s="972"/>
      <c r="AD24" s="925"/>
      <c r="AE24" s="972"/>
      <c r="AF24" s="917"/>
      <c r="AG24" s="912"/>
      <c r="AH24" s="972">
        <f t="shared" si="38"/>
        <v>0</v>
      </c>
      <c r="AI24" s="972">
        <f t="shared" si="39"/>
        <v>0</v>
      </c>
      <c r="AJ24" s="972">
        <f t="shared" si="40"/>
        <v>0</v>
      </c>
      <c r="AK24" s="972"/>
      <c r="AL24" s="972"/>
      <c r="AM24" s="972"/>
      <c r="AN24" s="972"/>
      <c r="AO24" s="972"/>
      <c r="AP24" s="910"/>
      <c r="AQ24" s="910"/>
      <c r="AR24" s="910"/>
      <c r="AS24" s="910"/>
      <c r="AT24" s="910"/>
      <c r="AU24" s="910"/>
    </row>
    <row r="25" spans="1:47" ht="17.25" customHeight="1" x14ac:dyDescent="0.3">
      <c r="A25" s="968">
        <v>5</v>
      </c>
      <c r="B25" s="969"/>
      <c r="C25" s="1033" t="s">
        <v>29</v>
      </c>
      <c r="D25" s="971"/>
      <c r="E25" s="95"/>
      <c r="F25" s="972">
        <f t="shared" si="30"/>
        <v>0</v>
      </c>
      <c r="G25" s="865"/>
      <c r="H25" s="972"/>
      <c r="I25" s="998">
        <f t="shared" si="31"/>
        <v>0</v>
      </c>
      <c r="J25" s="865"/>
      <c r="K25" s="972">
        <f t="shared" si="32"/>
        <v>0</v>
      </c>
      <c r="L25" s="972">
        <f>+K25+F25</f>
        <v>0</v>
      </c>
      <c r="M25" s="972">
        <f t="shared" si="42"/>
        <v>0</v>
      </c>
      <c r="N25" s="95"/>
      <c r="O25" s="972">
        <f t="shared" si="41"/>
        <v>0</v>
      </c>
      <c r="P25" s="972">
        <f t="shared" si="41"/>
        <v>0</v>
      </c>
      <c r="Q25" s="972">
        <f t="shared" si="41"/>
        <v>0</v>
      </c>
      <c r="R25" s="972">
        <f t="shared" si="41"/>
        <v>0</v>
      </c>
      <c r="S25" s="972">
        <f t="shared" si="41"/>
        <v>0</v>
      </c>
      <c r="T25" s="922"/>
      <c r="U25" s="972">
        <f t="shared" si="35"/>
        <v>0</v>
      </c>
      <c r="V25" s="972">
        <f t="shared" si="36"/>
        <v>0</v>
      </c>
      <c r="W25" s="972">
        <f t="shared" si="37"/>
        <v>0</v>
      </c>
      <c r="X25" s="925"/>
      <c r="Y25" s="998">
        <f t="shared" si="43"/>
        <v>0</v>
      </c>
      <c r="Z25" s="972"/>
      <c r="AA25" s="972"/>
      <c r="AB25" s="972"/>
      <c r="AC25" s="972"/>
      <c r="AD25" s="925"/>
      <c r="AE25" s="972"/>
      <c r="AF25" s="917"/>
      <c r="AG25" s="912"/>
      <c r="AH25" s="972">
        <f t="shared" si="38"/>
        <v>0</v>
      </c>
      <c r="AI25" s="972">
        <f t="shared" si="39"/>
        <v>0</v>
      </c>
      <c r="AJ25" s="972">
        <f t="shared" si="40"/>
        <v>0</v>
      </c>
      <c r="AK25" s="972"/>
      <c r="AL25" s="972"/>
      <c r="AM25" s="972"/>
      <c r="AN25" s="972"/>
      <c r="AO25" s="972"/>
      <c r="AP25" s="910"/>
      <c r="AQ25" s="910"/>
      <c r="AR25" s="910"/>
      <c r="AS25" s="910"/>
      <c r="AT25" s="910"/>
      <c r="AU25" s="910"/>
    </row>
    <row r="26" spans="1:47" s="88" customFormat="1" ht="21" customHeight="1" x14ac:dyDescent="0.3">
      <c r="A26" s="974">
        <v>6</v>
      </c>
      <c r="B26" s="982"/>
      <c r="C26" s="1033" t="s">
        <v>29</v>
      </c>
      <c r="D26" s="984"/>
      <c r="E26" s="997"/>
      <c r="F26" s="996">
        <f t="shared" si="30"/>
        <v>0</v>
      </c>
      <c r="G26" s="865"/>
      <c r="H26" s="972"/>
      <c r="I26" s="998">
        <f t="shared" si="31"/>
        <v>0</v>
      </c>
      <c r="J26" s="865"/>
      <c r="K26" s="994">
        <f t="shared" si="32"/>
        <v>0</v>
      </c>
      <c r="L26" s="1005">
        <f>+K26+F26</f>
        <v>0</v>
      </c>
      <c r="M26" s="972">
        <f t="shared" si="42"/>
        <v>0</v>
      </c>
      <c r="N26" s="95"/>
      <c r="O26" s="972">
        <f t="shared" si="41"/>
        <v>0</v>
      </c>
      <c r="P26" s="972">
        <f t="shared" si="41"/>
        <v>0</v>
      </c>
      <c r="Q26" s="972">
        <f t="shared" si="41"/>
        <v>0</v>
      </c>
      <c r="R26" s="972">
        <f t="shared" si="41"/>
        <v>0</v>
      </c>
      <c r="S26" s="972">
        <f t="shared" si="41"/>
        <v>0</v>
      </c>
      <c r="T26" s="922"/>
      <c r="U26" s="972">
        <f t="shared" si="35"/>
        <v>0</v>
      </c>
      <c r="V26" s="972">
        <f t="shared" si="36"/>
        <v>0</v>
      </c>
      <c r="W26" s="972">
        <f t="shared" si="37"/>
        <v>0</v>
      </c>
      <c r="X26" s="925"/>
      <c r="Y26" s="998">
        <f t="shared" si="43"/>
        <v>0</v>
      </c>
      <c r="Z26" s="972"/>
      <c r="AA26" s="972"/>
      <c r="AB26" s="972"/>
      <c r="AC26" s="972"/>
      <c r="AD26" s="925"/>
      <c r="AE26" s="972"/>
      <c r="AF26" s="917"/>
      <c r="AG26" s="912"/>
      <c r="AH26" s="994">
        <f t="shared" si="38"/>
        <v>0</v>
      </c>
      <c r="AI26" s="994">
        <f t="shared" si="39"/>
        <v>0</v>
      </c>
      <c r="AJ26" s="994">
        <f t="shared" si="40"/>
        <v>0</v>
      </c>
      <c r="AK26" s="972"/>
      <c r="AL26" s="972"/>
      <c r="AM26" s="972"/>
      <c r="AN26" s="972"/>
      <c r="AO26" s="972"/>
      <c r="AP26" s="910"/>
      <c r="AQ26" s="910"/>
      <c r="AR26" s="910"/>
      <c r="AS26" s="910"/>
      <c r="AT26" s="910"/>
      <c r="AU26" s="910"/>
    </row>
    <row r="27" spans="1:47" s="987" customFormat="1" ht="21" customHeight="1" x14ac:dyDescent="0.3">
      <c r="A27" s="1254" t="str">
        <f>+"TOTAL FASE  "&amp;A20&amp;" : "&amp;B20</f>
        <v xml:space="preserve">TOTAL FASE  200 : MOVIMIENTO DE TIERRAS </v>
      </c>
      <c r="B27" s="1255"/>
      <c r="C27" s="988"/>
      <c r="D27" s="990" t="s">
        <v>29</v>
      </c>
      <c r="E27" s="995"/>
      <c r="F27" s="473">
        <f>SUM(F21:F26)</f>
        <v>0</v>
      </c>
      <c r="G27" s="992"/>
      <c r="H27" s="480">
        <f>SUM(H21:H26)</f>
        <v>0</v>
      </c>
      <c r="I27" s="480">
        <f>SUM(I21:I26)</f>
        <v>0</v>
      </c>
      <c r="J27" s="992"/>
      <c r="K27" s="993">
        <f>+SUMIF($A21:$A26,$D27,K21:K26)</f>
        <v>0</v>
      </c>
      <c r="L27" s="993">
        <f>+SUMIF($A21:$A26,$D27,L21:L26)</f>
        <v>0</v>
      </c>
      <c r="M27" s="993">
        <f>SUM(M21:M26)</f>
        <v>0</v>
      </c>
      <c r="N27" s="986"/>
      <c r="O27" s="480">
        <f t="shared" ref="O27" si="44">SUM(O21:O26)</f>
        <v>0</v>
      </c>
      <c r="P27" s="473">
        <f t="shared" ref="P27" si="45">SUM(P21:P26)</f>
        <v>0</v>
      </c>
      <c r="Q27" s="473">
        <f t="shared" ref="Q27" si="46">SUM(Q21:Q26)</f>
        <v>0</v>
      </c>
      <c r="R27" s="473">
        <f t="shared" ref="R27" si="47">SUM(R21:R26)</f>
        <v>0</v>
      </c>
      <c r="S27" s="473">
        <f t="shared" ref="S27" si="48">SUM(S21:S26)</f>
        <v>0</v>
      </c>
      <c r="U27" s="480">
        <f t="shared" ref="U27" si="49">SUM(U21:U26)</f>
        <v>0</v>
      </c>
      <c r="V27" s="473">
        <f t="shared" ref="V27" si="50">SUM(V21:V26)</f>
        <v>0</v>
      </c>
      <c r="W27" s="473">
        <f t="shared" ref="W27" si="51">SUM(W21:W26)</f>
        <v>0</v>
      </c>
      <c r="X27" s="992"/>
      <c r="Y27" s="480">
        <f t="shared" ref="Y27" si="52">SUM(Y21:Y26)</f>
        <v>0</v>
      </c>
      <c r="Z27" s="473">
        <f t="shared" ref="Z27" si="53">SUM(Z21:Z26)</f>
        <v>0</v>
      </c>
      <c r="AA27" s="473">
        <f t="shared" ref="AA27" si="54">SUM(AA21:AA26)</f>
        <v>0</v>
      </c>
      <c r="AB27" s="473">
        <f t="shared" ref="AB27" si="55">SUM(AB21:AB26)</f>
        <v>0</v>
      </c>
      <c r="AC27" s="473">
        <f t="shared" ref="AC27" si="56">SUM(AC21:AC26)</f>
        <v>0</v>
      </c>
      <c r="AD27" s="992"/>
      <c r="AE27" s="480">
        <f t="shared" ref="AE27" si="57">SUM(AE21:AE26)</f>
        <v>0</v>
      </c>
      <c r="AF27" s="989"/>
      <c r="AG27" s="992"/>
      <c r="AH27" s="985">
        <f t="shared" ref="AH21:AH27" si="58">SUM(AI27:AO27)</f>
        <v>0</v>
      </c>
      <c r="AI27" s="985">
        <f t="shared" ref="AI27" si="59">SUM(AJ27:AP27)</f>
        <v>0</v>
      </c>
      <c r="AJ27" s="985">
        <f t="shared" ref="AJ27" si="60">SUM(AK27:AQ27)</f>
        <v>0</v>
      </c>
      <c r="AK27" s="985">
        <f>SUM(AK21:AK26)</f>
        <v>0</v>
      </c>
      <c r="AL27" s="985">
        <f t="shared" ref="AL27:AO27" si="61">SUM(AL21:AL26)</f>
        <v>0</v>
      </c>
      <c r="AM27" s="985">
        <f t="shared" si="61"/>
        <v>0</v>
      </c>
      <c r="AN27" s="985">
        <f t="shared" si="61"/>
        <v>0</v>
      </c>
      <c r="AO27" s="985">
        <f t="shared" si="61"/>
        <v>0</v>
      </c>
    </row>
    <row r="28" spans="1:47" ht="21" customHeight="1" x14ac:dyDescent="0.3">
      <c r="A28" s="98">
        <v>300</v>
      </c>
      <c r="B28" s="102" t="s">
        <v>326</v>
      </c>
      <c r="C28" s="102"/>
      <c r="D28" s="93"/>
      <c r="E28" s="95"/>
      <c r="F28" s="174"/>
      <c r="G28" s="174"/>
      <c r="H28" s="174"/>
      <c r="I28" s="174"/>
      <c r="J28" s="174"/>
      <c r="K28" s="174"/>
      <c r="L28" s="279"/>
      <c r="M28" s="174"/>
      <c r="N28" s="95"/>
      <c r="O28" s="174"/>
      <c r="P28" s="174"/>
      <c r="Q28" s="174"/>
      <c r="R28" s="174"/>
      <c r="S28" s="174"/>
      <c r="T28" s="97"/>
      <c r="U28" s="174"/>
      <c r="V28" s="174"/>
      <c r="W28" s="174"/>
      <c r="X28" s="174"/>
      <c r="Y28" s="282"/>
      <c r="Z28" s="174">
        <v>-118078.62716899998</v>
      </c>
      <c r="AA28" s="515"/>
      <c r="AB28" s="515"/>
      <c r="AC28" s="174"/>
      <c r="AD28" s="174"/>
      <c r="AE28" s="515"/>
      <c r="AF28" s="279"/>
      <c r="AG28" s="87"/>
      <c r="AH28" s="87"/>
      <c r="AI28" s="279"/>
      <c r="AJ28" s="279"/>
      <c r="AK28" s="87"/>
      <c r="AL28" s="87"/>
      <c r="AM28" s="87"/>
      <c r="AN28" s="87"/>
      <c r="AO28" s="87"/>
    </row>
    <row r="29" spans="1:47" ht="21" customHeight="1" x14ac:dyDescent="0.3">
      <c r="A29" s="959" t="s">
        <v>366</v>
      </c>
      <c r="B29" s="960" t="s">
        <v>367</v>
      </c>
      <c r="C29" s="1033" t="s">
        <v>29</v>
      </c>
      <c r="D29" s="1035">
        <v>9222.1578000000009</v>
      </c>
      <c r="E29" s="923"/>
      <c r="F29" s="963">
        <f t="shared" ref="F29:F37" si="62">AI29</f>
        <v>9222.1578000000009</v>
      </c>
      <c r="G29" s="925"/>
      <c r="H29" s="963"/>
      <c r="I29" s="963">
        <f>AJ29</f>
        <v>0</v>
      </c>
      <c r="J29" s="925"/>
      <c r="K29" s="963">
        <f t="shared" ref="K29:K37" si="63">+I29+AE29</f>
        <v>0</v>
      </c>
      <c r="L29" s="963">
        <f t="shared" ref="L29:L37" si="64">+K29+F29</f>
        <v>9222.1578000000009</v>
      </c>
      <c r="M29" s="963">
        <f>+D29-L29</f>
        <v>0</v>
      </c>
      <c r="N29" s="95"/>
      <c r="O29" s="963">
        <f>+O$28*$M29</f>
        <v>0</v>
      </c>
      <c r="P29" s="963">
        <f t="shared" ref="P29:S29" si="65">+P$28*$M29</f>
        <v>0</v>
      </c>
      <c r="Q29" s="963">
        <f t="shared" si="65"/>
        <v>0</v>
      </c>
      <c r="R29" s="963">
        <f t="shared" si="65"/>
        <v>0</v>
      </c>
      <c r="S29" s="963">
        <f t="shared" si="65"/>
        <v>0</v>
      </c>
      <c r="T29" s="922"/>
      <c r="U29" s="963">
        <f t="shared" ref="U29:U37" si="66">+SUMIFS(O29:S29,O$8:S$8,$U$11)</f>
        <v>0</v>
      </c>
      <c r="V29" s="963">
        <f t="shared" ref="V29:V37" si="67">+SUMIFS(O29:S29,O$8:S$8,$V$11)</f>
        <v>0</v>
      </c>
      <c r="W29" s="963">
        <f t="shared" ref="W29:W37" si="68">+SUMIFS(P29:T29,P$8:T$8,$W$11)</f>
        <v>0</v>
      </c>
      <c r="X29" s="925"/>
      <c r="Y29" s="963">
        <f>+L29+M29</f>
        <v>9222.1578000000009</v>
      </c>
      <c r="Z29" s="963"/>
      <c r="AA29" s="963"/>
      <c r="AB29" s="963"/>
      <c r="AC29" s="963"/>
      <c r="AD29" s="925"/>
      <c r="AE29" s="963"/>
      <c r="AF29" s="917"/>
      <c r="AG29" s="912"/>
      <c r="AH29" s="963">
        <f t="shared" ref="AH29:AH37" si="69">SUM(AK29:AO29)</f>
        <v>9222.1578000000009</v>
      </c>
      <c r="AI29" s="963">
        <f t="shared" ref="AI29:AI37" si="70">SUM(AK29:AL29)</f>
        <v>9222.1578000000009</v>
      </c>
      <c r="AJ29" s="963">
        <f t="shared" ref="AJ29:AJ37" si="71">+AM29</f>
        <v>0</v>
      </c>
      <c r="AK29" s="963">
        <v>9222.1578000000009</v>
      </c>
      <c r="AL29" s="963"/>
      <c r="AM29" s="963"/>
      <c r="AN29" s="963"/>
      <c r="AO29" s="963"/>
      <c r="AP29" s="910"/>
      <c r="AQ29" s="910"/>
      <c r="AR29" s="910"/>
      <c r="AS29" s="910"/>
      <c r="AT29" s="910"/>
      <c r="AU29" s="910"/>
    </row>
    <row r="30" spans="1:47" ht="21" customHeight="1" x14ac:dyDescent="0.3">
      <c r="A30" s="968" t="s">
        <v>368</v>
      </c>
      <c r="B30" s="969" t="s">
        <v>369</v>
      </c>
      <c r="C30" s="1033" t="s">
        <v>29</v>
      </c>
      <c r="D30" s="1036">
        <v>2476.6866600000003</v>
      </c>
      <c r="E30" s="923"/>
      <c r="F30" s="972">
        <f t="shared" si="62"/>
        <v>0</v>
      </c>
      <c r="G30" s="925"/>
      <c r="H30" s="972"/>
      <c r="I30" s="998">
        <f t="shared" ref="I30:I37" si="72">AJ30</f>
        <v>988.24</v>
      </c>
      <c r="J30" s="925"/>
      <c r="K30" s="972">
        <f t="shared" si="63"/>
        <v>988.24</v>
      </c>
      <c r="L30" s="972">
        <f t="shared" si="64"/>
        <v>988.24</v>
      </c>
      <c r="M30" s="972">
        <f>+D30-L30</f>
        <v>1488.4466600000003</v>
      </c>
      <c r="N30" s="95"/>
      <c r="O30" s="972">
        <f t="shared" ref="O30:S37" si="73">+O$28*$M30</f>
        <v>0</v>
      </c>
      <c r="P30" s="972">
        <f t="shared" si="73"/>
        <v>0</v>
      </c>
      <c r="Q30" s="972">
        <f t="shared" si="73"/>
        <v>0</v>
      </c>
      <c r="R30" s="972">
        <f t="shared" si="73"/>
        <v>0</v>
      </c>
      <c r="S30" s="972">
        <f t="shared" si="73"/>
        <v>0</v>
      </c>
      <c r="T30" s="922"/>
      <c r="U30" s="972">
        <f t="shared" si="66"/>
        <v>0</v>
      </c>
      <c r="V30" s="972">
        <f t="shared" si="67"/>
        <v>0</v>
      </c>
      <c r="W30" s="972">
        <f t="shared" si="68"/>
        <v>0</v>
      </c>
      <c r="X30" s="925"/>
      <c r="Y30" s="998">
        <f>+L30+M30</f>
        <v>2476.6866600000003</v>
      </c>
      <c r="Z30" s="972"/>
      <c r="AA30" s="972"/>
      <c r="AB30" s="972"/>
      <c r="AC30" s="972"/>
      <c r="AD30" s="925"/>
      <c r="AE30" s="972"/>
      <c r="AF30" s="917"/>
      <c r="AG30" s="912"/>
      <c r="AH30" s="972">
        <f t="shared" si="69"/>
        <v>2476.6642000000002</v>
      </c>
      <c r="AI30" s="972">
        <f t="shared" si="70"/>
        <v>0</v>
      </c>
      <c r="AJ30" s="972">
        <f t="shared" si="71"/>
        <v>988.24</v>
      </c>
      <c r="AK30" s="972"/>
      <c r="AL30" s="972"/>
      <c r="AM30" s="972">
        <v>988.24</v>
      </c>
      <c r="AN30" s="972">
        <v>1488.4241999999999</v>
      </c>
      <c r="AO30" s="972"/>
      <c r="AP30" s="910"/>
      <c r="AQ30" s="910"/>
      <c r="AR30" s="910"/>
      <c r="AS30" s="910"/>
      <c r="AT30" s="910"/>
      <c r="AU30" s="910"/>
    </row>
    <row r="31" spans="1:47" ht="21" customHeight="1" x14ac:dyDescent="0.3">
      <c r="A31" s="968" t="s">
        <v>370</v>
      </c>
      <c r="B31" s="975" t="s">
        <v>371</v>
      </c>
      <c r="C31" s="1033" t="s">
        <v>29</v>
      </c>
      <c r="D31" s="1036">
        <v>71838.459000000003</v>
      </c>
      <c r="E31" s="95"/>
      <c r="F31" s="972">
        <f t="shared" si="62"/>
        <v>71838.459000000003</v>
      </c>
      <c r="G31" s="865"/>
      <c r="H31" s="972"/>
      <c r="I31" s="998">
        <f t="shared" si="72"/>
        <v>0</v>
      </c>
      <c r="J31" s="865"/>
      <c r="K31" s="972">
        <f t="shared" si="63"/>
        <v>0</v>
      </c>
      <c r="L31" s="972">
        <f t="shared" si="64"/>
        <v>71838.459000000003</v>
      </c>
      <c r="M31" s="972">
        <f t="shared" ref="M31:M36" si="74">+D31-L31</f>
        <v>0</v>
      </c>
      <c r="N31" s="95"/>
      <c r="O31" s="972">
        <f t="shared" si="73"/>
        <v>0</v>
      </c>
      <c r="P31" s="972">
        <f t="shared" si="73"/>
        <v>0</v>
      </c>
      <c r="Q31" s="972">
        <f t="shared" si="73"/>
        <v>0</v>
      </c>
      <c r="R31" s="972">
        <f t="shared" si="73"/>
        <v>0</v>
      </c>
      <c r="S31" s="972">
        <f t="shared" si="73"/>
        <v>0</v>
      </c>
      <c r="T31" s="922"/>
      <c r="U31" s="972">
        <f t="shared" si="66"/>
        <v>0</v>
      </c>
      <c r="V31" s="972">
        <f t="shared" si="67"/>
        <v>0</v>
      </c>
      <c r="W31" s="972">
        <f t="shared" si="68"/>
        <v>0</v>
      </c>
      <c r="X31" s="925"/>
      <c r="Y31" s="998">
        <f t="shared" ref="Y31:Y37" si="75">+L31+M31</f>
        <v>71838.459000000003</v>
      </c>
      <c r="Z31" s="972"/>
      <c r="AA31" s="972"/>
      <c r="AB31" s="972"/>
      <c r="AC31" s="972"/>
      <c r="AD31" s="925"/>
      <c r="AE31" s="972"/>
      <c r="AF31" s="917"/>
      <c r="AG31" s="912"/>
      <c r="AH31" s="972">
        <f t="shared" si="69"/>
        <v>71838.459000000003</v>
      </c>
      <c r="AI31" s="972">
        <f t="shared" si="70"/>
        <v>71838.459000000003</v>
      </c>
      <c r="AJ31" s="972">
        <f t="shared" si="71"/>
        <v>0</v>
      </c>
      <c r="AK31" s="972">
        <v>71838.459000000003</v>
      </c>
      <c r="AL31" s="972"/>
      <c r="AM31" s="972"/>
      <c r="AN31" s="972"/>
      <c r="AO31" s="972"/>
      <c r="AP31" s="910"/>
      <c r="AQ31" s="910"/>
      <c r="AR31" s="910"/>
      <c r="AS31" s="910"/>
      <c r="AT31" s="910"/>
      <c r="AU31" s="910"/>
    </row>
    <row r="32" spans="1:47" ht="21" customHeight="1" x14ac:dyDescent="0.3">
      <c r="A32" s="968" t="s">
        <v>370</v>
      </c>
      <c r="B32" s="975" t="s">
        <v>372</v>
      </c>
      <c r="C32" s="1033" t="s">
        <v>29</v>
      </c>
      <c r="D32" s="1036">
        <v>111463.74</v>
      </c>
      <c r="E32" s="95"/>
      <c r="F32" s="972">
        <f t="shared" si="62"/>
        <v>0</v>
      </c>
      <c r="G32" s="865"/>
      <c r="H32" s="972"/>
      <c r="I32" s="998">
        <f t="shared" si="72"/>
        <v>50000</v>
      </c>
      <c r="J32" s="865"/>
      <c r="K32" s="972">
        <f t="shared" si="63"/>
        <v>50000</v>
      </c>
      <c r="L32" s="972">
        <f t="shared" si="64"/>
        <v>50000</v>
      </c>
      <c r="M32" s="972">
        <f t="shared" si="74"/>
        <v>61463.740000000005</v>
      </c>
      <c r="N32" s="95"/>
      <c r="O32" s="972">
        <f t="shared" si="73"/>
        <v>0</v>
      </c>
      <c r="P32" s="972">
        <f t="shared" si="73"/>
        <v>0</v>
      </c>
      <c r="Q32" s="972">
        <f t="shared" si="73"/>
        <v>0</v>
      </c>
      <c r="R32" s="972">
        <f t="shared" si="73"/>
        <v>0</v>
      </c>
      <c r="S32" s="972">
        <f t="shared" si="73"/>
        <v>0</v>
      </c>
      <c r="T32" s="922"/>
      <c r="U32" s="972">
        <f t="shared" si="66"/>
        <v>0</v>
      </c>
      <c r="V32" s="972">
        <f t="shared" si="67"/>
        <v>0</v>
      </c>
      <c r="W32" s="972">
        <f t="shared" si="68"/>
        <v>0</v>
      </c>
      <c r="X32" s="925"/>
      <c r="Y32" s="998">
        <f t="shared" si="75"/>
        <v>111463.74</v>
      </c>
      <c r="Z32" s="972"/>
      <c r="AA32" s="972"/>
      <c r="AB32" s="972"/>
      <c r="AC32" s="972"/>
      <c r="AD32" s="925"/>
      <c r="AE32" s="972"/>
      <c r="AF32" s="917"/>
      <c r="AG32" s="912"/>
      <c r="AH32" s="972">
        <f t="shared" si="69"/>
        <v>111464</v>
      </c>
      <c r="AI32" s="972">
        <f t="shared" si="70"/>
        <v>0</v>
      </c>
      <c r="AJ32" s="972">
        <f t="shared" si="71"/>
        <v>50000</v>
      </c>
      <c r="AK32" s="972"/>
      <c r="AL32" s="972"/>
      <c r="AM32" s="972">
        <v>50000</v>
      </c>
      <c r="AN32" s="972">
        <v>40000</v>
      </c>
      <c r="AO32" s="972">
        <v>21464</v>
      </c>
      <c r="AP32" s="910"/>
      <c r="AQ32" s="910"/>
      <c r="AR32" s="910"/>
      <c r="AS32" s="910"/>
      <c r="AT32" s="910"/>
      <c r="AU32" s="910"/>
    </row>
    <row r="33" spans="1:47" ht="21" customHeight="1" x14ac:dyDescent="0.3">
      <c r="A33" s="968" t="s">
        <v>370</v>
      </c>
      <c r="B33" s="975" t="s">
        <v>373</v>
      </c>
      <c r="C33" s="1033" t="s">
        <v>29</v>
      </c>
      <c r="D33" s="1036">
        <v>61913.01</v>
      </c>
      <c r="E33" s="95"/>
      <c r="F33" s="972">
        <f t="shared" si="62"/>
        <v>0</v>
      </c>
      <c r="G33" s="865"/>
      <c r="H33" s="972"/>
      <c r="I33" s="998">
        <f t="shared" si="72"/>
        <v>35880</v>
      </c>
      <c r="J33" s="865"/>
      <c r="K33" s="972">
        <f t="shared" si="63"/>
        <v>35880</v>
      </c>
      <c r="L33" s="972">
        <f t="shared" si="64"/>
        <v>35880</v>
      </c>
      <c r="M33" s="972">
        <f t="shared" si="74"/>
        <v>26033.010000000002</v>
      </c>
      <c r="N33" s="95"/>
      <c r="O33" s="972">
        <f t="shared" si="73"/>
        <v>0</v>
      </c>
      <c r="P33" s="972">
        <f t="shared" si="73"/>
        <v>0</v>
      </c>
      <c r="Q33" s="972">
        <f t="shared" si="73"/>
        <v>0</v>
      </c>
      <c r="R33" s="972">
        <f t="shared" si="73"/>
        <v>0</v>
      </c>
      <c r="S33" s="972">
        <f t="shared" si="73"/>
        <v>0</v>
      </c>
      <c r="T33" s="922"/>
      <c r="U33" s="972">
        <f t="shared" si="66"/>
        <v>0</v>
      </c>
      <c r="V33" s="972">
        <f t="shared" si="67"/>
        <v>0</v>
      </c>
      <c r="W33" s="972">
        <f t="shared" si="68"/>
        <v>0</v>
      </c>
      <c r="X33" s="925"/>
      <c r="Y33" s="998">
        <f t="shared" si="75"/>
        <v>61913.01</v>
      </c>
      <c r="Z33" s="972"/>
      <c r="AA33" s="972"/>
      <c r="AB33" s="972"/>
      <c r="AC33" s="972"/>
      <c r="AD33" s="925"/>
      <c r="AE33" s="972"/>
      <c r="AF33" s="917"/>
      <c r="AG33" s="912"/>
      <c r="AH33" s="972">
        <f t="shared" si="69"/>
        <v>61913.7</v>
      </c>
      <c r="AI33" s="972">
        <f t="shared" si="70"/>
        <v>0</v>
      </c>
      <c r="AJ33" s="972">
        <f t="shared" si="71"/>
        <v>35880</v>
      </c>
      <c r="AK33" s="972"/>
      <c r="AL33" s="972"/>
      <c r="AM33" s="972">
        <v>35880</v>
      </c>
      <c r="AN33" s="972">
        <v>26033.7</v>
      </c>
      <c r="AO33" s="972"/>
      <c r="AP33" s="910"/>
      <c r="AQ33" s="910"/>
      <c r="AR33" s="910"/>
      <c r="AS33" s="910"/>
      <c r="AT33" s="910"/>
      <c r="AU33" s="910"/>
    </row>
    <row r="34" spans="1:47" ht="21" customHeight="1" x14ac:dyDescent="0.3">
      <c r="A34" s="968" t="s">
        <v>370</v>
      </c>
      <c r="B34" s="975" t="s">
        <v>374</v>
      </c>
      <c r="C34" s="1033" t="s">
        <v>29</v>
      </c>
      <c r="D34" s="1036">
        <v>477.28000000000009</v>
      </c>
      <c r="E34" s="95"/>
      <c r="F34" s="972"/>
      <c r="G34" s="865"/>
      <c r="H34" s="972"/>
      <c r="I34" s="998"/>
      <c r="J34" s="865"/>
      <c r="K34" s="972"/>
      <c r="L34" s="972"/>
      <c r="M34" s="972">
        <f t="shared" si="74"/>
        <v>477.28000000000009</v>
      </c>
      <c r="N34" s="95"/>
      <c r="O34" s="972"/>
      <c r="P34" s="972"/>
      <c r="Q34" s="972"/>
      <c r="R34" s="972"/>
      <c r="S34" s="972"/>
      <c r="T34" s="922"/>
      <c r="U34" s="972"/>
      <c r="V34" s="972"/>
      <c r="W34" s="972"/>
      <c r="X34" s="925"/>
      <c r="Y34" s="998">
        <f t="shared" si="75"/>
        <v>477.28000000000009</v>
      </c>
      <c r="Z34" s="972"/>
      <c r="AA34" s="972"/>
      <c r="AB34" s="972"/>
      <c r="AC34" s="972"/>
      <c r="AD34" s="925"/>
      <c r="AE34" s="972"/>
      <c r="AF34" s="917"/>
      <c r="AG34" s="912"/>
      <c r="AH34" s="972">
        <f t="shared" si="69"/>
        <v>477.81200000000001</v>
      </c>
      <c r="AI34" s="972">
        <f t="shared" si="70"/>
        <v>171</v>
      </c>
      <c r="AJ34" s="972">
        <f t="shared" si="71"/>
        <v>190.91200000000003</v>
      </c>
      <c r="AK34" s="972"/>
      <c r="AL34" s="972">
        <v>171</v>
      </c>
      <c r="AM34" s="972">
        <v>190.91200000000003</v>
      </c>
      <c r="AN34" s="972">
        <v>115.89999999999999</v>
      </c>
      <c r="AO34" s="972"/>
      <c r="AP34" s="910"/>
      <c r="AQ34" s="910"/>
      <c r="AR34" s="910"/>
      <c r="AS34" s="910"/>
      <c r="AT34" s="910"/>
      <c r="AU34" s="910"/>
    </row>
    <row r="35" spans="1:47" ht="21" customHeight="1" x14ac:dyDescent="0.3">
      <c r="A35" s="968"/>
      <c r="B35" s="975"/>
      <c r="C35" s="1033"/>
      <c r="D35" s="1036"/>
      <c r="E35" s="95"/>
      <c r="F35" s="972"/>
      <c r="G35" s="865"/>
      <c r="H35" s="972"/>
      <c r="I35" s="998"/>
      <c r="J35" s="865"/>
      <c r="K35" s="972"/>
      <c r="L35" s="972"/>
      <c r="M35" s="972">
        <f t="shared" si="74"/>
        <v>0</v>
      </c>
      <c r="N35" s="95"/>
      <c r="O35" s="972"/>
      <c r="P35" s="972"/>
      <c r="Q35" s="972"/>
      <c r="R35" s="972"/>
      <c r="S35" s="972"/>
      <c r="T35" s="922"/>
      <c r="U35" s="972"/>
      <c r="V35" s="972"/>
      <c r="W35" s="972"/>
      <c r="X35" s="925"/>
      <c r="Y35" s="998">
        <f t="shared" si="75"/>
        <v>0</v>
      </c>
      <c r="Z35" s="972"/>
      <c r="AA35" s="972"/>
      <c r="AB35" s="972"/>
      <c r="AC35" s="972"/>
      <c r="AD35" s="925"/>
      <c r="AE35" s="972"/>
      <c r="AF35" s="917"/>
      <c r="AG35" s="912"/>
      <c r="AH35" s="972">
        <f t="shared" si="69"/>
        <v>2891</v>
      </c>
      <c r="AI35" s="972">
        <f t="shared" si="70"/>
        <v>0</v>
      </c>
      <c r="AJ35" s="972">
        <f t="shared" si="71"/>
        <v>1846.7</v>
      </c>
      <c r="AK35" s="972"/>
      <c r="AL35" s="972"/>
      <c r="AM35" s="972">
        <v>1846.7</v>
      </c>
      <c r="AN35" s="972">
        <v>1044.3</v>
      </c>
      <c r="AO35" s="972"/>
      <c r="AP35" s="910"/>
      <c r="AQ35" s="910"/>
      <c r="AR35" s="910"/>
      <c r="AS35" s="910"/>
      <c r="AT35" s="910"/>
      <c r="AU35" s="910"/>
    </row>
    <row r="36" spans="1:47" ht="21" customHeight="1" x14ac:dyDescent="0.3">
      <c r="A36" s="968"/>
      <c r="B36" s="975"/>
      <c r="C36" s="1033"/>
      <c r="D36" s="1036"/>
      <c r="E36" s="95"/>
      <c r="F36" s="972"/>
      <c r="G36" s="865"/>
      <c r="H36" s="972"/>
      <c r="I36" s="998"/>
      <c r="J36" s="865"/>
      <c r="K36" s="972"/>
      <c r="L36" s="972"/>
      <c r="M36" s="972">
        <f t="shared" si="74"/>
        <v>0</v>
      </c>
      <c r="N36" s="95"/>
      <c r="O36" s="972"/>
      <c r="P36" s="972"/>
      <c r="Q36" s="972"/>
      <c r="R36" s="972"/>
      <c r="S36" s="972"/>
      <c r="T36" s="922"/>
      <c r="U36" s="972"/>
      <c r="V36" s="972"/>
      <c r="W36" s="972"/>
      <c r="X36" s="925"/>
      <c r="Y36" s="998">
        <f t="shared" si="75"/>
        <v>0</v>
      </c>
      <c r="Z36" s="972"/>
      <c r="AA36" s="972"/>
      <c r="AB36" s="972"/>
      <c r="AC36" s="972"/>
      <c r="AD36" s="925"/>
      <c r="AE36" s="972"/>
      <c r="AF36" s="917"/>
      <c r="AG36" s="912"/>
      <c r="AH36" s="972">
        <f t="shared" si="69"/>
        <v>11249.031000000001</v>
      </c>
      <c r="AI36" s="972">
        <f t="shared" si="70"/>
        <v>0</v>
      </c>
      <c r="AJ36" s="972">
        <f t="shared" si="71"/>
        <v>7050</v>
      </c>
      <c r="AK36" s="972"/>
      <c r="AL36" s="972"/>
      <c r="AM36" s="972">
        <v>7050</v>
      </c>
      <c r="AN36" s="972">
        <v>4110</v>
      </c>
      <c r="AO36" s="972">
        <v>89.031000000000006</v>
      </c>
      <c r="AP36" s="910"/>
      <c r="AQ36" s="910"/>
      <c r="AR36" s="910"/>
      <c r="AS36" s="910"/>
      <c r="AT36" s="910"/>
      <c r="AU36" s="910"/>
    </row>
    <row r="37" spans="1:47" ht="21" customHeight="1" x14ac:dyDescent="0.3">
      <c r="A37" s="974"/>
      <c r="B37" s="975"/>
      <c r="C37" s="970"/>
      <c r="D37" s="1036"/>
      <c r="E37" s="95"/>
      <c r="F37" s="972">
        <f t="shared" si="62"/>
        <v>0</v>
      </c>
      <c r="G37" s="865"/>
      <c r="H37" s="972"/>
      <c r="I37" s="998">
        <f t="shared" si="72"/>
        <v>0</v>
      </c>
      <c r="J37" s="865"/>
      <c r="K37" s="972">
        <f t="shared" si="63"/>
        <v>0</v>
      </c>
      <c r="L37" s="972">
        <f t="shared" si="64"/>
        <v>0</v>
      </c>
      <c r="M37" s="972"/>
      <c r="N37" s="95"/>
      <c r="O37" s="972">
        <f t="shared" si="73"/>
        <v>0</v>
      </c>
      <c r="P37" s="972">
        <f t="shared" si="73"/>
        <v>0</v>
      </c>
      <c r="Q37" s="972">
        <f t="shared" si="73"/>
        <v>0</v>
      </c>
      <c r="R37" s="972">
        <f t="shared" si="73"/>
        <v>0</v>
      </c>
      <c r="S37" s="972">
        <f t="shared" si="73"/>
        <v>0</v>
      </c>
      <c r="T37" s="922"/>
      <c r="U37" s="972">
        <f t="shared" si="66"/>
        <v>0</v>
      </c>
      <c r="V37" s="972">
        <f t="shared" si="67"/>
        <v>0</v>
      </c>
      <c r="W37" s="972">
        <f t="shared" si="68"/>
        <v>0</v>
      </c>
      <c r="X37" s="925"/>
      <c r="Y37" s="998">
        <f t="shared" si="75"/>
        <v>0</v>
      </c>
      <c r="Z37" s="972"/>
      <c r="AA37" s="972"/>
      <c r="AB37" s="972"/>
      <c r="AC37" s="972"/>
      <c r="AD37" s="925"/>
      <c r="AE37" s="972"/>
      <c r="AF37" s="917"/>
      <c r="AG37" s="912"/>
      <c r="AH37" s="994">
        <f t="shared" si="69"/>
        <v>513.9</v>
      </c>
      <c r="AI37" s="994">
        <f t="shared" si="70"/>
        <v>0</v>
      </c>
      <c r="AJ37" s="994">
        <f t="shared" si="71"/>
        <v>0</v>
      </c>
      <c r="AK37" s="994"/>
      <c r="AL37" s="994"/>
      <c r="AM37" s="994"/>
      <c r="AN37" s="994"/>
      <c r="AO37" s="994">
        <v>513.9</v>
      </c>
      <c r="AP37" s="910"/>
      <c r="AQ37" s="910"/>
      <c r="AR37" s="910"/>
      <c r="AS37" s="910"/>
      <c r="AT37" s="910"/>
      <c r="AU37" s="910"/>
    </row>
    <row r="38" spans="1:47" s="987" customFormat="1" ht="21" customHeight="1" x14ac:dyDescent="0.3">
      <c r="A38" s="1254" t="str">
        <f>+"TOTAL FASE  "&amp;A28&amp;" : "&amp;B28</f>
        <v xml:space="preserve">TOTAL FASE  300 : CONCRETO </v>
      </c>
      <c r="B38" s="1255"/>
      <c r="C38" s="988"/>
      <c r="D38" s="990" t="s">
        <v>29</v>
      </c>
      <c r="E38" s="995"/>
      <c r="F38" s="473">
        <f>SUM(F29:F37)</f>
        <v>81060.616800000003</v>
      </c>
      <c r="G38" s="992"/>
      <c r="H38" s="480">
        <f>SUM(H29:H37)</f>
        <v>0</v>
      </c>
      <c r="I38" s="480">
        <f>SUM(I29:I37)</f>
        <v>86868.239999999991</v>
      </c>
      <c r="J38" s="992"/>
      <c r="K38" s="993">
        <f>+SUMIF($A29:$A37,$D38,K29:K37)</f>
        <v>0</v>
      </c>
      <c r="L38" s="991">
        <f>+SUMIF($A29:$A37,$D38,L29:L37)</f>
        <v>0</v>
      </c>
      <c r="M38" s="991">
        <f>SUM(M29:M37)</f>
        <v>89462.476660000015</v>
      </c>
      <c r="N38" s="986"/>
      <c r="O38" s="480">
        <f t="shared" ref="O38" si="76">SUM(O29:O37)</f>
        <v>0</v>
      </c>
      <c r="P38" s="473">
        <f t="shared" ref="P38" si="77">SUM(P29:P37)</f>
        <v>0</v>
      </c>
      <c r="Q38" s="473">
        <f t="shared" ref="Q38" si="78">SUM(Q29:Q37)</f>
        <v>0</v>
      </c>
      <c r="R38" s="473">
        <f t="shared" ref="R38" si="79">SUM(R29:R37)</f>
        <v>0</v>
      </c>
      <c r="S38" s="473">
        <f t="shared" ref="S38" si="80">SUM(S29:S37)</f>
        <v>0</v>
      </c>
      <c r="U38" s="480">
        <f t="shared" ref="U38" si="81">SUM(U29:U37)</f>
        <v>0</v>
      </c>
      <c r="V38" s="473">
        <f t="shared" ref="V38" si="82">SUM(V29:V37)</f>
        <v>0</v>
      </c>
      <c r="W38" s="473">
        <f t="shared" ref="W38" si="83">SUM(W29:W37)</f>
        <v>0</v>
      </c>
      <c r="X38" s="992"/>
      <c r="Y38" s="480">
        <f t="shared" ref="Y38" si="84">SUM(Y29:Y37)</f>
        <v>257391.33346000002</v>
      </c>
      <c r="Z38" s="473">
        <f t="shared" ref="Z38" si="85">SUM(Z29:Z37)</f>
        <v>0</v>
      </c>
      <c r="AA38" s="473">
        <f t="shared" ref="AA38" si="86">SUM(AA29:AA37)</f>
        <v>0</v>
      </c>
      <c r="AB38" s="473">
        <f t="shared" ref="AB38" si="87">SUM(AB29:AB37)</f>
        <v>0</v>
      </c>
      <c r="AC38" s="473">
        <f t="shared" ref="AC38" si="88">SUM(AC29:AC37)</f>
        <v>0</v>
      </c>
      <c r="AD38" s="992"/>
      <c r="AE38" s="480">
        <f t="shared" ref="AE38" si="89">SUM(AE29:AE37)</f>
        <v>0</v>
      </c>
      <c r="AF38" s="989"/>
      <c r="AG38" s="992"/>
      <c r="AH38" s="985">
        <f t="shared" ref="AH29:AH38" si="90">SUM(AI38:AO38)</f>
        <v>1088186.8959999999</v>
      </c>
      <c r="AI38" s="985">
        <f t="shared" ref="AI38" si="91">SUM(AJ38:AP38)</f>
        <v>544093.44799999997</v>
      </c>
      <c r="AJ38" s="985">
        <f t="shared" ref="AJ38" si="92">SUM(AK38:AQ38)</f>
        <v>272046.72399999999</v>
      </c>
      <c r="AK38" s="985">
        <f>SUM(AK29:AK37)</f>
        <v>81060.616800000003</v>
      </c>
      <c r="AL38" s="985">
        <f t="shared" ref="AL38:AO38" si="93">SUM(AL29:AL37)</f>
        <v>171</v>
      </c>
      <c r="AM38" s="985">
        <f t="shared" si="93"/>
        <v>95955.851999999984</v>
      </c>
      <c r="AN38" s="985">
        <f t="shared" si="93"/>
        <v>72792.324200000003</v>
      </c>
      <c r="AO38" s="985">
        <f t="shared" si="93"/>
        <v>22066.931</v>
      </c>
    </row>
    <row r="39" spans="1:47" ht="21" customHeight="1" x14ac:dyDescent="0.3">
      <c r="A39" s="98">
        <v>400</v>
      </c>
      <c r="B39" s="102" t="s">
        <v>278</v>
      </c>
      <c r="C39" s="107"/>
      <c r="D39" s="108"/>
      <c r="E39" s="95"/>
      <c r="F39" s="174"/>
      <c r="G39" s="174"/>
      <c r="H39" s="174"/>
      <c r="I39" s="282"/>
      <c r="J39" s="174"/>
      <c r="K39" s="174"/>
      <c r="L39" s="279"/>
      <c r="M39" s="174"/>
      <c r="N39" s="95"/>
      <c r="O39" s="174"/>
      <c r="P39" s="174"/>
      <c r="Q39" s="174"/>
      <c r="R39" s="174"/>
      <c r="S39" s="174"/>
      <c r="T39" s="97"/>
      <c r="U39" s="87"/>
      <c r="V39" s="87"/>
      <c r="W39" s="87"/>
      <c r="X39" s="174"/>
      <c r="Y39" s="282"/>
      <c r="Z39" s="174"/>
      <c r="AA39" s="282"/>
      <c r="AB39" s="282"/>
      <c r="AC39" s="174"/>
      <c r="AD39" s="174"/>
      <c r="AE39" s="282"/>
      <c r="AF39" s="279"/>
      <c r="AG39" s="87"/>
      <c r="AH39" s="87"/>
      <c r="AI39" s="279"/>
      <c r="AJ39" s="279"/>
      <c r="AK39" s="87"/>
      <c r="AL39" s="87"/>
      <c r="AM39" s="87"/>
      <c r="AN39" s="87"/>
      <c r="AO39" s="87"/>
    </row>
    <row r="40" spans="1:47" ht="21" customHeight="1" x14ac:dyDescent="0.3">
      <c r="A40" s="959" t="s">
        <v>377</v>
      </c>
      <c r="B40" s="960" t="s">
        <v>378</v>
      </c>
      <c r="C40" s="1033" t="s">
        <v>29</v>
      </c>
      <c r="D40" s="1035">
        <v>1537</v>
      </c>
      <c r="E40" s="95"/>
      <c r="F40" s="963">
        <f t="shared" ref="F40:F45" si="94">AI40</f>
        <v>999.05</v>
      </c>
      <c r="G40" s="865"/>
      <c r="H40" s="963"/>
      <c r="I40" s="963">
        <f t="shared" ref="I40:I45" si="95">AJ40</f>
        <v>307.39999999999998</v>
      </c>
      <c r="J40" s="865"/>
      <c r="K40" s="963">
        <f t="shared" ref="K40:K45" si="96">+I40+AE40</f>
        <v>307.39999999999998</v>
      </c>
      <c r="L40" s="963">
        <f t="shared" ref="L40:L45" si="97">+K40+F40</f>
        <v>1306.4499999999998</v>
      </c>
      <c r="M40" s="963">
        <f>+D40-L40</f>
        <v>230.55000000000018</v>
      </c>
      <c r="N40" s="95"/>
      <c r="O40" s="963">
        <f>+O$39*$M40</f>
        <v>0</v>
      </c>
      <c r="P40" s="963">
        <f t="shared" ref="P40:S40" si="98">+P$39*$M40</f>
        <v>0</v>
      </c>
      <c r="Q40" s="963">
        <f t="shared" si="98"/>
        <v>0</v>
      </c>
      <c r="R40" s="963">
        <f t="shared" si="98"/>
        <v>0</v>
      </c>
      <c r="S40" s="963">
        <f t="shared" si="98"/>
        <v>0</v>
      </c>
      <c r="T40" s="866"/>
      <c r="U40" s="963">
        <f t="shared" ref="U40:U45" si="99">+SUMIFS(O40:S40,O$8:S$8,$U$11)</f>
        <v>0</v>
      </c>
      <c r="V40" s="963">
        <f t="shared" ref="V40:V45" si="100">+SUMIFS(O40:S40,O$8:S$8,$V$11)</f>
        <v>0</v>
      </c>
      <c r="W40" s="963">
        <f t="shared" ref="W40:W45" si="101">+SUMIFS(P40:T40,P$8:T$8,$W$11)</f>
        <v>0</v>
      </c>
      <c r="X40" s="865"/>
      <c r="Y40" s="963">
        <f>+L40+M40</f>
        <v>1537</v>
      </c>
      <c r="Z40" s="963"/>
      <c r="AA40" s="963"/>
      <c r="AB40" s="963"/>
      <c r="AC40" s="963"/>
      <c r="AD40" s="865"/>
      <c r="AE40" s="963"/>
      <c r="AF40" s="859"/>
      <c r="AG40" s="858"/>
      <c r="AH40" s="963">
        <f t="shared" ref="AH40:AH45" si="102">SUM(AK40:AO40)</f>
        <v>1536.9999999999998</v>
      </c>
      <c r="AI40" s="963">
        <f t="shared" ref="AI40:AI45" si="103">SUM(AK40:AL40)</f>
        <v>999.05</v>
      </c>
      <c r="AJ40" s="963">
        <f t="shared" ref="AJ40:AJ45" si="104">+AM40</f>
        <v>307.39999999999998</v>
      </c>
      <c r="AK40" s="963">
        <v>614.79999999999995</v>
      </c>
      <c r="AL40" s="963">
        <v>384.25</v>
      </c>
      <c r="AM40" s="963">
        <v>307.39999999999998</v>
      </c>
      <c r="AN40" s="963">
        <v>230.54999999999998</v>
      </c>
      <c r="AO40" s="963"/>
      <c r="AP40" s="856"/>
      <c r="AQ40" s="856"/>
      <c r="AR40" s="856"/>
      <c r="AS40" s="856"/>
      <c r="AT40" s="856"/>
      <c r="AU40" s="856"/>
    </row>
    <row r="41" spans="1:47" ht="21" customHeight="1" x14ac:dyDescent="0.3">
      <c r="A41" s="968" t="s">
        <v>377</v>
      </c>
      <c r="B41" s="969" t="s">
        <v>379</v>
      </c>
      <c r="C41" s="1033" t="s">
        <v>29</v>
      </c>
      <c r="D41" s="1036">
        <v>1683</v>
      </c>
      <c r="E41" s="95"/>
      <c r="F41" s="972">
        <f t="shared" si="94"/>
        <v>1093.95</v>
      </c>
      <c r="G41" s="865"/>
      <c r="H41" s="972"/>
      <c r="I41" s="998">
        <f t="shared" si="95"/>
        <v>336.6</v>
      </c>
      <c r="J41" s="865"/>
      <c r="K41" s="972">
        <f t="shared" si="96"/>
        <v>336.6</v>
      </c>
      <c r="L41" s="972">
        <f t="shared" si="97"/>
        <v>1430.5500000000002</v>
      </c>
      <c r="M41" s="972">
        <f>+D41-L41</f>
        <v>252.44999999999982</v>
      </c>
      <c r="N41" s="95"/>
      <c r="O41" s="972">
        <f t="shared" ref="O41:S45" si="105">+O$39*$M41</f>
        <v>0</v>
      </c>
      <c r="P41" s="972">
        <f t="shared" si="105"/>
        <v>0</v>
      </c>
      <c r="Q41" s="972">
        <f t="shared" si="105"/>
        <v>0</v>
      </c>
      <c r="R41" s="972">
        <f t="shared" si="105"/>
        <v>0</v>
      </c>
      <c r="S41" s="972">
        <f t="shared" si="105"/>
        <v>0</v>
      </c>
      <c r="T41" s="866"/>
      <c r="U41" s="972">
        <f t="shared" si="99"/>
        <v>0</v>
      </c>
      <c r="V41" s="972">
        <f t="shared" si="100"/>
        <v>0</v>
      </c>
      <c r="W41" s="972">
        <f t="shared" si="101"/>
        <v>0</v>
      </c>
      <c r="X41" s="865"/>
      <c r="Y41" s="998">
        <f t="shared" ref="Y41:Y45" si="106">+L41+M41</f>
        <v>1683</v>
      </c>
      <c r="Z41" s="972"/>
      <c r="AA41" s="972"/>
      <c r="AB41" s="972"/>
      <c r="AC41" s="972"/>
      <c r="AD41" s="865"/>
      <c r="AE41" s="972"/>
      <c r="AF41" s="859"/>
      <c r="AG41" s="858"/>
      <c r="AH41" s="972">
        <f t="shared" si="102"/>
        <v>1683.0000000000002</v>
      </c>
      <c r="AI41" s="972">
        <f t="shared" si="103"/>
        <v>1093.95</v>
      </c>
      <c r="AJ41" s="972">
        <f t="shared" si="104"/>
        <v>336.6</v>
      </c>
      <c r="AK41" s="972">
        <v>673.2</v>
      </c>
      <c r="AL41" s="972">
        <v>420.75</v>
      </c>
      <c r="AM41" s="972">
        <v>336.6</v>
      </c>
      <c r="AN41" s="972">
        <v>252.45000000000002</v>
      </c>
      <c r="AO41" s="972"/>
      <c r="AP41" s="856"/>
      <c r="AQ41" s="856"/>
      <c r="AR41" s="856"/>
      <c r="AS41" s="856"/>
      <c r="AT41" s="856"/>
      <c r="AU41" s="856"/>
    </row>
    <row r="42" spans="1:47" ht="21" customHeight="1" x14ac:dyDescent="0.3">
      <c r="A42" s="974" t="s">
        <v>377</v>
      </c>
      <c r="B42" s="975" t="s">
        <v>380</v>
      </c>
      <c r="C42" s="1033" t="s">
        <v>29</v>
      </c>
      <c r="D42" s="1036">
        <v>45.9</v>
      </c>
      <c r="E42" s="95"/>
      <c r="F42" s="972">
        <f t="shared" si="94"/>
        <v>29.835000000000001</v>
      </c>
      <c r="G42" s="865"/>
      <c r="H42" s="972"/>
      <c r="I42" s="998">
        <f t="shared" si="95"/>
        <v>4.59</v>
      </c>
      <c r="J42" s="865"/>
      <c r="K42" s="972">
        <f t="shared" si="96"/>
        <v>4.59</v>
      </c>
      <c r="L42" s="972">
        <f t="shared" si="97"/>
        <v>34.424999999999997</v>
      </c>
      <c r="M42" s="972">
        <f t="shared" ref="M42:M43" si="107">+D42-L42</f>
        <v>11.475000000000001</v>
      </c>
      <c r="N42" s="95"/>
      <c r="O42" s="972">
        <f t="shared" si="105"/>
        <v>0</v>
      </c>
      <c r="P42" s="972">
        <f t="shared" si="105"/>
        <v>0</v>
      </c>
      <c r="Q42" s="972">
        <f t="shared" si="105"/>
        <v>0</v>
      </c>
      <c r="R42" s="972">
        <f t="shared" si="105"/>
        <v>0</v>
      </c>
      <c r="S42" s="972">
        <f t="shared" si="105"/>
        <v>0</v>
      </c>
      <c r="T42" s="866"/>
      <c r="U42" s="972">
        <f t="shared" si="99"/>
        <v>0</v>
      </c>
      <c r="V42" s="972">
        <f t="shared" si="100"/>
        <v>0</v>
      </c>
      <c r="W42" s="972">
        <f t="shared" si="101"/>
        <v>0</v>
      </c>
      <c r="X42" s="865"/>
      <c r="Y42" s="998">
        <f t="shared" si="106"/>
        <v>45.9</v>
      </c>
      <c r="Z42" s="972"/>
      <c r="AA42" s="972"/>
      <c r="AB42" s="972"/>
      <c r="AC42" s="972"/>
      <c r="AD42" s="865"/>
      <c r="AE42" s="972"/>
      <c r="AF42" s="859"/>
      <c r="AG42" s="858"/>
      <c r="AH42" s="972">
        <f t="shared" si="102"/>
        <v>45.9</v>
      </c>
      <c r="AI42" s="972">
        <f t="shared" si="103"/>
        <v>29.835000000000001</v>
      </c>
      <c r="AJ42" s="972">
        <f t="shared" si="104"/>
        <v>4.59</v>
      </c>
      <c r="AK42" s="972">
        <v>18.36</v>
      </c>
      <c r="AL42" s="972">
        <v>11.475</v>
      </c>
      <c r="AM42" s="972">
        <v>4.59</v>
      </c>
      <c r="AN42" s="972">
        <v>11.475</v>
      </c>
      <c r="AO42" s="972"/>
      <c r="AP42" s="856"/>
      <c r="AQ42" s="856"/>
      <c r="AR42" s="856"/>
      <c r="AS42" s="856"/>
      <c r="AT42" s="856"/>
      <c r="AU42" s="856"/>
    </row>
    <row r="43" spans="1:47" ht="21" customHeight="1" x14ac:dyDescent="0.3">
      <c r="A43" s="980" t="s">
        <v>381</v>
      </c>
      <c r="B43" s="981" t="s">
        <v>382</v>
      </c>
      <c r="C43" s="1033" t="s">
        <v>29</v>
      </c>
      <c r="D43" s="1036">
        <v>9000</v>
      </c>
      <c r="E43" s="95"/>
      <c r="F43" s="972">
        <f t="shared" si="94"/>
        <v>4950</v>
      </c>
      <c r="G43" s="865"/>
      <c r="H43" s="972"/>
      <c r="I43" s="998">
        <f t="shared" si="95"/>
        <v>1800</v>
      </c>
      <c r="J43" s="865"/>
      <c r="K43" s="972">
        <f t="shared" si="96"/>
        <v>1800</v>
      </c>
      <c r="L43" s="972">
        <f t="shared" si="97"/>
        <v>6750</v>
      </c>
      <c r="M43" s="972">
        <f t="shared" si="107"/>
        <v>2250</v>
      </c>
      <c r="N43" s="95"/>
      <c r="O43" s="972">
        <f t="shared" si="105"/>
        <v>0</v>
      </c>
      <c r="P43" s="972">
        <f t="shared" si="105"/>
        <v>0</v>
      </c>
      <c r="Q43" s="972">
        <f t="shared" si="105"/>
        <v>0</v>
      </c>
      <c r="R43" s="972">
        <f t="shared" si="105"/>
        <v>0</v>
      </c>
      <c r="S43" s="972">
        <f t="shared" si="105"/>
        <v>0</v>
      </c>
      <c r="T43" s="866"/>
      <c r="U43" s="972">
        <f t="shared" si="99"/>
        <v>0</v>
      </c>
      <c r="V43" s="972">
        <f t="shared" si="100"/>
        <v>0</v>
      </c>
      <c r="W43" s="972">
        <f t="shared" si="101"/>
        <v>0</v>
      </c>
      <c r="X43" s="865"/>
      <c r="Y43" s="998">
        <f t="shared" si="106"/>
        <v>9000</v>
      </c>
      <c r="Z43" s="972"/>
      <c r="AA43" s="972"/>
      <c r="AB43" s="972"/>
      <c r="AC43" s="972"/>
      <c r="AD43" s="865"/>
      <c r="AE43" s="972"/>
      <c r="AF43" s="859"/>
      <c r="AG43" s="858"/>
      <c r="AH43" s="972">
        <f t="shared" si="102"/>
        <v>9000</v>
      </c>
      <c r="AI43" s="972">
        <f t="shared" si="103"/>
        <v>4950</v>
      </c>
      <c r="AJ43" s="972">
        <f t="shared" si="104"/>
        <v>1800</v>
      </c>
      <c r="AK43" s="972">
        <v>2250</v>
      </c>
      <c r="AL43" s="972">
        <v>2700</v>
      </c>
      <c r="AM43" s="972">
        <v>1800</v>
      </c>
      <c r="AN43" s="972">
        <v>2250</v>
      </c>
      <c r="AO43" s="972"/>
      <c r="AP43" s="856"/>
      <c r="AQ43" s="856"/>
      <c r="AR43" s="856"/>
      <c r="AS43" s="856"/>
      <c r="AT43" s="856"/>
      <c r="AU43" s="856"/>
    </row>
    <row r="44" spans="1:47" ht="21" customHeight="1" x14ac:dyDescent="0.3">
      <c r="A44" s="968"/>
      <c r="B44" s="969"/>
      <c r="C44" s="970"/>
      <c r="D44" s="971"/>
      <c r="E44" s="923"/>
      <c r="F44" s="972">
        <f t="shared" si="94"/>
        <v>0</v>
      </c>
      <c r="G44" s="925"/>
      <c r="H44" s="972"/>
      <c r="I44" s="998">
        <f t="shared" si="95"/>
        <v>0</v>
      </c>
      <c r="J44" s="925"/>
      <c r="K44" s="972">
        <f t="shared" si="96"/>
        <v>0</v>
      </c>
      <c r="L44" s="972">
        <f t="shared" si="97"/>
        <v>0</v>
      </c>
      <c r="M44" s="972"/>
      <c r="N44" s="95"/>
      <c r="O44" s="972">
        <f t="shared" si="105"/>
        <v>0</v>
      </c>
      <c r="P44" s="972">
        <f t="shared" si="105"/>
        <v>0</v>
      </c>
      <c r="Q44" s="972">
        <f t="shared" si="105"/>
        <v>0</v>
      </c>
      <c r="R44" s="972">
        <f t="shared" si="105"/>
        <v>0</v>
      </c>
      <c r="S44" s="972">
        <f t="shared" si="105"/>
        <v>0</v>
      </c>
      <c r="T44" s="922"/>
      <c r="U44" s="972">
        <f t="shared" si="99"/>
        <v>0</v>
      </c>
      <c r="V44" s="972">
        <f t="shared" si="100"/>
        <v>0</v>
      </c>
      <c r="W44" s="972">
        <f t="shared" si="101"/>
        <v>0</v>
      </c>
      <c r="X44" s="925"/>
      <c r="Y44" s="998">
        <f t="shared" si="106"/>
        <v>0</v>
      </c>
      <c r="Z44" s="972"/>
      <c r="AA44" s="972"/>
      <c r="AB44" s="972"/>
      <c r="AC44" s="972"/>
      <c r="AD44" s="925"/>
      <c r="AE44" s="972"/>
      <c r="AF44" s="917"/>
      <c r="AG44" s="912"/>
      <c r="AH44" s="972">
        <f t="shared" si="102"/>
        <v>0</v>
      </c>
      <c r="AI44" s="972">
        <f t="shared" si="103"/>
        <v>0</v>
      </c>
      <c r="AJ44" s="972">
        <f t="shared" si="104"/>
        <v>0</v>
      </c>
      <c r="AK44" s="972"/>
      <c r="AL44" s="972"/>
      <c r="AM44" s="972"/>
      <c r="AN44" s="972"/>
      <c r="AO44" s="972"/>
      <c r="AP44" s="910"/>
      <c r="AQ44" s="910"/>
      <c r="AR44" s="910"/>
      <c r="AS44" s="910"/>
      <c r="AT44" s="910"/>
      <c r="AU44" s="910"/>
    </row>
    <row r="45" spans="1:47" ht="21" customHeight="1" x14ac:dyDescent="0.3">
      <c r="A45" s="974"/>
      <c r="B45" s="982"/>
      <c r="C45" s="983"/>
      <c r="D45" s="984"/>
      <c r="E45" s="923"/>
      <c r="F45" s="972">
        <f t="shared" si="94"/>
        <v>0</v>
      </c>
      <c r="G45" s="925"/>
      <c r="H45" s="972"/>
      <c r="I45" s="998">
        <f t="shared" si="95"/>
        <v>0</v>
      </c>
      <c r="J45" s="925"/>
      <c r="K45" s="994">
        <f t="shared" si="96"/>
        <v>0</v>
      </c>
      <c r="L45" s="1005">
        <f t="shared" si="97"/>
        <v>0</v>
      </c>
      <c r="M45" s="1005"/>
      <c r="N45" s="95"/>
      <c r="O45" s="972">
        <f t="shared" si="105"/>
        <v>0</v>
      </c>
      <c r="P45" s="972">
        <f t="shared" si="105"/>
        <v>0</v>
      </c>
      <c r="Q45" s="972">
        <f t="shared" si="105"/>
        <v>0</v>
      </c>
      <c r="R45" s="972">
        <f t="shared" si="105"/>
        <v>0</v>
      </c>
      <c r="S45" s="972">
        <f t="shared" si="105"/>
        <v>0</v>
      </c>
      <c r="T45" s="922"/>
      <c r="U45" s="972">
        <f t="shared" si="99"/>
        <v>0</v>
      </c>
      <c r="V45" s="972">
        <f t="shared" si="100"/>
        <v>0</v>
      </c>
      <c r="W45" s="972">
        <f t="shared" si="101"/>
        <v>0</v>
      </c>
      <c r="X45" s="925"/>
      <c r="Y45" s="998">
        <f t="shared" si="106"/>
        <v>0</v>
      </c>
      <c r="Z45" s="972"/>
      <c r="AA45" s="972"/>
      <c r="AB45" s="972"/>
      <c r="AC45" s="972"/>
      <c r="AD45" s="925"/>
      <c r="AE45" s="972"/>
      <c r="AF45" s="917"/>
      <c r="AG45" s="912"/>
      <c r="AH45" s="972">
        <f t="shared" si="102"/>
        <v>0</v>
      </c>
      <c r="AI45" s="972">
        <f t="shared" si="103"/>
        <v>0</v>
      </c>
      <c r="AJ45" s="972">
        <f t="shared" si="104"/>
        <v>0</v>
      </c>
      <c r="AK45" s="994"/>
      <c r="AL45" s="994"/>
      <c r="AM45" s="994"/>
      <c r="AN45" s="994"/>
      <c r="AO45" s="994"/>
      <c r="AP45" s="910"/>
      <c r="AQ45" s="910"/>
      <c r="AR45" s="910"/>
      <c r="AS45" s="910"/>
      <c r="AT45" s="910"/>
      <c r="AU45" s="910"/>
    </row>
    <row r="46" spans="1:47" s="987" customFormat="1" ht="21" customHeight="1" x14ac:dyDescent="0.3">
      <c r="A46" s="1254" t="str">
        <f>+"TOTAL FASE  "&amp;A39&amp;" : "&amp;B39</f>
        <v>TOTAL FASE  400 : ENCOFRADO</v>
      </c>
      <c r="B46" s="1255"/>
      <c r="C46" s="988"/>
      <c r="D46" s="990" t="s">
        <v>29</v>
      </c>
      <c r="E46" s="995"/>
      <c r="F46" s="473">
        <f>SUM(F40:F45)</f>
        <v>7072.835</v>
      </c>
      <c r="G46" s="992"/>
      <c r="H46" s="480">
        <f>SUM(H40:H45)</f>
        <v>0</v>
      </c>
      <c r="I46" s="480">
        <f>SUM(I40:I45)</f>
        <v>2448.59</v>
      </c>
      <c r="J46" s="992"/>
      <c r="K46" s="993">
        <f>+SUMIF($A40:$A45,$D46,K40:K45)</f>
        <v>0</v>
      </c>
      <c r="L46" s="991">
        <f>+SUMIF($A40:$A45,$D46,L40:L45)</f>
        <v>0</v>
      </c>
      <c r="M46" s="991">
        <f>SUM(M40:M45)</f>
        <v>2744.4749999999999</v>
      </c>
      <c r="N46" s="986"/>
      <c r="O46" s="480">
        <f t="shared" ref="O46" si="108">SUM(O40:O45)</f>
        <v>0</v>
      </c>
      <c r="P46" s="473">
        <f t="shared" ref="P46" si="109">SUM(P40:P45)</f>
        <v>0</v>
      </c>
      <c r="Q46" s="473">
        <f t="shared" ref="Q46" si="110">SUM(Q40:Q45)</f>
        <v>0</v>
      </c>
      <c r="R46" s="473">
        <f t="shared" ref="R46" si="111">SUM(R40:R45)</f>
        <v>0</v>
      </c>
      <c r="S46" s="473">
        <f t="shared" ref="S46" si="112">SUM(S40:S45)</f>
        <v>0</v>
      </c>
      <c r="U46" s="480">
        <f t="shared" ref="U46" si="113">SUM(U40:U45)</f>
        <v>0</v>
      </c>
      <c r="V46" s="473">
        <f t="shared" ref="V46" si="114">SUM(V40:V45)</f>
        <v>0</v>
      </c>
      <c r="W46" s="473">
        <f t="shared" ref="W46" si="115">SUM(W40:W45)</f>
        <v>0</v>
      </c>
      <c r="X46" s="992"/>
      <c r="Y46" s="480">
        <f t="shared" ref="Y46" si="116">SUM(Y40:Y45)</f>
        <v>12265.9</v>
      </c>
      <c r="Z46" s="473">
        <f t="shared" ref="Z46" si="117">SUM(Z40:Z45)</f>
        <v>0</v>
      </c>
      <c r="AA46" s="473">
        <f t="shared" ref="AA46" si="118">SUM(AA40:AA45)</f>
        <v>0</v>
      </c>
      <c r="AB46" s="473">
        <f t="shared" ref="AB46" si="119">SUM(AB40:AB45)</f>
        <v>0</v>
      </c>
      <c r="AC46" s="473">
        <f t="shared" ref="AC46" si="120">SUM(AC40:AC45)</f>
        <v>0</v>
      </c>
      <c r="AD46" s="992"/>
      <c r="AE46" s="480">
        <f t="shared" ref="AE46" si="121">SUM(AE40:AE45)</f>
        <v>0</v>
      </c>
      <c r="AF46" s="989"/>
      <c r="AG46" s="992"/>
      <c r="AH46" s="985">
        <f t="shared" ref="AH40:AH46" si="122">SUM(AI46:AO46)</f>
        <v>49063.6</v>
      </c>
      <c r="AI46" s="985">
        <f t="shared" ref="AI46" si="123">SUM(AJ46:AP46)</f>
        <v>24531.799999999996</v>
      </c>
      <c r="AJ46" s="985">
        <f t="shared" ref="AJ46" si="124">SUM(AK46:AQ46)</f>
        <v>12265.9</v>
      </c>
      <c r="AK46" s="985">
        <f>SUM(AK40:AK45)</f>
        <v>3556.3599999999997</v>
      </c>
      <c r="AL46" s="985">
        <f t="shared" ref="AL46:AO46" si="125">SUM(AL40:AL45)</f>
        <v>3516.4749999999999</v>
      </c>
      <c r="AM46" s="985">
        <f t="shared" si="125"/>
        <v>2448.59</v>
      </c>
      <c r="AN46" s="985">
        <f t="shared" si="125"/>
        <v>2744.4749999999999</v>
      </c>
      <c r="AO46" s="985">
        <f t="shared" si="125"/>
        <v>0</v>
      </c>
    </row>
    <row r="47" spans="1:47" ht="21" customHeight="1" x14ac:dyDescent="0.3">
      <c r="A47" s="98">
        <v>500</v>
      </c>
      <c r="B47" s="102" t="s">
        <v>327</v>
      </c>
      <c r="C47" s="102"/>
      <c r="E47" s="95"/>
      <c r="F47" s="174"/>
      <c r="G47" s="174"/>
      <c r="H47" s="174"/>
      <c r="I47" s="279"/>
      <c r="J47" s="174"/>
      <c r="K47" s="174"/>
      <c r="L47" s="279"/>
      <c r="M47" s="174"/>
      <c r="N47" s="95"/>
      <c r="O47" s="174">
        <f>+'[1]F-50'!N11/SUM('[1]F-50'!$N$11:$AW$11)</f>
        <v>0</v>
      </c>
      <c r="P47" s="174">
        <f>+'[1]F-50'!O11/SUM('[1]F-50'!$N$11:$AW$11)</f>
        <v>0</v>
      </c>
      <c r="Q47" s="174">
        <f>+'[1]F-50'!P11/SUM('[1]F-50'!$N$11:$AW$11)</f>
        <v>0</v>
      </c>
      <c r="R47" s="174">
        <f>+'[1]F-50'!Q11/SUM('[1]F-50'!$N$11:$AW$11)</f>
        <v>0</v>
      </c>
      <c r="S47" s="174">
        <f>+'[1]F-50'!R11/SUM('[1]F-50'!$N$11:$AW$11)</f>
        <v>0</v>
      </c>
      <c r="T47" s="97"/>
      <c r="U47" s="87"/>
      <c r="V47" s="87"/>
      <c r="W47" s="87"/>
      <c r="X47" s="87"/>
      <c r="Y47" s="87"/>
      <c r="Z47" s="87"/>
      <c r="AA47" s="87"/>
      <c r="AB47" s="87"/>
      <c r="AC47" s="87"/>
      <c r="AD47" s="87"/>
      <c r="AE47" s="87"/>
      <c r="AF47" s="279"/>
      <c r="AG47" s="87"/>
      <c r="AH47" s="87"/>
      <c r="AI47" s="279"/>
      <c r="AJ47" s="279"/>
      <c r="AK47" s="87"/>
      <c r="AL47" s="87"/>
      <c r="AM47" s="87"/>
      <c r="AN47" s="87"/>
      <c r="AO47" s="87"/>
    </row>
    <row r="48" spans="1:47" ht="21" customHeight="1" x14ac:dyDescent="0.3">
      <c r="A48" s="959" t="s">
        <v>377</v>
      </c>
      <c r="B48" s="960" t="s">
        <v>384</v>
      </c>
      <c r="C48" s="961" t="s">
        <v>29</v>
      </c>
      <c r="D48" s="1035">
        <v>2552</v>
      </c>
      <c r="E48" s="95"/>
      <c r="F48" s="963">
        <f t="shared" ref="F48:F53" si="126">AI48</f>
        <v>689.04000000000008</v>
      </c>
      <c r="G48" s="865"/>
      <c r="H48" s="963"/>
      <c r="I48" s="963">
        <f t="shared" ref="I48:I53" si="127">AJ48</f>
        <v>1403.6000000000001</v>
      </c>
      <c r="J48" s="865"/>
      <c r="K48" s="963">
        <f t="shared" ref="K48:K53" si="128">+I48+AE48</f>
        <v>1403.6000000000001</v>
      </c>
      <c r="L48" s="963">
        <f t="shared" ref="L48:L51" si="129">+K48+F48</f>
        <v>2092.6400000000003</v>
      </c>
      <c r="M48" s="963">
        <f>+D48-L48</f>
        <v>459.35999999999967</v>
      </c>
      <c r="N48" s="95"/>
      <c r="O48" s="963">
        <f>+O$47*$M48</f>
        <v>0</v>
      </c>
      <c r="P48" s="963">
        <f t="shared" ref="P48:S48" si="130">+P$47*$M48</f>
        <v>0</v>
      </c>
      <c r="Q48" s="963">
        <f t="shared" si="130"/>
        <v>0</v>
      </c>
      <c r="R48" s="963">
        <f t="shared" si="130"/>
        <v>0</v>
      </c>
      <c r="S48" s="963">
        <f t="shared" si="130"/>
        <v>0</v>
      </c>
      <c r="T48" s="866"/>
      <c r="U48" s="963">
        <f t="shared" ref="U48:U53" si="131">+SUMIFS(O48:S48,O$8:S$8,$U$11)</f>
        <v>0</v>
      </c>
      <c r="V48" s="963">
        <f t="shared" ref="V48:V53" si="132">+SUMIFS(O48:S48,O$8:S$8,$V$11)</f>
        <v>0</v>
      </c>
      <c r="W48" s="963">
        <f t="shared" ref="W48:W53" si="133">+SUMIFS(P48:T48,P$8:T$8,$W$11)</f>
        <v>0</v>
      </c>
      <c r="X48" s="865"/>
      <c r="Y48" s="963">
        <f>+L48+M48</f>
        <v>2552</v>
      </c>
      <c r="Z48" s="963"/>
      <c r="AA48" s="963"/>
      <c r="AB48" s="963"/>
      <c r="AC48" s="963"/>
      <c r="AD48" s="865"/>
      <c r="AE48" s="963"/>
      <c r="AF48" s="859"/>
      <c r="AG48" s="858"/>
      <c r="AH48" s="963">
        <f t="shared" ref="AH48:AH53" si="134">SUM(AK48:AO48)</f>
        <v>2552.0000000000005</v>
      </c>
      <c r="AI48" s="963">
        <f t="shared" ref="AI48:AI53" si="135">SUM(AK48:AL48)</f>
        <v>689.04000000000008</v>
      </c>
      <c r="AJ48" s="963">
        <f t="shared" ref="AJ48:AJ53" si="136">+AM48</f>
        <v>1403.6000000000001</v>
      </c>
      <c r="AK48" s="963"/>
      <c r="AL48" s="963">
        <v>689.04000000000008</v>
      </c>
      <c r="AM48" s="963">
        <v>1403.6000000000001</v>
      </c>
      <c r="AN48" s="963">
        <v>459.36</v>
      </c>
      <c r="AO48" s="963"/>
      <c r="AP48" s="856"/>
      <c r="AQ48" s="856"/>
      <c r="AR48" s="856"/>
      <c r="AS48" s="856"/>
      <c r="AT48" s="856"/>
      <c r="AU48" s="856"/>
    </row>
    <row r="49" spans="1:47" ht="21" customHeight="1" x14ac:dyDescent="0.3">
      <c r="A49" s="968" t="s">
        <v>377</v>
      </c>
      <c r="B49" s="969" t="s">
        <v>385</v>
      </c>
      <c r="C49" s="1033" t="s">
        <v>29</v>
      </c>
      <c r="D49" s="1036">
        <v>2610</v>
      </c>
      <c r="E49" s="95"/>
      <c r="F49" s="972">
        <f t="shared" si="126"/>
        <v>704.7</v>
      </c>
      <c r="G49" s="865"/>
      <c r="H49" s="972"/>
      <c r="I49" s="998">
        <f t="shared" si="127"/>
        <v>1435.5000000000002</v>
      </c>
      <c r="J49" s="865"/>
      <c r="K49" s="972">
        <f t="shared" si="128"/>
        <v>1435.5000000000002</v>
      </c>
      <c r="L49" s="972">
        <f t="shared" si="129"/>
        <v>2140.2000000000003</v>
      </c>
      <c r="M49" s="972">
        <f>+D49-L49</f>
        <v>469.79999999999973</v>
      </c>
      <c r="N49" s="95"/>
      <c r="O49" s="972">
        <f t="shared" ref="O49:S53" si="137">+O$47*$M49</f>
        <v>0</v>
      </c>
      <c r="P49" s="972">
        <f t="shared" si="137"/>
        <v>0</v>
      </c>
      <c r="Q49" s="972">
        <f t="shared" si="137"/>
        <v>0</v>
      </c>
      <c r="R49" s="972">
        <f t="shared" si="137"/>
        <v>0</v>
      </c>
      <c r="S49" s="972">
        <f t="shared" si="137"/>
        <v>0</v>
      </c>
      <c r="T49" s="866"/>
      <c r="U49" s="972">
        <f t="shared" si="131"/>
        <v>0</v>
      </c>
      <c r="V49" s="972">
        <f t="shared" si="132"/>
        <v>0</v>
      </c>
      <c r="W49" s="972">
        <f t="shared" si="133"/>
        <v>0</v>
      </c>
      <c r="X49" s="865"/>
      <c r="Y49" s="998">
        <f t="shared" ref="Y49:Y53" si="138">+L49+M49</f>
        <v>2610</v>
      </c>
      <c r="Z49" s="972"/>
      <c r="AA49" s="972"/>
      <c r="AB49" s="972"/>
      <c r="AC49" s="972"/>
      <c r="AD49" s="865"/>
      <c r="AE49" s="972"/>
      <c r="AF49" s="859"/>
      <c r="AG49" s="858"/>
      <c r="AH49" s="972">
        <f t="shared" si="134"/>
        <v>2610.0000000000005</v>
      </c>
      <c r="AI49" s="972">
        <f t="shared" si="135"/>
        <v>704.7</v>
      </c>
      <c r="AJ49" s="972">
        <f t="shared" si="136"/>
        <v>1435.5000000000002</v>
      </c>
      <c r="AK49" s="972"/>
      <c r="AL49" s="972">
        <v>704.7</v>
      </c>
      <c r="AM49" s="972">
        <v>1435.5000000000002</v>
      </c>
      <c r="AN49" s="972">
        <v>469.8</v>
      </c>
      <c r="AO49" s="972"/>
      <c r="AP49" s="856"/>
      <c r="AQ49" s="856"/>
      <c r="AR49" s="856"/>
      <c r="AS49" s="856"/>
      <c r="AT49" s="856"/>
      <c r="AU49" s="856"/>
    </row>
    <row r="50" spans="1:47" ht="21" customHeight="1" x14ac:dyDescent="0.3">
      <c r="A50" s="974" t="s">
        <v>383</v>
      </c>
      <c r="B50" s="975" t="s">
        <v>386</v>
      </c>
      <c r="C50" s="1033" t="s">
        <v>29</v>
      </c>
      <c r="D50" s="1036">
        <v>88292.6443</v>
      </c>
      <c r="E50" s="95"/>
      <c r="F50" s="972">
        <f t="shared" si="126"/>
        <v>23735</v>
      </c>
      <c r="G50" s="865"/>
      <c r="H50" s="972"/>
      <c r="I50" s="998">
        <f t="shared" si="127"/>
        <v>48551</v>
      </c>
      <c r="J50" s="865"/>
      <c r="K50" s="972">
        <f t="shared" si="128"/>
        <v>48551</v>
      </c>
      <c r="L50" s="972">
        <f t="shared" si="129"/>
        <v>72286</v>
      </c>
      <c r="M50" s="972">
        <f t="shared" ref="M50" si="139">+D50-L50</f>
        <v>16006.6443</v>
      </c>
      <c r="N50" s="95"/>
      <c r="O50" s="972">
        <f t="shared" si="137"/>
        <v>0</v>
      </c>
      <c r="P50" s="972">
        <f t="shared" si="137"/>
        <v>0</v>
      </c>
      <c r="Q50" s="972">
        <f t="shared" si="137"/>
        <v>0</v>
      </c>
      <c r="R50" s="972">
        <f t="shared" si="137"/>
        <v>0</v>
      </c>
      <c r="S50" s="972">
        <f t="shared" si="137"/>
        <v>0</v>
      </c>
      <c r="T50" s="866"/>
      <c r="U50" s="972">
        <f t="shared" si="131"/>
        <v>0</v>
      </c>
      <c r="V50" s="972">
        <f t="shared" si="132"/>
        <v>0</v>
      </c>
      <c r="W50" s="972">
        <f t="shared" si="133"/>
        <v>0</v>
      </c>
      <c r="X50" s="865"/>
      <c r="Y50" s="998">
        <f t="shared" si="138"/>
        <v>88292.6443</v>
      </c>
      <c r="Z50" s="972"/>
      <c r="AA50" s="972"/>
      <c r="AB50" s="972"/>
      <c r="AC50" s="972"/>
      <c r="AD50" s="865"/>
      <c r="AE50" s="972"/>
      <c r="AF50" s="859"/>
      <c r="AG50" s="858"/>
      <c r="AH50" s="972">
        <f t="shared" si="134"/>
        <v>88292.649000000005</v>
      </c>
      <c r="AI50" s="972">
        <f t="shared" si="135"/>
        <v>23735</v>
      </c>
      <c r="AJ50" s="972">
        <f t="shared" si="136"/>
        <v>48551</v>
      </c>
      <c r="AK50" s="972"/>
      <c r="AL50" s="972">
        <v>23735</v>
      </c>
      <c r="AM50" s="972">
        <v>48551</v>
      </c>
      <c r="AN50" s="972">
        <v>16006.649000000001</v>
      </c>
      <c r="AO50" s="972"/>
      <c r="AP50" s="856"/>
      <c r="AQ50" s="856"/>
      <c r="AR50" s="856"/>
      <c r="AS50" s="856"/>
      <c r="AT50" s="856"/>
      <c r="AU50" s="856"/>
    </row>
    <row r="51" spans="1:47" ht="21" customHeight="1" x14ac:dyDescent="0.3">
      <c r="A51" s="980"/>
      <c r="B51" s="981"/>
      <c r="C51" s="970"/>
      <c r="D51" s="1036"/>
      <c r="E51" s="95"/>
      <c r="F51" s="972">
        <f t="shared" si="126"/>
        <v>0</v>
      </c>
      <c r="G51" s="865"/>
      <c r="H51" s="972"/>
      <c r="I51" s="998">
        <f t="shared" si="127"/>
        <v>0</v>
      </c>
      <c r="J51" s="865"/>
      <c r="K51" s="972">
        <f t="shared" si="128"/>
        <v>0</v>
      </c>
      <c r="L51" s="972">
        <f t="shared" si="129"/>
        <v>0</v>
      </c>
      <c r="M51" s="972"/>
      <c r="N51" s="95"/>
      <c r="O51" s="972">
        <f t="shared" si="137"/>
        <v>0</v>
      </c>
      <c r="P51" s="972">
        <f t="shared" si="137"/>
        <v>0</v>
      </c>
      <c r="Q51" s="972">
        <f t="shared" si="137"/>
        <v>0</v>
      </c>
      <c r="R51" s="972">
        <f t="shared" si="137"/>
        <v>0</v>
      </c>
      <c r="S51" s="972">
        <f t="shared" si="137"/>
        <v>0</v>
      </c>
      <c r="T51" s="866"/>
      <c r="U51" s="972">
        <f t="shared" si="131"/>
        <v>0</v>
      </c>
      <c r="V51" s="972">
        <f t="shared" si="132"/>
        <v>0</v>
      </c>
      <c r="W51" s="972">
        <f t="shared" si="133"/>
        <v>0</v>
      </c>
      <c r="X51" s="865"/>
      <c r="Y51" s="998">
        <f t="shared" si="138"/>
        <v>0</v>
      </c>
      <c r="Z51" s="972"/>
      <c r="AA51" s="972"/>
      <c r="AB51" s="972"/>
      <c r="AC51" s="972"/>
      <c r="AD51" s="865"/>
      <c r="AE51" s="972"/>
      <c r="AF51" s="859"/>
      <c r="AG51" s="858"/>
      <c r="AH51" s="972">
        <f t="shared" si="134"/>
        <v>0</v>
      </c>
      <c r="AI51" s="972">
        <f t="shared" si="135"/>
        <v>0</v>
      </c>
      <c r="AJ51" s="972">
        <f t="shared" si="136"/>
        <v>0</v>
      </c>
      <c r="AK51" s="972"/>
      <c r="AL51" s="972"/>
      <c r="AM51" s="972"/>
      <c r="AN51" s="972"/>
      <c r="AO51" s="972"/>
      <c r="AP51" s="856"/>
      <c r="AQ51" s="856"/>
      <c r="AR51" s="856"/>
      <c r="AS51" s="856"/>
      <c r="AT51" s="856"/>
      <c r="AU51" s="856"/>
    </row>
    <row r="52" spans="1:47" ht="21" customHeight="1" x14ac:dyDescent="0.3">
      <c r="A52" s="968"/>
      <c r="B52" s="969"/>
      <c r="C52" s="970"/>
      <c r="D52" s="1036"/>
      <c r="E52" s="95"/>
      <c r="F52" s="972">
        <f t="shared" si="126"/>
        <v>0</v>
      </c>
      <c r="G52" s="865"/>
      <c r="H52" s="972"/>
      <c r="I52" s="998">
        <f t="shared" si="127"/>
        <v>0</v>
      </c>
      <c r="J52" s="865"/>
      <c r="K52" s="972">
        <f t="shared" si="128"/>
        <v>0</v>
      </c>
      <c r="L52" s="972">
        <f t="shared" ref="L52:L53" si="140">+K52+F52</f>
        <v>0</v>
      </c>
      <c r="M52" s="972"/>
      <c r="N52" s="95"/>
      <c r="O52" s="972">
        <f t="shared" si="137"/>
        <v>0</v>
      </c>
      <c r="P52" s="972">
        <f t="shared" si="137"/>
        <v>0</v>
      </c>
      <c r="Q52" s="972">
        <f t="shared" si="137"/>
        <v>0</v>
      </c>
      <c r="R52" s="972">
        <f t="shared" si="137"/>
        <v>0</v>
      </c>
      <c r="S52" s="972">
        <f t="shared" si="137"/>
        <v>0</v>
      </c>
      <c r="T52" s="866"/>
      <c r="U52" s="972">
        <f t="shared" si="131"/>
        <v>0</v>
      </c>
      <c r="V52" s="972">
        <f t="shared" si="132"/>
        <v>0</v>
      </c>
      <c r="W52" s="972">
        <f t="shared" si="133"/>
        <v>0</v>
      </c>
      <c r="X52" s="865"/>
      <c r="Y52" s="998">
        <f t="shared" si="138"/>
        <v>0</v>
      </c>
      <c r="Z52" s="972"/>
      <c r="AA52" s="972"/>
      <c r="AB52" s="972"/>
      <c r="AC52" s="972"/>
      <c r="AD52" s="865"/>
      <c r="AE52" s="972"/>
      <c r="AF52" s="859"/>
      <c r="AG52" s="858"/>
      <c r="AH52" s="972">
        <f t="shared" si="134"/>
        <v>0</v>
      </c>
      <c r="AI52" s="972">
        <f t="shared" si="135"/>
        <v>0</v>
      </c>
      <c r="AJ52" s="972">
        <f t="shared" si="136"/>
        <v>0</v>
      </c>
      <c r="AK52" s="972"/>
      <c r="AL52" s="972"/>
      <c r="AM52" s="972"/>
      <c r="AN52" s="972"/>
      <c r="AO52" s="972"/>
      <c r="AP52" s="856"/>
      <c r="AQ52" s="856"/>
      <c r="AR52" s="856"/>
      <c r="AS52" s="856"/>
      <c r="AT52" s="856"/>
      <c r="AU52" s="856"/>
    </row>
    <row r="53" spans="1:47" ht="21" customHeight="1" x14ac:dyDescent="0.3">
      <c r="A53" s="974"/>
      <c r="B53" s="982"/>
      <c r="C53" s="983"/>
      <c r="D53" s="1040"/>
      <c r="E53" s="95"/>
      <c r="F53" s="972">
        <f t="shared" si="126"/>
        <v>0</v>
      </c>
      <c r="G53" s="865"/>
      <c r="H53" s="972"/>
      <c r="I53" s="998">
        <f t="shared" si="127"/>
        <v>0</v>
      </c>
      <c r="J53" s="865"/>
      <c r="K53" s="994">
        <f t="shared" si="128"/>
        <v>0</v>
      </c>
      <c r="L53" s="1005">
        <f t="shared" si="140"/>
        <v>0</v>
      </c>
      <c r="M53" s="1005"/>
      <c r="N53" s="95"/>
      <c r="O53" s="972">
        <f t="shared" si="137"/>
        <v>0</v>
      </c>
      <c r="P53" s="972">
        <f t="shared" si="137"/>
        <v>0</v>
      </c>
      <c r="Q53" s="972">
        <f t="shared" si="137"/>
        <v>0</v>
      </c>
      <c r="R53" s="972">
        <f t="shared" si="137"/>
        <v>0</v>
      </c>
      <c r="S53" s="972">
        <f t="shared" si="137"/>
        <v>0</v>
      </c>
      <c r="T53" s="866"/>
      <c r="U53" s="972">
        <f t="shared" si="131"/>
        <v>0</v>
      </c>
      <c r="V53" s="972">
        <f t="shared" si="132"/>
        <v>0</v>
      </c>
      <c r="W53" s="972">
        <f t="shared" si="133"/>
        <v>0</v>
      </c>
      <c r="X53" s="865"/>
      <c r="Y53" s="998">
        <f t="shared" si="138"/>
        <v>0</v>
      </c>
      <c r="Z53" s="972"/>
      <c r="AA53" s="972"/>
      <c r="AB53" s="972"/>
      <c r="AC53" s="972"/>
      <c r="AD53" s="865"/>
      <c r="AE53" s="972"/>
      <c r="AF53" s="859"/>
      <c r="AG53" s="858"/>
      <c r="AH53" s="994">
        <f t="shared" si="134"/>
        <v>0</v>
      </c>
      <c r="AI53" s="994">
        <f t="shared" si="135"/>
        <v>0</v>
      </c>
      <c r="AJ53" s="994">
        <f t="shared" si="136"/>
        <v>0</v>
      </c>
      <c r="AK53" s="994"/>
      <c r="AL53" s="994"/>
      <c r="AM53" s="994"/>
      <c r="AN53" s="994"/>
      <c r="AO53" s="994"/>
      <c r="AP53" s="856"/>
      <c r="AQ53" s="856"/>
      <c r="AR53" s="856"/>
      <c r="AS53" s="856"/>
      <c r="AT53" s="856"/>
      <c r="AU53" s="856"/>
    </row>
    <row r="54" spans="1:47" s="987" customFormat="1" ht="21" customHeight="1" x14ac:dyDescent="0.3">
      <c r="A54" s="1254" t="str">
        <f>+"TOTAL FASE  "&amp;A47&amp;" : "&amp;B47</f>
        <v xml:space="preserve">TOTAL FASE  500 : ACERO </v>
      </c>
      <c r="B54" s="1255"/>
      <c r="C54" s="988"/>
      <c r="D54" s="990" t="s">
        <v>29</v>
      </c>
      <c r="E54" s="995"/>
      <c r="F54" s="473">
        <f>SUM(F48:F53)</f>
        <v>25128.74</v>
      </c>
      <c r="G54" s="992"/>
      <c r="H54" s="480">
        <f>SUM(H48:H53)</f>
        <v>0</v>
      </c>
      <c r="I54" s="480">
        <f>SUM(I48:I53)</f>
        <v>51390.1</v>
      </c>
      <c r="J54" s="992"/>
      <c r="K54" s="993">
        <f>+SUMIF($A48:$A51,$D54,K48:K51)</f>
        <v>0</v>
      </c>
      <c r="L54" s="991">
        <f>+SUMIF($A48:$A51,$D54,L48:L51)</f>
        <v>0</v>
      </c>
      <c r="M54" s="993">
        <f>SUM(M48:M53)</f>
        <v>16935.8043</v>
      </c>
      <c r="N54" s="986"/>
      <c r="O54" s="480">
        <f t="shared" ref="O54" si="141">SUM(O48:O53)</f>
        <v>0</v>
      </c>
      <c r="P54" s="473">
        <f t="shared" ref="P54" si="142">SUM(P48:P53)</f>
        <v>0</v>
      </c>
      <c r="Q54" s="473">
        <f t="shared" ref="Q54" si="143">SUM(Q48:Q53)</f>
        <v>0</v>
      </c>
      <c r="R54" s="473">
        <f t="shared" ref="R54" si="144">SUM(R48:R53)</f>
        <v>0</v>
      </c>
      <c r="S54" s="473">
        <f t="shared" ref="S54" si="145">SUM(S48:S53)</f>
        <v>0</v>
      </c>
      <c r="U54" s="480">
        <f t="shared" ref="U54" si="146">SUM(U48:U53)</f>
        <v>0</v>
      </c>
      <c r="V54" s="473">
        <f t="shared" ref="V54" si="147">SUM(V48:V53)</f>
        <v>0</v>
      </c>
      <c r="W54" s="473">
        <f t="shared" ref="W54" si="148">SUM(W48:W53)</f>
        <v>0</v>
      </c>
      <c r="X54" s="992"/>
      <c r="Y54" s="480">
        <f t="shared" ref="Y54" si="149">SUM(Y48:Y53)</f>
        <v>93454.6443</v>
      </c>
      <c r="Z54" s="473">
        <f t="shared" ref="Z54" si="150">SUM(Z48:Z53)</f>
        <v>0</v>
      </c>
      <c r="AA54" s="473">
        <f t="shared" ref="AA54" si="151">SUM(AA48:AA53)</f>
        <v>0</v>
      </c>
      <c r="AB54" s="473">
        <f t="shared" ref="AB54" si="152">SUM(AB48:AB53)</f>
        <v>0</v>
      </c>
      <c r="AC54" s="473">
        <f t="shared" ref="AC54" si="153">SUM(AC48:AC53)</f>
        <v>0</v>
      </c>
      <c r="AD54" s="992"/>
      <c r="AE54" s="480">
        <f t="shared" ref="AE54" si="154">SUM(AE48:AE53)</f>
        <v>0</v>
      </c>
      <c r="AF54" s="989"/>
      <c r="AG54" s="992"/>
      <c r="AH54" s="985">
        <f t="shared" ref="AH48:AH54" si="155">SUM(AI54:AO54)</f>
        <v>373818.59600000002</v>
      </c>
      <c r="AI54" s="985">
        <f t="shared" ref="AI54" si="156">SUM(AJ54:AP54)</f>
        <v>186909.29800000001</v>
      </c>
      <c r="AJ54" s="985">
        <f t="shared" ref="AJ54" si="157">SUM(AK54:AQ54)</f>
        <v>93454.649000000005</v>
      </c>
      <c r="AK54" s="985">
        <f>SUM(AK48:AK53)</f>
        <v>0</v>
      </c>
      <c r="AL54" s="985">
        <f t="shared" ref="AL54:AO54" si="158">SUM(AL48:AL53)</f>
        <v>25128.74</v>
      </c>
      <c r="AM54" s="985">
        <f t="shared" si="158"/>
        <v>51390.1</v>
      </c>
      <c r="AN54" s="985">
        <f t="shared" si="158"/>
        <v>16935.809000000001</v>
      </c>
      <c r="AO54" s="985">
        <f t="shared" si="158"/>
        <v>0</v>
      </c>
    </row>
    <row r="55" spans="1:47" ht="21" customHeight="1" x14ac:dyDescent="0.3">
      <c r="A55" s="111">
        <v>600</v>
      </c>
      <c r="B55" s="112" t="s">
        <v>328</v>
      </c>
      <c r="C55" s="112"/>
      <c r="D55" s="113"/>
      <c r="E55" s="95"/>
      <c r="F55" s="999"/>
      <c r="G55" s="174"/>
      <c r="H55" s="174"/>
      <c r="I55" s="279"/>
      <c r="J55" s="174"/>
      <c r="K55" s="174"/>
      <c r="L55" s="279"/>
      <c r="M55" s="174"/>
      <c r="N55" s="95"/>
      <c r="O55" s="174"/>
      <c r="P55" s="174"/>
      <c r="Q55" s="174"/>
      <c r="R55" s="174"/>
      <c r="S55" s="174"/>
      <c r="T55" s="97"/>
      <c r="U55" s="282"/>
      <c r="V55" s="282"/>
      <c r="W55" s="282"/>
      <c r="X55" s="282"/>
      <c r="Y55" s="282"/>
      <c r="Z55" s="282"/>
      <c r="AA55" s="282"/>
      <c r="AB55" s="282"/>
      <c r="AC55" s="282"/>
      <c r="AD55" s="282"/>
      <c r="AE55" s="282"/>
      <c r="AF55" s="279"/>
      <c r="AG55" s="87"/>
      <c r="AH55" s="87"/>
      <c r="AI55" s="279"/>
      <c r="AJ55" s="279"/>
      <c r="AK55" s="87"/>
      <c r="AL55" s="87"/>
      <c r="AM55" s="87"/>
      <c r="AN55" s="87"/>
      <c r="AO55" s="87"/>
      <c r="AP55" s="114"/>
      <c r="AQ55" s="114"/>
      <c r="AR55" s="114"/>
      <c r="AS55" s="114"/>
      <c r="AT55" s="114"/>
      <c r="AU55" s="114"/>
    </row>
    <row r="56" spans="1:47" ht="21" customHeight="1" x14ac:dyDescent="0.3">
      <c r="A56" s="959">
        <v>1</v>
      </c>
      <c r="B56" s="960"/>
      <c r="C56" s="961"/>
      <c r="D56" s="962"/>
      <c r="E56" s="95"/>
      <c r="F56" s="998">
        <f t="shared" ref="F56:F61" si="159">AI56</f>
        <v>0</v>
      </c>
      <c r="G56" s="865"/>
      <c r="H56" s="963"/>
      <c r="I56" s="963">
        <f t="shared" ref="I56:I61" si="160">AJ56</f>
        <v>0</v>
      </c>
      <c r="J56" s="865"/>
      <c r="K56" s="963">
        <f t="shared" ref="K56:K61" si="161">+I56+AE56</f>
        <v>0</v>
      </c>
      <c r="L56" s="963">
        <f t="shared" ref="L56:L59" si="162">+K56+F56</f>
        <v>0</v>
      </c>
      <c r="M56" s="963">
        <f>+D56-L56</f>
        <v>0</v>
      </c>
      <c r="N56" s="95"/>
      <c r="O56" s="963">
        <f>+O$55*$M56</f>
        <v>0</v>
      </c>
      <c r="P56" s="963">
        <f t="shared" ref="P56:S56" si="163">+P$55*$M56</f>
        <v>0</v>
      </c>
      <c r="Q56" s="963">
        <f t="shared" si="163"/>
        <v>0</v>
      </c>
      <c r="R56" s="963">
        <f t="shared" si="163"/>
        <v>0</v>
      </c>
      <c r="S56" s="963">
        <f t="shared" si="163"/>
        <v>0</v>
      </c>
      <c r="T56" s="866"/>
      <c r="U56" s="963">
        <f t="shared" ref="U56:U61" si="164">+SUMIFS(O56:S56,O$8:S$8,$U$11)</f>
        <v>0</v>
      </c>
      <c r="V56" s="963">
        <f t="shared" ref="V56:V61" si="165">+SUMIFS(O56:S56,O$8:S$8,$V$11)</f>
        <v>0</v>
      </c>
      <c r="W56" s="963">
        <f t="shared" ref="W56:W61" si="166">+SUMIFS(P56:T56,P$8:T$8,$W$11)</f>
        <v>0</v>
      </c>
      <c r="X56" s="865"/>
      <c r="Y56" s="963">
        <f>+L56+M56</f>
        <v>0</v>
      </c>
      <c r="Z56" s="963"/>
      <c r="AA56" s="963"/>
      <c r="AB56" s="963"/>
      <c r="AC56" s="963"/>
      <c r="AD56" s="865"/>
      <c r="AE56" s="963"/>
      <c r="AF56" s="859"/>
      <c r="AG56" s="867"/>
      <c r="AH56" s="963">
        <f t="shared" ref="AH56:AH61" si="167">SUM(AK56:AO56)</f>
        <v>0</v>
      </c>
      <c r="AI56" s="963">
        <f t="shared" ref="AI56:AI61" si="168">SUM(AK56:AL56)</f>
        <v>0</v>
      </c>
      <c r="AJ56" s="963">
        <f t="shared" ref="AJ56:AJ61" si="169">+AM56</f>
        <v>0</v>
      </c>
      <c r="AK56" s="963"/>
      <c r="AL56" s="963"/>
      <c r="AM56" s="963"/>
      <c r="AN56" s="963"/>
      <c r="AO56" s="963"/>
      <c r="AP56" s="856"/>
      <c r="AQ56" s="856"/>
      <c r="AR56" s="856"/>
      <c r="AS56" s="856"/>
      <c r="AT56" s="856"/>
      <c r="AU56" s="856"/>
    </row>
    <row r="57" spans="1:47" ht="21" customHeight="1" x14ac:dyDescent="0.3">
      <c r="A57" s="968">
        <v>2</v>
      </c>
      <c r="B57" s="969"/>
      <c r="C57" s="970"/>
      <c r="D57" s="971"/>
      <c r="E57" s="95"/>
      <c r="F57" s="972">
        <f t="shared" si="159"/>
        <v>0</v>
      </c>
      <c r="G57" s="865"/>
      <c r="H57" s="972"/>
      <c r="I57" s="998">
        <f t="shared" si="160"/>
        <v>0</v>
      </c>
      <c r="J57" s="865"/>
      <c r="K57" s="972">
        <f t="shared" si="161"/>
        <v>0</v>
      </c>
      <c r="L57" s="972">
        <f t="shared" si="162"/>
        <v>0</v>
      </c>
      <c r="M57" s="972">
        <f>+D57-L57</f>
        <v>0</v>
      </c>
      <c r="N57" s="95"/>
      <c r="O57" s="972">
        <f t="shared" ref="O57:S61" si="170">+O$55*$M57</f>
        <v>0</v>
      </c>
      <c r="P57" s="972">
        <f t="shared" si="170"/>
        <v>0</v>
      </c>
      <c r="Q57" s="972">
        <f t="shared" si="170"/>
        <v>0</v>
      </c>
      <c r="R57" s="972">
        <f t="shared" si="170"/>
        <v>0</v>
      </c>
      <c r="S57" s="972">
        <f t="shared" si="170"/>
        <v>0</v>
      </c>
      <c r="T57" s="866"/>
      <c r="U57" s="972">
        <f t="shared" si="164"/>
        <v>0</v>
      </c>
      <c r="V57" s="972">
        <f t="shared" si="165"/>
        <v>0</v>
      </c>
      <c r="W57" s="972">
        <f t="shared" si="166"/>
        <v>0</v>
      </c>
      <c r="X57" s="865"/>
      <c r="Y57" s="998">
        <f t="shared" ref="Y57:Y61" si="171">+L57+M57</f>
        <v>0</v>
      </c>
      <c r="Z57" s="972"/>
      <c r="AA57" s="972"/>
      <c r="AB57" s="972"/>
      <c r="AC57" s="972"/>
      <c r="AD57" s="865"/>
      <c r="AE57" s="972"/>
      <c r="AF57" s="859"/>
      <c r="AG57" s="858"/>
      <c r="AH57" s="972">
        <f t="shared" si="167"/>
        <v>0</v>
      </c>
      <c r="AI57" s="972">
        <f t="shared" si="168"/>
        <v>0</v>
      </c>
      <c r="AJ57" s="972">
        <f t="shared" si="169"/>
        <v>0</v>
      </c>
      <c r="AK57" s="972"/>
      <c r="AL57" s="972"/>
      <c r="AM57" s="972"/>
      <c r="AN57" s="972"/>
      <c r="AO57" s="972"/>
      <c r="AP57" s="856"/>
      <c r="AQ57" s="856"/>
      <c r="AR57" s="856"/>
      <c r="AS57" s="856"/>
      <c r="AT57" s="856"/>
      <c r="AU57" s="856"/>
    </row>
    <row r="58" spans="1:47" ht="21" customHeight="1" x14ac:dyDescent="0.3">
      <c r="A58" s="974">
        <v>3</v>
      </c>
      <c r="B58" s="975"/>
      <c r="C58" s="970"/>
      <c r="D58" s="971"/>
      <c r="E58" s="95"/>
      <c r="F58" s="972">
        <f t="shared" si="159"/>
        <v>0</v>
      </c>
      <c r="G58" s="865"/>
      <c r="H58" s="972"/>
      <c r="I58" s="998">
        <f t="shared" si="160"/>
        <v>0</v>
      </c>
      <c r="J58" s="865"/>
      <c r="K58" s="972">
        <f t="shared" si="161"/>
        <v>0</v>
      </c>
      <c r="L58" s="972">
        <f t="shared" si="162"/>
        <v>0</v>
      </c>
      <c r="M58" s="972">
        <f t="shared" ref="M58:M61" si="172">+D58-L58</f>
        <v>0</v>
      </c>
      <c r="N58" s="95"/>
      <c r="O58" s="972">
        <f t="shared" si="170"/>
        <v>0</v>
      </c>
      <c r="P58" s="972">
        <f t="shared" si="170"/>
        <v>0</v>
      </c>
      <c r="Q58" s="972">
        <f t="shared" si="170"/>
        <v>0</v>
      </c>
      <c r="R58" s="972">
        <f t="shared" si="170"/>
        <v>0</v>
      </c>
      <c r="S58" s="972">
        <f t="shared" si="170"/>
        <v>0</v>
      </c>
      <c r="T58" s="866"/>
      <c r="U58" s="972">
        <f t="shared" si="164"/>
        <v>0</v>
      </c>
      <c r="V58" s="972">
        <f t="shared" si="165"/>
        <v>0</v>
      </c>
      <c r="W58" s="972">
        <f t="shared" si="166"/>
        <v>0</v>
      </c>
      <c r="X58" s="865"/>
      <c r="Y58" s="998">
        <f t="shared" si="171"/>
        <v>0</v>
      </c>
      <c r="Z58" s="972"/>
      <c r="AA58" s="972"/>
      <c r="AB58" s="972"/>
      <c r="AC58" s="972"/>
      <c r="AD58" s="865"/>
      <c r="AE58" s="972"/>
      <c r="AF58" s="859"/>
      <c r="AG58" s="858"/>
      <c r="AH58" s="972">
        <f t="shared" si="167"/>
        <v>0</v>
      </c>
      <c r="AI58" s="972">
        <f t="shared" si="168"/>
        <v>0</v>
      </c>
      <c r="AJ58" s="972">
        <f t="shared" si="169"/>
        <v>0</v>
      </c>
      <c r="AK58" s="972"/>
      <c r="AL58" s="972"/>
      <c r="AM58" s="972"/>
      <c r="AN58" s="972"/>
      <c r="AO58" s="972"/>
      <c r="AP58" s="856"/>
      <c r="AQ58" s="856"/>
      <c r="AR58" s="856"/>
      <c r="AS58" s="856"/>
      <c r="AT58" s="856"/>
      <c r="AU58" s="856"/>
    </row>
    <row r="59" spans="1:47" ht="21" customHeight="1" x14ac:dyDescent="0.3">
      <c r="A59" s="980">
        <v>4</v>
      </c>
      <c r="B59" s="981"/>
      <c r="C59" s="970"/>
      <c r="D59" s="971"/>
      <c r="E59" s="95"/>
      <c r="F59" s="972">
        <f t="shared" si="159"/>
        <v>0</v>
      </c>
      <c r="G59" s="865"/>
      <c r="H59" s="972"/>
      <c r="I59" s="998">
        <f t="shared" si="160"/>
        <v>0</v>
      </c>
      <c r="J59" s="865"/>
      <c r="K59" s="972">
        <f t="shared" si="161"/>
        <v>0</v>
      </c>
      <c r="L59" s="972">
        <f t="shared" si="162"/>
        <v>0</v>
      </c>
      <c r="M59" s="972">
        <f t="shared" si="172"/>
        <v>0</v>
      </c>
      <c r="N59" s="95"/>
      <c r="O59" s="972">
        <f t="shared" si="170"/>
        <v>0</v>
      </c>
      <c r="P59" s="972">
        <f t="shared" si="170"/>
        <v>0</v>
      </c>
      <c r="Q59" s="972">
        <f t="shared" si="170"/>
        <v>0</v>
      </c>
      <c r="R59" s="972">
        <f t="shared" si="170"/>
        <v>0</v>
      </c>
      <c r="S59" s="972">
        <f t="shared" si="170"/>
        <v>0</v>
      </c>
      <c r="T59" s="866"/>
      <c r="U59" s="972">
        <f t="shared" si="164"/>
        <v>0</v>
      </c>
      <c r="V59" s="972">
        <f t="shared" si="165"/>
        <v>0</v>
      </c>
      <c r="W59" s="972">
        <f t="shared" si="166"/>
        <v>0</v>
      </c>
      <c r="X59" s="865"/>
      <c r="Y59" s="998">
        <f t="shared" si="171"/>
        <v>0</v>
      </c>
      <c r="Z59" s="972"/>
      <c r="AA59" s="972"/>
      <c r="AB59" s="972"/>
      <c r="AC59" s="972"/>
      <c r="AD59" s="865"/>
      <c r="AE59" s="972"/>
      <c r="AF59" s="859"/>
      <c r="AG59" s="858"/>
      <c r="AH59" s="972">
        <f t="shared" si="167"/>
        <v>0</v>
      </c>
      <c r="AI59" s="972">
        <f t="shared" si="168"/>
        <v>0</v>
      </c>
      <c r="AJ59" s="972">
        <f t="shared" si="169"/>
        <v>0</v>
      </c>
      <c r="AK59" s="972"/>
      <c r="AL59" s="972"/>
      <c r="AM59" s="972"/>
      <c r="AN59" s="972"/>
      <c r="AO59" s="972"/>
      <c r="AP59" s="856"/>
      <c r="AQ59" s="856"/>
      <c r="AR59" s="856"/>
      <c r="AS59" s="856"/>
      <c r="AT59" s="856"/>
      <c r="AU59" s="856"/>
    </row>
    <row r="60" spans="1:47" ht="21" customHeight="1" x14ac:dyDescent="0.3">
      <c r="A60" s="968">
        <v>5</v>
      </c>
      <c r="B60" s="969"/>
      <c r="C60" s="970"/>
      <c r="D60" s="971"/>
      <c r="E60" s="95"/>
      <c r="F60" s="972">
        <f t="shared" si="159"/>
        <v>0</v>
      </c>
      <c r="G60" s="865"/>
      <c r="H60" s="972"/>
      <c r="I60" s="998">
        <f t="shared" si="160"/>
        <v>0</v>
      </c>
      <c r="J60" s="865"/>
      <c r="K60" s="972">
        <f t="shared" si="161"/>
        <v>0</v>
      </c>
      <c r="L60" s="972">
        <f t="shared" ref="L60:L61" si="173">+K60+F60</f>
        <v>0</v>
      </c>
      <c r="M60" s="972">
        <f t="shared" si="172"/>
        <v>0</v>
      </c>
      <c r="N60" s="95"/>
      <c r="O60" s="972">
        <f t="shared" si="170"/>
        <v>0</v>
      </c>
      <c r="P60" s="972">
        <f t="shared" si="170"/>
        <v>0</v>
      </c>
      <c r="Q60" s="972">
        <f t="shared" si="170"/>
        <v>0</v>
      </c>
      <c r="R60" s="972">
        <f t="shared" si="170"/>
        <v>0</v>
      </c>
      <c r="S60" s="972">
        <f t="shared" si="170"/>
        <v>0</v>
      </c>
      <c r="T60" s="866"/>
      <c r="U60" s="972">
        <f t="shared" si="164"/>
        <v>0</v>
      </c>
      <c r="V60" s="972">
        <f t="shared" si="165"/>
        <v>0</v>
      </c>
      <c r="W60" s="972">
        <f t="shared" si="166"/>
        <v>0</v>
      </c>
      <c r="X60" s="865"/>
      <c r="Y60" s="998">
        <f t="shared" si="171"/>
        <v>0</v>
      </c>
      <c r="Z60" s="972"/>
      <c r="AA60" s="972"/>
      <c r="AB60" s="972"/>
      <c r="AC60" s="972"/>
      <c r="AD60" s="865"/>
      <c r="AE60" s="972"/>
      <c r="AF60" s="859"/>
      <c r="AG60" s="858"/>
      <c r="AH60" s="972">
        <f t="shared" si="167"/>
        <v>0</v>
      </c>
      <c r="AI60" s="972">
        <f t="shared" si="168"/>
        <v>0</v>
      </c>
      <c r="AJ60" s="972">
        <f t="shared" si="169"/>
        <v>0</v>
      </c>
      <c r="AK60" s="972"/>
      <c r="AL60" s="972"/>
      <c r="AM60" s="972"/>
      <c r="AN60" s="972"/>
      <c r="AO60" s="972"/>
      <c r="AP60" s="856"/>
      <c r="AQ60" s="856"/>
      <c r="AR60" s="856"/>
      <c r="AS60" s="856"/>
      <c r="AT60" s="856"/>
      <c r="AU60" s="856"/>
    </row>
    <row r="61" spans="1:47" ht="21" customHeight="1" x14ac:dyDescent="0.3">
      <c r="A61" s="974">
        <v>6</v>
      </c>
      <c r="B61" s="982"/>
      <c r="C61" s="983"/>
      <c r="D61" s="984"/>
      <c r="E61" s="997"/>
      <c r="F61" s="996">
        <f t="shared" si="159"/>
        <v>0</v>
      </c>
      <c r="G61" s="862"/>
      <c r="H61" s="972"/>
      <c r="I61" s="998">
        <f t="shared" si="160"/>
        <v>0</v>
      </c>
      <c r="J61" s="865"/>
      <c r="K61" s="994">
        <f t="shared" si="161"/>
        <v>0</v>
      </c>
      <c r="L61" s="1005">
        <f t="shared" si="173"/>
        <v>0</v>
      </c>
      <c r="M61" s="972">
        <f t="shared" si="172"/>
        <v>0</v>
      </c>
      <c r="N61" s="95"/>
      <c r="O61" s="972">
        <f t="shared" si="170"/>
        <v>0</v>
      </c>
      <c r="P61" s="972">
        <f t="shared" si="170"/>
        <v>0</v>
      </c>
      <c r="Q61" s="972">
        <f t="shared" si="170"/>
        <v>0</v>
      </c>
      <c r="R61" s="972">
        <f t="shared" si="170"/>
        <v>0</v>
      </c>
      <c r="S61" s="972">
        <f t="shared" si="170"/>
        <v>0</v>
      </c>
      <c r="T61" s="866"/>
      <c r="U61" s="972">
        <f t="shared" si="164"/>
        <v>0</v>
      </c>
      <c r="V61" s="972">
        <f t="shared" si="165"/>
        <v>0</v>
      </c>
      <c r="W61" s="972">
        <f t="shared" si="166"/>
        <v>0</v>
      </c>
      <c r="X61" s="865"/>
      <c r="Y61" s="998">
        <f t="shared" si="171"/>
        <v>0</v>
      </c>
      <c r="Z61" s="972"/>
      <c r="AA61" s="972"/>
      <c r="AB61" s="972"/>
      <c r="AC61" s="972"/>
      <c r="AD61" s="865"/>
      <c r="AE61" s="972"/>
      <c r="AF61" s="859"/>
      <c r="AG61" s="858"/>
      <c r="AH61" s="994">
        <f t="shared" si="167"/>
        <v>0</v>
      </c>
      <c r="AI61" s="994">
        <f t="shared" si="168"/>
        <v>0</v>
      </c>
      <c r="AJ61" s="994">
        <f t="shared" si="169"/>
        <v>0</v>
      </c>
      <c r="AK61" s="994"/>
      <c r="AL61" s="994"/>
      <c r="AM61" s="994"/>
      <c r="AN61" s="994"/>
      <c r="AO61" s="994"/>
      <c r="AP61" s="856"/>
      <c r="AQ61" s="856"/>
      <c r="AR61" s="856"/>
      <c r="AS61" s="856"/>
      <c r="AT61" s="856"/>
      <c r="AU61" s="856"/>
    </row>
    <row r="62" spans="1:47" s="987" customFormat="1" ht="21" customHeight="1" x14ac:dyDescent="0.3">
      <c r="A62" s="1254" t="s">
        <v>344</v>
      </c>
      <c r="B62" s="1255"/>
      <c r="C62" s="988"/>
      <c r="D62" s="990" t="s">
        <v>29</v>
      </c>
      <c r="E62" s="995"/>
      <c r="F62" s="473">
        <f>SUM(F56:F61)</f>
        <v>0</v>
      </c>
      <c r="G62" s="1000"/>
      <c r="H62" s="480">
        <f>SUM(H56:H61)</f>
        <v>0</v>
      </c>
      <c r="I62" s="480">
        <f>SUM(I56:I61)</f>
        <v>0</v>
      </c>
      <c r="J62" s="992"/>
      <c r="K62" s="480">
        <f t="shared" ref="K62:L62" si="174">SUM(K56:K61)</f>
        <v>0</v>
      </c>
      <c r="L62" s="473">
        <f t="shared" si="174"/>
        <v>0</v>
      </c>
      <c r="M62" s="473">
        <f>SUM(M56:M61)</f>
        <v>0</v>
      </c>
      <c r="N62" s="986"/>
      <c r="O62" s="480">
        <f t="shared" ref="O62" si="175">SUM(O56:O61)</f>
        <v>0</v>
      </c>
      <c r="P62" s="473">
        <f t="shared" ref="P62" si="176">SUM(P56:P61)</f>
        <v>0</v>
      </c>
      <c r="Q62" s="473">
        <f t="shared" ref="Q62" si="177">SUM(Q56:Q61)</f>
        <v>0</v>
      </c>
      <c r="R62" s="473">
        <f t="shared" ref="R62" si="178">SUM(R56:R61)</f>
        <v>0</v>
      </c>
      <c r="S62" s="473">
        <f t="shared" ref="S62" si="179">SUM(S56:S61)</f>
        <v>0</v>
      </c>
      <c r="T62" s="992"/>
      <c r="U62" s="480">
        <f t="shared" ref="U62" si="180">SUM(U56:U61)</f>
        <v>0</v>
      </c>
      <c r="V62" s="473">
        <f t="shared" ref="V62" si="181">SUM(V56:V61)</f>
        <v>0</v>
      </c>
      <c r="W62" s="473">
        <f t="shared" ref="W62" si="182">SUM(W56:W61)</f>
        <v>0</v>
      </c>
      <c r="X62" s="992"/>
      <c r="Y62" s="480">
        <f t="shared" ref="Y62" si="183">SUM(Y56:Y61)</f>
        <v>0</v>
      </c>
      <c r="Z62" s="473">
        <f t="shared" ref="Z62" si="184">SUM(Z56:Z61)</f>
        <v>0</v>
      </c>
      <c r="AA62" s="473">
        <f t="shared" ref="AA62" si="185">SUM(AA56:AA61)</f>
        <v>0</v>
      </c>
      <c r="AB62" s="473">
        <f t="shared" ref="AB62" si="186">SUM(AB56:AB61)</f>
        <v>0</v>
      </c>
      <c r="AC62" s="473">
        <f t="shared" ref="AC62" si="187">SUM(AC56:AC61)</f>
        <v>0</v>
      </c>
      <c r="AD62" s="992"/>
      <c r="AE62" s="480">
        <f t="shared" ref="AE62" si="188">SUM(AE56:AE61)</f>
        <v>0</v>
      </c>
      <c r="AF62" s="989"/>
      <c r="AG62" s="992"/>
      <c r="AH62" s="985">
        <f t="shared" ref="AH56:AH62" si="189">SUM(AI62:AO62)</f>
        <v>0</v>
      </c>
      <c r="AI62" s="985">
        <f t="shared" ref="AI62" si="190">SUM(AJ62:AP62)</f>
        <v>0</v>
      </c>
      <c r="AJ62" s="985">
        <f t="shared" ref="AJ62" si="191">SUM(AK62:AQ62)</f>
        <v>0</v>
      </c>
      <c r="AK62" s="985">
        <f>SUM(AK56:AK61)</f>
        <v>0</v>
      </c>
      <c r="AL62" s="985">
        <f t="shared" ref="AL62:AO62" si="192">SUM(AL56:AL61)</f>
        <v>0</v>
      </c>
      <c r="AM62" s="985">
        <f t="shared" si="192"/>
        <v>0</v>
      </c>
      <c r="AN62" s="985">
        <f t="shared" si="192"/>
        <v>0</v>
      </c>
      <c r="AO62" s="985">
        <f t="shared" si="192"/>
        <v>0</v>
      </c>
    </row>
    <row r="63" spans="1:47" ht="21" customHeight="1" x14ac:dyDescent="0.3">
      <c r="E63" s="95"/>
      <c r="F63" s="87"/>
      <c r="G63" s="87"/>
      <c r="H63" s="87"/>
      <c r="I63" s="87"/>
      <c r="J63" s="87"/>
      <c r="K63" s="87"/>
      <c r="L63" s="87"/>
      <c r="M63" s="87"/>
      <c r="N63" s="95"/>
      <c r="O63" s="87"/>
      <c r="P63" s="87"/>
      <c r="Q63" s="87"/>
      <c r="R63" s="87"/>
      <c r="S63" s="87"/>
      <c r="T63" s="87"/>
      <c r="U63" s="87"/>
      <c r="V63" s="87"/>
      <c r="W63" s="87"/>
      <c r="X63" s="87"/>
      <c r="Y63" s="87"/>
      <c r="Z63" s="87"/>
      <c r="AA63" s="87"/>
      <c r="AB63" s="87"/>
      <c r="AC63" s="87"/>
      <c r="AD63" s="87"/>
      <c r="AE63" s="87"/>
      <c r="AF63" s="279"/>
      <c r="AG63" s="87"/>
      <c r="AH63" s="87"/>
      <c r="AI63" s="279"/>
      <c r="AJ63" s="279"/>
      <c r="AK63" s="87"/>
      <c r="AL63" s="87"/>
      <c r="AM63" s="87"/>
      <c r="AN63" s="87"/>
      <c r="AO63" s="87"/>
    </row>
    <row r="64" spans="1:47" ht="21" customHeight="1" x14ac:dyDescent="0.3">
      <c r="A64" s="100"/>
      <c r="B64" s="100"/>
      <c r="C64" s="100"/>
      <c r="D64" s="94"/>
      <c r="E64" s="95"/>
      <c r="F64" s="94"/>
      <c r="G64" s="94"/>
      <c r="H64" s="106"/>
      <c r="I64" s="106" t="e">
        <f>+#REF!-#REF!</f>
        <v>#REF!</v>
      </c>
      <c r="J64" s="94"/>
      <c r="K64" s="94"/>
      <c r="L64" s="94"/>
      <c r="M64" s="106" t="e">
        <f>+#REF!-#REF!</f>
        <v>#REF!</v>
      </c>
      <c r="N64" s="95"/>
      <c r="O64" s="94">
        <v>60075.331446666671</v>
      </c>
      <c r="P64" s="94">
        <v>74698.309966666668</v>
      </c>
      <c r="Q64" s="94">
        <v>56138.407749999998</v>
      </c>
      <c r="R64" s="94">
        <v>200968.62462520218</v>
      </c>
      <c r="S64" s="94">
        <v>207247.64488753595</v>
      </c>
      <c r="T64" s="94"/>
      <c r="U64" s="94"/>
      <c r="V64" s="94"/>
      <c r="W64" s="94"/>
      <c r="X64" s="94"/>
      <c r="Y64" s="256"/>
      <c r="Z64" s="147"/>
      <c r="AA64" s="147"/>
      <c r="AB64" s="147"/>
      <c r="AC64" s="147"/>
      <c r="AD64" s="103"/>
      <c r="AE64" s="103">
        <v>151273.23706499999</v>
      </c>
      <c r="AF64" s="106"/>
      <c r="AG64" s="139"/>
      <c r="AH64" s="139"/>
      <c r="AI64" s="876"/>
      <c r="AJ64" s="876"/>
      <c r="AK64" s="139"/>
      <c r="AL64" s="139"/>
      <c r="AM64" s="139"/>
      <c r="AN64" s="139"/>
      <c r="AO64" s="139"/>
      <c r="AP64" s="94"/>
      <c r="AQ64" s="94"/>
      <c r="AR64" s="94"/>
      <c r="AS64" s="94"/>
      <c r="AT64" s="94"/>
      <c r="AU64" s="94"/>
    </row>
    <row r="65" spans="1:47" ht="21" customHeight="1" x14ac:dyDescent="0.3">
      <c r="A65" s="100"/>
      <c r="B65" s="100"/>
      <c r="C65" s="100"/>
      <c r="D65" s="94"/>
      <c r="E65" s="95"/>
      <c r="F65" s="94"/>
      <c r="G65" s="94"/>
      <c r="H65" s="106"/>
      <c r="I65" s="106"/>
      <c r="J65" s="94"/>
      <c r="K65" s="94"/>
      <c r="L65" s="94"/>
      <c r="M65" s="106"/>
      <c r="N65" s="95"/>
      <c r="O65" s="94">
        <f>130/175</f>
        <v>0.74285714285714288</v>
      </c>
      <c r="P65" s="94"/>
      <c r="Q65" s="94"/>
      <c r="R65" s="94"/>
      <c r="S65" s="94"/>
      <c r="T65" s="94"/>
      <c r="U65" s="94"/>
      <c r="V65" s="94"/>
      <c r="W65" s="94"/>
      <c r="X65" s="94"/>
      <c r="Y65" s="103"/>
      <c r="Z65" s="103"/>
      <c r="AA65" s="103"/>
      <c r="AB65" s="103"/>
      <c r="AC65" s="103"/>
      <c r="AD65" s="103"/>
      <c r="AE65" s="103">
        <v>1393604.961203143</v>
      </c>
      <c r="AF65" s="106"/>
      <c r="AG65" s="94"/>
      <c r="AH65" s="94"/>
      <c r="AK65" s="94"/>
      <c r="AL65" s="94"/>
      <c r="AM65" s="94"/>
      <c r="AN65" s="94"/>
      <c r="AO65" s="94"/>
      <c r="AP65" s="94"/>
      <c r="AQ65" s="94"/>
      <c r="AR65" s="94"/>
      <c r="AS65" s="94"/>
      <c r="AT65" s="94"/>
      <c r="AU65" s="94"/>
    </row>
    <row r="66" spans="1:47" ht="21" customHeight="1" x14ac:dyDescent="0.3">
      <c r="A66" s="100"/>
      <c r="B66" s="100"/>
      <c r="C66" s="100"/>
      <c r="D66" s="94"/>
      <c r="E66" s="95"/>
      <c r="F66" s="94"/>
      <c r="G66" s="94"/>
      <c r="H66" s="106"/>
      <c r="I66" s="106"/>
      <c r="J66" s="94"/>
      <c r="K66" s="94"/>
      <c r="L66" s="94"/>
      <c r="M66" s="106"/>
      <c r="N66" s="95"/>
      <c r="O66" s="94"/>
      <c r="P66" s="94"/>
      <c r="Q66" s="94"/>
      <c r="R66" s="94"/>
      <c r="S66" s="94"/>
      <c r="T66" s="94"/>
      <c r="U66" s="94"/>
      <c r="V66" s="94"/>
      <c r="W66" s="94"/>
      <c r="X66" s="94"/>
      <c r="Y66" s="104"/>
      <c r="Z66" s="104"/>
      <c r="AA66" s="94"/>
      <c r="AB66" s="94"/>
      <c r="AC66" s="94"/>
      <c r="AD66" s="94"/>
      <c r="AE66" s="104" t="e">
        <f>+#REF!-AE65</f>
        <v>#REF!</v>
      </c>
      <c r="AF66" s="106"/>
      <c r="AG66" s="94"/>
      <c r="AH66" s="94"/>
      <c r="AK66" s="94"/>
      <c r="AL66" s="94"/>
      <c r="AM66" s="94"/>
      <c r="AN66" s="94"/>
      <c r="AO66" s="94"/>
      <c r="AP66" s="94"/>
      <c r="AQ66" s="94"/>
      <c r="AR66" s="94"/>
      <c r="AS66" s="94"/>
      <c r="AT66" s="94"/>
      <c r="AU66" s="94"/>
    </row>
    <row r="67" spans="1:47" ht="21" customHeight="1" x14ac:dyDescent="0.3">
      <c r="A67" s="100"/>
      <c r="B67" s="100"/>
      <c r="C67" s="100"/>
      <c r="D67" s="94"/>
      <c r="E67" s="95"/>
      <c r="F67" s="94"/>
      <c r="G67" s="94"/>
      <c r="H67" s="94"/>
      <c r="I67" s="106"/>
      <c r="J67" s="94"/>
      <c r="K67" s="94"/>
      <c r="L67" s="94"/>
      <c r="M67" s="106"/>
      <c r="N67" s="95"/>
      <c r="O67" s="106"/>
      <c r="P67" s="106"/>
      <c r="Q67" s="106"/>
      <c r="R67" s="106"/>
      <c r="S67" s="106"/>
      <c r="T67" s="94"/>
      <c r="U67" s="94"/>
      <c r="V67" s="94"/>
      <c r="W67" s="94"/>
      <c r="X67" s="94"/>
      <c r="Y67" s="149"/>
      <c r="Z67" s="103"/>
      <c r="AA67" s="94"/>
      <c r="AB67" s="94"/>
      <c r="AC67" s="94"/>
      <c r="AD67" s="94"/>
      <c r="AE67" s="329"/>
      <c r="AF67" s="106"/>
      <c r="AG67" s="94"/>
      <c r="AH67" s="94"/>
      <c r="AK67" s="94"/>
      <c r="AL67" s="94"/>
      <c r="AM67" s="94"/>
      <c r="AN67" s="94"/>
      <c r="AO67" s="94"/>
      <c r="AP67" s="94"/>
      <c r="AQ67" s="94"/>
      <c r="AR67" s="94"/>
      <c r="AS67" s="94"/>
      <c r="AT67" s="94"/>
      <c r="AU67" s="94"/>
    </row>
    <row r="68" spans="1:47" ht="21" customHeight="1" x14ac:dyDescent="0.3">
      <c r="A68" s="100"/>
      <c r="B68" s="100"/>
      <c r="C68" s="100"/>
      <c r="D68" s="94"/>
      <c r="E68" s="95"/>
      <c r="F68" s="94"/>
      <c r="G68" s="94"/>
      <c r="H68" s="94"/>
      <c r="I68" s="106"/>
      <c r="J68" s="94"/>
      <c r="K68" s="94"/>
      <c r="L68" s="94"/>
      <c r="M68" s="106"/>
      <c r="N68" s="95"/>
      <c r="O68" s="106"/>
      <c r="P68" s="106"/>
      <c r="Q68" s="106"/>
      <c r="R68" s="106"/>
      <c r="S68" s="106"/>
      <c r="T68" s="94"/>
      <c r="U68" s="94"/>
      <c r="V68" s="94"/>
      <c r="W68" s="94"/>
      <c r="X68" s="94"/>
      <c r="Y68" s="94"/>
      <c r="Z68" s="103"/>
      <c r="AA68" s="94"/>
      <c r="AB68" s="94"/>
      <c r="AC68" s="94"/>
      <c r="AD68" s="94"/>
      <c r="AE68" s="94"/>
      <c r="AF68" s="106"/>
      <c r="AG68" s="94"/>
      <c r="AH68" s="94"/>
      <c r="AK68" s="94"/>
      <c r="AL68" s="94"/>
      <c r="AM68" s="94"/>
      <c r="AN68" s="94"/>
      <c r="AO68" s="94"/>
      <c r="AP68" s="94"/>
      <c r="AQ68" s="94"/>
      <c r="AR68" s="94"/>
      <c r="AS68" s="94"/>
      <c r="AT68" s="94"/>
      <c r="AU68" s="94"/>
    </row>
    <row r="69" spans="1:47" ht="21" customHeight="1" x14ac:dyDescent="0.3">
      <c r="A69" s="100"/>
      <c r="B69" s="100"/>
      <c r="C69" s="100"/>
      <c r="D69" s="94"/>
      <c r="E69" s="95"/>
      <c r="F69" s="94"/>
      <c r="G69" s="94"/>
      <c r="H69" s="94"/>
      <c r="I69" s="106"/>
      <c r="J69" s="94"/>
      <c r="K69" s="94"/>
      <c r="L69" s="94"/>
      <c r="M69" s="106"/>
      <c r="N69" s="95"/>
      <c r="O69" s="94"/>
      <c r="P69" s="94"/>
      <c r="Q69" s="94"/>
      <c r="R69" s="94"/>
      <c r="S69" s="94"/>
      <c r="T69" s="94"/>
      <c r="U69" s="94"/>
      <c r="V69" s="94"/>
      <c r="W69" s="94"/>
      <c r="X69" s="94"/>
      <c r="Y69" s="257"/>
      <c r="Z69" s="257"/>
      <c r="AA69" s="94"/>
      <c r="AB69" s="109"/>
      <c r="AC69" s="94"/>
      <c r="AD69" s="94"/>
      <c r="AE69" s="103" t="e">
        <f>+#REF!-AE64</f>
        <v>#REF!</v>
      </c>
      <c r="AF69" s="106"/>
      <c r="AG69" s="94"/>
      <c r="AH69" s="94"/>
      <c r="AK69" s="94"/>
      <c r="AL69" s="94"/>
      <c r="AM69" s="94"/>
      <c r="AN69" s="94"/>
      <c r="AO69" s="94"/>
      <c r="AP69" s="94"/>
      <c r="AQ69" s="94"/>
      <c r="AR69" s="94"/>
      <c r="AS69" s="94"/>
      <c r="AT69" s="94"/>
      <c r="AU69" s="94"/>
    </row>
    <row r="70" spans="1:47" ht="21" customHeight="1" x14ac:dyDescent="0.3">
      <c r="A70" s="100"/>
      <c r="B70" s="118"/>
      <c r="C70" s="100"/>
      <c r="D70" s="94"/>
      <c r="E70" s="95"/>
      <c r="F70" s="94"/>
      <c r="G70" s="94"/>
      <c r="H70" s="94"/>
      <c r="I70" s="94"/>
      <c r="J70" s="94"/>
      <c r="K70" s="94"/>
      <c r="L70" s="94"/>
      <c r="M70" s="94"/>
      <c r="N70" s="95"/>
      <c r="O70" s="94"/>
      <c r="P70" s="94"/>
      <c r="Q70" s="94"/>
      <c r="R70" s="94"/>
      <c r="S70" s="94"/>
      <c r="T70" s="94"/>
      <c r="U70" s="94"/>
      <c r="V70" s="94"/>
      <c r="W70" s="94"/>
      <c r="X70" s="94"/>
      <c r="Y70" s="109"/>
      <c r="Z70" s="94"/>
      <c r="AA70" s="109"/>
      <c r="AB70" s="109"/>
      <c r="AC70" s="109"/>
      <c r="AD70" s="94"/>
      <c r="AE70" s="94"/>
      <c r="AF70" s="152"/>
      <c r="AG70" s="94"/>
      <c r="AH70" s="94"/>
      <c r="AI70" s="152"/>
      <c r="AJ70" s="152"/>
      <c r="AK70" s="94"/>
      <c r="AL70" s="94"/>
      <c r="AM70" s="94"/>
      <c r="AN70" s="94"/>
      <c r="AO70" s="94"/>
      <c r="AP70" s="94"/>
      <c r="AQ70" s="94"/>
      <c r="AR70" s="94"/>
      <c r="AS70" s="94"/>
      <c r="AT70" s="94"/>
      <c r="AU70" s="94"/>
    </row>
    <row r="71" spans="1:47" ht="21" customHeight="1" x14ac:dyDescent="0.3">
      <c r="A71" s="100"/>
      <c r="B71" s="118"/>
      <c r="C71" s="100"/>
      <c r="D71" s="94"/>
      <c r="E71" s="95"/>
      <c r="F71" s="94"/>
      <c r="G71" s="94"/>
      <c r="H71" s="94"/>
      <c r="I71" s="94"/>
      <c r="J71" s="94"/>
      <c r="K71" s="94"/>
      <c r="L71" s="94"/>
      <c r="M71" s="94"/>
      <c r="N71" s="95"/>
      <c r="O71" s="94"/>
      <c r="P71" s="94"/>
      <c r="Q71" s="94"/>
      <c r="R71" s="94"/>
      <c r="S71" s="94"/>
      <c r="T71" s="94"/>
      <c r="U71" s="94"/>
      <c r="V71" s="94"/>
      <c r="W71" s="94"/>
      <c r="X71" s="94"/>
      <c r="Y71" s="94"/>
      <c r="Z71" s="94"/>
      <c r="AA71" s="109"/>
      <c r="AB71" s="109"/>
      <c r="AC71" s="94"/>
      <c r="AD71" s="94"/>
      <c r="AE71" s="94"/>
      <c r="AF71" s="152"/>
      <c r="AG71" s="94"/>
      <c r="AH71" s="94"/>
      <c r="AK71" s="94"/>
      <c r="AL71" s="94"/>
      <c r="AM71" s="94"/>
      <c r="AN71" s="94"/>
      <c r="AO71" s="94"/>
      <c r="AP71" s="94"/>
      <c r="AQ71" s="94"/>
      <c r="AR71" s="94"/>
      <c r="AS71" s="94"/>
      <c r="AT71" s="94"/>
      <c r="AU71" s="94"/>
    </row>
    <row r="72" spans="1:47" ht="21" customHeight="1" x14ac:dyDescent="0.3">
      <c r="A72" s="100"/>
      <c r="B72" s="118"/>
      <c r="C72" s="100"/>
      <c r="D72" s="94"/>
      <c r="E72" s="95"/>
      <c r="F72" s="94"/>
      <c r="G72" s="94"/>
      <c r="H72" s="94"/>
      <c r="I72" s="94"/>
      <c r="J72" s="94"/>
      <c r="K72" s="94"/>
      <c r="L72" s="94"/>
      <c r="M72" s="94"/>
      <c r="N72" s="95"/>
      <c r="O72" s="94"/>
      <c r="P72" s="94"/>
      <c r="Q72" s="94"/>
      <c r="R72" s="94"/>
      <c r="S72" s="94"/>
      <c r="T72" s="94"/>
      <c r="U72" s="94"/>
      <c r="V72" s="94"/>
      <c r="W72" s="94"/>
      <c r="X72" s="94"/>
      <c r="Y72" s="94"/>
      <c r="Z72" s="94"/>
      <c r="AA72" s="94"/>
      <c r="AB72" s="114"/>
      <c r="AC72" s="94"/>
      <c r="AD72" s="94"/>
      <c r="AE72" s="94"/>
      <c r="AF72" s="152"/>
      <c r="AG72" s="94"/>
      <c r="AH72" s="114" t="s">
        <v>64</v>
      </c>
      <c r="AI72" s="152"/>
      <c r="AJ72" s="152"/>
      <c r="AK72" s="94"/>
      <c r="AL72" s="94"/>
      <c r="AM72" s="94"/>
      <c r="AN72" s="94"/>
      <c r="AO72" s="94"/>
      <c r="AP72" s="94"/>
      <c r="AQ72" s="94"/>
      <c r="AR72" s="94"/>
      <c r="AS72" s="94"/>
      <c r="AT72" s="94"/>
      <c r="AU72" s="94"/>
    </row>
    <row r="73" spans="1:47" ht="21" customHeight="1" x14ac:dyDescent="0.3">
      <c r="B73" s="118"/>
      <c r="E73" s="95"/>
      <c r="N73" s="95"/>
      <c r="AE73" s="114"/>
      <c r="AF73" s="152"/>
      <c r="AG73" s="94"/>
      <c r="AH73" s="114" t="s">
        <v>65</v>
      </c>
      <c r="AI73" s="152"/>
      <c r="AJ73" s="152"/>
      <c r="AL73" s="94"/>
      <c r="AM73" s="94"/>
      <c r="AN73" s="94"/>
      <c r="AO73" s="94"/>
    </row>
    <row r="74" spans="1:47" ht="21" customHeight="1" x14ac:dyDescent="0.3">
      <c r="E74" s="95"/>
      <c r="N74" s="95"/>
      <c r="AF74" s="152"/>
      <c r="AH74" s="2" t="s">
        <v>66</v>
      </c>
      <c r="AI74" s="152"/>
      <c r="AJ74" s="152"/>
      <c r="AK74" s="114"/>
    </row>
    <row r="75" spans="1:47" ht="21" customHeight="1" x14ac:dyDescent="0.3">
      <c r="E75" s="95"/>
      <c r="N75" s="95"/>
      <c r="AF75" s="152"/>
      <c r="AH75" s="2" t="s">
        <v>67</v>
      </c>
    </row>
    <row r="76" spans="1:47" ht="21" customHeight="1" x14ac:dyDescent="0.3">
      <c r="E76" s="95"/>
      <c r="M76" s="172"/>
      <c r="N76" s="95"/>
      <c r="AF76" s="152"/>
      <c r="AI76" s="152"/>
      <c r="AJ76" s="152"/>
    </row>
    <row r="77" spans="1:47" ht="21" customHeight="1" x14ac:dyDescent="0.3">
      <c r="E77" s="95"/>
      <c r="N77" s="95"/>
      <c r="Z77" s="87"/>
      <c r="AF77" s="152"/>
      <c r="AI77" s="152"/>
      <c r="AJ77" s="152"/>
    </row>
    <row r="78" spans="1:47" ht="21" customHeight="1" x14ac:dyDescent="0.3">
      <c r="L78" s="87"/>
      <c r="N78" s="95"/>
      <c r="Z78" s="499"/>
      <c r="AF78" s="152"/>
      <c r="AI78" s="952"/>
      <c r="AJ78" s="952"/>
    </row>
    <row r="79" spans="1:47" ht="21" customHeight="1" x14ac:dyDescent="0.3">
      <c r="B79" s="465"/>
      <c r="L79" s="449"/>
      <c r="N79" s="95"/>
      <c r="Y79" s="110"/>
      <c r="AF79" s="152"/>
    </row>
    <row r="80" spans="1:47" ht="21" customHeight="1" x14ac:dyDescent="0.3">
      <c r="B80" s="465"/>
      <c r="N80" s="95"/>
      <c r="AF80" s="152"/>
    </row>
    <row r="81" spans="14:32" ht="21" customHeight="1" x14ac:dyDescent="0.3">
      <c r="N81" s="95"/>
      <c r="AF81" s="152"/>
    </row>
    <row r="82" spans="14:32" ht="21" customHeight="1" x14ac:dyDescent="0.3">
      <c r="N82" s="95"/>
      <c r="AF82" s="152"/>
    </row>
  </sheetData>
  <mergeCells count="27">
    <mergeCell ref="AO9:AO11"/>
    <mergeCell ref="AI9:AI11"/>
    <mergeCell ref="A62:B62"/>
    <mergeCell ref="A27:B27"/>
    <mergeCell ref="A38:B38"/>
    <mergeCell ref="A46:B46"/>
    <mergeCell ref="A54:B54"/>
    <mergeCell ref="A19:B19"/>
    <mergeCell ref="AN9:AN11"/>
    <mergeCell ref="O9:S9"/>
    <mergeCell ref="A9:A11"/>
    <mergeCell ref="B9:B11"/>
    <mergeCell ref="K9:K11"/>
    <mergeCell ref="L9:L11"/>
    <mergeCell ref="U9:W10"/>
    <mergeCell ref="AH9:AH11"/>
    <mergeCell ref="AK9:AK11"/>
    <mergeCell ref="AL9:AL11"/>
    <mergeCell ref="AM9:AM11"/>
    <mergeCell ref="AE9:AE10"/>
    <mergeCell ref="AJ9:AJ11"/>
    <mergeCell ref="Y9:AC10"/>
    <mergeCell ref="M9:M11"/>
    <mergeCell ref="C9:C11"/>
    <mergeCell ref="D9:D11"/>
    <mergeCell ref="F9:F11"/>
    <mergeCell ref="H9:I10"/>
  </mergeCells>
  <pageMargins left="0.19685039370078741" right="0.19685039370078741" top="0.74803149606299213" bottom="0.74803149606299213" header="0.31496062992125984" footer="0.31496062992125984"/>
  <pageSetup paperSize="9" scale="1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pageSetUpPr fitToPage="1"/>
  </sheetPr>
  <dimension ref="A1:BB86"/>
  <sheetViews>
    <sheetView showGridLines="0" topLeftCell="L22" zoomScale="55" zoomScaleNormal="55" workbookViewId="0">
      <selection activeCell="Y66" sqref="Y66"/>
    </sheetView>
  </sheetViews>
  <sheetFormatPr baseColWidth="10" defaultColWidth="11.42578125" defaultRowHeight="21" customHeight="1" outlineLevelRow="1" outlineLevelCol="2" x14ac:dyDescent="0.3"/>
  <cols>
    <col min="1" max="1" width="13.85546875" style="86" customWidth="1"/>
    <col min="2" max="2" width="85.140625" style="86" bestFit="1" customWidth="1"/>
    <col min="3" max="4" width="15.7109375" style="2" customWidth="1"/>
    <col min="5" max="5" width="2.7109375" style="2" customWidth="1"/>
    <col min="6" max="6" width="21.85546875" style="2" bestFit="1" customWidth="1"/>
    <col min="7" max="7" width="2.7109375" style="2" customWidth="1"/>
    <col min="8" max="8" width="21.140625" style="2" bestFit="1" customWidth="1"/>
    <col min="9" max="9" width="21.28515625" style="2" bestFit="1" customWidth="1"/>
    <col min="10" max="10" width="2.85546875" style="2" customWidth="1"/>
    <col min="11" max="11" width="27.85546875" style="2" customWidth="1"/>
    <col min="12" max="12" width="32.140625" style="2" bestFit="1" customWidth="1"/>
    <col min="13" max="13" width="23.28515625" style="2" customWidth="1"/>
    <col min="14" max="14" width="2.85546875" style="2" customWidth="1"/>
    <col min="15" max="19" width="16.28515625" style="2" customWidth="1" outlineLevel="1"/>
    <col min="20" max="20" width="2.7109375" style="2" customWidth="1"/>
    <col min="21" max="21" width="24.28515625" style="2" bestFit="1" customWidth="1"/>
    <col min="22" max="22" width="24.140625" style="2" bestFit="1" customWidth="1"/>
    <col min="23" max="23" width="21.85546875" style="2" bestFit="1" customWidth="1"/>
    <col min="24" max="24" width="2.7109375" style="2" customWidth="1"/>
    <col min="25" max="25" width="25.5703125" style="2" bestFit="1" customWidth="1"/>
    <col min="26" max="26" width="26.28515625" style="2" bestFit="1" customWidth="1"/>
    <col min="27" max="27" width="16.85546875" style="2" customWidth="1"/>
    <col min="28" max="28" width="18.28515625" style="2" customWidth="1"/>
    <col min="29" max="29" width="25.28515625" style="2" customWidth="1"/>
    <col min="30" max="30" width="2.85546875" style="5" customWidth="1" outlineLevel="1"/>
    <col min="31" max="31" width="27.85546875" style="2" bestFit="1" customWidth="1" outlineLevel="1"/>
    <col min="32" max="32" width="13.140625" style="114" customWidth="1"/>
    <col min="33" max="33" width="13.140625" style="2" customWidth="1"/>
    <col min="34" max="34" width="21.28515625" style="2" bestFit="1" customWidth="1" outlineLevel="1"/>
    <col min="35" max="36" width="22.140625" style="2" customWidth="1" outlineLevel="1"/>
    <col min="37" max="37" width="17.28515625" style="2" customWidth="1" outlineLevel="2"/>
    <col min="38" max="39" width="17.85546875" style="2" customWidth="1" outlineLevel="2"/>
    <col min="40" max="40" width="18.42578125" style="2" customWidth="1" outlineLevel="2"/>
    <col min="41" max="41" width="17.28515625" style="2" customWidth="1" outlineLevel="2"/>
    <col min="42" max="42" width="11.42578125" style="2" outlineLevel="1"/>
    <col min="43" max="16384" width="11.42578125" style="2"/>
  </cols>
  <sheetData>
    <row r="1" spans="1:54" ht="31.5" customHeight="1" x14ac:dyDescent="0.35">
      <c r="A1" s="88" t="s">
        <v>130</v>
      </c>
      <c r="B1" s="89"/>
      <c r="C1" s="89"/>
      <c r="D1" s="89"/>
      <c r="E1" s="89"/>
      <c r="F1" s="89"/>
      <c r="G1" s="89"/>
      <c r="H1" s="89"/>
      <c r="I1" s="89"/>
      <c r="J1" s="89"/>
      <c r="K1" s="89"/>
      <c r="L1" s="89"/>
      <c r="M1" s="89"/>
      <c r="N1" s="89"/>
      <c r="O1" s="89"/>
      <c r="P1" s="89"/>
      <c r="Q1" s="89"/>
      <c r="R1" s="89"/>
      <c r="S1" s="89"/>
      <c r="T1" s="89"/>
      <c r="U1" s="89"/>
      <c r="V1" s="89"/>
      <c r="W1" s="89"/>
      <c r="X1" s="89"/>
      <c r="Y1" s="89"/>
      <c r="Z1" s="89"/>
      <c r="AA1" s="285"/>
      <c r="AB1" s="89"/>
      <c r="AC1" s="89"/>
      <c r="AD1" s="920"/>
      <c r="AE1" s="89"/>
      <c r="AG1" s="94"/>
      <c r="AH1" s="94"/>
      <c r="AI1" s="94"/>
      <c r="AJ1" s="94"/>
      <c r="AK1" s="94"/>
      <c r="AL1" s="94"/>
      <c r="AM1" s="94"/>
      <c r="AN1" s="94"/>
      <c r="AO1" s="94"/>
      <c r="AP1" s="94"/>
      <c r="AQ1" s="94"/>
      <c r="AR1" s="94"/>
      <c r="AS1" s="94"/>
      <c r="AT1" s="94"/>
      <c r="AU1" s="94"/>
      <c r="AV1" s="94"/>
      <c r="AW1" s="94"/>
      <c r="AX1" s="94"/>
      <c r="AY1" s="94"/>
      <c r="AZ1" s="94"/>
      <c r="BA1" s="94"/>
      <c r="BB1" s="94"/>
    </row>
    <row r="2" spans="1:54" ht="21" customHeight="1" x14ac:dyDescent="0.35">
      <c r="A2" s="244" t="s">
        <v>433</v>
      </c>
      <c r="B2" s="88"/>
      <c r="C2" s="86"/>
      <c r="D2" s="86"/>
      <c r="E2" s="86"/>
      <c r="F2" s="86"/>
      <c r="G2" s="86"/>
      <c r="H2" s="86"/>
      <c r="I2" s="86"/>
      <c r="J2" s="86"/>
      <c r="K2" s="86"/>
      <c r="L2" s="86"/>
      <c r="M2" s="86"/>
      <c r="N2" s="86"/>
      <c r="O2" s="86"/>
      <c r="P2" s="86"/>
      <c r="Q2" s="86"/>
      <c r="R2" s="86"/>
      <c r="S2" s="86"/>
      <c r="T2" s="86"/>
      <c r="U2" s="86"/>
      <c r="V2" s="86"/>
      <c r="W2" s="86"/>
      <c r="X2" s="86"/>
      <c r="Y2" s="86"/>
      <c r="Z2" s="86"/>
      <c r="AA2" s="285"/>
      <c r="AB2" s="86"/>
      <c r="AC2" s="86"/>
      <c r="AD2" s="28"/>
      <c r="AE2" s="86"/>
      <c r="AG2" s="94"/>
      <c r="AH2" s="94"/>
      <c r="AI2" s="94"/>
      <c r="AJ2" s="94"/>
      <c r="AK2" s="94"/>
      <c r="AL2" s="94"/>
      <c r="AM2" s="94"/>
      <c r="AN2" s="94"/>
      <c r="AO2" s="94"/>
      <c r="AP2" s="94"/>
      <c r="AQ2" s="94"/>
      <c r="AR2" s="94"/>
      <c r="AS2" s="94"/>
      <c r="AT2" s="94"/>
      <c r="AU2" s="94"/>
      <c r="AV2" s="94"/>
      <c r="AW2" s="94"/>
      <c r="AX2" s="94"/>
      <c r="AY2" s="94"/>
      <c r="AZ2" s="94"/>
      <c r="BA2" s="94"/>
      <c r="BB2" s="94"/>
    </row>
    <row r="3" spans="1:54" ht="11.25" customHeight="1" x14ac:dyDescent="0.3">
      <c r="AG3" s="94"/>
      <c r="AH3" s="94"/>
      <c r="AI3" s="94"/>
      <c r="AJ3" s="94"/>
      <c r="AK3" s="94"/>
      <c r="AL3" s="94"/>
      <c r="AM3" s="94"/>
      <c r="AN3" s="94"/>
      <c r="AO3" s="94"/>
      <c r="AP3" s="94"/>
      <c r="AQ3" s="94"/>
      <c r="AR3" s="94"/>
      <c r="AS3" s="94"/>
      <c r="AT3" s="94"/>
      <c r="AU3" s="94"/>
      <c r="AV3" s="94"/>
      <c r="AW3" s="94"/>
      <c r="AX3" s="94"/>
      <c r="AY3" s="94"/>
      <c r="AZ3" s="94"/>
      <c r="BA3" s="94"/>
      <c r="BB3" s="94"/>
    </row>
    <row r="4" spans="1:54" ht="11.25" customHeight="1" x14ac:dyDescent="0.3">
      <c r="AG4" s="94"/>
      <c r="AH4" s="94"/>
      <c r="AI4" s="94"/>
      <c r="AJ4" s="94"/>
      <c r="AK4" s="94"/>
      <c r="AL4" s="94"/>
      <c r="AM4" s="94"/>
      <c r="AN4" s="94"/>
      <c r="AO4" s="94"/>
      <c r="AP4" s="94"/>
      <c r="AQ4" s="94"/>
      <c r="AR4" s="94"/>
      <c r="AS4" s="94"/>
      <c r="AT4" s="94"/>
      <c r="AU4" s="94"/>
      <c r="AV4" s="94"/>
      <c r="AW4" s="94"/>
      <c r="AX4" s="94"/>
      <c r="AY4" s="94"/>
      <c r="AZ4" s="94"/>
      <c r="BA4" s="94"/>
      <c r="BB4" s="94"/>
    </row>
    <row r="5" spans="1:54" s="86" customFormat="1" ht="21" customHeight="1" x14ac:dyDescent="0.3">
      <c r="A5" s="90" t="s">
        <v>52</v>
      </c>
      <c r="B5" s="90" t="str">
        <f>+Mat!B5</f>
        <v>EL BOSQUE - CERCO + INGRESOS Y CASETAS</v>
      </c>
      <c r="C5" s="90"/>
      <c r="D5" s="90"/>
      <c r="E5" s="91"/>
      <c r="F5" s="90"/>
      <c r="G5" s="90"/>
      <c r="H5" s="90"/>
      <c r="I5" s="90"/>
      <c r="J5" s="90"/>
      <c r="K5" s="91" t="s">
        <v>53</v>
      </c>
      <c r="L5" s="90"/>
      <c r="M5" s="165"/>
      <c r="N5" s="268"/>
      <c r="O5" s="90"/>
      <c r="P5" s="90"/>
      <c r="Q5" s="92"/>
      <c r="R5" s="92"/>
      <c r="S5" s="92"/>
      <c r="T5" s="90"/>
      <c r="U5" s="90"/>
      <c r="V5" s="90"/>
      <c r="W5" s="90"/>
      <c r="X5" s="90"/>
      <c r="Y5" s="90"/>
      <c r="Z5" s="90"/>
      <c r="AA5" s="90"/>
      <c r="AB5" s="90"/>
      <c r="AC5" s="90"/>
      <c r="AD5" s="28"/>
      <c r="AE5" s="90"/>
      <c r="AF5" s="118"/>
      <c r="AG5" s="156"/>
      <c r="AH5" s="156"/>
      <c r="AI5" s="156"/>
      <c r="AJ5" s="156"/>
    </row>
    <row r="6" spans="1:54" s="86" customFormat="1" ht="21" customHeight="1" x14ac:dyDescent="0.3">
      <c r="A6" s="90" t="s">
        <v>54</v>
      </c>
      <c r="B6" s="90">
        <f>+Mat!B6</f>
        <v>0</v>
      </c>
      <c r="C6" s="90"/>
      <c r="D6" s="90"/>
      <c r="E6" s="91"/>
      <c r="F6" s="90"/>
      <c r="G6" s="90"/>
      <c r="H6" s="90"/>
      <c r="I6" s="90"/>
      <c r="J6" s="90"/>
      <c r="K6" s="91" t="s">
        <v>55</v>
      </c>
      <c r="L6" s="90"/>
      <c r="M6" s="165"/>
      <c r="N6" s="90"/>
      <c r="O6" s="90"/>
      <c r="P6" s="90"/>
      <c r="Q6" s="90"/>
      <c r="R6" s="90"/>
      <c r="S6" s="90"/>
      <c r="T6" s="90"/>
      <c r="U6" s="90"/>
      <c r="V6" s="90"/>
      <c r="W6" s="90"/>
      <c r="X6" s="90"/>
      <c r="Y6" s="90"/>
      <c r="Z6" s="90"/>
      <c r="AA6" s="90"/>
      <c r="AB6" s="90"/>
      <c r="AC6" s="90"/>
      <c r="AD6" s="28"/>
      <c r="AE6" s="90"/>
      <c r="AF6" s="118"/>
      <c r="AG6" s="156"/>
      <c r="AH6" s="156"/>
      <c r="AI6" s="244"/>
      <c r="AJ6" s="244" t="str">
        <f>+A2</f>
        <v>MES DE ENERO DEL 2025</v>
      </c>
    </row>
    <row r="7" spans="1:54" ht="28.5" customHeight="1" x14ac:dyDescent="0.3">
      <c r="A7" s="88"/>
      <c r="AI7" s="266"/>
      <c r="AJ7" s="266"/>
      <c r="AK7" s="94"/>
      <c r="AL7" s="94"/>
      <c r="AM7" s="94"/>
      <c r="AN7" s="94"/>
      <c r="AO7" s="94"/>
    </row>
    <row r="8" spans="1:54" ht="12.75" customHeight="1" x14ac:dyDescent="0.3">
      <c r="O8" s="94">
        <f t="shared" ref="O8:S8" si="0">+YEAR(O11)</f>
        <v>2025</v>
      </c>
      <c r="P8" s="94">
        <f t="shared" si="0"/>
        <v>2025</v>
      </c>
      <c r="Q8" s="94">
        <f t="shared" si="0"/>
        <v>2025</v>
      </c>
      <c r="R8" s="94">
        <f t="shared" si="0"/>
        <v>2025</v>
      </c>
      <c r="S8" s="94">
        <f t="shared" si="0"/>
        <v>2025</v>
      </c>
    </row>
    <row r="9" spans="1:54" s="95" customFormat="1" ht="18.75" customHeight="1" x14ac:dyDescent="0.25">
      <c r="A9" s="1238" t="s">
        <v>56</v>
      </c>
      <c r="B9" s="1238" t="s">
        <v>57</v>
      </c>
      <c r="C9" s="1238" t="s">
        <v>58</v>
      </c>
      <c r="D9" s="1241" t="s">
        <v>59</v>
      </c>
      <c r="F9" s="1241" t="s">
        <v>60</v>
      </c>
      <c r="H9" s="1244" t="str">
        <f>+A2</f>
        <v>MES DE ENERO DEL 2025</v>
      </c>
      <c r="I9" s="1245"/>
      <c r="K9" s="1237" t="s">
        <v>434</v>
      </c>
      <c r="L9" s="1237" t="s">
        <v>39</v>
      </c>
      <c r="M9" s="1237" t="s">
        <v>40</v>
      </c>
      <c r="O9" s="1262" t="s">
        <v>0</v>
      </c>
      <c r="P9" s="1263"/>
      <c r="Q9" s="1263"/>
      <c r="R9" s="1263"/>
      <c r="S9" s="1263"/>
      <c r="U9" s="1231" t="s">
        <v>41</v>
      </c>
      <c r="V9" s="1232"/>
      <c r="W9" s="1233"/>
      <c r="Y9" s="1231" t="s">
        <v>1</v>
      </c>
      <c r="Z9" s="1232"/>
      <c r="AA9" s="1232"/>
      <c r="AB9" s="1232"/>
      <c r="AC9" s="1233"/>
      <c r="AD9" s="877"/>
      <c r="AE9" s="1241" t="s">
        <v>435</v>
      </c>
      <c r="AF9" s="260"/>
      <c r="AH9" s="1259" t="s">
        <v>30</v>
      </c>
      <c r="AI9" s="1251" t="s">
        <v>343</v>
      </c>
      <c r="AJ9" s="1251" t="s">
        <v>35</v>
      </c>
      <c r="AK9" s="1248">
        <v>45597</v>
      </c>
      <c r="AL9" s="1248">
        <v>45627</v>
      </c>
      <c r="AM9" s="1248">
        <v>45658</v>
      </c>
      <c r="AN9" s="1248">
        <v>45689</v>
      </c>
      <c r="AO9" s="1248">
        <v>45717</v>
      </c>
    </row>
    <row r="10" spans="1:54" s="95" customFormat="1" ht="18.75" x14ac:dyDescent="0.25">
      <c r="A10" s="1239"/>
      <c r="B10" s="1239"/>
      <c r="C10" s="1239"/>
      <c r="D10" s="1242"/>
      <c r="F10" s="1242"/>
      <c r="H10" s="1246"/>
      <c r="I10" s="1247"/>
      <c r="K10" s="1237"/>
      <c r="L10" s="1237"/>
      <c r="M10" s="1237"/>
      <c r="O10" s="309">
        <v>4</v>
      </c>
      <c r="P10" s="309">
        <f>+O10+1</f>
        <v>5</v>
      </c>
      <c r="Q10" s="309">
        <f t="shared" ref="Q10:S10" si="1">+P10+1</f>
        <v>6</v>
      </c>
      <c r="R10" s="309">
        <f t="shared" si="1"/>
        <v>7</v>
      </c>
      <c r="S10" s="309">
        <f t="shared" si="1"/>
        <v>8</v>
      </c>
      <c r="U10" s="1234"/>
      <c r="V10" s="1235"/>
      <c r="W10" s="1236"/>
      <c r="Y10" s="1234"/>
      <c r="Z10" s="1235"/>
      <c r="AA10" s="1235"/>
      <c r="AB10" s="1235"/>
      <c r="AC10" s="1236"/>
      <c r="AD10" s="877"/>
      <c r="AE10" s="1243"/>
      <c r="AF10" s="260"/>
      <c r="AH10" s="1260"/>
      <c r="AI10" s="1252"/>
      <c r="AJ10" s="1252"/>
      <c r="AK10" s="1249"/>
      <c r="AL10" s="1249"/>
      <c r="AM10" s="1249"/>
      <c r="AN10" s="1249"/>
      <c r="AO10" s="1249"/>
    </row>
    <row r="11" spans="1:54" s="97" customFormat="1" ht="37.5" x14ac:dyDescent="0.25">
      <c r="A11" s="1240"/>
      <c r="B11" s="1240"/>
      <c r="C11" s="1240"/>
      <c r="D11" s="1243"/>
      <c r="F11" s="1240"/>
      <c r="H11" s="246" t="s">
        <v>4</v>
      </c>
      <c r="I11" s="246" t="s">
        <v>5</v>
      </c>
      <c r="J11" s="95"/>
      <c r="K11" s="1237"/>
      <c r="L11" s="1237"/>
      <c r="M11" s="1237"/>
      <c r="N11" s="95"/>
      <c r="O11" s="247">
        <f>+Mat!O11</f>
        <v>45689</v>
      </c>
      <c r="P11" s="247">
        <f>+O11+31</f>
        <v>45720</v>
      </c>
      <c r="Q11" s="247">
        <f t="shared" ref="Q11:S11" si="2">+P11+31</f>
        <v>45751</v>
      </c>
      <c r="R11" s="247">
        <f t="shared" si="2"/>
        <v>45782</v>
      </c>
      <c r="S11" s="247">
        <f t="shared" si="2"/>
        <v>45813</v>
      </c>
      <c r="U11" s="246">
        <f>+Mat!U11</f>
        <v>2025</v>
      </c>
      <c r="V11" s="246">
        <f>+U11+1</f>
        <v>2026</v>
      </c>
      <c r="W11" s="246">
        <f>+V11+1</f>
        <v>2027</v>
      </c>
      <c r="Y11" s="246" t="s">
        <v>6</v>
      </c>
      <c r="Z11" s="246" t="s">
        <v>7</v>
      </c>
      <c r="AA11" s="246" t="s">
        <v>36</v>
      </c>
      <c r="AB11" s="248" t="s">
        <v>125</v>
      </c>
      <c r="AC11" s="246" t="s">
        <v>8</v>
      </c>
      <c r="AD11" s="921"/>
      <c r="AE11" s="1113" t="s">
        <v>436</v>
      </c>
      <c r="AF11" s="945"/>
      <c r="AH11" s="1261"/>
      <c r="AI11" s="1253"/>
      <c r="AJ11" s="1253"/>
      <c r="AK11" s="1250"/>
      <c r="AL11" s="1250"/>
      <c r="AM11" s="1250"/>
      <c r="AN11" s="1250"/>
      <c r="AO11" s="1250"/>
    </row>
    <row r="12" spans="1:54" ht="26.25" customHeight="1" x14ac:dyDescent="0.3">
      <c r="A12" s="98">
        <v>100</v>
      </c>
      <c r="B12" s="102" t="s">
        <v>345</v>
      </c>
      <c r="H12" s="7"/>
      <c r="I12" s="7"/>
      <c r="L12" s="7"/>
      <c r="M12" s="7"/>
      <c r="N12" s="95"/>
      <c r="O12" s="269"/>
      <c r="P12" s="269"/>
      <c r="Q12" s="269"/>
      <c r="R12" s="269"/>
      <c r="S12" s="269"/>
    </row>
    <row r="13" spans="1:54" s="932" customFormat="1" ht="25.5" customHeight="1" x14ac:dyDescent="0.3">
      <c r="A13" s="929"/>
      <c r="B13" s="930" t="s">
        <v>68</v>
      </c>
      <c r="C13" s="931" t="s">
        <v>29</v>
      </c>
      <c r="D13" s="931"/>
      <c r="F13" s="963">
        <f>AI13</f>
        <v>1566.55</v>
      </c>
      <c r="G13" s="964"/>
      <c r="H13" s="963"/>
      <c r="I13" s="963">
        <f>AJ13</f>
        <v>246.5</v>
      </c>
      <c r="J13" s="964"/>
      <c r="K13" s="963">
        <f>+I13+AE13</f>
        <v>246.5</v>
      </c>
      <c r="L13" s="963">
        <f>+K13+F13</f>
        <v>1813.05</v>
      </c>
      <c r="M13" s="963">
        <f>+D13-L13</f>
        <v>-1813.05</v>
      </c>
      <c r="N13" s="923"/>
      <c r="O13" s="963">
        <f>+O$12*$M13</f>
        <v>0</v>
      </c>
      <c r="P13" s="998">
        <f t="shared" ref="P13:S20" si="3">+P$12*$M13</f>
        <v>0</v>
      </c>
      <c r="Q13" s="998">
        <f t="shared" si="3"/>
        <v>0</v>
      </c>
      <c r="R13" s="998">
        <f t="shared" si="3"/>
        <v>0</v>
      </c>
      <c r="S13" s="998">
        <f t="shared" si="3"/>
        <v>0</v>
      </c>
      <c r="T13" s="922"/>
      <c r="U13" s="963">
        <f t="shared" ref="U13:U14" si="4">+SUMIFS(O13:S13,O$8:S$8,$U$11)</f>
        <v>0</v>
      </c>
      <c r="V13" s="963">
        <f t="shared" ref="V13:V14" si="5">+SUMIFS(O13:S13,O$8:S$8,$V$11)</f>
        <v>0</v>
      </c>
      <c r="W13" s="963">
        <f>+SUMIFS(O13:S13,O$8:S$8,$W$11)</f>
        <v>0</v>
      </c>
      <c r="X13" s="964"/>
      <c r="Y13" s="963">
        <f>+L13+M13</f>
        <v>0</v>
      </c>
      <c r="Z13" s="963"/>
      <c r="AA13" s="963"/>
      <c r="AB13" s="963"/>
      <c r="AC13" s="963"/>
      <c r="AD13" s="964"/>
      <c r="AE13" s="963"/>
      <c r="AF13" s="965"/>
      <c r="AG13" s="966"/>
      <c r="AH13" s="963">
        <f>SUM(AK13:AO13)</f>
        <v>2110.5500000000002</v>
      </c>
      <c r="AI13" s="963">
        <f>SUM(AK13:AL13)</f>
        <v>1566.55</v>
      </c>
      <c r="AJ13" s="963">
        <f>+AM13</f>
        <v>246.5</v>
      </c>
      <c r="AK13" s="963">
        <v>822.8</v>
      </c>
      <c r="AL13" s="963">
        <v>743.75</v>
      </c>
      <c r="AM13" s="963">
        <v>246.5</v>
      </c>
      <c r="AN13" s="963">
        <v>297.5</v>
      </c>
      <c r="AO13" s="963">
        <v>0</v>
      </c>
    </row>
    <row r="14" spans="1:54" ht="25.5" customHeight="1" outlineLevel="1" x14ac:dyDescent="0.3">
      <c r="A14" s="124"/>
      <c r="B14" s="125" t="s">
        <v>69</v>
      </c>
      <c r="C14" s="126" t="s">
        <v>29</v>
      </c>
      <c r="D14" s="126"/>
      <c r="F14" s="972">
        <f>AI14</f>
        <v>0</v>
      </c>
      <c r="G14" s="964"/>
      <c r="H14" s="972"/>
      <c r="I14" s="998">
        <f t="shared" ref="I14" si="6">AJ14</f>
        <v>0</v>
      </c>
      <c r="J14" s="964"/>
      <c r="K14" s="972">
        <f>+I14+AE14</f>
        <v>0</v>
      </c>
      <c r="L14" s="972">
        <f>+K14+F14</f>
        <v>0</v>
      </c>
      <c r="M14" s="972">
        <f>+D14-L14</f>
        <v>0</v>
      </c>
      <c r="N14" s="923"/>
      <c r="O14" s="972">
        <f t="shared" ref="O14:O20" si="7">+O$12*$M14</f>
        <v>0</v>
      </c>
      <c r="P14" s="972">
        <f t="shared" si="3"/>
        <v>0</v>
      </c>
      <c r="Q14" s="972">
        <f t="shared" si="3"/>
        <v>0</v>
      </c>
      <c r="R14" s="972">
        <f t="shared" si="3"/>
        <v>0</v>
      </c>
      <c r="S14" s="972">
        <f t="shared" si="3"/>
        <v>0</v>
      </c>
      <c r="T14" s="922"/>
      <c r="U14" s="972">
        <f t="shared" si="4"/>
        <v>0</v>
      </c>
      <c r="V14" s="972">
        <f t="shared" si="5"/>
        <v>0</v>
      </c>
      <c r="W14" s="972">
        <f t="shared" ref="W14" si="8">+SUMIFS(O14:S14,O$8:S$8,$W$11)</f>
        <v>0</v>
      </c>
      <c r="X14" s="964"/>
      <c r="Y14" s="998">
        <f>+L14+M14</f>
        <v>0</v>
      </c>
      <c r="Z14" s="972"/>
      <c r="AA14" s="972"/>
      <c r="AB14" s="972"/>
      <c r="AC14" s="972"/>
      <c r="AD14" s="964"/>
      <c r="AE14" s="972"/>
      <c r="AF14" s="965"/>
      <c r="AG14" s="973"/>
      <c r="AH14" s="972">
        <f>SUM(AK14:AO14)</f>
        <v>0</v>
      </c>
      <c r="AI14" s="972">
        <f>SUM(AK14:AL14)</f>
        <v>0</v>
      </c>
      <c r="AJ14" s="972">
        <f>+AM14</f>
        <v>0</v>
      </c>
      <c r="AK14" s="972"/>
      <c r="AL14" s="972"/>
      <c r="AM14" s="972"/>
      <c r="AN14" s="972"/>
      <c r="AO14" s="972"/>
    </row>
    <row r="15" spans="1:54" ht="25.5" customHeight="1" outlineLevel="1" x14ac:dyDescent="0.3">
      <c r="A15" s="124"/>
      <c r="B15" s="125" t="s">
        <v>70</v>
      </c>
      <c r="C15" s="126" t="s">
        <v>29</v>
      </c>
      <c r="D15" s="126"/>
      <c r="F15" s="972">
        <f t="shared" ref="F15:F20" si="9">AI15</f>
        <v>0</v>
      </c>
      <c r="G15" s="964"/>
      <c r="H15" s="972"/>
      <c r="I15" s="998">
        <f t="shared" ref="I15:I20" si="10">AJ15</f>
        <v>0</v>
      </c>
      <c r="J15" s="964"/>
      <c r="K15" s="972">
        <f t="shared" ref="K15:K20" si="11">+I15+AE15</f>
        <v>0</v>
      </c>
      <c r="L15" s="972">
        <f t="shared" ref="L15:L20" si="12">+K15+F15</f>
        <v>0</v>
      </c>
      <c r="M15" s="972">
        <f t="shared" ref="M15:M20" si="13">+D15-L15</f>
        <v>0</v>
      </c>
      <c r="N15" s="923"/>
      <c r="O15" s="972">
        <f t="shared" si="7"/>
        <v>0</v>
      </c>
      <c r="P15" s="972">
        <f t="shared" si="3"/>
        <v>0</v>
      </c>
      <c r="Q15" s="972">
        <f t="shared" si="3"/>
        <v>0</v>
      </c>
      <c r="R15" s="972">
        <f t="shared" si="3"/>
        <v>0</v>
      </c>
      <c r="S15" s="972">
        <f t="shared" si="3"/>
        <v>0</v>
      </c>
      <c r="T15" s="922"/>
      <c r="U15" s="972">
        <f t="shared" ref="U15:U20" si="14">+SUMIFS(O15:S15,O$8:S$8,$U$11)</f>
        <v>0</v>
      </c>
      <c r="V15" s="972">
        <f t="shared" ref="V15:V20" si="15">+SUMIFS(O15:S15,O$8:S$8,$V$11)</f>
        <v>0</v>
      </c>
      <c r="W15" s="972">
        <f t="shared" ref="W15:W20" si="16">+SUMIFS(O15:S15,O$8:S$8,$W$11)</f>
        <v>0</v>
      </c>
      <c r="X15" s="964"/>
      <c r="Y15" s="998">
        <f t="shared" ref="Y15:Y20" si="17">+L15+M15</f>
        <v>0</v>
      </c>
      <c r="Z15" s="972"/>
      <c r="AA15" s="972"/>
      <c r="AB15" s="972"/>
      <c r="AC15" s="972"/>
      <c r="AD15" s="964"/>
      <c r="AE15" s="972"/>
      <c r="AF15" s="965"/>
      <c r="AG15" s="973"/>
      <c r="AH15" s="972">
        <f t="shared" ref="AH15:AH20" si="18">SUM(AK15:AO15)</f>
        <v>0</v>
      </c>
      <c r="AI15" s="972">
        <f t="shared" ref="AI15:AI20" si="19">SUM(AK15:AL15)</f>
        <v>0</v>
      </c>
      <c r="AJ15" s="972">
        <f t="shared" ref="AJ15:AJ20" si="20">+AM15</f>
        <v>0</v>
      </c>
      <c r="AK15" s="972"/>
      <c r="AL15" s="972"/>
      <c r="AM15" s="972"/>
      <c r="AN15" s="972"/>
      <c r="AO15" s="972"/>
    </row>
    <row r="16" spans="1:54" ht="25.5" customHeight="1" outlineLevel="1" x14ac:dyDescent="0.3">
      <c r="A16" s="124"/>
      <c r="B16" s="125" t="s">
        <v>71</v>
      </c>
      <c r="C16" s="126" t="s">
        <v>29</v>
      </c>
      <c r="D16" s="126"/>
      <c r="F16" s="972">
        <f t="shared" si="9"/>
        <v>0</v>
      </c>
      <c r="G16" s="964"/>
      <c r="H16" s="972"/>
      <c r="I16" s="998">
        <f t="shared" si="10"/>
        <v>0</v>
      </c>
      <c r="J16" s="964"/>
      <c r="K16" s="972">
        <f t="shared" si="11"/>
        <v>0</v>
      </c>
      <c r="L16" s="972">
        <f t="shared" si="12"/>
        <v>0</v>
      </c>
      <c r="M16" s="972">
        <f t="shared" si="13"/>
        <v>0</v>
      </c>
      <c r="N16" s="923"/>
      <c r="O16" s="972">
        <f t="shared" si="7"/>
        <v>0</v>
      </c>
      <c r="P16" s="972">
        <f t="shared" si="3"/>
        <v>0</v>
      </c>
      <c r="Q16" s="972">
        <f t="shared" si="3"/>
        <v>0</v>
      </c>
      <c r="R16" s="972">
        <f t="shared" si="3"/>
        <v>0</v>
      </c>
      <c r="S16" s="972">
        <f t="shared" si="3"/>
        <v>0</v>
      </c>
      <c r="T16" s="922"/>
      <c r="U16" s="972">
        <f t="shared" si="14"/>
        <v>0</v>
      </c>
      <c r="V16" s="972">
        <f t="shared" si="15"/>
        <v>0</v>
      </c>
      <c r="W16" s="972">
        <f t="shared" si="16"/>
        <v>0</v>
      </c>
      <c r="X16" s="964"/>
      <c r="Y16" s="998">
        <f t="shared" si="17"/>
        <v>0</v>
      </c>
      <c r="Z16" s="972"/>
      <c r="AA16" s="972"/>
      <c r="AB16" s="972"/>
      <c r="AC16" s="972"/>
      <c r="AD16" s="964"/>
      <c r="AE16" s="972"/>
      <c r="AF16" s="965"/>
      <c r="AG16" s="973"/>
      <c r="AH16" s="972">
        <f t="shared" si="18"/>
        <v>0</v>
      </c>
      <c r="AI16" s="972">
        <f t="shared" si="19"/>
        <v>0</v>
      </c>
      <c r="AJ16" s="972">
        <f t="shared" si="20"/>
        <v>0</v>
      </c>
      <c r="AK16" s="972"/>
      <c r="AL16" s="972"/>
      <c r="AM16" s="972"/>
      <c r="AN16" s="972"/>
      <c r="AO16" s="972"/>
    </row>
    <row r="17" spans="1:41" ht="25.5" customHeight="1" outlineLevel="1" x14ac:dyDescent="0.3">
      <c r="A17" s="124"/>
      <c r="B17" s="125" t="s">
        <v>72</v>
      </c>
      <c r="C17" s="126" t="s">
        <v>29</v>
      </c>
      <c r="D17" s="126"/>
      <c r="F17" s="972">
        <f t="shared" si="9"/>
        <v>0</v>
      </c>
      <c r="G17" s="964"/>
      <c r="H17" s="972"/>
      <c r="I17" s="998">
        <f t="shared" si="10"/>
        <v>0</v>
      </c>
      <c r="J17" s="964"/>
      <c r="K17" s="972">
        <f t="shared" si="11"/>
        <v>0</v>
      </c>
      <c r="L17" s="972">
        <f t="shared" si="12"/>
        <v>0</v>
      </c>
      <c r="M17" s="972">
        <f t="shared" si="13"/>
        <v>0</v>
      </c>
      <c r="N17" s="923"/>
      <c r="O17" s="972">
        <f t="shared" si="7"/>
        <v>0</v>
      </c>
      <c r="P17" s="972">
        <f t="shared" si="3"/>
        <v>0</v>
      </c>
      <c r="Q17" s="972">
        <f t="shared" si="3"/>
        <v>0</v>
      </c>
      <c r="R17" s="972">
        <f t="shared" si="3"/>
        <v>0</v>
      </c>
      <c r="S17" s="972">
        <f t="shared" si="3"/>
        <v>0</v>
      </c>
      <c r="T17" s="922"/>
      <c r="U17" s="972">
        <f t="shared" si="14"/>
        <v>0</v>
      </c>
      <c r="V17" s="972">
        <f t="shared" si="15"/>
        <v>0</v>
      </c>
      <c r="W17" s="972">
        <f t="shared" si="16"/>
        <v>0</v>
      </c>
      <c r="X17" s="964"/>
      <c r="Y17" s="998">
        <f t="shared" si="17"/>
        <v>0</v>
      </c>
      <c r="Z17" s="972"/>
      <c r="AA17" s="972"/>
      <c r="AB17" s="972"/>
      <c r="AC17" s="972"/>
      <c r="AD17" s="964"/>
      <c r="AE17" s="972"/>
      <c r="AF17" s="965"/>
      <c r="AG17" s="973"/>
      <c r="AH17" s="972">
        <f t="shared" si="18"/>
        <v>0</v>
      </c>
      <c r="AI17" s="972">
        <f t="shared" si="19"/>
        <v>0</v>
      </c>
      <c r="AJ17" s="972">
        <f t="shared" si="20"/>
        <v>0</v>
      </c>
      <c r="AK17" s="972"/>
      <c r="AL17" s="972"/>
      <c r="AM17" s="972"/>
      <c r="AN17" s="972"/>
      <c r="AO17" s="972"/>
    </row>
    <row r="18" spans="1:41" ht="25.5" customHeight="1" outlineLevel="1" x14ac:dyDescent="0.3">
      <c r="A18" s="124"/>
      <c r="B18" s="125" t="s">
        <v>73</v>
      </c>
      <c r="C18" s="126" t="s">
        <v>29</v>
      </c>
      <c r="D18" s="126"/>
      <c r="F18" s="972">
        <f t="shared" si="9"/>
        <v>0</v>
      </c>
      <c r="G18" s="964"/>
      <c r="H18" s="972"/>
      <c r="I18" s="998">
        <f t="shared" si="10"/>
        <v>0</v>
      </c>
      <c r="J18" s="964"/>
      <c r="K18" s="972">
        <f t="shared" si="11"/>
        <v>0</v>
      </c>
      <c r="L18" s="972">
        <f t="shared" si="12"/>
        <v>0</v>
      </c>
      <c r="M18" s="972">
        <f t="shared" si="13"/>
        <v>0</v>
      </c>
      <c r="N18" s="923"/>
      <c r="O18" s="972">
        <f t="shared" si="7"/>
        <v>0</v>
      </c>
      <c r="P18" s="972">
        <f t="shared" si="3"/>
        <v>0</v>
      </c>
      <c r="Q18" s="972">
        <f t="shared" si="3"/>
        <v>0</v>
      </c>
      <c r="R18" s="972">
        <f t="shared" si="3"/>
        <v>0</v>
      </c>
      <c r="S18" s="972">
        <f t="shared" si="3"/>
        <v>0</v>
      </c>
      <c r="T18" s="922"/>
      <c r="U18" s="972">
        <f t="shared" si="14"/>
        <v>0</v>
      </c>
      <c r="V18" s="972">
        <f t="shared" si="15"/>
        <v>0</v>
      </c>
      <c r="W18" s="972">
        <f t="shared" si="16"/>
        <v>0</v>
      </c>
      <c r="X18" s="964"/>
      <c r="Y18" s="998">
        <f t="shared" si="17"/>
        <v>0</v>
      </c>
      <c r="Z18" s="972"/>
      <c r="AA18" s="972"/>
      <c r="AB18" s="972"/>
      <c r="AC18" s="972"/>
      <c r="AD18" s="964"/>
      <c r="AE18" s="972"/>
      <c r="AF18" s="965"/>
      <c r="AG18" s="973"/>
      <c r="AH18" s="972">
        <f t="shared" si="18"/>
        <v>0</v>
      </c>
      <c r="AI18" s="972">
        <f t="shared" si="19"/>
        <v>0</v>
      </c>
      <c r="AJ18" s="972">
        <f t="shared" si="20"/>
        <v>0</v>
      </c>
      <c r="AK18" s="972"/>
      <c r="AL18" s="972"/>
      <c r="AM18" s="972"/>
      <c r="AN18" s="972"/>
      <c r="AO18" s="972"/>
    </row>
    <row r="19" spans="1:41" ht="25.5" customHeight="1" outlineLevel="1" x14ac:dyDescent="0.3">
      <c r="A19" s="124"/>
      <c r="B19" s="125" t="s">
        <v>74</v>
      </c>
      <c r="C19" s="126" t="s">
        <v>29</v>
      </c>
      <c r="D19" s="126"/>
      <c r="F19" s="972">
        <f t="shared" si="9"/>
        <v>0</v>
      </c>
      <c r="G19" s="964"/>
      <c r="H19" s="972"/>
      <c r="I19" s="998">
        <f t="shared" si="10"/>
        <v>0</v>
      </c>
      <c r="J19" s="964"/>
      <c r="K19" s="972">
        <f t="shared" si="11"/>
        <v>0</v>
      </c>
      <c r="L19" s="972">
        <f t="shared" si="12"/>
        <v>0</v>
      </c>
      <c r="M19" s="972">
        <f t="shared" si="13"/>
        <v>0</v>
      </c>
      <c r="N19" s="923"/>
      <c r="O19" s="972">
        <f t="shared" si="7"/>
        <v>0</v>
      </c>
      <c r="P19" s="972">
        <f t="shared" si="3"/>
        <v>0</v>
      </c>
      <c r="Q19" s="972">
        <f t="shared" si="3"/>
        <v>0</v>
      </c>
      <c r="R19" s="972">
        <f t="shared" si="3"/>
        <v>0</v>
      </c>
      <c r="S19" s="972">
        <f t="shared" si="3"/>
        <v>0</v>
      </c>
      <c r="T19" s="922"/>
      <c r="U19" s="972">
        <f t="shared" si="14"/>
        <v>0</v>
      </c>
      <c r="V19" s="972">
        <f t="shared" si="15"/>
        <v>0</v>
      </c>
      <c r="W19" s="972">
        <f t="shared" si="16"/>
        <v>0</v>
      </c>
      <c r="X19" s="964"/>
      <c r="Y19" s="998">
        <f t="shared" si="17"/>
        <v>0</v>
      </c>
      <c r="Z19" s="972"/>
      <c r="AA19" s="972"/>
      <c r="AB19" s="972"/>
      <c r="AC19" s="972"/>
      <c r="AD19" s="964"/>
      <c r="AE19" s="972"/>
      <c r="AF19" s="965"/>
      <c r="AG19" s="973"/>
      <c r="AH19" s="972">
        <f t="shared" si="18"/>
        <v>0</v>
      </c>
      <c r="AI19" s="972">
        <f t="shared" si="19"/>
        <v>0</v>
      </c>
      <c r="AJ19" s="972">
        <f t="shared" si="20"/>
        <v>0</v>
      </c>
      <c r="AK19" s="972"/>
      <c r="AL19" s="972"/>
      <c r="AM19" s="972"/>
      <c r="AN19" s="972"/>
      <c r="AO19" s="972"/>
    </row>
    <row r="20" spans="1:41" ht="25.5" customHeight="1" outlineLevel="1" x14ac:dyDescent="0.3">
      <c r="A20" s="124"/>
      <c r="B20" s="125" t="s">
        <v>75</v>
      </c>
      <c r="C20" s="126" t="s">
        <v>29</v>
      </c>
      <c r="D20" s="126"/>
      <c r="F20" s="972">
        <f t="shared" si="9"/>
        <v>0</v>
      </c>
      <c r="G20" s="964"/>
      <c r="H20" s="972"/>
      <c r="I20" s="998">
        <f t="shared" si="10"/>
        <v>0</v>
      </c>
      <c r="J20" s="964"/>
      <c r="K20" s="972">
        <f t="shared" si="11"/>
        <v>0</v>
      </c>
      <c r="L20" s="972">
        <f t="shared" si="12"/>
        <v>0</v>
      </c>
      <c r="M20" s="972">
        <f t="shared" si="13"/>
        <v>0</v>
      </c>
      <c r="N20" s="923"/>
      <c r="O20" s="972">
        <f t="shared" si="7"/>
        <v>0</v>
      </c>
      <c r="P20" s="972">
        <f t="shared" si="3"/>
        <v>0</v>
      </c>
      <c r="Q20" s="972">
        <f t="shared" si="3"/>
        <v>0</v>
      </c>
      <c r="R20" s="972">
        <f t="shared" si="3"/>
        <v>0</v>
      </c>
      <c r="S20" s="972">
        <f t="shared" si="3"/>
        <v>0</v>
      </c>
      <c r="T20" s="922"/>
      <c r="U20" s="972">
        <f t="shared" si="14"/>
        <v>0</v>
      </c>
      <c r="V20" s="972">
        <f t="shared" si="15"/>
        <v>0</v>
      </c>
      <c r="W20" s="972">
        <f t="shared" si="16"/>
        <v>0</v>
      </c>
      <c r="X20" s="964"/>
      <c r="Y20" s="998">
        <f t="shared" si="17"/>
        <v>0</v>
      </c>
      <c r="Z20" s="972"/>
      <c r="AA20" s="972"/>
      <c r="AB20" s="972"/>
      <c r="AC20" s="972"/>
      <c r="AD20" s="964"/>
      <c r="AE20" s="972"/>
      <c r="AF20" s="965"/>
      <c r="AG20" s="973"/>
      <c r="AH20" s="972">
        <f t="shared" si="18"/>
        <v>0</v>
      </c>
      <c r="AI20" s="972">
        <f t="shared" si="19"/>
        <v>0</v>
      </c>
      <c r="AJ20" s="972">
        <f t="shared" si="20"/>
        <v>0</v>
      </c>
      <c r="AK20" s="994"/>
      <c r="AL20" s="994"/>
      <c r="AM20" s="994"/>
      <c r="AN20" s="994"/>
      <c r="AO20" s="994"/>
    </row>
    <row r="21" spans="1:41" ht="21" customHeight="1" x14ac:dyDescent="0.3">
      <c r="A21" s="124" t="s">
        <v>29</v>
      </c>
      <c r="B21" s="127" t="str">
        <f>+"TOTAL FASE  "&amp;A12&amp;" : "&amp;B12</f>
        <v>TOTAL FASE  100 : OBRAS PRELIMINARES</v>
      </c>
      <c r="C21" s="101" t="s">
        <v>29</v>
      </c>
      <c r="D21" s="1006">
        <f>SUM(D13:D20)</f>
        <v>0</v>
      </c>
      <c r="F21" s="1006">
        <f>SUM(F13:F20)</f>
        <v>1566.55</v>
      </c>
      <c r="G21" s="87"/>
      <c r="H21" s="1006">
        <f t="shared" ref="H21:I21" si="21">SUM(H13:H20)</f>
        <v>0</v>
      </c>
      <c r="I21" s="1006">
        <f t="shared" si="21"/>
        <v>246.5</v>
      </c>
      <c r="J21" s="87"/>
      <c r="K21" s="1006">
        <f t="shared" ref="K21:M21" si="22">SUM(K13:K20)</f>
        <v>246.5</v>
      </c>
      <c r="L21" s="1006">
        <f t="shared" si="22"/>
        <v>1813.05</v>
      </c>
      <c r="M21" s="1006">
        <f t="shared" si="22"/>
        <v>-1813.05</v>
      </c>
      <c r="N21" s="95"/>
      <c r="O21" s="1006">
        <f t="shared" ref="O21:S21" si="23">SUM(O13:O20)</f>
        <v>0</v>
      </c>
      <c r="P21" s="1006">
        <f t="shared" si="23"/>
        <v>0</v>
      </c>
      <c r="Q21" s="1006">
        <f t="shared" si="23"/>
        <v>0</v>
      </c>
      <c r="R21" s="1006">
        <f t="shared" si="23"/>
        <v>0</v>
      </c>
      <c r="S21" s="1006">
        <f t="shared" si="23"/>
        <v>0</v>
      </c>
      <c r="T21" s="87"/>
      <c r="U21" s="1006">
        <f t="shared" ref="U21:W21" si="24">SUM(U13:U20)</f>
        <v>0</v>
      </c>
      <c r="V21" s="1006">
        <f t="shared" si="24"/>
        <v>0</v>
      </c>
      <c r="W21" s="1006">
        <f t="shared" si="24"/>
        <v>0</v>
      </c>
      <c r="X21" s="87"/>
      <c r="Y21" s="1006">
        <f t="shared" ref="Y21:AC21" si="25">SUM(Y13:Y20)</f>
        <v>0</v>
      </c>
      <c r="Z21" s="1006">
        <f t="shared" si="25"/>
        <v>0</v>
      </c>
      <c r="AA21" s="1006">
        <f t="shared" si="25"/>
        <v>0</v>
      </c>
      <c r="AB21" s="1006">
        <f t="shared" si="25"/>
        <v>0</v>
      </c>
      <c r="AC21" s="1006">
        <f t="shared" si="25"/>
        <v>0</v>
      </c>
      <c r="AD21" s="499"/>
      <c r="AE21" s="1006">
        <f>SUM(AE13:AE20)</f>
        <v>0</v>
      </c>
      <c r="AF21" s="282"/>
      <c r="AG21" s="87"/>
      <c r="AH21" s="1006">
        <f t="shared" ref="AH21:AO21" si="26">SUM(AH13:AH20)</f>
        <v>2110.5500000000002</v>
      </c>
      <c r="AI21" s="1006">
        <f t="shared" si="26"/>
        <v>1566.55</v>
      </c>
      <c r="AJ21" s="1006">
        <f t="shared" si="26"/>
        <v>246.5</v>
      </c>
      <c r="AK21" s="1006">
        <f t="shared" si="26"/>
        <v>822.8</v>
      </c>
      <c r="AL21" s="1006">
        <f t="shared" si="26"/>
        <v>743.75</v>
      </c>
      <c r="AM21" s="1006">
        <f t="shared" si="26"/>
        <v>246.5</v>
      </c>
      <c r="AN21" s="1006">
        <f t="shared" si="26"/>
        <v>297.5</v>
      </c>
      <c r="AO21" s="1006">
        <f t="shared" si="26"/>
        <v>0</v>
      </c>
    </row>
    <row r="22" spans="1:41" ht="25.5" customHeight="1" x14ac:dyDescent="0.3">
      <c r="A22" s="124"/>
      <c r="B22" s="128" t="s">
        <v>76</v>
      </c>
      <c r="C22" s="129" t="s">
        <v>77</v>
      </c>
      <c r="D22" s="129"/>
      <c r="F22" s="507"/>
      <c r="G22" s="87"/>
      <c r="H22" s="508"/>
      <c r="I22" s="509"/>
      <c r="J22" s="87"/>
      <c r="K22" s="508"/>
      <c r="L22" s="509"/>
      <c r="M22" s="509"/>
      <c r="N22" s="95"/>
      <c r="O22" s="507"/>
      <c r="P22" s="507"/>
      <c r="Q22" s="507"/>
      <c r="R22" s="507"/>
      <c r="S22" s="507"/>
      <c r="T22" s="87"/>
      <c r="U22" s="507"/>
      <c r="V22" s="507"/>
      <c r="W22" s="507"/>
      <c r="X22" s="87"/>
      <c r="Y22" s="507"/>
      <c r="Z22" s="507"/>
      <c r="AA22" s="507"/>
      <c r="AB22" s="507"/>
      <c r="AC22" s="507"/>
      <c r="AD22" s="499"/>
      <c r="AE22" s="507"/>
      <c r="AF22" s="506"/>
      <c r="AG22" s="87"/>
      <c r="AH22" s="507"/>
      <c r="AI22" s="510"/>
      <c r="AJ22" s="510"/>
      <c r="AK22" s="507"/>
      <c r="AL22" s="510"/>
      <c r="AM22" s="507"/>
      <c r="AN22" s="510"/>
      <c r="AO22" s="507"/>
    </row>
    <row r="23" spans="1:41" ht="25.5" customHeight="1" x14ac:dyDescent="0.3">
      <c r="A23" s="130"/>
      <c r="B23" s="131" t="s">
        <v>78</v>
      </c>
      <c r="C23" s="132" t="s">
        <v>79</v>
      </c>
      <c r="D23" s="132"/>
      <c r="F23" s="511"/>
      <c r="G23" s="87"/>
      <c r="H23" s="511"/>
      <c r="I23" s="512"/>
      <c r="J23" s="87"/>
      <c r="K23" s="511"/>
      <c r="L23" s="512"/>
      <c r="M23" s="512"/>
      <c r="N23" s="95"/>
      <c r="O23" s="511"/>
      <c r="P23" s="511"/>
      <c r="Q23" s="511"/>
      <c r="R23" s="511"/>
      <c r="S23" s="511"/>
      <c r="T23" s="87"/>
      <c r="U23" s="511"/>
      <c r="V23" s="511"/>
      <c r="W23" s="511"/>
      <c r="X23" s="87"/>
      <c r="Y23" s="511"/>
      <c r="Z23" s="511"/>
      <c r="AA23" s="511"/>
      <c r="AB23" s="511"/>
      <c r="AC23" s="511"/>
      <c r="AD23" s="499"/>
      <c r="AE23" s="511"/>
      <c r="AF23" s="282"/>
      <c r="AG23" s="87"/>
      <c r="AH23" s="513"/>
      <c r="AI23" s="514"/>
      <c r="AJ23" s="514"/>
      <c r="AK23" s="511"/>
      <c r="AL23" s="514"/>
      <c r="AM23" s="511"/>
      <c r="AN23" s="514"/>
      <c r="AO23" s="511"/>
    </row>
    <row r="24" spans="1:41" ht="26.25" customHeight="1" x14ac:dyDescent="0.3">
      <c r="A24" s="133">
        <v>200</v>
      </c>
      <c r="B24" s="102" t="s">
        <v>329</v>
      </c>
      <c r="F24" s="87"/>
      <c r="G24" s="87"/>
      <c r="H24" s="87"/>
      <c r="I24" s="87"/>
      <c r="J24" s="87"/>
      <c r="K24" s="87"/>
      <c r="L24" s="87"/>
      <c r="M24" s="87"/>
      <c r="N24" s="95"/>
      <c r="O24" s="174"/>
      <c r="P24" s="174"/>
      <c r="Q24" s="174"/>
      <c r="R24" s="174"/>
      <c r="S24" s="174"/>
      <c r="T24" s="87"/>
      <c r="U24" s="87"/>
      <c r="V24" s="87"/>
      <c r="W24" s="87"/>
      <c r="X24" s="87"/>
      <c r="Y24" s="87"/>
      <c r="Z24" s="87"/>
      <c r="AA24" s="87"/>
      <c r="AB24" s="87"/>
      <c r="AC24" s="87"/>
      <c r="AD24" s="499"/>
      <c r="AE24" s="919"/>
      <c r="AF24" s="282"/>
      <c r="AG24" s="87"/>
      <c r="AH24" s="87"/>
      <c r="AI24" s="87"/>
      <c r="AJ24" s="87"/>
      <c r="AK24" s="87"/>
      <c r="AL24" s="87"/>
      <c r="AM24" s="87"/>
      <c r="AN24" s="87"/>
      <c r="AO24" s="87"/>
    </row>
    <row r="25" spans="1:41" s="932" customFormat="1" ht="25.5" customHeight="1" x14ac:dyDescent="0.3">
      <c r="A25" s="929"/>
      <c r="B25" s="930" t="s">
        <v>68</v>
      </c>
      <c r="C25" s="931" t="s">
        <v>29</v>
      </c>
      <c r="D25" s="931"/>
      <c r="F25" s="963">
        <f>AI25</f>
        <v>52955</v>
      </c>
      <c r="G25" s="964"/>
      <c r="H25" s="963"/>
      <c r="I25" s="998">
        <f>AJ25</f>
        <v>12529</v>
      </c>
      <c r="J25" s="964"/>
      <c r="K25" s="963">
        <f>+I25+AE25</f>
        <v>12529</v>
      </c>
      <c r="L25" s="963">
        <f>+K25+F25</f>
        <v>65484</v>
      </c>
      <c r="M25" s="963">
        <f>+D25-L25</f>
        <v>-65484</v>
      </c>
      <c r="N25" s="923"/>
      <c r="O25" s="963">
        <f>+O$24*$M25</f>
        <v>0</v>
      </c>
      <c r="P25" s="963">
        <f t="shared" ref="P25:S26" si="27">+P$24*$M25</f>
        <v>0</v>
      </c>
      <c r="Q25" s="963">
        <f t="shared" si="27"/>
        <v>0</v>
      </c>
      <c r="R25" s="963">
        <f t="shared" si="27"/>
        <v>0</v>
      </c>
      <c r="S25" s="963">
        <f t="shared" si="27"/>
        <v>0</v>
      </c>
      <c r="T25" s="922"/>
      <c r="U25" s="963">
        <f t="shared" ref="U25:U32" si="28">+SUMIFS(O25:S25,O$8:S$8,$U$11)</f>
        <v>0</v>
      </c>
      <c r="V25" s="963">
        <f t="shared" ref="V25:V32" si="29">+SUMIFS(O25:S25,O$8:S$8,$V$11)</f>
        <v>0</v>
      </c>
      <c r="W25" s="963">
        <f>+SUMIFS(O25:S25,O$8:S$8,$W$11)</f>
        <v>0</v>
      </c>
      <c r="X25" s="964"/>
      <c r="Y25" s="963">
        <f>+L25+M25</f>
        <v>0</v>
      </c>
      <c r="Z25" s="963"/>
      <c r="AA25" s="963"/>
      <c r="AB25" s="963"/>
      <c r="AC25" s="963"/>
      <c r="AD25" s="964"/>
      <c r="AE25" s="963"/>
      <c r="AF25" s="965"/>
      <c r="AG25" s="966"/>
      <c r="AH25" s="963">
        <f t="shared" ref="AH25:AH32" si="30">SUM(AK25:AO25)</f>
        <v>66025.450000000012</v>
      </c>
      <c r="AI25" s="963">
        <f t="shared" ref="AI25:AI32" si="31">SUM(AK25:AL25)</f>
        <v>52955</v>
      </c>
      <c r="AJ25" s="963">
        <f t="shared" ref="AJ25:AJ32" si="32">+AM25</f>
        <v>12529</v>
      </c>
      <c r="AK25" s="963">
        <v>26350</v>
      </c>
      <c r="AL25" s="963">
        <v>26605</v>
      </c>
      <c r="AM25" s="963">
        <v>12529</v>
      </c>
      <c r="AN25" s="963">
        <v>306.85000000000002</v>
      </c>
      <c r="AO25" s="963">
        <v>234.6</v>
      </c>
    </row>
    <row r="26" spans="1:41" ht="25.5" customHeight="1" outlineLevel="1" x14ac:dyDescent="0.3">
      <c r="A26" s="124"/>
      <c r="B26" s="125" t="s">
        <v>69</v>
      </c>
      <c r="C26" s="126" t="s">
        <v>29</v>
      </c>
      <c r="D26" s="126"/>
      <c r="F26" s="972">
        <f>AI26</f>
        <v>0</v>
      </c>
      <c r="G26" s="964"/>
      <c r="H26" s="972"/>
      <c r="I26" s="998">
        <f t="shared" ref="I26:I32" si="33">AJ26</f>
        <v>0</v>
      </c>
      <c r="J26" s="964"/>
      <c r="K26" s="972">
        <f>+I26+AE26</f>
        <v>0</v>
      </c>
      <c r="L26" s="972">
        <f>+K26+F26</f>
        <v>0</v>
      </c>
      <c r="M26" s="972">
        <f>+D26-L26</f>
        <v>0</v>
      </c>
      <c r="N26" s="923"/>
      <c r="O26" s="972">
        <f>+O$24*$M26</f>
        <v>0</v>
      </c>
      <c r="P26" s="972">
        <f t="shared" si="27"/>
        <v>0</v>
      </c>
      <c r="Q26" s="972">
        <f t="shared" si="27"/>
        <v>0</v>
      </c>
      <c r="R26" s="972">
        <f t="shared" si="27"/>
        <v>0</v>
      </c>
      <c r="S26" s="972">
        <f t="shared" si="27"/>
        <v>0</v>
      </c>
      <c r="T26" s="922"/>
      <c r="U26" s="972">
        <f t="shared" si="28"/>
        <v>0</v>
      </c>
      <c r="V26" s="972">
        <f t="shared" si="29"/>
        <v>0</v>
      </c>
      <c r="W26" s="972">
        <f t="shared" ref="W26:W32" si="34">+SUMIFS(O26:S26,O$8:S$8,$W$11)</f>
        <v>0</v>
      </c>
      <c r="X26" s="964"/>
      <c r="Y26" s="998">
        <f>+L26+M26</f>
        <v>0</v>
      </c>
      <c r="Z26" s="972"/>
      <c r="AA26" s="972"/>
      <c r="AB26" s="972"/>
      <c r="AC26" s="972"/>
      <c r="AD26" s="964"/>
      <c r="AE26" s="972"/>
      <c r="AF26" s="965"/>
      <c r="AG26" s="973"/>
      <c r="AH26" s="972">
        <f t="shared" si="30"/>
        <v>0</v>
      </c>
      <c r="AI26" s="972">
        <f t="shared" si="31"/>
        <v>0</v>
      </c>
      <c r="AJ26" s="972">
        <f t="shared" si="32"/>
        <v>0</v>
      </c>
      <c r="AK26" s="972"/>
      <c r="AL26" s="972"/>
      <c r="AM26" s="972"/>
      <c r="AN26" s="972"/>
      <c r="AO26" s="972"/>
    </row>
    <row r="27" spans="1:41" ht="25.5" customHeight="1" outlineLevel="1" x14ac:dyDescent="0.3">
      <c r="A27" s="124"/>
      <c r="B27" s="125" t="s">
        <v>70</v>
      </c>
      <c r="C27" s="126" t="s">
        <v>29</v>
      </c>
      <c r="D27" s="126"/>
      <c r="F27" s="972">
        <f t="shared" ref="F27:F32" si="35">AI27</f>
        <v>0</v>
      </c>
      <c r="G27" s="964"/>
      <c r="H27" s="972"/>
      <c r="I27" s="998">
        <f t="shared" si="33"/>
        <v>0</v>
      </c>
      <c r="J27" s="964"/>
      <c r="K27" s="972">
        <f t="shared" ref="K27:K32" si="36">+I27+AE27</f>
        <v>0</v>
      </c>
      <c r="L27" s="972">
        <f t="shared" ref="L27:L32" si="37">+K27+F27</f>
        <v>0</v>
      </c>
      <c r="M27" s="972">
        <f t="shared" ref="M27:M32" si="38">+D27-L27</f>
        <v>0</v>
      </c>
      <c r="N27" s="923"/>
      <c r="O27" s="972">
        <f t="shared" ref="O27:S32" si="39">+O$24*$M27</f>
        <v>0</v>
      </c>
      <c r="P27" s="972">
        <f t="shared" si="39"/>
        <v>0</v>
      </c>
      <c r="Q27" s="972">
        <f t="shared" si="39"/>
        <v>0</v>
      </c>
      <c r="R27" s="972">
        <f t="shared" si="39"/>
        <v>0</v>
      </c>
      <c r="S27" s="972">
        <f t="shared" si="39"/>
        <v>0</v>
      </c>
      <c r="T27" s="922"/>
      <c r="U27" s="972">
        <f t="shared" si="28"/>
        <v>0</v>
      </c>
      <c r="V27" s="972">
        <f t="shared" si="29"/>
        <v>0</v>
      </c>
      <c r="W27" s="972">
        <f t="shared" si="34"/>
        <v>0</v>
      </c>
      <c r="X27" s="964"/>
      <c r="Y27" s="998">
        <f t="shared" ref="Y27:Y32" si="40">+L27+M27</f>
        <v>0</v>
      </c>
      <c r="Z27" s="972"/>
      <c r="AA27" s="972"/>
      <c r="AB27" s="972"/>
      <c r="AC27" s="972"/>
      <c r="AD27" s="964"/>
      <c r="AE27" s="972"/>
      <c r="AF27" s="965"/>
      <c r="AG27" s="973"/>
      <c r="AH27" s="972">
        <f t="shared" si="30"/>
        <v>0</v>
      </c>
      <c r="AI27" s="972">
        <f t="shared" si="31"/>
        <v>0</v>
      </c>
      <c r="AJ27" s="972">
        <f t="shared" si="32"/>
        <v>0</v>
      </c>
      <c r="AK27" s="972"/>
      <c r="AL27" s="972"/>
      <c r="AM27" s="972"/>
      <c r="AN27" s="972"/>
      <c r="AO27" s="972"/>
    </row>
    <row r="28" spans="1:41" ht="25.5" customHeight="1" outlineLevel="1" x14ac:dyDescent="0.3">
      <c r="A28" s="124"/>
      <c r="B28" s="125" t="s">
        <v>71</v>
      </c>
      <c r="C28" s="126" t="s">
        <v>29</v>
      </c>
      <c r="D28" s="126"/>
      <c r="F28" s="972">
        <f t="shared" si="35"/>
        <v>0</v>
      </c>
      <c r="G28" s="964"/>
      <c r="H28" s="972"/>
      <c r="I28" s="998">
        <f t="shared" si="33"/>
        <v>0</v>
      </c>
      <c r="J28" s="964"/>
      <c r="K28" s="972">
        <f t="shared" si="36"/>
        <v>0</v>
      </c>
      <c r="L28" s="972">
        <f t="shared" si="37"/>
        <v>0</v>
      </c>
      <c r="M28" s="972">
        <f t="shared" si="38"/>
        <v>0</v>
      </c>
      <c r="N28" s="923"/>
      <c r="O28" s="972">
        <f t="shared" si="39"/>
        <v>0</v>
      </c>
      <c r="P28" s="972">
        <f t="shared" si="39"/>
        <v>0</v>
      </c>
      <c r="Q28" s="972">
        <f t="shared" si="39"/>
        <v>0</v>
      </c>
      <c r="R28" s="972">
        <f t="shared" si="39"/>
        <v>0</v>
      </c>
      <c r="S28" s="972">
        <f t="shared" si="39"/>
        <v>0</v>
      </c>
      <c r="T28" s="922"/>
      <c r="U28" s="972">
        <f t="shared" si="28"/>
        <v>0</v>
      </c>
      <c r="V28" s="972">
        <f t="shared" si="29"/>
        <v>0</v>
      </c>
      <c r="W28" s="972">
        <f t="shared" si="34"/>
        <v>0</v>
      </c>
      <c r="X28" s="964"/>
      <c r="Y28" s="998">
        <f t="shared" si="40"/>
        <v>0</v>
      </c>
      <c r="Z28" s="972"/>
      <c r="AA28" s="972"/>
      <c r="AB28" s="972"/>
      <c r="AC28" s="972"/>
      <c r="AD28" s="964"/>
      <c r="AE28" s="972"/>
      <c r="AF28" s="965"/>
      <c r="AG28" s="973"/>
      <c r="AH28" s="972">
        <f t="shared" si="30"/>
        <v>0</v>
      </c>
      <c r="AI28" s="972">
        <f t="shared" si="31"/>
        <v>0</v>
      </c>
      <c r="AJ28" s="972">
        <f t="shared" si="32"/>
        <v>0</v>
      </c>
      <c r="AK28" s="972"/>
      <c r="AL28" s="972"/>
      <c r="AM28" s="972"/>
      <c r="AN28" s="972"/>
      <c r="AO28" s="972"/>
    </row>
    <row r="29" spans="1:41" ht="25.5" customHeight="1" outlineLevel="1" x14ac:dyDescent="0.3">
      <c r="A29" s="124"/>
      <c r="B29" s="125" t="s">
        <v>72</v>
      </c>
      <c r="C29" s="126" t="s">
        <v>29</v>
      </c>
      <c r="D29" s="126"/>
      <c r="F29" s="972">
        <f t="shared" si="35"/>
        <v>0</v>
      </c>
      <c r="G29" s="964"/>
      <c r="H29" s="972"/>
      <c r="I29" s="998">
        <f t="shared" si="33"/>
        <v>0</v>
      </c>
      <c r="J29" s="964"/>
      <c r="K29" s="972">
        <f t="shared" si="36"/>
        <v>0</v>
      </c>
      <c r="L29" s="972">
        <f t="shared" si="37"/>
        <v>0</v>
      </c>
      <c r="M29" s="972">
        <f t="shared" si="38"/>
        <v>0</v>
      </c>
      <c r="N29" s="923"/>
      <c r="O29" s="972">
        <f t="shared" si="39"/>
        <v>0</v>
      </c>
      <c r="P29" s="972">
        <f t="shared" si="39"/>
        <v>0</v>
      </c>
      <c r="Q29" s="972">
        <f t="shared" si="39"/>
        <v>0</v>
      </c>
      <c r="R29" s="972">
        <f t="shared" si="39"/>
        <v>0</v>
      </c>
      <c r="S29" s="972">
        <f t="shared" si="39"/>
        <v>0</v>
      </c>
      <c r="T29" s="922"/>
      <c r="U29" s="972">
        <f t="shared" si="28"/>
        <v>0</v>
      </c>
      <c r="V29" s="972">
        <f t="shared" si="29"/>
        <v>0</v>
      </c>
      <c r="W29" s="972">
        <f t="shared" si="34"/>
        <v>0</v>
      </c>
      <c r="X29" s="964"/>
      <c r="Y29" s="998">
        <f t="shared" si="40"/>
        <v>0</v>
      </c>
      <c r="Z29" s="972"/>
      <c r="AA29" s="972"/>
      <c r="AB29" s="972"/>
      <c r="AC29" s="972"/>
      <c r="AD29" s="964"/>
      <c r="AE29" s="972"/>
      <c r="AF29" s="965"/>
      <c r="AG29" s="973"/>
      <c r="AH29" s="972">
        <f t="shared" si="30"/>
        <v>0</v>
      </c>
      <c r="AI29" s="972">
        <f t="shared" si="31"/>
        <v>0</v>
      </c>
      <c r="AJ29" s="972">
        <f t="shared" si="32"/>
        <v>0</v>
      </c>
      <c r="AK29" s="972"/>
      <c r="AL29" s="972"/>
      <c r="AM29" s="972"/>
      <c r="AN29" s="972"/>
      <c r="AO29" s="972"/>
    </row>
    <row r="30" spans="1:41" ht="25.5" customHeight="1" outlineLevel="1" x14ac:dyDescent="0.3">
      <c r="A30" s="124"/>
      <c r="B30" s="125" t="s">
        <v>73</v>
      </c>
      <c r="C30" s="126" t="s">
        <v>29</v>
      </c>
      <c r="D30" s="126"/>
      <c r="F30" s="972">
        <f t="shared" si="35"/>
        <v>0</v>
      </c>
      <c r="G30" s="964"/>
      <c r="H30" s="972"/>
      <c r="I30" s="998">
        <f t="shared" si="33"/>
        <v>0</v>
      </c>
      <c r="J30" s="964"/>
      <c r="K30" s="972">
        <f t="shared" si="36"/>
        <v>0</v>
      </c>
      <c r="L30" s="972">
        <f t="shared" si="37"/>
        <v>0</v>
      </c>
      <c r="M30" s="972">
        <f t="shared" si="38"/>
        <v>0</v>
      </c>
      <c r="N30" s="923"/>
      <c r="O30" s="972">
        <f t="shared" si="39"/>
        <v>0</v>
      </c>
      <c r="P30" s="972">
        <f t="shared" si="39"/>
        <v>0</v>
      </c>
      <c r="Q30" s="972">
        <f t="shared" si="39"/>
        <v>0</v>
      </c>
      <c r="R30" s="972">
        <f t="shared" si="39"/>
        <v>0</v>
      </c>
      <c r="S30" s="972">
        <f t="shared" si="39"/>
        <v>0</v>
      </c>
      <c r="T30" s="922"/>
      <c r="U30" s="972">
        <f t="shared" si="28"/>
        <v>0</v>
      </c>
      <c r="V30" s="972">
        <f t="shared" si="29"/>
        <v>0</v>
      </c>
      <c r="W30" s="972">
        <f t="shared" si="34"/>
        <v>0</v>
      </c>
      <c r="X30" s="964"/>
      <c r="Y30" s="998">
        <f t="shared" si="40"/>
        <v>0</v>
      </c>
      <c r="Z30" s="972"/>
      <c r="AA30" s="972"/>
      <c r="AB30" s="972"/>
      <c r="AC30" s="972"/>
      <c r="AD30" s="964"/>
      <c r="AE30" s="972"/>
      <c r="AF30" s="965"/>
      <c r="AG30" s="973"/>
      <c r="AH30" s="972">
        <f t="shared" si="30"/>
        <v>0</v>
      </c>
      <c r="AI30" s="972">
        <f t="shared" si="31"/>
        <v>0</v>
      </c>
      <c r="AJ30" s="972">
        <f t="shared" si="32"/>
        <v>0</v>
      </c>
      <c r="AK30" s="972"/>
      <c r="AL30" s="972"/>
      <c r="AM30" s="972"/>
      <c r="AN30" s="972"/>
      <c r="AO30" s="972"/>
    </row>
    <row r="31" spans="1:41" ht="25.5" customHeight="1" outlineLevel="1" x14ac:dyDescent="0.3">
      <c r="A31" s="124"/>
      <c r="B31" s="125" t="s">
        <v>74</v>
      </c>
      <c r="C31" s="126" t="s">
        <v>29</v>
      </c>
      <c r="D31" s="126"/>
      <c r="F31" s="972">
        <f t="shared" si="35"/>
        <v>0</v>
      </c>
      <c r="G31" s="964"/>
      <c r="H31" s="972"/>
      <c r="I31" s="998">
        <f t="shared" si="33"/>
        <v>0</v>
      </c>
      <c r="J31" s="964"/>
      <c r="K31" s="972">
        <f t="shared" si="36"/>
        <v>0</v>
      </c>
      <c r="L31" s="972">
        <f t="shared" si="37"/>
        <v>0</v>
      </c>
      <c r="M31" s="972">
        <f t="shared" si="38"/>
        <v>0</v>
      </c>
      <c r="N31" s="923"/>
      <c r="O31" s="972">
        <f t="shared" si="39"/>
        <v>0</v>
      </c>
      <c r="P31" s="972">
        <f t="shared" si="39"/>
        <v>0</v>
      </c>
      <c r="Q31" s="972">
        <f t="shared" si="39"/>
        <v>0</v>
      </c>
      <c r="R31" s="972">
        <f t="shared" si="39"/>
        <v>0</v>
      </c>
      <c r="S31" s="972">
        <f t="shared" si="39"/>
        <v>0</v>
      </c>
      <c r="T31" s="922"/>
      <c r="U31" s="972">
        <f t="shared" si="28"/>
        <v>0</v>
      </c>
      <c r="V31" s="972">
        <f t="shared" si="29"/>
        <v>0</v>
      </c>
      <c r="W31" s="972">
        <f t="shared" si="34"/>
        <v>0</v>
      </c>
      <c r="X31" s="964"/>
      <c r="Y31" s="998">
        <f t="shared" si="40"/>
        <v>0</v>
      </c>
      <c r="Z31" s="972"/>
      <c r="AA31" s="972"/>
      <c r="AB31" s="972"/>
      <c r="AC31" s="972"/>
      <c r="AD31" s="964"/>
      <c r="AE31" s="972"/>
      <c r="AF31" s="965"/>
      <c r="AG31" s="973"/>
      <c r="AH31" s="972">
        <f t="shared" si="30"/>
        <v>0</v>
      </c>
      <c r="AI31" s="972">
        <f t="shared" si="31"/>
        <v>0</v>
      </c>
      <c r="AJ31" s="972">
        <f t="shared" si="32"/>
        <v>0</v>
      </c>
      <c r="AK31" s="972"/>
      <c r="AL31" s="972"/>
      <c r="AM31" s="972"/>
      <c r="AN31" s="972"/>
      <c r="AO31" s="972"/>
    </row>
    <row r="32" spans="1:41" ht="25.5" customHeight="1" outlineLevel="1" x14ac:dyDescent="0.3">
      <c r="A32" s="124"/>
      <c r="B32" s="125" t="s">
        <v>75</v>
      </c>
      <c r="C32" s="126" t="s">
        <v>29</v>
      </c>
      <c r="D32" s="126"/>
      <c r="F32" s="972">
        <f t="shared" si="35"/>
        <v>0</v>
      </c>
      <c r="G32" s="964"/>
      <c r="H32" s="972"/>
      <c r="I32" s="998">
        <f t="shared" si="33"/>
        <v>0</v>
      </c>
      <c r="J32" s="964"/>
      <c r="K32" s="972">
        <f t="shared" si="36"/>
        <v>0</v>
      </c>
      <c r="L32" s="972">
        <f t="shared" si="37"/>
        <v>0</v>
      </c>
      <c r="M32" s="972">
        <f t="shared" si="38"/>
        <v>0</v>
      </c>
      <c r="N32" s="923"/>
      <c r="O32" s="972">
        <f t="shared" si="39"/>
        <v>0</v>
      </c>
      <c r="P32" s="972">
        <f t="shared" si="39"/>
        <v>0</v>
      </c>
      <c r="Q32" s="972">
        <f t="shared" si="39"/>
        <v>0</v>
      </c>
      <c r="R32" s="972">
        <f t="shared" si="39"/>
        <v>0</v>
      </c>
      <c r="S32" s="972">
        <f t="shared" si="39"/>
        <v>0</v>
      </c>
      <c r="T32" s="922"/>
      <c r="U32" s="972">
        <f t="shared" si="28"/>
        <v>0</v>
      </c>
      <c r="V32" s="972">
        <f t="shared" si="29"/>
        <v>0</v>
      </c>
      <c r="W32" s="972">
        <f t="shared" si="34"/>
        <v>0</v>
      </c>
      <c r="X32" s="964"/>
      <c r="Y32" s="998">
        <f t="shared" si="40"/>
        <v>0</v>
      </c>
      <c r="Z32" s="972"/>
      <c r="AA32" s="972"/>
      <c r="AB32" s="972"/>
      <c r="AC32" s="972"/>
      <c r="AD32" s="964"/>
      <c r="AE32" s="972"/>
      <c r="AF32" s="965"/>
      <c r="AG32" s="973"/>
      <c r="AH32" s="994">
        <f t="shared" si="30"/>
        <v>0</v>
      </c>
      <c r="AI32" s="994">
        <f t="shared" si="31"/>
        <v>0</v>
      </c>
      <c r="AJ32" s="994">
        <f t="shared" si="32"/>
        <v>0</v>
      </c>
      <c r="AK32" s="994"/>
      <c r="AL32" s="994"/>
      <c r="AM32" s="994"/>
      <c r="AN32" s="994"/>
      <c r="AO32" s="994"/>
    </row>
    <row r="33" spans="1:41" ht="21" customHeight="1" x14ac:dyDescent="0.3">
      <c r="A33" s="124" t="s">
        <v>29</v>
      </c>
      <c r="B33" s="127" t="str">
        <f>+"TOTAL FASE  "&amp;A24&amp;" : "&amp;B24</f>
        <v>TOTAL FASE  200 : MOVIMIENTO DE TIERRAS</v>
      </c>
      <c r="C33" s="101" t="s">
        <v>29</v>
      </c>
      <c r="D33" s="1006">
        <f>SUM(D25:D32)</f>
        <v>0</v>
      </c>
      <c r="F33" s="1006">
        <f>SUM(F25:F32)</f>
        <v>52955</v>
      </c>
      <c r="G33" s="87"/>
      <c r="H33" s="1006">
        <f t="shared" ref="H33" si="41">SUM(H25:H32)</f>
        <v>0</v>
      </c>
      <c r="I33" s="1006">
        <f t="shared" ref="I33" si="42">SUM(I25:I32)</f>
        <v>12529</v>
      </c>
      <c r="J33" s="87"/>
      <c r="K33" s="1006">
        <f t="shared" ref="K33" si="43">SUM(K25:K32)</f>
        <v>12529</v>
      </c>
      <c r="L33" s="1006">
        <f t="shared" ref="L33" si="44">SUM(L25:L32)</f>
        <v>65484</v>
      </c>
      <c r="M33" s="1006">
        <f t="shared" ref="M33" si="45">SUM(M25:M32)</f>
        <v>-65484</v>
      </c>
      <c r="N33" s="95"/>
      <c r="O33" s="1006">
        <f t="shared" ref="O33" si="46">SUM(O25:O32)</f>
        <v>0</v>
      </c>
      <c r="P33" s="1006">
        <f t="shared" ref="P33" si="47">SUM(P25:P32)</f>
        <v>0</v>
      </c>
      <c r="Q33" s="1006">
        <f t="shared" ref="Q33" si="48">SUM(Q25:Q32)</f>
        <v>0</v>
      </c>
      <c r="R33" s="1006">
        <f t="shared" ref="R33" si="49">SUM(R25:R32)</f>
        <v>0</v>
      </c>
      <c r="S33" s="1006">
        <f t="shared" ref="S33" si="50">SUM(S25:S32)</f>
        <v>0</v>
      </c>
      <c r="T33" s="87"/>
      <c r="U33" s="1006">
        <f t="shared" ref="U33" si="51">SUM(U25:U32)</f>
        <v>0</v>
      </c>
      <c r="V33" s="1006">
        <f t="shared" ref="V33" si="52">SUM(V25:V32)</f>
        <v>0</v>
      </c>
      <c r="W33" s="1006">
        <f t="shared" ref="W33" si="53">SUM(W25:W32)</f>
        <v>0</v>
      </c>
      <c r="X33" s="87"/>
      <c r="Y33" s="1006">
        <f t="shared" ref="Y33" si="54">SUM(Y25:Y32)</f>
        <v>0</v>
      </c>
      <c r="Z33" s="1006">
        <f t="shared" ref="Z33" si="55">SUM(Z25:Z32)</f>
        <v>0</v>
      </c>
      <c r="AA33" s="1006">
        <f t="shared" ref="AA33" si="56">SUM(AA25:AA32)</f>
        <v>0</v>
      </c>
      <c r="AB33" s="1006">
        <f t="shared" ref="AB33" si="57">SUM(AB25:AB32)</f>
        <v>0</v>
      </c>
      <c r="AC33" s="1006">
        <f t="shared" ref="AC33" si="58">SUM(AC25:AC32)</f>
        <v>0</v>
      </c>
      <c r="AD33" s="499"/>
      <c r="AE33" s="1006">
        <f>SUM(AE25:AE32)</f>
        <v>0</v>
      </c>
      <c r="AF33" s="282"/>
      <c r="AG33" s="87"/>
      <c r="AH33" s="1006">
        <f t="shared" ref="AH33" si="59">SUM(AH25:AH32)</f>
        <v>66025.450000000012</v>
      </c>
      <c r="AI33" s="1006">
        <f t="shared" ref="AI33" si="60">SUM(AI25:AI32)</f>
        <v>52955</v>
      </c>
      <c r="AJ33" s="1006">
        <f t="shared" ref="AJ33" si="61">SUM(AJ25:AJ32)</f>
        <v>12529</v>
      </c>
      <c r="AK33" s="1006">
        <f t="shared" ref="AK33" si="62">SUM(AK25:AK32)</f>
        <v>26350</v>
      </c>
      <c r="AL33" s="1006">
        <f t="shared" ref="AL33" si="63">SUM(AL25:AL32)</f>
        <v>26605</v>
      </c>
      <c r="AM33" s="1006">
        <f t="shared" ref="AM33" si="64">SUM(AM25:AM32)</f>
        <v>12529</v>
      </c>
      <c r="AN33" s="1006">
        <f t="shared" ref="AN33" si="65">SUM(AN25:AN32)</f>
        <v>306.85000000000002</v>
      </c>
      <c r="AO33" s="1006">
        <f t="shared" ref="AO33" si="66">SUM(AO25:AO32)</f>
        <v>234.6</v>
      </c>
    </row>
    <row r="34" spans="1:41" ht="25.5" customHeight="1" x14ac:dyDescent="0.3">
      <c r="A34" s="124"/>
      <c r="B34" s="128" t="s">
        <v>76</v>
      </c>
      <c r="C34" s="129" t="s">
        <v>77</v>
      </c>
      <c r="D34" s="129"/>
      <c r="F34" s="507"/>
      <c r="G34" s="87"/>
      <c r="H34" s="508"/>
      <c r="I34" s="509"/>
      <c r="J34" s="87"/>
      <c r="K34" s="508"/>
      <c r="L34" s="509"/>
      <c r="M34" s="509"/>
      <c r="N34" s="95"/>
      <c r="O34" s="507"/>
      <c r="P34" s="507"/>
      <c r="Q34" s="507"/>
      <c r="R34" s="507"/>
      <c r="S34" s="507"/>
      <c r="T34" s="87"/>
      <c r="U34" s="507"/>
      <c r="V34" s="507"/>
      <c r="W34" s="507"/>
      <c r="X34" s="87"/>
      <c r="Y34" s="507"/>
      <c r="Z34" s="507"/>
      <c r="AA34" s="507"/>
      <c r="AB34" s="507"/>
      <c r="AC34" s="507"/>
      <c r="AD34" s="499"/>
      <c r="AE34" s="507"/>
      <c r="AF34" s="506"/>
      <c r="AG34" s="87"/>
      <c r="AH34" s="507"/>
      <c r="AI34" s="510"/>
      <c r="AJ34" s="510"/>
      <c r="AK34" s="507"/>
      <c r="AL34" s="510"/>
      <c r="AM34" s="507"/>
      <c r="AN34" s="510"/>
      <c r="AO34" s="507"/>
    </row>
    <row r="35" spans="1:41" ht="25.5" customHeight="1" x14ac:dyDescent="0.3">
      <c r="A35" s="130"/>
      <c r="B35" s="131" t="s">
        <v>78</v>
      </c>
      <c r="C35" s="132" t="s">
        <v>79</v>
      </c>
      <c r="D35" s="132"/>
      <c r="F35" s="511"/>
      <c r="G35" s="87"/>
      <c r="H35" s="511"/>
      <c r="I35" s="512"/>
      <c r="J35" s="87"/>
      <c r="K35" s="511"/>
      <c r="L35" s="512"/>
      <c r="M35" s="512"/>
      <c r="N35" s="95"/>
      <c r="O35" s="511"/>
      <c r="P35" s="511"/>
      <c r="Q35" s="511"/>
      <c r="R35" s="511"/>
      <c r="S35" s="511"/>
      <c r="T35" s="87"/>
      <c r="U35" s="511"/>
      <c r="V35" s="511"/>
      <c r="W35" s="511"/>
      <c r="X35" s="87"/>
      <c r="Y35" s="511"/>
      <c r="Z35" s="511"/>
      <c r="AA35" s="511"/>
      <c r="AB35" s="511"/>
      <c r="AC35" s="511"/>
      <c r="AD35" s="499"/>
      <c r="AE35" s="511"/>
      <c r="AF35" s="282"/>
      <c r="AG35" s="87"/>
      <c r="AH35" s="513"/>
      <c r="AI35" s="514"/>
      <c r="AJ35" s="514"/>
      <c r="AK35" s="511"/>
      <c r="AL35" s="514"/>
      <c r="AM35" s="511"/>
      <c r="AN35" s="514"/>
      <c r="AO35" s="511"/>
    </row>
    <row r="36" spans="1:41" ht="26.25" customHeight="1" x14ac:dyDescent="0.3">
      <c r="A36" s="133">
        <v>300</v>
      </c>
      <c r="B36" s="102" t="s">
        <v>326</v>
      </c>
      <c r="F36" s="87"/>
      <c r="G36" s="87"/>
      <c r="H36" s="87"/>
      <c r="I36" s="87"/>
      <c r="J36" s="87"/>
      <c r="K36" s="87"/>
      <c r="L36" s="87"/>
      <c r="M36" s="87"/>
      <c r="N36" s="95"/>
      <c r="O36" s="174"/>
      <c r="P36" s="174"/>
      <c r="Q36" s="174"/>
      <c r="R36" s="174"/>
      <c r="S36" s="174"/>
      <c r="T36" s="87"/>
      <c r="U36" s="87"/>
      <c r="V36" s="87"/>
      <c r="W36" s="87"/>
      <c r="X36" s="87"/>
      <c r="Y36" s="87"/>
      <c r="Z36" s="87"/>
      <c r="AA36" s="87"/>
      <c r="AB36" s="87"/>
      <c r="AC36" s="87"/>
      <c r="AD36" s="499"/>
      <c r="AE36" s="919"/>
      <c r="AF36" s="282"/>
      <c r="AG36" s="87"/>
      <c r="AH36" s="87"/>
      <c r="AI36" s="87"/>
      <c r="AJ36" s="87"/>
      <c r="AK36" s="87"/>
      <c r="AL36" s="87"/>
      <c r="AM36" s="87"/>
      <c r="AN36" s="87"/>
      <c r="AO36" s="87"/>
    </row>
    <row r="37" spans="1:41" s="910" customFormat="1" ht="23.25" customHeight="1" x14ac:dyDescent="0.3">
      <c r="A37" s="908"/>
      <c r="B37" s="927" t="s">
        <v>68</v>
      </c>
      <c r="C37" s="928" t="s">
        <v>29</v>
      </c>
      <c r="D37" s="931"/>
      <c r="E37" s="932"/>
      <c r="F37" s="963">
        <f>AI37</f>
        <v>12308</v>
      </c>
      <c r="G37" s="964"/>
      <c r="H37" s="963"/>
      <c r="I37" s="998">
        <f>AJ37</f>
        <v>18955</v>
      </c>
      <c r="J37" s="964"/>
      <c r="K37" s="963">
        <f>+I37+AE37</f>
        <v>18955</v>
      </c>
      <c r="L37" s="963">
        <f>+K37+F37</f>
        <v>31263</v>
      </c>
      <c r="M37" s="963">
        <f>+D37-L37</f>
        <v>-31263</v>
      </c>
      <c r="N37" s="923"/>
      <c r="O37" s="963">
        <f>+O$36*$M37</f>
        <v>0</v>
      </c>
      <c r="P37" s="963">
        <f t="shared" ref="P37:S38" si="67">+P$36*$M37</f>
        <v>0</v>
      </c>
      <c r="Q37" s="963">
        <f t="shared" si="67"/>
        <v>0</v>
      </c>
      <c r="R37" s="963">
        <f t="shared" si="67"/>
        <v>0</v>
      </c>
      <c r="S37" s="963">
        <f t="shared" si="67"/>
        <v>0</v>
      </c>
      <c r="T37" s="922"/>
      <c r="U37" s="963">
        <f t="shared" ref="U37:U44" si="68">+SUMIFS(O37:S37,O$8:S$8,$U$11)</f>
        <v>0</v>
      </c>
      <c r="V37" s="963">
        <f t="shared" ref="V37:V44" si="69">+SUMIFS(O37:S37,O$8:S$8,$V$11)</f>
        <v>0</v>
      </c>
      <c r="W37" s="963">
        <f>+SUMIFS(O37:S37,O$8:S$8,$W$11)</f>
        <v>0</v>
      </c>
      <c r="X37" s="964"/>
      <c r="Y37" s="963">
        <f>+L37+M37</f>
        <v>0</v>
      </c>
      <c r="Z37" s="963"/>
      <c r="AA37" s="963"/>
      <c r="AB37" s="963"/>
      <c r="AC37" s="963"/>
      <c r="AD37" s="964"/>
      <c r="AE37" s="963"/>
      <c r="AF37" s="965"/>
      <c r="AG37" s="966"/>
      <c r="AH37" s="963">
        <f t="shared" ref="AH37:AH44" si="70">SUM(AK37:AO37)</f>
        <v>42789</v>
      </c>
      <c r="AI37" s="963">
        <f t="shared" ref="AI37:AI44" si="71">SUM(AK37:AL37)</f>
        <v>12308</v>
      </c>
      <c r="AJ37" s="963">
        <f t="shared" ref="AJ37:AJ44" si="72">+AM37</f>
        <v>18955</v>
      </c>
      <c r="AK37" s="963">
        <v>0</v>
      </c>
      <c r="AL37" s="963">
        <v>12308</v>
      </c>
      <c r="AM37" s="963">
        <v>18955</v>
      </c>
      <c r="AN37" s="963">
        <v>10047</v>
      </c>
      <c r="AO37" s="963">
        <v>1479</v>
      </c>
    </row>
    <row r="38" spans="1:41" ht="25.5" customHeight="1" outlineLevel="1" x14ac:dyDescent="0.3">
      <c r="A38" s="124"/>
      <c r="B38" s="125" t="s">
        <v>69</v>
      </c>
      <c r="C38" s="126" t="s">
        <v>29</v>
      </c>
      <c r="D38" s="126"/>
      <c r="F38" s="972">
        <f>AI38</f>
        <v>0</v>
      </c>
      <c r="G38" s="964"/>
      <c r="H38" s="972"/>
      <c r="I38" s="998">
        <f t="shared" ref="I38:I44" si="73">AJ38</f>
        <v>0</v>
      </c>
      <c r="J38" s="964"/>
      <c r="K38" s="972">
        <f>+I38+AE38</f>
        <v>0</v>
      </c>
      <c r="L38" s="972">
        <f>+K38+F38</f>
        <v>0</v>
      </c>
      <c r="M38" s="972">
        <f>+D38-L38</f>
        <v>0</v>
      </c>
      <c r="N38" s="923"/>
      <c r="O38" s="972">
        <f>+O$36*$M38</f>
        <v>0</v>
      </c>
      <c r="P38" s="972">
        <f t="shared" si="67"/>
        <v>0</v>
      </c>
      <c r="Q38" s="972">
        <f t="shared" si="67"/>
        <v>0</v>
      </c>
      <c r="R38" s="972">
        <f t="shared" si="67"/>
        <v>0</v>
      </c>
      <c r="S38" s="972">
        <f t="shared" si="67"/>
        <v>0</v>
      </c>
      <c r="T38" s="922"/>
      <c r="U38" s="972">
        <f t="shared" si="68"/>
        <v>0</v>
      </c>
      <c r="V38" s="972">
        <f t="shared" si="69"/>
        <v>0</v>
      </c>
      <c r="W38" s="972">
        <f t="shared" ref="W38:W44" si="74">+SUMIFS(O38:S38,O$8:S$8,$W$11)</f>
        <v>0</v>
      </c>
      <c r="X38" s="964"/>
      <c r="Y38" s="998">
        <f>+L38+M38</f>
        <v>0</v>
      </c>
      <c r="Z38" s="972"/>
      <c r="AA38" s="972"/>
      <c r="AB38" s="972"/>
      <c r="AC38" s="972"/>
      <c r="AD38" s="964"/>
      <c r="AE38" s="972"/>
      <c r="AF38" s="965"/>
      <c r="AG38" s="973"/>
      <c r="AH38" s="972">
        <f t="shared" si="70"/>
        <v>0</v>
      </c>
      <c r="AI38" s="972">
        <f t="shared" si="71"/>
        <v>0</v>
      </c>
      <c r="AJ38" s="972">
        <f t="shared" si="72"/>
        <v>0</v>
      </c>
      <c r="AK38" s="972"/>
      <c r="AL38" s="972"/>
      <c r="AM38" s="972"/>
      <c r="AN38" s="972"/>
      <c r="AO38" s="972"/>
    </row>
    <row r="39" spans="1:41" ht="25.5" customHeight="1" outlineLevel="1" x14ac:dyDescent="0.3">
      <c r="A39" s="124"/>
      <c r="B39" s="125" t="s">
        <v>70</v>
      </c>
      <c r="C39" s="126" t="s">
        <v>29</v>
      </c>
      <c r="D39" s="126"/>
      <c r="F39" s="972">
        <f t="shared" ref="F39:F44" si="75">AI39</f>
        <v>0</v>
      </c>
      <c r="G39" s="964"/>
      <c r="H39" s="972"/>
      <c r="I39" s="998">
        <f t="shared" si="73"/>
        <v>0</v>
      </c>
      <c r="J39" s="964"/>
      <c r="K39" s="972">
        <f t="shared" ref="K39:K44" si="76">+I39+AE39</f>
        <v>0</v>
      </c>
      <c r="L39" s="972">
        <f t="shared" ref="L39:L44" si="77">+K39+F39</f>
        <v>0</v>
      </c>
      <c r="M39" s="972">
        <f t="shared" ref="M39:M44" si="78">+D39-L39</f>
        <v>0</v>
      </c>
      <c r="N39" s="923"/>
      <c r="O39" s="972">
        <f t="shared" ref="O39:S44" si="79">+O$36*$M39</f>
        <v>0</v>
      </c>
      <c r="P39" s="972">
        <f t="shared" si="79"/>
        <v>0</v>
      </c>
      <c r="Q39" s="972">
        <f t="shared" si="79"/>
        <v>0</v>
      </c>
      <c r="R39" s="972">
        <f t="shared" si="79"/>
        <v>0</v>
      </c>
      <c r="S39" s="972">
        <f t="shared" si="79"/>
        <v>0</v>
      </c>
      <c r="T39" s="922"/>
      <c r="U39" s="972">
        <f t="shared" si="68"/>
        <v>0</v>
      </c>
      <c r="V39" s="972">
        <f t="shared" si="69"/>
        <v>0</v>
      </c>
      <c r="W39" s="972">
        <f t="shared" si="74"/>
        <v>0</v>
      </c>
      <c r="X39" s="964"/>
      <c r="Y39" s="998">
        <f t="shared" ref="Y39:Y44" si="80">+L39+M39</f>
        <v>0</v>
      </c>
      <c r="Z39" s="972"/>
      <c r="AA39" s="972"/>
      <c r="AB39" s="972"/>
      <c r="AC39" s="972"/>
      <c r="AD39" s="964"/>
      <c r="AE39" s="972"/>
      <c r="AF39" s="965"/>
      <c r="AG39" s="973"/>
      <c r="AH39" s="972">
        <f t="shared" si="70"/>
        <v>0</v>
      </c>
      <c r="AI39" s="972">
        <f t="shared" si="71"/>
        <v>0</v>
      </c>
      <c r="AJ39" s="972">
        <f t="shared" si="72"/>
        <v>0</v>
      </c>
      <c r="AK39" s="972"/>
      <c r="AL39" s="972"/>
      <c r="AM39" s="972"/>
      <c r="AN39" s="972"/>
      <c r="AO39" s="972"/>
    </row>
    <row r="40" spans="1:41" ht="25.5" customHeight="1" outlineLevel="1" x14ac:dyDescent="0.3">
      <c r="A40" s="124"/>
      <c r="B40" s="125" t="s">
        <v>71</v>
      </c>
      <c r="C40" s="126" t="s">
        <v>29</v>
      </c>
      <c r="D40" s="126"/>
      <c r="F40" s="972">
        <f t="shared" si="75"/>
        <v>0</v>
      </c>
      <c r="G40" s="964"/>
      <c r="H40" s="972"/>
      <c r="I40" s="998">
        <f t="shared" si="73"/>
        <v>0</v>
      </c>
      <c r="J40" s="964"/>
      <c r="K40" s="972">
        <f t="shared" si="76"/>
        <v>0</v>
      </c>
      <c r="L40" s="972">
        <f t="shared" si="77"/>
        <v>0</v>
      </c>
      <c r="M40" s="972">
        <f t="shared" si="78"/>
        <v>0</v>
      </c>
      <c r="N40" s="923"/>
      <c r="O40" s="972">
        <f t="shared" si="79"/>
        <v>0</v>
      </c>
      <c r="P40" s="972">
        <f t="shared" si="79"/>
        <v>0</v>
      </c>
      <c r="Q40" s="972">
        <f t="shared" si="79"/>
        <v>0</v>
      </c>
      <c r="R40" s="972">
        <f t="shared" si="79"/>
        <v>0</v>
      </c>
      <c r="S40" s="972">
        <f t="shared" si="79"/>
        <v>0</v>
      </c>
      <c r="T40" s="922"/>
      <c r="U40" s="972">
        <f t="shared" si="68"/>
        <v>0</v>
      </c>
      <c r="V40" s="972">
        <f t="shared" si="69"/>
        <v>0</v>
      </c>
      <c r="W40" s="972">
        <f t="shared" si="74"/>
        <v>0</v>
      </c>
      <c r="X40" s="964"/>
      <c r="Y40" s="998">
        <f t="shared" si="80"/>
        <v>0</v>
      </c>
      <c r="Z40" s="972"/>
      <c r="AA40" s="972"/>
      <c r="AB40" s="972"/>
      <c r="AC40" s="972"/>
      <c r="AD40" s="964"/>
      <c r="AE40" s="972"/>
      <c r="AF40" s="965"/>
      <c r="AG40" s="973"/>
      <c r="AH40" s="972">
        <f t="shared" si="70"/>
        <v>0</v>
      </c>
      <c r="AI40" s="972">
        <f t="shared" si="71"/>
        <v>0</v>
      </c>
      <c r="AJ40" s="972">
        <f t="shared" si="72"/>
        <v>0</v>
      </c>
      <c r="AK40" s="972"/>
      <c r="AL40" s="972"/>
      <c r="AM40" s="972"/>
      <c r="AN40" s="972"/>
      <c r="AO40" s="972"/>
    </row>
    <row r="41" spans="1:41" ht="25.5" customHeight="1" outlineLevel="1" x14ac:dyDescent="0.3">
      <c r="A41" s="124"/>
      <c r="B41" s="125" t="s">
        <v>72</v>
      </c>
      <c r="C41" s="126" t="s">
        <v>29</v>
      </c>
      <c r="D41" s="126"/>
      <c r="F41" s="972">
        <f t="shared" si="75"/>
        <v>0</v>
      </c>
      <c r="G41" s="964"/>
      <c r="H41" s="972"/>
      <c r="I41" s="998">
        <f t="shared" si="73"/>
        <v>0</v>
      </c>
      <c r="J41" s="964"/>
      <c r="K41" s="972">
        <f t="shared" si="76"/>
        <v>0</v>
      </c>
      <c r="L41" s="972">
        <f t="shared" si="77"/>
        <v>0</v>
      </c>
      <c r="M41" s="972">
        <f t="shared" si="78"/>
        <v>0</v>
      </c>
      <c r="N41" s="923"/>
      <c r="O41" s="972">
        <f t="shared" si="79"/>
        <v>0</v>
      </c>
      <c r="P41" s="972">
        <f t="shared" si="79"/>
        <v>0</v>
      </c>
      <c r="Q41" s="972">
        <f t="shared" si="79"/>
        <v>0</v>
      </c>
      <c r="R41" s="972">
        <f t="shared" si="79"/>
        <v>0</v>
      </c>
      <c r="S41" s="972">
        <f t="shared" si="79"/>
        <v>0</v>
      </c>
      <c r="T41" s="922"/>
      <c r="U41" s="972">
        <f t="shared" si="68"/>
        <v>0</v>
      </c>
      <c r="V41" s="972">
        <f t="shared" si="69"/>
        <v>0</v>
      </c>
      <c r="W41" s="972">
        <f t="shared" si="74"/>
        <v>0</v>
      </c>
      <c r="X41" s="964"/>
      <c r="Y41" s="998">
        <f t="shared" si="80"/>
        <v>0</v>
      </c>
      <c r="Z41" s="972"/>
      <c r="AA41" s="972"/>
      <c r="AB41" s="972"/>
      <c r="AC41" s="972"/>
      <c r="AD41" s="964"/>
      <c r="AE41" s="972"/>
      <c r="AF41" s="965"/>
      <c r="AG41" s="973"/>
      <c r="AH41" s="972">
        <f t="shared" si="70"/>
        <v>0</v>
      </c>
      <c r="AI41" s="972">
        <f t="shared" si="71"/>
        <v>0</v>
      </c>
      <c r="AJ41" s="972">
        <f t="shared" si="72"/>
        <v>0</v>
      </c>
      <c r="AK41" s="972"/>
      <c r="AL41" s="972"/>
      <c r="AM41" s="972"/>
      <c r="AN41" s="972"/>
      <c r="AO41" s="972"/>
    </row>
    <row r="42" spans="1:41" ht="25.5" customHeight="1" outlineLevel="1" x14ac:dyDescent="0.3">
      <c r="A42" s="124"/>
      <c r="B42" s="125" t="s">
        <v>73</v>
      </c>
      <c r="C42" s="126" t="s">
        <v>29</v>
      </c>
      <c r="D42" s="126"/>
      <c r="F42" s="972">
        <f t="shared" si="75"/>
        <v>0</v>
      </c>
      <c r="G42" s="964"/>
      <c r="H42" s="972"/>
      <c r="I42" s="998">
        <f t="shared" si="73"/>
        <v>0</v>
      </c>
      <c r="J42" s="964"/>
      <c r="K42" s="972">
        <f t="shared" si="76"/>
        <v>0</v>
      </c>
      <c r="L42" s="972">
        <f t="shared" si="77"/>
        <v>0</v>
      </c>
      <c r="M42" s="972">
        <f t="shared" si="78"/>
        <v>0</v>
      </c>
      <c r="N42" s="923"/>
      <c r="O42" s="972">
        <f t="shared" si="79"/>
        <v>0</v>
      </c>
      <c r="P42" s="972">
        <f t="shared" si="79"/>
        <v>0</v>
      </c>
      <c r="Q42" s="972">
        <f t="shared" si="79"/>
        <v>0</v>
      </c>
      <c r="R42" s="972">
        <f t="shared" si="79"/>
        <v>0</v>
      </c>
      <c r="S42" s="972">
        <f t="shared" si="79"/>
        <v>0</v>
      </c>
      <c r="T42" s="922"/>
      <c r="U42" s="972">
        <f t="shared" si="68"/>
        <v>0</v>
      </c>
      <c r="V42" s="972">
        <f t="shared" si="69"/>
        <v>0</v>
      </c>
      <c r="W42" s="972">
        <f t="shared" si="74"/>
        <v>0</v>
      </c>
      <c r="X42" s="964"/>
      <c r="Y42" s="998">
        <f t="shared" si="80"/>
        <v>0</v>
      </c>
      <c r="Z42" s="972"/>
      <c r="AA42" s="972"/>
      <c r="AB42" s="972"/>
      <c r="AC42" s="972"/>
      <c r="AD42" s="964"/>
      <c r="AE42" s="972"/>
      <c r="AF42" s="965"/>
      <c r="AG42" s="973"/>
      <c r="AH42" s="972">
        <f t="shared" si="70"/>
        <v>0</v>
      </c>
      <c r="AI42" s="972">
        <f t="shared" si="71"/>
        <v>0</v>
      </c>
      <c r="AJ42" s="972">
        <f t="shared" si="72"/>
        <v>0</v>
      </c>
      <c r="AK42" s="972"/>
      <c r="AL42" s="972"/>
      <c r="AM42" s="972"/>
      <c r="AN42" s="972"/>
      <c r="AO42" s="972"/>
    </row>
    <row r="43" spans="1:41" ht="25.5" customHeight="1" outlineLevel="1" x14ac:dyDescent="0.3">
      <c r="A43" s="124"/>
      <c r="B43" s="125" t="s">
        <v>74</v>
      </c>
      <c r="C43" s="126" t="s">
        <v>29</v>
      </c>
      <c r="D43" s="126"/>
      <c r="F43" s="972">
        <f t="shared" si="75"/>
        <v>0</v>
      </c>
      <c r="G43" s="964"/>
      <c r="H43" s="972"/>
      <c r="I43" s="998">
        <f t="shared" si="73"/>
        <v>0</v>
      </c>
      <c r="J43" s="964"/>
      <c r="K43" s="972">
        <f t="shared" si="76"/>
        <v>0</v>
      </c>
      <c r="L43" s="972">
        <f t="shared" si="77"/>
        <v>0</v>
      </c>
      <c r="M43" s="972">
        <f t="shared" si="78"/>
        <v>0</v>
      </c>
      <c r="N43" s="923"/>
      <c r="O43" s="972">
        <f t="shared" si="79"/>
        <v>0</v>
      </c>
      <c r="P43" s="972">
        <f t="shared" si="79"/>
        <v>0</v>
      </c>
      <c r="Q43" s="972">
        <f t="shared" si="79"/>
        <v>0</v>
      </c>
      <c r="R43" s="972">
        <f t="shared" si="79"/>
        <v>0</v>
      </c>
      <c r="S43" s="972">
        <f t="shared" si="79"/>
        <v>0</v>
      </c>
      <c r="T43" s="922"/>
      <c r="U43" s="972">
        <f t="shared" si="68"/>
        <v>0</v>
      </c>
      <c r="V43" s="972">
        <f t="shared" si="69"/>
        <v>0</v>
      </c>
      <c r="W43" s="972">
        <f t="shared" si="74"/>
        <v>0</v>
      </c>
      <c r="X43" s="964"/>
      <c r="Y43" s="998">
        <f t="shared" si="80"/>
        <v>0</v>
      </c>
      <c r="Z43" s="972"/>
      <c r="AA43" s="972"/>
      <c r="AB43" s="972"/>
      <c r="AC43" s="972"/>
      <c r="AD43" s="964"/>
      <c r="AE43" s="972"/>
      <c r="AF43" s="965"/>
      <c r="AG43" s="973"/>
      <c r="AH43" s="972">
        <f t="shared" si="70"/>
        <v>0</v>
      </c>
      <c r="AI43" s="972">
        <f t="shared" si="71"/>
        <v>0</v>
      </c>
      <c r="AJ43" s="972">
        <f t="shared" si="72"/>
        <v>0</v>
      </c>
      <c r="AK43" s="972"/>
      <c r="AL43" s="972"/>
      <c r="AM43" s="972"/>
      <c r="AN43" s="972"/>
      <c r="AO43" s="972"/>
    </row>
    <row r="44" spans="1:41" ht="25.5" customHeight="1" outlineLevel="1" x14ac:dyDescent="0.3">
      <c r="A44" s="124"/>
      <c r="B44" s="125" t="s">
        <v>75</v>
      </c>
      <c r="C44" s="126" t="s">
        <v>29</v>
      </c>
      <c r="D44" s="126"/>
      <c r="F44" s="972">
        <f t="shared" si="75"/>
        <v>0</v>
      </c>
      <c r="G44" s="964"/>
      <c r="H44" s="972"/>
      <c r="I44" s="998">
        <f t="shared" si="73"/>
        <v>0</v>
      </c>
      <c r="J44" s="964"/>
      <c r="K44" s="972">
        <f t="shared" si="76"/>
        <v>0</v>
      </c>
      <c r="L44" s="972">
        <f t="shared" si="77"/>
        <v>0</v>
      </c>
      <c r="M44" s="972">
        <f t="shared" si="78"/>
        <v>0</v>
      </c>
      <c r="N44" s="923"/>
      <c r="O44" s="972">
        <f t="shared" si="79"/>
        <v>0</v>
      </c>
      <c r="P44" s="972">
        <f t="shared" si="79"/>
        <v>0</v>
      </c>
      <c r="Q44" s="972">
        <f t="shared" si="79"/>
        <v>0</v>
      </c>
      <c r="R44" s="972">
        <f t="shared" si="79"/>
        <v>0</v>
      </c>
      <c r="S44" s="972">
        <f t="shared" si="79"/>
        <v>0</v>
      </c>
      <c r="T44" s="922"/>
      <c r="U44" s="972">
        <f t="shared" si="68"/>
        <v>0</v>
      </c>
      <c r="V44" s="972">
        <f t="shared" si="69"/>
        <v>0</v>
      </c>
      <c r="W44" s="972">
        <f t="shared" si="74"/>
        <v>0</v>
      </c>
      <c r="X44" s="964"/>
      <c r="Y44" s="998">
        <f t="shared" si="80"/>
        <v>0</v>
      </c>
      <c r="Z44" s="972"/>
      <c r="AA44" s="972"/>
      <c r="AB44" s="972"/>
      <c r="AC44" s="972"/>
      <c r="AD44" s="964"/>
      <c r="AE44" s="972"/>
      <c r="AF44" s="965"/>
      <c r="AG44" s="973"/>
      <c r="AH44" s="994">
        <f t="shared" si="70"/>
        <v>0</v>
      </c>
      <c r="AI44" s="994">
        <f t="shared" si="71"/>
        <v>0</v>
      </c>
      <c r="AJ44" s="994">
        <f t="shared" si="72"/>
        <v>0</v>
      </c>
      <c r="AK44" s="994"/>
      <c r="AL44" s="994"/>
      <c r="AM44" s="994"/>
      <c r="AN44" s="994"/>
      <c r="AO44" s="994"/>
    </row>
    <row r="45" spans="1:41" ht="21" customHeight="1" x14ac:dyDescent="0.3">
      <c r="A45" s="124" t="s">
        <v>29</v>
      </c>
      <c r="B45" s="127" t="str">
        <f>+"TOTAL FASE  "&amp;A36&amp;" : "&amp;B36</f>
        <v xml:space="preserve">TOTAL FASE  300 : CONCRETO </v>
      </c>
      <c r="C45" s="101" t="s">
        <v>29</v>
      </c>
      <c r="D45" s="1006">
        <f>SUM(D37:D44)</f>
        <v>0</v>
      </c>
      <c r="F45" s="1006">
        <f>SUM(F37:F44)</f>
        <v>12308</v>
      </c>
      <c r="G45" s="87"/>
      <c r="H45" s="1006">
        <f t="shared" ref="H45" si="81">SUM(H37:H44)</f>
        <v>0</v>
      </c>
      <c r="I45" s="1006">
        <f t="shared" ref="I45" si="82">SUM(I37:I44)</f>
        <v>18955</v>
      </c>
      <c r="J45" s="87"/>
      <c r="K45" s="1006">
        <f t="shared" ref="K45" si="83">SUM(K37:K44)</f>
        <v>18955</v>
      </c>
      <c r="L45" s="1006">
        <f t="shared" ref="L45" si="84">SUM(L37:L44)</f>
        <v>31263</v>
      </c>
      <c r="M45" s="1006">
        <f t="shared" ref="M45" si="85">SUM(M37:M44)</f>
        <v>-31263</v>
      </c>
      <c r="N45" s="95"/>
      <c r="O45" s="1006">
        <f t="shared" ref="O45" si="86">SUM(O37:O44)</f>
        <v>0</v>
      </c>
      <c r="P45" s="1006">
        <f t="shared" ref="P45" si="87">SUM(P37:P44)</f>
        <v>0</v>
      </c>
      <c r="Q45" s="1006">
        <f t="shared" ref="Q45" si="88">SUM(Q37:Q44)</f>
        <v>0</v>
      </c>
      <c r="R45" s="1006">
        <f t="shared" ref="R45" si="89">SUM(R37:R44)</f>
        <v>0</v>
      </c>
      <c r="S45" s="1006">
        <f t="shared" ref="S45" si="90">SUM(S37:S44)</f>
        <v>0</v>
      </c>
      <c r="T45" s="87"/>
      <c r="U45" s="1006">
        <f t="shared" ref="U45" si="91">SUM(U37:U44)</f>
        <v>0</v>
      </c>
      <c r="V45" s="1006">
        <f t="shared" ref="V45" si="92">SUM(V37:V44)</f>
        <v>0</v>
      </c>
      <c r="W45" s="1006">
        <f t="shared" ref="W45" si="93">SUM(W37:W44)</f>
        <v>0</v>
      </c>
      <c r="X45" s="87"/>
      <c r="Y45" s="1006">
        <f t="shared" ref="Y45" si="94">SUM(Y37:Y44)</f>
        <v>0</v>
      </c>
      <c r="Z45" s="1006">
        <f t="shared" ref="Z45" si="95">SUM(Z37:Z44)</f>
        <v>0</v>
      </c>
      <c r="AA45" s="1006">
        <f t="shared" ref="AA45" si="96">SUM(AA37:AA44)</f>
        <v>0</v>
      </c>
      <c r="AB45" s="1006">
        <f t="shared" ref="AB45" si="97">SUM(AB37:AB44)</f>
        <v>0</v>
      </c>
      <c r="AC45" s="1006">
        <f t="shared" ref="AC45" si="98">SUM(AC37:AC44)</f>
        <v>0</v>
      </c>
      <c r="AD45" s="499"/>
      <c r="AE45" s="1006">
        <f>SUM(AE37:AE44)</f>
        <v>0</v>
      </c>
      <c r="AF45" s="282"/>
      <c r="AG45" s="87"/>
      <c r="AH45" s="1006">
        <f t="shared" ref="AH45" si="99">SUM(AH37:AH44)</f>
        <v>42789</v>
      </c>
      <c r="AI45" s="1006">
        <f t="shared" ref="AI45" si="100">SUM(AI37:AI44)</f>
        <v>12308</v>
      </c>
      <c r="AJ45" s="1006">
        <f t="shared" ref="AJ45" si="101">SUM(AJ37:AJ44)</f>
        <v>18955</v>
      </c>
      <c r="AK45" s="1006">
        <f t="shared" ref="AK45" si="102">SUM(AK37:AK44)</f>
        <v>0</v>
      </c>
      <c r="AL45" s="1006">
        <f t="shared" ref="AL45" si="103">SUM(AL37:AL44)</f>
        <v>12308</v>
      </c>
      <c r="AM45" s="1006">
        <f t="shared" ref="AM45" si="104">SUM(AM37:AM44)</f>
        <v>18955</v>
      </c>
      <c r="AN45" s="1006">
        <f t="shared" ref="AN45" si="105">SUM(AN37:AN44)</f>
        <v>10047</v>
      </c>
      <c r="AO45" s="1006">
        <f t="shared" ref="AO45" si="106">SUM(AO37:AO44)</f>
        <v>1479</v>
      </c>
    </row>
    <row r="46" spans="1:41" ht="25.5" customHeight="1" x14ac:dyDescent="0.3">
      <c r="A46" s="124"/>
      <c r="B46" s="128" t="s">
        <v>76</v>
      </c>
      <c r="C46" s="129" t="s">
        <v>77</v>
      </c>
      <c r="D46" s="129"/>
      <c r="F46" s="507"/>
      <c r="G46" s="87"/>
      <c r="H46" s="508"/>
      <c r="I46" s="509"/>
      <c r="J46" s="87"/>
      <c r="K46" s="508"/>
      <c r="L46" s="509"/>
      <c r="M46" s="509"/>
      <c r="N46" s="95"/>
      <c r="O46" s="507"/>
      <c r="P46" s="507"/>
      <c r="Q46" s="507"/>
      <c r="R46" s="507"/>
      <c r="S46" s="507"/>
      <c r="T46" s="87"/>
      <c r="U46" s="507"/>
      <c r="V46" s="507"/>
      <c r="W46" s="507"/>
      <c r="X46" s="87"/>
      <c r="Y46" s="507"/>
      <c r="Z46" s="507"/>
      <c r="AA46" s="507"/>
      <c r="AB46" s="507"/>
      <c r="AC46" s="507"/>
      <c r="AD46" s="499"/>
      <c r="AE46" s="507"/>
      <c r="AF46" s="506"/>
      <c r="AG46" s="87"/>
      <c r="AH46" s="507"/>
      <c r="AI46" s="510"/>
      <c r="AJ46" s="510"/>
      <c r="AK46" s="507"/>
      <c r="AL46" s="510"/>
      <c r="AM46" s="507"/>
      <c r="AN46" s="510"/>
      <c r="AO46" s="507"/>
    </row>
    <row r="47" spans="1:41" ht="25.5" customHeight="1" x14ac:dyDescent="0.3">
      <c r="A47" s="130"/>
      <c r="B47" s="131" t="s">
        <v>78</v>
      </c>
      <c r="C47" s="132" t="s">
        <v>79</v>
      </c>
      <c r="D47" s="132"/>
      <c r="F47" s="511"/>
      <c r="G47" s="87"/>
      <c r="H47" s="511"/>
      <c r="I47" s="512"/>
      <c r="J47" s="87"/>
      <c r="K47" s="511"/>
      <c r="L47" s="512"/>
      <c r="M47" s="512"/>
      <c r="N47" s="95"/>
      <c r="O47" s="511"/>
      <c r="P47" s="511"/>
      <c r="Q47" s="511"/>
      <c r="R47" s="511"/>
      <c r="S47" s="511"/>
      <c r="T47" s="87"/>
      <c r="U47" s="511"/>
      <c r="V47" s="511"/>
      <c r="W47" s="511"/>
      <c r="X47" s="87"/>
      <c r="Y47" s="511"/>
      <c r="Z47" s="511"/>
      <c r="AA47" s="511"/>
      <c r="AB47" s="511"/>
      <c r="AC47" s="511"/>
      <c r="AD47" s="499"/>
      <c r="AE47" s="511"/>
      <c r="AF47" s="282"/>
      <c r="AG47" s="87"/>
      <c r="AH47" s="513"/>
      <c r="AI47" s="514"/>
      <c r="AJ47" s="514"/>
      <c r="AK47" s="511"/>
      <c r="AL47" s="514"/>
      <c r="AM47" s="511"/>
      <c r="AN47" s="514"/>
      <c r="AO47" s="511"/>
    </row>
    <row r="48" spans="1:41" ht="26.25" customHeight="1" x14ac:dyDescent="0.3">
      <c r="A48" s="98">
        <v>400</v>
      </c>
      <c r="B48" s="102" t="s">
        <v>330</v>
      </c>
      <c r="F48" s="87"/>
      <c r="G48" s="87"/>
      <c r="H48" s="87"/>
      <c r="I48" s="87"/>
      <c r="J48" s="87"/>
      <c r="K48" s="87"/>
      <c r="L48" s="87"/>
      <c r="M48" s="87"/>
      <c r="N48" s="95"/>
      <c r="O48" s="174"/>
      <c r="P48" s="174"/>
      <c r="Q48" s="174"/>
      <c r="R48" s="174"/>
      <c r="S48" s="174"/>
      <c r="T48" s="87"/>
      <c r="U48" s="87"/>
      <c r="V48" s="87"/>
      <c r="W48" s="87"/>
      <c r="X48" s="87"/>
      <c r="Y48" s="87"/>
      <c r="Z48" s="87"/>
      <c r="AA48" s="87"/>
      <c r="AB48" s="87"/>
      <c r="AC48" s="87"/>
      <c r="AD48" s="499"/>
      <c r="AE48" s="919"/>
      <c r="AF48" s="282"/>
      <c r="AG48" s="87"/>
      <c r="AH48" s="87"/>
      <c r="AI48" s="87"/>
      <c r="AJ48" s="87"/>
      <c r="AK48" s="87"/>
      <c r="AL48" s="87"/>
      <c r="AM48" s="87"/>
      <c r="AN48" s="87"/>
      <c r="AO48" s="87"/>
    </row>
    <row r="49" spans="1:41" s="910" customFormat="1" ht="23.25" customHeight="1" x14ac:dyDescent="0.3">
      <c r="A49" s="908"/>
      <c r="B49" s="927" t="s">
        <v>68</v>
      </c>
      <c r="C49" s="928" t="s">
        <v>29</v>
      </c>
      <c r="D49" s="931"/>
      <c r="E49" s="932"/>
      <c r="F49" s="963">
        <f>AI49</f>
        <v>32215</v>
      </c>
      <c r="G49" s="964"/>
      <c r="H49" s="963"/>
      <c r="I49" s="963">
        <f>AJ49</f>
        <v>25704</v>
      </c>
      <c r="J49" s="964"/>
      <c r="K49" s="963">
        <f>+I49+AE49</f>
        <v>25704</v>
      </c>
      <c r="L49" s="963">
        <f>+K49+F49</f>
        <v>57919</v>
      </c>
      <c r="M49" s="963">
        <f>+D49-L49</f>
        <v>-57919</v>
      </c>
      <c r="N49" s="923"/>
      <c r="O49" s="963">
        <f>+O$48*$M49</f>
        <v>0</v>
      </c>
      <c r="P49" s="963">
        <f t="shared" ref="P49:S50" si="107">+P$48*$M49</f>
        <v>0</v>
      </c>
      <c r="Q49" s="963">
        <f t="shared" si="107"/>
        <v>0</v>
      </c>
      <c r="R49" s="963">
        <f t="shared" si="107"/>
        <v>0</v>
      </c>
      <c r="S49" s="963">
        <f t="shared" si="107"/>
        <v>0</v>
      </c>
      <c r="T49" s="922"/>
      <c r="U49" s="963">
        <f t="shared" ref="U49:U56" si="108">+SUMIFS(O49:S49,O$8:S$8,$U$11)</f>
        <v>0</v>
      </c>
      <c r="V49" s="963">
        <f t="shared" ref="V49:V56" si="109">+SUMIFS(O49:S49,O$8:S$8,$V$11)</f>
        <v>0</v>
      </c>
      <c r="W49" s="963">
        <f>+SUMIFS(O49:S49,O$8:S$8,$W$11)</f>
        <v>0</v>
      </c>
      <c r="X49" s="964"/>
      <c r="Y49" s="963">
        <f>+L49+M49</f>
        <v>0</v>
      </c>
      <c r="Z49" s="963"/>
      <c r="AA49" s="963"/>
      <c r="AB49" s="963"/>
      <c r="AC49" s="963"/>
      <c r="AD49" s="964"/>
      <c r="AE49" s="963"/>
      <c r="AF49" s="965"/>
      <c r="AG49" s="966"/>
      <c r="AH49" s="963">
        <f t="shared" ref="AH49:AH56" si="110">SUM(AK49:AO49)</f>
        <v>91885</v>
      </c>
      <c r="AI49" s="963">
        <f t="shared" ref="AI49:AI56" si="111">SUM(AK49:AL49)</f>
        <v>32215</v>
      </c>
      <c r="AJ49" s="963">
        <f t="shared" ref="AJ49:AJ56" si="112">+AM49</f>
        <v>25704</v>
      </c>
      <c r="AK49" s="963">
        <v>0</v>
      </c>
      <c r="AL49" s="963">
        <v>32215</v>
      </c>
      <c r="AM49" s="963">
        <v>25704</v>
      </c>
      <c r="AN49" s="963">
        <v>33966</v>
      </c>
      <c r="AO49" s="963">
        <v>0</v>
      </c>
    </row>
    <row r="50" spans="1:41" ht="25.5" customHeight="1" outlineLevel="1" x14ac:dyDescent="0.3">
      <c r="A50" s="124"/>
      <c r="B50" s="125" t="s">
        <v>69</v>
      </c>
      <c r="C50" s="126" t="s">
        <v>29</v>
      </c>
      <c r="D50" s="126"/>
      <c r="F50" s="972">
        <f>AI50</f>
        <v>0</v>
      </c>
      <c r="G50" s="964"/>
      <c r="H50" s="972"/>
      <c r="I50" s="998">
        <f t="shared" ref="I50:I56" si="113">AJ50</f>
        <v>0</v>
      </c>
      <c r="J50" s="964"/>
      <c r="K50" s="972">
        <f>+I50+AE50</f>
        <v>0</v>
      </c>
      <c r="L50" s="972">
        <f>+K50+F50</f>
        <v>0</v>
      </c>
      <c r="M50" s="972">
        <f>+D50-L50</f>
        <v>0</v>
      </c>
      <c r="N50" s="923"/>
      <c r="O50" s="972">
        <f>+O$48*$M50</f>
        <v>0</v>
      </c>
      <c r="P50" s="972">
        <f t="shared" si="107"/>
        <v>0</v>
      </c>
      <c r="Q50" s="972">
        <f t="shared" si="107"/>
        <v>0</v>
      </c>
      <c r="R50" s="972">
        <f t="shared" si="107"/>
        <v>0</v>
      </c>
      <c r="S50" s="972">
        <f t="shared" si="107"/>
        <v>0</v>
      </c>
      <c r="T50" s="922"/>
      <c r="U50" s="972">
        <f t="shared" si="108"/>
        <v>0</v>
      </c>
      <c r="V50" s="972">
        <f t="shared" si="109"/>
        <v>0</v>
      </c>
      <c r="W50" s="972">
        <f t="shared" ref="W50:W56" si="114">+SUMIFS(O50:S50,O$8:S$8,$W$11)</f>
        <v>0</v>
      </c>
      <c r="X50" s="964"/>
      <c r="Y50" s="998">
        <f>+L50+M50</f>
        <v>0</v>
      </c>
      <c r="Z50" s="972"/>
      <c r="AA50" s="972"/>
      <c r="AB50" s="972"/>
      <c r="AC50" s="972"/>
      <c r="AD50" s="964"/>
      <c r="AE50" s="972"/>
      <c r="AF50" s="965"/>
      <c r="AG50" s="973"/>
      <c r="AH50" s="972">
        <f t="shared" si="110"/>
        <v>0</v>
      </c>
      <c r="AI50" s="972">
        <f t="shared" si="111"/>
        <v>0</v>
      </c>
      <c r="AJ50" s="972">
        <f t="shared" si="112"/>
        <v>0</v>
      </c>
      <c r="AK50" s="972"/>
      <c r="AL50" s="972"/>
      <c r="AM50" s="972"/>
      <c r="AN50" s="972"/>
      <c r="AO50" s="972"/>
    </row>
    <row r="51" spans="1:41" ht="25.5" customHeight="1" outlineLevel="1" x14ac:dyDescent="0.3">
      <c r="A51" s="124"/>
      <c r="B51" s="125" t="s">
        <v>70</v>
      </c>
      <c r="C51" s="126" t="s">
        <v>29</v>
      </c>
      <c r="D51" s="126"/>
      <c r="F51" s="972">
        <f t="shared" ref="F51:F56" si="115">AI51</f>
        <v>0</v>
      </c>
      <c r="G51" s="964"/>
      <c r="H51" s="972"/>
      <c r="I51" s="998">
        <f t="shared" si="113"/>
        <v>0</v>
      </c>
      <c r="J51" s="964"/>
      <c r="K51" s="972">
        <f t="shared" ref="K51:K56" si="116">+I51+AE51</f>
        <v>0</v>
      </c>
      <c r="L51" s="972">
        <f t="shared" ref="L51:L56" si="117">+K51+F51</f>
        <v>0</v>
      </c>
      <c r="M51" s="972">
        <f t="shared" ref="M51:M56" si="118">+D51-L51</f>
        <v>0</v>
      </c>
      <c r="N51" s="923"/>
      <c r="O51" s="972">
        <f t="shared" ref="O51:S56" si="119">+O$48*$M51</f>
        <v>0</v>
      </c>
      <c r="P51" s="972">
        <f t="shared" si="119"/>
        <v>0</v>
      </c>
      <c r="Q51" s="972">
        <f t="shared" si="119"/>
        <v>0</v>
      </c>
      <c r="R51" s="972">
        <f t="shared" si="119"/>
        <v>0</v>
      </c>
      <c r="S51" s="972">
        <f t="shared" si="119"/>
        <v>0</v>
      </c>
      <c r="T51" s="922"/>
      <c r="U51" s="972">
        <f t="shared" si="108"/>
        <v>0</v>
      </c>
      <c r="V51" s="972">
        <f t="shared" si="109"/>
        <v>0</v>
      </c>
      <c r="W51" s="972">
        <f t="shared" si="114"/>
        <v>0</v>
      </c>
      <c r="X51" s="964"/>
      <c r="Y51" s="998">
        <f t="shared" ref="Y51:Y56" si="120">+L51+M51</f>
        <v>0</v>
      </c>
      <c r="Z51" s="972"/>
      <c r="AA51" s="972"/>
      <c r="AB51" s="972"/>
      <c r="AC51" s="972"/>
      <c r="AD51" s="964"/>
      <c r="AE51" s="972"/>
      <c r="AF51" s="965"/>
      <c r="AG51" s="973"/>
      <c r="AH51" s="972">
        <f t="shared" si="110"/>
        <v>0</v>
      </c>
      <c r="AI51" s="972">
        <f t="shared" si="111"/>
        <v>0</v>
      </c>
      <c r="AJ51" s="972">
        <f t="shared" si="112"/>
        <v>0</v>
      </c>
      <c r="AK51" s="972"/>
      <c r="AL51" s="972"/>
      <c r="AM51" s="972"/>
      <c r="AN51" s="972"/>
      <c r="AO51" s="972"/>
    </row>
    <row r="52" spans="1:41" ht="25.5" customHeight="1" outlineLevel="1" x14ac:dyDescent="0.3">
      <c r="A52" s="124"/>
      <c r="B52" s="125" t="s">
        <v>71</v>
      </c>
      <c r="C52" s="126" t="s">
        <v>29</v>
      </c>
      <c r="D52" s="126"/>
      <c r="F52" s="972">
        <f t="shared" si="115"/>
        <v>0</v>
      </c>
      <c r="G52" s="964"/>
      <c r="H52" s="972"/>
      <c r="I52" s="998">
        <f t="shared" si="113"/>
        <v>0</v>
      </c>
      <c r="J52" s="964"/>
      <c r="K52" s="972">
        <f t="shared" si="116"/>
        <v>0</v>
      </c>
      <c r="L52" s="972">
        <f t="shared" si="117"/>
        <v>0</v>
      </c>
      <c r="M52" s="972">
        <f t="shared" si="118"/>
        <v>0</v>
      </c>
      <c r="N52" s="923"/>
      <c r="O52" s="972">
        <f t="shared" si="119"/>
        <v>0</v>
      </c>
      <c r="P52" s="972">
        <f t="shared" si="119"/>
        <v>0</v>
      </c>
      <c r="Q52" s="972">
        <f t="shared" si="119"/>
        <v>0</v>
      </c>
      <c r="R52" s="972">
        <f t="shared" si="119"/>
        <v>0</v>
      </c>
      <c r="S52" s="972">
        <f t="shared" si="119"/>
        <v>0</v>
      </c>
      <c r="T52" s="922"/>
      <c r="U52" s="972">
        <f t="shared" si="108"/>
        <v>0</v>
      </c>
      <c r="V52" s="972">
        <f t="shared" si="109"/>
        <v>0</v>
      </c>
      <c r="W52" s="972">
        <f t="shared" si="114"/>
        <v>0</v>
      </c>
      <c r="X52" s="964"/>
      <c r="Y52" s="998">
        <f t="shared" si="120"/>
        <v>0</v>
      </c>
      <c r="Z52" s="972"/>
      <c r="AA52" s="972"/>
      <c r="AB52" s="972"/>
      <c r="AC52" s="972"/>
      <c r="AD52" s="964"/>
      <c r="AE52" s="972"/>
      <c r="AF52" s="965"/>
      <c r="AG52" s="973"/>
      <c r="AH52" s="972">
        <f t="shared" si="110"/>
        <v>0</v>
      </c>
      <c r="AI52" s="972">
        <f t="shared" si="111"/>
        <v>0</v>
      </c>
      <c r="AJ52" s="972">
        <f t="shared" si="112"/>
        <v>0</v>
      </c>
      <c r="AK52" s="972"/>
      <c r="AL52" s="972"/>
      <c r="AM52" s="972"/>
      <c r="AN52" s="972"/>
      <c r="AO52" s="972"/>
    </row>
    <row r="53" spans="1:41" ht="25.5" customHeight="1" outlineLevel="1" x14ac:dyDescent="0.3">
      <c r="A53" s="124"/>
      <c r="B53" s="125" t="s">
        <v>72</v>
      </c>
      <c r="C53" s="126" t="s">
        <v>29</v>
      </c>
      <c r="D53" s="126"/>
      <c r="F53" s="972">
        <f t="shared" si="115"/>
        <v>0</v>
      </c>
      <c r="G53" s="964"/>
      <c r="H53" s="972"/>
      <c r="I53" s="998">
        <f t="shared" si="113"/>
        <v>0</v>
      </c>
      <c r="J53" s="964"/>
      <c r="K53" s="972">
        <f t="shared" si="116"/>
        <v>0</v>
      </c>
      <c r="L53" s="972">
        <f t="shared" si="117"/>
        <v>0</v>
      </c>
      <c r="M53" s="972">
        <f t="shared" si="118"/>
        <v>0</v>
      </c>
      <c r="N53" s="923"/>
      <c r="O53" s="972">
        <f t="shared" si="119"/>
        <v>0</v>
      </c>
      <c r="P53" s="972">
        <f t="shared" si="119"/>
        <v>0</v>
      </c>
      <c r="Q53" s="972">
        <f t="shared" si="119"/>
        <v>0</v>
      </c>
      <c r="R53" s="972">
        <f t="shared" si="119"/>
        <v>0</v>
      </c>
      <c r="S53" s="972">
        <f t="shared" si="119"/>
        <v>0</v>
      </c>
      <c r="T53" s="922"/>
      <c r="U53" s="972">
        <f t="shared" si="108"/>
        <v>0</v>
      </c>
      <c r="V53" s="972">
        <f t="shared" si="109"/>
        <v>0</v>
      </c>
      <c r="W53" s="972">
        <f t="shared" si="114"/>
        <v>0</v>
      </c>
      <c r="X53" s="964"/>
      <c r="Y53" s="998">
        <f t="shared" si="120"/>
        <v>0</v>
      </c>
      <c r="Z53" s="972"/>
      <c r="AA53" s="972"/>
      <c r="AB53" s="972"/>
      <c r="AC53" s="972"/>
      <c r="AD53" s="964"/>
      <c r="AE53" s="972"/>
      <c r="AF53" s="965"/>
      <c r="AG53" s="973"/>
      <c r="AH53" s="972">
        <f t="shared" si="110"/>
        <v>0</v>
      </c>
      <c r="AI53" s="972">
        <f t="shared" si="111"/>
        <v>0</v>
      </c>
      <c r="AJ53" s="972">
        <f t="shared" si="112"/>
        <v>0</v>
      </c>
      <c r="AK53" s="972"/>
      <c r="AL53" s="972"/>
      <c r="AM53" s="972"/>
      <c r="AN53" s="972"/>
      <c r="AO53" s="972"/>
    </row>
    <row r="54" spans="1:41" ht="25.5" customHeight="1" outlineLevel="1" x14ac:dyDescent="0.3">
      <c r="A54" s="124"/>
      <c r="B54" s="125" t="s">
        <v>73</v>
      </c>
      <c r="C54" s="126" t="s">
        <v>29</v>
      </c>
      <c r="D54" s="126"/>
      <c r="F54" s="972">
        <f t="shared" si="115"/>
        <v>0</v>
      </c>
      <c r="G54" s="964"/>
      <c r="H54" s="972"/>
      <c r="I54" s="998">
        <f t="shared" si="113"/>
        <v>0</v>
      </c>
      <c r="J54" s="964"/>
      <c r="K54" s="972">
        <f t="shared" si="116"/>
        <v>0</v>
      </c>
      <c r="L54" s="972">
        <f t="shared" si="117"/>
        <v>0</v>
      </c>
      <c r="M54" s="972">
        <f t="shared" si="118"/>
        <v>0</v>
      </c>
      <c r="N54" s="923"/>
      <c r="O54" s="972">
        <f t="shared" si="119"/>
        <v>0</v>
      </c>
      <c r="P54" s="972">
        <f t="shared" si="119"/>
        <v>0</v>
      </c>
      <c r="Q54" s="972">
        <f t="shared" si="119"/>
        <v>0</v>
      </c>
      <c r="R54" s="972">
        <f t="shared" si="119"/>
        <v>0</v>
      </c>
      <c r="S54" s="972">
        <f t="shared" si="119"/>
        <v>0</v>
      </c>
      <c r="T54" s="922"/>
      <c r="U54" s="972">
        <f t="shared" si="108"/>
        <v>0</v>
      </c>
      <c r="V54" s="972">
        <f t="shared" si="109"/>
        <v>0</v>
      </c>
      <c r="W54" s="972">
        <f t="shared" si="114"/>
        <v>0</v>
      </c>
      <c r="X54" s="964"/>
      <c r="Y54" s="998">
        <f t="shared" si="120"/>
        <v>0</v>
      </c>
      <c r="Z54" s="972"/>
      <c r="AA54" s="972"/>
      <c r="AB54" s="972"/>
      <c r="AC54" s="972"/>
      <c r="AD54" s="964"/>
      <c r="AE54" s="972"/>
      <c r="AF54" s="965"/>
      <c r="AG54" s="973"/>
      <c r="AH54" s="972">
        <f t="shared" si="110"/>
        <v>0</v>
      </c>
      <c r="AI54" s="972">
        <f t="shared" si="111"/>
        <v>0</v>
      </c>
      <c r="AJ54" s="972">
        <f t="shared" si="112"/>
        <v>0</v>
      </c>
      <c r="AK54" s="972"/>
      <c r="AL54" s="972"/>
      <c r="AM54" s="972"/>
      <c r="AN54" s="972"/>
      <c r="AO54" s="972"/>
    </row>
    <row r="55" spans="1:41" ht="25.5" customHeight="1" outlineLevel="1" x14ac:dyDescent="0.3">
      <c r="A55" s="124"/>
      <c r="B55" s="125" t="s">
        <v>74</v>
      </c>
      <c r="C55" s="126" t="s">
        <v>29</v>
      </c>
      <c r="D55" s="126"/>
      <c r="F55" s="972">
        <f t="shared" si="115"/>
        <v>0</v>
      </c>
      <c r="G55" s="964"/>
      <c r="H55" s="972"/>
      <c r="I55" s="998">
        <f t="shared" si="113"/>
        <v>0</v>
      </c>
      <c r="J55" s="964"/>
      <c r="K55" s="972">
        <f t="shared" si="116"/>
        <v>0</v>
      </c>
      <c r="L55" s="972">
        <f t="shared" si="117"/>
        <v>0</v>
      </c>
      <c r="M55" s="972">
        <f t="shared" si="118"/>
        <v>0</v>
      </c>
      <c r="N55" s="923"/>
      <c r="O55" s="972">
        <f t="shared" si="119"/>
        <v>0</v>
      </c>
      <c r="P55" s="972">
        <f t="shared" si="119"/>
        <v>0</v>
      </c>
      <c r="Q55" s="972">
        <f t="shared" si="119"/>
        <v>0</v>
      </c>
      <c r="R55" s="972">
        <f t="shared" si="119"/>
        <v>0</v>
      </c>
      <c r="S55" s="972">
        <f t="shared" si="119"/>
        <v>0</v>
      </c>
      <c r="T55" s="922"/>
      <c r="U55" s="972">
        <f t="shared" si="108"/>
        <v>0</v>
      </c>
      <c r="V55" s="972">
        <f t="shared" si="109"/>
        <v>0</v>
      </c>
      <c r="W55" s="972">
        <f t="shared" si="114"/>
        <v>0</v>
      </c>
      <c r="X55" s="964"/>
      <c r="Y55" s="998">
        <f t="shared" si="120"/>
        <v>0</v>
      </c>
      <c r="Z55" s="972"/>
      <c r="AA55" s="972"/>
      <c r="AB55" s="972"/>
      <c r="AC55" s="972"/>
      <c r="AD55" s="964"/>
      <c r="AE55" s="972"/>
      <c r="AF55" s="965"/>
      <c r="AG55" s="973"/>
      <c r="AH55" s="972">
        <f t="shared" si="110"/>
        <v>0</v>
      </c>
      <c r="AI55" s="972">
        <f t="shared" si="111"/>
        <v>0</v>
      </c>
      <c r="AJ55" s="972">
        <f t="shared" si="112"/>
        <v>0</v>
      </c>
      <c r="AK55" s="972"/>
      <c r="AL55" s="972"/>
      <c r="AM55" s="972"/>
      <c r="AN55" s="972"/>
      <c r="AO55" s="972"/>
    </row>
    <row r="56" spans="1:41" ht="25.5" customHeight="1" outlineLevel="1" x14ac:dyDescent="0.3">
      <c r="A56" s="124"/>
      <c r="B56" s="125" t="s">
        <v>75</v>
      </c>
      <c r="C56" s="126" t="s">
        <v>29</v>
      </c>
      <c r="D56" s="126"/>
      <c r="F56" s="972">
        <f t="shared" si="115"/>
        <v>0</v>
      </c>
      <c r="G56" s="964"/>
      <c r="H56" s="972"/>
      <c r="I56" s="998">
        <f t="shared" si="113"/>
        <v>0</v>
      </c>
      <c r="J56" s="964"/>
      <c r="K56" s="972">
        <f t="shared" si="116"/>
        <v>0</v>
      </c>
      <c r="L56" s="972">
        <f t="shared" si="117"/>
        <v>0</v>
      </c>
      <c r="M56" s="972">
        <f t="shared" si="118"/>
        <v>0</v>
      </c>
      <c r="N56" s="923"/>
      <c r="O56" s="972">
        <f t="shared" si="119"/>
        <v>0</v>
      </c>
      <c r="P56" s="972">
        <f t="shared" si="119"/>
        <v>0</v>
      </c>
      <c r="Q56" s="972">
        <f t="shared" si="119"/>
        <v>0</v>
      </c>
      <c r="R56" s="972">
        <f t="shared" si="119"/>
        <v>0</v>
      </c>
      <c r="S56" s="972">
        <f t="shared" si="119"/>
        <v>0</v>
      </c>
      <c r="T56" s="922"/>
      <c r="U56" s="972">
        <f t="shared" si="108"/>
        <v>0</v>
      </c>
      <c r="V56" s="972">
        <f t="shared" si="109"/>
        <v>0</v>
      </c>
      <c r="W56" s="972">
        <f t="shared" si="114"/>
        <v>0</v>
      </c>
      <c r="X56" s="964"/>
      <c r="Y56" s="998">
        <f t="shared" si="120"/>
        <v>0</v>
      </c>
      <c r="Z56" s="972"/>
      <c r="AA56" s="972"/>
      <c r="AB56" s="972"/>
      <c r="AC56" s="972"/>
      <c r="AD56" s="964"/>
      <c r="AE56" s="972"/>
      <c r="AF56" s="965"/>
      <c r="AG56" s="973"/>
      <c r="AH56" s="994">
        <f t="shared" si="110"/>
        <v>0</v>
      </c>
      <c r="AI56" s="994">
        <f t="shared" si="111"/>
        <v>0</v>
      </c>
      <c r="AJ56" s="994">
        <f t="shared" si="112"/>
        <v>0</v>
      </c>
      <c r="AK56" s="994"/>
      <c r="AL56" s="994"/>
      <c r="AM56" s="994"/>
      <c r="AN56" s="994"/>
      <c r="AO56" s="994"/>
    </row>
    <row r="57" spans="1:41" ht="21" customHeight="1" x14ac:dyDescent="0.3">
      <c r="A57" s="124" t="s">
        <v>29</v>
      </c>
      <c r="B57" s="127" t="str">
        <f>+"TOTAL FASE  "&amp;A48&amp;" : "&amp;B48</f>
        <v xml:space="preserve">TOTAL FASE  400 : ENCOFRADO </v>
      </c>
      <c r="C57" s="101" t="s">
        <v>29</v>
      </c>
      <c r="D57" s="1006">
        <f>SUM(D49:D56)</f>
        <v>0</v>
      </c>
      <c r="F57" s="1006">
        <f>SUM(F49:F56)</f>
        <v>32215</v>
      </c>
      <c r="G57" s="87"/>
      <c r="H57" s="1006">
        <f t="shared" ref="H57" si="121">SUM(H49:H56)</f>
        <v>0</v>
      </c>
      <c r="I57" s="1006">
        <f t="shared" ref="I57" si="122">SUM(I49:I56)</f>
        <v>25704</v>
      </c>
      <c r="J57" s="87"/>
      <c r="K57" s="1006">
        <f t="shared" ref="K57" si="123">SUM(K49:K56)</f>
        <v>25704</v>
      </c>
      <c r="L57" s="1006">
        <f t="shared" ref="L57" si="124">SUM(L49:L56)</f>
        <v>57919</v>
      </c>
      <c r="M57" s="1006">
        <f t="shared" ref="M57" si="125">SUM(M49:M56)</f>
        <v>-57919</v>
      </c>
      <c r="N57" s="95"/>
      <c r="O57" s="1006">
        <f t="shared" ref="O57" si="126">SUM(O49:O56)</f>
        <v>0</v>
      </c>
      <c r="P57" s="1006">
        <f t="shared" ref="P57" si="127">SUM(P49:P56)</f>
        <v>0</v>
      </c>
      <c r="Q57" s="1006">
        <f t="shared" ref="Q57" si="128">SUM(Q49:Q56)</f>
        <v>0</v>
      </c>
      <c r="R57" s="1006">
        <f t="shared" ref="R57" si="129">SUM(R49:R56)</f>
        <v>0</v>
      </c>
      <c r="S57" s="1006">
        <f t="shared" ref="S57" si="130">SUM(S49:S56)</f>
        <v>0</v>
      </c>
      <c r="T57" s="87"/>
      <c r="U57" s="1006">
        <f t="shared" ref="U57" si="131">SUM(U49:U56)</f>
        <v>0</v>
      </c>
      <c r="V57" s="1006">
        <f t="shared" ref="V57" si="132">SUM(V49:V56)</f>
        <v>0</v>
      </c>
      <c r="W57" s="1006">
        <f t="shared" ref="W57" si="133">SUM(W49:W56)</f>
        <v>0</v>
      </c>
      <c r="X57" s="87"/>
      <c r="Y57" s="1006">
        <f t="shared" ref="Y57" si="134">SUM(Y49:Y56)</f>
        <v>0</v>
      </c>
      <c r="Z57" s="1006">
        <f t="shared" ref="Z57" si="135">SUM(Z49:Z56)</f>
        <v>0</v>
      </c>
      <c r="AA57" s="1006">
        <f t="shared" ref="AA57" si="136">SUM(AA49:AA56)</f>
        <v>0</v>
      </c>
      <c r="AB57" s="1006">
        <f t="shared" ref="AB57" si="137">SUM(AB49:AB56)</f>
        <v>0</v>
      </c>
      <c r="AC57" s="1006">
        <f t="shared" ref="AC57" si="138">SUM(AC49:AC56)</f>
        <v>0</v>
      </c>
      <c r="AD57" s="499"/>
      <c r="AE57" s="1006">
        <f>SUM(AE49:AE56)</f>
        <v>0</v>
      </c>
      <c r="AF57" s="282"/>
      <c r="AG57" s="87"/>
      <c r="AH57" s="1006">
        <f t="shared" ref="AH57" si="139">SUM(AH49:AH56)</f>
        <v>91885</v>
      </c>
      <c r="AI57" s="1006">
        <f t="shared" ref="AI57" si="140">SUM(AI49:AI56)</f>
        <v>32215</v>
      </c>
      <c r="AJ57" s="1006">
        <f t="shared" ref="AJ57" si="141">SUM(AJ49:AJ56)</f>
        <v>25704</v>
      </c>
      <c r="AK57" s="1006">
        <f t="shared" ref="AK57" si="142">SUM(AK49:AK56)</f>
        <v>0</v>
      </c>
      <c r="AL57" s="1006">
        <f t="shared" ref="AL57" si="143">SUM(AL49:AL56)</f>
        <v>32215</v>
      </c>
      <c r="AM57" s="1006">
        <f t="shared" ref="AM57" si="144">SUM(AM49:AM56)</f>
        <v>25704</v>
      </c>
      <c r="AN57" s="1006">
        <f t="shared" ref="AN57" si="145">SUM(AN49:AN56)</f>
        <v>33966</v>
      </c>
      <c r="AO57" s="1006">
        <f t="shared" ref="AO57" si="146">SUM(AO49:AO56)</f>
        <v>0</v>
      </c>
    </row>
    <row r="58" spans="1:41" ht="25.5" customHeight="1" x14ac:dyDescent="0.3">
      <c r="A58" s="124"/>
      <c r="B58" s="128" t="s">
        <v>76</v>
      </c>
      <c r="C58" s="129" t="s">
        <v>77</v>
      </c>
      <c r="D58" s="129"/>
      <c r="F58" s="507"/>
      <c r="G58" s="87"/>
      <c r="H58" s="508"/>
      <c r="I58" s="509"/>
      <c r="J58" s="87"/>
      <c r="K58" s="508"/>
      <c r="L58" s="509"/>
      <c r="M58" s="509"/>
      <c r="N58" s="95"/>
      <c r="O58" s="507"/>
      <c r="P58" s="507"/>
      <c r="Q58" s="507"/>
      <c r="R58" s="507"/>
      <c r="S58" s="507"/>
      <c r="T58" s="87"/>
      <c r="U58" s="507"/>
      <c r="V58" s="507"/>
      <c r="W58" s="507"/>
      <c r="X58" s="87"/>
      <c r="Y58" s="507"/>
      <c r="Z58" s="507"/>
      <c r="AA58" s="507"/>
      <c r="AB58" s="507"/>
      <c r="AC58" s="507"/>
      <c r="AD58" s="499"/>
      <c r="AE58" s="507"/>
      <c r="AF58" s="506"/>
      <c r="AG58" s="87"/>
      <c r="AH58" s="507"/>
      <c r="AI58" s="510"/>
      <c r="AJ58" s="510"/>
      <c r="AK58" s="507"/>
      <c r="AL58" s="510"/>
      <c r="AM58" s="507"/>
      <c r="AN58" s="510"/>
      <c r="AO58" s="507"/>
    </row>
    <row r="59" spans="1:41" ht="25.5" customHeight="1" x14ac:dyDescent="0.3">
      <c r="A59" s="130"/>
      <c r="B59" s="131" t="s">
        <v>78</v>
      </c>
      <c r="C59" s="132" t="s">
        <v>79</v>
      </c>
      <c r="D59" s="132"/>
      <c r="F59" s="511"/>
      <c r="G59" s="87"/>
      <c r="H59" s="511"/>
      <c r="I59" s="512"/>
      <c r="J59" s="87"/>
      <c r="K59" s="511"/>
      <c r="L59" s="512"/>
      <c r="M59" s="512"/>
      <c r="N59" s="95"/>
      <c r="O59" s="511"/>
      <c r="P59" s="511"/>
      <c r="Q59" s="511"/>
      <c r="R59" s="511"/>
      <c r="S59" s="511"/>
      <c r="T59" s="87"/>
      <c r="U59" s="511"/>
      <c r="V59" s="511"/>
      <c r="W59" s="511"/>
      <c r="X59" s="87"/>
      <c r="Y59" s="511"/>
      <c r="Z59" s="511"/>
      <c r="AA59" s="511"/>
      <c r="AB59" s="511"/>
      <c r="AC59" s="511"/>
      <c r="AD59" s="499"/>
      <c r="AE59" s="511"/>
      <c r="AF59" s="282"/>
      <c r="AG59" s="87"/>
      <c r="AH59" s="513"/>
      <c r="AI59" s="514"/>
      <c r="AJ59" s="514"/>
      <c r="AK59" s="511"/>
      <c r="AL59" s="514"/>
      <c r="AM59" s="511"/>
      <c r="AN59" s="514"/>
      <c r="AO59" s="511"/>
    </row>
    <row r="60" spans="1:41" ht="26.25" customHeight="1" x14ac:dyDescent="0.3">
      <c r="A60" s="98">
        <v>500</v>
      </c>
      <c r="B60" s="102" t="s">
        <v>327</v>
      </c>
      <c r="F60" s="87"/>
      <c r="G60" s="87"/>
      <c r="H60" s="87"/>
      <c r="I60" s="87"/>
      <c r="J60" s="87"/>
      <c r="K60" s="87"/>
      <c r="L60" s="87"/>
      <c r="M60" s="87"/>
      <c r="N60" s="95"/>
      <c r="O60" s="87"/>
      <c r="P60" s="87"/>
      <c r="Q60" s="87"/>
      <c r="R60" s="87"/>
      <c r="S60" s="87"/>
      <c r="T60" s="87"/>
      <c r="U60" s="87"/>
      <c r="V60" s="87"/>
      <c r="W60" s="87"/>
      <c r="X60" s="87"/>
      <c r="Y60" s="87"/>
      <c r="Z60" s="87"/>
      <c r="AA60" s="87"/>
      <c r="AB60" s="87"/>
      <c r="AC60" s="87"/>
      <c r="AD60" s="499"/>
      <c r="AE60" s="919"/>
      <c r="AF60" s="282"/>
      <c r="AG60" s="87"/>
      <c r="AH60" s="87"/>
      <c r="AI60" s="87"/>
      <c r="AJ60" s="87"/>
      <c r="AK60" s="87"/>
      <c r="AL60" s="87"/>
      <c r="AM60" s="87"/>
      <c r="AN60" s="87"/>
      <c r="AO60" s="87"/>
    </row>
    <row r="61" spans="1:41" s="910" customFormat="1" ht="23.25" customHeight="1" x14ac:dyDescent="0.3">
      <c r="A61" s="908"/>
      <c r="B61" s="927" t="s">
        <v>68</v>
      </c>
      <c r="C61" s="928" t="s">
        <v>29</v>
      </c>
      <c r="D61" s="931"/>
      <c r="E61" s="932"/>
      <c r="F61" s="963">
        <f>AI61</f>
        <v>278120</v>
      </c>
      <c r="G61" s="964"/>
      <c r="H61" s="963"/>
      <c r="I61" s="998">
        <f>AJ61</f>
        <v>318240</v>
      </c>
      <c r="J61" s="964"/>
      <c r="K61" s="963">
        <f>+I61+AE61</f>
        <v>318240</v>
      </c>
      <c r="L61" s="963">
        <f>+K61+F61</f>
        <v>596360</v>
      </c>
      <c r="M61" s="963">
        <f>+D61-L61</f>
        <v>-596360</v>
      </c>
      <c r="N61" s="923"/>
      <c r="O61" s="963">
        <f>+O$60*$M61</f>
        <v>0</v>
      </c>
      <c r="P61" s="963">
        <f t="shared" ref="P61:S62" si="147">+P$60*$M61</f>
        <v>0</v>
      </c>
      <c r="Q61" s="963">
        <f t="shared" si="147"/>
        <v>0</v>
      </c>
      <c r="R61" s="963">
        <f t="shared" si="147"/>
        <v>0</v>
      </c>
      <c r="S61" s="963">
        <f t="shared" si="147"/>
        <v>0</v>
      </c>
      <c r="T61" s="922"/>
      <c r="U61" s="963">
        <f t="shared" ref="U61:U68" si="148">+SUMIFS(O61:S61,O$8:S$8,$U$11)</f>
        <v>0</v>
      </c>
      <c r="V61" s="963">
        <f t="shared" ref="V61:V68" si="149">+SUMIFS(O61:S61,O$8:S$8,$V$11)</f>
        <v>0</v>
      </c>
      <c r="W61" s="963">
        <f>+SUMIFS(O61:S61,O$8:S$8,$W$11)</f>
        <v>0</v>
      </c>
      <c r="X61" s="964"/>
      <c r="Y61" s="963">
        <f>+L61+M61</f>
        <v>0</v>
      </c>
      <c r="Z61" s="963"/>
      <c r="AA61" s="963"/>
      <c r="AB61" s="963"/>
      <c r="AC61" s="963"/>
      <c r="AD61" s="964"/>
      <c r="AE61" s="963"/>
      <c r="AF61" s="965"/>
      <c r="AG61" s="966"/>
      <c r="AH61" s="963">
        <f t="shared" ref="AH61:AH68" si="150">SUM(AK61:AO61)</f>
        <v>682550</v>
      </c>
      <c r="AI61" s="963">
        <f t="shared" ref="AI61:AI68" si="151">SUM(AK61:AL61)</f>
        <v>278120</v>
      </c>
      <c r="AJ61" s="963">
        <f t="shared" ref="AJ61:AJ68" si="152">+AM61</f>
        <v>318240</v>
      </c>
      <c r="AK61" s="963">
        <v>0</v>
      </c>
      <c r="AL61" s="963">
        <v>278120</v>
      </c>
      <c r="AM61" s="963">
        <v>318240</v>
      </c>
      <c r="AN61" s="963">
        <v>86190</v>
      </c>
      <c r="AO61" s="963">
        <v>0</v>
      </c>
    </row>
    <row r="62" spans="1:41" ht="25.5" customHeight="1" outlineLevel="1" x14ac:dyDescent="0.3">
      <c r="A62" s="124"/>
      <c r="B62" s="125" t="s">
        <v>69</v>
      </c>
      <c r="C62" s="126" t="s">
        <v>29</v>
      </c>
      <c r="D62" s="126"/>
      <c r="F62" s="972">
        <f>AI62</f>
        <v>0</v>
      </c>
      <c r="G62" s="964"/>
      <c r="H62" s="972"/>
      <c r="I62" s="998">
        <f t="shared" ref="I62:I68" si="153">AJ62</f>
        <v>0</v>
      </c>
      <c r="J62" s="964"/>
      <c r="K62" s="972">
        <f>+I62+AE62</f>
        <v>0</v>
      </c>
      <c r="L62" s="972">
        <f>+K62+F62</f>
        <v>0</v>
      </c>
      <c r="M62" s="972">
        <f>+D62-L62</f>
        <v>0</v>
      </c>
      <c r="N62" s="923"/>
      <c r="O62" s="972">
        <f>+O$60*$M62</f>
        <v>0</v>
      </c>
      <c r="P62" s="972">
        <f t="shared" si="147"/>
        <v>0</v>
      </c>
      <c r="Q62" s="972">
        <f t="shared" si="147"/>
        <v>0</v>
      </c>
      <c r="R62" s="972">
        <f t="shared" si="147"/>
        <v>0</v>
      </c>
      <c r="S62" s="972">
        <f t="shared" si="147"/>
        <v>0</v>
      </c>
      <c r="T62" s="922"/>
      <c r="U62" s="972">
        <f t="shared" si="148"/>
        <v>0</v>
      </c>
      <c r="V62" s="972">
        <f t="shared" si="149"/>
        <v>0</v>
      </c>
      <c r="W62" s="972">
        <f t="shared" ref="W62:W68" si="154">+SUMIFS(O62:S62,O$8:S$8,$W$11)</f>
        <v>0</v>
      </c>
      <c r="X62" s="964"/>
      <c r="Y62" s="998">
        <f>+L62+M62</f>
        <v>0</v>
      </c>
      <c r="Z62" s="972"/>
      <c r="AA62" s="972"/>
      <c r="AB62" s="972"/>
      <c r="AC62" s="972"/>
      <c r="AD62" s="964"/>
      <c r="AE62" s="972"/>
      <c r="AF62" s="965"/>
      <c r="AG62" s="973"/>
      <c r="AH62" s="972">
        <f t="shared" si="150"/>
        <v>0</v>
      </c>
      <c r="AI62" s="972">
        <f t="shared" si="151"/>
        <v>0</v>
      </c>
      <c r="AJ62" s="972">
        <f t="shared" si="152"/>
        <v>0</v>
      </c>
      <c r="AK62" s="972"/>
      <c r="AL62" s="972"/>
      <c r="AM62" s="972"/>
      <c r="AN62" s="972"/>
      <c r="AO62" s="972"/>
    </row>
    <row r="63" spans="1:41" ht="25.5" customHeight="1" outlineLevel="1" x14ac:dyDescent="0.3">
      <c r="A63" s="124"/>
      <c r="B63" s="125" t="s">
        <v>70</v>
      </c>
      <c r="C63" s="126" t="s">
        <v>29</v>
      </c>
      <c r="D63" s="126"/>
      <c r="F63" s="972">
        <f t="shared" ref="F63:F68" si="155">AI63</f>
        <v>0</v>
      </c>
      <c r="G63" s="964"/>
      <c r="H63" s="972"/>
      <c r="I63" s="998">
        <f t="shared" si="153"/>
        <v>0</v>
      </c>
      <c r="J63" s="964"/>
      <c r="K63" s="972">
        <f t="shared" ref="K63:K68" si="156">+I63+AE63</f>
        <v>0</v>
      </c>
      <c r="L63" s="972">
        <f t="shared" ref="L63:L68" si="157">+K63+F63</f>
        <v>0</v>
      </c>
      <c r="M63" s="972">
        <f t="shared" ref="M63:M68" si="158">+D63-L63</f>
        <v>0</v>
      </c>
      <c r="N63" s="923"/>
      <c r="O63" s="972">
        <f t="shared" ref="O63:S68" si="159">+O$60*$M63</f>
        <v>0</v>
      </c>
      <c r="P63" s="972">
        <f t="shared" si="159"/>
        <v>0</v>
      </c>
      <c r="Q63" s="972">
        <f t="shared" si="159"/>
        <v>0</v>
      </c>
      <c r="R63" s="972">
        <f t="shared" si="159"/>
        <v>0</v>
      </c>
      <c r="S63" s="972">
        <f t="shared" si="159"/>
        <v>0</v>
      </c>
      <c r="T63" s="922"/>
      <c r="U63" s="972">
        <f t="shared" si="148"/>
        <v>0</v>
      </c>
      <c r="V63" s="972">
        <f t="shared" si="149"/>
        <v>0</v>
      </c>
      <c r="W63" s="972">
        <f t="shared" si="154"/>
        <v>0</v>
      </c>
      <c r="X63" s="964"/>
      <c r="Y63" s="998">
        <f t="shared" ref="Y63:Y68" si="160">+L63+M63</f>
        <v>0</v>
      </c>
      <c r="Z63" s="972"/>
      <c r="AA63" s="972"/>
      <c r="AB63" s="972"/>
      <c r="AC63" s="972"/>
      <c r="AD63" s="964"/>
      <c r="AE63" s="972"/>
      <c r="AF63" s="965"/>
      <c r="AG63" s="973"/>
      <c r="AH63" s="972">
        <f t="shared" si="150"/>
        <v>0</v>
      </c>
      <c r="AI63" s="972">
        <f t="shared" si="151"/>
        <v>0</v>
      </c>
      <c r="AJ63" s="972">
        <f t="shared" si="152"/>
        <v>0</v>
      </c>
      <c r="AK63" s="972"/>
      <c r="AL63" s="972"/>
      <c r="AM63" s="972"/>
      <c r="AN63" s="972"/>
      <c r="AO63" s="972"/>
    </row>
    <row r="64" spans="1:41" ht="25.5" customHeight="1" outlineLevel="1" x14ac:dyDescent="0.3">
      <c r="A64" s="124"/>
      <c r="B64" s="125" t="s">
        <v>71</v>
      </c>
      <c r="C64" s="126" t="s">
        <v>29</v>
      </c>
      <c r="D64" s="126"/>
      <c r="F64" s="972">
        <f t="shared" si="155"/>
        <v>0</v>
      </c>
      <c r="G64" s="964"/>
      <c r="H64" s="972"/>
      <c r="I64" s="998">
        <f t="shared" si="153"/>
        <v>0</v>
      </c>
      <c r="J64" s="964"/>
      <c r="K64" s="972">
        <f t="shared" si="156"/>
        <v>0</v>
      </c>
      <c r="L64" s="972">
        <f t="shared" si="157"/>
        <v>0</v>
      </c>
      <c r="M64" s="972">
        <f t="shared" si="158"/>
        <v>0</v>
      </c>
      <c r="N64" s="923"/>
      <c r="O64" s="972">
        <f t="shared" si="159"/>
        <v>0</v>
      </c>
      <c r="P64" s="972">
        <f t="shared" si="159"/>
        <v>0</v>
      </c>
      <c r="Q64" s="972">
        <f t="shared" si="159"/>
        <v>0</v>
      </c>
      <c r="R64" s="972">
        <f t="shared" si="159"/>
        <v>0</v>
      </c>
      <c r="S64" s="972">
        <f t="shared" si="159"/>
        <v>0</v>
      </c>
      <c r="T64" s="922"/>
      <c r="U64" s="972">
        <f t="shared" si="148"/>
        <v>0</v>
      </c>
      <c r="V64" s="972">
        <f t="shared" si="149"/>
        <v>0</v>
      </c>
      <c r="W64" s="972">
        <f t="shared" si="154"/>
        <v>0</v>
      </c>
      <c r="X64" s="964"/>
      <c r="Y64" s="998">
        <f t="shared" si="160"/>
        <v>0</v>
      </c>
      <c r="Z64" s="972"/>
      <c r="AA64" s="972"/>
      <c r="AB64" s="972"/>
      <c r="AC64" s="972"/>
      <c r="AD64" s="964"/>
      <c r="AE64" s="972"/>
      <c r="AF64" s="965"/>
      <c r="AG64" s="973"/>
      <c r="AH64" s="972">
        <f t="shared" si="150"/>
        <v>0</v>
      </c>
      <c r="AI64" s="972">
        <f t="shared" si="151"/>
        <v>0</v>
      </c>
      <c r="AJ64" s="972">
        <f t="shared" si="152"/>
        <v>0</v>
      </c>
      <c r="AK64" s="972"/>
      <c r="AL64" s="972"/>
      <c r="AM64" s="972"/>
      <c r="AN64" s="972"/>
      <c r="AO64" s="972"/>
    </row>
    <row r="65" spans="1:41" ht="25.5" customHeight="1" outlineLevel="1" x14ac:dyDescent="0.3">
      <c r="A65" s="124"/>
      <c r="B65" s="125" t="s">
        <v>72</v>
      </c>
      <c r="C65" s="126" t="s">
        <v>29</v>
      </c>
      <c r="D65" s="126"/>
      <c r="F65" s="972">
        <f t="shared" si="155"/>
        <v>0</v>
      </c>
      <c r="G65" s="964"/>
      <c r="H65" s="972"/>
      <c r="I65" s="998">
        <f t="shared" si="153"/>
        <v>0</v>
      </c>
      <c r="J65" s="964"/>
      <c r="K65" s="972">
        <f t="shared" si="156"/>
        <v>0</v>
      </c>
      <c r="L65" s="972">
        <f t="shared" si="157"/>
        <v>0</v>
      </c>
      <c r="M65" s="972">
        <f t="shared" si="158"/>
        <v>0</v>
      </c>
      <c r="N65" s="923"/>
      <c r="O65" s="972">
        <f t="shared" si="159"/>
        <v>0</v>
      </c>
      <c r="P65" s="972">
        <f t="shared" si="159"/>
        <v>0</v>
      </c>
      <c r="Q65" s="972">
        <f t="shared" si="159"/>
        <v>0</v>
      </c>
      <c r="R65" s="972">
        <f t="shared" si="159"/>
        <v>0</v>
      </c>
      <c r="S65" s="972">
        <f t="shared" si="159"/>
        <v>0</v>
      </c>
      <c r="T65" s="922"/>
      <c r="U65" s="972">
        <f t="shared" si="148"/>
        <v>0</v>
      </c>
      <c r="V65" s="972">
        <f t="shared" si="149"/>
        <v>0</v>
      </c>
      <c r="W65" s="972">
        <f t="shared" si="154"/>
        <v>0</v>
      </c>
      <c r="X65" s="964"/>
      <c r="Y65" s="998">
        <f t="shared" si="160"/>
        <v>0</v>
      </c>
      <c r="Z65" s="972"/>
      <c r="AA65" s="972"/>
      <c r="AB65" s="972"/>
      <c r="AC65" s="972"/>
      <c r="AD65" s="964"/>
      <c r="AE65" s="972"/>
      <c r="AF65" s="965"/>
      <c r="AG65" s="973"/>
      <c r="AH65" s="972">
        <f t="shared" si="150"/>
        <v>0</v>
      </c>
      <c r="AI65" s="972">
        <f t="shared" si="151"/>
        <v>0</v>
      </c>
      <c r="AJ65" s="972">
        <f t="shared" si="152"/>
        <v>0</v>
      </c>
      <c r="AK65" s="972"/>
      <c r="AL65" s="972"/>
      <c r="AM65" s="972"/>
      <c r="AN65" s="972"/>
      <c r="AO65" s="972"/>
    </row>
    <row r="66" spans="1:41" ht="25.5" customHeight="1" outlineLevel="1" x14ac:dyDescent="0.3">
      <c r="A66" s="124"/>
      <c r="B66" s="125" t="s">
        <v>73</v>
      </c>
      <c r="C66" s="126" t="s">
        <v>29</v>
      </c>
      <c r="D66" s="126"/>
      <c r="F66" s="972">
        <f t="shared" si="155"/>
        <v>0</v>
      </c>
      <c r="G66" s="964"/>
      <c r="H66" s="972"/>
      <c r="I66" s="998">
        <f t="shared" si="153"/>
        <v>0</v>
      </c>
      <c r="J66" s="964"/>
      <c r="K66" s="972">
        <f t="shared" si="156"/>
        <v>0</v>
      </c>
      <c r="L66" s="972">
        <f t="shared" si="157"/>
        <v>0</v>
      </c>
      <c r="M66" s="972">
        <f t="shared" si="158"/>
        <v>0</v>
      </c>
      <c r="N66" s="923"/>
      <c r="O66" s="972">
        <f t="shared" si="159"/>
        <v>0</v>
      </c>
      <c r="P66" s="972">
        <f t="shared" si="159"/>
        <v>0</v>
      </c>
      <c r="Q66" s="972">
        <f t="shared" si="159"/>
        <v>0</v>
      </c>
      <c r="R66" s="972">
        <f t="shared" si="159"/>
        <v>0</v>
      </c>
      <c r="S66" s="972">
        <f t="shared" si="159"/>
        <v>0</v>
      </c>
      <c r="T66" s="922"/>
      <c r="U66" s="972">
        <f t="shared" si="148"/>
        <v>0</v>
      </c>
      <c r="V66" s="972">
        <f t="shared" si="149"/>
        <v>0</v>
      </c>
      <c r="W66" s="972">
        <f t="shared" si="154"/>
        <v>0</v>
      </c>
      <c r="X66" s="964"/>
      <c r="Y66" s="998">
        <f t="shared" si="160"/>
        <v>0</v>
      </c>
      <c r="Z66" s="972"/>
      <c r="AA66" s="972"/>
      <c r="AB66" s="972"/>
      <c r="AC66" s="972"/>
      <c r="AD66" s="964"/>
      <c r="AE66" s="972"/>
      <c r="AF66" s="965"/>
      <c r="AG66" s="973"/>
      <c r="AH66" s="972">
        <f t="shared" si="150"/>
        <v>0</v>
      </c>
      <c r="AI66" s="972">
        <f t="shared" si="151"/>
        <v>0</v>
      </c>
      <c r="AJ66" s="972">
        <f t="shared" si="152"/>
        <v>0</v>
      </c>
      <c r="AK66" s="972"/>
      <c r="AL66" s="972"/>
      <c r="AM66" s="972"/>
      <c r="AN66" s="972"/>
      <c r="AO66" s="972"/>
    </row>
    <row r="67" spans="1:41" ht="25.5" customHeight="1" outlineLevel="1" x14ac:dyDescent="0.3">
      <c r="A67" s="124"/>
      <c r="B67" s="125" t="s">
        <v>74</v>
      </c>
      <c r="C67" s="126" t="s">
        <v>29</v>
      </c>
      <c r="D67" s="126"/>
      <c r="F67" s="972">
        <f t="shared" si="155"/>
        <v>0</v>
      </c>
      <c r="G67" s="964"/>
      <c r="H67" s="972"/>
      <c r="I67" s="998">
        <f t="shared" si="153"/>
        <v>0</v>
      </c>
      <c r="J67" s="964"/>
      <c r="K67" s="972">
        <f t="shared" si="156"/>
        <v>0</v>
      </c>
      <c r="L67" s="972">
        <f t="shared" si="157"/>
        <v>0</v>
      </c>
      <c r="M67" s="972">
        <f t="shared" si="158"/>
        <v>0</v>
      </c>
      <c r="N67" s="923"/>
      <c r="O67" s="972">
        <f t="shared" si="159"/>
        <v>0</v>
      </c>
      <c r="P67" s="972">
        <f t="shared" si="159"/>
        <v>0</v>
      </c>
      <c r="Q67" s="972">
        <f t="shared" si="159"/>
        <v>0</v>
      </c>
      <c r="R67" s="972">
        <f t="shared" si="159"/>
        <v>0</v>
      </c>
      <c r="S67" s="972">
        <f t="shared" si="159"/>
        <v>0</v>
      </c>
      <c r="T67" s="922"/>
      <c r="U67" s="972">
        <f t="shared" si="148"/>
        <v>0</v>
      </c>
      <c r="V67" s="972">
        <f t="shared" si="149"/>
        <v>0</v>
      </c>
      <c r="W67" s="972">
        <f t="shared" si="154"/>
        <v>0</v>
      </c>
      <c r="X67" s="964"/>
      <c r="Y67" s="998">
        <f t="shared" si="160"/>
        <v>0</v>
      </c>
      <c r="Z67" s="972"/>
      <c r="AA67" s="972"/>
      <c r="AB67" s="972"/>
      <c r="AC67" s="972"/>
      <c r="AD67" s="964"/>
      <c r="AE67" s="972"/>
      <c r="AF67" s="965"/>
      <c r="AG67" s="973"/>
      <c r="AH67" s="972">
        <f t="shared" si="150"/>
        <v>0</v>
      </c>
      <c r="AI67" s="972">
        <f t="shared" si="151"/>
        <v>0</v>
      </c>
      <c r="AJ67" s="972">
        <f t="shared" si="152"/>
        <v>0</v>
      </c>
      <c r="AK67" s="972"/>
      <c r="AL67" s="972"/>
      <c r="AM67" s="972"/>
      <c r="AN67" s="972"/>
      <c r="AO67" s="972"/>
    </row>
    <row r="68" spans="1:41" ht="25.5" customHeight="1" outlineLevel="1" x14ac:dyDescent="0.3">
      <c r="A68" s="124"/>
      <c r="B68" s="125" t="s">
        <v>75</v>
      </c>
      <c r="C68" s="126" t="s">
        <v>29</v>
      </c>
      <c r="D68" s="126"/>
      <c r="F68" s="972">
        <f t="shared" si="155"/>
        <v>0</v>
      </c>
      <c r="G68" s="964"/>
      <c r="H68" s="972"/>
      <c r="I68" s="998">
        <f t="shared" si="153"/>
        <v>0</v>
      </c>
      <c r="J68" s="964"/>
      <c r="K68" s="972">
        <f t="shared" si="156"/>
        <v>0</v>
      </c>
      <c r="L68" s="972">
        <f t="shared" si="157"/>
        <v>0</v>
      </c>
      <c r="M68" s="972">
        <f t="shared" si="158"/>
        <v>0</v>
      </c>
      <c r="N68" s="923"/>
      <c r="O68" s="972">
        <f t="shared" si="159"/>
        <v>0</v>
      </c>
      <c r="P68" s="972">
        <f t="shared" si="159"/>
        <v>0</v>
      </c>
      <c r="Q68" s="972">
        <f t="shared" si="159"/>
        <v>0</v>
      </c>
      <c r="R68" s="972">
        <f t="shared" si="159"/>
        <v>0</v>
      </c>
      <c r="S68" s="972">
        <f t="shared" si="159"/>
        <v>0</v>
      </c>
      <c r="T68" s="922"/>
      <c r="U68" s="972">
        <f t="shared" si="148"/>
        <v>0</v>
      </c>
      <c r="V68" s="972">
        <f t="shared" si="149"/>
        <v>0</v>
      </c>
      <c r="W68" s="972">
        <f t="shared" si="154"/>
        <v>0</v>
      </c>
      <c r="X68" s="964"/>
      <c r="Y68" s="998">
        <f t="shared" si="160"/>
        <v>0</v>
      </c>
      <c r="Z68" s="972"/>
      <c r="AA68" s="972"/>
      <c r="AB68" s="972"/>
      <c r="AC68" s="972"/>
      <c r="AD68" s="964"/>
      <c r="AE68" s="972"/>
      <c r="AF68" s="965"/>
      <c r="AG68" s="973"/>
      <c r="AH68" s="994">
        <f t="shared" si="150"/>
        <v>0</v>
      </c>
      <c r="AI68" s="994">
        <f t="shared" si="151"/>
        <v>0</v>
      </c>
      <c r="AJ68" s="994">
        <f t="shared" si="152"/>
        <v>0</v>
      </c>
      <c r="AK68" s="994"/>
      <c r="AL68" s="994"/>
      <c r="AM68" s="994"/>
      <c r="AN68" s="994"/>
      <c r="AO68" s="994"/>
    </row>
    <row r="69" spans="1:41" ht="21" customHeight="1" x14ac:dyDescent="0.3">
      <c r="A69" s="124" t="s">
        <v>29</v>
      </c>
      <c r="B69" s="127" t="str">
        <f>+"TOTAL FASE  "&amp;A60&amp;" : "&amp;B60</f>
        <v xml:space="preserve">TOTAL FASE  500 : ACERO </v>
      </c>
      <c r="C69" s="101" t="s">
        <v>29</v>
      </c>
      <c r="D69" s="1006">
        <f>SUM(D61:D68)</f>
        <v>0</v>
      </c>
      <c r="F69" s="1006">
        <f>SUM(F61:F68)</f>
        <v>278120</v>
      </c>
      <c r="G69" s="87"/>
      <c r="H69" s="1006">
        <f t="shared" ref="H69" si="161">SUM(H61:H68)</f>
        <v>0</v>
      </c>
      <c r="I69" s="1006">
        <f t="shared" ref="I69" si="162">SUM(I61:I68)</f>
        <v>318240</v>
      </c>
      <c r="J69" s="87"/>
      <c r="K69" s="1006">
        <f t="shared" ref="K69" si="163">SUM(K61:K68)</f>
        <v>318240</v>
      </c>
      <c r="L69" s="1006">
        <f t="shared" ref="L69" si="164">SUM(L61:L68)</f>
        <v>596360</v>
      </c>
      <c r="M69" s="1006">
        <f t="shared" ref="M69" si="165">SUM(M61:M68)</f>
        <v>-596360</v>
      </c>
      <c r="N69" s="95"/>
      <c r="O69" s="1006">
        <f t="shared" ref="O69" si="166">SUM(O61:O68)</f>
        <v>0</v>
      </c>
      <c r="P69" s="1006">
        <f t="shared" ref="P69" si="167">SUM(P61:P68)</f>
        <v>0</v>
      </c>
      <c r="Q69" s="1006">
        <f t="shared" ref="Q69" si="168">SUM(Q61:Q68)</f>
        <v>0</v>
      </c>
      <c r="R69" s="1006">
        <f t="shared" ref="R69" si="169">SUM(R61:R68)</f>
        <v>0</v>
      </c>
      <c r="S69" s="1006">
        <f t="shared" ref="S69" si="170">SUM(S61:S68)</f>
        <v>0</v>
      </c>
      <c r="T69" s="87"/>
      <c r="U69" s="1006">
        <f t="shared" ref="U69" si="171">SUM(U61:U68)</f>
        <v>0</v>
      </c>
      <c r="V69" s="1006">
        <f t="shared" ref="V69" si="172">SUM(V61:V68)</f>
        <v>0</v>
      </c>
      <c r="W69" s="1006">
        <f t="shared" ref="W69" si="173">SUM(W61:W68)</f>
        <v>0</v>
      </c>
      <c r="X69" s="87"/>
      <c r="Y69" s="1006">
        <f t="shared" ref="Y69" si="174">SUM(Y61:Y68)</f>
        <v>0</v>
      </c>
      <c r="Z69" s="1006">
        <f t="shared" ref="Z69" si="175">SUM(Z61:Z68)</f>
        <v>0</v>
      </c>
      <c r="AA69" s="1006">
        <f t="shared" ref="AA69" si="176">SUM(AA61:AA68)</f>
        <v>0</v>
      </c>
      <c r="AB69" s="1006">
        <f t="shared" ref="AB69" si="177">SUM(AB61:AB68)</f>
        <v>0</v>
      </c>
      <c r="AC69" s="1006">
        <f t="shared" ref="AC69" si="178">SUM(AC61:AC68)</f>
        <v>0</v>
      </c>
      <c r="AD69" s="499"/>
      <c r="AE69" s="1006">
        <f>SUM(AE61:AE68)</f>
        <v>0</v>
      </c>
      <c r="AF69" s="282"/>
      <c r="AG69" s="87"/>
      <c r="AH69" s="1006">
        <f t="shared" ref="AH69" si="179">SUM(AH61:AH68)</f>
        <v>682550</v>
      </c>
      <c r="AI69" s="1006">
        <f t="shared" ref="AI69" si="180">SUM(AI61:AI68)</f>
        <v>278120</v>
      </c>
      <c r="AJ69" s="1006">
        <f t="shared" ref="AJ69" si="181">SUM(AJ61:AJ68)</f>
        <v>318240</v>
      </c>
      <c r="AK69" s="1006">
        <f t="shared" ref="AK69" si="182">SUM(AK61:AK68)</f>
        <v>0</v>
      </c>
      <c r="AL69" s="1006">
        <f t="shared" ref="AL69" si="183">SUM(AL61:AL68)</f>
        <v>278120</v>
      </c>
      <c r="AM69" s="1006">
        <f t="shared" ref="AM69" si="184">SUM(AM61:AM68)</f>
        <v>318240</v>
      </c>
      <c r="AN69" s="1006">
        <f t="shared" ref="AN69" si="185">SUM(AN61:AN68)</f>
        <v>86190</v>
      </c>
      <c r="AO69" s="1006">
        <f t="shared" ref="AO69" si="186">SUM(AO61:AO68)</f>
        <v>0</v>
      </c>
    </row>
    <row r="70" spans="1:41" ht="25.5" customHeight="1" x14ac:dyDescent="0.3">
      <c r="A70" s="124"/>
      <c r="B70" s="128" t="s">
        <v>76</v>
      </c>
      <c r="C70" s="129" t="s">
        <v>77</v>
      </c>
      <c r="D70" s="129"/>
      <c r="F70" s="507"/>
      <c r="G70" s="87"/>
      <c r="H70" s="508"/>
      <c r="I70" s="509"/>
      <c r="J70" s="87"/>
      <c r="K70" s="508"/>
      <c r="L70" s="509"/>
      <c r="M70" s="509"/>
      <c r="N70" s="95"/>
      <c r="O70" s="507"/>
      <c r="P70" s="507"/>
      <c r="Q70" s="507"/>
      <c r="R70" s="507"/>
      <c r="S70" s="507"/>
      <c r="T70" s="87"/>
      <c r="U70" s="507"/>
      <c r="V70" s="507"/>
      <c r="W70" s="507"/>
      <c r="X70" s="87"/>
      <c r="Y70" s="507"/>
      <c r="Z70" s="507"/>
      <c r="AA70" s="507"/>
      <c r="AB70" s="507"/>
      <c r="AC70" s="507"/>
      <c r="AD70" s="499"/>
      <c r="AE70" s="507"/>
      <c r="AF70" s="506"/>
      <c r="AG70" s="87"/>
      <c r="AH70" s="507"/>
      <c r="AI70" s="510"/>
      <c r="AJ70" s="510"/>
      <c r="AK70" s="507"/>
      <c r="AL70" s="510"/>
      <c r="AM70" s="507"/>
      <c r="AN70" s="510"/>
      <c r="AO70" s="507"/>
    </row>
    <row r="71" spans="1:41" ht="25.5" customHeight="1" x14ac:dyDescent="0.3">
      <c r="A71" s="130"/>
      <c r="B71" s="131" t="s">
        <v>78</v>
      </c>
      <c r="C71" s="132" t="s">
        <v>79</v>
      </c>
      <c r="D71" s="132"/>
      <c r="F71" s="511"/>
      <c r="G71" s="87"/>
      <c r="H71" s="511"/>
      <c r="I71" s="512"/>
      <c r="J71" s="87"/>
      <c r="K71" s="511"/>
      <c r="L71" s="512"/>
      <c r="M71" s="512"/>
      <c r="N71" s="95"/>
      <c r="O71" s="511"/>
      <c r="P71" s="511"/>
      <c r="Q71" s="511"/>
      <c r="R71" s="511"/>
      <c r="S71" s="511"/>
      <c r="T71" s="87"/>
      <c r="U71" s="511"/>
      <c r="V71" s="511"/>
      <c r="W71" s="511"/>
      <c r="X71" s="87"/>
      <c r="Y71" s="511"/>
      <c r="Z71" s="511"/>
      <c r="AA71" s="511"/>
      <c r="AB71" s="511"/>
      <c r="AC71" s="511"/>
      <c r="AD71" s="499"/>
      <c r="AE71" s="511"/>
      <c r="AF71" s="282"/>
      <c r="AG71" s="87"/>
      <c r="AH71" s="513"/>
      <c r="AI71" s="514"/>
      <c r="AJ71" s="514"/>
      <c r="AK71" s="511"/>
      <c r="AL71" s="514"/>
      <c r="AM71" s="511"/>
      <c r="AN71" s="514"/>
      <c r="AO71" s="511"/>
    </row>
    <row r="72" spans="1:41" ht="18" customHeight="1" x14ac:dyDescent="0.3">
      <c r="F72" s="87"/>
      <c r="G72" s="87"/>
      <c r="H72" s="87"/>
      <c r="I72" s="87"/>
      <c r="J72" s="87"/>
      <c r="K72" s="87"/>
      <c r="L72" s="87"/>
      <c r="M72" s="87"/>
      <c r="N72" s="95"/>
      <c r="O72" s="87"/>
      <c r="P72" s="87"/>
      <c r="Q72" s="87"/>
      <c r="R72" s="87"/>
      <c r="S72" s="87"/>
      <c r="T72" s="87"/>
      <c r="U72" s="87"/>
      <c r="V72" s="87"/>
      <c r="W72" s="87"/>
      <c r="X72" s="87"/>
      <c r="Y72" s="87"/>
      <c r="Z72" s="87"/>
      <c r="AA72" s="87"/>
      <c r="AB72" s="87"/>
      <c r="AC72" s="87"/>
      <c r="AD72" s="499"/>
      <c r="AE72" s="87"/>
      <c r="AF72" s="282"/>
      <c r="AG72" s="87"/>
      <c r="AH72" s="87"/>
      <c r="AI72" s="87"/>
      <c r="AJ72" s="87"/>
      <c r="AK72" s="87"/>
      <c r="AL72" s="87"/>
      <c r="AM72" s="87"/>
      <c r="AN72" s="87"/>
      <c r="AO72" s="87"/>
    </row>
    <row r="73" spans="1:41" ht="10.5" customHeight="1" x14ac:dyDescent="0.3">
      <c r="F73" s="87"/>
      <c r="G73" s="87"/>
      <c r="H73" s="87"/>
      <c r="I73" s="87"/>
      <c r="J73" s="87"/>
      <c r="K73" s="87"/>
      <c r="L73" s="87"/>
      <c r="M73" s="87"/>
      <c r="N73" s="95"/>
      <c r="O73" s="87"/>
      <c r="P73" s="87"/>
      <c r="Q73" s="87"/>
      <c r="R73" s="87"/>
      <c r="S73" s="87"/>
      <c r="T73" s="87"/>
      <c r="U73" s="87"/>
      <c r="V73" s="87"/>
      <c r="W73" s="87"/>
      <c r="X73" s="87"/>
      <c r="Y73" s="87"/>
      <c r="Z73" s="87"/>
      <c r="AA73" s="87"/>
      <c r="AB73" s="87"/>
      <c r="AC73" s="87"/>
      <c r="AD73" s="499"/>
      <c r="AE73" s="87"/>
      <c r="AF73" s="282"/>
      <c r="AG73" s="87"/>
      <c r="AH73" s="87"/>
      <c r="AI73" s="87"/>
      <c r="AJ73" s="87"/>
      <c r="AK73" s="87"/>
      <c r="AL73" s="87"/>
      <c r="AM73" s="87"/>
      <c r="AN73" s="87"/>
      <c r="AO73" s="87"/>
    </row>
    <row r="74" spans="1:41" s="88" customFormat="1" ht="22.5" customHeight="1" x14ac:dyDescent="0.3">
      <c r="A74" s="136"/>
      <c r="B74" s="137" t="s">
        <v>80</v>
      </c>
      <c r="C74" s="138" t="s">
        <v>77</v>
      </c>
      <c r="D74" s="517">
        <f>D22+D34+D46+D58+D70</f>
        <v>0</v>
      </c>
      <c r="F74" s="517">
        <f>F22+F34+F46+F58+F70</f>
        <v>0</v>
      </c>
      <c r="G74" s="474"/>
      <c r="H74" s="517">
        <f>H22+H34+H46+H58+H70</f>
        <v>0</v>
      </c>
      <c r="I74" s="517">
        <f>I22+I34+I46+I58+I70</f>
        <v>0</v>
      </c>
      <c r="J74" s="474"/>
      <c r="K74" s="517">
        <f t="shared" ref="K74:M74" si="187">K22+K34+K46+K58+K70</f>
        <v>0</v>
      </c>
      <c r="L74" s="517">
        <f t="shared" si="187"/>
        <v>0</v>
      </c>
      <c r="M74" s="517">
        <f t="shared" si="187"/>
        <v>0</v>
      </c>
      <c r="N74" s="95"/>
      <c r="O74" s="517">
        <f t="shared" ref="O74:S74" si="188">O22+O34+O46+O58+O70</f>
        <v>0</v>
      </c>
      <c r="P74" s="517">
        <f t="shared" si="188"/>
        <v>0</v>
      </c>
      <c r="Q74" s="517">
        <f t="shared" si="188"/>
        <v>0</v>
      </c>
      <c r="R74" s="517">
        <f t="shared" si="188"/>
        <v>0</v>
      </c>
      <c r="S74" s="517">
        <f t="shared" si="188"/>
        <v>0</v>
      </c>
      <c r="T74" s="474"/>
      <c r="U74" s="517">
        <f t="shared" ref="U74:W74" si="189">U22+U34+U46+U58+U70</f>
        <v>0</v>
      </c>
      <c r="V74" s="517">
        <f t="shared" si="189"/>
        <v>0</v>
      </c>
      <c r="W74" s="517">
        <f t="shared" si="189"/>
        <v>0</v>
      </c>
      <c r="X74" s="474"/>
      <c r="Y74" s="517">
        <f t="shared" ref="Y74:AC74" si="190">Y22+Y34+Y46+Y58+Y70</f>
        <v>0</v>
      </c>
      <c r="Z74" s="517">
        <f t="shared" si="190"/>
        <v>0</v>
      </c>
      <c r="AA74" s="517">
        <f t="shared" si="190"/>
        <v>0</v>
      </c>
      <c r="AB74" s="517">
        <f t="shared" si="190"/>
        <v>0</v>
      </c>
      <c r="AC74" s="517">
        <f t="shared" si="190"/>
        <v>0</v>
      </c>
      <c r="AD74" s="499"/>
      <c r="AE74" s="517">
        <f>AE22+AE34+AE46+AE58+AE70</f>
        <v>0</v>
      </c>
      <c r="AF74" s="471"/>
      <c r="AG74" s="474"/>
      <c r="AH74" s="517">
        <f t="shared" ref="AH74:AO74" si="191">AH22+AH34+AH46+AH58+AH70</f>
        <v>0</v>
      </c>
      <c r="AI74" s="517">
        <f t="shared" si="191"/>
        <v>0</v>
      </c>
      <c r="AJ74" s="517">
        <f t="shared" si="191"/>
        <v>0</v>
      </c>
      <c r="AK74" s="517">
        <f t="shared" si="191"/>
        <v>0</v>
      </c>
      <c r="AL74" s="517">
        <f t="shared" si="191"/>
        <v>0</v>
      </c>
      <c r="AM74" s="517">
        <f t="shared" si="191"/>
        <v>0</v>
      </c>
      <c r="AN74" s="517">
        <f t="shared" si="191"/>
        <v>0</v>
      </c>
      <c r="AO74" s="517">
        <f t="shared" si="191"/>
        <v>0</v>
      </c>
    </row>
    <row r="75" spans="1:41" s="88" customFormat="1" ht="22.5" customHeight="1" x14ac:dyDescent="0.3">
      <c r="A75" s="115"/>
      <c r="B75" s="116" t="s">
        <v>81</v>
      </c>
      <c r="C75" s="140" t="s">
        <v>29</v>
      </c>
      <c r="D75" s="517">
        <f>SUM(D13:D20)+SUM(D37:D44)+SUM(D25:D32)+SUM(D49:D56)+SUM(D61:D68)</f>
        <v>0</v>
      </c>
      <c r="F75" s="517">
        <f>SUM(F13:F20)+SUM(F37:F44)+SUM(F25:F32)+SUM(F49:F56)+SUM(F61:F68)</f>
        <v>377164.55</v>
      </c>
      <c r="G75" s="474"/>
      <c r="H75" s="517">
        <f>SUM(H13:H20)+SUM(H37:H44)+SUM(H25:H32)+SUM(H49:H56)+SUM(H61:H68)</f>
        <v>0</v>
      </c>
      <c r="I75" s="517">
        <f>SUM(I13:I20)+SUM(I37:I44)+SUM(I25:I32)+SUM(I49:I56)+SUM(I61:I68)</f>
        <v>375674.5</v>
      </c>
      <c r="J75" s="474"/>
      <c r="K75" s="517">
        <f t="shared" ref="K75:M75" si="192">SUM(K13:K20)+SUM(K37:K44)+SUM(K25:K32)+SUM(K49:K56)+SUM(K61:K68)</f>
        <v>375674.5</v>
      </c>
      <c r="L75" s="517">
        <f t="shared" si="192"/>
        <v>752839.05</v>
      </c>
      <c r="M75" s="517">
        <f t="shared" si="192"/>
        <v>-752839.05</v>
      </c>
      <c r="N75" s="95"/>
      <c r="O75" s="517">
        <f t="shared" ref="O75:S75" si="193">SUM(O13:O20)+SUM(O37:O44)+SUM(O25:O32)+SUM(O49:O56)+SUM(O61:O68)</f>
        <v>0</v>
      </c>
      <c r="P75" s="517">
        <f t="shared" si="193"/>
        <v>0</v>
      </c>
      <c r="Q75" s="517">
        <f t="shared" si="193"/>
        <v>0</v>
      </c>
      <c r="R75" s="517">
        <f t="shared" si="193"/>
        <v>0</v>
      </c>
      <c r="S75" s="517">
        <f t="shared" si="193"/>
        <v>0</v>
      </c>
      <c r="T75" s="474"/>
      <c r="U75" s="517">
        <f t="shared" ref="U75:W75" si="194">SUM(U13:U20)+SUM(U37:U44)+SUM(U25:U32)+SUM(U49:U56)+SUM(U61:U68)</f>
        <v>0</v>
      </c>
      <c r="V75" s="517">
        <f t="shared" si="194"/>
        <v>0</v>
      </c>
      <c r="W75" s="517">
        <f t="shared" si="194"/>
        <v>0</v>
      </c>
      <c r="X75" s="474"/>
      <c r="Y75" s="517">
        <f t="shared" ref="Y75:AC75" si="195">SUM(Y13:Y20)+SUM(Y37:Y44)+SUM(Y25:Y32)+SUM(Y49:Y56)+SUM(Y61:Y68)</f>
        <v>0</v>
      </c>
      <c r="Z75" s="517">
        <f t="shared" si="195"/>
        <v>0</v>
      </c>
      <c r="AA75" s="517">
        <f t="shared" si="195"/>
        <v>0</v>
      </c>
      <c r="AB75" s="517">
        <f t="shared" si="195"/>
        <v>0</v>
      </c>
      <c r="AC75" s="517">
        <f t="shared" si="195"/>
        <v>0</v>
      </c>
      <c r="AD75" s="499"/>
      <c r="AE75" s="517">
        <f>SUM(AE13:AE20)+SUM(AE37:AE44)+SUM(AE25:AE32)+SUM(AE49:AE56)+SUM(AE61:AE68)</f>
        <v>0</v>
      </c>
      <c r="AF75" s="946"/>
      <c r="AG75" s="474"/>
      <c r="AH75" s="517">
        <f t="shared" ref="AH75:AO75" si="196">SUM(AH13:AH20)+SUM(AH37:AH44)+SUM(AH25:AH32)+SUM(AH49:AH56)+SUM(AH61:AH68)</f>
        <v>885360</v>
      </c>
      <c r="AI75" s="517">
        <f t="shared" si="196"/>
        <v>377164.55</v>
      </c>
      <c r="AJ75" s="517">
        <f t="shared" si="196"/>
        <v>375674.5</v>
      </c>
      <c r="AK75" s="517">
        <f t="shared" si="196"/>
        <v>27172.799999999999</v>
      </c>
      <c r="AL75" s="517">
        <f t="shared" si="196"/>
        <v>349991.75</v>
      </c>
      <c r="AM75" s="517">
        <f t="shared" si="196"/>
        <v>375674.5</v>
      </c>
      <c r="AN75" s="517">
        <f t="shared" si="196"/>
        <v>130807.35</v>
      </c>
      <c r="AO75" s="517">
        <f t="shared" si="196"/>
        <v>1713.6</v>
      </c>
    </row>
    <row r="76" spans="1:41" s="88" customFormat="1" ht="22.5" customHeight="1" x14ac:dyDescent="0.3">
      <c r="A76" s="115"/>
      <c r="B76" s="116" t="s">
        <v>82</v>
      </c>
      <c r="C76" s="140" t="s">
        <v>79</v>
      </c>
      <c r="D76" s="517" t="e">
        <f>D75/D74</f>
        <v>#DIV/0!</v>
      </c>
      <c r="F76" s="517" t="e">
        <f>F75/F74</f>
        <v>#DIV/0!</v>
      </c>
      <c r="G76" s="474"/>
      <c r="H76" s="517" t="e">
        <f>H75/H74</f>
        <v>#DIV/0!</v>
      </c>
      <c r="I76" s="517" t="e">
        <f>I75/I74</f>
        <v>#DIV/0!</v>
      </c>
      <c r="J76" s="474"/>
      <c r="K76" s="517" t="e">
        <f t="shared" ref="K76:M76" si="197">K75/K74</f>
        <v>#DIV/0!</v>
      </c>
      <c r="L76" s="517" t="e">
        <f t="shared" si="197"/>
        <v>#DIV/0!</v>
      </c>
      <c r="M76" s="517" t="e">
        <f t="shared" si="197"/>
        <v>#DIV/0!</v>
      </c>
      <c r="N76" s="95"/>
      <c r="O76" s="517" t="e">
        <f t="shared" ref="O76:S76" si="198">O75/O74</f>
        <v>#DIV/0!</v>
      </c>
      <c r="P76" s="517" t="e">
        <f t="shared" si="198"/>
        <v>#DIV/0!</v>
      </c>
      <c r="Q76" s="517" t="e">
        <f t="shared" si="198"/>
        <v>#DIV/0!</v>
      </c>
      <c r="R76" s="517" t="e">
        <f t="shared" si="198"/>
        <v>#DIV/0!</v>
      </c>
      <c r="S76" s="517" t="e">
        <f t="shared" si="198"/>
        <v>#DIV/0!</v>
      </c>
      <c r="T76" s="474"/>
      <c r="U76" s="517" t="e">
        <f t="shared" ref="U76:W76" si="199">U75/U74</f>
        <v>#DIV/0!</v>
      </c>
      <c r="V76" s="517" t="e">
        <f t="shared" si="199"/>
        <v>#DIV/0!</v>
      </c>
      <c r="W76" s="517" t="e">
        <f t="shared" si="199"/>
        <v>#DIV/0!</v>
      </c>
      <c r="X76" s="474"/>
      <c r="Y76" s="517" t="e">
        <f t="shared" ref="Y76:AC76" si="200">Y75/Y74</f>
        <v>#DIV/0!</v>
      </c>
      <c r="Z76" s="517" t="e">
        <f t="shared" si="200"/>
        <v>#DIV/0!</v>
      </c>
      <c r="AA76" s="517" t="e">
        <f t="shared" si="200"/>
        <v>#DIV/0!</v>
      </c>
      <c r="AB76" s="517" t="e">
        <f t="shared" si="200"/>
        <v>#DIV/0!</v>
      </c>
      <c r="AC76" s="517" t="e">
        <f t="shared" si="200"/>
        <v>#DIV/0!</v>
      </c>
      <c r="AD76" s="499"/>
      <c r="AE76" s="517" t="e">
        <f>AE75/AE74</f>
        <v>#DIV/0!</v>
      </c>
      <c r="AF76" s="471"/>
      <c r="AG76" s="474"/>
      <c r="AH76" s="517" t="e">
        <f t="shared" ref="AH76:AO76" si="201">AH75/AH74</f>
        <v>#DIV/0!</v>
      </c>
      <c r="AI76" s="517" t="e">
        <f t="shared" si="201"/>
        <v>#DIV/0!</v>
      </c>
      <c r="AJ76" s="517" t="e">
        <f t="shared" si="201"/>
        <v>#DIV/0!</v>
      </c>
      <c r="AK76" s="517" t="e">
        <f t="shared" si="201"/>
        <v>#DIV/0!</v>
      </c>
      <c r="AL76" s="517" t="e">
        <f t="shared" si="201"/>
        <v>#DIV/0!</v>
      </c>
      <c r="AM76" s="517" t="e">
        <f t="shared" si="201"/>
        <v>#DIV/0!</v>
      </c>
      <c r="AN76" s="517" t="e">
        <f t="shared" si="201"/>
        <v>#DIV/0!</v>
      </c>
      <c r="AO76" s="517" t="e">
        <f t="shared" si="201"/>
        <v>#DIV/0!</v>
      </c>
    </row>
    <row r="77" spans="1:41" s="94" customFormat="1" ht="21" customHeight="1" x14ac:dyDescent="0.3">
      <c r="A77" s="100"/>
      <c r="B77" s="100"/>
      <c r="C77" s="141"/>
      <c r="D77" s="141"/>
      <c r="N77" s="95"/>
      <c r="Y77" s="109"/>
      <c r="AD77" s="499"/>
      <c r="AF77" s="114"/>
      <c r="AI77" s="114"/>
      <c r="AJ77" s="114"/>
      <c r="AK77" s="114"/>
      <c r="AL77" s="114"/>
      <c r="AM77" s="114"/>
      <c r="AN77" s="114"/>
      <c r="AO77" s="114"/>
    </row>
    <row r="78" spans="1:41" s="94" customFormat="1" ht="21" customHeight="1" x14ac:dyDescent="0.3">
      <c r="A78" s="100"/>
      <c r="B78" s="100"/>
      <c r="C78" s="174"/>
      <c r="D78" s="174"/>
      <c r="E78" s="174"/>
      <c r="F78" s="174"/>
      <c r="G78" s="106"/>
      <c r="L78" s="121"/>
      <c r="M78" s="600"/>
      <c r="N78" s="95"/>
      <c r="O78" s="106"/>
      <c r="Y78" s="109"/>
      <c r="AD78" s="499"/>
      <c r="AF78" s="109"/>
      <c r="AI78" s="114"/>
      <c r="AJ78" s="114"/>
      <c r="AK78" s="114"/>
      <c r="AL78" s="114"/>
      <c r="AM78" s="114"/>
      <c r="AN78" s="114"/>
      <c r="AO78" s="114"/>
    </row>
    <row r="79" spans="1:41" s="94" customFormat="1" ht="21" customHeight="1" x14ac:dyDescent="0.3">
      <c r="A79" s="100"/>
      <c r="B79" s="100"/>
      <c r="C79" s="174"/>
      <c r="D79" s="174"/>
      <c r="E79" s="174"/>
      <c r="F79" s="87"/>
      <c r="N79" s="95"/>
      <c r="O79" s="106"/>
      <c r="P79" s="106"/>
      <c r="Q79" s="106"/>
      <c r="R79" s="106"/>
      <c r="S79" s="106"/>
      <c r="AD79" s="499"/>
      <c r="AF79" s="114"/>
      <c r="AI79" s="586"/>
      <c r="AJ79" s="586"/>
      <c r="AK79" s="114"/>
      <c r="AL79" s="114"/>
      <c r="AM79" s="114"/>
      <c r="AN79" s="114"/>
      <c r="AO79" s="114"/>
    </row>
    <row r="80" spans="1:41" s="94" customFormat="1" ht="21" customHeight="1" x14ac:dyDescent="0.3">
      <c r="A80" s="100"/>
      <c r="B80" s="86"/>
      <c r="C80" s="174"/>
      <c r="D80" s="174"/>
      <c r="E80" s="174"/>
      <c r="F80" s="87"/>
      <c r="N80" s="95"/>
      <c r="O80" s="106"/>
      <c r="P80" s="106"/>
      <c r="Q80" s="106"/>
      <c r="R80" s="106"/>
      <c r="S80" s="106"/>
      <c r="AD80" s="499"/>
      <c r="AF80" s="114"/>
      <c r="AI80" s="109"/>
      <c r="AJ80" s="109"/>
      <c r="AK80" s="109"/>
      <c r="AL80" s="109"/>
      <c r="AM80" s="109"/>
    </row>
    <row r="81" spans="1:36" s="94" customFormat="1" ht="21" customHeight="1" x14ac:dyDescent="0.3">
      <c r="A81" s="100"/>
      <c r="B81" s="100"/>
      <c r="C81" s="174"/>
      <c r="D81" s="174"/>
      <c r="E81" s="174"/>
      <c r="F81" s="87"/>
      <c r="N81" s="95"/>
      <c r="AD81" s="499"/>
      <c r="AF81" s="114"/>
      <c r="AI81" s="109"/>
      <c r="AJ81" s="109"/>
    </row>
    <row r="82" spans="1:36" s="94" customFormat="1" ht="21" customHeight="1" x14ac:dyDescent="0.3">
      <c r="A82" s="100"/>
      <c r="B82" s="100"/>
      <c r="C82" s="174"/>
      <c r="D82" s="174"/>
      <c r="E82" s="174"/>
      <c r="F82" s="87"/>
      <c r="L82" s="87"/>
      <c r="N82" s="95"/>
      <c r="AD82" s="499"/>
      <c r="AF82" s="114"/>
      <c r="AI82" s="121"/>
      <c r="AJ82" s="121"/>
    </row>
    <row r="83" spans="1:36" s="94" customFormat="1" ht="21" customHeight="1" x14ac:dyDescent="0.3">
      <c r="A83" s="100"/>
      <c r="B83" s="100"/>
      <c r="C83" s="174"/>
      <c r="D83" s="174"/>
      <c r="E83" s="174"/>
      <c r="F83" s="174"/>
      <c r="L83" s="2"/>
      <c r="N83" s="95"/>
      <c r="AD83" s="51"/>
      <c r="AF83" s="114"/>
    </row>
    <row r="84" spans="1:36" s="94" customFormat="1" ht="21" customHeight="1" x14ac:dyDescent="0.3">
      <c r="A84" s="100"/>
      <c r="B84" s="100"/>
      <c r="L84" s="87"/>
      <c r="N84" s="95"/>
      <c r="AD84" s="51"/>
      <c r="AF84" s="114"/>
      <c r="AI84" s="152"/>
      <c r="AJ84" s="152"/>
    </row>
    <row r="85" spans="1:36" ht="21" customHeight="1" x14ac:dyDescent="0.3">
      <c r="N85" s="95"/>
      <c r="AI85" s="152"/>
      <c r="AJ85" s="152"/>
    </row>
    <row r="86" spans="1:36" ht="21" customHeight="1" x14ac:dyDescent="0.3">
      <c r="N86" s="95"/>
    </row>
  </sheetData>
  <mergeCells count="21">
    <mergeCell ref="AN9:AN11"/>
    <mergeCell ref="AO9:AO11"/>
    <mergeCell ref="AH9:AH11"/>
    <mergeCell ref="A9:A11"/>
    <mergeCell ref="B9:B11"/>
    <mergeCell ref="C9:C11"/>
    <mergeCell ref="F9:F11"/>
    <mergeCell ref="K9:K11"/>
    <mergeCell ref="L9:L11"/>
    <mergeCell ref="M9:M11"/>
    <mergeCell ref="O9:S9"/>
    <mergeCell ref="H9:I10"/>
    <mergeCell ref="U9:W10"/>
    <mergeCell ref="Y9:AC10"/>
    <mergeCell ref="AE9:AE10"/>
    <mergeCell ref="AI9:AI11"/>
    <mergeCell ref="AJ9:AJ11"/>
    <mergeCell ref="AK9:AK11"/>
    <mergeCell ref="AL9:AL11"/>
    <mergeCell ref="AM9:AM11"/>
    <mergeCell ref="D9:D11"/>
  </mergeCells>
  <pageMargins left="0.19685039370078741" right="0.19685039370078741" top="0.74803149606299213" bottom="0.74803149606299213" header="0.31496062992125984" footer="0.31496062992125984"/>
  <pageSetup paperSize="9" scale="1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pageSetUpPr fitToPage="1"/>
  </sheetPr>
  <dimension ref="A1:AP55"/>
  <sheetViews>
    <sheetView topLeftCell="L31" zoomScale="70" zoomScaleNormal="70" workbookViewId="0">
      <selection activeCell="Y41" sqref="Y41"/>
    </sheetView>
  </sheetViews>
  <sheetFormatPr baseColWidth="10" defaultColWidth="11.42578125" defaultRowHeight="21" customHeight="1" outlineLevelRow="1" outlineLevelCol="2" x14ac:dyDescent="0.3"/>
  <cols>
    <col min="1" max="1" width="15" style="86" customWidth="1"/>
    <col min="2" max="2" width="80.7109375" style="86" customWidth="1"/>
    <col min="3" max="3" width="9.28515625" style="2" customWidth="1"/>
    <col min="4" max="4" width="17.28515625" style="2" customWidth="1"/>
    <col min="5" max="5" width="3.7109375" style="2" customWidth="1"/>
    <col min="6" max="6" width="15" style="2" customWidth="1"/>
    <col min="7" max="7" width="2" style="2" customWidth="1"/>
    <col min="8" max="9" width="20.28515625" style="2" customWidth="1"/>
    <col min="10" max="10" width="2.7109375" style="2" customWidth="1"/>
    <col min="11" max="11" width="26.140625" style="2" customWidth="1"/>
    <col min="12" max="12" width="30.85546875" style="2" customWidth="1"/>
    <col min="13" max="13" width="16.140625" style="2" customWidth="1"/>
    <col min="14" max="14" width="2.7109375" style="2" customWidth="1"/>
    <col min="15" max="15" width="13.5703125" style="2" customWidth="1" outlineLevel="1"/>
    <col min="16" max="16" width="13" style="2" customWidth="1" outlineLevel="1"/>
    <col min="17" max="17" width="12.7109375" style="2" customWidth="1" outlineLevel="1"/>
    <col min="18" max="18" width="14.140625" style="2" customWidth="1" outlineLevel="1"/>
    <col min="19" max="19" width="15" style="2" customWidth="1" outlineLevel="1"/>
    <col min="20" max="20" width="2.7109375" style="2" customWidth="1"/>
    <col min="21" max="21" width="22.42578125" style="2" customWidth="1"/>
    <col min="22" max="22" width="22.140625" style="2" customWidth="1"/>
    <col min="23" max="23" width="22.42578125" style="2" customWidth="1"/>
    <col min="24" max="24" width="2.7109375" style="2" customWidth="1"/>
    <col min="25" max="25" width="23.5703125" style="2" customWidth="1"/>
    <col min="26" max="26" width="23" style="2" customWidth="1"/>
    <col min="27" max="27" width="16.42578125" style="2" customWidth="1"/>
    <col min="28" max="28" width="18.42578125" style="2" customWidth="1"/>
    <col min="29" max="29" width="23" style="2" customWidth="1"/>
    <col min="30" max="30" width="1.85546875" style="2" customWidth="1" outlineLevel="1"/>
    <col min="31" max="31" width="18.140625" style="2" customWidth="1" outlineLevel="1"/>
    <col min="32" max="33" width="9.28515625" style="94" customWidth="1"/>
    <col min="34" max="34" width="21.5703125" style="2" customWidth="1" outlineLevel="1"/>
    <col min="35" max="36" width="24.140625" style="2" customWidth="1" outlineLevel="1"/>
    <col min="37" max="37" width="18.140625" style="2" customWidth="1" outlineLevel="2"/>
    <col min="38" max="38" width="19" style="2" customWidth="1" outlineLevel="2"/>
    <col min="39" max="39" width="19.5703125" style="2" customWidth="1" outlineLevel="2"/>
    <col min="40" max="40" width="18.140625" style="2" customWidth="1" outlineLevel="2"/>
    <col min="41" max="41" width="21.85546875" style="2" customWidth="1" outlineLevel="2"/>
    <col min="42" max="42" width="11.42578125" style="2" outlineLevel="1"/>
    <col min="43" max="16384" width="11.42578125" style="2"/>
  </cols>
  <sheetData>
    <row r="1" spans="1:41" ht="31.5" customHeight="1" x14ac:dyDescent="0.35">
      <c r="A1" s="88" t="s">
        <v>131</v>
      </c>
      <c r="B1" s="89"/>
      <c r="C1" s="89"/>
      <c r="D1" s="89"/>
      <c r="E1" s="89"/>
      <c r="F1" s="89"/>
      <c r="G1" s="89"/>
      <c r="H1" s="89"/>
      <c r="I1" s="89"/>
      <c r="J1" s="89"/>
      <c r="K1" s="89"/>
      <c r="L1" s="142"/>
      <c r="M1" s="142"/>
      <c r="N1" s="89"/>
      <c r="O1" s="89"/>
      <c r="P1" s="89"/>
      <c r="Q1" s="89"/>
      <c r="R1" s="89"/>
      <c r="S1" s="89"/>
      <c r="T1" s="89"/>
      <c r="U1" s="89"/>
      <c r="V1" s="89"/>
      <c r="W1" s="89"/>
      <c r="X1" s="89"/>
      <c r="Y1" s="89"/>
      <c r="Z1" s="285"/>
      <c r="AA1" s="89"/>
      <c r="AB1" s="89"/>
      <c r="AC1" s="89"/>
    </row>
    <row r="2" spans="1:41" ht="21" customHeight="1" x14ac:dyDescent="0.3">
      <c r="A2" s="244" t="s">
        <v>433</v>
      </c>
      <c r="B2" s="88"/>
      <c r="C2" s="88"/>
      <c r="D2" s="88"/>
      <c r="E2" s="88"/>
      <c r="F2" s="88"/>
      <c r="G2" s="88"/>
      <c r="H2" s="88"/>
      <c r="I2" s="143"/>
      <c r="J2" s="88"/>
      <c r="K2" s="88"/>
      <c r="L2" s="88"/>
      <c r="M2" s="88"/>
      <c r="N2" s="88"/>
      <c r="O2" s="88"/>
      <c r="P2" s="88"/>
      <c r="Q2" s="88"/>
      <c r="R2" s="88"/>
      <c r="S2" s="88"/>
      <c r="T2" s="88"/>
      <c r="U2" s="88"/>
      <c r="V2" s="88"/>
      <c r="W2" s="88"/>
      <c r="X2" s="88"/>
      <c r="Y2" s="88"/>
      <c r="Z2" s="88"/>
      <c r="AA2" s="88"/>
      <c r="AB2" s="88"/>
      <c r="AC2" s="88"/>
    </row>
    <row r="3" spans="1:41" ht="11.25" customHeight="1" x14ac:dyDescent="0.3"/>
    <row r="4" spans="1:41" ht="11.25" customHeight="1" x14ac:dyDescent="0.3"/>
    <row r="5" spans="1:41" s="86" customFormat="1" ht="21" customHeight="1" x14ac:dyDescent="0.3">
      <c r="A5" s="90" t="s">
        <v>52</v>
      </c>
      <c r="B5" s="90" t="str">
        <f>+Mat!B5</f>
        <v>EL BOSQUE - CERCO + INGRESOS Y CASETAS</v>
      </c>
      <c r="C5" s="90"/>
      <c r="D5" s="90"/>
      <c r="E5" s="91"/>
      <c r="F5" s="90"/>
      <c r="G5" s="90"/>
      <c r="H5" s="90"/>
      <c r="I5" s="165"/>
      <c r="J5" s="268"/>
      <c r="K5" s="91" t="s">
        <v>53</v>
      </c>
      <c r="L5" s="90"/>
      <c r="M5" s="92"/>
      <c r="N5" s="92"/>
      <c r="O5" s="92"/>
      <c r="P5" s="92"/>
      <c r="Q5" s="90"/>
      <c r="R5" s="90"/>
      <c r="S5" s="90"/>
      <c r="T5" s="90"/>
      <c r="U5" s="90"/>
      <c r="V5" s="90"/>
      <c r="W5" s="90"/>
      <c r="X5" s="90"/>
      <c r="Y5" s="90"/>
      <c r="Z5" s="90"/>
      <c r="AA5" s="90"/>
      <c r="AB5" s="90"/>
      <c r="AC5" s="90"/>
      <c r="AD5" s="316"/>
      <c r="AE5" s="316"/>
      <c r="AF5" s="156"/>
    </row>
    <row r="6" spans="1:41" s="86" customFormat="1" ht="21" customHeight="1" x14ac:dyDescent="0.3">
      <c r="A6" s="90" t="s">
        <v>54</v>
      </c>
      <c r="B6" s="90">
        <f>+Mat!B6</f>
        <v>0</v>
      </c>
      <c r="C6" s="90"/>
      <c r="D6" s="90"/>
      <c r="E6" s="91"/>
      <c r="F6" s="90"/>
      <c r="G6" s="90"/>
      <c r="H6" s="90"/>
      <c r="I6" s="165"/>
      <c r="J6" s="90"/>
      <c r="K6" s="91" t="s">
        <v>55</v>
      </c>
      <c r="L6" s="90"/>
      <c r="M6" s="90"/>
      <c r="N6" s="90"/>
      <c r="O6" s="90"/>
      <c r="P6" s="90"/>
      <c r="Q6" s="90"/>
      <c r="R6" s="90"/>
      <c r="S6" s="90"/>
      <c r="T6" s="90"/>
      <c r="U6" s="90"/>
      <c r="V6" s="90"/>
      <c r="W6" s="90"/>
      <c r="X6" s="90"/>
      <c r="Y6" s="90"/>
      <c r="Z6" s="90"/>
      <c r="AA6" s="90"/>
      <c r="AB6" s="90"/>
      <c r="AC6" s="90"/>
      <c r="AD6" s="316"/>
      <c r="AE6" s="316"/>
      <c r="AF6" s="156"/>
    </row>
    <row r="7" spans="1:41" ht="12.75" customHeight="1" x14ac:dyDescent="0.3">
      <c r="A7" s="88"/>
    </row>
    <row r="8" spans="1:41" ht="5.25" customHeight="1" x14ac:dyDescent="0.3">
      <c r="O8" s="94">
        <f t="shared" ref="O8:S8" si="0">+YEAR(O11)</f>
        <v>2025</v>
      </c>
      <c r="P8" s="94">
        <f t="shared" si="0"/>
        <v>2025</v>
      </c>
      <c r="Q8" s="94">
        <f t="shared" si="0"/>
        <v>2025</v>
      </c>
      <c r="R8" s="94">
        <f t="shared" si="0"/>
        <v>2025</v>
      </c>
      <c r="S8" s="94">
        <f t="shared" si="0"/>
        <v>2025</v>
      </c>
    </row>
    <row r="9" spans="1:41" s="95" customFormat="1" ht="18.75" customHeight="1" x14ac:dyDescent="0.25">
      <c r="A9" s="1238" t="s">
        <v>56</v>
      </c>
      <c r="B9" s="1238" t="s">
        <v>57</v>
      </c>
      <c r="C9" s="1238" t="s">
        <v>58</v>
      </c>
      <c r="D9" s="1241" t="s">
        <v>59</v>
      </c>
      <c r="F9" s="1241" t="s">
        <v>60</v>
      </c>
      <c r="H9" s="1244" t="str">
        <f>+A2</f>
        <v>MES DE ENERO DEL 2025</v>
      </c>
      <c r="I9" s="1245"/>
      <c r="K9" s="1237" t="s">
        <v>434</v>
      </c>
      <c r="L9" s="1237" t="s">
        <v>39</v>
      </c>
      <c r="M9" s="1237" t="s">
        <v>40</v>
      </c>
      <c r="O9" s="1262" t="s">
        <v>0</v>
      </c>
      <c r="P9" s="1263"/>
      <c r="Q9" s="1263"/>
      <c r="R9" s="1263"/>
      <c r="S9" s="1263"/>
      <c r="U9" s="1231" t="s">
        <v>41</v>
      </c>
      <c r="V9" s="1232"/>
      <c r="W9" s="1233"/>
      <c r="Y9" s="1231" t="s">
        <v>1</v>
      </c>
      <c r="Z9" s="1232"/>
      <c r="AA9" s="1232"/>
      <c r="AB9" s="1232"/>
      <c r="AC9" s="1233"/>
      <c r="AE9" s="1241" t="s">
        <v>435</v>
      </c>
      <c r="AF9" s="122"/>
      <c r="AG9" s="122"/>
      <c r="AH9" s="1259" t="s">
        <v>30</v>
      </c>
      <c r="AI9" s="1251" t="s">
        <v>343</v>
      </c>
      <c r="AJ9" s="1251" t="s">
        <v>35</v>
      </c>
      <c r="AK9" s="1248">
        <v>45597</v>
      </c>
      <c r="AL9" s="1248">
        <v>45627</v>
      </c>
      <c r="AM9" s="1248">
        <v>45658</v>
      </c>
      <c r="AN9" s="1248">
        <v>45689</v>
      </c>
      <c r="AO9" s="1248">
        <v>45717</v>
      </c>
    </row>
    <row r="10" spans="1:41" s="95" customFormat="1" ht="18.75" x14ac:dyDescent="0.25">
      <c r="A10" s="1239"/>
      <c r="B10" s="1239"/>
      <c r="C10" s="1239"/>
      <c r="D10" s="1242"/>
      <c r="F10" s="1242"/>
      <c r="H10" s="1246"/>
      <c r="I10" s="1247"/>
      <c r="K10" s="1237"/>
      <c r="L10" s="1237"/>
      <c r="M10" s="1237"/>
      <c r="O10" s="309">
        <v>4</v>
      </c>
      <c r="P10" s="309">
        <f>+O10+1</f>
        <v>5</v>
      </c>
      <c r="Q10" s="309">
        <f t="shared" ref="Q10:S10" si="1">+P10+1</f>
        <v>6</v>
      </c>
      <c r="R10" s="309">
        <f t="shared" si="1"/>
        <v>7</v>
      </c>
      <c r="S10" s="309">
        <f t="shared" si="1"/>
        <v>8</v>
      </c>
      <c r="U10" s="1234"/>
      <c r="V10" s="1235"/>
      <c r="W10" s="1236"/>
      <c r="Y10" s="1234"/>
      <c r="Z10" s="1235"/>
      <c r="AA10" s="1235"/>
      <c r="AB10" s="1235"/>
      <c r="AC10" s="1236"/>
      <c r="AE10" s="1243"/>
      <c r="AF10" s="122"/>
      <c r="AG10" s="122"/>
      <c r="AH10" s="1260"/>
      <c r="AI10" s="1252"/>
      <c r="AJ10" s="1252"/>
      <c r="AK10" s="1249"/>
      <c r="AL10" s="1249"/>
      <c r="AM10" s="1249"/>
      <c r="AN10" s="1249"/>
      <c r="AO10" s="1249"/>
    </row>
    <row r="11" spans="1:41" s="97" customFormat="1" ht="37.5" x14ac:dyDescent="0.25">
      <c r="A11" s="1240"/>
      <c r="B11" s="1240"/>
      <c r="C11" s="1240"/>
      <c r="D11" s="1243"/>
      <c r="F11" s="1240"/>
      <c r="H11" s="246" t="s">
        <v>4</v>
      </c>
      <c r="I11" s="246" t="s">
        <v>5</v>
      </c>
      <c r="J11" s="95"/>
      <c r="K11" s="1237"/>
      <c r="L11" s="1237"/>
      <c r="M11" s="1237"/>
      <c r="O11" s="247">
        <f>+MO!O11</f>
        <v>45689</v>
      </c>
      <c r="P11" s="247">
        <f>+O11+31</f>
        <v>45720</v>
      </c>
      <c r="Q11" s="247">
        <f t="shared" ref="Q11:S11" si="2">+P11+31</f>
        <v>45751</v>
      </c>
      <c r="R11" s="247">
        <f t="shared" si="2"/>
        <v>45782</v>
      </c>
      <c r="S11" s="247">
        <f t="shared" si="2"/>
        <v>45813</v>
      </c>
      <c r="U11" s="246">
        <f>+MO!U11</f>
        <v>2025</v>
      </c>
      <c r="V11" s="246">
        <f>+U11+1</f>
        <v>2026</v>
      </c>
      <c r="W11" s="246">
        <f>+V11+1</f>
        <v>2027</v>
      </c>
      <c r="Y11" s="246" t="s">
        <v>6</v>
      </c>
      <c r="Z11" s="246" t="s">
        <v>7</v>
      </c>
      <c r="AA11" s="246" t="s">
        <v>36</v>
      </c>
      <c r="AB11" s="248" t="s">
        <v>125</v>
      </c>
      <c r="AC11" s="246" t="s">
        <v>8</v>
      </c>
      <c r="AD11" s="95"/>
      <c r="AE11" s="1113" t="s">
        <v>436</v>
      </c>
      <c r="AF11" s="123"/>
      <c r="AG11" s="123"/>
      <c r="AH11" s="1261"/>
      <c r="AI11" s="1253"/>
      <c r="AJ11" s="1253"/>
      <c r="AK11" s="1250"/>
      <c r="AL11" s="1250"/>
      <c r="AM11" s="1250"/>
      <c r="AN11" s="1250"/>
      <c r="AO11" s="1250"/>
    </row>
    <row r="12" spans="1:41" ht="26.25" customHeight="1" x14ac:dyDescent="0.3">
      <c r="A12" s="98">
        <f>+MO!A12</f>
        <v>100</v>
      </c>
      <c r="B12" s="102" t="str">
        <f>+MO!B12</f>
        <v>OBRAS PRELIMINARES</v>
      </c>
      <c r="D12" s="87"/>
      <c r="J12" s="95"/>
      <c r="O12" s="269"/>
      <c r="P12" s="269"/>
      <c r="Q12" s="269"/>
      <c r="R12" s="269"/>
      <c r="S12" s="269"/>
      <c r="AD12" s="95"/>
    </row>
    <row r="13" spans="1:41" s="910" customFormat="1" ht="21" customHeight="1" x14ac:dyDescent="0.3">
      <c r="A13" s="1007"/>
      <c r="B13" s="1025"/>
      <c r="C13" s="909"/>
      <c r="D13" s="1030"/>
      <c r="F13" s="1026">
        <f>+SUM(AI13)</f>
        <v>0</v>
      </c>
      <c r="G13" s="912"/>
      <c r="H13" s="1027"/>
      <c r="I13" s="913">
        <f>+AJ13</f>
        <v>0</v>
      </c>
      <c r="J13" s="923"/>
      <c r="K13" s="911">
        <f>+I13+AE13</f>
        <v>0</v>
      </c>
      <c r="L13" s="914">
        <f>+F13+K13</f>
        <v>0</v>
      </c>
      <c r="M13" s="914">
        <f>+D13-L13</f>
        <v>0</v>
      </c>
      <c r="O13" s="911"/>
      <c r="P13" s="911"/>
      <c r="Q13" s="911"/>
      <c r="R13" s="911"/>
      <c r="S13" s="911"/>
      <c r="T13" s="912"/>
      <c r="U13" s="911">
        <f>SUMIFS(O13:S13,O$8:S$8,$U$11)</f>
        <v>0</v>
      </c>
      <c r="V13" s="911">
        <f>SUMIFS(O13:S13,O$8:S$8,$V$11)</f>
        <v>0</v>
      </c>
      <c r="W13" s="911">
        <f>SUMIFS(O13:S13,O$8:S$8,$W$11)</f>
        <v>0</v>
      </c>
      <c r="X13" s="912"/>
      <c r="Y13" s="911">
        <f>+L13+M13</f>
        <v>0</v>
      </c>
      <c r="Z13" s="911"/>
      <c r="AA13" s="911"/>
      <c r="AB13" s="911"/>
      <c r="AC13" s="911"/>
      <c r="AD13" s="923"/>
      <c r="AE13" s="911"/>
      <c r="AF13" s="924"/>
      <c r="AG13" s="924"/>
      <c r="AH13" s="916">
        <f>SUM(AK13:AO13)</f>
        <v>0</v>
      </c>
      <c r="AI13" s="926">
        <f>SUM(AK13:AL13)</f>
        <v>0</v>
      </c>
      <c r="AJ13" s="926">
        <f>+AM13</f>
        <v>0</v>
      </c>
      <c r="AK13" s="916"/>
      <c r="AL13" s="916"/>
      <c r="AM13" s="916"/>
      <c r="AN13" s="916"/>
      <c r="AO13" s="916"/>
    </row>
    <row r="14" spans="1:41" s="910" customFormat="1" ht="21" customHeight="1" x14ac:dyDescent="0.3">
      <c r="A14" s="1007"/>
      <c r="B14" s="1025"/>
      <c r="C14" s="909"/>
      <c r="D14" s="1030"/>
      <c r="F14" s="1026">
        <f t="shared" ref="F14:F18" si="3">+SUM(AI14)</f>
        <v>0</v>
      </c>
      <c r="G14" s="912"/>
      <c r="H14" s="1027"/>
      <c r="I14" s="913">
        <f t="shared" ref="I14:I18" si="4">+AJ14</f>
        <v>0</v>
      </c>
      <c r="J14" s="923"/>
      <c r="K14" s="911">
        <f t="shared" ref="K14:K18" si="5">+I14+AE14</f>
        <v>0</v>
      </c>
      <c r="L14" s="914">
        <f t="shared" ref="L14:L18" si="6">+F14+K14</f>
        <v>0</v>
      </c>
      <c r="M14" s="914">
        <f t="shared" ref="M14:M18" si="7">+D14-L14</f>
        <v>0</v>
      </c>
      <c r="O14" s="911"/>
      <c r="P14" s="911"/>
      <c r="Q14" s="911"/>
      <c r="R14" s="911"/>
      <c r="S14" s="911"/>
      <c r="T14" s="912"/>
      <c r="U14" s="911">
        <f>SUMIFS(O14:S14,O$8:S$8,$U$11)</f>
        <v>0</v>
      </c>
      <c r="V14" s="911">
        <f>SUMIFS(O14:S14,O$8:S$8,$V$11)</f>
        <v>0</v>
      </c>
      <c r="W14" s="911">
        <f>SUMIFS(O14:S14,O$8:S$8,$W$11)</f>
        <v>0</v>
      </c>
      <c r="X14" s="912"/>
      <c r="Y14" s="911">
        <f>+L14+M14</f>
        <v>0</v>
      </c>
      <c r="Z14" s="911"/>
      <c r="AA14" s="911"/>
      <c r="AB14" s="911"/>
      <c r="AC14" s="911"/>
      <c r="AD14" s="923"/>
      <c r="AE14" s="911"/>
      <c r="AF14" s="924"/>
      <c r="AG14" s="924"/>
      <c r="AH14" s="916">
        <f t="shared" ref="AH14:AH18" si="8">SUM(AK14:AO14)</f>
        <v>0</v>
      </c>
      <c r="AI14" s="926">
        <f t="shared" ref="AI14:AI18" si="9">SUM(AK14:AL14)</f>
        <v>0</v>
      </c>
      <c r="AJ14" s="926">
        <f t="shared" ref="AJ14:AJ18" si="10">+AM14</f>
        <v>0</v>
      </c>
      <c r="AK14" s="916"/>
      <c r="AL14" s="916"/>
      <c r="AM14" s="916"/>
      <c r="AN14" s="916"/>
      <c r="AO14" s="916"/>
    </row>
    <row r="15" spans="1:41" s="910" customFormat="1" ht="21" customHeight="1" x14ac:dyDescent="0.3">
      <c r="A15" s="1007"/>
      <c r="B15" s="1025"/>
      <c r="C15" s="909"/>
      <c r="D15" s="1030"/>
      <c r="F15" s="1026">
        <f t="shared" si="3"/>
        <v>0</v>
      </c>
      <c r="G15" s="912"/>
      <c r="H15" s="1027"/>
      <c r="I15" s="913">
        <f t="shared" si="4"/>
        <v>0</v>
      </c>
      <c r="J15" s="923"/>
      <c r="K15" s="911">
        <f t="shared" si="5"/>
        <v>0</v>
      </c>
      <c r="L15" s="914">
        <f t="shared" si="6"/>
        <v>0</v>
      </c>
      <c r="M15" s="914">
        <f t="shared" si="7"/>
        <v>0</v>
      </c>
      <c r="O15" s="911"/>
      <c r="P15" s="911"/>
      <c r="Q15" s="911"/>
      <c r="R15" s="911"/>
      <c r="S15" s="911"/>
      <c r="T15" s="912"/>
      <c r="U15" s="911"/>
      <c r="V15" s="914"/>
      <c r="W15" s="914"/>
      <c r="X15" s="912"/>
      <c r="Y15" s="911"/>
      <c r="Z15" s="911"/>
      <c r="AA15" s="911"/>
      <c r="AB15" s="911"/>
      <c r="AC15" s="911"/>
      <c r="AD15" s="923"/>
      <c r="AE15" s="911"/>
      <c r="AF15" s="924"/>
      <c r="AG15" s="924"/>
      <c r="AH15" s="916">
        <f t="shared" si="8"/>
        <v>0</v>
      </c>
      <c r="AI15" s="926">
        <f t="shared" si="9"/>
        <v>0</v>
      </c>
      <c r="AJ15" s="926">
        <f t="shared" si="10"/>
        <v>0</v>
      </c>
      <c r="AK15" s="914"/>
      <c r="AL15" s="914"/>
      <c r="AM15" s="914"/>
      <c r="AN15" s="914"/>
      <c r="AO15" s="914"/>
    </row>
    <row r="16" spans="1:41" s="910" customFormat="1" ht="21" customHeight="1" x14ac:dyDescent="0.3">
      <c r="A16" s="1007"/>
      <c r="B16" s="1025"/>
      <c r="C16" s="909"/>
      <c r="D16" s="1030"/>
      <c r="F16" s="1026">
        <f t="shared" si="3"/>
        <v>0</v>
      </c>
      <c r="G16" s="912"/>
      <c r="H16" s="1027"/>
      <c r="I16" s="913">
        <f t="shared" si="4"/>
        <v>0</v>
      </c>
      <c r="J16" s="923"/>
      <c r="K16" s="911">
        <f t="shared" si="5"/>
        <v>0</v>
      </c>
      <c r="L16" s="914">
        <f t="shared" si="6"/>
        <v>0</v>
      </c>
      <c r="M16" s="914">
        <f t="shared" si="7"/>
        <v>0</v>
      </c>
      <c r="O16" s="911"/>
      <c r="P16" s="911"/>
      <c r="Q16" s="911"/>
      <c r="R16" s="911"/>
      <c r="S16" s="911"/>
      <c r="T16" s="912"/>
      <c r="U16" s="911"/>
      <c r="V16" s="914"/>
      <c r="W16" s="914"/>
      <c r="X16" s="912"/>
      <c r="Y16" s="911"/>
      <c r="Z16" s="911"/>
      <c r="AA16" s="911"/>
      <c r="AB16" s="911"/>
      <c r="AC16" s="911"/>
      <c r="AD16" s="923"/>
      <c r="AE16" s="911"/>
      <c r="AF16" s="924"/>
      <c r="AG16" s="924"/>
      <c r="AH16" s="916">
        <f t="shared" si="8"/>
        <v>0</v>
      </c>
      <c r="AI16" s="926">
        <f t="shared" si="9"/>
        <v>0</v>
      </c>
      <c r="AJ16" s="926">
        <f t="shared" si="10"/>
        <v>0</v>
      </c>
      <c r="AK16" s="914"/>
      <c r="AL16" s="914"/>
      <c r="AM16" s="914"/>
      <c r="AN16" s="914"/>
      <c r="AO16" s="914"/>
    </row>
    <row r="17" spans="1:41" s="910" customFormat="1" ht="21" customHeight="1" x14ac:dyDescent="0.3">
      <c r="A17" s="1007"/>
      <c r="B17" s="1025"/>
      <c r="C17" s="909"/>
      <c r="D17" s="1030"/>
      <c r="F17" s="1026">
        <f t="shared" si="3"/>
        <v>0</v>
      </c>
      <c r="G17" s="912"/>
      <c r="H17" s="1027"/>
      <c r="I17" s="913">
        <f t="shared" si="4"/>
        <v>0</v>
      </c>
      <c r="J17" s="923"/>
      <c r="K17" s="911">
        <f t="shared" si="5"/>
        <v>0</v>
      </c>
      <c r="L17" s="914">
        <f t="shared" si="6"/>
        <v>0</v>
      </c>
      <c r="M17" s="914">
        <f t="shared" si="7"/>
        <v>0</v>
      </c>
      <c r="O17" s="911"/>
      <c r="P17" s="911"/>
      <c r="Q17" s="911"/>
      <c r="R17" s="911"/>
      <c r="S17" s="911"/>
      <c r="T17" s="912"/>
      <c r="U17" s="911"/>
      <c r="V17" s="914"/>
      <c r="W17" s="914"/>
      <c r="X17" s="912"/>
      <c r="Y17" s="911"/>
      <c r="Z17" s="911"/>
      <c r="AA17" s="911"/>
      <c r="AB17" s="911"/>
      <c r="AC17" s="911"/>
      <c r="AD17" s="923"/>
      <c r="AE17" s="911"/>
      <c r="AF17" s="924"/>
      <c r="AG17" s="924"/>
      <c r="AH17" s="916">
        <f t="shared" si="8"/>
        <v>0</v>
      </c>
      <c r="AI17" s="926">
        <f t="shared" si="9"/>
        <v>0</v>
      </c>
      <c r="AJ17" s="926">
        <f t="shared" si="10"/>
        <v>0</v>
      </c>
      <c r="AK17" s="914"/>
      <c r="AL17" s="914"/>
      <c r="AM17" s="914"/>
      <c r="AN17" s="914"/>
      <c r="AO17" s="914"/>
    </row>
    <row r="18" spans="1:41" s="910" customFormat="1" ht="21" customHeight="1" x14ac:dyDescent="0.3">
      <c r="A18" s="1007"/>
      <c r="B18" s="1025"/>
      <c r="C18" s="909"/>
      <c r="D18" s="1030"/>
      <c r="F18" s="1026">
        <f t="shared" si="3"/>
        <v>0</v>
      </c>
      <c r="G18" s="912"/>
      <c r="H18" s="1027"/>
      <c r="I18" s="913">
        <f t="shared" si="4"/>
        <v>0</v>
      </c>
      <c r="J18" s="923"/>
      <c r="K18" s="911">
        <f t="shared" si="5"/>
        <v>0</v>
      </c>
      <c r="L18" s="914">
        <f t="shared" si="6"/>
        <v>0</v>
      </c>
      <c r="M18" s="914">
        <f t="shared" si="7"/>
        <v>0</v>
      </c>
      <c r="O18" s="911"/>
      <c r="P18" s="911"/>
      <c r="Q18" s="911"/>
      <c r="R18" s="911"/>
      <c r="S18" s="911"/>
      <c r="T18" s="912"/>
      <c r="U18" s="911"/>
      <c r="V18" s="914"/>
      <c r="W18" s="914"/>
      <c r="X18" s="912"/>
      <c r="Y18" s="911"/>
      <c r="Z18" s="911"/>
      <c r="AA18" s="911"/>
      <c r="AB18" s="911"/>
      <c r="AC18" s="911"/>
      <c r="AD18" s="923"/>
      <c r="AE18" s="911"/>
      <c r="AF18" s="924"/>
      <c r="AG18" s="924"/>
      <c r="AH18" s="916">
        <f t="shared" si="8"/>
        <v>0</v>
      </c>
      <c r="AI18" s="926">
        <f t="shared" si="9"/>
        <v>0</v>
      </c>
      <c r="AJ18" s="926">
        <f t="shared" si="10"/>
        <v>0</v>
      </c>
      <c r="AK18" s="914"/>
      <c r="AL18" s="914"/>
      <c r="AM18" s="914"/>
      <c r="AN18" s="914"/>
      <c r="AO18" s="914"/>
    </row>
    <row r="19" spans="1:41" ht="21" customHeight="1" x14ac:dyDescent="0.3">
      <c r="A19" s="1256" t="str">
        <f>+"TOTAL FASE  "&amp;A12&amp;" : "&amp;B12</f>
        <v>TOTAL FASE  100 : OBRAS PRELIMINARES</v>
      </c>
      <c r="B19" s="1257"/>
      <c r="C19" s="101" t="s">
        <v>29</v>
      </c>
      <c r="D19" s="1006">
        <f>SUM(D13:D18)</f>
        <v>0</v>
      </c>
      <c r="F19" s="453">
        <f>SUM(F13:F18)</f>
        <v>0</v>
      </c>
      <c r="G19" s="87"/>
      <c r="H19" s="453">
        <f t="shared" ref="H19:I19" si="11">SUM(H13:H18)</f>
        <v>0</v>
      </c>
      <c r="I19" s="453">
        <f t="shared" si="11"/>
        <v>0</v>
      </c>
      <c r="J19" s="95"/>
      <c r="K19" s="453">
        <f t="shared" ref="K19:M19" si="12">SUM(K13:K18)</f>
        <v>0</v>
      </c>
      <c r="L19" s="453">
        <f t="shared" si="12"/>
        <v>0</v>
      </c>
      <c r="M19" s="453">
        <f t="shared" si="12"/>
        <v>0</v>
      </c>
      <c r="O19" s="453">
        <f t="shared" ref="O19:S19" si="13">SUM(O13:O18)</f>
        <v>0</v>
      </c>
      <c r="P19" s="453">
        <f t="shared" si="13"/>
        <v>0</v>
      </c>
      <c r="Q19" s="453">
        <f t="shared" si="13"/>
        <v>0</v>
      </c>
      <c r="R19" s="453">
        <f t="shared" si="13"/>
        <v>0</v>
      </c>
      <c r="S19" s="453">
        <f t="shared" si="13"/>
        <v>0</v>
      </c>
      <c r="T19" s="87"/>
      <c r="U19" s="453">
        <f t="shared" ref="U19:W19" si="14">SUM(U13:U18)</f>
        <v>0</v>
      </c>
      <c r="V19" s="453">
        <f t="shared" si="14"/>
        <v>0</v>
      </c>
      <c r="W19" s="453">
        <f t="shared" si="14"/>
        <v>0</v>
      </c>
      <c r="X19" s="87"/>
      <c r="Y19" s="453">
        <f t="shared" ref="Y19:AC19" si="15">SUM(Y13:Y18)</f>
        <v>0</v>
      </c>
      <c r="Z19" s="453">
        <f t="shared" si="15"/>
        <v>0</v>
      </c>
      <c r="AA19" s="453">
        <f t="shared" si="15"/>
        <v>0</v>
      </c>
      <c r="AB19" s="453">
        <f t="shared" si="15"/>
        <v>0</v>
      </c>
      <c r="AC19" s="453">
        <f t="shared" si="15"/>
        <v>0</v>
      </c>
      <c r="AD19" s="95"/>
      <c r="AE19" s="453">
        <f>SUM(AE13:AE18)</f>
        <v>0</v>
      </c>
      <c r="AF19" s="500"/>
      <c r="AG19" s="282"/>
      <c r="AH19" s="453">
        <f t="shared" ref="AH19:AO19" si="16">SUM(AH13:AH18)</f>
        <v>0</v>
      </c>
      <c r="AI19" s="453">
        <f t="shared" si="16"/>
        <v>0</v>
      </c>
      <c r="AJ19" s="453">
        <f t="shared" si="16"/>
        <v>0</v>
      </c>
      <c r="AK19" s="453">
        <f t="shared" si="16"/>
        <v>0</v>
      </c>
      <c r="AL19" s="453">
        <f t="shared" si="16"/>
        <v>0</v>
      </c>
      <c r="AM19" s="453">
        <f t="shared" si="16"/>
        <v>0</v>
      </c>
      <c r="AN19" s="453">
        <f t="shared" si="16"/>
        <v>0</v>
      </c>
      <c r="AO19" s="453">
        <f t="shared" si="16"/>
        <v>0</v>
      </c>
    </row>
    <row r="20" spans="1:41" s="114" customFormat="1" ht="26.25" customHeight="1" x14ac:dyDescent="0.3">
      <c r="A20" s="145">
        <f>+MO!A24</f>
        <v>200</v>
      </c>
      <c r="B20" s="112" t="str">
        <f>+MO!B24</f>
        <v>MOVIMIENTO DE TIERRAS</v>
      </c>
      <c r="C20" s="106"/>
      <c r="D20" s="174"/>
      <c r="F20" s="282"/>
      <c r="G20" s="282"/>
      <c r="H20" s="282"/>
      <c r="I20" s="282"/>
      <c r="J20" s="95"/>
      <c r="K20" s="282"/>
      <c r="L20" s="282"/>
      <c r="M20" s="282"/>
      <c r="N20" s="2"/>
      <c r="O20" s="174"/>
      <c r="P20" s="174"/>
      <c r="Q20" s="174"/>
      <c r="R20" s="174"/>
      <c r="S20" s="174"/>
      <c r="T20" s="174"/>
      <c r="U20" s="174"/>
      <c r="V20" s="174"/>
      <c r="W20" s="174"/>
      <c r="X20" s="87"/>
      <c r="Y20" s="282"/>
      <c r="Z20" s="282"/>
      <c r="AA20" s="282"/>
      <c r="AB20" s="282"/>
      <c r="AC20" s="282"/>
      <c r="AD20" s="95"/>
      <c r="AE20" s="282"/>
      <c r="AF20" s="279"/>
      <c r="AG20" s="282"/>
      <c r="AH20" s="87"/>
      <c r="AI20" s="87"/>
      <c r="AJ20" s="87"/>
      <c r="AK20" s="87"/>
      <c r="AL20" s="87"/>
      <c r="AM20" s="87"/>
      <c r="AN20" s="87"/>
      <c r="AO20" s="87"/>
    </row>
    <row r="21" spans="1:41" s="910" customFormat="1" ht="21" customHeight="1" x14ac:dyDescent="0.3">
      <c r="A21" s="1007" t="s">
        <v>350</v>
      </c>
      <c r="B21" s="1029" t="s">
        <v>352</v>
      </c>
      <c r="C21" s="909" t="s">
        <v>29</v>
      </c>
      <c r="D21" s="1030">
        <v>914.29</v>
      </c>
      <c r="F21" s="1026">
        <f t="shared" ref="F21:F28" si="17">+SUM(AK21:AO21)</f>
        <v>914.29</v>
      </c>
      <c r="G21" s="912"/>
      <c r="H21" s="1027"/>
      <c r="I21" s="913">
        <f t="shared" ref="I21:I28" si="18">+AJ21</f>
        <v>416</v>
      </c>
      <c r="J21" s="923"/>
      <c r="K21" s="911">
        <f t="shared" ref="K21:K28" si="19">+I21+AE21</f>
        <v>416</v>
      </c>
      <c r="L21" s="914">
        <f t="shared" ref="L21:L28" si="20">+F21+K21</f>
        <v>1330.29</v>
      </c>
      <c r="M21" s="914">
        <f t="shared" ref="M21:M28" si="21">+D21-L21</f>
        <v>-416</v>
      </c>
      <c r="O21" s="911"/>
      <c r="P21" s="911"/>
      <c r="Q21" s="911"/>
      <c r="R21" s="911"/>
      <c r="S21" s="911"/>
      <c r="T21" s="912"/>
      <c r="U21" s="911">
        <f>SUMIFS(O21:S21,O$8:S$8,$U$11)</f>
        <v>0</v>
      </c>
      <c r="V21" s="911">
        <f>SUMIFS(O21:S21,O$8:S$8,$V$11)</f>
        <v>0</v>
      </c>
      <c r="W21" s="911">
        <f>SUMIFS(O21:S21,O$8:S$8,$W$11)</f>
        <v>0</v>
      </c>
      <c r="X21" s="912"/>
      <c r="Y21" s="911">
        <f>+L21+M21</f>
        <v>914.29</v>
      </c>
      <c r="Z21" s="911"/>
      <c r="AA21" s="911"/>
      <c r="AB21" s="911"/>
      <c r="AC21" s="911"/>
      <c r="AD21" s="923"/>
      <c r="AE21" s="911"/>
      <c r="AF21" s="917"/>
      <c r="AG21" s="924"/>
      <c r="AH21" s="916">
        <f t="shared" ref="AH21:AH28" si="22">SUM(AK21:AO21)</f>
        <v>914.29</v>
      </c>
      <c r="AI21" s="926">
        <f t="shared" ref="AI21:AI28" si="23">SUM(AK21:AL21)</f>
        <v>0</v>
      </c>
      <c r="AJ21" s="926">
        <f t="shared" ref="AJ21:AJ28" si="24">+AM21</f>
        <v>416</v>
      </c>
      <c r="AK21" s="916"/>
      <c r="AL21" s="916"/>
      <c r="AM21" s="916">
        <v>416</v>
      </c>
      <c r="AN21" s="916">
        <v>455</v>
      </c>
      <c r="AO21" s="916">
        <v>43.29</v>
      </c>
    </row>
    <row r="22" spans="1:41" s="910" customFormat="1" ht="21" customHeight="1" x14ac:dyDescent="0.3">
      <c r="A22" s="1007" t="s">
        <v>350</v>
      </c>
      <c r="B22" s="1029" t="s">
        <v>353</v>
      </c>
      <c r="C22" s="909" t="s">
        <v>29</v>
      </c>
      <c r="D22" s="1030">
        <v>130.95000000000002</v>
      </c>
      <c r="F22" s="1026">
        <f t="shared" si="17"/>
        <v>130.95000000000002</v>
      </c>
      <c r="G22" s="912"/>
      <c r="H22" s="1027"/>
      <c r="I22" s="913">
        <f t="shared" si="18"/>
        <v>65.475000000000009</v>
      </c>
      <c r="J22" s="923"/>
      <c r="K22" s="911">
        <f t="shared" si="19"/>
        <v>65.475000000000009</v>
      </c>
      <c r="L22" s="914">
        <f t="shared" si="20"/>
        <v>196.42500000000001</v>
      </c>
      <c r="M22" s="914">
        <f t="shared" si="21"/>
        <v>-65.474999999999994</v>
      </c>
      <c r="O22" s="911"/>
      <c r="P22" s="911"/>
      <c r="Q22" s="911"/>
      <c r="R22" s="911"/>
      <c r="S22" s="911"/>
      <c r="T22" s="912"/>
      <c r="U22" s="911">
        <f>SUMIFS(O22:S22,O$8:S$8,$U$11)</f>
        <v>0</v>
      </c>
      <c r="V22" s="911">
        <f>SUMIFS(O22:S22,O$8:S$8,$V$11)</f>
        <v>0</v>
      </c>
      <c r="W22" s="911">
        <f>SUMIFS(O22:S22,O$8:S$8,$W$11)</f>
        <v>0</v>
      </c>
      <c r="X22" s="912"/>
      <c r="Y22" s="911">
        <f>+L22+M22</f>
        <v>130.95000000000002</v>
      </c>
      <c r="Z22" s="911"/>
      <c r="AA22" s="911"/>
      <c r="AB22" s="911"/>
      <c r="AC22" s="911"/>
      <c r="AD22" s="923"/>
      <c r="AE22" s="911"/>
      <c r="AF22" s="915"/>
      <c r="AG22" s="924"/>
      <c r="AH22" s="916">
        <f t="shared" si="22"/>
        <v>130.95000000000002</v>
      </c>
      <c r="AI22" s="926">
        <f t="shared" si="23"/>
        <v>0</v>
      </c>
      <c r="AJ22" s="926">
        <f t="shared" si="24"/>
        <v>65.475000000000009</v>
      </c>
      <c r="AK22" s="916"/>
      <c r="AL22" s="916"/>
      <c r="AM22" s="916">
        <v>65.475000000000009</v>
      </c>
      <c r="AN22" s="916">
        <v>52.38000000000001</v>
      </c>
      <c r="AO22" s="916">
        <v>13.095000000000002</v>
      </c>
    </row>
    <row r="23" spans="1:41" s="910" customFormat="1" ht="21" customHeight="1" x14ac:dyDescent="0.3">
      <c r="A23" s="1007" t="s">
        <v>350</v>
      </c>
      <c r="B23" s="1029" t="s">
        <v>354</v>
      </c>
      <c r="C23" s="909" t="s">
        <v>29</v>
      </c>
      <c r="D23" s="1030">
        <v>756.3900000000001</v>
      </c>
      <c r="F23" s="1026">
        <f t="shared" si="17"/>
        <v>756.39</v>
      </c>
      <c r="G23" s="912"/>
      <c r="H23" s="1027"/>
      <c r="I23" s="913">
        <f t="shared" si="18"/>
        <v>0</v>
      </c>
      <c r="J23" s="923"/>
      <c r="K23" s="911">
        <f t="shared" si="19"/>
        <v>0</v>
      </c>
      <c r="L23" s="914">
        <f t="shared" si="20"/>
        <v>756.39</v>
      </c>
      <c r="M23" s="914">
        <f t="shared" si="21"/>
        <v>0</v>
      </c>
      <c r="O23" s="911"/>
      <c r="P23" s="911"/>
      <c r="Q23" s="911"/>
      <c r="R23" s="911"/>
      <c r="S23" s="911"/>
      <c r="T23" s="912"/>
      <c r="U23" s="911"/>
      <c r="V23" s="911"/>
      <c r="W23" s="911"/>
      <c r="X23" s="912"/>
      <c r="Y23" s="911"/>
      <c r="Z23" s="911"/>
      <c r="AA23" s="911"/>
      <c r="AB23" s="911"/>
      <c r="AC23" s="911"/>
      <c r="AD23" s="923"/>
      <c r="AE23" s="911"/>
      <c r="AF23" s="915"/>
      <c r="AG23" s="924"/>
      <c r="AH23" s="916">
        <f t="shared" si="22"/>
        <v>756.39</v>
      </c>
      <c r="AI23" s="926">
        <f t="shared" si="23"/>
        <v>756.39</v>
      </c>
      <c r="AJ23" s="926">
        <f t="shared" si="24"/>
        <v>0</v>
      </c>
      <c r="AK23" s="916">
        <v>456</v>
      </c>
      <c r="AL23" s="916">
        <v>300.39</v>
      </c>
      <c r="AM23" s="916"/>
      <c r="AN23" s="916"/>
      <c r="AO23" s="916"/>
    </row>
    <row r="24" spans="1:41" s="910" customFormat="1" ht="21" customHeight="1" x14ac:dyDescent="0.3">
      <c r="A24" s="1007" t="s">
        <v>350</v>
      </c>
      <c r="B24" s="1029" t="s">
        <v>355</v>
      </c>
      <c r="C24" s="909" t="s">
        <v>29</v>
      </c>
      <c r="D24" s="1030">
        <v>39592.040000000008</v>
      </c>
      <c r="F24" s="1026">
        <f t="shared" si="17"/>
        <v>39592.04</v>
      </c>
      <c r="G24" s="912"/>
      <c r="H24" s="1027"/>
      <c r="I24" s="913">
        <f t="shared" si="18"/>
        <v>0</v>
      </c>
      <c r="J24" s="923"/>
      <c r="K24" s="911">
        <f t="shared" si="19"/>
        <v>0</v>
      </c>
      <c r="L24" s="914">
        <f t="shared" si="20"/>
        <v>39592.04</v>
      </c>
      <c r="M24" s="914">
        <f t="shared" si="21"/>
        <v>0</v>
      </c>
      <c r="O24" s="911"/>
      <c r="P24" s="911"/>
      <c r="Q24" s="911"/>
      <c r="R24" s="911"/>
      <c r="S24" s="911"/>
      <c r="T24" s="912"/>
      <c r="U24" s="911"/>
      <c r="V24" s="911"/>
      <c r="W24" s="911"/>
      <c r="X24" s="912"/>
      <c r="Y24" s="911"/>
      <c r="Z24" s="911"/>
      <c r="AA24" s="911"/>
      <c r="AB24" s="911"/>
      <c r="AC24" s="911"/>
      <c r="AD24" s="923"/>
      <c r="AE24" s="911"/>
      <c r="AF24" s="915"/>
      <c r="AG24" s="924"/>
      <c r="AH24" s="916">
        <f t="shared" si="22"/>
        <v>39592.04</v>
      </c>
      <c r="AI24" s="926">
        <f t="shared" si="23"/>
        <v>39592.04</v>
      </c>
      <c r="AJ24" s="926">
        <f t="shared" si="24"/>
        <v>0</v>
      </c>
      <c r="AK24" s="916">
        <v>24265</v>
      </c>
      <c r="AL24" s="916">
        <v>15327.04</v>
      </c>
      <c r="AM24" s="916"/>
      <c r="AN24" s="916"/>
      <c r="AO24" s="916"/>
    </row>
    <row r="25" spans="1:41" s="910" customFormat="1" ht="21" customHeight="1" x14ac:dyDescent="0.3">
      <c r="A25" s="1007" t="s">
        <v>350</v>
      </c>
      <c r="B25" s="1029" t="s">
        <v>356</v>
      </c>
      <c r="C25" s="909" t="s">
        <v>29</v>
      </c>
      <c r="D25" s="1030">
        <v>17070.150000000001</v>
      </c>
      <c r="F25" s="1026">
        <f t="shared" si="17"/>
        <v>17070.150000000001</v>
      </c>
      <c r="G25" s="912"/>
      <c r="H25" s="1027"/>
      <c r="I25" s="913">
        <f t="shared" si="18"/>
        <v>5974.5524999999998</v>
      </c>
      <c r="J25" s="923"/>
      <c r="K25" s="911">
        <f t="shared" si="19"/>
        <v>5974.5524999999998</v>
      </c>
      <c r="L25" s="914">
        <f t="shared" si="20"/>
        <v>23044.702499999999</v>
      </c>
      <c r="M25" s="914">
        <f t="shared" si="21"/>
        <v>-5974.552499999998</v>
      </c>
      <c r="O25" s="911"/>
      <c r="P25" s="911"/>
      <c r="Q25" s="911"/>
      <c r="R25" s="911"/>
      <c r="S25" s="911"/>
      <c r="T25" s="912"/>
      <c r="U25" s="911"/>
      <c r="V25" s="911"/>
      <c r="W25" s="911"/>
      <c r="X25" s="912"/>
      <c r="Y25" s="911"/>
      <c r="Z25" s="911"/>
      <c r="AA25" s="911"/>
      <c r="AB25" s="911"/>
      <c r="AC25" s="911"/>
      <c r="AD25" s="923"/>
      <c r="AE25" s="911"/>
      <c r="AF25" s="915"/>
      <c r="AG25" s="924"/>
      <c r="AH25" s="916">
        <f t="shared" si="22"/>
        <v>17070.150000000001</v>
      </c>
      <c r="AI25" s="926">
        <f t="shared" si="23"/>
        <v>5121.0449999999992</v>
      </c>
      <c r="AJ25" s="926">
        <f t="shared" si="24"/>
        <v>5974.5524999999998</v>
      </c>
      <c r="AK25" s="916"/>
      <c r="AL25" s="916">
        <v>5121.0449999999992</v>
      </c>
      <c r="AM25" s="916">
        <v>5974.5524999999998</v>
      </c>
      <c r="AN25" s="916">
        <v>5974.5524999999998</v>
      </c>
      <c r="AO25" s="916"/>
    </row>
    <row r="26" spans="1:41" s="910" customFormat="1" ht="21" customHeight="1" x14ac:dyDescent="0.3">
      <c r="A26" s="1007" t="s">
        <v>350</v>
      </c>
      <c r="B26" s="1029" t="s">
        <v>357</v>
      </c>
      <c r="C26" s="909" t="s">
        <v>29</v>
      </c>
      <c r="D26" s="1030">
        <v>20426.956199999997</v>
      </c>
      <c r="F26" s="1026">
        <f t="shared" si="17"/>
        <v>20426.903999999999</v>
      </c>
      <c r="G26" s="912"/>
      <c r="H26" s="1027"/>
      <c r="I26" s="913">
        <f t="shared" si="18"/>
        <v>0</v>
      </c>
      <c r="J26" s="923"/>
      <c r="K26" s="911">
        <f t="shared" si="19"/>
        <v>0</v>
      </c>
      <c r="L26" s="914">
        <f t="shared" si="20"/>
        <v>20426.903999999999</v>
      </c>
      <c r="M26" s="914">
        <f t="shared" si="21"/>
        <v>5.2199999998265412E-2</v>
      </c>
      <c r="O26" s="911"/>
      <c r="P26" s="911"/>
      <c r="Q26" s="911"/>
      <c r="R26" s="911"/>
      <c r="S26" s="911"/>
      <c r="T26" s="912"/>
      <c r="U26" s="911"/>
      <c r="V26" s="911"/>
      <c r="W26" s="911"/>
      <c r="X26" s="912"/>
      <c r="Y26" s="911"/>
      <c r="Z26" s="911"/>
      <c r="AA26" s="911"/>
      <c r="AB26" s="911"/>
      <c r="AC26" s="911"/>
      <c r="AD26" s="923"/>
      <c r="AE26" s="911"/>
      <c r="AF26" s="915"/>
      <c r="AG26" s="924"/>
      <c r="AH26" s="916">
        <f t="shared" si="22"/>
        <v>20426.903999999999</v>
      </c>
      <c r="AI26" s="926">
        <f t="shared" si="23"/>
        <v>20426.903999999999</v>
      </c>
      <c r="AJ26" s="926">
        <f t="shared" si="24"/>
        <v>0</v>
      </c>
      <c r="AK26" s="916">
        <v>8177.9999999999991</v>
      </c>
      <c r="AL26" s="916">
        <v>12248.904</v>
      </c>
      <c r="AM26" s="916"/>
      <c r="AN26" s="916"/>
      <c r="AO26" s="916"/>
    </row>
    <row r="27" spans="1:41" s="910" customFormat="1" ht="21" customHeight="1" x14ac:dyDescent="0.3">
      <c r="A27" s="1007"/>
      <c r="B27" s="1029"/>
      <c r="C27" s="909"/>
      <c r="D27" s="1030"/>
      <c r="F27" s="1026">
        <f t="shared" si="17"/>
        <v>0</v>
      </c>
      <c r="G27" s="912"/>
      <c r="H27" s="1027"/>
      <c r="I27" s="913">
        <f t="shared" si="18"/>
        <v>0</v>
      </c>
      <c r="J27" s="923"/>
      <c r="K27" s="911">
        <f t="shared" si="19"/>
        <v>0</v>
      </c>
      <c r="L27" s="914">
        <f t="shared" si="20"/>
        <v>0</v>
      </c>
      <c r="M27" s="914">
        <f t="shared" si="21"/>
        <v>0</v>
      </c>
      <c r="O27" s="911"/>
      <c r="P27" s="911"/>
      <c r="Q27" s="911"/>
      <c r="R27" s="911"/>
      <c r="S27" s="911"/>
      <c r="T27" s="912"/>
      <c r="U27" s="911"/>
      <c r="V27" s="911"/>
      <c r="W27" s="911"/>
      <c r="X27" s="912"/>
      <c r="Y27" s="911"/>
      <c r="Z27" s="911"/>
      <c r="AA27" s="911"/>
      <c r="AB27" s="911"/>
      <c r="AC27" s="911"/>
      <c r="AD27" s="923"/>
      <c r="AE27" s="911"/>
      <c r="AF27" s="915"/>
      <c r="AG27" s="924"/>
      <c r="AH27" s="916">
        <f t="shared" si="22"/>
        <v>0</v>
      </c>
      <c r="AI27" s="926">
        <f t="shared" si="23"/>
        <v>0</v>
      </c>
      <c r="AJ27" s="926">
        <f t="shared" si="24"/>
        <v>0</v>
      </c>
      <c r="AK27" s="916"/>
      <c r="AL27" s="916"/>
      <c r="AM27" s="916"/>
      <c r="AN27" s="916"/>
      <c r="AO27" s="916"/>
    </row>
    <row r="28" spans="1:41" s="910" customFormat="1" ht="21" customHeight="1" x14ac:dyDescent="0.3">
      <c r="A28" s="1007"/>
      <c r="B28" s="1029"/>
      <c r="C28" s="909"/>
      <c r="D28" s="1030"/>
      <c r="F28" s="1026">
        <f t="shared" si="17"/>
        <v>0</v>
      </c>
      <c r="G28" s="912"/>
      <c r="H28" s="1027"/>
      <c r="I28" s="913">
        <f t="shared" si="18"/>
        <v>0</v>
      </c>
      <c r="J28" s="923"/>
      <c r="K28" s="911">
        <f t="shared" si="19"/>
        <v>0</v>
      </c>
      <c r="L28" s="914">
        <f t="shared" si="20"/>
        <v>0</v>
      </c>
      <c r="M28" s="914">
        <f t="shared" si="21"/>
        <v>0</v>
      </c>
      <c r="O28" s="911"/>
      <c r="P28" s="911"/>
      <c r="Q28" s="911"/>
      <c r="R28" s="911"/>
      <c r="S28" s="911"/>
      <c r="T28" s="912"/>
      <c r="U28" s="911"/>
      <c r="V28" s="911"/>
      <c r="W28" s="911"/>
      <c r="X28" s="912"/>
      <c r="Y28" s="911"/>
      <c r="Z28" s="911"/>
      <c r="AA28" s="911"/>
      <c r="AB28" s="911"/>
      <c r="AC28" s="911"/>
      <c r="AD28" s="923"/>
      <c r="AE28" s="911"/>
      <c r="AF28" s="915"/>
      <c r="AG28" s="924"/>
      <c r="AH28" s="916">
        <f t="shared" si="22"/>
        <v>0</v>
      </c>
      <c r="AI28" s="926">
        <f t="shared" si="23"/>
        <v>0</v>
      </c>
      <c r="AJ28" s="926">
        <f t="shared" si="24"/>
        <v>0</v>
      </c>
      <c r="AK28" s="916"/>
      <c r="AL28" s="916"/>
      <c r="AM28" s="916"/>
      <c r="AN28" s="916"/>
      <c r="AO28" s="916"/>
    </row>
    <row r="29" spans="1:41" ht="21" customHeight="1" x14ac:dyDescent="0.3">
      <c r="A29" s="1256" t="str">
        <f>+"TOTAL FASE  "&amp;A20&amp;" : "&amp;B20</f>
        <v>TOTAL FASE  200 : MOVIMIENTO DE TIERRAS</v>
      </c>
      <c r="B29" s="1257"/>
      <c r="C29" s="101" t="s">
        <v>29</v>
      </c>
      <c r="D29" s="1006">
        <f>SUM(D21:D24)</f>
        <v>41393.670000000006</v>
      </c>
      <c r="F29" s="453">
        <f>SUM(F21:F28)</f>
        <v>78890.724000000002</v>
      </c>
      <c r="G29" s="87"/>
      <c r="H29" s="453">
        <f t="shared" ref="H29:I29" si="25">SUM(H21:H28)</f>
        <v>0</v>
      </c>
      <c r="I29" s="453">
        <f t="shared" si="25"/>
        <v>6456.0275000000001</v>
      </c>
      <c r="J29" s="95"/>
      <c r="K29" s="453">
        <f t="shared" ref="K29:M29" si="26">SUM(K21:K28)</f>
        <v>6456.0275000000001</v>
      </c>
      <c r="L29" s="453">
        <f t="shared" si="26"/>
        <v>85346.751499999998</v>
      </c>
      <c r="M29" s="453">
        <f t="shared" si="26"/>
        <v>-6455.9753000000001</v>
      </c>
      <c r="O29" s="453">
        <f t="shared" ref="O29:S29" si="27">SUM(O21:O28)</f>
        <v>0</v>
      </c>
      <c r="P29" s="453">
        <f t="shared" si="27"/>
        <v>0</v>
      </c>
      <c r="Q29" s="453">
        <f t="shared" si="27"/>
        <v>0</v>
      </c>
      <c r="R29" s="453">
        <f t="shared" si="27"/>
        <v>0</v>
      </c>
      <c r="S29" s="453">
        <f t="shared" si="27"/>
        <v>0</v>
      </c>
      <c r="T29" s="87"/>
      <c r="U29" s="453">
        <f t="shared" ref="U29:W29" si="28">SUM(U21:U28)</f>
        <v>0</v>
      </c>
      <c r="V29" s="453">
        <f t="shared" si="28"/>
        <v>0</v>
      </c>
      <c r="W29" s="453">
        <f t="shared" si="28"/>
        <v>0</v>
      </c>
      <c r="X29" s="87"/>
      <c r="Y29" s="453">
        <f t="shared" ref="Y29:AC29" si="29">SUM(Y21:Y28)</f>
        <v>1045.24</v>
      </c>
      <c r="Z29" s="453">
        <f t="shared" si="29"/>
        <v>0</v>
      </c>
      <c r="AA29" s="453">
        <f t="shared" si="29"/>
        <v>0</v>
      </c>
      <c r="AB29" s="453">
        <f t="shared" si="29"/>
        <v>0</v>
      </c>
      <c r="AC29" s="453">
        <f t="shared" si="29"/>
        <v>0</v>
      </c>
      <c r="AD29" s="95"/>
      <c r="AE29" s="453">
        <f>SUM(AE21:AE28)</f>
        <v>0</v>
      </c>
      <c r="AF29" s="174"/>
      <c r="AG29" s="282"/>
      <c r="AH29" s="453">
        <f t="shared" ref="AH29:AO29" si="30">SUM(AH21:AH28)</f>
        <v>78890.724000000002</v>
      </c>
      <c r="AI29" s="453">
        <f t="shared" si="30"/>
        <v>65896.379000000001</v>
      </c>
      <c r="AJ29" s="453">
        <f t="shared" si="30"/>
        <v>6456.0275000000001</v>
      </c>
      <c r="AK29" s="453">
        <f t="shared" si="30"/>
        <v>32899</v>
      </c>
      <c r="AL29" s="453">
        <f t="shared" si="30"/>
        <v>32997.379000000001</v>
      </c>
      <c r="AM29" s="453">
        <f t="shared" si="30"/>
        <v>6456.0275000000001</v>
      </c>
      <c r="AN29" s="453">
        <f t="shared" si="30"/>
        <v>6481.9324999999999</v>
      </c>
      <c r="AO29" s="453">
        <f t="shared" si="30"/>
        <v>56.385000000000005</v>
      </c>
    </row>
    <row r="30" spans="1:41" ht="26.25" customHeight="1" x14ac:dyDescent="0.3">
      <c r="A30" s="145">
        <f>+MO!A36</f>
        <v>300</v>
      </c>
      <c r="B30" s="102" t="str">
        <f>+MO!B36</f>
        <v xml:space="preserve">CONCRETO </v>
      </c>
      <c r="C30" s="7"/>
      <c r="D30" s="87"/>
      <c r="F30" s="87"/>
      <c r="G30" s="87"/>
      <c r="H30" s="87"/>
      <c r="I30" s="87"/>
      <c r="J30" s="95"/>
      <c r="K30" s="282"/>
      <c r="L30" s="87"/>
      <c r="M30" s="87"/>
      <c r="O30" s="282"/>
      <c r="P30" s="282"/>
      <c r="Q30" s="282"/>
      <c r="R30" s="282"/>
      <c r="S30" s="282"/>
      <c r="T30" s="87"/>
      <c r="U30" s="87"/>
      <c r="V30" s="87"/>
      <c r="W30" s="87"/>
      <c r="X30" s="87"/>
      <c r="Y30" s="87"/>
      <c r="Z30" s="87"/>
      <c r="AA30" s="87"/>
      <c r="AB30" s="87"/>
      <c r="AC30" s="87"/>
      <c r="AD30" s="95"/>
      <c r="AE30" s="87"/>
      <c r="AF30" s="174"/>
      <c r="AG30" s="282"/>
      <c r="AH30" s="87"/>
      <c r="AI30" s="87"/>
      <c r="AJ30" s="87"/>
      <c r="AK30" s="87"/>
      <c r="AL30" s="87"/>
      <c r="AM30" s="87"/>
      <c r="AN30" s="87"/>
      <c r="AO30" s="87"/>
    </row>
    <row r="31" spans="1:41" s="856" customFormat="1" ht="21" customHeight="1" x14ac:dyDescent="0.3">
      <c r="A31" s="854"/>
      <c r="B31" s="871"/>
      <c r="C31" s="906"/>
      <c r="D31" s="1031"/>
      <c r="F31" s="857">
        <f t="shared" ref="F31:F33" si="31">+SUM(AK31:AO31)</f>
        <v>0</v>
      </c>
      <c r="G31" s="858"/>
      <c r="H31" s="868"/>
      <c r="I31" s="913">
        <f t="shared" ref="I31:I33" si="32">+AJ31</f>
        <v>0</v>
      </c>
      <c r="J31" s="95"/>
      <c r="K31" s="911">
        <f t="shared" ref="K31:K33" si="33">+I31+AE31</f>
        <v>0</v>
      </c>
      <c r="L31" s="914">
        <f t="shared" ref="L31:L33" si="34">+F31+K31</f>
        <v>0</v>
      </c>
      <c r="M31" s="914">
        <f t="shared" ref="M31:M33" si="35">+D31-L31</f>
        <v>0</v>
      </c>
      <c r="N31" s="2"/>
      <c r="O31" s="857"/>
      <c r="P31" s="857"/>
      <c r="Q31" s="857"/>
      <c r="R31" s="857"/>
      <c r="S31" s="857"/>
      <c r="T31" s="858"/>
      <c r="U31" s="857">
        <f>SUMIFS(O31:S31,O$8:S$8,$U$11)</f>
        <v>0</v>
      </c>
      <c r="V31" s="857">
        <f>SUMIFS(O31:S31,O$8:S$8,$V$11)</f>
        <v>0</v>
      </c>
      <c r="W31" s="857">
        <f>SUMIFS(O31:S31,O$8:S$8,$W$11)</f>
        <v>0</v>
      </c>
      <c r="X31" s="87"/>
      <c r="Y31" s="857">
        <f>+L31+M31</f>
        <v>0</v>
      </c>
      <c r="Z31" s="857"/>
      <c r="AA31" s="857"/>
      <c r="AB31" s="857"/>
      <c r="AC31" s="857"/>
      <c r="AD31" s="95"/>
      <c r="AE31" s="857"/>
      <c r="AF31" s="863"/>
      <c r="AG31" s="867"/>
      <c r="AH31" s="916">
        <f t="shared" ref="AH31:AH33" si="36">SUM(AK31:AO31)</f>
        <v>0</v>
      </c>
      <c r="AI31" s="926">
        <f t="shared" ref="AI31:AI33" si="37">SUM(AK31:AL31)</f>
        <v>0</v>
      </c>
      <c r="AJ31" s="926">
        <f t="shared" ref="AJ31:AJ33" si="38">+AM31</f>
        <v>0</v>
      </c>
      <c r="AK31" s="869"/>
      <c r="AL31" s="869"/>
      <c r="AM31" s="869"/>
      <c r="AN31" s="869"/>
      <c r="AO31" s="869"/>
    </row>
    <row r="32" spans="1:41" s="856" customFormat="1" ht="21" customHeight="1" x14ac:dyDescent="0.3">
      <c r="A32" s="854"/>
      <c r="B32" s="871"/>
      <c r="C32" s="906"/>
      <c r="D32" s="1031"/>
      <c r="F32" s="857">
        <f t="shared" si="31"/>
        <v>0</v>
      </c>
      <c r="G32" s="858"/>
      <c r="H32" s="868"/>
      <c r="I32" s="913">
        <f t="shared" si="32"/>
        <v>0</v>
      </c>
      <c r="J32" s="95"/>
      <c r="K32" s="911">
        <f t="shared" si="33"/>
        <v>0</v>
      </c>
      <c r="L32" s="914">
        <f t="shared" si="34"/>
        <v>0</v>
      </c>
      <c r="M32" s="914">
        <f t="shared" si="35"/>
        <v>0</v>
      </c>
      <c r="N32" s="2"/>
      <c r="O32" s="857"/>
      <c r="P32" s="857"/>
      <c r="Q32" s="857"/>
      <c r="R32" s="857"/>
      <c r="S32" s="857"/>
      <c r="T32" s="858"/>
      <c r="U32" s="857">
        <f>SUMIFS(O32:S32,O$8:S$8,$U$11)</f>
        <v>0</v>
      </c>
      <c r="V32" s="857">
        <f>SUMIFS(O32:S32,O$8:S$8,$V$11)</f>
        <v>0</v>
      </c>
      <c r="W32" s="857">
        <f>SUMIFS(O32:S32,O$8:S$8,$W$11)</f>
        <v>0</v>
      </c>
      <c r="X32" s="87"/>
      <c r="Y32" s="857">
        <f>+L32+M32</f>
        <v>0</v>
      </c>
      <c r="Z32" s="857"/>
      <c r="AA32" s="857"/>
      <c r="AB32" s="857"/>
      <c r="AC32" s="857"/>
      <c r="AD32" s="95"/>
      <c r="AE32" s="857"/>
      <c r="AF32" s="863"/>
      <c r="AG32" s="867"/>
      <c r="AH32" s="916">
        <f t="shared" si="36"/>
        <v>0</v>
      </c>
      <c r="AI32" s="926">
        <f t="shared" si="37"/>
        <v>0</v>
      </c>
      <c r="AJ32" s="926">
        <f t="shared" si="38"/>
        <v>0</v>
      </c>
      <c r="AK32" s="869"/>
      <c r="AL32" s="869"/>
      <c r="AM32" s="869"/>
      <c r="AN32" s="869"/>
      <c r="AO32" s="869"/>
    </row>
    <row r="33" spans="1:41" s="856" customFormat="1" ht="21" customHeight="1" x14ac:dyDescent="0.3">
      <c r="A33" s="854"/>
      <c r="B33" s="871"/>
      <c r="C33" s="906"/>
      <c r="D33" s="1031"/>
      <c r="F33" s="857">
        <f t="shared" si="31"/>
        <v>0</v>
      </c>
      <c r="G33" s="858"/>
      <c r="H33" s="868"/>
      <c r="I33" s="913">
        <f t="shared" si="32"/>
        <v>0</v>
      </c>
      <c r="J33" s="95"/>
      <c r="K33" s="911">
        <f t="shared" si="33"/>
        <v>0</v>
      </c>
      <c r="L33" s="914">
        <f t="shared" si="34"/>
        <v>0</v>
      </c>
      <c r="M33" s="914">
        <f t="shared" si="35"/>
        <v>0</v>
      </c>
      <c r="N33" s="2"/>
      <c r="O33" s="857"/>
      <c r="P33" s="857"/>
      <c r="Q33" s="857"/>
      <c r="R33" s="857"/>
      <c r="S33" s="857"/>
      <c r="T33" s="858"/>
      <c r="U33" s="857">
        <f>SUMIFS(O33:S33,O$8:S$8,$U$11)</f>
        <v>0</v>
      </c>
      <c r="V33" s="857">
        <f>SUMIFS(O33:S33,O$8:S$8,$V$11)</f>
        <v>0</v>
      </c>
      <c r="W33" s="857">
        <f>SUMIFS(O33:S33,O$8:S$8,$W$11)</f>
        <v>0</v>
      </c>
      <c r="X33" s="87"/>
      <c r="Y33" s="857">
        <f>+L33+M33</f>
        <v>0</v>
      </c>
      <c r="Z33" s="857"/>
      <c r="AA33" s="857"/>
      <c r="AB33" s="857"/>
      <c r="AC33" s="857"/>
      <c r="AD33" s="95"/>
      <c r="AE33" s="857"/>
      <c r="AF33" s="863"/>
      <c r="AG33" s="867"/>
      <c r="AH33" s="916">
        <f t="shared" si="36"/>
        <v>0</v>
      </c>
      <c r="AI33" s="926">
        <f t="shared" si="37"/>
        <v>0</v>
      </c>
      <c r="AJ33" s="926">
        <f t="shared" si="38"/>
        <v>0</v>
      </c>
      <c r="AK33" s="869"/>
      <c r="AL33" s="869"/>
      <c r="AM33" s="869"/>
      <c r="AN33" s="869"/>
      <c r="AO33" s="869"/>
    </row>
    <row r="34" spans="1:41" ht="21" customHeight="1" x14ac:dyDescent="0.3">
      <c r="A34" s="1256" t="str">
        <f>+"TOTAL FASE  "&amp;A30&amp;" : "&amp;B30</f>
        <v xml:space="preserve">TOTAL FASE  300 : CONCRETO </v>
      </c>
      <c r="B34" s="1257"/>
      <c r="C34" s="101" t="s">
        <v>29</v>
      </c>
      <c r="D34" s="1006">
        <f>SUM(D31:D33)</f>
        <v>0</v>
      </c>
      <c r="F34" s="453">
        <f>SUM(F31:F33)</f>
        <v>0</v>
      </c>
      <c r="G34" s="87"/>
      <c r="H34" s="453">
        <f t="shared" ref="H34:I34" si="39">SUM(H31:H33)</f>
        <v>0</v>
      </c>
      <c r="I34" s="453">
        <f t="shared" si="39"/>
        <v>0</v>
      </c>
      <c r="J34" s="95"/>
      <c r="K34" s="453">
        <f t="shared" ref="K34:M34" si="40">SUM(K31:K33)</f>
        <v>0</v>
      </c>
      <c r="L34" s="453">
        <f t="shared" si="40"/>
        <v>0</v>
      </c>
      <c r="M34" s="453">
        <f t="shared" si="40"/>
        <v>0</v>
      </c>
      <c r="O34" s="453">
        <f t="shared" ref="O34:S34" si="41">SUM(O31:O33)</f>
        <v>0</v>
      </c>
      <c r="P34" s="453">
        <f t="shared" si="41"/>
        <v>0</v>
      </c>
      <c r="Q34" s="453">
        <f t="shared" si="41"/>
        <v>0</v>
      </c>
      <c r="R34" s="453">
        <f t="shared" si="41"/>
        <v>0</v>
      </c>
      <c r="S34" s="453">
        <f t="shared" si="41"/>
        <v>0</v>
      </c>
      <c r="T34" s="87"/>
      <c r="U34" s="453">
        <f t="shared" ref="U34:W34" si="42">SUM(U31:U33)</f>
        <v>0</v>
      </c>
      <c r="V34" s="453">
        <f t="shared" si="42"/>
        <v>0</v>
      </c>
      <c r="W34" s="453">
        <f t="shared" si="42"/>
        <v>0</v>
      </c>
      <c r="X34" s="87"/>
      <c r="Y34" s="453">
        <f t="shared" ref="Y34:AC34" si="43">SUM(Y31:Y33)</f>
        <v>0</v>
      </c>
      <c r="Z34" s="453">
        <f t="shared" si="43"/>
        <v>0</v>
      </c>
      <c r="AA34" s="453">
        <f t="shared" si="43"/>
        <v>0</v>
      </c>
      <c r="AB34" s="453">
        <f t="shared" si="43"/>
        <v>0</v>
      </c>
      <c r="AC34" s="453">
        <f t="shared" si="43"/>
        <v>0</v>
      </c>
      <c r="AD34" s="95"/>
      <c r="AE34" s="453">
        <f>SUM(AE31:AE33)</f>
        <v>0</v>
      </c>
      <c r="AF34" s="174"/>
      <c r="AG34" s="282"/>
      <c r="AH34" s="453">
        <f t="shared" ref="AH34:AO34" si="44">SUM(AH31:AH33)</f>
        <v>0</v>
      </c>
      <c r="AI34" s="453">
        <f t="shared" si="44"/>
        <v>0</v>
      </c>
      <c r="AJ34" s="453">
        <f t="shared" si="44"/>
        <v>0</v>
      </c>
      <c r="AK34" s="453">
        <f t="shared" si="44"/>
        <v>0</v>
      </c>
      <c r="AL34" s="453">
        <f t="shared" si="44"/>
        <v>0</v>
      </c>
      <c r="AM34" s="453">
        <f t="shared" si="44"/>
        <v>0</v>
      </c>
      <c r="AN34" s="453">
        <f t="shared" si="44"/>
        <v>0</v>
      </c>
      <c r="AO34" s="453">
        <f t="shared" si="44"/>
        <v>0</v>
      </c>
    </row>
    <row r="35" spans="1:41" ht="26.25" customHeight="1" x14ac:dyDescent="0.3">
      <c r="A35" s="133">
        <f>+MO!A48</f>
        <v>400</v>
      </c>
      <c r="B35" s="102" t="str">
        <f>+MO!B48</f>
        <v xml:space="preserve">ENCOFRADO </v>
      </c>
      <c r="C35" s="7"/>
      <c r="D35" s="87"/>
      <c r="F35" s="87"/>
      <c r="G35" s="87"/>
      <c r="H35" s="87"/>
      <c r="I35" s="87"/>
      <c r="J35" s="95"/>
      <c r="K35" s="87"/>
      <c r="L35" s="87"/>
      <c r="M35" s="87"/>
      <c r="O35" s="87"/>
      <c r="P35" s="87"/>
      <c r="Q35" s="87"/>
      <c r="R35" s="87"/>
      <c r="S35" s="87"/>
      <c r="T35" s="87"/>
      <c r="U35" s="87"/>
      <c r="V35" s="87"/>
      <c r="W35" s="87"/>
      <c r="X35" s="87"/>
      <c r="Y35" s="87"/>
      <c r="Z35" s="87"/>
      <c r="AA35" s="87"/>
      <c r="AB35" s="87"/>
      <c r="AC35" s="87"/>
      <c r="AD35" s="95"/>
      <c r="AE35" s="87"/>
      <c r="AF35" s="174"/>
      <c r="AG35" s="282"/>
      <c r="AH35" s="87"/>
      <c r="AI35" s="87"/>
      <c r="AJ35" s="87"/>
      <c r="AK35" s="87"/>
      <c r="AL35" s="87"/>
      <c r="AM35" s="87"/>
      <c r="AN35" s="87"/>
      <c r="AO35" s="87"/>
    </row>
    <row r="36" spans="1:41" s="856" customFormat="1" ht="21" customHeight="1" x14ac:dyDescent="0.3">
      <c r="A36" s="854"/>
      <c r="B36" s="871"/>
      <c r="C36" s="855"/>
      <c r="D36" s="1031"/>
      <c r="F36" s="1028">
        <f t="shared" ref="F36:F38" si="45">+SUM(AK36:AO36)</f>
        <v>0</v>
      </c>
      <c r="G36" s="858"/>
      <c r="H36" s="868"/>
      <c r="I36" s="913">
        <f t="shared" ref="I36:I38" si="46">+AJ36</f>
        <v>0</v>
      </c>
      <c r="J36" s="95"/>
      <c r="K36" s="911">
        <f t="shared" ref="K36:K38" si="47">+I36+AE36</f>
        <v>0</v>
      </c>
      <c r="L36" s="914">
        <f t="shared" ref="L36:L38" si="48">+F36+K36</f>
        <v>0</v>
      </c>
      <c r="M36" s="914">
        <f t="shared" ref="M36:M38" si="49">+D36-L36</f>
        <v>0</v>
      </c>
      <c r="N36" s="2"/>
      <c r="O36" s="857"/>
      <c r="P36" s="857"/>
      <c r="Q36" s="857"/>
      <c r="R36" s="857"/>
      <c r="S36" s="857"/>
      <c r="T36" s="858"/>
      <c r="U36" s="857">
        <f>SUMIFS(O36:S36,O$8:S$8,$U$11)</f>
        <v>0</v>
      </c>
      <c r="V36" s="857">
        <f>SUMIFS(O36:S36,O$8:S$8,$V$11)</f>
        <v>0</v>
      </c>
      <c r="W36" s="857">
        <f>SUMIFS(O36:S36,O$8:S$8,$W$11)</f>
        <v>0</v>
      </c>
      <c r="X36" s="858"/>
      <c r="Y36" s="857">
        <f>+L36+M36</f>
        <v>0</v>
      </c>
      <c r="Z36" s="857"/>
      <c r="AA36" s="857"/>
      <c r="AB36" s="857"/>
      <c r="AC36" s="857"/>
      <c r="AD36" s="95"/>
      <c r="AE36" s="857"/>
      <c r="AF36" s="863"/>
      <c r="AG36" s="867"/>
      <c r="AH36" s="916">
        <f t="shared" ref="AH36:AH38" si="50">SUM(AK36:AO36)</f>
        <v>0</v>
      </c>
      <c r="AI36" s="926">
        <f t="shared" ref="AI36:AI38" si="51">SUM(AK36:AL36)</f>
        <v>0</v>
      </c>
      <c r="AJ36" s="926">
        <f t="shared" ref="AJ36:AJ38" si="52">+AM36</f>
        <v>0</v>
      </c>
      <c r="AK36" s="869"/>
      <c r="AL36" s="869"/>
      <c r="AM36" s="869"/>
      <c r="AN36" s="869"/>
      <c r="AO36" s="869"/>
    </row>
    <row r="37" spans="1:41" ht="21" customHeight="1" outlineLevel="1" x14ac:dyDescent="0.3">
      <c r="A37" s="134"/>
      <c r="B37" s="251"/>
      <c r="C37" s="144"/>
      <c r="D37" s="1032"/>
      <c r="F37" s="487">
        <f t="shared" si="45"/>
        <v>0</v>
      </c>
      <c r="G37" s="87"/>
      <c r="H37" s="504"/>
      <c r="I37" s="913">
        <f t="shared" si="46"/>
        <v>0</v>
      </c>
      <c r="J37" s="95"/>
      <c r="K37" s="911">
        <f t="shared" si="47"/>
        <v>0</v>
      </c>
      <c r="L37" s="914">
        <f t="shared" si="48"/>
        <v>0</v>
      </c>
      <c r="M37" s="914">
        <f t="shared" si="49"/>
        <v>0</v>
      </c>
      <c r="O37" s="466"/>
      <c r="P37" s="466"/>
      <c r="Q37" s="466"/>
      <c r="R37" s="466"/>
      <c r="S37" s="466"/>
      <c r="T37" s="87"/>
      <c r="U37" s="466">
        <f>SUMIFS(O37:S37,O$8:S$8,$U$11)</f>
        <v>0</v>
      </c>
      <c r="V37" s="466">
        <f>SUMIFS(O37:S37,O$8:S$8,$V$11)</f>
        <v>0</v>
      </c>
      <c r="W37" s="466">
        <f>SUMIFS(O37:S37,O$8:S$8,$W$11)</f>
        <v>0</v>
      </c>
      <c r="X37" s="87"/>
      <c r="Y37" s="466">
        <f>+L37+M37</f>
        <v>0</v>
      </c>
      <c r="Z37" s="466"/>
      <c r="AA37" s="466"/>
      <c r="AB37" s="466"/>
      <c r="AC37" s="466"/>
      <c r="AD37" s="95"/>
      <c r="AE37" s="466"/>
      <c r="AF37" s="174"/>
      <c r="AG37" s="282"/>
      <c r="AH37" s="916">
        <f t="shared" si="50"/>
        <v>0</v>
      </c>
      <c r="AI37" s="926">
        <f t="shared" si="51"/>
        <v>0</v>
      </c>
      <c r="AJ37" s="926">
        <f t="shared" si="52"/>
        <v>0</v>
      </c>
      <c r="AK37" s="476"/>
      <c r="AL37" s="476"/>
      <c r="AM37" s="476"/>
      <c r="AN37" s="476"/>
      <c r="AO37" s="476"/>
    </row>
    <row r="38" spans="1:41" ht="21" customHeight="1" outlineLevel="1" x14ac:dyDescent="0.3">
      <c r="A38" s="134"/>
      <c r="B38" s="251"/>
      <c r="C38" s="144"/>
      <c r="D38" s="1032"/>
      <c r="F38" s="487">
        <f t="shared" si="45"/>
        <v>0</v>
      </c>
      <c r="G38" s="87"/>
      <c r="H38" s="504"/>
      <c r="I38" s="913">
        <f t="shared" si="46"/>
        <v>0</v>
      </c>
      <c r="J38" s="95"/>
      <c r="K38" s="911">
        <f t="shared" si="47"/>
        <v>0</v>
      </c>
      <c r="L38" s="914">
        <f t="shared" si="48"/>
        <v>0</v>
      </c>
      <c r="M38" s="914">
        <f t="shared" si="49"/>
        <v>0</v>
      </c>
      <c r="O38" s="466"/>
      <c r="P38" s="466"/>
      <c r="Q38" s="466"/>
      <c r="R38" s="466"/>
      <c r="S38" s="466"/>
      <c r="T38" s="87"/>
      <c r="U38" s="466">
        <f>SUMIFS(O38:S38,O$8:S$8,$U$11)</f>
        <v>0</v>
      </c>
      <c r="V38" s="466">
        <f>SUMIFS(O38:S38,O$8:S$8,$V$11)</f>
        <v>0</v>
      </c>
      <c r="W38" s="466">
        <f>SUMIFS(O38:S38,O$8:S$8,$W$11)</f>
        <v>0</v>
      </c>
      <c r="X38" s="87"/>
      <c r="Y38" s="466">
        <f>+L38+M38</f>
        <v>0</v>
      </c>
      <c r="Z38" s="466"/>
      <c r="AA38" s="466"/>
      <c r="AB38" s="466"/>
      <c r="AC38" s="466"/>
      <c r="AD38" s="95"/>
      <c r="AE38" s="466"/>
      <c r="AF38" s="174"/>
      <c r="AG38" s="282"/>
      <c r="AH38" s="916">
        <f t="shared" si="50"/>
        <v>0</v>
      </c>
      <c r="AI38" s="926">
        <f t="shared" si="51"/>
        <v>0</v>
      </c>
      <c r="AJ38" s="926">
        <f t="shared" si="52"/>
        <v>0</v>
      </c>
      <c r="AK38" s="476"/>
      <c r="AL38" s="476"/>
      <c r="AM38" s="476"/>
      <c r="AN38" s="476"/>
      <c r="AO38" s="476"/>
    </row>
    <row r="39" spans="1:41" ht="21" customHeight="1" x14ac:dyDescent="0.3">
      <c r="A39" s="1256" t="str">
        <f>+"TOTAL FASE  "&amp;A35&amp;" : "&amp;B35</f>
        <v xml:space="preserve">TOTAL FASE  400 : ENCOFRADO </v>
      </c>
      <c r="B39" s="1257"/>
      <c r="C39" s="101" t="s">
        <v>29</v>
      </c>
      <c r="D39" s="1006">
        <f>SUM(D36:D38)</f>
        <v>0</v>
      </c>
      <c r="F39" s="453">
        <f>SUM(F36:F38)</f>
        <v>0</v>
      </c>
      <c r="G39" s="87"/>
      <c r="H39" s="453">
        <f t="shared" ref="H39:I39" si="53">SUM(H36:H38)</f>
        <v>0</v>
      </c>
      <c r="I39" s="453">
        <f t="shared" si="53"/>
        <v>0</v>
      </c>
      <c r="J39" s="95"/>
      <c r="K39" s="453">
        <f t="shared" ref="K39:M39" si="54">SUM(K36:K38)</f>
        <v>0</v>
      </c>
      <c r="L39" s="453">
        <f t="shared" si="54"/>
        <v>0</v>
      </c>
      <c r="M39" s="453">
        <f t="shared" si="54"/>
        <v>0</v>
      </c>
      <c r="O39" s="453">
        <f t="shared" ref="O39:S39" si="55">SUM(O36:O38)</f>
        <v>0</v>
      </c>
      <c r="P39" s="453">
        <f t="shared" si="55"/>
        <v>0</v>
      </c>
      <c r="Q39" s="453">
        <f t="shared" si="55"/>
        <v>0</v>
      </c>
      <c r="R39" s="453">
        <f t="shared" si="55"/>
        <v>0</v>
      </c>
      <c r="S39" s="453">
        <f t="shared" si="55"/>
        <v>0</v>
      </c>
      <c r="T39" s="87"/>
      <c r="U39" s="453">
        <f t="shared" ref="U39:W39" si="56">SUM(U36:U38)</f>
        <v>0</v>
      </c>
      <c r="V39" s="453">
        <f t="shared" si="56"/>
        <v>0</v>
      </c>
      <c r="W39" s="453">
        <f t="shared" si="56"/>
        <v>0</v>
      </c>
      <c r="X39" s="87"/>
      <c r="Y39" s="453">
        <f t="shared" ref="Y39:AC39" si="57">SUM(Y36:Y38)</f>
        <v>0</v>
      </c>
      <c r="Z39" s="453">
        <f t="shared" si="57"/>
        <v>0</v>
      </c>
      <c r="AA39" s="453">
        <f t="shared" si="57"/>
        <v>0</v>
      </c>
      <c r="AB39" s="453">
        <f t="shared" si="57"/>
        <v>0</v>
      </c>
      <c r="AC39" s="453">
        <f t="shared" si="57"/>
        <v>0</v>
      </c>
      <c r="AD39" s="95"/>
      <c r="AE39" s="453">
        <f>SUM(AE36:AE38)</f>
        <v>0</v>
      </c>
      <c r="AF39" s="174"/>
      <c r="AG39" s="282"/>
      <c r="AH39" s="453">
        <f t="shared" ref="AH39:AO39" si="58">SUM(AH36:AH38)</f>
        <v>0</v>
      </c>
      <c r="AI39" s="453">
        <f t="shared" si="58"/>
        <v>0</v>
      </c>
      <c r="AJ39" s="453">
        <f t="shared" si="58"/>
        <v>0</v>
      </c>
      <c r="AK39" s="453">
        <f t="shared" si="58"/>
        <v>0</v>
      </c>
      <c r="AL39" s="453">
        <f t="shared" si="58"/>
        <v>0</v>
      </c>
      <c r="AM39" s="453">
        <f t="shared" si="58"/>
        <v>0</v>
      </c>
      <c r="AN39" s="453">
        <f t="shared" si="58"/>
        <v>0</v>
      </c>
      <c r="AO39" s="453">
        <f t="shared" si="58"/>
        <v>0</v>
      </c>
    </row>
    <row r="40" spans="1:41" ht="26.25" customHeight="1" x14ac:dyDescent="0.3">
      <c r="A40" s="98">
        <f>+MO!A60</f>
        <v>500</v>
      </c>
      <c r="B40" s="102" t="str">
        <f>+MO!B60</f>
        <v xml:space="preserve">ACERO </v>
      </c>
      <c r="C40" s="7"/>
      <c r="D40" s="87"/>
      <c r="F40" s="87"/>
      <c r="G40" s="87"/>
      <c r="H40" s="87">
        <v>0</v>
      </c>
      <c r="I40" s="87"/>
      <c r="J40" s="95"/>
      <c r="K40" s="87"/>
      <c r="L40" s="87"/>
      <c r="M40" s="87"/>
      <c r="O40" s="174">
        <f>+MO!O60</f>
        <v>0</v>
      </c>
      <c r="P40" s="174">
        <f>+MO!P60</f>
        <v>0</v>
      </c>
      <c r="Q40" s="174">
        <f>+MO!Q60</f>
        <v>0</v>
      </c>
      <c r="R40" s="174">
        <f>+MO!R60</f>
        <v>0</v>
      </c>
      <c r="S40" s="174">
        <f>+MO!S60</f>
        <v>0</v>
      </c>
      <c r="T40" s="87"/>
      <c r="U40" s="87"/>
      <c r="V40" s="87"/>
      <c r="W40" s="87"/>
      <c r="X40" s="87"/>
      <c r="Y40" s="87"/>
      <c r="Z40" s="87"/>
      <c r="AA40" s="87"/>
      <c r="AB40" s="87"/>
      <c r="AC40" s="87"/>
      <c r="AD40" s="95"/>
      <c r="AE40" s="87"/>
      <c r="AF40" s="174"/>
      <c r="AG40" s="282"/>
      <c r="AH40" s="87"/>
      <c r="AI40" s="87"/>
      <c r="AJ40" s="87"/>
      <c r="AK40" s="87"/>
      <c r="AL40" s="87"/>
      <c r="AM40" s="87"/>
      <c r="AN40" s="87"/>
      <c r="AO40" s="87"/>
    </row>
    <row r="41" spans="1:41" s="856" customFormat="1" ht="21" customHeight="1" outlineLevel="1" x14ac:dyDescent="0.3">
      <c r="A41" s="854" t="s">
        <v>364</v>
      </c>
      <c r="B41" s="871" t="s">
        <v>365</v>
      </c>
      <c r="C41" s="909" t="s">
        <v>29</v>
      </c>
      <c r="D41" s="1031">
        <v>25983.915999999994</v>
      </c>
      <c r="F41" s="1028">
        <f t="shared" ref="F41:F43" si="59">+SUM(AK41:AO41)</f>
        <v>25983.915999999997</v>
      </c>
      <c r="G41" s="858"/>
      <c r="H41" s="868"/>
      <c r="I41" s="913">
        <f t="shared" ref="I41:I43" si="60">+AJ41</f>
        <v>14282</v>
      </c>
      <c r="J41" s="95"/>
      <c r="K41" s="911">
        <f t="shared" ref="K41:K43" si="61">+I41+AE41</f>
        <v>14282</v>
      </c>
      <c r="L41" s="914">
        <f t="shared" ref="L41:L43" si="62">+F41+K41</f>
        <v>40265.915999999997</v>
      </c>
      <c r="M41" s="914">
        <f t="shared" ref="M41:M43" si="63">+D41-L41</f>
        <v>-14282.000000000004</v>
      </c>
      <c r="N41" s="2"/>
      <c r="O41" s="1028"/>
      <c r="P41" s="1028"/>
      <c r="Q41" s="1028"/>
      <c r="R41" s="1028"/>
      <c r="S41" s="1028"/>
      <c r="T41" s="858"/>
      <c r="U41" s="1028">
        <f>SUMIFS(O41:S41,O$8:S$8,$U$11)</f>
        <v>0</v>
      </c>
      <c r="V41" s="1028">
        <f>SUMIFS(O41:S41,O$8:S$8,$V$11)</f>
        <v>0</v>
      </c>
      <c r="W41" s="1028">
        <f>SUMIFS(O41:S41,O$8:S$8,$W$11)</f>
        <v>0</v>
      </c>
      <c r="X41" s="858"/>
      <c r="Y41" s="1028">
        <f>+L41+M41</f>
        <v>25983.915999999994</v>
      </c>
      <c r="Z41" s="1028"/>
      <c r="AA41" s="1028"/>
      <c r="AB41" s="1028"/>
      <c r="AC41" s="1028"/>
      <c r="AD41" s="95"/>
      <c r="AE41" s="1028"/>
      <c r="AF41" s="863"/>
      <c r="AG41" s="867"/>
      <c r="AH41" s="916">
        <f t="shared" ref="AH41:AH43" si="64">SUM(AK41:AO41)</f>
        <v>25983.915999999997</v>
      </c>
      <c r="AI41" s="926">
        <f t="shared" ref="AI41:AI43" si="65">SUM(AK41:AL41)</f>
        <v>7030</v>
      </c>
      <c r="AJ41" s="926">
        <f t="shared" ref="AJ41:AJ43" si="66">+AM41</f>
        <v>14282</v>
      </c>
      <c r="AK41" s="869">
        <v>0</v>
      </c>
      <c r="AL41" s="869">
        <v>7030</v>
      </c>
      <c r="AM41" s="869">
        <v>14282</v>
      </c>
      <c r="AN41" s="869">
        <v>4671.9159999999993</v>
      </c>
      <c r="AO41" s="869">
        <v>0</v>
      </c>
    </row>
    <row r="42" spans="1:41" s="856" customFormat="1" ht="21" customHeight="1" outlineLevel="1" x14ac:dyDescent="0.3">
      <c r="A42" s="854"/>
      <c r="B42" s="871"/>
      <c r="C42" s="855"/>
      <c r="D42" s="1031"/>
      <c r="F42" s="1028">
        <f t="shared" si="59"/>
        <v>0</v>
      </c>
      <c r="G42" s="858"/>
      <c r="H42" s="868"/>
      <c r="I42" s="913">
        <f t="shared" si="60"/>
        <v>0</v>
      </c>
      <c r="J42" s="95"/>
      <c r="K42" s="911">
        <f t="shared" si="61"/>
        <v>0</v>
      </c>
      <c r="L42" s="914">
        <f t="shared" si="62"/>
        <v>0</v>
      </c>
      <c r="M42" s="914">
        <f t="shared" si="63"/>
        <v>0</v>
      </c>
      <c r="N42" s="2"/>
      <c r="O42" s="1028"/>
      <c r="P42" s="1028"/>
      <c r="Q42" s="1028"/>
      <c r="R42" s="1028"/>
      <c r="S42" s="1028"/>
      <c r="T42" s="858"/>
      <c r="U42" s="1028">
        <f>SUMIFS(O42:S42,O$8:S$8,$U$11)</f>
        <v>0</v>
      </c>
      <c r="V42" s="1028">
        <f>SUMIFS(O42:S42,O$8:S$8,$V$11)</f>
        <v>0</v>
      </c>
      <c r="W42" s="1028">
        <f>SUMIFS(O42:S42,O$8:S$8,$W$11)</f>
        <v>0</v>
      </c>
      <c r="X42" s="858"/>
      <c r="Y42" s="1028">
        <f>+L42+M42</f>
        <v>0</v>
      </c>
      <c r="Z42" s="1028"/>
      <c r="AA42" s="1028"/>
      <c r="AB42" s="1028"/>
      <c r="AC42" s="1028"/>
      <c r="AD42" s="95"/>
      <c r="AE42" s="1028"/>
      <c r="AF42" s="863"/>
      <c r="AG42" s="867"/>
      <c r="AH42" s="916">
        <f t="shared" si="64"/>
        <v>0</v>
      </c>
      <c r="AI42" s="926">
        <f t="shared" si="65"/>
        <v>0</v>
      </c>
      <c r="AJ42" s="926">
        <f t="shared" si="66"/>
        <v>0</v>
      </c>
      <c r="AK42" s="869"/>
      <c r="AL42" s="869"/>
      <c r="AM42" s="869"/>
      <c r="AN42" s="869"/>
      <c r="AO42" s="869"/>
    </row>
    <row r="43" spans="1:41" s="856" customFormat="1" ht="21" customHeight="1" outlineLevel="1" x14ac:dyDescent="0.3">
      <c r="A43" s="854"/>
      <c r="B43" s="871"/>
      <c r="C43" s="855"/>
      <c r="D43" s="1031"/>
      <c r="F43" s="1028">
        <f t="shared" si="59"/>
        <v>0</v>
      </c>
      <c r="G43" s="858"/>
      <c r="H43" s="868"/>
      <c r="I43" s="913">
        <f t="shared" si="60"/>
        <v>0</v>
      </c>
      <c r="J43" s="95"/>
      <c r="K43" s="911">
        <f t="shared" si="61"/>
        <v>0</v>
      </c>
      <c r="L43" s="914">
        <f t="shared" si="62"/>
        <v>0</v>
      </c>
      <c r="M43" s="914">
        <f t="shared" si="63"/>
        <v>0</v>
      </c>
      <c r="N43" s="2"/>
      <c r="O43" s="1028"/>
      <c r="P43" s="1028"/>
      <c r="Q43" s="1028"/>
      <c r="R43" s="1028"/>
      <c r="S43" s="1028"/>
      <c r="T43" s="858"/>
      <c r="U43" s="1028">
        <f>SUMIFS(O43:S43,O$8:S$8,$U$11)</f>
        <v>0</v>
      </c>
      <c r="V43" s="1028">
        <f>SUMIFS(O43:S43,O$8:S$8,$V$11)</f>
        <v>0</v>
      </c>
      <c r="W43" s="1028">
        <f>SUMIFS(O43:S43,O$8:S$8,$W$11)</f>
        <v>0</v>
      </c>
      <c r="X43" s="858"/>
      <c r="Y43" s="1028">
        <f>+L43+M43</f>
        <v>0</v>
      </c>
      <c r="Z43" s="1028"/>
      <c r="AA43" s="1028"/>
      <c r="AB43" s="1028"/>
      <c r="AC43" s="1028"/>
      <c r="AD43" s="95"/>
      <c r="AE43" s="1028"/>
      <c r="AF43" s="863"/>
      <c r="AG43" s="867"/>
      <c r="AH43" s="916">
        <f t="shared" si="64"/>
        <v>0</v>
      </c>
      <c r="AI43" s="926">
        <f t="shared" si="65"/>
        <v>0</v>
      </c>
      <c r="AJ43" s="926">
        <f t="shared" si="66"/>
        <v>0</v>
      </c>
      <c r="AK43" s="869"/>
      <c r="AL43" s="869"/>
      <c r="AM43" s="869"/>
      <c r="AN43" s="869"/>
      <c r="AO43" s="869"/>
    </row>
    <row r="44" spans="1:41" ht="21" customHeight="1" x14ac:dyDescent="0.3">
      <c r="A44" s="1256" t="str">
        <f>+"TOTAL FASE  "&amp;A40&amp;" : "&amp;B40</f>
        <v xml:space="preserve">TOTAL FASE  500 : ACERO </v>
      </c>
      <c r="B44" s="1257"/>
      <c r="C44" s="101" t="s">
        <v>29</v>
      </c>
      <c r="D44" s="1006">
        <f>SUM(D41:D43)</f>
        <v>25983.915999999994</v>
      </c>
      <c r="F44" s="453">
        <f>+SUMIF($A$41:$A$43,$C44,F41:F43)</f>
        <v>0</v>
      </c>
      <c r="G44" s="87"/>
      <c r="H44" s="462">
        <f>+SUMIF($A$41:$A$43,$C44,H41:H43)</f>
        <v>0</v>
      </c>
      <c r="I44" s="462">
        <f>+SUMIF($A$41:$A$43,$C44,I41:I43)</f>
        <v>0</v>
      </c>
      <c r="J44" s="95"/>
      <c r="K44" s="462">
        <f t="shared" ref="K44" si="67">SUM(K41:K43)</f>
        <v>14282</v>
      </c>
      <c r="L44" s="462">
        <f t="shared" ref="L44" si="68">SUM(L41:L43)</f>
        <v>40265.915999999997</v>
      </c>
      <c r="M44" s="462">
        <f t="shared" ref="M44" si="69">SUM(M41:M43)</f>
        <v>-14282.000000000004</v>
      </c>
      <c r="O44" s="453">
        <f t="shared" ref="O44" si="70">SUM(O41:O43)</f>
        <v>0</v>
      </c>
      <c r="P44" s="453">
        <f t="shared" ref="P44" si="71">SUM(P41:P43)</f>
        <v>0</v>
      </c>
      <c r="Q44" s="453">
        <f t="shared" ref="Q44" si="72">SUM(Q41:Q43)</f>
        <v>0</v>
      </c>
      <c r="R44" s="453">
        <f t="shared" ref="R44" si="73">SUM(R41:R43)</f>
        <v>0</v>
      </c>
      <c r="S44" s="453">
        <f t="shared" ref="S44" si="74">SUM(S41:S43)</f>
        <v>0</v>
      </c>
      <c r="T44" s="87"/>
      <c r="U44" s="453">
        <f t="shared" ref="U44" si="75">SUM(U41:U43)</f>
        <v>0</v>
      </c>
      <c r="V44" s="453">
        <f t="shared" ref="V44" si="76">SUM(V41:V43)</f>
        <v>0</v>
      </c>
      <c r="W44" s="453">
        <f t="shared" ref="W44" si="77">SUM(W41:W43)</f>
        <v>0</v>
      </c>
      <c r="X44" s="87"/>
      <c r="Y44" s="453">
        <f t="shared" ref="Y44" si="78">SUM(Y41:Y43)</f>
        <v>25983.915999999994</v>
      </c>
      <c r="Z44" s="453">
        <f t="shared" ref="Z44" si="79">SUM(Z41:Z43)</f>
        <v>0</v>
      </c>
      <c r="AA44" s="453">
        <f t="shared" ref="AA44" si="80">SUM(AA41:AA43)</f>
        <v>0</v>
      </c>
      <c r="AB44" s="453">
        <f t="shared" ref="AB44" si="81">SUM(AB41:AB43)</f>
        <v>0</v>
      </c>
      <c r="AC44" s="453">
        <f t="shared" ref="AC44" si="82">SUM(AC41:AC43)</f>
        <v>0</v>
      </c>
      <c r="AD44" s="95"/>
      <c r="AE44" s="453">
        <f t="shared" ref="AE44" si="83">SUM(AE41:AE43)</f>
        <v>0</v>
      </c>
      <c r="AF44" s="174"/>
      <c r="AG44" s="282"/>
      <c r="AH44" s="453">
        <f t="shared" ref="AH44:AN44" si="84">SUM(AH41:AH43)</f>
        <v>25983.915999999997</v>
      </c>
      <c r="AI44" s="462">
        <f t="shared" si="84"/>
        <v>7030</v>
      </c>
      <c r="AJ44" s="462">
        <f t="shared" si="84"/>
        <v>14282</v>
      </c>
      <c r="AK44" s="462">
        <f t="shared" si="84"/>
        <v>0</v>
      </c>
      <c r="AL44" s="462">
        <f t="shared" si="84"/>
        <v>7030</v>
      </c>
      <c r="AM44" s="462">
        <f t="shared" si="84"/>
        <v>14282</v>
      </c>
      <c r="AN44" s="462">
        <f t="shared" si="84"/>
        <v>4671.9159999999993</v>
      </c>
      <c r="AO44" s="462">
        <f>SUM(AO41:AO43)</f>
        <v>0</v>
      </c>
    </row>
    <row r="45" spans="1:41" ht="26.25" customHeight="1" x14ac:dyDescent="0.3">
      <c r="A45" s="98"/>
      <c r="B45" s="102"/>
      <c r="F45" s="87"/>
      <c r="G45" s="87"/>
      <c r="H45" s="87"/>
      <c r="I45" s="87"/>
      <c r="J45" s="95"/>
      <c r="K45" s="87"/>
      <c r="L45" s="87"/>
      <c r="M45" s="87"/>
      <c r="O45" s="87"/>
      <c r="P45" s="87"/>
      <c r="Q45" s="87"/>
      <c r="R45" s="87"/>
      <c r="S45" s="87"/>
      <c r="T45" s="87"/>
      <c r="U45" s="87"/>
      <c r="V45" s="87"/>
      <c r="W45" s="87"/>
      <c r="X45" s="87"/>
      <c r="Y45" s="87"/>
      <c r="Z45" s="87"/>
      <c r="AA45" s="87"/>
      <c r="AB45" s="87"/>
      <c r="AC45" s="87"/>
      <c r="AD45" s="95"/>
      <c r="AE45" s="87"/>
      <c r="AF45" s="174"/>
      <c r="AG45" s="282"/>
      <c r="AH45" s="174"/>
      <c r="AI45" s="174"/>
      <c r="AJ45" s="174"/>
      <c r="AK45" s="174"/>
      <c r="AL45" s="174"/>
      <c r="AM45" s="174"/>
      <c r="AN45" s="174"/>
      <c r="AO45" s="174"/>
    </row>
    <row r="46" spans="1:41" s="94" customFormat="1" ht="21" customHeight="1" x14ac:dyDescent="0.3">
      <c r="A46" s="100"/>
      <c r="B46" s="100"/>
      <c r="I46" s="109"/>
      <c r="J46" s="95"/>
      <c r="N46" s="2"/>
      <c r="Y46" s="146"/>
      <c r="Z46" s="258"/>
      <c r="AA46" s="258"/>
      <c r="AB46" s="258"/>
      <c r="AC46" s="114"/>
      <c r="AD46" s="95"/>
      <c r="AF46" s="106"/>
    </row>
    <row r="47" spans="1:41" s="94" customFormat="1" ht="21" customHeight="1" x14ac:dyDescent="0.35">
      <c r="A47" s="100"/>
      <c r="B47" s="100"/>
      <c r="C47" s="150"/>
      <c r="D47" s="150"/>
      <c r="H47" s="106"/>
      <c r="I47" s="106"/>
      <c r="J47" s="95"/>
      <c r="L47" s="602"/>
      <c r="M47" s="603"/>
      <c r="N47" s="2"/>
      <c r="Y47" s="114"/>
      <c r="AA47" s="106"/>
      <c r="AB47" s="106"/>
      <c r="AD47" s="95"/>
      <c r="AE47" s="106"/>
      <c r="AF47" s="146"/>
    </row>
    <row r="48" spans="1:41" s="94" customFormat="1" ht="21" customHeight="1" x14ac:dyDescent="0.3">
      <c r="A48" s="100"/>
      <c r="B48" s="100"/>
      <c r="C48" s="105"/>
      <c r="D48" s="105"/>
      <c r="J48" s="95"/>
      <c r="N48" s="2"/>
      <c r="O48" s="106"/>
      <c r="Y48" s="146"/>
      <c r="AA48" s="104"/>
      <c r="AB48" s="104"/>
      <c r="AC48" s="146"/>
      <c r="AD48" s="95"/>
      <c r="AE48" s="106"/>
      <c r="AF48" s="146"/>
      <c r="AH48" s="6"/>
      <c r="AI48" s="6"/>
      <c r="AJ48" s="6"/>
      <c r="AK48" s="6"/>
      <c r="AL48" s="6"/>
      <c r="AM48" s="6"/>
      <c r="AN48" s="6"/>
      <c r="AO48" s="6"/>
    </row>
    <row r="49" spans="1:41" s="94" customFormat="1" ht="21" customHeight="1" x14ac:dyDescent="0.3">
      <c r="A49" s="100"/>
      <c r="B49" s="100"/>
      <c r="I49" s="152"/>
      <c r="J49" s="95"/>
      <c r="N49" s="2"/>
      <c r="Y49" s="151"/>
      <c r="AC49" s="106"/>
      <c r="AD49" s="95"/>
      <c r="AF49" s="106"/>
    </row>
    <row r="50" spans="1:41" s="94" customFormat="1" ht="21" customHeight="1" x14ac:dyDescent="0.3">
      <c r="A50" s="100"/>
      <c r="B50" s="100"/>
      <c r="I50" s="121"/>
      <c r="N50" s="2"/>
      <c r="Y50" s="152"/>
      <c r="Z50" s="121"/>
      <c r="AA50" s="121"/>
      <c r="AB50" s="121"/>
      <c r="AC50" s="121"/>
      <c r="AD50" s="121"/>
      <c r="AE50" s="121"/>
    </row>
    <row r="51" spans="1:41" s="94" customFormat="1" ht="21" customHeight="1" x14ac:dyDescent="0.3">
      <c r="A51" s="100"/>
      <c r="B51" s="100"/>
      <c r="I51" s="279"/>
      <c r="N51" s="2"/>
      <c r="Y51" s="152"/>
      <c r="Z51" s="121"/>
      <c r="AA51" s="121"/>
      <c r="AB51" s="121"/>
      <c r="AC51" s="121"/>
      <c r="AD51" s="121"/>
      <c r="AE51" s="121"/>
    </row>
    <row r="52" spans="1:41" s="94" customFormat="1" ht="21" customHeight="1" x14ac:dyDescent="0.3">
      <c r="A52" s="100"/>
      <c r="B52" s="100"/>
      <c r="F52" s="150"/>
      <c r="I52" s="121"/>
      <c r="Y52" s="121"/>
      <c r="Z52" s="121"/>
      <c r="AA52" s="121"/>
      <c r="AB52" s="121"/>
      <c r="AC52" s="121"/>
      <c r="AD52" s="121"/>
      <c r="AE52" s="121"/>
    </row>
    <row r="53" spans="1:41" ht="21" customHeight="1" x14ac:dyDescent="0.3">
      <c r="AH53" s="94"/>
      <c r="AI53" s="94"/>
      <c r="AJ53" s="94"/>
      <c r="AK53" s="94"/>
      <c r="AL53" s="94"/>
      <c r="AM53" s="94"/>
      <c r="AN53" s="94"/>
      <c r="AO53" s="94"/>
    </row>
    <row r="54" spans="1:41" ht="21" customHeight="1" x14ac:dyDescent="0.3">
      <c r="AH54" s="94"/>
      <c r="AI54" s="94"/>
      <c r="AJ54" s="94"/>
      <c r="AK54" s="94"/>
      <c r="AL54" s="94"/>
      <c r="AM54" s="94"/>
      <c r="AN54" s="94"/>
      <c r="AO54" s="94"/>
    </row>
    <row r="55" spans="1:41" ht="21" customHeight="1" x14ac:dyDescent="0.3">
      <c r="AH55" s="94"/>
      <c r="AI55" s="94"/>
      <c r="AJ55" s="94"/>
      <c r="AK55" s="94"/>
      <c r="AL55" s="94"/>
      <c r="AM55" s="94"/>
      <c r="AN55" s="94"/>
      <c r="AO55" s="94"/>
    </row>
  </sheetData>
  <mergeCells count="26">
    <mergeCell ref="U9:W10"/>
    <mergeCell ref="L9:L11"/>
    <mergeCell ref="M9:M11"/>
    <mergeCell ref="O9:S9"/>
    <mergeCell ref="H9:I10"/>
    <mergeCell ref="K9:K11"/>
    <mergeCell ref="A9:A11"/>
    <mergeCell ref="B9:B11"/>
    <mergeCell ref="C9:C11"/>
    <mergeCell ref="F9:F11"/>
    <mergeCell ref="D9:D11"/>
    <mergeCell ref="AL9:AL11"/>
    <mergeCell ref="AM9:AM11"/>
    <mergeCell ref="AN9:AN11"/>
    <mergeCell ref="AO9:AO11"/>
    <mergeCell ref="AI9:AI11"/>
    <mergeCell ref="AE9:AE10"/>
    <mergeCell ref="Y9:AC10"/>
    <mergeCell ref="AH9:AH11"/>
    <mergeCell ref="AJ9:AJ11"/>
    <mergeCell ref="AK9:AK11"/>
    <mergeCell ref="A19:B19"/>
    <mergeCell ref="A29:B29"/>
    <mergeCell ref="A34:B34"/>
    <mergeCell ref="A39:B39"/>
    <mergeCell ref="A44:B44"/>
  </mergeCells>
  <pageMargins left="0.19685039370078741" right="0.19685039370078741" top="0.74803149606299213" bottom="0.74803149606299213" header="0.31496062992125984" footer="0.31496062992125984"/>
  <pageSetup paperSize="9" scale="1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pageSetUpPr fitToPage="1"/>
  </sheetPr>
  <dimension ref="A1:HJ66"/>
  <sheetViews>
    <sheetView topLeftCell="N16" zoomScale="80" zoomScaleNormal="80" workbookViewId="0">
      <selection activeCell="Y13" sqref="Y13"/>
    </sheetView>
  </sheetViews>
  <sheetFormatPr baseColWidth="10" defaultColWidth="11.42578125" defaultRowHeight="21" customHeight="1" outlineLevelRow="1" outlineLevelCol="2" x14ac:dyDescent="0.3"/>
  <cols>
    <col min="1" max="1" width="13.28515625" style="86" customWidth="1"/>
    <col min="2" max="2" width="88.7109375" style="86" customWidth="1"/>
    <col min="3" max="3" width="13.42578125" style="3" bestFit="1" customWidth="1"/>
    <col min="4" max="4" width="19.42578125" style="2" customWidth="1"/>
    <col min="5" max="5" width="2.7109375" style="2" customWidth="1"/>
    <col min="6" max="6" width="24.140625" style="2" customWidth="1"/>
    <col min="7" max="7" width="2.7109375" style="2" customWidth="1"/>
    <col min="8" max="8" width="22.42578125" style="2" customWidth="1"/>
    <col min="9" max="9" width="21.5703125" style="114" customWidth="1"/>
    <col min="10" max="10" width="1.7109375" style="2" customWidth="1"/>
    <col min="11" max="11" width="33" style="2" customWidth="1"/>
    <col min="12" max="12" width="17.28515625" style="2" customWidth="1"/>
    <col min="13" max="13" width="13.7109375" style="2" customWidth="1"/>
    <col min="14" max="14" width="2.7109375" style="2" customWidth="1"/>
    <col min="15" max="19" width="15.5703125" style="2" customWidth="1" outlineLevel="1"/>
    <col min="20" max="20" width="2.7109375" style="2" customWidth="1"/>
    <col min="21" max="21" width="24.85546875" style="2" customWidth="1"/>
    <col min="22" max="22" width="22.42578125" style="2" customWidth="1"/>
    <col min="23" max="23" width="20.7109375" style="2" customWidth="1"/>
    <col min="24" max="24" width="2.7109375" style="2" customWidth="1"/>
    <col min="25" max="29" width="15.85546875" style="2" customWidth="1"/>
    <col min="30" max="30" width="2.85546875" style="2" customWidth="1" outlineLevel="1"/>
    <col min="31" max="31" width="21.85546875" style="2" customWidth="1" outlineLevel="1"/>
    <col min="32" max="32" width="6.140625" style="121" bestFit="1" customWidth="1"/>
    <col min="33" max="33" width="4.42578125" style="2" customWidth="1"/>
    <col min="34" max="34" width="24.85546875" style="2" bestFit="1" customWidth="1" outlineLevel="1"/>
    <col min="35" max="36" width="24.42578125" style="2" customWidth="1" outlineLevel="1"/>
    <col min="37" max="41" width="15" style="2" customWidth="1" outlineLevel="2"/>
    <col min="42" max="42" width="11.42578125" style="2" customWidth="1" outlineLevel="1"/>
    <col min="43" max="16384" width="11.42578125" style="2"/>
  </cols>
  <sheetData>
    <row r="1" spans="1:41" ht="31.5" customHeight="1" x14ac:dyDescent="0.35">
      <c r="A1" s="88" t="s">
        <v>134</v>
      </c>
      <c r="B1" s="89"/>
      <c r="C1" s="1022"/>
      <c r="D1" s="89"/>
      <c r="E1" s="89"/>
      <c r="F1" s="89"/>
      <c r="G1" s="89"/>
      <c r="H1" s="89"/>
      <c r="I1" s="89"/>
      <c r="J1" s="89"/>
      <c r="K1" s="89"/>
      <c r="L1" s="89"/>
      <c r="M1" s="89"/>
      <c r="N1" s="89"/>
      <c r="O1" s="89"/>
      <c r="P1" s="89"/>
      <c r="Q1" s="89"/>
      <c r="R1" s="89"/>
      <c r="S1" s="89"/>
      <c r="T1" s="89"/>
      <c r="U1" s="89"/>
      <c r="V1" s="89"/>
      <c r="W1" s="89"/>
      <c r="X1" s="89"/>
      <c r="Y1" s="89"/>
      <c r="Z1" s="89"/>
      <c r="AA1" s="89"/>
      <c r="AB1" s="89"/>
      <c r="AC1" s="89"/>
    </row>
    <row r="2" spans="1:41" ht="21" customHeight="1" x14ac:dyDescent="0.3">
      <c r="A2" s="244" t="s">
        <v>433</v>
      </c>
      <c r="B2" s="88"/>
      <c r="C2" s="544"/>
      <c r="D2" s="86"/>
      <c r="E2" s="86"/>
      <c r="F2" s="86"/>
      <c r="G2" s="86"/>
      <c r="H2" s="86"/>
      <c r="I2" s="86"/>
      <c r="J2" s="86"/>
      <c r="K2" s="86"/>
      <c r="L2" s="86"/>
      <c r="M2" s="86"/>
      <c r="N2" s="86"/>
      <c r="O2" s="86"/>
      <c r="P2" s="86"/>
      <c r="Q2" s="86"/>
      <c r="R2" s="86"/>
      <c r="S2" s="86"/>
      <c r="T2" s="86"/>
      <c r="U2" s="86"/>
      <c r="V2" s="86"/>
      <c r="W2" s="86"/>
      <c r="X2" s="86"/>
      <c r="Y2" s="86"/>
      <c r="Z2" s="86"/>
      <c r="AA2" s="283"/>
      <c r="AB2" s="86"/>
      <c r="AC2" s="86"/>
    </row>
    <row r="3" spans="1:41" ht="12" customHeight="1" x14ac:dyDescent="0.3">
      <c r="Z3" s="7"/>
    </row>
    <row r="4" spans="1:41" ht="12" customHeight="1" x14ac:dyDescent="0.3">
      <c r="Z4" s="7"/>
    </row>
    <row r="5" spans="1:41" ht="21" customHeight="1" x14ac:dyDescent="0.3">
      <c r="A5" s="90" t="s">
        <v>52</v>
      </c>
      <c r="B5" s="90" t="str">
        <f>+Mat!B5</f>
        <v>EL BOSQUE - CERCO + INGRESOS Y CASETAS</v>
      </c>
      <c r="C5" s="1023"/>
      <c r="D5" s="119"/>
      <c r="E5" s="119"/>
      <c r="F5" s="119"/>
      <c r="G5" s="119"/>
      <c r="H5" s="119"/>
      <c r="I5" s="319"/>
      <c r="J5" s="119"/>
      <c r="K5" s="91" t="s">
        <v>53</v>
      </c>
      <c r="L5" s="268"/>
      <c r="M5" s="268"/>
      <c r="N5" s="119"/>
      <c r="O5" s="119"/>
      <c r="P5" s="119"/>
      <c r="Q5" s="119"/>
      <c r="R5" s="119"/>
      <c r="S5" s="119"/>
      <c r="T5" s="119"/>
      <c r="U5" s="119"/>
      <c r="V5" s="119"/>
      <c r="W5" s="119"/>
      <c r="X5" s="119"/>
      <c r="Y5" s="119"/>
      <c r="Z5" s="119"/>
      <c r="AA5" s="119"/>
      <c r="AB5" s="119"/>
      <c r="AC5" s="119"/>
      <c r="AD5" s="119"/>
      <c r="AE5" s="119"/>
    </row>
    <row r="6" spans="1:41" ht="21" customHeight="1" x14ac:dyDescent="0.3">
      <c r="A6" s="90" t="s">
        <v>54</v>
      </c>
      <c r="B6" s="90">
        <f>+Mat!B6</f>
        <v>0</v>
      </c>
      <c r="C6" s="1023"/>
      <c r="D6" s="119"/>
      <c r="E6" s="119"/>
      <c r="F6" s="119"/>
      <c r="G6" s="119"/>
      <c r="H6" s="119"/>
      <c r="I6" s="319"/>
      <c r="J6" s="119"/>
      <c r="K6" s="91" t="s">
        <v>55</v>
      </c>
      <c r="L6" s="268"/>
      <c r="M6" s="268"/>
      <c r="N6" s="119"/>
      <c r="O6" s="119"/>
      <c r="P6" s="119"/>
      <c r="Q6" s="119"/>
      <c r="R6" s="119"/>
      <c r="S6" s="119"/>
      <c r="T6" s="119"/>
      <c r="U6" s="119"/>
      <c r="V6" s="119"/>
      <c r="W6" s="119"/>
      <c r="X6" s="119"/>
      <c r="Y6" s="119"/>
      <c r="Z6" s="119"/>
      <c r="AA6" s="119"/>
      <c r="AB6" s="119"/>
      <c r="AC6" s="119"/>
      <c r="AD6" s="119"/>
      <c r="AE6" s="119"/>
      <c r="AI6" s="110"/>
      <c r="AJ6" s="110" t="str">
        <f>+A2</f>
        <v>MES DE ENERO DEL 2025</v>
      </c>
    </row>
    <row r="7" spans="1:41" ht="21" customHeight="1" x14ac:dyDescent="0.3">
      <c r="A7" s="88"/>
      <c r="Y7" s="7"/>
    </row>
    <row r="8" spans="1:41" ht="5.25" customHeight="1" x14ac:dyDescent="0.3">
      <c r="O8" s="94">
        <f t="shared" ref="O8:S8" si="0">+YEAR(O11)</f>
        <v>2025</v>
      </c>
      <c r="P8" s="94">
        <f t="shared" si="0"/>
        <v>2025</v>
      </c>
      <c r="Q8" s="94">
        <f t="shared" si="0"/>
        <v>2025</v>
      </c>
      <c r="R8" s="94">
        <f t="shared" si="0"/>
        <v>2025</v>
      </c>
      <c r="S8" s="94">
        <f t="shared" si="0"/>
        <v>2025</v>
      </c>
    </row>
    <row r="9" spans="1:41" s="95" customFormat="1" ht="18.75" customHeight="1" x14ac:dyDescent="0.25">
      <c r="A9" s="1238" t="s">
        <v>56</v>
      </c>
      <c r="B9" s="1238" t="s">
        <v>57</v>
      </c>
      <c r="C9" s="1238" t="s">
        <v>58</v>
      </c>
      <c r="D9" s="1241" t="s">
        <v>59</v>
      </c>
      <c r="F9" s="1241" t="s">
        <v>60</v>
      </c>
      <c r="H9" s="1244" t="str">
        <f>+A2</f>
        <v>MES DE ENERO DEL 2025</v>
      </c>
      <c r="I9" s="1245"/>
      <c r="K9" s="1237" t="s">
        <v>434</v>
      </c>
      <c r="L9" s="1237" t="s">
        <v>39</v>
      </c>
      <c r="M9" s="1237" t="s">
        <v>40</v>
      </c>
      <c r="O9" s="1262" t="s">
        <v>0</v>
      </c>
      <c r="P9" s="1263"/>
      <c r="Q9" s="1263"/>
      <c r="R9" s="1263"/>
      <c r="S9" s="1263"/>
      <c r="U9" s="1231" t="s">
        <v>41</v>
      </c>
      <c r="V9" s="1232"/>
      <c r="W9" s="1233"/>
      <c r="X9" s="2"/>
      <c r="Y9" s="1231" t="s">
        <v>1</v>
      </c>
      <c r="Z9" s="1232"/>
      <c r="AA9" s="1232"/>
      <c r="AB9" s="1232"/>
      <c r="AC9" s="1233"/>
      <c r="AE9" s="1241" t="s">
        <v>435</v>
      </c>
      <c r="AF9" s="153"/>
      <c r="AH9" s="1259" t="s">
        <v>30</v>
      </c>
      <c r="AI9" s="1264" t="s">
        <v>342</v>
      </c>
      <c r="AJ9" s="1264" t="s">
        <v>35</v>
      </c>
      <c r="AK9" s="1248">
        <v>45597</v>
      </c>
      <c r="AL9" s="1248">
        <v>45627</v>
      </c>
      <c r="AM9" s="1248">
        <v>45658</v>
      </c>
      <c r="AN9" s="1248">
        <v>45689</v>
      </c>
      <c r="AO9" s="1248">
        <v>45717</v>
      </c>
    </row>
    <row r="10" spans="1:41" s="95" customFormat="1" ht="18.75" x14ac:dyDescent="0.25">
      <c r="A10" s="1239"/>
      <c r="B10" s="1239"/>
      <c r="C10" s="1239"/>
      <c r="D10" s="1242"/>
      <c r="F10" s="1242"/>
      <c r="H10" s="1246"/>
      <c r="I10" s="1247"/>
      <c r="K10" s="1237"/>
      <c r="L10" s="1237"/>
      <c r="M10" s="1237"/>
      <c r="O10" s="309">
        <v>4</v>
      </c>
      <c r="P10" s="309">
        <f>+O10+1</f>
        <v>5</v>
      </c>
      <c r="Q10" s="309">
        <f t="shared" ref="Q10:S10" si="1">+P10+1</f>
        <v>6</v>
      </c>
      <c r="R10" s="309">
        <f t="shared" si="1"/>
        <v>7</v>
      </c>
      <c r="S10" s="309">
        <f t="shared" si="1"/>
        <v>8</v>
      </c>
      <c r="U10" s="1234"/>
      <c r="V10" s="1235"/>
      <c r="W10" s="1236"/>
      <c r="X10" s="2"/>
      <c r="Y10" s="1234"/>
      <c r="Z10" s="1235"/>
      <c r="AA10" s="1235"/>
      <c r="AB10" s="1235"/>
      <c r="AC10" s="1236"/>
      <c r="AE10" s="1243"/>
      <c r="AF10" s="153"/>
      <c r="AH10" s="1260"/>
      <c r="AI10" s="1265"/>
      <c r="AJ10" s="1265"/>
      <c r="AK10" s="1249"/>
      <c r="AL10" s="1249"/>
      <c r="AM10" s="1249"/>
      <c r="AN10" s="1249"/>
      <c r="AO10" s="1249"/>
    </row>
    <row r="11" spans="1:41" s="97" customFormat="1" ht="37.5" x14ac:dyDescent="0.25">
      <c r="A11" s="1240"/>
      <c r="B11" s="1240"/>
      <c r="C11" s="1240"/>
      <c r="D11" s="1243"/>
      <c r="F11" s="1240"/>
      <c r="H11" s="246" t="s">
        <v>4</v>
      </c>
      <c r="I11" s="249" t="s">
        <v>5</v>
      </c>
      <c r="J11" s="95"/>
      <c r="K11" s="1237"/>
      <c r="L11" s="1237"/>
      <c r="M11" s="1237"/>
      <c r="O11" s="247">
        <f>+SC!O11</f>
        <v>45689</v>
      </c>
      <c r="P11" s="247">
        <f>+O11+31</f>
        <v>45720</v>
      </c>
      <c r="Q11" s="247">
        <f t="shared" ref="Q11:S11" si="2">+P11+31</f>
        <v>45751</v>
      </c>
      <c r="R11" s="247">
        <f t="shared" si="2"/>
        <v>45782</v>
      </c>
      <c r="S11" s="247">
        <f t="shared" si="2"/>
        <v>45813</v>
      </c>
      <c r="U11" s="246">
        <f>+SC!U11</f>
        <v>2025</v>
      </c>
      <c r="V11" s="246">
        <f>+U11+1</f>
        <v>2026</v>
      </c>
      <c r="W11" s="246">
        <f>+V11+1</f>
        <v>2027</v>
      </c>
      <c r="X11" s="2"/>
      <c r="Y11" s="246" t="s">
        <v>6</v>
      </c>
      <c r="Z11" s="246" t="s">
        <v>7</v>
      </c>
      <c r="AA11" s="246" t="s">
        <v>36</v>
      </c>
      <c r="AB11" s="248" t="s">
        <v>125</v>
      </c>
      <c r="AC11" s="246" t="s">
        <v>8</v>
      </c>
      <c r="AE11" s="1113" t="s">
        <v>436</v>
      </c>
      <c r="AF11" s="154"/>
      <c r="AH11" s="1261"/>
      <c r="AI11" s="1266"/>
      <c r="AJ11" s="1266"/>
      <c r="AK11" s="1250"/>
      <c r="AL11" s="1250"/>
      <c r="AM11" s="1250"/>
      <c r="AN11" s="1250"/>
      <c r="AO11" s="1250"/>
    </row>
    <row r="12" spans="1:41" s="86" customFormat="1" ht="26.25" customHeight="1" x14ac:dyDescent="0.3">
      <c r="A12" s="111">
        <f>+MO!A12</f>
        <v>100</v>
      </c>
      <c r="B12" s="102" t="str">
        <f>+MO!B12</f>
        <v>OBRAS PRELIMINARES</v>
      </c>
      <c r="C12" s="544"/>
      <c r="G12" s="465"/>
      <c r="I12" s="118"/>
      <c r="O12" s="269"/>
      <c r="P12" s="269"/>
      <c r="Q12" s="269"/>
      <c r="R12" s="269"/>
      <c r="S12" s="269"/>
      <c r="T12" s="155"/>
      <c r="X12" s="2"/>
      <c r="AF12" s="156"/>
      <c r="AH12" s="2"/>
      <c r="AI12" s="2"/>
      <c r="AJ12" s="2"/>
      <c r="AK12" s="2"/>
      <c r="AL12" s="2"/>
      <c r="AM12" s="2"/>
      <c r="AN12" s="2"/>
      <c r="AO12" s="2"/>
    </row>
    <row r="13" spans="1:41" s="910" customFormat="1" ht="18" customHeight="1" x14ac:dyDescent="0.25">
      <c r="A13" s="1308" t="s">
        <v>346</v>
      </c>
      <c r="B13" s="1309" t="s">
        <v>347</v>
      </c>
      <c r="C13" s="909" t="s">
        <v>358</v>
      </c>
      <c r="D13" s="1030">
        <v>213.69322800000003</v>
      </c>
      <c r="E13" s="2"/>
      <c r="F13" s="1026">
        <f>+SUM(AI13)</f>
        <v>194.39999999999998</v>
      </c>
      <c r="G13" s="87"/>
      <c r="H13" s="911"/>
      <c r="I13" s="911">
        <f>+AJ13</f>
        <v>19.277999999999999</v>
      </c>
      <c r="J13" s="463"/>
      <c r="K13" s="911">
        <f>+I13+AE13</f>
        <v>19.277999999999999</v>
      </c>
      <c r="L13" s="911">
        <f>+K13+F13</f>
        <v>213.67799999999997</v>
      </c>
      <c r="M13" s="911">
        <f>+D13-L13</f>
        <v>1.5228000000064412E-2</v>
      </c>
      <c r="N13" s="2"/>
      <c r="O13" s="911">
        <f>+O$12*$M13</f>
        <v>0</v>
      </c>
      <c r="P13" s="911">
        <f t="shared" ref="P13:S13" si="3">+P$12*$M13</f>
        <v>0</v>
      </c>
      <c r="Q13" s="911">
        <f t="shared" si="3"/>
        <v>0</v>
      </c>
      <c r="R13" s="911">
        <f t="shared" si="3"/>
        <v>0</v>
      </c>
      <c r="S13" s="911">
        <f t="shared" si="3"/>
        <v>0</v>
      </c>
      <c r="T13" s="912"/>
      <c r="U13" s="911">
        <f t="shared" ref="U13:U14" si="4">+SUMIFS(O13:S13,O$8:S$8,$U$11)</f>
        <v>0</v>
      </c>
      <c r="V13" s="911">
        <f t="shared" ref="V13:V14" si="5">+SUMIFS(O13:S13,O$8:S$8,$V$11)</f>
        <v>0</v>
      </c>
      <c r="W13" s="911">
        <f t="shared" ref="W13:W14" si="6">+SUMIFS(O13:S13,O$8:S$8,$W$11)</f>
        <v>0</v>
      </c>
      <c r="Y13" s="911">
        <f t="shared" ref="Y13:Y14" si="7">+L13+M13</f>
        <v>213.69322800000003</v>
      </c>
      <c r="Z13" s="911">
        <v>0</v>
      </c>
      <c r="AA13" s="911"/>
      <c r="AB13" s="911"/>
      <c r="AC13" s="911"/>
      <c r="AD13" s="912"/>
      <c r="AE13" s="911"/>
      <c r="AF13" s="917"/>
      <c r="AG13" s="912"/>
      <c r="AH13" s="916">
        <f>SUM(AK13:AO13)</f>
        <v>213.67799999999997</v>
      </c>
      <c r="AI13" s="918">
        <f>SUM(AK13:AL13)</f>
        <v>194.39999999999998</v>
      </c>
      <c r="AJ13" s="918">
        <f>+AM13</f>
        <v>19.277999999999999</v>
      </c>
      <c r="AK13" s="916">
        <v>121.5</v>
      </c>
      <c r="AL13" s="916">
        <v>72.899999999999991</v>
      </c>
      <c r="AM13" s="916">
        <v>19.277999999999999</v>
      </c>
      <c r="AN13" s="916">
        <v>0</v>
      </c>
      <c r="AO13" s="916">
        <v>0</v>
      </c>
    </row>
    <row r="14" spans="1:41" s="910" customFormat="1" ht="18" customHeight="1" x14ac:dyDescent="0.25">
      <c r="A14" s="1310" t="s">
        <v>346</v>
      </c>
      <c r="B14" s="1309" t="s">
        <v>348</v>
      </c>
      <c r="C14" s="909" t="s">
        <v>358</v>
      </c>
      <c r="D14" s="1030">
        <v>369.34632000000011</v>
      </c>
      <c r="F14" s="1026">
        <f t="shared" ref="F14:F19" si="8">+SUM(AI14)</f>
        <v>219.8</v>
      </c>
      <c r="G14" s="912"/>
      <c r="H14" s="911"/>
      <c r="I14" s="911">
        <f t="shared" ref="I14:I19" si="9">+AJ14</f>
        <v>70</v>
      </c>
      <c r="J14" s="1311"/>
      <c r="K14" s="911">
        <f t="shared" ref="K14:K19" si="10">+I14+AE14</f>
        <v>70</v>
      </c>
      <c r="L14" s="911">
        <f>+K14+F14</f>
        <v>289.8</v>
      </c>
      <c r="M14" s="911">
        <f t="shared" ref="M14:M19" si="11">+D14-L14</f>
        <v>79.546320000000094</v>
      </c>
      <c r="O14" s="911">
        <f t="shared" ref="O14:S14" si="12">+O$12*$AC14</f>
        <v>0</v>
      </c>
      <c r="P14" s="911">
        <f t="shared" si="12"/>
        <v>0</v>
      </c>
      <c r="Q14" s="911">
        <f t="shared" si="12"/>
        <v>0</v>
      </c>
      <c r="R14" s="911">
        <f t="shared" si="12"/>
        <v>0</v>
      </c>
      <c r="S14" s="911">
        <f t="shared" si="12"/>
        <v>0</v>
      </c>
      <c r="T14" s="912"/>
      <c r="U14" s="911">
        <f t="shared" si="4"/>
        <v>0</v>
      </c>
      <c r="V14" s="911">
        <f t="shared" si="5"/>
        <v>0</v>
      </c>
      <c r="W14" s="911">
        <f t="shared" si="6"/>
        <v>0</v>
      </c>
      <c r="Y14" s="911">
        <f t="shared" si="7"/>
        <v>369.34632000000011</v>
      </c>
      <c r="Z14" s="911">
        <v>0</v>
      </c>
      <c r="AA14" s="911"/>
      <c r="AB14" s="911"/>
      <c r="AC14" s="911"/>
      <c r="AD14" s="912"/>
      <c r="AE14" s="911"/>
      <c r="AF14" s="917"/>
      <c r="AG14" s="912"/>
      <c r="AH14" s="916">
        <f t="shared" ref="AH14:AH16" si="13">SUM(AK14:AO14)</f>
        <v>369.32</v>
      </c>
      <c r="AI14" s="918">
        <f t="shared" ref="AI14:AI16" si="14">SUM(AK14:AL14)</f>
        <v>219.8</v>
      </c>
      <c r="AJ14" s="918">
        <f t="shared" ref="AJ14:AJ16" si="15">+AM14</f>
        <v>70</v>
      </c>
      <c r="AK14" s="916">
        <v>117.60000000000001</v>
      </c>
      <c r="AL14" s="916">
        <v>102.2</v>
      </c>
      <c r="AM14" s="916">
        <v>70</v>
      </c>
      <c r="AN14" s="916">
        <v>79.52</v>
      </c>
      <c r="AO14" s="916">
        <v>0</v>
      </c>
    </row>
    <row r="15" spans="1:41" s="910" customFormat="1" ht="18" customHeight="1" x14ac:dyDescent="0.25">
      <c r="A15" s="1310"/>
      <c r="B15" s="1312"/>
      <c r="C15" s="909"/>
      <c r="D15" s="1030"/>
      <c r="F15" s="1026">
        <f t="shared" si="8"/>
        <v>0</v>
      </c>
      <c r="G15" s="912"/>
      <c r="H15" s="914"/>
      <c r="I15" s="911">
        <f t="shared" si="9"/>
        <v>0</v>
      </c>
      <c r="J15" s="1311"/>
      <c r="K15" s="911">
        <f t="shared" si="10"/>
        <v>0</v>
      </c>
      <c r="L15" s="914"/>
      <c r="M15" s="911">
        <f t="shared" si="11"/>
        <v>0</v>
      </c>
      <c r="O15" s="911"/>
      <c r="P15" s="914"/>
      <c r="Q15" s="914"/>
      <c r="R15" s="914"/>
      <c r="S15" s="914"/>
      <c r="T15" s="912"/>
      <c r="U15" s="911"/>
      <c r="V15" s="911"/>
      <c r="W15" s="911"/>
      <c r="Y15" s="911"/>
      <c r="Z15" s="911"/>
      <c r="AA15" s="914"/>
      <c r="AB15" s="914"/>
      <c r="AC15" s="911"/>
      <c r="AD15" s="912"/>
      <c r="AE15" s="911"/>
      <c r="AF15" s="917"/>
      <c r="AG15" s="912"/>
      <c r="AH15" s="916">
        <f t="shared" si="13"/>
        <v>0</v>
      </c>
      <c r="AI15" s="918">
        <f t="shared" si="14"/>
        <v>0</v>
      </c>
      <c r="AJ15" s="918">
        <f t="shared" si="15"/>
        <v>0</v>
      </c>
      <c r="AK15" s="914"/>
      <c r="AL15" s="914"/>
      <c r="AM15" s="914"/>
      <c r="AN15" s="914"/>
      <c r="AO15" s="914"/>
    </row>
    <row r="16" spans="1:41" s="910" customFormat="1" ht="18" customHeight="1" x14ac:dyDescent="0.25">
      <c r="A16" s="1310"/>
      <c r="B16" s="1312"/>
      <c r="C16" s="909"/>
      <c r="D16" s="1030"/>
      <c r="F16" s="1026">
        <f t="shared" si="8"/>
        <v>0</v>
      </c>
      <c r="G16" s="912"/>
      <c r="H16" s="914"/>
      <c r="I16" s="911">
        <f t="shared" si="9"/>
        <v>0</v>
      </c>
      <c r="J16" s="1311"/>
      <c r="K16" s="911">
        <f t="shared" si="10"/>
        <v>0</v>
      </c>
      <c r="L16" s="914"/>
      <c r="M16" s="911">
        <f t="shared" si="11"/>
        <v>0</v>
      </c>
      <c r="O16" s="911"/>
      <c r="P16" s="914"/>
      <c r="Q16" s="914"/>
      <c r="R16" s="914"/>
      <c r="S16" s="914"/>
      <c r="T16" s="912"/>
      <c r="U16" s="911"/>
      <c r="V16" s="911"/>
      <c r="W16" s="911"/>
      <c r="Y16" s="911"/>
      <c r="Z16" s="911"/>
      <c r="AA16" s="914"/>
      <c r="AB16" s="914"/>
      <c r="AC16" s="911"/>
      <c r="AD16" s="912"/>
      <c r="AE16" s="911"/>
      <c r="AF16" s="917"/>
      <c r="AG16" s="912"/>
      <c r="AH16" s="916">
        <f t="shared" si="13"/>
        <v>0</v>
      </c>
      <c r="AI16" s="918">
        <f t="shared" si="14"/>
        <v>0</v>
      </c>
      <c r="AJ16" s="918">
        <f t="shared" si="15"/>
        <v>0</v>
      </c>
      <c r="AK16" s="914"/>
      <c r="AL16" s="914"/>
      <c r="AM16" s="914"/>
      <c r="AN16" s="914"/>
      <c r="AO16" s="914"/>
    </row>
    <row r="17" spans="1:218" s="88" customFormat="1" ht="21" customHeight="1" x14ac:dyDescent="0.3">
      <c r="A17" s="1020"/>
      <c r="B17" s="157" t="str">
        <f>+"TOTAL EQ PROPIOS FASE  "&amp;A12&amp;" : "&amp;B12</f>
        <v>TOTAL EQ PROPIOS FASE  100 : OBRAS PRELIMINARES</v>
      </c>
      <c r="C17" s="267" t="s">
        <v>29</v>
      </c>
      <c r="D17" s="475">
        <f t="shared" ref="D17" si="16">SUM(D13:D16)</f>
        <v>583.0395480000002</v>
      </c>
      <c r="E17" s="86"/>
      <c r="F17" s="472">
        <f>SUM(F13:F16)</f>
        <v>414.2</v>
      </c>
      <c r="G17" s="465"/>
      <c r="H17" s="475">
        <f t="shared" ref="H17" si="17">SUM(H13:H16)</f>
        <v>0</v>
      </c>
      <c r="I17" s="475">
        <f t="shared" ref="I17" si="18">SUM(I13:I16)</f>
        <v>89.277999999999992</v>
      </c>
      <c r="J17" s="475">
        <f t="shared" ref="J17" si="19">SUM(J13:J16)</f>
        <v>0</v>
      </c>
      <c r="K17" s="475">
        <f t="shared" ref="K17" si="20">SUM(K13:K16)</f>
        <v>89.277999999999992</v>
      </c>
      <c r="L17" s="475">
        <f t="shared" ref="L17" si="21">SUM(L13:L16)</f>
        <v>503.47799999999995</v>
      </c>
      <c r="M17" s="475">
        <f t="shared" ref="M17" si="22">SUM(M13:M16)</f>
        <v>79.561548000000158</v>
      </c>
      <c r="N17" s="86"/>
      <c r="O17" s="475">
        <f t="shared" ref="O17" si="23">SUM(O13:O16)</f>
        <v>0</v>
      </c>
      <c r="P17" s="475">
        <f t="shared" ref="P17" si="24">SUM(P13:P16)</f>
        <v>0</v>
      </c>
      <c r="Q17" s="475">
        <f t="shared" ref="Q17" si="25">SUM(Q13:Q16)</f>
        <v>0</v>
      </c>
      <c r="R17" s="475">
        <f t="shared" ref="R17" si="26">SUM(R13:R16)</f>
        <v>0</v>
      </c>
      <c r="S17" s="475">
        <f t="shared" ref="S17" si="27">SUM(S13:S16)</f>
        <v>0</v>
      </c>
      <c r="T17" s="471"/>
      <c r="U17" s="475">
        <f t="shared" ref="U17" si="28">SUM(U13:U16)</f>
        <v>0</v>
      </c>
      <c r="V17" s="475">
        <f t="shared" ref="V17" si="29">SUM(V13:V16)</f>
        <v>0</v>
      </c>
      <c r="W17" s="475">
        <f t="shared" ref="W17" si="30">SUM(W13:W16)</f>
        <v>0</v>
      </c>
      <c r="X17" s="2"/>
      <c r="Y17" s="475">
        <f t="shared" ref="Y17:AC17" si="31">SUM(Y13:Y16)</f>
        <v>583.0395480000002</v>
      </c>
      <c r="Z17" s="475">
        <f t="shared" si="31"/>
        <v>0</v>
      </c>
      <c r="AA17" s="475">
        <f t="shared" si="31"/>
        <v>0</v>
      </c>
      <c r="AB17" s="475">
        <f t="shared" si="31"/>
        <v>0</v>
      </c>
      <c r="AC17" s="475">
        <f t="shared" si="31"/>
        <v>0</v>
      </c>
      <c r="AD17" s="471"/>
      <c r="AE17" s="475">
        <f>SUM(AE13:AE16)</f>
        <v>0</v>
      </c>
      <c r="AF17" s="474"/>
      <c r="AG17" s="474"/>
      <c r="AH17" s="475">
        <f>SUM(AH13:AH16)</f>
        <v>582.99799999999993</v>
      </c>
      <c r="AI17" s="475">
        <f t="shared" ref="AI17:AO17" si="32">SUM(AI13:AI16)</f>
        <v>414.2</v>
      </c>
      <c r="AJ17" s="475">
        <f t="shared" si="32"/>
        <v>89.277999999999992</v>
      </c>
      <c r="AK17" s="475">
        <f t="shared" si="32"/>
        <v>239.10000000000002</v>
      </c>
      <c r="AL17" s="475">
        <f t="shared" si="32"/>
        <v>175.1</v>
      </c>
      <c r="AM17" s="475">
        <f t="shared" si="32"/>
        <v>89.277999999999992</v>
      </c>
      <c r="AN17" s="475">
        <f t="shared" si="32"/>
        <v>79.52</v>
      </c>
      <c r="AO17" s="475">
        <f t="shared" si="32"/>
        <v>0</v>
      </c>
    </row>
    <row r="18" spans="1:218" s="5" customFormat="1" ht="18" customHeight="1" x14ac:dyDescent="0.25">
      <c r="A18" s="1313"/>
      <c r="B18" s="1314"/>
      <c r="C18" s="144"/>
      <c r="D18" s="1032"/>
      <c r="E18" s="2"/>
      <c r="F18" s="1026">
        <f t="shared" si="8"/>
        <v>0</v>
      </c>
      <c r="G18" s="87"/>
      <c r="H18" s="484"/>
      <c r="I18" s="911">
        <f t="shared" si="9"/>
        <v>0</v>
      </c>
      <c r="J18" s="463"/>
      <c r="K18" s="911">
        <f t="shared" si="10"/>
        <v>0</v>
      </c>
      <c r="L18" s="484">
        <f>+K18+F18</f>
        <v>0</v>
      </c>
      <c r="M18" s="911">
        <f t="shared" si="11"/>
        <v>0</v>
      </c>
      <c r="N18" s="87"/>
      <c r="O18" s="466">
        <v>0</v>
      </c>
      <c r="P18" s="466">
        <v>0</v>
      </c>
      <c r="Q18" s="466">
        <v>0</v>
      </c>
      <c r="R18" s="466">
        <v>0</v>
      </c>
      <c r="S18" s="466">
        <v>0</v>
      </c>
      <c r="T18" s="87">
        <v>0</v>
      </c>
      <c r="U18" s="484">
        <f t="shared" ref="U18:U19" si="33">+SUMIFS(O18:S18,O$8:S$8,$U$11)</f>
        <v>0</v>
      </c>
      <c r="V18" s="484">
        <f t="shared" ref="V18:V19" si="34">+SUMIFS(O18:S18,O$8:S$8,$V$11)</f>
        <v>0</v>
      </c>
      <c r="W18" s="484">
        <f t="shared" ref="W18:W19" si="35">+SUMIFS(O18:S18,O$8:S$8,$W$11)</f>
        <v>0</v>
      </c>
      <c r="X18" s="2"/>
      <c r="Y18" s="484">
        <f t="shared" ref="Y18:Y19" si="36">+L18+M18</f>
        <v>0</v>
      </c>
      <c r="Z18" s="484"/>
      <c r="AA18" s="466"/>
      <c r="AB18" s="466"/>
      <c r="AC18" s="466"/>
      <c r="AD18" s="87"/>
      <c r="AE18" s="484"/>
      <c r="AF18" s="279"/>
      <c r="AG18" s="87"/>
      <c r="AH18" s="476">
        <f t="shared" ref="AH18:AH19" si="37">SUM(AI18:AO18)</f>
        <v>0</v>
      </c>
      <c r="AI18" s="477"/>
      <c r="AJ18" s="477"/>
      <c r="AK18" s="476"/>
      <c r="AL18" s="476"/>
      <c r="AM18" s="476"/>
      <c r="AN18" s="476"/>
      <c r="AO18" s="476"/>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row>
    <row r="19" spans="1:218" s="5" customFormat="1" ht="18" customHeight="1" x14ac:dyDescent="0.25">
      <c r="A19" s="1315"/>
      <c r="B19" s="1314"/>
      <c r="C19" s="144"/>
      <c r="D19" s="1032"/>
      <c r="E19" s="2"/>
      <c r="F19" s="1026">
        <f t="shared" si="8"/>
        <v>0</v>
      </c>
      <c r="G19" s="87"/>
      <c r="H19" s="484"/>
      <c r="I19" s="911">
        <f t="shared" si="9"/>
        <v>0</v>
      </c>
      <c r="J19" s="463"/>
      <c r="K19" s="911">
        <f t="shared" si="10"/>
        <v>0</v>
      </c>
      <c r="L19" s="484">
        <f>+K19+F19</f>
        <v>0</v>
      </c>
      <c r="M19" s="911">
        <f t="shared" si="11"/>
        <v>0</v>
      </c>
      <c r="N19" s="87"/>
      <c r="O19" s="466">
        <v>0</v>
      </c>
      <c r="P19" s="466">
        <v>0</v>
      </c>
      <c r="Q19" s="466">
        <v>0</v>
      </c>
      <c r="R19" s="466">
        <v>0</v>
      </c>
      <c r="S19" s="466">
        <v>0</v>
      </c>
      <c r="T19" s="87">
        <v>0</v>
      </c>
      <c r="U19" s="484">
        <f t="shared" si="33"/>
        <v>0</v>
      </c>
      <c r="V19" s="484">
        <f t="shared" si="34"/>
        <v>0</v>
      </c>
      <c r="W19" s="484">
        <f t="shared" si="35"/>
        <v>0</v>
      </c>
      <c r="X19" s="2"/>
      <c r="Y19" s="484">
        <f t="shared" si="36"/>
        <v>0</v>
      </c>
      <c r="Z19" s="484"/>
      <c r="AA19" s="466"/>
      <c r="AB19" s="466"/>
      <c r="AC19" s="466"/>
      <c r="AD19" s="87"/>
      <c r="AE19" s="484"/>
      <c r="AF19" s="279"/>
      <c r="AG19" s="87"/>
      <c r="AH19" s="476">
        <f t="shared" si="37"/>
        <v>0</v>
      </c>
      <c r="AI19" s="477"/>
      <c r="AJ19" s="477"/>
      <c r="AK19" s="476"/>
      <c r="AL19" s="476"/>
      <c r="AM19" s="476"/>
      <c r="AN19" s="476"/>
      <c r="AO19" s="476"/>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row>
    <row r="20" spans="1:218" s="88" customFormat="1" ht="21" customHeight="1" x14ac:dyDescent="0.3">
      <c r="A20" s="1018"/>
      <c r="B20" s="159" t="str">
        <f>+"TOTAL EQ TERCEROS FASE  "&amp;A12&amp;" : "&amp;B12</f>
        <v>TOTAL EQ TERCEROS FASE  100 : OBRAS PRELIMINARES</v>
      </c>
      <c r="C20" s="160" t="s">
        <v>29</v>
      </c>
      <c r="D20" s="1146">
        <f>SUM(D18:D19)</f>
        <v>0</v>
      </c>
      <c r="F20" s="472">
        <f>SUM(F18:F19)</f>
        <v>0</v>
      </c>
      <c r="G20" s="474"/>
      <c r="H20" s="473">
        <f>+SUMIF($A18:$A19,$C20,H18:H19)</f>
        <v>0</v>
      </c>
      <c r="I20" s="473">
        <f>+SUMIF($A18:$A19,$C20,I18:I19)</f>
        <v>0</v>
      </c>
      <c r="J20" s="474"/>
      <c r="K20" s="480">
        <f ca="1">+SUMIF($A18:$A20,$C20,K18:K19)</f>
        <v>0</v>
      </c>
      <c r="L20" s="473">
        <f ca="1">+SUMIF($A18:$A20,$C20,L18:L19)</f>
        <v>0</v>
      </c>
      <c r="M20" s="473">
        <f ca="1">+SUMIF($A18:$A20,$C20,M18:M19)</f>
        <v>0</v>
      </c>
      <c r="N20" s="465"/>
      <c r="O20" s="480">
        <f>+SUMIF($A18:$A19,$C20,O18:O19)</f>
        <v>0</v>
      </c>
      <c r="P20" s="473">
        <f>+SUMIF($A18:$A19,$C20,P18:P19)</f>
        <v>0</v>
      </c>
      <c r="Q20" s="473">
        <f>+SUMIF($A18:$A19,$C20,Q18:Q19)</f>
        <v>0</v>
      </c>
      <c r="R20" s="473">
        <f>+SUMIF($A18:$A19,$C20,R18:R19)</f>
        <v>0</v>
      </c>
      <c r="S20" s="473">
        <f>+SUMIF($A18:$A19,$C20,S18:S19)</f>
        <v>0</v>
      </c>
      <c r="T20" s="474"/>
      <c r="U20" s="480">
        <f ca="1">+SUMIF($A18:$A20,$C20,U18:U19)</f>
        <v>0</v>
      </c>
      <c r="V20" s="480">
        <f ca="1">+SUMIF($A18:$A20,$C20,V18:V19)</f>
        <v>0</v>
      </c>
      <c r="W20" s="480">
        <f ca="1">+SUMIF($A18:$A20,$C20,W18:W19)</f>
        <v>0</v>
      </c>
      <c r="X20" s="2"/>
      <c r="Y20" s="480">
        <f ca="1">+SUMIF($A18:$A20,$C20,Y18:Y19)</f>
        <v>0</v>
      </c>
      <c r="Z20" s="480">
        <f ca="1">+SUMIF($A18:$A20,$C20,Z18:Z19)</f>
        <v>0</v>
      </c>
      <c r="AA20" s="480">
        <f ca="1">+SUMIF($A18:$A20,$C20,AA18:AA19)</f>
        <v>0</v>
      </c>
      <c r="AB20" s="480">
        <f ca="1">+SUMIF($A18:$A20,$C20,AB18:AB19)</f>
        <v>0</v>
      </c>
      <c r="AC20" s="480">
        <f ca="1">+SUMIF($A18:$A20,$C20,AC18:AC19)</f>
        <v>0</v>
      </c>
      <c r="AD20" s="474"/>
      <c r="AE20" s="480">
        <f>+SUMIF($A18:$A19,$C20,AE18:AE19)</f>
        <v>0</v>
      </c>
      <c r="AF20" s="474"/>
      <c r="AG20" s="465"/>
      <c r="AH20" s="475">
        <f>SUM(AH18:AH19)</f>
        <v>0</v>
      </c>
      <c r="AI20" s="475">
        <f t="shared" ref="AI20:AO20" si="38">SUM(AI18:AI19)</f>
        <v>0</v>
      </c>
      <c r="AJ20" s="475">
        <f t="shared" si="38"/>
        <v>0</v>
      </c>
      <c r="AK20" s="475">
        <f t="shared" si="38"/>
        <v>0</v>
      </c>
      <c r="AL20" s="475">
        <f t="shared" si="38"/>
        <v>0</v>
      </c>
      <c r="AM20" s="475">
        <f t="shared" si="38"/>
        <v>0</v>
      </c>
      <c r="AN20" s="475">
        <f t="shared" si="38"/>
        <v>0</v>
      </c>
      <c r="AO20" s="475">
        <f t="shared" si="38"/>
        <v>0</v>
      </c>
    </row>
    <row r="21" spans="1:218" s="88" customFormat="1" ht="21" customHeight="1" x14ac:dyDescent="0.3">
      <c r="A21" s="139"/>
      <c r="C21" s="161"/>
      <c r="D21" s="1147"/>
      <c r="F21" s="481"/>
      <c r="G21" s="474"/>
      <c r="H21" s="481"/>
      <c r="I21" s="481"/>
      <c r="J21" s="474"/>
      <c r="K21" s="481"/>
      <c r="L21" s="481"/>
      <c r="M21" s="481"/>
      <c r="N21" s="474"/>
      <c r="O21" s="481"/>
      <c r="P21" s="481"/>
      <c r="Q21" s="481"/>
      <c r="R21" s="481"/>
      <c r="S21" s="481"/>
      <c r="T21" s="474"/>
      <c r="U21" s="481"/>
      <c r="V21" s="481"/>
      <c r="W21" s="481"/>
      <c r="X21" s="2"/>
      <c r="Y21" s="481"/>
      <c r="Z21" s="481"/>
      <c r="AA21" s="481"/>
      <c r="AB21" s="481"/>
      <c r="AC21" s="481"/>
      <c r="AD21" s="474"/>
      <c r="AE21" s="481"/>
      <c r="AF21" s="467"/>
      <c r="AG21" s="474"/>
      <c r="AH21" s="465"/>
      <c r="AI21" s="465"/>
      <c r="AJ21" s="465"/>
      <c r="AK21" s="465"/>
      <c r="AL21" s="465"/>
      <c r="AM21" s="465"/>
      <c r="AN21" s="465"/>
      <c r="AO21" s="465"/>
    </row>
    <row r="22" spans="1:218" s="86" customFormat="1" ht="26.25" customHeight="1" x14ac:dyDescent="0.3">
      <c r="A22" s="98">
        <f>+MO!A24</f>
        <v>200</v>
      </c>
      <c r="B22" s="102" t="str">
        <f>+MO!B24</f>
        <v>MOVIMIENTO DE TIERRAS</v>
      </c>
      <c r="C22" s="544"/>
      <c r="D22" s="465"/>
      <c r="F22" s="465"/>
      <c r="G22" s="465"/>
      <c r="H22" s="465"/>
      <c r="I22" s="465"/>
      <c r="J22" s="465"/>
      <c r="K22" s="465"/>
      <c r="L22" s="465"/>
      <c r="M22" s="465"/>
      <c r="N22" s="465"/>
      <c r="O22" s="482"/>
      <c r="P22" s="482"/>
      <c r="Q22" s="482"/>
      <c r="R22" s="482"/>
      <c r="S22" s="482"/>
      <c r="T22" s="482"/>
      <c r="U22" s="465"/>
      <c r="V22" s="465"/>
      <c r="W22" s="465"/>
      <c r="X22" s="2"/>
      <c r="Y22" s="465"/>
      <c r="Z22" s="465"/>
      <c r="AA22" s="465"/>
      <c r="AB22" s="465"/>
      <c r="AC22" s="465"/>
      <c r="AD22" s="465"/>
      <c r="AE22" s="465"/>
      <c r="AF22" s="467"/>
      <c r="AG22" s="465"/>
      <c r="AH22" s="465"/>
      <c r="AI22" s="465"/>
      <c r="AJ22" s="465"/>
      <c r="AK22" s="465"/>
      <c r="AL22" s="465"/>
      <c r="AM22" s="465"/>
      <c r="AN22" s="465"/>
      <c r="AO22" s="465"/>
    </row>
    <row r="23" spans="1:218" s="5" customFormat="1" ht="18" customHeight="1" outlineLevel="1" x14ac:dyDescent="0.25">
      <c r="A23" s="1315" t="s">
        <v>349</v>
      </c>
      <c r="B23" s="1314" t="s">
        <v>351</v>
      </c>
      <c r="C23" s="909" t="s">
        <v>358</v>
      </c>
      <c r="D23" s="1316">
        <v>161.55964594</v>
      </c>
      <c r="E23" s="2"/>
      <c r="F23" s="1026">
        <f t="shared" ref="F23:F25" si="39">+SUM(AI23)</f>
        <v>0</v>
      </c>
      <c r="G23" s="87"/>
      <c r="H23" s="484"/>
      <c r="I23" s="911">
        <f t="shared" ref="I23:I25" si="40">+AJ23</f>
        <v>0</v>
      </c>
      <c r="J23" s="87"/>
      <c r="K23" s="911">
        <f t="shared" ref="K23:K25" si="41">+I23+AE23</f>
        <v>0</v>
      </c>
      <c r="L23" s="484">
        <f>+K23+F23</f>
        <v>0</v>
      </c>
      <c r="M23" s="911">
        <f t="shared" ref="M23:M25" si="42">+D23-L23</f>
        <v>161.55964594</v>
      </c>
      <c r="N23" s="87"/>
      <c r="O23" s="484">
        <v>0</v>
      </c>
      <c r="P23" s="484">
        <v>0</v>
      </c>
      <c r="Q23" s="484">
        <v>78.33</v>
      </c>
      <c r="R23" s="484">
        <v>52.22</v>
      </c>
      <c r="S23" s="484">
        <v>31.070899999999998</v>
      </c>
      <c r="T23" s="87"/>
      <c r="U23" s="484">
        <f t="shared" ref="U23:U25" si="43">+SUMIFS(O23:S23,O$8:S$8,$U$11)</f>
        <v>161.62090000000001</v>
      </c>
      <c r="V23" s="484">
        <f t="shared" ref="V23:V25" si="44">+SUMIFS(O23:S23,O$8:S$8,$V$11)</f>
        <v>0</v>
      </c>
      <c r="W23" s="484">
        <f t="shared" ref="W23:W25" si="45">+SUMIFS(O23:S23,O$8:S$8,$W$11)</f>
        <v>0</v>
      </c>
      <c r="X23" s="2"/>
      <c r="Y23" s="484">
        <f t="shared" ref="Y23:Y25" si="46">+L23+M23</f>
        <v>161.55964594</v>
      </c>
      <c r="Z23" s="484">
        <v>0</v>
      </c>
      <c r="AA23" s="466"/>
      <c r="AB23" s="466"/>
      <c r="AC23" s="484"/>
      <c r="AD23" s="87"/>
      <c r="AE23" s="484"/>
      <c r="AF23" s="279"/>
      <c r="AG23" s="87"/>
      <c r="AH23" s="916">
        <f t="shared" ref="AH23:AH25" si="47">SUM(AK23:AO23)</f>
        <v>0</v>
      </c>
      <c r="AI23" s="918">
        <f t="shared" ref="AI23:AI25" si="48">SUM(AK23:AL23)</f>
        <v>0</v>
      </c>
      <c r="AJ23" s="918">
        <f t="shared" ref="AJ23:AJ25" si="49">+AM23</f>
        <v>0</v>
      </c>
      <c r="AK23" s="476"/>
      <c r="AL23" s="476"/>
      <c r="AM23" s="476"/>
      <c r="AN23" s="476"/>
      <c r="AO23" s="476"/>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row>
    <row r="24" spans="1:218" s="5" customFormat="1" ht="18" customHeight="1" outlineLevel="1" x14ac:dyDescent="0.25">
      <c r="A24" s="1315"/>
      <c r="B24" s="1314"/>
      <c r="C24" s="1317"/>
      <c r="D24" s="1316"/>
      <c r="E24" s="2"/>
      <c r="F24" s="1026">
        <f t="shared" si="39"/>
        <v>0</v>
      </c>
      <c r="G24" s="87"/>
      <c r="H24" s="484"/>
      <c r="I24" s="911">
        <f t="shared" si="40"/>
        <v>0</v>
      </c>
      <c r="J24" s="87"/>
      <c r="K24" s="911">
        <f t="shared" si="41"/>
        <v>0</v>
      </c>
      <c r="L24" s="484">
        <f>+K24+F24</f>
        <v>0</v>
      </c>
      <c r="M24" s="911">
        <f t="shared" si="42"/>
        <v>0</v>
      </c>
      <c r="N24" s="87"/>
      <c r="O24" s="484"/>
      <c r="P24" s="484"/>
      <c r="Q24" s="484"/>
      <c r="R24" s="484"/>
      <c r="S24" s="484"/>
      <c r="T24" s="87"/>
      <c r="U24" s="484">
        <f t="shared" si="43"/>
        <v>0</v>
      </c>
      <c r="V24" s="484">
        <f t="shared" si="44"/>
        <v>0</v>
      </c>
      <c r="W24" s="484">
        <f t="shared" si="45"/>
        <v>0</v>
      </c>
      <c r="X24" s="2"/>
      <c r="Y24" s="484">
        <f t="shared" si="46"/>
        <v>0</v>
      </c>
      <c r="Z24" s="484">
        <v>0</v>
      </c>
      <c r="AA24" s="466"/>
      <c r="AB24" s="466"/>
      <c r="AC24" s="484"/>
      <c r="AD24" s="87"/>
      <c r="AE24" s="484"/>
      <c r="AF24" s="279"/>
      <c r="AG24" s="87"/>
      <c r="AH24" s="916">
        <f t="shared" si="47"/>
        <v>0</v>
      </c>
      <c r="AI24" s="918">
        <f t="shared" si="48"/>
        <v>0</v>
      </c>
      <c r="AJ24" s="918">
        <f t="shared" si="49"/>
        <v>0</v>
      </c>
      <c r="AK24" s="476"/>
      <c r="AL24" s="476"/>
      <c r="AM24" s="476"/>
      <c r="AN24" s="476"/>
      <c r="AO24" s="476"/>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row>
    <row r="25" spans="1:218" s="5" customFormat="1" ht="18" customHeight="1" outlineLevel="1" x14ac:dyDescent="0.25">
      <c r="A25" s="1315"/>
      <c r="B25" s="1314"/>
      <c r="C25" s="1317"/>
      <c r="D25" s="1316"/>
      <c r="E25" s="2"/>
      <c r="F25" s="1026">
        <f t="shared" si="39"/>
        <v>0</v>
      </c>
      <c r="G25" s="87"/>
      <c r="H25" s="484"/>
      <c r="I25" s="911">
        <f t="shared" si="40"/>
        <v>0</v>
      </c>
      <c r="J25" s="87"/>
      <c r="K25" s="911">
        <f t="shared" si="41"/>
        <v>0</v>
      </c>
      <c r="L25" s="484">
        <f>+K25+F25</f>
        <v>0</v>
      </c>
      <c r="M25" s="911">
        <f t="shared" si="42"/>
        <v>0</v>
      </c>
      <c r="N25" s="87"/>
      <c r="O25" s="484"/>
      <c r="P25" s="484"/>
      <c r="Q25" s="484"/>
      <c r="R25" s="484"/>
      <c r="S25" s="484"/>
      <c r="T25" s="87"/>
      <c r="U25" s="484">
        <f t="shared" si="43"/>
        <v>0</v>
      </c>
      <c r="V25" s="484">
        <f t="shared" si="44"/>
        <v>0</v>
      </c>
      <c r="W25" s="484">
        <f t="shared" si="45"/>
        <v>0</v>
      </c>
      <c r="X25" s="2"/>
      <c r="Y25" s="484">
        <f t="shared" si="46"/>
        <v>0</v>
      </c>
      <c r="Z25" s="484">
        <v>0</v>
      </c>
      <c r="AA25" s="466"/>
      <c r="AB25" s="466"/>
      <c r="AC25" s="484"/>
      <c r="AD25" s="87"/>
      <c r="AE25" s="484"/>
      <c r="AF25" s="279"/>
      <c r="AG25" s="87"/>
      <c r="AH25" s="916">
        <f t="shared" si="47"/>
        <v>0</v>
      </c>
      <c r="AI25" s="918">
        <f t="shared" si="48"/>
        <v>0</v>
      </c>
      <c r="AJ25" s="918">
        <f t="shared" si="49"/>
        <v>0</v>
      </c>
      <c r="AK25" s="476"/>
      <c r="AL25" s="476"/>
      <c r="AM25" s="476"/>
      <c r="AN25" s="476"/>
      <c r="AO25" s="476"/>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row>
    <row r="26" spans="1:218" s="88" customFormat="1" ht="21" customHeight="1" x14ac:dyDescent="0.3">
      <c r="A26" s="1020"/>
      <c r="B26" s="157" t="str">
        <f>+"TOTAL EQ PROPIOS FASE  "&amp;A22&amp;" : "&amp;B22</f>
        <v>TOTAL EQ PROPIOS FASE  200 : MOVIMIENTO DE TIERRAS</v>
      </c>
      <c r="C26" s="158" t="s">
        <v>29</v>
      </c>
      <c r="D26" s="1148"/>
      <c r="E26" s="317"/>
      <c r="F26" s="472">
        <f>SUM(F23:F25)</f>
        <v>0</v>
      </c>
      <c r="G26" s="471"/>
      <c r="H26" s="473">
        <f>+SUMIF($A23:$A25,$C26,H23:H25)</f>
        <v>0</v>
      </c>
      <c r="I26" s="473">
        <f>+SUMIF($A23:$A25,$C26,I23:I25)</f>
        <v>0</v>
      </c>
      <c r="J26" s="471"/>
      <c r="K26" s="472">
        <f>+SUMIF($A23:$A25,$C26,K23:K25)</f>
        <v>0</v>
      </c>
      <c r="L26" s="470">
        <f>+SUMIF($A23:$A25,$C26,L23:L25)</f>
        <v>0</v>
      </c>
      <c r="M26" s="470">
        <f>+SUMIF($A23:$A25,$C26,M23:M25)</f>
        <v>0</v>
      </c>
      <c r="N26" s="471"/>
      <c r="O26" s="472">
        <f t="shared" ref="O26:T26" si="50">+SUMIF($A23:$A25,$C26,O23:O25)</f>
        <v>0</v>
      </c>
      <c r="P26" s="470">
        <f t="shared" si="50"/>
        <v>0</v>
      </c>
      <c r="Q26" s="470">
        <f t="shared" si="50"/>
        <v>0</v>
      </c>
      <c r="R26" s="470">
        <f t="shared" si="50"/>
        <v>0</v>
      </c>
      <c r="S26" s="470">
        <f t="shared" si="50"/>
        <v>0</v>
      </c>
      <c r="T26" s="483">
        <f t="shared" si="50"/>
        <v>0</v>
      </c>
      <c r="U26" s="480">
        <f ca="1">+SUMIF($A24:$A26,$C26,U24:U25)</f>
        <v>0</v>
      </c>
      <c r="V26" s="480">
        <f ca="1">+SUMIF($A24:$A26,$C26,V24:V25)</f>
        <v>0</v>
      </c>
      <c r="W26" s="480">
        <f ca="1">+SUMIF($A24:$A26,$C26,W24:W25)</f>
        <v>0</v>
      </c>
      <c r="X26" s="2"/>
      <c r="Y26" s="480">
        <f ca="1">+SUMIF($A23:$A26,$C26,Y23:Y25)</f>
        <v>0</v>
      </c>
      <c r="Z26" s="480">
        <f ca="1">+SUMIF($A23:$A26,$C26,Z23:Z25)</f>
        <v>0</v>
      </c>
      <c r="AA26" s="480">
        <f ca="1">+SUMIF($A23:$A26,$C26,AA23:AA25)</f>
        <v>0</v>
      </c>
      <c r="AB26" s="480">
        <f ca="1">+SUMIF($A23:$A26,$C26,AB23:AB25)</f>
        <v>0</v>
      </c>
      <c r="AC26" s="480">
        <f ca="1">+SUMIF($A23:$A26,$C26,AC23:AC25)</f>
        <v>0</v>
      </c>
      <c r="AD26" s="471"/>
      <c r="AE26" s="472">
        <f ca="1">+SUMIF($A23:$A26,$C26,AE23:AE25)</f>
        <v>0</v>
      </c>
      <c r="AF26" s="467"/>
      <c r="AG26" s="474"/>
      <c r="AH26" s="475">
        <f t="shared" ref="AH26:AH29" si="51">SUM(AI26:AO26)</f>
        <v>0</v>
      </c>
      <c r="AI26" s="462"/>
      <c r="AJ26" s="462">
        <f t="shared" ref="AJ26:AO26" si="52">+SUMIF($A$23:$A$25,$C26,AJ23:AJ25)</f>
        <v>0</v>
      </c>
      <c r="AK26" s="462">
        <f t="shared" si="52"/>
        <v>0</v>
      </c>
      <c r="AL26" s="462">
        <f t="shared" si="52"/>
        <v>0</v>
      </c>
      <c r="AM26" s="462">
        <f t="shared" si="52"/>
        <v>0</v>
      </c>
      <c r="AN26" s="462">
        <f t="shared" si="52"/>
        <v>0</v>
      </c>
      <c r="AO26" s="462">
        <f t="shared" si="52"/>
        <v>0</v>
      </c>
    </row>
    <row r="27" spans="1:218" s="934" customFormat="1" ht="18" customHeight="1" x14ac:dyDescent="0.3">
      <c r="A27" s="1019"/>
      <c r="B27" s="933"/>
      <c r="C27" s="908"/>
      <c r="D27" s="1149"/>
      <c r="F27" s="1026">
        <f t="shared" ref="F27:F28" si="53">+SUM(AI27)</f>
        <v>0</v>
      </c>
      <c r="G27" s="925"/>
      <c r="H27" s="935"/>
      <c r="I27" s="911">
        <f t="shared" ref="I27:I28" si="54">+AJ27</f>
        <v>0</v>
      </c>
      <c r="J27" s="925"/>
      <c r="K27" s="911">
        <f t="shared" ref="K27:K28" si="55">+I27+AE27</f>
        <v>0</v>
      </c>
      <c r="L27" s="935">
        <f>+K27+F27</f>
        <v>0</v>
      </c>
      <c r="M27" s="911">
        <f t="shared" ref="M27:M28" si="56">+D27-L27</f>
        <v>0</v>
      </c>
      <c r="N27" s="925"/>
      <c r="O27" s="935"/>
      <c r="P27" s="935"/>
      <c r="Q27" s="935"/>
      <c r="R27" s="935"/>
      <c r="S27" s="935"/>
      <c r="T27" s="925"/>
      <c r="U27" s="935">
        <f t="shared" ref="U27:U28" si="57">+SUMIFS(O27:S27,O$8:S$8,$U$11)</f>
        <v>0</v>
      </c>
      <c r="V27" s="935">
        <f t="shared" ref="V27:V28" si="58">+SUMIFS(O27:S27,O$8:S$8,$V$11)</f>
        <v>0</v>
      </c>
      <c r="W27" s="935">
        <f t="shared" ref="W27:W28" si="59">+SUMIFS(O27:S27,O$8:S$8,$W$11)</f>
        <v>0</v>
      </c>
      <c r="X27" s="910"/>
      <c r="Y27" s="935">
        <f t="shared" ref="Y27:Y28" si="60">+L27+M27</f>
        <v>0</v>
      </c>
      <c r="Z27" s="935">
        <v>0</v>
      </c>
      <c r="AA27" s="935"/>
      <c r="AB27" s="935"/>
      <c r="AC27" s="935"/>
      <c r="AD27" s="925"/>
      <c r="AE27" s="935"/>
      <c r="AF27" s="936"/>
      <c r="AG27" s="925"/>
      <c r="AH27" s="916">
        <f t="shared" ref="AH27:AH28" si="61">SUM(AK27:AO27)</f>
        <v>0</v>
      </c>
      <c r="AI27" s="918">
        <f t="shared" ref="AI27:AI28" si="62">SUM(AK27:AL27)</f>
        <v>0</v>
      </c>
      <c r="AJ27" s="918">
        <f t="shared" ref="AJ27:AJ28" si="63">+AM27</f>
        <v>0</v>
      </c>
      <c r="AK27" s="916"/>
      <c r="AL27" s="918"/>
      <c r="AM27" s="916"/>
      <c r="AN27" s="916"/>
      <c r="AO27" s="916"/>
    </row>
    <row r="28" spans="1:218" s="864" customFormat="1" ht="18" customHeight="1" x14ac:dyDescent="0.3">
      <c r="A28" s="1021"/>
      <c r="B28" s="871"/>
      <c r="C28" s="854"/>
      <c r="D28" s="1150"/>
      <c r="F28" s="1026">
        <f t="shared" si="53"/>
        <v>0</v>
      </c>
      <c r="G28" s="865"/>
      <c r="H28" s="872"/>
      <c r="I28" s="911">
        <f t="shared" si="54"/>
        <v>0</v>
      </c>
      <c r="J28" s="865"/>
      <c r="K28" s="911">
        <f t="shared" si="55"/>
        <v>0</v>
      </c>
      <c r="L28" s="872">
        <f>+K28+F28</f>
        <v>0</v>
      </c>
      <c r="M28" s="911">
        <f t="shared" si="56"/>
        <v>0</v>
      </c>
      <c r="N28" s="865"/>
      <c r="O28" s="872"/>
      <c r="P28" s="872"/>
      <c r="Q28" s="872"/>
      <c r="R28" s="872"/>
      <c r="S28" s="872"/>
      <c r="T28" s="865"/>
      <c r="U28" s="872">
        <f t="shared" si="57"/>
        <v>0</v>
      </c>
      <c r="V28" s="872">
        <f t="shared" si="58"/>
        <v>0</v>
      </c>
      <c r="W28" s="872">
        <f t="shared" si="59"/>
        <v>0</v>
      </c>
      <c r="X28" s="2"/>
      <c r="Y28" s="872">
        <f t="shared" si="60"/>
        <v>0</v>
      </c>
      <c r="Z28" s="872">
        <v>0</v>
      </c>
      <c r="AA28" s="872"/>
      <c r="AB28" s="872"/>
      <c r="AC28" s="872"/>
      <c r="AD28" s="865"/>
      <c r="AE28" s="872"/>
      <c r="AF28" s="870"/>
      <c r="AG28" s="865"/>
      <c r="AH28" s="916">
        <f t="shared" si="61"/>
        <v>0</v>
      </c>
      <c r="AI28" s="918">
        <f t="shared" si="62"/>
        <v>0</v>
      </c>
      <c r="AJ28" s="918">
        <f t="shared" si="63"/>
        <v>0</v>
      </c>
      <c r="AK28" s="869"/>
      <c r="AL28" s="869"/>
      <c r="AM28" s="869"/>
      <c r="AN28" s="869"/>
      <c r="AO28" s="869"/>
    </row>
    <row r="29" spans="1:218" s="88" customFormat="1" ht="21" customHeight="1" x14ac:dyDescent="0.3">
      <c r="A29" s="1020"/>
      <c r="B29" s="159" t="str">
        <f>+"TOTAL EQ TERCEROS FASE  "&amp;A22&amp;" : "&amp;B22</f>
        <v>TOTAL EQ TERCEROS FASE  200 : MOVIMIENTO DE TIERRAS</v>
      </c>
      <c r="C29" s="160" t="s">
        <v>29</v>
      </c>
      <c r="D29" s="1146"/>
      <c r="F29" s="472">
        <f>SUM(F27:F28)</f>
        <v>0</v>
      </c>
      <c r="G29" s="474"/>
      <c r="H29" s="473">
        <f ca="1">+SUMIF($A27:$A29,$C29,H27:H28)</f>
        <v>0</v>
      </c>
      <c r="I29" s="473">
        <f ca="1">+SUMIF($A27:$A29,$C29,I27:I28)</f>
        <v>0</v>
      </c>
      <c r="J29" s="474"/>
      <c r="K29" s="480">
        <f ca="1">+SUMIF($A27:$A29,$C29,K27:K28)</f>
        <v>0</v>
      </c>
      <c r="L29" s="473">
        <f ca="1">+SUMIF($A27:$A29,$C29,L27:L28)</f>
        <v>0</v>
      </c>
      <c r="M29" s="473">
        <f ca="1">+SUMIF($A27:$A29,$C29,M27:M28)</f>
        <v>0</v>
      </c>
      <c r="N29" s="474"/>
      <c r="O29" s="480">
        <f ca="1">+SUMIF($A27:$A29,$C29,O27:O28)</f>
        <v>0</v>
      </c>
      <c r="P29" s="480">
        <f ca="1">+SUMIF($A27:$A29,$C29,P27:P28)</f>
        <v>0</v>
      </c>
      <c r="Q29" s="480">
        <f ca="1">+SUMIF($A27:$A29,$C29,Q27:Q28)</f>
        <v>0</v>
      </c>
      <c r="R29" s="480">
        <f ca="1">+SUMIF($A27:$A29,$C29,R27:R28)</f>
        <v>0</v>
      </c>
      <c r="S29" s="480">
        <f ca="1">+SUMIF($A27:$A29,$C29,S27:S28)</f>
        <v>0</v>
      </c>
      <c r="T29" s="474"/>
      <c r="U29" s="480">
        <f ca="1">+SUMIF($A27:$A29,$C29,U27:U28)</f>
        <v>0</v>
      </c>
      <c r="V29" s="480">
        <f ca="1">+SUMIF($A27:$A29,$C29,V27:V28)</f>
        <v>0</v>
      </c>
      <c r="W29" s="480">
        <f ca="1">+SUMIF($A27:$A29,$C29,W27:W28)</f>
        <v>0</v>
      </c>
      <c r="X29" s="2"/>
      <c r="Y29" s="480">
        <f ca="1">+SUMIF($A27:$A29,$C29,Y27:Y28)</f>
        <v>0</v>
      </c>
      <c r="Z29" s="480">
        <f ca="1">+SUMIF($A27:$A29,$C29,Z27:Z28)</f>
        <v>0</v>
      </c>
      <c r="AA29" s="480">
        <f ca="1">+SUMIF($A27:$A29,$C29,AA27:AA28)</f>
        <v>0</v>
      </c>
      <c r="AB29" s="480">
        <f ca="1">+SUMIF($A27:$A29,$C29,AB27:AB28)</f>
        <v>0</v>
      </c>
      <c r="AC29" s="480">
        <f ca="1">+SUMIF($A27:$A29,$C29,AC27:AC28)</f>
        <v>0</v>
      </c>
      <c r="AD29" s="474"/>
      <c r="AE29" s="480">
        <f ca="1">+SUMIF($A27:$A29,$C29,AE27:AE28)</f>
        <v>0</v>
      </c>
      <c r="AF29" s="467"/>
      <c r="AG29" s="474"/>
      <c r="AH29" s="475">
        <f t="shared" si="51"/>
        <v>0</v>
      </c>
      <c r="AI29" s="462"/>
      <c r="AJ29" s="462">
        <f t="shared" ref="AJ29:AO29" si="64">+SUMIF($A$27:$A$28,$C29,AJ27:AJ28)</f>
        <v>0</v>
      </c>
      <c r="AK29" s="462">
        <f t="shared" si="64"/>
        <v>0</v>
      </c>
      <c r="AL29" s="462">
        <f t="shared" si="64"/>
        <v>0</v>
      </c>
      <c r="AM29" s="462">
        <f t="shared" si="64"/>
        <v>0</v>
      </c>
      <c r="AN29" s="462">
        <f t="shared" si="64"/>
        <v>0</v>
      </c>
      <c r="AO29" s="462">
        <f t="shared" si="64"/>
        <v>0</v>
      </c>
    </row>
    <row r="30" spans="1:218" s="88" customFormat="1" ht="21" customHeight="1" x14ac:dyDescent="0.3">
      <c r="A30" s="139"/>
      <c r="C30" s="161"/>
      <c r="D30" s="1147"/>
      <c r="F30" s="481"/>
      <c r="G30" s="474"/>
      <c r="H30" s="481"/>
      <c r="I30" s="481"/>
      <c r="J30" s="474"/>
      <c r="K30" s="481"/>
      <c r="L30" s="481"/>
      <c r="M30" s="481"/>
      <c r="N30" s="474"/>
      <c r="O30" s="481"/>
      <c r="P30" s="481"/>
      <c r="Q30" s="481"/>
      <c r="R30" s="481"/>
      <c r="S30" s="481"/>
      <c r="T30" s="474"/>
      <c r="U30" s="481"/>
      <c r="V30" s="481"/>
      <c r="W30" s="481"/>
      <c r="X30" s="2"/>
      <c r="Y30" s="481">
        <f ca="1">+Z29-Y29</f>
        <v>0</v>
      </c>
      <c r="Z30" s="481"/>
      <c r="AA30" s="481"/>
      <c r="AB30" s="481"/>
      <c r="AC30" s="481"/>
      <c r="AD30" s="481"/>
      <c r="AE30" s="481"/>
      <c r="AF30" s="467"/>
      <c r="AG30" s="474"/>
      <c r="AH30" s="465"/>
      <c r="AI30" s="465"/>
      <c r="AJ30" s="465"/>
      <c r="AK30" s="465"/>
      <c r="AL30" s="465"/>
      <c r="AM30" s="465"/>
      <c r="AN30" s="465"/>
      <c r="AO30" s="465"/>
    </row>
    <row r="31" spans="1:218" s="86" customFormat="1" ht="26.25" customHeight="1" x14ac:dyDescent="0.3">
      <c r="A31" s="98">
        <f>+MO!A36</f>
        <v>300</v>
      </c>
      <c r="B31" s="102" t="str">
        <f>+MO!B36</f>
        <v xml:space="preserve">CONCRETO </v>
      </c>
      <c r="C31" s="544"/>
      <c r="D31" s="465"/>
      <c r="F31" s="465"/>
      <c r="G31" s="465"/>
      <c r="H31" s="465"/>
      <c r="I31" s="465"/>
      <c r="J31" s="465"/>
      <c r="K31" s="465"/>
      <c r="L31" s="465"/>
      <c r="M31" s="465"/>
      <c r="N31" s="465"/>
      <c r="O31" s="174"/>
      <c r="P31" s="174"/>
      <c r="Q31" s="174"/>
      <c r="R31" s="174"/>
      <c r="S31" s="174"/>
      <c r="T31" s="482"/>
      <c r="U31" s="465"/>
      <c r="V31" s="465"/>
      <c r="W31" s="465"/>
      <c r="X31" s="2"/>
      <c r="Y31" s="465"/>
      <c r="Z31" s="465"/>
      <c r="AA31" s="465"/>
      <c r="AB31" s="465"/>
      <c r="AC31" s="465"/>
      <c r="AD31" s="465"/>
      <c r="AE31" s="465"/>
      <c r="AF31" s="467"/>
      <c r="AG31" s="465"/>
      <c r="AH31" s="465"/>
      <c r="AI31" s="465"/>
      <c r="AJ31" s="465"/>
      <c r="AK31" s="465"/>
      <c r="AL31" s="465"/>
      <c r="AM31" s="465"/>
      <c r="AN31" s="465"/>
      <c r="AO31" s="465"/>
    </row>
    <row r="32" spans="1:218" s="910" customFormat="1" ht="18" customHeight="1" x14ac:dyDescent="0.25">
      <c r="A32" s="1310" t="s">
        <v>349</v>
      </c>
      <c r="B32" s="1309" t="s">
        <v>375</v>
      </c>
      <c r="C32" s="909" t="s">
        <v>29</v>
      </c>
      <c r="D32" s="1030">
        <v>2980.0058011000001</v>
      </c>
      <c r="F32" s="1026">
        <f t="shared" ref="F32:F33" si="65">+SUM(AI32)</f>
        <v>0</v>
      </c>
      <c r="G32" s="912"/>
      <c r="H32" s="911"/>
      <c r="I32" s="911">
        <f t="shared" ref="I32:I33" si="66">+AJ32</f>
        <v>1846.7</v>
      </c>
      <c r="J32" s="912"/>
      <c r="K32" s="911">
        <f t="shared" ref="K32:K33" si="67">+I32+AE32</f>
        <v>1846.7</v>
      </c>
      <c r="L32" s="911">
        <f>+K32+F32</f>
        <v>1846.7</v>
      </c>
      <c r="M32" s="911">
        <f t="shared" ref="M32:M33" si="68">+D32-L32</f>
        <v>1133.3058011000001</v>
      </c>
      <c r="N32" s="912"/>
      <c r="O32" s="911"/>
      <c r="P32" s="911"/>
      <c r="Q32" s="911"/>
      <c r="R32" s="911"/>
      <c r="S32" s="911"/>
      <c r="T32" s="912"/>
      <c r="U32" s="911">
        <f t="shared" ref="U32:U33" si="69">+SUMIFS(O32:S32,O$8:S$8,$U$11)</f>
        <v>0</v>
      </c>
      <c r="V32" s="911">
        <f t="shared" ref="V32:V33" si="70">+SUMIFS(O32:S32,O$8:S$8,$V$11)</f>
        <v>0</v>
      </c>
      <c r="W32" s="911">
        <f t="shared" ref="W32:W33" si="71">+SUMIFS(O32:S32,O$8:S$8,$W$11)</f>
        <v>0</v>
      </c>
      <c r="Y32" s="911">
        <f t="shared" ref="Y32:Y33" si="72">+L32+M32</f>
        <v>2980.0058011000001</v>
      </c>
      <c r="Z32" s="911">
        <v>0</v>
      </c>
      <c r="AA32" s="911"/>
      <c r="AB32" s="911"/>
      <c r="AC32" s="911"/>
      <c r="AD32" s="912"/>
      <c r="AE32" s="911"/>
      <c r="AF32" s="917"/>
      <c r="AG32" s="912"/>
      <c r="AH32" s="916">
        <f t="shared" ref="AH32:AH33" si="73">SUM(AK32:AO32)</f>
        <v>2980.0309999999999</v>
      </c>
      <c r="AI32" s="918">
        <f t="shared" ref="AI32:AI33" si="74">SUM(AK32:AL32)</f>
        <v>0</v>
      </c>
      <c r="AJ32" s="918">
        <f t="shared" ref="AJ32:AJ33" si="75">+AM32</f>
        <v>1846.7</v>
      </c>
      <c r="AK32" s="916"/>
      <c r="AL32" s="916"/>
      <c r="AM32" s="916">
        <v>1846.7</v>
      </c>
      <c r="AN32" s="916">
        <v>1044.3</v>
      </c>
      <c r="AO32" s="916">
        <v>89.031000000000006</v>
      </c>
    </row>
    <row r="33" spans="1:218" s="5" customFormat="1" ht="18" customHeight="1" outlineLevel="1" x14ac:dyDescent="0.25">
      <c r="A33" s="1315" t="s">
        <v>349</v>
      </c>
      <c r="B33" s="1314" t="s">
        <v>376</v>
      </c>
      <c r="C33" s="1317" t="s">
        <v>29</v>
      </c>
      <c r="D33" s="1316">
        <v>11673.855000000003</v>
      </c>
      <c r="E33" s="2"/>
      <c r="F33" s="1026">
        <f t="shared" si="65"/>
        <v>0</v>
      </c>
      <c r="G33" s="87"/>
      <c r="H33" s="484"/>
      <c r="I33" s="911">
        <f t="shared" si="66"/>
        <v>7050</v>
      </c>
      <c r="J33" s="87"/>
      <c r="K33" s="911">
        <f t="shared" si="67"/>
        <v>7050</v>
      </c>
      <c r="L33" s="484">
        <f>+K33+F33</f>
        <v>7050</v>
      </c>
      <c r="M33" s="911">
        <f t="shared" si="68"/>
        <v>4623.8550000000032</v>
      </c>
      <c r="N33" s="87"/>
      <c r="O33" s="466"/>
      <c r="P33" s="466"/>
      <c r="Q33" s="466"/>
      <c r="R33" s="466"/>
      <c r="S33" s="466"/>
      <c r="T33" s="87"/>
      <c r="U33" s="484">
        <f t="shared" si="69"/>
        <v>0</v>
      </c>
      <c r="V33" s="484">
        <f t="shared" si="70"/>
        <v>0</v>
      </c>
      <c r="W33" s="484">
        <f t="shared" si="71"/>
        <v>0</v>
      </c>
      <c r="X33" s="2"/>
      <c r="Y33" s="484">
        <f t="shared" si="72"/>
        <v>11673.855000000003</v>
      </c>
      <c r="Z33" s="484">
        <v>0</v>
      </c>
      <c r="AA33" s="466"/>
      <c r="AB33" s="466"/>
      <c r="AC33" s="484"/>
      <c r="AD33" s="87"/>
      <c r="AE33" s="484"/>
      <c r="AF33" s="279"/>
      <c r="AG33" s="87"/>
      <c r="AH33" s="916">
        <f t="shared" si="73"/>
        <v>11673.9</v>
      </c>
      <c r="AI33" s="918">
        <f t="shared" si="74"/>
        <v>0</v>
      </c>
      <c r="AJ33" s="918">
        <f t="shared" si="75"/>
        <v>7050</v>
      </c>
      <c r="AK33" s="476"/>
      <c r="AL33" s="476"/>
      <c r="AM33" s="476">
        <v>7050</v>
      </c>
      <c r="AN33" s="476">
        <v>4110</v>
      </c>
      <c r="AO33" s="476">
        <v>513.9</v>
      </c>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row>
    <row r="34" spans="1:218" s="88" customFormat="1" ht="21" customHeight="1" x14ac:dyDescent="0.3">
      <c r="A34" s="1020"/>
      <c r="B34" s="159" t="str">
        <f>+"TOTAL EQ PROPIOS FASE  "&amp;A31&amp;" : "&amp;B31</f>
        <v xml:space="preserve">TOTAL EQ PROPIOS FASE  300 : CONCRETO </v>
      </c>
      <c r="C34" s="160" t="s">
        <v>29</v>
      </c>
      <c r="D34" s="1146">
        <f>SUM(D32:D33)</f>
        <v>14653.860801100003</v>
      </c>
      <c r="F34" s="480">
        <f>SUM(F32:F33)</f>
        <v>0</v>
      </c>
      <c r="G34" s="474"/>
      <c r="H34" s="473">
        <f ca="1">+SUMIF($A28:$A34,$C34,H28:H33)</f>
        <v>0</v>
      </c>
      <c r="I34" s="480">
        <f>+SUMIF($A32:$A33,$C34,I32:I33)</f>
        <v>0</v>
      </c>
      <c r="J34" s="474"/>
      <c r="K34" s="480">
        <f>+SUMIF($A32:$A33,$C34,K32:K33)</f>
        <v>0</v>
      </c>
      <c r="L34" s="480">
        <f>+SUMIF($A32:$A33,$C34,L32:L33)</f>
        <v>0</v>
      </c>
      <c r="M34" s="480">
        <f>+SUMIF($A32:$A33,$C34,M32:M33)</f>
        <v>0</v>
      </c>
      <c r="N34" s="474"/>
      <c r="O34" s="480">
        <f>+SUMIF($A32:$A33,$C34,O32:O33)</f>
        <v>0</v>
      </c>
      <c r="P34" s="480">
        <f>+SUMIF($A32:$A33,$C34,P32:P33)</f>
        <v>0</v>
      </c>
      <c r="Q34" s="480">
        <f>+SUMIF($A32:$A33,$C34,Q32:Q33)</f>
        <v>0</v>
      </c>
      <c r="R34" s="480">
        <f>+SUMIF($A32:$A33,$C34,R32:R33)</f>
        <v>0</v>
      </c>
      <c r="S34" s="480">
        <f>+SUMIF($A32:$A33,$C34,S32:S33)</f>
        <v>0</v>
      </c>
      <c r="T34" s="474"/>
      <c r="U34" s="480">
        <f>+SUMIF($A32:$A33,$C34,U32:U33)</f>
        <v>0</v>
      </c>
      <c r="V34" s="480">
        <f>+SUMIF($A32:$A33,$C34,V32:V33)</f>
        <v>0</v>
      </c>
      <c r="W34" s="480">
        <f>+SUMIF($A32:$A33,$C34,W32:W33)</f>
        <v>0</v>
      </c>
      <c r="X34" s="6"/>
      <c r="Y34" s="480">
        <f>+SUMIF($A32:$A33,$C34,Y32:Y33)</f>
        <v>0</v>
      </c>
      <c r="Z34" s="480">
        <f>+SUMIF($A32:$A33,$C34,Z32:Z33)</f>
        <v>0</v>
      </c>
      <c r="AA34" s="480">
        <f>+SUMIF($A32:$A33,$C34,AA32:AA33)</f>
        <v>0</v>
      </c>
      <c r="AB34" s="480">
        <f>+SUMIF($A32:$A33,$C34,AB32:AB33)</f>
        <v>0</v>
      </c>
      <c r="AC34" s="480">
        <f>+SUMIF($A32:$A33,$C34,AC32:AC33)</f>
        <v>0</v>
      </c>
      <c r="AD34" s="474"/>
      <c r="AE34" s="480">
        <f>+SUMIF($A32:$A33,$C34,AE32:AE33)</f>
        <v>0</v>
      </c>
      <c r="AF34" s="474"/>
      <c r="AG34" s="474"/>
      <c r="AH34" s="1037">
        <f t="shared" ref="AH34:AN34" si="76">SUM(AH32:AH33)</f>
        <v>14653.931</v>
      </c>
      <c r="AI34" s="1037">
        <f t="shared" si="76"/>
        <v>0</v>
      </c>
      <c r="AJ34" s="1037">
        <f t="shared" si="76"/>
        <v>8896.7000000000007</v>
      </c>
      <c r="AK34" s="1037">
        <f t="shared" si="76"/>
        <v>0</v>
      </c>
      <c r="AL34" s="1037">
        <f t="shared" si="76"/>
        <v>0</v>
      </c>
      <c r="AM34" s="1037">
        <f t="shared" si="76"/>
        <v>8896.7000000000007</v>
      </c>
      <c r="AN34" s="1037">
        <f t="shared" si="76"/>
        <v>5154.3</v>
      </c>
      <c r="AO34" s="1037">
        <f>SUM(AO32:AO33)</f>
        <v>602.93100000000004</v>
      </c>
    </row>
    <row r="35" spans="1:218" s="910" customFormat="1" ht="18" customHeight="1" x14ac:dyDescent="0.25">
      <c r="A35" s="1310"/>
      <c r="B35" s="1309"/>
      <c r="C35" s="909"/>
      <c r="D35" s="1030"/>
      <c r="F35" s="1026">
        <f t="shared" ref="F35:F37" si="77">+SUM(AI35)</f>
        <v>0</v>
      </c>
      <c r="G35" s="912"/>
      <c r="H35" s="911"/>
      <c r="I35" s="911">
        <f t="shared" ref="I35:I37" si="78">+AJ35</f>
        <v>0</v>
      </c>
      <c r="J35" s="912"/>
      <c r="K35" s="911">
        <f t="shared" ref="K35:K37" si="79">+I35+AE35</f>
        <v>0</v>
      </c>
      <c r="L35" s="911">
        <f>+K35+F35</f>
        <v>0</v>
      </c>
      <c r="M35" s="911">
        <f t="shared" ref="M35:M37" si="80">+D35-L35</f>
        <v>0</v>
      </c>
      <c r="N35" s="912"/>
      <c r="O35" s="911"/>
      <c r="P35" s="911"/>
      <c r="Q35" s="911"/>
      <c r="R35" s="911"/>
      <c r="S35" s="911"/>
      <c r="T35" s="912"/>
      <c r="U35" s="911">
        <f t="shared" ref="U35:U37" si="81">+SUMIFS(O35:S35,O$8:S$8,$U$11)</f>
        <v>0</v>
      </c>
      <c r="V35" s="911">
        <f t="shared" ref="V35:V37" si="82">+SUMIFS(O35:S35,O$8:S$8,$V$11)</f>
        <v>0</v>
      </c>
      <c r="W35" s="911">
        <f t="shared" ref="W35:W37" si="83">+SUMIFS(O35:S35,O$8:S$8,$W$11)</f>
        <v>0</v>
      </c>
      <c r="Y35" s="911">
        <f t="shared" ref="Y35:Y37" si="84">+L35+M35</f>
        <v>0</v>
      </c>
      <c r="Z35" s="911">
        <v>0</v>
      </c>
      <c r="AA35" s="911"/>
      <c r="AB35" s="911"/>
      <c r="AC35" s="911"/>
      <c r="AD35" s="912"/>
      <c r="AE35" s="911"/>
      <c r="AF35" s="917"/>
      <c r="AG35" s="912"/>
      <c r="AH35" s="916">
        <f t="shared" ref="AH35:AH37" si="85">SUM(AK35:AO35)</f>
        <v>0</v>
      </c>
      <c r="AI35" s="918">
        <f t="shared" ref="AI35:AI37" si="86">SUM(AK35:AL35)</f>
        <v>0</v>
      </c>
      <c r="AJ35" s="918">
        <f t="shared" ref="AJ35:AJ37" si="87">+AM35</f>
        <v>0</v>
      </c>
      <c r="AK35" s="916"/>
      <c r="AL35" s="916"/>
      <c r="AM35" s="916"/>
      <c r="AN35" s="916"/>
      <c r="AO35" s="916"/>
    </row>
    <row r="36" spans="1:218" ht="18" customHeight="1" x14ac:dyDescent="0.25">
      <c r="A36" s="1318"/>
      <c r="B36" s="1314"/>
      <c r="C36" s="144"/>
      <c r="D36" s="1032"/>
      <c r="F36" s="1026">
        <f t="shared" si="77"/>
        <v>0</v>
      </c>
      <c r="G36" s="87"/>
      <c r="H36" s="466"/>
      <c r="I36" s="911">
        <f t="shared" si="78"/>
        <v>0</v>
      </c>
      <c r="J36" s="87"/>
      <c r="K36" s="911">
        <f t="shared" si="79"/>
        <v>0</v>
      </c>
      <c r="L36" s="466">
        <f>+K36+F36</f>
        <v>0</v>
      </c>
      <c r="M36" s="911">
        <f t="shared" si="80"/>
        <v>0</v>
      </c>
      <c r="N36" s="87"/>
      <c r="O36" s="466"/>
      <c r="P36" s="466"/>
      <c r="Q36" s="466"/>
      <c r="R36" s="466"/>
      <c r="S36" s="466"/>
      <c r="T36" s="87"/>
      <c r="U36" s="466">
        <f t="shared" si="81"/>
        <v>0</v>
      </c>
      <c r="V36" s="466">
        <f t="shared" si="82"/>
        <v>0</v>
      </c>
      <c r="W36" s="466">
        <f t="shared" si="83"/>
        <v>0</v>
      </c>
      <c r="Y36" s="466">
        <f t="shared" si="84"/>
        <v>0</v>
      </c>
      <c r="Z36" s="466">
        <v>0</v>
      </c>
      <c r="AA36" s="466"/>
      <c r="AB36" s="466"/>
      <c r="AC36" s="466"/>
      <c r="AD36" s="87"/>
      <c r="AE36" s="466"/>
      <c r="AF36" s="279"/>
      <c r="AG36" s="87"/>
      <c r="AH36" s="916">
        <f t="shared" si="85"/>
        <v>0</v>
      </c>
      <c r="AI36" s="918">
        <f t="shared" si="86"/>
        <v>0</v>
      </c>
      <c r="AJ36" s="918">
        <f t="shared" si="87"/>
        <v>0</v>
      </c>
      <c r="AK36" s="468"/>
      <c r="AL36" s="468"/>
      <c r="AM36" s="468"/>
      <c r="AN36" s="468"/>
      <c r="AO36" s="468"/>
    </row>
    <row r="37" spans="1:218" s="856" customFormat="1" ht="18" customHeight="1" x14ac:dyDescent="0.25">
      <c r="A37" s="1319"/>
      <c r="B37" s="1320"/>
      <c r="C37" s="855"/>
      <c r="D37" s="1031"/>
      <c r="F37" s="1026">
        <f t="shared" si="77"/>
        <v>0</v>
      </c>
      <c r="G37" s="858"/>
      <c r="H37" s="857"/>
      <c r="I37" s="911">
        <f t="shared" si="78"/>
        <v>0</v>
      </c>
      <c r="J37" s="858"/>
      <c r="K37" s="911">
        <f t="shared" si="79"/>
        <v>0</v>
      </c>
      <c r="L37" s="857">
        <f>+K37+F37</f>
        <v>0</v>
      </c>
      <c r="M37" s="911">
        <f t="shared" si="80"/>
        <v>0</v>
      </c>
      <c r="N37" s="858"/>
      <c r="O37" s="857"/>
      <c r="P37" s="857"/>
      <c r="Q37" s="857"/>
      <c r="R37" s="857"/>
      <c r="S37" s="857"/>
      <c r="T37" s="858"/>
      <c r="U37" s="857">
        <f t="shared" si="81"/>
        <v>0</v>
      </c>
      <c r="V37" s="857">
        <f t="shared" si="82"/>
        <v>0</v>
      </c>
      <c r="W37" s="857">
        <f t="shared" si="83"/>
        <v>0</v>
      </c>
      <c r="X37" s="2"/>
      <c r="Y37" s="857">
        <f t="shared" si="84"/>
        <v>0</v>
      </c>
      <c r="Z37" s="857">
        <v>0</v>
      </c>
      <c r="AA37" s="857"/>
      <c r="AB37" s="857"/>
      <c r="AC37" s="857"/>
      <c r="AD37" s="858"/>
      <c r="AE37" s="857"/>
      <c r="AF37" s="859"/>
      <c r="AG37" s="858"/>
      <c r="AH37" s="916">
        <f t="shared" si="85"/>
        <v>0</v>
      </c>
      <c r="AI37" s="918">
        <f t="shared" si="86"/>
        <v>0</v>
      </c>
      <c r="AJ37" s="918">
        <f t="shared" si="87"/>
        <v>0</v>
      </c>
      <c r="AK37" s="869"/>
      <c r="AL37" s="869"/>
      <c r="AM37" s="869"/>
      <c r="AN37" s="869"/>
      <c r="AO37" s="869"/>
    </row>
    <row r="38" spans="1:218" s="88" customFormat="1" ht="21" customHeight="1" x14ac:dyDescent="0.3">
      <c r="A38" s="1020"/>
      <c r="B38" s="159" t="str">
        <f>+"TOTAL EQ TERCEROS FASE  "&amp;A31&amp;" : "&amp;B31</f>
        <v xml:space="preserve">TOTAL EQ TERCEROS FASE  300 : CONCRETO </v>
      </c>
      <c r="C38" s="160" t="s">
        <v>29</v>
      </c>
      <c r="D38" s="1146"/>
      <c r="F38" s="472">
        <f>SUM(F35:F37)</f>
        <v>0</v>
      </c>
      <c r="G38" s="474"/>
      <c r="H38" s="473">
        <f>+SUMIF($A35:$A37,$C38,H35:H37)</f>
        <v>0</v>
      </c>
      <c r="I38" s="473">
        <f>+SUMIF($A35:$A37,$C38,I35:I37)</f>
        <v>0</v>
      </c>
      <c r="J38" s="474"/>
      <c r="K38" s="480">
        <f>+SUMIF($A35:$A37,$C38,K35:K37)</f>
        <v>0</v>
      </c>
      <c r="L38" s="473">
        <f>+SUMIF($A35:$A37,$C38,L35:L37)</f>
        <v>0</v>
      </c>
      <c r="M38" s="473">
        <f>+SUMIF($A35:$A37,$C38,M35:M37)</f>
        <v>0</v>
      </c>
      <c r="N38" s="474"/>
      <c r="O38" s="480">
        <f>+SUMIF($A35:$A37,$C38,O35:O37)</f>
        <v>0</v>
      </c>
      <c r="P38" s="480">
        <f>+SUMIF($A35:$A37,$C38,P35:P37)</f>
        <v>0</v>
      </c>
      <c r="Q38" s="480">
        <f>+SUMIF($A35:$A37,$C38,Q35:Q37)</f>
        <v>0</v>
      </c>
      <c r="R38" s="480">
        <f>+SUMIF($A35:$A37,$C38,R35:R37)</f>
        <v>0</v>
      </c>
      <c r="S38" s="480">
        <f>+SUMIF($A35:$A37,$C38,S35:S37)</f>
        <v>0</v>
      </c>
      <c r="T38" s="474"/>
      <c r="U38" s="480">
        <f>+SUMIF($A35:$A37,$C38,U35:U37)</f>
        <v>0</v>
      </c>
      <c r="V38" s="480">
        <f>+SUMIF($A35:$A37,$C38,V35:V37)</f>
        <v>0</v>
      </c>
      <c r="W38" s="480">
        <f>+SUMIF($A35:$A37,$C38,W35:W37)</f>
        <v>0</v>
      </c>
      <c r="X38" s="2"/>
      <c r="Y38" s="480">
        <f>+SUMIF($A35:$A37,$C38,Y35:Y37)</f>
        <v>0</v>
      </c>
      <c r="Z38" s="480">
        <f>+SUMIF($A35:$A37,$C38,Z35:Z37)</f>
        <v>0</v>
      </c>
      <c r="AA38" s="480">
        <f>+SUMIF($A35:$A37,$C38,AA35:AA37)</f>
        <v>0</v>
      </c>
      <c r="AB38" s="480">
        <f>+SUMIF($A35:$A37,$C38,AB35:AB37)</f>
        <v>0</v>
      </c>
      <c r="AC38" s="480">
        <f>+SUMIF($A35:$A37,$C38,AC35:AC37)</f>
        <v>0</v>
      </c>
      <c r="AD38" s="474"/>
      <c r="AE38" s="480">
        <f>+SUMIF($A35:$A37,$C38,AE35:AE37)</f>
        <v>0</v>
      </c>
      <c r="AF38" s="474"/>
      <c r="AG38" s="474"/>
      <c r="AH38" s="462">
        <f t="shared" ref="AH38:AN38" si="88">SUM(AH35:AH37)</f>
        <v>0</v>
      </c>
      <c r="AI38" s="462">
        <f t="shared" si="88"/>
        <v>0</v>
      </c>
      <c r="AJ38" s="462">
        <f t="shared" si="88"/>
        <v>0</v>
      </c>
      <c r="AK38" s="462">
        <f t="shared" si="88"/>
        <v>0</v>
      </c>
      <c r="AL38" s="462">
        <f t="shared" si="88"/>
        <v>0</v>
      </c>
      <c r="AM38" s="462">
        <f t="shared" si="88"/>
        <v>0</v>
      </c>
      <c r="AN38" s="462">
        <f t="shared" si="88"/>
        <v>0</v>
      </c>
      <c r="AO38" s="462">
        <f>SUM(AO35:AO37)</f>
        <v>0</v>
      </c>
    </row>
    <row r="39" spans="1:218" s="88" customFormat="1" ht="21" customHeight="1" x14ac:dyDescent="0.3">
      <c r="A39" s="139"/>
      <c r="C39" s="161"/>
      <c r="D39" s="1147"/>
      <c r="F39" s="481"/>
      <c r="G39" s="474"/>
      <c r="H39" s="481"/>
      <c r="I39" s="481"/>
      <c r="J39" s="474"/>
      <c r="K39" s="481"/>
      <c r="L39" s="481"/>
      <c r="M39" s="481"/>
      <c r="N39" s="474"/>
      <c r="O39" s="481"/>
      <c r="P39" s="481"/>
      <c r="Q39" s="481"/>
      <c r="R39" s="481"/>
      <c r="S39" s="481"/>
      <c r="T39" s="474"/>
      <c r="U39" s="481"/>
      <c r="V39" s="481"/>
      <c r="W39" s="481"/>
      <c r="X39" s="2"/>
      <c r="Y39" s="481"/>
      <c r="Z39" s="481"/>
      <c r="AA39" s="481"/>
      <c r="AB39" s="481"/>
      <c r="AC39" s="481"/>
      <c r="AD39" s="474"/>
      <c r="AE39" s="481"/>
      <c r="AF39" s="467"/>
      <c r="AG39" s="474"/>
      <c r="AH39" s="465"/>
      <c r="AI39" s="465"/>
      <c r="AJ39" s="465"/>
      <c r="AK39" s="465"/>
      <c r="AL39" s="465"/>
      <c r="AM39" s="465"/>
      <c r="AN39" s="465"/>
      <c r="AO39" s="465"/>
    </row>
    <row r="40" spans="1:218" s="86" customFormat="1" ht="26.25" customHeight="1" x14ac:dyDescent="0.3">
      <c r="A40" s="98">
        <f>+MO!A48</f>
        <v>400</v>
      </c>
      <c r="B40" s="102" t="str">
        <f>+MO!B48</f>
        <v xml:space="preserve">ENCOFRADO </v>
      </c>
      <c r="C40" s="544"/>
      <c r="D40" s="465"/>
      <c r="F40" s="465"/>
      <c r="G40" s="465"/>
      <c r="H40" s="465"/>
      <c r="I40" s="465"/>
      <c r="J40" s="465"/>
      <c r="K40" s="465"/>
      <c r="L40" s="465"/>
      <c r="M40" s="465"/>
      <c r="N40" s="465"/>
      <c r="O40" s="174"/>
      <c r="P40" s="174"/>
      <c r="Q40" s="174"/>
      <c r="R40" s="174"/>
      <c r="S40" s="174"/>
      <c r="T40" s="465"/>
      <c r="U40" s="465"/>
      <c r="V40" s="465"/>
      <c r="W40" s="465"/>
      <c r="X40" s="2"/>
      <c r="Y40" s="465"/>
      <c r="Z40" s="465"/>
      <c r="AA40" s="465"/>
      <c r="AB40" s="465"/>
      <c r="AC40" s="465"/>
      <c r="AD40" s="465"/>
      <c r="AE40" s="465"/>
      <c r="AF40" s="467"/>
      <c r="AG40" s="465"/>
      <c r="AH40" s="465"/>
      <c r="AI40" s="465"/>
      <c r="AJ40" s="465"/>
      <c r="AK40" s="465"/>
      <c r="AL40" s="465"/>
      <c r="AM40" s="465"/>
      <c r="AN40" s="465"/>
      <c r="AO40" s="465"/>
    </row>
    <row r="41" spans="1:218" s="910" customFormat="1" ht="18" customHeight="1" x14ac:dyDescent="0.25">
      <c r="A41" s="1310"/>
      <c r="B41" s="1309"/>
      <c r="C41" s="937"/>
      <c r="D41" s="1030"/>
      <c r="F41" s="1026">
        <f t="shared" ref="F41:F42" si="89">+SUM(AI41)</f>
        <v>0</v>
      </c>
      <c r="G41" s="912"/>
      <c r="H41" s="911"/>
      <c r="I41" s="911">
        <f t="shared" ref="I41:I42" si="90">+AJ41</f>
        <v>0</v>
      </c>
      <c r="J41" s="912"/>
      <c r="K41" s="911">
        <f t="shared" ref="K41:K42" si="91">+I41+AE41</f>
        <v>0</v>
      </c>
      <c r="L41" s="911">
        <f>+K41+F41</f>
        <v>0</v>
      </c>
      <c r="M41" s="911">
        <f t="shared" ref="M41:M42" si="92">+D41-L41</f>
        <v>0</v>
      </c>
      <c r="N41" s="912"/>
      <c r="O41" s="911"/>
      <c r="P41" s="911"/>
      <c r="Q41" s="911"/>
      <c r="R41" s="911"/>
      <c r="S41" s="911"/>
      <c r="T41" s="912"/>
      <c r="U41" s="911">
        <f t="shared" ref="U41:U42" si="93">+SUMIFS(O41:S41,O$8:S$8,$U$11)</f>
        <v>0</v>
      </c>
      <c r="V41" s="911">
        <f t="shared" ref="V41:V42" si="94">+SUMIFS(O41:S41,O$8:S$8,$V$11)</f>
        <v>0</v>
      </c>
      <c r="W41" s="911">
        <f t="shared" ref="W41:W42" si="95">+SUMIFS(O41:S41,O$8:S$8,$W$11)</f>
        <v>0</v>
      </c>
      <c r="X41" s="2"/>
      <c r="Y41" s="911">
        <f t="shared" ref="Y41:Y42" si="96">+L41+M41</f>
        <v>0</v>
      </c>
      <c r="Z41" s="911">
        <v>0</v>
      </c>
      <c r="AA41" s="911"/>
      <c r="AB41" s="911"/>
      <c r="AC41" s="911"/>
      <c r="AD41" s="912"/>
      <c r="AE41" s="911"/>
      <c r="AF41" s="917"/>
      <c r="AG41" s="912"/>
      <c r="AH41" s="916">
        <f t="shared" ref="AH41:AH42" si="97">SUM(AK41:AO41)</f>
        <v>0</v>
      </c>
      <c r="AI41" s="918">
        <f t="shared" ref="AI41:AI42" si="98">SUM(AK41:AL41)</f>
        <v>0</v>
      </c>
      <c r="AJ41" s="918">
        <f t="shared" ref="AJ41:AJ42" si="99">+AM41</f>
        <v>0</v>
      </c>
      <c r="AK41" s="916"/>
      <c r="AL41" s="916"/>
      <c r="AM41" s="916"/>
      <c r="AN41" s="916"/>
      <c r="AO41" s="916"/>
    </row>
    <row r="42" spans="1:218" s="910" customFormat="1" ht="18" customHeight="1" x14ac:dyDescent="0.25">
      <c r="A42" s="1310"/>
      <c r="B42" s="1309"/>
      <c r="C42" s="937"/>
      <c r="D42" s="1030"/>
      <c r="F42" s="1026">
        <f t="shared" si="89"/>
        <v>0</v>
      </c>
      <c r="G42" s="912"/>
      <c r="H42" s="911"/>
      <c r="I42" s="911">
        <f t="shared" si="90"/>
        <v>0</v>
      </c>
      <c r="J42" s="912"/>
      <c r="K42" s="911">
        <f t="shared" si="91"/>
        <v>0</v>
      </c>
      <c r="L42" s="911">
        <f>+K42+F42</f>
        <v>0</v>
      </c>
      <c r="M42" s="911">
        <f t="shared" si="92"/>
        <v>0</v>
      </c>
      <c r="N42" s="912"/>
      <c r="O42" s="911"/>
      <c r="P42" s="911"/>
      <c r="Q42" s="911"/>
      <c r="R42" s="911"/>
      <c r="S42" s="911"/>
      <c r="T42" s="912"/>
      <c r="U42" s="911">
        <f t="shared" si="93"/>
        <v>0</v>
      </c>
      <c r="V42" s="911">
        <f t="shared" si="94"/>
        <v>0</v>
      </c>
      <c r="W42" s="911">
        <f t="shared" si="95"/>
        <v>0</v>
      </c>
      <c r="X42" s="2"/>
      <c r="Y42" s="911">
        <f t="shared" si="96"/>
        <v>0</v>
      </c>
      <c r="Z42" s="911">
        <v>0</v>
      </c>
      <c r="AA42" s="911"/>
      <c r="AB42" s="911"/>
      <c r="AC42" s="911"/>
      <c r="AD42" s="912"/>
      <c r="AE42" s="911"/>
      <c r="AF42" s="917"/>
      <c r="AG42" s="912"/>
      <c r="AH42" s="916">
        <f t="shared" si="97"/>
        <v>0</v>
      </c>
      <c r="AI42" s="918">
        <f t="shared" si="98"/>
        <v>0</v>
      </c>
      <c r="AJ42" s="918">
        <f t="shared" si="99"/>
        <v>0</v>
      </c>
      <c r="AK42" s="916"/>
      <c r="AL42" s="916"/>
      <c r="AM42" s="916"/>
      <c r="AN42" s="916"/>
      <c r="AO42" s="916"/>
    </row>
    <row r="43" spans="1:218" s="88" customFormat="1" ht="21" customHeight="1" x14ac:dyDescent="0.3">
      <c r="A43" s="1020"/>
      <c r="B43" s="159" t="str">
        <f>+"TOTAL EQ PROPIOS FASE  "&amp;A40&amp;" : "&amp;B40</f>
        <v xml:space="preserve">TOTAL EQ PROPIOS FASE  400 : ENCOFRADO </v>
      </c>
      <c r="C43" s="160" t="s">
        <v>29</v>
      </c>
      <c r="D43" s="1146"/>
      <c r="F43" s="480">
        <f>SUM(F41:F42)</f>
        <v>0</v>
      </c>
      <c r="G43" s="474"/>
      <c r="H43" s="473">
        <f>+SUMIF($A41:$A42,$C43,H41:H42)</f>
        <v>0</v>
      </c>
      <c r="I43" s="473">
        <f>+SUMIF($A41:$A42,$C43,I41:I42)</f>
        <v>0</v>
      </c>
      <c r="J43" s="474"/>
      <c r="K43" s="480">
        <f>+SUMIF($A41:$A42,$C43,K41:K42)</f>
        <v>0</v>
      </c>
      <c r="L43" s="473">
        <f>+SUMIF($A41:$A42,$C43,L41:L42)</f>
        <v>0</v>
      </c>
      <c r="M43" s="473">
        <f>+SUMIF($A41:$A42,$C43,M41:M42)</f>
        <v>0</v>
      </c>
      <c r="N43" s="465"/>
      <c r="O43" s="480">
        <f>+SUMIF($A41:$A42,$C43,O41:O42)</f>
        <v>0</v>
      </c>
      <c r="P43" s="480">
        <f>+SUMIF($A41:$A42,$C43,P41:P42)</f>
        <v>0</v>
      </c>
      <c r="Q43" s="480">
        <f>+SUMIF($A41:$A42,$C43,Q41:Q42)</f>
        <v>0</v>
      </c>
      <c r="R43" s="480">
        <f>+SUMIF($A41:$A42,$C43,R41:R42)</f>
        <v>0</v>
      </c>
      <c r="S43" s="480">
        <f>+SUMIF($A41:$A42,$C43,S41:S42)</f>
        <v>0</v>
      </c>
      <c r="T43" s="474"/>
      <c r="U43" s="480">
        <f>+SUMIF($A41:$A42,$C43,U41:U42)</f>
        <v>0</v>
      </c>
      <c r="V43" s="480">
        <f>+SUMIF($A41:$A42,$C43,V41:V42)</f>
        <v>0</v>
      </c>
      <c r="W43" s="480">
        <f>+SUMIF($A41:$A42,$C43,W41:W42)</f>
        <v>0</v>
      </c>
      <c r="X43" s="2"/>
      <c r="Y43" s="480">
        <f>+SUMIF($A41:$A42,$C43,Y41:Y42)</f>
        <v>0</v>
      </c>
      <c r="Z43" s="480">
        <f>+SUMIF($A41:$A42,$C43,Z41:Z42)</f>
        <v>0</v>
      </c>
      <c r="AA43" s="480">
        <f>+SUMIF($A41:$A42,$C43,AA41:AA42)</f>
        <v>0</v>
      </c>
      <c r="AB43" s="480">
        <f>+SUMIF($A41:$A42,$C43,AB41:AB42)</f>
        <v>0</v>
      </c>
      <c r="AC43" s="480">
        <f>+SUMIF($A41:$A42,$C43,AC41:AC42)</f>
        <v>0</v>
      </c>
      <c r="AD43" s="474"/>
      <c r="AE43" s="480">
        <f>+SUMIF($A41:$A42,$C43,AE41:AE42)</f>
        <v>0</v>
      </c>
      <c r="AF43" s="467"/>
      <c r="AG43" s="474"/>
      <c r="AH43" s="475">
        <f t="shared" ref="AH43:AH46" si="100">SUM(AI43:AO43)</f>
        <v>0</v>
      </c>
      <c r="AI43" s="462"/>
      <c r="AJ43" s="462">
        <f>+SUMIF($A$41:$A$42,C43,AJ41:AJ42)</f>
        <v>0</v>
      </c>
      <c r="AK43" s="462">
        <f>+SUMIF($A$41:$A$42,E43,AK41:AK42)</f>
        <v>0</v>
      </c>
      <c r="AL43" s="462">
        <f>+SUMIF($A$41:$A$42,F43,AL41:AL42)</f>
        <v>0</v>
      </c>
      <c r="AM43" s="462">
        <f>+SUMIF($A$41:$A$42,G43,AM41:AM42)</f>
        <v>0</v>
      </c>
      <c r="AN43" s="462">
        <f>+SUMIF($A$41:$A$42,#REF!,AN41:AN42)</f>
        <v>0</v>
      </c>
      <c r="AO43" s="462">
        <f>+SUMIF($A$41:$A$42,#REF!,AO41:AO42)</f>
        <v>0</v>
      </c>
    </row>
    <row r="44" spans="1:218" s="910" customFormat="1" ht="18" customHeight="1" x14ac:dyDescent="0.25">
      <c r="A44" s="1310"/>
      <c r="B44" s="1309"/>
      <c r="C44" s="937"/>
      <c r="D44" s="1030"/>
      <c r="F44" s="1026">
        <f t="shared" ref="F44:F45" si="101">+SUM(AI44)</f>
        <v>0</v>
      </c>
      <c r="G44" s="912"/>
      <c r="H44" s="911"/>
      <c r="I44" s="911">
        <f t="shared" ref="I44:I45" si="102">+AJ44</f>
        <v>0</v>
      </c>
      <c r="J44" s="912"/>
      <c r="K44" s="911">
        <f t="shared" ref="K44:K45" si="103">+I44+AE44</f>
        <v>0</v>
      </c>
      <c r="L44" s="911">
        <f>+K44+F44</f>
        <v>0</v>
      </c>
      <c r="M44" s="911">
        <f t="shared" ref="M44:M45" si="104">+D44-L44</f>
        <v>0</v>
      </c>
      <c r="N44" s="912"/>
      <c r="O44" s="911"/>
      <c r="P44" s="911"/>
      <c r="Q44" s="911"/>
      <c r="R44" s="911"/>
      <c r="S44" s="911"/>
      <c r="T44" s="912"/>
      <c r="U44" s="911">
        <f t="shared" ref="U44:U45" si="105">+SUMIFS(O44:S44,O$8:S$8,$U$11)</f>
        <v>0</v>
      </c>
      <c r="V44" s="911">
        <f t="shared" ref="V44:V45" si="106">+SUMIFS(O44:S44,O$8:S$8,$V$11)</f>
        <v>0</v>
      </c>
      <c r="W44" s="911">
        <f t="shared" ref="W44:W45" si="107">+SUMIFS(O44:S44,O$8:S$8,$W$11)</f>
        <v>0</v>
      </c>
      <c r="Y44" s="911">
        <f t="shared" ref="Y44:Y45" si="108">+L44+M44</f>
        <v>0</v>
      </c>
      <c r="Z44" s="911">
        <v>0</v>
      </c>
      <c r="AA44" s="911"/>
      <c r="AB44" s="911"/>
      <c r="AC44" s="911"/>
      <c r="AD44" s="912"/>
      <c r="AE44" s="911"/>
      <c r="AF44" s="917"/>
      <c r="AG44" s="912"/>
      <c r="AH44" s="916">
        <f t="shared" ref="AH44:AH45" si="109">SUM(AK44:AO44)</f>
        <v>0</v>
      </c>
      <c r="AI44" s="918">
        <f t="shared" ref="AI44:AI45" si="110">SUM(AK44:AL44)</f>
        <v>0</v>
      </c>
      <c r="AJ44" s="918">
        <f t="shared" ref="AJ44:AJ45" si="111">+AM44</f>
        <v>0</v>
      </c>
      <c r="AK44" s="916"/>
      <c r="AL44" s="916"/>
      <c r="AM44" s="916"/>
      <c r="AN44" s="916"/>
      <c r="AO44" s="916"/>
    </row>
    <row r="45" spans="1:218" s="910" customFormat="1" ht="18" customHeight="1" x14ac:dyDescent="0.25">
      <c r="A45" s="1310"/>
      <c r="B45" s="1309"/>
      <c r="C45" s="909"/>
      <c r="D45" s="1030"/>
      <c r="F45" s="1026">
        <f t="shared" si="101"/>
        <v>0</v>
      </c>
      <c r="G45" s="912"/>
      <c r="H45" s="911"/>
      <c r="I45" s="911">
        <f t="shared" si="102"/>
        <v>0</v>
      </c>
      <c r="J45" s="912"/>
      <c r="K45" s="911">
        <f t="shared" si="103"/>
        <v>0</v>
      </c>
      <c r="L45" s="911">
        <f>+K45+F45</f>
        <v>0</v>
      </c>
      <c r="M45" s="911">
        <f t="shared" si="104"/>
        <v>0</v>
      </c>
      <c r="N45" s="912"/>
      <c r="O45" s="911"/>
      <c r="P45" s="911"/>
      <c r="Q45" s="911"/>
      <c r="R45" s="911"/>
      <c r="S45" s="911"/>
      <c r="T45" s="912"/>
      <c r="U45" s="911">
        <f t="shared" si="105"/>
        <v>0</v>
      </c>
      <c r="V45" s="911">
        <f t="shared" si="106"/>
        <v>0</v>
      </c>
      <c r="W45" s="911">
        <f t="shared" si="107"/>
        <v>0</v>
      </c>
      <c r="Y45" s="911">
        <f t="shared" si="108"/>
        <v>0</v>
      </c>
      <c r="Z45" s="911">
        <v>0</v>
      </c>
      <c r="AA45" s="911"/>
      <c r="AB45" s="911"/>
      <c r="AC45" s="911"/>
      <c r="AD45" s="912"/>
      <c r="AE45" s="911"/>
      <c r="AF45" s="917"/>
      <c r="AG45" s="912"/>
      <c r="AH45" s="916">
        <f t="shared" si="109"/>
        <v>0</v>
      </c>
      <c r="AI45" s="918">
        <f t="shared" si="110"/>
        <v>0</v>
      </c>
      <c r="AJ45" s="918">
        <f t="shared" si="111"/>
        <v>0</v>
      </c>
      <c r="AK45" s="916"/>
      <c r="AL45" s="916"/>
      <c r="AM45" s="916"/>
      <c r="AN45" s="916"/>
      <c r="AO45" s="916"/>
    </row>
    <row r="46" spans="1:218" s="88" customFormat="1" ht="21" customHeight="1" x14ac:dyDescent="0.3">
      <c r="A46" s="1020"/>
      <c r="B46" s="159" t="str">
        <f>+"TOTAL EQ TERCEROS FASE  "&amp;A40&amp;" : "&amp;B40</f>
        <v xml:space="preserve">TOTAL EQ TERCEROS FASE  400 : ENCOFRADO </v>
      </c>
      <c r="C46" s="160" t="s">
        <v>29</v>
      </c>
      <c r="D46" s="1146"/>
      <c r="F46" s="470">
        <f>SUM(F44:F45)</f>
        <v>0</v>
      </c>
      <c r="G46" s="474"/>
      <c r="H46" s="473">
        <f>+SUMIF($A44:$A45,$C46,H44:H45)</f>
        <v>0</v>
      </c>
      <c r="I46" s="473">
        <f>+SUMIF($A44:$A45,$C46,I44:I45)</f>
        <v>0</v>
      </c>
      <c r="J46" s="474"/>
      <c r="K46" s="480">
        <f>+SUMIF($A44:$A45,$C46,K44:K45)</f>
        <v>0</v>
      </c>
      <c r="L46" s="473">
        <f>+SUMIF($A44:$A45,$C46,L44:L45)</f>
        <v>0</v>
      </c>
      <c r="M46" s="473">
        <f>+SUMIF($A44:$A45,$C46,M44:M45)</f>
        <v>0</v>
      </c>
      <c r="N46" s="465"/>
      <c r="O46" s="480">
        <f>+SUMIF($A44:$A45,$C46,O44:O45)</f>
        <v>0</v>
      </c>
      <c r="P46" s="480">
        <f>+SUMIF($A44:$A45,$C46,P44:P45)</f>
        <v>0</v>
      </c>
      <c r="Q46" s="480">
        <f>+SUMIF($A44:$A45,$C46,Q44:Q45)</f>
        <v>0</v>
      </c>
      <c r="R46" s="480">
        <f>+SUMIF($A44:$A45,$C46,R44:R45)</f>
        <v>0</v>
      </c>
      <c r="S46" s="480">
        <f>+SUMIF($A44:$A45,$C46,S44:S45)</f>
        <v>0</v>
      </c>
      <c r="T46" s="474"/>
      <c r="U46" s="480">
        <f>+SUMIF($A44:$A45,$C46,U44:U45)</f>
        <v>0</v>
      </c>
      <c r="V46" s="480">
        <f>+SUMIF($A44:$A45,$C46,V44:V45)</f>
        <v>0</v>
      </c>
      <c r="W46" s="480">
        <f>+SUMIF($A44:$A45,$C46,W44:W45)</f>
        <v>0</v>
      </c>
      <c r="X46" s="2"/>
      <c r="Y46" s="480">
        <f>+SUMIF($A44:$A45,$C46,Y44:Y45)</f>
        <v>0</v>
      </c>
      <c r="Z46" s="480">
        <f>+SUMIF($A44:$A45,$C46,Z44:Z45)</f>
        <v>0</v>
      </c>
      <c r="AA46" s="480">
        <f>+SUMIF($A44:$A45,$C46,AA44:AA45)</f>
        <v>0</v>
      </c>
      <c r="AB46" s="480">
        <f>+SUMIF($A44:$A45,$C46,AB44:AB45)</f>
        <v>0</v>
      </c>
      <c r="AC46" s="480">
        <f>+SUMIF($A44:$A45,$C46,AC44:AC45)</f>
        <v>0</v>
      </c>
      <c r="AD46" s="474"/>
      <c r="AE46" s="480">
        <f>+SUMIF($A44:$A45,$C46,AE44:AE45)</f>
        <v>0</v>
      </c>
      <c r="AF46" s="467"/>
      <c r="AG46" s="474"/>
      <c r="AH46" s="475">
        <f t="shared" si="100"/>
        <v>0</v>
      </c>
      <c r="AI46" s="462"/>
      <c r="AJ46" s="462">
        <f t="shared" ref="AJ46:AO46" si="112">+SUMIF($A$44:$A$45,$C$46,AJ44:AJ45)</f>
        <v>0</v>
      </c>
      <c r="AK46" s="462">
        <f t="shared" si="112"/>
        <v>0</v>
      </c>
      <c r="AL46" s="462">
        <f t="shared" si="112"/>
        <v>0</v>
      </c>
      <c r="AM46" s="462">
        <f t="shared" si="112"/>
        <v>0</v>
      </c>
      <c r="AN46" s="462">
        <f t="shared" si="112"/>
        <v>0</v>
      </c>
      <c r="AO46" s="462">
        <f t="shared" si="112"/>
        <v>0</v>
      </c>
    </row>
    <row r="47" spans="1:218" s="88" customFormat="1" ht="21" customHeight="1" x14ac:dyDescent="0.3">
      <c r="A47" s="139"/>
      <c r="C47" s="161"/>
      <c r="D47" s="1147"/>
      <c r="F47" s="481"/>
      <c r="G47" s="474"/>
      <c r="H47" s="481"/>
      <c r="I47" s="481"/>
      <c r="J47" s="474"/>
      <c r="K47" s="481"/>
      <c r="L47" s="481"/>
      <c r="M47" s="481"/>
      <c r="N47" s="465"/>
      <c r="O47" s="481"/>
      <c r="P47" s="481"/>
      <c r="Q47" s="481"/>
      <c r="R47" s="481"/>
      <c r="S47" s="481"/>
      <c r="T47" s="474"/>
      <c r="U47" s="481"/>
      <c r="V47" s="481"/>
      <c r="W47" s="481"/>
      <c r="X47" s="2"/>
      <c r="Y47" s="481"/>
      <c r="Z47" s="481"/>
      <c r="AA47" s="481"/>
      <c r="AB47" s="481"/>
      <c r="AC47" s="481"/>
      <c r="AD47" s="474"/>
      <c r="AE47" s="481"/>
      <c r="AF47" s="467"/>
      <c r="AG47" s="474"/>
      <c r="AH47" s="465"/>
      <c r="AI47" s="465"/>
      <c r="AJ47" s="465"/>
      <c r="AK47" s="465"/>
      <c r="AL47" s="465"/>
      <c r="AM47" s="465"/>
      <c r="AN47" s="465"/>
      <c r="AO47" s="465"/>
    </row>
    <row r="48" spans="1:218" s="86" customFormat="1" ht="26.25" customHeight="1" x14ac:dyDescent="0.3">
      <c r="A48" s="98">
        <f>+MO!A60</f>
        <v>500</v>
      </c>
      <c r="B48" s="102" t="str">
        <f>+MO!B60</f>
        <v xml:space="preserve">ACERO </v>
      </c>
      <c r="C48" s="544"/>
      <c r="D48" s="465"/>
      <c r="F48" s="465"/>
      <c r="G48" s="465"/>
      <c r="H48" s="465"/>
      <c r="I48" s="465"/>
      <c r="J48" s="465"/>
      <c r="K48" s="465"/>
      <c r="L48" s="465"/>
      <c r="M48" s="465"/>
      <c r="N48" s="465"/>
      <c r="O48" s="485"/>
      <c r="P48" s="485"/>
      <c r="Q48" s="485"/>
      <c r="R48" s="485"/>
      <c r="S48" s="485"/>
      <c r="T48" s="465"/>
      <c r="U48" s="465"/>
      <c r="V48" s="465"/>
      <c r="W48" s="465"/>
      <c r="X48" s="2"/>
      <c r="Y48" s="465"/>
      <c r="Z48" s="465"/>
      <c r="AA48" s="465"/>
      <c r="AB48" s="465"/>
      <c r="AC48" s="465"/>
      <c r="AD48" s="465"/>
      <c r="AE48" s="465"/>
      <c r="AF48" s="467"/>
      <c r="AG48" s="465"/>
      <c r="AH48" s="465"/>
      <c r="AI48" s="465"/>
      <c r="AJ48" s="465"/>
      <c r="AK48" s="465"/>
      <c r="AL48" s="465"/>
      <c r="AM48" s="465"/>
      <c r="AN48" s="465"/>
      <c r="AO48" s="465"/>
    </row>
    <row r="49" spans="1:41" s="856" customFormat="1" ht="18" customHeight="1" x14ac:dyDescent="0.25">
      <c r="A49" s="1319"/>
      <c r="B49" s="1320"/>
      <c r="C49" s="855"/>
      <c r="D49" s="1031"/>
      <c r="F49" s="1026">
        <f t="shared" ref="F49:F50" si="113">+SUM(AI49)</f>
        <v>0</v>
      </c>
      <c r="G49" s="858"/>
      <c r="H49" s="857"/>
      <c r="I49" s="911">
        <f t="shared" ref="I49:I50" si="114">+AJ49</f>
        <v>0</v>
      </c>
      <c r="J49" s="858"/>
      <c r="K49" s="911">
        <f t="shared" ref="K49:K50" si="115">+I49+AE49</f>
        <v>0</v>
      </c>
      <c r="L49" s="857">
        <f>+K49+F49</f>
        <v>0</v>
      </c>
      <c r="M49" s="911">
        <f t="shared" ref="M49:M50" si="116">+D49-L49</f>
        <v>0</v>
      </c>
      <c r="N49" s="87"/>
      <c r="O49" s="857"/>
      <c r="P49" s="857"/>
      <c r="Q49" s="857"/>
      <c r="R49" s="857"/>
      <c r="S49" s="857"/>
      <c r="T49" s="858"/>
      <c r="U49" s="857">
        <f t="shared" ref="U49:U50" si="117">+SUMIFS(O49:S49,O$8:S$8,$U$11)</f>
        <v>0</v>
      </c>
      <c r="V49" s="857">
        <f t="shared" ref="V49:V50" si="118">+SUMIFS(O49:S49,O$8:S$8,$V$11)</f>
        <v>0</v>
      </c>
      <c r="W49" s="857">
        <f t="shared" ref="W49:W50" si="119">+SUMIFS(O49:S49,O$8:S$8,$W$11)</f>
        <v>0</v>
      </c>
      <c r="X49" s="2"/>
      <c r="Y49" s="857">
        <f t="shared" ref="Y49:Y50" si="120">+L49+M49</f>
        <v>0</v>
      </c>
      <c r="Z49" s="857">
        <v>0</v>
      </c>
      <c r="AA49" s="857"/>
      <c r="AB49" s="857"/>
      <c r="AC49" s="857"/>
      <c r="AD49" s="858"/>
      <c r="AE49" s="857"/>
      <c r="AF49" s="859"/>
      <c r="AG49" s="858"/>
      <c r="AH49" s="916">
        <f t="shared" ref="AH49:AH50" si="121">SUM(AK49:AO49)</f>
        <v>0</v>
      </c>
      <c r="AI49" s="918">
        <f t="shared" ref="AI49:AI50" si="122">SUM(AK49:AL49)</f>
        <v>0</v>
      </c>
      <c r="AJ49" s="918">
        <f t="shared" ref="AJ49:AJ50" si="123">+AM49</f>
        <v>0</v>
      </c>
      <c r="AK49" s="869"/>
      <c r="AL49" s="869"/>
      <c r="AM49" s="869"/>
      <c r="AN49" s="869"/>
      <c r="AO49" s="869"/>
    </row>
    <row r="50" spans="1:41" s="910" customFormat="1" ht="18" customHeight="1" x14ac:dyDescent="0.25">
      <c r="A50" s="1310"/>
      <c r="B50" s="1309"/>
      <c r="C50" s="909"/>
      <c r="D50" s="1030"/>
      <c r="F50" s="1026">
        <f t="shared" si="113"/>
        <v>0</v>
      </c>
      <c r="G50" s="912"/>
      <c r="H50" s="911"/>
      <c r="I50" s="911">
        <f t="shared" si="114"/>
        <v>0</v>
      </c>
      <c r="J50" s="912"/>
      <c r="K50" s="911">
        <f t="shared" si="115"/>
        <v>0</v>
      </c>
      <c r="L50" s="911">
        <f>+K50+F50</f>
        <v>0</v>
      </c>
      <c r="M50" s="911">
        <f t="shared" si="116"/>
        <v>0</v>
      </c>
      <c r="N50" s="87"/>
      <c r="O50" s="911"/>
      <c r="P50" s="911"/>
      <c r="Q50" s="911"/>
      <c r="R50" s="911"/>
      <c r="S50" s="911"/>
      <c r="T50" s="912"/>
      <c r="U50" s="911">
        <f t="shared" si="117"/>
        <v>0</v>
      </c>
      <c r="V50" s="911">
        <f t="shared" si="118"/>
        <v>0</v>
      </c>
      <c r="W50" s="911">
        <f t="shared" si="119"/>
        <v>0</v>
      </c>
      <c r="Y50" s="911">
        <f t="shared" si="120"/>
        <v>0</v>
      </c>
      <c r="Z50" s="911">
        <v>0</v>
      </c>
      <c r="AA50" s="911"/>
      <c r="AB50" s="911"/>
      <c r="AC50" s="911"/>
      <c r="AD50" s="912"/>
      <c r="AE50" s="911"/>
      <c r="AF50" s="917"/>
      <c r="AG50" s="912"/>
      <c r="AH50" s="916">
        <f t="shared" si="121"/>
        <v>0</v>
      </c>
      <c r="AI50" s="918">
        <f t="shared" si="122"/>
        <v>0</v>
      </c>
      <c r="AJ50" s="918">
        <f t="shared" si="123"/>
        <v>0</v>
      </c>
      <c r="AK50" s="916"/>
      <c r="AL50" s="916"/>
      <c r="AM50" s="916"/>
      <c r="AN50" s="916"/>
      <c r="AO50" s="916"/>
    </row>
    <row r="51" spans="1:41" s="88" customFormat="1" ht="21" customHeight="1" x14ac:dyDescent="0.3">
      <c r="A51" s="1020"/>
      <c r="B51" s="159" t="str">
        <f>+"TOTAL EQ PROPIOS FASE  "&amp;A48&amp;" : "&amp;B48</f>
        <v xml:space="preserve">TOTAL EQ PROPIOS FASE  500 : ACERO </v>
      </c>
      <c r="C51" s="160" t="s">
        <v>29</v>
      </c>
      <c r="D51" s="1146"/>
      <c r="F51" s="480">
        <f>SUM(F49:F50)</f>
        <v>0</v>
      </c>
      <c r="G51" s="474"/>
      <c r="H51" s="473">
        <f>+SUMIF($A49:$A50,$C51,H49:H50)</f>
        <v>0</v>
      </c>
      <c r="I51" s="473">
        <f>+SUMIF($A49:$A50,$C51,I49:I50)</f>
        <v>0</v>
      </c>
      <c r="J51" s="474"/>
      <c r="K51" s="480">
        <f>+SUMIF($A49:$A50,$C51,K49:K50)</f>
        <v>0</v>
      </c>
      <c r="L51" s="473">
        <f>+SUMIF($A49:$A50,$C51,L49:L50)</f>
        <v>0</v>
      </c>
      <c r="M51" s="473">
        <f>+SUMIF($A49:$A50,$C51,M49:M50)</f>
        <v>0</v>
      </c>
      <c r="N51" s="465"/>
      <c r="O51" s="480">
        <f>+SUMIF($A49:$A50,$C51,O49:O50)</f>
        <v>0</v>
      </c>
      <c r="P51" s="480">
        <f>+SUMIF($A49:$A50,$C51,P49:P50)</f>
        <v>0</v>
      </c>
      <c r="Q51" s="480">
        <f>+SUMIF($A49:$A50,$C51,Q49:Q50)</f>
        <v>0</v>
      </c>
      <c r="R51" s="480">
        <f>+SUMIF($A49:$A50,$C51,R49:R50)</f>
        <v>0</v>
      </c>
      <c r="S51" s="480">
        <f>+SUMIF($A49:$A50,$C51,S49:S50)</f>
        <v>0</v>
      </c>
      <c r="T51" s="474"/>
      <c r="U51" s="480">
        <f>+SUMIF($A49:$A50,$C51,U49:U50)</f>
        <v>0</v>
      </c>
      <c r="V51" s="480">
        <f>+SUMIF($A49:$A50,$C51,V49:V50)</f>
        <v>0</v>
      </c>
      <c r="W51" s="480">
        <f>+SUMIF($A49:$A50,$C51,W49:W50)</f>
        <v>0</v>
      </c>
      <c r="X51" s="2"/>
      <c r="Y51" s="480">
        <f>+SUMIF($A49:$A50,$C51,Y49:Y50)</f>
        <v>0</v>
      </c>
      <c r="Z51" s="480">
        <f>+SUMIF($A49:$A50,$C51,Z49:Z50)</f>
        <v>0</v>
      </c>
      <c r="AA51" s="480">
        <f>+SUMIF($A49:$A50,$C51,AA49:AA50)</f>
        <v>0</v>
      </c>
      <c r="AB51" s="480">
        <f>+SUMIF($A49:$A50,$C51,AB49:AB50)</f>
        <v>0</v>
      </c>
      <c r="AC51" s="480">
        <f>+SUMIF($A49:$A50,$C51,AC49:AC50)</f>
        <v>0</v>
      </c>
      <c r="AD51" s="474"/>
      <c r="AE51" s="480">
        <f>+SUMIF($A49:$A50,$C51,AE49:AE50)</f>
        <v>0</v>
      </c>
      <c r="AF51" s="467"/>
      <c r="AG51" s="474"/>
      <c r="AH51" s="475">
        <f t="shared" ref="AH51:AH54" si="124">SUM(AI51:AO51)</f>
        <v>0</v>
      </c>
      <c r="AI51" s="462"/>
      <c r="AJ51" s="462">
        <f>+SUMIF($A$49:$A$50,C51,AJ49:AJ50)</f>
        <v>0</v>
      </c>
      <c r="AK51" s="462">
        <f>+SUMIF($A$49:$A$50,E51,AK49:AK50)</f>
        <v>0</v>
      </c>
      <c r="AL51" s="462">
        <f>+SUMIF($A$49:$A$50,F51,AL49:AL50)</f>
        <v>0</v>
      </c>
      <c r="AM51" s="462">
        <f>+SUMIF($A$49:$A$50,G51,AM49:AM50)</f>
        <v>0</v>
      </c>
      <c r="AN51" s="462">
        <f>+SUMIF($A$49:$A$50,#REF!,AN49:AN50)</f>
        <v>0</v>
      </c>
      <c r="AO51" s="462">
        <f>+SUMIF($A$49:$A$50,#REF!,AO49:AO50)</f>
        <v>0</v>
      </c>
    </row>
    <row r="52" spans="1:41" s="856" customFormat="1" ht="18" customHeight="1" outlineLevel="1" x14ac:dyDescent="0.25">
      <c r="A52" s="1319"/>
      <c r="B52" s="1320"/>
      <c r="C52" s="873"/>
      <c r="D52" s="1031"/>
      <c r="F52" s="1026">
        <f t="shared" ref="F52:F53" si="125">+SUM(AI52)</f>
        <v>0</v>
      </c>
      <c r="G52" s="858"/>
      <c r="H52" s="857"/>
      <c r="I52" s="911">
        <f t="shared" ref="I52:I53" si="126">+AJ52</f>
        <v>0</v>
      </c>
      <c r="J52" s="858"/>
      <c r="K52" s="911">
        <f t="shared" ref="K52:K53" si="127">+I52+AE52</f>
        <v>0</v>
      </c>
      <c r="L52" s="857">
        <f>+K52+F52</f>
        <v>0</v>
      </c>
      <c r="M52" s="911">
        <f t="shared" ref="M52:M53" si="128">+D52-L52</f>
        <v>0</v>
      </c>
      <c r="N52" s="87"/>
      <c r="O52" s="857"/>
      <c r="P52" s="857"/>
      <c r="Q52" s="857"/>
      <c r="R52" s="857"/>
      <c r="S52" s="857"/>
      <c r="T52" s="858"/>
      <c r="U52" s="857">
        <f t="shared" ref="U52:U53" si="129">+SUMIFS(O52:S52,O$8:S$8,$U$11)</f>
        <v>0</v>
      </c>
      <c r="V52" s="857">
        <f t="shared" ref="V52:V53" si="130">+SUMIFS(O52:S52,O$8:S$8,$V$11)</f>
        <v>0</v>
      </c>
      <c r="W52" s="857">
        <f t="shared" ref="W52:W53" si="131">+SUMIFS(O52:S52,O$8:S$8,$W$11)</f>
        <v>0</v>
      </c>
      <c r="X52" s="2"/>
      <c r="Y52" s="857">
        <f t="shared" ref="Y52:Y53" si="132">+L52+M52</f>
        <v>0</v>
      </c>
      <c r="Z52" s="857">
        <v>0</v>
      </c>
      <c r="AA52" s="857"/>
      <c r="AB52" s="857"/>
      <c r="AC52" s="857"/>
      <c r="AD52" s="858"/>
      <c r="AE52" s="857"/>
      <c r="AF52" s="859"/>
      <c r="AG52" s="858"/>
      <c r="AH52" s="916">
        <f t="shared" ref="AH52:AH53" si="133">SUM(AK52:AO52)</f>
        <v>0</v>
      </c>
      <c r="AI52" s="918">
        <f t="shared" ref="AI52:AI53" si="134">SUM(AK52:AL52)</f>
        <v>0</v>
      </c>
      <c r="AJ52" s="918">
        <f t="shared" ref="AJ52:AJ53" si="135">+AM52</f>
        <v>0</v>
      </c>
      <c r="AK52" s="869"/>
      <c r="AL52" s="869"/>
      <c r="AM52" s="869"/>
      <c r="AN52" s="869"/>
      <c r="AO52" s="869"/>
    </row>
    <row r="53" spans="1:41" s="856" customFormat="1" ht="18" customHeight="1" outlineLevel="1" x14ac:dyDescent="0.25">
      <c r="A53" s="1319"/>
      <c r="B53" s="1320"/>
      <c r="C53" s="855"/>
      <c r="D53" s="1031"/>
      <c r="F53" s="1026">
        <f t="shared" si="125"/>
        <v>0</v>
      </c>
      <c r="G53" s="858"/>
      <c r="H53" s="857"/>
      <c r="I53" s="911">
        <f t="shared" si="126"/>
        <v>0</v>
      </c>
      <c r="J53" s="858"/>
      <c r="K53" s="911">
        <f t="shared" si="127"/>
        <v>0</v>
      </c>
      <c r="L53" s="857">
        <f>+K53+F53</f>
        <v>0</v>
      </c>
      <c r="M53" s="911">
        <f t="shared" si="128"/>
        <v>0</v>
      </c>
      <c r="N53" s="87"/>
      <c r="O53" s="857"/>
      <c r="P53" s="857"/>
      <c r="Q53" s="857"/>
      <c r="R53" s="857"/>
      <c r="S53" s="857"/>
      <c r="T53" s="858"/>
      <c r="U53" s="857">
        <f t="shared" si="129"/>
        <v>0</v>
      </c>
      <c r="V53" s="857">
        <f t="shared" si="130"/>
        <v>0</v>
      </c>
      <c r="W53" s="857">
        <f t="shared" si="131"/>
        <v>0</v>
      </c>
      <c r="X53" s="2"/>
      <c r="Y53" s="857">
        <f t="shared" si="132"/>
        <v>0</v>
      </c>
      <c r="Z53" s="857">
        <v>0</v>
      </c>
      <c r="AA53" s="857"/>
      <c r="AB53" s="857"/>
      <c r="AC53" s="857"/>
      <c r="AD53" s="858"/>
      <c r="AE53" s="857"/>
      <c r="AF53" s="859"/>
      <c r="AG53" s="858"/>
      <c r="AH53" s="916">
        <f t="shared" si="133"/>
        <v>0</v>
      </c>
      <c r="AI53" s="918">
        <f t="shared" si="134"/>
        <v>0</v>
      </c>
      <c r="AJ53" s="918">
        <f t="shared" si="135"/>
        <v>0</v>
      </c>
      <c r="AK53" s="869"/>
      <c r="AL53" s="869"/>
      <c r="AM53" s="869"/>
      <c r="AN53" s="869"/>
      <c r="AO53" s="869"/>
    </row>
    <row r="54" spans="1:41" s="88" customFormat="1" ht="21" customHeight="1" x14ac:dyDescent="0.3">
      <c r="A54" s="1020"/>
      <c r="B54" s="159" t="str">
        <f>+"TOTAL EQ TERCEROS FASE  "&amp;A48&amp;" : "&amp;B48</f>
        <v xml:space="preserve">TOTAL EQ TERCEROS FASE  500 : ACERO </v>
      </c>
      <c r="C54" s="160" t="s">
        <v>29</v>
      </c>
      <c r="D54" s="1146"/>
      <c r="F54" s="480">
        <f>SUM(F52:F53)</f>
        <v>0</v>
      </c>
      <c r="G54" s="474"/>
      <c r="H54" s="473">
        <f>+SUMIF($A52:$A53,$C54,H52:H53)</f>
        <v>0</v>
      </c>
      <c r="I54" s="473">
        <f>+SUMIF($A52:$A53,$C54,I52:I53)</f>
        <v>0</v>
      </c>
      <c r="J54" s="474"/>
      <c r="K54" s="480">
        <f>+SUMIF($A52:$A53,$C54,K52:K53)</f>
        <v>0</v>
      </c>
      <c r="L54" s="473">
        <f>+SUMIF($A52:$A53,$C54,L52:L53)</f>
        <v>0</v>
      </c>
      <c r="M54" s="473">
        <f>+SUMIF($A52:$A53,$C54,M52:M53)</f>
        <v>0</v>
      </c>
      <c r="N54" s="465"/>
      <c r="O54" s="480">
        <f>+SUMIF($A52:$A53,$C54,O52:O53)</f>
        <v>0</v>
      </c>
      <c r="P54" s="480">
        <f>+SUMIF($A52:$A53,$C54,P52:P53)</f>
        <v>0</v>
      </c>
      <c r="Q54" s="480">
        <f>+SUMIF($A52:$A53,$C54,Q52:Q53)</f>
        <v>0</v>
      </c>
      <c r="R54" s="480">
        <f>+SUMIF($A52:$A53,$C54,R52:R53)</f>
        <v>0</v>
      </c>
      <c r="S54" s="480">
        <f>+SUMIF($A52:$A53,$C54,S52:S53)</f>
        <v>0</v>
      </c>
      <c r="T54" s="474"/>
      <c r="U54" s="480">
        <f>+SUMIF($A52:$A53,$C54,U52:U53)</f>
        <v>0</v>
      </c>
      <c r="V54" s="480">
        <f>+SUMIF($A52:$A53,$C54,V52:V53)</f>
        <v>0</v>
      </c>
      <c r="W54" s="480">
        <f>+SUMIF($A52:$A53,$C54,W52:W53)</f>
        <v>0</v>
      </c>
      <c r="X54" s="2"/>
      <c r="Y54" s="480">
        <f>+SUMIF($A52:$A53,$C54,Y52:Y53)</f>
        <v>0</v>
      </c>
      <c r="Z54" s="480">
        <f>+SUMIF($A52:$A53,$C54,Z52:Z53)</f>
        <v>0</v>
      </c>
      <c r="AA54" s="480">
        <f>+SUMIF($A52:$A53,$C54,AA52:AA53)</f>
        <v>0</v>
      </c>
      <c r="AB54" s="480">
        <f>+SUMIF($A52:$A53,$C54,AB52:AB53)</f>
        <v>0</v>
      </c>
      <c r="AC54" s="480">
        <f>+SUMIF($A52:$A53,$C54,AC52:AC53)</f>
        <v>0</v>
      </c>
      <c r="AD54" s="474"/>
      <c r="AE54" s="480">
        <f>+SUMIF($A52:$A53,$C54,AE52:AE53)</f>
        <v>0</v>
      </c>
      <c r="AF54" s="467"/>
      <c r="AG54" s="474"/>
      <c r="AH54" s="475">
        <f t="shared" si="124"/>
        <v>0</v>
      </c>
      <c r="AI54" s="462"/>
      <c r="AJ54" s="462">
        <f>+SUMIF($A$52:$A$53,C54,AJ52:AJ53)</f>
        <v>0</v>
      </c>
      <c r="AK54" s="462">
        <f>+SUMIF($A$52:$A$53,E54,AK52:AK53)</f>
        <v>0</v>
      </c>
      <c r="AL54" s="462">
        <f>+SUMIF($A$52:$A$53,F54,AL52:AL53)</f>
        <v>0</v>
      </c>
      <c r="AM54" s="462">
        <f>+SUMIF($A$52:$A$53,G54,AM52:AM53)</f>
        <v>0</v>
      </c>
      <c r="AN54" s="462">
        <f>+SUMIF($A$52:$A$53,#REF!,AN52:AN53)</f>
        <v>0</v>
      </c>
      <c r="AO54" s="462">
        <f>+SUMIF($A$52:$A$53,#REF!,AO52:AO53)</f>
        <v>0</v>
      </c>
    </row>
    <row r="55" spans="1:41" ht="21" customHeight="1" x14ac:dyDescent="0.3">
      <c r="D55" s="87"/>
      <c r="F55" s="87"/>
      <c r="G55" s="87"/>
      <c r="H55" s="87"/>
      <c r="I55" s="282"/>
      <c r="J55" s="87"/>
      <c r="K55" s="87"/>
      <c r="L55" s="87"/>
      <c r="M55" s="87"/>
      <c r="N55" s="87"/>
      <c r="O55" s="87"/>
      <c r="P55" s="87"/>
      <c r="Q55" s="87"/>
      <c r="R55" s="87"/>
      <c r="S55" s="87"/>
      <c r="T55" s="87"/>
      <c r="U55" s="87"/>
      <c r="V55" s="87"/>
      <c r="W55" s="87"/>
      <c r="Y55" s="87"/>
      <c r="Z55" s="87"/>
      <c r="AA55" s="87"/>
      <c r="AB55" s="87"/>
      <c r="AC55" s="87"/>
      <c r="AD55" s="87"/>
      <c r="AE55" s="87"/>
      <c r="AF55" s="279"/>
      <c r="AG55" s="87"/>
      <c r="AH55" s="465"/>
      <c r="AI55" s="465"/>
      <c r="AJ55" s="465"/>
      <c r="AK55" s="465"/>
      <c r="AL55" s="465"/>
      <c r="AM55" s="465"/>
      <c r="AN55" s="465"/>
      <c r="AO55" s="465"/>
    </row>
    <row r="56" spans="1:41" ht="26.25" customHeight="1" x14ac:dyDescent="0.3">
      <c r="A56" s="156"/>
      <c r="B56" s="162" t="s">
        <v>83</v>
      </c>
      <c r="C56" s="162" t="s">
        <v>29</v>
      </c>
      <c r="D56" s="1151"/>
      <c r="E56" s="318"/>
      <c r="F56" s="486">
        <f>+SUMIF($A$12:$A$54,$A56,F$12:F$54)</f>
        <v>0</v>
      </c>
      <c r="G56" s="487"/>
      <c r="H56" s="486">
        <f>+SUMIF($A$12:$A$54,$A56,H$12:H$54)</f>
        <v>0</v>
      </c>
      <c r="I56" s="486">
        <f>+SUMIF($A$12:$A$54,$A56,I$12:I$54)</f>
        <v>0</v>
      </c>
      <c r="J56" s="465"/>
      <c r="K56" s="488">
        <f t="shared" ref="K56:M57" si="136">+SUMIF($A$12:$A$54,$A56,K$12:K$54)</f>
        <v>0</v>
      </c>
      <c r="L56" s="488">
        <f t="shared" si="136"/>
        <v>0</v>
      </c>
      <c r="M56" s="488">
        <f t="shared" si="136"/>
        <v>0</v>
      </c>
      <c r="N56" s="465"/>
      <c r="O56" s="488">
        <f t="shared" ref="O56:S57" si="137">+SUMIF($A$12:$A$54,$A56,O$12:O$54)</f>
        <v>0</v>
      </c>
      <c r="P56" s="488">
        <f t="shared" si="137"/>
        <v>0</v>
      </c>
      <c r="Q56" s="488">
        <f t="shared" si="137"/>
        <v>0</v>
      </c>
      <c r="R56" s="488">
        <f t="shared" si="137"/>
        <v>0</v>
      </c>
      <c r="S56" s="488">
        <f t="shared" si="137"/>
        <v>0</v>
      </c>
      <c r="T56" s="465"/>
      <c r="U56" s="488">
        <f t="shared" ref="U56:W57" si="138">+SUMIF($A$12:$A$54,$A56,U$12:U$54)</f>
        <v>0</v>
      </c>
      <c r="V56" s="488">
        <f t="shared" si="138"/>
        <v>0</v>
      </c>
      <c r="W56" s="488">
        <f t="shared" si="138"/>
        <v>0</v>
      </c>
      <c r="Y56" s="488">
        <f t="shared" ref="Y56:AC57" si="139">+SUMIF($A$12:$A$54,$A56,Y$12:Y$54)</f>
        <v>0</v>
      </c>
      <c r="Z56" s="488">
        <f t="shared" si="139"/>
        <v>0</v>
      </c>
      <c r="AA56" s="488">
        <f t="shared" si="139"/>
        <v>0</v>
      </c>
      <c r="AB56" s="488">
        <f t="shared" si="139"/>
        <v>0</v>
      </c>
      <c r="AC56" s="488">
        <f t="shared" si="139"/>
        <v>0</v>
      </c>
      <c r="AD56" s="465"/>
      <c r="AE56" s="488">
        <f>+SUMIF($A$12:$A$54,$A56,AE$12:AE$54)</f>
        <v>0</v>
      </c>
      <c r="AF56" s="279"/>
      <c r="AG56" s="87"/>
      <c r="AH56" s="486">
        <f t="shared" ref="AH56:AN56" si="140">AH17+AH26+AH34+AH43+AH51</f>
        <v>15236.929</v>
      </c>
      <c r="AI56" s="486">
        <f t="shared" si="140"/>
        <v>414.2</v>
      </c>
      <c r="AJ56" s="486">
        <f t="shared" si="140"/>
        <v>8985.978000000001</v>
      </c>
      <c r="AK56" s="486">
        <f t="shared" si="140"/>
        <v>239.10000000000002</v>
      </c>
      <c r="AL56" s="486">
        <f t="shared" si="140"/>
        <v>175.1</v>
      </c>
      <c r="AM56" s="486">
        <f t="shared" si="140"/>
        <v>8985.978000000001</v>
      </c>
      <c r="AN56" s="486">
        <f t="shared" si="140"/>
        <v>5233.8200000000006</v>
      </c>
      <c r="AO56" s="486">
        <f>AO17+AO26+AO34+AO43+AO51</f>
        <v>602.93100000000004</v>
      </c>
    </row>
    <row r="57" spans="1:41" ht="26.25" customHeight="1" x14ac:dyDescent="0.3">
      <c r="A57" s="156"/>
      <c r="B57" s="160" t="s">
        <v>84</v>
      </c>
      <c r="C57" s="160" t="s">
        <v>29</v>
      </c>
      <c r="D57" s="480"/>
      <c r="E57" s="318"/>
      <c r="F57" s="489">
        <f>+SUMIF($A$12:$A$54,$A57,F$12:F$54)</f>
        <v>0</v>
      </c>
      <c r="G57" s="487"/>
      <c r="H57" s="489">
        <f>+SUMIF($A$12:$A$54,$A57,H$12:H$54)</f>
        <v>0</v>
      </c>
      <c r="I57" s="489">
        <f>+SUMIF($A$12:$A$54,$A57,I$12:I$54)</f>
        <v>0</v>
      </c>
      <c r="J57" s="465"/>
      <c r="K57" s="490">
        <f t="shared" si="136"/>
        <v>0</v>
      </c>
      <c r="L57" s="490">
        <f t="shared" si="136"/>
        <v>0</v>
      </c>
      <c r="M57" s="490">
        <f t="shared" si="136"/>
        <v>0</v>
      </c>
      <c r="N57" s="465"/>
      <c r="O57" s="490">
        <f t="shared" si="137"/>
        <v>0</v>
      </c>
      <c r="P57" s="490">
        <f t="shared" si="137"/>
        <v>0</v>
      </c>
      <c r="Q57" s="490">
        <f t="shared" si="137"/>
        <v>0</v>
      </c>
      <c r="R57" s="490">
        <f t="shared" si="137"/>
        <v>0</v>
      </c>
      <c r="S57" s="490">
        <f t="shared" si="137"/>
        <v>0</v>
      </c>
      <c r="T57" s="465"/>
      <c r="U57" s="490">
        <f t="shared" si="138"/>
        <v>0</v>
      </c>
      <c r="V57" s="490">
        <f t="shared" si="138"/>
        <v>0</v>
      </c>
      <c r="W57" s="490">
        <f t="shared" si="138"/>
        <v>0</v>
      </c>
      <c r="Y57" s="490">
        <f t="shared" si="139"/>
        <v>0</v>
      </c>
      <c r="Z57" s="490">
        <f t="shared" si="139"/>
        <v>0</v>
      </c>
      <c r="AA57" s="490">
        <f t="shared" si="139"/>
        <v>0</v>
      </c>
      <c r="AB57" s="490">
        <f t="shared" si="139"/>
        <v>0</v>
      </c>
      <c r="AC57" s="490">
        <f t="shared" si="139"/>
        <v>0</v>
      </c>
      <c r="AD57" s="465"/>
      <c r="AE57" s="490">
        <f>+SUMIF($A$12:$A$54,$A57,AE$12:AE$54)</f>
        <v>0</v>
      </c>
      <c r="AF57" s="279"/>
      <c r="AG57" s="87"/>
      <c r="AH57" s="489">
        <f t="shared" ref="AH57:AN57" si="141">AH20+AH29+AH38+AH46+AH54</f>
        <v>0</v>
      </c>
      <c r="AI57" s="489">
        <f t="shared" si="141"/>
        <v>0</v>
      </c>
      <c r="AJ57" s="489">
        <f t="shared" si="141"/>
        <v>0</v>
      </c>
      <c r="AK57" s="489">
        <f t="shared" si="141"/>
        <v>0</v>
      </c>
      <c r="AL57" s="489">
        <f t="shared" si="141"/>
        <v>0</v>
      </c>
      <c r="AM57" s="489">
        <f t="shared" si="141"/>
        <v>0</v>
      </c>
      <c r="AN57" s="489">
        <f t="shared" si="141"/>
        <v>0</v>
      </c>
      <c r="AO57" s="489">
        <f>AO20+AO29+AO38+AO46+AO54</f>
        <v>0</v>
      </c>
    </row>
    <row r="58" spans="1:41" s="6" customFormat="1" ht="33.75" customHeight="1" x14ac:dyDescent="0.3">
      <c r="A58" s="88"/>
      <c r="B58" s="117" t="s">
        <v>85</v>
      </c>
      <c r="C58" s="117" t="s">
        <v>29</v>
      </c>
      <c r="D58" s="493"/>
      <c r="E58" s="318"/>
      <c r="F58" s="491">
        <f>SUM(F56:F57)</f>
        <v>0</v>
      </c>
      <c r="G58" s="492"/>
      <c r="H58" s="491">
        <f>SUM(H56:H57)</f>
        <v>0</v>
      </c>
      <c r="I58" s="491">
        <f>SUM(I56:I57)</f>
        <v>0</v>
      </c>
      <c r="J58" s="474"/>
      <c r="K58" s="493">
        <f>SUM(K56:K57)</f>
        <v>0</v>
      </c>
      <c r="L58" s="493">
        <f>SUM(L56:L57)</f>
        <v>0</v>
      </c>
      <c r="M58" s="493">
        <f>SUM(M56:M57)</f>
        <v>0</v>
      </c>
      <c r="N58" s="474"/>
      <c r="O58" s="493">
        <f>SUM(O56:O57)</f>
        <v>0</v>
      </c>
      <c r="P58" s="493">
        <f>SUM(P56:P57)</f>
        <v>0</v>
      </c>
      <c r="Q58" s="493">
        <f t="shared" ref="Q58:S58" si="142">SUM(Q56:Q57)</f>
        <v>0</v>
      </c>
      <c r="R58" s="493">
        <f t="shared" si="142"/>
        <v>0</v>
      </c>
      <c r="S58" s="493">
        <f t="shared" si="142"/>
        <v>0</v>
      </c>
      <c r="T58" s="474"/>
      <c r="U58" s="493">
        <f>SUM(U56:U57)</f>
        <v>0</v>
      </c>
      <c r="V58" s="493">
        <f>SUM(V56:V57)</f>
        <v>0</v>
      </c>
      <c r="W58" s="493">
        <f>SUM(W56:W57)</f>
        <v>0</v>
      </c>
      <c r="X58" s="2"/>
      <c r="Y58" s="493">
        <f>SUM(Y56:Y57)</f>
        <v>0</v>
      </c>
      <c r="Z58" s="493">
        <f>SUM(Z56:Z57)</f>
        <v>0</v>
      </c>
      <c r="AA58" s="493">
        <f>SUM(AA56:AA57)</f>
        <v>0</v>
      </c>
      <c r="AB58" s="493">
        <f>SUM(AB56:AB57)</f>
        <v>0</v>
      </c>
      <c r="AC58" s="493">
        <f>SUM(AC56:AC57)</f>
        <v>0</v>
      </c>
      <c r="AD58" s="474"/>
      <c r="AE58" s="493">
        <f>SUM(AE56:AE57)</f>
        <v>0</v>
      </c>
      <c r="AF58" s="279"/>
      <c r="AG58" s="463"/>
      <c r="AH58" s="491">
        <f t="shared" ref="AH58:AN58" si="143">SUM(AH56:AH57)</f>
        <v>15236.929</v>
      </c>
      <c r="AI58" s="491">
        <f t="shared" si="143"/>
        <v>414.2</v>
      </c>
      <c r="AJ58" s="491">
        <f t="shared" si="143"/>
        <v>8985.978000000001</v>
      </c>
      <c r="AK58" s="491">
        <f t="shared" si="143"/>
        <v>239.10000000000002</v>
      </c>
      <c r="AL58" s="491">
        <f t="shared" si="143"/>
        <v>175.1</v>
      </c>
      <c r="AM58" s="491">
        <f t="shared" si="143"/>
        <v>8985.978000000001</v>
      </c>
      <c r="AN58" s="491">
        <f t="shared" si="143"/>
        <v>5233.8200000000006</v>
      </c>
      <c r="AO58" s="491">
        <f t="shared" ref="AO58" si="144">SUM(AO56:AO57)</f>
        <v>602.93100000000004</v>
      </c>
    </row>
    <row r="59" spans="1:41" s="94" customFormat="1" ht="21" customHeight="1" x14ac:dyDescent="0.3">
      <c r="A59" s="100"/>
      <c r="B59" s="100"/>
      <c r="C59" s="141"/>
      <c r="X59" s="2"/>
      <c r="Y59" s="278"/>
      <c r="Z59" s="147"/>
      <c r="AA59" s="103">
        <v>1063860.4558391243</v>
      </c>
      <c r="AB59" s="103">
        <v>1071026.8995049577</v>
      </c>
      <c r="AC59" s="103">
        <v>768872.58078330848</v>
      </c>
      <c r="AD59" s="103"/>
      <c r="AE59" s="103">
        <v>23900.739999999998</v>
      </c>
    </row>
    <row r="60" spans="1:41" s="94" customFormat="1" ht="21" customHeight="1" x14ac:dyDescent="0.3">
      <c r="A60" s="100"/>
      <c r="B60" s="100"/>
      <c r="C60" s="141"/>
      <c r="L60" s="121"/>
      <c r="M60" s="600"/>
      <c r="X60" s="2"/>
      <c r="Y60" s="146"/>
      <c r="Z60" s="256"/>
      <c r="AA60" s="105"/>
      <c r="AB60" s="105"/>
      <c r="AC60" s="94">
        <v>637295.82087484037</v>
      </c>
      <c r="AE60" s="94">
        <v>179361.27378373331</v>
      </c>
    </row>
    <row r="61" spans="1:41" s="94" customFormat="1" ht="21" customHeight="1" x14ac:dyDescent="0.3">
      <c r="A61" s="100"/>
      <c r="B61" s="100"/>
      <c r="C61" s="141"/>
      <c r="X61" s="2"/>
      <c r="Y61" s="103"/>
      <c r="Z61" s="147"/>
      <c r="AA61" s="103"/>
      <c r="AB61" s="103"/>
      <c r="AH61" s="163"/>
      <c r="AI61" s="163"/>
      <c r="AJ61" s="163"/>
      <c r="AK61" s="163"/>
      <c r="AL61" s="163"/>
      <c r="AM61" s="163"/>
      <c r="AN61" s="163"/>
      <c r="AO61" s="163"/>
    </row>
    <row r="62" spans="1:41" s="94" customFormat="1" ht="21" customHeight="1" x14ac:dyDescent="0.3">
      <c r="A62" s="100"/>
      <c r="B62" s="100"/>
      <c r="C62" s="141"/>
      <c r="X62" s="2"/>
      <c r="Y62" s="164"/>
      <c r="Z62" s="94">
        <v>1030760.6895049578</v>
      </c>
    </row>
    <row r="63" spans="1:41" s="121" customFormat="1" ht="21" customHeight="1" x14ac:dyDescent="0.3">
      <c r="A63" s="156"/>
      <c r="B63" s="156"/>
      <c r="C63" s="1024"/>
      <c r="X63" s="2"/>
      <c r="AH63" s="94"/>
      <c r="AI63" s="94"/>
      <c r="AJ63" s="94"/>
      <c r="AK63" s="94"/>
      <c r="AL63" s="94"/>
      <c r="AM63" s="94"/>
      <c r="AN63" s="94"/>
      <c r="AO63" s="94"/>
    </row>
    <row r="64" spans="1:41" ht="21" customHeight="1" x14ac:dyDescent="0.3">
      <c r="AH64" s="94"/>
      <c r="AI64" s="94"/>
      <c r="AJ64" s="94"/>
      <c r="AK64" s="94"/>
      <c r="AL64" s="94"/>
      <c r="AM64" s="94"/>
      <c r="AN64" s="94"/>
      <c r="AO64" s="94"/>
    </row>
    <row r="65" spans="34:41" ht="21" customHeight="1" x14ac:dyDescent="0.3">
      <c r="AH65" s="121"/>
      <c r="AI65" s="121"/>
      <c r="AJ65" s="121"/>
      <c r="AK65" s="121"/>
      <c r="AL65" s="121"/>
      <c r="AM65" s="121"/>
      <c r="AN65" s="121"/>
      <c r="AO65" s="121"/>
    </row>
    <row r="66" spans="34:41" ht="21" customHeight="1" x14ac:dyDescent="0.3">
      <c r="AH66" s="121"/>
      <c r="AI66" s="121"/>
      <c r="AJ66" s="121"/>
      <c r="AK66" s="121"/>
      <c r="AL66" s="121"/>
      <c r="AM66" s="121"/>
      <c r="AN66" s="121"/>
      <c r="AO66" s="121"/>
    </row>
  </sheetData>
  <mergeCells count="21">
    <mergeCell ref="AO9:AO11"/>
    <mergeCell ref="AI9:AI11"/>
    <mergeCell ref="A9:A11"/>
    <mergeCell ref="B9:B11"/>
    <mergeCell ref="C9:C11"/>
    <mergeCell ref="F9:F11"/>
    <mergeCell ref="K9:K11"/>
    <mergeCell ref="L9:L11"/>
    <mergeCell ref="M9:M11"/>
    <mergeCell ref="O9:S9"/>
    <mergeCell ref="H9:I10"/>
    <mergeCell ref="U9:W10"/>
    <mergeCell ref="Y9:AC10"/>
    <mergeCell ref="D9:D11"/>
    <mergeCell ref="AE9:AE10"/>
    <mergeCell ref="AH9:AH11"/>
    <mergeCell ref="AN9:AN11"/>
    <mergeCell ref="AJ9:AJ11"/>
    <mergeCell ref="AK9:AK11"/>
    <mergeCell ref="AL9:AL11"/>
    <mergeCell ref="AM9:AM11"/>
  </mergeCells>
  <pageMargins left="0.19685039370078741" right="0.19685039370078741" top="0.74803149606299213" bottom="0.74803149606299213" header="0.31496062992125984" footer="0.31496062992125984"/>
  <pageSetup paperSize="9" scale="10" fitToHeight="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pageSetUpPr fitToPage="1"/>
  </sheetPr>
  <dimension ref="A1:AP54"/>
  <sheetViews>
    <sheetView topLeftCell="L4" zoomScale="50" zoomScaleNormal="50" workbookViewId="0">
      <selection activeCell="AB14" sqref="AB14"/>
    </sheetView>
  </sheetViews>
  <sheetFormatPr baseColWidth="10" defaultColWidth="11.42578125" defaultRowHeight="21" customHeight="1" outlineLevelRow="1" outlineLevelCol="2" x14ac:dyDescent="0.3"/>
  <cols>
    <col min="1" max="1" width="15" style="86" customWidth="1"/>
    <col min="2" max="2" width="78.85546875" style="86" customWidth="1"/>
    <col min="3" max="4" width="17.5703125" style="2" bestFit="1" customWidth="1"/>
    <col min="5" max="5" width="7.85546875" style="2" customWidth="1"/>
    <col min="6" max="6" width="21.85546875" style="87" customWidth="1"/>
    <col min="7" max="7" width="2.85546875" style="2" customWidth="1"/>
    <col min="8" max="8" width="18.7109375" style="2" customWidth="1"/>
    <col min="9" max="9" width="10.42578125" style="2" customWidth="1"/>
    <col min="10" max="10" width="1.42578125" style="2" customWidth="1"/>
    <col min="11" max="11" width="19.140625" style="2" customWidth="1"/>
    <col min="12" max="12" width="20.5703125" style="2" customWidth="1"/>
    <col min="13" max="13" width="19.42578125" style="2" customWidth="1"/>
    <col min="14" max="14" width="1.140625" style="2" customWidth="1"/>
    <col min="15" max="15" width="13.5703125" style="2" customWidth="1" outlineLevel="1"/>
    <col min="16" max="19" width="12.7109375" style="2" customWidth="1" outlineLevel="1"/>
    <col min="20" max="20" width="2.85546875" style="2" customWidth="1"/>
    <col min="21" max="21" width="23.28515625" style="2" customWidth="1"/>
    <col min="22" max="22" width="21.5703125" style="2" customWidth="1"/>
    <col min="23" max="23" width="17.85546875" style="2" customWidth="1"/>
    <col min="24" max="24" width="2.85546875" style="2" customWidth="1"/>
    <col min="25" max="25" width="23" style="2" customWidth="1"/>
    <col min="26" max="26" width="22.7109375" style="2" customWidth="1"/>
    <col min="27" max="28" width="16.42578125" style="2" customWidth="1"/>
    <col min="29" max="29" width="21.5703125" style="2" customWidth="1"/>
    <col min="30" max="30" width="2.7109375" style="2" customWidth="1" outlineLevel="1"/>
    <col min="31" max="31" width="21.28515625" style="2" customWidth="1" outlineLevel="1"/>
    <col min="32" max="32" width="19" style="121" customWidth="1"/>
    <col min="33" max="33" width="7.28515625" style="94" customWidth="1"/>
    <col min="34" max="34" width="21.5703125" style="2" customWidth="1" outlineLevel="1"/>
    <col min="35" max="36" width="19.28515625" style="2" customWidth="1" outlineLevel="1"/>
    <col min="37" max="37" width="19" style="2" customWidth="1" outlineLevel="2"/>
    <col min="38" max="38" width="18.7109375" style="2" customWidth="1" outlineLevel="2"/>
    <col min="39" max="40" width="18.140625" style="2" customWidth="1" outlineLevel="2"/>
    <col min="41" max="41" width="17.5703125" style="2" customWidth="1" outlineLevel="2"/>
    <col min="42" max="42" width="11.42578125" style="2" customWidth="1" outlineLevel="1"/>
    <col min="43" max="16384" width="11.42578125" style="2"/>
  </cols>
  <sheetData>
    <row r="1" spans="1:41" ht="31.5" customHeight="1" x14ac:dyDescent="0.35">
      <c r="A1" s="88" t="s">
        <v>132</v>
      </c>
      <c r="B1" s="89"/>
      <c r="C1" s="89"/>
      <c r="D1" s="89"/>
      <c r="E1" s="89"/>
      <c r="F1" s="285"/>
      <c r="G1" s="89"/>
      <c r="H1" s="89"/>
      <c r="I1" s="89"/>
      <c r="J1" s="89"/>
      <c r="K1" s="89"/>
      <c r="L1" s="142"/>
      <c r="M1" s="142"/>
      <c r="N1" s="89"/>
      <c r="O1" s="89"/>
      <c r="P1" s="89"/>
      <c r="Q1" s="89"/>
      <c r="R1" s="89"/>
      <c r="S1" s="89"/>
      <c r="T1" s="89"/>
      <c r="U1" s="89"/>
      <c r="V1" s="89"/>
      <c r="W1" s="89"/>
      <c r="X1" s="89"/>
      <c r="Y1" s="89"/>
      <c r="Z1" s="89"/>
      <c r="AA1" s="89"/>
      <c r="AB1" s="89"/>
      <c r="AC1" s="89"/>
    </row>
    <row r="2" spans="1:41" ht="21" customHeight="1" x14ac:dyDescent="0.3">
      <c r="A2" s="244" t="s">
        <v>433</v>
      </c>
      <c r="B2" s="88"/>
      <c r="C2" s="88"/>
      <c r="D2" s="88"/>
      <c r="E2" s="88"/>
      <c r="F2" s="284"/>
      <c r="G2" s="88"/>
      <c r="H2" s="88"/>
      <c r="I2" s="143"/>
      <c r="J2" s="88"/>
      <c r="K2" s="88"/>
      <c r="L2" s="88"/>
      <c r="M2" s="88"/>
      <c r="N2" s="88"/>
      <c r="O2" s="88"/>
      <c r="P2" s="88"/>
      <c r="Q2" s="88"/>
      <c r="R2" s="88"/>
      <c r="S2" s="88"/>
      <c r="T2" s="88"/>
      <c r="U2" s="88"/>
      <c r="V2" s="88"/>
      <c r="W2" s="88"/>
      <c r="X2" s="88"/>
      <c r="Y2" s="88"/>
      <c r="Z2" s="284"/>
      <c r="AA2" s="88"/>
      <c r="AB2" s="88"/>
      <c r="AC2" s="88"/>
    </row>
    <row r="3" spans="1:41" ht="11.25" customHeight="1" x14ac:dyDescent="0.3"/>
    <row r="4" spans="1:41" ht="11.25" customHeight="1" x14ac:dyDescent="0.3"/>
    <row r="5" spans="1:41" ht="21" customHeight="1" x14ac:dyDescent="0.3">
      <c r="A5" s="90" t="s">
        <v>52</v>
      </c>
      <c r="B5" s="90" t="str">
        <f>+Mat!B5</f>
        <v>EL BOSQUE - CERCO + INGRESOS Y CASETAS</v>
      </c>
      <c r="C5" s="119"/>
      <c r="D5" s="119"/>
      <c r="E5" s="119"/>
      <c r="F5" s="700"/>
      <c r="G5" s="119"/>
      <c r="H5" s="119"/>
      <c r="I5" s="119"/>
      <c r="J5" s="119"/>
      <c r="K5" s="165" t="s">
        <v>53</v>
      </c>
      <c r="L5" s="166"/>
      <c r="M5" s="120"/>
      <c r="N5" s="119"/>
      <c r="O5" s="119"/>
      <c r="P5" s="119"/>
      <c r="Q5" s="119"/>
      <c r="R5" s="119"/>
      <c r="S5" s="119"/>
      <c r="T5" s="119"/>
      <c r="U5" s="119"/>
      <c r="V5" s="119"/>
      <c r="W5" s="119"/>
      <c r="X5" s="119"/>
      <c r="Y5" s="119"/>
      <c r="Z5" s="119"/>
      <c r="AA5" s="119"/>
      <c r="AB5" s="119"/>
      <c r="AC5" s="119"/>
      <c r="AD5" s="119"/>
      <c r="AE5" s="119"/>
      <c r="AF5" s="279"/>
      <c r="AI5" s="110"/>
      <c r="AJ5" s="110" t="str">
        <f>+A2</f>
        <v>MES DE ENERO DEL 2025</v>
      </c>
    </row>
    <row r="6" spans="1:41" ht="21" customHeight="1" x14ac:dyDescent="0.3">
      <c r="A6" s="90" t="s">
        <v>54</v>
      </c>
      <c r="B6" s="90">
        <f>+Mat!B6</f>
        <v>0</v>
      </c>
      <c r="C6" s="119"/>
      <c r="D6" s="119"/>
      <c r="E6" s="119"/>
      <c r="F6" s="700"/>
      <c r="G6" s="119"/>
      <c r="H6" s="119"/>
      <c r="I6" s="119"/>
      <c r="J6" s="119"/>
      <c r="K6" s="165" t="s">
        <v>55</v>
      </c>
      <c r="L6" s="166"/>
      <c r="M6" s="120"/>
      <c r="N6" s="119"/>
      <c r="O6" s="119"/>
      <c r="P6" s="119"/>
      <c r="Q6" s="119"/>
      <c r="R6" s="119"/>
      <c r="S6" s="119"/>
      <c r="T6" s="119"/>
      <c r="U6" s="119"/>
      <c r="V6" s="119"/>
      <c r="W6" s="119"/>
      <c r="X6" s="119"/>
      <c r="Y6" s="119"/>
      <c r="Z6" s="119"/>
      <c r="AA6" s="119"/>
      <c r="AB6" s="119"/>
      <c r="AC6" s="119"/>
      <c r="AD6" s="119"/>
      <c r="AE6" s="119"/>
      <c r="AF6" s="279"/>
    </row>
    <row r="7" spans="1:41" ht="12.75" customHeight="1" x14ac:dyDescent="0.3">
      <c r="A7" s="88"/>
    </row>
    <row r="8" spans="1:41" ht="5.25" customHeight="1" x14ac:dyDescent="0.3">
      <c r="O8" s="94">
        <f t="shared" ref="O8:S8" si="0">+YEAR(O11)</f>
        <v>2025</v>
      </c>
      <c r="P8" s="94">
        <f t="shared" si="0"/>
        <v>2025</v>
      </c>
      <c r="Q8" s="94">
        <f t="shared" si="0"/>
        <v>2025</v>
      </c>
      <c r="R8" s="94">
        <f t="shared" si="0"/>
        <v>2025</v>
      </c>
      <c r="S8" s="94">
        <f t="shared" si="0"/>
        <v>2025</v>
      </c>
    </row>
    <row r="9" spans="1:41" s="95" customFormat="1" ht="18.75" customHeight="1" x14ac:dyDescent="0.25">
      <c r="A9" s="1238" t="s">
        <v>56</v>
      </c>
      <c r="B9" s="1238" t="s">
        <v>57</v>
      </c>
      <c r="C9" s="1238" t="s">
        <v>58</v>
      </c>
      <c r="D9" s="1241" t="s">
        <v>59</v>
      </c>
      <c r="F9" s="1269" t="s">
        <v>60</v>
      </c>
      <c r="H9" s="1244" t="str">
        <f>+A2</f>
        <v>MES DE ENERO DEL 2025</v>
      </c>
      <c r="I9" s="1245"/>
      <c r="K9" s="1237" t="s">
        <v>434</v>
      </c>
      <c r="L9" s="1237" t="s">
        <v>39</v>
      </c>
      <c r="M9" s="1237" t="s">
        <v>40</v>
      </c>
      <c r="O9" s="1262" t="s">
        <v>0</v>
      </c>
      <c r="P9" s="1263"/>
      <c r="Q9" s="1263"/>
      <c r="R9" s="1263"/>
      <c r="S9" s="1263"/>
      <c r="U9" s="1231" t="s">
        <v>41</v>
      </c>
      <c r="V9" s="1232"/>
      <c r="W9" s="1233"/>
      <c r="Y9" s="1231" t="s">
        <v>1</v>
      </c>
      <c r="Z9" s="1232"/>
      <c r="AA9" s="1232"/>
      <c r="AB9" s="1232"/>
      <c r="AC9" s="1233"/>
      <c r="AE9" s="1241" t="s">
        <v>435</v>
      </c>
      <c r="AF9" s="153"/>
      <c r="AG9" s="122"/>
      <c r="AH9" s="1259" t="s">
        <v>30</v>
      </c>
      <c r="AI9" s="1264" t="s">
        <v>342</v>
      </c>
      <c r="AJ9" s="1264" t="s">
        <v>35</v>
      </c>
      <c r="AK9" s="1248">
        <v>45597</v>
      </c>
      <c r="AL9" s="1248">
        <v>45627</v>
      </c>
      <c r="AM9" s="1248">
        <v>45658</v>
      </c>
      <c r="AN9" s="1248">
        <v>45689</v>
      </c>
      <c r="AO9" s="1248">
        <v>45717</v>
      </c>
    </row>
    <row r="10" spans="1:41" s="95" customFormat="1" ht="18.75" x14ac:dyDescent="0.25">
      <c r="A10" s="1239"/>
      <c r="B10" s="1239"/>
      <c r="C10" s="1239"/>
      <c r="D10" s="1242"/>
      <c r="F10" s="1270"/>
      <c r="H10" s="1246"/>
      <c r="I10" s="1247"/>
      <c r="K10" s="1237"/>
      <c r="L10" s="1237"/>
      <c r="M10" s="1237"/>
      <c r="O10" s="309">
        <v>4</v>
      </c>
      <c r="P10" s="309">
        <f>+O10+1</f>
        <v>5</v>
      </c>
      <c r="Q10" s="309">
        <f t="shared" ref="Q10:S10" si="1">+P10+1</f>
        <v>6</v>
      </c>
      <c r="R10" s="309">
        <f t="shared" si="1"/>
        <v>7</v>
      </c>
      <c r="S10" s="309">
        <f t="shared" si="1"/>
        <v>8</v>
      </c>
      <c r="U10" s="1234"/>
      <c r="V10" s="1235"/>
      <c r="W10" s="1236"/>
      <c r="Y10" s="1234"/>
      <c r="Z10" s="1235"/>
      <c r="AA10" s="1235"/>
      <c r="AB10" s="1235"/>
      <c r="AC10" s="1236"/>
      <c r="AE10" s="1243"/>
      <c r="AF10" s="153"/>
      <c r="AG10" s="122"/>
      <c r="AH10" s="1260"/>
      <c r="AI10" s="1265"/>
      <c r="AJ10" s="1265"/>
      <c r="AK10" s="1249"/>
      <c r="AL10" s="1249"/>
      <c r="AM10" s="1249"/>
      <c r="AN10" s="1249"/>
      <c r="AO10" s="1249"/>
    </row>
    <row r="11" spans="1:41" s="97" customFormat="1" ht="37.5" x14ac:dyDescent="0.25">
      <c r="A11" s="1240"/>
      <c r="B11" s="1240"/>
      <c r="C11" s="1240"/>
      <c r="D11" s="1243"/>
      <c r="F11" s="1271"/>
      <c r="G11" s="95"/>
      <c r="H11" s="246" t="s">
        <v>4</v>
      </c>
      <c r="I11" s="246" t="s">
        <v>5</v>
      </c>
      <c r="J11" s="95"/>
      <c r="K11" s="1237"/>
      <c r="L11" s="1237"/>
      <c r="M11" s="1237"/>
      <c r="O11" s="247">
        <f>+Eq!O11</f>
        <v>45689</v>
      </c>
      <c r="P11" s="247">
        <f>+O11+31</f>
        <v>45720</v>
      </c>
      <c r="Q11" s="247">
        <f t="shared" ref="Q11:S11" si="2">+P11+31</f>
        <v>45751</v>
      </c>
      <c r="R11" s="247">
        <f t="shared" si="2"/>
        <v>45782</v>
      </c>
      <c r="S11" s="247">
        <f t="shared" si="2"/>
        <v>45813</v>
      </c>
      <c r="U11" s="246">
        <f>+Eq!U11</f>
        <v>2025</v>
      </c>
      <c r="V11" s="246">
        <f>+U11+1</f>
        <v>2026</v>
      </c>
      <c r="W11" s="246">
        <f>+V11+1</f>
        <v>2027</v>
      </c>
      <c r="Y11" s="246" t="s">
        <v>6</v>
      </c>
      <c r="Z11" s="246" t="s">
        <v>7</v>
      </c>
      <c r="AA11" s="246" t="s">
        <v>36</v>
      </c>
      <c r="AB11" s="248" t="s">
        <v>125</v>
      </c>
      <c r="AC11" s="246" t="s">
        <v>8</v>
      </c>
      <c r="AE11" s="1113" t="s">
        <v>436</v>
      </c>
      <c r="AF11" s="154"/>
      <c r="AG11" s="123"/>
      <c r="AH11" s="1261"/>
      <c r="AI11" s="1266"/>
      <c r="AJ11" s="1266"/>
      <c r="AK11" s="1250"/>
      <c r="AL11" s="1250"/>
      <c r="AM11" s="1250"/>
      <c r="AN11" s="1250"/>
      <c r="AO11" s="1250"/>
    </row>
    <row r="12" spans="1:41" ht="26.25" customHeight="1" x14ac:dyDescent="0.3">
      <c r="A12" s="98">
        <f>+MO!A12</f>
        <v>100</v>
      </c>
      <c r="B12" s="102" t="str">
        <f>+MO!B12</f>
        <v>OBRAS PRELIMINARES</v>
      </c>
      <c r="O12" s="269">
        <f>+SC!O12</f>
        <v>0</v>
      </c>
      <c r="P12" s="269">
        <f>+SC!P12</f>
        <v>0</v>
      </c>
      <c r="Q12" s="269">
        <f>+SC!Q12</f>
        <v>0</v>
      </c>
      <c r="R12" s="269">
        <f>+SC!R12</f>
        <v>0</v>
      </c>
      <c r="S12" s="269">
        <f>+SC!S12</f>
        <v>0</v>
      </c>
    </row>
    <row r="13" spans="1:41" ht="21" customHeight="1" x14ac:dyDescent="0.3">
      <c r="A13" s="134"/>
      <c r="B13" s="1015"/>
      <c r="C13" s="144"/>
      <c r="D13" s="1032"/>
      <c r="F13" s="466">
        <f>+SUM(AI13)</f>
        <v>0</v>
      </c>
      <c r="G13" s="87"/>
      <c r="H13" s="494"/>
      <c r="I13" s="495">
        <f>+AJ13</f>
        <v>0</v>
      </c>
      <c r="J13" s="87"/>
      <c r="K13" s="466">
        <f>+I13+AE13</f>
        <v>0</v>
      </c>
      <c r="L13" s="496">
        <f>+F13+K13</f>
        <v>0</v>
      </c>
      <c r="M13" s="496">
        <f>+D13-L13</f>
        <v>0</v>
      </c>
      <c r="N13" s="87"/>
      <c r="O13" s="466">
        <f>+O$12*$M13</f>
        <v>0</v>
      </c>
      <c r="P13" s="466">
        <f t="shared" ref="P13:S15" si="3">+P$12*$M13</f>
        <v>0</v>
      </c>
      <c r="Q13" s="466">
        <f t="shared" si="3"/>
        <v>0</v>
      </c>
      <c r="R13" s="466">
        <f t="shared" si="3"/>
        <v>0</v>
      </c>
      <c r="S13" s="466">
        <f t="shared" si="3"/>
        <v>0</v>
      </c>
      <c r="T13" s="87"/>
      <c r="U13" s="466">
        <f t="shared" ref="U13:U14" si="4">+SUMIFS(O13:S13,O$8:S$8,$U$11)</f>
        <v>0</v>
      </c>
      <c r="V13" s="466">
        <f t="shared" ref="V13:V14" si="5">+SUMIFS(O13:S13,O$8:S$8,$V$11)</f>
        <v>0</v>
      </c>
      <c r="W13" s="466">
        <f t="shared" ref="W13:W14" si="6">+SUMIFS(O13:S13,O$8:S$8,$W$11)</f>
        <v>0</v>
      </c>
      <c r="X13" s="87"/>
      <c r="Y13" s="466">
        <f>+L13+M13</f>
        <v>0</v>
      </c>
      <c r="Z13" s="466"/>
      <c r="AA13" s="466"/>
      <c r="AB13" s="466"/>
      <c r="AC13" s="497"/>
      <c r="AD13" s="87"/>
      <c r="AE13" s="466"/>
      <c r="AF13" s="279"/>
      <c r="AG13" s="174"/>
      <c r="AH13" s="476">
        <f>SUM(AK13:AO13)</f>
        <v>0</v>
      </c>
      <c r="AI13" s="498">
        <f>SUM(AK13:AL13)</f>
        <v>0</v>
      </c>
      <c r="AJ13" s="498">
        <f>AM13</f>
        <v>0</v>
      </c>
      <c r="AK13" s="476"/>
      <c r="AL13" s="476"/>
      <c r="AM13" s="476"/>
      <c r="AN13" s="476"/>
      <c r="AO13" s="476"/>
    </row>
    <row r="14" spans="1:41" s="1010" customFormat="1" ht="21" customHeight="1" x14ac:dyDescent="0.3">
      <c r="A14" s="1008"/>
      <c r="B14" s="1016"/>
      <c r="C14" s="144"/>
      <c r="D14" s="1038"/>
      <c r="F14" s="466">
        <f t="shared" ref="F14:F15" si="7">+SUM(AI14)</f>
        <v>0</v>
      </c>
      <c r="G14" s="499"/>
      <c r="H14" s="1011"/>
      <c r="I14" s="495">
        <f t="shared" ref="I14:I15" si="8">+AJ14</f>
        <v>0</v>
      </c>
      <c r="J14" s="499"/>
      <c r="K14" s="466">
        <f t="shared" ref="K14:K15" si="9">+I14+AE14</f>
        <v>0</v>
      </c>
      <c r="L14" s="496">
        <f t="shared" ref="L14:L15" si="10">+F14+K14</f>
        <v>0</v>
      </c>
      <c r="M14" s="496">
        <f t="shared" ref="M14:M15" si="11">+D14-L14</f>
        <v>0</v>
      </c>
      <c r="N14" s="499"/>
      <c r="O14" s="466">
        <f t="shared" ref="O14:O15" si="12">+O$12*$M14</f>
        <v>0</v>
      </c>
      <c r="P14" s="466">
        <f t="shared" si="3"/>
        <v>0</v>
      </c>
      <c r="Q14" s="466">
        <f t="shared" si="3"/>
        <v>0</v>
      </c>
      <c r="R14" s="466">
        <f t="shared" si="3"/>
        <v>0</v>
      </c>
      <c r="S14" s="466">
        <f t="shared" si="3"/>
        <v>0</v>
      </c>
      <c r="T14" s="499"/>
      <c r="U14" s="484">
        <f t="shared" si="4"/>
        <v>0</v>
      </c>
      <c r="V14" s="484">
        <f t="shared" si="5"/>
        <v>0</v>
      </c>
      <c r="W14" s="484">
        <f t="shared" si="6"/>
        <v>0</v>
      </c>
      <c r="X14" s="499"/>
      <c r="Y14" s="466">
        <f t="shared" ref="Y14:Y15" si="13">+L14+M14</f>
        <v>0</v>
      </c>
      <c r="Z14" s="484"/>
      <c r="AA14" s="484"/>
      <c r="AB14" s="484"/>
      <c r="AC14" s="484"/>
      <c r="AD14" s="499"/>
      <c r="AE14" s="484"/>
      <c r="AF14" s="1012"/>
      <c r="AG14" s="516"/>
      <c r="AH14" s="476">
        <f t="shared" ref="AH14:AH15" si="14">SUM(AK14:AO14)</f>
        <v>0</v>
      </c>
      <c r="AI14" s="498">
        <f t="shared" ref="AI14:AI15" si="15">SUM(AK14:AL14)</f>
        <v>0</v>
      </c>
      <c r="AJ14" s="498">
        <f t="shared" ref="AJ14:AJ15" si="16">AM14</f>
        <v>0</v>
      </c>
      <c r="AK14" s="476"/>
      <c r="AL14" s="476"/>
      <c r="AM14" s="476"/>
      <c r="AN14" s="476"/>
      <c r="AO14" s="476"/>
    </row>
    <row r="15" spans="1:41" s="1010" customFormat="1" ht="21" customHeight="1" x14ac:dyDescent="0.3">
      <c r="A15" s="1013"/>
      <c r="B15" s="1016"/>
      <c r="C15" s="1009"/>
      <c r="D15" s="1038"/>
      <c r="F15" s="466">
        <f t="shared" si="7"/>
        <v>0</v>
      </c>
      <c r="G15" s="499"/>
      <c r="H15" s="596"/>
      <c r="I15" s="495">
        <f t="shared" si="8"/>
        <v>0</v>
      </c>
      <c r="J15" s="499"/>
      <c r="K15" s="466">
        <f t="shared" si="9"/>
        <v>0</v>
      </c>
      <c r="L15" s="496">
        <f t="shared" si="10"/>
        <v>0</v>
      </c>
      <c r="M15" s="496">
        <f t="shared" si="11"/>
        <v>0</v>
      </c>
      <c r="N15" s="499"/>
      <c r="O15" s="466">
        <f t="shared" si="12"/>
        <v>0</v>
      </c>
      <c r="P15" s="466">
        <f t="shared" si="3"/>
        <v>0</v>
      </c>
      <c r="Q15" s="466">
        <f t="shared" si="3"/>
        <v>0</v>
      </c>
      <c r="R15" s="466">
        <f t="shared" si="3"/>
        <v>0</v>
      </c>
      <c r="S15" s="466">
        <f t="shared" si="3"/>
        <v>0</v>
      </c>
      <c r="T15" s="499"/>
      <c r="U15" s="484"/>
      <c r="V15" s="542"/>
      <c r="W15" s="542"/>
      <c r="X15" s="499"/>
      <c r="Y15" s="466">
        <f t="shared" si="13"/>
        <v>0</v>
      </c>
      <c r="Z15" s="484"/>
      <c r="AA15" s="484"/>
      <c r="AB15" s="484"/>
      <c r="AC15" s="484"/>
      <c r="AD15" s="499"/>
      <c r="AE15" s="484"/>
      <c r="AF15" s="1012"/>
      <c r="AG15" s="516"/>
      <c r="AH15" s="476">
        <f t="shared" si="14"/>
        <v>0</v>
      </c>
      <c r="AI15" s="498">
        <f t="shared" si="15"/>
        <v>0</v>
      </c>
      <c r="AJ15" s="498">
        <f t="shared" si="16"/>
        <v>0</v>
      </c>
      <c r="AK15" s="659"/>
      <c r="AL15" s="677"/>
      <c r="AM15" s="677"/>
      <c r="AN15" s="677"/>
      <c r="AO15" s="677"/>
    </row>
    <row r="16" spans="1:41" ht="21" customHeight="1" x14ac:dyDescent="0.3">
      <c r="A16" s="1267" t="str">
        <f>+"TOTAL FASE  "&amp;A12&amp;" : "&amp;B12</f>
        <v>TOTAL FASE  100 : OBRAS PRELIMINARES</v>
      </c>
      <c r="B16" s="1268"/>
      <c r="C16" s="101" t="s">
        <v>29</v>
      </c>
      <c r="D16" s="1006">
        <f t="shared" ref="D16" si="17">SUM(D13:D15)</f>
        <v>0</v>
      </c>
      <c r="F16" s="1006">
        <f t="shared" ref="F16" si="18">SUM(F13:F15)</f>
        <v>0</v>
      </c>
      <c r="G16" s="87"/>
      <c r="H16" s="1006">
        <f t="shared" ref="H16:I16" si="19">SUM(H13:H15)</f>
        <v>0</v>
      </c>
      <c r="I16" s="1006">
        <f t="shared" si="19"/>
        <v>0</v>
      </c>
      <c r="J16" s="87"/>
      <c r="K16" s="1006">
        <f t="shared" ref="K16:M16" si="20">SUM(K13:K15)</f>
        <v>0</v>
      </c>
      <c r="L16" s="1006">
        <f t="shared" si="20"/>
        <v>0</v>
      </c>
      <c r="M16" s="1006">
        <f t="shared" si="20"/>
        <v>0</v>
      </c>
      <c r="N16" s="87"/>
      <c r="O16" s="1006">
        <f t="shared" ref="O16:S16" si="21">SUM(O13:O15)</f>
        <v>0</v>
      </c>
      <c r="P16" s="1006">
        <f t="shared" si="21"/>
        <v>0</v>
      </c>
      <c r="Q16" s="1006">
        <f t="shared" si="21"/>
        <v>0</v>
      </c>
      <c r="R16" s="1006">
        <f t="shared" si="21"/>
        <v>0</v>
      </c>
      <c r="S16" s="1006">
        <f t="shared" si="21"/>
        <v>0</v>
      </c>
      <c r="T16" s="87"/>
      <c r="U16" s="1006">
        <f t="shared" ref="U16:W16" si="22">SUM(U13:U15)</f>
        <v>0</v>
      </c>
      <c r="V16" s="1006">
        <f t="shared" si="22"/>
        <v>0</v>
      </c>
      <c r="W16" s="1006">
        <f t="shared" si="22"/>
        <v>0</v>
      </c>
      <c r="X16" s="87"/>
      <c r="Y16" s="1006">
        <f t="shared" ref="Y16:AC16" si="23">SUM(Y13:Y15)</f>
        <v>0</v>
      </c>
      <c r="Z16" s="1006">
        <f t="shared" si="23"/>
        <v>0</v>
      </c>
      <c r="AA16" s="1006">
        <f t="shared" si="23"/>
        <v>0</v>
      </c>
      <c r="AB16" s="1006">
        <f t="shared" si="23"/>
        <v>0</v>
      </c>
      <c r="AC16" s="1006">
        <f t="shared" si="23"/>
        <v>0</v>
      </c>
      <c r="AD16" s="87"/>
      <c r="AE16" s="1006">
        <f t="shared" ref="AE16" si="24">SUM(AE13:AE15)</f>
        <v>0</v>
      </c>
      <c r="AF16" s="685"/>
      <c r="AG16" s="174"/>
      <c r="AH16" s="1006">
        <f t="shared" ref="AH16:AN16" si="25">SUM(AH13:AH15)</f>
        <v>0</v>
      </c>
      <c r="AI16" s="1006">
        <f t="shared" si="25"/>
        <v>0</v>
      </c>
      <c r="AJ16" s="1006">
        <f t="shared" si="25"/>
        <v>0</v>
      </c>
      <c r="AK16" s="1006">
        <f t="shared" si="25"/>
        <v>0</v>
      </c>
      <c r="AL16" s="1006">
        <f t="shared" si="25"/>
        <v>0</v>
      </c>
      <c r="AM16" s="1006">
        <f t="shared" si="25"/>
        <v>0</v>
      </c>
      <c r="AN16" s="1006">
        <f t="shared" si="25"/>
        <v>0</v>
      </c>
      <c r="AO16" s="1006">
        <f t="shared" ref="AO16" si="26">SUM(AO13:AO15)</f>
        <v>0</v>
      </c>
    </row>
    <row r="17" spans="1:41" s="114" customFormat="1" ht="26.25" customHeight="1" x14ac:dyDescent="0.3">
      <c r="A17" s="145">
        <f>+MO!A24</f>
        <v>200</v>
      </c>
      <c r="B17" s="112" t="str">
        <f>+MO!B24</f>
        <v>MOVIMIENTO DE TIERRAS</v>
      </c>
      <c r="C17" s="106"/>
      <c r="D17" s="174"/>
      <c r="F17" s="282"/>
      <c r="G17" s="282"/>
      <c r="H17" s="282">
        <v>0</v>
      </c>
      <c r="I17" s="282"/>
      <c r="J17" s="282"/>
      <c r="K17" s="282"/>
      <c r="L17" s="282"/>
      <c r="M17" s="282"/>
      <c r="N17" s="282"/>
      <c r="O17" s="174">
        <f>+SC!O20</f>
        <v>0</v>
      </c>
      <c r="P17" s="174">
        <f>+SC!P20</f>
        <v>0</v>
      </c>
      <c r="Q17" s="174">
        <f>+SC!Q20</f>
        <v>0</v>
      </c>
      <c r="R17" s="174">
        <f>+SC!R20</f>
        <v>0</v>
      </c>
      <c r="S17" s="174">
        <f>+SC!S20</f>
        <v>0</v>
      </c>
      <c r="T17" s="174"/>
      <c r="U17" s="174"/>
      <c r="V17" s="174"/>
      <c r="W17" s="174"/>
      <c r="X17" s="174"/>
      <c r="Y17" s="282"/>
      <c r="Z17" s="282"/>
      <c r="AA17" s="282"/>
      <c r="AB17" s="282"/>
      <c r="AC17" s="282"/>
      <c r="AD17" s="174"/>
      <c r="AE17" s="282"/>
      <c r="AF17" s="279"/>
      <c r="AG17" s="279"/>
      <c r="AH17" s="87"/>
      <c r="AI17" s="87"/>
      <c r="AJ17" s="87"/>
      <c r="AK17" s="87"/>
      <c r="AL17" s="87"/>
      <c r="AM17" s="87"/>
      <c r="AN17" s="87"/>
      <c r="AO17" s="87"/>
    </row>
    <row r="18" spans="1:41" s="1010" customFormat="1" ht="21" customHeight="1" x14ac:dyDescent="0.3">
      <c r="A18" s="1008" t="s">
        <v>349</v>
      </c>
      <c r="B18" s="1017" t="s">
        <v>351</v>
      </c>
      <c r="C18" s="144" t="s">
        <v>358</v>
      </c>
      <c r="D18" s="1038">
        <v>161.55964594</v>
      </c>
      <c r="F18" s="466">
        <f t="shared" ref="F18:F20" si="27">+SUM(AI18)</f>
        <v>0</v>
      </c>
      <c r="G18" s="499"/>
      <c r="H18" s="1011"/>
      <c r="I18" s="495">
        <f t="shared" ref="I18:I20" si="28">+AJ18</f>
        <v>0</v>
      </c>
      <c r="J18" s="515"/>
      <c r="K18" s="466">
        <f t="shared" ref="K18:K20" si="29">+I18+AE18</f>
        <v>0</v>
      </c>
      <c r="L18" s="496">
        <f t="shared" ref="L18:L20" si="30">+F18+K18</f>
        <v>0</v>
      </c>
      <c r="M18" s="496">
        <f>+D18-L18</f>
        <v>161.55964594</v>
      </c>
      <c r="N18" s="87"/>
      <c r="O18" s="466">
        <f>+O$17*$M18</f>
        <v>0</v>
      </c>
      <c r="P18" s="466">
        <f t="shared" ref="P18:S20" si="31">+P$17*$M18</f>
        <v>0</v>
      </c>
      <c r="Q18" s="466">
        <f t="shared" si="31"/>
        <v>0</v>
      </c>
      <c r="R18" s="466">
        <f t="shared" si="31"/>
        <v>0</v>
      </c>
      <c r="S18" s="466">
        <f t="shared" si="31"/>
        <v>0</v>
      </c>
      <c r="T18" s="516"/>
      <c r="U18" s="484"/>
      <c r="V18" s="484"/>
      <c r="W18" s="484"/>
      <c r="X18" s="499"/>
      <c r="Y18" s="466">
        <f t="shared" ref="Y18:Y20" si="32">+L18+M18</f>
        <v>161.55964594</v>
      </c>
      <c r="Z18" s="484"/>
      <c r="AA18" s="484"/>
      <c r="AB18" s="484"/>
      <c r="AC18" s="484"/>
      <c r="AD18" s="499"/>
      <c r="AE18" s="484"/>
      <c r="AF18" s="1012"/>
      <c r="AG18" s="1012"/>
      <c r="AH18" s="476">
        <f t="shared" ref="AH18:AH20" si="33">SUM(AK18:AO18)</f>
        <v>0</v>
      </c>
      <c r="AI18" s="498">
        <f t="shared" ref="AI18:AI20" si="34">SUM(AK18:AL18)</f>
        <v>0</v>
      </c>
      <c r="AJ18" s="498">
        <f t="shared" ref="AJ18:AJ20" si="35">AM18</f>
        <v>0</v>
      </c>
      <c r="AK18" s="476"/>
      <c r="AL18" s="477"/>
      <c r="AM18" s="476"/>
      <c r="AN18" s="476"/>
      <c r="AO18" s="476"/>
    </row>
    <row r="19" spans="1:41" s="1010" customFormat="1" ht="21" customHeight="1" x14ac:dyDescent="0.3">
      <c r="A19" s="1008"/>
      <c r="B19" s="1017"/>
      <c r="C19" s="144"/>
      <c r="D19" s="1038"/>
      <c r="F19" s="466">
        <f t="shared" si="27"/>
        <v>0</v>
      </c>
      <c r="G19" s="499"/>
      <c r="H19" s="1011"/>
      <c r="I19" s="495">
        <f t="shared" si="28"/>
        <v>0</v>
      </c>
      <c r="J19" s="515"/>
      <c r="K19" s="466">
        <f t="shared" si="29"/>
        <v>0</v>
      </c>
      <c r="L19" s="496">
        <f t="shared" si="30"/>
        <v>0</v>
      </c>
      <c r="M19" s="496">
        <f t="shared" ref="M19:M20" si="36">+D19-L19</f>
        <v>0</v>
      </c>
      <c r="N19" s="87"/>
      <c r="O19" s="466">
        <f t="shared" ref="O19:O20" si="37">+O$17*$M19</f>
        <v>0</v>
      </c>
      <c r="P19" s="466">
        <f t="shared" si="31"/>
        <v>0</v>
      </c>
      <c r="Q19" s="466">
        <f t="shared" si="31"/>
        <v>0</v>
      </c>
      <c r="R19" s="466">
        <f t="shared" si="31"/>
        <v>0</v>
      </c>
      <c r="S19" s="466">
        <f t="shared" si="31"/>
        <v>0</v>
      </c>
      <c r="T19" s="516"/>
      <c r="U19" s="484"/>
      <c r="V19" s="484"/>
      <c r="W19" s="484"/>
      <c r="X19" s="499"/>
      <c r="Y19" s="466">
        <f t="shared" si="32"/>
        <v>0</v>
      </c>
      <c r="Z19" s="484"/>
      <c r="AA19" s="484"/>
      <c r="AB19" s="484"/>
      <c r="AC19" s="484"/>
      <c r="AD19" s="499"/>
      <c r="AE19" s="484"/>
      <c r="AF19" s="1012"/>
      <c r="AG19" s="1012"/>
      <c r="AH19" s="476">
        <f t="shared" si="33"/>
        <v>0</v>
      </c>
      <c r="AI19" s="498">
        <f t="shared" si="34"/>
        <v>0</v>
      </c>
      <c r="AJ19" s="498">
        <f t="shared" si="35"/>
        <v>0</v>
      </c>
      <c r="AK19" s="476"/>
      <c r="AL19" s="477"/>
      <c r="AM19" s="476"/>
      <c r="AN19" s="476"/>
      <c r="AO19" s="476"/>
    </row>
    <row r="20" spans="1:41" s="1010" customFormat="1" ht="21" customHeight="1" x14ac:dyDescent="0.3">
      <c r="A20" s="1013"/>
      <c r="B20" s="1017"/>
      <c r="C20" s="1009"/>
      <c r="D20" s="1038"/>
      <c r="F20" s="466">
        <f t="shared" si="27"/>
        <v>0</v>
      </c>
      <c r="G20" s="499"/>
      <c r="H20" s="596"/>
      <c r="I20" s="495">
        <f t="shared" si="28"/>
        <v>0</v>
      </c>
      <c r="J20" s="515"/>
      <c r="K20" s="466">
        <f t="shared" si="29"/>
        <v>0</v>
      </c>
      <c r="L20" s="496">
        <f t="shared" si="30"/>
        <v>0</v>
      </c>
      <c r="M20" s="496">
        <f t="shared" si="36"/>
        <v>0</v>
      </c>
      <c r="N20" s="87"/>
      <c r="O20" s="466">
        <f t="shared" si="37"/>
        <v>0</v>
      </c>
      <c r="P20" s="466">
        <f t="shared" si="31"/>
        <v>0</v>
      </c>
      <c r="Q20" s="466">
        <f t="shared" si="31"/>
        <v>0</v>
      </c>
      <c r="R20" s="466">
        <f t="shared" si="31"/>
        <v>0</v>
      </c>
      <c r="S20" s="466">
        <f t="shared" si="31"/>
        <v>0</v>
      </c>
      <c r="T20" s="516"/>
      <c r="U20" s="484"/>
      <c r="V20" s="484"/>
      <c r="W20" s="484"/>
      <c r="X20" s="499"/>
      <c r="Y20" s="466">
        <f t="shared" si="32"/>
        <v>0</v>
      </c>
      <c r="Z20" s="484"/>
      <c r="AA20" s="484"/>
      <c r="AB20" s="484"/>
      <c r="AC20" s="484"/>
      <c r="AD20" s="499"/>
      <c r="AE20" s="484"/>
      <c r="AF20" s="1012"/>
      <c r="AG20" s="1012"/>
      <c r="AH20" s="476">
        <f t="shared" si="33"/>
        <v>0</v>
      </c>
      <c r="AI20" s="498">
        <f t="shared" si="34"/>
        <v>0</v>
      </c>
      <c r="AJ20" s="498">
        <f t="shared" si="35"/>
        <v>0</v>
      </c>
      <c r="AK20" s="484"/>
      <c r="AL20" s="1014"/>
      <c r="AM20" s="542"/>
      <c r="AN20" s="542"/>
      <c r="AO20" s="542"/>
    </row>
    <row r="21" spans="1:41" ht="21" customHeight="1" x14ac:dyDescent="0.3">
      <c r="A21" s="1256" t="str">
        <f>+"TOTAL FASE  "&amp;A17&amp;" : "&amp;B17</f>
        <v>TOTAL FASE  200 : MOVIMIENTO DE TIERRAS</v>
      </c>
      <c r="B21" s="1257"/>
      <c r="C21" s="101" t="s">
        <v>29</v>
      </c>
      <c r="D21" s="1006">
        <f t="shared" ref="D21" si="38">SUM(D18:D20)</f>
        <v>161.55964594</v>
      </c>
      <c r="F21" s="1006">
        <f t="shared" ref="F21" si="39">SUM(F18:F20)</f>
        <v>0</v>
      </c>
      <c r="G21" s="87"/>
      <c r="H21" s="1006">
        <f t="shared" ref="H21:I21" si="40">SUM(H18:H20)</f>
        <v>0</v>
      </c>
      <c r="I21" s="1006">
        <f t="shared" si="40"/>
        <v>0</v>
      </c>
      <c r="J21" s="87"/>
      <c r="K21" s="1006">
        <f t="shared" ref="K21:M21" si="41">SUM(K18:K20)</f>
        <v>0</v>
      </c>
      <c r="L21" s="1006">
        <f t="shared" si="41"/>
        <v>0</v>
      </c>
      <c r="M21" s="1006">
        <f t="shared" si="41"/>
        <v>161.55964594</v>
      </c>
      <c r="N21" s="87"/>
      <c r="O21" s="1006">
        <f t="shared" ref="O21:S21" si="42">SUM(O18:O20)</f>
        <v>0</v>
      </c>
      <c r="P21" s="1006">
        <f t="shared" si="42"/>
        <v>0</v>
      </c>
      <c r="Q21" s="1006">
        <f t="shared" si="42"/>
        <v>0</v>
      </c>
      <c r="R21" s="1006">
        <f t="shared" si="42"/>
        <v>0</v>
      </c>
      <c r="S21" s="1006">
        <f t="shared" si="42"/>
        <v>0</v>
      </c>
      <c r="T21" s="174"/>
      <c r="U21" s="1006">
        <f t="shared" ref="U21:W21" si="43">SUM(U18:U20)</f>
        <v>0</v>
      </c>
      <c r="V21" s="1006">
        <f t="shared" si="43"/>
        <v>0</v>
      </c>
      <c r="W21" s="1006">
        <f t="shared" si="43"/>
        <v>0</v>
      </c>
      <c r="X21" s="87"/>
      <c r="Y21" s="1006">
        <f t="shared" ref="Y21:AC21" si="44">SUM(Y18:Y20)</f>
        <v>161.55964594</v>
      </c>
      <c r="Z21" s="1006">
        <f t="shared" si="44"/>
        <v>0</v>
      </c>
      <c r="AA21" s="1006">
        <f t="shared" si="44"/>
        <v>0</v>
      </c>
      <c r="AB21" s="1006">
        <f t="shared" si="44"/>
        <v>0</v>
      </c>
      <c r="AC21" s="1006">
        <f t="shared" si="44"/>
        <v>0</v>
      </c>
      <c r="AD21" s="87"/>
      <c r="AE21" s="1006">
        <f t="shared" ref="AE21" si="45">SUM(AE18:AE20)</f>
        <v>0</v>
      </c>
      <c r="AF21" s="279"/>
      <c r="AG21" s="174"/>
      <c r="AH21" s="1006">
        <f t="shared" ref="AH21:AO21" si="46">SUM(AH18:AH20)</f>
        <v>0</v>
      </c>
      <c r="AI21" s="1006">
        <f t="shared" si="46"/>
        <v>0</v>
      </c>
      <c r="AJ21" s="1006">
        <f t="shared" si="46"/>
        <v>0</v>
      </c>
      <c r="AK21" s="1006">
        <f t="shared" si="46"/>
        <v>0</v>
      </c>
      <c r="AL21" s="1006">
        <f t="shared" si="46"/>
        <v>0</v>
      </c>
      <c r="AM21" s="1006">
        <f t="shared" si="46"/>
        <v>0</v>
      </c>
      <c r="AN21" s="1006">
        <f t="shared" si="46"/>
        <v>0</v>
      </c>
      <c r="AO21" s="1006">
        <f t="shared" si="46"/>
        <v>0</v>
      </c>
    </row>
    <row r="22" spans="1:41" ht="26.25" customHeight="1" x14ac:dyDescent="0.3">
      <c r="A22" s="145">
        <f>+MO!A36</f>
        <v>300</v>
      </c>
      <c r="B22" s="102" t="str">
        <f>+MO!B36</f>
        <v xml:space="preserve">CONCRETO </v>
      </c>
      <c r="C22" s="7"/>
      <c r="D22" s="87"/>
      <c r="G22" s="282"/>
      <c r="H22" s="87">
        <v>0</v>
      </c>
      <c r="I22" s="87"/>
      <c r="J22" s="282"/>
      <c r="K22" s="282"/>
      <c r="L22" s="87"/>
      <c r="M22" s="87"/>
      <c r="N22" s="282"/>
      <c r="O22" s="174">
        <f>+SC!O30</f>
        <v>0</v>
      </c>
      <c r="P22" s="174">
        <f>+SC!P30</f>
        <v>0</v>
      </c>
      <c r="Q22" s="174">
        <f>+SC!Q30</f>
        <v>0</v>
      </c>
      <c r="R22" s="174">
        <f>+SC!R30</f>
        <v>0</v>
      </c>
      <c r="S22" s="174">
        <f>+SC!S30</f>
        <v>0</v>
      </c>
      <c r="T22" s="174"/>
      <c r="U22" s="87"/>
      <c r="V22" s="87"/>
      <c r="W22" s="87"/>
      <c r="X22" s="87"/>
      <c r="Y22" s="87"/>
      <c r="Z22" s="87"/>
      <c r="AA22" s="87"/>
      <c r="AB22" s="87"/>
      <c r="AC22" s="87"/>
      <c r="AD22" s="87"/>
      <c r="AE22" s="87"/>
      <c r="AF22" s="279"/>
      <c r="AG22" s="174"/>
      <c r="AH22" s="87"/>
      <c r="AI22" s="87"/>
      <c r="AJ22" s="87"/>
      <c r="AK22" s="87"/>
      <c r="AL22" s="87"/>
      <c r="AM22" s="87"/>
      <c r="AN22" s="87"/>
      <c r="AO22" s="87"/>
    </row>
    <row r="23" spans="1:41" s="1010" customFormat="1" ht="21" customHeight="1" x14ac:dyDescent="0.3">
      <c r="A23" s="1008"/>
      <c r="B23" s="1017"/>
      <c r="C23" s="144"/>
      <c r="D23" s="1038"/>
      <c r="F23" s="466">
        <f t="shared" ref="F23:F28" si="47">+SUM(AI23)</f>
        <v>0</v>
      </c>
      <c r="G23" s="499"/>
      <c r="H23" s="1011">
        <v>0</v>
      </c>
      <c r="I23" s="495">
        <f t="shared" ref="I23:I28" si="48">+AJ23</f>
        <v>0</v>
      </c>
      <c r="J23" s="499"/>
      <c r="K23" s="466">
        <f t="shared" ref="K23:K28" si="49">+I23+AE23</f>
        <v>0</v>
      </c>
      <c r="L23" s="496">
        <f t="shared" ref="L23:L28" si="50">+F23+K23</f>
        <v>0</v>
      </c>
      <c r="M23" s="496">
        <f>+D23-L23</f>
        <v>0</v>
      </c>
      <c r="N23" s="87"/>
      <c r="O23" s="466">
        <f>+O$22*$M23</f>
        <v>0</v>
      </c>
      <c r="P23" s="466">
        <f t="shared" ref="P23:S28" si="51">+P$22*$M23</f>
        <v>0</v>
      </c>
      <c r="Q23" s="466">
        <f t="shared" si="51"/>
        <v>0</v>
      </c>
      <c r="R23" s="466">
        <f t="shared" si="51"/>
        <v>0</v>
      </c>
      <c r="S23" s="466">
        <f t="shared" si="51"/>
        <v>0</v>
      </c>
      <c r="T23" s="516"/>
      <c r="U23" s="484">
        <f t="shared" ref="U23:U24" si="52">+SUMIFS(O23:S23,O$8:S$8,$U$11)</f>
        <v>0</v>
      </c>
      <c r="V23" s="484">
        <f t="shared" ref="V23:V24" si="53">+SUMIFS(O23:S23,O$8:S$8,$V$11)</f>
        <v>0</v>
      </c>
      <c r="W23" s="484">
        <f t="shared" ref="W23:W24" si="54">+SUMIFS(O23:S23,O$8:S$8,$W$11)</f>
        <v>0</v>
      </c>
      <c r="X23" s="499"/>
      <c r="Y23" s="466">
        <f t="shared" ref="Y23:Y28" si="55">+L23+M23</f>
        <v>0</v>
      </c>
      <c r="Z23" s="484"/>
      <c r="AA23" s="484"/>
      <c r="AB23" s="484">
        <v>0</v>
      </c>
      <c r="AC23" s="484"/>
      <c r="AD23" s="499"/>
      <c r="AE23" s="484"/>
      <c r="AF23" s="1012"/>
      <c r="AG23" s="1012"/>
      <c r="AH23" s="476">
        <f t="shared" ref="AH23:AH28" si="56">SUM(AK23:AO23)</f>
        <v>0</v>
      </c>
      <c r="AI23" s="498">
        <f t="shared" ref="AI23:AI28" si="57">SUM(AK23:AL23)</f>
        <v>0</v>
      </c>
      <c r="AJ23" s="498">
        <f t="shared" ref="AJ23:AJ28" si="58">AM23</f>
        <v>0</v>
      </c>
      <c r="AK23" s="476"/>
      <c r="AL23" s="477"/>
      <c r="AM23" s="476"/>
      <c r="AN23" s="476"/>
      <c r="AO23" s="476"/>
    </row>
    <row r="24" spans="1:41" s="1010" customFormat="1" ht="21" customHeight="1" outlineLevel="1" x14ac:dyDescent="0.3">
      <c r="A24" s="1008"/>
      <c r="B24" s="1017"/>
      <c r="C24" s="144"/>
      <c r="D24" s="1038"/>
      <c r="F24" s="466">
        <f t="shared" si="47"/>
        <v>0</v>
      </c>
      <c r="G24" s="499"/>
      <c r="H24" s="1011" t="e">
        <f>+H$22*#REF!</f>
        <v>#REF!</v>
      </c>
      <c r="I24" s="495">
        <f t="shared" si="48"/>
        <v>0</v>
      </c>
      <c r="J24" s="499"/>
      <c r="K24" s="466">
        <f t="shared" si="49"/>
        <v>0</v>
      </c>
      <c r="L24" s="496">
        <f t="shared" si="50"/>
        <v>0</v>
      </c>
      <c r="M24" s="496">
        <f t="shared" ref="M24:M28" si="59">+D24-L24</f>
        <v>0</v>
      </c>
      <c r="N24" s="87"/>
      <c r="O24" s="466">
        <f t="shared" ref="O24:O28" si="60">+O$22*$M24</f>
        <v>0</v>
      </c>
      <c r="P24" s="466">
        <f t="shared" si="51"/>
        <v>0</v>
      </c>
      <c r="Q24" s="466">
        <f t="shared" si="51"/>
        <v>0</v>
      </c>
      <c r="R24" s="466">
        <f t="shared" si="51"/>
        <v>0</v>
      </c>
      <c r="S24" s="466">
        <f t="shared" si="51"/>
        <v>0</v>
      </c>
      <c r="T24" s="516"/>
      <c r="U24" s="484">
        <f t="shared" si="52"/>
        <v>0</v>
      </c>
      <c r="V24" s="484">
        <f t="shared" si="53"/>
        <v>0</v>
      </c>
      <c r="W24" s="484">
        <f t="shared" si="54"/>
        <v>0</v>
      </c>
      <c r="X24" s="499"/>
      <c r="Y24" s="466">
        <f t="shared" si="55"/>
        <v>0</v>
      </c>
      <c r="Z24" s="484"/>
      <c r="AA24" s="484"/>
      <c r="AB24" s="484"/>
      <c r="AC24" s="484"/>
      <c r="AD24" s="499"/>
      <c r="AE24" s="484"/>
      <c r="AF24" s="1012"/>
      <c r="AG24" s="1012"/>
      <c r="AH24" s="476">
        <f t="shared" si="56"/>
        <v>0</v>
      </c>
      <c r="AI24" s="498">
        <f t="shared" si="57"/>
        <v>0</v>
      </c>
      <c r="AJ24" s="498">
        <f t="shared" si="58"/>
        <v>0</v>
      </c>
      <c r="AK24" s="476"/>
      <c r="AL24" s="477"/>
      <c r="AM24" s="476"/>
      <c r="AN24" s="476"/>
      <c r="AO24" s="476"/>
    </row>
    <row r="25" spans="1:41" s="1010" customFormat="1" ht="21" customHeight="1" outlineLevel="1" x14ac:dyDescent="0.3">
      <c r="A25" s="1013"/>
      <c r="B25" s="1017"/>
      <c r="C25" s="144"/>
      <c r="D25" s="1038"/>
      <c r="F25" s="466">
        <f t="shared" si="47"/>
        <v>0</v>
      </c>
      <c r="G25" s="499"/>
      <c r="H25" s="1011"/>
      <c r="I25" s="495">
        <f t="shared" si="48"/>
        <v>0</v>
      </c>
      <c r="J25" s="499"/>
      <c r="K25" s="466">
        <f t="shared" si="49"/>
        <v>0</v>
      </c>
      <c r="L25" s="496">
        <f t="shared" si="50"/>
        <v>0</v>
      </c>
      <c r="M25" s="496">
        <f t="shared" si="59"/>
        <v>0</v>
      </c>
      <c r="N25" s="87"/>
      <c r="O25" s="466">
        <f t="shared" si="60"/>
        <v>0</v>
      </c>
      <c r="P25" s="466">
        <f t="shared" si="51"/>
        <v>0</v>
      </c>
      <c r="Q25" s="466">
        <f t="shared" si="51"/>
        <v>0</v>
      </c>
      <c r="R25" s="466">
        <f t="shared" si="51"/>
        <v>0</v>
      </c>
      <c r="S25" s="466">
        <f t="shared" si="51"/>
        <v>0</v>
      </c>
      <c r="T25" s="516"/>
      <c r="U25" s="484"/>
      <c r="V25" s="484"/>
      <c r="W25" s="484"/>
      <c r="X25" s="499"/>
      <c r="Y25" s="466">
        <f t="shared" si="55"/>
        <v>0</v>
      </c>
      <c r="Z25" s="484"/>
      <c r="AA25" s="484"/>
      <c r="AB25" s="484"/>
      <c r="AC25" s="484"/>
      <c r="AD25" s="499"/>
      <c r="AE25" s="484"/>
      <c r="AF25" s="1012"/>
      <c r="AG25" s="1012"/>
      <c r="AH25" s="476">
        <f t="shared" si="56"/>
        <v>0</v>
      </c>
      <c r="AI25" s="498">
        <f t="shared" si="57"/>
        <v>0</v>
      </c>
      <c r="AJ25" s="498">
        <f t="shared" si="58"/>
        <v>0</v>
      </c>
      <c r="AK25" s="484"/>
      <c r="AL25" s="1014"/>
      <c r="AM25" s="542"/>
      <c r="AN25" s="542"/>
      <c r="AO25" s="542"/>
    </row>
    <row r="26" spans="1:41" s="1010" customFormat="1" ht="21" customHeight="1" outlineLevel="1" x14ac:dyDescent="0.3">
      <c r="A26" s="1013"/>
      <c r="B26" s="1017"/>
      <c r="C26" s="144"/>
      <c r="D26" s="1038"/>
      <c r="F26" s="466">
        <f t="shared" si="47"/>
        <v>0</v>
      </c>
      <c r="G26" s="499"/>
      <c r="H26" s="1011"/>
      <c r="I26" s="495">
        <f t="shared" si="48"/>
        <v>0</v>
      </c>
      <c r="J26" s="499"/>
      <c r="K26" s="466">
        <f t="shared" si="49"/>
        <v>0</v>
      </c>
      <c r="L26" s="496">
        <f t="shared" si="50"/>
        <v>0</v>
      </c>
      <c r="M26" s="496">
        <f t="shared" si="59"/>
        <v>0</v>
      </c>
      <c r="N26" s="87"/>
      <c r="O26" s="466">
        <f t="shared" si="60"/>
        <v>0</v>
      </c>
      <c r="P26" s="466">
        <f t="shared" si="51"/>
        <v>0</v>
      </c>
      <c r="Q26" s="466">
        <f t="shared" si="51"/>
        <v>0</v>
      </c>
      <c r="R26" s="466">
        <f t="shared" si="51"/>
        <v>0</v>
      </c>
      <c r="S26" s="466">
        <f t="shared" si="51"/>
        <v>0</v>
      </c>
      <c r="T26" s="516"/>
      <c r="U26" s="484"/>
      <c r="V26" s="484"/>
      <c r="W26" s="484"/>
      <c r="X26" s="499"/>
      <c r="Y26" s="466">
        <f t="shared" si="55"/>
        <v>0</v>
      </c>
      <c r="Z26" s="484"/>
      <c r="AA26" s="484"/>
      <c r="AB26" s="484"/>
      <c r="AC26" s="484"/>
      <c r="AD26" s="499"/>
      <c r="AE26" s="484"/>
      <c r="AF26" s="1012"/>
      <c r="AG26" s="1012"/>
      <c r="AH26" s="476">
        <f t="shared" si="56"/>
        <v>0</v>
      </c>
      <c r="AI26" s="498">
        <f t="shared" si="57"/>
        <v>0</v>
      </c>
      <c r="AJ26" s="498">
        <f t="shared" si="58"/>
        <v>0</v>
      </c>
      <c r="AK26" s="484"/>
      <c r="AL26" s="1014"/>
      <c r="AM26" s="542"/>
      <c r="AN26" s="542"/>
      <c r="AO26" s="542"/>
    </row>
    <row r="27" spans="1:41" s="1010" customFormat="1" ht="21" customHeight="1" outlineLevel="1" x14ac:dyDescent="0.3">
      <c r="A27" s="1013"/>
      <c r="B27" s="1017"/>
      <c r="C27" s="144"/>
      <c r="D27" s="1038"/>
      <c r="F27" s="466">
        <f t="shared" si="47"/>
        <v>0</v>
      </c>
      <c r="G27" s="499"/>
      <c r="H27" s="1011"/>
      <c r="I27" s="495">
        <f t="shared" si="48"/>
        <v>0</v>
      </c>
      <c r="J27" s="499"/>
      <c r="K27" s="466">
        <f t="shared" si="49"/>
        <v>0</v>
      </c>
      <c r="L27" s="496">
        <f t="shared" si="50"/>
        <v>0</v>
      </c>
      <c r="M27" s="496">
        <f t="shared" si="59"/>
        <v>0</v>
      </c>
      <c r="N27" s="87"/>
      <c r="O27" s="466">
        <f t="shared" si="60"/>
        <v>0</v>
      </c>
      <c r="P27" s="466">
        <f t="shared" si="51"/>
        <v>0</v>
      </c>
      <c r="Q27" s="466">
        <f t="shared" si="51"/>
        <v>0</v>
      </c>
      <c r="R27" s="466">
        <f t="shared" si="51"/>
        <v>0</v>
      </c>
      <c r="S27" s="466">
        <f t="shared" si="51"/>
        <v>0</v>
      </c>
      <c r="T27" s="516"/>
      <c r="U27" s="484"/>
      <c r="V27" s="484"/>
      <c r="W27" s="484"/>
      <c r="X27" s="499"/>
      <c r="Y27" s="466">
        <f t="shared" si="55"/>
        <v>0</v>
      </c>
      <c r="Z27" s="484"/>
      <c r="AA27" s="484"/>
      <c r="AB27" s="484"/>
      <c r="AC27" s="484"/>
      <c r="AD27" s="499"/>
      <c r="AE27" s="484"/>
      <c r="AF27" s="1012"/>
      <c r="AG27" s="1012"/>
      <c r="AH27" s="476">
        <f t="shared" si="56"/>
        <v>0</v>
      </c>
      <c r="AI27" s="498">
        <f t="shared" si="57"/>
        <v>0</v>
      </c>
      <c r="AJ27" s="498">
        <f t="shared" si="58"/>
        <v>0</v>
      </c>
      <c r="AK27" s="484"/>
      <c r="AL27" s="1014"/>
      <c r="AM27" s="542"/>
      <c r="AN27" s="542"/>
      <c r="AO27" s="542"/>
    </row>
    <row r="28" spans="1:41" s="1010" customFormat="1" ht="21" customHeight="1" outlineLevel="1" x14ac:dyDescent="0.3">
      <c r="A28" s="1013"/>
      <c r="B28" s="1017"/>
      <c r="C28" s="1009"/>
      <c r="D28" s="1038"/>
      <c r="F28" s="466">
        <f t="shared" si="47"/>
        <v>0</v>
      </c>
      <c r="G28" s="499"/>
      <c r="H28" s="1011"/>
      <c r="I28" s="495">
        <f t="shared" si="48"/>
        <v>0</v>
      </c>
      <c r="J28" s="499"/>
      <c r="K28" s="466">
        <f t="shared" si="49"/>
        <v>0</v>
      </c>
      <c r="L28" s="496">
        <f t="shared" si="50"/>
        <v>0</v>
      </c>
      <c r="M28" s="496">
        <f t="shared" si="59"/>
        <v>0</v>
      </c>
      <c r="N28" s="87"/>
      <c r="O28" s="466">
        <f t="shared" si="60"/>
        <v>0</v>
      </c>
      <c r="P28" s="466">
        <f t="shared" si="51"/>
        <v>0</v>
      </c>
      <c r="Q28" s="466">
        <f t="shared" si="51"/>
        <v>0</v>
      </c>
      <c r="R28" s="466">
        <f t="shared" si="51"/>
        <v>0</v>
      </c>
      <c r="S28" s="466">
        <f t="shared" si="51"/>
        <v>0</v>
      </c>
      <c r="T28" s="516"/>
      <c r="U28" s="484"/>
      <c r="V28" s="484"/>
      <c r="W28" s="484"/>
      <c r="X28" s="499"/>
      <c r="Y28" s="466">
        <f t="shared" si="55"/>
        <v>0</v>
      </c>
      <c r="Z28" s="484"/>
      <c r="AA28" s="484"/>
      <c r="AB28" s="484"/>
      <c r="AC28" s="484"/>
      <c r="AD28" s="499"/>
      <c r="AE28" s="484"/>
      <c r="AF28" s="1012"/>
      <c r="AG28" s="1012"/>
      <c r="AH28" s="476">
        <f t="shared" si="56"/>
        <v>0</v>
      </c>
      <c r="AI28" s="498">
        <f t="shared" si="57"/>
        <v>0</v>
      </c>
      <c r="AJ28" s="498">
        <f t="shared" si="58"/>
        <v>0</v>
      </c>
      <c r="AK28" s="484"/>
      <c r="AL28" s="1014"/>
      <c r="AM28" s="542"/>
      <c r="AN28" s="542"/>
      <c r="AO28" s="542"/>
    </row>
    <row r="29" spans="1:41" ht="21" customHeight="1" x14ac:dyDescent="0.3">
      <c r="A29" s="1256" t="str">
        <f>+"TOTAL FASE  "&amp;A22&amp;" : "&amp;B22</f>
        <v xml:space="preserve">TOTAL FASE  300 : CONCRETO </v>
      </c>
      <c r="B29" s="1257"/>
      <c r="C29" s="101" t="s">
        <v>29</v>
      </c>
      <c r="D29" s="1006">
        <f t="shared" ref="D29" si="61">SUM(D23:D28)</f>
        <v>0</v>
      </c>
      <c r="F29" s="1006">
        <f t="shared" ref="F29" si="62">SUM(F23:F28)</f>
        <v>0</v>
      </c>
      <c r="G29" s="87"/>
      <c r="H29" s="1006" t="e">
        <f t="shared" ref="H29" si="63">SUM(H23:H28)</f>
        <v>#REF!</v>
      </c>
      <c r="I29" s="1006">
        <f t="shared" ref="I29" si="64">SUM(I23:I28)</f>
        <v>0</v>
      </c>
      <c r="J29" s="87"/>
      <c r="K29" s="1006">
        <f t="shared" ref="K29" si="65">SUM(K23:K28)</f>
        <v>0</v>
      </c>
      <c r="L29" s="1006">
        <f t="shared" ref="L29" si="66">SUM(L23:L28)</f>
        <v>0</v>
      </c>
      <c r="M29" s="1006">
        <f t="shared" ref="M29" si="67">SUM(M23:M28)</f>
        <v>0</v>
      </c>
      <c r="N29" s="87"/>
      <c r="O29" s="1006">
        <f t="shared" ref="O29" si="68">SUM(O23:O28)</f>
        <v>0</v>
      </c>
      <c r="P29" s="1006">
        <f t="shared" ref="P29" si="69">SUM(P23:P28)</f>
        <v>0</v>
      </c>
      <c r="Q29" s="1006">
        <f t="shared" ref="Q29" si="70">SUM(Q23:Q28)</f>
        <v>0</v>
      </c>
      <c r="R29" s="1006">
        <f t="shared" ref="R29" si="71">SUM(R23:R28)</f>
        <v>0</v>
      </c>
      <c r="S29" s="1006">
        <f t="shared" ref="S29" si="72">SUM(S23:S28)</f>
        <v>0</v>
      </c>
      <c r="T29" s="174"/>
      <c r="U29" s="1006">
        <f t="shared" ref="U29" si="73">SUM(U23:U28)</f>
        <v>0</v>
      </c>
      <c r="V29" s="1006">
        <f t="shared" ref="V29" si="74">SUM(V23:V28)</f>
        <v>0</v>
      </c>
      <c r="W29" s="1006">
        <f t="shared" ref="W29" si="75">SUM(W23:W28)</f>
        <v>0</v>
      </c>
      <c r="X29" s="87"/>
      <c r="Y29" s="1006">
        <f t="shared" ref="Y29" si="76">SUM(Y23:Y28)</f>
        <v>0</v>
      </c>
      <c r="Z29" s="1006">
        <f t="shared" ref="Z29" si="77">SUM(Z23:Z28)</f>
        <v>0</v>
      </c>
      <c r="AA29" s="1006">
        <f t="shared" ref="AA29" si="78">SUM(AA23:AA28)</f>
        <v>0</v>
      </c>
      <c r="AB29" s="1006">
        <f t="shared" ref="AB29" si="79">SUM(AB23:AB28)</f>
        <v>0</v>
      </c>
      <c r="AC29" s="1006">
        <f t="shared" ref="AC29" si="80">SUM(AC23:AC28)</f>
        <v>0</v>
      </c>
      <c r="AD29" s="87"/>
      <c r="AE29" s="1006">
        <f t="shared" ref="AE29" si="81">SUM(AE23:AE28)</f>
        <v>0</v>
      </c>
      <c r="AF29" s="279"/>
      <c r="AG29" s="174"/>
      <c r="AH29" s="1006">
        <f t="shared" ref="AH29:AN29" si="82">SUM(AH23:AH28)</f>
        <v>0</v>
      </c>
      <c r="AI29" s="1006">
        <f t="shared" si="82"/>
        <v>0</v>
      </c>
      <c r="AJ29" s="1006">
        <f t="shared" si="82"/>
        <v>0</v>
      </c>
      <c r="AK29" s="1006">
        <f t="shared" si="82"/>
        <v>0</v>
      </c>
      <c r="AL29" s="1006">
        <f t="shared" si="82"/>
        <v>0</v>
      </c>
      <c r="AM29" s="1006">
        <f t="shared" si="82"/>
        <v>0</v>
      </c>
      <c r="AN29" s="1006">
        <f t="shared" si="82"/>
        <v>0</v>
      </c>
      <c r="AO29" s="1006">
        <f>SUM(AO23:AO28)</f>
        <v>0</v>
      </c>
    </row>
    <row r="30" spans="1:41" ht="26.25" customHeight="1" x14ac:dyDescent="0.3">
      <c r="A30" s="133">
        <f>+MO!A48</f>
        <v>400</v>
      </c>
      <c r="B30" s="102" t="str">
        <f>+MO!B48</f>
        <v xml:space="preserve">ENCOFRADO </v>
      </c>
      <c r="C30" s="7"/>
      <c r="D30" s="87"/>
      <c r="G30" s="87"/>
      <c r="H30" s="87">
        <v>0</v>
      </c>
      <c r="I30" s="87"/>
      <c r="J30" s="87"/>
      <c r="K30" s="87"/>
      <c r="L30" s="87"/>
      <c r="M30" s="87"/>
      <c r="N30" s="87"/>
      <c r="O30" s="174">
        <f>+SC!O35</f>
        <v>0</v>
      </c>
      <c r="P30" s="174">
        <f>+SC!P35</f>
        <v>0</v>
      </c>
      <c r="Q30" s="174">
        <f>+SC!Q35</f>
        <v>0</v>
      </c>
      <c r="R30" s="174">
        <f>+SC!R35</f>
        <v>0</v>
      </c>
      <c r="S30" s="174">
        <f>+SC!S35</f>
        <v>0</v>
      </c>
      <c r="T30" s="174"/>
      <c r="U30" s="87"/>
      <c r="V30" s="87"/>
      <c r="W30" s="87"/>
      <c r="X30" s="87"/>
      <c r="Y30" s="87"/>
      <c r="Z30" s="87"/>
      <c r="AA30" s="87"/>
      <c r="AB30" s="87"/>
      <c r="AC30" s="87"/>
      <c r="AD30" s="87"/>
      <c r="AE30" s="87"/>
      <c r="AF30" s="279"/>
      <c r="AG30" s="174"/>
      <c r="AH30" s="87"/>
      <c r="AI30" s="87"/>
      <c r="AJ30" s="87"/>
      <c r="AK30" s="87"/>
      <c r="AL30" s="87"/>
      <c r="AM30" s="87"/>
      <c r="AN30" s="87"/>
      <c r="AO30" s="87"/>
    </row>
    <row r="31" spans="1:41" s="1010" customFormat="1" ht="21" customHeight="1" x14ac:dyDescent="0.3">
      <c r="A31" s="1008" t="s">
        <v>359</v>
      </c>
      <c r="B31" s="1017" t="s">
        <v>360</v>
      </c>
      <c r="C31" s="144" t="s">
        <v>358</v>
      </c>
      <c r="D31" s="1038">
        <v>10503.339839999999</v>
      </c>
      <c r="F31" s="466">
        <f t="shared" ref="F31:F34" si="83">+SUM(AI31)</f>
        <v>0</v>
      </c>
      <c r="G31" s="499"/>
      <c r="H31" s="1011"/>
      <c r="I31" s="495">
        <f t="shared" ref="I31:I34" si="84">+AJ31</f>
        <v>0</v>
      </c>
      <c r="J31" s="499"/>
      <c r="K31" s="466">
        <f t="shared" ref="K31:K34" si="85">+I31+AE31</f>
        <v>0</v>
      </c>
      <c r="L31" s="496">
        <f t="shared" ref="L31:L34" si="86">+F31+K31</f>
        <v>0</v>
      </c>
      <c r="M31" s="496">
        <f>+D31-L31</f>
        <v>10503.339839999999</v>
      </c>
      <c r="N31" s="87"/>
      <c r="O31" s="466">
        <f>+O$30*$M31</f>
        <v>0</v>
      </c>
      <c r="P31" s="466">
        <f t="shared" ref="P31:S34" si="87">+P$30*$M31</f>
        <v>0</v>
      </c>
      <c r="Q31" s="466">
        <f t="shared" si="87"/>
        <v>0</v>
      </c>
      <c r="R31" s="466">
        <f t="shared" si="87"/>
        <v>0</v>
      </c>
      <c r="S31" s="466">
        <f t="shared" si="87"/>
        <v>0</v>
      </c>
      <c r="T31" s="516"/>
      <c r="U31" s="484">
        <f t="shared" ref="U31:U32" si="88">+SUMIFS(O31:S31,O$8:S$8,$U$11)</f>
        <v>0</v>
      </c>
      <c r="V31" s="484">
        <f t="shared" ref="V31:V32" si="89">+SUMIFS(O31:S31,O$8:S$8,$V$11)</f>
        <v>0</v>
      </c>
      <c r="W31" s="484">
        <f t="shared" ref="W31:W32" si="90">+SUMIFS(O31:S31,O$8:S$8,$W$11)</f>
        <v>0</v>
      </c>
      <c r="X31" s="499"/>
      <c r="Y31" s="466">
        <f t="shared" ref="Y31:Y34" si="91">+L31+M31</f>
        <v>10503.339839999999</v>
      </c>
      <c r="Z31" s="484"/>
      <c r="AA31" s="484"/>
      <c r="AB31" s="484"/>
      <c r="AC31" s="484">
        <v>0</v>
      </c>
      <c r="AD31" s="499"/>
      <c r="AE31" s="484"/>
      <c r="AF31" s="1012"/>
      <c r="AG31" s="1012"/>
      <c r="AH31" s="476">
        <f t="shared" ref="AH31:AH34" si="92">SUM(AK31:AO31)</f>
        <v>0</v>
      </c>
      <c r="AI31" s="498">
        <f t="shared" ref="AI31:AI34" si="93">SUM(AK31:AL31)</f>
        <v>0</v>
      </c>
      <c r="AJ31" s="498">
        <f t="shared" ref="AJ31:AJ34" si="94">AM31</f>
        <v>0</v>
      </c>
      <c r="AK31" s="476"/>
      <c r="AL31" s="477"/>
      <c r="AM31" s="476"/>
      <c r="AN31" s="476"/>
      <c r="AO31" s="476"/>
    </row>
    <row r="32" spans="1:41" s="1010" customFormat="1" ht="21" customHeight="1" x14ac:dyDescent="0.3">
      <c r="A32" s="1008" t="s">
        <v>359</v>
      </c>
      <c r="B32" s="1017" t="s">
        <v>361</v>
      </c>
      <c r="C32" s="144" t="s">
        <v>358</v>
      </c>
      <c r="D32" s="1038">
        <v>11914.529120000001</v>
      </c>
      <c r="F32" s="466">
        <f t="shared" si="83"/>
        <v>0</v>
      </c>
      <c r="G32" s="499"/>
      <c r="H32" s="1011"/>
      <c r="I32" s="495">
        <f t="shared" si="84"/>
        <v>0</v>
      </c>
      <c r="J32" s="499"/>
      <c r="K32" s="466">
        <f t="shared" si="85"/>
        <v>0</v>
      </c>
      <c r="L32" s="496">
        <f t="shared" si="86"/>
        <v>0</v>
      </c>
      <c r="M32" s="496">
        <f t="shared" ref="M32:M34" si="95">+D32-L32</f>
        <v>11914.529120000001</v>
      </c>
      <c r="N32" s="87"/>
      <c r="O32" s="466">
        <f t="shared" ref="O32:O34" si="96">+O$30*$M32</f>
        <v>0</v>
      </c>
      <c r="P32" s="466">
        <f t="shared" si="87"/>
        <v>0</v>
      </c>
      <c r="Q32" s="466">
        <f t="shared" si="87"/>
        <v>0</v>
      </c>
      <c r="R32" s="466">
        <f t="shared" si="87"/>
        <v>0</v>
      </c>
      <c r="S32" s="466">
        <f t="shared" si="87"/>
        <v>0</v>
      </c>
      <c r="T32" s="516"/>
      <c r="U32" s="484">
        <f t="shared" si="88"/>
        <v>0</v>
      </c>
      <c r="V32" s="484">
        <f t="shared" si="89"/>
        <v>0</v>
      </c>
      <c r="W32" s="484">
        <f t="shared" si="90"/>
        <v>0</v>
      </c>
      <c r="X32" s="499"/>
      <c r="Y32" s="466">
        <f t="shared" si="91"/>
        <v>11914.529120000001</v>
      </c>
      <c r="Z32" s="484"/>
      <c r="AA32" s="484"/>
      <c r="AB32" s="484"/>
      <c r="AC32" s="484">
        <v>0</v>
      </c>
      <c r="AD32" s="499"/>
      <c r="AE32" s="484"/>
      <c r="AF32" s="1012"/>
      <c r="AG32" s="1012"/>
      <c r="AH32" s="476">
        <f t="shared" si="92"/>
        <v>0</v>
      </c>
      <c r="AI32" s="498">
        <f t="shared" si="93"/>
        <v>0</v>
      </c>
      <c r="AJ32" s="498">
        <f t="shared" si="94"/>
        <v>0</v>
      </c>
      <c r="AK32" s="476"/>
      <c r="AL32" s="477"/>
      <c r="AM32" s="476"/>
      <c r="AN32" s="476"/>
      <c r="AO32" s="476"/>
    </row>
    <row r="33" spans="1:41" s="1010" customFormat="1" ht="21" customHeight="1" x14ac:dyDescent="0.3">
      <c r="A33" s="1013" t="s">
        <v>359</v>
      </c>
      <c r="B33" s="1017" t="s">
        <v>362</v>
      </c>
      <c r="C33" s="144" t="s">
        <v>358</v>
      </c>
      <c r="D33" s="1038">
        <v>74.9041</v>
      </c>
      <c r="F33" s="466">
        <f t="shared" si="83"/>
        <v>0</v>
      </c>
      <c r="G33" s="499"/>
      <c r="H33" s="596"/>
      <c r="I33" s="495">
        <f t="shared" si="84"/>
        <v>0</v>
      </c>
      <c r="J33" s="499"/>
      <c r="K33" s="466">
        <f t="shared" si="85"/>
        <v>0</v>
      </c>
      <c r="L33" s="496">
        <f t="shared" si="86"/>
        <v>0</v>
      </c>
      <c r="M33" s="496">
        <f t="shared" si="95"/>
        <v>74.9041</v>
      </c>
      <c r="N33" s="87"/>
      <c r="O33" s="466">
        <f t="shared" si="96"/>
        <v>0</v>
      </c>
      <c r="P33" s="466">
        <f t="shared" si="87"/>
        <v>0</v>
      </c>
      <c r="Q33" s="466">
        <f t="shared" si="87"/>
        <v>0</v>
      </c>
      <c r="R33" s="466">
        <f t="shared" si="87"/>
        <v>0</v>
      </c>
      <c r="S33" s="466">
        <f t="shared" si="87"/>
        <v>0</v>
      </c>
      <c r="T33" s="516"/>
      <c r="U33" s="484"/>
      <c r="V33" s="484"/>
      <c r="W33" s="484"/>
      <c r="X33" s="499"/>
      <c r="Y33" s="466">
        <f t="shared" si="91"/>
        <v>74.9041</v>
      </c>
      <c r="Z33" s="484"/>
      <c r="AA33" s="484"/>
      <c r="AB33" s="484"/>
      <c r="AC33" s="484"/>
      <c r="AD33" s="499"/>
      <c r="AE33" s="484"/>
      <c r="AF33" s="1012"/>
      <c r="AG33" s="1012"/>
      <c r="AH33" s="476">
        <f t="shared" si="92"/>
        <v>0</v>
      </c>
      <c r="AI33" s="498">
        <f t="shared" si="93"/>
        <v>0</v>
      </c>
      <c r="AJ33" s="498">
        <f t="shared" si="94"/>
        <v>0</v>
      </c>
      <c r="AK33" s="542"/>
      <c r="AL33" s="1014"/>
      <c r="AM33" s="542"/>
      <c r="AN33" s="542"/>
      <c r="AO33" s="542"/>
    </row>
    <row r="34" spans="1:41" s="1010" customFormat="1" ht="21" customHeight="1" x14ac:dyDescent="0.3">
      <c r="A34" s="1013" t="s">
        <v>359</v>
      </c>
      <c r="B34" s="1017" t="s">
        <v>363</v>
      </c>
      <c r="C34" s="144" t="s">
        <v>358</v>
      </c>
      <c r="D34" s="1038">
        <v>124.25623287000001</v>
      </c>
      <c r="F34" s="466">
        <f t="shared" si="83"/>
        <v>0</v>
      </c>
      <c r="G34" s="499"/>
      <c r="H34" s="596"/>
      <c r="I34" s="495">
        <f t="shared" si="84"/>
        <v>0</v>
      </c>
      <c r="J34" s="499"/>
      <c r="K34" s="466">
        <f t="shared" si="85"/>
        <v>0</v>
      </c>
      <c r="L34" s="496">
        <f t="shared" si="86"/>
        <v>0</v>
      </c>
      <c r="M34" s="496">
        <f t="shared" si="95"/>
        <v>124.25623287000001</v>
      </c>
      <c r="N34" s="87"/>
      <c r="O34" s="466">
        <f t="shared" si="96"/>
        <v>0</v>
      </c>
      <c r="P34" s="466">
        <f t="shared" si="87"/>
        <v>0</v>
      </c>
      <c r="Q34" s="466">
        <f t="shared" si="87"/>
        <v>0</v>
      </c>
      <c r="R34" s="466">
        <f t="shared" si="87"/>
        <v>0</v>
      </c>
      <c r="S34" s="466">
        <f t="shared" si="87"/>
        <v>0</v>
      </c>
      <c r="T34" s="516"/>
      <c r="U34" s="484"/>
      <c r="V34" s="484"/>
      <c r="W34" s="484"/>
      <c r="X34" s="499"/>
      <c r="Y34" s="466">
        <f t="shared" si="91"/>
        <v>124.25623287000001</v>
      </c>
      <c r="Z34" s="484"/>
      <c r="AA34" s="484"/>
      <c r="AB34" s="484"/>
      <c r="AC34" s="484"/>
      <c r="AD34" s="499"/>
      <c r="AE34" s="484"/>
      <c r="AF34" s="1012"/>
      <c r="AG34" s="1012"/>
      <c r="AH34" s="476">
        <f t="shared" si="92"/>
        <v>0</v>
      </c>
      <c r="AI34" s="498">
        <f t="shared" si="93"/>
        <v>0</v>
      </c>
      <c r="AJ34" s="498">
        <f t="shared" si="94"/>
        <v>0</v>
      </c>
      <c r="AK34" s="542"/>
      <c r="AL34" s="1014"/>
      <c r="AM34" s="542"/>
      <c r="AN34" s="542"/>
      <c r="AO34" s="542"/>
    </row>
    <row r="35" spans="1:41" ht="21" customHeight="1" x14ac:dyDescent="0.3">
      <c r="A35" s="1256" t="str">
        <f>+"TOTAL FASE  "&amp;A30&amp;" : "&amp;B30</f>
        <v xml:space="preserve">TOTAL FASE  400 : ENCOFRADO </v>
      </c>
      <c r="B35" s="1257"/>
      <c r="C35" s="101" t="s">
        <v>29</v>
      </c>
      <c r="D35" s="1006">
        <f>SUM(D31:D34)</f>
        <v>22617.02929287</v>
      </c>
      <c r="F35" s="1006">
        <f>SUM(F31:F34)</f>
        <v>0</v>
      </c>
      <c r="G35" s="87"/>
      <c r="H35" s="1006">
        <f t="shared" ref="H35:I35" si="97">SUM(H31:H34)</f>
        <v>0</v>
      </c>
      <c r="I35" s="1006">
        <f t="shared" si="97"/>
        <v>0</v>
      </c>
      <c r="J35" s="87"/>
      <c r="K35" s="1006">
        <f t="shared" ref="K35:M35" si="98">SUM(K31:K34)</f>
        <v>0</v>
      </c>
      <c r="L35" s="1006">
        <f t="shared" si="98"/>
        <v>0</v>
      </c>
      <c r="M35" s="1006">
        <f t="shared" si="98"/>
        <v>22617.02929287</v>
      </c>
      <c r="N35" s="87"/>
      <c r="O35" s="1006">
        <f t="shared" ref="O35:S35" si="99">SUM(O31:O34)</f>
        <v>0</v>
      </c>
      <c r="P35" s="1006">
        <f t="shared" si="99"/>
        <v>0</v>
      </c>
      <c r="Q35" s="1006">
        <f t="shared" si="99"/>
        <v>0</v>
      </c>
      <c r="R35" s="1006">
        <f t="shared" si="99"/>
        <v>0</v>
      </c>
      <c r="S35" s="1006">
        <f t="shared" si="99"/>
        <v>0</v>
      </c>
      <c r="T35" s="174"/>
      <c r="U35" s="1006">
        <f t="shared" ref="U35:W35" si="100">SUM(U31:U34)</f>
        <v>0</v>
      </c>
      <c r="V35" s="1006">
        <f t="shared" si="100"/>
        <v>0</v>
      </c>
      <c r="W35" s="1006">
        <f t="shared" si="100"/>
        <v>0</v>
      </c>
      <c r="X35" s="87"/>
      <c r="Y35" s="1006">
        <f t="shared" ref="Y35:AC35" si="101">SUM(Y31:Y34)</f>
        <v>22617.02929287</v>
      </c>
      <c r="Z35" s="1006">
        <f t="shared" si="101"/>
        <v>0</v>
      </c>
      <c r="AA35" s="1006">
        <f t="shared" si="101"/>
        <v>0</v>
      </c>
      <c r="AB35" s="1006">
        <f t="shared" si="101"/>
        <v>0</v>
      </c>
      <c r="AC35" s="1006">
        <f t="shared" si="101"/>
        <v>0</v>
      </c>
      <c r="AD35" s="87"/>
      <c r="AE35" s="1006">
        <f>SUM(AE31:AE34)</f>
        <v>0</v>
      </c>
      <c r="AF35" s="279"/>
      <c r="AG35" s="174"/>
      <c r="AH35" s="1006">
        <f t="shared" ref="AH35:AN35" si="102">SUM(AH31:AH34)</f>
        <v>0</v>
      </c>
      <c r="AI35" s="1006">
        <f t="shared" si="102"/>
        <v>0</v>
      </c>
      <c r="AJ35" s="1006">
        <f t="shared" si="102"/>
        <v>0</v>
      </c>
      <c r="AK35" s="1006">
        <f t="shared" si="102"/>
        <v>0</v>
      </c>
      <c r="AL35" s="1006">
        <f t="shared" si="102"/>
        <v>0</v>
      </c>
      <c r="AM35" s="1006">
        <f t="shared" si="102"/>
        <v>0</v>
      </c>
      <c r="AN35" s="1006">
        <f t="shared" si="102"/>
        <v>0</v>
      </c>
      <c r="AO35" s="1006">
        <f>SUM(AO31:AO34)</f>
        <v>0</v>
      </c>
    </row>
    <row r="36" spans="1:41" ht="26.25" customHeight="1" x14ac:dyDescent="0.3">
      <c r="A36" s="98">
        <f>+MO!A60</f>
        <v>500</v>
      </c>
      <c r="B36" s="102" t="str">
        <f>+MO!B60</f>
        <v xml:space="preserve">ACERO </v>
      </c>
      <c r="C36" s="7"/>
      <c r="D36" s="87"/>
      <c r="G36" s="87"/>
      <c r="H36" s="87">
        <v>0</v>
      </c>
      <c r="I36" s="87"/>
      <c r="J36" s="87"/>
      <c r="K36" s="87"/>
      <c r="L36" s="87"/>
      <c r="M36" s="87"/>
      <c r="N36" s="87"/>
      <c r="O36" s="174">
        <f>+SC!O40</f>
        <v>0</v>
      </c>
      <c r="P36" s="174">
        <f>+SC!P40</f>
        <v>0</v>
      </c>
      <c r="Q36" s="174">
        <f>+SC!Q40</f>
        <v>0</v>
      </c>
      <c r="R36" s="174">
        <f>+SC!R40</f>
        <v>0</v>
      </c>
      <c r="S36" s="174">
        <f>+SC!S40</f>
        <v>0</v>
      </c>
      <c r="T36" s="174"/>
      <c r="U36" s="87"/>
      <c r="V36" s="87"/>
      <c r="W36" s="87"/>
      <c r="X36" s="87"/>
      <c r="Y36" s="87"/>
      <c r="Z36" s="87"/>
      <c r="AA36" s="87"/>
      <c r="AB36" s="87"/>
      <c r="AC36" s="87"/>
      <c r="AD36" s="87"/>
      <c r="AE36" s="87"/>
      <c r="AF36" s="279"/>
      <c r="AG36" s="174"/>
      <c r="AH36" s="87"/>
      <c r="AI36" s="87"/>
      <c r="AJ36" s="87"/>
      <c r="AK36" s="87"/>
      <c r="AL36" s="87"/>
      <c r="AM36" s="87"/>
      <c r="AN36" s="87"/>
      <c r="AO36" s="87"/>
    </row>
    <row r="37" spans="1:41" s="1010" customFormat="1" ht="21" customHeight="1" x14ac:dyDescent="0.3">
      <c r="A37" s="1008"/>
      <c r="B37" s="1017"/>
      <c r="C37" s="1009"/>
      <c r="D37" s="1038"/>
      <c r="F37" s="466">
        <f t="shared" ref="F37:F41" si="103">+SUM(AI37)</f>
        <v>0</v>
      </c>
      <c r="G37" s="499"/>
      <c r="H37" s="1011"/>
      <c r="I37" s="495">
        <f t="shared" ref="I37:I41" si="104">+AJ37</f>
        <v>0</v>
      </c>
      <c r="J37" s="499"/>
      <c r="K37" s="466">
        <f t="shared" ref="K37:K41" si="105">+I37+AE37</f>
        <v>0</v>
      </c>
      <c r="L37" s="496">
        <f t="shared" ref="L37:L41" si="106">+F37+K37</f>
        <v>0</v>
      </c>
      <c r="M37" s="496">
        <f>+D37-L37</f>
        <v>0</v>
      </c>
      <c r="N37" s="87"/>
      <c r="O37" s="466">
        <f>+O$36*$M37</f>
        <v>0</v>
      </c>
      <c r="P37" s="466">
        <f t="shared" ref="P37:S41" si="107">+P$36*$M37</f>
        <v>0</v>
      </c>
      <c r="Q37" s="466">
        <f t="shared" si="107"/>
        <v>0</v>
      </c>
      <c r="R37" s="466">
        <f t="shared" si="107"/>
        <v>0</v>
      </c>
      <c r="S37" s="466">
        <f t="shared" si="107"/>
        <v>0</v>
      </c>
      <c r="T37" s="516"/>
      <c r="U37" s="484">
        <f t="shared" ref="U37:U38" si="108">+SUMIFS(O37:S37,O$8:S$8,$U$11)</f>
        <v>0</v>
      </c>
      <c r="V37" s="484">
        <f t="shared" ref="V37:V38" si="109">+SUMIFS(O37:S37,O$8:S$8,$V$11)</f>
        <v>0</v>
      </c>
      <c r="W37" s="484">
        <f t="shared" ref="W37:W38" si="110">+SUMIFS(O37:S37,O$8:S$8,$W$11)</f>
        <v>0</v>
      </c>
      <c r="X37" s="499"/>
      <c r="Y37" s="466">
        <f t="shared" ref="Y37:Y41" si="111">+L37+M37</f>
        <v>0</v>
      </c>
      <c r="Z37" s="484">
        <v>0</v>
      </c>
      <c r="AA37" s="484"/>
      <c r="AB37" s="484"/>
      <c r="AC37" s="484">
        <v>0</v>
      </c>
      <c r="AD37" s="499"/>
      <c r="AE37" s="484"/>
      <c r="AF37" s="1012"/>
      <c r="AG37" s="1012"/>
      <c r="AH37" s="476">
        <f t="shared" ref="AH37:AH41" si="112">SUM(AK37:AO37)</f>
        <v>0</v>
      </c>
      <c r="AI37" s="498">
        <f t="shared" ref="AI37:AI41" si="113">SUM(AK37:AL37)</f>
        <v>0</v>
      </c>
      <c r="AJ37" s="498">
        <f t="shared" ref="AJ37:AJ41" si="114">AM37</f>
        <v>0</v>
      </c>
      <c r="AK37" s="659"/>
      <c r="AL37" s="1145"/>
      <c r="AM37" s="659"/>
      <c r="AN37" s="659"/>
      <c r="AO37" s="659"/>
    </row>
    <row r="38" spans="1:41" s="1010" customFormat="1" ht="21" customHeight="1" x14ac:dyDescent="0.3">
      <c r="A38" s="1008"/>
      <c r="B38" s="1017"/>
      <c r="C38" s="1009"/>
      <c r="D38" s="1038"/>
      <c r="F38" s="466">
        <f t="shared" si="103"/>
        <v>0</v>
      </c>
      <c r="G38" s="499"/>
      <c r="H38" s="1011"/>
      <c r="I38" s="495">
        <f t="shared" si="104"/>
        <v>0</v>
      </c>
      <c r="J38" s="499"/>
      <c r="K38" s="466">
        <f t="shared" si="105"/>
        <v>0</v>
      </c>
      <c r="L38" s="496">
        <f t="shared" si="106"/>
        <v>0</v>
      </c>
      <c r="M38" s="496">
        <f t="shared" ref="M38:M41" si="115">+D38-L38</f>
        <v>0</v>
      </c>
      <c r="N38" s="87"/>
      <c r="O38" s="466">
        <f t="shared" ref="O38:O41" si="116">+O$36*$M38</f>
        <v>0</v>
      </c>
      <c r="P38" s="466">
        <f t="shared" si="107"/>
        <v>0</v>
      </c>
      <c r="Q38" s="466">
        <f t="shared" si="107"/>
        <v>0</v>
      </c>
      <c r="R38" s="466">
        <f t="shared" si="107"/>
        <v>0</v>
      </c>
      <c r="S38" s="466">
        <f t="shared" si="107"/>
        <v>0</v>
      </c>
      <c r="T38" s="499"/>
      <c r="U38" s="484">
        <f t="shared" si="108"/>
        <v>0</v>
      </c>
      <c r="V38" s="484">
        <f t="shared" si="109"/>
        <v>0</v>
      </c>
      <c r="W38" s="484">
        <f t="shared" si="110"/>
        <v>0</v>
      </c>
      <c r="X38" s="499"/>
      <c r="Y38" s="466">
        <f t="shared" si="111"/>
        <v>0</v>
      </c>
      <c r="Z38" s="484">
        <v>0</v>
      </c>
      <c r="AA38" s="484"/>
      <c r="AB38" s="484"/>
      <c r="AC38" s="484">
        <v>0</v>
      </c>
      <c r="AD38" s="499"/>
      <c r="AE38" s="484"/>
      <c r="AF38" s="1012"/>
      <c r="AG38" s="1012"/>
      <c r="AH38" s="476">
        <f t="shared" si="112"/>
        <v>0</v>
      </c>
      <c r="AI38" s="498">
        <f t="shared" si="113"/>
        <v>0</v>
      </c>
      <c r="AJ38" s="498">
        <f t="shared" si="114"/>
        <v>0</v>
      </c>
      <c r="AK38" s="659"/>
      <c r="AL38" s="1145"/>
      <c r="AM38" s="659"/>
      <c r="AN38" s="659"/>
      <c r="AO38" s="659"/>
    </row>
    <row r="39" spans="1:41" s="1010" customFormat="1" ht="21" customHeight="1" x14ac:dyDescent="0.3">
      <c r="A39" s="1008"/>
      <c r="B39" s="1017"/>
      <c r="C39" s="1009"/>
      <c r="D39" s="1038"/>
      <c r="F39" s="466">
        <f t="shared" si="103"/>
        <v>0</v>
      </c>
      <c r="G39" s="499"/>
      <c r="H39" s="596"/>
      <c r="I39" s="495">
        <f t="shared" si="104"/>
        <v>0</v>
      </c>
      <c r="J39" s="499"/>
      <c r="K39" s="466">
        <f t="shared" si="105"/>
        <v>0</v>
      </c>
      <c r="L39" s="496">
        <f t="shared" si="106"/>
        <v>0</v>
      </c>
      <c r="M39" s="496">
        <f t="shared" si="115"/>
        <v>0</v>
      </c>
      <c r="N39" s="87"/>
      <c r="O39" s="466">
        <f t="shared" si="116"/>
        <v>0</v>
      </c>
      <c r="P39" s="466">
        <f t="shared" si="107"/>
        <v>0</v>
      </c>
      <c r="Q39" s="466">
        <f t="shared" si="107"/>
        <v>0</v>
      </c>
      <c r="R39" s="466">
        <f t="shared" si="107"/>
        <v>0</v>
      </c>
      <c r="S39" s="466">
        <f t="shared" si="107"/>
        <v>0</v>
      </c>
      <c r="T39" s="499"/>
      <c r="U39" s="484"/>
      <c r="V39" s="484"/>
      <c r="W39" s="484"/>
      <c r="X39" s="499"/>
      <c r="Y39" s="466">
        <f t="shared" si="111"/>
        <v>0</v>
      </c>
      <c r="Z39" s="484"/>
      <c r="AA39" s="484"/>
      <c r="AB39" s="484"/>
      <c r="AC39" s="484"/>
      <c r="AD39" s="499"/>
      <c r="AE39" s="484"/>
      <c r="AF39" s="1012"/>
      <c r="AG39" s="1012"/>
      <c r="AH39" s="476">
        <f t="shared" si="112"/>
        <v>0</v>
      </c>
      <c r="AI39" s="498">
        <f t="shared" si="113"/>
        <v>0</v>
      </c>
      <c r="AJ39" s="498">
        <f t="shared" si="114"/>
        <v>0</v>
      </c>
      <c r="AK39" s="659"/>
      <c r="AL39" s="1145"/>
      <c r="AM39" s="659"/>
      <c r="AN39" s="659"/>
      <c r="AO39" s="659"/>
    </row>
    <row r="40" spans="1:41" s="1010" customFormat="1" ht="21" customHeight="1" x14ac:dyDescent="0.3">
      <c r="A40" s="1008"/>
      <c r="B40" s="1017"/>
      <c r="C40" s="1009"/>
      <c r="D40" s="1038"/>
      <c r="F40" s="466">
        <f t="shared" si="103"/>
        <v>0</v>
      </c>
      <c r="G40" s="499"/>
      <c r="H40" s="596"/>
      <c r="I40" s="495">
        <f t="shared" si="104"/>
        <v>0</v>
      </c>
      <c r="J40" s="499"/>
      <c r="K40" s="466">
        <f t="shared" si="105"/>
        <v>0</v>
      </c>
      <c r="L40" s="496">
        <f t="shared" si="106"/>
        <v>0</v>
      </c>
      <c r="M40" s="496">
        <f t="shared" si="115"/>
        <v>0</v>
      </c>
      <c r="N40" s="87"/>
      <c r="O40" s="466">
        <f t="shared" si="116"/>
        <v>0</v>
      </c>
      <c r="P40" s="466">
        <f t="shared" si="107"/>
        <v>0</v>
      </c>
      <c r="Q40" s="466">
        <f t="shared" si="107"/>
        <v>0</v>
      </c>
      <c r="R40" s="466">
        <f t="shared" si="107"/>
        <v>0</v>
      </c>
      <c r="S40" s="466">
        <f t="shared" si="107"/>
        <v>0</v>
      </c>
      <c r="T40" s="499"/>
      <c r="U40" s="484"/>
      <c r="V40" s="484"/>
      <c r="W40" s="484"/>
      <c r="X40" s="499"/>
      <c r="Y40" s="466">
        <f t="shared" si="111"/>
        <v>0</v>
      </c>
      <c r="Z40" s="484"/>
      <c r="AA40" s="484"/>
      <c r="AB40" s="484"/>
      <c r="AC40" s="484"/>
      <c r="AD40" s="499"/>
      <c r="AE40" s="484"/>
      <c r="AF40" s="1012"/>
      <c r="AG40" s="1012"/>
      <c r="AH40" s="476">
        <f t="shared" si="112"/>
        <v>0</v>
      </c>
      <c r="AI40" s="498">
        <f t="shared" si="113"/>
        <v>0</v>
      </c>
      <c r="AJ40" s="498">
        <f t="shared" si="114"/>
        <v>0</v>
      </c>
      <c r="AK40" s="659"/>
      <c r="AL40" s="1145"/>
      <c r="AM40" s="659"/>
      <c r="AN40" s="659"/>
      <c r="AO40" s="659"/>
    </row>
    <row r="41" spans="1:41" s="1010" customFormat="1" ht="21" customHeight="1" x14ac:dyDescent="0.3">
      <c r="A41" s="1013"/>
      <c r="B41" s="1017"/>
      <c r="C41" s="1009"/>
      <c r="D41" s="1038"/>
      <c r="F41" s="466">
        <f t="shared" si="103"/>
        <v>0</v>
      </c>
      <c r="G41" s="499"/>
      <c r="H41" s="596"/>
      <c r="I41" s="495">
        <f t="shared" si="104"/>
        <v>0</v>
      </c>
      <c r="J41" s="499"/>
      <c r="K41" s="466">
        <f t="shared" si="105"/>
        <v>0</v>
      </c>
      <c r="L41" s="496">
        <f t="shared" si="106"/>
        <v>0</v>
      </c>
      <c r="M41" s="496">
        <f t="shared" si="115"/>
        <v>0</v>
      </c>
      <c r="N41" s="87"/>
      <c r="O41" s="466">
        <f t="shared" si="116"/>
        <v>0</v>
      </c>
      <c r="P41" s="466">
        <f t="shared" si="107"/>
        <v>0</v>
      </c>
      <c r="Q41" s="466">
        <f t="shared" si="107"/>
        <v>0</v>
      </c>
      <c r="R41" s="466">
        <f t="shared" si="107"/>
        <v>0</v>
      </c>
      <c r="S41" s="466">
        <f t="shared" si="107"/>
        <v>0</v>
      </c>
      <c r="T41" s="499"/>
      <c r="U41" s="484"/>
      <c r="V41" s="484"/>
      <c r="W41" s="484"/>
      <c r="X41" s="499"/>
      <c r="Y41" s="466">
        <f t="shared" si="111"/>
        <v>0</v>
      </c>
      <c r="Z41" s="484"/>
      <c r="AA41" s="484"/>
      <c r="AB41" s="484"/>
      <c r="AC41" s="484"/>
      <c r="AD41" s="499"/>
      <c r="AE41" s="484"/>
      <c r="AF41" s="1012"/>
      <c r="AG41" s="1012"/>
      <c r="AH41" s="476">
        <f t="shared" si="112"/>
        <v>0</v>
      </c>
      <c r="AI41" s="498">
        <f t="shared" si="113"/>
        <v>0</v>
      </c>
      <c r="AJ41" s="498">
        <f t="shared" si="114"/>
        <v>0</v>
      </c>
      <c r="AK41" s="659"/>
      <c r="AL41" s="1145"/>
      <c r="AM41" s="659"/>
      <c r="AN41" s="659"/>
      <c r="AO41" s="659"/>
    </row>
    <row r="42" spans="1:41" ht="21" customHeight="1" x14ac:dyDescent="0.3">
      <c r="A42" s="1256" t="str">
        <f>+"TOTAL FASE  "&amp;A36&amp;" : "&amp;B36</f>
        <v xml:space="preserve">TOTAL FASE  500 : ACERO </v>
      </c>
      <c r="B42" s="1257"/>
      <c r="C42" s="101" t="s">
        <v>29</v>
      </c>
      <c r="D42" s="453">
        <f>SUM(D37:D41)</f>
        <v>0</v>
      </c>
      <c r="F42" s="453">
        <f>SUM(F37:F41)</f>
        <v>0</v>
      </c>
      <c r="G42" s="87"/>
      <c r="H42" s="453">
        <f t="shared" ref="H42:I42" si="117">SUM(H37:H41)</f>
        <v>0</v>
      </c>
      <c r="I42" s="453">
        <f t="shared" si="117"/>
        <v>0</v>
      </c>
      <c r="J42" s="87"/>
      <c r="K42" s="453">
        <f t="shared" ref="K42:M42" si="118">SUM(K37:K41)</f>
        <v>0</v>
      </c>
      <c r="L42" s="453">
        <f t="shared" si="118"/>
        <v>0</v>
      </c>
      <c r="M42" s="453">
        <f t="shared" si="118"/>
        <v>0</v>
      </c>
      <c r="N42" s="87"/>
      <c r="O42" s="453">
        <f t="shared" ref="O42:S42" si="119">SUM(O37:O41)</f>
        <v>0</v>
      </c>
      <c r="P42" s="453">
        <f t="shared" si="119"/>
        <v>0</v>
      </c>
      <c r="Q42" s="453">
        <f t="shared" si="119"/>
        <v>0</v>
      </c>
      <c r="R42" s="453">
        <f t="shared" si="119"/>
        <v>0</v>
      </c>
      <c r="S42" s="453">
        <f t="shared" si="119"/>
        <v>0</v>
      </c>
      <c r="T42" s="87"/>
      <c r="U42" s="453">
        <f t="shared" ref="U42:W42" si="120">SUM(U37:U41)</f>
        <v>0</v>
      </c>
      <c r="V42" s="453">
        <f t="shared" si="120"/>
        <v>0</v>
      </c>
      <c r="W42" s="453">
        <f t="shared" si="120"/>
        <v>0</v>
      </c>
      <c r="X42" s="87"/>
      <c r="Y42" s="453">
        <f t="shared" ref="Y42:AC42" si="121">SUM(Y37:Y41)</f>
        <v>0</v>
      </c>
      <c r="Z42" s="453">
        <f t="shared" si="121"/>
        <v>0</v>
      </c>
      <c r="AA42" s="453">
        <f t="shared" si="121"/>
        <v>0</v>
      </c>
      <c r="AB42" s="453">
        <f t="shared" si="121"/>
        <v>0</v>
      </c>
      <c r="AC42" s="453">
        <f t="shared" si="121"/>
        <v>0</v>
      </c>
      <c r="AD42" s="87"/>
      <c r="AE42" s="453">
        <f>SUM(AE37:AE41)</f>
        <v>0</v>
      </c>
      <c r="AF42" s="279"/>
      <c r="AG42" s="174"/>
      <c r="AH42" s="453">
        <f t="shared" ref="AH42:AN42" si="122">SUM(AH37:AH41)</f>
        <v>0</v>
      </c>
      <c r="AI42" s="453">
        <f t="shared" si="122"/>
        <v>0</v>
      </c>
      <c r="AJ42" s="453">
        <f t="shared" si="122"/>
        <v>0</v>
      </c>
      <c r="AK42" s="453">
        <f t="shared" si="122"/>
        <v>0</v>
      </c>
      <c r="AL42" s="453">
        <f t="shared" si="122"/>
        <v>0</v>
      </c>
      <c r="AM42" s="453">
        <f t="shared" si="122"/>
        <v>0</v>
      </c>
      <c r="AN42" s="453">
        <f t="shared" si="122"/>
        <v>0</v>
      </c>
      <c r="AO42" s="453">
        <f>SUM(AO37:AO41)</f>
        <v>0</v>
      </c>
    </row>
    <row r="43" spans="1:41" ht="10.5" customHeight="1" x14ac:dyDescent="0.3">
      <c r="D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279"/>
      <c r="AG43" s="174"/>
      <c r="AH43" s="87"/>
      <c r="AI43" s="87"/>
      <c r="AJ43" s="87"/>
      <c r="AK43" s="87"/>
      <c r="AL43" s="87"/>
      <c r="AM43" s="87"/>
      <c r="AN43" s="87"/>
      <c r="AO43" s="87"/>
    </row>
    <row r="44" spans="1:41" s="6" customFormat="1" ht="24" customHeight="1" x14ac:dyDescent="0.3">
      <c r="A44" s="115"/>
      <c r="B44" s="116" t="s">
        <v>167</v>
      </c>
      <c r="C44" s="140" t="s">
        <v>29</v>
      </c>
      <c r="D44" s="1039">
        <f>+D16+D21+D29+D35+D42</f>
        <v>22778.58893881</v>
      </c>
      <c r="E44" s="2"/>
      <c r="F44" s="1039">
        <f>+F16+F21+F29+F35+F42</f>
        <v>0</v>
      </c>
      <c r="G44" s="87"/>
      <c r="H44" s="1039" t="e">
        <f t="shared" ref="H44:I44" si="123">+H16+H21+H29+H35+H42</f>
        <v>#REF!</v>
      </c>
      <c r="I44" s="1039">
        <f t="shared" si="123"/>
        <v>0</v>
      </c>
      <c r="J44" s="463"/>
      <c r="K44" s="1039">
        <f t="shared" ref="K44:M44" si="124">+K16+K21+K29+K35+K42</f>
        <v>0</v>
      </c>
      <c r="L44" s="1039">
        <f t="shared" si="124"/>
        <v>0</v>
      </c>
      <c r="M44" s="1039">
        <f t="shared" si="124"/>
        <v>22778.58893881</v>
      </c>
      <c r="N44" s="463"/>
      <c r="O44" s="1039">
        <f t="shared" ref="O44:S44" si="125">+O16+O21+O29+O35+O42</f>
        <v>0</v>
      </c>
      <c r="P44" s="1039">
        <f t="shared" si="125"/>
        <v>0</v>
      </c>
      <c r="Q44" s="1039">
        <f t="shared" si="125"/>
        <v>0</v>
      </c>
      <c r="R44" s="1039">
        <f t="shared" si="125"/>
        <v>0</v>
      </c>
      <c r="S44" s="1039">
        <f t="shared" si="125"/>
        <v>0</v>
      </c>
      <c r="T44" s="502"/>
      <c r="U44" s="1039">
        <f t="shared" ref="U44:W44" si="126">+U16+U21+U29+U35+U42</f>
        <v>0</v>
      </c>
      <c r="V44" s="1039">
        <f t="shared" si="126"/>
        <v>0</v>
      </c>
      <c r="W44" s="1039">
        <f t="shared" si="126"/>
        <v>0</v>
      </c>
      <c r="X44" s="463"/>
      <c r="Y44" s="1039">
        <f t="shared" ref="Y44:AC44" si="127">+Y16+Y21+Y29+Y35+Y42</f>
        <v>22778.58893881</v>
      </c>
      <c r="Z44" s="1039">
        <f t="shared" si="127"/>
        <v>0</v>
      </c>
      <c r="AA44" s="1039">
        <f t="shared" si="127"/>
        <v>0</v>
      </c>
      <c r="AB44" s="1039">
        <f t="shared" si="127"/>
        <v>0</v>
      </c>
      <c r="AC44" s="1039">
        <f t="shared" si="127"/>
        <v>0</v>
      </c>
      <c r="AD44" s="463"/>
      <c r="AE44" s="1039">
        <f>+AE16+AE21+AE29+AE35+AE42</f>
        <v>0</v>
      </c>
      <c r="AF44" s="685"/>
      <c r="AG44" s="503"/>
      <c r="AH44" s="1039">
        <f t="shared" ref="AH44:AO44" si="128">+AH16+AH21+AH29+AH35+AH42</f>
        <v>0</v>
      </c>
      <c r="AI44" s="1039">
        <f t="shared" si="128"/>
        <v>0</v>
      </c>
      <c r="AJ44" s="1039">
        <f t="shared" si="128"/>
        <v>0</v>
      </c>
      <c r="AK44" s="1039">
        <f t="shared" si="128"/>
        <v>0</v>
      </c>
      <c r="AL44" s="1039">
        <f t="shared" si="128"/>
        <v>0</v>
      </c>
      <c r="AM44" s="1039">
        <f t="shared" si="128"/>
        <v>0</v>
      </c>
      <c r="AN44" s="1039">
        <f t="shared" si="128"/>
        <v>0</v>
      </c>
      <c r="AO44" s="1039">
        <f t="shared" si="128"/>
        <v>0</v>
      </c>
    </row>
    <row r="45" spans="1:41" s="94" customFormat="1" ht="21" customHeight="1" x14ac:dyDescent="0.3">
      <c r="A45" s="100"/>
      <c r="B45" s="100"/>
      <c r="E45" s="2"/>
      <c r="F45" s="174"/>
      <c r="K45" s="586"/>
      <c r="Y45" s="146"/>
      <c r="Z45" s="255"/>
      <c r="AA45" s="149"/>
      <c r="AB45" s="149"/>
      <c r="AF45" s="152"/>
    </row>
    <row r="46" spans="1:41" s="94" customFormat="1" ht="21" customHeight="1" x14ac:dyDescent="0.3">
      <c r="A46" s="100"/>
      <c r="B46" s="100"/>
      <c r="C46" s="150"/>
      <c r="D46" s="150"/>
      <c r="E46" s="2"/>
      <c r="F46" s="174"/>
      <c r="H46" s="106"/>
      <c r="I46" s="106"/>
      <c r="L46" s="121"/>
      <c r="M46" s="600"/>
      <c r="Y46" s="151"/>
      <c r="Z46" s="106"/>
      <c r="AA46" s="106"/>
      <c r="AB46" s="152"/>
      <c r="AE46" s="106"/>
      <c r="AF46" s="152"/>
    </row>
    <row r="47" spans="1:41" s="94" customFormat="1" ht="21" customHeight="1" x14ac:dyDescent="0.3">
      <c r="A47" s="100"/>
      <c r="B47" s="100"/>
      <c r="C47" s="105"/>
      <c r="D47" s="105"/>
      <c r="F47" s="174"/>
      <c r="O47" s="106"/>
      <c r="Y47" s="151"/>
      <c r="Z47" s="104"/>
      <c r="AA47" s="104"/>
      <c r="AB47" s="104"/>
      <c r="AE47" s="106"/>
      <c r="AF47" s="121"/>
      <c r="AH47" s="6"/>
      <c r="AI47" s="6"/>
      <c r="AJ47" s="6"/>
      <c r="AK47" s="6"/>
      <c r="AL47" s="6"/>
      <c r="AM47" s="6"/>
      <c r="AN47" s="6"/>
      <c r="AO47" s="6"/>
    </row>
    <row r="48" spans="1:41" s="94" customFormat="1" ht="21" customHeight="1" x14ac:dyDescent="0.3">
      <c r="A48" s="100"/>
      <c r="B48" s="100"/>
      <c r="F48" s="174"/>
      <c r="I48" s="106"/>
      <c r="M48" s="279"/>
      <c r="Y48" s="151"/>
      <c r="AC48" s="106"/>
      <c r="AF48" s="152"/>
    </row>
    <row r="49" spans="1:41" s="94" customFormat="1" ht="21" customHeight="1" x14ac:dyDescent="0.3">
      <c r="A49" s="100"/>
      <c r="B49" s="100"/>
      <c r="F49" s="174"/>
      <c r="Y49" s="152"/>
      <c r="Z49" s="121"/>
      <c r="AA49" s="121"/>
      <c r="AB49" s="121"/>
      <c r="AC49" s="121"/>
      <c r="AD49" s="121"/>
      <c r="AE49" s="121"/>
      <c r="AF49" s="121"/>
      <c r="AJ49" s="94">
        <v>6.8865656548658596E+21</v>
      </c>
    </row>
    <row r="50" spans="1:41" s="94" customFormat="1" ht="21" customHeight="1" x14ac:dyDescent="0.3">
      <c r="A50" s="100"/>
      <c r="B50" s="100"/>
      <c r="F50" s="174"/>
      <c r="Y50" s="152"/>
      <c r="Z50" s="121"/>
      <c r="AA50" s="121"/>
      <c r="AB50" s="121"/>
      <c r="AC50" s="121"/>
      <c r="AD50" s="121"/>
      <c r="AE50" s="121"/>
      <c r="AF50" s="121"/>
    </row>
    <row r="51" spans="1:41" s="94" customFormat="1" ht="21" customHeight="1" x14ac:dyDescent="0.3">
      <c r="A51" s="100"/>
      <c r="B51" s="100"/>
      <c r="F51" s="174"/>
      <c r="Y51" s="121"/>
      <c r="Z51" s="121"/>
      <c r="AA51" s="121"/>
      <c r="AB51" s="121"/>
      <c r="AC51" s="121"/>
      <c r="AD51" s="121"/>
      <c r="AE51" s="121"/>
      <c r="AF51" s="121"/>
    </row>
    <row r="52" spans="1:41" ht="21" customHeight="1" x14ac:dyDescent="0.3">
      <c r="AH52" s="94"/>
      <c r="AI52" s="94"/>
      <c r="AJ52" s="94"/>
      <c r="AK52" s="94"/>
      <c r="AL52" s="94"/>
      <c r="AM52" s="94"/>
      <c r="AN52" s="94"/>
      <c r="AO52" s="94"/>
    </row>
    <row r="53" spans="1:41" ht="21" customHeight="1" x14ac:dyDescent="0.3">
      <c r="AH53" s="94"/>
      <c r="AI53" s="94"/>
      <c r="AJ53" s="94"/>
      <c r="AK53" s="94"/>
      <c r="AL53" s="94"/>
      <c r="AM53" s="94"/>
      <c r="AN53" s="94"/>
      <c r="AO53" s="94"/>
    </row>
    <row r="54" spans="1:41" ht="21" customHeight="1" x14ac:dyDescent="0.3">
      <c r="AH54" s="94"/>
      <c r="AI54" s="94"/>
      <c r="AJ54" s="94"/>
      <c r="AK54" s="94"/>
      <c r="AL54" s="94"/>
      <c r="AM54" s="94"/>
      <c r="AN54" s="94"/>
      <c r="AO54" s="94"/>
    </row>
  </sheetData>
  <mergeCells count="26">
    <mergeCell ref="AN9:AN11"/>
    <mergeCell ref="AO9:AO11"/>
    <mergeCell ref="AH9:AH11"/>
    <mergeCell ref="A9:A11"/>
    <mergeCell ref="B9:B11"/>
    <mergeCell ref="U9:W10"/>
    <mergeCell ref="Y9:AC10"/>
    <mergeCell ref="L9:L11"/>
    <mergeCell ref="M9:M11"/>
    <mergeCell ref="AE9:AE10"/>
    <mergeCell ref="O9:S9"/>
    <mergeCell ref="K9:K11"/>
    <mergeCell ref="C9:C11"/>
    <mergeCell ref="F9:F11"/>
    <mergeCell ref="AJ9:AJ11"/>
    <mergeCell ref="AK9:AK11"/>
    <mergeCell ref="AL9:AL11"/>
    <mergeCell ref="AM9:AM11"/>
    <mergeCell ref="A42:B42"/>
    <mergeCell ref="A21:B21"/>
    <mergeCell ref="A29:B29"/>
    <mergeCell ref="A35:B35"/>
    <mergeCell ref="H9:I10"/>
    <mergeCell ref="AI9:AI11"/>
    <mergeCell ref="A16:B16"/>
    <mergeCell ref="D9:D11"/>
  </mergeCells>
  <pageMargins left="0.19685039370078741" right="0.19685039370078741" top="0.74803149606299213" bottom="0.74803149606299213" header="0.31496062992125984" footer="0.31496062992125984"/>
  <pageSetup paperSize="9" scale="1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pageSetUpPr fitToPage="1"/>
  </sheetPr>
  <dimension ref="A1:AP42"/>
  <sheetViews>
    <sheetView topLeftCell="O4" zoomScale="70" zoomScaleNormal="70" workbookViewId="0">
      <selection activeCell="AA16" sqref="AA16"/>
    </sheetView>
  </sheetViews>
  <sheetFormatPr baseColWidth="10" defaultColWidth="11.42578125" defaultRowHeight="21" customHeight="1" outlineLevelCol="2" x14ac:dyDescent="0.3"/>
  <cols>
    <col min="1" max="1" width="11.28515625" style="86" customWidth="1"/>
    <col min="2" max="2" width="114.7109375" style="86" bestFit="1" customWidth="1"/>
    <col min="3" max="4" width="10.7109375" style="2" customWidth="1"/>
    <col min="5" max="5" width="2.7109375" style="2" customWidth="1"/>
    <col min="6" max="6" width="17.85546875" style="2" customWidth="1"/>
    <col min="7" max="7" width="2.7109375" style="2" customWidth="1" outlineLevel="1"/>
    <col min="8" max="8" width="17.85546875" style="2" bestFit="1" customWidth="1"/>
    <col min="9" max="9" width="17.28515625" style="2" bestFit="1" customWidth="1"/>
    <col min="10" max="10" width="2.7109375" style="2" customWidth="1"/>
    <col min="11" max="12" width="18.7109375" style="2" customWidth="1"/>
    <col min="13" max="13" width="21" style="2" customWidth="1"/>
    <col min="14" max="14" width="2.7109375" style="2" customWidth="1"/>
    <col min="15" max="19" width="12.7109375" style="2" customWidth="1" outlineLevel="1"/>
    <col min="20" max="20" width="2.7109375" style="2" customWidth="1"/>
    <col min="21" max="21" width="18.7109375" style="2" bestFit="1" customWidth="1"/>
    <col min="22" max="22" width="17.85546875" style="2" bestFit="1" customWidth="1"/>
    <col min="23" max="23" width="17" style="2" bestFit="1" customWidth="1"/>
    <col min="24" max="24" width="2.7109375" style="2" customWidth="1"/>
    <col min="25" max="25" width="19.85546875" style="2" bestFit="1" customWidth="1"/>
    <col min="26" max="26" width="19.5703125" style="2" bestFit="1" customWidth="1"/>
    <col min="27" max="28" width="15.85546875" style="2" customWidth="1"/>
    <col min="29" max="29" width="22.140625" style="2" bestFit="1" customWidth="1"/>
    <col min="30" max="30" width="2.85546875" style="2" customWidth="1" outlineLevel="1"/>
    <col min="31" max="31" width="17.5703125" style="2" customWidth="1" outlineLevel="1"/>
    <col min="32" max="32" width="11.42578125" style="94"/>
    <col min="33" max="33" width="11.42578125" style="2"/>
    <col min="34" max="34" width="19.5703125" style="2" customWidth="1" outlineLevel="1"/>
    <col min="35" max="36" width="21.42578125" style="2" customWidth="1" outlineLevel="1"/>
    <col min="37" max="41" width="17" style="2" customWidth="1" outlineLevel="2"/>
    <col min="42" max="42" width="11.42578125" style="2" outlineLevel="1"/>
    <col min="43" max="16384" width="11.42578125" style="2"/>
  </cols>
  <sheetData>
    <row r="1" spans="1:41" ht="31.5" customHeight="1" x14ac:dyDescent="0.35">
      <c r="A1" s="88" t="s">
        <v>133</v>
      </c>
      <c r="B1" s="89"/>
      <c r="C1" s="89"/>
      <c r="D1" s="89"/>
      <c r="E1" s="89"/>
      <c r="F1" s="89"/>
      <c r="G1" s="89"/>
      <c r="H1" s="89"/>
      <c r="I1" s="89"/>
      <c r="J1" s="89"/>
      <c r="K1" s="89"/>
      <c r="L1" s="89"/>
      <c r="M1" s="89"/>
      <c r="N1" s="89"/>
      <c r="O1" s="89"/>
      <c r="P1" s="89"/>
      <c r="Q1" s="89"/>
      <c r="R1" s="89"/>
      <c r="S1" s="89"/>
      <c r="T1" s="89"/>
      <c r="U1" s="89"/>
      <c r="V1" s="89"/>
      <c r="W1" s="89"/>
      <c r="X1" s="89"/>
      <c r="Y1" s="89"/>
      <c r="Z1" s="89"/>
      <c r="AA1" s="89"/>
      <c r="AB1" s="89"/>
      <c r="AC1" s="89"/>
    </row>
    <row r="2" spans="1:41" ht="21" customHeight="1" x14ac:dyDescent="0.3">
      <c r="A2" s="244" t="s">
        <v>433</v>
      </c>
      <c r="B2" s="88"/>
      <c r="C2" s="86"/>
      <c r="D2" s="86"/>
      <c r="E2" s="86"/>
      <c r="F2" s="86"/>
      <c r="G2" s="86"/>
      <c r="H2" s="86"/>
      <c r="I2" s="86"/>
      <c r="J2" s="86"/>
      <c r="K2" s="86"/>
      <c r="L2" s="86"/>
      <c r="M2" s="86"/>
      <c r="N2" s="86"/>
      <c r="O2" s="86"/>
      <c r="P2" s="86"/>
      <c r="Q2" s="86"/>
      <c r="R2" s="86"/>
      <c r="S2" s="86"/>
      <c r="T2" s="86"/>
      <c r="U2" s="86"/>
      <c r="V2" s="86"/>
      <c r="W2" s="86"/>
      <c r="X2" s="86"/>
      <c r="Y2" s="283"/>
      <c r="Z2" s="283"/>
      <c r="AA2" s="86"/>
      <c r="AB2" s="86"/>
      <c r="AC2" s="86"/>
    </row>
    <row r="3" spans="1:41" ht="11.25" customHeight="1" x14ac:dyDescent="0.3"/>
    <row r="4" spans="1:41" ht="11.25" customHeight="1" x14ac:dyDescent="0.3"/>
    <row r="5" spans="1:41" ht="21" customHeight="1" x14ac:dyDescent="0.3">
      <c r="A5" s="90" t="s">
        <v>52</v>
      </c>
      <c r="B5" s="90" t="str">
        <f>+Mat!B5</f>
        <v>EL BOSQUE - CERCO + INGRESOS Y CASETAS</v>
      </c>
      <c r="C5" s="119"/>
      <c r="D5" s="119"/>
      <c r="E5" s="119"/>
      <c r="F5" s="119"/>
      <c r="G5" s="119"/>
      <c r="H5" s="119"/>
      <c r="I5" s="119"/>
      <c r="J5" s="119"/>
      <c r="K5" s="165" t="s">
        <v>53</v>
      </c>
      <c r="L5" s="166"/>
      <c r="M5" s="166"/>
      <c r="N5" s="119"/>
      <c r="O5" s="119"/>
      <c r="P5" s="119"/>
      <c r="Q5" s="119"/>
      <c r="R5" s="119"/>
      <c r="S5" s="119"/>
      <c r="T5" s="119"/>
      <c r="U5" s="119"/>
      <c r="V5" s="119"/>
      <c r="W5" s="119"/>
      <c r="X5" s="119"/>
      <c r="Y5" s="119"/>
      <c r="Z5" s="119"/>
      <c r="AA5" s="119"/>
      <c r="AB5" s="119"/>
      <c r="AC5" s="119"/>
      <c r="AD5" s="119"/>
      <c r="AE5" s="119"/>
      <c r="AI5" s="110"/>
      <c r="AJ5" s="110" t="str">
        <f>+A2</f>
        <v>MES DE ENERO DEL 2025</v>
      </c>
    </row>
    <row r="6" spans="1:41" ht="21" customHeight="1" x14ac:dyDescent="0.3">
      <c r="A6" s="90" t="s">
        <v>54</v>
      </c>
      <c r="B6" s="90">
        <f>+Mat!B6</f>
        <v>0</v>
      </c>
      <c r="C6" s="119"/>
      <c r="D6" s="119"/>
      <c r="E6" s="119"/>
      <c r="F6" s="119"/>
      <c r="G6" s="119"/>
      <c r="H6" s="119"/>
      <c r="I6" s="119"/>
      <c r="J6" s="119"/>
      <c r="K6" s="165" t="s">
        <v>55</v>
      </c>
      <c r="L6" s="166"/>
      <c r="M6" s="166"/>
      <c r="N6" s="119"/>
      <c r="O6" s="119"/>
      <c r="P6" s="119"/>
      <c r="Q6" s="119"/>
      <c r="R6" s="119"/>
      <c r="S6" s="119"/>
      <c r="T6" s="119"/>
      <c r="U6" s="119"/>
      <c r="V6" s="119"/>
      <c r="W6" s="119"/>
      <c r="X6" s="119"/>
      <c r="Y6" s="119"/>
      <c r="Z6" s="119"/>
      <c r="AA6" s="119"/>
      <c r="AB6" s="119"/>
      <c r="AC6" s="119"/>
      <c r="AD6" s="119"/>
      <c r="AE6" s="119"/>
    </row>
    <row r="7" spans="1:41" ht="12.75" customHeight="1" x14ac:dyDescent="0.3">
      <c r="A7" s="88"/>
    </row>
    <row r="8" spans="1:41" ht="5.25" customHeight="1" x14ac:dyDescent="0.3">
      <c r="O8" s="94">
        <f t="shared" ref="O8:S8" si="0">+YEAR(O11)</f>
        <v>2025</v>
      </c>
      <c r="P8" s="94">
        <f t="shared" si="0"/>
        <v>2025</v>
      </c>
      <c r="Q8" s="94">
        <f t="shared" si="0"/>
        <v>2025</v>
      </c>
      <c r="R8" s="94">
        <f t="shared" si="0"/>
        <v>2025</v>
      </c>
      <c r="S8" s="94">
        <f t="shared" si="0"/>
        <v>2025</v>
      </c>
    </row>
    <row r="9" spans="1:41" s="95" customFormat="1" ht="18.75" customHeight="1" x14ac:dyDescent="0.25">
      <c r="A9" s="1238" t="s">
        <v>56</v>
      </c>
      <c r="B9" s="1238" t="s">
        <v>57</v>
      </c>
      <c r="C9" s="1238" t="s">
        <v>58</v>
      </c>
      <c r="D9" s="1241" t="s">
        <v>59</v>
      </c>
      <c r="F9" s="1241" t="s">
        <v>60</v>
      </c>
      <c r="H9" s="1272" t="str">
        <f>+A2</f>
        <v>MES DE ENERO DEL 2025</v>
      </c>
      <c r="I9" s="1273"/>
      <c r="K9" s="1237" t="s">
        <v>434</v>
      </c>
      <c r="L9" s="1237" t="s">
        <v>39</v>
      </c>
      <c r="M9" s="1237" t="s">
        <v>40</v>
      </c>
      <c r="O9" s="1262" t="s">
        <v>0</v>
      </c>
      <c r="P9" s="1263"/>
      <c r="Q9" s="1263"/>
      <c r="R9" s="1263"/>
      <c r="S9" s="1263"/>
      <c r="U9" s="1231" t="s">
        <v>41</v>
      </c>
      <c r="V9" s="1232"/>
      <c r="W9" s="1233"/>
      <c r="Y9" s="1231" t="s">
        <v>1</v>
      </c>
      <c r="Z9" s="1232"/>
      <c r="AA9" s="1232"/>
      <c r="AB9" s="1232"/>
      <c r="AC9" s="1233"/>
      <c r="AE9" s="1241" t="s">
        <v>435</v>
      </c>
      <c r="AF9" s="122"/>
      <c r="AH9" s="1259" t="s">
        <v>30</v>
      </c>
      <c r="AI9" s="1264" t="s">
        <v>342</v>
      </c>
      <c r="AJ9" s="1264" t="s">
        <v>35</v>
      </c>
      <c r="AK9" s="1248">
        <v>45597</v>
      </c>
      <c r="AL9" s="1248">
        <v>45627</v>
      </c>
      <c r="AM9" s="1248">
        <v>45658</v>
      </c>
      <c r="AN9" s="1248">
        <v>45689</v>
      </c>
      <c r="AO9" s="1248">
        <v>45717</v>
      </c>
    </row>
    <row r="10" spans="1:41" s="95" customFormat="1" ht="18.75" x14ac:dyDescent="0.25">
      <c r="A10" s="1239"/>
      <c r="B10" s="1239"/>
      <c r="C10" s="1239"/>
      <c r="D10" s="1242"/>
      <c r="F10" s="1242"/>
      <c r="H10" s="1274"/>
      <c r="I10" s="1275"/>
      <c r="K10" s="1237"/>
      <c r="L10" s="1237"/>
      <c r="M10" s="1237"/>
      <c r="O10" s="309">
        <v>4</v>
      </c>
      <c r="P10" s="309">
        <f>+O10+1</f>
        <v>5</v>
      </c>
      <c r="Q10" s="309">
        <f t="shared" ref="Q10:S10" si="1">+P10+1</f>
        <v>6</v>
      </c>
      <c r="R10" s="309">
        <f t="shared" si="1"/>
        <v>7</v>
      </c>
      <c r="S10" s="309">
        <f t="shared" si="1"/>
        <v>8</v>
      </c>
      <c r="U10" s="1234"/>
      <c r="V10" s="1235"/>
      <c r="W10" s="1236"/>
      <c r="Y10" s="1234"/>
      <c r="Z10" s="1235"/>
      <c r="AA10" s="1235"/>
      <c r="AB10" s="1235"/>
      <c r="AC10" s="1236"/>
      <c r="AE10" s="1243"/>
      <c r="AF10" s="122"/>
      <c r="AH10" s="1260"/>
      <c r="AI10" s="1265"/>
      <c r="AJ10" s="1265"/>
      <c r="AK10" s="1249"/>
      <c r="AL10" s="1249"/>
      <c r="AM10" s="1249"/>
      <c r="AN10" s="1249"/>
      <c r="AO10" s="1249"/>
    </row>
    <row r="11" spans="1:41" s="97" customFormat="1" ht="37.5" x14ac:dyDescent="0.25">
      <c r="A11" s="1240"/>
      <c r="B11" s="1240"/>
      <c r="C11" s="1240"/>
      <c r="D11" s="1243"/>
      <c r="F11" s="1240"/>
      <c r="H11" s="246" t="s">
        <v>4</v>
      </c>
      <c r="I11" s="249" t="s">
        <v>5</v>
      </c>
      <c r="J11" s="95"/>
      <c r="K11" s="1237"/>
      <c r="L11" s="1237"/>
      <c r="M11" s="1237"/>
      <c r="O11" s="247">
        <f>+SER!O11</f>
        <v>45689</v>
      </c>
      <c r="P11" s="247">
        <f>+O11+31</f>
        <v>45720</v>
      </c>
      <c r="Q11" s="247">
        <f t="shared" ref="Q11:S11" si="2">+P11+31</f>
        <v>45751</v>
      </c>
      <c r="R11" s="247">
        <f t="shared" si="2"/>
        <v>45782</v>
      </c>
      <c r="S11" s="247">
        <f t="shared" si="2"/>
        <v>45813</v>
      </c>
      <c r="U11" s="246">
        <f>+SER!U11</f>
        <v>2025</v>
      </c>
      <c r="V11" s="246">
        <f>+U11+1</f>
        <v>2026</v>
      </c>
      <c r="W11" s="246">
        <f>+V11+1</f>
        <v>2027</v>
      </c>
      <c r="Y11" s="246" t="s">
        <v>6</v>
      </c>
      <c r="Z11" s="246" t="s">
        <v>7</v>
      </c>
      <c r="AA11" s="246" t="s">
        <v>36</v>
      </c>
      <c r="AB11" s="248" t="s">
        <v>125</v>
      </c>
      <c r="AC11" s="246" t="s">
        <v>8</v>
      </c>
      <c r="AE11" s="1113" t="s">
        <v>436</v>
      </c>
      <c r="AF11" s="123"/>
      <c r="AH11" s="1261"/>
      <c r="AI11" s="1266"/>
      <c r="AJ11" s="1266"/>
      <c r="AK11" s="1250"/>
      <c r="AL11" s="1250"/>
      <c r="AM11" s="1250"/>
      <c r="AN11" s="1250"/>
      <c r="AO11" s="1250"/>
    </row>
    <row r="12" spans="1:41" ht="26.25" customHeight="1" x14ac:dyDescent="0.3">
      <c r="A12" s="98">
        <f>+MO!A12</f>
        <v>100</v>
      </c>
      <c r="B12" s="102" t="str">
        <f>+MO!B12</f>
        <v>OBRAS PRELIMINARES</v>
      </c>
      <c r="O12" s="269"/>
      <c r="P12" s="269"/>
      <c r="Q12" s="269"/>
      <c r="R12" s="269"/>
      <c r="S12" s="269"/>
    </row>
    <row r="13" spans="1:41" s="1010" customFormat="1" ht="25.5" customHeight="1" x14ac:dyDescent="0.3">
      <c r="A13" s="1008"/>
      <c r="B13" s="1135" t="s">
        <v>86</v>
      </c>
      <c r="C13" s="1136" t="s">
        <v>29</v>
      </c>
      <c r="D13" s="1136"/>
      <c r="E13" s="1137"/>
      <c r="F13" s="1138">
        <f>+SUM(AI13)</f>
        <v>0</v>
      </c>
      <c r="G13" s="499"/>
      <c r="H13" s="1138"/>
      <c r="I13" s="1139">
        <f>+AJ13</f>
        <v>0</v>
      </c>
      <c r="J13" s="499"/>
      <c r="K13" s="1138">
        <f>+I13+AE13</f>
        <v>0</v>
      </c>
      <c r="L13" s="1139">
        <f>+K13+F13</f>
        <v>0</v>
      </c>
      <c r="M13" s="1139">
        <f>+D13-L13</f>
        <v>0</v>
      </c>
      <c r="N13" s="499"/>
      <c r="O13" s="454">
        <f>+O$12*$AC13</f>
        <v>0</v>
      </c>
      <c r="P13" s="454">
        <f t="shared" ref="P13:S14" si="3">+P$12*$AC13</f>
        <v>0</v>
      </c>
      <c r="Q13" s="454">
        <f t="shared" si="3"/>
        <v>0</v>
      </c>
      <c r="R13" s="454">
        <f t="shared" si="3"/>
        <v>0</v>
      </c>
      <c r="S13" s="454">
        <f t="shared" si="3"/>
        <v>0</v>
      </c>
      <c r="T13" s="499"/>
      <c r="U13" s="1138">
        <f>+SUMIFS(O13:S13,O$8:S$8,U$11)</f>
        <v>0</v>
      </c>
      <c r="V13" s="1138">
        <f>+SUMIFS(O13:S13,O$8:S$8,V$11)</f>
        <v>0</v>
      </c>
      <c r="W13" s="1138">
        <f>+SUMIFS(O13:S13,O$8:S$8,W$11)</f>
        <v>0</v>
      </c>
      <c r="X13" s="499"/>
      <c r="Y13" s="1138">
        <f>+M13+L13</f>
        <v>0</v>
      </c>
      <c r="Z13" s="1138"/>
      <c r="AA13" s="1138"/>
      <c r="AB13" s="1138"/>
      <c r="AC13" s="1138"/>
      <c r="AD13" s="499"/>
      <c r="AE13" s="1138"/>
      <c r="AF13" s="1140"/>
      <c r="AH13" s="1138">
        <f>SUM(AK13:AO13)</f>
        <v>0</v>
      </c>
      <c r="AI13" s="1141">
        <f>SUM(AK13:AL13)</f>
        <v>0</v>
      </c>
      <c r="AJ13" s="1141">
        <f>+AM13</f>
        <v>0</v>
      </c>
      <c r="AK13" s="1138"/>
      <c r="AL13" s="1138"/>
      <c r="AM13" s="1138"/>
      <c r="AN13" s="1138"/>
      <c r="AO13" s="1138"/>
    </row>
    <row r="14" spans="1:41" s="1010" customFormat="1" ht="25.5" customHeight="1" x14ac:dyDescent="0.3">
      <c r="A14" s="1142"/>
      <c r="B14" s="1143" t="s">
        <v>87</v>
      </c>
      <c r="C14" s="1144" t="s">
        <v>29</v>
      </c>
      <c r="D14" s="1144"/>
      <c r="E14" s="1137"/>
      <c r="F14" s="1123">
        <f>+SUM(AI14)</f>
        <v>0</v>
      </c>
      <c r="G14" s="499"/>
      <c r="H14" s="455">
        <v>0</v>
      </c>
      <c r="I14" s="1123">
        <f>+AJ14</f>
        <v>0</v>
      </c>
      <c r="J14" s="499"/>
      <c r="K14" s="455">
        <f>+I14+AE14</f>
        <v>0</v>
      </c>
      <c r="L14" s="1123">
        <f>+K14+F14</f>
        <v>0</v>
      </c>
      <c r="M14" s="1123">
        <f>+D14-L14</f>
        <v>0</v>
      </c>
      <c r="N14" s="499"/>
      <c r="O14" s="455">
        <f>+O$12*$AC14</f>
        <v>0</v>
      </c>
      <c r="P14" s="455">
        <f t="shared" si="3"/>
        <v>0</v>
      </c>
      <c r="Q14" s="455">
        <f t="shared" si="3"/>
        <v>0</v>
      </c>
      <c r="R14" s="455">
        <f t="shared" si="3"/>
        <v>0</v>
      </c>
      <c r="S14" s="455">
        <f t="shared" si="3"/>
        <v>0</v>
      </c>
      <c r="T14" s="499"/>
      <c r="U14" s="479">
        <f>+SUMIFS(O14:S14,O$8:S$8,U$11)</f>
        <v>0</v>
      </c>
      <c r="V14" s="479">
        <f>+SUMIFS(O14:S14,O$8:S$8,V$11)</f>
        <v>0</v>
      </c>
      <c r="W14" s="479">
        <f>+SUMIFS(O14:S14,O$8:S$8,W$11)</f>
        <v>0</v>
      </c>
      <c r="X14" s="499"/>
      <c r="Y14" s="479">
        <f>+M14+L14</f>
        <v>0</v>
      </c>
      <c r="Z14" s="455"/>
      <c r="AA14" s="455"/>
      <c r="AB14" s="455"/>
      <c r="AC14" s="455"/>
      <c r="AD14" s="499"/>
      <c r="AE14" s="455"/>
      <c r="AF14" s="1140"/>
      <c r="AH14" s="455">
        <f>SUM(AK14:AO14)</f>
        <v>0</v>
      </c>
      <c r="AI14" s="455">
        <f>SUM(AK14:AL14)</f>
        <v>0</v>
      </c>
      <c r="AJ14" s="455">
        <f>+AM14</f>
        <v>0</v>
      </c>
      <c r="AK14" s="455"/>
      <c r="AL14" s="455"/>
      <c r="AM14" s="455"/>
      <c r="AN14" s="455"/>
      <c r="AO14" s="455"/>
    </row>
    <row r="15" spans="1:41" ht="21" customHeight="1" x14ac:dyDescent="0.3">
      <c r="A15" s="168" t="s">
        <v>29</v>
      </c>
      <c r="B15" s="127" t="str">
        <f>+"TOTAL FASE  "&amp;A12&amp;" : "&amp;B12</f>
        <v>TOTAL FASE  100 : OBRAS PRELIMINARES</v>
      </c>
      <c r="C15" s="101" t="s">
        <v>29</v>
      </c>
      <c r="D15" s="453">
        <f t="shared" ref="D15" si="4">SUM(D13:D14)</f>
        <v>0</v>
      </c>
      <c r="E15" s="7"/>
      <c r="F15" s="453">
        <f t="shared" ref="F15" si="5">SUM(F13:F14)</f>
        <v>0</v>
      </c>
      <c r="G15" s="87"/>
      <c r="H15" s="453">
        <f t="shared" ref="H15:I15" si="6">SUM(H13:H14)</f>
        <v>0</v>
      </c>
      <c r="I15" s="453">
        <f t="shared" si="6"/>
        <v>0</v>
      </c>
      <c r="J15" s="87"/>
      <c r="K15" s="453">
        <f t="shared" ref="K15:M15" si="7">SUM(K13:K14)</f>
        <v>0</v>
      </c>
      <c r="L15" s="453">
        <f t="shared" si="7"/>
        <v>0</v>
      </c>
      <c r="M15" s="453">
        <f t="shared" si="7"/>
        <v>0</v>
      </c>
      <c r="N15" s="87"/>
      <c r="O15" s="453">
        <f t="shared" ref="O15:S15" si="8">SUM(O13:O14)</f>
        <v>0</v>
      </c>
      <c r="P15" s="453">
        <f t="shared" si="8"/>
        <v>0</v>
      </c>
      <c r="Q15" s="453">
        <f t="shared" si="8"/>
        <v>0</v>
      </c>
      <c r="R15" s="453">
        <f t="shared" si="8"/>
        <v>0</v>
      </c>
      <c r="S15" s="453">
        <f t="shared" si="8"/>
        <v>0</v>
      </c>
      <c r="T15" s="87"/>
      <c r="U15" s="453">
        <f t="shared" ref="U15:W15" si="9">SUM(U13:U14)</f>
        <v>0</v>
      </c>
      <c r="V15" s="453">
        <f t="shared" si="9"/>
        <v>0</v>
      </c>
      <c r="W15" s="453">
        <f t="shared" si="9"/>
        <v>0</v>
      </c>
      <c r="X15" s="87"/>
      <c r="Y15" s="453">
        <f t="shared" ref="Y15:AC15" si="10">SUM(Y13:Y14)</f>
        <v>0</v>
      </c>
      <c r="Z15" s="453">
        <f t="shared" si="10"/>
        <v>0</v>
      </c>
      <c r="AA15" s="453">
        <f t="shared" si="10"/>
        <v>0</v>
      </c>
      <c r="AB15" s="453">
        <f t="shared" si="10"/>
        <v>0</v>
      </c>
      <c r="AC15" s="453">
        <f t="shared" si="10"/>
        <v>0</v>
      </c>
      <c r="AD15" s="87"/>
      <c r="AE15" s="453">
        <f t="shared" ref="AE15" si="11">SUM(AE13:AE14)</f>
        <v>0</v>
      </c>
      <c r="AF15" s="106">
        <f>+Y15-Z15</f>
        <v>0</v>
      </c>
      <c r="AH15" s="453">
        <f>SUM(AI15:AO15)</f>
        <v>0</v>
      </c>
      <c r="AI15" s="453"/>
      <c r="AJ15" s="453">
        <f>SUM(AJ13:AJ14)</f>
        <v>0</v>
      </c>
      <c r="AK15" s="453">
        <f t="shared" ref="AK15:AO15" si="12">SUM(AK13:AK14)</f>
        <v>0</v>
      </c>
      <c r="AL15" s="453">
        <f t="shared" si="12"/>
        <v>0</v>
      </c>
      <c r="AM15" s="453">
        <f t="shared" si="12"/>
        <v>0</v>
      </c>
      <c r="AN15" s="453">
        <f t="shared" si="12"/>
        <v>0</v>
      </c>
      <c r="AO15" s="453">
        <f t="shared" si="12"/>
        <v>0</v>
      </c>
    </row>
    <row r="16" spans="1:41" ht="26.25" customHeight="1" x14ac:dyDescent="0.3">
      <c r="A16" s="98">
        <f>+MO!A24</f>
        <v>200</v>
      </c>
      <c r="B16" s="102" t="str">
        <f>+MO!B24</f>
        <v>MOVIMIENTO DE TIERRAS</v>
      </c>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919"/>
      <c r="AH16" s="87"/>
      <c r="AI16" s="87"/>
      <c r="AJ16" s="87"/>
      <c r="AK16" s="87"/>
      <c r="AL16" s="87"/>
      <c r="AM16" s="87"/>
      <c r="AN16" s="87"/>
      <c r="AO16" s="87"/>
    </row>
    <row r="17" spans="1:41" ht="25.5" customHeight="1" x14ac:dyDescent="0.3">
      <c r="A17" s="134"/>
      <c r="B17" s="1135" t="s">
        <v>86</v>
      </c>
      <c r="C17" s="135" t="s">
        <v>29</v>
      </c>
      <c r="D17" s="135"/>
      <c r="E17" s="7"/>
      <c r="F17" s="1138">
        <f>+SUM(AI17)</f>
        <v>0</v>
      </c>
      <c r="G17" s="87"/>
      <c r="H17" s="454"/>
      <c r="I17" s="1139">
        <f>+AJ17</f>
        <v>0</v>
      </c>
      <c r="J17" s="87"/>
      <c r="K17" s="454">
        <f>+I17+AE17</f>
        <v>0</v>
      </c>
      <c r="L17" s="464">
        <f>+K17+F17</f>
        <v>0</v>
      </c>
      <c r="M17" s="1139">
        <f>+D17-L17</f>
        <v>0</v>
      </c>
      <c r="N17" s="87"/>
      <c r="O17" s="454">
        <f>+O$16*$AC17</f>
        <v>0</v>
      </c>
      <c r="P17" s="454">
        <f t="shared" ref="P17:S18" si="13">+P$16*$AC17</f>
        <v>0</v>
      </c>
      <c r="Q17" s="454">
        <f t="shared" si="13"/>
        <v>0</v>
      </c>
      <c r="R17" s="454">
        <f t="shared" si="13"/>
        <v>0</v>
      </c>
      <c r="S17" s="454">
        <f t="shared" si="13"/>
        <v>0</v>
      </c>
      <c r="T17" s="87"/>
      <c r="U17" s="454">
        <f>+SUMIFS(O17:S17,O$8:S$8,U$11)</f>
        <v>0</v>
      </c>
      <c r="V17" s="454">
        <f>+SUMIFS(O17:S17,O$8:S$8,V$11)</f>
        <v>0</v>
      </c>
      <c r="W17" s="454">
        <f>+SUMIFS(O17:S17,O$8:S$8,W$11)</f>
        <v>0</v>
      </c>
      <c r="X17" s="87"/>
      <c r="Y17" s="454">
        <f>+M17+L17</f>
        <v>0</v>
      </c>
      <c r="Z17" s="454"/>
      <c r="AA17" s="454"/>
      <c r="AB17" s="454"/>
      <c r="AC17" s="454"/>
      <c r="AD17" s="87"/>
      <c r="AE17" s="860"/>
      <c r="AH17" s="1138">
        <f>SUM(AK17:AO17)</f>
        <v>0</v>
      </c>
      <c r="AI17" s="1141">
        <f>SUM(AK17:AL17)</f>
        <v>0</v>
      </c>
      <c r="AJ17" s="1141">
        <f>+AM17</f>
        <v>0</v>
      </c>
      <c r="AK17" s="454"/>
      <c r="AL17" s="454"/>
      <c r="AM17" s="454"/>
      <c r="AN17" s="454"/>
      <c r="AO17" s="454"/>
    </row>
    <row r="18" spans="1:41" ht="25.5" customHeight="1" x14ac:dyDescent="0.3">
      <c r="A18" s="130"/>
      <c r="B18" s="1143" t="s">
        <v>87</v>
      </c>
      <c r="C18" s="167" t="s">
        <v>29</v>
      </c>
      <c r="D18" s="167"/>
      <c r="E18" s="7"/>
      <c r="F18" s="1123">
        <f>+SUM(AI18)</f>
        <v>0</v>
      </c>
      <c r="G18" s="87"/>
      <c r="H18" s="456"/>
      <c r="I18" s="1123">
        <f>+AJ18</f>
        <v>0</v>
      </c>
      <c r="J18" s="87"/>
      <c r="K18" s="456">
        <f>+I18+AE18</f>
        <v>0</v>
      </c>
      <c r="L18" s="461">
        <f>+K18+F18</f>
        <v>0</v>
      </c>
      <c r="M18" s="1123">
        <f>+D18-L18</f>
        <v>0</v>
      </c>
      <c r="N18" s="87"/>
      <c r="O18" s="455">
        <f>+O$16*$AC18</f>
        <v>0</v>
      </c>
      <c r="P18" s="455">
        <f t="shared" si="13"/>
        <v>0</v>
      </c>
      <c r="Q18" s="455">
        <f t="shared" si="13"/>
        <v>0</v>
      </c>
      <c r="R18" s="455">
        <f t="shared" si="13"/>
        <v>0</v>
      </c>
      <c r="S18" s="455">
        <f t="shared" si="13"/>
        <v>0</v>
      </c>
      <c r="T18" s="87"/>
      <c r="U18" s="456">
        <f>+SUMIFS(O18:S18,O$8:S$8,U$11)</f>
        <v>0</v>
      </c>
      <c r="V18" s="456">
        <f>+SUMIFS(O18:S18,O$8:S$8,V$11)</f>
        <v>0</v>
      </c>
      <c r="W18" s="456">
        <f>+SUMIFS(O18:S18,O$8:S$8,W$11)</f>
        <v>0</v>
      </c>
      <c r="X18" s="87"/>
      <c r="Y18" s="456">
        <f>+M18+L18</f>
        <v>0</v>
      </c>
      <c r="Z18" s="456"/>
      <c r="AA18" s="456"/>
      <c r="AB18" s="456"/>
      <c r="AC18" s="456"/>
      <c r="AD18" s="87"/>
      <c r="AE18" s="860"/>
      <c r="AH18" s="455">
        <f>SUM(AK18:AO18)</f>
        <v>0</v>
      </c>
      <c r="AI18" s="455">
        <f>SUM(AK18:AL18)</f>
        <v>0</v>
      </c>
      <c r="AJ18" s="455">
        <f>+AM18</f>
        <v>0</v>
      </c>
      <c r="AK18" s="456"/>
      <c r="AL18" s="456"/>
      <c r="AM18" s="456"/>
      <c r="AN18" s="456"/>
      <c r="AO18" s="456"/>
    </row>
    <row r="19" spans="1:41" ht="21" customHeight="1" x14ac:dyDescent="0.3">
      <c r="A19" s="168" t="s">
        <v>29</v>
      </c>
      <c r="B19" s="127" t="str">
        <f>+"TOTAL FASE  "&amp;A16&amp;" : "&amp;B16</f>
        <v>TOTAL FASE  200 : MOVIMIENTO DE TIERRAS</v>
      </c>
      <c r="C19" s="101" t="s">
        <v>29</v>
      </c>
      <c r="D19" s="453">
        <f t="shared" ref="D19" si="14">SUM(D17:D18)</f>
        <v>0</v>
      </c>
      <c r="E19" s="7"/>
      <c r="F19" s="453">
        <f t="shared" ref="F19" si="15">SUM(F17:F18)</f>
        <v>0</v>
      </c>
      <c r="G19" s="87"/>
      <c r="H19" s="453">
        <f t="shared" ref="H19:I19" si="16">SUM(H17:H18)</f>
        <v>0</v>
      </c>
      <c r="I19" s="453">
        <f t="shared" si="16"/>
        <v>0</v>
      </c>
      <c r="J19" s="87"/>
      <c r="K19" s="453">
        <f t="shared" ref="K19:M19" si="17">SUM(K17:K18)</f>
        <v>0</v>
      </c>
      <c r="L19" s="453">
        <f t="shared" si="17"/>
        <v>0</v>
      </c>
      <c r="M19" s="453">
        <f t="shared" si="17"/>
        <v>0</v>
      </c>
      <c r="N19" s="87"/>
      <c r="O19" s="453">
        <f t="shared" ref="O19:S19" si="18">SUM(O17:O18)</f>
        <v>0</v>
      </c>
      <c r="P19" s="453">
        <f t="shared" si="18"/>
        <v>0</v>
      </c>
      <c r="Q19" s="453">
        <f t="shared" si="18"/>
        <v>0</v>
      </c>
      <c r="R19" s="453">
        <f t="shared" si="18"/>
        <v>0</v>
      </c>
      <c r="S19" s="453">
        <f t="shared" si="18"/>
        <v>0</v>
      </c>
      <c r="T19" s="87"/>
      <c r="U19" s="453">
        <f t="shared" ref="U19:W19" si="19">SUM(U17:U18)</f>
        <v>0</v>
      </c>
      <c r="V19" s="453">
        <f t="shared" si="19"/>
        <v>0</v>
      </c>
      <c r="W19" s="453">
        <f t="shared" si="19"/>
        <v>0</v>
      </c>
      <c r="X19" s="87"/>
      <c r="Y19" s="453">
        <f t="shared" ref="Y19:AC19" si="20">SUM(Y17:Y18)</f>
        <v>0</v>
      </c>
      <c r="Z19" s="453">
        <f t="shared" si="20"/>
        <v>0</v>
      </c>
      <c r="AA19" s="453">
        <f t="shared" si="20"/>
        <v>0</v>
      </c>
      <c r="AB19" s="453">
        <f t="shared" si="20"/>
        <v>0</v>
      </c>
      <c r="AC19" s="453">
        <f t="shared" si="20"/>
        <v>0</v>
      </c>
      <c r="AD19" s="87"/>
      <c r="AE19" s="453">
        <f t="shared" ref="AE19" si="21">SUM(AE17:AE18)</f>
        <v>0</v>
      </c>
      <c r="AH19" s="453">
        <f t="shared" ref="AH19:AN19" si="22">SUM(AH17:AH18)</f>
        <v>0</v>
      </c>
      <c r="AI19" s="453">
        <f t="shared" si="22"/>
        <v>0</v>
      </c>
      <c r="AJ19" s="453">
        <f t="shared" si="22"/>
        <v>0</v>
      </c>
      <c r="AK19" s="453">
        <f t="shared" si="22"/>
        <v>0</v>
      </c>
      <c r="AL19" s="453">
        <f t="shared" si="22"/>
        <v>0</v>
      </c>
      <c r="AM19" s="453">
        <f t="shared" si="22"/>
        <v>0</v>
      </c>
      <c r="AN19" s="453">
        <f t="shared" si="22"/>
        <v>0</v>
      </c>
      <c r="AO19" s="453">
        <f t="shared" ref="AO19" si="23">SUM(AO17:AO18)</f>
        <v>0</v>
      </c>
    </row>
    <row r="20" spans="1:41" ht="26.25" customHeight="1" x14ac:dyDescent="0.3">
      <c r="A20" s="98">
        <f>+MO!A36</f>
        <v>300</v>
      </c>
      <c r="B20" s="102" t="str">
        <f>+MO!B36</f>
        <v xml:space="preserve">CONCRETO </v>
      </c>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919"/>
      <c r="AH20" s="87"/>
      <c r="AI20" s="87"/>
      <c r="AJ20" s="87"/>
      <c r="AK20" s="87"/>
      <c r="AL20" s="87"/>
      <c r="AM20" s="87"/>
      <c r="AN20" s="87"/>
      <c r="AO20" s="87"/>
    </row>
    <row r="21" spans="1:41" ht="25.5" customHeight="1" x14ac:dyDescent="0.3">
      <c r="A21" s="134"/>
      <c r="B21" s="1135" t="s">
        <v>86</v>
      </c>
      <c r="C21" s="135" t="s">
        <v>29</v>
      </c>
      <c r="D21" s="135"/>
      <c r="E21" s="7"/>
      <c r="F21" s="1138">
        <f>+SUM(AI21)</f>
        <v>0</v>
      </c>
      <c r="G21" s="87"/>
      <c r="H21" s="454"/>
      <c r="I21" s="1139">
        <f>+AJ21</f>
        <v>0</v>
      </c>
      <c r="J21" s="87"/>
      <c r="K21" s="454">
        <f>+I21+AE21</f>
        <v>0</v>
      </c>
      <c r="L21" s="464">
        <f>+K21+F21</f>
        <v>0</v>
      </c>
      <c r="M21" s="1139">
        <f>+D21-L21</f>
        <v>0</v>
      </c>
      <c r="N21" s="87"/>
      <c r="O21" s="454">
        <f>+O$20*$AC21</f>
        <v>0</v>
      </c>
      <c r="P21" s="454">
        <f t="shared" ref="P21:S22" si="24">+P$20*$AC21</f>
        <v>0</v>
      </c>
      <c r="Q21" s="454">
        <f t="shared" si="24"/>
        <v>0</v>
      </c>
      <c r="R21" s="454">
        <f t="shared" si="24"/>
        <v>0</v>
      </c>
      <c r="S21" s="454">
        <f t="shared" si="24"/>
        <v>0</v>
      </c>
      <c r="T21" s="87"/>
      <c r="U21" s="454">
        <f>+SUMIFS(O21:S21,O$8:S$8,U$11)</f>
        <v>0</v>
      </c>
      <c r="V21" s="454">
        <f>+SUMIFS(O21:S21,O$8:S$8,V$11)</f>
        <v>0</v>
      </c>
      <c r="W21" s="454">
        <f>+SUMIFS(O21:S21,O$8:S$8,W$11)</f>
        <v>0</v>
      </c>
      <c r="X21" s="87"/>
      <c r="Y21" s="454">
        <f>+M21+L21</f>
        <v>0</v>
      </c>
      <c r="Z21" s="454"/>
      <c r="AA21" s="454"/>
      <c r="AB21" s="454"/>
      <c r="AC21" s="454"/>
      <c r="AD21" s="87"/>
      <c r="AE21" s="860"/>
      <c r="AH21" s="1138">
        <f>SUM(AK21:AO21)</f>
        <v>0</v>
      </c>
      <c r="AI21" s="1141">
        <f>SUM(AK21:AL21)</f>
        <v>0</v>
      </c>
      <c r="AJ21" s="1141">
        <f>+AM21</f>
        <v>0</v>
      </c>
      <c r="AK21" s="454"/>
      <c r="AL21" s="454"/>
      <c r="AM21" s="454"/>
      <c r="AN21" s="454"/>
      <c r="AO21" s="454"/>
    </row>
    <row r="22" spans="1:41" ht="25.5" customHeight="1" x14ac:dyDescent="0.3">
      <c r="A22" s="130"/>
      <c r="B22" s="1143" t="s">
        <v>87</v>
      </c>
      <c r="C22" s="167" t="s">
        <v>29</v>
      </c>
      <c r="D22" s="167"/>
      <c r="E22" s="7"/>
      <c r="F22" s="1123">
        <f>+SUM(AI22)</f>
        <v>0</v>
      </c>
      <c r="G22" s="87"/>
      <c r="H22" s="456"/>
      <c r="I22" s="1123">
        <f>+AJ22</f>
        <v>0</v>
      </c>
      <c r="J22" s="87"/>
      <c r="K22" s="456">
        <f>+I22+AE22</f>
        <v>0</v>
      </c>
      <c r="L22" s="461">
        <f>+K22+F22</f>
        <v>0</v>
      </c>
      <c r="M22" s="1123">
        <f>+D22-L22</f>
        <v>0</v>
      </c>
      <c r="N22" s="87"/>
      <c r="O22" s="455">
        <f>+O$20*$AC22</f>
        <v>0</v>
      </c>
      <c r="P22" s="455">
        <f t="shared" si="24"/>
        <v>0</v>
      </c>
      <c r="Q22" s="455">
        <f t="shared" si="24"/>
        <v>0</v>
      </c>
      <c r="R22" s="455">
        <f t="shared" si="24"/>
        <v>0</v>
      </c>
      <c r="S22" s="455">
        <f t="shared" si="24"/>
        <v>0</v>
      </c>
      <c r="T22" s="87"/>
      <c r="U22" s="456">
        <f>+SUMIFS(O22:S22,O$8:S$8,U$11)</f>
        <v>0</v>
      </c>
      <c r="V22" s="456">
        <f>+SUMIFS(O22:S22,O$8:S$8,V$11)</f>
        <v>0</v>
      </c>
      <c r="W22" s="456">
        <f>+SUMIFS(O22:S22,O$8:S$8,W$11)</f>
        <v>0</v>
      </c>
      <c r="X22" s="87"/>
      <c r="Y22" s="456">
        <f>+M22+L22</f>
        <v>0</v>
      </c>
      <c r="Z22" s="456"/>
      <c r="AA22" s="456"/>
      <c r="AB22" s="456"/>
      <c r="AC22" s="456"/>
      <c r="AD22" s="87"/>
      <c r="AE22" s="860"/>
      <c r="AH22" s="455">
        <f>SUM(AK22:AO22)</f>
        <v>0</v>
      </c>
      <c r="AI22" s="455">
        <f>SUM(AK22:AL22)</f>
        <v>0</v>
      </c>
      <c r="AJ22" s="455">
        <f>+AM22</f>
        <v>0</v>
      </c>
      <c r="AK22" s="456"/>
      <c r="AL22" s="456"/>
      <c r="AM22" s="456"/>
      <c r="AN22" s="456"/>
      <c r="AO22" s="456"/>
    </row>
    <row r="23" spans="1:41" ht="21" customHeight="1" x14ac:dyDescent="0.3">
      <c r="A23" s="168" t="s">
        <v>29</v>
      </c>
      <c r="B23" s="127" t="str">
        <f>+"TOTAL FASE  "&amp;A20&amp;" : "&amp;B20</f>
        <v xml:space="preserve">TOTAL FASE  300 : CONCRETO </v>
      </c>
      <c r="C23" s="101" t="s">
        <v>29</v>
      </c>
      <c r="D23" s="453">
        <f t="shared" ref="D23" si="25">SUM(D21:D22)</f>
        <v>0</v>
      </c>
      <c r="E23" s="7"/>
      <c r="F23" s="453">
        <f t="shared" ref="F23" si="26">SUM(F21:F22)</f>
        <v>0</v>
      </c>
      <c r="G23" s="87"/>
      <c r="H23" s="453">
        <f t="shared" ref="H23:I23" si="27">SUM(H21:H22)</f>
        <v>0</v>
      </c>
      <c r="I23" s="453">
        <f t="shared" si="27"/>
        <v>0</v>
      </c>
      <c r="J23" s="87"/>
      <c r="K23" s="453">
        <f t="shared" ref="K23:M23" si="28">SUM(K21:K22)</f>
        <v>0</v>
      </c>
      <c r="L23" s="453">
        <f t="shared" si="28"/>
        <v>0</v>
      </c>
      <c r="M23" s="453">
        <f t="shared" si="28"/>
        <v>0</v>
      </c>
      <c r="N23" s="87"/>
      <c r="O23" s="453">
        <f t="shared" ref="O23:S23" si="29">SUM(O21:O22)</f>
        <v>0</v>
      </c>
      <c r="P23" s="453">
        <f t="shared" si="29"/>
        <v>0</v>
      </c>
      <c r="Q23" s="453">
        <f t="shared" si="29"/>
        <v>0</v>
      </c>
      <c r="R23" s="453">
        <f t="shared" si="29"/>
        <v>0</v>
      </c>
      <c r="S23" s="453">
        <f t="shared" si="29"/>
        <v>0</v>
      </c>
      <c r="T23" s="87"/>
      <c r="U23" s="453">
        <f t="shared" ref="U23:W23" si="30">SUM(U21:U22)</f>
        <v>0</v>
      </c>
      <c r="V23" s="453">
        <f t="shared" si="30"/>
        <v>0</v>
      </c>
      <c r="W23" s="453">
        <f t="shared" si="30"/>
        <v>0</v>
      </c>
      <c r="X23" s="87"/>
      <c r="Y23" s="453">
        <f t="shared" ref="Y23:AC23" si="31">SUM(Y21:Y22)</f>
        <v>0</v>
      </c>
      <c r="Z23" s="453">
        <f t="shared" si="31"/>
        <v>0</v>
      </c>
      <c r="AA23" s="453">
        <f t="shared" si="31"/>
        <v>0</v>
      </c>
      <c r="AB23" s="453">
        <f t="shared" si="31"/>
        <v>0</v>
      </c>
      <c r="AC23" s="453">
        <f t="shared" si="31"/>
        <v>0</v>
      </c>
      <c r="AD23" s="87"/>
      <c r="AE23" s="453">
        <f t="shared" ref="AE23" si="32">SUM(AE21:AE22)</f>
        <v>0</v>
      </c>
      <c r="AH23" s="453">
        <f t="shared" ref="AH23:AN23" si="33">SUM(AH21:AH22)</f>
        <v>0</v>
      </c>
      <c r="AI23" s="453">
        <f t="shared" si="33"/>
        <v>0</v>
      </c>
      <c r="AJ23" s="453">
        <f t="shared" si="33"/>
        <v>0</v>
      </c>
      <c r="AK23" s="453">
        <f t="shared" si="33"/>
        <v>0</v>
      </c>
      <c r="AL23" s="453">
        <f t="shared" si="33"/>
        <v>0</v>
      </c>
      <c r="AM23" s="453">
        <f t="shared" si="33"/>
        <v>0</v>
      </c>
      <c r="AN23" s="453">
        <f t="shared" si="33"/>
        <v>0</v>
      </c>
      <c r="AO23" s="453">
        <f t="shared" ref="AO23" si="34">SUM(AO21:AO22)</f>
        <v>0</v>
      </c>
    </row>
    <row r="24" spans="1:41" ht="26.25" customHeight="1" x14ac:dyDescent="0.3">
      <c r="A24" s="98">
        <f>+MO!A48</f>
        <v>400</v>
      </c>
      <c r="B24" s="102" t="str">
        <f>+MO!B48</f>
        <v xml:space="preserve">ENCOFRADO </v>
      </c>
      <c r="F24" s="87"/>
      <c r="G24" s="87"/>
      <c r="H24" s="87"/>
      <c r="I24" s="87"/>
      <c r="J24" s="87"/>
      <c r="K24" s="87"/>
      <c r="L24" s="87"/>
      <c r="M24" s="87"/>
      <c r="N24" s="87"/>
      <c r="O24" s="87"/>
      <c r="P24" s="87"/>
      <c r="Q24" s="87"/>
      <c r="R24" s="87"/>
      <c r="S24" s="87"/>
      <c r="T24" s="87"/>
      <c r="U24" s="87"/>
      <c r="V24" s="87"/>
      <c r="W24" s="87"/>
      <c r="X24" s="87"/>
      <c r="Y24" s="87"/>
      <c r="Z24" s="87"/>
      <c r="AA24" s="87"/>
      <c r="AB24" s="87"/>
      <c r="AC24" s="87"/>
      <c r="AD24" s="87"/>
      <c r="AE24" s="919"/>
      <c r="AH24" s="87"/>
      <c r="AI24" s="87"/>
      <c r="AJ24" s="87"/>
      <c r="AK24" s="87"/>
      <c r="AL24" s="87"/>
      <c r="AM24" s="87"/>
      <c r="AN24" s="87"/>
      <c r="AO24" s="87"/>
    </row>
    <row r="25" spans="1:41" s="1010" customFormat="1" ht="25.5" customHeight="1" x14ac:dyDescent="0.3">
      <c r="A25" s="1008"/>
      <c r="B25" s="1135" t="s">
        <v>86</v>
      </c>
      <c r="C25" s="1136" t="s">
        <v>29</v>
      </c>
      <c r="D25" s="1136"/>
      <c r="E25" s="1137"/>
      <c r="F25" s="1138">
        <f>+SUM(AK25:AO25)</f>
        <v>0</v>
      </c>
      <c r="G25" s="499"/>
      <c r="H25" s="1138"/>
      <c r="I25" s="1139">
        <f>+AJ25</f>
        <v>0</v>
      </c>
      <c r="J25" s="499"/>
      <c r="K25" s="1138">
        <f>+I25+AE25</f>
        <v>0</v>
      </c>
      <c r="L25" s="1139">
        <f>+K25+F25</f>
        <v>0</v>
      </c>
      <c r="M25" s="1139">
        <f>+D25-L25</f>
        <v>0</v>
      </c>
      <c r="N25" s="499"/>
      <c r="O25" s="454">
        <f>+O$24*$AC25</f>
        <v>0</v>
      </c>
      <c r="P25" s="454">
        <f t="shared" ref="P25:S26" si="35">+P$24*$AC25</f>
        <v>0</v>
      </c>
      <c r="Q25" s="454">
        <f t="shared" si="35"/>
        <v>0</v>
      </c>
      <c r="R25" s="454">
        <f t="shared" si="35"/>
        <v>0</v>
      </c>
      <c r="S25" s="454">
        <f t="shared" si="35"/>
        <v>0</v>
      </c>
      <c r="T25" s="499"/>
      <c r="U25" s="1138">
        <f>+SUMIFS(O25:S25,O$8:S$8,U$11)</f>
        <v>0</v>
      </c>
      <c r="V25" s="1138">
        <f>+SUMIFS(O25:S25,O$8:S$8,V$11)</f>
        <v>0</v>
      </c>
      <c r="W25" s="1138">
        <f>+SUMIFS(O25:S25,O$8:S$8,W$11)</f>
        <v>0</v>
      </c>
      <c r="X25" s="499"/>
      <c r="Y25" s="1138">
        <f>+M25+L25</f>
        <v>0</v>
      </c>
      <c r="Z25" s="1138"/>
      <c r="AA25" s="1138"/>
      <c r="AB25" s="1138"/>
      <c r="AC25" s="1138"/>
      <c r="AD25" s="499"/>
      <c r="AE25" s="455"/>
      <c r="AF25" s="1140"/>
      <c r="AH25" s="1138">
        <f>SUM(AK25:AO25)</f>
        <v>0</v>
      </c>
      <c r="AI25" s="1141">
        <f>SUM(AK25:AL25)</f>
        <v>0</v>
      </c>
      <c r="AJ25" s="1141">
        <f>+AM25</f>
        <v>0</v>
      </c>
      <c r="AK25" s="1138"/>
      <c r="AL25" s="1138"/>
      <c r="AM25" s="1138"/>
      <c r="AN25" s="1138"/>
      <c r="AO25" s="1138"/>
    </row>
    <row r="26" spans="1:41" s="1010" customFormat="1" ht="25.5" customHeight="1" x14ac:dyDescent="0.3">
      <c r="A26" s="1142"/>
      <c r="B26" s="1143" t="s">
        <v>87</v>
      </c>
      <c r="C26" s="1144" t="s">
        <v>29</v>
      </c>
      <c r="D26" s="1144"/>
      <c r="E26" s="1137"/>
      <c r="F26" s="479">
        <f>+SUM(AK26:AO26)</f>
        <v>0</v>
      </c>
      <c r="G26" s="499"/>
      <c r="H26" s="479"/>
      <c r="I26" s="1123">
        <f>+AJ26</f>
        <v>0</v>
      </c>
      <c r="J26" s="499"/>
      <c r="K26" s="479">
        <f>+I26+AE26</f>
        <v>0</v>
      </c>
      <c r="L26" s="505">
        <f>+K26+F26</f>
        <v>0</v>
      </c>
      <c r="M26" s="1123">
        <f>+D26-L26</f>
        <v>0</v>
      </c>
      <c r="N26" s="499"/>
      <c r="O26" s="455">
        <f>+O$24*$AC26</f>
        <v>0</v>
      </c>
      <c r="P26" s="455">
        <f t="shared" si="35"/>
        <v>0</v>
      </c>
      <c r="Q26" s="455">
        <f t="shared" si="35"/>
        <v>0</v>
      </c>
      <c r="R26" s="455">
        <f t="shared" si="35"/>
        <v>0</v>
      </c>
      <c r="S26" s="455">
        <f t="shared" si="35"/>
        <v>0</v>
      </c>
      <c r="T26" s="499"/>
      <c r="U26" s="479">
        <f>+SUMIFS(O26:S26,O$8:S$8,U$11)</f>
        <v>0</v>
      </c>
      <c r="V26" s="479">
        <f>+SUMIFS(O26:S26,O$8:S$8,V$11)</f>
        <v>0</v>
      </c>
      <c r="W26" s="479">
        <f>+SUMIFS(O26:S26,O$8:S$8,W$11)</f>
        <v>0</v>
      </c>
      <c r="X26" s="499"/>
      <c r="Y26" s="479">
        <f>+M26+L26</f>
        <v>0</v>
      </c>
      <c r="Z26" s="479"/>
      <c r="AA26" s="479"/>
      <c r="AB26" s="479"/>
      <c r="AC26" s="479"/>
      <c r="AD26" s="499"/>
      <c r="AE26" s="455"/>
      <c r="AF26" s="1140"/>
      <c r="AH26" s="455">
        <f>SUM(AK26:AO26)</f>
        <v>0</v>
      </c>
      <c r="AI26" s="455">
        <f>SUM(AK26:AL26)</f>
        <v>0</v>
      </c>
      <c r="AJ26" s="455">
        <f>+AM26</f>
        <v>0</v>
      </c>
      <c r="AK26" s="479"/>
      <c r="AL26" s="479"/>
      <c r="AM26" s="479"/>
      <c r="AN26" s="479"/>
      <c r="AO26" s="479"/>
    </row>
    <row r="27" spans="1:41" ht="21" customHeight="1" x14ac:dyDescent="0.3">
      <c r="A27" s="168" t="s">
        <v>29</v>
      </c>
      <c r="B27" s="127" t="str">
        <f>+"TOTAL FASE  "&amp;A24&amp;" : "&amp;B24</f>
        <v xml:space="preserve">TOTAL FASE  400 : ENCOFRADO </v>
      </c>
      <c r="C27" s="101" t="s">
        <v>29</v>
      </c>
      <c r="D27" s="453">
        <f t="shared" ref="D27" si="36">SUM(D25:D26)</f>
        <v>0</v>
      </c>
      <c r="E27" s="7"/>
      <c r="F27" s="453">
        <f t="shared" ref="F27" si="37">SUM(F25:F26)</f>
        <v>0</v>
      </c>
      <c r="G27" s="87"/>
      <c r="H27" s="453">
        <f t="shared" ref="H27:I27" si="38">SUM(H25:H26)</f>
        <v>0</v>
      </c>
      <c r="I27" s="453">
        <f t="shared" si="38"/>
        <v>0</v>
      </c>
      <c r="J27" s="87"/>
      <c r="K27" s="453">
        <f t="shared" ref="K27:M27" si="39">SUM(K25:K26)</f>
        <v>0</v>
      </c>
      <c r="L27" s="453">
        <f t="shared" si="39"/>
        <v>0</v>
      </c>
      <c r="M27" s="453">
        <f t="shared" si="39"/>
        <v>0</v>
      </c>
      <c r="N27" s="87"/>
      <c r="O27" s="453">
        <f t="shared" ref="O27:S27" si="40">SUM(O25:O26)</f>
        <v>0</v>
      </c>
      <c r="P27" s="453">
        <f t="shared" si="40"/>
        <v>0</v>
      </c>
      <c r="Q27" s="453">
        <f t="shared" si="40"/>
        <v>0</v>
      </c>
      <c r="R27" s="453">
        <f t="shared" si="40"/>
        <v>0</v>
      </c>
      <c r="S27" s="453">
        <f t="shared" si="40"/>
        <v>0</v>
      </c>
      <c r="T27" s="87"/>
      <c r="U27" s="453">
        <f t="shared" ref="U27:W27" si="41">SUM(U25:U26)</f>
        <v>0</v>
      </c>
      <c r="V27" s="453">
        <f t="shared" si="41"/>
        <v>0</v>
      </c>
      <c r="W27" s="453">
        <f t="shared" si="41"/>
        <v>0</v>
      </c>
      <c r="X27" s="87"/>
      <c r="Y27" s="453">
        <f t="shared" ref="Y27:AC27" si="42">SUM(Y25:Y26)</f>
        <v>0</v>
      </c>
      <c r="Z27" s="453">
        <f t="shared" si="42"/>
        <v>0</v>
      </c>
      <c r="AA27" s="453">
        <f t="shared" si="42"/>
        <v>0</v>
      </c>
      <c r="AB27" s="453">
        <f t="shared" si="42"/>
        <v>0</v>
      </c>
      <c r="AC27" s="453">
        <f t="shared" si="42"/>
        <v>0</v>
      </c>
      <c r="AD27" s="87"/>
      <c r="AE27" s="453">
        <f t="shared" ref="AE27" si="43">SUM(AE25:AE26)</f>
        <v>0</v>
      </c>
      <c r="AH27" s="453">
        <f t="shared" ref="AH27:AN27" si="44">SUM(AH25:AH26)</f>
        <v>0</v>
      </c>
      <c r="AI27" s="453">
        <f t="shared" si="44"/>
        <v>0</v>
      </c>
      <c r="AJ27" s="453">
        <f t="shared" si="44"/>
        <v>0</v>
      </c>
      <c r="AK27" s="453">
        <f t="shared" si="44"/>
        <v>0</v>
      </c>
      <c r="AL27" s="453">
        <f t="shared" si="44"/>
        <v>0</v>
      </c>
      <c r="AM27" s="453">
        <f t="shared" si="44"/>
        <v>0</v>
      </c>
      <c r="AN27" s="453">
        <f t="shared" si="44"/>
        <v>0</v>
      </c>
      <c r="AO27" s="453">
        <f t="shared" ref="AO27" si="45">SUM(AO25:AO26)</f>
        <v>0</v>
      </c>
    </row>
    <row r="28" spans="1:41" ht="26.25" customHeight="1" x14ac:dyDescent="0.3">
      <c r="A28" s="98">
        <f>+MO!A60</f>
        <v>500</v>
      </c>
      <c r="B28" s="102" t="str">
        <f>+MO!B60</f>
        <v xml:space="preserve">ACERO </v>
      </c>
      <c r="F28" s="87"/>
      <c r="G28" s="87"/>
      <c r="H28" s="87">
        <v>0</v>
      </c>
      <c r="I28" s="87"/>
      <c r="J28" s="87"/>
      <c r="K28" s="87"/>
      <c r="L28" s="87"/>
      <c r="M28" s="87"/>
      <c r="N28" s="87"/>
      <c r="O28" s="174">
        <f>+SER!O36</f>
        <v>0</v>
      </c>
      <c r="P28" s="174">
        <f>+SER!P36</f>
        <v>0</v>
      </c>
      <c r="Q28" s="174">
        <f>+SER!Q36</f>
        <v>0</v>
      </c>
      <c r="R28" s="174">
        <f>+SER!R36</f>
        <v>0</v>
      </c>
      <c r="S28" s="174">
        <f>+SER!S36</f>
        <v>0</v>
      </c>
      <c r="T28" s="87"/>
      <c r="U28" s="87"/>
      <c r="V28" s="87"/>
      <c r="W28" s="87"/>
      <c r="X28" s="87"/>
      <c r="Y28" s="87"/>
      <c r="Z28" s="87"/>
      <c r="AA28" s="87"/>
      <c r="AB28" s="87"/>
      <c r="AC28" s="87"/>
      <c r="AD28" s="87"/>
      <c r="AE28" s="919"/>
      <c r="AH28" s="87"/>
      <c r="AI28" s="87"/>
      <c r="AJ28" s="87"/>
      <c r="AK28" s="87"/>
      <c r="AL28" s="87"/>
      <c r="AM28" s="87"/>
      <c r="AN28" s="87"/>
      <c r="AO28" s="87"/>
    </row>
    <row r="29" spans="1:41" ht="25.5" customHeight="1" x14ac:dyDescent="0.3">
      <c r="A29" s="134"/>
      <c r="B29" s="1135" t="s">
        <v>86</v>
      </c>
      <c r="C29" s="135" t="s">
        <v>29</v>
      </c>
      <c r="D29" s="135"/>
      <c r="E29" s="7"/>
      <c r="F29" s="1138">
        <f>+SUM(AI29)</f>
        <v>0</v>
      </c>
      <c r="G29" s="87"/>
      <c r="H29" s="454">
        <v>0</v>
      </c>
      <c r="I29" s="1139">
        <f>+AJ29</f>
        <v>0</v>
      </c>
      <c r="J29" s="87"/>
      <c r="K29" s="454">
        <f>+I29+AE29</f>
        <v>0</v>
      </c>
      <c r="L29" s="464">
        <f>+K29+F29</f>
        <v>0</v>
      </c>
      <c r="M29" s="1139">
        <f>+D29-L29</f>
        <v>0</v>
      </c>
      <c r="N29" s="87"/>
      <c r="O29" s="454">
        <f t="shared" ref="O29:S30" si="46">+O$28*$AC29</f>
        <v>0</v>
      </c>
      <c r="P29" s="454">
        <f t="shared" si="46"/>
        <v>0</v>
      </c>
      <c r="Q29" s="454">
        <f t="shared" si="46"/>
        <v>0</v>
      </c>
      <c r="R29" s="454">
        <f t="shared" si="46"/>
        <v>0</v>
      </c>
      <c r="S29" s="454">
        <f t="shared" si="46"/>
        <v>0</v>
      </c>
      <c r="T29" s="87"/>
      <c r="U29" s="454">
        <f>+SUMIFS(O29:S29,O$8:S$8,U$11)</f>
        <v>0</v>
      </c>
      <c r="V29" s="454">
        <f>+SUMIFS(O29:S29,O$8:S$8,V$11)</f>
        <v>0</v>
      </c>
      <c r="W29" s="454">
        <f>+SUMIFS(O29:S29,O$8:S$8,W$11)</f>
        <v>0</v>
      </c>
      <c r="X29" s="87"/>
      <c r="Y29" s="454">
        <f>+M29+L29</f>
        <v>0</v>
      </c>
      <c r="Z29" s="454"/>
      <c r="AA29" s="454"/>
      <c r="AB29" s="454"/>
      <c r="AC29" s="454"/>
      <c r="AD29" s="87"/>
      <c r="AE29" s="860"/>
      <c r="AH29" s="1138">
        <f>SUM(AK29:AO29)</f>
        <v>0</v>
      </c>
      <c r="AI29" s="1141">
        <f>SUM(AK29:AL29)</f>
        <v>0</v>
      </c>
      <c r="AJ29" s="1141">
        <f>+AM29</f>
        <v>0</v>
      </c>
      <c r="AK29" s="454"/>
      <c r="AL29" s="454"/>
      <c r="AM29" s="454"/>
      <c r="AN29" s="454"/>
      <c r="AO29" s="454"/>
    </row>
    <row r="30" spans="1:41" ht="25.5" customHeight="1" x14ac:dyDescent="0.3">
      <c r="A30" s="130"/>
      <c r="B30" s="1143" t="s">
        <v>87</v>
      </c>
      <c r="C30" s="167" t="s">
        <v>29</v>
      </c>
      <c r="D30" s="167"/>
      <c r="E30" s="7"/>
      <c r="F30" s="1123">
        <f>+SUM(AI30)</f>
        <v>0</v>
      </c>
      <c r="G30" s="87"/>
      <c r="H30" s="455"/>
      <c r="I30" s="1123">
        <f>+AJ30</f>
        <v>0</v>
      </c>
      <c r="J30" s="87"/>
      <c r="K30" s="460">
        <f>+I30+AE30</f>
        <v>0</v>
      </c>
      <c r="L30" s="459">
        <f>+K30+F30</f>
        <v>0</v>
      </c>
      <c r="M30" s="1123">
        <f>+D30-L30</f>
        <v>0</v>
      </c>
      <c r="N30" s="87"/>
      <c r="O30" s="455">
        <f t="shared" si="46"/>
        <v>0</v>
      </c>
      <c r="P30" s="460">
        <f t="shared" si="46"/>
        <v>0</v>
      </c>
      <c r="Q30" s="460">
        <f t="shared" si="46"/>
        <v>0</v>
      </c>
      <c r="R30" s="460">
        <f t="shared" si="46"/>
        <v>0</v>
      </c>
      <c r="S30" s="460">
        <f t="shared" si="46"/>
        <v>0</v>
      </c>
      <c r="T30" s="87"/>
      <c r="U30" s="456">
        <f>+SUMIFS(O30:S30,O$8:S$8,U$11)</f>
        <v>0</v>
      </c>
      <c r="V30" s="456">
        <f>+SUMIFS(O30:S30,O$8:S$8,V$11)</f>
        <v>0</v>
      </c>
      <c r="W30" s="456">
        <f>+SUMIFS(O30:S30,O$8:S$8,W$11)</f>
        <v>0</v>
      </c>
      <c r="X30" s="87"/>
      <c r="Y30" s="456">
        <f>+M30+L30</f>
        <v>0</v>
      </c>
      <c r="Z30" s="460"/>
      <c r="AA30" s="460"/>
      <c r="AB30" s="460"/>
      <c r="AC30" s="460"/>
      <c r="AD30" s="87"/>
      <c r="AE30" s="860"/>
      <c r="AH30" s="455">
        <f>SUM(AK30:AO30)</f>
        <v>0</v>
      </c>
      <c r="AI30" s="455">
        <f>SUM(AK30:AL30)</f>
        <v>0</v>
      </c>
      <c r="AJ30" s="455">
        <f>+AM30</f>
        <v>0</v>
      </c>
      <c r="AK30" s="455"/>
      <c r="AL30" s="455"/>
      <c r="AM30" s="455"/>
      <c r="AN30" s="455"/>
      <c r="AO30" s="455"/>
    </row>
    <row r="31" spans="1:41" ht="21" customHeight="1" x14ac:dyDescent="0.3">
      <c r="A31" s="168" t="s">
        <v>29</v>
      </c>
      <c r="B31" s="127" t="str">
        <f>+"TOTAL FASE  "&amp;A28&amp;" : "&amp;B28</f>
        <v xml:space="preserve">TOTAL FASE  500 : ACERO </v>
      </c>
      <c r="C31" s="101" t="s">
        <v>29</v>
      </c>
      <c r="D31" s="453">
        <f t="shared" ref="D31" si="47">SUM(D29:D30)</f>
        <v>0</v>
      </c>
      <c r="E31" s="7"/>
      <c r="F31" s="453">
        <f t="shared" ref="F31" si="48">SUM(F29:F30)</f>
        <v>0</v>
      </c>
      <c r="G31" s="87"/>
      <c r="H31" s="453">
        <f t="shared" ref="H31:I31" si="49">SUM(H29:H30)</f>
        <v>0</v>
      </c>
      <c r="I31" s="453">
        <f t="shared" si="49"/>
        <v>0</v>
      </c>
      <c r="J31" s="87"/>
      <c r="K31" s="453">
        <f t="shared" ref="K31:M31" si="50">SUM(K29:K30)</f>
        <v>0</v>
      </c>
      <c r="L31" s="453">
        <f t="shared" si="50"/>
        <v>0</v>
      </c>
      <c r="M31" s="453">
        <f t="shared" si="50"/>
        <v>0</v>
      </c>
      <c r="N31" s="87"/>
      <c r="O31" s="453">
        <f t="shared" ref="O31:S31" si="51">SUM(O29:O30)</f>
        <v>0</v>
      </c>
      <c r="P31" s="453">
        <f t="shared" si="51"/>
        <v>0</v>
      </c>
      <c r="Q31" s="453">
        <f t="shared" si="51"/>
        <v>0</v>
      </c>
      <c r="R31" s="453">
        <f t="shared" si="51"/>
        <v>0</v>
      </c>
      <c r="S31" s="453">
        <f t="shared" si="51"/>
        <v>0</v>
      </c>
      <c r="T31" s="87"/>
      <c r="U31" s="453">
        <f t="shared" ref="U31:W31" si="52">SUM(U29:U30)</f>
        <v>0</v>
      </c>
      <c r="V31" s="453">
        <f t="shared" si="52"/>
        <v>0</v>
      </c>
      <c r="W31" s="453">
        <f t="shared" si="52"/>
        <v>0</v>
      </c>
      <c r="X31" s="87"/>
      <c r="Y31" s="453">
        <f t="shared" ref="Y31:AC31" si="53">SUM(Y29:Y30)</f>
        <v>0</v>
      </c>
      <c r="Z31" s="453">
        <f t="shared" si="53"/>
        <v>0</v>
      </c>
      <c r="AA31" s="453">
        <f t="shared" si="53"/>
        <v>0</v>
      </c>
      <c r="AB31" s="453">
        <f t="shared" si="53"/>
        <v>0</v>
      </c>
      <c r="AC31" s="453">
        <f t="shared" si="53"/>
        <v>0</v>
      </c>
      <c r="AD31" s="87"/>
      <c r="AE31" s="453">
        <f t="shared" ref="AE31" si="54">SUM(AE29:AE30)</f>
        <v>0</v>
      </c>
      <c r="AF31" s="106">
        <f>+Y31-Z31</f>
        <v>0</v>
      </c>
      <c r="AH31" s="453">
        <f t="shared" ref="AH31:AN31" si="55">SUM(AH29:AH30)</f>
        <v>0</v>
      </c>
      <c r="AI31" s="453">
        <f t="shared" si="55"/>
        <v>0</v>
      </c>
      <c r="AJ31" s="453">
        <f t="shared" si="55"/>
        <v>0</v>
      </c>
      <c r="AK31" s="453">
        <f t="shared" si="55"/>
        <v>0</v>
      </c>
      <c r="AL31" s="453">
        <f t="shared" si="55"/>
        <v>0</v>
      </c>
      <c r="AM31" s="453">
        <f t="shared" si="55"/>
        <v>0</v>
      </c>
      <c r="AN31" s="453">
        <f t="shared" si="55"/>
        <v>0</v>
      </c>
      <c r="AO31" s="453">
        <f t="shared" ref="AO31" si="56">SUM(AO29:AO30)</f>
        <v>0</v>
      </c>
    </row>
    <row r="32" spans="1:41" ht="26.25" customHeight="1" x14ac:dyDescent="0.3">
      <c r="A32" s="98" t="e">
        <f>+MO!#REF!</f>
        <v>#REF!</v>
      </c>
      <c r="B32" s="102" t="e">
        <f>+MO!#REF!</f>
        <v>#REF!</v>
      </c>
      <c r="F32" s="87"/>
      <c r="G32" s="87"/>
      <c r="H32" s="87"/>
      <c r="I32" s="87"/>
      <c r="J32" s="87"/>
      <c r="K32" s="87"/>
      <c r="L32" s="87"/>
      <c r="M32" s="87"/>
      <c r="N32" s="87"/>
      <c r="O32" s="87"/>
      <c r="P32" s="87"/>
      <c r="Q32" s="87"/>
      <c r="R32" s="87"/>
      <c r="S32" s="87"/>
      <c r="T32" s="87"/>
      <c r="U32" s="87"/>
      <c r="V32" s="87"/>
      <c r="W32" s="87"/>
      <c r="X32" s="87"/>
      <c r="Y32" s="87"/>
      <c r="Z32" s="87"/>
      <c r="AA32" s="87"/>
      <c r="AB32" s="87"/>
      <c r="AC32" s="87"/>
      <c r="AD32" s="87"/>
      <c r="AE32" s="919"/>
      <c r="AH32" s="87"/>
      <c r="AI32" s="87"/>
      <c r="AJ32" s="87"/>
      <c r="AK32" s="87"/>
      <c r="AL32" s="87"/>
      <c r="AM32" s="87"/>
      <c r="AN32" s="87"/>
      <c r="AO32" s="87"/>
    </row>
    <row r="33" spans="1:41" ht="25.5" customHeight="1" x14ac:dyDescent="0.3">
      <c r="A33" s="134"/>
      <c r="B33" s="1135" t="s">
        <v>86</v>
      </c>
      <c r="C33" s="135" t="s">
        <v>29</v>
      </c>
      <c r="D33" s="135"/>
      <c r="E33" s="7"/>
      <c r="F33" s="1138">
        <f>+SUM(AI33)</f>
        <v>0</v>
      </c>
      <c r="G33" s="87"/>
      <c r="H33" s="454"/>
      <c r="I33" s="1139">
        <f>+AJ33</f>
        <v>0</v>
      </c>
      <c r="J33" s="87"/>
      <c r="K33" s="454">
        <f>+I33+AE33</f>
        <v>0</v>
      </c>
      <c r="L33" s="464">
        <f>+K33+F33</f>
        <v>0</v>
      </c>
      <c r="M33" s="1139">
        <f>+D33-L33</f>
        <v>0</v>
      </c>
      <c r="N33" s="87"/>
      <c r="O33" s="454">
        <f>+O$32*$AC33</f>
        <v>0</v>
      </c>
      <c r="P33" s="454">
        <f t="shared" ref="P33:S34" si="57">+P$32*$AC33</f>
        <v>0</v>
      </c>
      <c r="Q33" s="454">
        <f t="shared" si="57"/>
        <v>0</v>
      </c>
      <c r="R33" s="454">
        <f t="shared" si="57"/>
        <v>0</v>
      </c>
      <c r="S33" s="454">
        <f t="shared" si="57"/>
        <v>0</v>
      </c>
      <c r="T33" s="87"/>
      <c r="U33" s="454">
        <f>+SUMIFS(O33:S33,O$8:S$8,U$11)</f>
        <v>0</v>
      </c>
      <c r="V33" s="454">
        <f>+SUMIFS(O33:S33,O$8:S$8,V$11)</f>
        <v>0</v>
      </c>
      <c r="W33" s="454">
        <f>+SUMIFS(O33:S33,O$8:S$8,W$11)</f>
        <v>0</v>
      </c>
      <c r="X33" s="87"/>
      <c r="Y33" s="454">
        <f>+M33+L33</f>
        <v>0</v>
      </c>
      <c r="Z33" s="454">
        <v>0</v>
      </c>
      <c r="AA33" s="454"/>
      <c r="AB33" s="454"/>
      <c r="AC33" s="454"/>
      <c r="AD33" s="87"/>
      <c r="AE33" s="860"/>
      <c r="AH33" s="1138">
        <f>SUM(AK33:AO33)</f>
        <v>0</v>
      </c>
      <c r="AI33" s="1141">
        <f>SUM(AK33:AL33)</f>
        <v>0</v>
      </c>
      <c r="AJ33" s="1141">
        <f>+AM33</f>
        <v>0</v>
      </c>
      <c r="AK33" s="454"/>
      <c r="AL33" s="454"/>
      <c r="AM33" s="454"/>
      <c r="AN33" s="454"/>
      <c r="AO33" s="454"/>
    </row>
    <row r="34" spans="1:41" ht="25.5" customHeight="1" x14ac:dyDescent="0.3">
      <c r="A34" s="130"/>
      <c r="B34" s="1143" t="s">
        <v>87</v>
      </c>
      <c r="C34" s="167" t="s">
        <v>29</v>
      </c>
      <c r="D34" s="167"/>
      <c r="E34" s="7"/>
      <c r="F34" s="1123">
        <f>+SUM(AI34)</f>
        <v>0</v>
      </c>
      <c r="G34" s="87"/>
      <c r="H34" s="456"/>
      <c r="I34" s="1123">
        <f>+AJ34</f>
        <v>0</v>
      </c>
      <c r="J34" s="87"/>
      <c r="K34" s="456">
        <f>+I34+AE34</f>
        <v>0</v>
      </c>
      <c r="L34" s="461">
        <f>+K34+F34</f>
        <v>0</v>
      </c>
      <c r="M34" s="1123">
        <f>+D34-L34</f>
        <v>0</v>
      </c>
      <c r="N34" s="87"/>
      <c r="O34" s="455">
        <f>+O$32*$AC34</f>
        <v>0</v>
      </c>
      <c r="P34" s="455">
        <f t="shared" si="57"/>
        <v>0</v>
      </c>
      <c r="Q34" s="455">
        <f t="shared" si="57"/>
        <v>0</v>
      </c>
      <c r="R34" s="455">
        <f t="shared" si="57"/>
        <v>0</v>
      </c>
      <c r="S34" s="455">
        <f t="shared" si="57"/>
        <v>0</v>
      </c>
      <c r="T34" s="87"/>
      <c r="U34" s="456">
        <f>+SUMIFS(O34:S34,O$8:S$8,U$11)</f>
        <v>0</v>
      </c>
      <c r="V34" s="456">
        <f>+SUMIFS(O34:S34,O$8:S$8,V$11)</f>
        <v>0</v>
      </c>
      <c r="W34" s="456">
        <f>+SUMIFS(O34:S34,O$8:S$8,W$11)</f>
        <v>0</v>
      </c>
      <c r="X34" s="87"/>
      <c r="Y34" s="456">
        <f>+M34+L34</f>
        <v>0</v>
      </c>
      <c r="Z34" s="456">
        <v>0</v>
      </c>
      <c r="AA34" s="456"/>
      <c r="AB34" s="456"/>
      <c r="AC34" s="456"/>
      <c r="AD34" s="87"/>
      <c r="AE34" s="860"/>
      <c r="AH34" s="455">
        <f>SUM(AK34:AO34)</f>
        <v>0</v>
      </c>
      <c r="AI34" s="455">
        <f>SUM(AK34:AL34)</f>
        <v>0</v>
      </c>
      <c r="AJ34" s="455">
        <f>+AM34</f>
        <v>0</v>
      </c>
      <c r="AK34" s="456"/>
      <c r="AL34" s="456"/>
      <c r="AM34" s="456"/>
      <c r="AN34" s="456"/>
      <c r="AO34" s="456"/>
    </row>
    <row r="35" spans="1:41" ht="21" customHeight="1" x14ac:dyDescent="0.3">
      <c r="A35" s="168" t="s">
        <v>29</v>
      </c>
      <c r="B35" s="127" t="e">
        <f>+"TOTAL FASE  "&amp;A32&amp;" : "&amp;B32</f>
        <v>#REF!</v>
      </c>
      <c r="C35" s="101" t="s">
        <v>29</v>
      </c>
      <c r="D35" s="453">
        <f t="shared" ref="D35" si="58">SUM(D33:D34)</f>
        <v>0</v>
      </c>
      <c r="E35" s="7"/>
      <c r="F35" s="453">
        <f t="shared" ref="F35" si="59">SUM(F33:F34)</f>
        <v>0</v>
      </c>
      <c r="G35" s="87"/>
      <c r="H35" s="453">
        <f t="shared" ref="H35:I35" si="60">SUM(H33:H34)</f>
        <v>0</v>
      </c>
      <c r="I35" s="453">
        <f t="shared" si="60"/>
        <v>0</v>
      </c>
      <c r="J35" s="87"/>
      <c r="K35" s="453">
        <f t="shared" ref="K35:M35" si="61">SUM(K33:K34)</f>
        <v>0</v>
      </c>
      <c r="L35" s="453">
        <f t="shared" si="61"/>
        <v>0</v>
      </c>
      <c r="M35" s="453">
        <f t="shared" si="61"/>
        <v>0</v>
      </c>
      <c r="N35" s="87"/>
      <c r="O35" s="453">
        <f t="shared" ref="O35:S35" si="62">SUM(O33:O34)</f>
        <v>0</v>
      </c>
      <c r="P35" s="453">
        <f t="shared" si="62"/>
        <v>0</v>
      </c>
      <c r="Q35" s="453">
        <f t="shared" si="62"/>
        <v>0</v>
      </c>
      <c r="R35" s="453">
        <f t="shared" si="62"/>
        <v>0</v>
      </c>
      <c r="S35" s="453">
        <f t="shared" si="62"/>
        <v>0</v>
      </c>
      <c r="T35" s="87"/>
      <c r="U35" s="453">
        <f t="shared" ref="U35:W35" si="63">SUM(U33:U34)</f>
        <v>0</v>
      </c>
      <c r="V35" s="453">
        <f t="shared" si="63"/>
        <v>0</v>
      </c>
      <c r="W35" s="453">
        <f t="shared" si="63"/>
        <v>0</v>
      </c>
      <c r="X35" s="87"/>
      <c r="Y35" s="453">
        <f t="shared" ref="Y35:AC35" si="64">SUM(Y33:Y34)</f>
        <v>0</v>
      </c>
      <c r="Z35" s="453">
        <f t="shared" si="64"/>
        <v>0</v>
      </c>
      <c r="AA35" s="453">
        <f t="shared" si="64"/>
        <v>0</v>
      </c>
      <c r="AB35" s="453">
        <f t="shared" si="64"/>
        <v>0</v>
      </c>
      <c r="AC35" s="453">
        <f t="shared" si="64"/>
        <v>0</v>
      </c>
      <c r="AD35" s="87"/>
      <c r="AE35" s="453">
        <f t="shared" ref="AE35" si="65">SUM(AE33:AE34)</f>
        <v>0</v>
      </c>
      <c r="AH35" s="453">
        <f t="shared" ref="AH35:AN35" si="66">SUM(AH33:AH34)</f>
        <v>0</v>
      </c>
      <c r="AI35" s="453">
        <f t="shared" si="66"/>
        <v>0</v>
      </c>
      <c r="AJ35" s="453">
        <f t="shared" si="66"/>
        <v>0</v>
      </c>
      <c r="AK35" s="453">
        <f t="shared" si="66"/>
        <v>0</v>
      </c>
      <c r="AL35" s="453">
        <f t="shared" si="66"/>
        <v>0</v>
      </c>
      <c r="AM35" s="453">
        <f t="shared" si="66"/>
        <v>0</v>
      </c>
      <c r="AN35" s="453">
        <f t="shared" si="66"/>
        <v>0</v>
      </c>
      <c r="AO35" s="453">
        <f t="shared" ref="AO35" si="67">SUM(AO33:AO34)</f>
        <v>0</v>
      </c>
    </row>
    <row r="36" spans="1:41" ht="10.5" customHeight="1" x14ac:dyDescent="0.3">
      <c r="F36" s="87"/>
      <c r="G36" s="87"/>
      <c r="H36" s="87"/>
      <c r="I36" s="87"/>
      <c r="J36" s="87"/>
      <c r="K36" s="87"/>
      <c r="L36" s="87"/>
      <c r="M36" s="87"/>
      <c r="N36" s="87"/>
      <c r="O36" s="87"/>
      <c r="P36" s="87"/>
      <c r="Q36" s="87"/>
      <c r="R36" s="87"/>
      <c r="S36" s="87"/>
      <c r="T36" s="87"/>
      <c r="U36" s="87"/>
      <c r="V36" s="87"/>
      <c r="W36" s="87"/>
      <c r="X36" s="87"/>
      <c r="Y36" s="87"/>
      <c r="Z36" s="87"/>
      <c r="AA36" s="87"/>
      <c r="AB36" s="87"/>
      <c r="AC36" s="87"/>
      <c r="AD36" s="87"/>
      <c r="AE36" s="87"/>
      <c r="AH36" s="87"/>
      <c r="AI36" s="87"/>
      <c r="AJ36" s="87"/>
      <c r="AK36" s="87"/>
      <c r="AL36" s="87"/>
      <c r="AM36" s="87"/>
      <c r="AN36" s="87"/>
      <c r="AO36" s="87"/>
    </row>
    <row r="37" spans="1:41" s="6" customFormat="1" ht="24" customHeight="1" x14ac:dyDescent="0.3">
      <c r="A37" s="169"/>
      <c r="B37" s="170" t="s">
        <v>88</v>
      </c>
      <c r="C37" s="171" t="s">
        <v>29</v>
      </c>
      <c r="D37" s="457">
        <f t="shared" ref="D37" si="68">+SUMIF($B$13:$B$36,"Fletes Propios",D$13:D$36)</f>
        <v>0</v>
      </c>
      <c r="E37" s="148"/>
      <c r="F37" s="457">
        <f t="shared" ref="F37" si="69">+SUMIF($B$13:$B$36,"Fletes Propios",F$13:F$36)</f>
        <v>0</v>
      </c>
      <c r="G37" s="463"/>
      <c r="H37" s="457">
        <f t="shared" ref="H37:I37" si="70">+SUMIF($B$13:$B$36,"Fletes Propios",H$13:H$36)</f>
        <v>0</v>
      </c>
      <c r="I37" s="457">
        <f t="shared" si="70"/>
        <v>0</v>
      </c>
      <c r="J37" s="463"/>
      <c r="K37" s="457">
        <f t="shared" ref="K37:M37" si="71">+SUMIF($B$13:$B$36,"Fletes Propios",K$13:K$36)</f>
        <v>0</v>
      </c>
      <c r="L37" s="457">
        <f t="shared" si="71"/>
        <v>0</v>
      </c>
      <c r="M37" s="457">
        <f t="shared" si="71"/>
        <v>0</v>
      </c>
      <c r="N37" s="463"/>
      <c r="O37" s="457">
        <f t="shared" ref="O37:S37" si="72">+SUMIF($B$13:$B$36,"Fletes Propios",O$13:O$36)</f>
        <v>0</v>
      </c>
      <c r="P37" s="457">
        <f t="shared" si="72"/>
        <v>0</v>
      </c>
      <c r="Q37" s="457">
        <f t="shared" si="72"/>
        <v>0</v>
      </c>
      <c r="R37" s="457">
        <f t="shared" si="72"/>
        <v>0</v>
      </c>
      <c r="S37" s="457">
        <f t="shared" si="72"/>
        <v>0</v>
      </c>
      <c r="T37" s="463"/>
      <c r="U37" s="457">
        <f t="shared" ref="U37:W37" si="73">+SUMIF($B$13:$B$36,"Fletes Propios",U$13:U$36)</f>
        <v>0</v>
      </c>
      <c r="V37" s="457">
        <f t="shared" si="73"/>
        <v>0</v>
      </c>
      <c r="W37" s="457">
        <f t="shared" si="73"/>
        <v>0</v>
      </c>
      <c r="X37" s="463"/>
      <c r="Y37" s="457">
        <f t="shared" ref="Y37:AC37" si="74">+SUMIF($B$13:$B$36,"Fletes Propios",Y$13:Y$36)</f>
        <v>0</v>
      </c>
      <c r="Z37" s="457">
        <f t="shared" si="74"/>
        <v>0</v>
      </c>
      <c r="AA37" s="457">
        <f t="shared" si="74"/>
        <v>0</v>
      </c>
      <c r="AB37" s="457">
        <f t="shared" si="74"/>
        <v>0</v>
      </c>
      <c r="AC37" s="457">
        <f t="shared" si="74"/>
        <v>0</v>
      </c>
      <c r="AD37" s="463"/>
      <c r="AE37" s="457">
        <f t="shared" ref="AE37" si="75">+SUMIF($B$13:$B$36,"Fletes Propios",AE$13:AE$36)</f>
        <v>0</v>
      </c>
      <c r="AF37" s="163"/>
      <c r="AH37" s="457">
        <f t="shared" ref="AH37:AI37" si="76">+SUMIF($B$13:$B$36,"Fletes Propios",AH$13:AH$36)</f>
        <v>0</v>
      </c>
      <c r="AI37" s="457">
        <f t="shared" si="76"/>
        <v>0</v>
      </c>
      <c r="AJ37" s="457">
        <f>+SUMIF($B$13:$B$36,"Fletes Propios",AJ$13:AJ$36)</f>
        <v>0</v>
      </c>
      <c r="AK37" s="457">
        <f t="shared" ref="AK37:AO37" si="77">+SUMIF($B$13:$B$36,"Fletes Propios",AK$13:AK$36)</f>
        <v>0</v>
      </c>
      <c r="AL37" s="457">
        <f t="shared" si="77"/>
        <v>0</v>
      </c>
      <c r="AM37" s="457">
        <f t="shared" si="77"/>
        <v>0</v>
      </c>
      <c r="AN37" s="457">
        <f t="shared" si="77"/>
        <v>0</v>
      </c>
      <c r="AO37" s="457">
        <f t="shared" si="77"/>
        <v>0</v>
      </c>
    </row>
    <row r="38" spans="1:41" s="6" customFormat="1" ht="24" customHeight="1" x14ac:dyDescent="0.3">
      <c r="A38" s="169"/>
      <c r="B38" s="170" t="s">
        <v>89</v>
      </c>
      <c r="C38" s="171" t="s">
        <v>29</v>
      </c>
      <c r="D38" s="457">
        <f t="shared" ref="D38" si="78">+SUMIF($B$13:$B$36,"Fletes Terceros",D$13:D$36)</f>
        <v>0</v>
      </c>
      <c r="E38" s="148"/>
      <c r="F38" s="457">
        <f t="shared" ref="F38" si="79">+SUMIF($B$13:$B$36,"Fletes Terceros",F$13:F$36)</f>
        <v>0</v>
      </c>
      <c r="G38" s="463"/>
      <c r="H38" s="457">
        <f t="shared" ref="H38:I38" si="80">+SUMIF($B$13:$B$36,"Fletes Terceros",H$13:H$36)</f>
        <v>0</v>
      </c>
      <c r="I38" s="457">
        <f t="shared" si="80"/>
        <v>0</v>
      </c>
      <c r="J38" s="463"/>
      <c r="K38" s="457">
        <f t="shared" ref="K38:M38" si="81">+SUMIF($B$13:$B$36,"Fletes Terceros",K$13:K$36)</f>
        <v>0</v>
      </c>
      <c r="L38" s="457">
        <f t="shared" si="81"/>
        <v>0</v>
      </c>
      <c r="M38" s="457">
        <f t="shared" si="81"/>
        <v>0</v>
      </c>
      <c r="N38" s="463"/>
      <c r="O38" s="457">
        <f t="shared" ref="O38:S38" si="82">+SUMIF($B$13:$B$36,"Fletes Terceros",O$13:O$36)</f>
        <v>0</v>
      </c>
      <c r="P38" s="457">
        <f t="shared" si="82"/>
        <v>0</v>
      </c>
      <c r="Q38" s="457">
        <f t="shared" si="82"/>
        <v>0</v>
      </c>
      <c r="R38" s="457">
        <f t="shared" si="82"/>
        <v>0</v>
      </c>
      <c r="S38" s="457">
        <f t="shared" si="82"/>
        <v>0</v>
      </c>
      <c r="T38" s="463"/>
      <c r="U38" s="457">
        <f t="shared" ref="U38:W38" si="83">+SUMIF($B$13:$B$36,"Fletes Terceros",U$13:U$36)</f>
        <v>0</v>
      </c>
      <c r="V38" s="457">
        <f t="shared" si="83"/>
        <v>0</v>
      </c>
      <c r="W38" s="457">
        <f t="shared" si="83"/>
        <v>0</v>
      </c>
      <c r="X38" s="463"/>
      <c r="Y38" s="457">
        <f t="shared" ref="Y38:AC38" si="84">+SUMIF($B$13:$B$36,"Fletes Terceros",Y$13:Y$36)</f>
        <v>0</v>
      </c>
      <c r="Z38" s="457">
        <f t="shared" si="84"/>
        <v>0</v>
      </c>
      <c r="AA38" s="457">
        <f t="shared" si="84"/>
        <v>0</v>
      </c>
      <c r="AB38" s="457">
        <f t="shared" si="84"/>
        <v>0</v>
      </c>
      <c r="AC38" s="457">
        <f t="shared" si="84"/>
        <v>0</v>
      </c>
      <c r="AD38" s="463"/>
      <c r="AE38" s="457">
        <f t="shared" ref="AE38" si="85">+SUMIF($B$13:$B$36,"Fletes Terceros",AE$13:AE$36)</f>
        <v>0</v>
      </c>
      <c r="AF38" s="163"/>
      <c r="AH38" s="457">
        <f t="shared" ref="AH38:AI38" si="86">+SUMIF($B$13:$B$36,"Fletes Terceros",AH$13:AH$36)</f>
        <v>0</v>
      </c>
      <c r="AI38" s="457">
        <f t="shared" si="86"/>
        <v>0</v>
      </c>
      <c r="AJ38" s="457">
        <f>+SUMIF($B$13:$B$36,"Fletes Terceros",AJ$13:AJ$36)</f>
        <v>0</v>
      </c>
      <c r="AK38" s="457">
        <f t="shared" ref="AK38:AO38" si="87">+SUMIF($B$13:$B$36,"Fletes Terceros",AK$13:AK$36)</f>
        <v>0</v>
      </c>
      <c r="AL38" s="457">
        <f t="shared" si="87"/>
        <v>0</v>
      </c>
      <c r="AM38" s="457">
        <f t="shared" si="87"/>
        <v>0</v>
      </c>
      <c r="AN38" s="457">
        <f t="shared" si="87"/>
        <v>0</v>
      </c>
      <c r="AO38" s="457">
        <f t="shared" si="87"/>
        <v>0</v>
      </c>
    </row>
    <row r="39" spans="1:41" s="6" customFormat="1" ht="24" customHeight="1" x14ac:dyDescent="0.3">
      <c r="A39" s="115"/>
      <c r="B39" s="116" t="s">
        <v>90</v>
      </c>
      <c r="C39" s="140" t="s">
        <v>29</v>
      </c>
      <c r="D39" s="458">
        <f t="shared" ref="D39" si="88">+D37+D38</f>
        <v>0</v>
      </c>
      <c r="E39" s="148"/>
      <c r="F39" s="458">
        <f t="shared" ref="F39" si="89">+F37+F38</f>
        <v>0</v>
      </c>
      <c r="G39" s="463"/>
      <c r="H39" s="458">
        <f t="shared" ref="H39" si="90">+H37+H38</f>
        <v>0</v>
      </c>
      <c r="I39" s="458">
        <f t="shared" ref="I39" si="91">+I37+I38</f>
        <v>0</v>
      </c>
      <c r="J39" s="463"/>
      <c r="K39" s="458">
        <f t="shared" ref="K39" si="92">+K37+K38</f>
        <v>0</v>
      </c>
      <c r="L39" s="458">
        <f t="shared" ref="L39" si="93">+L37+L38</f>
        <v>0</v>
      </c>
      <c r="M39" s="458">
        <f t="shared" ref="M39" si="94">+M37+M38</f>
        <v>0</v>
      </c>
      <c r="N39" s="463"/>
      <c r="O39" s="458">
        <f t="shared" ref="O39" si="95">+O37+O38</f>
        <v>0</v>
      </c>
      <c r="P39" s="458">
        <f t="shared" ref="P39" si="96">+P37+P38</f>
        <v>0</v>
      </c>
      <c r="Q39" s="458">
        <f t="shared" ref="Q39" si="97">+Q37+Q38</f>
        <v>0</v>
      </c>
      <c r="R39" s="458">
        <f t="shared" ref="R39" si="98">+R37+R38</f>
        <v>0</v>
      </c>
      <c r="S39" s="458">
        <f t="shared" ref="S39" si="99">+S37+S38</f>
        <v>0</v>
      </c>
      <c r="T39" s="463"/>
      <c r="U39" s="458">
        <f t="shared" ref="U39" si="100">+U37+U38</f>
        <v>0</v>
      </c>
      <c r="V39" s="458">
        <f t="shared" ref="V39" si="101">+V37+V38</f>
        <v>0</v>
      </c>
      <c r="W39" s="458">
        <f t="shared" ref="W39" si="102">+W37+W38</f>
        <v>0</v>
      </c>
      <c r="X39" s="463"/>
      <c r="Y39" s="458">
        <f t="shared" ref="Y39" si="103">+Y37+Y38</f>
        <v>0</v>
      </c>
      <c r="Z39" s="458">
        <f t="shared" ref="Z39" si="104">+Z37+Z38</f>
        <v>0</v>
      </c>
      <c r="AA39" s="458">
        <f t="shared" ref="AA39" si="105">+AA37+AA38</f>
        <v>0</v>
      </c>
      <c r="AB39" s="458">
        <f t="shared" ref="AB39" si="106">+AB37+AB38</f>
        <v>0</v>
      </c>
      <c r="AC39" s="458">
        <f t="shared" ref="AC39" si="107">+AC37+AC38</f>
        <v>0</v>
      </c>
      <c r="AD39" s="463"/>
      <c r="AE39" s="458">
        <f>+AE37+AE38</f>
        <v>0</v>
      </c>
      <c r="AF39" s="163"/>
      <c r="AH39" s="458">
        <f t="shared" ref="AH39:AN39" si="108">+AH37+AH38</f>
        <v>0</v>
      </c>
      <c r="AI39" s="458">
        <f t="shared" si="108"/>
        <v>0</v>
      </c>
      <c r="AJ39" s="458">
        <f t="shared" si="108"/>
        <v>0</v>
      </c>
      <c r="AK39" s="458">
        <f t="shared" si="108"/>
        <v>0</v>
      </c>
      <c r="AL39" s="458">
        <f t="shared" si="108"/>
        <v>0</v>
      </c>
      <c r="AM39" s="458">
        <f t="shared" si="108"/>
        <v>0</v>
      </c>
      <c r="AN39" s="458">
        <f t="shared" si="108"/>
        <v>0</v>
      </c>
      <c r="AO39" s="458">
        <f>+AO37+AO38</f>
        <v>0</v>
      </c>
    </row>
    <row r="40" spans="1:41" s="94" customFormat="1" ht="21" customHeight="1" x14ac:dyDescent="0.3">
      <c r="A40" s="100"/>
      <c r="B40" s="100"/>
      <c r="L40" s="121"/>
      <c r="M40" s="121"/>
      <c r="Y40" s="255"/>
      <c r="Z40" s="94">
        <v>10000</v>
      </c>
      <c r="AA40" s="94">
        <v>25000</v>
      </c>
      <c r="AB40" s="94">
        <v>25000</v>
      </c>
      <c r="AC40" s="94">
        <v>10000</v>
      </c>
      <c r="AE40" s="94">
        <v>3310</v>
      </c>
    </row>
    <row r="41" spans="1:41" s="94" customFormat="1" ht="21" customHeight="1" x14ac:dyDescent="0.3">
      <c r="A41" s="100"/>
      <c r="B41" s="100"/>
      <c r="I41" s="94">
        <v>2840</v>
      </c>
      <c r="L41" s="121" t="s">
        <v>168</v>
      </c>
      <c r="M41" s="600">
        <f>+SUM(T39:T39)</f>
        <v>0</v>
      </c>
    </row>
    <row r="42" spans="1:41" s="94" customFormat="1" ht="21" customHeight="1" x14ac:dyDescent="0.3">
      <c r="A42" s="100"/>
      <c r="B42" s="100"/>
      <c r="L42" s="121"/>
      <c r="M42" s="121"/>
      <c r="Y42" s="109"/>
      <c r="Z42" s="106"/>
      <c r="AA42" s="106"/>
      <c r="AB42" s="106"/>
    </row>
  </sheetData>
  <mergeCells count="21">
    <mergeCell ref="U9:W10"/>
    <mergeCell ref="L9:L11"/>
    <mergeCell ref="M9:M11"/>
    <mergeCell ref="O9:S9"/>
    <mergeCell ref="H9:I10"/>
    <mergeCell ref="A9:A11"/>
    <mergeCell ref="B9:B11"/>
    <mergeCell ref="C9:C11"/>
    <mergeCell ref="F9:F11"/>
    <mergeCell ref="K9:K11"/>
    <mergeCell ref="D9:D11"/>
    <mergeCell ref="AM9:AM11"/>
    <mergeCell ref="AN9:AN11"/>
    <mergeCell ref="AO9:AO11"/>
    <mergeCell ref="AE9:AE10"/>
    <mergeCell ref="AI9:AI11"/>
    <mergeCell ref="Y9:AC10"/>
    <mergeCell ref="AJ9:AJ11"/>
    <mergeCell ref="AH9:AH11"/>
    <mergeCell ref="AK9:AK11"/>
    <mergeCell ref="AL9:AL11"/>
  </mergeCells>
  <pageMargins left="0.19685039370078741" right="0.19685039370078741" top="0.74803149606299213" bottom="0.74803149606299213" header="0.31496062992125984" footer="0.31496062992125984"/>
  <pageSetup paperSize="9" scale="1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pageSetUpPr fitToPage="1"/>
  </sheetPr>
  <dimension ref="A1:CE31"/>
  <sheetViews>
    <sheetView view="pageBreakPreview" topLeftCell="BF21" zoomScale="85" zoomScaleNormal="50" zoomScaleSheetLayoutView="85" workbookViewId="0">
      <selection activeCell="BL29" sqref="BL29:BM31"/>
    </sheetView>
  </sheetViews>
  <sheetFormatPr baseColWidth="10" defaultColWidth="11.42578125" defaultRowHeight="21" customHeight="1" outlineLevelCol="2" x14ac:dyDescent="0.3"/>
  <cols>
    <col min="1" max="1" width="13.85546875" style="86" customWidth="1"/>
    <col min="2" max="3" width="15.28515625" style="86" customWidth="1" outlineLevel="1"/>
    <col min="4" max="4" width="14.85546875" style="86" customWidth="1" outlineLevel="1"/>
    <col min="5" max="5" width="10.5703125" style="544" customWidth="1" outlineLevel="1"/>
    <col min="6" max="6" width="15.42578125" style="544" customWidth="1" outlineLevel="1"/>
    <col min="7" max="7" width="14.7109375" style="544" customWidth="1" outlineLevel="1"/>
    <col min="8" max="8" width="69.85546875" style="86" bestFit="1" customWidth="1"/>
    <col min="9" max="10" width="15.28515625" style="2" customWidth="1"/>
    <col min="11" max="11" width="2.7109375" style="2" customWidth="1"/>
    <col min="12" max="12" width="23" style="2" bestFit="1" customWidth="1"/>
    <col min="13" max="13" width="3" style="2" hidden="1" customWidth="1" outlineLevel="1"/>
    <col min="14" max="16" width="12.42578125" style="2" hidden="1" customWidth="1" outlineLevel="1"/>
    <col min="17" max="17" width="2.7109375" style="2" customWidth="1" collapsed="1"/>
    <col min="18" max="18" width="21.85546875" style="2" customWidth="1"/>
    <col min="19" max="19" width="19.85546875" style="2" customWidth="1"/>
    <col min="20" max="20" width="2.7109375" style="2" customWidth="1"/>
    <col min="21" max="21" width="23.5703125" style="2" customWidth="1"/>
    <col min="22" max="22" width="23" style="2" customWidth="1"/>
    <col min="23" max="23" width="24.140625" style="2" bestFit="1" customWidth="1"/>
    <col min="24" max="24" width="2.7109375" style="2" customWidth="1"/>
    <col min="25" max="29" width="13.28515625" style="2" customWidth="1" outlineLevel="1"/>
    <col min="30" max="34" width="19.85546875" style="2" hidden="1" customWidth="1" outlineLevel="1"/>
    <col min="35" max="36" width="19" style="2" hidden="1" customWidth="1" outlineLevel="1"/>
    <col min="37" max="46" width="19.85546875" style="2" hidden="1" customWidth="1" outlineLevel="1"/>
    <col min="47" max="57" width="13.28515625" style="2" hidden="1" customWidth="1" outlineLevel="1"/>
    <col min="58" max="58" width="2.7109375" style="2" customWidth="1"/>
    <col min="59" max="59" width="23.5703125" style="2" bestFit="1" customWidth="1"/>
    <col min="60" max="60" width="21.28515625" style="2" bestFit="1" customWidth="1"/>
    <col min="61" max="61" width="21.85546875" style="2" bestFit="1" customWidth="1"/>
    <col min="62" max="62" width="2.7109375" style="2" customWidth="1"/>
    <col min="63" max="64" width="25.28515625" style="2" bestFit="1" customWidth="1"/>
    <col min="65" max="65" width="16.42578125" style="2" customWidth="1"/>
    <col min="66" max="66" width="17.85546875" style="2" customWidth="1"/>
    <col min="67" max="67" width="24.85546875" style="2" bestFit="1" customWidth="1"/>
    <col min="68" max="68" width="2.85546875" style="2" customWidth="1" outlineLevel="1"/>
    <col min="69" max="69" width="24.42578125" style="2" customWidth="1" outlineLevel="1"/>
    <col min="70" max="70" width="18.42578125" style="94" bestFit="1" customWidth="1"/>
    <col min="71" max="71" width="14.7109375" style="174" bestFit="1" customWidth="1"/>
    <col min="72" max="72" width="5" style="2" customWidth="1"/>
    <col min="73" max="73" width="24.28515625" style="2" customWidth="1" outlineLevel="1"/>
    <col min="74" max="75" width="20.28515625" style="2" customWidth="1" outlineLevel="1"/>
    <col min="76" max="76" width="16.7109375" style="2" customWidth="1" outlineLevel="2"/>
    <col min="77" max="78" width="19" style="2" customWidth="1" outlineLevel="2"/>
    <col min="79" max="79" width="18.42578125" style="2" customWidth="1" outlineLevel="2"/>
    <col min="80" max="80" width="19" style="2" customWidth="1" outlineLevel="2"/>
    <col min="81" max="81" width="11.42578125" style="2" customWidth="1" outlineLevel="1"/>
    <col min="82" max="16384" width="11.42578125" style="2"/>
  </cols>
  <sheetData>
    <row r="1" spans="1:83" ht="31.5" customHeight="1" x14ac:dyDescent="0.35">
      <c r="A1" s="88" t="s">
        <v>135</v>
      </c>
      <c r="B1" s="88"/>
      <c r="C1" s="88"/>
      <c r="D1" s="88"/>
      <c r="E1" s="161"/>
      <c r="F1" s="161"/>
      <c r="G1" s="161"/>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89"/>
      <c r="AJ1" s="89"/>
      <c r="AK1" s="89"/>
      <c r="AL1" s="89"/>
      <c r="AM1" s="89"/>
      <c r="AN1" s="89"/>
      <c r="AO1" s="89"/>
      <c r="AP1" s="89"/>
      <c r="AQ1" s="89"/>
      <c r="AR1" s="89"/>
      <c r="AS1" s="89"/>
      <c r="AT1" s="89"/>
      <c r="AU1" s="89"/>
      <c r="AV1" s="89"/>
      <c r="AW1" s="89"/>
      <c r="AX1" s="89"/>
      <c r="AY1" s="89"/>
      <c r="AZ1" s="89"/>
      <c r="BA1" s="89"/>
      <c r="BB1" s="89"/>
      <c r="BC1" s="89"/>
      <c r="BD1" s="89"/>
      <c r="BE1" s="89"/>
      <c r="BF1" s="89"/>
      <c r="BG1" s="89"/>
      <c r="BH1" s="89"/>
      <c r="BI1" s="89"/>
      <c r="BJ1" s="89"/>
      <c r="BK1" s="89"/>
      <c r="BL1" s="89"/>
      <c r="BM1" s="89"/>
      <c r="BN1" s="89"/>
      <c r="BO1" s="89"/>
    </row>
    <row r="2" spans="1:83" ht="21" customHeight="1" x14ac:dyDescent="0.3">
      <c r="A2" s="244" t="s">
        <v>433</v>
      </c>
      <c r="B2" s="244"/>
      <c r="C2" s="244"/>
      <c r="D2" s="244"/>
      <c r="E2" s="543"/>
      <c r="F2" s="543"/>
      <c r="G2" s="543"/>
      <c r="H2" s="284"/>
      <c r="I2" s="86"/>
      <c r="J2" s="86"/>
      <c r="K2" s="86"/>
      <c r="L2" s="86">
        <f>9000*1.49</f>
        <v>13410</v>
      </c>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c r="BF2" s="86"/>
      <c r="BG2" s="86"/>
      <c r="BH2" s="86"/>
      <c r="BI2" s="86"/>
      <c r="BJ2" s="86"/>
      <c r="BK2" s="86"/>
      <c r="BL2" s="283"/>
      <c r="BM2" s="86"/>
      <c r="BN2" s="86"/>
      <c r="BO2" s="86"/>
    </row>
    <row r="3" spans="1:83" ht="21" customHeight="1" x14ac:dyDescent="0.3">
      <c r="A3" s="244"/>
      <c r="B3" s="244"/>
      <c r="C3" s="244"/>
      <c r="D3" s="244"/>
      <c r="E3" s="543"/>
      <c r="F3" s="543"/>
      <c r="G3" s="543"/>
      <c r="H3" s="88"/>
      <c r="I3" s="86"/>
      <c r="J3" s="86"/>
      <c r="K3" s="86"/>
      <c r="L3" s="86"/>
      <c r="M3" s="86"/>
      <c r="N3" s="86"/>
      <c r="O3" s="86"/>
      <c r="P3" s="86"/>
      <c r="Q3" s="86"/>
      <c r="R3" s="86"/>
      <c r="S3" s="86" t="s">
        <v>171</v>
      </c>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c r="BF3" s="86"/>
      <c r="BG3" s="86"/>
      <c r="BH3" s="86"/>
      <c r="BI3" s="86"/>
      <c r="BJ3" s="86"/>
      <c r="BK3" s="86"/>
      <c r="BL3" s="86"/>
      <c r="BM3" s="86"/>
      <c r="BN3" s="86"/>
      <c r="BO3" s="86"/>
    </row>
    <row r="4" spans="1:83" ht="11.25" customHeight="1" x14ac:dyDescent="0.3"/>
    <row r="5" spans="1:83" ht="21" customHeight="1" x14ac:dyDescent="0.3">
      <c r="A5" s="90" t="s">
        <v>52</v>
      </c>
      <c r="B5" s="90"/>
      <c r="C5" s="90"/>
      <c r="D5" s="90"/>
      <c r="E5" s="545"/>
      <c r="F5" s="545"/>
      <c r="G5" s="545"/>
      <c r="H5" s="90" t="str">
        <f>+Mat!B5</f>
        <v>EL BOSQUE - CERCO + INGRESOS Y CASETAS</v>
      </c>
      <c r="I5" s="119"/>
      <c r="J5" s="119"/>
      <c r="L5" s="119"/>
      <c r="M5" s="119"/>
      <c r="N5" s="119"/>
      <c r="O5" s="119"/>
      <c r="P5" s="119"/>
      <c r="Q5" s="119"/>
      <c r="R5" s="119"/>
      <c r="S5" s="119"/>
      <c r="T5" s="119"/>
      <c r="U5" s="165" t="s">
        <v>53</v>
      </c>
      <c r="V5" s="120"/>
      <c r="W5" s="120"/>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V5" s="110"/>
      <c r="BW5" s="110" t="str">
        <f>+A2</f>
        <v>MES DE ENERO DEL 2025</v>
      </c>
    </row>
    <row r="6" spans="1:83" ht="21" customHeight="1" x14ac:dyDescent="0.3">
      <c r="A6" s="90" t="s">
        <v>54</v>
      </c>
      <c r="B6" s="90"/>
      <c r="C6" s="90"/>
      <c r="D6" s="90"/>
      <c r="E6" s="545"/>
      <c r="F6" s="545"/>
      <c r="G6" s="545"/>
      <c r="H6" s="90">
        <f>+Mat!B6</f>
        <v>0</v>
      </c>
      <c r="I6" s="119"/>
      <c r="J6" s="119"/>
      <c r="L6" s="119"/>
      <c r="M6" s="119"/>
      <c r="N6" s="119"/>
      <c r="O6" s="119"/>
      <c r="P6" s="119"/>
      <c r="Q6" s="119"/>
      <c r="R6" s="119"/>
      <c r="S6" s="119"/>
      <c r="T6" s="119"/>
      <c r="U6" s="165" t="s">
        <v>55</v>
      </c>
      <c r="V6" s="166"/>
      <c r="W6" s="166"/>
      <c r="X6" s="119"/>
      <c r="Y6" s="119"/>
      <c r="Z6" s="119"/>
      <c r="AA6" s="119"/>
      <c r="AB6" s="119"/>
      <c r="AC6" s="119"/>
      <c r="AD6" s="119"/>
      <c r="AE6" s="119"/>
      <c r="AF6" s="119"/>
      <c r="AG6" s="119"/>
      <c r="AH6" s="119"/>
      <c r="AI6" s="119"/>
      <c r="AJ6" s="119"/>
      <c r="AK6" s="119"/>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row>
    <row r="7" spans="1:83" ht="12.75" customHeight="1" x14ac:dyDescent="0.3">
      <c r="A7" s="88"/>
      <c r="B7" s="88"/>
      <c r="C7" s="88"/>
      <c r="D7" s="88"/>
      <c r="E7" s="161"/>
      <c r="F7" s="161"/>
      <c r="G7" s="161"/>
    </row>
    <row r="8" spans="1:83" ht="14.25" customHeight="1" x14ac:dyDescent="0.3">
      <c r="Y8" s="94">
        <f t="shared" ref="Y8:AC8" si="0">+YEAR(Y11)</f>
        <v>2025</v>
      </c>
      <c r="Z8" s="94">
        <f t="shared" si="0"/>
        <v>2025</v>
      </c>
      <c r="AA8" s="94">
        <f t="shared" si="0"/>
        <v>2025</v>
      </c>
      <c r="AB8" s="94">
        <f t="shared" si="0"/>
        <v>2025</v>
      </c>
      <c r="AC8" s="94">
        <f t="shared" si="0"/>
        <v>2025</v>
      </c>
      <c r="AD8" s="94" t="e">
        <f t="shared" ref="AD8:AK8" si="1">+YEAR(AD11)</f>
        <v>#REF!</v>
      </c>
      <c r="AE8" s="94" t="e">
        <f t="shared" si="1"/>
        <v>#REF!</v>
      </c>
      <c r="AF8" s="94" t="e">
        <f t="shared" si="1"/>
        <v>#REF!</v>
      </c>
      <c r="AG8" s="94" t="e">
        <f t="shared" si="1"/>
        <v>#REF!</v>
      </c>
      <c r="AH8" s="94" t="e">
        <f t="shared" si="1"/>
        <v>#REF!</v>
      </c>
      <c r="AI8" s="94" t="e">
        <f t="shared" si="1"/>
        <v>#REF!</v>
      </c>
      <c r="AJ8" s="94" t="e">
        <f t="shared" si="1"/>
        <v>#REF!</v>
      </c>
      <c r="AK8" s="94" t="e">
        <f t="shared" si="1"/>
        <v>#REF!</v>
      </c>
      <c r="AL8" s="94" t="e">
        <f>+YEAR(AL11)</f>
        <v>#REF!</v>
      </c>
      <c r="AM8" s="94" t="e">
        <f>+YEAR(AM11)</f>
        <v>#REF!</v>
      </c>
      <c r="AN8" s="94" t="e">
        <f t="shared" ref="AN8:BA8" si="2">+YEAR(AN11)</f>
        <v>#REF!</v>
      </c>
      <c r="AO8" s="94" t="e">
        <f t="shared" si="2"/>
        <v>#REF!</v>
      </c>
      <c r="AP8" s="94" t="e">
        <f t="shared" si="2"/>
        <v>#REF!</v>
      </c>
      <c r="AQ8" s="94" t="e">
        <f t="shared" si="2"/>
        <v>#REF!</v>
      </c>
      <c r="AR8" s="94" t="e">
        <f t="shared" si="2"/>
        <v>#REF!</v>
      </c>
      <c r="AS8" s="94" t="e">
        <f t="shared" si="2"/>
        <v>#REF!</v>
      </c>
      <c r="AT8" s="94" t="e">
        <f t="shared" si="2"/>
        <v>#REF!</v>
      </c>
      <c r="AU8" s="94" t="e">
        <f t="shared" si="2"/>
        <v>#REF!</v>
      </c>
      <c r="AV8" s="94" t="e">
        <f t="shared" si="2"/>
        <v>#REF!</v>
      </c>
      <c r="AW8" s="94" t="e">
        <f t="shared" si="2"/>
        <v>#REF!</v>
      </c>
      <c r="AX8" s="94" t="e">
        <f t="shared" si="2"/>
        <v>#REF!</v>
      </c>
      <c r="AY8" s="94" t="e">
        <f t="shared" si="2"/>
        <v>#REF!</v>
      </c>
      <c r="AZ8" s="94" t="e">
        <f t="shared" si="2"/>
        <v>#REF!</v>
      </c>
      <c r="BA8" s="94" t="e">
        <f t="shared" si="2"/>
        <v>#REF!</v>
      </c>
      <c r="BB8" s="94" t="e">
        <f>+YEAR(BB11)</f>
        <v>#REF!</v>
      </c>
      <c r="BC8" s="94" t="e">
        <f>+YEAR(BC11)</f>
        <v>#REF!</v>
      </c>
      <c r="BD8" s="94" t="e">
        <f>+YEAR(BD11)</f>
        <v>#REF!</v>
      </c>
      <c r="BE8" s="94" t="e">
        <f>+YEAR(BE11)</f>
        <v>#REF!</v>
      </c>
      <c r="BG8" s="94"/>
      <c r="BH8" s="94"/>
      <c r="BI8" s="94"/>
      <c r="BM8" s="449"/>
    </row>
    <row r="9" spans="1:83" s="95" customFormat="1" ht="18.75" customHeight="1" x14ac:dyDescent="0.25">
      <c r="A9" s="1238" t="s">
        <v>56</v>
      </c>
      <c r="B9" s="1241" t="s">
        <v>154</v>
      </c>
      <c r="C9" s="1241" t="s">
        <v>155</v>
      </c>
      <c r="D9" s="1241" t="s">
        <v>156</v>
      </c>
      <c r="E9" s="1241" t="s">
        <v>71</v>
      </c>
      <c r="F9" s="851"/>
      <c r="G9" s="1241" t="s">
        <v>72</v>
      </c>
      <c r="H9" s="1238" t="s">
        <v>57</v>
      </c>
      <c r="I9" s="1238" t="s">
        <v>58</v>
      </c>
      <c r="J9" s="1241" t="s">
        <v>59</v>
      </c>
      <c r="L9" s="1241" t="s">
        <v>60</v>
      </c>
      <c r="N9" s="1277" t="s">
        <v>61</v>
      </c>
      <c r="O9" s="1277" t="s">
        <v>62</v>
      </c>
      <c r="P9" s="1277" t="s">
        <v>63</v>
      </c>
      <c r="R9" s="1272" t="str">
        <f>+A2</f>
        <v>MES DE ENERO DEL 2025</v>
      </c>
      <c r="S9" s="1273"/>
      <c r="U9" s="1237" t="s">
        <v>434</v>
      </c>
      <c r="V9" s="1237" t="s">
        <v>39</v>
      </c>
      <c r="W9" s="1237" t="s">
        <v>40</v>
      </c>
      <c r="Y9" s="1262" t="s">
        <v>0</v>
      </c>
      <c r="Z9" s="1263"/>
      <c r="AA9" s="1263"/>
      <c r="AB9" s="1263"/>
      <c r="AC9" s="1263"/>
      <c r="AD9" s="1263"/>
      <c r="AE9" s="1263"/>
      <c r="AF9" s="1263"/>
      <c r="AG9" s="1263"/>
      <c r="AH9" s="1263"/>
      <c r="AI9" s="1263"/>
      <c r="AJ9" s="1263"/>
      <c r="AK9" s="1263"/>
      <c r="AL9" s="1263"/>
      <c r="AM9" s="1263"/>
      <c r="AN9" s="1263"/>
      <c r="AO9" s="1263"/>
      <c r="AP9" s="1263"/>
      <c r="AQ9" s="1263"/>
      <c r="AR9" s="1263"/>
      <c r="AS9" s="1263"/>
      <c r="AT9" s="1263"/>
      <c r="AU9" s="1263"/>
      <c r="AV9" s="1263"/>
      <c r="AW9" s="1263"/>
      <c r="AX9" s="1263"/>
      <c r="AY9" s="1263"/>
      <c r="AZ9" s="1263"/>
      <c r="BA9" s="1263"/>
      <c r="BB9" s="1263"/>
      <c r="BC9" s="1263"/>
      <c r="BD9" s="1263"/>
      <c r="BE9" s="1276"/>
      <c r="BG9" s="1231" t="s">
        <v>41</v>
      </c>
      <c r="BH9" s="1232"/>
      <c r="BI9" s="1233"/>
      <c r="BK9" s="1231" t="s">
        <v>1</v>
      </c>
      <c r="BL9" s="1232"/>
      <c r="BM9" s="1232"/>
      <c r="BN9" s="1232"/>
      <c r="BO9" s="1233"/>
      <c r="BQ9" s="1241" t="s">
        <v>435</v>
      </c>
      <c r="BR9" s="122"/>
      <c r="BS9" s="280"/>
      <c r="BU9" s="1259" t="s">
        <v>30</v>
      </c>
      <c r="BV9" s="1264" t="s">
        <v>342</v>
      </c>
      <c r="BW9" s="1264" t="s">
        <v>35</v>
      </c>
      <c r="BX9" s="1217">
        <v>45597</v>
      </c>
      <c r="BY9" s="1217">
        <v>45627</v>
      </c>
      <c r="BZ9" s="1217">
        <v>45658</v>
      </c>
      <c r="CA9" s="1217">
        <v>45689</v>
      </c>
      <c r="CB9" s="1217">
        <v>45717</v>
      </c>
    </row>
    <row r="10" spans="1:83" s="95" customFormat="1" ht="18.75" x14ac:dyDescent="0.25">
      <c r="A10" s="1239"/>
      <c r="B10" s="1242"/>
      <c r="C10" s="1242"/>
      <c r="D10" s="1242"/>
      <c r="E10" s="1242"/>
      <c r="F10" s="852" t="s">
        <v>277</v>
      </c>
      <c r="G10" s="1242"/>
      <c r="H10" s="1239"/>
      <c r="I10" s="1239"/>
      <c r="J10" s="1242"/>
      <c r="L10" s="1242"/>
      <c r="N10" s="1278"/>
      <c r="O10" s="1278"/>
      <c r="P10" s="1278"/>
      <c r="R10" s="1274"/>
      <c r="S10" s="1275"/>
      <c r="U10" s="1237"/>
      <c r="V10" s="1237"/>
      <c r="W10" s="1237"/>
      <c r="Y10" s="309">
        <v>4</v>
      </c>
      <c r="Z10" s="309">
        <f>+Y10+1</f>
        <v>5</v>
      </c>
      <c r="AA10" s="309">
        <f t="shared" ref="AA10:BE10" si="3">+Z10+1</f>
        <v>6</v>
      </c>
      <c r="AB10" s="309">
        <f t="shared" si="3"/>
        <v>7</v>
      </c>
      <c r="AC10" s="309">
        <f t="shared" si="3"/>
        <v>8</v>
      </c>
      <c r="AD10" s="309" t="e">
        <f>+#REF!+1</f>
        <v>#REF!</v>
      </c>
      <c r="AE10" s="309" t="e">
        <f t="shared" si="3"/>
        <v>#REF!</v>
      </c>
      <c r="AF10" s="309" t="e">
        <f t="shared" si="3"/>
        <v>#REF!</v>
      </c>
      <c r="AG10" s="309" t="e">
        <f t="shared" si="3"/>
        <v>#REF!</v>
      </c>
      <c r="AH10" s="309" t="e">
        <f t="shared" si="3"/>
        <v>#REF!</v>
      </c>
      <c r="AI10" s="309" t="e">
        <f t="shared" si="3"/>
        <v>#REF!</v>
      </c>
      <c r="AJ10" s="309" t="e">
        <f t="shared" si="3"/>
        <v>#REF!</v>
      </c>
      <c r="AK10" s="309" t="e">
        <f t="shared" si="3"/>
        <v>#REF!</v>
      </c>
      <c r="AL10" s="309" t="e">
        <f t="shared" si="3"/>
        <v>#REF!</v>
      </c>
      <c r="AM10" s="309" t="e">
        <f t="shared" si="3"/>
        <v>#REF!</v>
      </c>
      <c r="AN10" s="309" t="e">
        <f t="shared" si="3"/>
        <v>#REF!</v>
      </c>
      <c r="AO10" s="309" t="e">
        <f t="shared" si="3"/>
        <v>#REF!</v>
      </c>
      <c r="AP10" s="309" t="e">
        <f t="shared" si="3"/>
        <v>#REF!</v>
      </c>
      <c r="AQ10" s="309" t="e">
        <f t="shared" si="3"/>
        <v>#REF!</v>
      </c>
      <c r="AR10" s="309" t="e">
        <f t="shared" si="3"/>
        <v>#REF!</v>
      </c>
      <c r="AS10" s="309" t="e">
        <f t="shared" si="3"/>
        <v>#REF!</v>
      </c>
      <c r="AT10" s="309" t="e">
        <f t="shared" si="3"/>
        <v>#REF!</v>
      </c>
      <c r="AU10" s="309" t="e">
        <f t="shared" si="3"/>
        <v>#REF!</v>
      </c>
      <c r="AV10" s="309" t="e">
        <f t="shared" si="3"/>
        <v>#REF!</v>
      </c>
      <c r="AW10" s="309" t="e">
        <f t="shared" si="3"/>
        <v>#REF!</v>
      </c>
      <c r="AX10" s="309" t="e">
        <f t="shared" si="3"/>
        <v>#REF!</v>
      </c>
      <c r="AY10" s="309" t="e">
        <f t="shared" si="3"/>
        <v>#REF!</v>
      </c>
      <c r="AZ10" s="309" t="e">
        <f t="shared" si="3"/>
        <v>#REF!</v>
      </c>
      <c r="BA10" s="309" t="e">
        <f t="shared" si="3"/>
        <v>#REF!</v>
      </c>
      <c r="BB10" s="309" t="e">
        <f t="shared" si="3"/>
        <v>#REF!</v>
      </c>
      <c r="BC10" s="309" t="e">
        <f t="shared" si="3"/>
        <v>#REF!</v>
      </c>
      <c r="BD10" s="309" t="e">
        <f t="shared" si="3"/>
        <v>#REF!</v>
      </c>
      <c r="BE10" s="309" t="e">
        <f t="shared" si="3"/>
        <v>#REF!</v>
      </c>
      <c r="BG10" s="1234"/>
      <c r="BH10" s="1235"/>
      <c r="BI10" s="1236"/>
      <c r="BK10" s="1234"/>
      <c r="BL10" s="1235"/>
      <c r="BM10" s="1235"/>
      <c r="BN10" s="1235"/>
      <c r="BO10" s="1236"/>
      <c r="BQ10" s="1243"/>
      <c r="BR10" s="122"/>
      <c r="BS10" s="280"/>
      <c r="BU10" s="1260"/>
      <c r="BV10" s="1265"/>
      <c r="BW10" s="1265"/>
      <c r="BX10" s="1218"/>
      <c r="BY10" s="1218"/>
      <c r="BZ10" s="1218"/>
      <c r="CA10" s="1218"/>
      <c r="CB10" s="1218"/>
    </row>
    <row r="11" spans="1:83" s="97" customFormat="1" ht="37.5" x14ac:dyDescent="0.25">
      <c r="A11" s="1240"/>
      <c r="B11" s="1243"/>
      <c r="C11" s="1243"/>
      <c r="D11" s="1243"/>
      <c r="E11" s="1243"/>
      <c r="F11" s="853"/>
      <c r="G11" s="1243"/>
      <c r="H11" s="1240"/>
      <c r="I11" s="1240"/>
      <c r="J11" s="1243"/>
      <c r="L11" s="1240"/>
      <c r="N11" s="96" t="s">
        <v>5</v>
      </c>
      <c r="O11" s="96" t="s">
        <v>5</v>
      </c>
      <c r="P11" s="96" t="s">
        <v>5</v>
      </c>
      <c r="Q11" s="95"/>
      <c r="R11" s="246" t="s">
        <v>4</v>
      </c>
      <c r="S11" s="246" t="s">
        <v>5</v>
      </c>
      <c r="T11" s="95"/>
      <c r="U11" s="1237"/>
      <c r="V11" s="1237"/>
      <c r="W11" s="1237"/>
      <c r="X11" s="95"/>
      <c r="Y11" s="247">
        <f>+Fletes!O11</f>
        <v>45689</v>
      </c>
      <c r="Z11" s="247">
        <f>+Y11+31</f>
        <v>45720</v>
      </c>
      <c r="AA11" s="247">
        <f t="shared" ref="AA11:AC11" si="4">+Z11+31</f>
        <v>45751</v>
      </c>
      <c r="AB11" s="247">
        <f t="shared" si="4"/>
        <v>45782</v>
      </c>
      <c r="AC11" s="247">
        <f t="shared" si="4"/>
        <v>45813</v>
      </c>
      <c r="AD11" s="247" t="e">
        <f>+#REF!+31</f>
        <v>#REF!</v>
      </c>
      <c r="AE11" s="247" t="e">
        <f t="shared" ref="AE11:AM11" si="5">+AD11+31</f>
        <v>#REF!</v>
      </c>
      <c r="AF11" s="247" t="e">
        <f t="shared" si="5"/>
        <v>#REF!</v>
      </c>
      <c r="AG11" s="247" t="e">
        <f t="shared" si="5"/>
        <v>#REF!</v>
      </c>
      <c r="AH11" s="247" t="e">
        <f t="shared" si="5"/>
        <v>#REF!</v>
      </c>
      <c r="AI11" s="247" t="e">
        <f t="shared" si="5"/>
        <v>#REF!</v>
      </c>
      <c r="AJ11" s="247" t="e">
        <f t="shared" si="5"/>
        <v>#REF!</v>
      </c>
      <c r="AK11" s="247" t="e">
        <f t="shared" si="5"/>
        <v>#REF!</v>
      </c>
      <c r="AL11" s="247" t="e">
        <f t="shared" si="5"/>
        <v>#REF!</v>
      </c>
      <c r="AM11" s="247" t="e">
        <f t="shared" si="5"/>
        <v>#REF!</v>
      </c>
      <c r="AN11" s="247" t="e">
        <f t="shared" ref="AN11:BE11" si="6">+AM11+31</f>
        <v>#REF!</v>
      </c>
      <c r="AO11" s="247" t="e">
        <f t="shared" si="6"/>
        <v>#REF!</v>
      </c>
      <c r="AP11" s="247" t="e">
        <f t="shared" si="6"/>
        <v>#REF!</v>
      </c>
      <c r="AQ11" s="247" t="e">
        <f t="shared" si="6"/>
        <v>#REF!</v>
      </c>
      <c r="AR11" s="247" t="e">
        <f t="shared" si="6"/>
        <v>#REF!</v>
      </c>
      <c r="AS11" s="247" t="e">
        <f t="shared" si="6"/>
        <v>#REF!</v>
      </c>
      <c r="AT11" s="247" t="e">
        <f t="shared" si="6"/>
        <v>#REF!</v>
      </c>
      <c r="AU11" s="247" t="e">
        <f t="shared" si="6"/>
        <v>#REF!</v>
      </c>
      <c r="AV11" s="247" t="e">
        <f t="shared" si="6"/>
        <v>#REF!</v>
      </c>
      <c r="AW11" s="247" t="e">
        <f t="shared" si="6"/>
        <v>#REF!</v>
      </c>
      <c r="AX11" s="247" t="e">
        <f t="shared" si="6"/>
        <v>#REF!</v>
      </c>
      <c r="AY11" s="247" t="e">
        <f t="shared" si="6"/>
        <v>#REF!</v>
      </c>
      <c r="AZ11" s="247" t="e">
        <f t="shared" si="6"/>
        <v>#REF!</v>
      </c>
      <c r="BA11" s="247" t="e">
        <f t="shared" si="6"/>
        <v>#REF!</v>
      </c>
      <c r="BB11" s="247" t="e">
        <f t="shared" si="6"/>
        <v>#REF!</v>
      </c>
      <c r="BC11" s="247" t="e">
        <f t="shared" si="6"/>
        <v>#REF!</v>
      </c>
      <c r="BD11" s="247" t="e">
        <f t="shared" si="6"/>
        <v>#REF!</v>
      </c>
      <c r="BE11" s="247" t="e">
        <f t="shared" si="6"/>
        <v>#REF!</v>
      </c>
      <c r="BG11" s="246">
        <f>+Fletes!U11</f>
        <v>2025</v>
      </c>
      <c r="BH11" s="246">
        <f>+BG11+1</f>
        <v>2026</v>
      </c>
      <c r="BI11" s="246">
        <f>+BH11+1</f>
        <v>2027</v>
      </c>
      <c r="BK11" s="246" t="s">
        <v>6</v>
      </c>
      <c r="BL11" s="246" t="s">
        <v>7</v>
      </c>
      <c r="BM11" s="246" t="s">
        <v>36</v>
      </c>
      <c r="BN11" s="248" t="s">
        <v>125</v>
      </c>
      <c r="BO11" s="246" t="s">
        <v>8</v>
      </c>
      <c r="BQ11" s="1113" t="s">
        <v>436</v>
      </c>
      <c r="BR11" s="123"/>
      <c r="BS11" s="281"/>
      <c r="BU11" s="1261"/>
      <c r="BV11" s="1266"/>
      <c r="BW11" s="1266"/>
      <c r="BX11" s="1219"/>
      <c r="BY11" s="1219"/>
      <c r="BZ11" s="1219"/>
      <c r="CA11" s="1219"/>
      <c r="CB11" s="1219"/>
    </row>
    <row r="12" spans="1:83" ht="26.25" customHeight="1" x14ac:dyDescent="0.3">
      <c r="A12" s="98"/>
      <c r="B12" s="98"/>
      <c r="C12" s="98"/>
      <c r="D12" s="98"/>
      <c r="E12" s="98"/>
      <c r="F12" s="98"/>
      <c r="G12" s="98"/>
      <c r="H12" s="102"/>
      <c r="K12" s="97"/>
      <c r="Q12" s="95"/>
      <c r="X12" s="95"/>
      <c r="AE12" s="7"/>
      <c r="BG12" s="537"/>
      <c r="BH12" s="537"/>
      <c r="BI12" s="537"/>
      <c r="BJ12" s="97"/>
      <c r="BL12" s="449"/>
    </row>
    <row r="13" spans="1:83" ht="26.25" customHeight="1" x14ac:dyDescent="0.3">
      <c r="A13" s="541"/>
      <c r="B13" s="541"/>
      <c r="C13" s="541"/>
      <c r="D13" s="541"/>
      <c r="E13" s="541"/>
      <c r="F13" s="541"/>
      <c r="G13" s="541"/>
      <c r="H13" s="540"/>
      <c r="I13" s="538"/>
      <c r="J13" s="538"/>
      <c r="K13" s="97"/>
      <c r="L13" s="538"/>
      <c r="Q13" s="95"/>
      <c r="R13" s="538"/>
      <c r="S13" s="538"/>
      <c r="U13" s="538"/>
      <c r="V13" s="538"/>
      <c r="W13" s="538"/>
      <c r="X13" s="95"/>
      <c r="Y13" s="538"/>
      <c r="Z13" s="538"/>
      <c r="AA13" s="538"/>
      <c r="AB13" s="538"/>
      <c r="AC13" s="538"/>
      <c r="AD13" s="538"/>
      <c r="AE13" s="539"/>
      <c r="AF13" s="538"/>
      <c r="AG13" s="538"/>
      <c r="AH13" s="538"/>
      <c r="AI13" s="538"/>
      <c r="AJ13" s="538"/>
      <c r="AK13" s="538"/>
      <c r="AL13" s="538"/>
      <c r="AM13" s="538"/>
      <c r="AN13" s="538"/>
      <c r="AO13" s="538"/>
      <c r="AP13" s="538"/>
      <c r="AQ13" s="538"/>
      <c r="AR13" s="538"/>
      <c r="AS13" s="538"/>
      <c r="AT13" s="538"/>
      <c r="AU13" s="538"/>
      <c r="AV13" s="538"/>
      <c r="AW13" s="538"/>
      <c r="AX13" s="538"/>
      <c r="AY13" s="538"/>
      <c r="AZ13" s="538"/>
      <c r="BA13" s="538"/>
      <c r="BB13" s="538"/>
      <c r="BC13" s="538"/>
      <c r="BD13" s="538"/>
      <c r="BE13" s="538"/>
      <c r="BG13" s="538"/>
      <c r="BH13" s="538"/>
      <c r="BI13" s="538"/>
      <c r="BJ13" s="97"/>
      <c r="BK13" s="538"/>
      <c r="BL13" s="538"/>
      <c r="BM13" s="538"/>
      <c r="BN13" s="538"/>
      <c r="BO13" s="538"/>
      <c r="BQ13" s="538"/>
      <c r="BS13" s="94"/>
    </row>
    <row r="14" spans="1:83" s="1325" customFormat="1" ht="25.5" customHeight="1" x14ac:dyDescent="0.25">
      <c r="A14" s="1321"/>
      <c r="B14" s="1321"/>
      <c r="C14" s="1321"/>
      <c r="D14" s="1321"/>
      <c r="E14" s="1321"/>
      <c r="F14" s="1321"/>
      <c r="G14" s="1321"/>
      <c r="H14" s="1321" t="s">
        <v>395</v>
      </c>
      <c r="I14" s="1321"/>
      <c r="J14" s="1321"/>
      <c r="K14" s="1322"/>
      <c r="L14" s="1321"/>
      <c r="M14" s="1323"/>
      <c r="N14" s="1321"/>
      <c r="O14" s="1321"/>
      <c r="P14" s="1321"/>
      <c r="Q14" s="1324"/>
      <c r="R14" s="1321"/>
      <c r="S14" s="1321"/>
      <c r="U14" s="1321"/>
      <c r="V14" s="1321"/>
      <c r="W14" s="1321"/>
      <c r="X14" s="1324"/>
      <c r="Y14" s="1321"/>
      <c r="Z14" s="1321"/>
      <c r="AA14" s="1321"/>
      <c r="AB14" s="1321"/>
      <c r="AC14" s="1321"/>
      <c r="AD14" s="1321">
        <v>1</v>
      </c>
      <c r="AE14" s="1321">
        <v>1</v>
      </c>
      <c r="AF14" s="1321">
        <v>1</v>
      </c>
      <c r="AG14" s="1321">
        <v>1</v>
      </c>
      <c r="AH14" s="1321">
        <v>1</v>
      </c>
      <c r="AI14" s="1321">
        <v>1</v>
      </c>
      <c r="AJ14" s="1321">
        <v>1</v>
      </c>
      <c r="AK14" s="1321">
        <v>1</v>
      </c>
      <c r="AL14" s="1321">
        <v>1</v>
      </c>
      <c r="AM14" s="1321">
        <v>1</v>
      </c>
      <c r="AN14" s="1321">
        <v>1</v>
      </c>
      <c r="AO14" s="1321">
        <v>1</v>
      </c>
      <c r="AP14" s="1321"/>
      <c r="AQ14" s="1321"/>
      <c r="AR14" s="1321"/>
      <c r="AS14" s="1321"/>
      <c r="AT14" s="1321"/>
      <c r="AU14" s="1321"/>
      <c r="AV14" s="1321"/>
      <c r="AW14" s="1321"/>
      <c r="AX14" s="1321"/>
      <c r="AY14" s="1321"/>
      <c r="AZ14" s="1321"/>
      <c r="BA14" s="1321"/>
      <c r="BB14" s="1321"/>
      <c r="BC14" s="1321"/>
      <c r="BD14" s="1321"/>
      <c r="BE14" s="1321"/>
      <c r="BF14" s="1323"/>
      <c r="BG14" s="1321">
        <f t="shared" ref="BG14:BG24" si="7">+SUMIFS(Y14:BE14,Y$8:BE$8,BG$11)</f>
        <v>0</v>
      </c>
      <c r="BH14" s="1321">
        <f t="shared" ref="BH14:BH24" si="8">+SUMIFS(Y14:BE14,Y$8:BE$8,BH$11)</f>
        <v>0</v>
      </c>
      <c r="BI14" s="1321">
        <f t="shared" ref="BI14:BI24" si="9">+SUMIFS(Y14:BE14,Y$8:BE$8,BI$11)</f>
        <v>0</v>
      </c>
      <c r="BJ14" s="1322"/>
      <c r="BK14" s="1321">
        <f t="shared" ref="BK14:BK24" si="10">+V14+W14</f>
        <v>0</v>
      </c>
      <c r="BL14" s="1321"/>
      <c r="BM14" s="1321"/>
      <c r="BN14" s="1321"/>
      <c r="BO14" s="1321"/>
      <c r="BP14" s="1323"/>
      <c r="BQ14" s="1321"/>
      <c r="BR14" s="1326"/>
      <c r="BS14" s="1326"/>
      <c r="BT14" s="1323"/>
      <c r="BU14" s="1321"/>
      <c r="BV14" s="1321"/>
      <c r="BW14" s="1321"/>
      <c r="BX14" s="1321"/>
      <c r="BY14" s="1321"/>
      <c r="BZ14" s="1321"/>
      <c r="CA14" s="1321"/>
      <c r="CB14" s="1321"/>
    </row>
    <row r="15" spans="1:83" s="856" customFormat="1" ht="25.5" customHeight="1" x14ac:dyDescent="0.25">
      <c r="A15" s="1043">
        <v>600</v>
      </c>
      <c r="B15" s="1043"/>
      <c r="C15" s="1043">
        <v>81000</v>
      </c>
      <c r="D15" s="1043"/>
      <c r="E15" s="1043"/>
      <c r="F15" s="1043"/>
      <c r="G15" s="1043"/>
      <c r="H15" s="1043" t="s">
        <v>387</v>
      </c>
      <c r="I15" s="1045" t="s">
        <v>358</v>
      </c>
      <c r="J15" s="1045"/>
      <c r="K15" s="866"/>
      <c r="L15" s="1043">
        <f>SUM(BV15)</f>
        <v>40500</v>
      </c>
      <c r="M15" s="858"/>
      <c r="N15" s="857"/>
      <c r="O15" s="857"/>
      <c r="P15" s="857"/>
      <c r="Q15" s="1041"/>
      <c r="R15" s="1043"/>
      <c r="S15" s="1043">
        <f>+BW15</f>
        <v>13500</v>
      </c>
      <c r="U15" s="1043">
        <f t="shared" ref="U14:U24" si="11">+S15+BQ15</f>
        <v>13500</v>
      </c>
      <c r="V15" s="1043">
        <f t="shared" ref="V14:V24" si="12">+U15+L15</f>
        <v>54000</v>
      </c>
      <c r="W15" s="1043">
        <f>+J15-V15</f>
        <v>-54000</v>
      </c>
      <c r="X15" s="1041"/>
      <c r="Y15" s="1043"/>
      <c r="Z15" s="1043"/>
      <c r="AA15" s="1043"/>
      <c r="AB15" s="1043"/>
      <c r="AC15" s="1043"/>
      <c r="AD15" s="1043"/>
      <c r="AE15" s="1043"/>
      <c r="AF15" s="1043"/>
      <c r="AG15" s="1043"/>
      <c r="AH15" s="1043"/>
      <c r="AI15" s="1043"/>
      <c r="AJ15" s="1043"/>
      <c r="AK15" s="1043"/>
      <c r="AL15" s="1043"/>
      <c r="AM15" s="1043"/>
      <c r="AN15" s="1043"/>
      <c r="AO15" s="1043"/>
      <c r="AP15" s="1043"/>
      <c r="AQ15" s="1043"/>
      <c r="AR15" s="1043"/>
      <c r="AS15" s="1043"/>
      <c r="AT15" s="1043"/>
      <c r="AU15" s="1043"/>
      <c r="AV15" s="1043"/>
      <c r="AW15" s="1043"/>
      <c r="AX15" s="1043"/>
      <c r="AY15" s="1043"/>
      <c r="AZ15" s="1043"/>
      <c r="BA15" s="1043"/>
      <c r="BB15" s="1043"/>
      <c r="BC15" s="1043"/>
      <c r="BD15" s="1043"/>
      <c r="BE15" s="1043"/>
      <c r="BF15" s="858"/>
      <c r="BG15" s="1043">
        <f t="shared" si="7"/>
        <v>0</v>
      </c>
      <c r="BH15" s="1043">
        <f t="shared" si="8"/>
        <v>0</v>
      </c>
      <c r="BI15" s="1043">
        <f t="shared" si="9"/>
        <v>0</v>
      </c>
      <c r="BJ15" s="866"/>
      <c r="BK15" s="1043">
        <f t="shared" si="10"/>
        <v>0</v>
      </c>
      <c r="BL15" s="1043"/>
      <c r="BM15" s="1043"/>
      <c r="BN15" s="1043"/>
      <c r="BO15" s="1043"/>
      <c r="BP15" s="858"/>
      <c r="BQ15" s="1043"/>
      <c r="BR15" s="859"/>
      <c r="BS15" s="859"/>
      <c r="BT15" s="858"/>
      <c r="BU15" s="1043">
        <f>SUM(BX15:CB15)</f>
        <v>81000</v>
      </c>
      <c r="BV15" s="1043">
        <f>SUM(BX15:BY15)</f>
        <v>40500</v>
      </c>
      <c r="BW15" s="1043">
        <f>BZ15</f>
        <v>13500</v>
      </c>
      <c r="BX15" s="1043">
        <v>27000</v>
      </c>
      <c r="BY15" s="1043">
        <v>13500</v>
      </c>
      <c r="BZ15" s="1043">
        <v>13500</v>
      </c>
      <c r="CA15" s="1043">
        <v>13500</v>
      </c>
      <c r="CB15" s="1043">
        <v>13500</v>
      </c>
      <c r="CE15" s="1042" t="str">
        <f t="shared" ref="CE15:CE24" si="13">IFERROR(B15/D15,"")</f>
        <v/>
      </c>
    </row>
    <row r="16" spans="1:83" s="856" customFormat="1" ht="25.5" customHeight="1" x14ac:dyDescent="0.25">
      <c r="A16" s="1043">
        <v>600</v>
      </c>
      <c r="B16" s="1043"/>
      <c r="C16" s="1043">
        <v>25800</v>
      </c>
      <c r="D16" s="1043"/>
      <c r="E16" s="1043"/>
      <c r="F16" s="1043"/>
      <c r="G16" s="1043"/>
      <c r="H16" s="1043" t="s">
        <v>388</v>
      </c>
      <c r="I16" s="1045" t="s">
        <v>358</v>
      </c>
      <c r="J16" s="1045"/>
      <c r="K16" s="866"/>
      <c r="L16" s="1043">
        <f t="shared" ref="L16:L23" si="14">SUM(BV16)</f>
        <v>12900</v>
      </c>
      <c r="M16" s="858"/>
      <c r="N16" s="861"/>
      <c r="O16" s="861"/>
      <c r="P16" s="861"/>
      <c r="Q16" s="1041"/>
      <c r="R16" s="1043"/>
      <c r="S16" s="1043">
        <f t="shared" ref="S16:S23" si="15">+BW16</f>
        <v>4300</v>
      </c>
      <c r="U16" s="1043">
        <f t="shared" si="11"/>
        <v>4300</v>
      </c>
      <c r="V16" s="1043">
        <f t="shared" si="12"/>
        <v>17200</v>
      </c>
      <c r="W16" s="1043">
        <f t="shared" ref="W16:W23" si="16">+J16-V16</f>
        <v>-17200</v>
      </c>
      <c r="X16" s="1041"/>
      <c r="Y16" s="1043"/>
      <c r="Z16" s="1043"/>
      <c r="AA16" s="1043"/>
      <c r="AB16" s="1043"/>
      <c r="AC16" s="1043"/>
      <c r="AD16" s="860" t="e">
        <f t="shared" ref="AD16:AK16" si="17">+$H16*AD15</f>
        <v>#VALUE!</v>
      </c>
      <c r="AE16" s="860" t="e">
        <f t="shared" si="17"/>
        <v>#VALUE!</v>
      </c>
      <c r="AF16" s="860" t="e">
        <f t="shared" si="17"/>
        <v>#VALUE!</v>
      </c>
      <c r="AG16" s="860" t="e">
        <f t="shared" si="17"/>
        <v>#VALUE!</v>
      </c>
      <c r="AH16" s="860" t="e">
        <f t="shared" si="17"/>
        <v>#VALUE!</v>
      </c>
      <c r="AI16" s="860" t="e">
        <f t="shared" si="17"/>
        <v>#VALUE!</v>
      </c>
      <c r="AJ16" s="860" t="e">
        <f t="shared" si="17"/>
        <v>#VALUE!</v>
      </c>
      <c r="AK16" s="860" t="e">
        <f t="shared" si="17"/>
        <v>#VALUE!</v>
      </c>
      <c r="AL16" s="860" t="e">
        <f>+$H16*AL15</f>
        <v>#VALUE!</v>
      </c>
      <c r="AM16" s="860" t="e">
        <f>+$H16*AM15</f>
        <v>#VALUE!</v>
      </c>
      <c r="AN16" s="860" t="e">
        <f t="shared" ref="AN16:BA16" si="18">+$H16*AN15</f>
        <v>#VALUE!</v>
      </c>
      <c r="AO16" s="860" t="e">
        <f t="shared" si="18"/>
        <v>#VALUE!</v>
      </c>
      <c r="AP16" s="860" t="e">
        <f t="shared" si="18"/>
        <v>#VALUE!</v>
      </c>
      <c r="AQ16" s="860" t="e">
        <f t="shared" si="18"/>
        <v>#VALUE!</v>
      </c>
      <c r="AR16" s="860" t="e">
        <f t="shared" si="18"/>
        <v>#VALUE!</v>
      </c>
      <c r="AS16" s="860" t="e">
        <f t="shared" si="18"/>
        <v>#VALUE!</v>
      </c>
      <c r="AT16" s="860" t="e">
        <f t="shared" si="18"/>
        <v>#VALUE!</v>
      </c>
      <c r="AU16" s="860" t="e">
        <f t="shared" si="18"/>
        <v>#VALUE!</v>
      </c>
      <c r="AV16" s="860" t="e">
        <f t="shared" si="18"/>
        <v>#VALUE!</v>
      </c>
      <c r="AW16" s="860" t="e">
        <f t="shared" si="18"/>
        <v>#VALUE!</v>
      </c>
      <c r="AX16" s="860" t="e">
        <f t="shared" si="18"/>
        <v>#VALUE!</v>
      </c>
      <c r="AY16" s="860" t="e">
        <f t="shared" si="18"/>
        <v>#VALUE!</v>
      </c>
      <c r="AZ16" s="860" t="e">
        <f t="shared" si="18"/>
        <v>#VALUE!</v>
      </c>
      <c r="BA16" s="860" t="e">
        <f t="shared" si="18"/>
        <v>#VALUE!</v>
      </c>
      <c r="BB16" s="860" t="e">
        <f>+$H16*BB15</f>
        <v>#VALUE!</v>
      </c>
      <c r="BC16" s="860" t="e">
        <f>+$H16*BC15</f>
        <v>#VALUE!</v>
      </c>
      <c r="BD16" s="860" t="e">
        <f>+$H16*BD15</f>
        <v>#VALUE!</v>
      </c>
      <c r="BE16" s="860" t="e">
        <f>+$H16*BE15</f>
        <v>#VALUE!</v>
      </c>
      <c r="BF16" s="858"/>
      <c r="BG16" s="1043">
        <f t="shared" si="7"/>
        <v>0</v>
      </c>
      <c r="BH16" s="1043">
        <f t="shared" si="8"/>
        <v>0</v>
      </c>
      <c r="BI16" s="1043">
        <f t="shared" si="9"/>
        <v>0</v>
      </c>
      <c r="BJ16" s="866"/>
      <c r="BK16" s="1043">
        <f t="shared" si="10"/>
        <v>0</v>
      </c>
      <c r="BL16" s="1043"/>
      <c r="BM16" s="1043"/>
      <c r="BN16" s="1043"/>
      <c r="BO16" s="1043"/>
      <c r="BP16" s="858"/>
      <c r="BQ16" s="1043"/>
      <c r="BR16" s="859"/>
      <c r="BS16" s="859"/>
      <c r="BT16" s="858"/>
      <c r="BU16" s="1043">
        <f t="shared" ref="BU16:BU23" si="19">SUM(BX16:CB16)</f>
        <v>25800</v>
      </c>
      <c r="BV16" s="1043">
        <f t="shared" ref="BV16:BV23" si="20">SUM(BX16:BY16)</f>
        <v>12900</v>
      </c>
      <c r="BW16" s="1043">
        <f t="shared" ref="BW16:BW23" si="21">BZ16</f>
        <v>4300</v>
      </c>
      <c r="BX16" s="1043">
        <v>8600</v>
      </c>
      <c r="BY16" s="1043">
        <v>4300</v>
      </c>
      <c r="BZ16" s="1043">
        <v>4300</v>
      </c>
      <c r="CA16" s="1043">
        <v>4300</v>
      </c>
      <c r="CB16" s="1043">
        <v>4300</v>
      </c>
      <c r="CE16" s="1042" t="str">
        <f t="shared" si="13"/>
        <v/>
      </c>
    </row>
    <row r="17" spans="1:83" s="856" customFormat="1" ht="25.5" customHeight="1" x14ac:dyDescent="0.25">
      <c r="A17" s="1043">
        <v>600</v>
      </c>
      <c r="B17" s="1043"/>
      <c r="C17" s="1043">
        <v>25200</v>
      </c>
      <c r="D17" s="1043"/>
      <c r="E17" s="1043"/>
      <c r="F17" s="1043"/>
      <c r="G17" s="1043"/>
      <c r="H17" s="1043" t="s">
        <v>389</v>
      </c>
      <c r="I17" s="1045" t="s">
        <v>358</v>
      </c>
      <c r="J17" s="1045"/>
      <c r="K17" s="866"/>
      <c r="L17" s="1043">
        <f t="shared" si="14"/>
        <v>12600</v>
      </c>
      <c r="M17" s="858"/>
      <c r="N17" s="857"/>
      <c r="O17" s="857"/>
      <c r="P17" s="857"/>
      <c r="Q17" s="1041"/>
      <c r="R17" s="1043"/>
      <c r="S17" s="1043">
        <f t="shared" si="15"/>
        <v>4200</v>
      </c>
      <c r="U17" s="1043">
        <f t="shared" si="11"/>
        <v>4200</v>
      </c>
      <c r="V17" s="1043">
        <f t="shared" si="12"/>
        <v>16800</v>
      </c>
      <c r="W17" s="1043">
        <f t="shared" si="16"/>
        <v>-16800</v>
      </c>
      <c r="X17" s="1041"/>
      <c r="Y17" s="1043"/>
      <c r="Z17" s="1043"/>
      <c r="AA17" s="1043"/>
      <c r="AB17" s="1043"/>
      <c r="AC17" s="1043"/>
      <c r="AD17" s="1043">
        <v>1</v>
      </c>
      <c r="AE17" s="1043">
        <v>1</v>
      </c>
      <c r="AF17" s="1043">
        <v>1</v>
      </c>
      <c r="AG17" s="1043">
        <v>1</v>
      </c>
      <c r="AH17" s="1043">
        <v>1</v>
      </c>
      <c r="AI17" s="1043">
        <v>1</v>
      </c>
      <c r="AJ17" s="1043">
        <v>1</v>
      </c>
      <c r="AK17" s="1043">
        <v>1</v>
      </c>
      <c r="AL17" s="1043">
        <v>1</v>
      </c>
      <c r="AM17" s="1043">
        <v>1</v>
      </c>
      <c r="AN17" s="1043">
        <v>1</v>
      </c>
      <c r="AO17" s="1043">
        <v>1</v>
      </c>
      <c r="AP17" s="1043">
        <v>1</v>
      </c>
      <c r="AQ17" s="1043"/>
      <c r="AR17" s="1043"/>
      <c r="AS17" s="1043"/>
      <c r="AT17" s="1043"/>
      <c r="AU17" s="1043"/>
      <c r="AV17" s="1043"/>
      <c r="AW17" s="1043"/>
      <c r="AX17" s="1043"/>
      <c r="AY17" s="1043"/>
      <c r="AZ17" s="1043"/>
      <c r="BA17" s="1043"/>
      <c r="BB17" s="1043"/>
      <c r="BC17" s="1043"/>
      <c r="BD17" s="1043"/>
      <c r="BE17" s="1043"/>
      <c r="BF17" s="858"/>
      <c r="BG17" s="1043">
        <f t="shared" si="7"/>
        <v>0</v>
      </c>
      <c r="BH17" s="1043">
        <f t="shared" si="8"/>
        <v>0</v>
      </c>
      <c r="BI17" s="1043">
        <f t="shared" si="9"/>
        <v>0</v>
      </c>
      <c r="BJ17" s="866"/>
      <c r="BK17" s="1043">
        <f t="shared" si="10"/>
        <v>0</v>
      </c>
      <c r="BL17" s="1043"/>
      <c r="BM17" s="1043"/>
      <c r="BN17" s="1043"/>
      <c r="BO17" s="1043"/>
      <c r="BP17" s="858"/>
      <c r="BQ17" s="1043"/>
      <c r="BR17" s="859"/>
      <c r="BS17" s="859"/>
      <c r="BT17" s="858"/>
      <c r="BU17" s="1043">
        <f t="shared" si="19"/>
        <v>25200</v>
      </c>
      <c r="BV17" s="1043">
        <f t="shared" si="20"/>
        <v>12600</v>
      </c>
      <c r="BW17" s="1043">
        <f t="shared" si="21"/>
        <v>4200</v>
      </c>
      <c r="BX17" s="1043">
        <v>8400</v>
      </c>
      <c r="BY17" s="1043">
        <v>4200</v>
      </c>
      <c r="BZ17" s="1043">
        <v>4200</v>
      </c>
      <c r="CA17" s="1043">
        <v>4200</v>
      </c>
      <c r="CB17" s="1043">
        <v>4200</v>
      </c>
      <c r="CE17" s="1042" t="str">
        <f t="shared" si="13"/>
        <v/>
      </c>
    </row>
    <row r="18" spans="1:83" s="856" customFormat="1" ht="25.5" customHeight="1" x14ac:dyDescent="0.25">
      <c r="A18" s="1043">
        <v>600</v>
      </c>
      <c r="B18" s="1043"/>
      <c r="C18" s="1043">
        <v>12500</v>
      </c>
      <c r="D18" s="1043"/>
      <c r="E18" s="1043"/>
      <c r="F18" s="1043"/>
      <c r="G18" s="1043"/>
      <c r="H18" s="1043" t="s">
        <v>390</v>
      </c>
      <c r="I18" s="1045" t="s">
        <v>358</v>
      </c>
      <c r="J18" s="1045"/>
      <c r="K18" s="866"/>
      <c r="L18" s="1043">
        <f t="shared" si="14"/>
        <v>5000</v>
      </c>
      <c r="M18" s="858"/>
      <c r="N18" s="861"/>
      <c r="O18" s="861"/>
      <c r="P18" s="861"/>
      <c r="Q18" s="1041"/>
      <c r="R18" s="1043"/>
      <c r="S18" s="1043">
        <f t="shared" si="15"/>
        <v>2500</v>
      </c>
      <c r="U18" s="1043">
        <f t="shared" si="11"/>
        <v>2500</v>
      </c>
      <c r="V18" s="1043">
        <f t="shared" si="12"/>
        <v>7500</v>
      </c>
      <c r="W18" s="1043">
        <f t="shared" si="16"/>
        <v>-7500</v>
      </c>
      <c r="X18" s="1041"/>
      <c r="Y18" s="1043"/>
      <c r="Z18" s="1043"/>
      <c r="AA18" s="1043"/>
      <c r="AB18" s="1043"/>
      <c r="AC18" s="1043"/>
      <c r="AD18" s="860" t="e">
        <f t="shared" ref="AD18:BE18" si="22">+$H18*AD17</f>
        <v>#VALUE!</v>
      </c>
      <c r="AE18" s="860" t="e">
        <f t="shared" si="22"/>
        <v>#VALUE!</v>
      </c>
      <c r="AF18" s="860" t="e">
        <f t="shared" si="22"/>
        <v>#VALUE!</v>
      </c>
      <c r="AG18" s="860" t="e">
        <f t="shared" si="22"/>
        <v>#VALUE!</v>
      </c>
      <c r="AH18" s="860" t="e">
        <f t="shared" si="22"/>
        <v>#VALUE!</v>
      </c>
      <c r="AI18" s="860" t="e">
        <f t="shared" si="22"/>
        <v>#VALUE!</v>
      </c>
      <c r="AJ18" s="860" t="e">
        <f t="shared" si="22"/>
        <v>#VALUE!</v>
      </c>
      <c r="AK18" s="860" t="e">
        <f t="shared" si="22"/>
        <v>#VALUE!</v>
      </c>
      <c r="AL18" s="860" t="e">
        <f t="shared" si="22"/>
        <v>#VALUE!</v>
      </c>
      <c r="AM18" s="860" t="e">
        <f t="shared" si="22"/>
        <v>#VALUE!</v>
      </c>
      <c r="AN18" s="860" t="e">
        <f t="shared" si="22"/>
        <v>#VALUE!</v>
      </c>
      <c r="AO18" s="860" t="e">
        <f t="shared" si="22"/>
        <v>#VALUE!</v>
      </c>
      <c r="AP18" s="860" t="e">
        <f t="shared" si="22"/>
        <v>#VALUE!</v>
      </c>
      <c r="AQ18" s="860" t="e">
        <f t="shared" si="22"/>
        <v>#VALUE!</v>
      </c>
      <c r="AR18" s="860" t="e">
        <f t="shared" si="22"/>
        <v>#VALUE!</v>
      </c>
      <c r="AS18" s="860" t="e">
        <f t="shared" si="22"/>
        <v>#VALUE!</v>
      </c>
      <c r="AT18" s="860" t="e">
        <f t="shared" si="22"/>
        <v>#VALUE!</v>
      </c>
      <c r="AU18" s="860" t="e">
        <f t="shared" si="22"/>
        <v>#VALUE!</v>
      </c>
      <c r="AV18" s="860" t="e">
        <f t="shared" si="22"/>
        <v>#VALUE!</v>
      </c>
      <c r="AW18" s="860" t="e">
        <f t="shared" si="22"/>
        <v>#VALUE!</v>
      </c>
      <c r="AX18" s="860" t="e">
        <f t="shared" si="22"/>
        <v>#VALUE!</v>
      </c>
      <c r="AY18" s="860" t="e">
        <f t="shared" si="22"/>
        <v>#VALUE!</v>
      </c>
      <c r="AZ18" s="860" t="e">
        <f t="shared" si="22"/>
        <v>#VALUE!</v>
      </c>
      <c r="BA18" s="860" t="e">
        <f t="shared" si="22"/>
        <v>#VALUE!</v>
      </c>
      <c r="BB18" s="860" t="e">
        <f t="shared" si="22"/>
        <v>#VALUE!</v>
      </c>
      <c r="BC18" s="860" t="e">
        <f t="shared" si="22"/>
        <v>#VALUE!</v>
      </c>
      <c r="BD18" s="860" t="e">
        <f t="shared" si="22"/>
        <v>#VALUE!</v>
      </c>
      <c r="BE18" s="860" t="e">
        <f t="shared" si="22"/>
        <v>#VALUE!</v>
      </c>
      <c r="BF18" s="858"/>
      <c r="BG18" s="1043">
        <f t="shared" si="7"/>
        <v>0</v>
      </c>
      <c r="BH18" s="1043">
        <f t="shared" si="8"/>
        <v>0</v>
      </c>
      <c r="BI18" s="1043">
        <f t="shared" si="9"/>
        <v>0</v>
      </c>
      <c r="BJ18" s="866"/>
      <c r="BK18" s="1043">
        <f t="shared" si="10"/>
        <v>0</v>
      </c>
      <c r="BL18" s="1043"/>
      <c r="BM18" s="1043"/>
      <c r="BN18" s="1043"/>
      <c r="BO18" s="1043"/>
      <c r="BP18" s="858"/>
      <c r="BQ18" s="1043"/>
      <c r="BR18" s="859"/>
      <c r="BS18" s="859"/>
      <c r="BT18" s="858"/>
      <c r="BU18" s="1043">
        <f t="shared" si="19"/>
        <v>12500</v>
      </c>
      <c r="BV18" s="1043">
        <f t="shared" si="20"/>
        <v>5000</v>
      </c>
      <c r="BW18" s="1043">
        <f t="shared" si="21"/>
        <v>2500</v>
      </c>
      <c r="BX18" s="1043">
        <v>2500</v>
      </c>
      <c r="BY18" s="1043">
        <v>2500</v>
      </c>
      <c r="BZ18" s="1043">
        <v>2500</v>
      </c>
      <c r="CA18" s="1043">
        <v>2500</v>
      </c>
      <c r="CB18" s="1043">
        <v>2500</v>
      </c>
      <c r="CE18" s="1042" t="str">
        <f t="shared" si="13"/>
        <v/>
      </c>
    </row>
    <row r="19" spans="1:83" s="1325" customFormat="1" ht="25.5" customHeight="1" x14ac:dyDescent="0.25">
      <c r="A19" s="1327"/>
      <c r="B19" s="1327"/>
      <c r="C19" s="1327"/>
      <c r="D19" s="1327"/>
      <c r="E19" s="1327"/>
      <c r="F19" s="1327"/>
      <c r="G19" s="1327"/>
      <c r="H19" s="1327" t="s">
        <v>396</v>
      </c>
      <c r="I19" s="1327"/>
      <c r="J19" s="1327"/>
      <c r="K19" s="1322"/>
      <c r="L19" s="1327"/>
      <c r="M19" s="1323"/>
      <c r="N19" s="1321"/>
      <c r="O19" s="1321"/>
      <c r="P19" s="1321"/>
      <c r="Q19" s="1324"/>
      <c r="R19" s="1327"/>
      <c r="S19" s="1043"/>
      <c r="U19" s="1327">
        <f t="shared" si="11"/>
        <v>0</v>
      </c>
      <c r="V19" s="1327">
        <f t="shared" si="12"/>
        <v>0</v>
      </c>
      <c r="W19" s="1327"/>
      <c r="X19" s="1324"/>
      <c r="Y19" s="1327"/>
      <c r="Z19" s="1327"/>
      <c r="AA19" s="1327"/>
      <c r="AB19" s="1327"/>
      <c r="AC19" s="1327"/>
      <c r="AD19" s="1327"/>
      <c r="AE19" s="1327"/>
      <c r="AF19" s="1327"/>
      <c r="AG19" s="1327"/>
      <c r="AH19" s="1327"/>
      <c r="AI19" s="1327"/>
      <c r="AJ19" s="1327"/>
      <c r="AK19" s="1327"/>
      <c r="AL19" s="1327"/>
      <c r="AM19" s="1327"/>
      <c r="AN19" s="1327"/>
      <c r="AO19" s="1327"/>
      <c r="AP19" s="1327"/>
      <c r="AQ19" s="1327"/>
      <c r="AR19" s="1327"/>
      <c r="AS19" s="1327"/>
      <c r="AT19" s="1327"/>
      <c r="AU19" s="1327"/>
      <c r="AV19" s="1327"/>
      <c r="AW19" s="1327"/>
      <c r="AX19" s="1327"/>
      <c r="AY19" s="1327"/>
      <c r="AZ19" s="1327"/>
      <c r="BA19" s="1327"/>
      <c r="BB19" s="1327"/>
      <c r="BC19" s="1327"/>
      <c r="BD19" s="1327"/>
      <c r="BE19" s="1327"/>
      <c r="BF19" s="1323"/>
      <c r="BG19" s="1327">
        <f t="shared" si="7"/>
        <v>0</v>
      </c>
      <c r="BH19" s="1327">
        <f t="shared" si="8"/>
        <v>0</v>
      </c>
      <c r="BI19" s="1327">
        <f t="shared" si="9"/>
        <v>0</v>
      </c>
      <c r="BJ19" s="1322"/>
      <c r="BK19" s="1327">
        <f t="shared" si="10"/>
        <v>0</v>
      </c>
      <c r="BL19" s="1327"/>
      <c r="BM19" s="1327"/>
      <c r="BN19" s="1327"/>
      <c r="BO19" s="1327"/>
      <c r="BP19" s="1323"/>
      <c r="BQ19" s="1327"/>
      <c r="BR19" s="1326"/>
      <c r="BS19" s="1326"/>
      <c r="BT19" s="1323"/>
      <c r="BU19" s="1327"/>
      <c r="BV19" s="1327"/>
      <c r="BW19" s="1327"/>
      <c r="BX19" s="1327"/>
      <c r="BY19" s="1327"/>
      <c r="BZ19" s="1327"/>
      <c r="CA19" s="1327"/>
      <c r="CB19" s="1327"/>
      <c r="CE19" s="1328" t="str">
        <f t="shared" si="13"/>
        <v/>
      </c>
    </row>
    <row r="20" spans="1:83" s="856" customFormat="1" ht="25.5" customHeight="1" x14ac:dyDescent="0.25">
      <c r="A20" s="1043">
        <v>600</v>
      </c>
      <c r="B20" s="1043"/>
      <c r="C20" s="1043">
        <v>21000</v>
      </c>
      <c r="D20" s="1043"/>
      <c r="E20" s="1043"/>
      <c r="F20" s="1043"/>
      <c r="G20" s="1043"/>
      <c r="H20" s="1043" t="s">
        <v>391</v>
      </c>
      <c r="I20" s="1045" t="s">
        <v>358</v>
      </c>
      <c r="J20" s="1045"/>
      <c r="K20" s="866"/>
      <c r="L20" s="1043">
        <f t="shared" si="14"/>
        <v>10500</v>
      </c>
      <c r="M20" s="858"/>
      <c r="N20" s="861"/>
      <c r="O20" s="861"/>
      <c r="P20" s="861"/>
      <c r="Q20" s="1041"/>
      <c r="R20" s="1043"/>
      <c r="S20" s="1043">
        <f t="shared" si="15"/>
        <v>3500</v>
      </c>
      <c r="U20" s="1043">
        <f t="shared" si="11"/>
        <v>3500</v>
      </c>
      <c r="V20" s="1043">
        <f t="shared" si="12"/>
        <v>14000</v>
      </c>
      <c r="W20" s="1043">
        <f t="shared" si="16"/>
        <v>-14000</v>
      </c>
      <c r="X20" s="1041"/>
      <c r="Y20" s="1043"/>
      <c r="Z20" s="1043"/>
      <c r="AA20" s="1043"/>
      <c r="AB20" s="1043"/>
      <c r="AC20" s="1043"/>
      <c r="AD20" s="860" t="e">
        <f t="shared" ref="AD20:BE20" si="23">+$H20*AD19</f>
        <v>#VALUE!</v>
      </c>
      <c r="AE20" s="860" t="e">
        <f t="shared" si="23"/>
        <v>#VALUE!</v>
      </c>
      <c r="AF20" s="860" t="e">
        <f t="shared" si="23"/>
        <v>#VALUE!</v>
      </c>
      <c r="AG20" s="860" t="e">
        <f t="shared" si="23"/>
        <v>#VALUE!</v>
      </c>
      <c r="AH20" s="860" t="e">
        <f t="shared" si="23"/>
        <v>#VALUE!</v>
      </c>
      <c r="AI20" s="860" t="e">
        <f t="shared" si="23"/>
        <v>#VALUE!</v>
      </c>
      <c r="AJ20" s="860" t="e">
        <f t="shared" si="23"/>
        <v>#VALUE!</v>
      </c>
      <c r="AK20" s="860" t="e">
        <f t="shared" si="23"/>
        <v>#VALUE!</v>
      </c>
      <c r="AL20" s="860" t="e">
        <f t="shared" si="23"/>
        <v>#VALUE!</v>
      </c>
      <c r="AM20" s="860" t="e">
        <f t="shared" si="23"/>
        <v>#VALUE!</v>
      </c>
      <c r="AN20" s="860" t="e">
        <f t="shared" si="23"/>
        <v>#VALUE!</v>
      </c>
      <c r="AO20" s="860" t="e">
        <f t="shared" si="23"/>
        <v>#VALUE!</v>
      </c>
      <c r="AP20" s="860" t="e">
        <f t="shared" si="23"/>
        <v>#VALUE!</v>
      </c>
      <c r="AQ20" s="860" t="e">
        <f t="shared" si="23"/>
        <v>#VALUE!</v>
      </c>
      <c r="AR20" s="860" t="e">
        <f t="shared" si="23"/>
        <v>#VALUE!</v>
      </c>
      <c r="AS20" s="860" t="e">
        <f t="shared" si="23"/>
        <v>#VALUE!</v>
      </c>
      <c r="AT20" s="860" t="e">
        <f t="shared" si="23"/>
        <v>#VALUE!</v>
      </c>
      <c r="AU20" s="860" t="e">
        <f t="shared" si="23"/>
        <v>#VALUE!</v>
      </c>
      <c r="AV20" s="860" t="e">
        <f t="shared" si="23"/>
        <v>#VALUE!</v>
      </c>
      <c r="AW20" s="860" t="e">
        <f t="shared" si="23"/>
        <v>#VALUE!</v>
      </c>
      <c r="AX20" s="860" t="e">
        <f t="shared" si="23"/>
        <v>#VALUE!</v>
      </c>
      <c r="AY20" s="860" t="e">
        <f t="shared" si="23"/>
        <v>#VALUE!</v>
      </c>
      <c r="AZ20" s="860" t="e">
        <f t="shared" si="23"/>
        <v>#VALUE!</v>
      </c>
      <c r="BA20" s="860" t="e">
        <f t="shared" si="23"/>
        <v>#VALUE!</v>
      </c>
      <c r="BB20" s="860" t="e">
        <f t="shared" si="23"/>
        <v>#VALUE!</v>
      </c>
      <c r="BC20" s="860" t="e">
        <f t="shared" si="23"/>
        <v>#VALUE!</v>
      </c>
      <c r="BD20" s="860" t="e">
        <f t="shared" si="23"/>
        <v>#VALUE!</v>
      </c>
      <c r="BE20" s="860" t="e">
        <f t="shared" si="23"/>
        <v>#VALUE!</v>
      </c>
      <c r="BF20" s="858"/>
      <c r="BG20" s="1043">
        <f t="shared" si="7"/>
        <v>0</v>
      </c>
      <c r="BH20" s="1043">
        <f t="shared" si="8"/>
        <v>0</v>
      </c>
      <c r="BI20" s="1043">
        <f t="shared" si="9"/>
        <v>0</v>
      </c>
      <c r="BJ20" s="866"/>
      <c r="BK20" s="1043">
        <f t="shared" si="10"/>
        <v>0</v>
      </c>
      <c r="BL20" s="1043"/>
      <c r="BM20" s="1043"/>
      <c r="BN20" s="1043"/>
      <c r="BO20" s="1043"/>
      <c r="BP20" s="858"/>
      <c r="BQ20" s="1043"/>
      <c r="BR20" s="859"/>
      <c r="BS20" s="859"/>
      <c r="BT20" s="858"/>
      <c r="BU20" s="1043">
        <f t="shared" si="19"/>
        <v>21000</v>
      </c>
      <c r="BV20" s="1043">
        <f t="shared" si="20"/>
        <v>10500</v>
      </c>
      <c r="BW20" s="1043">
        <f t="shared" si="21"/>
        <v>3500</v>
      </c>
      <c r="BX20" s="1043">
        <v>7000</v>
      </c>
      <c r="BY20" s="1043">
        <v>3500</v>
      </c>
      <c r="BZ20" s="1043">
        <v>3500</v>
      </c>
      <c r="CA20" s="1043">
        <v>3500</v>
      </c>
      <c r="CB20" s="1043">
        <v>3500</v>
      </c>
      <c r="CE20" s="1042" t="str">
        <f t="shared" si="13"/>
        <v/>
      </c>
    </row>
    <row r="21" spans="1:83" s="856" customFormat="1" ht="25.5" customHeight="1" x14ac:dyDescent="0.25">
      <c r="A21" s="1043">
        <v>600</v>
      </c>
      <c r="B21" s="1043"/>
      <c r="C21" s="1043">
        <v>10800</v>
      </c>
      <c r="D21" s="1043"/>
      <c r="E21" s="1043"/>
      <c r="F21" s="1043"/>
      <c r="G21" s="1043"/>
      <c r="H21" s="1043" t="s">
        <v>392</v>
      </c>
      <c r="I21" s="1045" t="s">
        <v>358</v>
      </c>
      <c r="J21" s="1045"/>
      <c r="K21" s="866"/>
      <c r="L21" s="1043">
        <f t="shared" si="14"/>
        <v>5400</v>
      </c>
      <c r="M21" s="858"/>
      <c r="N21" s="857"/>
      <c r="O21" s="857"/>
      <c r="P21" s="857"/>
      <c r="Q21" s="1041"/>
      <c r="R21" s="1043"/>
      <c r="S21" s="1043">
        <f>+BW21</f>
        <v>1800</v>
      </c>
      <c r="U21" s="1043">
        <f t="shared" si="11"/>
        <v>1800</v>
      </c>
      <c r="V21" s="1043">
        <f t="shared" si="12"/>
        <v>7200</v>
      </c>
      <c r="W21" s="1043">
        <f t="shared" si="16"/>
        <v>-7200</v>
      </c>
      <c r="X21" s="1041"/>
      <c r="Y21" s="1043"/>
      <c r="Z21" s="1043"/>
      <c r="AA21" s="1043"/>
      <c r="AB21" s="1043"/>
      <c r="AC21" s="1043"/>
      <c r="AD21" s="1043">
        <v>1</v>
      </c>
      <c r="AE21" s="1043">
        <v>1</v>
      </c>
      <c r="AF21" s="1043">
        <v>1</v>
      </c>
      <c r="AG21" s="1043">
        <v>1</v>
      </c>
      <c r="AH21" s="1043">
        <v>1</v>
      </c>
      <c r="AI21" s="1043">
        <v>1</v>
      </c>
      <c r="AJ21" s="1043">
        <v>1</v>
      </c>
      <c r="AK21" s="1043">
        <v>1</v>
      </c>
      <c r="AL21" s="1043">
        <v>1</v>
      </c>
      <c r="AM21" s="1043">
        <v>1</v>
      </c>
      <c r="AN21" s="1043">
        <v>1</v>
      </c>
      <c r="AO21" s="1043">
        <v>1</v>
      </c>
      <c r="AP21" s="1043">
        <v>1</v>
      </c>
      <c r="AQ21" s="1043"/>
      <c r="AR21" s="1043"/>
      <c r="AS21" s="1043"/>
      <c r="AT21" s="1043"/>
      <c r="AU21" s="1043"/>
      <c r="AV21" s="1043"/>
      <c r="AW21" s="1043"/>
      <c r="AX21" s="1043"/>
      <c r="AY21" s="1043"/>
      <c r="AZ21" s="1043"/>
      <c r="BA21" s="1043"/>
      <c r="BB21" s="1043"/>
      <c r="BC21" s="1043"/>
      <c r="BD21" s="1043"/>
      <c r="BE21" s="1043"/>
      <c r="BF21" s="858"/>
      <c r="BG21" s="1043">
        <f t="shared" si="7"/>
        <v>0</v>
      </c>
      <c r="BH21" s="1043">
        <f t="shared" si="8"/>
        <v>0</v>
      </c>
      <c r="BI21" s="1043">
        <f t="shared" si="9"/>
        <v>0</v>
      </c>
      <c r="BJ21" s="866"/>
      <c r="BK21" s="1043">
        <f t="shared" si="10"/>
        <v>0</v>
      </c>
      <c r="BL21" s="1043"/>
      <c r="BM21" s="1043"/>
      <c r="BN21" s="1043"/>
      <c r="BO21" s="1043"/>
      <c r="BP21" s="858"/>
      <c r="BQ21" s="1043"/>
      <c r="BR21" s="859"/>
      <c r="BS21" s="859"/>
      <c r="BT21" s="858"/>
      <c r="BU21" s="1043">
        <f t="shared" si="19"/>
        <v>10800</v>
      </c>
      <c r="BV21" s="1043">
        <f t="shared" si="20"/>
        <v>5400</v>
      </c>
      <c r="BW21" s="1043">
        <f t="shared" si="21"/>
        <v>1800</v>
      </c>
      <c r="BX21" s="1043">
        <v>3600</v>
      </c>
      <c r="BY21" s="1043">
        <v>1800</v>
      </c>
      <c r="BZ21" s="1043">
        <v>1800</v>
      </c>
      <c r="CA21" s="1043">
        <v>1800</v>
      </c>
      <c r="CB21" s="1043">
        <v>1800</v>
      </c>
      <c r="CE21" s="1042" t="str">
        <f t="shared" si="13"/>
        <v/>
      </c>
    </row>
    <row r="22" spans="1:83" s="856" customFormat="1" ht="25.5" customHeight="1" x14ac:dyDescent="0.25">
      <c r="A22" s="1043">
        <v>600</v>
      </c>
      <c r="B22" s="1043"/>
      <c r="C22" s="1043">
        <v>8100</v>
      </c>
      <c r="D22" s="1043"/>
      <c r="E22" s="1043"/>
      <c r="F22" s="1043"/>
      <c r="G22" s="1043"/>
      <c r="H22" s="1043" t="s">
        <v>393</v>
      </c>
      <c r="I22" s="1045" t="s">
        <v>358</v>
      </c>
      <c r="J22" s="1045"/>
      <c r="K22" s="866"/>
      <c r="L22" s="1043">
        <f t="shared" si="14"/>
        <v>4050</v>
      </c>
      <c r="M22" s="858"/>
      <c r="N22" s="861"/>
      <c r="O22" s="861"/>
      <c r="P22" s="861"/>
      <c r="Q22" s="1041"/>
      <c r="R22" s="1043"/>
      <c r="S22" s="1043">
        <f t="shared" si="15"/>
        <v>1350</v>
      </c>
      <c r="U22" s="1043">
        <f t="shared" si="11"/>
        <v>1350</v>
      </c>
      <c r="V22" s="1043">
        <f t="shared" si="12"/>
        <v>5400</v>
      </c>
      <c r="W22" s="1043">
        <f t="shared" si="16"/>
        <v>-5400</v>
      </c>
      <c r="X22" s="1041"/>
      <c r="Y22" s="1043"/>
      <c r="Z22" s="1043"/>
      <c r="AA22" s="1043"/>
      <c r="AB22" s="1043"/>
      <c r="AC22" s="1043"/>
      <c r="AD22" s="860">
        <f t="shared" ref="AD22:AP22" si="24">8000*1.49</f>
        <v>11920</v>
      </c>
      <c r="AE22" s="860">
        <f t="shared" si="24"/>
        <v>11920</v>
      </c>
      <c r="AF22" s="860">
        <f t="shared" si="24"/>
        <v>11920</v>
      </c>
      <c r="AG22" s="860">
        <f t="shared" si="24"/>
        <v>11920</v>
      </c>
      <c r="AH22" s="860">
        <f t="shared" si="24"/>
        <v>11920</v>
      </c>
      <c r="AI22" s="860">
        <f t="shared" si="24"/>
        <v>11920</v>
      </c>
      <c r="AJ22" s="860">
        <f t="shared" si="24"/>
        <v>11920</v>
      </c>
      <c r="AK22" s="860">
        <f t="shared" si="24"/>
        <v>11920</v>
      </c>
      <c r="AL22" s="860">
        <f t="shared" si="24"/>
        <v>11920</v>
      </c>
      <c r="AM22" s="860">
        <f t="shared" si="24"/>
        <v>11920</v>
      </c>
      <c r="AN22" s="860">
        <f t="shared" si="24"/>
        <v>11920</v>
      </c>
      <c r="AO22" s="860">
        <f t="shared" si="24"/>
        <v>11920</v>
      </c>
      <c r="AP22" s="860">
        <f t="shared" si="24"/>
        <v>11920</v>
      </c>
      <c r="AQ22" s="860"/>
      <c r="AR22" s="860" t="e">
        <f t="shared" ref="AR22:BE22" si="25">+$H22*AR21</f>
        <v>#VALUE!</v>
      </c>
      <c r="AS22" s="860" t="e">
        <f t="shared" si="25"/>
        <v>#VALUE!</v>
      </c>
      <c r="AT22" s="860" t="e">
        <f t="shared" si="25"/>
        <v>#VALUE!</v>
      </c>
      <c r="AU22" s="860" t="e">
        <f t="shared" si="25"/>
        <v>#VALUE!</v>
      </c>
      <c r="AV22" s="860" t="e">
        <f t="shared" si="25"/>
        <v>#VALUE!</v>
      </c>
      <c r="AW22" s="860" t="e">
        <f t="shared" si="25"/>
        <v>#VALUE!</v>
      </c>
      <c r="AX22" s="860" t="e">
        <f t="shared" si="25"/>
        <v>#VALUE!</v>
      </c>
      <c r="AY22" s="860" t="e">
        <f t="shared" si="25"/>
        <v>#VALUE!</v>
      </c>
      <c r="AZ22" s="860" t="e">
        <f t="shared" si="25"/>
        <v>#VALUE!</v>
      </c>
      <c r="BA22" s="860" t="e">
        <f t="shared" si="25"/>
        <v>#VALUE!</v>
      </c>
      <c r="BB22" s="860" t="e">
        <f t="shared" si="25"/>
        <v>#VALUE!</v>
      </c>
      <c r="BC22" s="860" t="e">
        <f t="shared" si="25"/>
        <v>#VALUE!</v>
      </c>
      <c r="BD22" s="860" t="e">
        <f t="shared" si="25"/>
        <v>#VALUE!</v>
      </c>
      <c r="BE22" s="860" t="e">
        <f t="shared" si="25"/>
        <v>#VALUE!</v>
      </c>
      <c r="BF22" s="858"/>
      <c r="BG22" s="1043">
        <f t="shared" si="7"/>
        <v>0</v>
      </c>
      <c r="BH22" s="1043">
        <f t="shared" si="8"/>
        <v>0</v>
      </c>
      <c r="BI22" s="1043">
        <f t="shared" si="9"/>
        <v>0</v>
      </c>
      <c r="BJ22" s="866"/>
      <c r="BK22" s="1043">
        <f t="shared" si="10"/>
        <v>0</v>
      </c>
      <c r="BL22" s="1043"/>
      <c r="BM22" s="1043"/>
      <c r="BN22" s="1043"/>
      <c r="BO22" s="1043"/>
      <c r="BP22" s="858"/>
      <c r="BQ22" s="1043"/>
      <c r="BR22" s="859"/>
      <c r="BS22" s="859"/>
      <c r="BT22" s="858"/>
      <c r="BU22" s="1043">
        <f t="shared" si="19"/>
        <v>8100</v>
      </c>
      <c r="BV22" s="1043">
        <f t="shared" si="20"/>
        <v>4050</v>
      </c>
      <c r="BW22" s="1043">
        <f t="shared" si="21"/>
        <v>1350</v>
      </c>
      <c r="BX22" s="1043">
        <v>2700</v>
      </c>
      <c r="BY22" s="1043">
        <v>1350</v>
      </c>
      <c r="BZ22" s="1043">
        <v>1350</v>
      </c>
      <c r="CA22" s="1043">
        <v>1350</v>
      </c>
      <c r="CB22" s="1043">
        <v>1350</v>
      </c>
      <c r="CE22" s="1042" t="str">
        <f t="shared" si="13"/>
        <v/>
      </c>
    </row>
    <row r="23" spans="1:83" s="856" customFormat="1" ht="25.5" customHeight="1" x14ac:dyDescent="0.25">
      <c r="A23" s="1043">
        <v>600</v>
      </c>
      <c r="B23" s="1043"/>
      <c r="C23" s="1043">
        <v>12600</v>
      </c>
      <c r="D23" s="1043"/>
      <c r="E23" s="1043"/>
      <c r="F23" s="1043"/>
      <c r="G23" s="1043"/>
      <c r="H23" s="1043" t="s">
        <v>394</v>
      </c>
      <c r="I23" s="1045" t="s">
        <v>358</v>
      </c>
      <c r="J23" s="1045"/>
      <c r="K23" s="866"/>
      <c r="L23" s="1043">
        <f t="shared" si="14"/>
        <v>6300</v>
      </c>
      <c r="M23" s="858"/>
      <c r="N23" s="857"/>
      <c r="O23" s="857"/>
      <c r="P23" s="857"/>
      <c r="Q23" s="1041"/>
      <c r="R23" s="1043"/>
      <c r="S23" s="1043">
        <f t="shared" si="15"/>
        <v>2100</v>
      </c>
      <c r="U23" s="1043">
        <f t="shared" si="11"/>
        <v>2100</v>
      </c>
      <c r="V23" s="1043">
        <f t="shared" si="12"/>
        <v>8400</v>
      </c>
      <c r="W23" s="1043">
        <f t="shared" si="16"/>
        <v>-8400</v>
      </c>
      <c r="X23" s="1041"/>
      <c r="Y23" s="1043"/>
      <c r="Z23" s="1043"/>
      <c r="AA23" s="1043"/>
      <c r="AB23" s="1043"/>
      <c r="AC23" s="1043"/>
      <c r="AD23" s="1043"/>
      <c r="AE23" s="1043"/>
      <c r="AF23" s="1043"/>
      <c r="AG23" s="1043"/>
      <c r="AH23" s="1043"/>
      <c r="AI23" s="1043"/>
      <c r="AJ23" s="1043"/>
      <c r="AK23" s="1043"/>
      <c r="AL23" s="1043"/>
      <c r="AM23" s="1043"/>
      <c r="AN23" s="1043"/>
      <c r="AO23" s="1043"/>
      <c r="AP23" s="1043"/>
      <c r="AQ23" s="1043"/>
      <c r="AR23" s="1043"/>
      <c r="AS23" s="1043"/>
      <c r="AT23" s="1043"/>
      <c r="AU23" s="1043"/>
      <c r="AV23" s="1043"/>
      <c r="AW23" s="1043"/>
      <c r="AX23" s="1043"/>
      <c r="AY23" s="1043"/>
      <c r="AZ23" s="1043"/>
      <c r="BA23" s="1043"/>
      <c r="BB23" s="1043"/>
      <c r="BC23" s="1043"/>
      <c r="BD23" s="1043"/>
      <c r="BE23" s="1043"/>
      <c r="BF23" s="858"/>
      <c r="BG23" s="1043">
        <f t="shared" si="7"/>
        <v>0</v>
      </c>
      <c r="BH23" s="1043">
        <f t="shared" si="8"/>
        <v>0</v>
      </c>
      <c r="BI23" s="1043">
        <f t="shared" si="9"/>
        <v>0</v>
      </c>
      <c r="BJ23" s="866"/>
      <c r="BK23" s="1043">
        <f t="shared" si="10"/>
        <v>0</v>
      </c>
      <c r="BL23" s="1043"/>
      <c r="BM23" s="1043"/>
      <c r="BN23" s="1043"/>
      <c r="BO23" s="1043"/>
      <c r="BP23" s="858"/>
      <c r="BQ23" s="1043"/>
      <c r="BR23" s="859"/>
      <c r="BS23" s="859"/>
      <c r="BT23" s="858"/>
      <c r="BU23" s="1043">
        <f t="shared" si="19"/>
        <v>12600</v>
      </c>
      <c r="BV23" s="1043">
        <f t="shared" si="20"/>
        <v>6300</v>
      </c>
      <c r="BW23" s="1043">
        <f t="shared" si="21"/>
        <v>2100</v>
      </c>
      <c r="BX23" s="1043">
        <v>4200</v>
      </c>
      <c r="BY23" s="1043">
        <v>2100</v>
      </c>
      <c r="BZ23" s="1043">
        <v>2100</v>
      </c>
      <c r="CA23" s="1043">
        <v>2100</v>
      </c>
      <c r="CB23" s="1043">
        <v>2100</v>
      </c>
      <c r="CE23" s="1042" t="str">
        <f t="shared" si="13"/>
        <v/>
      </c>
    </row>
    <row r="24" spans="1:83" s="856" customFormat="1" ht="25.5" customHeight="1" x14ac:dyDescent="0.25">
      <c r="A24" s="1043"/>
      <c r="B24" s="1043"/>
      <c r="C24" s="1043"/>
      <c r="D24" s="1043"/>
      <c r="E24" s="1043"/>
      <c r="F24" s="1043"/>
      <c r="G24" s="1043"/>
      <c r="H24" s="1043"/>
      <c r="I24" s="1043"/>
      <c r="J24" s="1043"/>
      <c r="K24" s="866"/>
      <c r="L24" s="1043"/>
      <c r="M24" s="858"/>
      <c r="N24" s="861"/>
      <c r="O24" s="861"/>
      <c r="P24" s="861"/>
      <c r="Q24" s="1041"/>
      <c r="R24" s="1043"/>
      <c r="S24" s="1043"/>
      <c r="U24" s="1043">
        <f t="shared" si="11"/>
        <v>0</v>
      </c>
      <c r="V24" s="1043">
        <f t="shared" si="12"/>
        <v>0</v>
      </c>
      <c r="W24" s="1043"/>
      <c r="X24" s="1041"/>
      <c r="Y24" s="1043">
        <f t="shared" ref="Y24:AC24" si="26">+$H24*Y23</f>
        <v>0</v>
      </c>
      <c r="Z24" s="1043">
        <f t="shared" si="26"/>
        <v>0</v>
      </c>
      <c r="AA24" s="1043">
        <f t="shared" si="26"/>
        <v>0</v>
      </c>
      <c r="AB24" s="1043">
        <f t="shared" si="26"/>
        <v>0</v>
      </c>
      <c r="AC24" s="1043">
        <f t="shared" si="26"/>
        <v>0</v>
      </c>
      <c r="AD24" s="860">
        <f t="shared" ref="AD24:BE24" si="27">+$H24*AD23</f>
        <v>0</v>
      </c>
      <c r="AE24" s="860">
        <f t="shared" si="27"/>
        <v>0</v>
      </c>
      <c r="AF24" s="860">
        <f t="shared" si="27"/>
        <v>0</v>
      </c>
      <c r="AG24" s="860">
        <f t="shared" si="27"/>
        <v>0</v>
      </c>
      <c r="AH24" s="860">
        <f t="shared" si="27"/>
        <v>0</v>
      </c>
      <c r="AI24" s="860">
        <f t="shared" si="27"/>
        <v>0</v>
      </c>
      <c r="AJ24" s="860">
        <f t="shared" si="27"/>
        <v>0</v>
      </c>
      <c r="AK24" s="860">
        <f t="shared" si="27"/>
        <v>0</v>
      </c>
      <c r="AL24" s="860">
        <f t="shared" si="27"/>
        <v>0</v>
      </c>
      <c r="AM24" s="860">
        <f t="shared" si="27"/>
        <v>0</v>
      </c>
      <c r="AN24" s="860">
        <f t="shared" si="27"/>
        <v>0</v>
      </c>
      <c r="AO24" s="860">
        <f t="shared" si="27"/>
        <v>0</v>
      </c>
      <c r="AP24" s="860">
        <f t="shared" si="27"/>
        <v>0</v>
      </c>
      <c r="AQ24" s="860">
        <f t="shared" si="27"/>
        <v>0</v>
      </c>
      <c r="AR24" s="860">
        <f t="shared" si="27"/>
        <v>0</v>
      </c>
      <c r="AS24" s="860">
        <f t="shared" si="27"/>
        <v>0</v>
      </c>
      <c r="AT24" s="860">
        <f t="shared" si="27"/>
        <v>0</v>
      </c>
      <c r="AU24" s="860">
        <f t="shared" si="27"/>
        <v>0</v>
      </c>
      <c r="AV24" s="860">
        <f t="shared" si="27"/>
        <v>0</v>
      </c>
      <c r="AW24" s="860">
        <f t="shared" si="27"/>
        <v>0</v>
      </c>
      <c r="AX24" s="860">
        <f t="shared" si="27"/>
        <v>0</v>
      </c>
      <c r="AY24" s="860">
        <f t="shared" si="27"/>
        <v>0</v>
      </c>
      <c r="AZ24" s="860">
        <f t="shared" si="27"/>
        <v>0</v>
      </c>
      <c r="BA24" s="860">
        <f t="shared" si="27"/>
        <v>0</v>
      </c>
      <c r="BB24" s="860">
        <f t="shared" si="27"/>
        <v>0</v>
      </c>
      <c r="BC24" s="860">
        <f t="shared" si="27"/>
        <v>0</v>
      </c>
      <c r="BD24" s="860">
        <f t="shared" si="27"/>
        <v>0</v>
      </c>
      <c r="BE24" s="860">
        <f t="shared" si="27"/>
        <v>0</v>
      </c>
      <c r="BF24" s="858"/>
      <c r="BG24" s="1043">
        <f t="shared" si="7"/>
        <v>0</v>
      </c>
      <c r="BH24" s="1043">
        <f t="shared" si="8"/>
        <v>0</v>
      </c>
      <c r="BI24" s="1043">
        <f t="shared" si="9"/>
        <v>0</v>
      </c>
      <c r="BJ24" s="866"/>
      <c r="BK24" s="1043">
        <f t="shared" si="10"/>
        <v>0</v>
      </c>
      <c r="BL24" s="1043"/>
      <c r="BM24" s="1043"/>
      <c r="BN24" s="1043"/>
      <c r="BO24" s="1043"/>
      <c r="BP24" s="858"/>
      <c r="BQ24" s="1043"/>
      <c r="BR24" s="859"/>
      <c r="BS24" s="859"/>
      <c r="BT24" s="858"/>
      <c r="BU24" s="1043"/>
      <c r="BV24" s="1043"/>
      <c r="BW24" s="1043"/>
      <c r="BX24" s="1043"/>
      <c r="BY24" s="1043"/>
      <c r="BZ24" s="1043"/>
      <c r="CA24" s="1043"/>
      <c r="CB24" s="1043"/>
      <c r="CE24" s="1042" t="str">
        <f t="shared" si="13"/>
        <v/>
      </c>
    </row>
    <row r="25" spans="1:83" s="856" customFormat="1" ht="18.75" x14ac:dyDescent="0.25">
      <c r="A25" s="1028"/>
      <c r="B25" s="1028">
        <f>SUM(B14:B24)</f>
        <v>0</v>
      </c>
      <c r="C25" s="1028">
        <f t="shared" ref="C25:G25" si="28">SUM(C14:C24)</f>
        <v>197000</v>
      </c>
      <c r="D25" s="1028">
        <f t="shared" si="28"/>
        <v>0</v>
      </c>
      <c r="E25" s="1028">
        <f t="shared" si="28"/>
        <v>0</v>
      </c>
      <c r="F25" s="1028">
        <f t="shared" si="28"/>
        <v>0</v>
      </c>
      <c r="G25" s="1028">
        <f t="shared" si="28"/>
        <v>0</v>
      </c>
      <c r="H25" s="1028"/>
      <c r="I25" s="1028"/>
      <c r="J25" s="1028"/>
      <c r="K25" s="866"/>
      <c r="L25" s="1028">
        <f t="shared" ref="L25" si="29">SUM(L14:L24)</f>
        <v>97250</v>
      </c>
      <c r="M25" s="858"/>
      <c r="N25" s="1028"/>
      <c r="O25" s="1028"/>
      <c r="P25" s="1028"/>
      <c r="Q25" s="1041"/>
      <c r="R25" s="1028">
        <f t="shared" ref="R25" si="30">SUM(R14:R24)</f>
        <v>0</v>
      </c>
      <c r="S25" s="1028">
        <f t="shared" ref="S25" si="31">SUM(S14:S24)</f>
        <v>33250</v>
      </c>
      <c r="U25" s="1028">
        <f t="shared" ref="U25" si="32">SUM(U14:U24)</f>
        <v>33250</v>
      </c>
      <c r="V25" s="1028">
        <f t="shared" ref="V25" si="33">SUM(V14:V24)</f>
        <v>130500</v>
      </c>
      <c r="W25" s="1028">
        <f t="shared" ref="W25" si="34">SUM(W14:W24)</f>
        <v>-130500</v>
      </c>
      <c r="X25" s="1041"/>
      <c r="Y25" s="1028">
        <f t="shared" ref="Y25" si="35">SUM(Y14:Y24)</f>
        <v>0</v>
      </c>
      <c r="Z25" s="1028">
        <f t="shared" ref="Z25" si="36">SUM(Z14:Z24)</f>
        <v>0</v>
      </c>
      <c r="AA25" s="1028">
        <f t="shared" ref="AA25" si="37">SUM(AA14:AA24)</f>
        <v>0</v>
      </c>
      <c r="AB25" s="1028">
        <f t="shared" ref="AB25" si="38">SUM(AB14:AB24)</f>
        <v>0</v>
      </c>
      <c r="AC25" s="1028">
        <f t="shared" ref="AC25" si="39">SUM(AC14:AC24)</f>
        <v>0</v>
      </c>
      <c r="AD25" s="1028">
        <f ca="1">+SUMIF($I$14:$K$24,$I$25,AD$14:AD$24)</f>
        <v>0</v>
      </c>
      <c r="AE25" s="1028">
        <f ca="1">+SUMIF($I$14:$K$24,$I$25,AE$14:AE$24)</f>
        <v>0</v>
      </c>
      <c r="AF25" s="1028">
        <f ca="1">+SUMIF($I$14:$K$24,$I$25,AF$14:AF$24)</f>
        <v>0</v>
      </c>
      <c r="AG25" s="1028">
        <f ca="1">+SUMIF($I$14:$K$24,$I$25,AG$14:AG$24)</f>
        <v>0</v>
      </c>
      <c r="AH25" s="1028">
        <f ca="1">+SUMIF($I$14:$K$24,$I$25,AH$14:AH$24)</f>
        <v>0</v>
      </c>
      <c r="AI25" s="1028">
        <f ca="1">+SUMIF($I$14:$K$24,$I$25,AI$14:AI$24)</f>
        <v>0</v>
      </c>
      <c r="AJ25" s="1028">
        <f ca="1">+SUMIF($I$14:$K$24,$I$25,AJ$14:AJ$24)</f>
        <v>0</v>
      </c>
      <c r="AK25" s="1028">
        <f ca="1">+SUMIF($I$14:$K$24,$I$25,AK$14:AK$24)</f>
        <v>0</v>
      </c>
      <c r="AL25" s="1028">
        <f ca="1">+SUMIF($I$14:$K$24,$I$25,AL$14:AL$24)</f>
        <v>0</v>
      </c>
      <c r="AM25" s="1028">
        <f ca="1">+SUMIF($I$14:$K$24,$I$25,AM$14:AM$24)</f>
        <v>0</v>
      </c>
      <c r="AN25" s="1028">
        <f ca="1">+SUMIF($I$14:$K$24,$I$25,AN$14:AN$24)</f>
        <v>0</v>
      </c>
      <c r="AO25" s="1028">
        <f ca="1">+SUMIF($I$14:$K$24,$I$25,AO$14:AO$24)</f>
        <v>0</v>
      </c>
      <c r="AP25" s="1028">
        <f ca="1">+SUMIF($I$14:$K$24,$I$25,AP$14:AP$24)</f>
        <v>0</v>
      </c>
      <c r="AQ25" s="1028">
        <f ca="1">+SUMIF($I$14:$K$24,$I$25,AQ$14:AQ$24)</f>
        <v>0</v>
      </c>
      <c r="AR25" s="1028">
        <f ca="1">+SUMIF($I$14:$K$24,$I$25,AR$14:AR$24)</f>
        <v>0</v>
      </c>
      <c r="AS25" s="1028">
        <f ca="1">+SUMIF($I$14:$K$24,$I$25,AS$14:AS$24)</f>
        <v>0</v>
      </c>
      <c r="AT25" s="1028">
        <f ca="1">+SUMIF($I$14:$K$24,$I$25,AT$14:AT$24)</f>
        <v>0</v>
      </c>
      <c r="AU25" s="1028">
        <f ca="1">+SUMIF($I$14:$K$24,$I$25,AU$14:AU$24)</f>
        <v>0</v>
      </c>
      <c r="AV25" s="1028">
        <f ca="1">+SUMIF($I$14:$K$24,$I$25,AV$14:AV$24)</f>
        <v>0</v>
      </c>
      <c r="AW25" s="1028">
        <f ca="1">+SUMIF($I$14:$K$24,$I$25,AW$14:AW$24)</f>
        <v>0</v>
      </c>
      <c r="AX25" s="1028">
        <f ca="1">+SUMIF($I$14:$K$24,$I$25,AX$14:AX$24)</f>
        <v>0</v>
      </c>
      <c r="AY25" s="1028">
        <f ca="1">+SUMIF($I$14:$K$24,$I$25,AY$14:AY$24)</f>
        <v>0</v>
      </c>
      <c r="AZ25" s="1028">
        <f ca="1">+SUMIF($I$14:$K$24,$I$25,AZ$14:AZ$24)</f>
        <v>0</v>
      </c>
      <c r="BA25" s="1028">
        <f ca="1">+SUMIF($I$14:$K$24,$I$25,BA$14:BA$24)</f>
        <v>0</v>
      </c>
      <c r="BB25" s="1028">
        <f ca="1">+SUMIF($I$14:$K$24,$I$25,BB$14:BB$24)</f>
        <v>0</v>
      </c>
      <c r="BC25" s="1028">
        <f ca="1">+SUMIF($I$14:$K$24,$I$25,BC$14:BC$24)</f>
        <v>0</v>
      </c>
      <c r="BD25" s="1028">
        <f ca="1">+SUMIF($I$14:$K$24,$I$25,BD$14:BD$24)</f>
        <v>0</v>
      </c>
      <c r="BE25" s="1028">
        <f ca="1">+SUMIF($I$14:$K$24,$I$25,BE$14:BE$24)</f>
        <v>0</v>
      </c>
      <c r="BF25" s="858"/>
      <c r="BG25" s="1028">
        <f t="shared" ref="BG25" si="40">SUM(BG14:BG24)</f>
        <v>0</v>
      </c>
      <c r="BH25" s="1028">
        <f t="shared" ref="BH25" si="41">SUM(BH14:BH24)</f>
        <v>0</v>
      </c>
      <c r="BI25" s="1028">
        <f t="shared" ref="BI25" si="42">SUM(BI14:BI24)</f>
        <v>0</v>
      </c>
      <c r="BJ25" s="866"/>
      <c r="BK25" s="1028">
        <f t="shared" ref="BK25" si="43">SUM(BK14:BK24)</f>
        <v>0</v>
      </c>
      <c r="BL25" s="1028">
        <f t="shared" ref="BL25" si="44">SUM(BL14:BL24)</f>
        <v>0</v>
      </c>
      <c r="BM25" s="1028">
        <f t="shared" ref="BM25" si="45">SUM(BM14:BM24)</f>
        <v>0</v>
      </c>
      <c r="BN25" s="1028">
        <f t="shared" ref="BN25" si="46">SUM(BN14:BN24)</f>
        <v>0</v>
      </c>
      <c r="BO25" s="1028">
        <f t="shared" ref="BO25" si="47">SUM(BO14:BO24)</f>
        <v>0</v>
      </c>
      <c r="BP25" s="858"/>
      <c r="BQ25" s="1028">
        <f t="shared" ref="BQ25" si="48">SUM(BQ14:BQ24)</f>
        <v>0</v>
      </c>
      <c r="BR25" s="859"/>
      <c r="BS25" s="859"/>
      <c r="BT25" s="1041"/>
      <c r="BU25" s="1028">
        <f t="shared" ref="BU25" si="49">SUM(BU14:BU24)</f>
        <v>197000</v>
      </c>
      <c r="BV25" s="1028">
        <f t="shared" ref="BV25" si="50">SUM(BV14:BV24)</f>
        <v>97250</v>
      </c>
      <c r="BW25" s="1028">
        <f t="shared" ref="BW25" si="51">SUM(BW14:BW24)</f>
        <v>33250</v>
      </c>
      <c r="BX25" s="1028">
        <f t="shared" ref="BX25" si="52">SUM(BX14:BX24)</f>
        <v>64000</v>
      </c>
      <c r="BY25" s="1028">
        <f t="shared" ref="BY25" si="53">SUM(BY14:BY24)</f>
        <v>33250</v>
      </c>
      <c r="BZ25" s="1028">
        <f t="shared" ref="BZ25" si="54">SUM(BZ14:BZ24)</f>
        <v>33250</v>
      </c>
      <c r="CA25" s="1028">
        <f t="shared" ref="CA25" si="55">SUM(CA14:CA24)</f>
        <v>33250</v>
      </c>
      <c r="CB25" s="1028">
        <f t="shared" ref="CB25" si="56">SUM(CB14:CB24)</f>
        <v>33250</v>
      </c>
    </row>
    <row r="26" spans="1:83" s="856" customFormat="1" ht="18" customHeight="1" x14ac:dyDescent="0.3">
      <c r="A26" s="864"/>
      <c r="B26" s="864"/>
      <c r="C26" s="864"/>
      <c r="D26" s="864"/>
      <c r="E26" s="1044"/>
      <c r="F26" s="1044"/>
      <c r="G26" s="1044"/>
      <c r="H26" s="864"/>
      <c r="K26" s="866"/>
      <c r="L26" s="858"/>
      <c r="M26" s="858"/>
      <c r="N26" s="858"/>
      <c r="O26" s="858"/>
      <c r="P26" s="858"/>
      <c r="Q26" s="1041"/>
      <c r="R26" s="858"/>
      <c r="S26" s="858"/>
      <c r="U26" s="858"/>
      <c r="V26" s="858"/>
      <c r="W26" s="858"/>
      <c r="X26" s="1041"/>
      <c r="Y26" s="858"/>
      <c r="Z26" s="858"/>
      <c r="AA26" s="858"/>
      <c r="AB26" s="858"/>
      <c r="AC26" s="858"/>
      <c r="AD26" s="858"/>
      <c r="AE26" s="858"/>
      <c r="AF26" s="858"/>
      <c r="AG26" s="858"/>
      <c r="AH26" s="858"/>
      <c r="AI26" s="858"/>
      <c r="AJ26" s="858"/>
      <c r="AK26" s="858"/>
      <c r="AL26" s="858"/>
      <c r="AM26" s="858"/>
      <c r="AN26" s="858"/>
      <c r="AO26" s="858"/>
      <c r="AP26" s="858"/>
      <c r="AQ26" s="858"/>
      <c r="AR26" s="858"/>
      <c r="AS26" s="858"/>
      <c r="AT26" s="858"/>
      <c r="AU26" s="858"/>
      <c r="AV26" s="858"/>
      <c r="AW26" s="858"/>
      <c r="AX26" s="858"/>
      <c r="AY26" s="858"/>
      <c r="AZ26" s="858"/>
      <c r="BA26" s="858"/>
      <c r="BB26" s="858"/>
      <c r="BC26" s="858"/>
      <c r="BD26" s="858"/>
      <c r="BE26" s="858"/>
      <c r="BF26" s="858"/>
      <c r="BG26" s="858"/>
      <c r="BH26" s="858"/>
      <c r="BI26" s="858"/>
      <c r="BJ26" s="866"/>
      <c r="BK26" s="858"/>
      <c r="BL26" s="858"/>
      <c r="BM26" s="858"/>
      <c r="BN26" s="858"/>
      <c r="BO26" s="858"/>
      <c r="BP26" s="858"/>
      <c r="BQ26" s="858"/>
      <c r="BR26" s="863"/>
      <c r="BS26" s="863"/>
      <c r="BT26" s="858"/>
      <c r="BU26" s="858"/>
      <c r="BV26" s="858"/>
      <c r="BW26" s="858"/>
      <c r="BX26" s="858"/>
      <c r="BY26" s="858"/>
      <c r="BZ26" s="858"/>
      <c r="CA26" s="858"/>
      <c r="CB26" s="858"/>
    </row>
    <row r="27" spans="1:83" s="88" customFormat="1" ht="29.25" customHeight="1" x14ac:dyDescent="0.3">
      <c r="A27" s="549"/>
      <c r="B27" s="536"/>
      <c r="C27" s="536"/>
      <c r="D27" s="536"/>
      <c r="E27" s="546"/>
      <c r="F27" s="546"/>
      <c r="G27" s="546"/>
      <c r="H27" s="116" t="s">
        <v>91</v>
      </c>
      <c r="I27" s="140" t="s">
        <v>29</v>
      </c>
      <c r="J27" s="140"/>
      <c r="K27" s="97"/>
      <c r="L27" s="493">
        <f>L25</f>
        <v>97250</v>
      </c>
      <c r="M27" s="474"/>
      <c r="N27" s="493"/>
      <c r="O27" s="493"/>
      <c r="P27" s="493"/>
      <c r="Q27" s="95"/>
      <c r="R27" s="493">
        <f t="shared" ref="R27:S27" si="57">R25</f>
        <v>0</v>
      </c>
      <c r="S27" s="493">
        <f t="shared" si="57"/>
        <v>33250</v>
      </c>
      <c r="T27" s="2"/>
      <c r="U27" s="493">
        <f t="shared" ref="U27:W27" si="58">U25</f>
        <v>33250</v>
      </c>
      <c r="V27" s="493">
        <f t="shared" si="58"/>
        <v>130500</v>
      </c>
      <c r="W27" s="493">
        <f t="shared" si="58"/>
        <v>-130500</v>
      </c>
      <c r="X27" s="95"/>
      <c r="Y27" s="493">
        <f t="shared" ref="Y27:AC27" si="59">Y25</f>
        <v>0</v>
      </c>
      <c r="Z27" s="493">
        <f t="shared" si="59"/>
        <v>0</v>
      </c>
      <c r="AA27" s="493">
        <f t="shared" si="59"/>
        <v>0</v>
      </c>
      <c r="AB27" s="493">
        <f t="shared" si="59"/>
        <v>0</v>
      </c>
      <c r="AC27" s="493">
        <f t="shared" si="59"/>
        <v>0</v>
      </c>
      <c r="AD27" s="493" t="e">
        <f ca="1">+#REF!+AD25</f>
        <v>#REF!</v>
      </c>
      <c r="AE27" s="493" t="e">
        <f ca="1">+#REF!+AE25</f>
        <v>#REF!</v>
      </c>
      <c r="AF27" s="493" t="e">
        <f ca="1">+#REF!+AF25</f>
        <v>#REF!</v>
      </c>
      <c r="AG27" s="493" t="e">
        <f ca="1">+#REF!+AG25</f>
        <v>#REF!</v>
      </c>
      <c r="AH27" s="493" t="e">
        <f ca="1">+#REF!+AH25</f>
        <v>#REF!</v>
      </c>
      <c r="AI27" s="493" t="e">
        <f ca="1">+#REF!+AI25</f>
        <v>#REF!</v>
      </c>
      <c r="AJ27" s="493" t="e">
        <f ca="1">+#REF!+AJ25</f>
        <v>#REF!</v>
      </c>
      <c r="AK27" s="493" t="e">
        <f ca="1">+#REF!+AK25</f>
        <v>#REF!</v>
      </c>
      <c r="AL27" s="493" t="e">
        <f ca="1">+#REF!+AL25</f>
        <v>#REF!</v>
      </c>
      <c r="AM27" s="493" t="e">
        <f ca="1">+#REF!+AM25</f>
        <v>#REF!</v>
      </c>
      <c r="AN27" s="493" t="e">
        <f ca="1">+#REF!+AN25</f>
        <v>#REF!</v>
      </c>
      <c r="AO27" s="493" t="e">
        <f ca="1">+#REF!+AO25</f>
        <v>#REF!</v>
      </c>
      <c r="AP27" s="493" t="e">
        <f ca="1">+#REF!+AP25</f>
        <v>#REF!</v>
      </c>
      <c r="AQ27" s="493" t="e">
        <f ca="1">+#REF!+AQ25</f>
        <v>#REF!</v>
      </c>
      <c r="AR27" s="493" t="e">
        <f ca="1">+#REF!+AR25</f>
        <v>#REF!</v>
      </c>
      <c r="AS27" s="493" t="e">
        <f ca="1">+#REF!+AS25</f>
        <v>#REF!</v>
      </c>
      <c r="AT27" s="493" t="e">
        <f ca="1">+#REF!+AT25</f>
        <v>#REF!</v>
      </c>
      <c r="AU27" s="493" t="e">
        <f ca="1">+#REF!+AU25</f>
        <v>#REF!</v>
      </c>
      <c r="AV27" s="493" t="e">
        <f ca="1">+#REF!+AV25</f>
        <v>#REF!</v>
      </c>
      <c r="AW27" s="493" t="e">
        <f ca="1">+#REF!+AW25</f>
        <v>#REF!</v>
      </c>
      <c r="AX27" s="493" t="e">
        <f ca="1">+#REF!+AX25</f>
        <v>#REF!</v>
      </c>
      <c r="AY27" s="493" t="e">
        <f ca="1">+#REF!+AY25</f>
        <v>#REF!</v>
      </c>
      <c r="AZ27" s="493" t="e">
        <f ca="1">+#REF!+AZ25</f>
        <v>#REF!</v>
      </c>
      <c r="BA27" s="493" t="e">
        <f ca="1">+#REF!+BA25</f>
        <v>#REF!</v>
      </c>
      <c r="BB27" s="493" t="e">
        <f ca="1">+#REF!+BB25</f>
        <v>#REF!</v>
      </c>
      <c r="BC27" s="493" t="e">
        <f ca="1">+#REF!+BC25</f>
        <v>#REF!</v>
      </c>
      <c r="BD27" s="493" t="e">
        <f ca="1">+#REF!+BD25</f>
        <v>#REF!</v>
      </c>
      <c r="BE27" s="493" t="e">
        <f ca="1">+#REF!+BE25</f>
        <v>#REF!</v>
      </c>
      <c r="BF27" s="474"/>
      <c r="BG27" s="493">
        <f t="shared" ref="BG27:BI27" si="60">BG25</f>
        <v>0</v>
      </c>
      <c r="BH27" s="493">
        <f t="shared" si="60"/>
        <v>0</v>
      </c>
      <c r="BI27" s="493">
        <f t="shared" si="60"/>
        <v>0</v>
      </c>
      <c r="BJ27" s="97"/>
      <c r="BK27" s="493">
        <f t="shared" ref="BK27:BO27" si="61">BK25</f>
        <v>0</v>
      </c>
      <c r="BL27" s="493">
        <f t="shared" si="61"/>
        <v>0</v>
      </c>
      <c r="BM27" s="493">
        <f t="shared" si="61"/>
        <v>0</v>
      </c>
      <c r="BN27" s="493">
        <f t="shared" si="61"/>
        <v>0</v>
      </c>
      <c r="BO27" s="493">
        <f t="shared" si="61"/>
        <v>0</v>
      </c>
      <c r="BP27" s="474"/>
      <c r="BQ27" s="493">
        <f>BQ25</f>
        <v>0</v>
      </c>
      <c r="BR27" s="279"/>
      <c r="BS27" s="279"/>
      <c r="BT27" s="474"/>
      <c r="BU27" s="493">
        <f t="shared" ref="BU27:CB27" si="62">BU25</f>
        <v>197000</v>
      </c>
      <c r="BV27" s="493">
        <f t="shared" si="62"/>
        <v>97250</v>
      </c>
      <c r="BW27" s="493">
        <f t="shared" si="62"/>
        <v>33250</v>
      </c>
      <c r="BX27" s="493">
        <f t="shared" si="62"/>
        <v>64000</v>
      </c>
      <c r="BY27" s="493">
        <f t="shared" si="62"/>
        <v>33250</v>
      </c>
      <c r="BZ27" s="493">
        <f t="shared" si="62"/>
        <v>33250</v>
      </c>
      <c r="CA27" s="493">
        <f t="shared" si="62"/>
        <v>33250</v>
      </c>
      <c r="CB27" s="493">
        <f t="shared" si="62"/>
        <v>33250</v>
      </c>
    </row>
    <row r="28" spans="1:83" s="94" customFormat="1" ht="21" customHeight="1" x14ac:dyDescent="0.3">
      <c r="A28" s="86"/>
      <c r="B28" s="100"/>
      <c r="C28" s="100"/>
      <c r="D28" s="100"/>
      <c r="E28" s="547"/>
      <c r="F28" s="547"/>
      <c r="G28" s="547"/>
      <c r="H28" s="100"/>
      <c r="I28" s="141"/>
      <c r="J28" s="141"/>
      <c r="K28" s="97"/>
      <c r="Q28" s="95"/>
      <c r="T28" s="2"/>
      <c r="X28" s="95"/>
      <c r="Y28" s="94">
        <v>53855.66</v>
      </c>
      <c r="Z28" s="94">
        <v>53855.66</v>
      </c>
      <c r="AA28" s="94">
        <v>53855.66</v>
      </c>
      <c r="AB28" s="94">
        <v>53855.66</v>
      </c>
      <c r="AC28" s="94">
        <v>53855.66</v>
      </c>
      <c r="AD28" s="94">
        <v>53855.66</v>
      </c>
      <c r="AE28" s="94">
        <v>62568.86</v>
      </c>
      <c r="AF28" s="94">
        <v>62568.86</v>
      </c>
      <c r="AG28" s="94">
        <v>62568.86</v>
      </c>
      <c r="AH28" s="94">
        <v>62568.86</v>
      </c>
      <c r="AI28" s="94">
        <v>62568.86</v>
      </c>
      <c r="AJ28" s="94">
        <v>62568.86</v>
      </c>
      <c r="AK28" s="94">
        <v>62568.86</v>
      </c>
      <c r="AL28" s="94">
        <v>53855.66</v>
      </c>
      <c r="AM28" s="94">
        <v>62675.069999999963</v>
      </c>
      <c r="AN28" s="94">
        <v>62675.069999999963</v>
      </c>
      <c r="AO28" s="94">
        <v>62675.069999999963</v>
      </c>
      <c r="AP28" s="94">
        <v>62675.069999999963</v>
      </c>
      <c r="AQ28" s="94">
        <v>62675.069999999963</v>
      </c>
      <c r="AR28" s="94">
        <v>62675.069999999963</v>
      </c>
      <c r="AS28" s="94">
        <v>62675.069999999963</v>
      </c>
      <c r="AT28" s="94">
        <v>62675.069999999963</v>
      </c>
      <c r="AU28" s="94">
        <v>62675.069999999963</v>
      </c>
      <c r="AV28" s="94">
        <v>62675.069999999963</v>
      </c>
      <c r="AW28" s="94">
        <v>62675.069999999963</v>
      </c>
      <c r="AX28" s="94">
        <v>62675.069999999963</v>
      </c>
      <c r="AY28" s="94">
        <v>62675.069999999963</v>
      </c>
      <c r="AZ28" s="94">
        <v>62675.069999999963</v>
      </c>
      <c r="BA28" s="94">
        <v>62675.069999999963</v>
      </c>
      <c r="BB28" s="94">
        <v>62675.069999999963</v>
      </c>
      <c r="BC28" s="94">
        <v>62675.069999999963</v>
      </c>
      <c r="BD28" s="94">
        <v>62675.069999999963</v>
      </c>
      <c r="BE28" s="94">
        <v>62675.069999999963</v>
      </c>
      <c r="BJ28" s="97"/>
      <c r="BK28" s="277"/>
      <c r="BL28" s="106">
        <v>1330643.6499999999</v>
      </c>
      <c r="BM28" s="106">
        <v>1343535.2749999999</v>
      </c>
      <c r="BN28" s="106">
        <v>1420500</v>
      </c>
      <c r="BO28" s="94">
        <v>1181228.7899999998</v>
      </c>
      <c r="BQ28" s="94">
        <v>114718.65</v>
      </c>
    </row>
    <row r="29" spans="1:83" ht="21" customHeight="1" x14ac:dyDescent="0.3">
      <c r="K29" s="97"/>
      <c r="Q29" s="95"/>
      <c r="V29" s="121"/>
      <c r="W29" s="601"/>
      <c r="X29" s="95"/>
      <c r="BJ29" s="97"/>
      <c r="BL29" s="449"/>
      <c r="BS29" s="94"/>
    </row>
    <row r="30" spans="1:83" ht="21" customHeight="1" x14ac:dyDescent="0.3">
      <c r="S30" s="449"/>
      <c r="U30" s="449"/>
      <c r="V30" s="449"/>
      <c r="X30" s="95"/>
      <c r="BK30" s="172"/>
      <c r="BL30" s="172"/>
      <c r="BM30" s="172"/>
      <c r="BN30" s="172"/>
      <c r="BS30" s="94"/>
    </row>
    <row r="31" spans="1:83" ht="21" customHeight="1" x14ac:dyDescent="0.3">
      <c r="V31" s="449"/>
    </row>
  </sheetData>
  <mergeCells count="29">
    <mergeCell ref="J9:J11"/>
    <mergeCell ref="D9:D11"/>
    <mergeCell ref="CB9:CB11"/>
    <mergeCell ref="BV9:BV11"/>
    <mergeCell ref="A9:A11"/>
    <mergeCell ref="H9:H11"/>
    <mergeCell ref="I9:I11"/>
    <mergeCell ref="L9:L11"/>
    <mergeCell ref="U9:U11"/>
    <mergeCell ref="N9:N10"/>
    <mergeCell ref="O9:O10"/>
    <mergeCell ref="P9:P10"/>
    <mergeCell ref="R9:S10"/>
    <mergeCell ref="B9:B11"/>
    <mergeCell ref="C9:C11"/>
    <mergeCell ref="E9:E11"/>
    <mergeCell ref="G9:G11"/>
    <mergeCell ref="BU9:BU11"/>
    <mergeCell ref="CA9:CA11"/>
    <mergeCell ref="BW9:BW11"/>
    <mergeCell ref="BX9:BX11"/>
    <mergeCell ref="BY9:BY11"/>
    <mergeCell ref="BZ9:BZ11"/>
    <mergeCell ref="BQ9:BQ10"/>
    <mergeCell ref="V9:V11"/>
    <mergeCell ref="W9:W11"/>
    <mergeCell ref="Y9:BE9"/>
    <mergeCell ref="BG9:BI10"/>
    <mergeCell ref="BK9:BO10"/>
  </mergeCells>
  <conditionalFormatting sqref="AD14:BE24">
    <cfRule type="cellIs" dxfId="1" priority="31" operator="equal">
      <formula>0</formula>
    </cfRule>
  </conditionalFormatting>
  <pageMargins left="0.19685039370078741" right="0.19685039370078741" top="0.74803149606299213" bottom="0.74803149606299213" header="0.31496062992125984" footer="0.31496062992125984"/>
  <pageSetup paperSize="9" scale="11"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pageSetUpPr fitToPage="1"/>
  </sheetPr>
  <dimension ref="A1:AP49"/>
  <sheetViews>
    <sheetView topLeftCell="S6" zoomScale="70" zoomScaleNormal="70" workbookViewId="0">
      <selection activeCell="Y29" sqref="Y29"/>
    </sheetView>
  </sheetViews>
  <sheetFormatPr baseColWidth="10" defaultColWidth="11.42578125" defaultRowHeight="21" customHeight="1" outlineLevelRow="1" outlineLevelCol="2" x14ac:dyDescent="0.3"/>
  <cols>
    <col min="1" max="1" width="10.5703125" style="86" customWidth="1"/>
    <col min="2" max="2" width="85.7109375" style="86" customWidth="1"/>
    <col min="3" max="3" width="12.42578125" style="2" customWidth="1"/>
    <col min="4" max="4" width="26.140625" style="2" customWidth="1"/>
    <col min="5" max="5" width="1.85546875" style="2" customWidth="1"/>
    <col min="6" max="6" width="21.85546875" style="2" customWidth="1"/>
    <col min="7" max="7" width="0.7109375" style="2" customWidth="1"/>
    <col min="8" max="8" width="19.85546875" style="2" customWidth="1"/>
    <col min="9" max="9" width="23.5703125" style="2" customWidth="1"/>
    <col min="10" max="10" width="0.7109375" style="2" customWidth="1"/>
    <col min="11" max="11" width="23.5703125" style="2" customWidth="1"/>
    <col min="12" max="12" width="23" style="2" customWidth="1"/>
    <col min="13" max="13" width="24.28515625" style="2" customWidth="1"/>
    <col min="14" max="14" width="2.7109375" style="2" customWidth="1"/>
    <col min="15" max="19" width="13.28515625" style="2" customWidth="1" outlineLevel="1"/>
    <col min="20" max="20" width="2.7109375" style="2" customWidth="1"/>
    <col min="21" max="23" width="22.42578125" style="2" customWidth="1"/>
    <col min="24" max="24" width="2.7109375" style="2" customWidth="1"/>
    <col min="25" max="26" width="23" style="2" customWidth="1"/>
    <col min="27" max="27" width="24.42578125" style="2" customWidth="1"/>
    <col min="28" max="28" width="19.85546875" style="2" customWidth="1"/>
    <col min="29" max="29" width="21.85546875" style="2" customWidth="1"/>
    <col min="30" max="30" width="2.85546875" style="2" customWidth="1" outlineLevel="1"/>
    <col min="31" max="31" width="21.28515625" style="2" customWidth="1" outlineLevel="1"/>
    <col min="32" max="32" width="20.85546875" style="114" customWidth="1"/>
    <col min="33" max="33" width="18" style="94" customWidth="1"/>
    <col min="34" max="34" width="22.42578125" style="2" bestFit="1" customWidth="1" outlineLevel="1"/>
    <col min="35" max="36" width="25.28515625" style="2" customWidth="1" outlineLevel="1"/>
    <col min="37" max="37" width="17.85546875" style="2" customWidth="1" outlineLevel="2"/>
    <col min="38" max="39" width="18.42578125" style="2" customWidth="1" outlineLevel="2"/>
    <col min="40" max="41" width="19" style="2" customWidth="1" outlineLevel="2"/>
    <col min="42" max="42" width="11.42578125" style="2" outlineLevel="1"/>
    <col min="43" max="16384" width="11.42578125" style="2"/>
  </cols>
  <sheetData>
    <row r="1" spans="1:41" ht="31.5" customHeight="1" x14ac:dyDescent="0.35">
      <c r="A1" s="88" t="s">
        <v>136</v>
      </c>
      <c r="B1" s="89"/>
      <c r="C1" s="89"/>
      <c r="D1" s="89"/>
      <c r="E1" s="89"/>
      <c r="F1" s="89"/>
      <c r="G1" s="89"/>
      <c r="H1" s="89"/>
      <c r="I1" s="89"/>
      <c r="J1" s="89"/>
      <c r="K1" s="89"/>
      <c r="L1" s="89"/>
      <c r="M1" s="89"/>
      <c r="N1" s="89"/>
      <c r="O1" s="173"/>
      <c r="P1" s="142"/>
      <c r="Q1" s="89"/>
      <c r="R1" s="89"/>
      <c r="S1" s="89"/>
      <c r="T1" s="89"/>
      <c r="U1" s="89"/>
      <c r="V1" s="89"/>
      <c r="W1" s="89"/>
      <c r="X1" s="89"/>
      <c r="Y1" s="89"/>
      <c r="Z1" s="89"/>
      <c r="AA1" s="89"/>
      <c r="AB1" s="89"/>
      <c r="AC1" s="89"/>
      <c r="AF1" s="114">
        <f>30/60</f>
        <v>0.5</v>
      </c>
    </row>
    <row r="2" spans="1:41" ht="21" customHeight="1" x14ac:dyDescent="0.3">
      <c r="A2" s="244" t="s">
        <v>433</v>
      </c>
      <c r="B2" s="88"/>
      <c r="C2" s="86"/>
      <c r="D2" s="86"/>
      <c r="E2" s="86"/>
      <c r="F2" s="86"/>
      <c r="G2" s="86"/>
      <c r="H2" s="86"/>
      <c r="I2" s="86"/>
      <c r="J2" s="86"/>
      <c r="K2" s="86"/>
      <c r="L2" s="86"/>
      <c r="M2" s="86"/>
      <c r="N2" s="86"/>
      <c r="O2" s="173"/>
      <c r="P2" s="86"/>
      <c r="Q2" s="86"/>
      <c r="R2" s="86"/>
      <c r="S2" s="86"/>
      <c r="T2" s="86"/>
      <c r="U2" s="86"/>
      <c r="V2" s="86"/>
      <c r="W2" s="86"/>
      <c r="X2" s="86"/>
      <c r="Y2" s="86"/>
      <c r="Z2" s="86"/>
      <c r="AA2" s="86"/>
      <c r="AB2" s="86"/>
      <c r="AC2" s="86"/>
      <c r="AF2" s="114">
        <f>60*0.67</f>
        <v>40.200000000000003</v>
      </c>
    </row>
    <row r="3" spans="1:41" ht="11.25" customHeight="1" x14ac:dyDescent="0.3">
      <c r="AF3" s="114">
        <v>1</v>
      </c>
    </row>
    <row r="4" spans="1:41" ht="11.25" customHeight="1" x14ac:dyDescent="0.3"/>
    <row r="5" spans="1:41" ht="21" customHeight="1" x14ac:dyDescent="0.3">
      <c r="A5" s="90" t="s">
        <v>52</v>
      </c>
      <c r="B5" s="90" t="str">
        <f>+Mat!B5</f>
        <v>EL BOSQUE - CERCO + INGRESOS Y CASETAS</v>
      </c>
      <c r="C5" s="119"/>
      <c r="D5" s="119"/>
      <c r="E5" s="119"/>
      <c r="F5" s="119"/>
      <c r="G5" s="119"/>
      <c r="H5" s="119"/>
      <c r="I5" s="119"/>
      <c r="J5" s="119"/>
      <c r="K5" s="165" t="s">
        <v>53</v>
      </c>
      <c r="L5" s="120"/>
      <c r="M5" s="120"/>
      <c r="N5" s="119"/>
      <c r="O5" s="119"/>
      <c r="P5" s="119"/>
      <c r="Q5" s="119"/>
      <c r="R5" s="119"/>
      <c r="S5" s="119"/>
      <c r="T5" s="119"/>
      <c r="U5" s="119"/>
      <c r="V5" s="119"/>
      <c r="W5" s="119"/>
      <c r="X5" s="119"/>
      <c r="Y5" s="119"/>
      <c r="Z5" s="119"/>
      <c r="AA5" s="119"/>
      <c r="AB5" s="119"/>
      <c r="AC5" s="119"/>
      <c r="AD5" s="119"/>
      <c r="AE5" s="119"/>
    </row>
    <row r="6" spans="1:41" ht="21" customHeight="1" x14ac:dyDescent="0.3">
      <c r="A6" s="90" t="s">
        <v>54</v>
      </c>
      <c r="B6" s="90">
        <f>+Mat!B6</f>
        <v>0</v>
      </c>
      <c r="C6" s="119"/>
      <c r="D6" s="119"/>
      <c r="E6" s="119"/>
      <c r="F6" s="119"/>
      <c r="G6" s="119"/>
      <c r="H6" s="119"/>
      <c r="I6" s="119"/>
      <c r="J6" s="119"/>
      <c r="K6" s="165" t="s">
        <v>55</v>
      </c>
      <c r="L6" s="166"/>
      <c r="M6" s="166"/>
      <c r="N6" s="119"/>
      <c r="O6" s="119"/>
      <c r="P6" s="119"/>
      <c r="Q6" s="119"/>
      <c r="R6" s="119"/>
      <c r="S6" s="119"/>
      <c r="T6" s="119"/>
      <c r="U6" s="119"/>
      <c r="V6" s="119"/>
      <c r="W6" s="119"/>
      <c r="X6" s="119"/>
      <c r="Y6" s="938">
        <f>+Y15+Y16+Y32</f>
        <v>2500</v>
      </c>
      <c r="Z6" s="938">
        <f>+Z15+Z16+Z32</f>
        <v>0</v>
      </c>
      <c r="AA6" s="938">
        <f>+Y6-Z6</f>
        <v>2500</v>
      </c>
      <c r="AB6" s="119"/>
      <c r="AC6" s="119"/>
      <c r="AD6" s="119"/>
      <c r="AE6" s="119"/>
      <c r="AF6" s="586"/>
    </row>
    <row r="7" spans="1:41" ht="22.5" customHeight="1" x14ac:dyDescent="0.3">
      <c r="A7" s="88"/>
      <c r="Y7" s="449"/>
      <c r="Z7" s="449"/>
      <c r="AA7" s="449">
        <f>+Y7-Z7</f>
        <v>0</v>
      </c>
    </row>
    <row r="8" spans="1:41" ht="5.25" customHeight="1" x14ac:dyDescent="0.3">
      <c r="O8" s="94">
        <f t="shared" ref="O8:S8" si="0">+YEAR(O11)</f>
        <v>2025</v>
      </c>
      <c r="P8" s="94">
        <f t="shared" si="0"/>
        <v>2025</v>
      </c>
      <c r="Q8" s="94">
        <f t="shared" si="0"/>
        <v>2025</v>
      </c>
      <c r="R8" s="94">
        <f t="shared" si="0"/>
        <v>2025</v>
      </c>
      <c r="S8" s="94">
        <f t="shared" si="0"/>
        <v>2025</v>
      </c>
    </row>
    <row r="9" spans="1:41" s="95" customFormat="1" ht="22.5" customHeight="1" x14ac:dyDescent="0.25">
      <c r="A9" s="1238" t="s">
        <v>56</v>
      </c>
      <c r="B9" s="1238" t="s">
        <v>57</v>
      </c>
      <c r="C9" s="1238" t="s">
        <v>58</v>
      </c>
      <c r="D9" s="1241" t="s">
        <v>59</v>
      </c>
      <c r="E9" s="2"/>
      <c r="F9" s="1241" t="s">
        <v>60</v>
      </c>
      <c r="G9" s="2"/>
      <c r="H9" s="1272" t="str">
        <f>+A2</f>
        <v>MES DE ENERO DEL 2025</v>
      </c>
      <c r="I9" s="1273"/>
      <c r="J9" s="2"/>
      <c r="K9" s="1237" t="s">
        <v>434</v>
      </c>
      <c r="L9" s="1237" t="s">
        <v>39</v>
      </c>
      <c r="M9" s="1237" t="s">
        <v>40</v>
      </c>
      <c r="O9" s="1262" t="s">
        <v>0</v>
      </c>
      <c r="P9" s="1263"/>
      <c r="Q9" s="1263"/>
      <c r="R9" s="1263"/>
      <c r="S9" s="1276"/>
      <c r="U9" s="1231" t="s">
        <v>41</v>
      </c>
      <c r="V9" s="1232"/>
      <c r="W9" s="1233"/>
      <c r="Y9" s="1231" t="s">
        <v>1</v>
      </c>
      <c r="Z9" s="1232"/>
      <c r="AA9" s="1232"/>
      <c r="AB9" s="1232"/>
      <c r="AC9" s="1233"/>
      <c r="AE9" s="1241" t="s">
        <v>435</v>
      </c>
      <c r="AF9" s="260"/>
      <c r="AG9" s="122"/>
      <c r="AH9" s="1259" t="s">
        <v>30</v>
      </c>
      <c r="AI9" s="1264" t="s">
        <v>342</v>
      </c>
      <c r="AJ9" s="1264" t="s">
        <v>35</v>
      </c>
      <c r="AK9" s="1279">
        <v>45597</v>
      </c>
      <c r="AL9" s="1279">
        <v>45627</v>
      </c>
      <c r="AM9" s="1279">
        <v>45658</v>
      </c>
      <c r="AN9" s="1279">
        <v>45689</v>
      </c>
      <c r="AO9" s="1279">
        <v>45717</v>
      </c>
    </row>
    <row r="10" spans="1:41" s="95" customFormat="1" ht="22.5" customHeight="1" x14ac:dyDescent="0.25">
      <c r="A10" s="1239"/>
      <c r="B10" s="1239"/>
      <c r="C10" s="1239"/>
      <c r="D10" s="1242"/>
      <c r="E10" s="2"/>
      <c r="F10" s="1242"/>
      <c r="G10" s="2"/>
      <c r="H10" s="1274"/>
      <c r="I10" s="1275"/>
      <c r="J10" s="2"/>
      <c r="K10" s="1237"/>
      <c r="L10" s="1237"/>
      <c r="M10" s="1237"/>
      <c r="O10" s="309">
        <v>4</v>
      </c>
      <c r="P10" s="309">
        <f>+O10+1</f>
        <v>5</v>
      </c>
      <c r="Q10" s="309">
        <f t="shared" ref="Q10:S10" si="1">+P10+1</f>
        <v>6</v>
      </c>
      <c r="R10" s="309">
        <f t="shared" si="1"/>
        <v>7</v>
      </c>
      <c r="S10" s="309">
        <f t="shared" si="1"/>
        <v>8</v>
      </c>
      <c r="U10" s="1234"/>
      <c r="V10" s="1235"/>
      <c r="W10" s="1236"/>
      <c r="Y10" s="1234"/>
      <c r="Z10" s="1235"/>
      <c r="AA10" s="1235"/>
      <c r="AB10" s="1235"/>
      <c r="AC10" s="1236"/>
      <c r="AE10" s="1243"/>
      <c r="AF10" s="260"/>
      <c r="AG10" s="122"/>
      <c r="AH10" s="1260"/>
      <c r="AI10" s="1265"/>
      <c r="AJ10" s="1265"/>
      <c r="AK10" s="1280"/>
      <c r="AL10" s="1280"/>
      <c r="AM10" s="1280"/>
      <c r="AN10" s="1280"/>
      <c r="AO10" s="1280"/>
    </row>
    <row r="11" spans="1:41" s="97" customFormat="1" ht="33" customHeight="1" x14ac:dyDescent="0.25">
      <c r="A11" s="1240"/>
      <c r="B11" s="1240"/>
      <c r="C11" s="1240"/>
      <c r="D11" s="1243"/>
      <c r="E11" s="2"/>
      <c r="F11" s="1240"/>
      <c r="G11" s="2"/>
      <c r="H11" s="246" t="s">
        <v>4</v>
      </c>
      <c r="I11" s="246" t="s">
        <v>5</v>
      </c>
      <c r="J11" s="2"/>
      <c r="K11" s="1237"/>
      <c r="L11" s="1237"/>
      <c r="M11" s="1237"/>
      <c r="O11" s="247">
        <f>+Staff!Y11</f>
        <v>45689</v>
      </c>
      <c r="P11" s="247">
        <f t="shared" ref="P11:S11" si="2">+O11+31</f>
        <v>45720</v>
      </c>
      <c r="Q11" s="247">
        <f t="shared" si="2"/>
        <v>45751</v>
      </c>
      <c r="R11" s="247">
        <f t="shared" si="2"/>
        <v>45782</v>
      </c>
      <c r="S11" s="247">
        <f t="shared" si="2"/>
        <v>45813</v>
      </c>
      <c r="T11" s="95"/>
      <c r="U11" s="246">
        <f>+Staff!BG11</f>
        <v>2025</v>
      </c>
      <c r="V11" s="246">
        <f>+U11+1</f>
        <v>2026</v>
      </c>
      <c r="W11" s="246">
        <f>+V11+1</f>
        <v>2027</v>
      </c>
      <c r="Y11" s="246" t="s">
        <v>6</v>
      </c>
      <c r="Z11" s="246" t="s">
        <v>7</v>
      </c>
      <c r="AA11" s="246" t="s">
        <v>36</v>
      </c>
      <c r="AB11" s="248" t="s">
        <v>125</v>
      </c>
      <c r="AC11" s="246" t="s">
        <v>8</v>
      </c>
      <c r="AD11" s="95"/>
      <c r="AE11" s="1113" t="s">
        <v>436</v>
      </c>
      <c r="AF11" s="548"/>
      <c r="AG11" s="123"/>
      <c r="AH11" s="1261"/>
      <c r="AI11" s="1266"/>
      <c r="AJ11" s="1266"/>
      <c r="AK11" s="1281"/>
      <c r="AL11" s="1281"/>
      <c r="AM11" s="1281"/>
      <c r="AN11" s="1281"/>
      <c r="AO11" s="1281"/>
    </row>
    <row r="12" spans="1:41" ht="26.25" customHeight="1" x14ac:dyDescent="0.3">
      <c r="A12" s="98">
        <v>600</v>
      </c>
      <c r="B12" s="102" t="s">
        <v>397</v>
      </c>
      <c r="I12" s="7"/>
      <c r="N12" s="97"/>
      <c r="T12" s="95"/>
      <c r="Y12" s="7"/>
      <c r="Z12" s="7"/>
      <c r="AB12" s="7"/>
      <c r="AD12" s="95"/>
      <c r="AF12" s="109"/>
      <c r="AG12" s="106"/>
      <c r="AH12" s="7"/>
      <c r="AI12" s="7"/>
      <c r="AJ12" s="7"/>
      <c r="AK12" s="7"/>
      <c r="AL12" s="7"/>
      <c r="AM12" s="7"/>
      <c r="AN12" s="7"/>
      <c r="AO12" s="7"/>
    </row>
    <row r="13" spans="1:41" s="6" customFormat="1" ht="33" customHeight="1" outlineLevel="1" x14ac:dyDescent="0.3">
      <c r="A13" s="1046"/>
      <c r="B13" s="1047" t="s">
        <v>398</v>
      </c>
      <c r="C13" s="1048" t="s">
        <v>29</v>
      </c>
      <c r="D13" s="1114"/>
      <c r="F13" s="1049"/>
      <c r="H13" s="1049"/>
      <c r="I13" s="1050"/>
      <c r="K13" s="1049"/>
      <c r="L13" s="1050"/>
      <c r="M13" s="1049"/>
      <c r="N13" s="987"/>
      <c r="O13" s="1051"/>
      <c r="P13" s="1051"/>
      <c r="Q13" s="1051"/>
      <c r="R13" s="1051"/>
      <c r="S13" s="1051"/>
      <c r="T13" s="986"/>
      <c r="U13" s="1051">
        <f>+SUMIFS(O13:S13,O$8:S$8,$U$11)</f>
        <v>0</v>
      </c>
      <c r="V13" s="1051">
        <f>+SUMIFS(O13:S13,O$8:S$8,$V$11)</f>
        <v>0</v>
      </c>
      <c r="W13" s="1051">
        <f>+SUMIFS(O13:S13,O$8:S$8,$W$11)</f>
        <v>0</v>
      </c>
      <c r="X13" s="463"/>
      <c r="Y13" s="1051">
        <f>+L13+M13</f>
        <v>0</v>
      </c>
      <c r="Z13" s="1051"/>
      <c r="AA13" s="1051"/>
      <c r="AB13" s="1051"/>
      <c r="AC13" s="1051"/>
      <c r="AD13" s="986"/>
      <c r="AE13" s="1052"/>
      <c r="AF13" s="1053"/>
      <c r="AG13" s="503"/>
      <c r="AH13" s="1051"/>
      <c r="AI13" s="1054"/>
      <c r="AJ13" s="1054"/>
      <c r="AK13" s="1049"/>
      <c r="AL13" s="1049"/>
      <c r="AM13" s="1049"/>
      <c r="AN13" s="1049"/>
      <c r="AO13" s="1054"/>
    </row>
    <row r="14" spans="1:41" s="6" customFormat="1" ht="33" customHeight="1" outlineLevel="1" x14ac:dyDescent="0.3">
      <c r="A14" s="1055"/>
      <c r="B14" s="1056" t="s">
        <v>399</v>
      </c>
      <c r="C14" s="1057" t="s">
        <v>29</v>
      </c>
      <c r="D14" s="1115"/>
      <c r="F14" s="1058"/>
      <c r="H14" s="1059"/>
      <c r="I14" s="1060"/>
      <c r="K14" s="1059"/>
      <c r="L14" s="1060"/>
      <c r="M14" s="1060"/>
      <c r="N14" s="987"/>
      <c r="O14" s="1061"/>
      <c r="P14" s="1061"/>
      <c r="Q14" s="1061"/>
      <c r="R14" s="1061"/>
      <c r="S14" s="1061"/>
      <c r="T14" s="986"/>
      <c r="U14" s="1059">
        <f>+SUMIFS(O14:S14,O$8:S$8,$U$11)</f>
        <v>0</v>
      </c>
      <c r="V14" s="1059">
        <f>+SUMIFS(O14:S14,O$8:S$8,$V$11)</f>
        <v>0</v>
      </c>
      <c r="W14" s="1061">
        <f>+SUMIFS(O14:S14,O$8:S$8,$W$11)</f>
        <v>0</v>
      </c>
      <c r="X14" s="463"/>
      <c r="Y14" s="1059">
        <f>+L14+M14</f>
        <v>0</v>
      </c>
      <c r="Z14" s="1061"/>
      <c r="AA14" s="1061"/>
      <c r="AB14" s="1061"/>
      <c r="AC14" s="1059"/>
      <c r="AD14" s="986"/>
      <c r="AE14" s="1062"/>
      <c r="AF14" s="1053"/>
      <c r="AG14" s="503"/>
      <c r="AH14" s="1061"/>
      <c r="AI14" s="1063"/>
      <c r="AJ14" s="1063"/>
      <c r="AK14" s="1058"/>
      <c r="AL14" s="1063"/>
      <c r="AM14" s="1063"/>
      <c r="AN14" s="1063"/>
      <c r="AO14" s="1063"/>
    </row>
    <row r="15" spans="1:41" s="1010" customFormat="1" ht="33" customHeight="1" outlineLevel="1" x14ac:dyDescent="0.3">
      <c r="A15" s="1116"/>
      <c r="B15" s="1117" t="s">
        <v>400</v>
      </c>
      <c r="C15" s="1118" t="s">
        <v>29</v>
      </c>
      <c r="D15" s="1119">
        <v>1500</v>
      </c>
      <c r="F15" s="455">
        <f t="shared" ref="F15:F32" si="3">+SUM(AI15)</f>
        <v>1600</v>
      </c>
      <c r="H15" s="1120"/>
      <c r="I15" s="525">
        <f>+AJ15</f>
        <v>0</v>
      </c>
      <c r="K15" s="1120">
        <f>+I15+AE15</f>
        <v>0</v>
      </c>
      <c r="L15" s="525">
        <f t="shared" ref="L15:L17" si="4">+K15+F15</f>
        <v>1600</v>
      </c>
      <c r="M15" s="525">
        <f>+D15-L15</f>
        <v>-100</v>
      </c>
      <c r="N15" s="1121"/>
      <c r="O15" s="455"/>
      <c r="P15" s="455"/>
      <c r="Q15" s="455"/>
      <c r="R15" s="455"/>
      <c r="S15" s="455"/>
      <c r="T15" s="1122"/>
      <c r="U15" s="1120">
        <f>+SUMIFS(O15:S15,O$8:S$8,$U$11)</f>
        <v>0</v>
      </c>
      <c r="V15" s="1120">
        <f>+SUMIFS(O15:S15,O$8:S$8,$V$11)</f>
        <v>0</v>
      </c>
      <c r="W15" s="455">
        <f>+SUMIFS(O15:S15,O$8:S$8,$W$11)</f>
        <v>0</v>
      </c>
      <c r="X15" s="499"/>
      <c r="Y15" s="1120">
        <f>+L15+M15</f>
        <v>1500</v>
      </c>
      <c r="Z15" s="455"/>
      <c r="AA15" s="455"/>
      <c r="AB15" s="455"/>
      <c r="AC15" s="1120"/>
      <c r="AD15" s="1122"/>
      <c r="AE15" s="1123"/>
      <c r="AF15" s="515"/>
      <c r="AG15" s="516"/>
      <c r="AH15" s="455">
        <f>+SUM(AK15:AO15)</f>
        <v>1600</v>
      </c>
      <c r="AI15" s="1123">
        <f>SUM(AK15:AL15)</f>
        <v>1600</v>
      </c>
      <c r="AJ15" s="1123">
        <f>AM15</f>
        <v>0</v>
      </c>
      <c r="AK15" s="455">
        <v>800</v>
      </c>
      <c r="AL15" s="1123">
        <v>800</v>
      </c>
      <c r="AM15" s="1123"/>
      <c r="AN15" s="1123"/>
      <c r="AO15" s="1123"/>
    </row>
    <row r="16" spans="1:41" s="1010" customFormat="1" ht="33" customHeight="1" outlineLevel="1" x14ac:dyDescent="0.3">
      <c r="A16" s="1116"/>
      <c r="B16" s="1117" t="s">
        <v>401</v>
      </c>
      <c r="C16" s="1118" t="s">
        <v>29</v>
      </c>
      <c r="D16" s="1119">
        <v>1000</v>
      </c>
      <c r="F16" s="455">
        <f t="shared" si="3"/>
        <v>600</v>
      </c>
      <c r="H16" s="1120"/>
      <c r="I16" s="525">
        <f t="shared" ref="I16:I17" si="5">+AJ16</f>
        <v>600</v>
      </c>
      <c r="K16" s="1120">
        <f t="shared" ref="K16:K17" si="6">+I16+AE16</f>
        <v>600</v>
      </c>
      <c r="L16" s="525">
        <f t="shared" si="4"/>
        <v>1200</v>
      </c>
      <c r="M16" s="525">
        <f t="shared" ref="M16:M17" si="7">+D16-L16</f>
        <v>-200</v>
      </c>
      <c r="N16" s="1121"/>
      <c r="O16" s="455"/>
      <c r="P16" s="455"/>
      <c r="Q16" s="455"/>
      <c r="R16" s="455"/>
      <c r="S16" s="455"/>
      <c r="T16" s="1122"/>
      <c r="U16" s="1120">
        <f>+SUMIFS(O16:S16,O$8:S$8,$U$11)</f>
        <v>0</v>
      </c>
      <c r="V16" s="1120">
        <f>+SUMIFS(O16:S16,O$8:S$8,$V$11)</f>
        <v>0</v>
      </c>
      <c r="W16" s="455">
        <f>+SUMIFS(O16:S16,O$8:S$8,$W$11)</f>
        <v>0</v>
      </c>
      <c r="X16" s="499"/>
      <c r="Y16" s="1120">
        <f t="shared" ref="Y16:Y31" si="8">+L16+M16</f>
        <v>1000</v>
      </c>
      <c r="Z16" s="455"/>
      <c r="AA16" s="455"/>
      <c r="AB16" s="455"/>
      <c r="AC16" s="1120"/>
      <c r="AD16" s="1122"/>
      <c r="AE16" s="1123"/>
      <c r="AF16" s="515"/>
      <c r="AG16" s="516"/>
      <c r="AH16" s="455">
        <f>+SUM(AK16:AO16)</f>
        <v>2400</v>
      </c>
      <c r="AI16" s="1123">
        <f t="shared" ref="AI16:AI17" si="9">SUM(AK16:AL16)</f>
        <v>600</v>
      </c>
      <c r="AJ16" s="1123">
        <f t="shared" ref="AJ16:AJ17" si="10">AM16</f>
        <v>600</v>
      </c>
      <c r="AK16" s="455"/>
      <c r="AL16" s="1123">
        <v>600</v>
      </c>
      <c r="AM16" s="1123">
        <v>600</v>
      </c>
      <c r="AN16" s="1123">
        <v>600</v>
      </c>
      <c r="AO16" s="1123">
        <v>600</v>
      </c>
    </row>
    <row r="17" spans="1:41" s="1010" customFormat="1" ht="33" customHeight="1" outlineLevel="1" x14ac:dyDescent="0.3">
      <c r="A17" s="1116"/>
      <c r="B17" s="1117" t="s">
        <v>402</v>
      </c>
      <c r="C17" s="1118" t="s">
        <v>29</v>
      </c>
      <c r="D17" s="1119">
        <v>1000</v>
      </c>
      <c r="F17" s="455"/>
      <c r="H17" s="1120"/>
      <c r="I17" s="525">
        <f t="shared" si="5"/>
        <v>600</v>
      </c>
      <c r="K17" s="1120">
        <f t="shared" si="6"/>
        <v>600</v>
      </c>
      <c r="L17" s="525">
        <f t="shared" si="4"/>
        <v>600</v>
      </c>
      <c r="M17" s="525">
        <f t="shared" si="7"/>
        <v>400</v>
      </c>
      <c r="N17" s="1121"/>
      <c r="O17" s="455"/>
      <c r="P17" s="455"/>
      <c r="Q17" s="455"/>
      <c r="R17" s="455"/>
      <c r="S17" s="455"/>
      <c r="T17" s="1122"/>
      <c r="U17" s="1120">
        <f t="shared" ref="U17:U31" si="11">+SUMIFS(O17:S17,O$8:S$8,$U$11)</f>
        <v>0</v>
      </c>
      <c r="V17" s="1120">
        <f t="shared" ref="V17:V31" si="12">+SUMIFS(O17:S17,O$8:S$8,$V$11)</f>
        <v>0</v>
      </c>
      <c r="W17" s="455">
        <f t="shared" ref="W17:W31" si="13">+SUMIFS(O17:S17,O$8:S$8,$W$11)</f>
        <v>0</v>
      </c>
      <c r="X17" s="499"/>
      <c r="Y17" s="1120">
        <f t="shared" si="8"/>
        <v>1000</v>
      </c>
      <c r="Z17" s="455"/>
      <c r="AA17" s="455"/>
      <c r="AB17" s="455"/>
      <c r="AC17" s="1120"/>
      <c r="AD17" s="1122"/>
      <c r="AE17" s="1123"/>
      <c r="AF17" s="515"/>
      <c r="AG17" s="516"/>
      <c r="AH17" s="455">
        <f>+SUM(AK17:AO17)</f>
        <v>2400</v>
      </c>
      <c r="AI17" s="1123">
        <f t="shared" si="9"/>
        <v>600</v>
      </c>
      <c r="AJ17" s="1123">
        <f t="shared" si="10"/>
        <v>600</v>
      </c>
      <c r="AK17" s="455"/>
      <c r="AL17" s="1123">
        <v>600</v>
      </c>
      <c r="AM17" s="1123">
        <v>600</v>
      </c>
      <c r="AN17" s="1123">
        <v>600</v>
      </c>
      <c r="AO17" s="1123">
        <v>600</v>
      </c>
    </row>
    <row r="18" spans="1:41" s="1128" customFormat="1" ht="33" customHeight="1" outlineLevel="1" x14ac:dyDescent="0.3">
      <c r="A18" s="1124"/>
      <c r="B18" s="1125" t="s">
        <v>403</v>
      </c>
      <c r="C18" s="1126" t="s">
        <v>29</v>
      </c>
      <c r="D18" s="1127"/>
      <c r="F18" s="1058"/>
      <c r="H18" s="1059"/>
      <c r="I18" s="1060"/>
      <c r="K18" s="1059"/>
      <c r="L18" s="1060"/>
      <c r="M18" s="1060"/>
      <c r="N18" s="1129"/>
      <c r="O18" s="1058"/>
      <c r="P18" s="1058"/>
      <c r="Q18" s="1058"/>
      <c r="R18" s="1058"/>
      <c r="S18" s="1058"/>
      <c r="T18" s="1130"/>
      <c r="U18" s="1120">
        <f t="shared" si="11"/>
        <v>0</v>
      </c>
      <c r="V18" s="1120">
        <f t="shared" si="12"/>
        <v>0</v>
      </c>
      <c r="W18" s="455">
        <f t="shared" si="13"/>
        <v>0</v>
      </c>
      <c r="X18" s="1131"/>
      <c r="Y18" s="1120">
        <f t="shared" si="8"/>
        <v>0</v>
      </c>
      <c r="Z18" s="1058"/>
      <c r="AA18" s="1058"/>
      <c r="AB18" s="1058"/>
      <c r="AC18" s="1059"/>
      <c r="AD18" s="1130"/>
      <c r="AE18" s="1063"/>
      <c r="AF18" s="1132"/>
      <c r="AG18" s="1133"/>
      <c r="AH18" s="1058"/>
      <c r="AI18" s="1063"/>
      <c r="AJ18" s="1063"/>
      <c r="AK18" s="1058"/>
      <c r="AL18" s="1063"/>
      <c r="AM18" s="1063"/>
      <c r="AN18" s="1063"/>
      <c r="AO18" s="1063"/>
    </row>
    <row r="19" spans="1:41" s="1128" customFormat="1" ht="33" customHeight="1" outlineLevel="1" x14ac:dyDescent="0.3">
      <c r="A19" s="1124"/>
      <c r="B19" s="1125" t="s">
        <v>416</v>
      </c>
      <c r="C19" s="1126" t="s">
        <v>29</v>
      </c>
      <c r="D19" s="1127"/>
      <c r="F19" s="1058"/>
      <c r="H19" s="1059"/>
      <c r="I19" s="1060"/>
      <c r="K19" s="1059"/>
      <c r="L19" s="1060"/>
      <c r="M19" s="1060"/>
      <c r="N19" s="1129"/>
      <c r="O19" s="1058"/>
      <c r="P19" s="1058"/>
      <c r="Q19" s="1058"/>
      <c r="R19" s="1058"/>
      <c r="S19" s="1058"/>
      <c r="T19" s="1130"/>
      <c r="U19" s="1120">
        <f t="shared" si="11"/>
        <v>0</v>
      </c>
      <c r="V19" s="1120">
        <f t="shared" si="12"/>
        <v>0</v>
      </c>
      <c r="W19" s="455">
        <f t="shared" si="13"/>
        <v>0</v>
      </c>
      <c r="X19" s="1131"/>
      <c r="Y19" s="1120">
        <f t="shared" si="8"/>
        <v>0</v>
      </c>
      <c r="Z19" s="1058"/>
      <c r="AA19" s="1058"/>
      <c r="AB19" s="1058"/>
      <c r="AC19" s="1059"/>
      <c r="AD19" s="1130"/>
      <c r="AE19" s="1063"/>
      <c r="AF19" s="1132"/>
      <c r="AG19" s="1133"/>
      <c r="AH19" s="1058"/>
      <c r="AI19" s="1063"/>
      <c r="AJ19" s="1063"/>
      <c r="AK19" s="1058"/>
      <c r="AL19" s="1063"/>
      <c r="AM19" s="1063"/>
      <c r="AN19" s="1063"/>
      <c r="AO19" s="1063"/>
    </row>
    <row r="20" spans="1:41" s="1010" customFormat="1" ht="33" customHeight="1" outlineLevel="1" x14ac:dyDescent="0.3">
      <c r="A20" s="1116"/>
      <c r="B20" s="1117" t="s">
        <v>404</v>
      </c>
      <c r="C20" s="1118" t="s">
        <v>29</v>
      </c>
      <c r="D20" s="1119">
        <v>500</v>
      </c>
      <c r="F20" s="455"/>
      <c r="H20" s="1120"/>
      <c r="I20" s="525">
        <f t="shared" ref="I20:I26" si="14">+AJ20</f>
        <v>210</v>
      </c>
      <c r="K20" s="1120">
        <f t="shared" ref="K20:K26" si="15">+I20+AE20</f>
        <v>210</v>
      </c>
      <c r="L20" s="525">
        <f t="shared" ref="L20:L26" si="16">+K20+F20</f>
        <v>210</v>
      </c>
      <c r="M20" s="525">
        <f t="shared" ref="M20:M25" si="17">+D20-L20</f>
        <v>290</v>
      </c>
      <c r="N20" s="1121"/>
      <c r="O20" s="455"/>
      <c r="P20" s="455"/>
      <c r="Q20" s="455"/>
      <c r="R20" s="455"/>
      <c r="S20" s="455"/>
      <c r="T20" s="1122"/>
      <c r="U20" s="1120">
        <f t="shared" si="11"/>
        <v>0</v>
      </c>
      <c r="V20" s="1120">
        <f t="shared" si="12"/>
        <v>0</v>
      </c>
      <c r="W20" s="455">
        <f t="shared" si="13"/>
        <v>0</v>
      </c>
      <c r="X20" s="499"/>
      <c r="Y20" s="1120">
        <f t="shared" si="8"/>
        <v>500</v>
      </c>
      <c r="Z20" s="455"/>
      <c r="AA20" s="455"/>
      <c r="AB20" s="455"/>
      <c r="AC20" s="1120"/>
      <c r="AD20" s="1122"/>
      <c r="AE20" s="1123"/>
      <c r="AF20" s="515"/>
      <c r="AG20" s="516"/>
      <c r="AH20" s="455">
        <f t="shared" ref="AH20:AH26" si="18">+SUM(AK20:AO20)</f>
        <v>980</v>
      </c>
      <c r="AI20" s="1123">
        <f t="shared" ref="AI20:AI26" si="19">SUM(AK20:AL20)</f>
        <v>400</v>
      </c>
      <c r="AJ20" s="1123">
        <f t="shared" ref="AJ20:AJ26" si="20">AM20</f>
        <v>210</v>
      </c>
      <c r="AK20" s="455">
        <v>200</v>
      </c>
      <c r="AL20" s="1123">
        <v>200</v>
      </c>
      <c r="AM20" s="1123">
        <v>210</v>
      </c>
      <c r="AN20" s="1123">
        <v>180</v>
      </c>
      <c r="AO20" s="1123">
        <v>190</v>
      </c>
    </row>
    <row r="21" spans="1:41" s="1010" customFormat="1" ht="33" customHeight="1" outlineLevel="1" x14ac:dyDescent="0.3">
      <c r="A21" s="1116"/>
      <c r="B21" s="1117" t="s">
        <v>405</v>
      </c>
      <c r="C21" s="1118" t="s">
        <v>29</v>
      </c>
      <c r="D21" s="1119">
        <v>250</v>
      </c>
      <c r="F21" s="455"/>
      <c r="H21" s="1120"/>
      <c r="I21" s="525">
        <f t="shared" si="14"/>
        <v>300</v>
      </c>
      <c r="K21" s="1120">
        <f t="shared" si="15"/>
        <v>300</v>
      </c>
      <c r="L21" s="525">
        <f t="shared" si="16"/>
        <v>300</v>
      </c>
      <c r="M21" s="525">
        <f t="shared" si="17"/>
        <v>-50</v>
      </c>
      <c r="N21" s="1121"/>
      <c r="O21" s="455"/>
      <c r="P21" s="455"/>
      <c r="Q21" s="455"/>
      <c r="R21" s="455"/>
      <c r="S21" s="455"/>
      <c r="T21" s="1122"/>
      <c r="U21" s="1120">
        <f t="shared" si="11"/>
        <v>0</v>
      </c>
      <c r="V21" s="1120">
        <f t="shared" si="12"/>
        <v>0</v>
      </c>
      <c r="W21" s="455">
        <f t="shared" si="13"/>
        <v>0</v>
      </c>
      <c r="X21" s="499"/>
      <c r="Y21" s="1120">
        <f t="shared" si="8"/>
        <v>250</v>
      </c>
      <c r="Z21" s="455"/>
      <c r="AA21" s="455"/>
      <c r="AB21" s="455"/>
      <c r="AC21" s="1120"/>
      <c r="AD21" s="1122"/>
      <c r="AE21" s="1123"/>
      <c r="AF21" s="515"/>
      <c r="AG21" s="516"/>
      <c r="AH21" s="455">
        <f t="shared" si="18"/>
        <v>600</v>
      </c>
      <c r="AI21" s="1123">
        <f t="shared" si="19"/>
        <v>300</v>
      </c>
      <c r="AJ21" s="1123">
        <f t="shared" si="20"/>
        <v>300</v>
      </c>
      <c r="AK21" s="455">
        <v>300</v>
      </c>
      <c r="AL21" s="1123"/>
      <c r="AM21" s="1123">
        <v>300</v>
      </c>
      <c r="AN21" s="1123"/>
      <c r="AO21" s="1123"/>
    </row>
    <row r="22" spans="1:41" s="1010" customFormat="1" ht="33" customHeight="1" outlineLevel="1" x14ac:dyDescent="0.3">
      <c r="A22" s="1116"/>
      <c r="B22" s="1117" t="s">
        <v>406</v>
      </c>
      <c r="C22" s="1118" t="s">
        <v>29</v>
      </c>
      <c r="D22" s="1119">
        <v>500</v>
      </c>
      <c r="F22" s="455"/>
      <c r="H22" s="1120"/>
      <c r="I22" s="525">
        <f t="shared" si="14"/>
        <v>120</v>
      </c>
      <c r="K22" s="1120">
        <f t="shared" si="15"/>
        <v>120</v>
      </c>
      <c r="L22" s="525">
        <f t="shared" si="16"/>
        <v>120</v>
      </c>
      <c r="M22" s="525">
        <f t="shared" si="17"/>
        <v>380</v>
      </c>
      <c r="N22" s="1121"/>
      <c r="O22" s="455"/>
      <c r="P22" s="455"/>
      <c r="Q22" s="455"/>
      <c r="R22" s="455"/>
      <c r="S22" s="455"/>
      <c r="T22" s="1122"/>
      <c r="U22" s="1120">
        <f t="shared" si="11"/>
        <v>0</v>
      </c>
      <c r="V22" s="1120">
        <f t="shared" si="12"/>
        <v>0</v>
      </c>
      <c r="W22" s="455">
        <f t="shared" si="13"/>
        <v>0</v>
      </c>
      <c r="X22" s="499"/>
      <c r="Y22" s="1120">
        <f t="shared" si="8"/>
        <v>500</v>
      </c>
      <c r="Z22" s="455"/>
      <c r="AA22" s="455"/>
      <c r="AB22" s="455"/>
      <c r="AC22" s="1120"/>
      <c r="AD22" s="1122"/>
      <c r="AE22" s="1123"/>
      <c r="AF22" s="515"/>
      <c r="AG22" s="516"/>
      <c r="AH22" s="455">
        <f t="shared" si="18"/>
        <v>615</v>
      </c>
      <c r="AI22" s="1123">
        <f t="shared" si="19"/>
        <v>240</v>
      </c>
      <c r="AJ22" s="1123">
        <f t="shared" si="20"/>
        <v>120</v>
      </c>
      <c r="AK22" s="455">
        <v>120</v>
      </c>
      <c r="AL22" s="1123">
        <v>120</v>
      </c>
      <c r="AM22" s="1123">
        <v>120</v>
      </c>
      <c r="AN22" s="1123">
        <v>125</v>
      </c>
      <c r="AO22" s="1123">
        <v>130</v>
      </c>
    </row>
    <row r="23" spans="1:41" s="1010" customFormat="1" ht="33" customHeight="1" outlineLevel="1" x14ac:dyDescent="0.3">
      <c r="A23" s="1116"/>
      <c r="B23" s="1117" t="s">
        <v>407</v>
      </c>
      <c r="C23" s="1118" t="s">
        <v>29</v>
      </c>
      <c r="D23" s="1119">
        <v>2500</v>
      </c>
      <c r="F23" s="455"/>
      <c r="H23" s="1120"/>
      <c r="I23" s="525">
        <f t="shared" si="14"/>
        <v>650</v>
      </c>
      <c r="K23" s="1120">
        <f t="shared" si="15"/>
        <v>650</v>
      </c>
      <c r="L23" s="525">
        <f t="shared" si="16"/>
        <v>650</v>
      </c>
      <c r="M23" s="525">
        <f t="shared" si="17"/>
        <v>1850</v>
      </c>
      <c r="N23" s="1121"/>
      <c r="O23" s="455"/>
      <c r="P23" s="455"/>
      <c r="Q23" s="455"/>
      <c r="R23" s="455"/>
      <c r="S23" s="455"/>
      <c r="T23" s="1122"/>
      <c r="U23" s="1120">
        <f t="shared" si="11"/>
        <v>0</v>
      </c>
      <c r="V23" s="1120">
        <f t="shared" si="12"/>
        <v>0</v>
      </c>
      <c r="W23" s="455">
        <f t="shared" si="13"/>
        <v>0</v>
      </c>
      <c r="X23" s="499"/>
      <c r="Y23" s="1120">
        <f t="shared" si="8"/>
        <v>2500</v>
      </c>
      <c r="Z23" s="455"/>
      <c r="AA23" s="455"/>
      <c r="AB23" s="455"/>
      <c r="AC23" s="1120"/>
      <c r="AD23" s="1122"/>
      <c r="AE23" s="1123"/>
      <c r="AF23" s="515"/>
      <c r="AG23" s="516"/>
      <c r="AH23" s="455">
        <f t="shared" si="18"/>
        <v>3120</v>
      </c>
      <c r="AI23" s="1123">
        <f t="shared" si="19"/>
        <v>1200</v>
      </c>
      <c r="AJ23" s="1123">
        <f t="shared" si="20"/>
        <v>650</v>
      </c>
      <c r="AK23" s="455">
        <v>600</v>
      </c>
      <c r="AL23" s="1123">
        <v>600</v>
      </c>
      <c r="AM23" s="1123">
        <v>650</v>
      </c>
      <c r="AN23" s="1123">
        <v>650</v>
      </c>
      <c r="AO23" s="1123">
        <v>620</v>
      </c>
    </row>
    <row r="24" spans="1:41" s="1010" customFormat="1" ht="33" customHeight="1" outlineLevel="1" x14ac:dyDescent="0.3">
      <c r="A24" s="1116"/>
      <c r="B24" s="1117" t="s">
        <v>408</v>
      </c>
      <c r="C24" s="1118" t="s">
        <v>29</v>
      </c>
      <c r="D24" s="1119">
        <v>900</v>
      </c>
      <c r="F24" s="455"/>
      <c r="H24" s="1120"/>
      <c r="I24" s="525">
        <f t="shared" si="14"/>
        <v>970</v>
      </c>
      <c r="K24" s="1120">
        <f t="shared" si="15"/>
        <v>970</v>
      </c>
      <c r="L24" s="525">
        <f t="shared" si="16"/>
        <v>970</v>
      </c>
      <c r="M24" s="525">
        <f t="shared" si="17"/>
        <v>-70</v>
      </c>
      <c r="N24" s="1121"/>
      <c r="O24" s="455"/>
      <c r="P24" s="455"/>
      <c r="Q24" s="455"/>
      <c r="R24" s="455"/>
      <c r="S24" s="455"/>
      <c r="T24" s="1122"/>
      <c r="U24" s="1120">
        <f t="shared" si="11"/>
        <v>0</v>
      </c>
      <c r="V24" s="1120">
        <f t="shared" si="12"/>
        <v>0</v>
      </c>
      <c r="W24" s="455">
        <f t="shared" si="13"/>
        <v>0</v>
      </c>
      <c r="X24" s="499"/>
      <c r="Y24" s="1120">
        <f t="shared" si="8"/>
        <v>900</v>
      </c>
      <c r="Z24" s="455"/>
      <c r="AA24" s="455"/>
      <c r="AB24" s="455"/>
      <c r="AC24" s="1120"/>
      <c r="AD24" s="1122"/>
      <c r="AE24" s="1123"/>
      <c r="AF24" s="515"/>
      <c r="AG24" s="516"/>
      <c r="AH24" s="455">
        <f t="shared" si="18"/>
        <v>4620</v>
      </c>
      <c r="AI24" s="1123">
        <f t="shared" si="19"/>
        <v>1770</v>
      </c>
      <c r="AJ24" s="1123">
        <f t="shared" si="20"/>
        <v>970</v>
      </c>
      <c r="AK24" s="455">
        <v>850</v>
      </c>
      <c r="AL24" s="1123">
        <v>920</v>
      </c>
      <c r="AM24" s="1123">
        <v>970</v>
      </c>
      <c r="AN24" s="1123">
        <v>930</v>
      </c>
      <c r="AO24" s="1123">
        <v>950</v>
      </c>
    </row>
    <row r="25" spans="1:41" s="1010" customFormat="1" ht="33" customHeight="1" outlineLevel="1" x14ac:dyDescent="0.3">
      <c r="A25" s="1116"/>
      <c r="B25" s="1117" t="s">
        <v>409</v>
      </c>
      <c r="C25" s="1118" t="s">
        <v>29</v>
      </c>
      <c r="D25" s="1119">
        <v>750</v>
      </c>
      <c r="F25" s="455"/>
      <c r="H25" s="1120"/>
      <c r="I25" s="525">
        <f t="shared" si="14"/>
        <v>120</v>
      </c>
      <c r="K25" s="1120">
        <f t="shared" si="15"/>
        <v>120</v>
      </c>
      <c r="L25" s="525">
        <f t="shared" si="16"/>
        <v>120</v>
      </c>
      <c r="M25" s="525">
        <f t="shared" si="17"/>
        <v>630</v>
      </c>
      <c r="N25" s="1121"/>
      <c r="O25" s="455"/>
      <c r="P25" s="455"/>
      <c r="Q25" s="455"/>
      <c r="R25" s="455"/>
      <c r="S25" s="455"/>
      <c r="T25" s="1122"/>
      <c r="U25" s="1120">
        <f t="shared" si="11"/>
        <v>0</v>
      </c>
      <c r="V25" s="1120">
        <f t="shared" si="12"/>
        <v>0</v>
      </c>
      <c r="W25" s="455">
        <f t="shared" si="13"/>
        <v>0</v>
      </c>
      <c r="X25" s="499"/>
      <c r="Y25" s="1120">
        <f t="shared" si="8"/>
        <v>750</v>
      </c>
      <c r="Z25" s="455"/>
      <c r="AA25" s="455"/>
      <c r="AB25" s="455"/>
      <c r="AC25" s="1120"/>
      <c r="AD25" s="1122"/>
      <c r="AE25" s="1123"/>
      <c r="AF25" s="515"/>
      <c r="AG25" s="516"/>
      <c r="AH25" s="455">
        <f t="shared" si="18"/>
        <v>560</v>
      </c>
      <c r="AI25" s="1123">
        <f t="shared" si="19"/>
        <v>205</v>
      </c>
      <c r="AJ25" s="1123">
        <f t="shared" si="20"/>
        <v>120</v>
      </c>
      <c r="AK25" s="455">
        <v>100</v>
      </c>
      <c r="AL25" s="1123">
        <v>105</v>
      </c>
      <c r="AM25" s="1123">
        <v>120</v>
      </c>
      <c r="AN25" s="1123">
        <v>125</v>
      </c>
      <c r="AO25" s="1123">
        <v>110</v>
      </c>
    </row>
    <row r="26" spans="1:41" s="1010" customFormat="1" ht="33" customHeight="1" outlineLevel="1" x14ac:dyDescent="0.3">
      <c r="A26" s="1116"/>
      <c r="B26" s="1117" t="s">
        <v>410</v>
      </c>
      <c r="C26" s="1118" t="s">
        <v>29</v>
      </c>
      <c r="D26" s="1119">
        <v>1000</v>
      </c>
      <c r="F26" s="455"/>
      <c r="H26" s="1120"/>
      <c r="I26" s="525">
        <f t="shared" si="14"/>
        <v>0</v>
      </c>
      <c r="K26" s="1120">
        <f t="shared" si="15"/>
        <v>0</v>
      </c>
      <c r="L26" s="525">
        <f t="shared" si="16"/>
        <v>0</v>
      </c>
      <c r="M26" s="525"/>
      <c r="N26" s="1121"/>
      <c r="O26" s="455"/>
      <c r="P26" s="455"/>
      <c r="Q26" s="455"/>
      <c r="R26" s="455"/>
      <c r="S26" s="455"/>
      <c r="T26" s="1122"/>
      <c r="U26" s="1120">
        <f t="shared" si="11"/>
        <v>0</v>
      </c>
      <c r="V26" s="1120">
        <f t="shared" si="12"/>
        <v>0</v>
      </c>
      <c r="W26" s="455">
        <f t="shared" si="13"/>
        <v>0</v>
      </c>
      <c r="X26" s="499"/>
      <c r="Y26" s="1120">
        <f t="shared" si="8"/>
        <v>0</v>
      </c>
      <c r="Z26" s="455"/>
      <c r="AA26" s="455"/>
      <c r="AB26" s="455"/>
      <c r="AC26" s="1120"/>
      <c r="AD26" s="1122"/>
      <c r="AE26" s="1123"/>
      <c r="AF26" s="515"/>
      <c r="AG26" s="516"/>
      <c r="AH26" s="455">
        <f t="shared" si="18"/>
        <v>1000</v>
      </c>
      <c r="AI26" s="1123">
        <f t="shared" si="19"/>
        <v>0</v>
      </c>
      <c r="AJ26" s="1123">
        <f t="shared" si="20"/>
        <v>0</v>
      </c>
      <c r="AK26" s="455"/>
      <c r="AL26" s="1123"/>
      <c r="AM26" s="1123"/>
      <c r="AN26" s="1123"/>
      <c r="AO26" s="1123">
        <v>1000</v>
      </c>
    </row>
    <row r="27" spans="1:41" s="1128" customFormat="1" ht="33" customHeight="1" outlineLevel="1" x14ac:dyDescent="0.3">
      <c r="A27" s="1124"/>
      <c r="B27" s="1125" t="s">
        <v>411</v>
      </c>
      <c r="C27" s="1126" t="s">
        <v>29</v>
      </c>
      <c r="D27" s="1127"/>
      <c r="F27" s="1058"/>
      <c r="H27" s="1059"/>
      <c r="I27" s="1060"/>
      <c r="K27" s="1059"/>
      <c r="L27" s="1060"/>
      <c r="M27" s="1060"/>
      <c r="N27" s="1129"/>
      <c r="O27" s="1058"/>
      <c r="P27" s="1058"/>
      <c r="Q27" s="1058"/>
      <c r="R27" s="1058"/>
      <c r="S27" s="1058"/>
      <c r="T27" s="1130"/>
      <c r="U27" s="1120">
        <f t="shared" si="11"/>
        <v>0</v>
      </c>
      <c r="V27" s="1120">
        <f t="shared" si="12"/>
        <v>0</v>
      </c>
      <c r="W27" s="455">
        <f t="shared" si="13"/>
        <v>0</v>
      </c>
      <c r="X27" s="1131"/>
      <c r="Y27" s="1120">
        <f t="shared" si="8"/>
        <v>0</v>
      </c>
      <c r="Z27" s="1058"/>
      <c r="AA27" s="1058"/>
      <c r="AB27" s="1058"/>
      <c r="AC27" s="1059"/>
      <c r="AD27" s="1130"/>
      <c r="AE27" s="1063"/>
      <c r="AF27" s="1132"/>
      <c r="AG27" s="1133"/>
      <c r="AH27" s="1058"/>
      <c r="AI27" s="1063"/>
      <c r="AJ27" s="1063"/>
      <c r="AK27" s="1058"/>
      <c r="AL27" s="1063"/>
      <c r="AM27" s="1063"/>
      <c r="AN27" s="1063"/>
      <c r="AO27" s="1063"/>
    </row>
    <row r="28" spans="1:41" s="1010" customFormat="1" ht="33" customHeight="1" outlineLevel="1" x14ac:dyDescent="0.3">
      <c r="A28" s="1116"/>
      <c r="B28" s="1117" t="s">
        <v>412</v>
      </c>
      <c r="C28" s="1118" t="s">
        <v>29</v>
      </c>
      <c r="D28" s="1119">
        <v>1248.9418760000001</v>
      </c>
      <c r="F28" s="455"/>
      <c r="H28" s="1120"/>
      <c r="I28" s="525">
        <f t="shared" ref="I28:I31" si="21">+AJ28</f>
        <v>480.36226000000005</v>
      </c>
      <c r="K28" s="1120">
        <f t="shared" ref="K28:K31" si="22">+I28+AE28</f>
        <v>480.36226000000005</v>
      </c>
      <c r="L28" s="525">
        <f t="shared" ref="L28:L31" si="23">+K28+F28</f>
        <v>480.36226000000005</v>
      </c>
      <c r="M28" s="525">
        <f t="shared" ref="M28:M31" si="24">+D28-L28</f>
        <v>768.57961599999999</v>
      </c>
      <c r="N28" s="1121"/>
      <c r="O28" s="455"/>
      <c r="P28" s="455"/>
      <c r="Q28" s="455"/>
      <c r="R28" s="455"/>
      <c r="S28" s="455"/>
      <c r="T28" s="1122"/>
      <c r="U28" s="1120">
        <f t="shared" si="11"/>
        <v>0</v>
      </c>
      <c r="V28" s="1120">
        <f t="shared" si="12"/>
        <v>0</v>
      </c>
      <c r="W28" s="455">
        <f t="shared" si="13"/>
        <v>0</v>
      </c>
      <c r="X28" s="499"/>
      <c r="Y28" s="1120">
        <f t="shared" si="8"/>
        <v>1248.9418760000001</v>
      </c>
      <c r="Z28" s="455"/>
      <c r="AA28" s="455"/>
      <c r="AB28" s="455"/>
      <c r="AC28" s="1120"/>
      <c r="AD28" s="1122"/>
      <c r="AE28" s="1123"/>
      <c r="AF28" s="515"/>
      <c r="AG28" s="516"/>
      <c r="AH28" s="455">
        <f t="shared" ref="AH28:AH31" si="25">+SUM(AK28:AO28)</f>
        <v>2401.8113000000003</v>
      </c>
      <c r="AI28" s="1123">
        <f t="shared" ref="AI28:AI31" si="26">SUM(AK28:AL28)</f>
        <v>960.7245200000001</v>
      </c>
      <c r="AJ28" s="1123">
        <f t="shared" ref="AJ28:AJ31" si="27">AM28</f>
        <v>480.36226000000005</v>
      </c>
      <c r="AK28" s="455">
        <v>480.36226000000005</v>
      </c>
      <c r="AL28" s="1123">
        <v>480.36226000000005</v>
      </c>
      <c r="AM28" s="1123">
        <v>480.36226000000005</v>
      </c>
      <c r="AN28" s="1123">
        <v>480.36226000000005</v>
      </c>
      <c r="AO28" s="1123">
        <v>480.36226000000005</v>
      </c>
    </row>
    <row r="29" spans="1:41" s="1010" customFormat="1" ht="33" customHeight="1" outlineLevel="1" x14ac:dyDescent="0.3">
      <c r="A29" s="1116"/>
      <c r="B29" s="1117" t="s">
        <v>413</v>
      </c>
      <c r="C29" s="1118" t="s">
        <v>29</v>
      </c>
      <c r="D29" s="1119">
        <v>2497.8837520000002</v>
      </c>
      <c r="F29" s="455"/>
      <c r="H29" s="1120"/>
      <c r="I29" s="525">
        <f t="shared" si="21"/>
        <v>960.7245200000001</v>
      </c>
      <c r="K29" s="1120">
        <f t="shared" si="22"/>
        <v>960.7245200000001</v>
      </c>
      <c r="L29" s="525">
        <f t="shared" si="23"/>
        <v>960.7245200000001</v>
      </c>
      <c r="M29" s="525">
        <f t="shared" si="24"/>
        <v>1537.159232</v>
      </c>
      <c r="N29" s="1121"/>
      <c r="O29" s="455"/>
      <c r="P29" s="455"/>
      <c r="Q29" s="455"/>
      <c r="R29" s="455"/>
      <c r="S29" s="455"/>
      <c r="T29" s="1122"/>
      <c r="U29" s="1120">
        <f t="shared" si="11"/>
        <v>0</v>
      </c>
      <c r="V29" s="1120">
        <f t="shared" si="12"/>
        <v>0</v>
      </c>
      <c r="W29" s="455">
        <f t="shared" si="13"/>
        <v>0</v>
      </c>
      <c r="X29" s="499"/>
      <c r="Y29" s="1120">
        <f t="shared" si="8"/>
        <v>2497.8837520000002</v>
      </c>
      <c r="Z29" s="455"/>
      <c r="AA29" s="455"/>
      <c r="AB29" s="455"/>
      <c r="AC29" s="1120"/>
      <c r="AD29" s="1122"/>
      <c r="AE29" s="1123"/>
      <c r="AF29" s="515"/>
      <c r="AG29" s="516"/>
      <c r="AH29" s="455">
        <f t="shared" si="25"/>
        <v>4803.6226000000006</v>
      </c>
      <c r="AI29" s="1123">
        <f t="shared" si="26"/>
        <v>1921.4490400000002</v>
      </c>
      <c r="AJ29" s="1123">
        <f t="shared" si="27"/>
        <v>960.7245200000001</v>
      </c>
      <c r="AK29" s="455">
        <v>960.7245200000001</v>
      </c>
      <c r="AL29" s="1123">
        <v>960.7245200000001</v>
      </c>
      <c r="AM29" s="1123">
        <v>960.7245200000001</v>
      </c>
      <c r="AN29" s="1123">
        <v>960.7245200000001</v>
      </c>
      <c r="AO29" s="1123">
        <v>960.7245200000001</v>
      </c>
    </row>
    <row r="30" spans="1:41" s="1010" customFormat="1" ht="33" customHeight="1" outlineLevel="1" x14ac:dyDescent="0.3">
      <c r="A30" s="1116"/>
      <c r="B30" s="1117" t="s">
        <v>414</v>
      </c>
      <c r="C30" s="1118" t="s">
        <v>29</v>
      </c>
      <c r="D30" s="1119">
        <v>624.47093800000005</v>
      </c>
      <c r="F30" s="455"/>
      <c r="H30" s="1120"/>
      <c r="I30" s="525">
        <f t="shared" si="21"/>
        <v>240.18113000000002</v>
      </c>
      <c r="K30" s="1120">
        <f t="shared" si="22"/>
        <v>240.18113000000002</v>
      </c>
      <c r="L30" s="525">
        <f t="shared" si="23"/>
        <v>240.18113000000002</v>
      </c>
      <c r="M30" s="525">
        <f t="shared" si="24"/>
        <v>384.28980799999999</v>
      </c>
      <c r="N30" s="1121"/>
      <c r="O30" s="455"/>
      <c r="P30" s="455"/>
      <c r="Q30" s="455"/>
      <c r="R30" s="455"/>
      <c r="S30" s="455"/>
      <c r="T30" s="1122"/>
      <c r="U30" s="1120">
        <f t="shared" si="11"/>
        <v>0</v>
      </c>
      <c r="V30" s="1120">
        <f t="shared" si="12"/>
        <v>0</v>
      </c>
      <c r="W30" s="455">
        <f t="shared" si="13"/>
        <v>0</v>
      </c>
      <c r="X30" s="499"/>
      <c r="Y30" s="1120">
        <f t="shared" si="8"/>
        <v>624.47093800000005</v>
      </c>
      <c r="Z30" s="455"/>
      <c r="AA30" s="455"/>
      <c r="AB30" s="455"/>
      <c r="AC30" s="1120"/>
      <c r="AD30" s="1122"/>
      <c r="AE30" s="1123"/>
      <c r="AF30" s="515"/>
      <c r="AG30" s="516"/>
      <c r="AH30" s="455">
        <f t="shared" si="25"/>
        <v>1200.9056500000002</v>
      </c>
      <c r="AI30" s="1123">
        <f t="shared" si="26"/>
        <v>480.36226000000005</v>
      </c>
      <c r="AJ30" s="1123">
        <f t="shared" si="27"/>
        <v>240.18113000000002</v>
      </c>
      <c r="AK30" s="455">
        <v>240.18113000000002</v>
      </c>
      <c r="AL30" s="1123">
        <v>240.18113000000002</v>
      </c>
      <c r="AM30" s="1123">
        <v>240.18113000000002</v>
      </c>
      <c r="AN30" s="1123">
        <v>240.18113000000002</v>
      </c>
      <c r="AO30" s="1123">
        <v>240.18113000000002</v>
      </c>
    </row>
    <row r="31" spans="1:41" s="1010" customFormat="1" ht="33" customHeight="1" outlineLevel="1" x14ac:dyDescent="0.3">
      <c r="A31" s="1116"/>
      <c r="B31" s="1117" t="s">
        <v>415</v>
      </c>
      <c r="C31" s="1118" t="s">
        <v>29</v>
      </c>
      <c r="D31" s="1119">
        <v>11528.694240000001</v>
      </c>
      <c r="F31" s="455"/>
      <c r="H31" s="1120"/>
      <c r="I31" s="525">
        <f t="shared" si="21"/>
        <v>2882.1735600000002</v>
      </c>
      <c r="K31" s="1120">
        <f t="shared" si="22"/>
        <v>2882.1735600000002</v>
      </c>
      <c r="L31" s="525">
        <f t="shared" si="23"/>
        <v>2882.1735600000002</v>
      </c>
      <c r="M31" s="525">
        <f t="shared" si="24"/>
        <v>8646.5206800000014</v>
      </c>
      <c r="N31" s="1121"/>
      <c r="O31" s="455"/>
      <c r="P31" s="455"/>
      <c r="Q31" s="455"/>
      <c r="R31" s="455"/>
      <c r="S31" s="455"/>
      <c r="T31" s="1122"/>
      <c r="U31" s="1120">
        <f t="shared" si="11"/>
        <v>0</v>
      </c>
      <c r="V31" s="1120">
        <f t="shared" si="12"/>
        <v>0</v>
      </c>
      <c r="W31" s="455">
        <f t="shared" si="13"/>
        <v>0</v>
      </c>
      <c r="X31" s="499"/>
      <c r="Y31" s="1120">
        <f t="shared" si="8"/>
        <v>11528.694240000001</v>
      </c>
      <c r="Z31" s="455"/>
      <c r="AA31" s="455"/>
      <c r="AB31" s="455"/>
      <c r="AC31" s="1120"/>
      <c r="AD31" s="1122"/>
      <c r="AE31" s="1123"/>
      <c r="AF31" s="515"/>
      <c r="AG31" s="516"/>
      <c r="AH31" s="455">
        <f t="shared" si="25"/>
        <v>14410.8678</v>
      </c>
      <c r="AI31" s="1123">
        <f t="shared" si="26"/>
        <v>5764.3471200000004</v>
      </c>
      <c r="AJ31" s="1123">
        <f t="shared" si="27"/>
        <v>2882.1735600000002</v>
      </c>
      <c r="AK31" s="455">
        <v>2882.1735600000002</v>
      </c>
      <c r="AL31" s="1123">
        <v>2882.1735600000002</v>
      </c>
      <c r="AM31" s="1123">
        <v>2882.1735600000002</v>
      </c>
      <c r="AN31" s="1123">
        <v>2882.1735600000002</v>
      </c>
      <c r="AO31" s="1123">
        <v>2882.1735600000002</v>
      </c>
    </row>
    <row r="32" spans="1:41" s="1010" customFormat="1" ht="30" customHeight="1" x14ac:dyDescent="0.3">
      <c r="A32" s="1116"/>
      <c r="B32" s="1134"/>
      <c r="C32" s="1118" t="s">
        <v>29</v>
      </c>
      <c r="D32" s="1119"/>
      <c r="F32" s="455"/>
      <c r="H32" s="1120"/>
      <c r="I32" s="525"/>
      <c r="K32" s="1120"/>
      <c r="L32" s="525"/>
      <c r="M32" s="525"/>
      <c r="N32" s="1121"/>
      <c r="O32" s="455"/>
      <c r="P32" s="455"/>
      <c r="Q32" s="455"/>
      <c r="R32" s="455"/>
      <c r="S32" s="455"/>
      <c r="T32" s="1122"/>
      <c r="U32" s="1120"/>
      <c r="V32" s="1120"/>
      <c r="W32" s="1120"/>
      <c r="X32" s="499"/>
      <c r="Y32" s="1120"/>
      <c r="Z32" s="455"/>
      <c r="AA32" s="455"/>
      <c r="AB32" s="1120"/>
      <c r="AC32" s="1120"/>
      <c r="AD32" s="1122"/>
      <c r="AE32" s="1123"/>
      <c r="AF32" s="515"/>
      <c r="AG32" s="516"/>
      <c r="AH32" s="455"/>
      <c r="AI32" s="1123"/>
      <c r="AJ32" s="1123"/>
      <c r="AK32" s="455"/>
      <c r="AL32" s="455"/>
      <c r="AM32" s="455"/>
      <c r="AN32" s="455"/>
      <c r="AO32" s="455"/>
    </row>
    <row r="33" spans="1:41" ht="21" customHeight="1" x14ac:dyDescent="0.3">
      <c r="A33" s="168" t="s">
        <v>29</v>
      </c>
      <c r="B33" s="127" t="str">
        <f>+"TOTAL FASE  "&amp;A12&amp;" : "&amp;B12</f>
        <v>TOTAL FASE  600 : GASTOS GENERALES</v>
      </c>
      <c r="C33" s="101" t="s">
        <v>29</v>
      </c>
      <c r="D33" s="453">
        <f t="shared" ref="D33" si="28">SUM(D13:D32)</f>
        <v>25799.990806000002</v>
      </c>
      <c r="F33" s="453">
        <f>+SUMIF($C13:$C32,$C33,F13:F32)</f>
        <v>2200</v>
      </c>
      <c r="H33" s="453">
        <f>+SUMIF($C13:$C32,$C33,H13:H32)</f>
        <v>0</v>
      </c>
      <c r="I33" s="453">
        <f>+SUMIF($C13:$C32,$C33,I13:I32)</f>
        <v>8133.4414699999998</v>
      </c>
      <c r="K33" s="453">
        <f t="shared" ref="K13:K33" si="29">+I33+AE33</f>
        <v>8133.4414699999998</v>
      </c>
      <c r="L33" s="462">
        <f>+K33+F33</f>
        <v>10333.44147</v>
      </c>
      <c r="M33" s="453">
        <f>+SUMIF($C13:$C32,$C33,M13:M32)</f>
        <v>14466.549336000002</v>
      </c>
      <c r="N33" s="97"/>
      <c r="O33" s="453">
        <f>+SUMIF($C13:$C32,$C33,O13:O32)</f>
        <v>0</v>
      </c>
      <c r="P33" s="453">
        <f>+SUMIF($C13:$C32,$C33,P13:P32)</f>
        <v>0</v>
      </c>
      <c r="Q33" s="453">
        <f>+SUMIF($C13:$C32,$C33,Q13:Q32)</f>
        <v>0</v>
      </c>
      <c r="R33" s="453">
        <f>+SUMIF($C13:$C32,$C33,R13:R32)</f>
        <v>0</v>
      </c>
      <c r="S33" s="453">
        <f>+SUMIF($C13:$C32,$C33,S13:S32)</f>
        <v>0</v>
      </c>
      <c r="T33" s="95"/>
      <c r="U33" s="453">
        <f>+SUMIF($C13:$C32,$C33,U13:U32)</f>
        <v>0</v>
      </c>
      <c r="V33" s="453">
        <f>+SUMIF($C13:$C32,$C33,V13:V32)</f>
        <v>0</v>
      </c>
      <c r="W33" s="453">
        <f>+SUMIF($C13:$C32,$C33,W13:W32)</f>
        <v>0</v>
      </c>
      <c r="X33" s="87"/>
      <c r="Y33" s="453">
        <f>+SUMIF($C13:$C32,$C33,Y13:Y32)</f>
        <v>24799.990806000002</v>
      </c>
      <c r="Z33" s="453">
        <f>+SUMIF($C13:$C32,$C33,Z13:Z32)</f>
        <v>0</v>
      </c>
      <c r="AA33" s="453">
        <f>+SUMIF($C13:$C32,$C33,AA13:AA32)</f>
        <v>0</v>
      </c>
      <c r="AB33" s="453">
        <f>+SUMIF($C13:$C32,$C33,AB13:AB32)</f>
        <v>0</v>
      </c>
      <c r="AC33" s="453">
        <f>+SUMIF($C13:$C32,$C33,AC13:AC32)</f>
        <v>0</v>
      </c>
      <c r="AD33" s="95"/>
      <c r="AE33" s="453">
        <f>+SUMIF($C13:$C32,$C33,AE13:AE32)</f>
        <v>0</v>
      </c>
      <c r="AF33" s="282"/>
      <c r="AG33" s="174"/>
      <c r="AH33" s="453">
        <f t="shared" ref="AH33:AN33" si="30">SUM(AH13:AH32)</f>
        <v>40712.207350000004</v>
      </c>
      <c r="AI33" s="453">
        <f t="shared" si="30"/>
        <v>16041.88294</v>
      </c>
      <c r="AJ33" s="453">
        <f t="shared" si="30"/>
        <v>8133.4414699999998</v>
      </c>
      <c r="AK33" s="453">
        <f t="shared" si="30"/>
        <v>7533.4414699999998</v>
      </c>
      <c r="AL33" s="453">
        <f t="shared" si="30"/>
        <v>8508.4414699999998</v>
      </c>
      <c r="AM33" s="453">
        <f t="shared" si="30"/>
        <v>8133.4414699999998</v>
      </c>
      <c r="AN33" s="453">
        <f t="shared" si="30"/>
        <v>7773.4414699999998</v>
      </c>
      <c r="AO33" s="453">
        <f>SUM(AO13:AO32)</f>
        <v>8763.4414699999998</v>
      </c>
    </row>
    <row r="34" spans="1:41" ht="10.5" customHeight="1" x14ac:dyDescent="0.3">
      <c r="D34" s="87"/>
      <c r="F34" s="87"/>
      <c r="H34" s="87"/>
      <c r="I34" s="87"/>
      <c r="K34" s="87"/>
      <c r="L34" s="87"/>
      <c r="M34" s="87"/>
      <c r="N34" s="97"/>
      <c r="O34" s="87"/>
      <c r="P34" s="87"/>
      <c r="Q34" s="87"/>
      <c r="R34" s="87"/>
      <c r="S34" s="87"/>
      <c r="T34" s="95"/>
      <c r="U34" s="87"/>
      <c r="V34" s="87"/>
      <c r="W34" s="87"/>
      <c r="X34" s="87"/>
      <c r="Y34" s="87"/>
      <c r="Z34" s="87"/>
      <c r="AA34" s="87"/>
      <c r="AB34" s="87"/>
      <c r="AC34" s="87"/>
      <c r="AD34" s="95"/>
      <c r="AE34" s="87"/>
      <c r="AF34" s="282"/>
      <c r="AG34" s="174"/>
      <c r="AH34" s="87"/>
      <c r="AI34" s="87"/>
      <c r="AJ34" s="87"/>
      <c r="AK34" s="87"/>
      <c r="AL34" s="87"/>
      <c r="AM34" s="87"/>
      <c r="AN34" s="87"/>
      <c r="AO34" s="87"/>
    </row>
    <row r="35" spans="1:41" s="88" customFormat="1" ht="24" customHeight="1" x14ac:dyDescent="0.3">
      <c r="A35" s="115"/>
      <c r="B35" s="116" t="s">
        <v>92</v>
      </c>
      <c r="C35" s="117" t="s">
        <v>29</v>
      </c>
      <c r="D35" s="493">
        <f t="shared" ref="D35" si="31">+D33</f>
        <v>25799.990806000002</v>
      </c>
      <c r="E35" s="2"/>
      <c r="F35" s="519">
        <f>+SUMIF($A$12:$A$33,$C$35,F$12:F$33)</f>
        <v>2200</v>
      </c>
      <c r="G35" s="2"/>
      <c r="H35" s="519">
        <f>+SUMIF($A$12:$A$33,$C$35,H$12:H$33)</f>
        <v>0</v>
      </c>
      <c r="I35" s="519">
        <f>+SUMIF($A$12:$A$33,$C$35,I$12:I$33)</f>
        <v>8133.4414699999998</v>
      </c>
      <c r="J35" s="2"/>
      <c r="K35" s="493">
        <f>+I35+AE35</f>
        <v>8133.4414699999998</v>
      </c>
      <c r="L35" s="493">
        <f>+SUMIF($A$12:$A$33,$C$35,L$12:L$33)</f>
        <v>10333.44147</v>
      </c>
      <c r="M35" s="493">
        <f>+SUMIF($A$12:$A$33,$C$35,M$12:M$33)</f>
        <v>14466.549336000002</v>
      </c>
      <c r="N35" s="97"/>
      <c r="O35" s="493">
        <f>+SUMIF($A$12:$A$33,$C$35,O$12:O$33)</f>
        <v>0</v>
      </c>
      <c r="P35" s="493">
        <f>+SUMIF($A$12:$A$33,$C$35,P$12:P$33)</f>
        <v>0</v>
      </c>
      <c r="Q35" s="493">
        <f>+SUMIF($A$12:$A$33,$C$35,Q$12:Q$33)</f>
        <v>0</v>
      </c>
      <c r="R35" s="493">
        <f>+SUMIF($A$12:$A$33,$C$35,R$12:R$33)</f>
        <v>0</v>
      </c>
      <c r="S35" s="493">
        <f>+SUMIF($A$12:$A$33,$C$35,S$12:S$33)</f>
        <v>0</v>
      </c>
      <c r="T35" s="95"/>
      <c r="U35" s="493">
        <f>+SUMIF($A$12:$A$33,$C$35,U$12:U$33)</f>
        <v>0</v>
      </c>
      <c r="V35" s="493">
        <f>+SUMIF($A$12:$A$33,$C$35,V$12:V$33)</f>
        <v>0</v>
      </c>
      <c r="W35" s="493">
        <f>+SUMIF($A$12:$A$33,$C$35,W$12:W$33)</f>
        <v>0</v>
      </c>
      <c r="X35" s="474"/>
      <c r="Y35" s="493">
        <f>+SUMIF($A$12:$A$33,$C$35,Y$12:Y$33)</f>
        <v>24799.990806000002</v>
      </c>
      <c r="Z35" s="493">
        <f>+SUMIF($A$12:$A$33,$C$35,Z$12:Z$33)</f>
        <v>0</v>
      </c>
      <c r="AA35" s="493">
        <f>+SUMIF($A$12:$A$33,$C$35,AA$12:AA$33)</f>
        <v>0</v>
      </c>
      <c r="AB35" s="493">
        <f>+SUMIF($A$12:$A$33,$C$35,AB$12:AB$33)</f>
        <v>0</v>
      </c>
      <c r="AC35" s="493">
        <f>+SUMIF($A$12:$A$33,$C$35,AC$12:AC$33)</f>
        <v>0</v>
      </c>
      <c r="AD35" s="95"/>
      <c r="AE35" s="493">
        <f>+SUMIF($A$12:$A$33,$C$35,AE$12:AE$33)</f>
        <v>0</v>
      </c>
      <c r="AF35" s="282"/>
      <c r="AG35" s="518"/>
      <c r="AH35" s="493">
        <f t="shared" ref="AH35:AN35" si="32">+AH33</f>
        <v>40712.207350000004</v>
      </c>
      <c r="AI35" s="493">
        <f t="shared" si="32"/>
        <v>16041.88294</v>
      </c>
      <c r="AJ35" s="493">
        <f t="shared" si="32"/>
        <v>8133.4414699999998</v>
      </c>
      <c r="AK35" s="493">
        <f t="shared" si="32"/>
        <v>7533.4414699999998</v>
      </c>
      <c r="AL35" s="493">
        <f t="shared" si="32"/>
        <v>8508.4414699999998</v>
      </c>
      <c r="AM35" s="493">
        <f t="shared" si="32"/>
        <v>8133.4414699999998</v>
      </c>
      <c r="AN35" s="493">
        <f t="shared" si="32"/>
        <v>7773.4414699999998</v>
      </c>
      <c r="AO35" s="493">
        <f>+AO33</f>
        <v>8763.4414699999998</v>
      </c>
    </row>
    <row r="36" spans="1:41" s="94" customFormat="1" ht="21" customHeight="1" x14ac:dyDescent="0.3">
      <c r="A36" s="100"/>
      <c r="B36" s="100"/>
      <c r="E36" s="2"/>
      <c r="G36" s="2"/>
      <c r="H36" s="106"/>
      <c r="J36" s="2"/>
      <c r="L36" s="106"/>
      <c r="M36" s="106"/>
      <c r="N36" s="97"/>
      <c r="T36" s="95"/>
      <c r="U36" s="121"/>
      <c r="Y36" s="152"/>
      <c r="Z36" s="152"/>
      <c r="AA36" s="106"/>
      <c r="AB36" s="106"/>
      <c r="AC36" s="106"/>
      <c r="AD36" s="95"/>
      <c r="AF36" s="109"/>
    </row>
    <row r="37" spans="1:41" ht="21" customHeight="1" x14ac:dyDescent="0.3">
      <c r="B37" s="156"/>
      <c r="L37" s="114"/>
      <c r="M37" s="114"/>
      <c r="N37" s="97"/>
      <c r="O37" s="114"/>
      <c r="P37" s="114"/>
      <c r="Q37" s="114"/>
      <c r="R37" s="114"/>
      <c r="S37" s="114"/>
      <c r="T37" s="95"/>
      <c r="AK37" s="256"/>
      <c r="AL37" s="256"/>
      <c r="AM37" s="256"/>
      <c r="AN37" s="256"/>
      <c r="AO37" s="256"/>
    </row>
    <row r="38" spans="1:41" ht="21" customHeight="1" x14ac:dyDescent="0.3">
      <c r="B38" s="156"/>
      <c r="L38" s="114"/>
      <c r="M38" s="114"/>
      <c r="N38" s="97"/>
      <c r="O38" s="114"/>
      <c r="P38" s="114"/>
      <c r="Q38" s="114"/>
      <c r="R38" s="114"/>
      <c r="S38" s="114"/>
    </row>
    <row r="39" spans="1:41" ht="21" customHeight="1" x14ac:dyDescent="0.3">
      <c r="L39" s="114"/>
      <c r="M39" s="114"/>
      <c r="N39" s="97"/>
      <c r="O39" s="114"/>
      <c r="P39" s="114"/>
      <c r="Q39" s="114"/>
      <c r="R39" s="114"/>
      <c r="S39" s="114"/>
    </row>
    <row r="40" spans="1:41" ht="21" customHeight="1" x14ac:dyDescent="0.3">
      <c r="L40" s="114"/>
      <c r="M40" s="114"/>
      <c r="N40" s="97"/>
      <c r="O40" s="114"/>
      <c r="P40" s="114"/>
      <c r="Q40" s="114"/>
      <c r="R40" s="114"/>
      <c r="S40" s="114"/>
    </row>
    <row r="41" spans="1:41" ht="21" customHeight="1" x14ac:dyDescent="0.3">
      <c r="L41" s="114"/>
      <c r="M41" s="114"/>
      <c r="N41" s="97"/>
      <c r="O41" s="114"/>
      <c r="P41" s="114"/>
      <c r="Q41" s="114"/>
      <c r="R41" s="114"/>
      <c r="S41" s="114"/>
    </row>
    <row r="42" spans="1:41" ht="21" customHeight="1" x14ac:dyDescent="0.3">
      <c r="L42" s="114"/>
      <c r="M42" s="114"/>
      <c r="N42" s="114"/>
      <c r="O42" s="114"/>
      <c r="P42" s="114"/>
      <c r="Q42" s="114"/>
      <c r="R42" s="114"/>
      <c r="S42" s="114"/>
    </row>
    <row r="43" spans="1:41" ht="21" customHeight="1" x14ac:dyDescent="0.3">
      <c r="L43" s="114"/>
      <c r="M43" s="114"/>
      <c r="N43" s="114"/>
      <c r="O43" s="114"/>
      <c r="P43" s="114"/>
      <c r="Q43" s="114"/>
      <c r="R43" s="114"/>
      <c r="S43" s="114"/>
    </row>
    <row r="44" spans="1:41" ht="21" customHeight="1" x14ac:dyDescent="0.3">
      <c r="L44" s="114"/>
      <c r="M44" s="114"/>
      <c r="N44" s="114"/>
      <c r="O44" s="114"/>
      <c r="P44" s="114"/>
      <c r="Q44" s="114"/>
      <c r="R44" s="114"/>
      <c r="S44" s="114"/>
    </row>
    <row r="45" spans="1:41" ht="21" customHeight="1" x14ac:dyDescent="0.3">
      <c r="L45" s="114"/>
      <c r="M45" s="114"/>
      <c r="N45" s="114"/>
      <c r="O45" s="114"/>
      <c r="P45" s="114"/>
      <c r="Q45" s="114"/>
      <c r="R45" s="114"/>
      <c r="S45" s="114"/>
    </row>
    <row r="46" spans="1:41" ht="21" customHeight="1" x14ac:dyDescent="0.3">
      <c r="L46" s="114"/>
      <c r="M46" s="114"/>
      <c r="N46" s="114"/>
      <c r="O46" s="114"/>
      <c r="P46" s="114"/>
      <c r="Q46" s="114"/>
      <c r="R46" s="114"/>
      <c r="S46" s="114"/>
    </row>
    <row r="47" spans="1:41" ht="21" customHeight="1" x14ac:dyDescent="0.3">
      <c r="L47" s="114"/>
      <c r="M47" s="114"/>
      <c r="N47" s="114"/>
      <c r="O47" s="114"/>
      <c r="P47" s="114"/>
      <c r="Q47" s="114"/>
      <c r="R47" s="114"/>
      <c r="S47" s="114"/>
    </row>
    <row r="48" spans="1:41" ht="21" customHeight="1" x14ac:dyDescent="0.3">
      <c r="L48" s="114"/>
      <c r="M48" s="114"/>
      <c r="N48" s="114"/>
      <c r="O48" s="114"/>
      <c r="P48" s="114"/>
      <c r="Q48" s="114"/>
      <c r="R48" s="114"/>
      <c r="S48" s="114"/>
    </row>
    <row r="49" spans="12:19" ht="21" customHeight="1" x14ac:dyDescent="0.3">
      <c r="L49" s="114"/>
      <c r="M49" s="114"/>
      <c r="N49" s="114"/>
      <c r="O49" s="114"/>
      <c r="P49" s="114"/>
      <c r="Q49" s="114"/>
      <c r="R49" s="114"/>
      <c r="S49" s="114"/>
    </row>
  </sheetData>
  <mergeCells count="21">
    <mergeCell ref="AN9:AN11"/>
    <mergeCell ref="AO9:AO11"/>
    <mergeCell ref="L9:L11"/>
    <mergeCell ref="A9:A11"/>
    <mergeCell ref="B9:B11"/>
    <mergeCell ref="C9:C11"/>
    <mergeCell ref="F9:F11"/>
    <mergeCell ref="K9:K11"/>
    <mergeCell ref="H9:I10"/>
    <mergeCell ref="D9:D11"/>
    <mergeCell ref="AJ9:AJ11"/>
    <mergeCell ref="AH9:AH11"/>
    <mergeCell ref="AK9:AK11"/>
    <mergeCell ref="AL9:AL11"/>
    <mergeCell ref="AM9:AM11"/>
    <mergeCell ref="AI9:AI11"/>
    <mergeCell ref="M9:M11"/>
    <mergeCell ref="O9:S9"/>
    <mergeCell ref="U9:W10"/>
    <mergeCell ref="Y9:AC10"/>
    <mergeCell ref="AE9:AE10"/>
  </mergeCells>
  <pageMargins left="0.19685039370078741" right="0.19685039370078741" top="0.74803149606299213" bottom="0.74803149606299213" header="0.31496062992125984" footer="0.31496062992125984"/>
  <pageSetup paperSize="9" scale="10"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C000"/>
    <pageSetUpPr fitToPage="1"/>
  </sheetPr>
  <dimension ref="A1:O41"/>
  <sheetViews>
    <sheetView view="pageBreakPreview" zoomScale="85" zoomScaleNormal="80" zoomScaleSheetLayoutView="85" workbookViewId="0">
      <pane xSplit="1" ySplit="9" topLeftCell="B10" activePane="bottomRight" state="frozen"/>
      <selection activeCell="CJ48" sqref="CJ48"/>
      <selection pane="topRight" activeCell="CJ48" sqref="CJ48"/>
      <selection pane="bottomLeft" activeCell="CJ48" sqref="CJ48"/>
      <selection pane="bottomRight" activeCell="E20" sqref="E20"/>
    </sheetView>
  </sheetViews>
  <sheetFormatPr baseColWidth="10" defaultRowHeight="15" outlineLevelRow="1" x14ac:dyDescent="0.25"/>
  <cols>
    <col min="1" max="1" width="70.85546875" customWidth="1"/>
    <col min="2" max="2" width="16.140625" customWidth="1"/>
    <col min="3" max="3" width="18" customWidth="1"/>
    <col min="4" max="4" width="15" customWidth="1"/>
    <col min="5" max="5" width="15.5703125" customWidth="1"/>
    <col min="6" max="6" width="17.28515625" customWidth="1"/>
    <col min="7" max="7" width="15.28515625" customWidth="1"/>
    <col min="8" max="8" width="15.85546875" customWidth="1"/>
    <col min="9" max="9" width="14.140625" bestFit="1" customWidth="1"/>
    <col min="10" max="10" width="12.7109375" style="48" customWidth="1"/>
    <col min="11" max="11" width="13.5703125" style="48" bestFit="1" customWidth="1"/>
    <col min="12" max="12" width="17.7109375" customWidth="1"/>
    <col min="13" max="13" width="11.42578125" customWidth="1"/>
    <col min="14" max="14" width="15" customWidth="1"/>
    <col min="15" max="16" width="11.42578125" customWidth="1"/>
    <col min="18" max="18" width="19.5703125" customWidth="1"/>
    <col min="19" max="19" width="7" customWidth="1"/>
  </cols>
  <sheetData>
    <row r="1" spans="1:14" s="320" customFormat="1" ht="16.5" customHeight="1" x14ac:dyDescent="0.25">
      <c r="A1" s="1282" t="s">
        <v>139</v>
      </c>
      <c r="B1" s="1283"/>
      <c r="C1" s="1283"/>
      <c r="D1" s="1283"/>
      <c r="E1" s="1283"/>
      <c r="F1" s="1283"/>
      <c r="G1" s="1283"/>
      <c r="H1" s="1283"/>
      <c r="I1" s="1284"/>
      <c r="J1" s="322"/>
      <c r="K1" s="322"/>
    </row>
    <row r="2" spans="1:14" s="320" customFormat="1" ht="18" customHeight="1" x14ac:dyDescent="0.25">
      <c r="A2" s="1285" t="s">
        <v>115</v>
      </c>
      <c r="B2" s="1286"/>
      <c r="C2" s="1286"/>
      <c r="D2" s="1286"/>
      <c r="E2" s="1286"/>
      <c r="F2" s="1286"/>
      <c r="G2" s="1286"/>
      <c r="H2" s="1286"/>
      <c r="I2" s="1287"/>
      <c r="J2" s="322"/>
      <c r="K2" s="322"/>
    </row>
    <row r="3" spans="1:14" s="320" customFormat="1" ht="21" customHeight="1" thickBot="1" x14ac:dyDescent="0.3">
      <c r="A3" s="1288" t="s">
        <v>148</v>
      </c>
      <c r="B3" s="1289"/>
      <c r="C3" s="1289"/>
      <c r="D3" s="1289"/>
      <c r="E3" s="1289"/>
      <c r="F3" s="1289"/>
      <c r="G3" s="1289"/>
      <c r="H3" s="1289"/>
      <c r="I3" s="1290"/>
      <c r="J3" s="322"/>
      <c r="K3" s="322"/>
    </row>
    <row r="4" spans="1:14" s="320" customFormat="1" ht="15.75" customHeight="1" thickBot="1" x14ac:dyDescent="0.3">
      <c r="A4" s="573" t="str">
        <f>+CONSOLIDADO!B4</f>
        <v>MES DE JULIO 2024</v>
      </c>
      <c r="B4" s="1295"/>
      <c r="C4" s="1295"/>
      <c r="D4" s="1295"/>
      <c r="E4" s="574"/>
      <c r="F4" s="574"/>
      <c r="G4" s="574"/>
      <c r="H4" s="574"/>
      <c r="I4" s="575"/>
      <c r="J4" s="576"/>
      <c r="K4" s="322"/>
    </row>
    <row r="5" spans="1:14" s="320" customFormat="1" ht="15.75" customHeight="1" x14ac:dyDescent="0.25">
      <c r="A5" s="577" t="s">
        <v>137</v>
      </c>
      <c r="B5" s="1295"/>
      <c r="C5" s="1295"/>
      <c r="D5" s="1295"/>
      <c r="E5" s="574"/>
      <c r="F5" s="574"/>
      <c r="G5" s="574"/>
      <c r="H5" s="574"/>
      <c r="I5" s="575"/>
      <c r="J5" s="576"/>
      <c r="K5" s="322"/>
    </row>
    <row r="6" spans="1:14" s="320" customFormat="1" ht="15.75" thickBot="1" x14ac:dyDescent="0.3">
      <c r="A6" s="578" t="s">
        <v>138</v>
      </c>
      <c r="B6" s="579"/>
      <c r="C6" s="580"/>
      <c r="D6" s="581"/>
      <c r="E6" s="581"/>
      <c r="F6" s="581"/>
      <c r="G6" s="581"/>
      <c r="H6" s="581"/>
      <c r="I6" s="582"/>
      <c r="J6" s="322"/>
      <c r="K6" s="322"/>
    </row>
    <row r="7" spans="1:14" s="320" customFormat="1" ht="15.75" thickBot="1" x14ac:dyDescent="0.3">
      <c r="J7" s="322"/>
      <c r="K7" s="322"/>
    </row>
    <row r="8" spans="1:14" x14ac:dyDescent="0.25">
      <c r="A8" s="1293" t="s">
        <v>28</v>
      </c>
      <c r="B8" s="234" t="s">
        <v>107</v>
      </c>
      <c r="C8" s="235" t="s">
        <v>108</v>
      </c>
      <c r="D8" s="235" t="s">
        <v>109</v>
      </c>
      <c r="E8" s="235" t="s">
        <v>110</v>
      </c>
      <c r="F8" s="235" t="s">
        <v>111</v>
      </c>
      <c r="G8" s="235" t="s">
        <v>112</v>
      </c>
      <c r="H8" s="1296" t="s">
        <v>49</v>
      </c>
      <c r="I8" s="1297"/>
    </row>
    <row r="9" spans="1:14" ht="30.75" thickBot="1" x14ac:dyDescent="0.3">
      <c r="A9" s="1294"/>
      <c r="B9" s="236" t="str">
        <f>+'Dif. Margenes'!B11</f>
        <v xml:space="preserve">  OBRAS PRELIMINARES</v>
      </c>
      <c r="C9" s="237" t="str">
        <f>+'Dif. Margenes'!B12</f>
        <v>MOVIMIENTOS DE TIERRAS</v>
      </c>
      <c r="D9" s="237" t="str">
        <f>+'Dif. Margenes'!B13</f>
        <v xml:space="preserve">CONCRETO </v>
      </c>
      <c r="E9" s="237" t="str">
        <f>+'Dif. Margenes'!B14</f>
        <v>ENCOFRADO</v>
      </c>
      <c r="F9" s="237" t="str">
        <f>+'Dif. Margenes'!B15</f>
        <v xml:space="preserve">ACERO </v>
      </c>
      <c r="G9" s="237" t="e">
        <f>+'Dif. Margenes'!#REF!</f>
        <v>#REF!</v>
      </c>
      <c r="H9" s="552" t="s">
        <v>21</v>
      </c>
      <c r="I9" s="550" t="s">
        <v>160</v>
      </c>
    </row>
    <row r="10" spans="1:14" s="320" customFormat="1" ht="15.75" thickBot="1" x14ac:dyDescent="0.3">
      <c r="A10" s="321" t="s">
        <v>116</v>
      </c>
      <c r="B10" s="411"/>
      <c r="C10" s="412"/>
      <c r="D10" s="411"/>
      <c r="E10" s="411"/>
      <c r="F10" s="411"/>
      <c r="G10" s="411"/>
      <c r="H10" s="413"/>
      <c r="I10" s="413"/>
      <c r="J10" s="322"/>
      <c r="K10" s="322"/>
    </row>
    <row r="11" spans="1:14" s="320" customFormat="1" x14ac:dyDescent="0.25">
      <c r="A11" s="323" t="s">
        <v>143</v>
      </c>
      <c r="B11" s="561">
        <v>0</v>
      </c>
      <c r="C11" s="561">
        <v>0</v>
      </c>
      <c r="D11" s="561"/>
      <c r="E11" s="561"/>
      <c r="F11" s="561"/>
      <c r="G11" s="561"/>
      <c r="H11" s="562">
        <f>SUM(B11:G11)</f>
        <v>0</v>
      </c>
      <c r="I11" s="562"/>
      <c r="J11" s="324"/>
      <c r="K11" s="324"/>
    </row>
    <row r="12" spans="1:14" s="320" customFormat="1" x14ac:dyDescent="0.25">
      <c r="A12" s="323"/>
      <c r="B12" s="561"/>
      <c r="C12" s="561"/>
      <c r="D12" s="561"/>
      <c r="E12" s="561"/>
      <c r="F12" s="561"/>
      <c r="G12" s="561"/>
      <c r="H12" s="563">
        <f>SUM(B12:G12)</f>
        <v>0</v>
      </c>
      <c r="I12" s="563"/>
      <c r="J12" s="322"/>
      <c r="K12" s="322"/>
    </row>
    <row r="13" spans="1:14" s="320" customFormat="1" x14ac:dyDescent="0.25">
      <c r="A13" s="323"/>
      <c r="B13" s="564"/>
      <c r="C13" s="561"/>
      <c r="D13" s="561"/>
      <c r="E13" s="561"/>
      <c r="F13" s="561"/>
      <c r="G13" s="561"/>
      <c r="H13" s="563">
        <f>SUM(B13:G13)</f>
        <v>0</v>
      </c>
      <c r="I13" s="563"/>
      <c r="J13" s="324"/>
      <c r="K13" s="325"/>
      <c r="L13" s="326"/>
      <c r="N13" s="326"/>
    </row>
    <row r="14" spans="1:14" s="320" customFormat="1" ht="15.75" thickBot="1" x14ac:dyDescent="0.3">
      <c r="A14" s="327"/>
      <c r="B14" s="565"/>
      <c r="C14" s="561"/>
      <c r="D14" s="561"/>
      <c r="E14" s="561"/>
      <c r="F14" s="561"/>
      <c r="G14" s="561"/>
      <c r="H14" s="566">
        <f>SUM(B14:G14)</f>
        <v>0</v>
      </c>
      <c r="I14" s="566"/>
      <c r="J14" s="324"/>
      <c r="K14" s="322"/>
      <c r="N14" s="326"/>
    </row>
    <row r="15" spans="1:14" ht="15.75" thickBot="1" x14ac:dyDescent="0.3">
      <c r="A15" s="238" t="s">
        <v>117</v>
      </c>
      <c r="B15" s="567">
        <f t="shared" ref="B15:G15" si="0">SUM(B11:B14)</f>
        <v>0</v>
      </c>
      <c r="C15" s="567">
        <f t="shared" si="0"/>
        <v>0</v>
      </c>
      <c r="D15" s="567">
        <f t="shared" si="0"/>
        <v>0</v>
      </c>
      <c r="E15" s="567">
        <f t="shared" si="0"/>
        <v>0</v>
      </c>
      <c r="F15" s="567">
        <f t="shared" si="0"/>
        <v>0</v>
      </c>
      <c r="G15" s="567">
        <f t="shared" si="0"/>
        <v>0</v>
      </c>
      <c r="H15" s="568">
        <f>SUM(I11:I14)</f>
        <v>0</v>
      </c>
      <c r="I15" s="568"/>
    </row>
    <row r="16" spans="1:14" ht="6" customHeight="1" thickBot="1" x14ac:dyDescent="0.3">
      <c r="A16" s="238"/>
      <c r="B16" s="567"/>
      <c r="C16" s="567"/>
      <c r="D16" s="567"/>
      <c r="E16" s="567"/>
      <c r="F16" s="567"/>
      <c r="G16" s="567"/>
      <c r="H16" s="568"/>
      <c r="I16" s="568"/>
      <c r="L16" s="38"/>
    </row>
    <row r="17" spans="1:15" ht="15.75" thickBot="1" x14ac:dyDescent="0.3">
      <c r="A17" s="239" t="s">
        <v>118</v>
      </c>
      <c r="B17" s="567"/>
      <c r="C17" s="567"/>
      <c r="D17" s="569"/>
      <c r="E17" s="569"/>
      <c r="F17" s="569"/>
      <c r="G17" s="569"/>
      <c r="H17" s="570"/>
      <c r="I17" s="570"/>
      <c r="K17" s="240"/>
    </row>
    <row r="18" spans="1:15" s="320" customFormat="1" x14ac:dyDescent="0.25">
      <c r="A18" s="328"/>
      <c r="B18" s="571"/>
      <c r="C18" s="571"/>
      <c r="D18" s="571"/>
      <c r="E18" s="571"/>
      <c r="F18" s="571"/>
      <c r="G18" s="571"/>
      <c r="H18" s="562"/>
      <c r="I18" s="562">
        <f>SUM(B18:G18)</f>
        <v>0</v>
      </c>
      <c r="J18" s="322"/>
      <c r="K18" s="322"/>
    </row>
    <row r="19" spans="1:15" s="320" customFormat="1" x14ac:dyDescent="0.25">
      <c r="A19" s="323"/>
      <c r="B19" s="561"/>
      <c r="C19" s="561"/>
      <c r="D19" s="561"/>
      <c r="E19" s="561"/>
      <c r="F19" s="561"/>
      <c r="G19" s="561"/>
      <c r="H19" s="563"/>
      <c r="I19" s="563">
        <f>SUM(B19:G19)</f>
        <v>0</v>
      </c>
      <c r="J19" s="322"/>
      <c r="K19" s="322"/>
    </row>
    <row r="20" spans="1:15" s="320" customFormat="1" x14ac:dyDescent="0.25">
      <c r="A20" s="323"/>
      <c r="B20" s="561"/>
      <c r="C20" s="561"/>
      <c r="D20" s="561"/>
      <c r="E20" s="561"/>
      <c r="F20" s="561"/>
      <c r="G20" s="561"/>
      <c r="H20" s="563"/>
      <c r="I20" s="563">
        <f>SUM(B20:G20)</f>
        <v>0</v>
      </c>
      <c r="J20" s="322"/>
      <c r="K20" s="322"/>
    </row>
    <row r="21" spans="1:15" s="320" customFormat="1" ht="15.75" thickBot="1" x14ac:dyDescent="0.3">
      <c r="A21" s="327"/>
      <c r="B21" s="572"/>
      <c r="C21" s="572"/>
      <c r="D21" s="572"/>
      <c r="E21" s="572"/>
      <c r="F21" s="572"/>
      <c r="G21" s="572"/>
      <c r="H21" s="566"/>
      <c r="I21" s="566">
        <f>SUM(B21:G21)</f>
        <v>0</v>
      </c>
      <c r="J21" s="322"/>
      <c r="K21" s="322"/>
    </row>
    <row r="22" spans="1:15" ht="15.75" thickBot="1" x14ac:dyDescent="0.3">
      <c r="A22" s="238" t="s">
        <v>119</v>
      </c>
      <c r="B22" s="558">
        <f t="shared" ref="B22:G22" si="1">SUM(B18:B21)</f>
        <v>0</v>
      </c>
      <c r="C22" s="558">
        <f t="shared" si="1"/>
        <v>0</v>
      </c>
      <c r="D22" s="558">
        <f t="shared" si="1"/>
        <v>0</v>
      </c>
      <c r="E22" s="558">
        <f t="shared" si="1"/>
        <v>0</v>
      </c>
      <c r="F22" s="558">
        <f t="shared" si="1"/>
        <v>0</v>
      </c>
      <c r="G22" s="558">
        <f t="shared" si="1"/>
        <v>0</v>
      </c>
      <c r="H22" s="568"/>
      <c r="I22" s="568">
        <f>SUM(I18:I21)</f>
        <v>0</v>
      </c>
      <c r="O22" s="38"/>
    </row>
    <row r="23" spans="1:15" ht="15.75" thickBot="1" x14ac:dyDescent="0.3">
      <c r="B23" s="414"/>
      <c r="C23" s="414"/>
      <c r="D23" s="414"/>
      <c r="E23" s="414"/>
      <c r="F23" s="414"/>
      <c r="G23" s="414"/>
      <c r="H23" s="414"/>
      <c r="I23" s="414"/>
    </row>
    <row r="24" spans="1:15" ht="15.75" outlineLevel="1" thickBot="1" x14ac:dyDescent="0.3">
      <c r="A24" s="241" t="s">
        <v>120</v>
      </c>
      <c r="B24" s="415">
        <f t="shared" ref="B24:G24" si="2">+B15-B22</f>
        <v>0</v>
      </c>
      <c r="C24" s="415">
        <f t="shared" si="2"/>
        <v>0</v>
      </c>
      <c r="D24" s="415">
        <f t="shared" si="2"/>
        <v>0</v>
      </c>
      <c r="E24" s="415">
        <f t="shared" si="2"/>
        <v>0</v>
      </c>
      <c r="F24" s="415">
        <f t="shared" si="2"/>
        <v>0</v>
      </c>
      <c r="G24" s="415">
        <f t="shared" si="2"/>
        <v>0</v>
      </c>
      <c r="H24" s="1291">
        <f>H15-I22</f>
        <v>0</v>
      </c>
      <c r="I24" s="1292"/>
    </row>
    <row r="25" spans="1:15" ht="15.75" outlineLevel="1" thickBot="1" x14ac:dyDescent="0.3">
      <c r="A25" s="1"/>
      <c r="B25" s="417"/>
      <c r="C25" s="417"/>
      <c r="D25" s="417"/>
      <c r="E25" s="417"/>
      <c r="F25" s="417"/>
      <c r="G25" s="417"/>
      <c r="H25" s="417"/>
      <c r="I25" s="417"/>
    </row>
    <row r="26" spans="1:15" ht="15.75" outlineLevel="1" thickBot="1" x14ac:dyDescent="0.3">
      <c r="A26" s="176" t="s">
        <v>121</v>
      </c>
      <c r="B26" s="418">
        <f>+'F-100'!K15</f>
        <v>0</v>
      </c>
      <c r="C26" s="418">
        <f>+'F-200'!K15</f>
        <v>0</v>
      </c>
      <c r="D26" s="418">
        <f>+'F-300'!K15</f>
        <v>0</v>
      </c>
      <c r="E26" s="418">
        <f>+'F-400'!K15</f>
        <v>0</v>
      </c>
      <c r="F26" s="418">
        <f>+'F-500'!K15</f>
        <v>0</v>
      </c>
      <c r="G26" s="418">
        <f>+'F-600'!K15</f>
        <v>0</v>
      </c>
      <c r="H26" s="419"/>
      <c r="I26" s="420">
        <f>SUM(B26:G26)</f>
        <v>0</v>
      </c>
    </row>
    <row r="27" spans="1:15" ht="15.75" outlineLevel="1" thickBot="1" x14ac:dyDescent="0.3">
      <c r="A27" s="1"/>
      <c r="B27" s="421"/>
      <c r="C27" s="421"/>
      <c r="D27" s="421"/>
      <c r="E27" s="421"/>
      <c r="F27" s="421"/>
      <c r="G27" s="421"/>
      <c r="H27" s="421"/>
      <c r="I27" s="421"/>
    </row>
    <row r="28" spans="1:15" ht="15.75" outlineLevel="1" thickBot="1" x14ac:dyDescent="0.3">
      <c r="A28" s="241" t="s">
        <v>122</v>
      </c>
      <c r="B28" s="415">
        <f>B26-B24</f>
        <v>0</v>
      </c>
      <c r="C28" s="415">
        <f t="shared" ref="C28:G28" si="3">C26-C24</f>
        <v>0</v>
      </c>
      <c r="D28" s="415">
        <f t="shared" si="3"/>
        <v>0</v>
      </c>
      <c r="E28" s="415">
        <f t="shared" si="3"/>
        <v>0</v>
      </c>
      <c r="F28" s="415">
        <f>F26-F24</f>
        <v>0</v>
      </c>
      <c r="G28" s="415">
        <f t="shared" si="3"/>
        <v>0</v>
      </c>
      <c r="H28" s="553"/>
      <c r="I28" s="416">
        <f>SUM(B28:G28)</f>
        <v>0</v>
      </c>
    </row>
    <row r="29" spans="1:15" ht="15.75" outlineLevel="1" thickBot="1" x14ac:dyDescent="0.3">
      <c r="A29" s="1"/>
      <c r="B29" s="421"/>
      <c r="C29" s="421"/>
      <c r="D29" s="421"/>
      <c r="E29" s="421"/>
      <c r="F29" s="421"/>
      <c r="G29" s="421"/>
      <c r="H29" s="421"/>
      <c r="I29" s="421"/>
    </row>
    <row r="30" spans="1:15" ht="15.75" outlineLevel="1" thickBot="1" x14ac:dyDescent="0.3">
      <c r="A30" s="176" t="s">
        <v>103</v>
      </c>
      <c r="B30" s="422">
        <f>+'F-100'!K7</f>
        <v>0</v>
      </c>
      <c r="C30" s="422">
        <f>+'F-200'!K7</f>
        <v>0</v>
      </c>
      <c r="D30" s="422">
        <f>+'F-300'!K7</f>
        <v>0</v>
      </c>
      <c r="E30" s="422">
        <f>+'F-400'!K7</f>
        <v>0</v>
      </c>
      <c r="F30" s="422">
        <f>+'F-500'!K7</f>
        <v>0</v>
      </c>
      <c r="G30" s="422">
        <f>+'F-600'!K7</f>
        <v>0</v>
      </c>
      <c r="H30" s="554"/>
      <c r="I30" s="423">
        <f>SUM(B30:G30)</f>
        <v>0</v>
      </c>
      <c r="K30" s="240"/>
    </row>
    <row r="31" spans="1:15" ht="15.75" outlineLevel="1" thickBot="1" x14ac:dyDescent="0.3">
      <c r="A31" s="1"/>
      <c r="B31" s="421"/>
      <c r="C31" s="421"/>
      <c r="D31" s="421"/>
      <c r="E31" s="421"/>
      <c r="F31" s="421"/>
      <c r="G31" s="421"/>
      <c r="H31" s="421"/>
      <c r="I31" s="421"/>
    </row>
    <row r="32" spans="1:15" ht="15.75" outlineLevel="1" thickBot="1" x14ac:dyDescent="0.3">
      <c r="A32" s="241" t="s">
        <v>123</v>
      </c>
      <c r="B32" s="415">
        <f>B30-B28</f>
        <v>0</v>
      </c>
      <c r="C32" s="415">
        <f>C30-C28</f>
        <v>0</v>
      </c>
      <c r="D32" s="415">
        <f>D30-D28</f>
        <v>0</v>
      </c>
      <c r="E32" s="415">
        <f t="shared" ref="E32:G32" si="4">E30-E28</f>
        <v>0</v>
      </c>
      <c r="F32" s="415">
        <f t="shared" si="4"/>
        <v>0</v>
      </c>
      <c r="G32" s="415">
        <f t="shared" si="4"/>
        <v>0</v>
      </c>
      <c r="H32" s="553"/>
      <c r="I32" s="416">
        <f>I30-I28</f>
        <v>0</v>
      </c>
    </row>
    <row r="33" spans="1:11" ht="15.75" outlineLevel="1" thickBot="1" x14ac:dyDescent="0.3">
      <c r="A33" s="241" t="s">
        <v>45</v>
      </c>
      <c r="B33" s="242" t="str">
        <f>IFERROR(B32/B30,"")</f>
        <v/>
      </c>
      <c r="C33" s="242" t="str">
        <f t="shared" ref="C33:I33" si="5">IFERROR(C32/C30,"")</f>
        <v/>
      </c>
      <c r="D33" s="242" t="str">
        <f t="shared" si="5"/>
        <v/>
      </c>
      <c r="E33" s="242" t="str">
        <f t="shared" si="5"/>
        <v/>
      </c>
      <c r="F33" s="242" t="str">
        <f t="shared" si="5"/>
        <v/>
      </c>
      <c r="G33" s="242" t="str">
        <f t="shared" si="5"/>
        <v/>
      </c>
      <c r="H33" s="555"/>
      <c r="I33" s="330" t="str">
        <f t="shared" si="5"/>
        <v/>
      </c>
    </row>
    <row r="34" spans="1:11" ht="15.75" outlineLevel="1" thickBot="1" x14ac:dyDescent="0.3">
      <c r="I34" s="38">
        <f>SUM(B34:G34)</f>
        <v>0</v>
      </c>
    </row>
    <row r="35" spans="1:11" ht="15.75" outlineLevel="1" thickBot="1" x14ac:dyDescent="0.3">
      <c r="A35" s="176" t="s">
        <v>124</v>
      </c>
      <c r="B35" s="424">
        <f>+B36*B30</f>
        <v>0</v>
      </c>
      <c r="C35" s="424">
        <f t="shared" ref="C35:G35" si="6">+C36*C30</f>
        <v>0</v>
      </c>
      <c r="D35" s="424">
        <f t="shared" si="6"/>
        <v>0</v>
      </c>
      <c r="E35" s="424">
        <f t="shared" si="6"/>
        <v>0</v>
      </c>
      <c r="F35" s="424">
        <f t="shared" si="6"/>
        <v>0</v>
      </c>
      <c r="G35" s="424">
        <f t="shared" si="6"/>
        <v>0</v>
      </c>
      <c r="H35" s="556"/>
      <c r="I35" s="425">
        <f>SUM(B35:G35)</f>
        <v>0</v>
      </c>
    </row>
    <row r="36" spans="1:11" ht="15.75" outlineLevel="1" thickBot="1" x14ac:dyDescent="0.3">
      <c r="A36" s="176"/>
      <c r="B36" s="243">
        <f>+'F-100'!K31</f>
        <v>0</v>
      </c>
      <c r="C36" s="243">
        <f>+'F-200'!K31</f>
        <v>0</v>
      </c>
      <c r="D36" s="243">
        <f>+'F-300'!K31</f>
        <v>0</v>
      </c>
      <c r="E36" s="243">
        <f>+'F-400'!K31</f>
        <v>0</v>
      </c>
      <c r="F36" s="243">
        <f>+'F-500'!K31</f>
        <v>0</v>
      </c>
      <c r="G36" s="243">
        <f>+'F-600'!K31</f>
        <v>0</v>
      </c>
      <c r="H36" s="557"/>
      <c r="I36" s="331"/>
    </row>
    <row r="37" spans="1:11" s="40" customFormat="1" ht="15.75" outlineLevel="1" thickBot="1" x14ac:dyDescent="0.3">
      <c r="B37" s="49">
        <f>+B32-B35</f>
        <v>0</v>
      </c>
      <c r="C37" s="49">
        <f t="shared" ref="C37:I37" si="7">+C32-C35</f>
        <v>0</v>
      </c>
      <c r="D37" s="49">
        <f t="shared" si="7"/>
        <v>0</v>
      </c>
      <c r="E37" s="49">
        <f t="shared" si="7"/>
        <v>0</v>
      </c>
      <c r="F37" s="49">
        <f t="shared" si="7"/>
        <v>0</v>
      </c>
      <c r="G37" s="49">
        <f t="shared" si="7"/>
        <v>0</v>
      </c>
      <c r="H37" s="49"/>
      <c r="I37" s="49">
        <f t="shared" si="7"/>
        <v>0</v>
      </c>
      <c r="J37" s="48"/>
    </row>
    <row r="38" spans="1:11" ht="15.75" thickBot="1" x14ac:dyDescent="0.3">
      <c r="A38" s="176" t="s">
        <v>157</v>
      </c>
      <c r="B38" s="558">
        <f>+'Dif. Margenes'!I11</f>
        <v>0</v>
      </c>
      <c r="C38" s="558">
        <f>+'Dif. Margenes'!I12</f>
        <v>0</v>
      </c>
      <c r="D38" s="558">
        <f>+'Dif. Margenes'!I13</f>
        <v>0</v>
      </c>
      <c r="E38" s="558">
        <f>+'Dif. Margenes'!I14</f>
        <v>0</v>
      </c>
      <c r="F38" s="558">
        <f>+'Dif. Margenes'!I15</f>
        <v>0</v>
      </c>
      <c r="G38" s="558" t="e">
        <f>+'Dif. Margenes'!#REF!</f>
        <v>#REF!</v>
      </c>
      <c r="H38" s="559">
        <f>'Dif. Margenes'!J17</f>
        <v>0</v>
      </c>
      <c r="I38" s="560">
        <f>'Dif. Margenes'!K17</f>
        <v>0</v>
      </c>
    </row>
    <row r="39" spans="1:11" ht="15.75" thickBot="1" x14ac:dyDescent="0.3">
      <c r="A39" s="176" t="s">
        <v>20</v>
      </c>
      <c r="B39" s="558">
        <f>'F-100'!K40</f>
        <v>0</v>
      </c>
      <c r="C39" s="558">
        <f>+'F-200'!K40</f>
        <v>0</v>
      </c>
      <c r="D39" s="558">
        <f>+'F-300'!K40</f>
        <v>0</v>
      </c>
      <c r="E39" s="558">
        <f>+'F-400'!K40</f>
        <v>0</v>
      </c>
      <c r="F39" s="558">
        <f>+'F-500'!K40</f>
        <v>0</v>
      </c>
      <c r="G39" s="558">
        <f>+'F-600'!K40</f>
        <v>0</v>
      </c>
      <c r="H39" s="559" t="e">
        <f>-IF($K$39&lt;0,$K$39,0)</f>
        <v>#REF!</v>
      </c>
      <c r="I39" s="560"/>
      <c r="K39" s="551" t="e">
        <f>CONSOLIDADO!K40</f>
        <v>#REF!</v>
      </c>
    </row>
    <row r="40" spans="1:11" ht="15.75" thickBot="1" x14ac:dyDescent="0.3">
      <c r="A40" s="176" t="s">
        <v>158</v>
      </c>
      <c r="B40" s="558">
        <f>SUM(B15,B22)</f>
        <v>0</v>
      </c>
      <c r="C40" s="558">
        <f t="shared" ref="C40:G40" si="8">SUM(C15,C22)</f>
        <v>0</v>
      </c>
      <c r="D40" s="558">
        <f t="shared" si="8"/>
        <v>0</v>
      </c>
      <c r="E40" s="558">
        <f t="shared" si="8"/>
        <v>0</v>
      </c>
      <c r="F40" s="558">
        <f t="shared" si="8"/>
        <v>0</v>
      </c>
      <c r="G40" s="558">
        <f t="shared" si="8"/>
        <v>0</v>
      </c>
      <c r="H40" s="559" t="e">
        <f>SUM(H15,H38:H39)</f>
        <v>#REF!</v>
      </c>
      <c r="I40" s="560">
        <f>SUM(I22,I38:I39)</f>
        <v>0</v>
      </c>
    </row>
    <row r="41" spans="1:11" ht="15.75" thickBot="1" x14ac:dyDescent="0.3">
      <c r="A41" s="176" t="s">
        <v>159</v>
      </c>
      <c r="B41" s="558">
        <f>B39-B15-B22-B38</f>
        <v>0</v>
      </c>
      <c r="C41" s="558">
        <f t="shared" ref="C41:G41" si="9">C39-C15-C22-C38</f>
        <v>0</v>
      </c>
      <c r="D41" s="558">
        <f t="shared" si="9"/>
        <v>0</v>
      </c>
      <c r="E41" s="558">
        <f t="shared" si="9"/>
        <v>0</v>
      </c>
      <c r="F41" s="558">
        <f t="shared" si="9"/>
        <v>0</v>
      </c>
      <c r="G41" s="558" t="e">
        <f t="shared" si="9"/>
        <v>#REF!</v>
      </c>
      <c r="H41" s="559"/>
      <c r="I41" s="560" t="e">
        <f>I40-H40</f>
        <v>#REF!</v>
      </c>
    </row>
  </sheetData>
  <mergeCells count="8">
    <mergeCell ref="A1:I1"/>
    <mergeCell ref="A2:I2"/>
    <mergeCell ref="A3:I3"/>
    <mergeCell ref="H24:I24"/>
    <mergeCell ref="A8:A9"/>
    <mergeCell ref="B4:D4"/>
    <mergeCell ref="B5:D5"/>
    <mergeCell ref="H8:I8"/>
  </mergeCells>
  <pageMargins left="0.70866141732283472" right="0.70866141732283472" top="0.74803149606299213" bottom="0.74803149606299213" header="0.31496062992125984" footer="0.31496062992125984"/>
  <pageSetup paperSize="9" scale="66" orientation="landscape" r:id="rId1"/>
  <headerFooter>
    <oddFooter>&amp;F</oddFooter>
  </headerFooter>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pageSetUpPr fitToPage="1"/>
  </sheetPr>
  <dimension ref="A1:AG32"/>
  <sheetViews>
    <sheetView showZeros="0" view="pageBreakPreview" zoomScale="115" zoomScaleNormal="80" zoomScaleSheetLayoutView="115" workbookViewId="0">
      <pane xSplit="2" ySplit="10" topLeftCell="C11" activePane="bottomRight" state="frozen"/>
      <selection activeCell="CJ48" sqref="CJ48"/>
      <selection pane="topRight" activeCell="CJ48" sqref="CJ48"/>
      <selection pane="bottomLeft" activeCell="CJ48" sqref="CJ48"/>
      <selection pane="bottomRight" activeCell="H12" sqref="H12"/>
    </sheetView>
  </sheetViews>
  <sheetFormatPr baseColWidth="10" defaultColWidth="11.42578125" defaultRowHeight="12.75" x14ac:dyDescent="0.2"/>
  <cols>
    <col min="1" max="1" width="10.7109375" style="175" customWidth="1"/>
    <col min="2" max="2" width="31.140625" style="175" customWidth="1"/>
    <col min="3" max="3" width="15.42578125" style="175" customWidth="1"/>
    <col min="4" max="4" width="16" style="175" customWidth="1"/>
    <col min="5" max="5" width="14.28515625" style="175" customWidth="1"/>
    <col min="6" max="7" width="13.85546875" style="175" customWidth="1"/>
    <col min="8" max="8" width="14" style="175" customWidth="1"/>
    <col min="9" max="9" width="16.85546875" style="175" customWidth="1"/>
    <col min="10" max="10" width="13.42578125" style="175" customWidth="1"/>
    <col min="11" max="11" width="13.5703125" style="175" customWidth="1"/>
    <col min="12" max="12" width="1.7109375" style="175" customWidth="1"/>
    <col min="13" max="13" width="84" style="175" customWidth="1"/>
    <col min="14" max="14" width="26.140625" style="175" customWidth="1"/>
    <col min="15" max="16384" width="11.42578125" style="175"/>
  </cols>
  <sheetData>
    <row r="1" spans="1:33" ht="19.5" customHeight="1" x14ac:dyDescent="0.2">
      <c r="A1" s="1298" t="s">
        <v>140</v>
      </c>
      <c r="B1" s="1299"/>
      <c r="C1" s="1299"/>
      <c r="D1" s="1299"/>
      <c r="E1" s="1299"/>
      <c r="F1" s="1299"/>
      <c r="G1" s="1299"/>
      <c r="H1" s="1299"/>
      <c r="I1" s="1299"/>
      <c r="J1" s="1299"/>
      <c r="K1" s="1300"/>
    </row>
    <row r="2" spans="1:33" ht="21.75" customHeight="1" x14ac:dyDescent="0.2">
      <c r="A2" s="1301" t="s">
        <v>93</v>
      </c>
      <c r="B2" s="1302"/>
      <c r="C2" s="1302"/>
      <c r="D2" s="1302"/>
      <c r="E2" s="1302"/>
      <c r="F2" s="1302"/>
      <c r="G2" s="1302"/>
      <c r="H2" s="1302"/>
      <c r="I2" s="1302"/>
      <c r="J2" s="1302"/>
      <c r="K2" s="1303"/>
    </row>
    <row r="3" spans="1:33" ht="19.5" customHeight="1" thickBot="1" x14ac:dyDescent="0.25">
      <c r="A3" s="1304" t="s">
        <v>148</v>
      </c>
      <c r="B3" s="1305"/>
      <c r="C3" s="1305"/>
      <c r="D3" s="1305"/>
      <c r="E3" s="1305"/>
      <c r="F3" s="1305"/>
      <c r="G3" s="1305"/>
      <c r="H3" s="1305"/>
      <c r="I3" s="1305"/>
      <c r="J3" s="1305"/>
      <c r="K3" s="1306"/>
    </row>
    <row r="4" spans="1:33" customFormat="1" ht="19.5" thickBot="1" x14ac:dyDescent="0.35">
      <c r="A4" s="245" t="str">
        <f>+CONSOLIDADO!B4</f>
        <v>MES DE JULIO 2024</v>
      </c>
      <c r="B4" s="177"/>
      <c r="C4" s="177"/>
      <c r="D4" s="177"/>
      <c r="E4" s="177"/>
      <c r="F4" s="177"/>
      <c r="G4" s="177"/>
      <c r="H4" s="178"/>
      <c r="I4" s="177"/>
      <c r="J4" s="179"/>
      <c r="K4" s="180"/>
      <c r="N4" s="85"/>
      <c r="O4" s="85"/>
      <c r="P4" s="85"/>
      <c r="Q4" s="85"/>
      <c r="AG4" s="21"/>
    </row>
    <row r="5" spans="1:33" ht="24" customHeight="1" x14ac:dyDescent="0.25">
      <c r="A5" s="181" t="s">
        <v>94</v>
      </c>
      <c r="B5" s="182" t="s">
        <v>301</v>
      </c>
      <c r="C5" s="183"/>
      <c r="D5" s="184"/>
      <c r="E5" s="184"/>
      <c r="F5" s="185"/>
      <c r="G5" s="185"/>
      <c r="H5" s="185"/>
      <c r="K5" s="186"/>
    </row>
    <row r="6" spans="1:33" ht="16.5" thickBot="1" x14ac:dyDescent="0.3">
      <c r="A6" s="187" t="s">
        <v>95</v>
      </c>
      <c r="B6" s="188"/>
      <c r="C6" s="189"/>
      <c r="D6" s="189"/>
      <c r="E6" s="190"/>
      <c r="F6" s="190"/>
      <c r="G6" s="190"/>
      <c r="H6" s="190"/>
      <c r="I6" s="191"/>
      <c r="J6" s="191"/>
      <c r="K6" s="192"/>
    </row>
    <row r="7" spans="1:33" ht="13.5" customHeight="1" x14ac:dyDescent="0.2">
      <c r="A7" s="193"/>
      <c r="K7" s="194"/>
    </row>
    <row r="8" spans="1:33" ht="13.5" thickBot="1" x14ac:dyDescent="0.25">
      <c r="A8" s="193"/>
      <c r="K8" s="194"/>
    </row>
    <row r="9" spans="1:33" s="204" customFormat="1" ht="35.25" customHeight="1" x14ac:dyDescent="0.25">
      <c r="A9" s="195" t="s">
        <v>96</v>
      </c>
      <c r="B9" s="196" t="s">
        <v>97</v>
      </c>
      <c r="C9" s="197" t="s">
        <v>98</v>
      </c>
      <c r="D9" s="198" t="s">
        <v>99</v>
      </c>
      <c r="E9" s="199" t="s">
        <v>100</v>
      </c>
      <c r="F9" s="197" t="s">
        <v>101</v>
      </c>
      <c r="G9" s="200" t="s">
        <v>102</v>
      </c>
      <c r="H9" s="201" t="s">
        <v>103</v>
      </c>
      <c r="I9" s="202" t="s">
        <v>104</v>
      </c>
      <c r="J9" s="203" t="s">
        <v>105</v>
      </c>
      <c r="K9" s="202" t="s">
        <v>106</v>
      </c>
      <c r="M9" s="261" t="s">
        <v>126</v>
      </c>
    </row>
    <row r="10" spans="1:33" s="204" customFormat="1" ht="12.75" customHeight="1" thickBot="1" x14ac:dyDescent="0.3">
      <c r="A10" s="205"/>
      <c r="B10" s="206"/>
      <c r="C10" s="206" t="s">
        <v>29</v>
      </c>
      <c r="D10" s="206" t="s">
        <v>29</v>
      </c>
      <c r="E10" s="207" t="s">
        <v>45</v>
      </c>
      <c r="F10" s="206" t="s">
        <v>45</v>
      </c>
      <c r="G10" s="208" t="s">
        <v>45</v>
      </c>
      <c r="H10" s="206" t="s">
        <v>29</v>
      </c>
      <c r="I10" s="209"/>
      <c r="J10" s="206" t="s">
        <v>29</v>
      </c>
      <c r="K10" s="206" t="s">
        <v>29</v>
      </c>
      <c r="M10" s="262"/>
    </row>
    <row r="11" spans="1:33" s="216" customFormat="1" ht="24.75" customHeight="1" x14ac:dyDescent="0.25">
      <c r="A11" s="210" t="s">
        <v>113</v>
      </c>
      <c r="B11" s="211" t="s">
        <v>127</v>
      </c>
      <c r="C11" s="426">
        <v>3661.14</v>
      </c>
      <c r="D11" s="427">
        <f>+'F-100'!Y30</f>
        <v>0</v>
      </c>
      <c r="E11" s="270">
        <f>D$18</f>
        <v>0</v>
      </c>
      <c r="F11" s="213">
        <f>+D11/C11</f>
        <v>0</v>
      </c>
      <c r="G11" s="214">
        <f>IF(F11=0,0,+E11-F11)</f>
        <v>0</v>
      </c>
      <c r="H11" s="426">
        <f>+'F-100'!K7</f>
        <v>0</v>
      </c>
      <c r="I11" s="430">
        <f>+G11*H11</f>
        <v>0</v>
      </c>
      <c r="J11" s="431">
        <f>IF(I11&gt;0,I11,0)</f>
        <v>0</v>
      </c>
      <c r="K11" s="430">
        <f>IF(I11&gt;=0,0,-I11)</f>
        <v>0</v>
      </c>
      <c r="L11" s="215"/>
      <c r="M11" s="263"/>
    </row>
    <row r="12" spans="1:33" s="216" customFormat="1" ht="23.45" customHeight="1" x14ac:dyDescent="0.25">
      <c r="A12" s="210" t="s">
        <v>337</v>
      </c>
      <c r="B12" s="211" t="s">
        <v>331</v>
      </c>
      <c r="C12" s="426">
        <v>159518.36000000002</v>
      </c>
      <c r="D12" s="427">
        <f>+'F-200'!Y30</f>
        <v>0</v>
      </c>
      <c r="E12" s="271">
        <f t="shared" ref="E12:E16" si="0">D$18</f>
        <v>0</v>
      </c>
      <c r="F12" s="213">
        <f>+D12/C12</f>
        <v>0</v>
      </c>
      <c r="G12" s="214">
        <f t="shared" ref="G12:G15" si="1">IF(F12=0,0,+E12-F12)</f>
        <v>0</v>
      </c>
      <c r="H12" s="426">
        <f>+'F-200'!K7</f>
        <v>0</v>
      </c>
      <c r="I12" s="430">
        <f>+G12*H12</f>
        <v>0</v>
      </c>
      <c r="J12" s="431">
        <f t="shared" ref="J12:J16" si="2">IF(I12&gt;0,I12,0)</f>
        <v>0</v>
      </c>
      <c r="K12" s="430">
        <f t="shared" ref="K12:K15" si="3">IF(I12&gt;=0,0,-I12)</f>
        <v>0</v>
      </c>
      <c r="L12" s="215"/>
      <c r="M12" s="264"/>
    </row>
    <row r="13" spans="1:33" s="216" customFormat="1" ht="24.75" customHeight="1" x14ac:dyDescent="0.25">
      <c r="A13" s="210" t="s">
        <v>338</v>
      </c>
      <c r="B13" s="211" t="s">
        <v>326</v>
      </c>
      <c r="C13" s="426">
        <v>360886.42000000004</v>
      </c>
      <c r="D13" s="428">
        <f>+'F-300'!Y30</f>
        <v>0</v>
      </c>
      <c r="E13" s="271">
        <f t="shared" si="0"/>
        <v>0</v>
      </c>
      <c r="F13" s="213">
        <f t="shared" ref="F13:F16" si="4">+D13/C13</f>
        <v>0</v>
      </c>
      <c r="G13" s="214">
        <f t="shared" si="1"/>
        <v>0</v>
      </c>
      <c r="H13" s="426">
        <f>+'F-300'!K7</f>
        <v>0</v>
      </c>
      <c r="I13" s="430">
        <f>+G13*H13</f>
        <v>0</v>
      </c>
      <c r="J13" s="431">
        <f>IF(I13&gt;0,I13,0)</f>
        <v>0</v>
      </c>
      <c r="K13" s="430">
        <f>IF(I13&gt;=0,0,-I13)</f>
        <v>0</v>
      </c>
      <c r="L13" s="215"/>
      <c r="M13" s="263"/>
    </row>
    <row r="14" spans="1:33" s="216" customFormat="1" ht="24.75" customHeight="1" x14ac:dyDescent="0.25">
      <c r="A14" s="210" t="s">
        <v>339</v>
      </c>
      <c r="B14" s="211" t="s">
        <v>278</v>
      </c>
      <c r="C14" s="426">
        <v>221395.36000000002</v>
      </c>
      <c r="D14" s="426">
        <f>+'F-400'!Y30</f>
        <v>0</v>
      </c>
      <c r="E14" s="271">
        <f t="shared" si="0"/>
        <v>0</v>
      </c>
      <c r="F14" s="213">
        <f t="shared" si="4"/>
        <v>0</v>
      </c>
      <c r="G14" s="214">
        <f t="shared" si="1"/>
        <v>0</v>
      </c>
      <c r="H14" s="426">
        <f>+'F-400'!K7</f>
        <v>0</v>
      </c>
      <c r="I14" s="430">
        <f t="shared" ref="I14:I15" si="5">+G14*H14</f>
        <v>0</v>
      </c>
      <c r="J14" s="431">
        <f t="shared" si="2"/>
        <v>0</v>
      </c>
      <c r="K14" s="430">
        <f t="shared" si="3"/>
        <v>0</v>
      </c>
      <c r="L14" s="215"/>
      <c r="M14" s="263"/>
    </row>
    <row r="15" spans="1:33" s="216" customFormat="1" ht="24.75" customHeight="1" x14ac:dyDescent="0.25">
      <c r="A15" s="210" t="s">
        <v>340</v>
      </c>
      <c r="B15" s="211" t="s">
        <v>327</v>
      </c>
      <c r="C15" s="426">
        <v>215263.24000000002</v>
      </c>
      <c r="D15" s="426">
        <f>+'F-500'!Y30</f>
        <v>0</v>
      </c>
      <c r="E15" s="271">
        <f t="shared" si="0"/>
        <v>0</v>
      </c>
      <c r="F15" s="213">
        <f t="shared" si="4"/>
        <v>0</v>
      </c>
      <c r="G15" s="214">
        <f t="shared" si="1"/>
        <v>0</v>
      </c>
      <c r="H15" s="426">
        <f>+'F-500'!K7</f>
        <v>0</v>
      </c>
      <c r="I15" s="430">
        <f t="shared" si="5"/>
        <v>0</v>
      </c>
      <c r="J15" s="431">
        <f t="shared" si="2"/>
        <v>0</v>
      </c>
      <c r="K15" s="430">
        <f t="shared" si="3"/>
        <v>0</v>
      </c>
      <c r="L15" s="215"/>
      <c r="M15" s="263"/>
    </row>
    <row r="16" spans="1:33" s="216" customFormat="1" ht="21.75" customHeight="1" thickBot="1" x14ac:dyDescent="0.3">
      <c r="A16" s="210" t="s">
        <v>341</v>
      </c>
      <c r="B16" s="211" t="s">
        <v>328</v>
      </c>
      <c r="C16" s="426">
        <v>96072.45</v>
      </c>
      <c r="D16" s="426">
        <f>+'F-600'!Y30</f>
        <v>0</v>
      </c>
      <c r="E16" s="212">
        <f t="shared" si="0"/>
        <v>0</v>
      </c>
      <c r="F16" s="213">
        <f t="shared" si="4"/>
        <v>0</v>
      </c>
      <c r="G16" s="214">
        <f>IF(F16=0,0,+E16-F16)</f>
        <v>0</v>
      </c>
      <c r="H16" s="426">
        <f>'F-600'!K7</f>
        <v>0</v>
      </c>
      <c r="I16" s="430">
        <f>+G16*H16</f>
        <v>0</v>
      </c>
      <c r="J16" s="431">
        <f t="shared" si="2"/>
        <v>0</v>
      </c>
      <c r="K16" s="430">
        <f>IF(I16&gt;=0,0,-I16)</f>
        <v>0</v>
      </c>
      <c r="L16" s="215"/>
      <c r="M16" s="263"/>
    </row>
    <row r="17" spans="1:13" ht="19.5" customHeight="1" thickTop="1" thickBot="1" x14ac:dyDescent="0.25">
      <c r="A17" s="217" t="s">
        <v>30</v>
      </c>
      <c r="B17" s="218"/>
      <c r="C17" s="429">
        <f>SUM(C11:C16)</f>
        <v>1056796.97</v>
      </c>
      <c r="D17" s="429">
        <f>SUM(D11:D16)</f>
        <v>0</v>
      </c>
      <c r="E17" s="219"/>
      <c r="F17" s="220"/>
      <c r="G17" s="221"/>
      <c r="H17" s="432">
        <f>SUM(H11:H16)</f>
        <v>0</v>
      </c>
      <c r="I17" s="433">
        <f>SUM(I11:I16)</f>
        <v>0</v>
      </c>
      <c r="J17" s="434">
        <f>+SUM(J11:J16)</f>
        <v>0</v>
      </c>
      <c r="K17" s="435">
        <f>SUM(K11:K16)</f>
        <v>0</v>
      </c>
      <c r="L17" s="222"/>
      <c r="M17" s="265"/>
    </row>
    <row r="18" spans="1:13" ht="21" customHeight="1" thickBot="1" x14ac:dyDescent="0.25">
      <c r="A18" s="223" t="s">
        <v>114</v>
      </c>
      <c r="B18" s="224"/>
      <c r="C18" s="225"/>
      <c r="D18" s="226">
        <f>+D17/C17</f>
        <v>0</v>
      </c>
      <c r="E18" s="227"/>
      <c r="F18" s="228"/>
      <c r="G18" s="228"/>
      <c r="H18" s="228"/>
      <c r="I18" s="228"/>
      <c r="J18" s="229" t="s">
        <v>105</v>
      </c>
      <c r="K18" s="436">
        <f>+J17-K17</f>
        <v>0</v>
      </c>
    </row>
    <row r="19" spans="1:13" x14ac:dyDescent="0.2">
      <c r="C19" s="230"/>
      <c r="D19" s="230"/>
      <c r="K19" s="230"/>
    </row>
    <row r="20" spans="1:13" x14ac:dyDescent="0.2">
      <c r="C20" s="230"/>
      <c r="D20" s="231"/>
    </row>
    <row r="21" spans="1:13" ht="15" x14ac:dyDescent="0.25">
      <c r="B21" s="232"/>
      <c r="D21" s="231"/>
    </row>
    <row r="22" spans="1:13" x14ac:dyDescent="0.2">
      <c r="C22" s="230"/>
      <c r="D22" s="230"/>
    </row>
    <row r="23" spans="1:13" x14ac:dyDescent="0.2">
      <c r="C23" s="272"/>
    </row>
    <row r="24" spans="1:13" x14ac:dyDescent="0.2">
      <c r="I24" s="233"/>
    </row>
    <row r="25" spans="1:13" x14ac:dyDescent="0.2">
      <c r="C25" s="272"/>
      <c r="D25" s="273"/>
      <c r="I25" s="233"/>
    </row>
    <row r="26" spans="1:13" x14ac:dyDescent="0.2">
      <c r="I26" s="233"/>
    </row>
    <row r="27" spans="1:13" x14ac:dyDescent="0.2">
      <c r="I27" s="233"/>
    </row>
    <row r="28" spans="1:13" x14ac:dyDescent="0.2">
      <c r="C28" s="230"/>
      <c r="I28" s="233"/>
    </row>
    <row r="29" spans="1:13" x14ac:dyDescent="0.2">
      <c r="I29" s="233"/>
    </row>
    <row r="30" spans="1:13" x14ac:dyDescent="0.2">
      <c r="I30" s="233"/>
    </row>
    <row r="31" spans="1:13" x14ac:dyDescent="0.2">
      <c r="I31" s="233"/>
    </row>
    <row r="32" spans="1:13" x14ac:dyDescent="0.2">
      <c r="I32" s="233"/>
    </row>
  </sheetData>
  <mergeCells count="3">
    <mergeCell ref="A1:K1"/>
    <mergeCell ref="A2:K2"/>
    <mergeCell ref="A3:K3"/>
  </mergeCells>
  <conditionalFormatting sqref="D11:D16">
    <cfRule type="cellIs" dxfId="0" priority="1" operator="lessThan">
      <formula>0</formula>
    </cfRule>
  </conditionalFormatting>
  <printOptions horizontalCentered="1" verticalCentered="1"/>
  <pageMargins left="0.78740157480314965" right="0.78740157480314965" top="0.78740157480314965" bottom="0.98425196850393704" header="0" footer="0.78740157480314965"/>
  <pageSetup paperSize="9" scale="74" orientation="landscape" r:id="rId1"/>
  <headerFooter alignWithMargins="0">
    <oddFooter>&amp;F</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7" tint="0.39997558519241921"/>
    <pageSetUpPr fitToPage="1"/>
  </sheetPr>
  <dimension ref="A2:Q40"/>
  <sheetViews>
    <sheetView showGridLines="0" view="pageBreakPreview" zoomScale="115" zoomScaleNormal="50" zoomScaleSheetLayoutView="115" workbookViewId="0">
      <selection activeCell="P22" sqref="P22"/>
    </sheetView>
  </sheetViews>
  <sheetFormatPr baseColWidth="10" defaultColWidth="9.140625" defaultRowHeight="15" outlineLevelCol="1" x14ac:dyDescent="0.25"/>
  <cols>
    <col min="1" max="1" width="2.85546875" customWidth="1"/>
    <col min="2" max="2" width="23" customWidth="1"/>
    <col min="3" max="3" width="30.140625" customWidth="1"/>
    <col min="4" max="4" width="1.42578125" customWidth="1"/>
    <col min="5" max="7" width="17.140625" customWidth="1"/>
    <col min="8" max="8" width="1.42578125" customWidth="1"/>
    <col min="9" max="9" width="15.85546875" customWidth="1"/>
    <col min="10" max="10" width="1.42578125" customWidth="1"/>
    <col min="11" max="12" width="15.85546875" customWidth="1"/>
    <col min="13" max="13" width="15.85546875" customWidth="1" outlineLevel="1"/>
    <col min="14" max="14" width="1.42578125" customWidth="1"/>
    <col min="15" max="15" width="19.85546875" customWidth="1"/>
    <col min="16" max="16" width="15.85546875" customWidth="1"/>
    <col min="17" max="17" width="19.28515625" customWidth="1"/>
    <col min="18" max="18" width="2.85546875" customWidth="1"/>
  </cols>
  <sheetData>
    <row r="2" spans="1:17" ht="23.25" x14ac:dyDescent="0.35">
      <c r="A2" s="80"/>
      <c r="B2" s="1307" t="str">
        <f>CONCATENATE(B4," - ",B5," - ",B6," - ",B7)</f>
        <v>EL BOSQUE - CERCO + INGRESOS Y CASETAS -  - EXPRESADO EN MILES DE SOLES (S/) - CONSOLIDADO</v>
      </c>
      <c r="C2" s="1307"/>
      <c r="D2" s="1307"/>
      <c r="E2" s="1307"/>
      <c r="F2" s="1307"/>
      <c r="G2" s="1307"/>
      <c r="H2" s="1307"/>
      <c r="I2" s="1307"/>
      <c r="J2" s="1307"/>
      <c r="K2" s="1307"/>
      <c r="L2" s="1307"/>
      <c r="M2" s="1307"/>
      <c r="N2" s="1307"/>
      <c r="O2" s="1307"/>
      <c r="P2" s="1307"/>
      <c r="Q2" s="1307"/>
    </row>
    <row r="3" spans="1:17" ht="7.5" customHeight="1" x14ac:dyDescent="0.3">
      <c r="A3" s="80"/>
      <c r="C3" s="77"/>
      <c r="E3" s="39"/>
      <c r="F3" s="46"/>
      <c r="G3" s="46"/>
      <c r="H3" s="41"/>
      <c r="I3" s="94">
        <f>I6</f>
        <v>2024</v>
      </c>
      <c r="K3" s="34"/>
      <c r="O3" s="53"/>
      <c r="P3" s="37"/>
    </row>
    <row r="4" spans="1:17" s="5" customFormat="1" ht="18.75" customHeight="1" x14ac:dyDescent="0.25">
      <c r="B4" s="311" t="s">
        <v>301</v>
      </c>
      <c r="C4" s="314"/>
      <c r="D4" s="2"/>
      <c r="E4" s="1168" t="s">
        <v>319</v>
      </c>
      <c r="F4" s="1193" t="s">
        <v>39</v>
      </c>
      <c r="G4" s="1196" t="s">
        <v>40</v>
      </c>
      <c r="H4" s="3"/>
      <c r="I4" s="1193" t="s">
        <v>162</v>
      </c>
      <c r="J4" s="3"/>
      <c r="K4" s="1168" t="s">
        <v>41</v>
      </c>
      <c r="L4" s="1178"/>
      <c r="M4" s="1179"/>
      <c r="N4" s="3"/>
      <c r="O4" s="1199" t="s">
        <v>49</v>
      </c>
      <c r="P4" s="1200"/>
      <c r="Q4" s="1201"/>
    </row>
    <row r="5" spans="1:17" s="5" customFormat="1" ht="15.75" x14ac:dyDescent="0.25">
      <c r="B5" s="312"/>
      <c r="C5" s="314"/>
      <c r="D5" s="2"/>
      <c r="E5" s="1169"/>
      <c r="F5" s="1194"/>
      <c r="G5" s="1197"/>
      <c r="H5" s="3"/>
      <c r="I5" s="1195"/>
      <c r="J5" s="3"/>
      <c r="K5" s="1170"/>
      <c r="L5" s="1180"/>
      <c r="M5" s="1181"/>
      <c r="N5" s="3"/>
      <c r="O5" s="1202"/>
      <c r="P5" s="1203"/>
      <c r="Q5" s="1204"/>
    </row>
    <row r="6" spans="1:17" s="58" customFormat="1" ht="15.75" x14ac:dyDescent="0.25">
      <c r="B6" s="312" t="s">
        <v>149</v>
      </c>
      <c r="C6" s="59"/>
      <c r="D6" s="59"/>
      <c r="E6" s="1170"/>
      <c r="F6" s="1195"/>
      <c r="G6" s="1198"/>
      <c r="H6" s="60"/>
      <c r="I6" s="61">
        <v>2024</v>
      </c>
      <c r="J6" s="60"/>
      <c r="K6" s="61">
        <v>2025</v>
      </c>
      <c r="L6" s="61">
        <f>+K6+1</f>
        <v>2026</v>
      </c>
      <c r="M6" s="61">
        <f>+L6+1</f>
        <v>2027</v>
      </c>
      <c r="N6" s="60"/>
      <c r="O6" s="62" t="s">
        <v>6</v>
      </c>
      <c r="P6" s="61" t="s">
        <v>7</v>
      </c>
      <c r="Q6" s="63" t="s">
        <v>37</v>
      </c>
    </row>
    <row r="7" spans="1:17" s="5" customFormat="1" ht="16.5" customHeight="1" x14ac:dyDescent="0.25">
      <c r="B7" s="312" t="s">
        <v>128</v>
      </c>
      <c r="C7" s="2"/>
      <c r="D7" s="2"/>
      <c r="E7" s="2"/>
      <c r="F7" s="2"/>
      <c r="G7" s="2"/>
      <c r="H7" s="2"/>
      <c r="I7" s="252"/>
      <c r="J7" s="2"/>
      <c r="K7" s="2"/>
      <c r="L7" s="2"/>
      <c r="M7" s="2"/>
      <c r="N7" s="2"/>
      <c r="O7" s="2"/>
      <c r="P7" s="2"/>
      <c r="Q7" s="2"/>
    </row>
    <row r="8" spans="1:17" s="5" customFormat="1" ht="20.25" customHeight="1" x14ac:dyDescent="0.25">
      <c r="B8" s="56" t="s">
        <v>32</v>
      </c>
      <c r="C8" s="57"/>
      <c r="D8" s="2"/>
      <c r="E8" s="340" t="e">
        <f>CONSOLIDADO!J7</f>
        <v>#REF!</v>
      </c>
      <c r="F8" s="342" t="e">
        <f>CONSOLIDADO!K7</f>
        <v>#REF!</v>
      </c>
      <c r="G8" s="341" t="e">
        <f>CONSOLIDADO!L7</f>
        <v>#REF!</v>
      </c>
      <c r="H8" s="333"/>
      <c r="I8" s="339" t="e">
        <f>CONSOLIDADO!S7</f>
        <v>#REF!</v>
      </c>
      <c r="J8" s="333"/>
      <c r="K8" s="340">
        <f>CONSOLIDADO!U7</f>
        <v>0</v>
      </c>
      <c r="L8" s="342" t="e">
        <f>CONSOLIDADO!#REF!</f>
        <v>#REF!</v>
      </c>
      <c r="M8" s="341" t="e">
        <f>CONSOLIDADO!#REF!</f>
        <v>#REF!</v>
      </c>
      <c r="N8" s="333"/>
      <c r="O8" s="340" t="e">
        <f>CONSOLIDADO!W7</f>
        <v>#REF!</v>
      </c>
      <c r="P8" s="342" t="e">
        <f>CONSOLIDADO!X7</f>
        <v>#REF!</v>
      </c>
      <c r="Q8" s="341" t="e">
        <f>CONSOLIDADO!AA7</f>
        <v>#REF!</v>
      </c>
    </row>
    <row r="9" spans="1:17" s="5" customFormat="1" ht="7.5" customHeight="1" x14ac:dyDescent="0.25">
      <c r="B9" s="2"/>
      <c r="C9" s="2"/>
      <c r="D9" s="2"/>
      <c r="E9" s="333"/>
      <c r="F9" s="333"/>
      <c r="G9" s="333"/>
      <c r="H9" s="333"/>
      <c r="I9" s="333"/>
      <c r="J9" s="333"/>
      <c r="K9" s="333"/>
      <c r="L9" s="333"/>
      <c r="M9" s="333"/>
      <c r="N9" s="333"/>
      <c r="O9" s="333"/>
      <c r="P9" s="333"/>
      <c r="Q9" s="333"/>
    </row>
    <row r="10" spans="1:17" s="5" customFormat="1" ht="15.75" x14ac:dyDescent="0.25">
      <c r="B10" s="9" t="s">
        <v>153</v>
      </c>
      <c r="C10" s="10"/>
      <c r="D10" s="2"/>
      <c r="E10" s="344" t="e">
        <f>CONSOLIDADO!J9</f>
        <v>#REF!</v>
      </c>
      <c r="F10" s="346" t="e">
        <f>CONSOLIDADO!K9</f>
        <v>#REF!</v>
      </c>
      <c r="G10" s="345" t="e">
        <f>CONSOLIDADO!L9</f>
        <v>#REF!</v>
      </c>
      <c r="H10" s="333"/>
      <c r="I10" s="343" t="e">
        <f>CONSOLIDADO!S9</f>
        <v>#REF!</v>
      </c>
      <c r="J10" s="333"/>
      <c r="K10" s="344">
        <f>CONSOLIDADO!U9</f>
        <v>0</v>
      </c>
      <c r="L10" s="346" t="e">
        <f>CONSOLIDADO!#REF!</f>
        <v>#REF!</v>
      </c>
      <c r="M10" s="345" t="e">
        <f>CONSOLIDADO!#REF!</f>
        <v>#REF!</v>
      </c>
      <c r="N10" s="333"/>
      <c r="O10" s="344" t="e">
        <f>CONSOLIDADO!W9</f>
        <v>#REF!</v>
      </c>
      <c r="P10" s="346" t="e">
        <f>CONSOLIDADO!X9</f>
        <v>#REF!</v>
      </c>
      <c r="Q10" s="345" t="e">
        <f>CONSOLIDADO!AA9</f>
        <v>#REF!</v>
      </c>
    </row>
    <row r="11" spans="1:17" s="5" customFormat="1" ht="7.5" customHeight="1" x14ac:dyDescent="0.25">
      <c r="E11" s="347"/>
      <c r="F11" s="347"/>
      <c r="G11" s="347"/>
      <c r="H11" s="347"/>
      <c r="I11" s="347"/>
      <c r="J11" s="347"/>
      <c r="K11" s="347"/>
      <c r="L11" s="347"/>
      <c r="M11" s="347"/>
      <c r="N11" s="347"/>
      <c r="O11" s="347"/>
      <c r="P11" s="347"/>
      <c r="Q11" s="347"/>
    </row>
    <row r="12" spans="1:17" s="5" customFormat="1" ht="15.75" x14ac:dyDescent="0.25">
      <c r="B12" s="13" t="s">
        <v>151</v>
      </c>
      <c r="C12" s="14"/>
      <c r="E12" s="350" t="e">
        <f>CONSOLIDADO!J11</f>
        <v>#REF!</v>
      </c>
      <c r="F12" s="351" t="e">
        <f>CONSOLIDADO!K11</f>
        <v>#REF!</v>
      </c>
      <c r="G12" s="352" t="e">
        <f>CONSOLIDADO!L11</f>
        <v>#REF!</v>
      </c>
      <c r="H12" s="583"/>
      <c r="I12" s="348" t="e">
        <f>CONSOLIDADO!S11</f>
        <v>#REF!</v>
      </c>
      <c r="J12" s="347"/>
      <c r="K12" s="349">
        <f>CONSOLIDADO!U11</f>
        <v>0</v>
      </c>
      <c r="L12" s="353" t="e">
        <f>CONSOLIDADO!#REF!</f>
        <v>#REF!</v>
      </c>
      <c r="M12" s="352" t="e">
        <f>CONSOLIDADO!#REF!</f>
        <v>#REF!</v>
      </c>
      <c r="N12" s="347"/>
      <c r="O12" s="349" t="e">
        <f>CONSOLIDADO!W11</f>
        <v>#REF!</v>
      </c>
      <c r="P12" s="351" t="e">
        <f>CONSOLIDADO!X11</f>
        <v>#REF!</v>
      </c>
      <c r="Q12" s="352" t="e">
        <f>CONSOLIDADO!AA11</f>
        <v>#REF!</v>
      </c>
    </row>
    <row r="13" spans="1:17" s="5" customFormat="1" ht="15.75" x14ac:dyDescent="0.25">
      <c r="B13" s="17" t="s">
        <v>152</v>
      </c>
      <c r="C13" s="18"/>
      <c r="E13" s="364" t="e">
        <f>CONSOLIDADO!J12</f>
        <v>#REF!</v>
      </c>
      <c r="F13" s="365" t="e">
        <f>CONSOLIDADO!K12</f>
        <v>#REF!</v>
      </c>
      <c r="G13" s="366" t="e">
        <f>CONSOLIDADO!L12</f>
        <v>#REF!</v>
      </c>
      <c r="H13" s="389"/>
      <c r="I13" s="368" t="e">
        <f>CONSOLIDADO!S12</f>
        <v>#REF!</v>
      </c>
      <c r="J13" s="347"/>
      <c r="K13" s="364">
        <f>CONSOLIDADO!U12</f>
        <v>0</v>
      </c>
      <c r="L13" s="367" t="e">
        <f>CONSOLIDADO!#REF!</f>
        <v>#REF!</v>
      </c>
      <c r="M13" s="374" t="e">
        <f>CONSOLIDADO!#REF!</f>
        <v>#REF!</v>
      </c>
      <c r="N13" s="347"/>
      <c r="O13" s="364" t="e">
        <f>CONSOLIDADO!W12</f>
        <v>#REF!</v>
      </c>
      <c r="P13" s="951" t="e">
        <f>CONSOLIDADO!X12</f>
        <v>#REF!</v>
      </c>
      <c r="Q13" s="366" t="e">
        <f>CONSOLIDADO!AA12</f>
        <v>#REF!</v>
      </c>
    </row>
    <row r="14" spans="1:17" s="54" customFormat="1" ht="7.5" customHeight="1" x14ac:dyDescent="0.25">
      <c r="E14" s="369"/>
      <c r="F14" s="369"/>
      <c r="G14" s="369"/>
      <c r="H14" s="369"/>
      <c r="I14" s="369"/>
      <c r="J14" s="369"/>
      <c r="K14" s="369"/>
      <c r="L14" s="369"/>
      <c r="M14" s="369"/>
      <c r="N14" s="369"/>
      <c r="O14" s="369"/>
      <c r="P14" s="369"/>
      <c r="Q14" s="369"/>
    </row>
    <row r="15" spans="1:17" s="5" customFormat="1" ht="15.75" x14ac:dyDescent="0.25">
      <c r="B15" s="56" t="s">
        <v>9</v>
      </c>
      <c r="C15" s="57"/>
      <c r="D15" s="2"/>
      <c r="E15" s="340" t="e">
        <f>CONSOLIDADO!J15</f>
        <v>#REF!</v>
      </c>
      <c r="F15" s="342" t="e">
        <f>CONSOLIDADO!K15</f>
        <v>#REF!</v>
      </c>
      <c r="G15" s="341" t="e">
        <f>CONSOLIDADO!L15</f>
        <v>#REF!</v>
      </c>
      <c r="H15" s="333"/>
      <c r="I15" s="339" t="e">
        <f>CONSOLIDADO!S15</f>
        <v>#REF!</v>
      </c>
      <c r="J15" s="333"/>
      <c r="K15" s="340">
        <f>CONSOLIDADO!U15</f>
        <v>0</v>
      </c>
      <c r="L15" s="342" t="e">
        <f>CONSOLIDADO!#REF!</f>
        <v>#REF!</v>
      </c>
      <c r="M15" s="341" t="e">
        <f>CONSOLIDADO!#REF!</f>
        <v>#REF!</v>
      </c>
      <c r="N15" s="333"/>
      <c r="O15" s="340" t="e">
        <f>CONSOLIDADO!W15</f>
        <v>#REF!</v>
      </c>
      <c r="P15" s="342" t="e">
        <f>CONSOLIDADO!X15</f>
        <v>#REF!</v>
      </c>
      <c r="Q15" s="341" t="e">
        <f>CONSOLIDADO!AA15</f>
        <v>#REF!</v>
      </c>
    </row>
    <row r="16" spans="1:17" s="5" customFormat="1" ht="7.5" customHeight="1" x14ac:dyDescent="0.25">
      <c r="E16" s="347"/>
      <c r="F16" s="347"/>
      <c r="G16" s="347"/>
      <c r="H16" s="347"/>
      <c r="I16" s="347"/>
      <c r="J16" s="347"/>
      <c r="K16" s="347"/>
      <c r="L16" s="347"/>
      <c r="M16" s="347"/>
      <c r="N16" s="347"/>
      <c r="O16" s="347"/>
      <c r="P16" s="347"/>
      <c r="Q16" s="347"/>
    </row>
    <row r="17" spans="2:17" s="5" customFormat="1" ht="15.75" x14ac:dyDescent="0.25">
      <c r="B17" s="13" t="s">
        <v>10</v>
      </c>
      <c r="C17" s="14"/>
      <c r="E17" s="350" t="e">
        <f>CONSOLIDADO!J17</f>
        <v>#REF!</v>
      </c>
      <c r="F17" s="351" t="e">
        <f>CONSOLIDADO!K17</f>
        <v>#REF!</v>
      </c>
      <c r="G17" s="353" t="e">
        <f>CONSOLIDADO!L17</f>
        <v>#REF!</v>
      </c>
      <c r="H17" s="347"/>
      <c r="I17" s="348" t="e">
        <f>CONSOLIDADO!S17</f>
        <v>#REF!</v>
      </c>
      <c r="J17" s="347"/>
      <c r="K17" s="349">
        <f>CONSOLIDADO!U17</f>
        <v>0</v>
      </c>
      <c r="L17" s="351" t="e">
        <f>CONSOLIDADO!#REF!</f>
        <v>#REF!</v>
      </c>
      <c r="M17" s="352" t="e">
        <f>CONSOLIDADO!#REF!</f>
        <v>#REF!</v>
      </c>
      <c r="N17" s="347"/>
      <c r="O17" s="349" t="e">
        <f>CONSOLIDADO!W17</f>
        <v>#REF!</v>
      </c>
      <c r="P17" s="351" t="e">
        <f>CONSOLIDADO!X17</f>
        <v>#REF!</v>
      </c>
      <c r="Q17" s="352" t="e">
        <f>CONSOLIDADO!AA17</f>
        <v>#REF!</v>
      </c>
    </row>
    <row r="18" spans="2:17" s="5" customFormat="1" ht="19.5" customHeight="1" x14ac:dyDescent="0.25">
      <c r="B18" s="15" t="s">
        <v>11</v>
      </c>
      <c r="C18" s="16"/>
      <c r="E18" s="357" t="e">
        <f>CONSOLIDADO!J18</f>
        <v>#REF!</v>
      </c>
      <c r="F18" s="372" t="e">
        <f>CONSOLIDADO!K18</f>
        <v>#REF!</v>
      </c>
      <c r="G18" s="373" t="e">
        <f>CONSOLIDADO!L18</f>
        <v>#REF!</v>
      </c>
      <c r="H18" s="347"/>
      <c r="I18" s="370" t="e">
        <f>CONSOLIDADO!S18</f>
        <v>#REF!</v>
      </c>
      <c r="J18" s="347"/>
      <c r="K18" s="360">
        <f>CONSOLIDADO!U18</f>
        <v>0</v>
      </c>
      <c r="L18" s="372" t="e">
        <f>CONSOLIDADO!#REF!</f>
        <v>#REF!</v>
      </c>
      <c r="M18" s="374" t="e">
        <f>CONSOLIDADO!#REF!</f>
        <v>#REF!</v>
      </c>
      <c r="N18" s="347"/>
      <c r="O18" s="357" t="e">
        <f>CONSOLIDADO!W18</f>
        <v>#REF!</v>
      </c>
      <c r="P18" s="362" t="e">
        <f>CONSOLIDADO!X18</f>
        <v>#REF!</v>
      </c>
      <c r="Q18" s="374" t="e">
        <f>CONSOLIDADO!AA18</f>
        <v>#REF!</v>
      </c>
    </row>
    <row r="19" spans="2:17" s="5" customFormat="1" ht="15.75" x14ac:dyDescent="0.25">
      <c r="B19" s="15" t="s">
        <v>43</v>
      </c>
      <c r="C19" s="16"/>
      <c r="E19" s="357" t="e">
        <f>CONSOLIDADO!J19</f>
        <v>#REF!</v>
      </c>
      <c r="F19" s="358" t="e">
        <f>CONSOLIDADO!K19</f>
        <v>#REF!</v>
      </c>
      <c r="G19" s="359" t="e">
        <f>CONSOLIDADO!L19</f>
        <v>#REF!</v>
      </c>
      <c r="H19" s="347"/>
      <c r="I19" s="363" t="e">
        <f>CONSOLIDADO!S19</f>
        <v>#REF!</v>
      </c>
      <c r="J19" s="347"/>
      <c r="K19" s="357">
        <f>CONSOLIDADO!U19</f>
        <v>0</v>
      </c>
      <c r="L19" s="358" t="e">
        <f>CONSOLIDADO!#REF!</f>
        <v>#REF!</v>
      </c>
      <c r="M19" s="374" t="e">
        <f>CONSOLIDADO!#REF!</f>
        <v>#REF!</v>
      </c>
      <c r="N19" s="347"/>
      <c r="O19" s="357" t="e">
        <f>CONSOLIDADO!W19</f>
        <v>#REF!</v>
      </c>
      <c r="P19" s="362" t="e">
        <f>CONSOLIDADO!X19</f>
        <v>#REF!</v>
      </c>
      <c r="Q19" s="374" t="e">
        <f>CONSOLIDADO!AA19</f>
        <v>#REF!</v>
      </c>
    </row>
    <row r="20" spans="2:17" s="5" customFormat="1" ht="15.75" x14ac:dyDescent="0.25">
      <c r="B20" s="15" t="s">
        <v>38</v>
      </c>
      <c r="C20" s="16"/>
      <c r="E20" s="357" t="e">
        <f>CONSOLIDADO!J20</f>
        <v>#REF!</v>
      </c>
      <c r="F20" s="358" t="e">
        <f>CONSOLIDADO!K20</f>
        <v>#REF!</v>
      </c>
      <c r="G20" s="359" t="e">
        <f>CONSOLIDADO!L20</f>
        <v>#REF!</v>
      </c>
      <c r="H20" s="347"/>
      <c r="I20" s="363" t="e">
        <f>CONSOLIDADO!S20</f>
        <v>#REF!</v>
      </c>
      <c r="J20" s="347"/>
      <c r="K20" s="357">
        <f>CONSOLIDADO!U20</f>
        <v>0</v>
      </c>
      <c r="L20" s="358" t="e">
        <f>CONSOLIDADO!#REF!</f>
        <v>#REF!</v>
      </c>
      <c r="M20" s="374" t="e">
        <f>CONSOLIDADO!#REF!</f>
        <v>#REF!</v>
      </c>
      <c r="N20" s="347"/>
      <c r="O20" s="357" t="e">
        <f>CONSOLIDADO!W20</f>
        <v>#REF!</v>
      </c>
      <c r="P20" s="362" t="e">
        <f>CONSOLIDADO!X20</f>
        <v>#REF!</v>
      </c>
      <c r="Q20" s="374" t="e">
        <f>CONSOLIDADO!AA20</f>
        <v>#REF!</v>
      </c>
    </row>
    <row r="21" spans="2:17" s="5" customFormat="1" ht="15.75" x14ac:dyDescent="0.25">
      <c r="B21" s="15" t="s">
        <v>12</v>
      </c>
      <c r="C21" s="16"/>
      <c r="E21" s="357" t="e">
        <f>CONSOLIDADO!J21</f>
        <v>#REF!</v>
      </c>
      <c r="F21" s="358" t="e">
        <f>CONSOLIDADO!K21</f>
        <v>#REF!</v>
      </c>
      <c r="G21" s="359" t="e">
        <f>CONSOLIDADO!L21</f>
        <v>#REF!</v>
      </c>
      <c r="H21" s="347"/>
      <c r="I21" s="363" t="e">
        <f>CONSOLIDADO!S21</f>
        <v>#REF!</v>
      </c>
      <c r="J21" s="347"/>
      <c r="K21" s="357">
        <f>CONSOLIDADO!U21</f>
        <v>0</v>
      </c>
      <c r="L21" s="358" t="e">
        <f>CONSOLIDADO!#REF!</f>
        <v>#REF!</v>
      </c>
      <c r="M21" s="374" t="e">
        <f>CONSOLIDADO!#REF!</f>
        <v>#REF!</v>
      </c>
      <c r="N21" s="347"/>
      <c r="O21" s="357" t="e">
        <f>CONSOLIDADO!W21</f>
        <v>#REF!</v>
      </c>
      <c r="P21" s="362" t="e">
        <f>CONSOLIDADO!X21</f>
        <v>#REF!</v>
      </c>
      <c r="Q21" s="374" t="e">
        <f>CONSOLIDADO!AA21</f>
        <v>#REF!</v>
      </c>
    </row>
    <row r="22" spans="2:17" s="5" customFormat="1" ht="15.75" x14ac:dyDescent="0.25">
      <c r="B22" s="15"/>
      <c r="C22" s="16" t="s">
        <v>25</v>
      </c>
      <c r="E22" s="357" t="e">
        <f>CONSOLIDADO!J22</f>
        <v>#REF!</v>
      </c>
      <c r="F22" s="358" t="e">
        <f>CONSOLIDADO!K22</f>
        <v>#REF!</v>
      </c>
      <c r="G22" s="359" t="e">
        <f>CONSOLIDADO!L22</f>
        <v>#REF!</v>
      </c>
      <c r="H22" s="347"/>
      <c r="I22" s="363" t="e">
        <f>CONSOLIDADO!S22</f>
        <v>#REF!</v>
      </c>
      <c r="J22" s="347"/>
      <c r="K22" s="357">
        <f>CONSOLIDADO!U22</f>
        <v>0</v>
      </c>
      <c r="L22" s="358" t="e">
        <f>CONSOLIDADO!#REF!</f>
        <v>#REF!</v>
      </c>
      <c r="M22" s="374" t="e">
        <f>CONSOLIDADO!#REF!</f>
        <v>#REF!</v>
      </c>
      <c r="N22" s="347"/>
      <c r="O22" s="357" t="e">
        <f>CONSOLIDADO!W22</f>
        <v>#REF!</v>
      </c>
      <c r="P22" s="362" t="e">
        <f>CONSOLIDADO!X22</f>
        <v>#REF!</v>
      </c>
      <c r="Q22" s="374" t="e">
        <f>CONSOLIDADO!AA22</f>
        <v>#REF!</v>
      </c>
    </row>
    <row r="23" spans="2:17" s="5" customFormat="1" ht="15.75" x14ac:dyDescent="0.25">
      <c r="B23" s="15"/>
      <c r="C23" s="16" t="s">
        <v>14</v>
      </c>
      <c r="E23" s="357" t="e">
        <f>CONSOLIDADO!J23</f>
        <v>#REF!</v>
      </c>
      <c r="F23" s="358" t="e">
        <f>CONSOLIDADO!K23</f>
        <v>#REF!</v>
      </c>
      <c r="G23" s="359" t="e">
        <f>CONSOLIDADO!L23</f>
        <v>#REF!</v>
      </c>
      <c r="H23" s="347"/>
      <c r="I23" s="363" t="e">
        <f>CONSOLIDADO!S23</f>
        <v>#REF!</v>
      </c>
      <c r="J23" s="347"/>
      <c r="K23" s="357">
        <f>CONSOLIDADO!U23</f>
        <v>0</v>
      </c>
      <c r="L23" s="358" t="e">
        <f>CONSOLIDADO!#REF!</f>
        <v>#REF!</v>
      </c>
      <c r="M23" s="374" t="e">
        <f>CONSOLIDADO!#REF!</f>
        <v>#REF!</v>
      </c>
      <c r="N23" s="347"/>
      <c r="O23" s="357" t="e">
        <f>CONSOLIDADO!W23</f>
        <v>#REF!</v>
      </c>
      <c r="P23" s="362" t="e">
        <f ca="1">CONSOLIDADO!X23</f>
        <v>#REF!</v>
      </c>
      <c r="Q23" s="374" t="e">
        <f>CONSOLIDADO!AA23</f>
        <v>#REF!</v>
      </c>
    </row>
    <row r="24" spans="2:17" s="5" customFormat="1" ht="15.75" x14ac:dyDescent="0.25">
      <c r="B24" s="15" t="s">
        <v>13</v>
      </c>
      <c r="C24" s="16"/>
      <c r="E24" s="357" t="e">
        <f>CONSOLIDADO!J24</f>
        <v>#REF!</v>
      </c>
      <c r="F24" s="358" t="e">
        <f>CONSOLIDADO!K24</f>
        <v>#REF!</v>
      </c>
      <c r="G24" s="359" t="e">
        <f>CONSOLIDADO!L24</f>
        <v>#REF!</v>
      </c>
      <c r="H24" s="347"/>
      <c r="I24" s="363" t="e">
        <f>CONSOLIDADO!S24</f>
        <v>#REF!</v>
      </c>
      <c r="J24" s="347"/>
      <c r="K24" s="357">
        <f>CONSOLIDADO!U24</f>
        <v>0</v>
      </c>
      <c r="L24" s="358" t="e">
        <f>CONSOLIDADO!#REF!</f>
        <v>#REF!</v>
      </c>
      <c r="M24" s="374" t="e">
        <f>CONSOLIDADO!#REF!</f>
        <v>#REF!</v>
      </c>
      <c r="N24" s="347"/>
      <c r="O24" s="357" t="e">
        <f>CONSOLIDADO!W24</f>
        <v>#REF!</v>
      </c>
      <c r="P24" s="362" t="e">
        <f>CONSOLIDADO!X24</f>
        <v>#REF!</v>
      </c>
      <c r="Q24" s="374" t="e">
        <f>CONSOLIDADO!AA24</f>
        <v>#REF!</v>
      </c>
    </row>
    <row r="25" spans="2:17" s="5" customFormat="1" ht="15.75" x14ac:dyDescent="0.25">
      <c r="B25" s="15" t="s">
        <v>31</v>
      </c>
      <c r="C25" s="16"/>
      <c r="E25" s="357" t="e">
        <f>CONSOLIDADO!J25</f>
        <v>#REF!</v>
      </c>
      <c r="F25" s="358" t="e">
        <f>CONSOLIDADO!K25</f>
        <v>#REF!</v>
      </c>
      <c r="G25" s="359" t="e">
        <f>CONSOLIDADO!L25</f>
        <v>#REF!</v>
      </c>
      <c r="H25" s="347"/>
      <c r="I25" s="363" t="e">
        <f>CONSOLIDADO!S25</f>
        <v>#REF!</v>
      </c>
      <c r="J25" s="347"/>
      <c r="K25" s="357">
        <f>CONSOLIDADO!U25</f>
        <v>0</v>
      </c>
      <c r="L25" s="358" t="e">
        <f>CONSOLIDADO!#REF!</f>
        <v>#REF!</v>
      </c>
      <c r="M25" s="374" t="e">
        <f>CONSOLIDADO!#REF!</f>
        <v>#REF!</v>
      </c>
      <c r="N25" s="347"/>
      <c r="O25" s="357" t="e">
        <f>CONSOLIDADO!W25</f>
        <v>#REF!</v>
      </c>
      <c r="P25" s="362" t="e">
        <f>CONSOLIDADO!X25</f>
        <v>#REF!</v>
      </c>
      <c r="Q25" s="374" t="e">
        <f>CONSOLIDADO!AA25</f>
        <v>#REF!</v>
      </c>
    </row>
    <row r="26" spans="2:17" s="5" customFormat="1" ht="15.75" x14ac:dyDescent="0.25">
      <c r="B26" s="17" t="s">
        <v>15</v>
      </c>
      <c r="C26" s="18"/>
      <c r="E26" s="364" t="e">
        <f>CONSOLIDADO!J26</f>
        <v>#REF!</v>
      </c>
      <c r="F26" s="365" t="e">
        <f>CONSOLIDADO!K26</f>
        <v>#REF!</v>
      </c>
      <c r="G26" s="367" t="e">
        <f>CONSOLIDADO!L26</f>
        <v>#REF!</v>
      </c>
      <c r="H26" s="347"/>
      <c r="I26" s="368" t="e">
        <f>CONSOLIDADO!S26</f>
        <v>#REF!</v>
      </c>
      <c r="J26" s="347"/>
      <c r="K26" s="364">
        <f>CONSOLIDADO!U26</f>
        <v>0</v>
      </c>
      <c r="L26" s="365" t="e">
        <f>CONSOLIDADO!#REF!</f>
        <v>#REF!</v>
      </c>
      <c r="M26" s="376" t="e">
        <f>CONSOLIDADO!#REF!</f>
        <v>#REF!</v>
      </c>
      <c r="N26" s="347"/>
      <c r="O26" s="377" t="e">
        <f>CONSOLIDADO!W26</f>
        <v>#REF!</v>
      </c>
      <c r="P26" s="378" t="e">
        <f>CONSOLIDADO!X26</f>
        <v>#REF!</v>
      </c>
      <c r="Q26" s="376" t="e">
        <f>CONSOLIDADO!AA26</f>
        <v>#REF!</v>
      </c>
    </row>
    <row r="27" spans="2:17" s="5" customFormat="1" ht="7.5" customHeight="1" x14ac:dyDescent="0.25">
      <c r="E27" s="347"/>
      <c r="F27" s="347"/>
      <c r="G27" s="347"/>
      <c r="H27" s="347"/>
      <c r="I27" s="347"/>
      <c r="J27" s="347"/>
      <c r="K27" s="347"/>
      <c r="L27" s="347"/>
      <c r="M27" s="347"/>
      <c r="N27" s="347"/>
      <c r="O27" s="347"/>
      <c r="P27" s="347"/>
      <c r="Q27" s="347"/>
    </row>
    <row r="28" spans="2:17" s="5" customFormat="1" ht="21" customHeight="1" x14ac:dyDescent="0.25">
      <c r="B28" s="11" t="s">
        <v>16</v>
      </c>
      <c r="C28" s="12"/>
      <c r="E28" s="380" t="e">
        <f>CONSOLIDADO!J28</f>
        <v>#REF!</v>
      </c>
      <c r="F28" s="382" t="e">
        <f>CONSOLIDADO!K28</f>
        <v>#REF!</v>
      </c>
      <c r="G28" s="381" t="e">
        <f>CONSOLIDADO!L28</f>
        <v>#REF!</v>
      </c>
      <c r="H28" s="347"/>
      <c r="I28" s="379" t="e">
        <f>CONSOLIDADO!S28</f>
        <v>#REF!</v>
      </c>
      <c r="J28" s="347"/>
      <c r="K28" s="383">
        <f>CONSOLIDADO!U28</f>
        <v>0</v>
      </c>
      <c r="L28" s="384" t="e">
        <f>CONSOLIDADO!#REF!</f>
        <v>#REF!</v>
      </c>
      <c r="M28" s="385" t="e">
        <f>CONSOLIDADO!#REF!</f>
        <v>#REF!</v>
      </c>
      <c r="N28" s="347"/>
      <c r="O28" s="380" t="e">
        <f>CONSOLIDADO!W28</f>
        <v>#REF!</v>
      </c>
      <c r="P28" s="382" t="e">
        <f>CONSOLIDADO!X28</f>
        <v>#REF!</v>
      </c>
      <c r="Q28" s="381" t="e">
        <f>CONSOLIDADO!AA28</f>
        <v>#REF!</v>
      </c>
    </row>
    <row r="29" spans="2:17" s="5" customFormat="1" ht="6.75" customHeight="1" x14ac:dyDescent="0.25">
      <c r="E29" s="347"/>
      <c r="F29" s="347"/>
      <c r="G29" s="347"/>
      <c r="H29" s="347"/>
      <c r="I29" s="347"/>
      <c r="J29" s="347"/>
      <c r="K29" s="347"/>
      <c r="L29" s="347"/>
      <c r="M29" s="347"/>
      <c r="N29" s="347"/>
      <c r="O29" s="347"/>
      <c r="P29" s="347"/>
      <c r="Q29" s="347"/>
    </row>
    <row r="30" spans="2:17" s="5" customFormat="1" ht="15.75" x14ac:dyDescent="0.25">
      <c r="B30" s="64" t="s">
        <v>44</v>
      </c>
      <c r="C30" s="82" t="s">
        <v>29</v>
      </c>
      <c r="D30" s="2"/>
      <c r="E30" s="337" t="e">
        <f>CONSOLIDADO!J30</f>
        <v>#REF!</v>
      </c>
      <c r="F30" s="336" t="e">
        <f>CONSOLIDADO!K30</f>
        <v>#REF!</v>
      </c>
      <c r="G30" s="335" t="e">
        <f>CONSOLIDADO!L30</f>
        <v>#REF!</v>
      </c>
      <c r="H30" s="333"/>
      <c r="I30" s="332" t="e">
        <f>CONSOLIDADO!S30</f>
        <v>#REF!</v>
      </c>
      <c r="J30" s="333"/>
      <c r="K30" s="337" t="e">
        <f>CONSOLIDADO!U30</f>
        <v>#REF!</v>
      </c>
      <c r="L30" s="336" t="e">
        <f>CONSOLIDADO!#REF!</f>
        <v>#REF!</v>
      </c>
      <c r="M30" s="335" t="e">
        <f>CONSOLIDADO!#REF!</f>
        <v>#REF!</v>
      </c>
      <c r="N30" s="333"/>
      <c r="O30" s="337" t="e">
        <f>CONSOLIDADO!W30</f>
        <v>#REF!</v>
      </c>
      <c r="P30" s="336" t="e">
        <f>CONSOLIDADO!X30</f>
        <v>#REF!</v>
      </c>
      <c r="Q30" s="335" t="e">
        <f>CONSOLIDADO!AA30</f>
        <v>#REF!</v>
      </c>
    </row>
    <row r="31" spans="2:17" s="5" customFormat="1" ht="15.75" x14ac:dyDescent="0.25">
      <c r="B31" s="66"/>
      <c r="C31" s="81" t="s">
        <v>45</v>
      </c>
      <c r="D31" s="2"/>
      <c r="E31" s="71" t="e">
        <f>CONSOLIDADO!J31</f>
        <v>#REF!</v>
      </c>
      <c r="F31" s="75" t="e">
        <f>CONSOLIDADO!K31</f>
        <v>#REF!</v>
      </c>
      <c r="G31" s="76" t="e">
        <f>CONSOLIDADO!L31</f>
        <v>#REF!</v>
      </c>
      <c r="H31" s="19"/>
      <c r="I31" s="68" t="e">
        <f>CONSOLIDADO!S31</f>
        <v>#REF!</v>
      </c>
      <c r="J31" s="19"/>
      <c r="K31" s="71" t="e">
        <f>CONSOLIDADO!U31</f>
        <v>#REF!</v>
      </c>
      <c r="L31" s="75" t="e">
        <f>CONSOLIDADO!#REF!</f>
        <v>#REF!</v>
      </c>
      <c r="M31" s="76" t="e">
        <f>CONSOLIDADO!#REF!</f>
        <v>#REF!</v>
      </c>
      <c r="N31" s="19"/>
      <c r="O31" s="71" t="e">
        <f>CONSOLIDADO!W31</f>
        <v>#REF!</v>
      </c>
      <c r="P31" s="75" t="e">
        <f>CONSOLIDADO!X31</f>
        <v>#REF!</v>
      </c>
      <c r="Q31" s="76" t="e">
        <f>CONSOLIDADO!AA31</f>
        <v>#REF!</v>
      </c>
    </row>
    <row r="32" spans="2:17" s="5" customFormat="1" ht="7.5" customHeight="1" x14ac:dyDescent="0.25">
      <c r="B32" s="2"/>
      <c r="C32" s="2"/>
      <c r="D32" s="2"/>
      <c r="E32" s="8"/>
      <c r="F32" s="8"/>
      <c r="G32" s="8"/>
      <c r="H32" s="8"/>
      <c r="I32" s="8"/>
      <c r="J32" s="8"/>
      <c r="K32" s="8"/>
      <c r="L32" s="8"/>
      <c r="M32" s="8"/>
      <c r="N32" s="8"/>
      <c r="O32" s="8"/>
      <c r="P32" s="8"/>
      <c r="Q32" s="8"/>
    </row>
    <row r="33" spans="2:17" s="5" customFormat="1" ht="15.75" customHeight="1" x14ac:dyDescent="0.25">
      <c r="B33" s="64" t="s">
        <v>46</v>
      </c>
      <c r="C33" s="82" t="s">
        <v>29</v>
      </c>
      <c r="D33" s="2"/>
      <c r="E33" s="334" t="e">
        <f>CONSOLIDADO!J33</f>
        <v>#REF!</v>
      </c>
      <c r="F33" s="336" t="e">
        <f>CONSOLIDADO!K33</f>
        <v>#REF!</v>
      </c>
      <c r="G33" s="335" t="e">
        <f>CONSOLIDADO!L33</f>
        <v>#REF!</v>
      </c>
      <c r="H33" s="333"/>
      <c r="I33" s="332" t="e">
        <f>CONSOLIDADO!S33</f>
        <v>#REF!</v>
      </c>
      <c r="J33" s="333"/>
      <c r="K33" s="337">
        <f>CONSOLIDADO!U33</f>
        <v>0</v>
      </c>
      <c r="L33" s="336" t="e">
        <f>CONSOLIDADO!#REF!</f>
        <v>#REF!</v>
      </c>
      <c r="M33" s="335" t="e">
        <f>CONSOLIDADO!#REF!</f>
        <v>#REF!</v>
      </c>
      <c r="N33" s="333"/>
      <c r="O33" s="337" t="e">
        <f>CONSOLIDADO!W33</f>
        <v>#REF!</v>
      </c>
      <c r="P33" s="336" t="e">
        <f>CONSOLIDADO!X33</f>
        <v>#REF!</v>
      </c>
      <c r="Q33" s="335" t="e">
        <f>CONSOLIDADO!AA33</f>
        <v>#REF!</v>
      </c>
    </row>
    <row r="34" spans="2:17" s="5" customFormat="1" ht="15.75" customHeight="1" x14ac:dyDescent="0.25">
      <c r="B34" s="66"/>
      <c r="C34" s="81" t="s">
        <v>45</v>
      </c>
      <c r="D34" s="2"/>
      <c r="E34" s="71" t="e">
        <f>CONSOLIDADO!J34</f>
        <v>#REF!</v>
      </c>
      <c r="F34" s="75" t="e">
        <f>CONSOLIDADO!K34</f>
        <v>#REF!</v>
      </c>
      <c r="G34" s="76" t="e">
        <f>CONSOLIDADO!L34</f>
        <v>#REF!</v>
      </c>
      <c r="H34" s="19"/>
      <c r="I34" s="68" t="e">
        <f>CONSOLIDADO!S34</f>
        <v>#REF!</v>
      </c>
      <c r="J34" s="19"/>
      <c r="K34" s="71">
        <f>CONSOLIDADO!U34</f>
        <v>0</v>
      </c>
      <c r="L34" s="75" t="e">
        <f>CONSOLIDADO!#REF!</f>
        <v>#REF!</v>
      </c>
      <c r="M34" s="76" t="e">
        <f>CONSOLIDADO!#REF!</f>
        <v>#REF!</v>
      </c>
      <c r="N34" s="19"/>
      <c r="O34" s="71" t="e">
        <f>CONSOLIDADO!W34</f>
        <v>#REF!</v>
      </c>
      <c r="P34" s="75" t="e">
        <f>CONSOLIDADO!X34</f>
        <v>#REF!</v>
      </c>
      <c r="Q34" s="76" t="e">
        <f>CONSOLIDADO!AA34</f>
        <v>#REF!</v>
      </c>
    </row>
    <row r="35" spans="2:17" s="40" customFormat="1" ht="14.25" customHeight="1" x14ac:dyDescent="0.3">
      <c r="C35" s="338"/>
      <c r="F35" s="52"/>
      <c r="G35" s="52"/>
      <c r="O35" s="275"/>
      <c r="P35" s="52"/>
      <c r="Q35" s="450"/>
    </row>
    <row r="36" spans="2:17" s="44" customFormat="1" x14ac:dyDescent="0.25"/>
    <row r="37" spans="2:17" s="44" customFormat="1" x14ac:dyDescent="0.25">
      <c r="B37" s="44" t="s">
        <v>166</v>
      </c>
      <c r="F37" s="593" t="e">
        <f>+F33</f>
        <v>#REF!</v>
      </c>
      <c r="G37" s="593" t="e">
        <f>+F37+G33</f>
        <v>#REF!</v>
      </c>
      <c r="I37" s="593" t="e">
        <f>+F37+I33</f>
        <v>#REF!</v>
      </c>
      <c r="K37" s="593" t="e">
        <f>+I37+K33</f>
        <v>#REF!</v>
      </c>
      <c r="L37" s="593" t="e">
        <f>+K37+L33</f>
        <v>#REF!</v>
      </c>
      <c r="M37" s="593" t="e">
        <f>+L37+M33</f>
        <v>#REF!</v>
      </c>
      <c r="O37" s="593" t="e">
        <f>O33</f>
        <v>#REF!</v>
      </c>
      <c r="P37" s="593" t="e">
        <f>P33</f>
        <v>#REF!</v>
      </c>
      <c r="Q37" s="593" t="e">
        <f>Q33</f>
        <v>#REF!</v>
      </c>
    </row>
    <row r="38" spans="2:17" s="44" customFormat="1" x14ac:dyDescent="0.25"/>
    <row r="39" spans="2:17" s="44" customFormat="1" x14ac:dyDescent="0.25"/>
    <row r="40" spans="2:17" s="44" customFormat="1" x14ac:dyDescent="0.25"/>
  </sheetData>
  <mergeCells count="7">
    <mergeCell ref="I4:I5"/>
    <mergeCell ref="B2:Q2"/>
    <mergeCell ref="E4:E6"/>
    <mergeCell ref="F4:F6"/>
    <mergeCell ref="G4:G6"/>
    <mergeCell ref="K4:M5"/>
    <mergeCell ref="O4:Q5"/>
  </mergeCells>
  <pageMargins left="0.25" right="0.25" top="0.75" bottom="0.75" header="0.3" footer="0.3"/>
  <pageSetup paperSize="9" scale="59"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C3:Q28"/>
  <sheetViews>
    <sheetView showGridLines="0" topLeftCell="G4" zoomScale="145" zoomScaleNormal="145" workbookViewId="0">
      <selection activeCell="E6" sqref="E6"/>
    </sheetView>
  </sheetViews>
  <sheetFormatPr baseColWidth="10" defaultRowHeight="15" x14ac:dyDescent="0.25"/>
  <cols>
    <col min="5" max="8" width="12.85546875" customWidth="1"/>
    <col min="12" max="12" width="56.28515625" customWidth="1"/>
    <col min="13" max="13" width="12.5703125" style="38" bestFit="1" customWidth="1"/>
    <col min="14" max="14" width="18" style="902" customWidth="1"/>
    <col min="15" max="15" width="13.140625" bestFit="1" customWidth="1"/>
  </cols>
  <sheetData>
    <row r="3" spans="3:14" x14ac:dyDescent="0.25">
      <c r="E3" s="274" t="str">
        <f>+CONSOLIDADO!B4</f>
        <v>MES DE JULIO 2024</v>
      </c>
      <c r="F3" s="886">
        <v>44287</v>
      </c>
    </row>
    <row r="4" spans="3:14" x14ac:dyDescent="0.25">
      <c r="F4" t="s">
        <v>298</v>
      </c>
    </row>
    <row r="5" spans="3:14" ht="27" x14ac:dyDescent="0.25">
      <c r="D5" s="889" t="s">
        <v>279</v>
      </c>
      <c r="E5" s="889" t="s">
        <v>299</v>
      </c>
      <c r="F5" s="889" t="s">
        <v>281</v>
      </c>
      <c r="G5" s="889" t="s">
        <v>282</v>
      </c>
      <c r="H5" s="889" t="s">
        <v>282</v>
      </c>
    </row>
    <row r="6" spans="3:14" s="888" customFormat="1" x14ac:dyDescent="0.25">
      <c r="C6"/>
      <c r="D6" s="890"/>
      <c r="E6" s="890">
        <f>+F3</f>
        <v>44287</v>
      </c>
      <c r="F6" s="890">
        <f>+E6</f>
        <v>44287</v>
      </c>
      <c r="G6" s="890">
        <v>44805</v>
      </c>
      <c r="H6" s="890">
        <v>44835</v>
      </c>
      <c r="M6" s="903" t="s">
        <v>295</v>
      </c>
      <c r="N6" s="904" t="s">
        <v>296</v>
      </c>
    </row>
    <row r="7" spans="3:14" x14ac:dyDescent="0.25">
      <c r="D7" s="889" t="s">
        <v>280</v>
      </c>
      <c r="E7" s="889" t="s">
        <v>280</v>
      </c>
      <c r="F7" s="889" t="s">
        <v>280</v>
      </c>
      <c r="G7" s="889" t="s">
        <v>280</v>
      </c>
      <c r="H7" s="889" t="s">
        <v>280</v>
      </c>
    </row>
    <row r="8" spans="3:14" ht="29.25" customHeight="1" x14ac:dyDescent="0.25">
      <c r="C8" s="891" t="s">
        <v>283</v>
      </c>
      <c r="D8" s="892" t="s">
        <v>284</v>
      </c>
      <c r="E8" s="895" t="e">
        <f>+'DIRECTO '!K9</f>
        <v>#REF!</v>
      </c>
      <c r="F8" s="895" t="e">
        <f>+'DIRECTO '!K15</f>
        <v>#REF!</v>
      </c>
      <c r="G8" s="895" t="e">
        <f>+'DIRECTO '!Y15</f>
        <v>#REF!</v>
      </c>
      <c r="H8" s="893" t="e">
        <f>+CONCATENATE(MID(G8,1,3)," ","MM")</f>
        <v>#REF!</v>
      </c>
      <c r="L8" s="907" t="e">
        <f>+SC!#REF!</f>
        <v>#REF!</v>
      </c>
      <c r="M8" s="38" t="e">
        <f>+SC!#REF!</f>
        <v>#REF!</v>
      </c>
    </row>
    <row r="9" spans="3:14" ht="29.25" customHeight="1" x14ac:dyDescent="0.25">
      <c r="C9" s="891" t="s">
        <v>285</v>
      </c>
      <c r="D9" s="892" t="s">
        <v>286</v>
      </c>
      <c r="E9" s="895" t="e">
        <f>+#REF!</f>
        <v>#REF!</v>
      </c>
      <c r="F9" s="895" t="e">
        <f>+#REF!</f>
        <v>#REF!</v>
      </c>
      <c r="G9" s="895" t="e">
        <f>+#REF!</f>
        <v>#REF!</v>
      </c>
      <c r="H9" s="893" t="e">
        <f>+CONCATENATE(MID(G9,1,3)," ","MM")</f>
        <v>#REF!</v>
      </c>
      <c r="M9" s="38" t="e">
        <f>+SC!#REF!</f>
        <v>#REF!</v>
      </c>
    </row>
    <row r="10" spans="3:14" ht="29.25" customHeight="1" x14ac:dyDescent="0.25">
      <c r="C10" s="891" t="s">
        <v>287</v>
      </c>
      <c r="D10" s="892" t="s">
        <v>288</v>
      </c>
      <c r="E10" s="895" t="e">
        <f>+E8+E9</f>
        <v>#REF!</v>
      </c>
      <c r="F10" s="895" t="e">
        <f>+F8+F9</f>
        <v>#REF!</v>
      </c>
      <c r="G10" s="895" t="e">
        <f>+G8+G9</f>
        <v>#REF!</v>
      </c>
      <c r="H10" s="893" t="e">
        <f>+CONCATENATE(MID(G10,1,3)," ","MM")</f>
        <v>#REF!</v>
      </c>
      <c r="M10" s="38" t="e">
        <f>+Eq!#REF!</f>
        <v>#REF!</v>
      </c>
    </row>
    <row r="11" spans="3:14" x14ac:dyDescent="0.25">
      <c r="C11" s="891" t="s">
        <v>123</v>
      </c>
      <c r="D11" s="891" t="s">
        <v>289</v>
      </c>
      <c r="E11" s="896"/>
      <c r="F11" s="897" t="e">
        <f>+E10-F10</f>
        <v>#REF!</v>
      </c>
      <c r="G11" s="898" t="e">
        <f>+CONSOLIDADO!W30</f>
        <v>#REF!</v>
      </c>
      <c r="H11" s="898" t="e">
        <f>+CONCATENATE(MID(G11,1,3)," ","K")</f>
        <v>#REF!</v>
      </c>
      <c r="M11" s="38" t="e">
        <f>+Eq!#REF!</f>
        <v>#REF!</v>
      </c>
    </row>
    <row r="12" spans="3:14" ht="27" x14ac:dyDescent="0.25">
      <c r="C12" s="891" t="s">
        <v>290</v>
      </c>
      <c r="D12" s="894">
        <v>210929268</v>
      </c>
      <c r="E12" s="899" t="e">
        <f>+E10</f>
        <v>#REF!</v>
      </c>
      <c r="F12" s="900"/>
      <c r="G12" s="899" t="e">
        <f>+CONSOLIDADO!W9</f>
        <v>#REF!</v>
      </c>
      <c r="H12" s="893" t="e">
        <f>+CONCATENATE(MID(G12,1,3)," ","MM")</f>
        <v>#REF!</v>
      </c>
      <c r="M12" s="38" t="e">
        <f>+Eq!#REF!</f>
        <v>#REF!</v>
      </c>
    </row>
    <row r="13" spans="3:14" ht="15.75" x14ac:dyDescent="0.25">
      <c r="C13" s="887"/>
      <c r="M13" s="38" t="e">
        <f>+Eq!#REF!</f>
        <v>#REF!</v>
      </c>
    </row>
    <row r="14" spans="3:14" x14ac:dyDescent="0.25">
      <c r="M14" s="38" t="e">
        <f>+Eq!#REF!</f>
        <v>#REF!</v>
      </c>
    </row>
    <row r="15" spans="3:14" x14ac:dyDescent="0.25">
      <c r="E15" s="38" t="e">
        <f>+CONSOLIDADO!K9</f>
        <v>#REF!</v>
      </c>
      <c r="F15" s="38" t="e">
        <f>+CONSOLIDADO!K15</f>
        <v>#REF!</v>
      </c>
      <c r="M15" s="901" t="e">
        <f>+Eq!#REF!</f>
        <v>#REF!</v>
      </c>
    </row>
    <row r="16" spans="3:14" x14ac:dyDescent="0.25">
      <c r="M16" s="38" t="e">
        <f>SUM(M8:M15)</f>
        <v>#REF!</v>
      </c>
    </row>
    <row r="17" spans="3:17" x14ac:dyDescent="0.25">
      <c r="C17" s="1" t="s">
        <v>291</v>
      </c>
      <c r="E17" s="440" t="e">
        <f>+E12-E15</f>
        <v>#REF!</v>
      </c>
      <c r="F17" s="440" t="e">
        <f>+F12-F15</f>
        <v>#REF!</v>
      </c>
    </row>
    <row r="21" spans="3:17" x14ac:dyDescent="0.25">
      <c r="L21" s="907" t="s">
        <v>292</v>
      </c>
      <c r="M21" s="38" t="e">
        <f>+SC!#REF!</f>
        <v>#REF!</v>
      </c>
    </row>
    <row r="22" spans="3:17" x14ac:dyDescent="0.25">
      <c r="M22" s="38" t="e">
        <f>+SC!#REF!</f>
        <v>#REF!</v>
      </c>
    </row>
    <row r="23" spans="3:17" x14ac:dyDescent="0.25">
      <c r="M23" s="901" t="e">
        <f>+SC!#REF!</f>
        <v>#REF!</v>
      </c>
    </row>
    <row r="24" spans="3:17" x14ac:dyDescent="0.25">
      <c r="M24" s="38" t="e">
        <f>+M21+M22+M23</f>
        <v>#REF!</v>
      </c>
      <c r="N24" s="905">
        <v>5558976.8399999999</v>
      </c>
      <c r="O24" s="440" t="e">
        <f>+N24+M23</f>
        <v>#REF!</v>
      </c>
      <c r="P24" s="440" t="e">
        <f>+M24-O24</f>
        <v>#REF!</v>
      </c>
      <c r="Q24" t="s">
        <v>294</v>
      </c>
    </row>
    <row r="28" spans="3:17" x14ac:dyDescent="0.25">
      <c r="L28" s="907" t="s">
        <v>293</v>
      </c>
      <c r="M28" s="38">
        <v>2524352.7600000002</v>
      </c>
      <c r="N28" s="905">
        <v>2706888.4056701353</v>
      </c>
      <c r="P28" s="440">
        <f>+N28-M28</f>
        <v>182535.64567013504</v>
      </c>
      <c r="Q28" t="s">
        <v>294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24</vt:i4>
      </vt:variant>
      <vt:variant>
        <vt:lpstr>Rangos con nombre</vt:lpstr>
      </vt:variant>
      <vt:variant>
        <vt:i4>16</vt:i4>
      </vt:variant>
    </vt:vector>
  </HeadingPairs>
  <TitlesOfParts>
    <vt:vector size="40" baseType="lpstr">
      <vt:lpstr>ANALISIS RIESGOS</vt:lpstr>
      <vt:lpstr>RG</vt:lpstr>
      <vt:lpstr>Riesgos y Oport.</vt:lpstr>
      <vt:lpstr>C+AD</vt:lpstr>
      <vt:lpstr>CONSOLIDADO</vt:lpstr>
      <vt:lpstr>DIRECTO </vt:lpstr>
      <vt:lpstr>F-100</vt:lpstr>
      <vt:lpstr>F-200</vt:lpstr>
      <vt:lpstr>F-300</vt:lpstr>
      <vt:lpstr>F-400</vt:lpstr>
      <vt:lpstr>F-500</vt:lpstr>
      <vt:lpstr>F-600</vt:lpstr>
      <vt:lpstr>Mat</vt:lpstr>
      <vt:lpstr>MO</vt:lpstr>
      <vt:lpstr>SC</vt:lpstr>
      <vt:lpstr>Eq</vt:lpstr>
      <vt:lpstr>SER</vt:lpstr>
      <vt:lpstr>Fletes</vt:lpstr>
      <vt:lpstr>Staff</vt:lpstr>
      <vt:lpstr>GG</vt:lpstr>
      <vt:lpstr>ER Pendiente</vt:lpstr>
      <vt:lpstr>Dif. Margenes</vt:lpstr>
      <vt:lpstr>RESUMEN INFORME</vt:lpstr>
      <vt:lpstr>Hoja1</vt:lpstr>
      <vt:lpstr>'C+AD'!Área_de_impresión</vt:lpstr>
      <vt:lpstr>CONSOLIDADO!Área_de_impresión</vt:lpstr>
      <vt:lpstr>'Dif. Margenes'!Área_de_impresión</vt:lpstr>
      <vt:lpstr>'DIRECTO '!Área_de_impresión</vt:lpstr>
      <vt:lpstr>'ER Pendiente'!Área_de_impresión</vt:lpstr>
      <vt:lpstr>'F-100'!Área_de_impresión</vt:lpstr>
      <vt:lpstr>'F-200'!Área_de_impresión</vt:lpstr>
      <vt:lpstr>'F-300'!Área_de_impresión</vt:lpstr>
      <vt:lpstr>'F-400'!Área_de_impresión</vt:lpstr>
      <vt:lpstr>'F-500'!Área_de_impresión</vt:lpstr>
      <vt:lpstr>'F-600'!Área_de_impresión</vt:lpstr>
      <vt:lpstr>'RESUMEN INFORME'!Área_de_impresión</vt:lpstr>
      <vt:lpstr>RG!Área_de_impresión</vt:lpstr>
      <vt:lpstr>'Riesgos y Oport.'!Área_de_impresión</vt:lpstr>
      <vt:lpstr>N19ai19</vt:lpstr>
      <vt:lpstr>'Riesgos y Oport.'!Títulos_a_imprimir</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Ursula Salinas</dc:creator>
  <cp:lastModifiedBy>Usuario</cp:lastModifiedBy>
  <cp:lastPrinted>2024-07-23T20:01:41Z</cp:lastPrinted>
  <dcterms:created xsi:type="dcterms:W3CDTF">2014-05-23T20:21:01Z</dcterms:created>
  <dcterms:modified xsi:type="dcterms:W3CDTF">2024-08-20T07:43:02Z</dcterms:modified>
</cp:coreProperties>
</file>