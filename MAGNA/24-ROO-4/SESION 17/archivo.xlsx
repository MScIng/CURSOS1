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bril 2024\Ejemplo Curso Resultado Operativo\"/>
    </mc:Choice>
  </mc:AlternateContent>
  <xr:revisionPtr revIDLastSave="0" documentId="13_ncr:1_{23C28E7D-A763-4295-99DD-A7F2F93FC6ED}" xr6:coauthVersionLast="47" xr6:coauthVersionMax="47" xr10:uidLastSave="{00000000-0000-0000-0000-000000000000}"/>
  <bookViews>
    <workbookView xWindow="20370" yWindow="-120" windowWidth="29040" windowHeight="15840" tabRatio="822" activeTab="11" xr2:uid="{00000000-000D-0000-FFFF-FFFF00000000}"/>
  </bookViews>
  <sheets>
    <sheet name="ANALISIS RIESGOS" sheetId="19" r:id="rId1"/>
    <sheet name="PRESUPUESTOS" sheetId="1" r:id="rId2"/>
    <sheet name="COSTO DIRECTO" sheetId="2" r:id="rId3"/>
    <sheet name="COSTO INDIRECTO" sheetId="12" r:id="rId4"/>
    <sheet name="ANALISIS COSTOS INDIRECTOS" sheetId="13" r:id="rId5"/>
    <sheet name="RESUMEN - ANALISIS" sheetId="3" r:id="rId6"/>
    <sheet name="DIFERENCIAS" sheetId="10" r:id="rId7"/>
    <sheet name="COSTOS INCURRIDOS" sheetId="4" r:id="rId8"/>
    <sheet name="STAFF" sheetId="14" r:id="rId9"/>
    <sheet name="OBREROS" sheetId="16" r:id="rId10"/>
    <sheet name="PRODUCCION" sheetId="17" r:id="rId11"/>
    <sheet name="SUBCONTRATOS" sheetId="15" r:id="rId12"/>
    <sheet name="CAJA CHICA GG" sheetId="18" r:id="rId13"/>
    <sheet name="CRONOG CONT VENTA" sheetId="5" r:id="rId14"/>
    <sheet name="CRONOG CONT META" sheetId="6" r:id="rId15"/>
    <sheet name="CRONOG INTERNO VENTA" sheetId="7" r:id="rId16"/>
    <sheet name="CRONOG INTERNO META" sheetId="8" r:id="rId17"/>
    <sheet name="CRONOG COSTOS REALES" sheetId="9" r:id="rId18"/>
  </sheets>
  <externalReferences>
    <externalReference r:id="rId19"/>
    <externalReference r:id="rId20"/>
  </externalReferences>
  <definedNames>
    <definedName name="_xlnm._FilterDatabase" localSheetId="7" hidden="1">'COSTOS INCURRIDOS'!$A$3:$S$35</definedName>
    <definedName name="_xlnm._FilterDatabase" localSheetId="16" hidden="1">'CRONOG INTERNO META'!$A$5:$K$76</definedName>
  </definedNames>
  <calcPr calcId="191029"/>
  <pivotCaches>
    <pivotCache cacheId="2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7" l="1"/>
  <c r="V4" i="7"/>
  <c r="T4" i="7"/>
  <c r="I3" i="8"/>
  <c r="H3" i="8"/>
  <c r="G3" i="8"/>
  <c r="X70" i="9" l="1"/>
  <c r="W70" i="9"/>
  <c r="V70" i="9"/>
  <c r="U70" i="9"/>
  <c r="T70" i="9"/>
  <c r="X69" i="9"/>
  <c r="W69" i="9"/>
  <c r="V69" i="9"/>
  <c r="U69" i="9"/>
  <c r="T69" i="9"/>
  <c r="X68" i="9"/>
  <c r="W68" i="9"/>
  <c r="V68" i="9"/>
  <c r="U68" i="9"/>
  <c r="T68" i="9"/>
  <c r="X66" i="9"/>
  <c r="W66" i="9"/>
  <c r="V66" i="9"/>
  <c r="U66" i="9"/>
  <c r="T66" i="9"/>
  <c r="X65" i="9"/>
  <c r="W65" i="9"/>
  <c r="V65" i="9"/>
  <c r="U65" i="9"/>
  <c r="T65" i="9"/>
  <c r="X64" i="9"/>
  <c r="W64" i="9"/>
  <c r="V64" i="9"/>
  <c r="U64" i="9"/>
  <c r="T64" i="9"/>
  <c r="X63" i="9"/>
  <c r="W63" i="9"/>
  <c r="V63" i="9"/>
  <c r="U63" i="9"/>
  <c r="T63" i="9"/>
  <c r="X61" i="9"/>
  <c r="W61" i="9"/>
  <c r="V61" i="9"/>
  <c r="U61" i="9"/>
  <c r="T61" i="9"/>
  <c r="X60" i="9"/>
  <c r="W60" i="9"/>
  <c r="V60" i="9"/>
  <c r="U60" i="9"/>
  <c r="T60" i="9"/>
  <c r="X59" i="9"/>
  <c r="W59" i="9"/>
  <c r="V59" i="9"/>
  <c r="U59" i="9"/>
  <c r="T59" i="9"/>
  <c r="X57" i="9"/>
  <c r="W57" i="9"/>
  <c r="V57" i="9"/>
  <c r="U57" i="9"/>
  <c r="T57" i="9"/>
  <c r="X56" i="9"/>
  <c r="W56" i="9"/>
  <c r="V56" i="9"/>
  <c r="U56" i="9"/>
  <c r="T56" i="9"/>
  <c r="X55" i="9"/>
  <c r="W55" i="9"/>
  <c r="V55" i="9"/>
  <c r="U55" i="9"/>
  <c r="T55" i="9"/>
  <c r="X53" i="9"/>
  <c r="W53" i="9"/>
  <c r="V53" i="9"/>
  <c r="U53" i="9"/>
  <c r="T53" i="9"/>
  <c r="X52" i="9"/>
  <c r="W52" i="9"/>
  <c r="V52" i="9"/>
  <c r="U52" i="9"/>
  <c r="T52" i="9"/>
  <c r="X51" i="9"/>
  <c r="W51" i="9"/>
  <c r="V51" i="9"/>
  <c r="U51" i="9"/>
  <c r="T51" i="9"/>
  <c r="X49" i="9"/>
  <c r="W49" i="9"/>
  <c r="V49" i="9"/>
  <c r="U49" i="9"/>
  <c r="T49" i="9"/>
  <c r="X48" i="9"/>
  <c r="W48" i="9"/>
  <c r="V48" i="9"/>
  <c r="U48" i="9"/>
  <c r="T48" i="9"/>
  <c r="X47" i="9"/>
  <c r="W47" i="9"/>
  <c r="V47" i="9"/>
  <c r="U47" i="9"/>
  <c r="T47" i="9"/>
  <c r="X46" i="9"/>
  <c r="W46" i="9"/>
  <c r="V46" i="9"/>
  <c r="U46" i="9"/>
  <c r="T46" i="9"/>
  <c r="X45" i="9"/>
  <c r="W45" i="9"/>
  <c r="V45" i="9"/>
  <c r="U45" i="9"/>
  <c r="T45" i="9"/>
  <c r="X44" i="9"/>
  <c r="W44" i="9"/>
  <c r="V44" i="9"/>
  <c r="U44" i="9"/>
  <c r="T44" i="9"/>
  <c r="X42" i="9"/>
  <c r="W42" i="9"/>
  <c r="V42" i="9"/>
  <c r="U42" i="9"/>
  <c r="T42" i="9"/>
  <c r="X41" i="9"/>
  <c r="W41" i="9"/>
  <c r="V41" i="9"/>
  <c r="U41" i="9"/>
  <c r="T41" i="9"/>
  <c r="X38" i="9"/>
  <c r="W38" i="9"/>
  <c r="V38" i="9"/>
  <c r="U38" i="9"/>
  <c r="T38" i="9"/>
  <c r="X37" i="9"/>
  <c r="W37" i="9"/>
  <c r="V37" i="9"/>
  <c r="U37" i="9"/>
  <c r="T37" i="9"/>
  <c r="X35" i="9"/>
  <c r="W35" i="9"/>
  <c r="V35" i="9"/>
  <c r="U35" i="9"/>
  <c r="T35" i="9"/>
  <c r="X34" i="9"/>
  <c r="W34" i="9"/>
  <c r="V34" i="9"/>
  <c r="U34" i="9"/>
  <c r="T34" i="9"/>
  <c r="X33" i="9"/>
  <c r="W33" i="9"/>
  <c r="V33" i="9"/>
  <c r="U33" i="9"/>
  <c r="T33" i="9"/>
  <c r="X32" i="9"/>
  <c r="W32" i="9"/>
  <c r="V32" i="9"/>
  <c r="U32" i="9"/>
  <c r="T32" i="9"/>
  <c r="X30" i="9"/>
  <c r="W30" i="9"/>
  <c r="V30" i="9"/>
  <c r="U30" i="9"/>
  <c r="T30" i="9"/>
  <c r="X27" i="9"/>
  <c r="W27" i="9"/>
  <c r="V27" i="9"/>
  <c r="U27" i="9"/>
  <c r="T27" i="9"/>
  <c r="X26" i="9"/>
  <c r="W26" i="9"/>
  <c r="V26" i="9"/>
  <c r="U26" i="9"/>
  <c r="T26" i="9"/>
  <c r="X25" i="9"/>
  <c r="W25" i="9"/>
  <c r="V25" i="9"/>
  <c r="U25" i="9"/>
  <c r="T25" i="9"/>
  <c r="X24" i="9"/>
  <c r="W24" i="9"/>
  <c r="V24" i="9"/>
  <c r="U24" i="9"/>
  <c r="T24" i="9"/>
  <c r="X22" i="9"/>
  <c r="W22" i="9"/>
  <c r="V22" i="9"/>
  <c r="U22" i="9"/>
  <c r="T22" i="9"/>
  <c r="X21" i="9"/>
  <c r="W21" i="9"/>
  <c r="V21" i="9"/>
  <c r="U21" i="9"/>
  <c r="T21" i="9"/>
  <c r="X20" i="9"/>
  <c r="W20" i="9"/>
  <c r="V20" i="9"/>
  <c r="U20" i="9"/>
  <c r="T20" i="9"/>
  <c r="X18" i="9"/>
  <c r="W18" i="9"/>
  <c r="V18" i="9"/>
  <c r="U18" i="9"/>
  <c r="T18" i="9"/>
  <c r="X16" i="9"/>
  <c r="W16" i="9"/>
  <c r="V16" i="9"/>
  <c r="U16" i="9"/>
  <c r="T16" i="9"/>
  <c r="X15" i="9"/>
  <c r="W15" i="9"/>
  <c r="V15" i="9"/>
  <c r="U15" i="9"/>
  <c r="T15" i="9"/>
  <c r="T11" i="9"/>
  <c r="U11" i="9"/>
  <c r="V11" i="9"/>
  <c r="W11" i="9"/>
  <c r="X11" i="9"/>
  <c r="U10" i="9"/>
  <c r="V10" i="9"/>
  <c r="W10" i="9"/>
  <c r="X10" i="9"/>
  <c r="T10" i="9"/>
  <c r="X70" i="8"/>
  <c r="W70" i="8"/>
  <c r="V70" i="8"/>
  <c r="U70" i="8"/>
  <c r="T70" i="8"/>
  <c r="X69" i="8"/>
  <c r="W69" i="8"/>
  <c r="V69" i="8"/>
  <c r="U69" i="8"/>
  <c r="T69" i="8"/>
  <c r="X68" i="8"/>
  <c r="W68" i="8"/>
  <c r="V68" i="8"/>
  <c r="U68" i="8"/>
  <c r="T68" i="8"/>
  <c r="X66" i="8"/>
  <c r="W66" i="8"/>
  <c r="V66" i="8"/>
  <c r="U66" i="8"/>
  <c r="T66" i="8"/>
  <c r="X65" i="8"/>
  <c r="W65" i="8"/>
  <c r="V65" i="8"/>
  <c r="U65" i="8"/>
  <c r="T65" i="8"/>
  <c r="X64" i="8"/>
  <c r="W64" i="8"/>
  <c r="V64" i="8"/>
  <c r="U64" i="8"/>
  <c r="T64" i="8"/>
  <c r="X63" i="8"/>
  <c r="W63" i="8"/>
  <c r="V63" i="8"/>
  <c r="U63" i="8"/>
  <c r="T63" i="8"/>
  <c r="X61" i="8"/>
  <c r="W61" i="8"/>
  <c r="V61" i="8"/>
  <c r="U61" i="8"/>
  <c r="T61" i="8"/>
  <c r="X60" i="8"/>
  <c r="W60" i="8"/>
  <c r="V60" i="8"/>
  <c r="U60" i="8"/>
  <c r="T60" i="8"/>
  <c r="X59" i="8"/>
  <c r="W59" i="8"/>
  <c r="V59" i="8"/>
  <c r="U59" i="8"/>
  <c r="T59" i="8"/>
  <c r="X57" i="8"/>
  <c r="W57" i="8"/>
  <c r="V57" i="8"/>
  <c r="U57" i="8"/>
  <c r="T57" i="8"/>
  <c r="X56" i="8"/>
  <c r="W56" i="8"/>
  <c r="V56" i="8"/>
  <c r="U56" i="8"/>
  <c r="T56" i="8"/>
  <c r="X55" i="8"/>
  <c r="W55" i="8"/>
  <c r="V55" i="8"/>
  <c r="U55" i="8"/>
  <c r="T55" i="8"/>
  <c r="X53" i="8"/>
  <c r="W53" i="8"/>
  <c r="V53" i="8"/>
  <c r="U53" i="8"/>
  <c r="T53" i="8"/>
  <c r="X52" i="8"/>
  <c r="W52" i="8"/>
  <c r="V52" i="8"/>
  <c r="U52" i="8"/>
  <c r="T52" i="8"/>
  <c r="X51" i="8"/>
  <c r="W51" i="8"/>
  <c r="V51" i="8"/>
  <c r="U51" i="8"/>
  <c r="T51" i="8"/>
  <c r="T49" i="8"/>
  <c r="X49" i="8"/>
  <c r="W49" i="8"/>
  <c r="V49" i="8"/>
  <c r="U49" i="8"/>
  <c r="X48" i="8"/>
  <c r="W48" i="8"/>
  <c r="V48" i="8"/>
  <c r="U48" i="8"/>
  <c r="T48" i="8"/>
  <c r="X47" i="8"/>
  <c r="W47" i="8"/>
  <c r="V47" i="8"/>
  <c r="U47" i="8"/>
  <c r="T47" i="8"/>
  <c r="X46" i="8"/>
  <c r="W46" i="8"/>
  <c r="V46" i="8"/>
  <c r="U46" i="8"/>
  <c r="T46" i="8"/>
  <c r="X45" i="8"/>
  <c r="W45" i="8"/>
  <c r="V45" i="8"/>
  <c r="U45" i="8"/>
  <c r="T45" i="8"/>
  <c r="X44" i="8"/>
  <c r="W44" i="8"/>
  <c r="V44" i="8"/>
  <c r="U44" i="8"/>
  <c r="T44" i="8"/>
  <c r="X42" i="8"/>
  <c r="W42" i="8"/>
  <c r="V42" i="8"/>
  <c r="U42" i="8"/>
  <c r="T42" i="8"/>
  <c r="X41" i="8"/>
  <c r="W41" i="8"/>
  <c r="V41" i="8"/>
  <c r="U41" i="8"/>
  <c r="T41" i="8"/>
  <c r="X38" i="8"/>
  <c r="W38" i="8"/>
  <c r="V38" i="8"/>
  <c r="U38" i="8"/>
  <c r="T38" i="8"/>
  <c r="X37" i="8"/>
  <c r="W37" i="8"/>
  <c r="V37" i="8"/>
  <c r="U37" i="8"/>
  <c r="T37" i="8"/>
  <c r="X35" i="8"/>
  <c r="W35" i="8"/>
  <c r="V35" i="8"/>
  <c r="U35" i="8"/>
  <c r="T35" i="8"/>
  <c r="X34" i="8"/>
  <c r="W34" i="8"/>
  <c r="V34" i="8"/>
  <c r="U34" i="8"/>
  <c r="T34" i="8"/>
  <c r="X33" i="8"/>
  <c r="W33" i="8"/>
  <c r="V33" i="8"/>
  <c r="U33" i="8"/>
  <c r="T33" i="8"/>
  <c r="X32" i="8"/>
  <c r="W32" i="8"/>
  <c r="V32" i="8"/>
  <c r="U32" i="8"/>
  <c r="T32" i="8"/>
  <c r="X30" i="8"/>
  <c r="W30" i="8"/>
  <c r="V30" i="8"/>
  <c r="U30" i="8"/>
  <c r="T30" i="8"/>
  <c r="X27" i="8"/>
  <c r="W27" i="8"/>
  <c r="V27" i="8"/>
  <c r="U27" i="8"/>
  <c r="T27" i="8"/>
  <c r="X26" i="8"/>
  <c r="W26" i="8"/>
  <c r="V26" i="8"/>
  <c r="U26" i="8"/>
  <c r="T26" i="8"/>
  <c r="X25" i="8"/>
  <c r="W25" i="8"/>
  <c r="V25" i="8"/>
  <c r="U25" i="8"/>
  <c r="T25" i="8"/>
  <c r="X24" i="8"/>
  <c r="W24" i="8"/>
  <c r="V24" i="8"/>
  <c r="U24" i="8"/>
  <c r="T24" i="8"/>
  <c r="X22" i="8"/>
  <c r="W22" i="8"/>
  <c r="V22" i="8"/>
  <c r="U22" i="8"/>
  <c r="T22" i="8"/>
  <c r="X21" i="8"/>
  <c r="W21" i="8"/>
  <c r="V21" i="8"/>
  <c r="U21" i="8"/>
  <c r="T21" i="8"/>
  <c r="X20" i="8"/>
  <c r="W20" i="8"/>
  <c r="V20" i="8"/>
  <c r="U20" i="8"/>
  <c r="T20" i="8"/>
  <c r="X18" i="8"/>
  <c r="W18" i="8"/>
  <c r="V18" i="8"/>
  <c r="U18" i="8"/>
  <c r="T18" i="8"/>
  <c r="X16" i="8"/>
  <c r="W16" i="8"/>
  <c r="V16" i="8"/>
  <c r="U16" i="8"/>
  <c r="T16" i="8"/>
  <c r="X15" i="8"/>
  <c r="W15" i="8"/>
  <c r="V15" i="8"/>
  <c r="U15" i="8"/>
  <c r="T15" i="8"/>
  <c r="X11" i="8"/>
  <c r="W11" i="8"/>
  <c r="V11" i="8"/>
  <c r="U11" i="8"/>
  <c r="T11" i="8"/>
  <c r="U10" i="8"/>
  <c r="V10" i="8"/>
  <c r="W10" i="8"/>
  <c r="X10" i="8"/>
  <c r="T10" i="8"/>
  <c r="X70" i="6"/>
  <c r="W70" i="6"/>
  <c r="V70" i="6"/>
  <c r="U70" i="6"/>
  <c r="T70" i="6"/>
  <c r="X69" i="6"/>
  <c r="W69" i="6"/>
  <c r="V69" i="6"/>
  <c r="U69" i="6"/>
  <c r="T69" i="6"/>
  <c r="X68" i="6"/>
  <c r="W68" i="6"/>
  <c r="V68" i="6"/>
  <c r="U68" i="6"/>
  <c r="T68" i="6"/>
  <c r="X66" i="6"/>
  <c r="W66" i="6"/>
  <c r="V66" i="6"/>
  <c r="U66" i="6"/>
  <c r="T66" i="6"/>
  <c r="X65" i="6"/>
  <c r="W65" i="6"/>
  <c r="V65" i="6"/>
  <c r="U65" i="6"/>
  <c r="T65" i="6"/>
  <c r="X64" i="6"/>
  <c r="W64" i="6"/>
  <c r="V64" i="6"/>
  <c r="U64" i="6"/>
  <c r="T64" i="6"/>
  <c r="X63" i="6"/>
  <c r="W63" i="6"/>
  <c r="V63" i="6"/>
  <c r="U63" i="6"/>
  <c r="T63" i="6"/>
  <c r="X61" i="6"/>
  <c r="W61" i="6"/>
  <c r="V61" i="6"/>
  <c r="U61" i="6"/>
  <c r="T61" i="6"/>
  <c r="X60" i="6"/>
  <c r="W60" i="6"/>
  <c r="V60" i="6"/>
  <c r="U60" i="6"/>
  <c r="T60" i="6"/>
  <c r="X59" i="6"/>
  <c r="W59" i="6"/>
  <c r="V59" i="6"/>
  <c r="U59" i="6"/>
  <c r="T59" i="6"/>
  <c r="X57" i="6"/>
  <c r="W57" i="6"/>
  <c r="V57" i="6"/>
  <c r="U57" i="6"/>
  <c r="T57" i="6"/>
  <c r="X56" i="6"/>
  <c r="W56" i="6"/>
  <c r="V56" i="6"/>
  <c r="U56" i="6"/>
  <c r="T56" i="6"/>
  <c r="X55" i="6"/>
  <c r="W55" i="6"/>
  <c r="V55" i="6"/>
  <c r="U55" i="6"/>
  <c r="T55" i="6"/>
  <c r="X53" i="6"/>
  <c r="W53" i="6"/>
  <c r="V53" i="6"/>
  <c r="U53" i="6"/>
  <c r="T53" i="6"/>
  <c r="X52" i="6"/>
  <c r="W52" i="6"/>
  <c r="V52" i="6"/>
  <c r="U52" i="6"/>
  <c r="T52" i="6"/>
  <c r="X51" i="6"/>
  <c r="W51" i="6"/>
  <c r="V51" i="6"/>
  <c r="U51" i="6"/>
  <c r="T51" i="6"/>
  <c r="X49" i="6"/>
  <c r="W49" i="6"/>
  <c r="V49" i="6"/>
  <c r="U49" i="6"/>
  <c r="T49" i="6"/>
  <c r="X48" i="6"/>
  <c r="W48" i="6"/>
  <c r="V48" i="6"/>
  <c r="U48" i="6"/>
  <c r="T48" i="6"/>
  <c r="X47" i="6"/>
  <c r="W47" i="6"/>
  <c r="V47" i="6"/>
  <c r="U47" i="6"/>
  <c r="T47" i="6"/>
  <c r="X46" i="6"/>
  <c r="W46" i="6"/>
  <c r="V46" i="6"/>
  <c r="U46" i="6"/>
  <c r="T46" i="6"/>
  <c r="X45" i="6"/>
  <c r="W45" i="6"/>
  <c r="V45" i="6"/>
  <c r="U45" i="6"/>
  <c r="T45" i="6"/>
  <c r="X44" i="6"/>
  <c r="W44" i="6"/>
  <c r="V44" i="6"/>
  <c r="U44" i="6"/>
  <c r="T44" i="6"/>
  <c r="X42" i="6"/>
  <c r="W42" i="6"/>
  <c r="V42" i="6"/>
  <c r="U42" i="6"/>
  <c r="T42" i="6"/>
  <c r="X41" i="6"/>
  <c r="W41" i="6"/>
  <c r="V41" i="6"/>
  <c r="U41" i="6"/>
  <c r="T41" i="6"/>
  <c r="X38" i="6"/>
  <c r="W38" i="6"/>
  <c r="V38" i="6"/>
  <c r="U38" i="6"/>
  <c r="T38" i="6"/>
  <c r="X37" i="6"/>
  <c r="W37" i="6"/>
  <c r="V37" i="6"/>
  <c r="U37" i="6"/>
  <c r="T37" i="6"/>
  <c r="X35" i="6"/>
  <c r="W35" i="6"/>
  <c r="V35" i="6"/>
  <c r="U35" i="6"/>
  <c r="T35" i="6"/>
  <c r="X34" i="6"/>
  <c r="W34" i="6"/>
  <c r="V34" i="6"/>
  <c r="U34" i="6"/>
  <c r="T34" i="6"/>
  <c r="X33" i="6"/>
  <c r="W33" i="6"/>
  <c r="V33" i="6"/>
  <c r="U33" i="6"/>
  <c r="T33" i="6"/>
  <c r="X32" i="6"/>
  <c r="W32" i="6"/>
  <c r="V32" i="6"/>
  <c r="U32" i="6"/>
  <c r="T32" i="6"/>
  <c r="X30" i="6"/>
  <c r="W30" i="6"/>
  <c r="V30" i="6"/>
  <c r="U30" i="6"/>
  <c r="T30" i="6"/>
  <c r="X27" i="6"/>
  <c r="W27" i="6"/>
  <c r="V27" i="6"/>
  <c r="U27" i="6"/>
  <c r="T27" i="6"/>
  <c r="X26" i="6"/>
  <c r="W26" i="6"/>
  <c r="V26" i="6"/>
  <c r="U26" i="6"/>
  <c r="T26" i="6"/>
  <c r="X25" i="6"/>
  <c r="W25" i="6"/>
  <c r="V25" i="6"/>
  <c r="U25" i="6"/>
  <c r="T25" i="6"/>
  <c r="X24" i="6"/>
  <c r="W24" i="6"/>
  <c r="V24" i="6"/>
  <c r="U24" i="6"/>
  <c r="T24" i="6"/>
  <c r="X22" i="6"/>
  <c r="W22" i="6"/>
  <c r="V22" i="6"/>
  <c r="U22" i="6"/>
  <c r="T22" i="6"/>
  <c r="X21" i="6"/>
  <c r="W21" i="6"/>
  <c r="V21" i="6"/>
  <c r="U21" i="6"/>
  <c r="T21" i="6"/>
  <c r="X20" i="6"/>
  <c r="W20" i="6"/>
  <c r="V20" i="6"/>
  <c r="U20" i="6"/>
  <c r="T20" i="6"/>
  <c r="X18" i="6"/>
  <c r="W18" i="6"/>
  <c r="V18" i="6"/>
  <c r="U18" i="6"/>
  <c r="T18" i="6"/>
  <c r="X16" i="6"/>
  <c r="W16" i="6"/>
  <c r="V16" i="6"/>
  <c r="U16" i="6"/>
  <c r="T16" i="6"/>
  <c r="X15" i="6"/>
  <c r="W15" i="6"/>
  <c r="V15" i="6"/>
  <c r="U15" i="6"/>
  <c r="T15" i="6"/>
  <c r="X11" i="6"/>
  <c r="W11" i="6"/>
  <c r="V11" i="6"/>
  <c r="U11" i="6"/>
  <c r="T11" i="6"/>
  <c r="U10" i="6"/>
  <c r="V10" i="6"/>
  <c r="W10" i="6"/>
  <c r="X10" i="6"/>
  <c r="T10" i="6"/>
  <c r="A8" i="19"/>
  <c r="A9" i="19" s="1"/>
  <c r="H10" i="19"/>
  <c r="H11" i="19"/>
  <c r="H6" i="19"/>
  <c r="H7" i="19"/>
  <c r="H8" i="19"/>
  <c r="H9" i="19"/>
  <c r="H5" i="19"/>
  <c r="A5" i="19"/>
  <c r="A6" i="19" s="1"/>
  <c r="A7" i="19" s="1"/>
  <c r="H4" i="19"/>
  <c r="G12" i="19" l="1"/>
  <c r="H12" i="19"/>
  <c r="I12" i="19"/>
  <c r="A10" i="19" l="1"/>
  <c r="A11" i="19" s="1"/>
  <c r="S5" i="4" l="1"/>
  <c r="N70" i="1"/>
  <c r="N69" i="1"/>
  <c r="N68" i="1"/>
  <c r="N66" i="1"/>
  <c r="N65" i="1"/>
  <c r="N64" i="1"/>
  <c r="N63" i="1"/>
  <c r="N61" i="1"/>
  <c r="N60" i="1"/>
  <c r="N59" i="1"/>
  <c r="N57" i="1"/>
  <c r="N56" i="1"/>
  <c r="N55" i="1"/>
  <c r="N53" i="1"/>
  <c r="N52" i="1"/>
  <c r="N51" i="1"/>
  <c r="N48" i="1"/>
  <c r="N47" i="1"/>
  <c r="N46" i="1"/>
  <c r="N45" i="1"/>
  <c r="N44" i="1"/>
  <c r="N42" i="1"/>
  <c r="N41" i="1"/>
  <c r="N38" i="1"/>
  <c r="N37" i="1"/>
  <c r="N35" i="1"/>
  <c r="N34" i="1"/>
  <c r="N33" i="1"/>
  <c r="N32" i="1"/>
  <c r="N30" i="1"/>
  <c r="N27" i="1"/>
  <c r="N26" i="1"/>
  <c r="N25" i="1"/>
  <c r="N24" i="1"/>
  <c r="N22" i="1"/>
  <c r="N18" i="1"/>
  <c r="N16" i="1"/>
  <c r="N15" i="1"/>
  <c r="N11" i="1"/>
  <c r="N10" i="1"/>
  <c r="O34" i="17" l="1"/>
  <c r="P34" i="17"/>
  <c r="Q34" i="17"/>
  <c r="R34" i="17"/>
  <c r="S34" i="17"/>
  <c r="T34" i="17"/>
  <c r="U34" i="17"/>
  <c r="V34" i="17"/>
  <c r="W34" i="17"/>
  <c r="X34" i="17"/>
  <c r="Y34" i="17"/>
  <c r="Z34" i="17"/>
  <c r="AA34" i="17"/>
  <c r="AB34" i="17"/>
  <c r="AC34" i="17"/>
  <c r="O36" i="17"/>
  <c r="P36" i="17"/>
  <c r="Q36" i="17"/>
  <c r="R36" i="17"/>
  <c r="S36" i="17"/>
  <c r="T36" i="17"/>
  <c r="U36" i="17"/>
  <c r="V36" i="17"/>
  <c r="W36" i="17"/>
  <c r="X36" i="17"/>
  <c r="Y36" i="17"/>
  <c r="Z36" i="17"/>
  <c r="AA36" i="17"/>
  <c r="AB36" i="17"/>
  <c r="AC36" i="17"/>
  <c r="O37" i="17"/>
  <c r="P37" i="17"/>
  <c r="Q37" i="17"/>
  <c r="R37" i="17"/>
  <c r="S37" i="17"/>
  <c r="T37" i="17"/>
  <c r="U37" i="17"/>
  <c r="V37" i="17"/>
  <c r="W37" i="17"/>
  <c r="X37" i="17"/>
  <c r="Y37" i="17"/>
  <c r="Z37" i="17"/>
  <c r="AA37" i="17"/>
  <c r="AB37" i="17"/>
  <c r="AC37" i="17"/>
  <c r="O38" i="17"/>
  <c r="P38" i="17"/>
  <c r="Q38" i="17"/>
  <c r="R38" i="17"/>
  <c r="S38" i="17"/>
  <c r="T38" i="17"/>
  <c r="U38" i="17"/>
  <c r="V38" i="17"/>
  <c r="W38" i="17"/>
  <c r="X38" i="17"/>
  <c r="Y38" i="17"/>
  <c r="Z38" i="17"/>
  <c r="AA38" i="17"/>
  <c r="AB38" i="17"/>
  <c r="AC38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O41" i="17"/>
  <c r="P41" i="17"/>
  <c r="Q41" i="17"/>
  <c r="R41" i="17"/>
  <c r="S41" i="17"/>
  <c r="T41" i="17"/>
  <c r="U41" i="17"/>
  <c r="V41" i="17"/>
  <c r="W41" i="17"/>
  <c r="X41" i="17"/>
  <c r="Y41" i="17"/>
  <c r="Z41" i="17"/>
  <c r="AA41" i="17"/>
  <c r="AB41" i="17"/>
  <c r="AC41" i="17"/>
  <c r="O42" i="17"/>
  <c r="P42" i="17"/>
  <c r="Q42" i="17"/>
  <c r="R42" i="17"/>
  <c r="S42" i="17"/>
  <c r="T42" i="17"/>
  <c r="U42" i="17"/>
  <c r="V42" i="17"/>
  <c r="W42" i="17"/>
  <c r="X42" i="17"/>
  <c r="Y42" i="17"/>
  <c r="Z42" i="17"/>
  <c r="AA42" i="17"/>
  <c r="AB42" i="17"/>
  <c r="AC42" i="17"/>
  <c r="O45" i="17"/>
  <c r="P45" i="17"/>
  <c r="Q45" i="17"/>
  <c r="R45" i="17"/>
  <c r="S45" i="17"/>
  <c r="T45" i="17"/>
  <c r="U45" i="17"/>
  <c r="V45" i="17"/>
  <c r="W45" i="17"/>
  <c r="X45" i="17"/>
  <c r="Y45" i="17"/>
  <c r="Z45" i="17"/>
  <c r="AA45" i="17"/>
  <c r="AB45" i="17"/>
  <c r="AC45" i="17"/>
  <c r="O46" i="17"/>
  <c r="P46" i="17"/>
  <c r="Q46" i="17"/>
  <c r="R46" i="17"/>
  <c r="S46" i="17"/>
  <c r="T46" i="17"/>
  <c r="U46" i="17"/>
  <c r="V46" i="17"/>
  <c r="W46" i="17"/>
  <c r="X46" i="17"/>
  <c r="Y46" i="17"/>
  <c r="Z46" i="17"/>
  <c r="AA46" i="17"/>
  <c r="AB46" i="17"/>
  <c r="AC46" i="17"/>
  <c r="O48" i="17"/>
  <c r="P48" i="17"/>
  <c r="Q48" i="17"/>
  <c r="R48" i="17"/>
  <c r="S48" i="17"/>
  <c r="T48" i="17"/>
  <c r="U48" i="17"/>
  <c r="V48" i="17"/>
  <c r="W48" i="17"/>
  <c r="X48" i="17"/>
  <c r="Y48" i="17"/>
  <c r="Z48" i="17"/>
  <c r="AA48" i="17"/>
  <c r="AB48" i="17"/>
  <c r="AC48" i="17"/>
  <c r="O49" i="17"/>
  <c r="P49" i="17"/>
  <c r="Q49" i="17"/>
  <c r="R49" i="17"/>
  <c r="S49" i="17"/>
  <c r="T49" i="17"/>
  <c r="U49" i="17"/>
  <c r="V49" i="17"/>
  <c r="W49" i="17"/>
  <c r="X49" i="17"/>
  <c r="Y49" i="17"/>
  <c r="Z49" i="17"/>
  <c r="AA49" i="17"/>
  <c r="AB49" i="17"/>
  <c r="AC49" i="17"/>
  <c r="O50" i="17"/>
  <c r="P50" i="17"/>
  <c r="Q50" i="17"/>
  <c r="R50" i="17"/>
  <c r="S50" i="17"/>
  <c r="T50" i="17"/>
  <c r="U50" i="17"/>
  <c r="V50" i="17"/>
  <c r="W50" i="17"/>
  <c r="X50" i="17"/>
  <c r="Y50" i="17"/>
  <c r="Z50" i="17"/>
  <c r="AA50" i="17"/>
  <c r="AB50" i="17"/>
  <c r="AC50" i="17"/>
  <c r="O51" i="17"/>
  <c r="P51" i="17"/>
  <c r="Q51" i="17"/>
  <c r="R51" i="17"/>
  <c r="S51" i="17"/>
  <c r="T51" i="17"/>
  <c r="U51" i="17"/>
  <c r="V51" i="17"/>
  <c r="W51" i="17"/>
  <c r="X51" i="17"/>
  <c r="Y51" i="17"/>
  <c r="Z51" i="17"/>
  <c r="AA51" i="17"/>
  <c r="AB51" i="17"/>
  <c r="AC51" i="17"/>
  <c r="O52" i="17"/>
  <c r="P52" i="17"/>
  <c r="Q52" i="17"/>
  <c r="R52" i="17"/>
  <c r="S52" i="17"/>
  <c r="T52" i="17"/>
  <c r="U52" i="17"/>
  <c r="V52" i="17"/>
  <c r="W52" i="17"/>
  <c r="X52" i="17"/>
  <c r="Y52" i="17"/>
  <c r="Z52" i="17"/>
  <c r="AA52" i="17"/>
  <c r="AB52" i="17"/>
  <c r="AC52" i="17"/>
  <c r="O53" i="17"/>
  <c r="P53" i="17"/>
  <c r="Q53" i="17"/>
  <c r="R53" i="17"/>
  <c r="S53" i="17"/>
  <c r="T53" i="17"/>
  <c r="U53" i="17"/>
  <c r="V53" i="17"/>
  <c r="W53" i="17"/>
  <c r="X53" i="17"/>
  <c r="Y53" i="17"/>
  <c r="Z53" i="17"/>
  <c r="AA53" i="17"/>
  <c r="AB53" i="17"/>
  <c r="AC53" i="17"/>
  <c r="O55" i="17"/>
  <c r="P55" i="17"/>
  <c r="Q55" i="17"/>
  <c r="R55" i="17"/>
  <c r="S55" i="17"/>
  <c r="T55" i="17"/>
  <c r="U55" i="17"/>
  <c r="V55" i="17"/>
  <c r="W55" i="17"/>
  <c r="X55" i="17"/>
  <c r="Y55" i="17"/>
  <c r="Z55" i="17"/>
  <c r="AA55" i="17"/>
  <c r="AB55" i="17"/>
  <c r="AC55" i="17"/>
  <c r="O56" i="17"/>
  <c r="P56" i="17"/>
  <c r="Q56" i="17"/>
  <c r="R56" i="17"/>
  <c r="S56" i="17"/>
  <c r="T56" i="17"/>
  <c r="U56" i="17"/>
  <c r="V56" i="17"/>
  <c r="W56" i="17"/>
  <c r="X56" i="17"/>
  <c r="Y56" i="17"/>
  <c r="Z56" i="17"/>
  <c r="AA56" i="17"/>
  <c r="AB56" i="17"/>
  <c r="AC56" i="17"/>
  <c r="O57" i="17"/>
  <c r="P57" i="17"/>
  <c r="Q57" i="17"/>
  <c r="R57" i="17"/>
  <c r="S57" i="17"/>
  <c r="T57" i="17"/>
  <c r="U57" i="17"/>
  <c r="V57" i="17"/>
  <c r="W57" i="17"/>
  <c r="X57" i="17"/>
  <c r="Y57" i="17"/>
  <c r="Z57" i="17"/>
  <c r="AA57" i="17"/>
  <c r="AB57" i="17"/>
  <c r="AC57" i="17"/>
  <c r="O59" i="17"/>
  <c r="P59" i="17"/>
  <c r="Q59" i="17"/>
  <c r="R59" i="17"/>
  <c r="S59" i="17"/>
  <c r="T59" i="17"/>
  <c r="U59" i="17"/>
  <c r="V59" i="17"/>
  <c r="W59" i="17"/>
  <c r="X59" i="17"/>
  <c r="Y59" i="17"/>
  <c r="Z59" i="17"/>
  <c r="AA59" i="17"/>
  <c r="AB59" i="17"/>
  <c r="AC59" i="17"/>
  <c r="O60" i="17"/>
  <c r="P60" i="17"/>
  <c r="Q60" i="17"/>
  <c r="R60" i="17"/>
  <c r="S60" i="17"/>
  <c r="T60" i="17"/>
  <c r="U60" i="17"/>
  <c r="V60" i="17"/>
  <c r="W60" i="17"/>
  <c r="X60" i="17"/>
  <c r="Y60" i="17"/>
  <c r="Z60" i="17"/>
  <c r="AA60" i="17"/>
  <c r="AB60" i="17"/>
  <c r="AC60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O68" i="17"/>
  <c r="P68" i="17"/>
  <c r="Q68" i="17"/>
  <c r="R68" i="17"/>
  <c r="S68" i="17"/>
  <c r="T68" i="17"/>
  <c r="U68" i="17"/>
  <c r="V68" i="17"/>
  <c r="W68" i="17"/>
  <c r="X68" i="17"/>
  <c r="Y68" i="17"/>
  <c r="Z68" i="17"/>
  <c r="AA68" i="17"/>
  <c r="AB68" i="17"/>
  <c r="AC68" i="17"/>
  <c r="O69" i="17"/>
  <c r="P69" i="17"/>
  <c r="Q69" i="17"/>
  <c r="R69" i="17"/>
  <c r="S69" i="17"/>
  <c r="T69" i="17"/>
  <c r="U69" i="17"/>
  <c r="V69" i="17"/>
  <c r="W69" i="17"/>
  <c r="X69" i="17"/>
  <c r="Y69" i="17"/>
  <c r="Z69" i="17"/>
  <c r="AA69" i="17"/>
  <c r="AB69" i="17"/>
  <c r="AC69" i="17"/>
  <c r="O70" i="17"/>
  <c r="P70" i="17"/>
  <c r="Q70" i="17"/>
  <c r="R70" i="17"/>
  <c r="S70" i="17"/>
  <c r="T70" i="17"/>
  <c r="U70" i="17"/>
  <c r="V70" i="17"/>
  <c r="W70" i="17"/>
  <c r="X70" i="17"/>
  <c r="Y70" i="17"/>
  <c r="Z70" i="17"/>
  <c r="AA70" i="17"/>
  <c r="AB70" i="17"/>
  <c r="AC70" i="17"/>
  <c r="O72" i="17"/>
  <c r="P72" i="17"/>
  <c r="Q72" i="17"/>
  <c r="R72" i="17"/>
  <c r="S72" i="17"/>
  <c r="T72" i="17"/>
  <c r="U72" i="17"/>
  <c r="V72" i="17"/>
  <c r="W72" i="17"/>
  <c r="X72" i="17"/>
  <c r="Y72" i="17"/>
  <c r="Z72" i="17"/>
  <c r="AA72" i="17"/>
  <c r="AB72" i="17"/>
  <c r="AC72" i="17"/>
  <c r="O73" i="17"/>
  <c r="P73" i="17"/>
  <c r="Q73" i="17"/>
  <c r="R73" i="17"/>
  <c r="S73" i="17"/>
  <c r="T73" i="17"/>
  <c r="U73" i="17"/>
  <c r="V73" i="17"/>
  <c r="W73" i="17"/>
  <c r="X73" i="17"/>
  <c r="Y73" i="17"/>
  <c r="Z73" i="17"/>
  <c r="AA73" i="17"/>
  <c r="AB73" i="17"/>
  <c r="AC73" i="17"/>
  <c r="O74" i="17"/>
  <c r="P74" i="17"/>
  <c r="Q74" i="17"/>
  <c r="R74" i="17"/>
  <c r="S74" i="17"/>
  <c r="T74" i="17"/>
  <c r="U74" i="17"/>
  <c r="V74" i="17"/>
  <c r="W74" i="17"/>
  <c r="X74" i="17"/>
  <c r="Y74" i="17"/>
  <c r="Z74" i="17"/>
  <c r="AA74" i="17"/>
  <c r="AB74" i="17"/>
  <c r="AC74" i="17"/>
  <c r="N74" i="17"/>
  <c r="N69" i="17"/>
  <c r="N65" i="17"/>
  <c r="N61" i="17"/>
  <c r="N57" i="17"/>
  <c r="N53" i="17"/>
  <c r="N50" i="17"/>
  <c r="N46" i="17"/>
  <c r="N73" i="17"/>
  <c r="N68" i="17"/>
  <c r="N64" i="17"/>
  <c r="N60" i="17"/>
  <c r="N56" i="17"/>
  <c r="N52" i="17"/>
  <c r="N49" i="17"/>
  <c r="N42" i="17"/>
  <c r="N39" i="17"/>
  <c r="N37" i="17"/>
  <c r="N72" i="17"/>
  <c r="N70" i="17"/>
  <c r="N67" i="17"/>
  <c r="N63" i="17"/>
  <c r="N59" i="17"/>
  <c r="N55" i="17"/>
  <c r="N51" i="17"/>
  <c r="N48" i="17"/>
  <c r="N45" i="17"/>
  <c r="N41" i="17"/>
  <c r="N38" i="17"/>
  <c r="N36" i="17"/>
  <c r="N34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AA19" i="17"/>
  <c r="AB19" i="17"/>
  <c r="AC19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O22" i="17"/>
  <c r="P22" i="17"/>
  <c r="Q22" i="17"/>
  <c r="R22" i="17"/>
  <c r="S22" i="17"/>
  <c r="T22" i="17"/>
  <c r="U22" i="17"/>
  <c r="V22" i="17"/>
  <c r="W22" i="17"/>
  <c r="X22" i="17"/>
  <c r="Y22" i="17"/>
  <c r="Z22" i="17"/>
  <c r="AA22" i="17"/>
  <c r="AB22" i="17"/>
  <c r="AC22" i="17"/>
  <c r="O24" i="17"/>
  <c r="P24" i="17"/>
  <c r="Q24" i="17"/>
  <c r="R24" i="17"/>
  <c r="S24" i="17"/>
  <c r="T24" i="17"/>
  <c r="U24" i="17"/>
  <c r="V24" i="17"/>
  <c r="W24" i="17"/>
  <c r="X24" i="17"/>
  <c r="Y24" i="17"/>
  <c r="Z24" i="17"/>
  <c r="AA24" i="17"/>
  <c r="AB24" i="17"/>
  <c r="AC24" i="17"/>
  <c r="O25" i="17"/>
  <c r="P25" i="17"/>
  <c r="Q25" i="17"/>
  <c r="R25" i="17"/>
  <c r="S25" i="17"/>
  <c r="T25" i="17"/>
  <c r="U25" i="17"/>
  <c r="V25" i="17"/>
  <c r="W25" i="17"/>
  <c r="X25" i="17"/>
  <c r="Y25" i="17"/>
  <c r="Z25" i="17"/>
  <c r="AA25" i="17"/>
  <c r="AB25" i="17"/>
  <c r="AC25" i="17"/>
  <c r="O26" i="17"/>
  <c r="P26" i="17"/>
  <c r="Q26" i="17"/>
  <c r="R26" i="17"/>
  <c r="S26" i="17"/>
  <c r="T26" i="17"/>
  <c r="U26" i="17"/>
  <c r="V26" i="17"/>
  <c r="W26" i="17"/>
  <c r="X26" i="17"/>
  <c r="Y26" i="17"/>
  <c r="Z26" i="17"/>
  <c r="AA26" i="17"/>
  <c r="AB26" i="17"/>
  <c r="AC26" i="17"/>
  <c r="O28" i="17"/>
  <c r="P28" i="17"/>
  <c r="Q28" i="17"/>
  <c r="R28" i="17"/>
  <c r="S28" i="17"/>
  <c r="T28" i="17"/>
  <c r="U28" i="17"/>
  <c r="V28" i="17"/>
  <c r="W28" i="17"/>
  <c r="X28" i="17"/>
  <c r="Y28" i="17"/>
  <c r="Z28" i="17"/>
  <c r="AA28" i="17"/>
  <c r="AB28" i="17"/>
  <c r="AC28" i="17"/>
  <c r="O29" i="17"/>
  <c r="P29" i="17"/>
  <c r="Q29" i="17"/>
  <c r="R29" i="17"/>
  <c r="S29" i="17"/>
  <c r="T29" i="17"/>
  <c r="U29" i="17"/>
  <c r="V29" i="17"/>
  <c r="W29" i="17"/>
  <c r="X29" i="17"/>
  <c r="Y29" i="17"/>
  <c r="Z29" i="17"/>
  <c r="AA29" i="17"/>
  <c r="AB29" i="17"/>
  <c r="AC29" i="17"/>
  <c r="O30" i="17"/>
  <c r="P30" i="17"/>
  <c r="Q30" i="17"/>
  <c r="R30" i="17"/>
  <c r="S30" i="17"/>
  <c r="T30" i="17"/>
  <c r="U30" i="17"/>
  <c r="V30" i="17"/>
  <c r="W30" i="17"/>
  <c r="X30" i="17"/>
  <c r="Y30" i="17"/>
  <c r="Z30" i="17"/>
  <c r="AA30" i="17"/>
  <c r="AB30" i="17"/>
  <c r="AC30" i="17"/>
  <c r="O31" i="17"/>
  <c r="P31" i="17"/>
  <c r="Q31" i="17"/>
  <c r="R31" i="17"/>
  <c r="S31" i="17"/>
  <c r="T31" i="17"/>
  <c r="U31" i="17"/>
  <c r="V31" i="17"/>
  <c r="W31" i="17"/>
  <c r="X31" i="17"/>
  <c r="Y31" i="17"/>
  <c r="Z31" i="17"/>
  <c r="AA31" i="17"/>
  <c r="AB31" i="17"/>
  <c r="AC31" i="17"/>
  <c r="N31" i="17"/>
  <c r="N30" i="17"/>
  <c r="N29" i="17"/>
  <c r="N28" i="17"/>
  <c r="N26" i="17"/>
  <c r="N25" i="17"/>
  <c r="N24" i="17"/>
  <c r="N22" i="17"/>
  <c r="N20" i="17"/>
  <c r="N19" i="17"/>
  <c r="O14" i="17"/>
  <c r="P14" i="17"/>
  <c r="Q14" i="17"/>
  <c r="R14" i="17"/>
  <c r="S14" i="17"/>
  <c r="T14" i="17"/>
  <c r="U14" i="17"/>
  <c r="V14" i="17"/>
  <c r="W14" i="17"/>
  <c r="X14" i="17"/>
  <c r="Y14" i="17"/>
  <c r="Z14" i="17"/>
  <c r="AA14" i="17"/>
  <c r="AB14" i="17"/>
  <c r="AC14" i="17"/>
  <c r="O15" i="17"/>
  <c r="P15" i="17"/>
  <c r="Q15" i="17"/>
  <c r="R15" i="17"/>
  <c r="S15" i="17"/>
  <c r="T15" i="17"/>
  <c r="U15" i="17"/>
  <c r="V15" i="17"/>
  <c r="W15" i="17"/>
  <c r="X15" i="17"/>
  <c r="Y15" i="17"/>
  <c r="Z15" i="17"/>
  <c r="AA15" i="17"/>
  <c r="AB15" i="17"/>
  <c r="AC15" i="17"/>
  <c r="N15" i="17"/>
  <c r="N14" i="17"/>
  <c r="K12" i="18" l="1"/>
  <c r="G8" i="18"/>
  <c r="K8" i="18" s="1"/>
  <c r="G7" i="18"/>
  <c r="K7" i="18" s="1"/>
  <c r="G12" i="18"/>
  <c r="G11" i="18"/>
  <c r="K11" i="18" s="1"/>
  <c r="H17" i="3"/>
  <c r="F17" i="3" l="1"/>
  <c r="C18" i="3"/>
  <c r="C17" i="3"/>
  <c r="O11" i="12"/>
  <c r="O5" i="12"/>
  <c r="P11" i="12"/>
  <c r="P5" i="12"/>
  <c r="P34" i="12"/>
  <c r="P33" i="12"/>
  <c r="P32" i="12"/>
  <c r="P31" i="12"/>
  <c r="P29" i="12"/>
  <c r="P28" i="12"/>
  <c r="P27" i="12"/>
  <c r="P26" i="12"/>
  <c r="P25" i="12"/>
  <c r="P24" i="12"/>
  <c r="P23" i="12"/>
  <c r="P21" i="12"/>
  <c r="P20" i="12"/>
  <c r="P19" i="12"/>
  <c r="P18" i="12"/>
  <c r="P15" i="12"/>
  <c r="P14" i="12"/>
  <c r="P13" i="12"/>
  <c r="P8" i="12"/>
  <c r="P9" i="12"/>
  <c r="P7" i="12"/>
  <c r="O34" i="12"/>
  <c r="O33" i="12"/>
  <c r="O32" i="12"/>
  <c r="O31" i="12"/>
  <c r="O29" i="12"/>
  <c r="O28" i="12"/>
  <c r="O27" i="12"/>
  <c r="O26" i="12"/>
  <c r="O25" i="12"/>
  <c r="O24" i="12"/>
  <c r="O23" i="12"/>
  <c r="O21" i="12"/>
  <c r="O20" i="12"/>
  <c r="O19" i="12"/>
  <c r="O18" i="12"/>
  <c r="O16" i="12"/>
  <c r="O15" i="12"/>
  <c r="O14" i="12"/>
  <c r="O13" i="12"/>
  <c r="O8" i="12"/>
  <c r="O9" i="12"/>
  <c r="O7" i="12"/>
  <c r="L7" i="12"/>
  <c r="F10" i="2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M34" i="17"/>
  <c r="L34" i="17" s="1"/>
  <c r="K34" i="17" s="1"/>
  <c r="J34" i="17" s="1"/>
  <c r="M36" i="17"/>
  <c r="L36" i="17" s="1"/>
  <c r="K36" i="17" s="1"/>
  <c r="J36" i="17" s="1"/>
  <c r="M37" i="17"/>
  <c r="L37" i="17" s="1"/>
  <c r="K37" i="17" s="1"/>
  <c r="J37" i="17" s="1"/>
  <c r="M38" i="17"/>
  <c r="L38" i="17" s="1"/>
  <c r="K38" i="17" s="1"/>
  <c r="J38" i="17" s="1"/>
  <c r="M39" i="17"/>
  <c r="L39" i="17" s="1"/>
  <c r="K39" i="17" s="1"/>
  <c r="J39" i="17" s="1"/>
  <c r="M41" i="17"/>
  <c r="L41" i="17" s="1"/>
  <c r="K41" i="17" s="1"/>
  <c r="J41" i="17" s="1"/>
  <c r="M42" i="17"/>
  <c r="L42" i="17" s="1"/>
  <c r="K42" i="17" s="1"/>
  <c r="J42" i="17" s="1"/>
  <c r="I40" i="16"/>
  <c r="H40" i="16"/>
  <c r="G40" i="16"/>
  <c r="F40" i="16"/>
  <c r="AE36" i="16"/>
  <c r="AE35" i="16"/>
  <c r="AE34" i="16"/>
  <c r="AE33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A32" i="16"/>
  <c r="A33" i="16" s="1"/>
  <c r="A34" i="16" s="1"/>
  <c r="A35" i="16" s="1"/>
  <c r="A36" i="16" s="1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I19" i="16"/>
  <c r="H19" i="16"/>
  <c r="G19" i="16"/>
  <c r="F19" i="16"/>
  <c r="E19" i="16"/>
  <c r="AE15" i="16"/>
  <c r="J15" i="16"/>
  <c r="D15" i="16"/>
  <c r="C15" i="16"/>
  <c r="AE14" i="16"/>
  <c r="J14" i="16"/>
  <c r="D14" i="16"/>
  <c r="C14" i="16"/>
  <c r="AE13" i="16"/>
  <c r="J13" i="16"/>
  <c r="D13" i="16"/>
  <c r="C13" i="16"/>
  <c r="AE12" i="16"/>
  <c r="J12" i="16"/>
  <c r="D12" i="16"/>
  <c r="C12" i="16"/>
  <c r="AE11" i="16"/>
  <c r="J11" i="16"/>
  <c r="D11" i="16"/>
  <c r="C11" i="16"/>
  <c r="A11" i="16"/>
  <c r="A12" i="16" s="1"/>
  <c r="A13" i="16" s="1"/>
  <c r="A14" i="16" s="1"/>
  <c r="A15" i="16" s="1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AD9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C6" i="16"/>
  <c r="B6" i="16"/>
  <c r="C5" i="16"/>
  <c r="B5" i="16"/>
  <c r="C4" i="16"/>
  <c r="B4" i="16"/>
  <c r="C11" i="10" l="1"/>
  <c r="M11" i="10"/>
  <c r="I11" i="10"/>
  <c r="E11" i="10"/>
  <c r="Q11" i="10" s="1"/>
  <c r="G17" i="3"/>
  <c r="J19" i="16"/>
  <c r="J40" i="16"/>
  <c r="AE19" i="16"/>
  <c r="AE32" i="16"/>
  <c r="AE40" i="16" s="1"/>
  <c r="E40" i="16"/>
  <c r="R11" i="10" l="1"/>
  <c r="F11" i="10"/>
  <c r="G11" i="10" s="1"/>
  <c r="J11" i="10"/>
  <c r="K11" i="10" s="1"/>
  <c r="N11" i="10"/>
  <c r="O11" i="10" s="1"/>
  <c r="Q7" i="15"/>
  <c r="Q6" i="15"/>
  <c r="O10" i="15"/>
  <c r="O7" i="15"/>
  <c r="O6" i="15"/>
  <c r="O4" i="15"/>
  <c r="M10" i="15"/>
  <c r="M7" i="15"/>
  <c r="M6" i="15"/>
  <c r="M4" i="15"/>
  <c r="K11" i="15"/>
  <c r="K10" i="15"/>
  <c r="K9" i="15"/>
  <c r="K8" i="15"/>
  <c r="K4" i="15"/>
  <c r="I11" i="15"/>
  <c r="I9" i="15"/>
  <c r="I8" i="15"/>
  <c r="S23" i="4"/>
  <c r="S22" i="4"/>
  <c r="S21" i="4"/>
  <c r="S15" i="4"/>
  <c r="Q34" i="4"/>
  <c r="Q33" i="4"/>
  <c r="Q32" i="4"/>
  <c r="Q31" i="4"/>
  <c r="Q23" i="4"/>
  <c r="Q22" i="4"/>
  <c r="Q21" i="4"/>
  <c r="Q20" i="4"/>
  <c r="Q17" i="4"/>
  <c r="Q16" i="4"/>
  <c r="Q15" i="4"/>
  <c r="Q13" i="4"/>
  <c r="Q12" i="4"/>
  <c r="Q6" i="4"/>
  <c r="Q7" i="4"/>
  <c r="Q8" i="4"/>
  <c r="Q9" i="4"/>
  <c r="Q10" i="4"/>
  <c r="O34" i="4"/>
  <c r="O33" i="4"/>
  <c r="O32" i="4"/>
  <c r="O31" i="4"/>
  <c r="O23" i="4"/>
  <c r="O22" i="4"/>
  <c r="O21" i="4"/>
  <c r="O20" i="4"/>
  <c r="O19" i="4"/>
  <c r="O17" i="4"/>
  <c r="O16" i="4"/>
  <c r="O15" i="4"/>
  <c r="O13" i="4"/>
  <c r="O12" i="4"/>
  <c r="O6" i="4"/>
  <c r="O7" i="4"/>
  <c r="O8" i="4"/>
  <c r="O9" i="4"/>
  <c r="O10" i="4"/>
  <c r="O5" i="4"/>
  <c r="M20" i="4"/>
  <c r="M19" i="4"/>
  <c r="M17" i="4"/>
  <c r="M12" i="4"/>
  <c r="M6" i="4"/>
  <c r="M7" i="4"/>
  <c r="M8" i="4"/>
  <c r="M9" i="4"/>
  <c r="M10" i="4"/>
  <c r="K20" i="4"/>
  <c r="K19" i="4"/>
  <c r="K14" i="4"/>
  <c r="K11" i="4"/>
  <c r="K10" i="4"/>
  <c r="K7" i="4"/>
  <c r="K6" i="4"/>
  <c r="Q5" i="4"/>
  <c r="M5" i="4"/>
  <c r="F78" i="8"/>
  <c r="G7" i="15" l="1"/>
  <c r="G8" i="15"/>
  <c r="G9" i="15"/>
  <c r="G10" i="15"/>
  <c r="G11" i="15"/>
  <c r="G6" i="15"/>
  <c r="G4" i="15"/>
  <c r="B5" i="14" l="1"/>
  <c r="B10" i="14" s="1"/>
  <c r="N19" i="13"/>
  <c r="N21" i="13"/>
  <c r="N20" i="13"/>
  <c r="N18" i="13"/>
  <c r="N15" i="13"/>
  <c r="N14" i="13"/>
  <c r="N13" i="13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6" i="4"/>
  <c r="G7" i="4"/>
  <c r="G8" i="4"/>
  <c r="G9" i="4"/>
  <c r="G10" i="4"/>
  <c r="G11" i="4"/>
  <c r="G12" i="4"/>
  <c r="G13" i="4"/>
  <c r="G14" i="4"/>
  <c r="G15" i="4"/>
  <c r="G16" i="4"/>
  <c r="G17" i="4"/>
  <c r="H28" i="3" l="1"/>
  <c r="L34" i="12"/>
  <c r="L33" i="12"/>
  <c r="L32" i="12"/>
  <c r="L31" i="12"/>
  <c r="L29" i="12"/>
  <c r="L28" i="12"/>
  <c r="L27" i="12"/>
  <c r="L26" i="12"/>
  <c r="L25" i="12"/>
  <c r="L24" i="12"/>
  <c r="L23" i="12"/>
  <c r="L19" i="12"/>
  <c r="L20" i="12"/>
  <c r="L8" i="12"/>
  <c r="L9" i="12"/>
  <c r="L34" i="13"/>
  <c r="L33" i="13"/>
  <c r="L32" i="13"/>
  <c r="L31" i="13"/>
  <c r="L29" i="13"/>
  <c r="L28" i="13"/>
  <c r="L27" i="13"/>
  <c r="L26" i="13"/>
  <c r="L25" i="13"/>
  <c r="L24" i="13"/>
  <c r="L23" i="13"/>
  <c r="L21" i="13"/>
  <c r="L21" i="12" s="1"/>
  <c r="L20" i="13"/>
  <c r="L19" i="13"/>
  <c r="L18" i="13"/>
  <c r="L18" i="12" s="1"/>
  <c r="L16" i="13"/>
  <c r="L16" i="12" s="1"/>
  <c r="P16" i="12" s="1"/>
  <c r="L15" i="13"/>
  <c r="L15" i="12" s="1"/>
  <c r="L14" i="13"/>
  <c r="L14" i="12" s="1"/>
  <c r="L13" i="13"/>
  <c r="L13" i="12" s="1"/>
  <c r="L8" i="13"/>
  <c r="L9" i="13"/>
  <c r="L7" i="13"/>
  <c r="N32" i="13"/>
  <c r="O32" i="13"/>
  <c r="P32" i="13"/>
  <c r="Q32" i="13"/>
  <c r="R32" i="13"/>
  <c r="N33" i="13"/>
  <c r="O33" i="13"/>
  <c r="P33" i="13"/>
  <c r="Q33" i="13"/>
  <c r="R33" i="13"/>
  <c r="N34" i="13"/>
  <c r="O34" i="13"/>
  <c r="P34" i="13"/>
  <c r="Q34" i="13"/>
  <c r="R34" i="13"/>
  <c r="R31" i="13"/>
  <c r="Q31" i="13"/>
  <c r="P31" i="13"/>
  <c r="O31" i="13"/>
  <c r="N31" i="13"/>
  <c r="K5" i="4"/>
  <c r="G5" i="4"/>
  <c r="I34" i="13"/>
  <c r="I33" i="13"/>
  <c r="I32" i="13"/>
  <c r="I31" i="13"/>
  <c r="I29" i="13"/>
  <c r="I28" i="13"/>
  <c r="I27" i="13"/>
  <c r="I26" i="13"/>
  <c r="I25" i="13"/>
  <c r="I24" i="13"/>
  <c r="I23" i="13"/>
  <c r="I21" i="13"/>
  <c r="I20" i="13"/>
  <c r="I19" i="13"/>
  <c r="I18" i="13"/>
  <c r="I16" i="13"/>
  <c r="I15" i="13"/>
  <c r="I14" i="13"/>
  <c r="I13" i="13"/>
  <c r="I9" i="13"/>
  <c r="I8" i="13"/>
  <c r="I7" i="13"/>
  <c r="I32" i="12"/>
  <c r="I33" i="12"/>
  <c r="I34" i="12"/>
  <c r="I31" i="12"/>
  <c r="I24" i="12"/>
  <c r="I25" i="12"/>
  <c r="I26" i="12"/>
  <c r="I27" i="12"/>
  <c r="I28" i="12"/>
  <c r="I29" i="12"/>
  <c r="I23" i="12"/>
  <c r="I21" i="12"/>
  <c r="I20" i="12"/>
  <c r="I19" i="12"/>
  <c r="I18" i="12"/>
  <c r="I14" i="12"/>
  <c r="I15" i="12"/>
  <c r="I16" i="12"/>
  <c r="I13" i="12"/>
  <c r="I8" i="12"/>
  <c r="I9" i="12"/>
  <c r="I7" i="12"/>
  <c r="L5" i="13" l="1"/>
  <c r="L11" i="13"/>
  <c r="L5" i="12"/>
  <c r="L11" i="12"/>
  <c r="I11" i="12"/>
  <c r="I5" i="12"/>
  <c r="I5" i="13"/>
  <c r="I11" i="13"/>
  <c r="Z30" i="7" l="1"/>
  <c r="Z31" i="7"/>
  <c r="AB30" i="7"/>
  <c r="AC30" i="7"/>
  <c r="AD30" i="7"/>
  <c r="AB31" i="7"/>
  <c r="AC31" i="7"/>
  <c r="AD31" i="7"/>
  <c r="AA31" i="7"/>
  <c r="AA30" i="7"/>
  <c r="Y31" i="7"/>
  <c r="Y30" i="7"/>
  <c r="AH43" i="7" l="1"/>
  <c r="AI43" i="7"/>
  <c r="AJ43" i="7"/>
  <c r="AK43" i="7"/>
  <c r="AG43" i="7"/>
  <c r="AF43" i="7"/>
  <c r="AG41" i="7"/>
  <c r="AF41" i="7"/>
  <c r="V27" i="7"/>
  <c r="W27" i="7"/>
  <c r="X26" i="7"/>
  <c r="W26" i="7"/>
  <c r="W25" i="7"/>
  <c r="V25" i="7"/>
  <c r="X24" i="7"/>
  <c r="W24" i="7"/>
  <c r="X70" i="7"/>
  <c r="W70" i="7"/>
  <c r="V70" i="7"/>
  <c r="U70" i="7"/>
  <c r="T70" i="7"/>
  <c r="X69" i="7"/>
  <c r="W69" i="7"/>
  <c r="V69" i="7"/>
  <c r="U69" i="7"/>
  <c r="T69" i="7"/>
  <c r="X68" i="7"/>
  <c r="W68" i="7"/>
  <c r="V68" i="7"/>
  <c r="U68" i="7"/>
  <c r="T68" i="7"/>
  <c r="X66" i="7"/>
  <c r="W66" i="7"/>
  <c r="V66" i="7"/>
  <c r="U66" i="7"/>
  <c r="T66" i="7"/>
  <c r="X65" i="7"/>
  <c r="W65" i="7"/>
  <c r="V65" i="7"/>
  <c r="U65" i="7"/>
  <c r="T65" i="7"/>
  <c r="X64" i="7"/>
  <c r="W64" i="7"/>
  <c r="V64" i="7"/>
  <c r="U64" i="7"/>
  <c r="T64" i="7"/>
  <c r="X63" i="7"/>
  <c r="W63" i="7"/>
  <c r="V63" i="7"/>
  <c r="U63" i="7"/>
  <c r="T63" i="7"/>
  <c r="X61" i="7"/>
  <c r="W61" i="7"/>
  <c r="V61" i="7"/>
  <c r="U61" i="7"/>
  <c r="T61" i="7"/>
  <c r="X60" i="7"/>
  <c r="W60" i="7"/>
  <c r="V60" i="7"/>
  <c r="U60" i="7"/>
  <c r="T60" i="7"/>
  <c r="X59" i="7"/>
  <c r="W59" i="7"/>
  <c r="V59" i="7"/>
  <c r="U59" i="7"/>
  <c r="T59" i="7"/>
  <c r="X57" i="7"/>
  <c r="W57" i="7"/>
  <c r="V57" i="7"/>
  <c r="U57" i="7"/>
  <c r="T57" i="7"/>
  <c r="X56" i="7"/>
  <c r="W56" i="7"/>
  <c r="V56" i="7"/>
  <c r="U56" i="7"/>
  <c r="T56" i="7"/>
  <c r="X55" i="7"/>
  <c r="W55" i="7"/>
  <c r="V55" i="7"/>
  <c r="U55" i="7"/>
  <c r="T55" i="7"/>
  <c r="X53" i="7"/>
  <c r="W53" i="7"/>
  <c r="V53" i="7"/>
  <c r="U53" i="7"/>
  <c r="T53" i="7"/>
  <c r="X52" i="7"/>
  <c r="W52" i="7"/>
  <c r="V52" i="7"/>
  <c r="U52" i="7"/>
  <c r="T52" i="7"/>
  <c r="X51" i="7"/>
  <c r="W51" i="7"/>
  <c r="V51" i="7"/>
  <c r="U51" i="7"/>
  <c r="T51" i="7"/>
  <c r="X49" i="7"/>
  <c r="W49" i="7"/>
  <c r="V49" i="7"/>
  <c r="U49" i="7"/>
  <c r="T49" i="7"/>
  <c r="X48" i="7"/>
  <c r="W48" i="7"/>
  <c r="V48" i="7"/>
  <c r="U48" i="7"/>
  <c r="T48" i="7"/>
  <c r="X47" i="7"/>
  <c r="W47" i="7"/>
  <c r="V47" i="7"/>
  <c r="U47" i="7"/>
  <c r="T47" i="7"/>
  <c r="X46" i="7"/>
  <c r="W46" i="7"/>
  <c r="V46" i="7"/>
  <c r="U46" i="7"/>
  <c r="T46" i="7"/>
  <c r="X45" i="7"/>
  <c r="W45" i="7"/>
  <c r="V45" i="7"/>
  <c r="U45" i="7"/>
  <c r="T45" i="7"/>
  <c r="X44" i="7"/>
  <c r="W44" i="7"/>
  <c r="V44" i="7"/>
  <c r="U44" i="7"/>
  <c r="T44" i="7"/>
  <c r="X42" i="7"/>
  <c r="W42" i="7"/>
  <c r="V42" i="7"/>
  <c r="AB43" i="7" s="1"/>
  <c r="U42" i="7"/>
  <c r="AA43" i="7" s="1"/>
  <c r="T42" i="7"/>
  <c r="Z43" i="7" s="1"/>
  <c r="X41" i="7"/>
  <c r="AK41" i="7" s="1"/>
  <c r="W41" i="7"/>
  <c r="AJ41" i="7" s="1"/>
  <c r="V41" i="7"/>
  <c r="AI41" i="7" s="1"/>
  <c r="U41" i="7"/>
  <c r="T41" i="7"/>
  <c r="X38" i="7"/>
  <c r="W38" i="7"/>
  <c r="V38" i="7"/>
  <c r="U38" i="7"/>
  <c r="T38" i="7"/>
  <c r="X37" i="7"/>
  <c r="W37" i="7"/>
  <c r="V37" i="7"/>
  <c r="U37" i="7"/>
  <c r="T37" i="7"/>
  <c r="X35" i="7"/>
  <c r="W35" i="7"/>
  <c r="V35" i="7"/>
  <c r="U35" i="7"/>
  <c r="T35" i="7"/>
  <c r="X34" i="7"/>
  <c r="W34" i="7"/>
  <c r="V34" i="7"/>
  <c r="U34" i="7"/>
  <c r="T34" i="7"/>
  <c r="X33" i="7"/>
  <c r="W33" i="7"/>
  <c r="V33" i="7"/>
  <c r="U33" i="7"/>
  <c r="T33" i="7"/>
  <c r="X32" i="7"/>
  <c r="W32" i="7"/>
  <c r="V32" i="7"/>
  <c r="U32" i="7"/>
  <c r="T32" i="7"/>
  <c r="X30" i="7"/>
  <c r="W30" i="7"/>
  <c r="V30" i="7"/>
  <c r="U30" i="7"/>
  <c r="T30" i="7"/>
  <c r="X27" i="7"/>
  <c r="U27" i="7"/>
  <c r="T27" i="7"/>
  <c r="V26" i="7"/>
  <c r="U26" i="7"/>
  <c r="T26" i="7"/>
  <c r="X25" i="7"/>
  <c r="U25" i="7"/>
  <c r="T25" i="7"/>
  <c r="V24" i="7"/>
  <c r="U24" i="7"/>
  <c r="T24" i="7"/>
  <c r="X22" i="7"/>
  <c r="W22" i="7"/>
  <c r="V22" i="7"/>
  <c r="U22" i="7"/>
  <c r="T22" i="7"/>
  <c r="X21" i="7"/>
  <c r="W21" i="7"/>
  <c r="V21" i="7"/>
  <c r="U21" i="7"/>
  <c r="T21" i="7"/>
  <c r="X20" i="7"/>
  <c r="W20" i="7"/>
  <c r="V20" i="7"/>
  <c r="U20" i="7"/>
  <c r="T20" i="7"/>
  <c r="X18" i="7"/>
  <c r="W18" i="7"/>
  <c r="V18" i="7"/>
  <c r="U18" i="7"/>
  <c r="T18" i="7"/>
  <c r="X16" i="7"/>
  <c r="W16" i="7"/>
  <c r="V16" i="7"/>
  <c r="U16" i="7"/>
  <c r="T16" i="7"/>
  <c r="Z15" i="7" s="1"/>
  <c r="X15" i="7"/>
  <c r="W15" i="7"/>
  <c r="AC15" i="7" s="1"/>
  <c r="V15" i="7"/>
  <c r="U15" i="7"/>
  <c r="T15" i="7"/>
  <c r="X11" i="7"/>
  <c r="W11" i="7"/>
  <c r="V11" i="7"/>
  <c r="U11" i="7"/>
  <c r="T11" i="7"/>
  <c r="U10" i="7"/>
  <c r="V10" i="7"/>
  <c r="W10" i="7"/>
  <c r="X10" i="7"/>
  <c r="T10" i="7"/>
  <c r="AD15" i="7" l="1"/>
  <c r="Z42" i="7"/>
  <c r="AA42" i="7"/>
  <c r="AD42" i="7"/>
  <c r="AA41" i="7"/>
  <c r="AB42" i="7"/>
  <c r="AH41" i="7"/>
  <c r="AC42" i="7"/>
  <c r="AA15" i="7"/>
  <c r="AD41" i="7"/>
  <c r="AB41" i="7"/>
  <c r="AC43" i="7"/>
  <c r="AD43" i="7"/>
  <c r="AB15" i="7"/>
  <c r="AC41" i="7"/>
  <c r="Z41" i="7"/>
  <c r="F71" i="9" l="1"/>
  <c r="F73" i="9" s="1"/>
  <c r="K70" i="9"/>
  <c r="J70" i="9"/>
  <c r="I70" i="9"/>
  <c r="H70" i="9"/>
  <c r="G70" i="9"/>
  <c r="L70" i="9" s="1"/>
  <c r="K69" i="9"/>
  <c r="J69" i="9"/>
  <c r="I69" i="9"/>
  <c r="H69" i="9"/>
  <c r="G69" i="9"/>
  <c r="K68" i="9"/>
  <c r="J68" i="9"/>
  <c r="I68" i="9"/>
  <c r="H68" i="9"/>
  <c r="G68" i="9"/>
  <c r="L68" i="9" s="1"/>
  <c r="K66" i="9"/>
  <c r="J66" i="9"/>
  <c r="I66" i="9"/>
  <c r="H66" i="9"/>
  <c r="G66" i="9"/>
  <c r="L66" i="9" s="1"/>
  <c r="K65" i="9"/>
  <c r="J65" i="9"/>
  <c r="I65" i="9"/>
  <c r="H65" i="9"/>
  <c r="G65" i="9"/>
  <c r="K64" i="9"/>
  <c r="J64" i="9"/>
  <c r="I64" i="9"/>
  <c r="H64" i="9"/>
  <c r="G64" i="9"/>
  <c r="K63" i="9"/>
  <c r="J63" i="9"/>
  <c r="I63" i="9"/>
  <c r="H63" i="9"/>
  <c r="G63" i="9"/>
  <c r="K61" i="9"/>
  <c r="J61" i="9"/>
  <c r="I61" i="9"/>
  <c r="H61" i="9"/>
  <c r="G61" i="9"/>
  <c r="K60" i="9"/>
  <c r="J60" i="9"/>
  <c r="I60" i="9"/>
  <c r="H60" i="9"/>
  <c r="G60" i="9"/>
  <c r="L60" i="9" s="1"/>
  <c r="K59" i="9"/>
  <c r="J59" i="9"/>
  <c r="I59" i="9"/>
  <c r="H59" i="9"/>
  <c r="G59" i="9"/>
  <c r="K57" i="9"/>
  <c r="J57" i="9"/>
  <c r="I57" i="9"/>
  <c r="H57" i="9"/>
  <c r="G57" i="9"/>
  <c r="L57" i="9" s="1"/>
  <c r="K56" i="9"/>
  <c r="J56" i="9"/>
  <c r="I56" i="9"/>
  <c r="H56" i="9"/>
  <c r="G56" i="9"/>
  <c r="L56" i="9" s="1"/>
  <c r="K55" i="9"/>
  <c r="J55" i="9"/>
  <c r="I55" i="9"/>
  <c r="H55" i="9"/>
  <c r="G55" i="9"/>
  <c r="K53" i="9"/>
  <c r="J53" i="9"/>
  <c r="I53" i="9"/>
  <c r="H53" i="9"/>
  <c r="G53" i="9"/>
  <c r="K52" i="9"/>
  <c r="J52" i="9"/>
  <c r="I52" i="9"/>
  <c r="H52" i="9"/>
  <c r="G52" i="9"/>
  <c r="K51" i="9"/>
  <c r="J51" i="9"/>
  <c r="I51" i="9"/>
  <c r="H51" i="9"/>
  <c r="G51" i="9"/>
  <c r="K49" i="9"/>
  <c r="J49" i="9"/>
  <c r="I49" i="9"/>
  <c r="H49" i="9"/>
  <c r="G49" i="9"/>
  <c r="L49" i="9" s="1"/>
  <c r="K48" i="9"/>
  <c r="J48" i="9"/>
  <c r="I48" i="9"/>
  <c r="H48" i="9"/>
  <c r="G48" i="9"/>
  <c r="K47" i="9"/>
  <c r="J47" i="9"/>
  <c r="I47" i="9"/>
  <c r="H47" i="9"/>
  <c r="G47" i="9"/>
  <c r="L47" i="9" s="1"/>
  <c r="K46" i="9"/>
  <c r="J46" i="9"/>
  <c r="I46" i="9"/>
  <c r="H46" i="9"/>
  <c r="G46" i="9"/>
  <c r="L46" i="9" s="1"/>
  <c r="K45" i="9"/>
  <c r="J45" i="9"/>
  <c r="I45" i="9"/>
  <c r="H45" i="9"/>
  <c r="G45" i="9"/>
  <c r="K44" i="9"/>
  <c r="J44" i="9"/>
  <c r="I44" i="9"/>
  <c r="H44" i="9"/>
  <c r="G44" i="9"/>
  <c r="K42" i="9"/>
  <c r="J42" i="9"/>
  <c r="I42" i="9"/>
  <c r="H42" i="9"/>
  <c r="G42" i="9"/>
  <c r="K41" i="9"/>
  <c r="J41" i="9"/>
  <c r="I41" i="9"/>
  <c r="H41" i="9"/>
  <c r="G41" i="9"/>
  <c r="K38" i="9"/>
  <c r="J38" i="9"/>
  <c r="I38" i="9"/>
  <c r="H38" i="9"/>
  <c r="G38" i="9"/>
  <c r="L38" i="9" s="1"/>
  <c r="K37" i="9"/>
  <c r="J37" i="9"/>
  <c r="I37" i="9"/>
  <c r="H37" i="9"/>
  <c r="G37" i="9"/>
  <c r="K35" i="9"/>
  <c r="J35" i="9"/>
  <c r="I35" i="9"/>
  <c r="H35" i="9"/>
  <c r="G35" i="9"/>
  <c r="L35" i="9" s="1"/>
  <c r="K34" i="9"/>
  <c r="J34" i="9"/>
  <c r="I34" i="9"/>
  <c r="H34" i="9"/>
  <c r="G34" i="9"/>
  <c r="L34" i="9" s="1"/>
  <c r="K33" i="9"/>
  <c r="J33" i="9"/>
  <c r="I33" i="9"/>
  <c r="H33" i="9"/>
  <c r="G33" i="9"/>
  <c r="K32" i="9"/>
  <c r="J32" i="9"/>
  <c r="I32" i="9"/>
  <c r="H32" i="9"/>
  <c r="G32" i="9"/>
  <c r="K30" i="9"/>
  <c r="J30" i="9"/>
  <c r="I30" i="9"/>
  <c r="H30" i="9"/>
  <c r="G30" i="9"/>
  <c r="K27" i="9"/>
  <c r="J27" i="9"/>
  <c r="I27" i="9"/>
  <c r="H27" i="9"/>
  <c r="G27" i="9"/>
  <c r="K26" i="9"/>
  <c r="J26" i="9"/>
  <c r="I26" i="9"/>
  <c r="H26" i="9"/>
  <c r="G26" i="9"/>
  <c r="L26" i="9" s="1"/>
  <c r="K25" i="9"/>
  <c r="J25" i="9"/>
  <c r="I25" i="9"/>
  <c r="H25" i="9"/>
  <c r="G25" i="9"/>
  <c r="K24" i="9"/>
  <c r="J24" i="9"/>
  <c r="I24" i="9"/>
  <c r="H24" i="9"/>
  <c r="G24" i="9"/>
  <c r="L24" i="9" s="1"/>
  <c r="K22" i="9"/>
  <c r="J22" i="9"/>
  <c r="I22" i="9"/>
  <c r="H22" i="9"/>
  <c r="G22" i="9"/>
  <c r="L22" i="9" s="1"/>
  <c r="K21" i="9"/>
  <c r="J21" i="9"/>
  <c r="I21" i="9"/>
  <c r="H21" i="9"/>
  <c r="G21" i="9"/>
  <c r="K20" i="9"/>
  <c r="J20" i="9"/>
  <c r="I20" i="9"/>
  <c r="H20" i="9"/>
  <c r="G20" i="9"/>
  <c r="K18" i="9"/>
  <c r="J18" i="9"/>
  <c r="I18" i="9"/>
  <c r="H18" i="9"/>
  <c r="G18" i="9"/>
  <c r="K16" i="9"/>
  <c r="J16" i="9"/>
  <c r="I16" i="9"/>
  <c r="H16" i="9"/>
  <c r="G16" i="9"/>
  <c r="K15" i="9"/>
  <c r="J15" i="9"/>
  <c r="I15" i="9"/>
  <c r="H15" i="9"/>
  <c r="G15" i="9"/>
  <c r="L15" i="9" s="1"/>
  <c r="K11" i="9"/>
  <c r="J11" i="9"/>
  <c r="I11" i="9"/>
  <c r="H11" i="9"/>
  <c r="G11" i="9"/>
  <c r="K10" i="9"/>
  <c r="J10" i="9"/>
  <c r="I10" i="9"/>
  <c r="H10" i="9"/>
  <c r="G10" i="9"/>
  <c r="L10" i="9" s="1"/>
  <c r="L20" i="9" l="1"/>
  <c r="L32" i="9"/>
  <c r="L44" i="9"/>
  <c r="L53" i="9"/>
  <c r="L64" i="9"/>
  <c r="L18" i="9"/>
  <c r="L30" i="9"/>
  <c r="L42" i="9"/>
  <c r="L52" i="9"/>
  <c r="L63" i="9"/>
  <c r="L11" i="9"/>
  <c r="L25" i="9"/>
  <c r="L37" i="9"/>
  <c r="L48" i="9"/>
  <c r="L59" i="9"/>
  <c r="L69" i="9"/>
  <c r="L21" i="9"/>
  <c r="L33" i="9"/>
  <c r="L45" i="9"/>
  <c r="L55" i="9"/>
  <c r="L65" i="9"/>
  <c r="L16" i="9"/>
  <c r="L27" i="9"/>
  <c r="L41" i="9"/>
  <c r="L51" i="9"/>
  <c r="L61" i="9"/>
  <c r="G71" i="9"/>
  <c r="G72" i="9" s="1"/>
  <c r="F72" i="9"/>
  <c r="F74" i="9" s="1"/>
  <c r="F75" i="9" s="1"/>
  <c r="J71" i="9"/>
  <c r="J72" i="9" s="1"/>
  <c r="I71" i="9"/>
  <c r="I72" i="9" s="1"/>
  <c r="H71" i="9"/>
  <c r="H73" i="9" s="1"/>
  <c r="K71" i="9"/>
  <c r="K73" i="9" s="1"/>
  <c r="G73" i="9" l="1"/>
  <c r="G74" i="9" s="1"/>
  <c r="I73" i="9"/>
  <c r="K72" i="9"/>
  <c r="K74" i="9"/>
  <c r="F76" i="9"/>
  <c r="I74" i="9"/>
  <c r="H72" i="9"/>
  <c r="H74" i="9" s="1"/>
  <c r="J73" i="9"/>
  <c r="J74" i="9" s="1"/>
  <c r="G75" i="9"/>
  <c r="G76" i="9" s="1"/>
  <c r="J75" i="9" l="1"/>
  <c r="J76" i="9" s="1"/>
  <c r="K75" i="9"/>
  <c r="K76" i="9" s="1"/>
  <c r="H75" i="9"/>
  <c r="H76" i="9" s="1"/>
  <c r="I75" i="9"/>
  <c r="I76" i="9" s="1"/>
  <c r="F71" i="8"/>
  <c r="F73" i="8" s="1"/>
  <c r="K70" i="8"/>
  <c r="J70" i="8"/>
  <c r="I70" i="8"/>
  <c r="H70" i="8"/>
  <c r="G70" i="8"/>
  <c r="K69" i="8"/>
  <c r="J69" i="8"/>
  <c r="I69" i="8"/>
  <c r="H69" i="8"/>
  <c r="G69" i="8"/>
  <c r="K68" i="8"/>
  <c r="J68" i="8"/>
  <c r="I68" i="8"/>
  <c r="H68" i="8"/>
  <c r="G68" i="8"/>
  <c r="K66" i="8"/>
  <c r="J66" i="8"/>
  <c r="I66" i="8"/>
  <c r="H66" i="8"/>
  <c r="G66" i="8"/>
  <c r="K65" i="8"/>
  <c r="J65" i="8"/>
  <c r="I65" i="8"/>
  <c r="H65" i="8"/>
  <c r="G65" i="8"/>
  <c r="K64" i="8"/>
  <c r="J64" i="8"/>
  <c r="I64" i="8"/>
  <c r="H64" i="8"/>
  <c r="G64" i="8"/>
  <c r="K63" i="8"/>
  <c r="J63" i="8"/>
  <c r="I63" i="8"/>
  <c r="H63" i="8"/>
  <c r="G63" i="8"/>
  <c r="K61" i="8"/>
  <c r="J61" i="8"/>
  <c r="I61" i="8"/>
  <c r="H61" i="8"/>
  <c r="G61" i="8"/>
  <c r="K60" i="8"/>
  <c r="J60" i="8"/>
  <c r="I60" i="8"/>
  <c r="H60" i="8"/>
  <c r="G60" i="8"/>
  <c r="K59" i="8"/>
  <c r="J59" i="8"/>
  <c r="I59" i="8"/>
  <c r="H59" i="8"/>
  <c r="G59" i="8"/>
  <c r="K57" i="8"/>
  <c r="J57" i="8"/>
  <c r="I57" i="8"/>
  <c r="H57" i="8"/>
  <c r="G57" i="8"/>
  <c r="K56" i="8"/>
  <c r="J56" i="8"/>
  <c r="I56" i="8"/>
  <c r="H56" i="8"/>
  <c r="G56" i="8"/>
  <c r="K55" i="8"/>
  <c r="J55" i="8"/>
  <c r="I55" i="8"/>
  <c r="H55" i="8"/>
  <c r="G55" i="8"/>
  <c r="K53" i="8"/>
  <c r="J53" i="8"/>
  <c r="I53" i="8"/>
  <c r="H53" i="8"/>
  <c r="G53" i="8"/>
  <c r="K52" i="8"/>
  <c r="J52" i="8"/>
  <c r="I52" i="8"/>
  <c r="H52" i="8"/>
  <c r="G52" i="8"/>
  <c r="K51" i="8"/>
  <c r="J51" i="8"/>
  <c r="I51" i="8"/>
  <c r="H51" i="8"/>
  <c r="G51" i="8"/>
  <c r="K49" i="8"/>
  <c r="J49" i="8"/>
  <c r="I49" i="8"/>
  <c r="H49" i="8"/>
  <c r="G49" i="8"/>
  <c r="K48" i="8"/>
  <c r="J48" i="8"/>
  <c r="I48" i="8"/>
  <c r="H48" i="8"/>
  <c r="G48" i="8"/>
  <c r="K47" i="8"/>
  <c r="J47" i="8"/>
  <c r="I47" i="8"/>
  <c r="H47" i="8"/>
  <c r="G47" i="8"/>
  <c r="K46" i="8"/>
  <c r="J46" i="8"/>
  <c r="I46" i="8"/>
  <c r="H46" i="8"/>
  <c r="G46" i="8"/>
  <c r="K45" i="8"/>
  <c r="J45" i="8"/>
  <c r="I45" i="8"/>
  <c r="H45" i="8"/>
  <c r="G45" i="8"/>
  <c r="K44" i="8"/>
  <c r="J44" i="8"/>
  <c r="I44" i="8"/>
  <c r="H44" i="8"/>
  <c r="G44" i="8"/>
  <c r="K42" i="8"/>
  <c r="J42" i="8"/>
  <c r="J78" i="8" s="1"/>
  <c r="J79" i="8" s="1"/>
  <c r="I42" i="8"/>
  <c r="H42" i="8"/>
  <c r="G42" i="8"/>
  <c r="K41" i="8"/>
  <c r="J41" i="8"/>
  <c r="I41" i="8"/>
  <c r="H41" i="8"/>
  <c r="G41" i="8"/>
  <c r="K38" i="8"/>
  <c r="J38" i="8"/>
  <c r="I38" i="8"/>
  <c r="H38" i="8"/>
  <c r="G38" i="8"/>
  <c r="K37" i="8"/>
  <c r="J37" i="8"/>
  <c r="I37" i="8"/>
  <c r="H37" i="8"/>
  <c r="G37" i="8"/>
  <c r="K35" i="8"/>
  <c r="J35" i="8"/>
  <c r="I35" i="8"/>
  <c r="H35" i="8"/>
  <c r="G35" i="8"/>
  <c r="K34" i="8"/>
  <c r="J34" i="8"/>
  <c r="I34" i="8"/>
  <c r="H34" i="8"/>
  <c r="G34" i="8"/>
  <c r="K33" i="8"/>
  <c r="J33" i="8"/>
  <c r="I33" i="8"/>
  <c r="H33" i="8"/>
  <c r="G33" i="8"/>
  <c r="K32" i="8"/>
  <c r="J32" i="8"/>
  <c r="I32" i="8"/>
  <c r="H32" i="8"/>
  <c r="G32" i="8"/>
  <c r="K30" i="8"/>
  <c r="J30" i="8"/>
  <c r="I30" i="8"/>
  <c r="H30" i="8"/>
  <c r="G30" i="8"/>
  <c r="K27" i="8"/>
  <c r="J27" i="8"/>
  <c r="I27" i="8"/>
  <c r="H27" i="8"/>
  <c r="G27" i="8"/>
  <c r="K26" i="8"/>
  <c r="J26" i="8"/>
  <c r="I26" i="8"/>
  <c r="H26" i="8"/>
  <c r="G26" i="8"/>
  <c r="K25" i="8"/>
  <c r="J25" i="8"/>
  <c r="I25" i="8"/>
  <c r="H25" i="8"/>
  <c r="G25" i="8"/>
  <c r="K24" i="8"/>
  <c r="J24" i="8"/>
  <c r="I24" i="8"/>
  <c r="H24" i="8"/>
  <c r="G24" i="8"/>
  <c r="K22" i="8"/>
  <c r="J22" i="8"/>
  <c r="I22" i="8"/>
  <c r="H22" i="8"/>
  <c r="G22" i="8"/>
  <c r="K21" i="8"/>
  <c r="J21" i="8"/>
  <c r="I21" i="8"/>
  <c r="H21" i="8"/>
  <c r="G21" i="8"/>
  <c r="K20" i="8"/>
  <c r="J20" i="8"/>
  <c r="I20" i="8"/>
  <c r="H20" i="8"/>
  <c r="G20" i="8"/>
  <c r="K18" i="8"/>
  <c r="J18" i="8"/>
  <c r="I18" i="8"/>
  <c r="H18" i="8"/>
  <c r="G18" i="8"/>
  <c r="K16" i="8"/>
  <c r="J16" i="8"/>
  <c r="I16" i="8"/>
  <c r="H16" i="8"/>
  <c r="G16" i="8"/>
  <c r="K15" i="8"/>
  <c r="J15" i="8"/>
  <c r="I15" i="8"/>
  <c r="H15" i="8"/>
  <c r="G15" i="8"/>
  <c r="K11" i="8"/>
  <c r="J11" i="8"/>
  <c r="I11" i="8"/>
  <c r="H11" i="8"/>
  <c r="G11" i="8"/>
  <c r="K10" i="8"/>
  <c r="J10" i="8"/>
  <c r="I10" i="8"/>
  <c r="H10" i="8"/>
  <c r="G10" i="8"/>
  <c r="F71" i="7"/>
  <c r="F73" i="7" s="1"/>
  <c r="K70" i="7"/>
  <c r="J70" i="7"/>
  <c r="I70" i="7"/>
  <c r="H70" i="7"/>
  <c r="G70" i="7"/>
  <c r="K69" i="7"/>
  <c r="J69" i="7"/>
  <c r="I69" i="7"/>
  <c r="H69" i="7"/>
  <c r="G69" i="7"/>
  <c r="K68" i="7"/>
  <c r="J68" i="7"/>
  <c r="I68" i="7"/>
  <c r="H68" i="7"/>
  <c r="G68" i="7"/>
  <c r="K66" i="7"/>
  <c r="J66" i="7"/>
  <c r="I66" i="7"/>
  <c r="H66" i="7"/>
  <c r="G66" i="7"/>
  <c r="K65" i="7"/>
  <c r="J65" i="7"/>
  <c r="I65" i="7"/>
  <c r="H65" i="7"/>
  <c r="G65" i="7"/>
  <c r="K64" i="7"/>
  <c r="J64" i="7"/>
  <c r="I64" i="7"/>
  <c r="H64" i="7"/>
  <c r="G64" i="7"/>
  <c r="K63" i="7"/>
  <c r="J63" i="7"/>
  <c r="I63" i="7"/>
  <c r="H63" i="7"/>
  <c r="G63" i="7"/>
  <c r="K61" i="7"/>
  <c r="J61" i="7"/>
  <c r="I61" i="7"/>
  <c r="H61" i="7"/>
  <c r="G61" i="7"/>
  <c r="K60" i="7"/>
  <c r="J60" i="7"/>
  <c r="I60" i="7"/>
  <c r="H60" i="7"/>
  <c r="G60" i="7"/>
  <c r="K59" i="7"/>
  <c r="J59" i="7"/>
  <c r="I59" i="7"/>
  <c r="H59" i="7"/>
  <c r="G59" i="7"/>
  <c r="K57" i="7"/>
  <c r="J57" i="7"/>
  <c r="I57" i="7"/>
  <c r="H57" i="7"/>
  <c r="G57" i="7"/>
  <c r="K56" i="7"/>
  <c r="J56" i="7"/>
  <c r="I56" i="7"/>
  <c r="H56" i="7"/>
  <c r="G56" i="7"/>
  <c r="K55" i="7"/>
  <c r="J55" i="7"/>
  <c r="I55" i="7"/>
  <c r="H55" i="7"/>
  <c r="G55" i="7"/>
  <c r="K53" i="7"/>
  <c r="J53" i="7"/>
  <c r="I53" i="7"/>
  <c r="H53" i="7"/>
  <c r="G53" i="7"/>
  <c r="K52" i="7"/>
  <c r="J52" i="7"/>
  <c r="I52" i="7"/>
  <c r="H52" i="7"/>
  <c r="G52" i="7"/>
  <c r="K51" i="7"/>
  <c r="L51" i="7" s="1"/>
  <c r="J51" i="7"/>
  <c r="I51" i="7"/>
  <c r="H51" i="7"/>
  <c r="G51" i="7"/>
  <c r="K49" i="7"/>
  <c r="J49" i="7"/>
  <c r="I49" i="7"/>
  <c r="H49" i="7"/>
  <c r="G49" i="7"/>
  <c r="K48" i="7"/>
  <c r="J48" i="7"/>
  <c r="I48" i="7"/>
  <c r="H48" i="7"/>
  <c r="G48" i="7"/>
  <c r="K47" i="7"/>
  <c r="J47" i="7"/>
  <c r="I47" i="7"/>
  <c r="H47" i="7"/>
  <c r="G47" i="7"/>
  <c r="K46" i="7"/>
  <c r="J46" i="7"/>
  <c r="I46" i="7"/>
  <c r="H46" i="7"/>
  <c r="G46" i="7"/>
  <c r="K45" i="7"/>
  <c r="J45" i="7"/>
  <c r="I45" i="7"/>
  <c r="H45" i="7"/>
  <c r="G45" i="7"/>
  <c r="K44" i="7"/>
  <c r="J44" i="7"/>
  <c r="I44" i="7"/>
  <c r="H44" i="7"/>
  <c r="G44" i="7"/>
  <c r="K42" i="7"/>
  <c r="J42" i="7"/>
  <c r="I42" i="7"/>
  <c r="H42" i="7"/>
  <c r="G42" i="7"/>
  <c r="L42" i="7" s="1"/>
  <c r="K41" i="7"/>
  <c r="J41" i="7"/>
  <c r="I41" i="7"/>
  <c r="H41" i="7"/>
  <c r="G41" i="7"/>
  <c r="K38" i="7"/>
  <c r="J38" i="7"/>
  <c r="I38" i="7"/>
  <c r="H38" i="7"/>
  <c r="G38" i="7"/>
  <c r="K37" i="7"/>
  <c r="J37" i="7"/>
  <c r="I37" i="7"/>
  <c r="H37" i="7"/>
  <c r="G37" i="7"/>
  <c r="K35" i="7"/>
  <c r="J35" i="7"/>
  <c r="I35" i="7"/>
  <c r="H35" i="7"/>
  <c r="G35" i="7"/>
  <c r="K34" i="7"/>
  <c r="J34" i="7"/>
  <c r="I34" i="7"/>
  <c r="H34" i="7"/>
  <c r="G34" i="7"/>
  <c r="K33" i="7"/>
  <c r="J33" i="7"/>
  <c r="I33" i="7"/>
  <c r="H33" i="7"/>
  <c r="G33" i="7"/>
  <c r="K32" i="7"/>
  <c r="J32" i="7"/>
  <c r="I32" i="7"/>
  <c r="H32" i="7"/>
  <c r="G32" i="7"/>
  <c r="K30" i="7"/>
  <c r="J30" i="7"/>
  <c r="I30" i="7"/>
  <c r="H30" i="7"/>
  <c r="G30" i="7"/>
  <c r="L30" i="7" s="1"/>
  <c r="K27" i="7"/>
  <c r="J27" i="7"/>
  <c r="I27" i="7"/>
  <c r="H27" i="7"/>
  <c r="G27" i="7"/>
  <c r="K26" i="7"/>
  <c r="J26" i="7"/>
  <c r="I26" i="7"/>
  <c r="H26" i="7"/>
  <c r="G26" i="7"/>
  <c r="K25" i="7"/>
  <c r="J25" i="7"/>
  <c r="I25" i="7"/>
  <c r="H25" i="7"/>
  <c r="G25" i="7"/>
  <c r="K24" i="7"/>
  <c r="J24" i="7"/>
  <c r="I24" i="7"/>
  <c r="H24" i="7"/>
  <c r="G24" i="7"/>
  <c r="K22" i="7"/>
  <c r="J22" i="7"/>
  <c r="I22" i="7"/>
  <c r="H22" i="7"/>
  <c r="G22" i="7"/>
  <c r="K21" i="7"/>
  <c r="J21" i="7"/>
  <c r="I21" i="7"/>
  <c r="H21" i="7"/>
  <c r="G21" i="7"/>
  <c r="K20" i="7"/>
  <c r="J20" i="7"/>
  <c r="I20" i="7"/>
  <c r="H20" i="7"/>
  <c r="G20" i="7"/>
  <c r="K18" i="7"/>
  <c r="J18" i="7"/>
  <c r="I18" i="7"/>
  <c r="H18" i="7"/>
  <c r="G18" i="7"/>
  <c r="K16" i="7"/>
  <c r="J16" i="7"/>
  <c r="I16" i="7"/>
  <c r="H16" i="7"/>
  <c r="G16" i="7"/>
  <c r="K15" i="7"/>
  <c r="J15" i="7"/>
  <c r="I15" i="7"/>
  <c r="H15" i="7"/>
  <c r="G15" i="7"/>
  <c r="K11" i="7"/>
  <c r="J11" i="7"/>
  <c r="I11" i="7"/>
  <c r="H11" i="7"/>
  <c r="G11" i="7"/>
  <c r="K10" i="7"/>
  <c r="J10" i="7"/>
  <c r="I10" i="7"/>
  <c r="H10" i="7"/>
  <c r="G10" i="7"/>
  <c r="H78" i="8" l="1"/>
  <c r="H79" i="8" s="1"/>
  <c r="I78" i="8"/>
  <c r="I79" i="8" s="1"/>
  <c r="L20" i="8"/>
  <c r="L32" i="8"/>
  <c r="L42" i="8"/>
  <c r="L63" i="8"/>
  <c r="L15" i="8"/>
  <c r="L70" i="8"/>
  <c r="J71" i="8"/>
  <c r="J72" i="8" s="1"/>
  <c r="L60" i="8"/>
  <c r="L66" i="8"/>
  <c r="L48" i="8"/>
  <c r="L52" i="8"/>
  <c r="L45" i="8"/>
  <c r="L41" i="8"/>
  <c r="L57" i="8"/>
  <c r="L10" i="8"/>
  <c r="L35" i="8"/>
  <c r="L47" i="8"/>
  <c r="L34" i="7"/>
  <c r="L37" i="7"/>
  <c r="L11" i="7"/>
  <c r="L33" i="7"/>
  <c r="L52" i="7"/>
  <c r="L63" i="7"/>
  <c r="L24" i="7"/>
  <c r="L59" i="7"/>
  <c r="L66" i="7"/>
  <c r="L35" i="7"/>
  <c r="L15" i="7"/>
  <c r="L26" i="7"/>
  <c r="L68" i="7"/>
  <c r="F72" i="7"/>
  <c r="F74" i="7" s="1"/>
  <c r="F75" i="7" s="1"/>
  <c r="F76" i="7" s="1"/>
  <c r="L46" i="7"/>
  <c r="L38" i="7"/>
  <c r="I71" i="8"/>
  <c r="I72" i="8" s="1"/>
  <c r="L51" i="8"/>
  <c r="L59" i="8"/>
  <c r="L22" i="8"/>
  <c r="L26" i="8"/>
  <c r="L34" i="8"/>
  <c r="L38" i="8"/>
  <c r="L44" i="8"/>
  <c r="L55" i="8"/>
  <c r="L69" i="8"/>
  <c r="K71" i="8"/>
  <c r="L18" i="8"/>
  <c r="L61" i="8"/>
  <c r="L65" i="8"/>
  <c r="L11" i="8"/>
  <c r="L25" i="8"/>
  <c r="L30" i="8"/>
  <c r="L46" i="8"/>
  <c r="L49" i="8"/>
  <c r="L53" i="8"/>
  <c r="H71" i="8"/>
  <c r="H72" i="8" s="1"/>
  <c r="L21" i="8"/>
  <c r="L37" i="8"/>
  <c r="L68" i="8"/>
  <c r="L24" i="8"/>
  <c r="L16" i="8"/>
  <c r="L27" i="8"/>
  <c r="L33" i="8"/>
  <c r="L56" i="8"/>
  <c r="L64" i="8"/>
  <c r="I73" i="8"/>
  <c r="F72" i="8"/>
  <c r="F74" i="8" s="1"/>
  <c r="J73" i="8"/>
  <c r="J74" i="8" s="1"/>
  <c r="G71" i="8"/>
  <c r="L65" i="7"/>
  <c r="L61" i="7"/>
  <c r="L55" i="7"/>
  <c r="L56" i="7"/>
  <c r="L70" i="7"/>
  <c r="L69" i="7"/>
  <c r="L64" i="7"/>
  <c r="L60" i="7"/>
  <c r="L57" i="7"/>
  <c r="K71" i="7"/>
  <c r="K73" i="7" s="1"/>
  <c r="L53" i="7"/>
  <c r="L48" i="7"/>
  <c r="L47" i="7"/>
  <c r="L49" i="7"/>
  <c r="L45" i="7"/>
  <c r="L44" i="7"/>
  <c r="L32" i="7"/>
  <c r="L41" i="7"/>
  <c r="L27" i="7"/>
  <c r="J71" i="7"/>
  <c r="L25" i="7"/>
  <c r="L22" i="7"/>
  <c r="L21" i="7"/>
  <c r="L20" i="7"/>
  <c r="I71" i="7"/>
  <c r="I72" i="7" s="1"/>
  <c r="L18" i="7"/>
  <c r="L16" i="7"/>
  <c r="G71" i="7"/>
  <c r="G73" i="7" s="1"/>
  <c r="H71" i="7"/>
  <c r="L10" i="7"/>
  <c r="I74" i="8" l="1"/>
  <c r="K72" i="8"/>
  <c r="K74" i="8" s="1"/>
  <c r="K75" i="8" s="1"/>
  <c r="K76" i="8" s="1"/>
  <c r="K73" i="8"/>
  <c r="H73" i="8"/>
  <c r="H74" i="8" s="1"/>
  <c r="H75" i="8" s="1"/>
  <c r="H76" i="8" s="1"/>
  <c r="F75" i="8"/>
  <c r="F76" i="8" s="1"/>
  <c r="J75" i="8"/>
  <c r="J76" i="8" s="1"/>
  <c r="G72" i="8"/>
  <c r="G73" i="8"/>
  <c r="I75" i="8"/>
  <c r="I76" i="8" s="1"/>
  <c r="K72" i="7"/>
  <c r="K74" i="7" s="1"/>
  <c r="K75" i="7" s="1"/>
  <c r="K76" i="7" s="1"/>
  <c r="J73" i="7"/>
  <c r="J72" i="7"/>
  <c r="I73" i="7"/>
  <c r="I74" i="7" s="1"/>
  <c r="I75" i="7" s="1"/>
  <c r="I76" i="7" s="1"/>
  <c r="G72" i="7"/>
  <c r="G74" i="7" s="1"/>
  <c r="G75" i="7" s="1"/>
  <c r="G76" i="7" s="1"/>
  <c r="H72" i="7"/>
  <c r="H73" i="7"/>
  <c r="G74" i="8" l="1"/>
  <c r="G75" i="8" s="1"/>
  <c r="G76" i="8" s="1"/>
  <c r="J74" i="7"/>
  <c r="J75" i="7" s="1"/>
  <c r="J76" i="7" s="1"/>
  <c r="H74" i="7"/>
  <c r="H75" i="7" s="1"/>
  <c r="H76" i="7" s="1"/>
  <c r="F71" i="6"/>
  <c r="F72" i="6" s="1"/>
  <c r="K70" i="6"/>
  <c r="J70" i="6"/>
  <c r="I70" i="6"/>
  <c r="H70" i="6"/>
  <c r="G70" i="6"/>
  <c r="L70" i="6" s="1"/>
  <c r="K69" i="6"/>
  <c r="J69" i="6"/>
  <c r="I69" i="6"/>
  <c r="H69" i="6"/>
  <c r="G69" i="6"/>
  <c r="K68" i="6"/>
  <c r="J68" i="6"/>
  <c r="I68" i="6"/>
  <c r="H68" i="6"/>
  <c r="L68" i="6" s="1"/>
  <c r="G68" i="6"/>
  <c r="K66" i="6"/>
  <c r="J66" i="6"/>
  <c r="I66" i="6"/>
  <c r="H66" i="6"/>
  <c r="G66" i="6"/>
  <c r="K65" i="6"/>
  <c r="J65" i="6"/>
  <c r="I65" i="6"/>
  <c r="H65" i="6"/>
  <c r="G65" i="6"/>
  <c r="K64" i="6"/>
  <c r="J64" i="6"/>
  <c r="I64" i="6"/>
  <c r="H64" i="6"/>
  <c r="G64" i="6"/>
  <c r="L64" i="6" s="1"/>
  <c r="K63" i="6"/>
  <c r="J63" i="6"/>
  <c r="I63" i="6"/>
  <c r="H63" i="6"/>
  <c r="G63" i="6"/>
  <c r="K61" i="6"/>
  <c r="J61" i="6"/>
  <c r="I61" i="6"/>
  <c r="H61" i="6"/>
  <c r="G61" i="6"/>
  <c r="L61" i="6" s="1"/>
  <c r="K60" i="6"/>
  <c r="J60" i="6"/>
  <c r="I60" i="6"/>
  <c r="H60" i="6"/>
  <c r="G60" i="6"/>
  <c r="L60" i="6" s="1"/>
  <c r="K59" i="6"/>
  <c r="J59" i="6"/>
  <c r="I59" i="6"/>
  <c r="H59" i="6"/>
  <c r="G59" i="6"/>
  <c r="L59" i="6" s="1"/>
  <c r="K57" i="6"/>
  <c r="J57" i="6"/>
  <c r="I57" i="6"/>
  <c r="H57" i="6"/>
  <c r="L57" i="6" s="1"/>
  <c r="G57" i="6"/>
  <c r="K56" i="6"/>
  <c r="J56" i="6"/>
  <c r="I56" i="6"/>
  <c r="H56" i="6"/>
  <c r="G56" i="6"/>
  <c r="K55" i="6"/>
  <c r="J55" i="6"/>
  <c r="I55" i="6"/>
  <c r="H55" i="6"/>
  <c r="G55" i="6"/>
  <c r="K53" i="6"/>
  <c r="J53" i="6"/>
  <c r="I53" i="6"/>
  <c r="H53" i="6"/>
  <c r="G53" i="6"/>
  <c r="L53" i="6" s="1"/>
  <c r="K52" i="6"/>
  <c r="J52" i="6"/>
  <c r="I52" i="6"/>
  <c r="H52" i="6"/>
  <c r="G52" i="6"/>
  <c r="K51" i="6"/>
  <c r="J51" i="6"/>
  <c r="I51" i="6"/>
  <c r="L51" i="6" s="1"/>
  <c r="H51" i="6"/>
  <c r="G51" i="6"/>
  <c r="K49" i="6"/>
  <c r="J49" i="6"/>
  <c r="I49" i="6"/>
  <c r="H49" i="6"/>
  <c r="G49" i="6"/>
  <c r="L49" i="6" s="1"/>
  <c r="K48" i="6"/>
  <c r="J48" i="6"/>
  <c r="I48" i="6"/>
  <c r="H48" i="6"/>
  <c r="G48" i="6"/>
  <c r="K47" i="6"/>
  <c r="J47" i="6"/>
  <c r="I47" i="6"/>
  <c r="H47" i="6"/>
  <c r="G47" i="6"/>
  <c r="K46" i="6"/>
  <c r="J46" i="6"/>
  <c r="I46" i="6"/>
  <c r="H46" i="6"/>
  <c r="G46" i="6"/>
  <c r="K45" i="6"/>
  <c r="J45" i="6"/>
  <c r="I45" i="6"/>
  <c r="H45" i="6"/>
  <c r="G45" i="6"/>
  <c r="K44" i="6"/>
  <c r="J44" i="6"/>
  <c r="I44" i="6"/>
  <c r="H44" i="6"/>
  <c r="G44" i="6"/>
  <c r="K42" i="6"/>
  <c r="J42" i="6"/>
  <c r="I42" i="6"/>
  <c r="H42" i="6"/>
  <c r="G42" i="6"/>
  <c r="K41" i="6"/>
  <c r="J41" i="6"/>
  <c r="I41" i="6"/>
  <c r="L41" i="6" s="1"/>
  <c r="H41" i="6"/>
  <c r="G41" i="6"/>
  <c r="K38" i="6"/>
  <c r="J38" i="6"/>
  <c r="I38" i="6"/>
  <c r="H38" i="6"/>
  <c r="G38" i="6"/>
  <c r="K37" i="6"/>
  <c r="J37" i="6"/>
  <c r="I37" i="6"/>
  <c r="H37" i="6"/>
  <c r="G37" i="6"/>
  <c r="K35" i="6"/>
  <c r="J35" i="6"/>
  <c r="I35" i="6"/>
  <c r="H35" i="6"/>
  <c r="L35" i="6" s="1"/>
  <c r="G35" i="6"/>
  <c r="K34" i="6"/>
  <c r="J34" i="6"/>
  <c r="I34" i="6"/>
  <c r="H34" i="6"/>
  <c r="G34" i="6"/>
  <c r="K33" i="6"/>
  <c r="J33" i="6"/>
  <c r="I33" i="6"/>
  <c r="H33" i="6"/>
  <c r="G33" i="6"/>
  <c r="K32" i="6"/>
  <c r="J32" i="6"/>
  <c r="I32" i="6"/>
  <c r="H32" i="6"/>
  <c r="G32" i="6"/>
  <c r="L32" i="6" s="1"/>
  <c r="K30" i="6"/>
  <c r="J30" i="6"/>
  <c r="I30" i="6"/>
  <c r="H30" i="6"/>
  <c r="G30" i="6"/>
  <c r="K27" i="6"/>
  <c r="J27" i="6"/>
  <c r="I27" i="6"/>
  <c r="L27" i="6" s="1"/>
  <c r="H27" i="6"/>
  <c r="G27" i="6"/>
  <c r="K26" i="6"/>
  <c r="J26" i="6"/>
  <c r="I26" i="6"/>
  <c r="H26" i="6"/>
  <c r="G26" i="6"/>
  <c r="K25" i="6"/>
  <c r="J25" i="6"/>
  <c r="I25" i="6"/>
  <c r="H25" i="6"/>
  <c r="G25" i="6"/>
  <c r="L25" i="6" s="1"/>
  <c r="K24" i="6"/>
  <c r="J24" i="6"/>
  <c r="I24" i="6"/>
  <c r="H24" i="6"/>
  <c r="G24" i="6"/>
  <c r="K22" i="6"/>
  <c r="J22" i="6"/>
  <c r="I22" i="6"/>
  <c r="H22" i="6"/>
  <c r="G22" i="6"/>
  <c r="K21" i="6"/>
  <c r="J21" i="6"/>
  <c r="I21" i="6"/>
  <c r="H21" i="6"/>
  <c r="G21" i="6"/>
  <c r="K20" i="6"/>
  <c r="J20" i="6"/>
  <c r="I20" i="6"/>
  <c r="H20" i="6"/>
  <c r="G20" i="6"/>
  <c r="K18" i="6"/>
  <c r="J18" i="6"/>
  <c r="I18" i="6"/>
  <c r="H18" i="6"/>
  <c r="G18" i="6"/>
  <c r="K16" i="6"/>
  <c r="J16" i="6"/>
  <c r="I16" i="6"/>
  <c r="H16" i="6"/>
  <c r="G16" i="6"/>
  <c r="K15" i="6"/>
  <c r="J15" i="6"/>
  <c r="I15" i="6"/>
  <c r="H15" i="6"/>
  <c r="G15" i="6"/>
  <c r="L15" i="6" s="1"/>
  <c r="K11" i="6"/>
  <c r="J11" i="6"/>
  <c r="I11" i="6"/>
  <c r="H11" i="6"/>
  <c r="G11" i="6"/>
  <c r="K10" i="6"/>
  <c r="J10" i="6"/>
  <c r="I10" i="6"/>
  <c r="H10" i="6"/>
  <c r="G10" i="6"/>
  <c r="L69" i="6" l="1"/>
  <c r="L66" i="6"/>
  <c r="L65" i="6"/>
  <c r="L63" i="6"/>
  <c r="L56" i="6"/>
  <c r="L55" i="6"/>
  <c r="L52" i="6"/>
  <c r="L44" i="6"/>
  <c r="L47" i="6"/>
  <c r="L46" i="6"/>
  <c r="L48" i="6"/>
  <c r="L45" i="6"/>
  <c r="L42" i="6"/>
  <c r="L38" i="6"/>
  <c r="L37" i="6"/>
  <c r="L34" i="6"/>
  <c r="L33" i="6"/>
  <c r="L30" i="6"/>
  <c r="L26" i="6"/>
  <c r="L24" i="6"/>
  <c r="H71" i="6"/>
  <c r="H72" i="6" s="1"/>
  <c r="L20" i="6"/>
  <c r="K71" i="6"/>
  <c r="K72" i="6" s="1"/>
  <c r="L22" i="6"/>
  <c r="L21" i="6"/>
  <c r="L18" i="6"/>
  <c r="J71" i="6"/>
  <c r="J73" i="6" s="1"/>
  <c r="I71" i="6"/>
  <c r="I72" i="6" s="1"/>
  <c r="G71" i="6"/>
  <c r="G72" i="6" s="1"/>
  <c r="L16" i="6"/>
  <c r="L11" i="6"/>
  <c r="L10" i="6"/>
  <c r="F73" i="6"/>
  <c r="F74" i="6" s="1"/>
  <c r="F75" i="6" s="1"/>
  <c r="F76" i="6" s="1"/>
  <c r="K73" i="6" l="1"/>
  <c r="K74" i="6" s="1"/>
  <c r="K75" i="6" s="1"/>
  <c r="K76" i="6" s="1"/>
  <c r="J72" i="6"/>
  <c r="H73" i="6"/>
  <c r="H74" i="6" s="1"/>
  <c r="H75" i="6" s="1"/>
  <c r="H76" i="6" s="1"/>
  <c r="G73" i="6"/>
  <c r="G74" i="6" s="1"/>
  <c r="G75" i="6" s="1"/>
  <c r="G76" i="6" s="1"/>
  <c r="I73" i="6"/>
  <c r="I74" i="6" s="1"/>
  <c r="I75" i="6" s="1"/>
  <c r="I76" i="6" s="1"/>
  <c r="J74" i="6"/>
  <c r="J75" i="6" s="1"/>
  <c r="J76" i="6" s="1"/>
  <c r="H70" i="5" l="1"/>
  <c r="G70" i="5"/>
  <c r="K69" i="5"/>
  <c r="J69" i="5"/>
  <c r="I69" i="5"/>
  <c r="K63" i="5"/>
  <c r="J63" i="5"/>
  <c r="H63" i="5"/>
  <c r="G63" i="5"/>
  <c r="K61" i="5"/>
  <c r="J61" i="5"/>
  <c r="I61" i="5"/>
  <c r="H61" i="5"/>
  <c r="G61" i="5"/>
  <c r="H60" i="5"/>
  <c r="G60" i="5"/>
  <c r="K59" i="5"/>
  <c r="J59" i="5"/>
  <c r="I59" i="5"/>
  <c r="G53" i="5"/>
  <c r="K52" i="5"/>
  <c r="J52" i="5"/>
  <c r="H52" i="5"/>
  <c r="G52" i="5"/>
  <c r="K51" i="5"/>
  <c r="J51" i="5"/>
  <c r="I51" i="5"/>
  <c r="H51" i="5"/>
  <c r="G51" i="5"/>
  <c r="H49" i="5"/>
  <c r="G49" i="5"/>
  <c r="K48" i="5"/>
  <c r="J48" i="5"/>
  <c r="I48" i="5"/>
  <c r="G44" i="5"/>
  <c r="K42" i="5"/>
  <c r="J42" i="5"/>
  <c r="H42" i="5"/>
  <c r="G42" i="5"/>
  <c r="K41" i="5"/>
  <c r="J41" i="5"/>
  <c r="I41" i="5"/>
  <c r="H41" i="5"/>
  <c r="G41" i="5"/>
  <c r="H38" i="5"/>
  <c r="G38" i="5"/>
  <c r="K37" i="5"/>
  <c r="J37" i="5"/>
  <c r="I37" i="5"/>
  <c r="G32" i="5"/>
  <c r="K30" i="5"/>
  <c r="J30" i="5"/>
  <c r="H30" i="5"/>
  <c r="G30" i="5"/>
  <c r="K27" i="5"/>
  <c r="J27" i="5"/>
  <c r="I27" i="5"/>
  <c r="H27" i="5"/>
  <c r="G27" i="5"/>
  <c r="H26" i="5"/>
  <c r="G26" i="5"/>
  <c r="K25" i="5"/>
  <c r="J25" i="5"/>
  <c r="I25" i="5"/>
  <c r="G20" i="5"/>
  <c r="K18" i="5"/>
  <c r="J18" i="5"/>
  <c r="H18" i="5"/>
  <c r="G18" i="5"/>
  <c r="K16" i="5"/>
  <c r="J16" i="5"/>
  <c r="I16" i="5"/>
  <c r="H16" i="5"/>
  <c r="G16" i="5"/>
  <c r="H15" i="5"/>
  <c r="G15" i="5"/>
  <c r="G11" i="5"/>
  <c r="H11" i="5"/>
  <c r="I11" i="5"/>
  <c r="J70" i="5"/>
  <c r="H69" i="5"/>
  <c r="H68" i="5"/>
  <c r="G65" i="5"/>
  <c r="H64" i="5"/>
  <c r="I63" i="5"/>
  <c r="K60" i="5"/>
  <c r="H59" i="5"/>
  <c r="H57" i="5"/>
  <c r="G55" i="5"/>
  <c r="H53" i="5"/>
  <c r="I52" i="5"/>
  <c r="K49" i="5"/>
  <c r="H48" i="5"/>
  <c r="G45" i="5"/>
  <c r="H44" i="5"/>
  <c r="I42" i="5"/>
  <c r="K38" i="5"/>
  <c r="H37" i="5"/>
  <c r="I35" i="5"/>
  <c r="G33" i="5"/>
  <c r="H32" i="5"/>
  <c r="I30" i="5"/>
  <c r="K26" i="5"/>
  <c r="H25" i="5"/>
  <c r="G24" i="5"/>
  <c r="G21" i="5"/>
  <c r="H20" i="5"/>
  <c r="I18" i="5"/>
  <c r="K15" i="5"/>
  <c r="J11" i="5"/>
  <c r="H10" i="5"/>
  <c r="G64" i="5" l="1"/>
  <c r="K47" i="5"/>
  <c r="J47" i="5"/>
  <c r="I24" i="5"/>
  <c r="I47" i="5"/>
  <c r="I57" i="5"/>
  <c r="K35" i="5"/>
  <c r="J35" i="5"/>
  <c r="H21" i="5"/>
  <c r="H33" i="5"/>
  <c r="H45" i="5"/>
  <c r="H55" i="5"/>
  <c r="H65" i="5"/>
  <c r="K68" i="5"/>
  <c r="J68" i="5"/>
  <c r="I68" i="5"/>
  <c r="H47" i="5"/>
  <c r="I21" i="5"/>
  <c r="I33" i="5"/>
  <c r="I45" i="5"/>
  <c r="I55" i="5"/>
  <c r="I65" i="5"/>
  <c r="G57" i="5"/>
  <c r="H35" i="5"/>
  <c r="K44" i="5"/>
  <c r="J44" i="5"/>
  <c r="I44" i="5"/>
  <c r="J21" i="5"/>
  <c r="J33" i="5"/>
  <c r="J45" i="5"/>
  <c r="J55" i="5"/>
  <c r="J65" i="5"/>
  <c r="K24" i="5"/>
  <c r="J24" i="5"/>
  <c r="G35" i="5"/>
  <c r="K32" i="5"/>
  <c r="J32" i="5"/>
  <c r="I32" i="5"/>
  <c r="K64" i="5"/>
  <c r="J64" i="5"/>
  <c r="I64" i="5"/>
  <c r="K21" i="5"/>
  <c r="K33" i="5"/>
  <c r="K45" i="5"/>
  <c r="K55" i="5"/>
  <c r="K65" i="5"/>
  <c r="K57" i="5"/>
  <c r="J57" i="5"/>
  <c r="G47" i="5"/>
  <c r="G68" i="5"/>
  <c r="H24" i="5"/>
  <c r="K20" i="5"/>
  <c r="J20" i="5"/>
  <c r="I20" i="5"/>
  <c r="K53" i="5"/>
  <c r="J53" i="5"/>
  <c r="I53" i="5"/>
  <c r="J22" i="5"/>
  <c r="I22" i="5"/>
  <c r="H22" i="5"/>
  <c r="G22" i="5"/>
  <c r="J34" i="5"/>
  <c r="I34" i="5"/>
  <c r="H34" i="5"/>
  <c r="G34" i="5"/>
  <c r="J46" i="5"/>
  <c r="I46" i="5"/>
  <c r="H46" i="5"/>
  <c r="G46" i="5"/>
  <c r="J56" i="5"/>
  <c r="I56" i="5"/>
  <c r="H56" i="5"/>
  <c r="G56" i="5"/>
  <c r="J66" i="5"/>
  <c r="I66" i="5"/>
  <c r="H66" i="5"/>
  <c r="G66" i="5"/>
  <c r="K22" i="5"/>
  <c r="K34" i="5"/>
  <c r="K46" i="5"/>
  <c r="K56" i="5"/>
  <c r="K66" i="5"/>
  <c r="I15" i="5"/>
  <c r="I26" i="5"/>
  <c r="I38" i="5"/>
  <c r="I49" i="5"/>
  <c r="I60" i="5"/>
  <c r="I70" i="5"/>
  <c r="K11" i="5"/>
  <c r="J15" i="5"/>
  <c r="G25" i="5"/>
  <c r="J26" i="5"/>
  <c r="G37" i="5"/>
  <c r="J38" i="5"/>
  <c r="G48" i="5"/>
  <c r="J49" i="5"/>
  <c r="G59" i="5"/>
  <c r="J60" i="5"/>
  <c r="G69" i="5"/>
  <c r="L69" i="5" s="1"/>
  <c r="K70" i="5"/>
  <c r="K10" i="5"/>
  <c r="J10" i="5"/>
  <c r="I10" i="5"/>
  <c r="L63" i="5"/>
  <c r="G10" i="5"/>
  <c r="L51" i="5"/>
  <c r="L70" i="5"/>
  <c r="C8" i="3"/>
  <c r="C9" i="3"/>
  <c r="C10" i="3"/>
  <c r="C11" i="3"/>
  <c r="C7" i="3"/>
  <c r="E10" i="2"/>
  <c r="J10" i="2"/>
  <c r="L10" i="2"/>
  <c r="N10" i="2" s="1"/>
  <c r="Q10" i="2"/>
  <c r="E11" i="2"/>
  <c r="J11" i="2"/>
  <c r="L11" i="2"/>
  <c r="N11" i="2"/>
  <c r="Q11" i="2"/>
  <c r="E15" i="2"/>
  <c r="J15" i="2"/>
  <c r="K15" i="2"/>
  <c r="L15" i="2"/>
  <c r="N15" i="2" s="1"/>
  <c r="Q15" i="2"/>
  <c r="F15" i="2" s="1"/>
  <c r="E16" i="2"/>
  <c r="J16" i="2"/>
  <c r="L16" i="2"/>
  <c r="N16" i="2" s="1"/>
  <c r="Q16" i="2"/>
  <c r="R16" i="2" s="1"/>
  <c r="E18" i="2"/>
  <c r="J18" i="2"/>
  <c r="L18" i="2"/>
  <c r="N18" i="2" s="1"/>
  <c r="Q18" i="2"/>
  <c r="F18" i="2" s="1"/>
  <c r="E20" i="2"/>
  <c r="J20" i="2"/>
  <c r="K20" i="2"/>
  <c r="L20" i="2"/>
  <c r="N20" i="2" s="1"/>
  <c r="Q20" i="2"/>
  <c r="F20" i="2" s="1"/>
  <c r="G20" i="2" s="1"/>
  <c r="E21" i="2"/>
  <c r="J21" i="2"/>
  <c r="L21" i="2"/>
  <c r="N21" i="2"/>
  <c r="Q21" i="2"/>
  <c r="F21" i="2" s="1"/>
  <c r="E22" i="2"/>
  <c r="K22" i="2" s="1"/>
  <c r="J22" i="2"/>
  <c r="L22" i="2"/>
  <c r="N22" i="2" s="1"/>
  <c r="Q22" i="2"/>
  <c r="F22" i="2" s="1"/>
  <c r="E23" i="2"/>
  <c r="J23" i="2"/>
  <c r="K23" i="2"/>
  <c r="L23" i="2"/>
  <c r="N23" i="2" s="1"/>
  <c r="Q23" i="2"/>
  <c r="F23" i="2" s="1"/>
  <c r="G23" i="2" s="1"/>
  <c r="E24" i="2"/>
  <c r="F24" i="2"/>
  <c r="G24" i="2" s="1"/>
  <c r="J24" i="2"/>
  <c r="L24" i="2"/>
  <c r="N24" i="2" s="1"/>
  <c r="O24" i="2"/>
  <c r="Q24" i="2"/>
  <c r="E25" i="2"/>
  <c r="K25" i="2" s="1"/>
  <c r="J25" i="2"/>
  <c r="L25" i="2"/>
  <c r="N25" i="2" s="1"/>
  <c r="Q25" i="2"/>
  <c r="F25" i="2" s="1"/>
  <c r="G25" i="2" s="1"/>
  <c r="R25" i="2"/>
  <c r="E26" i="2"/>
  <c r="J26" i="2"/>
  <c r="L26" i="2"/>
  <c r="N26" i="2" s="1"/>
  <c r="Q26" i="2"/>
  <c r="F26" i="2" s="1"/>
  <c r="E27" i="2"/>
  <c r="J27" i="2"/>
  <c r="L27" i="2"/>
  <c r="N27" i="2" s="1"/>
  <c r="Q27" i="2"/>
  <c r="E28" i="2"/>
  <c r="J28" i="2"/>
  <c r="K28" i="2"/>
  <c r="L28" i="2"/>
  <c r="N28" i="2" s="1"/>
  <c r="Q28" i="2"/>
  <c r="F28" i="2" s="1"/>
  <c r="G28" i="2" s="1"/>
  <c r="E29" i="2"/>
  <c r="F29" i="2"/>
  <c r="J29" i="2"/>
  <c r="L29" i="2"/>
  <c r="N29" i="2"/>
  <c r="Q29" i="2"/>
  <c r="O29" i="2" s="1"/>
  <c r="P29" i="2" s="1"/>
  <c r="E30" i="2"/>
  <c r="K30" i="2" s="1"/>
  <c r="J30" i="2"/>
  <c r="L30" i="2"/>
  <c r="N30" i="2" s="1"/>
  <c r="Q30" i="2"/>
  <c r="F30" i="2" s="1"/>
  <c r="E31" i="2"/>
  <c r="J31" i="2"/>
  <c r="K31" i="2"/>
  <c r="L31" i="2"/>
  <c r="N31" i="2" s="1"/>
  <c r="Q31" i="2"/>
  <c r="F31" i="2" s="1"/>
  <c r="G31" i="2" s="1"/>
  <c r="E32" i="2"/>
  <c r="F32" i="2"/>
  <c r="G32" i="2" s="1"/>
  <c r="J32" i="2"/>
  <c r="L32" i="2"/>
  <c r="N32" i="2" s="1"/>
  <c r="Q32" i="2"/>
  <c r="E33" i="2"/>
  <c r="K33" i="2" s="1"/>
  <c r="J33" i="2"/>
  <c r="L33" i="2"/>
  <c r="N33" i="2" s="1"/>
  <c r="Q33" i="2"/>
  <c r="F33" i="2" s="1"/>
  <c r="G33" i="2" s="1"/>
  <c r="E34" i="2"/>
  <c r="J34" i="2"/>
  <c r="L34" i="2"/>
  <c r="N34" i="2" s="1"/>
  <c r="Q34" i="2"/>
  <c r="F34" i="2" s="1"/>
  <c r="E35" i="2"/>
  <c r="J35" i="2"/>
  <c r="L35" i="2"/>
  <c r="N35" i="2"/>
  <c r="Q35" i="2"/>
  <c r="R35" i="2" s="1"/>
  <c r="E36" i="2"/>
  <c r="J36" i="2"/>
  <c r="K36" i="2"/>
  <c r="L36" i="2"/>
  <c r="N36" i="2" s="1"/>
  <c r="Q36" i="2"/>
  <c r="F36" i="2" s="1"/>
  <c r="G36" i="2" s="1"/>
  <c r="E37" i="2"/>
  <c r="F37" i="2"/>
  <c r="J37" i="2"/>
  <c r="L37" i="2"/>
  <c r="R37" i="2" s="1"/>
  <c r="O37" i="2"/>
  <c r="Q37" i="2"/>
  <c r="E38" i="2"/>
  <c r="J38" i="2"/>
  <c r="K38" i="2" s="1"/>
  <c r="L38" i="2"/>
  <c r="N38" i="2" s="1"/>
  <c r="Q38" i="2"/>
  <c r="F38" i="2" s="1"/>
  <c r="R38" i="2"/>
  <c r="E39" i="2"/>
  <c r="J39" i="2"/>
  <c r="K39" i="2"/>
  <c r="L39" i="2"/>
  <c r="N39" i="2" s="1"/>
  <c r="Q39" i="2"/>
  <c r="F39" i="2" s="1"/>
  <c r="G39" i="2" s="1"/>
  <c r="E40" i="2"/>
  <c r="J40" i="2"/>
  <c r="L40" i="2"/>
  <c r="Q40" i="2"/>
  <c r="F40" i="2" s="1"/>
  <c r="G40" i="2" s="1"/>
  <c r="E41" i="2"/>
  <c r="K41" i="2" s="1"/>
  <c r="J41" i="2"/>
  <c r="L41" i="2"/>
  <c r="N41" i="2" s="1"/>
  <c r="Q41" i="2"/>
  <c r="F41" i="2" s="1"/>
  <c r="G41" i="2" s="1"/>
  <c r="E42" i="2"/>
  <c r="J42" i="2"/>
  <c r="L42" i="2"/>
  <c r="N42" i="2" s="1"/>
  <c r="Q42" i="2"/>
  <c r="F42" i="2" s="1"/>
  <c r="E43" i="2"/>
  <c r="J43" i="2"/>
  <c r="L43" i="2"/>
  <c r="N43" i="2"/>
  <c r="Q43" i="2"/>
  <c r="R43" i="2" s="1"/>
  <c r="E44" i="2"/>
  <c r="J44" i="2"/>
  <c r="K44" i="2"/>
  <c r="L44" i="2"/>
  <c r="N44" i="2" s="1"/>
  <c r="Q44" i="2"/>
  <c r="F44" i="2" s="1"/>
  <c r="E45" i="2"/>
  <c r="F45" i="2"/>
  <c r="H45" i="2" s="1"/>
  <c r="J45" i="2"/>
  <c r="L45" i="2"/>
  <c r="R45" i="2" s="1"/>
  <c r="O45" i="2"/>
  <c r="P45" i="2" s="1"/>
  <c r="Q45" i="2"/>
  <c r="E46" i="2"/>
  <c r="J46" i="2"/>
  <c r="K46" i="2"/>
  <c r="L46" i="2"/>
  <c r="N46" i="2" s="1"/>
  <c r="Q46" i="2"/>
  <c r="F46" i="2" s="1"/>
  <c r="E47" i="2"/>
  <c r="J47" i="2"/>
  <c r="K47" i="2"/>
  <c r="L47" i="2"/>
  <c r="Q47" i="2"/>
  <c r="F47" i="2" s="1"/>
  <c r="G47" i="2" s="1"/>
  <c r="E48" i="2"/>
  <c r="K48" i="2" s="1"/>
  <c r="F48" i="2"/>
  <c r="G48" i="2" s="1"/>
  <c r="J48" i="2"/>
  <c r="L48" i="2"/>
  <c r="Q48" i="2"/>
  <c r="O48" i="2" s="1"/>
  <c r="P48" i="2" s="1"/>
  <c r="E49" i="2"/>
  <c r="K49" i="2" s="1"/>
  <c r="J49" i="2"/>
  <c r="L49" i="2"/>
  <c r="N49" i="2" s="1"/>
  <c r="Q49" i="2"/>
  <c r="F49" i="2" s="1"/>
  <c r="G49" i="2" s="1"/>
  <c r="R49" i="2"/>
  <c r="E50" i="2"/>
  <c r="J50" i="2"/>
  <c r="L50" i="2"/>
  <c r="N50" i="2"/>
  <c r="Q50" i="2"/>
  <c r="F50" i="2" s="1"/>
  <c r="E51" i="2"/>
  <c r="J51" i="2"/>
  <c r="L51" i="2"/>
  <c r="N51" i="2" s="1"/>
  <c r="Q51" i="2"/>
  <c r="E52" i="2"/>
  <c r="J52" i="2"/>
  <c r="K52" i="2"/>
  <c r="L52" i="2"/>
  <c r="N52" i="2" s="1"/>
  <c r="Q52" i="2"/>
  <c r="F52" i="2" s="1"/>
  <c r="E53" i="2"/>
  <c r="F53" i="2"/>
  <c r="H53" i="2" s="1"/>
  <c r="J53" i="2"/>
  <c r="L53" i="2"/>
  <c r="N53" i="2" s="1"/>
  <c r="O53" i="2"/>
  <c r="Q53" i="2"/>
  <c r="R53" i="2" s="1"/>
  <c r="E54" i="2"/>
  <c r="J54" i="2"/>
  <c r="K54" i="2"/>
  <c r="L54" i="2"/>
  <c r="N54" i="2" s="1"/>
  <c r="Q54" i="2"/>
  <c r="F54" i="2" s="1"/>
  <c r="R54" i="2"/>
  <c r="E55" i="2"/>
  <c r="J55" i="2"/>
  <c r="K55" i="2"/>
  <c r="L55" i="2"/>
  <c r="Q55" i="2"/>
  <c r="F55" i="2" s="1"/>
  <c r="G55" i="2" s="1"/>
  <c r="E56" i="2"/>
  <c r="K56" i="2" s="1"/>
  <c r="F56" i="2"/>
  <c r="G56" i="2" s="1"/>
  <c r="J56" i="2"/>
  <c r="L56" i="2"/>
  <c r="R56" i="2" s="1"/>
  <c r="Q56" i="2"/>
  <c r="O56" i="2" s="1"/>
  <c r="E57" i="2"/>
  <c r="K57" i="2" s="1"/>
  <c r="J57" i="2"/>
  <c r="L57" i="2"/>
  <c r="N57" i="2" s="1"/>
  <c r="Q57" i="2"/>
  <c r="F57" i="2" s="1"/>
  <c r="G57" i="2" s="1"/>
  <c r="E58" i="2"/>
  <c r="J58" i="2"/>
  <c r="L58" i="2"/>
  <c r="N58" i="2" s="1"/>
  <c r="Q58" i="2"/>
  <c r="F58" i="2" s="1"/>
  <c r="E59" i="2"/>
  <c r="J59" i="2"/>
  <c r="L59" i="2"/>
  <c r="N59" i="2" s="1"/>
  <c r="Q59" i="2"/>
  <c r="E60" i="2"/>
  <c r="J60" i="2"/>
  <c r="K60" i="2"/>
  <c r="L60" i="2"/>
  <c r="N60" i="2" s="1"/>
  <c r="Q60" i="2"/>
  <c r="F60" i="2" s="1"/>
  <c r="E61" i="2"/>
  <c r="J61" i="2"/>
  <c r="L61" i="2"/>
  <c r="N61" i="2" s="1"/>
  <c r="Q61" i="2"/>
  <c r="E62" i="2"/>
  <c r="J62" i="2"/>
  <c r="K62" i="2"/>
  <c r="L62" i="2"/>
  <c r="N62" i="2" s="1"/>
  <c r="Q62" i="2"/>
  <c r="F62" i="2" s="1"/>
  <c r="R62" i="2"/>
  <c r="E63" i="2"/>
  <c r="F63" i="2"/>
  <c r="G63" i="2" s="1"/>
  <c r="J63" i="2"/>
  <c r="K63" i="2"/>
  <c r="L63" i="2"/>
  <c r="Q63" i="2"/>
  <c r="O63" i="2" s="1"/>
  <c r="E64" i="2"/>
  <c r="K64" i="2" s="1"/>
  <c r="F64" i="2"/>
  <c r="G64" i="2" s="1"/>
  <c r="J64" i="2"/>
  <c r="L64" i="2"/>
  <c r="R64" i="2" s="1"/>
  <c r="O64" i="2"/>
  <c r="Q64" i="2"/>
  <c r="E65" i="2"/>
  <c r="J65" i="2"/>
  <c r="L65" i="2"/>
  <c r="N65" i="2" s="1"/>
  <c r="Q65" i="2"/>
  <c r="F65" i="2" s="1"/>
  <c r="G65" i="2" s="1"/>
  <c r="E66" i="2"/>
  <c r="J66" i="2"/>
  <c r="L66" i="2"/>
  <c r="N66" i="2" s="1"/>
  <c r="Q66" i="2"/>
  <c r="F66" i="2" s="1"/>
  <c r="E67" i="2"/>
  <c r="J67" i="2"/>
  <c r="L67" i="2"/>
  <c r="N67" i="2" s="1"/>
  <c r="Q67" i="2"/>
  <c r="E68" i="2"/>
  <c r="J68" i="2"/>
  <c r="K68" i="2"/>
  <c r="L68" i="2"/>
  <c r="N68" i="2" s="1"/>
  <c r="Q68" i="2"/>
  <c r="F68" i="2" s="1"/>
  <c r="E69" i="2"/>
  <c r="J69" i="2"/>
  <c r="L69" i="2"/>
  <c r="N69" i="2" s="1"/>
  <c r="Q69" i="2"/>
  <c r="E70" i="2"/>
  <c r="J70" i="2"/>
  <c r="K70" i="2"/>
  <c r="L70" i="2"/>
  <c r="N70" i="2" s="1"/>
  <c r="Q70" i="2"/>
  <c r="O70" i="2" s="1"/>
  <c r="R70" i="2"/>
  <c r="T10" i="1"/>
  <c r="K22" i="1"/>
  <c r="H36" i="2" l="1"/>
  <c r="I36" i="2" s="1"/>
  <c r="C6" i="10"/>
  <c r="C10" i="10"/>
  <c r="C8" i="10"/>
  <c r="R69" i="2"/>
  <c r="P70" i="2"/>
  <c r="P63" i="2"/>
  <c r="R61" i="2"/>
  <c r="P53" i="2"/>
  <c r="N45" i="2"/>
  <c r="N37" i="2"/>
  <c r="R32" i="2"/>
  <c r="R27" i="2"/>
  <c r="R24" i="2"/>
  <c r="P24" i="2"/>
  <c r="R11" i="2"/>
  <c r="H44" i="2"/>
  <c r="I44" i="2" s="1"/>
  <c r="H11" i="3"/>
  <c r="G44" i="2"/>
  <c r="H37" i="2"/>
  <c r="I37" i="2" s="1"/>
  <c r="H33" i="2"/>
  <c r="I33" i="2" s="1"/>
  <c r="H26" i="2"/>
  <c r="G26" i="2"/>
  <c r="H8" i="3"/>
  <c r="G18" i="2"/>
  <c r="H42" i="2"/>
  <c r="O39" i="2"/>
  <c r="O55" i="2"/>
  <c r="P55" i="2" s="1"/>
  <c r="H50" i="2"/>
  <c r="O47" i="2"/>
  <c r="P47" i="2" s="1"/>
  <c r="G42" i="2"/>
  <c r="O40" i="2"/>
  <c r="P40" i="2" s="1"/>
  <c r="H24" i="2"/>
  <c r="I24" i="2" s="1"/>
  <c r="O16" i="2"/>
  <c r="P16" i="2" s="1"/>
  <c r="O21" i="2"/>
  <c r="P21" i="2" s="1"/>
  <c r="H68" i="2"/>
  <c r="G60" i="2"/>
  <c r="G45" i="2"/>
  <c r="R41" i="2"/>
  <c r="R40" i="2"/>
  <c r="G37" i="2"/>
  <c r="R33" i="2"/>
  <c r="O32" i="2"/>
  <c r="P32" i="2" s="1"/>
  <c r="R22" i="2"/>
  <c r="R21" i="2"/>
  <c r="H15" i="2"/>
  <c r="I15" i="2" s="1"/>
  <c r="O10" i="2"/>
  <c r="P10" i="2" s="1"/>
  <c r="G68" i="2"/>
  <c r="F61" i="2"/>
  <c r="H61" i="2" s="1"/>
  <c r="I61" i="2" s="1"/>
  <c r="H40" i="2"/>
  <c r="I40" i="2" s="1"/>
  <c r="G29" i="2"/>
  <c r="H65" i="2"/>
  <c r="I65" i="2" s="1"/>
  <c r="H28" i="2"/>
  <c r="I28" i="2" s="1"/>
  <c r="G15" i="2"/>
  <c r="F69" i="2"/>
  <c r="H69" i="2" s="1"/>
  <c r="R57" i="2"/>
  <c r="H56" i="2"/>
  <c r="I56" i="2" s="1"/>
  <c r="H55" i="2"/>
  <c r="I55" i="2" s="1"/>
  <c r="H48" i="2"/>
  <c r="I48" i="2" s="1"/>
  <c r="H47" i="2"/>
  <c r="I47" i="2" s="1"/>
  <c r="H32" i="2"/>
  <c r="I32" i="2" s="1"/>
  <c r="R29" i="2"/>
  <c r="O61" i="2"/>
  <c r="P61" i="2" s="1"/>
  <c r="O69" i="2"/>
  <c r="P69" i="2" s="1"/>
  <c r="R48" i="2"/>
  <c r="H39" i="2"/>
  <c r="I39" i="2" s="1"/>
  <c r="H25" i="2"/>
  <c r="I25" i="2" s="1"/>
  <c r="H21" i="2"/>
  <c r="R65" i="2"/>
  <c r="H64" i="2"/>
  <c r="I64" i="2" s="1"/>
  <c r="H63" i="2"/>
  <c r="I63" i="2" s="1"/>
  <c r="H41" i="2"/>
  <c r="I41" i="2" s="1"/>
  <c r="H29" i="2"/>
  <c r="I29" i="2" s="1"/>
  <c r="G21" i="2"/>
  <c r="H18" i="2"/>
  <c r="I18" i="2" s="1"/>
  <c r="F16" i="2"/>
  <c r="P64" i="2"/>
  <c r="R46" i="2"/>
  <c r="P56" i="2"/>
  <c r="P37" i="2"/>
  <c r="R30" i="2"/>
  <c r="C9" i="10"/>
  <c r="C7" i="10"/>
  <c r="L65" i="5"/>
  <c r="L66" i="5"/>
  <c r="L68" i="5"/>
  <c r="L21" i="5"/>
  <c r="L47" i="5"/>
  <c r="L64" i="5"/>
  <c r="J71" i="5"/>
  <c r="K71" i="5"/>
  <c r="I71" i="5"/>
  <c r="L10" i="5"/>
  <c r="L55" i="5"/>
  <c r="L60" i="5"/>
  <c r="L26" i="5"/>
  <c r="L59" i="5"/>
  <c r="L11" i="5"/>
  <c r="L35" i="5"/>
  <c r="L57" i="5"/>
  <c r="L24" i="5"/>
  <c r="L42" i="5"/>
  <c r="L49" i="5"/>
  <c r="L45" i="5"/>
  <c r="L46" i="5"/>
  <c r="L61" i="5"/>
  <c r="L53" i="5"/>
  <c r="L32" i="5"/>
  <c r="L52" i="5"/>
  <c r="L15" i="5"/>
  <c r="L56" i="5"/>
  <c r="L33" i="5"/>
  <c r="L34" i="5"/>
  <c r="L48" i="5"/>
  <c r="L25" i="5"/>
  <c r="L18" i="5"/>
  <c r="L38" i="5"/>
  <c r="L27" i="5"/>
  <c r="L44" i="5"/>
  <c r="L20" i="5"/>
  <c r="L30" i="5"/>
  <c r="L22" i="5"/>
  <c r="L41" i="5"/>
  <c r="L16" i="5"/>
  <c r="L37" i="5"/>
  <c r="G53" i="2"/>
  <c r="H62" i="2"/>
  <c r="I62" i="2" s="1"/>
  <c r="G62" i="2"/>
  <c r="G50" i="2"/>
  <c r="I50" i="2"/>
  <c r="K50" i="2"/>
  <c r="H60" i="2"/>
  <c r="H57" i="2"/>
  <c r="I57" i="2" s="1"/>
  <c r="H38" i="2"/>
  <c r="I38" i="2" s="1"/>
  <c r="G38" i="2"/>
  <c r="H34" i="2"/>
  <c r="I34" i="2" s="1"/>
  <c r="G34" i="2"/>
  <c r="H23" i="2"/>
  <c r="I23" i="2" s="1"/>
  <c r="H46" i="2"/>
  <c r="I46" i="2" s="1"/>
  <c r="G46" i="2"/>
  <c r="K65" i="2"/>
  <c r="R67" i="2"/>
  <c r="F67" i="2"/>
  <c r="O67" i="2"/>
  <c r="P67" i="2" s="1"/>
  <c r="H66" i="2"/>
  <c r="I66" i="2" s="1"/>
  <c r="N63" i="2"/>
  <c r="R63" i="2"/>
  <c r="R59" i="2"/>
  <c r="F59" i="2"/>
  <c r="O59" i="2"/>
  <c r="P59" i="2" s="1"/>
  <c r="H54" i="2"/>
  <c r="I54" i="2" s="1"/>
  <c r="G54" i="2"/>
  <c r="H20" i="2"/>
  <c r="I20" i="2" s="1"/>
  <c r="R51" i="2"/>
  <c r="F51" i="2"/>
  <c r="O51" i="2"/>
  <c r="P51" i="2" s="1"/>
  <c r="H30" i="2"/>
  <c r="I30" i="2" s="1"/>
  <c r="G30" i="2"/>
  <c r="N47" i="2"/>
  <c r="H9" i="3" s="1"/>
  <c r="R47" i="2"/>
  <c r="G69" i="2"/>
  <c r="G66" i="2"/>
  <c r="K66" i="2"/>
  <c r="H58" i="2"/>
  <c r="I58" i="2" s="1"/>
  <c r="H52" i="2"/>
  <c r="I52" i="2" s="1"/>
  <c r="H49" i="2"/>
  <c r="I49" i="2" s="1"/>
  <c r="H31" i="2"/>
  <c r="I31" i="2" s="1"/>
  <c r="H10" i="2"/>
  <c r="I10" i="2" s="1"/>
  <c r="G58" i="2"/>
  <c r="K58" i="2"/>
  <c r="N55" i="2"/>
  <c r="R55" i="2"/>
  <c r="G52" i="2"/>
  <c r="H22" i="2"/>
  <c r="I22" i="2" s="1"/>
  <c r="G22" i="2"/>
  <c r="G10" i="2"/>
  <c r="R68" i="2"/>
  <c r="I68" i="2"/>
  <c r="N64" i="2"/>
  <c r="R60" i="2"/>
  <c r="I60" i="2"/>
  <c r="N56" i="2"/>
  <c r="R52" i="2"/>
  <c r="N48" i="2"/>
  <c r="R44" i="2"/>
  <c r="O43" i="2"/>
  <c r="P43" i="2" s="1"/>
  <c r="F43" i="2"/>
  <c r="K42" i="2"/>
  <c r="N40" i="2"/>
  <c r="R36" i="2"/>
  <c r="O35" i="2"/>
  <c r="P35" i="2" s="1"/>
  <c r="F35" i="2"/>
  <c r="K34" i="2"/>
  <c r="R28" i="2"/>
  <c r="O27" i="2"/>
  <c r="P27" i="2" s="1"/>
  <c r="F27" i="2"/>
  <c r="K26" i="2"/>
  <c r="R20" i="2"/>
  <c r="K18" i="2"/>
  <c r="O11" i="2"/>
  <c r="P11" i="2" s="1"/>
  <c r="F11" i="2"/>
  <c r="K10" i="2"/>
  <c r="F70" i="2"/>
  <c r="O62" i="2"/>
  <c r="P62" i="2" s="1"/>
  <c r="K61" i="2"/>
  <c r="K53" i="2"/>
  <c r="O46" i="2"/>
  <c r="P46" i="2" s="1"/>
  <c r="K45" i="2"/>
  <c r="O38" i="2"/>
  <c r="P38" i="2" s="1"/>
  <c r="R31" i="2"/>
  <c r="O30" i="2"/>
  <c r="P30" i="2" s="1"/>
  <c r="K29" i="2"/>
  <c r="R23" i="2"/>
  <c r="O22" i="2"/>
  <c r="P22" i="2" s="1"/>
  <c r="K21" i="2"/>
  <c r="R15" i="2"/>
  <c r="O54" i="2"/>
  <c r="P54" i="2" s="1"/>
  <c r="K37" i="2"/>
  <c r="R66" i="2"/>
  <c r="O65" i="2"/>
  <c r="P65" i="2" s="1"/>
  <c r="R58" i="2"/>
  <c r="O57" i="2"/>
  <c r="P57" i="2" s="1"/>
  <c r="R50" i="2"/>
  <c r="O49" i="2"/>
  <c r="P49" i="2" s="1"/>
  <c r="R42" i="2"/>
  <c r="I42" i="2"/>
  <c r="O41" i="2"/>
  <c r="P41" i="2" s="1"/>
  <c r="K40" i="2"/>
  <c r="R34" i="2"/>
  <c r="O33" i="2"/>
  <c r="P33" i="2" s="1"/>
  <c r="K32" i="2"/>
  <c r="R26" i="2"/>
  <c r="I26" i="2"/>
  <c r="O25" i="2"/>
  <c r="P25" i="2" s="1"/>
  <c r="K24" i="2"/>
  <c r="R18" i="2"/>
  <c r="K16" i="2"/>
  <c r="R10" i="2"/>
  <c r="R39" i="2"/>
  <c r="I69" i="2"/>
  <c r="O68" i="2"/>
  <c r="P68" i="2" s="1"/>
  <c r="K67" i="2"/>
  <c r="O60" i="2"/>
  <c r="P60" i="2" s="1"/>
  <c r="K59" i="2"/>
  <c r="I53" i="2"/>
  <c r="O52" i="2"/>
  <c r="P52" i="2" s="1"/>
  <c r="K51" i="2"/>
  <c r="I45" i="2"/>
  <c r="O44" i="2"/>
  <c r="P44" i="2" s="1"/>
  <c r="K43" i="2"/>
  <c r="P39" i="2"/>
  <c r="O36" i="2"/>
  <c r="P36" i="2" s="1"/>
  <c r="K35" i="2"/>
  <c r="O28" i="2"/>
  <c r="P28" i="2" s="1"/>
  <c r="K27" i="2"/>
  <c r="I21" i="2"/>
  <c r="O20" i="2"/>
  <c r="P20" i="2" s="1"/>
  <c r="K11" i="2"/>
  <c r="K69" i="2"/>
  <c r="O31" i="2"/>
  <c r="P31" i="2" s="1"/>
  <c r="O23" i="2"/>
  <c r="P23" i="2" s="1"/>
  <c r="O15" i="2"/>
  <c r="P15" i="2" s="1"/>
  <c r="O66" i="2"/>
  <c r="P66" i="2" s="1"/>
  <c r="O58" i="2"/>
  <c r="P58" i="2" s="1"/>
  <c r="O50" i="2"/>
  <c r="P50" i="2" s="1"/>
  <c r="O42" i="2"/>
  <c r="P42" i="2" s="1"/>
  <c r="O34" i="2"/>
  <c r="P34" i="2" s="1"/>
  <c r="O26" i="2"/>
  <c r="P26" i="2" s="1"/>
  <c r="O18" i="2"/>
  <c r="P18" i="2" s="1"/>
  <c r="C12" i="10" l="1"/>
  <c r="G61" i="2"/>
  <c r="F9" i="3"/>
  <c r="H16" i="2"/>
  <c r="I16" i="2" s="1"/>
  <c r="G16" i="2"/>
  <c r="F11" i="3"/>
  <c r="F10" i="3"/>
  <c r="F8" i="3"/>
  <c r="H10" i="3"/>
  <c r="J72" i="5"/>
  <c r="J73" i="5"/>
  <c r="K73" i="5"/>
  <c r="K72" i="5"/>
  <c r="K74" i="5" s="1"/>
  <c r="K75" i="5" s="1"/>
  <c r="K76" i="5" s="1"/>
  <c r="I72" i="5"/>
  <c r="I73" i="5"/>
  <c r="I74" i="5" s="1"/>
  <c r="G43" i="2"/>
  <c r="H43" i="2"/>
  <c r="I43" i="2" s="1"/>
  <c r="G67" i="2"/>
  <c r="H67" i="2"/>
  <c r="I67" i="2" s="1"/>
  <c r="H35" i="2"/>
  <c r="I35" i="2" s="1"/>
  <c r="G35" i="2"/>
  <c r="E10" i="3" s="1"/>
  <c r="G59" i="2"/>
  <c r="H59" i="2"/>
  <c r="I59" i="2" s="1"/>
  <c r="H11" i="2"/>
  <c r="I11" i="2" s="1"/>
  <c r="G11" i="2"/>
  <c r="G51" i="2"/>
  <c r="H51" i="2"/>
  <c r="I51" i="2" s="1"/>
  <c r="H70" i="2"/>
  <c r="I70" i="2" s="1"/>
  <c r="G70" i="2"/>
  <c r="E11" i="3" s="1"/>
  <c r="H27" i="2"/>
  <c r="I27" i="2" s="1"/>
  <c r="G27" i="2"/>
  <c r="E9" i="3" l="1"/>
  <c r="E10" i="10"/>
  <c r="F10" i="10" s="1"/>
  <c r="G10" i="10" s="1"/>
  <c r="I10" i="10"/>
  <c r="J10" i="10" s="1"/>
  <c r="K10" i="10" s="1"/>
  <c r="M10" i="10"/>
  <c r="N10" i="10" s="1"/>
  <c r="O10" i="10" s="1"/>
  <c r="E8" i="10"/>
  <c r="I8" i="10"/>
  <c r="J8" i="10" s="1"/>
  <c r="K8" i="10" s="1"/>
  <c r="M8" i="10"/>
  <c r="N8" i="10" s="1"/>
  <c r="O8" i="10" s="1"/>
  <c r="E9" i="10"/>
  <c r="F9" i="10" s="1"/>
  <c r="G9" i="10" s="1"/>
  <c r="I9" i="10"/>
  <c r="J9" i="10" s="1"/>
  <c r="K9" i="10" s="1"/>
  <c r="M9" i="10"/>
  <c r="N9" i="10" s="1"/>
  <c r="O9" i="10" s="1"/>
  <c r="I7" i="10"/>
  <c r="J7" i="10" s="1"/>
  <c r="K7" i="10" s="1"/>
  <c r="M7" i="10"/>
  <c r="N7" i="10" s="1"/>
  <c r="O7" i="10" s="1"/>
  <c r="D10" i="3"/>
  <c r="D11" i="3"/>
  <c r="G10" i="3"/>
  <c r="E8" i="3"/>
  <c r="G9" i="3"/>
  <c r="G11" i="3"/>
  <c r="E7" i="10"/>
  <c r="G8" i="3"/>
  <c r="I75" i="5"/>
  <c r="I76" i="5" s="1"/>
  <c r="J74" i="5"/>
  <c r="K70" i="1"/>
  <c r="K69" i="1"/>
  <c r="K68" i="1"/>
  <c r="K66" i="1"/>
  <c r="K65" i="1"/>
  <c r="K64" i="1"/>
  <c r="K63" i="1"/>
  <c r="K61" i="1"/>
  <c r="K60" i="1"/>
  <c r="K59" i="1"/>
  <c r="K57" i="1"/>
  <c r="K56" i="1"/>
  <c r="K55" i="1"/>
  <c r="K53" i="1"/>
  <c r="K52" i="1"/>
  <c r="K51" i="1"/>
  <c r="K48" i="1"/>
  <c r="K47" i="1"/>
  <c r="K46" i="1"/>
  <c r="K45" i="1"/>
  <c r="K44" i="1"/>
  <c r="K42" i="1"/>
  <c r="K41" i="1"/>
  <c r="K38" i="1"/>
  <c r="K37" i="1"/>
  <c r="K35" i="1"/>
  <c r="K34" i="1"/>
  <c r="K33" i="1"/>
  <c r="K32" i="1"/>
  <c r="K30" i="1"/>
  <c r="K27" i="1"/>
  <c r="K26" i="1"/>
  <c r="K25" i="1"/>
  <c r="K24" i="1"/>
  <c r="K18" i="1"/>
  <c r="K16" i="1"/>
  <c r="K15" i="1"/>
  <c r="K11" i="1"/>
  <c r="K10" i="1"/>
  <c r="D9" i="3" l="1"/>
  <c r="Q9" i="10"/>
  <c r="R10" i="10"/>
  <c r="Q10" i="10"/>
  <c r="R9" i="10"/>
  <c r="R8" i="10"/>
  <c r="Q8" i="10"/>
  <c r="F8" i="10"/>
  <c r="G8" i="10" s="1"/>
  <c r="D8" i="3"/>
  <c r="Q7" i="10"/>
  <c r="R7" i="10"/>
  <c r="F7" i="10"/>
  <c r="G7" i="10" s="1"/>
  <c r="J75" i="5"/>
  <c r="J76" i="5"/>
  <c r="G70" i="1"/>
  <c r="G69" i="1"/>
  <c r="G68" i="1"/>
  <c r="G66" i="1"/>
  <c r="G65" i="1"/>
  <c r="G64" i="1"/>
  <c r="G63" i="1"/>
  <c r="G61" i="1"/>
  <c r="G60" i="1"/>
  <c r="G59" i="1"/>
  <c r="G57" i="1"/>
  <c r="G56" i="1"/>
  <c r="G55" i="1"/>
  <c r="G53" i="1"/>
  <c r="G52" i="1"/>
  <c r="G51" i="1"/>
  <c r="G49" i="1"/>
  <c r="G48" i="1"/>
  <c r="G47" i="1"/>
  <c r="G46" i="1"/>
  <c r="G45" i="1"/>
  <c r="G44" i="1"/>
  <c r="G42" i="1"/>
  <c r="G41" i="1"/>
  <c r="G38" i="1"/>
  <c r="G37" i="1"/>
  <c r="G35" i="1"/>
  <c r="G34" i="1"/>
  <c r="G33" i="1"/>
  <c r="G32" i="1"/>
  <c r="G30" i="1"/>
  <c r="G27" i="1"/>
  <c r="G26" i="1"/>
  <c r="G25" i="1"/>
  <c r="G24" i="1"/>
  <c r="G22" i="1"/>
  <c r="G21" i="1"/>
  <c r="G20" i="1"/>
  <c r="G18" i="1"/>
  <c r="G16" i="1"/>
  <c r="G15" i="1"/>
  <c r="G11" i="1"/>
  <c r="G10" i="1"/>
  <c r="J83" i="2" l="1"/>
  <c r="L85" i="2"/>
  <c r="F71" i="5" l="1"/>
  <c r="F37" i="3"/>
  <c r="F38" i="3" s="1"/>
  <c r="F72" i="5" l="1"/>
  <c r="F73" i="5"/>
  <c r="F74" i="5"/>
  <c r="F75" i="5" s="1"/>
  <c r="F76" i="5" s="1"/>
  <c r="H71" i="5"/>
  <c r="G71" i="5"/>
  <c r="K71" i="1"/>
  <c r="K72" i="1" s="1"/>
  <c r="K74" i="1" s="1"/>
  <c r="K75" i="1" s="1"/>
  <c r="K76" i="1" s="1"/>
  <c r="C33" i="3"/>
  <c r="G71" i="1"/>
  <c r="G72" i="5" l="1"/>
  <c r="G74" i="5" s="1"/>
  <c r="G75" i="5" s="1"/>
  <c r="G76" i="5" s="1"/>
  <c r="G73" i="5"/>
  <c r="H72" i="5"/>
  <c r="H73" i="5"/>
  <c r="H74" i="5" s="1"/>
  <c r="T71" i="1"/>
  <c r="T72" i="1" s="1"/>
  <c r="T74" i="1" s="1"/>
  <c r="T75" i="1" s="1"/>
  <c r="T76" i="1" s="1"/>
  <c r="G72" i="1"/>
  <c r="G73" i="1"/>
  <c r="N71" i="2"/>
  <c r="K71" i="2"/>
  <c r="F7" i="3"/>
  <c r="H7" i="3"/>
  <c r="E6" i="10" l="1"/>
  <c r="E12" i="10" s="1"/>
  <c r="M6" i="10"/>
  <c r="I6" i="10"/>
  <c r="H75" i="5"/>
  <c r="H76" i="5" s="1"/>
  <c r="G74" i="1"/>
  <c r="G75" i="1" s="1"/>
  <c r="G76" i="1" s="1"/>
  <c r="E7" i="3"/>
  <c r="K72" i="2"/>
  <c r="K73" i="2"/>
  <c r="N72" i="2"/>
  <c r="G71" i="2"/>
  <c r="P71" i="2"/>
  <c r="C12" i="3"/>
  <c r="I71" i="2"/>
  <c r="H12" i="3"/>
  <c r="R71" i="2"/>
  <c r="E35" i="3" l="1"/>
  <c r="H35" i="3" s="1"/>
  <c r="C21" i="3"/>
  <c r="F6" i="10"/>
  <c r="G6" i="10" s="1"/>
  <c r="Q6" i="10"/>
  <c r="Q12" i="10" s="1"/>
  <c r="R6" i="10"/>
  <c r="I12" i="10"/>
  <c r="J12" i="10" s="1"/>
  <c r="K12" i="10" s="1"/>
  <c r="J6" i="10"/>
  <c r="K6" i="10" s="1"/>
  <c r="M12" i="10"/>
  <c r="N12" i="10" s="1"/>
  <c r="O12" i="10" s="1"/>
  <c r="N6" i="10"/>
  <c r="O6" i="10" s="1"/>
  <c r="D7" i="3"/>
  <c r="F12" i="10"/>
  <c r="G12" i="10" s="1"/>
  <c r="K74" i="2"/>
  <c r="K75" i="2" s="1"/>
  <c r="K76" i="2" s="1"/>
  <c r="E12" i="3"/>
  <c r="N74" i="2"/>
  <c r="N75" i="2" s="1"/>
  <c r="N76" i="2" s="1"/>
  <c r="R72" i="2"/>
  <c r="R74" i="2" s="1"/>
  <c r="R75" i="2" s="1"/>
  <c r="R76" i="2" s="1"/>
  <c r="P72" i="2"/>
  <c r="I73" i="2"/>
  <c r="I72" i="2"/>
  <c r="G73" i="2"/>
  <c r="G72" i="2"/>
  <c r="F12" i="3"/>
  <c r="G7" i="3"/>
  <c r="D21" i="3" l="1"/>
  <c r="C28" i="3"/>
  <c r="E33" i="3"/>
  <c r="H33" i="3" s="1"/>
  <c r="F26" i="3"/>
  <c r="G26" i="3" s="1"/>
  <c r="F24" i="3"/>
  <c r="R12" i="10"/>
  <c r="E18" i="3"/>
  <c r="D18" i="3" s="1"/>
  <c r="E17" i="3"/>
  <c r="P74" i="2"/>
  <c r="P75" i="2" s="1"/>
  <c r="P76" i="2" s="1"/>
  <c r="G74" i="2"/>
  <c r="G75" i="2" s="1"/>
  <c r="G76" i="2" s="1"/>
  <c r="I74" i="2"/>
  <c r="I75" i="2" s="1"/>
  <c r="I76" i="2" s="1"/>
  <c r="E37" i="3" l="1"/>
  <c r="E38" i="3" s="1"/>
  <c r="G24" i="3"/>
  <c r="F28" i="3"/>
  <c r="D17" i="3"/>
  <c r="E28" i="3"/>
  <c r="C35" i="3" s="1"/>
  <c r="C37" i="3" s="1"/>
  <c r="C38" i="3" s="1"/>
</calcChain>
</file>

<file path=xl/sharedStrings.xml><?xml version="1.0" encoding="utf-8"?>
<sst xmlns="http://schemas.openxmlformats.org/spreadsheetml/2006/main" count="2041" uniqueCount="429">
  <si>
    <t>ANALISIS DE PRESUPUESTOS</t>
  </si>
  <si>
    <t>PC</t>
  </si>
  <si>
    <t>ITEM</t>
  </si>
  <si>
    <t>UND</t>
  </si>
  <si>
    <t>RESUMEN</t>
  </si>
  <si>
    <t>METRADO</t>
  </si>
  <si>
    <t>P.U. (S/.)</t>
  </si>
  <si>
    <t>PARCIAL (S/.)</t>
  </si>
  <si>
    <t>MANO DE OBRA</t>
  </si>
  <si>
    <t>MATERIALES</t>
  </si>
  <si>
    <t>EQUIPOS</t>
  </si>
  <si>
    <t>SERVICIOS</t>
  </si>
  <si>
    <t>SUBCONTRATOS</t>
  </si>
  <si>
    <t>CONTRACTUAL</t>
  </si>
  <si>
    <t>META ACTUALIZADO</t>
  </si>
  <si>
    <t>DESCRIPCION</t>
  </si>
  <si>
    <t>PROYECTO:</t>
  </si>
  <si>
    <t>01.02.04</t>
  </si>
  <si>
    <t>MOVIMIENTO DE TIERRAS</t>
  </si>
  <si>
    <t>M2</t>
  </si>
  <si>
    <t>M3</t>
  </si>
  <si>
    <t>COSTO DIRECTO</t>
  </si>
  <si>
    <t>IGV (18.00%)</t>
  </si>
  <si>
    <t>ANALISIS DE AVANCE</t>
  </si>
  <si>
    <t>METRADO CONTRATO</t>
  </si>
  <si>
    <t>PREVISTO</t>
  </si>
  <si>
    <t>METRADO EJECUTADO</t>
  </si>
  <si>
    <t>METRADO POR EJECUT</t>
  </si>
  <si>
    <t>COSTO TOTAL (INC. IGV)</t>
  </si>
  <si>
    <t>COSTO TOTAL VENTA</t>
  </si>
  <si>
    <t>%</t>
  </si>
  <si>
    <t>COSTO EJECUTADO VENTA</t>
  </si>
  <si>
    <t>COSTO TOTAL META</t>
  </si>
  <si>
    <t>COSTO EJECUTADO META</t>
  </si>
  <si>
    <t>CONCRETO</t>
  </si>
  <si>
    <t>TOTALES</t>
  </si>
  <si>
    <t>META ANTERIOR</t>
  </si>
  <si>
    <t>DIFERENCIA</t>
  </si>
  <si>
    <t>TOTAL COSTO VENTA</t>
  </si>
  <si>
    <t>RESULTADO OPERATIVO</t>
  </si>
  <si>
    <t>PARTIDA DE CONTROL</t>
  </si>
  <si>
    <t>CODIGO</t>
  </si>
  <si>
    <t>COSTO PREVISTO</t>
  </si>
  <si>
    <t>TOTAL COSTO REAL</t>
  </si>
  <si>
    <t>PREVISTO ACTUAL</t>
  </si>
  <si>
    <t>PREVISTO PENDIENTE</t>
  </si>
  <si>
    <t>PREVISTO TOTAL</t>
  </si>
  <si>
    <t>VENTA ACTUAL</t>
  </si>
  <si>
    <t>VENTA PENDIENTE</t>
  </si>
  <si>
    <t>VENTA TOTAL</t>
  </si>
  <si>
    <t>MARGEN DE UTILIDAD</t>
  </si>
  <si>
    <t>GASTOS GENERALES (10%)</t>
  </si>
  <si>
    <t>UTILIDAD (8%)</t>
  </si>
  <si>
    <t>SUBTOTAL</t>
  </si>
  <si>
    <t>META INICIAL -MES ANTERIOR</t>
  </si>
  <si>
    <t>PROVEEDOR</t>
  </si>
  <si>
    <t>CANTIDAD</t>
  </si>
  <si>
    <t>P.U.</t>
  </si>
  <si>
    <t>TIPO DE COSTO</t>
  </si>
  <si>
    <t>ORDENES DE COMPRA</t>
  </si>
  <si>
    <t>ORDENES DE SERVICIO</t>
  </si>
  <si>
    <t>UNIDAD</t>
  </si>
  <si>
    <t>m3</t>
  </si>
  <si>
    <t>hm</t>
  </si>
  <si>
    <t>METRADO UTILIZADO</t>
  </si>
  <si>
    <t>SUB TOTAL</t>
  </si>
  <si>
    <t>reales</t>
  </si>
  <si>
    <t>presup</t>
  </si>
  <si>
    <t>ANALISIS DE PRECIOS VENTA</t>
  </si>
  <si>
    <t>I.E. N° 1182 "EL BOSQUE" - CERCO + INGRESOS Y CASETAS</t>
  </si>
  <si>
    <t>01</t>
  </si>
  <si>
    <t>01.02</t>
  </si>
  <si>
    <t>01.02.04.01</t>
  </si>
  <si>
    <t>01.02.04.02</t>
  </si>
  <si>
    <t>02</t>
  </si>
  <si>
    <t>02.01</t>
  </si>
  <si>
    <t>02.01.01</t>
  </si>
  <si>
    <t>02.01.01.01</t>
  </si>
  <si>
    <t>02.01.01.02</t>
  </si>
  <si>
    <t>02.01.03</t>
  </si>
  <si>
    <t>02.01.03.01</t>
  </si>
  <si>
    <t>02.01.04</t>
  </si>
  <si>
    <t>02.01.04.01</t>
  </si>
  <si>
    <t>02.01.04.02</t>
  </si>
  <si>
    <t>02.01.04.03</t>
  </si>
  <si>
    <t>02.01.05</t>
  </si>
  <si>
    <t>02.01.05.01</t>
  </si>
  <si>
    <t>02.01.05.02</t>
  </si>
  <si>
    <t>02.01.05.05</t>
  </si>
  <si>
    <t>02.01.05.06</t>
  </si>
  <si>
    <t>02.02</t>
  </si>
  <si>
    <t>02.02.01</t>
  </si>
  <si>
    <t>02.02.01.01</t>
  </si>
  <si>
    <t>02.02.02</t>
  </si>
  <si>
    <t>02.02.02.02</t>
  </si>
  <si>
    <t>02.02.02.03</t>
  </si>
  <si>
    <t>02.02.02.04</t>
  </si>
  <si>
    <t>02.02.02.05</t>
  </si>
  <si>
    <t>02.02.03</t>
  </si>
  <si>
    <t>02.02.03.01</t>
  </si>
  <si>
    <t>02.02.03.02</t>
  </si>
  <si>
    <t>02.03</t>
  </si>
  <si>
    <t>02.03.02</t>
  </si>
  <si>
    <t>02.03.02.01</t>
  </si>
  <si>
    <t>02.03.02.03</t>
  </si>
  <si>
    <t>02.03.05</t>
  </si>
  <si>
    <t>02.03.05.02</t>
  </si>
  <si>
    <t>02.03.05.04</t>
  </si>
  <si>
    <t>02.03.05.05</t>
  </si>
  <si>
    <t>02.03.05.07</t>
  </si>
  <si>
    <t>02.03.05.09</t>
  </si>
  <si>
    <t>02.03.05.11</t>
  </si>
  <si>
    <t>02.03.06</t>
  </si>
  <si>
    <t>02.03.06.02</t>
  </si>
  <si>
    <t>02.03.06.06</t>
  </si>
  <si>
    <t>02.03.06.10</t>
  </si>
  <si>
    <t>02.03.07</t>
  </si>
  <si>
    <t>02.03.07.02</t>
  </si>
  <si>
    <t>02.03.07.06</t>
  </si>
  <si>
    <t>02.03.07.08</t>
  </si>
  <si>
    <t>02.03.08</t>
  </si>
  <si>
    <t>02.03.08.01</t>
  </si>
  <si>
    <t>02.03.08.03</t>
  </si>
  <si>
    <t>02.03.08.04</t>
  </si>
  <si>
    <t>02.03.09</t>
  </si>
  <si>
    <t>02.03.09.01</t>
  </si>
  <si>
    <t>02.03.09.03</t>
  </si>
  <si>
    <t>02.03.09.04</t>
  </si>
  <si>
    <t>02.03.09.05</t>
  </si>
  <si>
    <t>02.03.15</t>
  </si>
  <si>
    <t>02.03.15.01</t>
  </si>
  <si>
    <t>02.03.15.03</t>
  </si>
  <si>
    <t>02.03.15.04</t>
  </si>
  <si>
    <t>OBRAS PROVISIONALES, TRABAJOS PRELIMINARES, SEGURIDAD Y SALUD</t>
  </si>
  <si>
    <t xml:space="preserve">   Trabajos Preliminares</t>
  </si>
  <si>
    <t xml:space="preserve">      Trazo, Niveles y Replanteo</t>
  </si>
  <si>
    <t xml:space="preserve">         TRAZO Y REPLANTEO PRELIMINAR</t>
  </si>
  <si>
    <t xml:space="preserve">         TRAZO Y REPLANTEO DURANTE EL PROCESO</t>
  </si>
  <si>
    <t>ESTRUCTURAS</t>
  </si>
  <si>
    <t xml:space="preserve">   Movimiento de Tierras</t>
  </si>
  <si>
    <t xml:space="preserve">      Excavaciones</t>
  </si>
  <si>
    <t xml:space="preserve">         EXCAV.ZANJAS Y ZAPATA RT&gt;2kg/cm2 H=1.5m</t>
  </si>
  <si>
    <t xml:space="preserve">         EXCAV.ZANJAS Y ZAPATA RT&gt;2kg/cm2 H=2.0m</t>
  </si>
  <si>
    <t xml:space="preserve">      Rellenos</t>
  </si>
  <si>
    <t xml:space="preserve">         RELLENO COMPACTADO C/EQUIPO MAT/PROPIO</t>
  </si>
  <si>
    <t xml:space="preserve">      Eliminacion de Material Excedente</t>
  </si>
  <si>
    <t xml:space="preserve">         ACARREO INTERNO, MATERIAL PROCEDENTE DE EXCAVACIONES</t>
  </si>
  <si>
    <t xml:space="preserve">         ELIMINACION MATERIAL EXCEDENTE ACARREADO</t>
  </si>
  <si>
    <t xml:space="preserve">         ELIMINACION MATERIAL EXCEDENTE C/MAQUINA</t>
  </si>
  <si>
    <t xml:space="preserve">      Nivelacion Interior y Apisonado</t>
  </si>
  <si>
    <t xml:space="preserve">         ESCARIFICADO Y COMPACTACION CON PLANCHA COMPACTADORA  e = 30 cm</t>
  </si>
  <si>
    <t xml:space="preserve">         ESCARIFICADO Y COMPACTACION CON PLANCHA COMPACTADORA H=0.60m (02 CAPAS 30cm c/u)</t>
  </si>
  <si>
    <t xml:space="preserve">         AFIRMADO DE 8" PARA PISOS,PATIOS Y VEREDAS,COMPACTADO.</t>
  </si>
  <si>
    <t xml:space="preserve">         AFIRMADO DE 12" EN PISOS INTERIOR/EXTERIOR,COMPACTADO.</t>
  </si>
  <si>
    <t xml:space="preserve">   Obras de Concreto Simple</t>
  </si>
  <si>
    <t xml:space="preserve">      Falsos Cimientos</t>
  </si>
  <si>
    <t xml:space="preserve">         SUBCIMIENTO, SUBZAPATA MEZCLA 1:12 + 30 % P.G.</t>
  </si>
  <si>
    <t xml:space="preserve">      Cimientos</t>
  </si>
  <si>
    <t xml:space="preserve">         CIMIENTOS CORRIDOS 1:10 + 30 % P.G. f'c &gt;=100Kg/cm2</t>
  </si>
  <si>
    <t xml:space="preserve">         CIMIENTO CORRIDO - ENCOFRADO Y DESENCOFRADO</t>
  </si>
  <si>
    <t xml:space="preserve">         CALZADURA: CONCRETO C:H 1:10 + 30 % P.G.</t>
  </si>
  <si>
    <t xml:space="preserve">         CALZADURA: ENCOFRADO Y DESENCOFRADO</t>
  </si>
  <si>
    <t xml:space="preserve">      Sobrecimientos</t>
  </si>
  <si>
    <t xml:space="preserve">         SOBRECIMIENTO, CONCRETO 1:8 + 25% P.M.  f'c &gt;=100Kg/cm2</t>
  </si>
  <si>
    <t xml:space="preserve">         SOBRECIMIENTO, ENCOFRADO Y DESENCOFRADO</t>
  </si>
  <si>
    <t xml:space="preserve">   Obras de Concreto Armado</t>
  </si>
  <si>
    <t xml:space="preserve">      Zapatas</t>
  </si>
  <si>
    <t xml:space="preserve">         ZAPATAS.- CONCRETO 210 kg/cm2</t>
  </si>
  <si>
    <t xml:space="preserve">         ZAPATAS.- ACERO Fy=4200 kg/cm2</t>
  </si>
  <si>
    <t xml:space="preserve">      Placas y Muros de Contención</t>
  </si>
  <si>
    <t xml:space="preserve">         PLACAS, CONCRETO F'c=210 kg/cm2 - 1 piso</t>
  </si>
  <si>
    <t xml:space="preserve">         PLACAS, ENCOFRADO Y DESENCOFRADO</t>
  </si>
  <si>
    <t xml:space="preserve">         PLACAS, ACERO Fy=4200 kg/cm2</t>
  </si>
  <si>
    <t xml:space="preserve">         MUROS DE CONTENC.- CONCRETO 210 kg/cm2</t>
  </si>
  <si>
    <t xml:space="preserve">         MUROS DE CONTENC.- ENCOF. Y DESENCOFRADO</t>
  </si>
  <si>
    <t xml:space="preserve">         MUROS DE CONTENC.- ACERO Fy=4200 kg/cm2</t>
  </si>
  <si>
    <t xml:space="preserve">      Columnas</t>
  </si>
  <si>
    <t xml:space="preserve">         COLUMNAS - CONCRETO 210 KG/CM² - 1 PISO</t>
  </si>
  <si>
    <t xml:space="preserve">         COLUMNAS.- ENCOFRADO Y DESENCOFRADO</t>
  </si>
  <si>
    <t xml:space="preserve">         COLUMNAS.- ACERO Fy=4200 kg/cm2</t>
  </si>
  <si>
    <t xml:space="preserve">      Vigas</t>
  </si>
  <si>
    <t xml:space="preserve">         VIGAS.- CONCRETO 210 kg/cm2 - 1 piso</t>
  </si>
  <si>
    <t xml:space="preserve">         VIGAS.- ENCOFRADO Y DESENCOFRADO</t>
  </si>
  <si>
    <t xml:space="preserve">         VIGAS.- ACERO Fy=4200 kg/cm2</t>
  </si>
  <si>
    <t xml:space="preserve">      Losas Macizas</t>
  </si>
  <si>
    <t xml:space="preserve">         LOSAS MACIZAS.- CONC.210 kg/cm2 - 1 PISO</t>
  </si>
  <si>
    <t xml:space="preserve">         LOSAS MACIZAS.- ENCOFRADO Y DESENCOFRADO</t>
  </si>
  <si>
    <t xml:space="preserve">         LOSAS MACIZAS.- ACERO Fy=4,200 kg/cm2</t>
  </si>
  <si>
    <t xml:space="preserve">      Losas Aligeradas</t>
  </si>
  <si>
    <t xml:space="preserve">         LOSA ALIGERADA - CONCRETO 210 kg/cm2 - 1 PISO</t>
  </si>
  <si>
    <t xml:space="preserve">         LOSA ALIGERADA.- ENCOFRADO Y DESENCOFRADO</t>
  </si>
  <si>
    <t xml:space="preserve">         LOSA ALIGERADA.- ACERO Fy=4,200 kg/cm2</t>
  </si>
  <si>
    <t xml:space="preserve">         LOSA ALIGERADA.- LADR. HUECO 15x30x30</t>
  </si>
  <si>
    <t xml:space="preserve">      Gradas Armadas en Pisos</t>
  </si>
  <si>
    <t xml:space="preserve">         GRADAS EN PISO, CONCRETO F'c=175 kg/cm2.</t>
  </si>
  <si>
    <t xml:space="preserve">         GRADAS, ENCOFRADO Y DESENCOFRADO</t>
  </si>
  <si>
    <t xml:space="preserve">         GRADAS EN PISO, ACERO fy=4200kg/cm2</t>
  </si>
  <si>
    <t>m2</t>
  </si>
  <si>
    <t>KG</t>
  </si>
  <si>
    <t>kg</t>
  </si>
  <si>
    <t>und</t>
  </si>
  <si>
    <t>PRESUPUESTO CONTRACTUAL</t>
  </si>
  <si>
    <t>OBRAS PROVISIONALES</t>
  </si>
  <si>
    <t>ENCOFRADO</t>
  </si>
  <si>
    <t>ACERO</t>
  </si>
  <si>
    <t>PROGRAMACION</t>
  </si>
  <si>
    <t>UTILIDAD (5%)</t>
  </si>
  <si>
    <t>CRONOGRAMA VALORIZADO DE OBRA - PROGRAMACION VENTA CON COSTOS META</t>
  </si>
  <si>
    <t>CRONOGRAMA VALORIZADO DE OBRA - PROGRAMACION VENTA</t>
  </si>
  <si>
    <t>VENTA (S/)</t>
  </si>
  <si>
    <t>META TOTAL (MES ANTERIOR) (S/)</t>
  </si>
  <si>
    <t>UC</t>
  </si>
  <si>
    <t>DESCRIPCIÓN</t>
  </si>
  <si>
    <t xml:space="preserve">INGRESO PREVISTO TOTAL </t>
  </si>
  <si>
    <t xml:space="preserve">COSTO PREVISTO </t>
  </si>
  <si>
    <t>RENTABILIDAD</t>
  </si>
  <si>
    <t>TOTALES VENTA Y COSTE DIRECTO</t>
  </si>
  <si>
    <t>META INICIAL (S/)</t>
  </si>
  <si>
    <t>DESVIACIONES (META INICIAL TOTAL- META TOTAL)</t>
  </si>
  <si>
    <t>COSTOS INDIRECTOS</t>
  </si>
  <si>
    <t>COSTO</t>
  </si>
  <si>
    <t>PARCIAL</t>
  </si>
  <si>
    <t>TIEMPO</t>
  </si>
  <si>
    <t>PARTICIPACION</t>
  </si>
  <si>
    <t>COSTO PREVISTO META</t>
  </si>
  <si>
    <t>COSTO PREVISTO EJECUTADO</t>
  </si>
  <si>
    <t>COSTO PENDIENTE</t>
  </si>
  <si>
    <t>MESES</t>
  </si>
  <si>
    <t>ANALISIS DE COSTOS INDIRECTOS</t>
  </si>
  <si>
    <t>Pruebas y ensayos</t>
  </si>
  <si>
    <t xml:space="preserve"> </t>
  </si>
  <si>
    <t>Diseño de Mezcla</t>
  </si>
  <si>
    <t>Ensayos Varios</t>
  </si>
  <si>
    <t xml:space="preserve">Rotura de Probetas </t>
  </si>
  <si>
    <t>est</t>
  </si>
  <si>
    <t>Und</t>
  </si>
  <si>
    <t>GASTOS GENERALES FIJOS</t>
  </si>
  <si>
    <t>GASTOS GENERALES VARIABLES</t>
  </si>
  <si>
    <t>Personal Profesional</t>
  </si>
  <si>
    <t>Residente de obra (Ing.Civil)</t>
  </si>
  <si>
    <t>Especialista de calidad(Ing.Civil)</t>
  </si>
  <si>
    <t>Especialista de Seguridad (Ing. De Seguridad)</t>
  </si>
  <si>
    <t>Administrador de obra</t>
  </si>
  <si>
    <t>mes</t>
  </si>
  <si>
    <t>Personal Tecnico</t>
  </si>
  <si>
    <t xml:space="preserve">Maestro de Obra </t>
  </si>
  <si>
    <t xml:space="preserve">Almacenero </t>
  </si>
  <si>
    <t>Guardián</t>
  </si>
  <si>
    <t>Asistente técnico</t>
  </si>
  <si>
    <t>Consumos, Moviliarios y Servicios Oficinas</t>
  </si>
  <si>
    <t>Utiles de oficina y dibujo</t>
  </si>
  <si>
    <t>Cuaderno de Obra y Legalizacion</t>
  </si>
  <si>
    <t>Insumos para impresora y fotocopiadora</t>
  </si>
  <si>
    <t>Pólizas y Seguros</t>
  </si>
  <si>
    <t>Implementos de seguridad</t>
  </si>
  <si>
    <t>Botiquín</t>
  </si>
  <si>
    <t>Liquidaciòn de obra</t>
  </si>
  <si>
    <t>vez</t>
  </si>
  <si>
    <t>Gastos Financieros</t>
  </si>
  <si>
    <t>Carta Fianza de Adelanto Directo</t>
  </si>
  <si>
    <t>Carta Fianza de Adelanto de Materiales</t>
  </si>
  <si>
    <t>Carta Fianza de Fiel cumplimiento</t>
  </si>
  <si>
    <t>SENCICO</t>
  </si>
  <si>
    <t>COSTO PREVISTO A LA FECHA</t>
  </si>
  <si>
    <t>MONTO DE PLANILLAS DE EMPLEADOS</t>
  </si>
  <si>
    <t>MES</t>
  </si>
  <si>
    <t>JULIO</t>
  </si>
  <si>
    <t>RECURSOS</t>
  </si>
  <si>
    <t>SUBCONTRATO</t>
  </si>
  <si>
    <t>PRECIO</t>
  </si>
  <si>
    <t>MONTO</t>
  </si>
  <si>
    <t>PREVISTO ACTUALIZADO</t>
  </si>
  <si>
    <t>GASTOS GENERALES</t>
  </si>
  <si>
    <t>UTILIDAD</t>
  </si>
  <si>
    <t>OTROS</t>
  </si>
  <si>
    <t>REINTEGROS POR FORMULA POLINOMICA</t>
  </si>
  <si>
    <t>CONTINGENCIAS</t>
  </si>
  <si>
    <t>CONTING. INFRAESTRUCTURAS (2%)</t>
  </si>
  <si>
    <t>CONTING. EQUIP. BIOMEDICO (2%)</t>
  </si>
  <si>
    <t>CONTING. LEVANT. OBSERVACIONES (1.5%)</t>
  </si>
  <si>
    <t>ALAMBRE NEGRO RECOCIDO N° 8</t>
  </si>
  <si>
    <t>CLAVOS PARA MADERA CON CABEZA DE 4"</t>
  </si>
  <si>
    <t>CLAVOS PARA MADERA CON CABEZA DE 3"</t>
  </si>
  <si>
    <t>ALAMBRE NEGRO N° 16</t>
  </si>
  <si>
    <t>ALAMBRE NEGRO RECOCIDO N° 16</t>
  </si>
  <si>
    <t>OC001</t>
  </si>
  <si>
    <t>OC002</t>
  </si>
  <si>
    <t>PIEDRA GRANDE DE 8"</t>
  </si>
  <si>
    <t>OC003</t>
  </si>
  <si>
    <t>ACERO CORRUGADO fy = 4200 kg/cm2 GRADO 60</t>
  </si>
  <si>
    <t>OC004</t>
  </si>
  <si>
    <t>OC005</t>
  </si>
  <si>
    <t>LADRILLO PARA TECHO 8H DE 15X30X30 cm</t>
  </si>
  <si>
    <t>SC CONCRETO PREMEZCLADO F'C=100 KG/CM2</t>
  </si>
  <si>
    <t>SC CONCRETO PREMEZCLADO F'C=210 KG/CM2</t>
  </si>
  <si>
    <t>SC CONCRETO PREMEZCLADO F'C=210 KG/CM2 H67 CON ADITIVO INPERMEBILIZANTE</t>
  </si>
  <si>
    <t>SC CONCRETO PREMEZCLADO F'C=175 KG/CM2</t>
  </si>
  <si>
    <t>OC006</t>
  </si>
  <si>
    <t>NIVEL TOPOGRAFICO</t>
  </si>
  <si>
    <t>ESTACION TOTAL</t>
  </si>
  <si>
    <t>OS001</t>
  </si>
  <si>
    <t>PLANCHA COMPACTADORA VIBRT. 4,0 HP</t>
  </si>
  <si>
    <t>VIBRADOR A GASOLINA</t>
  </si>
  <si>
    <t>BOMBAS</t>
  </si>
  <si>
    <t>OS002</t>
  </si>
  <si>
    <t>SC MANO DE OBRA ACERO CORRUGADO</t>
  </si>
  <si>
    <t>OS003</t>
  </si>
  <si>
    <t>SC AFIRMADO COMPACTADO 8"</t>
  </si>
  <si>
    <t>SC AFIRMADO COMPACTADO 12"</t>
  </si>
  <si>
    <t>SC EXCAVACION DE ZANJAS Y ZAPATAS Rt&gt; 2KG/CM2 H=1.5m</t>
  </si>
  <si>
    <t>SC EXCAVACION DE ZANJAS Y ZAPATAS Rt&gt; 2KG/CM2 H=2.00m</t>
  </si>
  <si>
    <t>SC  RELLENO COMPACTADO CON EQUIPO</t>
  </si>
  <si>
    <t>SC ELIMINACION DE MATERIAL EXCEDENTE CON VOLQUETES</t>
  </si>
  <si>
    <t>OS004</t>
  </si>
  <si>
    <t>SC ALQUILER DE ENCOFRADO COLUMNAS</t>
  </si>
  <si>
    <t>SC ALQUILER DE ENCOFRADO VIGAS</t>
  </si>
  <si>
    <t>SC ALQUILER DE ENCOFRADO LOSAS MACIZAS</t>
  </si>
  <si>
    <t>SC ALQUILER DE ENCOFRADO LOSAS ALIGERADAS</t>
  </si>
  <si>
    <t>OS005</t>
  </si>
  <si>
    <t>p2</t>
  </si>
  <si>
    <t>AGOSTO</t>
  </si>
  <si>
    <t>OCTUBRE</t>
  </si>
  <si>
    <t>NOVIEMBRE</t>
  </si>
  <si>
    <t>SEPTIEMBRE</t>
  </si>
  <si>
    <t>TOTAL</t>
  </si>
  <si>
    <t>TRIPLAY FENOLICO</t>
  </si>
  <si>
    <t>METRADO TOTAL REAL</t>
  </si>
  <si>
    <t>METRADO EJECUTADO REAL</t>
  </si>
  <si>
    <t>ACUM A JULIO 2024</t>
  </si>
  <si>
    <t>META ACTUAL TOTAL</t>
  </si>
  <si>
    <t>Previsto</t>
  </si>
  <si>
    <t>CÓDIGO</t>
  </si>
  <si>
    <t>ORIG</t>
  </si>
  <si>
    <t>REV. 1</t>
  </si>
  <si>
    <t>REV. 2</t>
  </si>
  <si>
    <t>REV. 3</t>
  </si>
  <si>
    <t>REV. 4</t>
  </si>
  <si>
    <t>PREV</t>
  </si>
  <si>
    <t>N° DE SEMANA / FECHA DE CORTE</t>
  </si>
  <si>
    <t>ACUM</t>
  </si>
  <si>
    <t>REGISTRO DE PRODUCCIÓN (AVANCE) SEMANAL</t>
  </si>
  <si>
    <t>ENSAYOS DE LABORATORIO</t>
  </si>
  <si>
    <t>POLIZAS DE SEGURO</t>
  </si>
  <si>
    <t>UTILES DE OFICINA</t>
  </si>
  <si>
    <t>CARTA FIANZA DE FIEL CUMPLIMIENTO</t>
  </si>
  <si>
    <t>CARTA FIANZA DE ADELANTO DIRECTO</t>
  </si>
  <si>
    <t>CONTRACTUAL - VENTA</t>
  </si>
  <si>
    <t>S/</t>
  </si>
  <si>
    <t>CONAFOVICER (2% DE LA MO)</t>
  </si>
  <si>
    <t>SERVICIO</t>
  </si>
  <si>
    <t>GASTOS FINANC</t>
  </si>
  <si>
    <t>CRONOGRAMA VALORIZADO DE OBRA - AVANCE REAL CON COSTOS REALES</t>
  </si>
  <si>
    <t>CRONOGRAMA VALORIZADO DE OBRA- AVANCE REAL CON COSTOS VENTA</t>
  </si>
  <si>
    <t>SENCICO (0.2% DEL PPTO TOTAL)</t>
  </si>
  <si>
    <t>IMPLEMENTOS DE SEGURIDAD</t>
  </si>
  <si>
    <t>MEDICAMENTOS</t>
  </si>
  <si>
    <t>REGISTRO DE RECURSOS SEMANAL (EN HORAS HOMBRE)</t>
  </si>
  <si>
    <t>REGISTRO DE RECURSOS SEMANAL (EN COSTO)</t>
  </si>
  <si>
    <t>META TOTAL (PRESENTE MES) (S/)</t>
  </si>
  <si>
    <t>MATRIZ DE RIESGOS Y OPORTUNIDADES</t>
  </si>
  <si>
    <t>Ítem</t>
  </si>
  <si>
    <t>Identificación</t>
  </si>
  <si>
    <t>ESPECIALIDAD</t>
  </si>
  <si>
    <t>Análisis</t>
  </si>
  <si>
    <t>Rubro</t>
  </si>
  <si>
    <t>Gravedad</t>
  </si>
  <si>
    <t>Monto S/.</t>
  </si>
  <si>
    <t>Amenazas</t>
  </si>
  <si>
    <t>Oportunidad</t>
  </si>
  <si>
    <t>Observaciones</t>
  </si>
  <si>
    <t>ESTATUS RO</t>
  </si>
  <si>
    <t>Responsable</t>
  </si>
  <si>
    <t>Soluciones</t>
  </si>
  <si>
    <t>Debido a la modalidad del contrato (suma alzada): se tenga que ejecutar mayores prestaciones adicionales sin que necesariamente sean reconocidos por la Entidad. Mov. De Tierras</t>
  </si>
  <si>
    <t>MOV. DE TIERRAS</t>
  </si>
  <si>
    <t>Gestionar ante la Entidad adicionales y deductivos vinculantes, no obstante sean rechazados se deberá dejar antecedes para un posterior reconocimiento mediante la via que corresponda.</t>
  </si>
  <si>
    <t>MUY BAJA</t>
  </si>
  <si>
    <t>No Considerado en RO</t>
  </si>
  <si>
    <t>Obra</t>
  </si>
  <si>
    <t xml:space="preserve">Elaboración del presupuesto compromiso con metrados reales lo que permitirá determinar la brecha entre lo considerado en el Expediente Técnico y lo realmente a ejecutar. </t>
  </si>
  <si>
    <t>ALTA</t>
  </si>
  <si>
    <t>Debido a la modalidad del contrato (suma alzada): se tenga que ejecutar mayores prestaciones adicionales sin que necesariamente sean reconocidos por la Entidad. Estructuras</t>
  </si>
  <si>
    <t>ELÉCTRICAS</t>
  </si>
  <si>
    <t>GG</t>
  </si>
  <si>
    <t>PLAZO</t>
  </si>
  <si>
    <t>Costo Considerado en RO</t>
  </si>
  <si>
    <t>Área legal</t>
  </si>
  <si>
    <t>Se solicita apoyo al área legal</t>
  </si>
  <si>
    <t>Adecuaciones</t>
  </si>
  <si>
    <t>PANDEMIA</t>
  </si>
  <si>
    <t>ALCANCE</t>
  </si>
  <si>
    <t>Area Legal</t>
  </si>
  <si>
    <t>Paralizaciones varias,: gremios sindicales, paro de transportistas, etc.</t>
  </si>
  <si>
    <t>EXTERNO</t>
  </si>
  <si>
    <t>Externo</t>
  </si>
  <si>
    <t>Se realizará una contingencia ante estos eventos días antes. Envío de comunicación ante la entidad comunicando evento.</t>
  </si>
  <si>
    <t>SUPERVISION</t>
  </si>
  <si>
    <t>Alquiler de GE para suministro de energía de obra</t>
  </si>
  <si>
    <t>ENTIDAD</t>
  </si>
  <si>
    <t>Enviar costo de adicional a Entidad. Revisar contingencia de órganos de control de contratos, de revisar GE defintivos de acuerdo a rpta de entidad.</t>
  </si>
  <si>
    <t xml:space="preserve">Encontrar proveedores con lleguen al costo considerando viaje puesto en obra.
</t>
  </si>
  <si>
    <t>CONTRATO</t>
  </si>
  <si>
    <t>INGENIERIA</t>
  </si>
  <si>
    <t>Etiquetas de fila</t>
  </si>
  <si>
    <t>Suma de Amenazas</t>
  </si>
  <si>
    <t>Suma de Oportunidad</t>
  </si>
  <si>
    <t>Total general</t>
  </si>
  <si>
    <t>Sobre costo de Agregados (Estructuras)</t>
  </si>
  <si>
    <t>Adecuaciones de instalaciones de obra.</t>
  </si>
  <si>
    <t>Suministro de agregados en el mes de septiembre, podría ser un 20% al estimado inciialmente debido a la lejanía de las canteras</t>
  </si>
  <si>
    <t>Costo total que se podria presentar en cualquier momento</t>
  </si>
  <si>
    <t>Costo mensual que se podria considerar en el mes de octubre y noviembre</t>
  </si>
  <si>
    <t>Costo mensual que se podria presentar en cada mes de la obra</t>
  </si>
  <si>
    <t>Costo mensual de combustible y alquiler de GE por si se corta la energia electrica</t>
  </si>
  <si>
    <t>Costos Stand by asociados a paralizaciones</t>
  </si>
  <si>
    <t>Podria darse debido a la inaccesibilidad de la cantera actual por lluvias</t>
  </si>
  <si>
    <t>Se puede dar si se corta la Energia Eléctrica</t>
  </si>
  <si>
    <t>MES 1
NOVIEMBRE</t>
  </si>
  <si>
    <t>MES 2
DICIEMBRE</t>
  </si>
  <si>
    <t>MES 3
ENERO</t>
  </si>
  <si>
    <t>MES 4
FEBRERO</t>
  </si>
  <si>
    <t>MES 5
MARZO</t>
  </si>
  <si>
    <t>DICIEMBRE</t>
  </si>
  <si>
    <t>ENERO</t>
  </si>
  <si>
    <t>FEBRERO</t>
  </si>
  <si>
    <t>MARZO</t>
  </si>
  <si>
    <t>METRADOS</t>
  </si>
  <si>
    <t>PORCENTAJES</t>
  </si>
  <si>
    <t>AVANCE DE METRADOS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</si>
</sst>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0_-;\-* #,##0.0000_-;_-* &quot;-&quot;??_-;_-@_-"/>
    <numFmt numFmtId="165" formatCode="[$-C0A]dd\-mmm\-yy;@"/>
    <numFmt numFmtId="167" formatCode="_ * #,##0.00_ ;_ * \-#,##0.00_ ;_ * &quot;-&quot;??_ ;_ @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sz val="10"/>
      <color theme="9" tint="-0.249977111117893"/>
      <name val="Arial"/>
      <family val="2"/>
    </font>
    <font>
      <b/>
      <sz val="10"/>
      <name val="Arial"/>
      <family val="2"/>
    </font>
    <font>
      <sz val="10"/>
      <color theme="0" tint="-0.249977111117893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 Narrow"/>
      <family val="2"/>
    </font>
  </fonts>
  <fills count="19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hair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/>
      <bottom style="hair">
        <color theme="9" tint="-0.499984740745262"/>
      </bottom>
      <diagonal/>
    </border>
    <border>
      <left style="thin">
        <color indexed="64"/>
      </left>
      <right style="thin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thin">
        <color indexed="64"/>
      </left>
      <right style="thin">
        <color theme="9" tint="-0.499984740745262"/>
      </right>
      <top style="hair">
        <color theme="9" tint="-0.499984740745262"/>
      </top>
      <bottom/>
      <diagonal/>
    </border>
    <border>
      <left style="thin">
        <color indexed="64"/>
      </left>
      <right style="thin">
        <color theme="9" tint="-0.499984740745262"/>
      </right>
      <top/>
      <bottom style="hair">
        <color theme="9" tint="-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0" fontId="1" fillId="0" borderId="0"/>
  </cellStyleXfs>
  <cellXfs count="48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2" xfId="0" applyBorder="1"/>
    <xf numFmtId="43" fontId="2" fillId="0" borderId="4" xfId="1" applyFont="1" applyBorder="1"/>
    <xf numFmtId="43" fontId="2" fillId="0" borderId="5" xfId="1" applyFont="1" applyBorder="1"/>
    <xf numFmtId="43" fontId="0" fillId="0" borderId="5" xfId="1" applyFont="1" applyBorder="1"/>
    <xf numFmtId="43" fontId="2" fillId="0" borderId="7" xfId="1" applyFont="1" applyBorder="1"/>
    <xf numFmtId="43" fontId="2" fillId="0" borderId="8" xfId="1" applyFont="1" applyBorder="1"/>
    <xf numFmtId="43" fontId="0" fillId="0" borderId="8" xfId="1" applyFont="1" applyBorder="1"/>
    <xf numFmtId="43" fontId="2" fillId="0" borderId="10" xfId="1" applyFont="1" applyBorder="1"/>
    <xf numFmtId="43" fontId="0" fillId="0" borderId="11" xfId="1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3" xfId="0" applyFont="1" applyBorder="1"/>
    <xf numFmtId="0" fontId="2" fillId="0" borderId="14" xfId="0" applyFont="1" applyBorder="1"/>
    <xf numFmtId="43" fontId="0" fillId="0" borderId="14" xfId="1" applyFont="1" applyBorder="1"/>
    <xf numFmtId="43" fontId="2" fillId="0" borderId="14" xfId="1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5" xfId="0" applyBorder="1"/>
    <xf numFmtId="0" fontId="0" fillId="0" borderId="6" xfId="0" applyBorder="1"/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43" fontId="2" fillId="0" borderId="13" xfId="1" applyFont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43" fontId="2" fillId="0" borderId="12" xfId="1" applyFont="1" applyBorder="1"/>
    <xf numFmtId="43" fontId="2" fillId="0" borderId="6" xfId="1" applyFont="1" applyBorder="1"/>
    <xf numFmtId="43" fontId="2" fillId="0" borderId="15" xfId="1" applyFont="1" applyBorder="1"/>
    <xf numFmtId="43" fontId="2" fillId="0" borderId="9" xfId="1" applyFont="1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43" fontId="2" fillId="0" borderId="19" xfId="1" applyFont="1" applyBorder="1"/>
    <xf numFmtId="43" fontId="0" fillId="0" borderId="19" xfId="1" applyFont="1" applyBorder="1"/>
    <xf numFmtId="0" fontId="2" fillId="0" borderId="17" xfId="0" applyFont="1" applyBorder="1" applyAlignment="1">
      <alignment horizontal="center"/>
    </xf>
    <xf numFmtId="43" fontId="2" fillId="0" borderId="17" xfId="1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0" xfId="0" applyFont="1" applyAlignment="1">
      <alignment horizontal="left"/>
    </xf>
    <xf numFmtId="43" fontId="2" fillId="0" borderId="21" xfId="1" applyFont="1" applyBorder="1"/>
    <xf numFmtId="43" fontId="0" fillId="0" borderId="2" xfId="1" applyFont="1" applyBorder="1"/>
    <xf numFmtId="43" fontId="0" fillId="0" borderId="16" xfId="1" applyFont="1" applyBorder="1"/>
    <xf numFmtId="0" fontId="0" fillId="0" borderId="21" xfId="0" applyBorder="1"/>
    <xf numFmtId="0" fontId="0" fillId="0" borderId="11" xfId="0" applyBorder="1"/>
    <xf numFmtId="43" fontId="0" fillId="0" borderId="21" xfId="1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43" fontId="2" fillId="5" borderId="10" xfId="1" applyFont="1" applyFill="1" applyBorder="1"/>
    <xf numFmtId="43" fontId="2" fillId="5" borderId="4" xfId="1" applyFont="1" applyFill="1" applyBorder="1"/>
    <xf numFmtId="43" fontId="2" fillId="5" borderId="11" xfId="1" applyFont="1" applyFill="1" applyBorder="1"/>
    <xf numFmtId="43" fontId="2" fillId="5" borderId="5" xfId="1" applyFont="1" applyFill="1" applyBorder="1"/>
    <xf numFmtId="43" fontId="2" fillId="5" borderId="19" xfId="1" applyFont="1" applyFill="1" applyBorder="1"/>
    <xf numFmtId="43" fontId="0" fillId="5" borderId="19" xfId="1" applyFont="1" applyFill="1" applyBorder="1"/>
    <xf numFmtId="43" fontId="2" fillId="5" borderId="17" xfId="1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43" fontId="2" fillId="2" borderId="1" xfId="0" applyNumberFormat="1" applyFont="1" applyFill="1" applyBorder="1"/>
    <xf numFmtId="0" fontId="2" fillId="2" borderId="20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2" fillId="2" borderId="20" xfId="1" applyFont="1" applyFill="1" applyBorder="1" applyAlignment="1">
      <alignment horizontal="center"/>
    </xf>
    <xf numFmtId="10" fontId="2" fillId="2" borderId="1" xfId="2" applyNumberFormat="1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9" xfId="0" applyFont="1" applyBorder="1"/>
    <xf numFmtId="43" fontId="2" fillId="0" borderId="23" xfId="1" applyFont="1" applyBorder="1"/>
    <xf numFmtId="43" fontId="2" fillId="0" borderId="22" xfId="1" applyFont="1" applyBorder="1"/>
    <xf numFmtId="0" fontId="0" fillId="0" borderId="22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19" xfId="0" applyFont="1" applyBorder="1"/>
    <xf numFmtId="43" fontId="1" fillId="0" borderId="21" xfId="1" applyFont="1" applyBorder="1"/>
    <xf numFmtId="43" fontId="1" fillId="0" borderId="19" xfId="1" applyFont="1" applyBorder="1"/>
    <xf numFmtId="43" fontId="1" fillId="0" borderId="23" xfId="1" applyFont="1" applyBorder="1"/>
    <xf numFmtId="0" fontId="0" fillId="0" borderId="0" xfId="0" applyFont="1"/>
    <xf numFmtId="43" fontId="1" fillId="0" borderId="22" xfId="1" applyFont="1" applyBorder="1"/>
    <xf numFmtId="43" fontId="0" fillId="0" borderId="0" xfId="0" applyNumberFormat="1"/>
    <xf numFmtId="0" fontId="2" fillId="0" borderId="18" xfId="0" applyFont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164" fontId="0" fillId="0" borderId="0" xfId="0" applyNumberFormat="1"/>
    <xf numFmtId="43" fontId="2" fillId="6" borderId="1" xfId="0" applyNumberFormat="1" applyFont="1" applyFill="1" applyBorder="1"/>
    <xf numFmtId="43" fontId="2" fillId="7" borderId="1" xfId="1" applyFont="1" applyFill="1" applyBorder="1" applyAlignment="1">
      <alignment horizontal="center"/>
    </xf>
    <xf numFmtId="43" fontId="0" fillId="7" borderId="5" xfId="1" applyFont="1" applyFill="1" applyBorder="1"/>
    <xf numFmtId="43" fontId="2" fillId="7" borderId="13" xfId="1" applyFont="1" applyFill="1" applyBorder="1"/>
    <xf numFmtId="43" fontId="1" fillId="6" borderId="23" xfId="1" applyFont="1" applyFill="1" applyBorder="1"/>
    <xf numFmtId="0" fontId="2" fillId="0" borderId="4" xfId="0" applyFont="1" applyFill="1" applyBorder="1" applyAlignment="1">
      <alignment horizontal="center"/>
    </xf>
    <xf numFmtId="0" fontId="2" fillId="0" borderId="4" xfId="0" applyFont="1" applyFill="1" applyBorder="1"/>
    <xf numFmtId="0" fontId="2" fillId="0" borderId="5" xfId="0" applyFont="1" applyFill="1" applyBorder="1" applyAlignment="1">
      <alignment horizontal="center"/>
    </xf>
    <xf numFmtId="0" fontId="2" fillId="0" borderId="5" xfId="0" applyFont="1" applyFill="1" applyBorder="1"/>
    <xf numFmtId="0" fontId="2" fillId="0" borderId="8" xfId="0" applyFont="1" applyFill="1" applyBorder="1" applyAlignment="1">
      <alignment horizontal="center"/>
    </xf>
    <xf numFmtId="43" fontId="2" fillId="8" borderId="13" xfId="1" applyFont="1" applyFill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3" fontId="0" fillId="0" borderId="1" xfId="1" applyFont="1" applyBorder="1"/>
    <xf numFmtId="43" fontId="0" fillId="0" borderId="1" xfId="1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0" fontId="0" fillId="0" borderId="0" xfId="2" applyNumberFormat="1" applyFont="1"/>
    <xf numFmtId="2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10" xfId="0" applyFont="1" applyFill="1" applyBorder="1"/>
    <xf numFmtId="0" fontId="2" fillId="0" borderId="11" xfId="0" applyFont="1" applyFill="1" applyBorder="1"/>
    <xf numFmtId="0" fontId="0" fillId="0" borderId="8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left"/>
    </xf>
    <xf numFmtId="0" fontId="0" fillId="0" borderId="5" xfId="0" applyFont="1" applyFill="1" applyBorder="1"/>
    <xf numFmtId="43" fontId="1" fillId="0" borderId="5" xfId="1" applyFont="1" applyBorder="1"/>
    <xf numFmtId="43" fontId="1" fillId="5" borderId="11" xfId="1" applyFont="1" applyFill="1" applyBorder="1"/>
    <xf numFmtId="43" fontId="1" fillId="5" borderId="5" xfId="1" applyFont="1" applyFill="1" applyBorder="1"/>
    <xf numFmtId="43" fontId="1" fillId="0" borderId="14" xfId="1" applyFont="1" applyBorder="1"/>
    <xf numFmtId="43" fontId="1" fillId="0" borderId="8" xfId="1" applyFont="1" applyBorder="1"/>
    <xf numFmtId="0" fontId="0" fillId="0" borderId="24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left"/>
    </xf>
    <xf numFmtId="0" fontId="0" fillId="0" borderId="16" xfId="0" applyFont="1" applyFill="1" applyBorder="1"/>
    <xf numFmtId="43" fontId="1" fillId="0" borderId="16" xfId="1" applyFont="1" applyBorder="1"/>
    <xf numFmtId="43" fontId="1" fillId="0" borderId="25" xfId="1" applyFont="1" applyBorder="1"/>
    <xf numFmtId="43" fontId="1" fillId="0" borderId="24" xfId="1" applyFont="1" applyBorder="1"/>
    <xf numFmtId="43" fontId="1" fillId="5" borderId="2" xfId="1" applyFont="1" applyFill="1" applyBorder="1"/>
    <xf numFmtId="43" fontId="1" fillId="5" borderId="16" xfId="1" applyFont="1" applyFill="1" applyBorder="1"/>
    <xf numFmtId="0" fontId="2" fillId="0" borderId="24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left"/>
    </xf>
    <xf numFmtId="0" fontId="2" fillId="0" borderId="16" xfId="0" applyFont="1" applyFill="1" applyBorder="1"/>
    <xf numFmtId="43" fontId="2" fillId="0" borderId="16" xfId="1" applyFont="1" applyBorder="1"/>
    <xf numFmtId="43" fontId="2" fillId="0" borderId="25" xfId="1" applyFont="1" applyBorder="1"/>
    <xf numFmtId="43" fontId="2" fillId="0" borderId="24" xfId="1" applyFont="1" applyBorder="1"/>
    <xf numFmtId="43" fontId="2" fillId="5" borderId="2" xfId="1" applyFont="1" applyFill="1" applyBorder="1"/>
    <xf numFmtId="43" fontId="2" fillId="5" borderId="16" xfId="1" applyFont="1" applyFill="1" applyBorder="1"/>
    <xf numFmtId="0" fontId="0" fillId="0" borderId="5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2" fillId="0" borderId="0" xfId="0" applyFont="1" applyFill="1"/>
    <xf numFmtId="0" fontId="0" fillId="0" borderId="0" xfId="0" applyFill="1"/>
    <xf numFmtId="43" fontId="2" fillId="0" borderId="11" xfId="1" applyFont="1" applyFill="1" applyBorder="1"/>
    <xf numFmtId="43" fontId="1" fillId="0" borderId="11" xfId="1" applyFont="1" applyFill="1" applyBorder="1"/>
    <xf numFmtId="43" fontId="2" fillId="0" borderId="2" xfId="1" applyFont="1" applyFill="1" applyBorder="1"/>
    <xf numFmtId="43" fontId="1" fillId="0" borderId="2" xfId="1" applyFont="1" applyFill="1" applyBorder="1"/>
    <xf numFmtId="43" fontId="2" fillId="0" borderId="10" xfId="1" applyFont="1" applyFill="1" applyBorder="1"/>
    <xf numFmtId="43" fontId="1" fillId="0" borderId="21" xfId="1" applyFont="1" applyFill="1" applyBorder="1"/>
    <xf numFmtId="43" fontId="2" fillId="0" borderId="21" xfId="1" applyFont="1" applyFill="1" applyBorder="1"/>
    <xf numFmtId="43" fontId="0" fillId="0" borderId="11" xfId="1" applyFont="1" applyFill="1" applyBorder="1"/>
    <xf numFmtId="43" fontId="2" fillId="0" borderId="12" xfId="1" applyFont="1" applyFill="1" applyBorder="1"/>
    <xf numFmtId="43" fontId="2" fillId="0" borderId="5" xfId="1" applyFont="1" applyFill="1" applyBorder="1"/>
    <xf numFmtId="43" fontId="1" fillId="0" borderId="5" xfId="1" applyFont="1" applyFill="1" applyBorder="1"/>
    <xf numFmtId="43" fontId="2" fillId="0" borderId="16" xfId="1" applyFont="1" applyFill="1" applyBorder="1"/>
    <xf numFmtId="43" fontId="1" fillId="0" borderId="16" xfId="1" applyFont="1" applyFill="1" applyBorder="1"/>
    <xf numFmtId="43" fontId="2" fillId="0" borderId="4" xfId="1" applyFont="1" applyFill="1" applyBorder="1"/>
    <xf numFmtId="43" fontId="1" fillId="0" borderId="19" xfId="1" applyFont="1" applyFill="1" applyBorder="1"/>
    <xf numFmtId="43" fontId="2" fillId="0" borderId="7" xfId="1" applyFont="1" applyFill="1" applyBorder="1"/>
    <xf numFmtId="43" fontId="2" fillId="0" borderId="8" xfId="1" applyFont="1" applyFill="1" applyBorder="1"/>
    <xf numFmtId="43" fontId="1" fillId="0" borderId="8" xfId="1" applyFont="1" applyFill="1" applyBorder="1"/>
    <xf numFmtId="43" fontId="2" fillId="0" borderId="24" xfId="1" applyFont="1" applyFill="1" applyBorder="1"/>
    <xf numFmtId="43" fontId="1" fillId="0" borderId="24" xfId="1" applyFont="1" applyFill="1" applyBorder="1"/>
    <xf numFmtId="43" fontId="1" fillId="0" borderId="22" xfId="1" applyFont="1" applyFill="1" applyBorder="1"/>
    <xf numFmtId="43" fontId="2" fillId="0" borderId="22" xfId="1" applyFont="1" applyFill="1" applyBorder="1"/>
    <xf numFmtId="43" fontId="0" fillId="0" borderId="8" xfId="1" applyFont="1" applyFill="1" applyBorder="1"/>
    <xf numFmtId="43" fontId="2" fillId="0" borderId="9" xfId="1" applyFont="1" applyFill="1" applyBorder="1"/>
    <xf numFmtId="0" fontId="0" fillId="0" borderId="3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43" fontId="0" fillId="0" borderId="19" xfId="1" applyFont="1" applyFill="1" applyBorder="1"/>
    <xf numFmtId="43" fontId="2" fillId="0" borderId="19" xfId="1" applyFont="1" applyFill="1" applyBorder="1"/>
    <xf numFmtId="43" fontId="0" fillId="0" borderId="5" xfId="1" applyFont="1" applyFill="1" applyBorder="1"/>
    <xf numFmtId="10" fontId="0" fillId="0" borderId="11" xfId="2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43" fontId="0" fillId="0" borderId="25" xfId="1" applyFont="1" applyBorder="1"/>
    <xf numFmtId="0" fontId="2" fillId="0" borderId="14" xfId="0" applyFont="1" applyFill="1" applyBorder="1" applyAlignment="1">
      <alignment horizontal="center"/>
    </xf>
    <xf numFmtId="0" fontId="2" fillId="0" borderId="26" xfId="0" applyFont="1" applyBorder="1"/>
    <xf numFmtId="0" fontId="0" fillId="0" borderId="14" xfId="0" applyFont="1" applyFill="1" applyBorder="1" applyAlignment="1">
      <alignment horizontal="center"/>
    </xf>
    <xf numFmtId="0" fontId="0" fillId="0" borderId="26" xfId="0" applyFont="1" applyBorder="1"/>
    <xf numFmtId="0" fontId="0" fillId="0" borderId="25" xfId="0" applyFont="1" applyFill="1" applyBorder="1" applyAlignment="1">
      <alignment horizontal="center"/>
    </xf>
    <xf numFmtId="0" fontId="0" fillId="0" borderId="27" xfId="0" applyFont="1" applyBorder="1"/>
    <xf numFmtId="0" fontId="0" fillId="0" borderId="28" xfId="0" applyFont="1" applyBorder="1"/>
    <xf numFmtId="0" fontId="0" fillId="0" borderId="5" xfId="0" applyFont="1" applyBorder="1" applyAlignment="1">
      <alignment horizontal="center"/>
    </xf>
    <xf numFmtId="0" fontId="0" fillId="0" borderId="5" xfId="0" applyFont="1" applyBorder="1"/>
    <xf numFmtId="0" fontId="2" fillId="0" borderId="29" xfId="0" quotePrefix="1" applyFont="1" applyBorder="1"/>
    <xf numFmtId="0" fontId="0" fillId="0" borderId="29" xfId="0" quotePrefix="1" applyFont="1" applyBorder="1"/>
    <xf numFmtId="0" fontId="0" fillId="0" borderId="30" xfId="0" quotePrefix="1" applyFont="1" applyBorder="1"/>
    <xf numFmtId="0" fontId="0" fillId="0" borderId="31" xfId="0" quotePrefix="1" applyFont="1" applyBorder="1"/>
    <xf numFmtId="43" fontId="0" fillId="0" borderId="0" xfId="0" applyNumberFormat="1" applyFont="1"/>
    <xf numFmtId="0" fontId="5" fillId="0" borderId="0" xfId="0" applyFont="1"/>
    <xf numFmtId="0" fontId="2" fillId="0" borderId="31" xfId="0" quotePrefix="1" applyFont="1" applyBorder="1"/>
    <xf numFmtId="0" fontId="2" fillId="0" borderId="28" xfId="0" applyFont="1" applyBorder="1"/>
    <xf numFmtId="0" fontId="2" fillId="0" borderId="23" xfId="0" applyFont="1" applyFill="1" applyBorder="1" applyAlignment="1">
      <alignment horizontal="center"/>
    </xf>
    <xf numFmtId="0" fontId="2" fillId="0" borderId="23" xfId="0" applyFont="1" applyBorder="1"/>
    <xf numFmtId="0" fontId="2" fillId="0" borderId="21" xfId="0" applyFont="1" applyFill="1" applyBorder="1"/>
    <xf numFmtId="43" fontId="0" fillId="0" borderId="2" xfId="1" applyFont="1" applyFill="1" applyBorder="1"/>
    <xf numFmtId="43" fontId="0" fillId="0" borderId="21" xfId="1" applyFont="1" applyFill="1" applyBorder="1"/>
    <xf numFmtId="43" fontId="2" fillId="0" borderId="13" xfId="1" applyFont="1" applyFill="1" applyBorder="1"/>
    <xf numFmtId="43" fontId="0" fillId="0" borderId="23" xfId="1" applyFont="1" applyFill="1" applyBorder="1"/>
    <xf numFmtId="43" fontId="2" fillId="0" borderId="23" xfId="1" applyFont="1" applyFill="1" applyBorder="1"/>
    <xf numFmtId="43" fontId="0" fillId="0" borderId="14" xfId="1" applyFont="1" applyFill="1" applyBorder="1"/>
    <xf numFmtId="43" fontId="2" fillId="0" borderId="15" xfId="1" applyFont="1" applyFill="1" applyBorder="1"/>
    <xf numFmtId="0" fontId="6" fillId="0" borderId="0" xfId="0" applyFont="1"/>
    <xf numFmtId="43" fontId="0" fillId="9" borderId="23" xfId="1" applyFont="1" applyFill="1" applyBorder="1"/>
    <xf numFmtId="17" fontId="2" fillId="10" borderId="1" xfId="0" applyNumberFormat="1" applyFont="1" applyFill="1" applyBorder="1" applyAlignment="1">
      <alignment horizontal="center" vertical="center"/>
    </xf>
    <xf numFmtId="0" fontId="2" fillId="5" borderId="23" xfId="0" applyFont="1" applyFill="1" applyBorder="1"/>
    <xf numFmtId="0" fontId="2" fillId="5" borderId="14" xfId="0" applyFont="1" applyFill="1" applyBorder="1"/>
    <xf numFmtId="43" fontId="0" fillId="5" borderId="14" xfId="1" applyFont="1" applyFill="1" applyBorder="1"/>
    <xf numFmtId="43" fontId="1" fillId="5" borderId="14" xfId="1" applyFont="1" applyFill="1" applyBorder="1"/>
    <xf numFmtId="43" fontId="2" fillId="5" borderId="14" xfId="1" applyFont="1" applyFill="1" applyBorder="1"/>
    <xf numFmtId="43" fontId="1" fillId="5" borderId="25" xfId="1" applyFont="1" applyFill="1" applyBorder="1"/>
    <xf numFmtId="17" fontId="2" fillId="9" borderId="1" xfId="0" applyNumberFormat="1" applyFont="1" applyFill="1" applyBorder="1" applyAlignment="1">
      <alignment horizontal="center" vertical="center"/>
    </xf>
    <xf numFmtId="49" fontId="2" fillId="0" borderId="0" xfId="0" applyNumberFormat="1" applyFont="1"/>
    <xf numFmtId="0" fontId="2" fillId="9" borderId="32" xfId="0" applyFont="1" applyFill="1" applyBorder="1" applyAlignment="1">
      <alignment horizontal="center" vertical="center" wrapText="1"/>
    </xf>
    <xf numFmtId="43" fontId="0" fillId="0" borderId="0" xfId="1" applyFont="1" applyFill="1" applyBorder="1"/>
    <xf numFmtId="43" fontId="0" fillId="0" borderId="0" xfId="1" applyFont="1" applyFill="1"/>
    <xf numFmtId="49" fontId="2" fillId="9" borderId="36" xfId="0" applyNumberFormat="1" applyFont="1" applyFill="1" applyBorder="1" applyAlignment="1">
      <alignment horizontal="center" vertical="center" wrapText="1"/>
    </xf>
    <xf numFmtId="0" fontId="2" fillId="9" borderId="37" xfId="0" applyFont="1" applyFill="1" applyBorder="1" applyAlignment="1">
      <alignment horizontal="center" vertical="center" wrapText="1"/>
    </xf>
    <xf numFmtId="43" fontId="2" fillId="0" borderId="0" xfId="1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12" borderId="36" xfId="0" applyFont="1" applyFill="1" applyBorder="1" applyAlignment="1">
      <alignment horizontal="center" vertical="center" wrapText="1"/>
    </xf>
    <xf numFmtId="0" fontId="2" fillId="13" borderId="36" xfId="0" applyFont="1" applyFill="1" applyBorder="1" applyAlignment="1">
      <alignment horizontal="center" vertical="center" wrapText="1"/>
    </xf>
    <xf numFmtId="43" fontId="0" fillId="0" borderId="5" xfId="1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43" fontId="2" fillId="0" borderId="39" xfId="1" applyFont="1" applyBorder="1" applyAlignment="1">
      <alignment horizontal="center"/>
    </xf>
    <xf numFmtId="0" fontId="0" fillId="0" borderId="40" xfId="0" applyBorder="1" applyAlignment="1">
      <alignment horizontal="center"/>
    </xf>
    <xf numFmtId="43" fontId="0" fillId="0" borderId="41" xfId="1" applyFont="1" applyBorder="1" applyAlignment="1">
      <alignment horizontal="center"/>
    </xf>
    <xf numFmtId="4" fontId="2" fillId="9" borderId="43" xfId="0" applyNumberFormat="1" applyFont="1" applyFill="1" applyBorder="1" applyAlignment="1">
      <alignment horizontal="center" vertical="center" wrapText="1"/>
    </xf>
    <xf numFmtId="43" fontId="0" fillId="0" borderId="40" xfId="1" applyFont="1" applyBorder="1" applyAlignment="1">
      <alignment horizontal="center"/>
    </xf>
    <xf numFmtId="10" fontId="0" fillId="0" borderId="41" xfId="2" applyNumberFormat="1" applyFont="1" applyBorder="1" applyAlignment="1">
      <alignment horizontal="center"/>
    </xf>
    <xf numFmtId="4" fontId="2" fillId="3" borderId="36" xfId="0" applyNumberFormat="1" applyFont="1" applyFill="1" applyBorder="1" applyAlignment="1">
      <alignment horizontal="center" vertical="center" wrapText="1"/>
    </xf>
    <xf numFmtId="4" fontId="2" fillId="3" borderId="37" xfId="0" applyNumberFormat="1" applyFont="1" applyFill="1" applyBorder="1" applyAlignment="1">
      <alignment horizontal="center" vertical="center" wrapText="1"/>
    </xf>
    <xf numFmtId="10" fontId="2" fillId="3" borderId="32" xfId="2" applyNumberFormat="1" applyFont="1" applyFill="1" applyBorder="1" applyAlignment="1">
      <alignment horizontal="center" vertical="center" wrapText="1"/>
    </xf>
    <xf numFmtId="4" fontId="2" fillId="12" borderId="36" xfId="0" applyNumberFormat="1" applyFont="1" applyFill="1" applyBorder="1" applyAlignment="1">
      <alignment horizontal="center" vertical="center" wrapText="1"/>
    </xf>
    <xf numFmtId="4" fontId="2" fillId="12" borderId="37" xfId="0" applyNumberFormat="1" applyFont="1" applyFill="1" applyBorder="1" applyAlignment="1">
      <alignment horizontal="center" vertical="center" wrapText="1"/>
    </xf>
    <xf numFmtId="10" fontId="2" fillId="12" borderId="43" xfId="2" applyNumberFormat="1" applyFont="1" applyFill="1" applyBorder="1" applyAlignment="1">
      <alignment horizontal="center" vertical="center" wrapText="1"/>
    </xf>
    <xf numFmtId="4" fontId="2" fillId="13" borderId="36" xfId="0" applyNumberFormat="1" applyFont="1" applyFill="1" applyBorder="1" applyAlignment="1">
      <alignment horizontal="center" vertical="center" wrapText="1"/>
    </xf>
    <xf numFmtId="4" fontId="2" fillId="13" borderId="44" xfId="0" applyNumberFormat="1" applyFont="1" applyFill="1" applyBorder="1" applyAlignment="1">
      <alignment horizontal="center" vertical="center" wrapText="1"/>
    </xf>
    <xf numFmtId="10" fontId="2" fillId="13" borderId="35" xfId="2" applyNumberFormat="1" applyFont="1" applyFill="1" applyBorder="1" applyAlignment="1">
      <alignment horizontal="center" vertical="center" wrapText="1"/>
    </xf>
    <xf numFmtId="4" fontId="2" fillId="7" borderId="36" xfId="0" applyNumberFormat="1" applyFont="1" applyFill="1" applyBorder="1" applyAlignment="1">
      <alignment horizontal="center" vertical="center" wrapText="1"/>
    </xf>
    <xf numFmtId="10" fontId="2" fillId="7" borderId="35" xfId="2" applyNumberFormat="1" applyFont="1" applyFill="1" applyBorder="1" applyAlignment="1">
      <alignment horizontal="center" vertical="center" wrapText="1"/>
    </xf>
    <xf numFmtId="43" fontId="0" fillId="0" borderId="0" xfId="1" applyFont="1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43" fontId="0" fillId="0" borderId="0" xfId="0" applyNumberFormat="1" applyFill="1"/>
    <xf numFmtId="0" fontId="2" fillId="0" borderId="0" xfId="0" applyFont="1" applyBorder="1"/>
    <xf numFmtId="43" fontId="2" fillId="0" borderId="0" xfId="1" applyFont="1" applyBorder="1"/>
    <xf numFmtId="43" fontId="2" fillId="0" borderId="49" xfId="1" applyFont="1" applyBorder="1"/>
    <xf numFmtId="0" fontId="0" fillId="0" borderId="45" xfId="0" applyBorder="1"/>
    <xf numFmtId="0" fontId="0" fillId="0" borderId="0" xfId="0" applyBorder="1"/>
    <xf numFmtId="43" fontId="0" fillId="0" borderId="0" xfId="1" applyFont="1" applyBorder="1"/>
    <xf numFmtId="43" fontId="0" fillId="0" borderId="49" xfId="1" applyFont="1" applyBorder="1"/>
    <xf numFmtId="0" fontId="0" fillId="0" borderId="50" xfId="0" applyBorder="1"/>
    <xf numFmtId="0" fontId="0" fillId="0" borderId="51" xfId="0" applyBorder="1"/>
    <xf numFmtId="43" fontId="0" fillId="0" borderId="51" xfId="1" applyFont="1" applyBorder="1"/>
    <xf numFmtId="43" fontId="0" fillId="0" borderId="52" xfId="1" applyFont="1" applyBorder="1"/>
    <xf numFmtId="0" fontId="2" fillId="0" borderId="20" xfId="0" applyFont="1" applyBorder="1" applyAlignment="1">
      <alignment horizontal="center" vertical="center" wrapText="1"/>
    </xf>
    <xf numFmtId="43" fontId="2" fillId="0" borderId="20" xfId="1" applyFont="1" applyBorder="1" applyAlignment="1">
      <alignment horizontal="center" vertical="center" wrapText="1"/>
    </xf>
    <xf numFmtId="43" fontId="2" fillId="0" borderId="54" xfId="1" applyFont="1" applyBorder="1" applyAlignment="1">
      <alignment horizontal="center" vertical="center" wrapText="1"/>
    </xf>
    <xf numFmtId="0" fontId="2" fillId="0" borderId="20" xfId="0" applyFont="1" applyBorder="1"/>
    <xf numFmtId="0" fontId="0" fillId="0" borderId="20" xfId="0" applyBorder="1"/>
    <xf numFmtId="43" fontId="0" fillId="0" borderId="20" xfId="1" applyFont="1" applyBorder="1"/>
    <xf numFmtId="43" fontId="2" fillId="0" borderId="54" xfId="1" applyFont="1" applyBorder="1"/>
    <xf numFmtId="0" fontId="2" fillId="0" borderId="46" xfId="0" applyFont="1" applyBorder="1"/>
    <xf numFmtId="0" fontId="2" fillId="0" borderId="47" xfId="0" applyFont="1" applyBorder="1"/>
    <xf numFmtId="43" fontId="2" fillId="0" borderId="47" xfId="1" applyFont="1" applyBorder="1"/>
    <xf numFmtId="43" fontId="2" fillId="0" borderId="48" xfId="1" applyFont="1" applyBorder="1"/>
    <xf numFmtId="9" fontId="0" fillId="0" borderId="0" xfId="0" applyNumberFormat="1" applyBorder="1" applyAlignment="1">
      <alignment horizontal="center"/>
    </xf>
    <xf numFmtId="9" fontId="0" fillId="0" borderId="51" xfId="0" applyNumberFormat="1" applyBorder="1" applyAlignment="1">
      <alignment horizontal="center"/>
    </xf>
    <xf numFmtId="0" fontId="2" fillId="0" borderId="48" xfId="0" applyFont="1" applyBorder="1"/>
    <xf numFmtId="10" fontId="0" fillId="0" borderId="0" xfId="0" applyNumberFormat="1" applyBorder="1"/>
    <xf numFmtId="43" fontId="0" fillId="0" borderId="49" xfId="0" applyNumberFormat="1" applyBorder="1"/>
    <xf numFmtId="10" fontId="0" fillId="0" borderId="51" xfId="0" applyNumberFormat="1" applyBorder="1"/>
    <xf numFmtId="43" fontId="0" fillId="0" borderId="52" xfId="0" applyNumberFormat="1" applyBorder="1"/>
    <xf numFmtId="43" fontId="0" fillId="0" borderId="45" xfId="1" applyFont="1" applyBorder="1"/>
    <xf numFmtId="43" fontId="0" fillId="0" borderId="50" xfId="1" applyFont="1" applyBorder="1"/>
    <xf numFmtId="0" fontId="2" fillId="0" borderId="3" xfId="0" applyFont="1" applyBorder="1"/>
    <xf numFmtId="43" fontId="0" fillId="0" borderId="18" xfId="0" applyNumberFormat="1" applyBorder="1"/>
    <xf numFmtId="43" fontId="0" fillId="0" borderId="17" xfId="0" applyNumberFormat="1" applyBorder="1"/>
    <xf numFmtId="43" fontId="0" fillId="0" borderId="18" xfId="1" applyFont="1" applyBorder="1"/>
    <xf numFmtId="43" fontId="0" fillId="0" borderId="17" xfId="1" applyFont="1" applyBorder="1"/>
    <xf numFmtId="2" fontId="2" fillId="0" borderId="18" xfId="0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8" xfId="0" applyFont="1" applyBorder="1"/>
    <xf numFmtId="0" fontId="0" fillId="0" borderId="18" xfId="0" applyBorder="1"/>
    <xf numFmtId="0" fontId="0" fillId="0" borderId="17" xfId="0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47" xfId="0" applyFont="1" applyBorder="1" applyAlignment="1">
      <alignment horizontal="center"/>
    </xf>
    <xf numFmtId="43" fontId="2" fillId="0" borderId="1" xfId="1" applyFont="1" applyBorder="1" applyAlignment="1">
      <alignment horizontal="center" vertical="center" wrapText="1"/>
    </xf>
    <xf numFmtId="43" fontId="2" fillId="0" borderId="18" xfId="1" applyFont="1" applyBorder="1"/>
    <xf numFmtId="43" fontId="2" fillId="0" borderId="3" xfId="1" applyFont="1" applyBorder="1"/>
    <xf numFmtId="43" fontId="0" fillId="0" borderId="53" xfId="1" applyFont="1" applyBorder="1"/>
    <xf numFmtId="43" fontId="2" fillId="0" borderId="46" xfId="1" applyFont="1" applyBorder="1"/>
    <xf numFmtId="43" fontId="0" fillId="0" borderId="3" xfId="1" applyFont="1" applyBorder="1"/>
    <xf numFmtId="43" fontId="0" fillId="0" borderId="47" xfId="1" applyFont="1" applyBorder="1"/>
    <xf numFmtId="10" fontId="0" fillId="0" borderId="0" xfId="0" applyNumberFormat="1" applyBorder="1" applyAlignment="1">
      <alignment horizontal="center"/>
    </xf>
    <xf numFmtId="10" fontId="0" fillId="0" borderId="51" xfId="0" applyNumberFormat="1" applyBorder="1" applyAlignment="1">
      <alignment horizontal="center"/>
    </xf>
    <xf numFmtId="0" fontId="2" fillId="0" borderId="5" xfId="0" applyFont="1" applyBorder="1" applyAlignment="1">
      <alignment horizontal="center"/>
    </xf>
    <xf numFmtId="10" fontId="2" fillId="0" borderId="11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3" fontId="2" fillId="0" borderId="1" xfId="1" applyFont="1" applyBorder="1"/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15" borderId="0" xfId="0" applyFont="1" applyFill="1" applyAlignment="1">
      <alignment horizontal="left" vertical="center"/>
    </xf>
    <xf numFmtId="0" fontId="9" fillId="15" borderId="0" xfId="0" applyFont="1" applyFill="1" applyAlignment="1">
      <alignment vertical="center"/>
    </xf>
    <xf numFmtId="0" fontId="7" fillId="15" borderId="0" xfId="0" applyFont="1" applyFill="1" applyAlignment="1">
      <alignment horizontal="center" vertical="center"/>
    </xf>
    <xf numFmtId="3" fontId="7" fillId="15" borderId="0" xfId="0" applyNumberFormat="1" applyFont="1" applyFill="1" applyAlignment="1">
      <alignment vertical="center"/>
    </xf>
    <xf numFmtId="0" fontId="7" fillId="15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7" fillId="16" borderId="0" xfId="3" applyFill="1" applyAlignment="1">
      <alignment horizontal="right" vertical="center" wrapText="1"/>
    </xf>
    <xf numFmtId="0" fontId="10" fillId="16" borderId="0" xfId="3" applyFont="1" applyFill="1" applyAlignment="1">
      <alignment horizontal="left" vertical="center"/>
    </xf>
    <xf numFmtId="3" fontId="7" fillId="15" borderId="0" xfId="0" applyNumberFormat="1" applyFont="1" applyFill="1" applyAlignment="1">
      <alignment horizontal="center" vertical="center"/>
    </xf>
    <xf numFmtId="4" fontId="7" fillId="15" borderId="0" xfId="0" applyNumberFormat="1" applyFont="1" applyFill="1" applyAlignment="1">
      <alignment horizontal="center" vertical="center"/>
    </xf>
    <xf numFmtId="165" fontId="10" fillId="16" borderId="0" xfId="0" applyNumberFormat="1" applyFont="1" applyFill="1" applyAlignment="1">
      <alignment horizontal="left" vertical="center"/>
    </xf>
    <xf numFmtId="3" fontId="11" fillId="15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65" fontId="10" fillId="17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center" vertical="center"/>
    </xf>
    <xf numFmtId="4" fontId="12" fillId="15" borderId="1" xfId="0" applyNumberFormat="1" applyFont="1" applyFill="1" applyBorder="1" applyAlignment="1">
      <alignment horizontal="right" vertical="center"/>
    </xf>
    <xf numFmtId="4" fontId="7" fillId="15" borderId="1" xfId="0" applyNumberFormat="1" applyFont="1" applyFill="1" applyBorder="1" applyAlignment="1">
      <alignment horizontal="right" vertical="center"/>
    </xf>
    <xf numFmtId="4" fontId="12" fillId="15" borderId="1" xfId="1" applyNumberFormat="1" applyFont="1" applyFill="1" applyBorder="1" applyAlignment="1">
      <alignment vertical="center"/>
    </xf>
    <xf numFmtId="4" fontId="10" fillId="15" borderId="1" xfId="0" applyNumberFormat="1" applyFont="1" applyFill="1" applyBorder="1" applyAlignment="1">
      <alignment vertical="center"/>
    </xf>
    <xf numFmtId="4" fontId="13" fillId="15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4" fontId="12" fillId="15" borderId="1" xfId="0" applyNumberFormat="1" applyFont="1" applyFill="1" applyBorder="1" applyAlignment="1">
      <alignment vertical="center"/>
    </xf>
    <xf numFmtId="0" fontId="9" fillId="15" borderId="0" xfId="0" applyFont="1" applyFill="1" applyAlignment="1">
      <alignment horizontal="center" vertical="center"/>
    </xf>
    <xf numFmtId="4" fontId="9" fillId="15" borderId="0" xfId="0" applyNumberFormat="1" applyFont="1" applyFill="1" applyAlignment="1">
      <alignment horizontal="center" vertical="center"/>
    </xf>
    <xf numFmtId="4" fontId="10" fillId="15" borderId="1" xfId="0" applyNumberFormat="1" applyFont="1" applyFill="1" applyBorder="1" applyAlignment="1">
      <alignment horizontal="right" vertical="center"/>
    </xf>
    <xf numFmtId="4" fontId="7" fillId="15" borderId="1" xfId="0" applyNumberFormat="1" applyFont="1" applyFill="1" applyBorder="1" applyAlignment="1">
      <alignment horizontal="center" vertical="center"/>
    </xf>
    <xf numFmtId="4" fontId="7" fillId="0" borderId="0" xfId="0" applyNumberFormat="1" applyFont="1" applyAlignment="1">
      <alignment vertical="center"/>
    </xf>
    <xf numFmtId="9" fontId="7" fillId="15" borderId="0" xfId="2" applyFont="1" applyFill="1" applyAlignment="1">
      <alignment horizontal="center" vertical="center"/>
    </xf>
    <xf numFmtId="43" fontId="7" fillId="15" borderId="0" xfId="1" applyFont="1" applyFill="1" applyAlignment="1">
      <alignment horizontal="center" vertical="center"/>
    </xf>
    <xf numFmtId="3" fontId="12" fillId="15" borderId="0" xfId="0" applyNumberFormat="1" applyFont="1" applyFill="1" applyAlignment="1">
      <alignment horizontal="center" vertical="center"/>
    </xf>
    <xf numFmtId="0" fontId="10" fillId="17" borderId="54" xfId="0" applyFont="1" applyFill="1" applyBorder="1" applyAlignment="1">
      <alignment horizontal="center" vertical="center"/>
    </xf>
    <xf numFmtId="165" fontId="10" fillId="17" borderId="54" xfId="0" applyNumberFormat="1" applyFont="1" applyFill="1" applyBorder="1" applyAlignment="1">
      <alignment horizontal="center" vertical="center"/>
    </xf>
    <xf numFmtId="0" fontId="2" fillId="0" borderId="13" xfId="0" applyFont="1" applyFill="1" applyBorder="1"/>
    <xf numFmtId="0" fontId="2" fillId="0" borderId="14" xfId="0" applyFont="1" applyFill="1" applyBorder="1"/>
    <xf numFmtId="43" fontId="2" fillId="0" borderId="14" xfId="1" applyFont="1" applyFill="1" applyBorder="1"/>
    <xf numFmtId="43" fontId="1" fillId="0" borderId="14" xfId="1" applyFont="1" applyFill="1" applyBorder="1"/>
    <xf numFmtId="43" fontId="2" fillId="0" borderId="25" xfId="1" applyFont="1" applyFill="1" applyBorder="1"/>
    <xf numFmtId="43" fontId="1" fillId="0" borderId="25" xfId="1" applyFont="1" applyFill="1" applyBorder="1"/>
    <xf numFmtId="0" fontId="0" fillId="0" borderId="9" xfId="0" applyFont="1" applyFill="1" applyBorder="1" applyAlignment="1">
      <alignment horizontal="center"/>
    </xf>
    <xf numFmtId="0" fontId="0" fillId="0" borderId="6" xfId="0" applyFont="1" applyFill="1" applyBorder="1"/>
    <xf numFmtId="0" fontId="0" fillId="0" borderId="6" xfId="0" applyFont="1" applyFill="1" applyBorder="1" applyAlignment="1">
      <alignment horizontal="center"/>
    </xf>
    <xf numFmtId="43" fontId="1" fillId="0" borderId="15" xfId="1" applyFont="1" applyFill="1" applyBorder="1"/>
    <xf numFmtId="43" fontId="1" fillId="0" borderId="6" xfId="1" applyFont="1" applyFill="1" applyBorder="1"/>
    <xf numFmtId="43" fontId="2" fillId="0" borderId="0" xfId="0" applyNumberFormat="1" applyFont="1"/>
    <xf numFmtId="43" fontId="0" fillId="6" borderId="1" xfId="1" applyFont="1" applyFill="1" applyBorder="1"/>
    <xf numFmtId="16" fontId="2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/>
    </xf>
    <xf numFmtId="0" fontId="5" fillId="0" borderId="0" xfId="4" applyFont="1" applyAlignment="1">
      <alignment vertical="center"/>
    </xf>
    <xf numFmtId="1" fontId="15" fillId="0" borderId="0" xfId="4" applyNumberFormat="1" applyFont="1" applyAlignment="1">
      <alignment vertical="center"/>
    </xf>
    <xf numFmtId="0" fontId="15" fillId="0" borderId="0" xfId="4" applyFont="1" applyAlignment="1">
      <alignment vertical="center"/>
    </xf>
    <xf numFmtId="0" fontId="15" fillId="0" borderId="0" xfId="4" applyFont="1" applyAlignment="1">
      <alignment horizontal="center" vertical="center"/>
    </xf>
    <xf numFmtId="0" fontId="16" fillId="0" borderId="0" xfId="4" applyFont="1" applyAlignment="1">
      <alignment horizontal="center" vertical="center"/>
    </xf>
    <xf numFmtId="43" fontId="15" fillId="0" borderId="0" xfId="1" applyFont="1" applyAlignment="1">
      <alignment vertical="center"/>
    </xf>
    <xf numFmtId="1" fontId="17" fillId="18" borderId="55" xfId="4" applyNumberFormat="1" applyFont="1" applyFill="1" applyBorder="1" applyAlignment="1">
      <alignment horizontal="center" vertical="center"/>
    </xf>
    <xf numFmtId="0" fontId="17" fillId="18" borderId="56" xfId="4" applyFont="1" applyFill="1" applyBorder="1" applyAlignment="1">
      <alignment horizontal="center" vertical="center"/>
    </xf>
    <xf numFmtId="43" fontId="17" fillId="18" borderId="57" xfId="1" applyFont="1" applyFill="1" applyBorder="1" applyAlignment="1">
      <alignment horizontal="center" vertical="center"/>
    </xf>
    <xf numFmtId="43" fontId="17" fillId="18" borderId="58" xfId="1" applyFont="1" applyFill="1" applyBorder="1" applyAlignment="1">
      <alignment horizontal="center" vertical="center"/>
    </xf>
    <xf numFmtId="43" fontId="17" fillId="18" borderId="59" xfId="1" applyFont="1" applyFill="1" applyBorder="1" applyAlignment="1">
      <alignment horizontal="center" vertical="center"/>
    </xf>
    <xf numFmtId="0" fontId="17" fillId="18" borderId="60" xfId="4" applyFont="1" applyFill="1" applyBorder="1" applyAlignment="1">
      <alignment horizontal="center" vertical="center"/>
    </xf>
    <xf numFmtId="0" fontId="17" fillId="18" borderId="61" xfId="4" applyFont="1" applyFill="1" applyBorder="1" applyAlignment="1">
      <alignment horizontal="center" vertical="center"/>
    </xf>
    <xf numFmtId="0" fontId="18" fillId="0" borderId="0" xfId="4" applyFont="1" applyAlignment="1">
      <alignment horizontal="center" vertical="center"/>
    </xf>
    <xf numFmtId="0" fontId="19" fillId="0" borderId="0" xfId="4" applyFont="1" applyAlignment="1">
      <alignment vertical="center"/>
    </xf>
    <xf numFmtId="0" fontId="19" fillId="0" borderId="0" xfId="4" applyFont="1" applyAlignment="1">
      <alignment horizontal="center" vertical="center"/>
    </xf>
    <xf numFmtId="1" fontId="19" fillId="0" borderId="0" xfId="4" applyNumberFormat="1" applyFont="1" applyAlignment="1">
      <alignment vertical="center"/>
    </xf>
    <xf numFmtId="0" fontId="20" fillId="0" borderId="0" xfId="4" applyFont="1" applyAlignment="1">
      <alignment horizontal="center" vertical="center"/>
    </xf>
    <xf numFmtId="43" fontId="17" fillId="18" borderId="50" xfId="1" applyFont="1" applyFill="1" applyBorder="1" applyAlignment="1">
      <alignment vertical="center"/>
    </xf>
    <xf numFmtId="43" fontId="17" fillId="18" borderId="72" xfId="1" applyFont="1" applyFill="1" applyBorder="1" applyAlignment="1">
      <alignment vertical="center"/>
    </xf>
    <xf numFmtId="43" fontId="17" fillId="18" borderId="73" xfId="1" applyFont="1" applyFill="1" applyBorder="1" applyAlignment="1">
      <alignment vertical="center"/>
    </xf>
    <xf numFmtId="167" fontId="0" fillId="0" borderId="0" xfId="0" applyNumberFormat="1"/>
    <xf numFmtId="43" fontId="19" fillId="0" borderId="0" xfId="1" applyFont="1" applyAlignment="1">
      <alignment vertical="center"/>
    </xf>
    <xf numFmtId="167" fontId="0" fillId="0" borderId="0" xfId="0" applyNumberFormat="1" applyAlignment="1">
      <alignment horizontal="left"/>
    </xf>
    <xf numFmtId="167" fontId="0" fillId="0" borderId="0" xfId="0" pivotButton="1" applyNumberFormat="1"/>
    <xf numFmtId="1" fontId="21" fillId="0" borderId="38" xfId="4" quotePrefix="1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center" vertical="center" wrapText="1"/>
    </xf>
    <xf numFmtId="0" fontId="18" fillId="0" borderId="4" xfId="4" applyFont="1" applyBorder="1" applyAlignment="1">
      <alignment horizontal="center" vertical="center"/>
    </xf>
    <xf numFmtId="43" fontId="21" fillId="0" borderId="7" xfId="1" applyFont="1" applyBorder="1" applyAlignment="1">
      <alignment horizontal="right" vertical="center" indent="1"/>
    </xf>
    <xf numFmtId="43" fontId="21" fillId="0" borderId="62" xfId="1" applyFont="1" applyBorder="1" applyAlignment="1">
      <alignment horizontal="right" vertical="center" indent="1"/>
    </xf>
    <xf numFmtId="43" fontId="21" fillId="0" borderId="63" xfId="1" applyFont="1" applyBorder="1" applyAlignment="1">
      <alignment horizontal="right" vertical="center" indent="1"/>
    </xf>
    <xf numFmtId="0" fontId="21" fillId="0" borderId="14" xfId="4" applyFont="1" applyBorder="1" applyAlignment="1">
      <alignment horizontal="left" vertical="center" wrapText="1" indent="1"/>
    </xf>
    <xf numFmtId="0" fontId="21" fillId="0" borderId="4" xfId="4" applyFont="1" applyBorder="1" applyAlignment="1">
      <alignment horizontal="center" vertical="center" wrapText="1"/>
    </xf>
    <xf numFmtId="0" fontId="21" fillId="0" borderId="39" xfId="4" applyFont="1" applyBorder="1" applyAlignment="1">
      <alignment vertical="center" wrapText="1"/>
    </xf>
    <xf numFmtId="0" fontId="21" fillId="0" borderId="0" xfId="4" applyFont="1" applyAlignment="1">
      <alignment vertical="center"/>
    </xf>
    <xf numFmtId="0" fontId="21" fillId="0" borderId="0" xfId="4" applyFont="1" applyAlignment="1">
      <alignment horizontal="center" vertical="center"/>
    </xf>
    <xf numFmtId="0" fontId="21" fillId="17" borderId="0" xfId="4" applyFont="1" applyFill="1" applyAlignment="1">
      <alignment vertical="center"/>
    </xf>
    <xf numFmtId="1" fontId="21" fillId="0" borderId="40" xfId="4" quotePrefix="1" applyNumberFormat="1" applyFont="1" applyBorder="1" applyAlignment="1">
      <alignment horizontal="center" vertical="center" wrapText="1"/>
    </xf>
    <xf numFmtId="0" fontId="22" fillId="0" borderId="5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center" vertical="center" wrapText="1"/>
    </xf>
    <xf numFmtId="0" fontId="18" fillId="0" borderId="5" xfId="4" applyFont="1" applyBorder="1" applyAlignment="1">
      <alignment horizontal="center" vertical="center"/>
    </xf>
    <xf numFmtId="43" fontId="21" fillId="0" borderId="8" xfId="1" applyFont="1" applyBorder="1" applyAlignment="1">
      <alignment horizontal="right" vertical="center" indent="1"/>
    </xf>
    <xf numFmtId="43" fontId="21" fillId="0" borderId="64" xfId="1" applyFont="1" applyBorder="1" applyAlignment="1">
      <alignment horizontal="right" vertical="center" indent="1"/>
    </xf>
    <xf numFmtId="43" fontId="21" fillId="0" borderId="65" xfId="1" applyFont="1" applyBorder="1" applyAlignment="1">
      <alignment horizontal="right" vertical="center" indent="1"/>
    </xf>
    <xf numFmtId="0" fontId="21" fillId="0" borderId="5" xfId="4" applyFont="1" applyBorder="1" applyAlignment="1">
      <alignment horizontal="center" vertical="center" wrapText="1"/>
    </xf>
    <xf numFmtId="0" fontId="21" fillId="0" borderId="41" xfId="4" applyFont="1" applyBorder="1" applyAlignment="1">
      <alignment vertical="center" wrapText="1"/>
    </xf>
    <xf numFmtId="0" fontId="21" fillId="0" borderId="41" xfId="4" applyFont="1" applyBorder="1" applyAlignment="1">
      <alignment vertical="center"/>
    </xf>
    <xf numFmtId="43" fontId="21" fillId="0" borderId="8" xfId="1" applyFont="1" applyBorder="1" applyAlignment="1">
      <alignment vertical="center"/>
    </xf>
    <xf numFmtId="0" fontId="21" fillId="0" borderId="14" xfId="4" applyFont="1" applyBorder="1" applyAlignment="1">
      <alignment vertical="center" wrapText="1"/>
    </xf>
    <xf numFmtId="0" fontId="21" fillId="0" borderId="5" xfId="4" applyFont="1" applyBorder="1" applyAlignment="1">
      <alignment horizontal="center" vertical="center"/>
    </xf>
    <xf numFmtId="43" fontId="7" fillId="0" borderId="8" xfId="1" applyFont="1" applyBorder="1" applyAlignment="1">
      <alignment vertical="center"/>
    </xf>
    <xf numFmtId="1" fontId="21" fillId="0" borderId="66" xfId="4" quotePrefix="1" applyNumberFormat="1" applyFont="1" applyBorder="1" applyAlignment="1">
      <alignment horizontal="center" vertical="center" wrapText="1"/>
    </xf>
    <xf numFmtId="0" fontId="22" fillId="0" borderId="67" xfId="0" applyFont="1" applyBorder="1" applyAlignment="1">
      <alignment horizontal="left" vertical="center" wrapText="1"/>
    </xf>
    <xf numFmtId="0" fontId="22" fillId="0" borderId="67" xfId="0" applyFont="1" applyBorder="1" applyAlignment="1">
      <alignment horizontal="center" vertical="center" wrapText="1"/>
    </xf>
    <xf numFmtId="0" fontId="18" fillId="0" borderId="67" xfId="4" applyFont="1" applyBorder="1" applyAlignment="1">
      <alignment horizontal="center" vertical="center"/>
    </xf>
    <xf numFmtId="43" fontId="7" fillId="0" borderId="68" xfId="1" applyFont="1" applyBorder="1" applyAlignment="1">
      <alignment vertical="center"/>
    </xf>
    <xf numFmtId="43" fontId="21" fillId="0" borderId="69" xfId="1" applyFont="1" applyBorder="1" applyAlignment="1">
      <alignment horizontal="right" vertical="center" indent="1"/>
    </xf>
    <xf numFmtId="0" fontId="21" fillId="0" borderId="70" xfId="4" applyFont="1" applyBorder="1" applyAlignment="1">
      <alignment vertical="center"/>
    </xf>
    <xf numFmtId="0" fontId="21" fillId="0" borderId="67" xfId="4" applyFont="1" applyBorder="1" applyAlignment="1">
      <alignment horizontal="center" vertical="center" wrapText="1"/>
    </xf>
    <xf numFmtId="0" fontId="21" fillId="0" borderId="67" xfId="4" applyFont="1" applyBorder="1" applyAlignment="1">
      <alignment horizontal="center" vertical="center"/>
    </xf>
    <xf numFmtId="0" fontId="21" fillId="0" borderId="71" xfId="4" applyFont="1" applyBorder="1" applyAlignment="1">
      <alignment vertical="center" wrapText="1"/>
    </xf>
    <xf numFmtId="1" fontId="21" fillId="0" borderId="0" xfId="4" applyNumberFormat="1" applyFont="1" applyAlignment="1">
      <alignment vertical="center"/>
    </xf>
    <xf numFmtId="0" fontId="14" fillId="18" borderId="0" xfId="4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14" borderId="33" xfId="0" applyFont="1" applyFill="1" applyBorder="1" applyAlignment="1">
      <alignment horizontal="center" vertical="center" wrapText="1"/>
    </xf>
    <xf numFmtId="0" fontId="2" fillId="14" borderId="35" xfId="0" applyFont="1" applyFill="1" applyBorder="1" applyAlignment="1">
      <alignment horizontal="center" vertical="center" wrapText="1"/>
    </xf>
    <xf numFmtId="0" fontId="2" fillId="9" borderId="33" xfId="0" applyFont="1" applyFill="1" applyBorder="1" applyAlignment="1">
      <alignment horizontal="right" vertical="center"/>
    </xf>
    <xf numFmtId="0" fontId="2" fillId="9" borderId="42" xfId="0" applyFont="1" applyFill="1" applyBorder="1" applyAlignment="1">
      <alignment horizontal="right" vertical="center"/>
    </xf>
    <xf numFmtId="0" fontId="2" fillId="11" borderId="33" xfId="0" applyFont="1" applyFill="1" applyBorder="1" applyAlignment="1">
      <alignment horizontal="center" vertical="center" wrapText="1"/>
    </xf>
    <xf numFmtId="0" fontId="2" fillId="11" borderId="34" xfId="0" applyFont="1" applyFill="1" applyBorder="1" applyAlignment="1">
      <alignment horizontal="center" vertical="center" wrapText="1"/>
    </xf>
    <xf numFmtId="0" fontId="2" fillId="11" borderId="35" xfId="0" applyFont="1" applyFill="1" applyBorder="1" applyAlignment="1">
      <alignment horizontal="center" vertical="center" wrapText="1"/>
    </xf>
    <xf numFmtId="0" fontId="2" fillId="12" borderId="33" xfId="0" applyFont="1" applyFill="1" applyBorder="1" applyAlignment="1">
      <alignment horizontal="center" vertical="center" wrapText="1"/>
    </xf>
    <xf numFmtId="0" fontId="2" fillId="12" borderId="34" xfId="0" applyFont="1" applyFill="1" applyBorder="1" applyAlignment="1">
      <alignment horizontal="center" vertical="center" wrapText="1"/>
    </xf>
    <xf numFmtId="0" fontId="2" fillId="12" borderId="35" xfId="0" applyFont="1" applyFill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 wrapText="1"/>
    </xf>
    <xf numFmtId="0" fontId="2" fillId="13" borderId="34" xfId="0" applyFont="1" applyFill="1" applyBorder="1" applyAlignment="1">
      <alignment horizontal="center" vertical="center" wrapText="1"/>
    </xf>
    <xf numFmtId="0" fontId="2" fillId="13" borderId="35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12" borderId="37" xfId="0" applyFont="1" applyFill="1" applyBorder="1" applyAlignment="1">
      <alignment horizontal="center" vertical="center" wrapText="1"/>
    </xf>
    <xf numFmtId="0" fontId="2" fillId="13" borderId="3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3" fontId="10" fillId="17" borderId="3" xfId="0" applyNumberFormat="1" applyFont="1" applyFill="1" applyBorder="1" applyAlignment="1">
      <alignment horizontal="center" vertical="center"/>
    </xf>
    <xf numFmtId="3" fontId="10" fillId="17" borderId="18" xfId="0" applyNumberFormat="1" applyFont="1" applyFill="1" applyBorder="1" applyAlignment="1">
      <alignment horizontal="center" vertical="center"/>
    </xf>
    <xf numFmtId="3" fontId="10" fillId="17" borderId="17" xfId="0" applyNumberFormat="1" applyFont="1" applyFill="1" applyBorder="1" applyAlignment="1">
      <alignment horizontal="center" vertical="center"/>
    </xf>
    <xf numFmtId="3" fontId="10" fillId="17" borderId="1" xfId="0" applyNumberFormat="1" applyFont="1" applyFill="1" applyBorder="1" applyAlignment="1">
      <alignment horizontal="center" vertical="center"/>
    </xf>
    <xf numFmtId="0" fontId="10" fillId="17" borderId="53" xfId="0" applyFont="1" applyFill="1" applyBorder="1" applyAlignment="1">
      <alignment horizontal="center" vertical="center"/>
    </xf>
    <xf numFmtId="0" fontId="10" fillId="17" borderId="20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10" fillId="17" borderId="20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5">
    <cellStyle name="Millares" xfId="1" builtinId="3"/>
    <cellStyle name="Normal" xfId="0" builtinId="0"/>
    <cellStyle name="Normal 3" xfId="4" xr:uid="{EE7B6576-955F-4393-A8FA-E7647A19DE55}"/>
    <cellStyle name="Normal_Metrados y ratios" xfId="3" xr:uid="{820CEC97-5BF1-498B-812F-E5CCFC09A160}"/>
    <cellStyle name="Porcentaje" xfId="2" builtinId="5"/>
  </cellStyles>
  <dxfs count="25">
    <dxf>
      <font>
        <color rgb="FF9C0006"/>
      </font>
    </dxf>
    <dxf>
      <numFmt numFmtId="167" formatCode="_ * #,##0.00_ ;_ * \-#,##0.00_ ;_ * &quot;-&quot;??_ ;_ @_ "/>
    </dxf>
    <dxf>
      <numFmt numFmtId="167" formatCode="_ * #,##0.00_ ;_ * \-#,##0.00_ ;_ * &quot;-&quot;??_ ;_ @_ "/>
    </dxf>
    <dxf>
      <numFmt numFmtId="167" formatCode="_ * #,##0.00_ ;_ * \-#,##0.00_ ;_ * &quot;-&quot;??_ ;_ @_ "/>
    </dxf>
    <dxf>
      <numFmt numFmtId="167" formatCode="_ * #,##0.00_ ;_ * \-#,##0.00_ ;_ * &quot;-&quot;??_ ;_ @_ "/>
    </dxf>
    <dxf>
      <numFmt numFmtId="167" formatCode="_ * #,##0.00_ ;_ * \-#,##0.00_ ;_ * &quot;-&quot;??_ ;_ @_ "/>
    </dxf>
    <dxf>
      <numFmt numFmtId="167" formatCode="_ * #,##0.00_ ;_ * \-#,##0.00_ ;_ * &quot;-&quot;??_ ;_ @_ "/>
    </dxf>
    <dxf>
      <numFmt numFmtId="167" formatCode="_ * #,##0.00_ ;_ * \-#,##0.00_ ;_ * &quot;-&quot;??_ ;_ @_ "/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B7"/>
      <color rgb="FF99FF99"/>
      <color rgb="FFC7E8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605150381-04-Informe-Semanal-de-Produccion-La-Mar-Etapa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SP%20mode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Gráficos"/>
      <sheetName val="Detalle"/>
      <sheetName val="Avance o atraso"/>
      <sheetName val="Programado"/>
      <sheetName val="Producción"/>
      <sheetName val="Recursos"/>
      <sheetName val="Semanas"/>
      <sheetName val="Proces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 xml:space="preserve">CR: </v>
          </cell>
        </row>
        <row r="5">
          <cell r="A5" t="str">
            <v>PROYECTO:</v>
          </cell>
        </row>
        <row r="6">
          <cell r="A6" t="str">
            <v>CORTE: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ula"/>
      <sheetName val="Resumen"/>
      <sheetName val="Grafico"/>
      <sheetName val="Detalle"/>
      <sheetName val="Programado"/>
      <sheetName val="Produccion"/>
      <sheetName val="Recursos"/>
      <sheetName val="Recursos Prog"/>
      <sheetName val="Semanas"/>
      <sheetName val="Procesos"/>
    </sheetNames>
    <sheetDataSet>
      <sheetData sheetId="0">
        <row r="6">
          <cell r="C6" t="str">
            <v>001</v>
          </cell>
        </row>
        <row r="7">
          <cell r="C7" t="str">
            <v>I.E. N° 1182 "EL BOSQUE" - CERCO + INGRESOS Y CASETAS</v>
          </cell>
        </row>
        <row r="8">
          <cell r="C8">
            <v>45504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B8">
            <v>1</v>
          </cell>
          <cell r="C8">
            <v>2</v>
          </cell>
          <cell r="D8">
            <v>3</v>
          </cell>
          <cell r="E8">
            <v>4</v>
          </cell>
          <cell r="F8">
            <v>5</v>
          </cell>
          <cell r="G8">
            <v>6</v>
          </cell>
          <cell r="H8">
            <v>7</v>
          </cell>
          <cell r="I8">
            <v>8</v>
          </cell>
          <cell r="J8">
            <v>9</v>
          </cell>
          <cell r="K8">
            <v>10</v>
          </cell>
          <cell r="L8">
            <v>11</v>
          </cell>
          <cell r="M8">
            <v>12</v>
          </cell>
          <cell r="N8">
            <v>13</v>
          </cell>
          <cell r="O8">
            <v>14</v>
          </cell>
          <cell r="P8">
            <v>15</v>
          </cell>
          <cell r="Q8">
            <v>16</v>
          </cell>
          <cell r="R8">
            <v>17</v>
          </cell>
          <cell r="S8">
            <v>18</v>
          </cell>
          <cell r="T8">
            <v>19</v>
          </cell>
          <cell r="U8">
            <v>20</v>
          </cell>
        </row>
        <row r="9">
          <cell r="B9">
            <v>45481</v>
          </cell>
          <cell r="C9">
            <v>45488</v>
          </cell>
          <cell r="D9">
            <v>45495</v>
          </cell>
          <cell r="E9">
            <v>45502</v>
          </cell>
          <cell r="F9">
            <v>45509</v>
          </cell>
          <cell r="G9">
            <v>45516</v>
          </cell>
          <cell r="H9">
            <v>45523</v>
          </cell>
          <cell r="I9">
            <v>45530</v>
          </cell>
          <cell r="J9">
            <v>45537</v>
          </cell>
          <cell r="K9">
            <v>45544</v>
          </cell>
          <cell r="L9">
            <v>45551</v>
          </cell>
          <cell r="M9">
            <v>45558</v>
          </cell>
          <cell r="N9">
            <v>45565</v>
          </cell>
          <cell r="O9">
            <v>45572</v>
          </cell>
          <cell r="P9">
            <v>45579</v>
          </cell>
          <cell r="Q9">
            <v>45586</v>
          </cell>
          <cell r="R9">
            <v>45593</v>
          </cell>
          <cell r="S9">
            <v>45600</v>
          </cell>
          <cell r="T9">
            <v>45607</v>
          </cell>
          <cell r="U9">
            <v>45614</v>
          </cell>
        </row>
      </sheetData>
      <sheetData sheetId="9">
        <row r="7">
          <cell r="B7" t="str">
            <v>HH</v>
          </cell>
        </row>
        <row r="12">
          <cell r="A12"/>
          <cell r="B12" t="str">
            <v>ESPECIALIDAD OBRAS PROVISIONALES, TRABAJOS PRELIMINARES, SEGURIDAD Y SALUD</v>
          </cell>
          <cell r="C12"/>
        </row>
        <row r="13">
          <cell r="A13">
            <v>100</v>
          </cell>
          <cell r="B13" t="str">
            <v>OBRAS PROVISIONALES</v>
          </cell>
          <cell r="C13" t="str">
            <v>m2</v>
          </cell>
        </row>
        <row r="14">
          <cell r="A14"/>
          <cell r="B14" t="str">
            <v>ESTRUCTURAS</v>
          </cell>
          <cell r="C14"/>
        </row>
        <row r="15">
          <cell r="A15">
            <v>200</v>
          </cell>
          <cell r="B15" t="str">
            <v>MOVIMIENTO DE TIERRAS</v>
          </cell>
          <cell r="C15" t="str">
            <v>m3</v>
          </cell>
        </row>
        <row r="16">
          <cell r="A16">
            <v>300</v>
          </cell>
          <cell r="B16" t="str">
            <v>CONCRETO</v>
          </cell>
          <cell r="C16" t="str">
            <v>m3</v>
          </cell>
        </row>
        <row r="17">
          <cell r="A17">
            <v>400</v>
          </cell>
          <cell r="B17" t="str">
            <v>ENCOFRADO</v>
          </cell>
          <cell r="C17" t="str">
            <v>m2</v>
          </cell>
        </row>
        <row r="18">
          <cell r="A18">
            <v>500</v>
          </cell>
          <cell r="B18" t="str">
            <v>ACERO</v>
          </cell>
          <cell r="C18" t="str">
            <v>kg</v>
          </cell>
        </row>
        <row r="19">
          <cell r="A19"/>
          <cell r="B19"/>
        </row>
        <row r="20">
          <cell r="A20"/>
          <cell r="B20"/>
        </row>
        <row r="21">
          <cell r="A21"/>
          <cell r="B21"/>
        </row>
        <row r="22">
          <cell r="A22"/>
          <cell r="B22"/>
        </row>
        <row r="23">
          <cell r="A23"/>
          <cell r="B23"/>
        </row>
        <row r="24">
          <cell r="A24"/>
          <cell r="B24"/>
        </row>
        <row r="25">
          <cell r="A25"/>
          <cell r="B25"/>
        </row>
        <row r="26">
          <cell r="A26"/>
          <cell r="B26"/>
        </row>
        <row r="27">
          <cell r="A27"/>
          <cell r="B27"/>
        </row>
        <row r="28">
          <cell r="A28"/>
          <cell r="B28"/>
        </row>
        <row r="29">
          <cell r="A29"/>
          <cell r="B29"/>
        </row>
        <row r="30">
          <cell r="A30"/>
          <cell r="B30"/>
        </row>
        <row r="31">
          <cell r="A31"/>
          <cell r="B31"/>
        </row>
        <row r="32">
          <cell r="A32"/>
          <cell r="B32"/>
        </row>
        <row r="33">
          <cell r="A33"/>
          <cell r="B33"/>
        </row>
        <row r="34">
          <cell r="A34"/>
          <cell r="B34"/>
        </row>
        <row r="35">
          <cell r="A35"/>
          <cell r="B35"/>
        </row>
        <row r="36">
          <cell r="A36"/>
          <cell r="B36"/>
        </row>
        <row r="37">
          <cell r="A37"/>
          <cell r="B37"/>
        </row>
        <row r="38">
          <cell r="A38"/>
          <cell r="B38"/>
        </row>
        <row r="39">
          <cell r="A39"/>
          <cell r="B39"/>
        </row>
        <row r="40">
          <cell r="A40"/>
          <cell r="B40"/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uario/Desktop/Abril%202024/Sesion%2005%20-%20Resultado%20Operativo/RO%20OBRA%20ZACARIAS%20ABRIL%202021%20REV%2000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517.817357870372" createdVersion="6" refreshedVersion="7" minRefreshableVersion="3" recordCount="28" xr:uid="{D948D450-4FE7-4692-A28D-D0BC50E46CD7}">
  <cacheSource type="worksheet">
    <worksheetSource ref="E3:I31" sheet="Riesgos y Oport." r:id="rId2"/>
  </cacheSource>
  <cacheFields count="5">
    <cacheField name="Rubro" numFmtId="0">
      <sharedItems containsBlank="1" count="11">
        <s v="METRADO"/>
        <s v="PLAZO"/>
        <s v="PANDEMIA"/>
        <s v="ALCANCE"/>
        <s v="EXTERNO"/>
        <s v="SUPERVISION"/>
        <s v="ENTIDAD"/>
        <s v="CONTRATO"/>
        <s v="INGENIERIA"/>
        <m u="1"/>
        <s v="MATERIAL" u="1"/>
      </sharedItems>
    </cacheField>
    <cacheField name="Gravedad" numFmtId="0">
      <sharedItems count="3">
        <s v="MUY BAJA"/>
        <s v="ALTA"/>
        <s v="MODERADA"/>
      </sharedItems>
    </cacheField>
    <cacheField name="Monto S/." numFmtId="167">
      <sharedItems containsString="0" containsBlank="1" containsNumber="1" minValue="-210000" maxValue="4453323.78" count="19">
        <m/>
        <n v="1889356.1271186441"/>
        <n v="210000"/>
        <n v="273000"/>
        <n v="1511396.6610169492"/>
        <n v="1511227.9745762714"/>
        <n v="180466.16949152542"/>
        <n v="266720.68338983052"/>
        <n v="4453323.78"/>
        <n v="-210000"/>
        <n v="1000000"/>
        <n v="2358836.14"/>
        <n v="514650"/>
        <n v="1008610.1694915255"/>
        <n v="78400"/>
        <n v="182983.6"/>
        <n v="0"/>
        <n v="3582801.216"/>
        <n v="100000"/>
      </sharedItems>
    </cacheField>
    <cacheField name="Amenazas" numFmtId="167">
      <sharedItems containsString="0" containsBlank="1" containsNumber="1" minValue="-4453323.78" maxValue="0" count="12">
        <n v="0"/>
        <m/>
        <n v="-4453323.78"/>
        <n v="-210000"/>
        <n v="-1000000"/>
        <n v="-2358836.14"/>
        <n v="-514650"/>
        <n v="-1008610.1694915255"/>
        <n v="-78400"/>
        <n v="-182983.6"/>
        <n v="-3582801.216"/>
        <n v="-100000"/>
      </sharedItems>
    </cacheField>
    <cacheField name="Oportunidad" numFmtId="167">
      <sharedItems containsString="0" containsBlank="1" containsNumber="1" minValue="0" maxValue="1826087.1671186441" count="12">
        <m/>
        <n v="1826087.1671186441"/>
        <n v="210000"/>
        <n v="273000"/>
        <n v="1470720.9010169492"/>
        <n v="1511227.9745762714"/>
        <n v="180466.16949152542"/>
        <n v="266720.68338983052"/>
        <n v="445332.37800000003"/>
        <n v="235883.61400000003"/>
        <n v="20586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x v="0"/>
    <x v="0"/>
    <x v="0"/>
  </r>
  <r>
    <x v="0"/>
    <x v="0"/>
    <x v="0"/>
    <x v="0"/>
    <x v="0"/>
  </r>
  <r>
    <x v="0"/>
    <x v="1"/>
    <x v="0"/>
    <x v="0"/>
    <x v="0"/>
  </r>
  <r>
    <x v="0"/>
    <x v="0"/>
    <x v="0"/>
    <x v="0"/>
    <x v="0"/>
  </r>
  <r>
    <x v="0"/>
    <x v="1"/>
    <x v="0"/>
    <x v="0"/>
    <x v="0"/>
  </r>
  <r>
    <x v="0"/>
    <x v="2"/>
    <x v="0"/>
    <x v="0"/>
    <x v="0"/>
  </r>
  <r>
    <x v="1"/>
    <x v="1"/>
    <x v="1"/>
    <x v="1"/>
    <x v="1"/>
  </r>
  <r>
    <x v="1"/>
    <x v="2"/>
    <x v="2"/>
    <x v="1"/>
    <x v="2"/>
  </r>
  <r>
    <x v="1"/>
    <x v="1"/>
    <x v="3"/>
    <x v="1"/>
    <x v="3"/>
  </r>
  <r>
    <x v="1"/>
    <x v="1"/>
    <x v="4"/>
    <x v="1"/>
    <x v="4"/>
  </r>
  <r>
    <x v="2"/>
    <x v="1"/>
    <x v="5"/>
    <x v="1"/>
    <x v="5"/>
  </r>
  <r>
    <x v="2"/>
    <x v="1"/>
    <x v="6"/>
    <x v="1"/>
    <x v="6"/>
  </r>
  <r>
    <x v="2"/>
    <x v="1"/>
    <x v="7"/>
    <x v="1"/>
    <x v="7"/>
  </r>
  <r>
    <x v="2"/>
    <x v="2"/>
    <x v="0"/>
    <x v="0"/>
    <x v="0"/>
  </r>
  <r>
    <x v="3"/>
    <x v="2"/>
    <x v="8"/>
    <x v="2"/>
    <x v="8"/>
  </r>
  <r>
    <x v="4"/>
    <x v="0"/>
    <x v="9"/>
    <x v="3"/>
    <x v="0"/>
  </r>
  <r>
    <x v="5"/>
    <x v="2"/>
    <x v="10"/>
    <x v="4"/>
    <x v="0"/>
  </r>
  <r>
    <x v="3"/>
    <x v="1"/>
    <x v="11"/>
    <x v="5"/>
    <x v="9"/>
  </r>
  <r>
    <x v="5"/>
    <x v="2"/>
    <x v="12"/>
    <x v="6"/>
    <x v="10"/>
  </r>
  <r>
    <x v="6"/>
    <x v="1"/>
    <x v="13"/>
    <x v="7"/>
    <x v="0"/>
  </r>
  <r>
    <x v="6"/>
    <x v="2"/>
    <x v="14"/>
    <x v="8"/>
    <x v="0"/>
  </r>
  <r>
    <x v="3"/>
    <x v="0"/>
    <x v="15"/>
    <x v="9"/>
    <x v="0"/>
  </r>
  <r>
    <x v="7"/>
    <x v="2"/>
    <x v="16"/>
    <x v="0"/>
    <x v="0"/>
  </r>
  <r>
    <x v="6"/>
    <x v="0"/>
    <x v="16"/>
    <x v="0"/>
    <x v="0"/>
  </r>
  <r>
    <x v="8"/>
    <x v="2"/>
    <x v="16"/>
    <x v="0"/>
    <x v="0"/>
  </r>
  <r>
    <x v="8"/>
    <x v="0"/>
    <x v="16"/>
    <x v="0"/>
    <x v="11"/>
  </r>
  <r>
    <x v="8"/>
    <x v="0"/>
    <x v="17"/>
    <x v="10"/>
    <x v="0"/>
  </r>
  <r>
    <x v="3"/>
    <x v="0"/>
    <x v="18"/>
    <x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6D962-5D19-4B7F-9043-DB266B4F46EE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>
  <location ref="B19:D29" firstHeaderRow="0" firstDataRow="1" firstDataCol="1"/>
  <pivotFields count="5">
    <pivotField axis="axisRow" showAll="0">
      <items count="12">
        <item m="1" x="10"/>
        <item x="0"/>
        <item x="2"/>
        <item x="1"/>
        <item m="1" x="9"/>
        <item x="3"/>
        <item x="4"/>
        <item x="5"/>
        <item x="7"/>
        <item x="6"/>
        <item x="8"/>
        <item t="default"/>
      </items>
    </pivotField>
    <pivotField showAll="0"/>
    <pivotField showAll="0"/>
    <pivotField dataField="1" showAll="0" defaultSubtotal="0"/>
    <pivotField dataField="1" showAll="0"/>
  </pivotFields>
  <rowFields count="1">
    <field x="0"/>
  </rowFields>
  <rowItems count="10"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Amenazas" fld="3" baseField="0" baseItem="4"/>
    <dataField name="Suma de Oportunidad" fld="4" baseField="1" baseItem="2" numFmtId="167"/>
  </dataFields>
  <formats count="7"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2C8F0-7779-4325-84EC-E7EFBEFDC79A}">
  <dimension ref="A1:AF36"/>
  <sheetViews>
    <sheetView zoomScaleNormal="100" workbookViewId="0">
      <selection activeCell="I4" sqref="I4"/>
    </sheetView>
  </sheetViews>
  <sheetFormatPr baseColWidth="10" defaultRowHeight="11.25" x14ac:dyDescent="0.25"/>
  <cols>
    <col min="1" max="1" width="5.85546875" style="392" bestFit="1" customWidth="1"/>
    <col min="2" max="2" width="44.7109375" style="390" customWidth="1"/>
    <col min="3" max="3" width="19.28515625" style="391" bestFit="1" customWidth="1"/>
    <col min="4" max="4" width="53.85546875" style="390" customWidth="1"/>
    <col min="5" max="5" width="14.5703125" style="391" customWidth="1"/>
    <col min="6" max="6" width="13.7109375" style="393" customWidth="1"/>
    <col min="7" max="9" width="16.42578125" style="398" customWidth="1"/>
    <col min="10" max="10" width="24.140625" style="390" customWidth="1"/>
    <col min="11" max="11" width="24.140625" style="391" customWidth="1"/>
    <col min="12" max="12" width="19.42578125" style="391" customWidth="1"/>
    <col min="13" max="13" width="52.5703125" style="390" customWidth="1"/>
    <col min="14" max="16384" width="11.42578125" style="390"/>
  </cols>
  <sheetData>
    <row r="1" spans="1:32" s="376" customFormat="1" ht="19.5" customHeight="1" x14ac:dyDescent="0.25">
      <c r="A1" s="439" t="s">
        <v>359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</row>
    <row r="2" spans="1:32" s="378" customFormat="1" ht="3.75" customHeight="1" thickBot="1" x14ac:dyDescent="0.3">
      <c r="A2" s="377"/>
      <c r="C2" s="379"/>
      <c r="E2" s="379"/>
      <c r="F2" s="380"/>
      <c r="G2" s="381"/>
      <c r="H2" s="381"/>
      <c r="I2" s="381"/>
      <c r="K2" s="379"/>
    </row>
    <row r="3" spans="1:32" s="389" customFormat="1" ht="29.25" customHeight="1" x14ac:dyDescent="0.25">
      <c r="A3" s="382" t="s">
        <v>360</v>
      </c>
      <c r="B3" s="383" t="s">
        <v>361</v>
      </c>
      <c r="C3" s="383" t="s">
        <v>362</v>
      </c>
      <c r="D3" s="383" t="s">
        <v>363</v>
      </c>
      <c r="E3" s="383" t="s">
        <v>364</v>
      </c>
      <c r="F3" s="383" t="s">
        <v>365</v>
      </c>
      <c r="G3" s="384" t="s">
        <v>366</v>
      </c>
      <c r="H3" s="385" t="s">
        <v>367</v>
      </c>
      <c r="I3" s="386" t="s">
        <v>368</v>
      </c>
      <c r="J3" s="387" t="s">
        <v>369</v>
      </c>
      <c r="K3" s="383" t="s">
        <v>370</v>
      </c>
      <c r="L3" s="383" t="s">
        <v>371</v>
      </c>
      <c r="M3" s="388" t="s">
        <v>372</v>
      </c>
    </row>
    <row r="4" spans="1:32" s="411" customFormat="1" ht="59.25" customHeight="1" x14ac:dyDescent="0.25">
      <c r="A4" s="401" t="s">
        <v>70</v>
      </c>
      <c r="B4" s="402" t="s">
        <v>373</v>
      </c>
      <c r="C4" s="403" t="s">
        <v>374</v>
      </c>
      <c r="D4" s="402" t="s">
        <v>375</v>
      </c>
      <c r="E4" s="403" t="s">
        <v>5</v>
      </c>
      <c r="F4" s="404" t="s">
        <v>376</v>
      </c>
      <c r="G4" s="405">
        <v>15000</v>
      </c>
      <c r="H4" s="406">
        <f t="shared" ref="H4:H11" si="0">+IF(G4&gt;0,G4,0)</f>
        <v>15000</v>
      </c>
      <c r="I4" s="407"/>
      <c r="J4" s="408" t="s">
        <v>410</v>
      </c>
      <c r="K4" s="409" t="s">
        <v>377</v>
      </c>
      <c r="L4" s="409" t="s">
        <v>378</v>
      </c>
      <c r="M4" s="410" t="s">
        <v>379</v>
      </c>
      <c r="AE4" s="412" t="s">
        <v>380</v>
      </c>
      <c r="AF4" s="413"/>
    </row>
    <row r="5" spans="1:32" s="411" customFormat="1" ht="59.25" customHeight="1" x14ac:dyDescent="0.25">
      <c r="A5" s="414">
        <f>+A4+1</f>
        <v>2</v>
      </c>
      <c r="B5" s="415" t="s">
        <v>381</v>
      </c>
      <c r="C5" s="416" t="s">
        <v>138</v>
      </c>
      <c r="D5" s="415" t="s">
        <v>375</v>
      </c>
      <c r="E5" s="416" t="s">
        <v>5</v>
      </c>
      <c r="F5" s="417" t="s">
        <v>376</v>
      </c>
      <c r="G5" s="418">
        <v>25000</v>
      </c>
      <c r="H5" s="419">
        <f t="shared" si="0"/>
        <v>25000</v>
      </c>
      <c r="I5" s="420"/>
      <c r="J5" s="408" t="s">
        <v>410</v>
      </c>
      <c r="K5" s="421" t="s">
        <v>377</v>
      </c>
      <c r="L5" s="421" t="s">
        <v>378</v>
      </c>
      <c r="M5" s="422" t="s">
        <v>379</v>
      </c>
      <c r="AE5" s="412" t="s">
        <v>380</v>
      </c>
      <c r="AF5" s="413"/>
    </row>
    <row r="6" spans="1:32" s="411" customFormat="1" ht="50.25" customHeight="1" x14ac:dyDescent="0.25">
      <c r="A6" s="414">
        <f>+A5+1</f>
        <v>3</v>
      </c>
      <c r="B6" s="415" t="s">
        <v>388</v>
      </c>
      <c r="C6" s="416" t="s">
        <v>383</v>
      </c>
      <c r="D6" s="415" t="s">
        <v>408</v>
      </c>
      <c r="E6" s="416" t="s">
        <v>393</v>
      </c>
      <c r="F6" s="417" t="s">
        <v>380</v>
      </c>
      <c r="G6" s="418">
        <v>5000</v>
      </c>
      <c r="H6" s="419">
        <f t="shared" si="0"/>
        <v>5000</v>
      </c>
      <c r="I6" s="420"/>
      <c r="J6" s="408" t="s">
        <v>411</v>
      </c>
      <c r="K6" s="421" t="s">
        <v>385</v>
      </c>
      <c r="L6" s="421" t="s">
        <v>386</v>
      </c>
      <c r="M6" s="422" t="s">
        <v>387</v>
      </c>
    </row>
    <row r="7" spans="1:32" s="411" customFormat="1" ht="55.5" customHeight="1" x14ac:dyDescent="0.25">
      <c r="A7" s="414">
        <f>+A6+1</f>
        <v>4</v>
      </c>
      <c r="B7" s="415" t="s">
        <v>392</v>
      </c>
      <c r="C7" s="416" t="s">
        <v>383</v>
      </c>
      <c r="D7" s="415" t="s">
        <v>414</v>
      </c>
      <c r="E7" s="416" t="s">
        <v>393</v>
      </c>
      <c r="F7" s="417" t="s">
        <v>376</v>
      </c>
      <c r="G7" s="424">
        <v>5000</v>
      </c>
      <c r="H7" s="419">
        <f t="shared" si="0"/>
        <v>5000</v>
      </c>
      <c r="I7" s="420"/>
      <c r="J7" s="425" t="s">
        <v>412</v>
      </c>
      <c r="K7" s="421" t="s">
        <v>377</v>
      </c>
      <c r="L7" s="426" t="s">
        <v>394</v>
      </c>
      <c r="M7" s="422" t="s">
        <v>395</v>
      </c>
    </row>
    <row r="8" spans="1:32" s="411" customFormat="1" ht="53.25" customHeight="1" x14ac:dyDescent="0.25">
      <c r="A8" s="414">
        <f t="shared" ref="A8:A9" si="1">+A7+1</f>
        <v>5</v>
      </c>
      <c r="B8" s="415" t="s">
        <v>397</v>
      </c>
      <c r="C8" s="416" t="s">
        <v>382</v>
      </c>
      <c r="D8" s="415" t="s">
        <v>416</v>
      </c>
      <c r="E8" s="416" t="s">
        <v>393</v>
      </c>
      <c r="F8" s="417" t="s">
        <v>380</v>
      </c>
      <c r="G8" s="427">
        <v>3000</v>
      </c>
      <c r="H8" s="419">
        <f t="shared" si="0"/>
        <v>3000</v>
      </c>
      <c r="I8" s="420"/>
      <c r="J8" s="425" t="s">
        <v>413</v>
      </c>
      <c r="K8" s="421" t="s">
        <v>377</v>
      </c>
      <c r="L8" s="426" t="s">
        <v>391</v>
      </c>
      <c r="M8" s="422" t="s">
        <v>399</v>
      </c>
    </row>
    <row r="9" spans="1:32" s="411" customFormat="1" ht="76.5" x14ac:dyDescent="0.25">
      <c r="A9" s="414">
        <f t="shared" si="1"/>
        <v>6</v>
      </c>
      <c r="B9" s="415" t="s">
        <v>407</v>
      </c>
      <c r="C9" s="416" t="s">
        <v>138</v>
      </c>
      <c r="D9" s="415" t="s">
        <v>415</v>
      </c>
      <c r="E9" s="416" t="s">
        <v>393</v>
      </c>
      <c r="F9" s="417" t="s">
        <v>376</v>
      </c>
      <c r="G9" s="427"/>
      <c r="H9" s="419">
        <f t="shared" si="0"/>
        <v>0</v>
      </c>
      <c r="I9" s="420"/>
      <c r="J9" s="425" t="s">
        <v>409</v>
      </c>
      <c r="K9" s="421" t="s">
        <v>377</v>
      </c>
      <c r="L9" s="426" t="s">
        <v>378</v>
      </c>
      <c r="M9" s="422" t="s">
        <v>400</v>
      </c>
    </row>
    <row r="10" spans="1:32" s="411" customFormat="1" ht="28.5" customHeight="1" x14ac:dyDescent="0.25">
      <c r="A10" s="414">
        <f t="shared" ref="A10:A11" si="2">+A9+1</f>
        <v>7</v>
      </c>
      <c r="B10" s="415"/>
      <c r="C10" s="416"/>
      <c r="D10" s="415"/>
      <c r="E10" s="416"/>
      <c r="F10" s="417" t="s">
        <v>376</v>
      </c>
      <c r="G10" s="427"/>
      <c r="H10" s="419">
        <f t="shared" si="0"/>
        <v>0</v>
      </c>
      <c r="I10" s="420"/>
      <c r="J10" s="425"/>
      <c r="K10" s="421"/>
      <c r="L10" s="421"/>
      <c r="M10" s="423"/>
    </row>
    <row r="11" spans="1:32" s="411" customFormat="1" ht="28.5" customHeight="1" thickBot="1" x14ac:dyDescent="0.3">
      <c r="A11" s="428">
        <f t="shared" si="2"/>
        <v>8</v>
      </c>
      <c r="B11" s="429"/>
      <c r="C11" s="430"/>
      <c r="D11" s="429"/>
      <c r="E11" s="430"/>
      <c r="F11" s="431" t="s">
        <v>376</v>
      </c>
      <c r="G11" s="432"/>
      <c r="H11" s="419">
        <f t="shared" si="0"/>
        <v>0</v>
      </c>
      <c r="I11" s="433"/>
      <c r="J11" s="434"/>
      <c r="K11" s="435"/>
      <c r="L11" s="436"/>
      <c r="M11" s="437"/>
    </row>
    <row r="12" spans="1:32" s="411" customFormat="1" ht="15" customHeight="1" thickBot="1" x14ac:dyDescent="0.3">
      <c r="A12" s="438"/>
      <c r="C12" s="412"/>
      <c r="E12" s="412"/>
      <c r="F12" s="389"/>
      <c r="G12" s="394">
        <f>SUM(G4:G11)</f>
        <v>53000</v>
      </c>
      <c r="H12" s="395">
        <f>SUM(H4:H11)</f>
        <v>53000</v>
      </c>
      <c r="I12" s="396">
        <f>SUM(I4:I11)</f>
        <v>0</v>
      </c>
    </row>
    <row r="19" spans="2:6" ht="15" customHeight="1" x14ac:dyDescent="0.25">
      <c r="B19" s="400" t="s">
        <v>403</v>
      </c>
      <c r="C19" s="397" t="s">
        <v>404</v>
      </c>
      <c r="D19" s="397" t="s">
        <v>405</v>
      </c>
      <c r="E19" s="390"/>
      <c r="F19" s="390"/>
    </row>
    <row r="20" spans="2:6" ht="15" customHeight="1" x14ac:dyDescent="0.25">
      <c r="B20" s="399" t="s">
        <v>5</v>
      </c>
      <c r="C20" s="397">
        <v>0</v>
      </c>
      <c r="D20" s="397"/>
      <c r="E20" s="390"/>
      <c r="F20" s="390"/>
    </row>
    <row r="21" spans="2:6" ht="15" customHeight="1" x14ac:dyDescent="0.25">
      <c r="B21" s="399" t="s">
        <v>389</v>
      </c>
      <c r="C21" s="397">
        <v>0</v>
      </c>
      <c r="D21" s="397">
        <v>1958414.8274576273</v>
      </c>
      <c r="E21" s="390"/>
      <c r="F21" s="390"/>
    </row>
    <row r="22" spans="2:6" ht="15" customHeight="1" x14ac:dyDescent="0.25">
      <c r="B22" s="399" t="s">
        <v>384</v>
      </c>
      <c r="C22" s="397"/>
      <c r="D22" s="397">
        <v>3779808.0681355936</v>
      </c>
      <c r="E22" s="390"/>
      <c r="F22" s="390"/>
    </row>
    <row r="23" spans="2:6" ht="15" customHeight="1" x14ac:dyDescent="0.25">
      <c r="B23" s="399" t="s">
        <v>390</v>
      </c>
      <c r="C23" s="397">
        <v>-7095143.5199999996</v>
      </c>
      <c r="D23" s="397">
        <v>681215.99200000009</v>
      </c>
      <c r="E23" s="390"/>
      <c r="F23" s="390"/>
    </row>
    <row r="24" spans="2:6" ht="15" customHeight="1" x14ac:dyDescent="0.25">
      <c r="B24" s="399" t="s">
        <v>393</v>
      </c>
      <c r="C24" s="397">
        <v>-210000</v>
      </c>
      <c r="D24" s="397"/>
      <c r="E24" s="390"/>
      <c r="F24" s="390"/>
    </row>
    <row r="25" spans="2:6" ht="15" customHeight="1" x14ac:dyDescent="0.25">
      <c r="B25" s="399" t="s">
        <v>396</v>
      </c>
      <c r="C25" s="397">
        <v>-1514650</v>
      </c>
      <c r="D25" s="397">
        <v>20586</v>
      </c>
      <c r="E25" s="390"/>
      <c r="F25" s="390"/>
    </row>
    <row r="26" spans="2:6" ht="15" customHeight="1" x14ac:dyDescent="0.25">
      <c r="B26" s="399" t="s">
        <v>401</v>
      </c>
      <c r="C26" s="397">
        <v>0</v>
      </c>
      <c r="D26" s="397"/>
      <c r="E26" s="390"/>
      <c r="F26" s="390"/>
    </row>
    <row r="27" spans="2:6" ht="15" customHeight="1" x14ac:dyDescent="0.25">
      <c r="B27" s="399" t="s">
        <v>398</v>
      </c>
      <c r="C27" s="397">
        <v>-1087010.1694915255</v>
      </c>
      <c r="D27" s="397"/>
      <c r="E27"/>
      <c r="F27"/>
    </row>
    <row r="28" spans="2:6" ht="15" customHeight="1" x14ac:dyDescent="0.25">
      <c r="B28" s="399" t="s">
        <v>402</v>
      </c>
      <c r="C28" s="397">
        <v>-3582801.216</v>
      </c>
      <c r="D28" s="397">
        <v>0</v>
      </c>
      <c r="E28"/>
      <c r="F28"/>
    </row>
    <row r="29" spans="2:6" ht="15" customHeight="1" x14ac:dyDescent="0.25">
      <c r="B29" s="399" t="s">
        <v>406</v>
      </c>
      <c r="C29" s="397">
        <v>-13489604.905491525</v>
      </c>
      <c r="D29" s="397">
        <v>6440024.8875932209</v>
      </c>
      <c r="E29"/>
      <c r="F29"/>
    </row>
    <row r="30" spans="2:6" ht="15" customHeight="1" x14ac:dyDescent="0.25">
      <c r="B30"/>
      <c r="C30"/>
      <c r="D30"/>
      <c r="E30"/>
      <c r="F30"/>
    </row>
    <row r="31" spans="2:6" ht="15" customHeight="1" x14ac:dyDescent="0.25">
      <c r="B31"/>
      <c r="C31"/>
      <c r="D31"/>
      <c r="E31"/>
      <c r="F31"/>
    </row>
    <row r="32" spans="2:6" ht="15" customHeight="1" x14ac:dyDescent="0.25">
      <c r="D32"/>
      <c r="E32"/>
      <c r="F32"/>
    </row>
    <row r="33" spans="4:6" ht="15" customHeight="1" x14ac:dyDescent="0.25">
      <c r="D33"/>
      <c r="E33"/>
      <c r="F33"/>
    </row>
    <row r="34" spans="4:6" ht="15" customHeight="1" x14ac:dyDescent="0.25">
      <c r="D34"/>
      <c r="E34"/>
      <c r="F34"/>
    </row>
    <row r="35" spans="4:6" ht="15" customHeight="1" x14ac:dyDescent="0.25">
      <c r="D35"/>
      <c r="E35"/>
      <c r="F35"/>
    </row>
    <row r="36" spans="4:6" ht="15" customHeight="1" x14ac:dyDescent="0.25">
      <c r="D36"/>
      <c r="E36"/>
      <c r="F36"/>
    </row>
  </sheetData>
  <mergeCells count="1">
    <mergeCell ref="A1:M1"/>
  </mergeCells>
  <conditionalFormatting sqref="F5:F6">
    <cfRule type="cellIs" dxfId="24" priority="23" operator="equal">
      <formula>"MUY BAJA"</formula>
    </cfRule>
    <cfRule type="cellIs" dxfId="23" priority="24" operator="equal">
      <formula>"BAJA"</formula>
    </cfRule>
    <cfRule type="cellIs" dxfId="22" priority="25" operator="equal">
      <formula>"MEDIA"</formula>
    </cfRule>
    <cfRule type="cellIs" dxfId="21" priority="26" operator="equal">
      <formula>"ALTA"</formula>
    </cfRule>
    <cfRule type="cellIs" dxfId="20" priority="27" operator="equal">
      <formula>"MUY ALTA"</formula>
    </cfRule>
  </conditionalFormatting>
  <conditionalFormatting sqref="F5:F14">
    <cfRule type="cellIs" dxfId="19" priority="22" operator="equal">
      <formula>"moderada"</formula>
    </cfRule>
  </conditionalFormatting>
  <conditionalFormatting sqref="F1:F3 F37:F1048576 D19 F5:F18">
    <cfRule type="cellIs" dxfId="18" priority="20" operator="equal">
      <formula>"alta"</formula>
    </cfRule>
    <cfRule type="cellIs" dxfId="17" priority="21" operator="equal">
      <formula>"muy baja"</formula>
    </cfRule>
  </conditionalFormatting>
  <conditionalFormatting sqref="F4">
    <cfRule type="cellIs" dxfId="16" priority="14" operator="equal">
      <formula>"MUY BAJA"</formula>
    </cfRule>
    <cfRule type="cellIs" dxfId="15" priority="15" operator="equal">
      <formula>"BAJA"</formula>
    </cfRule>
    <cfRule type="cellIs" dxfId="14" priority="16" operator="equal">
      <formula>"MEDIA"</formula>
    </cfRule>
    <cfRule type="cellIs" dxfId="13" priority="17" operator="equal">
      <formula>"ALTA"</formula>
    </cfRule>
    <cfRule type="cellIs" dxfId="12" priority="18" operator="equal">
      <formula>"MUY ALTA"</formula>
    </cfRule>
  </conditionalFormatting>
  <conditionalFormatting sqref="F4">
    <cfRule type="cellIs" dxfId="11" priority="12" operator="equal">
      <formula>"alta"</formula>
    </cfRule>
    <cfRule type="cellIs" dxfId="10" priority="13" operator="equal">
      <formula>"muy baja"</formula>
    </cfRule>
  </conditionalFormatting>
  <conditionalFormatting sqref="F4">
    <cfRule type="cellIs" dxfId="9" priority="11" operator="equal">
      <formula>"moderada"</formula>
    </cfRule>
  </conditionalFormatting>
  <conditionalFormatting sqref="F37:F1048576 D19 F1:F18">
    <cfRule type="cellIs" dxfId="8" priority="10" operator="equal">
      <formula>"MODERADA"</formula>
    </cfRule>
  </conditionalFormatting>
  <dataValidations disablePrompts="1" count="1">
    <dataValidation type="list" allowBlank="1" showInputMessage="1" showErrorMessage="1" sqref="F4:F11" xr:uid="{EAA2FC6E-C920-44AC-B894-2750934E6F60}">
      <formula1>$AE$5:$AE$5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"/>
  <sheetViews>
    <sheetView zoomScale="70" zoomScaleNormal="70" workbookViewId="0">
      <selection activeCell="I81" sqref="I81"/>
    </sheetView>
  </sheetViews>
  <sheetFormatPr baseColWidth="10" defaultRowHeight="15" x14ac:dyDescent="0.25"/>
  <cols>
    <col min="1" max="1" width="11.42578125" style="1"/>
    <col min="3" max="3" width="52.7109375" customWidth="1"/>
    <col min="5" max="5" width="11.5703125" style="148" customWidth="1"/>
    <col min="6" max="6" width="12" customWidth="1"/>
    <col min="7" max="7" width="14.5703125" customWidth="1"/>
    <col min="8" max="8" width="5.42578125" customWidth="1"/>
    <col min="9" max="9" width="11.140625" customWidth="1"/>
    <col min="10" max="10" width="11.28515625" customWidth="1"/>
    <col min="11" max="11" width="14" customWidth="1"/>
    <col min="12" max="12" width="5.85546875" customWidth="1"/>
    <col min="14" max="14" width="11.5703125" customWidth="1"/>
    <col min="15" max="15" width="15.5703125" customWidth="1"/>
    <col min="16" max="16" width="13.5703125" customWidth="1"/>
    <col min="17" max="17" width="13.42578125" customWidth="1"/>
    <col min="18" max="18" width="13.5703125" customWidth="1"/>
    <col min="19" max="19" width="17.140625" customWidth="1"/>
    <col min="20" max="20" width="14.5703125" customWidth="1"/>
  </cols>
  <sheetData>
    <row r="1" spans="1:22" s="2" customFormat="1" x14ac:dyDescent="0.25">
      <c r="A1" s="48" t="s">
        <v>0</v>
      </c>
      <c r="E1" s="147"/>
    </row>
    <row r="2" spans="1:22" x14ac:dyDescent="0.25">
      <c r="M2" s="85"/>
    </row>
    <row r="3" spans="1:22" s="2" customFormat="1" x14ac:dyDescent="0.25">
      <c r="A3" s="5" t="s">
        <v>16</v>
      </c>
      <c r="B3" s="2" t="s">
        <v>69</v>
      </c>
      <c r="E3" s="147"/>
    </row>
    <row r="5" spans="1:22" ht="15" customHeight="1" x14ac:dyDescent="0.25">
      <c r="A5" s="441" t="s">
        <v>1</v>
      </c>
      <c r="B5" s="441" t="s">
        <v>2</v>
      </c>
      <c r="C5" s="441" t="s">
        <v>15</v>
      </c>
      <c r="D5" s="441" t="s">
        <v>3</v>
      </c>
      <c r="E5" s="441" t="s">
        <v>346</v>
      </c>
      <c r="F5" s="441"/>
      <c r="G5" s="441"/>
      <c r="H5" s="3"/>
      <c r="I5" s="442" t="s">
        <v>54</v>
      </c>
      <c r="J5" s="442"/>
      <c r="K5" s="442"/>
      <c r="L5" s="3"/>
      <c r="M5" s="440" t="s">
        <v>14</v>
      </c>
      <c r="N5" s="440"/>
      <c r="O5" s="440"/>
      <c r="P5" s="440"/>
      <c r="Q5" s="440"/>
      <c r="R5" s="440"/>
      <c r="S5" s="440"/>
      <c r="T5" s="440"/>
    </row>
    <row r="6" spans="1:22" x14ac:dyDescent="0.25">
      <c r="A6" s="443"/>
      <c r="B6" s="443"/>
      <c r="C6" s="443"/>
      <c r="D6" s="443"/>
      <c r="E6" s="113" t="s">
        <v>5</v>
      </c>
      <c r="F6" s="55" t="s">
        <v>6</v>
      </c>
      <c r="G6" s="55" t="s">
        <v>7</v>
      </c>
      <c r="H6" s="3"/>
      <c r="I6" s="56" t="s">
        <v>5</v>
      </c>
      <c r="J6" s="56" t="s">
        <v>6</v>
      </c>
      <c r="K6" s="56" t="s">
        <v>7</v>
      </c>
      <c r="L6" s="3"/>
      <c r="M6" s="57" t="s">
        <v>5</v>
      </c>
      <c r="N6" s="57" t="s">
        <v>6</v>
      </c>
      <c r="O6" s="57" t="s">
        <v>8</v>
      </c>
      <c r="P6" s="57" t="s">
        <v>9</v>
      </c>
      <c r="Q6" s="57" t="s">
        <v>10</v>
      </c>
      <c r="R6" s="57" t="s">
        <v>11</v>
      </c>
      <c r="S6" s="57" t="s">
        <v>12</v>
      </c>
      <c r="T6" s="57" t="s">
        <v>7</v>
      </c>
    </row>
    <row r="7" spans="1:22" s="2" customFormat="1" x14ac:dyDescent="0.25">
      <c r="A7" s="45"/>
      <c r="B7" s="116" t="s">
        <v>70</v>
      </c>
      <c r="C7" s="95" t="s">
        <v>133</v>
      </c>
      <c r="D7" s="94"/>
      <c r="E7" s="118"/>
      <c r="F7" s="21"/>
      <c r="G7" s="17"/>
      <c r="I7" s="15"/>
      <c r="J7" s="95"/>
      <c r="K7" s="17"/>
      <c r="M7" s="164"/>
      <c r="N7" s="7"/>
      <c r="O7" s="58"/>
      <c r="P7" s="59"/>
      <c r="Q7" s="59"/>
      <c r="R7" s="59"/>
      <c r="S7" s="59"/>
      <c r="T7" s="7"/>
    </row>
    <row r="8" spans="1:22" s="2" customFormat="1" x14ac:dyDescent="0.25">
      <c r="A8" s="98"/>
      <c r="B8" s="117" t="s">
        <v>71</v>
      </c>
      <c r="C8" s="97" t="s">
        <v>134</v>
      </c>
      <c r="D8" s="96"/>
      <c r="E8" s="119"/>
      <c r="F8" s="22"/>
      <c r="G8" s="18"/>
      <c r="I8" s="16"/>
      <c r="J8" s="97"/>
      <c r="K8" s="18"/>
      <c r="M8" s="165"/>
      <c r="N8" s="8"/>
      <c r="O8" s="60"/>
      <c r="P8" s="61"/>
      <c r="Q8" s="61"/>
      <c r="R8" s="61"/>
      <c r="S8" s="61"/>
      <c r="T8" s="158"/>
    </row>
    <row r="9" spans="1:22" s="2" customFormat="1" x14ac:dyDescent="0.25">
      <c r="A9" s="98"/>
      <c r="B9" s="117" t="s">
        <v>17</v>
      </c>
      <c r="C9" s="97" t="s">
        <v>135</v>
      </c>
      <c r="D9" s="96"/>
      <c r="E9" s="149"/>
      <c r="F9" s="8"/>
      <c r="G9" s="20"/>
      <c r="I9" s="11"/>
      <c r="J9" s="158"/>
      <c r="K9" s="20"/>
      <c r="M9" s="165"/>
      <c r="N9" s="8"/>
      <c r="O9" s="60"/>
      <c r="P9" s="61"/>
      <c r="Q9" s="61"/>
      <c r="R9" s="61"/>
      <c r="S9" s="61"/>
      <c r="T9" s="158"/>
    </row>
    <row r="10" spans="1:22" s="83" customFormat="1" x14ac:dyDescent="0.25">
      <c r="A10" s="120">
        <v>100</v>
      </c>
      <c r="B10" s="121" t="s">
        <v>72</v>
      </c>
      <c r="C10" s="122" t="s">
        <v>136</v>
      </c>
      <c r="D10" s="144" t="s">
        <v>19</v>
      </c>
      <c r="E10" s="150">
        <v>897.34</v>
      </c>
      <c r="F10" s="123">
        <v>2.04</v>
      </c>
      <c r="G10" s="126">
        <f t="shared" ref="G10:G11" si="0">ROUND(E10*F10,2)</f>
        <v>1830.57</v>
      </c>
      <c r="I10" s="127">
        <v>942.21</v>
      </c>
      <c r="J10" s="159">
        <v>1.33</v>
      </c>
      <c r="K10" s="126">
        <f t="shared" ref="K10:K11" si="1">ROUND(I10*J10,2)</f>
        <v>1253.1400000000001</v>
      </c>
      <c r="M10" s="166">
        <v>942.21</v>
      </c>
      <c r="N10" s="123">
        <f>SUM(O10:S10)</f>
        <v>1.33</v>
      </c>
      <c r="O10" s="124">
        <v>1.03</v>
      </c>
      <c r="P10" s="125"/>
      <c r="Q10" s="125">
        <v>0.3</v>
      </c>
      <c r="R10" s="125"/>
      <c r="S10" s="125"/>
      <c r="T10" s="159">
        <f>ROUND(M10*N10,2)</f>
        <v>1253.1400000000001</v>
      </c>
      <c r="V10" s="194"/>
    </row>
    <row r="11" spans="1:22" s="83" customFormat="1" x14ac:dyDescent="0.25">
      <c r="A11" s="120">
        <v>100</v>
      </c>
      <c r="B11" s="121" t="s">
        <v>73</v>
      </c>
      <c r="C11" s="122" t="s">
        <v>137</v>
      </c>
      <c r="D11" s="144" t="s">
        <v>197</v>
      </c>
      <c r="E11" s="150">
        <v>897.34</v>
      </c>
      <c r="F11" s="123">
        <v>2.04</v>
      </c>
      <c r="G11" s="126">
        <f t="shared" si="0"/>
        <v>1830.57</v>
      </c>
      <c r="I11" s="127">
        <v>942.21</v>
      </c>
      <c r="J11" s="159">
        <v>1.33</v>
      </c>
      <c r="K11" s="126">
        <f t="shared" si="1"/>
        <v>1253.1400000000001</v>
      </c>
      <c r="M11" s="166">
        <v>942.21</v>
      </c>
      <c r="N11" s="123">
        <f>SUM(O11:S11)</f>
        <v>1.33</v>
      </c>
      <c r="O11" s="124">
        <v>1.03</v>
      </c>
      <c r="P11" s="125"/>
      <c r="Q11" s="125">
        <v>0.3</v>
      </c>
      <c r="R11" s="125"/>
      <c r="S11" s="125"/>
      <c r="T11" s="159">
        <f t="shared" ref="T11:T70" si="2">ROUND(M11*N11,2)</f>
        <v>1253.1400000000001</v>
      </c>
      <c r="V11" s="194"/>
    </row>
    <row r="12" spans="1:22" s="2" customFormat="1" x14ac:dyDescent="0.25">
      <c r="A12" s="98"/>
      <c r="B12" s="117" t="s">
        <v>74</v>
      </c>
      <c r="C12" s="97" t="s">
        <v>138</v>
      </c>
      <c r="D12" s="96"/>
      <c r="E12" s="149"/>
      <c r="F12" s="8"/>
      <c r="G12" s="20"/>
      <c r="I12" s="11"/>
      <c r="J12" s="158"/>
      <c r="K12" s="20"/>
      <c r="M12" s="165"/>
      <c r="N12" s="8"/>
      <c r="O12" s="60"/>
      <c r="P12" s="61"/>
      <c r="Q12" s="61"/>
      <c r="R12" s="61"/>
      <c r="S12" s="61"/>
      <c r="T12" s="159">
        <f t="shared" si="2"/>
        <v>0</v>
      </c>
      <c r="V12" s="194"/>
    </row>
    <row r="13" spans="1:22" s="2" customFormat="1" x14ac:dyDescent="0.25">
      <c r="A13" s="98"/>
      <c r="B13" s="117" t="s">
        <v>75</v>
      </c>
      <c r="C13" s="97" t="s">
        <v>139</v>
      </c>
      <c r="D13" s="96"/>
      <c r="E13" s="149"/>
      <c r="F13" s="8"/>
      <c r="G13" s="20"/>
      <c r="I13" s="11"/>
      <c r="J13" s="158"/>
      <c r="K13" s="20"/>
      <c r="M13" s="165"/>
      <c r="N13" s="8"/>
      <c r="O13" s="60"/>
      <c r="P13" s="61"/>
      <c r="Q13" s="61"/>
      <c r="R13" s="61"/>
      <c r="S13" s="61"/>
      <c r="T13" s="159">
        <f t="shared" si="2"/>
        <v>0</v>
      </c>
      <c r="V13" s="194"/>
    </row>
    <row r="14" spans="1:22" s="2" customFormat="1" x14ac:dyDescent="0.25">
      <c r="A14" s="98"/>
      <c r="B14" s="117" t="s">
        <v>76</v>
      </c>
      <c r="C14" s="97" t="s">
        <v>140</v>
      </c>
      <c r="D14" s="96"/>
      <c r="E14" s="149"/>
      <c r="F14" s="8"/>
      <c r="G14" s="20"/>
      <c r="I14" s="11"/>
      <c r="J14" s="158"/>
      <c r="K14" s="20"/>
      <c r="M14" s="165"/>
      <c r="N14" s="8"/>
      <c r="O14" s="60"/>
      <c r="P14" s="61"/>
      <c r="Q14" s="61"/>
      <c r="R14" s="61"/>
      <c r="S14" s="61"/>
      <c r="T14" s="159">
        <f t="shared" si="2"/>
        <v>0</v>
      </c>
      <c r="V14" s="194"/>
    </row>
    <row r="15" spans="1:22" s="83" customFormat="1" x14ac:dyDescent="0.25">
      <c r="A15" s="120">
        <v>200</v>
      </c>
      <c r="B15" s="121" t="s">
        <v>77</v>
      </c>
      <c r="C15" s="122" t="s">
        <v>141</v>
      </c>
      <c r="D15" s="144" t="s">
        <v>62</v>
      </c>
      <c r="E15" s="150">
        <v>41.9</v>
      </c>
      <c r="F15" s="123">
        <v>46.74</v>
      </c>
      <c r="G15" s="126">
        <f t="shared" ref="G15:G16" si="3">ROUND(E15*F15,2)</f>
        <v>1958.41</v>
      </c>
      <c r="I15" s="127">
        <v>39.81</v>
      </c>
      <c r="J15" s="159">
        <v>29.22</v>
      </c>
      <c r="K15" s="126">
        <f t="shared" ref="K15:K16" si="4">ROUND(I15*J15,2)</f>
        <v>1163.25</v>
      </c>
      <c r="M15" s="166">
        <v>39.81</v>
      </c>
      <c r="N15" s="123">
        <f t="shared" ref="N15:N16" si="5">SUM(O15:S15)</f>
        <v>29.22</v>
      </c>
      <c r="O15" s="124">
        <v>10.220000000000001</v>
      </c>
      <c r="P15" s="125"/>
      <c r="Q15" s="125"/>
      <c r="R15" s="125"/>
      <c r="S15" s="125">
        <v>19</v>
      </c>
      <c r="T15" s="159">
        <f t="shared" si="2"/>
        <v>1163.25</v>
      </c>
      <c r="V15" s="194"/>
    </row>
    <row r="16" spans="1:22" s="83" customFormat="1" x14ac:dyDescent="0.25">
      <c r="A16" s="120">
        <v>200</v>
      </c>
      <c r="B16" s="121" t="s">
        <v>78</v>
      </c>
      <c r="C16" s="122" t="s">
        <v>142</v>
      </c>
      <c r="D16" s="144" t="s">
        <v>62</v>
      </c>
      <c r="E16" s="150">
        <v>1975.16</v>
      </c>
      <c r="F16" s="123">
        <v>50.99</v>
      </c>
      <c r="G16" s="126">
        <f t="shared" si="3"/>
        <v>100713.41</v>
      </c>
      <c r="I16" s="127">
        <v>1876.4</v>
      </c>
      <c r="J16" s="159">
        <v>33.36</v>
      </c>
      <c r="K16" s="126">
        <f t="shared" si="4"/>
        <v>62596.7</v>
      </c>
      <c r="M16" s="166">
        <v>1876.4</v>
      </c>
      <c r="N16" s="123">
        <f t="shared" si="5"/>
        <v>33.36</v>
      </c>
      <c r="O16" s="124">
        <v>12.26</v>
      </c>
      <c r="P16" s="125"/>
      <c r="Q16" s="125"/>
      <c r="R16" s="125"/>
      <c r="S16" s="125">
        <v>21.1</v>
      </c>
      <c r="T16" s="159">
        <f t="shared" si="2"/>
        <v>62596.7</v>
      </c>
      <c r="V16" s="194"/>
    </row>
    <row r="17" spans="1:22" s="2" customFormat="1" x14ac:dyDescent="0.25">
      <c r="A17" s="98"/>
      <c r="B17" s="117" t="s">
        <v>79</v>
      </c>
      <c r="C17" s="97" t="s">
        <v>143</v>
      </c>
      <c r="D17" s="96"/>
      <c r="E17" s="149"/>
      <c r="F17" s="8"/>
      <c r="G17" s="20"/>
      <c r="I17" s="11"/>
      <c r="J17" s="158"/>
      <c r="K17" s="20"/>
      <c r="M17" s="165"/>
      <c r="N17" s="8"/>
      <c r="O17" s="60"/>
      <c r="P17" s="61"/>
      <c r="Q17" s="61"/>
      <c r="R17" s="61"/>
      <c r="S17" s="61"/>
      <c r="T17" s="159">
        <f t="shared" si="2"/>
        <v>0</v>
      </c>
      <c r="V17" s="194"/>
    </row>
    <row r="18" spans="1:22" s="83" customFormat="1" x14ac:dyDescent="0.25">
      <c r="A18" s="120">
        <v>200</v>
      </c>
      <c r="B18" s="121" t="s">
        <v>80</v>
      </c>
      <c r="C18" s="122" t="s">
        <v>144</v>
      </c>
      <c r="D18" s="144" t="s">
        <v>62</v>
      </c>
      <c r="E18" s="150">
        <v>1197.9100000000001</v>
      </c>
      <c r="F18" s="123">
        <v>26.01</v>
      </c>
      <c r="G18" s="126">
        <f t="shared" ref="G18" si="6">ROUND(E18*F18,2)</f>
        <v>31157.64</v>
      </c>
      <c r="I18" s="127">
        <v>1138.01</v>
      </c>
      <c r="J18" s="159">
        <v>15</v>
      </c>
      <c r="K18" s="126">
        <f t="shared" ref="K18" si="7">ROUND(I18*J18,2)</f>
        <v>17070.150000000001</v>
      </c>
      <c r="M18" s="166">
        <v>1138.01</v>
      </c>
      <c r="N18" s="123">
        <f>SUM(O18:S18)</f>
        <v>15</v>
      </c>
      <c r="O18" s="124"/>
      <c r="P18" s="125"/>
      <c r="Q18" s="125"/>
      <c r="R18" s="125"/>
      <c r="S18" s="125">
        <v>15</v>
      </c>
      <c r="T18" s="159">
        <f t="shared" si="2"/>
        <v>17070.150000000001</v>
      </c>
      <c r="V18" s="194"/>
    </row>
    <row r="19" spans="1:22" s="2" customFormat="1" x14ac:dyDescent="0.25">
      <c r="A19" s="98"/>
      <c r="B19" s="117" t="s">
        <v>81</v>
      </c>
      <c r="C19" s="97" t="s">
        <v>145</v>
      </c>
      <c r="D19" s="96"/>
      <c r="E19" s="149"/>
      <c r="F19" s="8"/>
      <c r="G19" s="20"/>
      <c r="I19" s="11"/>
      <c r="J19" s="158"/>
      <c r="K19" s="20"/>
      <c r="M19" s="165"/>
      <c r="N19" s="8"/>
      <c r="O19" s="60"/>
      <c r="P19" s="61"/>
      <c r="Q19" s="61"/>
      <c r="R19" s="61"/>
      <c r="S19" s="61"/>
      <c r="T19" s="159">
        <f t="shared" si="2"/>
        <v>0</v>
      </c>
      <c r="V19" s="194"/>
    </row>
    <row r="20" spans="1:22" s="83" customFormat="1" x14ac:dyDescent="0.25">
      <c r="A20" s="120">
        <v>200</v>
      </c>
      <c r="B20" s="121" t="s">
        <v>82</v>
      </c>
      <c r="C20" s="122" t="s">
        <v>146</v>
      </c>
      <c r="D20" s="144" t="s">
        <v>62</v>
      </c>
      <c r="E20" s="150">
        <v>68.91</v>
      </c>
      <c r="F20" s="123">
        <v>17.53</v>
      </c>
      <c r="G20" s="126">
        <f t="shared" ref="G20:G22" si="8">ROUND(E20*F20,2)</f>
        <v>1207.99</v>
      </c>
      <c r="I20" s="127"/>
      <c r="J20" s="159"/>
      <c r="K20" s="126"/>
      <c r="M20" s="166"/>
      <c r="N20" s="123"/>
      <c r="O20" s="124"/>
      <c r="P20" s="125"/>
      <c r="Q20" s="125"/>
      <c r="R20" s="125"/>
      <c r="S20" s="125"/>
      <c r="T20" s="159">
        <f t="shared" si="2"/>
        <v>0</v>
      </c>
      <c r="V20" s="194"/>
    </row>
    <row r="21" spans="1:22" s="83" customFormat="1" x14ac:dyDescent="0.25">
      <c r="A21" s="120">
        <v>200</v>
      </c>
      <c r="B21" s="121" t="s">
        <v>83</v>
      </c>
      <c r="C21" s="122" t="s">
        <v>147</v>
      </c>
      <c r="D21" s="144" t="s">
        <v>20</v>
      </c>
      <c r="E21" s="150">
        <v>68.91</v>
      </c>
      <c r="F21" s="123">
        <v>16.02</v>
      </c>
      <c r="G21" s="126">
        <f t="shared" si="8"/>
        <v>1103.94</v>
      </c>
      <c r="I21" s="127"/>
      <c r="J21" s="159"/>
      <c r="K21" s="126"/>
      <c r="M21" s="166"/>
      <c r="N21" s="123"/>
      <c r="O21" s="124"/>
      <c r="P21" s="125"/>
      <c r="Q21" s="125"/>
      <c r="R21" s="125"/>
      <c r="S21" s="125"/>
      <c r="T21" s="159">
        <f t="shared" si="2"/>
        <v>0</v>
      </c>
      <c r="V21" s="194"/>
    </row>
    <row r="22" spans="1:22" s="83" customFormat="1" x14ac:dyDescent="0.25">
      <c r="A22" s="120">
        <v>200</v>
      </c>
      <c r="B22" s="121" t="s">
        <v>84</v>
      </c>
      <c r="C22" s="122" t="s">
        <v>148</v>
      </c>
      <c r="D22" s="144" t="s">
        <v>62</v>
      </c>
      <c r="E22" s="150">
        <v>995.9</v>
      </c>
      <c r="F22" s="123">
        <v>21.84</v>
      </c>
      <c r="G22" s="126">
        <f t="shared" si="8"/>
        <v>21750.46</v>
      </c>
      <c r="I22" s="127">
        <v>1118.06</v>
      </c>
      <c r="J22" s="159">
        <v>18.27</v>
      </c>
      <c r="K22" s="126">
        <f t="shared" ref="K22" si="9">ROUND(I22*J22,2)</f>
        <v>20426.96</v>
      </c>
      <c r="M22" s="166">
        <v>1118.06</v>
      </c>
      <c r="N22" s="123">
        <f>SUM(O22:S22)</f>
        <v>18.27</v>
      </c>
      <c r="O22" s="124"/>
      <c r="P22" s="125"/>
      <c r="Q22" s="125"/>
      <c r="R22" s="125"/>
      <c r="S22" s="125">
        <v>18.27</v>
      </c>
      <c r="T22" s="159">
        <f t="shared" si="2"/>
        <v>20426.96</v>
      </c>
      <c r="V22" s="194"/>
    </row>
    <row r="23" spans="1:22" s="2" customFormat="1" x14ac:dyDescent="0.25">
      <c r="A23" s="136"/>
      <c r="B23" s="137" t="s">
        <v>85</v>
      </c>
      <c r="C23" s="138" t="s">
        <v>149</v>
      </c>
      <c r="D23" s="145"/>
      <c r="E23" s="151"/>
      <c r="F23" s="139"/>
      <c r="G23" s="140"/>
      <c r="I23" s="141"/>
      <c r="J23" s="160"/>
      <c r="K23" s="140"/>
      <c r="M23" s="167"/>
      <c r="N23" s="139"/>
      <c r="O23" s="142"/>
      <c r="P23" s="143"/>
      <c r="Q23" s="143"/>
      <c r="R23" s="143"/>
      <c r="S23" s="143"/>
      <c r="T23" s="159">
        <f t="shared" si="2"/>
        <v>0</v>
      </c>
      <c r="V23" s="194"/>
    </row>
    <row r="24" spans="1:22" s="83" customFormat="1" x14ac:dyDescent="0.25">
      <c r="A24" s="128">
        <v>200</v>
      </c>
      <c r="B24" s="129" t="s">
        <v>86</v>
      </c>
      <c r="C24" s="130" t="s">
        <v>150</v>
      </c>
      <c r="D24" s="146" t="s">
        <v>197</v>
      </c>
      <c r="E24" s="152">
        <v>68.95</v>
      </c>
      <c r="F24" s="131">
        <v>4.72</v>
      </c>
      <c r="G24" s="126">
        <f t="shared" ref="G24:G27" si="10">ROUND(E24*F24,2)</f>
        <v>325.44</v>
      </c>
      <c r="I24" s="133">
        <v>70.33</v>
      </c>
      <c r="J24" s="161">
        <v>4.3600000000000003</v>
      </c>
      <c r="K24" s="126">
        <f t="shared" ref="K24:K27" si="11">ROUND(I24*J24,2)</f>
        <v>306.64</v>
      </c>
      <c r="M24" s="168">
        <v>70.33</v>
      </c>
      <c r="N24" s="123">
        <f t="shared" ref="N24:N27" si="12">SUM(O24:S24)</f>
        <v>4.3600000000000003</v>
      </c>
      <c r="O24" s="134">
        <v>2.39</v>
      </c>
      <c r="P24" s="135"/>
      <c r="Q24" s="135">
        <v>1.97</v>
      </c>
      <c r="R24" s="135"/>
      <c r="S24" s="135"/>
      <c r="T24" s="159">
        <f t="shared" si="2"/>
        <v>306.64</v>
      </c>
      <c r="V24" s="194"/>
    </row>
    <row r="25" spans="1:22" s="83" customFormat="1" x14ac:dyDescent="0.25">
      <c r="A25" s="128">
        <v>200</v>
      </c>
      <c r="B25" s="129" t="s">
        <v>87</v>
      </c>
      <c r="C25" s="130" t="s">
        <v>151</v>
      </c>
      <c r="D25" s="146" t="s">
        <v>197</v>
      </c>
      <c r="E25" s="152">
        <v>8.56</v>
      </c>
      <c r="F25" s="131">
        <v>7.8500000000000005</v>
      </c>
      <c r="G25" s="126">
        <f t="shared" si="10"/>
        <v>67.2</v>
      </c>
      <c r="I25" s="133">
        <v>8.73</v>
      </c>
      <c r="J25" s="161">
        <v>7.37</v>
      </c>
      <c r="K25" s="126">
        <f t="shared" si="11"/>
        <v>64.34</v>
      </c>
      <c r="M25" s="168">
        <v>8.73</v>
      </c>
      <c r="N25" s="123">
        <f t="shared" si="12"/>
        <v>7.37</v>
      </c>
      <c r="O25" s="134">
        <v>4.04</v>
      </c>
      <c r="P25" s="135"/>
      <c r="Q25" s="135">
        <v>3.33</v>
      </c>
      <c r="R25" s="135"/>
      <c r="S25" s="135"/>
      <c r="T25" s="159">
        <f t="shared" si="2"/>
        <v>64.34</v>
      </c>
      <c r="V25" s="194"/>
    </row>
    <row r="26" spans="1:22" s="83" customFormat="1" x14ac:dyDescent="0.25">
      <c r="A26" s="128">
        <v>200</v>
      </c>
      <c r="B26" s="129" t="s">
        <v>88</v>
      </c>
      <c r="C26" s="130" t="s">
        <v>152</v>
      </c>
      <c r="D26" s="146" t="s">
        <v>197</v>
      </c>
      <c r="E26" s="152">
        <v>68.95</v>
      </c>
      <c r="F26" s="131">
        <v>15.19</v>
      </c>
      <c r="G26" s="126">
        <f t="shared" si="10"/>
        <v>1047.3499999999999</v>
      </c>
      <c r="I26" s="133">
        <v>70.33</v>
      </c>
      <c r="J26" s="161">
        <v>11.5</v>
      </c>
      <c r="K26" s="126">
        <f t="shared" si="11"/>
        <v>808.8</v>
      </c>
      <c r="M26" s="168">
        <v>70.33</v>
      </c>
      <c r="N26" s="123">
        <f t="shared" si="12"/>
        <v>11.5</v>
      </c>
      <c r="O26" s="134"/>
      <c r="P26" s="135"/>
      <c r="Q26" s="135"/>
      <c r="R26" s="135"/>
      <c r="S26" s="135">
        <v>11.5</v>
      </c>
      <c r="T26" s="159">
        <f t="shared" si="2"/>
        <v>808.8</v>
      </c>
      <c r="V26" s="194"/>
    </row>
    <row r="27" spans="1:22" s="83" customFormat="1" x14ac:dyDescent="0.25">
      <c r="A27" s="128">
        <v>200</v>
      </c>
      <c r="B27" s="129" t="s">
        <v>89</v>
      </c>
      <c r="C27" s="130" t="s">
        <v>153</v>
      </c>
      <c r="D27" s="146" t="s">
        <v>197</v>
      </c>
      <c r="E27" s="152">
        <v>8.56</v>
      </c>
      <c r="F27" s="131">
        <v>21.79</v>
      </c>
      <c r="G27" s="126">
        <f t="shared" si="10"/>
        <v>186.52</v>
      </c>
      <c r="I27" s="133">
        <v>8.73</v>
      </c>
      <c r="J27" s="161">
        <v>14.5</v>
      </c>
      <c r="K27" s="126">
        <f t="shared" si="11"/>
        <v>126.59</v>
      </c>
      <c r="M27" s="168">
        <v>8.73</v>
      </c>
      <c r="N27" s="123">
        <f t="shared" si="12"/>
        <v>14.5</v>
      </c>
      <c r="O27" s="134"/>
      <c r="P27" s="135"/>
      <c r="Q27" s="135"/>
      <c r="R27" s="135"/>
      <c r="S27" s="135">
        <v>14.5</v>
      </c>
      <c r="T27" s="159">
        <f t="shared" si="2"/>
        <v>126.59</v>
      </c>
      <c r="V27" s="194"/>
    </row>
    <row r="28" spans="1:22" s="2" customFormat="1" x14ac:dyDescent="0.25">
      <c r="A28" s="136"/>
      <c r="B28" s="137" t="s">
        <v>90</v>
      </c>
      <c r="C28" s="138" t="s">
        <v>154</v>
      </c>
      <c r="D28" s="145"/>
      <c r="E28" s="151"/>
      <c r="F28" s="139"/>
      <c r="G28" s="140"/>
      <c r="I28" s="141"/>
      <c r="J28" s="160"/>
      <c r="K28" s="140"/>
      <c r="M28" s="167"/>
      <c r="N28" s="139"/>
      <c r="O28" s="142"/>
      <c r="P28" s="143"/>
      <c r="Q28" s="143"/>
      <c r="R28" s="143"/>
      <c r="S28" s="143"/>
      <c r="T28" s="159">
        <f t="shared" si="2"/>
        <v>0</v>
      </c>
      <c r="V28" s="194"/>
    </row>
    <row r="29" spans="1:22" s="2" customFormat="1" x14ac:dyDescent="0.25">
      <c r="A29" s="136"/>
      <c r="B29" s="137" t="s">
        <v>91</v>
      </c>
      <c r="C29" s="138" t="s">
        <v>155</v>
      </c>
      <c r="D29" s="145"/>
      <c r="E29" s="151"/>
      <c r="F29" s="139"/>
      <c r="G29" s="140"/>
      <c r="I29" s="141"/>
      <c r="J29" s="160"/>
      <c r="K29" s="140"/>
      <c r="M29" s="167"/>
      <c r="N29" s="139"/>
      <c r="O29" s="142"/>
      <c r="P29" s="143"/>
      <c r="Q29" s="143"/>
      <c r="R29" s="143"/>
      <c r="S29" s="143"/>
      <c r="T29" s="159">
        <f t="shared" si="2"/>
        <v>0</v>
      </c>
      <c r="V29" s="194"/>
    </row>
    <row r="30" spans="1:22" s="83" customFormat="1" x14ac:dyDescent="0.25">
      <c r="A30" s="128">
        <v>300</v>
      </c>
      <c r="B30" s="129" t="s">
        <v>92</v>
      </c>
      <c r="C30" s="130" t="s">
        <v>156</v>
      </c>
      <c r="D30" s="146" t="s">
        <v>62</v>
      </c>
      <c r="E30" s="152">
        <v>323.69</v>
      </c>
      <c r="F30" s="131">
        <v>173.72</v>
      </c>
      <c r="G30" s="126">
        <f t="shared" ref="G30" si="13">ROUND(E30*F30,2)</f>
        <v>56231.43</v>
      </c>
      <c r="I30" s="133">
        <v>330.16</v>
      </c>
      <c r="J30" s="161">
        <v>184.1</v>
      </c>
      <c r="K30" s="126">
        <f t="shared" ref="K30" si="14">ROUND(I30*J30,2)</f>
        <v>60782.46</v>
      </c>
      <c r="M30" s="168">
        <v>330.16</v>
      </c>
      <c r="N30" s="123">
        <f>SUM(O30:S30)</f>
        <v>184.10000000000002</v>
      </c>
      <c r="O30" s="134">
        <v>23.88</v>
      </c>
      <c r="P30" s="135">
        <v>17.82</v>
      </c>
      <c r="Q30" s="135">
        <v>0.72</v>
      </c>
      <c r="R30" s="135"/>
      <c r="S30" s="135">
        <v>141.68</v>
      </c>
      <c r="T30" s="159">
        <f t="shared" si="2"/>
        <v>60782.46</v>
      </c>
      <c r="V30" s="194"/>
    </row>
    <row r="31" spans="1:22" s="2" customFormat="1" x14ac:dyDescent="0.25">
      <c r="A31" s="136"/>
      <c r="B31" s="137" t="s">
        <v>93</v>
      </c>
      <c r="C31" s="138" t="s">
        <v>157</v>
      </c>
      <c r="D31" s="145"/>
      <c r="E31" s="151"/>
      <c r="F31" s="139"/>
      <c r="G31" s="140"/>
      <c r="I31" s="141"/>
      <c r="J31" s="160"/>
      <c r="K31" s="140"/>
      <c r="M31" s="167"/>
      <c r="N31" s="139"/>
      <c r="O31" s="142"/>
      <c r="P31" s="143"/>
      <c r="Q31" s="143"/>
      <c r="R31" s="143"/>
      <c r="S31" s="143"/>
      <c r="T31" s="159">
        <f t="shared" si="2"/>
        <v>0</v>
      </c>
      <c r="V31" s="194"/>
    </row>
    <row r="32" spans="1:22" s="83" customFormat="1" x14ac:dyDescent="0.25">
      <c r="A32" s="128">
        <v>300</v>
      </c>
      <c r="B32" s="129" t="s">
        <v>94</v>
      </c>
      <c r="C32" s="130" t="s">
        <v>158</v>
      </c>
      <c r="D32" s="146" t="s">
        <v>62</v>
      </c>
      <c r="E32" s="152">
        <v>24.73</v>
      </c>
      <c r="F32" s="131">
        <v>179.78</v>
      </c>
      <c r="G32" s="126">
        <f t="shared" ref="G32:G35" si="15">ROUND(E32*F32,2)</f>
        <v>4445.96</v>
      </c>
      <c r="I32" s="133">
        <v>24.24</v>
      </c>
      <c r="J32" s="161">
        <v>182.46</v>
      </c>
      <c r="K32" s="126">
        <f t="shared" ref="K32:K35" si="16">ROUND(I32*J32,2)</f>
        <v>4422.83</v>
      </c>
      <c r="M32" s="168">
        <v>24.24</v>
      </c>
      <c r="N32" s="123">
        <f t="shared" ref="N32:N35" si="17">SUM(O32:S32)</f>
        <v>182.46</v>
      </c>
      <c r="O32" s="134">
        <v>22.29</v>
      </c>
      <c r="P32" s="135">
        <v>17.82</v>
      </c>
      <c r="Q32" s="135">
        <v>0.67</v>
      </c>
      <c r="R32" s="135"/>
      <c r="S32" s="135">
        <v>141.68</v>
      </c>
      <c r="T32" s="159">
        <f t="shared" si="2"/>
        <v>4422.83</v>
      </c>
      <c r="V32" s="194"/>
    </row>
    <row r="33" spans="1:22" s="83" customFormat="1" x14ac:dyDescent="0.25">
      <c r="A33" s="128">
        <v>400</v>
      </c>
      <c r="B33" s="129" t="s">
        <v>95</v>
      </c>
      <c r="C33" s="130" t="s">
        <v>159</v>
      </c>
      <c r="D33" s="146" t="s">
        <v>197</v>
      </c>
      <c r="E33" s="152">
        <v>23.09</v>
      </c>
      <c r="F33" s="131">
        <v>46.17</v>
      </c>
      <c r="G33" s="126">
        <f t="shared" si="15"/>
        <v>1066.07</v>
      </c>
      <c r="I33" s="133">
        <v>22.63</v>
      </c>
      <c r="J33" s="161">
        <v>23.830000000000002</v>
      </c>
      <c r="K33" s="126">
        <f t="shared" si="16"/>
        <v>539.27</v>
      </c>
      <c r="M33" s="168">
        <v>22.63</v>
      </c>
      <c r="N33" s="123">
        <f t="shared" si="17"/>
        <v>23.830000000000002</v>
      </c>
      <c r="O33" s="134">
        <v>16.71</v>
      </c>
      <c r="P33" s="135">
        <v>6.62</v>
      </c>
      <c r="Q33" s="135">
        <v>0.5</v>
      </c>
      <c r="R33" s="135"/>
      <c r="S33" s="135"/>
      <c r="T33" s="159">
        <f t="shared" si="2"/>
        <v>539.27</v>
      </c>
      <c r="V33" s="194"/>
    </row>
    <row r="34" spans="1:22" s="83" customFormat="1" x14ac:dyDescent="0.25">
      <c r="A34" s="128">
        <v>300</v>
      </c>
      <c r="B34" s="129" t="s">
        <v>96</v>
      </c>
      <c r="C34" s="130" t="s">
        <v>160</v>
      </c>
      <c r="D34" s="146" t="s">
        <v>62</v>
      </c>
      <c r="E34" s="152">
        <v>163.82</v>
      </c>
      <c r="F34" s="131">
        <v>179.78</v>
      </c>
      <c r="G34" s="126">
        <f t="shared" si="15"/>
        <v>29451.56</v>
      </c>
      <c r="I34" s="133">
        <v>160.54</v>
      </c>
      <c r="J34" s="161">
        <v>207.85</v>
      </c>
      <c r="K34" s="126">
        <f t="shared" si="16"/>
        <v>33368.239999999998</v>
      </c>
      <c r="M34" s="168">
        <v>160.54</v>
      </c>
      <c r="N34" s="123">
        <f t="shared" si="17"/>
        <v>207.85000000000002</v>
      </c>
      <c r="O34" s="134">
        <v>42.36</v>
      </c>
      <c r="P34" s="135">
        <v>17.82</v>
      </c>
      <c r="Q34" s="135">
        <v>5.99</v>
      </c>
      <c r="R34" s="135"/>
      <c r="S34" s="135">
        <v>141.68</v>
      </c>
      <c r="T34" s="159">
        <f t="shared" si="2"/>
        <v>33368.239999999998</v>
      </c>
      <c r="V34" s="194"/>
    </row>
    <row r="35" spans="1:22" s="83" customFormat="1" x14ac:dyDescent="0.25">
      <c r="A35" s="128">
        <v>400</v>
      </c>
      <c r="B35" s="129" t="s">
        <v>97</v>
      </c>
      <c r="C35" s="130" t="s">
        <v>161</v>
      </c>
      <c r="D35" s="146" t="s">
        <v>197</v>
      </c>
      <c r="E35" s="152">
        <v>327.63</v>
      </c>
      <c r="F35" s="131">
        <v>37.47</v>
      </c>
      <c r="G35" s="126">
        <f t="shared" si="15"/>
        <v>12276.3</v>
      </c>
      <c r="I35" s="133">
        <v>321.08</v>
      </c>
      <c r="J35" s="161">
        <v>26.53</v>
      </c>
      <c r="K35" s="126">
        <f t="shared" si="16"/>
        <v>8518.25</v>
      </c>
      <c r="M35" s="168">
        <v>321.08</v>
      </c>
      <c r="N35" s="123">
        <f t="shared" si="17"/>
        <v>26.53</v>
      </c>
      <c r="O35" s="134">
        <v>20.059999999999999</v>
      </c>
      <c r="P35" s="135">
        <v>5.87</v>
      </c>
      <c r="Q35" s="135">
        <v>0.6</v>
      </c>
      <c r="R35" s="135"/>
      <c r="S35" s="135"/>
      <c r="T35" s="159">
        <f t="shared" si="2"/>
        <v>8518.25</v>
      </c>
      <c r="V35" s="194"/>
    </row>
    <row r="36" spans="1:22" s="2" customFormat="1" x14ac:dyDescent="0.25">
      <c r="A36" s="136"/>
      <c r="B36" s="137" t="s">
        <v>98</v>
      </c>
      <c r="C36" s="138" t="s">
        <v>162</v>
      </c>
      <c r="D36" s="145"/>
      <c r="E36" s="151"/>
      <c r="F36" s="139"/>
      <c r="G36" s="140"/>
      <c r="I36" s="141"/>
      <c r="J36" s="160"/>
      <c r="K36" s="140"/>
      <c r="M36" s="167"/>
      <c r="N36" s="139"/>
      <c r="O36" s="142"/>
      <c r="P36" s="143"/>
      <c r="Q36" s="143"/>
      <c r="R36" s="143"/>
      <c r="S36" s="143"/>
      <c r="T36" s="159">
        <f t="shared" si="2"/>
        <v>0</v>
      </c>
      <c r="V36" s="194"/>
    </row>
    <row r="37" spans="1:22" s="83" customFormat="1" x14ac:dyDescent="0.25">
      <c r="A37" s="128">
        <v>300</v>
      </c>
      <c r="B37" s="129" t="s">
        <v>99</v>
      </c>
      <c r="C37" s="130" t="s">
        <v>163</v>
      </c>
      <c r="D37" s="144" t="s">
        <v>62</v>
      </c>
      <c r="E37" s="152">
        <v>3.21</v>
      </c>
      <c r="F37" s="131">
        <v>260.59000000000003</v>
      </c>
      <c r="G37" s="126">
        <f t="shared" ref="G37:G38" si="18">ROUND(E37*F37,2)</f>
        <v>836.49</v>
      </c>
      <c r="I37" s="133">
        <v>3.15</v>
      </c>
      <c r="J37" s="161">
        <v>201.22</v>
      </c>
      <c r="K37" s="126">
        <f t="shared" ref="K37:K38" si="19">ROUND(I37*J37,2)</f>
        <v>633.84</v>
      </c>
      <c r="M37" s="168">
        <v>3.15</v>
      </c>
      <c r="N37" s="123">
        <f t="shared" ref="N37:N38" si="20">SUM(O37:S37)</f>
        <v>201.22000000000003</v>
      </c>
      <c r="O37" s="134">
        <v>30.77</v>
      </c>
      <c r="P37" s="135">
        <v>14.58</v>
      </c>
      <c r="Q37" s="135">
        <v>4.07</v>
      </c>
      <c r="R37" s="135"/>
      <c r="S37" s="135">
        <v>151.80000000000001</v>
      </c>
      <c r="T37" s="159">
        <f t="shared" si="2"/>
        <v>633.84</v>
      </c>
      <c r="V37" s="194"/>
    </row>
    <row r="38" spans="1:22" s="83" customFormat="1" x14ac:dyDescent="0.25">
      <c r="A38" s="128">
        <v>400</v>
      </c>
      <c r="B38" s="129" t="s">
        <v>100</v>
      </c>
      <c r="C38" s="130" t="s">
        <v>164</v>
      </c>
      <c r="D38" s="146" t="s">
        <v>197</v>
      </c>
      <c r="E38" s="152">
        <v>43.95</v>
      </c>
      <c r="F38" s="131">
        <v>37.700000000000003</v>
      </c>
      <c r="G38" s="126">
        <f t="shared" si="18"/>
        <v>1656.92</v>
      </c>
      <c r="I38" s="133">
        <v>43.07</v>
      </c>
      <c r="J38" s="161">
        <v>24.18</v>
      </c>
      <c r="K38" s="126">
        <f t="shared" si="19"/>
        <v>1041.43</v>
      </c>
      <c r="M38" s="168">
        <v>43.07</v>
      </c>
      <c r="N38" s="123">
        <f t="shared" si="20"/>
        <v>24.18</v>
      </c>
      <c r="O38" s="134">
        <v>17.22</v>
      </c>
      <c r="P38" s="135">
        <v>6.44</v>
      </c>
      <c r="Q38" s="135">
        <v>0.52</v>
      </c>
      <c r="R38" s="135"/>
      <c r="S38" s="135"/>
      <c r="T38" s="159">
        <f t="shared" si="2"/>
        <v>1041.43</v>
      </c>
      <c r="V38" s="194"/>
    </row>
    <row r="39" spans="1:22" s="2" customFormat="1" x14ac:dyDescent="0.25">
      <c r="A39" s="136"/>
      <c r="B39" s="137" t="s">
        <v>101</v>
      </c>
      <c r="C39" s="138" t="s">
        <v>165</v>
      </c>
      <c r="D39" s="145"/>
      <c r="E39" s="151"/>
      <c r="F39" s="139"/>
      <c r="G39" s="140"/>
      <c r="I39" s="141"/>
      <c r="J39" s="160"/>
      <c r="K39" s="140"/>
      <c r="M39" s="167"/>
      <c r="N39" s="139"/>
      <c r="O39" s="142"/>
      <c r="P39" s="143"/>
      <c r="Q39" s="143"/>
      <c r="R39" s="143"/>
      <c r="S39" s="143"/>
      <c r="T39" s="159">
        <f t="shared" si="2"/>
        <v>0</v>
      </c>
      <c r="V39" s="194"/>
    </row>
    <row r="40" spans="1:22" s="2" customFormat="1" x14ac:dyDescent="0.25">
      <c r="A40" s="136"/>
      <c r="B40" s="137" t="s">
        <v>102</v>
      </c>
      <c r="C40" s="138" t="s">
        <v>166</v>
      </c>
      <c r="D40" s="145"/>
      <c r="E40" s="151"/>
      <c r="F40" s="139"/>
      <c r="G40" s="140"/>
      <c r="I40" s="141"/>
      <c r="J40" s="160"/>
      <c r="K40" s="140"/>
      <c r="M40" s="167"/>
      <c r="N40" s="139"/>
      <c r="O40" s="142"/>
      <c r="P40" s="143"/>
      <c r="Q40" s="143"/>
      <c r="R40" s="143"/>
      <c r="S40" s="143"/>
      <c r="T40" s="159">
        <f t="shared" si="2"/>
        <v>0</v>
      </c>
      <c r="V40" s="194"/>
    </row>
    <row r="41" spans="1:22" s="83" customFormat="1" x14ac:dyDescent="0.25">
      <c r="A41" s="128">
        <v>300</v>
      </c>
      <c r="B41" s="129" t="s">
        <v>103</v>
      </c>
      <c r="C41" s="130" t="s">
        <v>167</v>
      </c>
      <c r="D41" s="146" t="s">
        <v>62</v>
      </c>
      <c r="E41" s="152">
        <v>396.75</v>
      </c>
      <c r="F41" s="131">
        <v>292.79000000000002</v>
      </c>
      <c r="G41" s="126">
        <f t="shared" ref="G41:G42" si="21">ROUND(E41*F41,2)</f>
        <v>116164.43</v>
      </c>
      <c r="I41" s="133">
        <v>412.62</v>
      </c>
      <c r="J41" s="161">
        <v>286.60000000000002</v>
      </c>
      <c r="K41" s="126">
        <f t="shared" ref="K41:K42" si="22">ROUND(I41*J41,2)</f>
        <v>118256.89</v>
      </c>
      <c r="M41" s="168">
        <v>412.62</v>
      </c>
      <c r="N41" s="123">
        <f t="shared" ref="N41:N42" si="23">SUM(O41:S41)</f>
        <v>286.60000000000002</v>
      </c>
      <c r="O41" s="134">
        <v>30.77</v>
      </c>
      <c r="P41" s="135"/>
      <c r="Q41" s="135">
        <v>2.4900000000000002</v>
      </c>
      <c r="R41" s="135"/>
      <c r="S41" s="135">
        <v>253.34</v>
      </c>
      <c r="T41" s="159">
        <f t="shared" si="2"/>
        <v>118256.89</v>
      </c>
      <c r="V41" s="194"/>
    </row>
    <row r="42" spans="1:22" s="83" customFormat="1" x14ac:dyDescent="0.25">
      <c r="A42" s="128">
        <v>500</v>
      </c>
      <c r="B42" s="129" t="s">
        <v>104</v>
      </c>
      <c r="C42" s="130" t="s">
        <v>168</v>
      </c>
      <c r="D42" s="146" t="s">
        <v>198</v>
      </c>
      <c r="E42" s="152">
        <v>17534.91</v>
      </c>
      <c r="F42" s="131">
        <v>4.0200000000000005</v>
      </c>
      <c r="G42" s="126">
        <f t="shared" si="21"/>
        <v>70490.34</v>
      </c>
      <c r="I42" s="133">
        <v>17359.560000000001</v>
      </c>
      <c r="J42" s="161">
        <v>3.4</v>
      </c>
      <c r="K42" s="126">
        <f t="shared" si="22"/>
        <v>59022.5</v>
      </c>
      <c r="M42" s="168">
        <v>17359.560000000001</v>
      </c>
      <c r="N42" s="123">
        <f t="shared" si="23"/>
        <v>3.4000000000000004</v>
      </c>
      <c r="O42" s="134"/>
      <c r="P42" s="135">
        <v>2.66</v>
      </c>
      <c r="Q42" s="135"/>
      <c r="R42" s="135"/>
      <c r="S42" s="135">
        <v>0.74</v>
      </c>
      <c r="T42" s="159">
        <f t="shared" si="2"/>
        <v>59022.5</v>
      </c>
      <c r="V42" s="194"/>
    </row>
    <row r="43" spans="1:22" s="2" customFormat="1" x14ac:dyDescent="0.25">
      <c r="A43" s="136"/>
      <c r="B43" s="137" t="s">
        <v>105</v>
      </c>
      <c r="C43" s="138" t="s">
        <v>169</v>
      </c>
      <c r="D43" s="145"/>
      <c r="E43" s="151"/>
      <c r="F43" s="139"/>
      <c r="G43" s="140"/>
      <c r="I43" s="141"/>
      <c r="J43" s="160"/>
      <c r="K43" s="140"/>
      <c r="M43" s="167"/>
      <c r="N43" s="139"/>
      <c r="O43" s="142"/>
      <c r="P43" s="143"/>
      <c r="Q43" s="143"/>
      <c r="R43" s="143"/>
      <c r="S43" s="143"/>
      <c r="T43" s="159">
        <f t="shared" si="2"/>
        <v>0</v>
      </c>
      <c r="V43" s="194"/>
    </row>
    <row r="44" spans="1:22" s="83" customFormat="1" x14ac:dyDescent="0.25">
      <c r="A44" s="128">
        <v>300</v>
      </c>
      <c r="B44" s="129" t="s">
        <v>106</v>
      </c>
      <c r="C44" s="130" t="s">
        <v>170</v>
      </c>
      <c r="D44" s="146" t="s">
        <v>62</v>
      </c>
      <c r="E44" s="152">
        <v>6.69</v>
      </c>
      <c r="F44" s="131">
        <v>454.82</v>
      </c>
      <c r="G44" s="126">
        <f t="shared" ref="G44:G49" si="24">ROUND(E44*F44,2)</f>
        <v>3042.75</v>
      </c>
      <c r="I44" s="133">
        <v>6.62</v>
      </c>
      <c r="J44" s="161">
        <v>290.45</v>
      </c>
      <c r="K44" s="126">
        <f t="shared" ref="K44:K48" si="25">ROUND(I44*J44,2)</f>
        <v>1922.78</v>
      </c>
      <c r="M44" s="168">
        <v>6.62</v>
      </c>
      <c r="N44" s="123">
        <f t="shared" ref="N44:N48" si="26">SUM(O44:S44)</f>
        <v>290.45</v>
      </c>
      <c r="O44" s="134">
        <v>35.29</v>
      </c>
      <c r="P44" s="135"/>
      <c r="Q44" s="135">
        <v>35.71</v>
      </c>
      <c r="R44" s="135"/>
      <c r="S44" s="135">
        <v>219.45</v>
      </c>
      <c r="T44" s="159">
        <f t="shared" si="2"/>
        <v>1922.78</v>
      </c>
      <c r="V44" s="194"/>
    </row>
    <row r="45" spans="1:22" s="83" customFormat="1" x14ac:dyDescent="0.25">
      <c r="A45" s="128">
        <v>400</v>
      </c>
      <c r="B45" s="129" t="s">
        <v>107</v>
      </c>
      <c r="C45" s="130" t="s">
        <v>171</v>
      </c>
      <c r="D45" s="146" t="s">
        <v>197</v>
      </c>
      <c r="E45" s="152">
        <v>74.180000000000007</v>
      </c>
      <c r="F45" s="131">
        <v>59.78</v>
      </c>
      <c r="G45" s="126">
        <f t="shared" si="24"/>
        <v>4434.4799999999996</v>
      </c>
      <c r="I45" s="133">
        <v>73.44</v>
      </c>
      <c r="J45" s="161">
        <v>33.69</v>
      </c>
      <c r="K45" s="126">
        <f t="shared" si="25"/>
        <v>2474.19</v>
      </c>
      <c r="M45" s="168">
        <v>73.44</v>
      </c>
      <c r="N45" s="123">
        <f t="shared" si="26"/>
        <v>33.690000000000005</v>
      </c>
      <c r="O45" s="134">
        <v>24.75</v>
      </c>
      <c r="P45" s="135">
        <v>8.1999999999999993</v>
      </c>
      <c r="Q45" s="135">
        <v>0.74</v>
      </c>
      <c r="R45" s="135"/>
      <c r="S45" s="135"/>
      <c r="T45" s="159">
        <f t="shared" si="2"/>
        <v>2474.19</v>
      </c>
      <c r="V45" s="194"/>
    </row>
    <row r="46" spans="1:22" s="83" customFormat="1" x14ac:dyDescent="0.25">
      <c r="A46" s="128">
        <v>500</v>
      </c>
      <c r="B46" s="129" t="s">
        <v>108</v>
      </c>
      <c r="C46" s="130" t="s">
        <v>172</v>
      </c>
      <c r="D46" s="146" t="s">
        <v>198</v>
      </c>
      <c r="E46" s="152">
        <v>419.35</v>
      </c>
      <c r="F46" s="131">
        <v>4.0200000000000005</v>
      </c>
      <c r="G46" s="126">
        <f t="shared" si="24"/>
        <v>1685.79</v>
      </c>
      <c r="I46" s="133">
        <v>415.16</v>
      </c>
      <c r="J46" s="161">
        <v>3.4</v>
      </c>
      <c r="K46" s="126">
        <f t="shared" si="25"/>
        <v>1411.54</v>
      </c>
      <c r="M46" s="168">
        <v>415.16</v>
      </c>
      <c r="N46" s="123">
        <f t="shared" si="26"/>
        <v>3.4000000000000004</v>
      </c>
      <c r="O46" s="134"/>
      <c r="P46" s="135">
        <v>2.66</v>
      </c>
      <c r="Q46" s="135"/>
      <c r="R46" s="135"/>
      <c r="S46" s="135">
        <v>0.74</v>
      </c>
      <c r="T46" s="159">
        <f t="shared" si="2"/>
        <v>1411.54</v>
      </c>
      <c r="V46" s="194"/>
    </row>
    <row r="47" spans="1:22" s="83" customFormat="1" x14ac:dyDescent="0.25">
      <c r="A47" s="128">
        <v>300</v>
      </c>
      <c r="B47" s="129" t="s">
        <v>109</v>
      </c>
      <c r="C47" s="130" t="s">
        <v>173</v>
      </c>
      <c r="D47" s="146" t="s">
        <v>62</v>
      </c>
      <c r="E47" s="152">
        <v>256.52</v>
      </c>
      <c r="F47" s="131">
        <v>417.41</v>
      </c>
      <c r="G47" s="126">
        <f t="shared" si="24"/>
        <v>107074.01</v>
      </c>
      <c r="I47" s="133">
        <v>253.95</v>
      </c>
      <c r="J47" s="161">
        <v>328.19</v>
      </c>
      <c r="K47" s="126">
        <f t="shared" si="25"/>
        <v>83343.850000000006</v>
      </c>
      <c r="M47" s="168">
        <v>253.95</v>
      </c>
      <c r="N47" s="123">
        <f t="shared" si="26"/>
        <v>328.19</v>
      </c>
      <c r="O47" s="134">
        <v>42.36</v>
      </c>
      <c r="P47" s="135"/>
      <c r="Q47" s="135">
        <v>37.79</v>
      </c>
      <c r="R47" s="135"/>
      <c r="S47" s="135">
        <v>248.04</v>
      </c>
      <c r="T47" s="159">
        <f t="shared" si="2"/>
        <v>83343.850000000006</v>
      </c>
      <c r="V47" s="194"/>
    </row>
    <row r="48" spans="1:22" s="83" customFormat="1" x14ac:dyDescent="0.25">
      <c r="A48" s="128">
        <v>400</v>
      </c>
      <c r="B48" s="129" t="s">
        <v>110</v>
      </c>
      <c r="C48" s="130" t="s">
        <v>174</v>
      </c>
      <c r="D48" s="146" t="s">
        <v>197</v>
      </c>
      <c r="E48" s="152">
        <v>2096.19</v>
      </c>
      <c r="F48" s="131">
        <v>51.21</v>
      </c>
      <c r="G48" s="126">
        <f t="shared" si="24"/>
        <v>107345.89</v>
      </c>
      <c r="I48" s="133">
        <v>2075.23</v>
      </c>
      <c r="J48" s="161">
        <v>30.970000000000002</v>
      </c>
      <c r="K48" s="126">
        <f t="shared" si="25"/>
        <v>64269.87</v>
      </c>
      <c r="M48" s="168">
        <v>2075.23</v>
      </c>
      <c r="N48" s="123">
        <f t="shared" si="26"/>
        <v>30.97</v>
      </c>
      <c r="O48" s="134">
        <v>24.75</v>
      </c>
      <c r="P48" s="135">
        <v>5.48</v>
      </c>
      <c r="Q48" s="135">
        <v>0.74</v>
      </c>
      <c r="R48" s="135"/>
      <c r="S48" s="135"/>
      <c r="T48" s="159">
        <f t="shared" si="2"/>
        <v>64269.87</v>
      </c>
      <c r="V48" s="194"/>
    </row>
    <row r="49" spans="1:22" s="83" customFormat="1" x14ac:dyDescent="0.25">
      <c r="A49" s="128">
        <v>500</v>
      </c>
      <c r="B49" s="129" t="s">
        <v>111</v>
      </c>
      <c r="C49" s="130" t="s">
        <v>175</v>
      </c>
      <c r="D49" s="146" t="s">
        <v>199</v>
      </c>
      <c r="E49" s="152">
        <v>18595.100000000002</v>
      </c>
      <c r="F49" s="131">
        <v>4.0200000000000005</v>
      </c>
      <c r="G49" s="126">
        <f t="shared" si="24"/>
        <v>74752.3</v>
      </c>
      <c r="I49" s="133"/>
      <c r="J49" s="161"/>
      <c r="K49" s="132"/>
      <c r="M49" s="168"/>
      <c r="N49" s="131"/>
      <c r="O49" s="134"/>
      <c r="P49" s="135"/>
      <c r="Q49" s="135"/>
      <c r="R49" s="135"/>
      <c r="S49" s="135"/>
      <c r="T49" s="159">
        <f t="shared" si="2"/>
        <v>0</v>
      </c>
      <c r="V49" s="194"/>
    </row>
    <row r="50" spans="1:22" s="2" customFormat="1" x14ac:dyDescent="0.25">
      <c r="A50" s="136"/>
      <c r="B50" s="137" t="s">
        <v>112</v>
      </c>
      <c r="C50" s="138" t="s">
        <v>176</v>
      </c>
      <c r="D50" s="145"/>
      <c r="E50" s="151"/>
      <c r="F50" s="139"/>
      <c r="G50" s="140"/>
      <c r="I50" s="141"/>
      <c r="J50" s="160"/>
      <c r="K50" s="140"/>
      <c r="M50" s="167"/>
      <c r="N50" s="139"/>
      <c r="O50" s="142"/>
      <c r="P50" s="143"/>
      <c r="Q50" s="143"/>
      <c r="R50" s="143"/>
      <c r="S50" s="143"/>
      <c r="T50" s="159">
        <f t="shared" si="2"/>
        <v>0</v>
      </c>
      <c r="V50" s="194"/>
    </row>
    <row r="51" spans="1:22" s="83" customFormat="1" x14ac:dyDescent="0.25">
      <c r="A51" s="128">
        <v>300</v>
      </c>
      <c r="B51" s="129" t="s">
        <v>113</v>
      </c>
      <c r="C51" s="130" t="s">
        <v>177</v>
      </c>
      <c r="D51" s="146" t="s">
        <v>62</v>
      </c>
      <c r="E51" s="152">
        <v>66.63</v>
      </c>
      <c r="F51" s="131">
        <v>442.62</v>
      </c>
      <c r="G51" s="126">
        <f t="shared" ref="G51:G53" si="27">ROUND(E51*F51,2)</f>
        <v>29491.77</v>
      </c>
      <c r="I51" s="133">
        <v>67.959999999999994</v>
      </c>
      <c r="J51" s="161">
        <v>291.23</v>
      </c>
      <c r="K51" s="126">
        <f t="shared" ref="K51:K53" si="28">ROUND(I51*J51,2)</f>
        <v>19791.990000000002</v>
      </c>
      <c r="M51" s="168">
        <v>67.959999999999994</v>
      </c>
      <c r="N51" s="123">
        <f t="shared" ref="N51:N53" si="29">SUM(O51:S51)</f>
        <v>291.23</v>
      </c>
      <c r="O51" s="134">
        <v>35.29</v>
      </c>
      <c r="P51" s="135"/>
      <c r="Q51" s="135">
        <v>36.49</v>
      </c>
      <c r="R51" s="135"/>
      <c r="S51" s="135">
        <v>219.45</v>
      </c>
      <c r="T51" s="159">
        <f t="shared" si="2"/>
        <v>19791.990000000002</v>
      </c>
      <c r="V51" s="194"/>
    </row>
    <row r="52" spans="1:22" s="83" customFormat="1" x14ac:dyDescent="0.25">
      <c r="A52" s="128">
        <v>400</v>
      </c>
      <c r="B52" s="129" t="s">
        <v>114</v>
      </c>
      <c r="C52" s="130" t="s">
        <v>178</v>
      </c>
      <c r="D52" s="144" t="s">
        <v>197</v>
      </c>
      <c r="E52" s="152">
        <v>901.38</v>
      </c>
      <c r="F52" s="131">
        <v>60.480000000000004</v>
      </c>
      <c r="G52" s="126">
        <f t="shared" si="27"/>
        <v>54515.46</v>
      </c>
      <c r="I52" s="133">
        <v>919.41</v>
      </c>
      <c r="J52" s="161">
        <v>37.49</v>
      </c>
      <c r="K52" s="126">
        <f t="shared" si="28"/>
        <v>34468.68</v>
      </c>
      <c r="M52" s="168">
        <v>919.41</v>
      </c>
      <c r="N52" s="123">
        <f t="shared" si="29"/>
        <v>37.489999999999995</v>
      </c>
      <c r="O52" s="134">
        <v>24.75</v>
      </c>
      <c r="P52" s="135">
        <v>0.57999999999999996</v>
      </c>
      <c r="Q52" s="135">
        <v>0.74</v>
      </c>
      <c r="R52" s="135"/>
      <c r="S52" s="135">
        <v>11.42</v>
      </c>
      <c r="T52" s="159">
        <f t="shared" si="2"/>
        <v>34468.68</v>
      </c>
      <c r="V52" s="194"/>
    </row>
    <row r="53" spans="1:22" s="83" customFormat="1" x14ac:dyDescent="0.25">
      <c r="A53" s="128">
        <v>500</v>
      </c>
      <c r="B53" s="129" t="s">
        <v>115</v>
      </c>
      <c r="C53" s="130" t="s">
        <v>179</v>
      </c>
      <c r="D53" s="146" t="s">
        <v>198</v>
      </c>
      <c r="E53" s="152">
        <v>11604.02</v>
      </c>
      <c r="F53" s="131">
        <v>4.0200000000000005</v>
      </c>
      <c r="G53" s="126">
        <f t="shared" si="27"/>
        <v>46648.160000000003</v>
      </c>
      <c r="I53" s="133">
        <v>11836.1</v>
      </c>
      <c r="J53" s="161">
        <v>3.4</v>
      </c>
      <c r="K53" s="126">
        <f t="shared" si="28"/>
        <v>40242.74</v>
      </c>
      <c r="M53" s="168">
        <v>11836.1</v>
      </c>
      <c r="N53" s="123">
        <f t="shared" si="29"/>
        <v>3.4000000000000004</v>
      </c>
      <c r="O53" s="134"/>
      <c r="P53" s="135">
        <v>2.66</v>
      </c>
      <c r="Q53" s="135"/>
      <c r="R53" s="135"/>
      <c r="S53" s="135">
        <v>0.74</v>
      </c>
      <c r="T53" s="159">
        <f t="shared" si="2"/>
        <v>40242.74</v>
      </c>
      <c r="V53" s="194"/>
    </row>
    <row r="54" spans="1:22" s="2" customFormat="1" x14ac:dyDescent="0.25">
      <c r="A54" s="136"/>
      <c r="B54" s="137" t="s">
        <v>116</v>
      </c>
      <c r="C54" s="138" t="s">
        <v>180</v>
      </c>
      <c r="D54" s="145"/>
      <c r="E54" s="151"/>
      <c r="F54" s="139"/>
      <c r="G54" s="140"/>
      <c r="I54" s="141"/>
      <c r="J54" s="160"/>
      <c r="K54" s="140"/>
      <c r="M54" s="167"/>
      <c r="N54" s="139"/>
      <c r="O54" s="142"/>
      <c r="P54" s="143"/>
      <c r="Q54" s="143"/>
      <c r="R54" s="143"/>
      <c r="S54" s="143"/>
      <c r="T54" s="159">
        <f t="shared" si="2"/>
        <v>0</v>
      </c>
      <c r="V54" s="194"/>
    </row>
    <row r="55" spans="1:22" s="83" customFormat="1" x14ac:dyDescent="0.25">
      <c r="A55" s="128">
        <v>300</v>
      </c>
      <c r="B55" s="129" t="s">
        <v>117</v>
      </c>
      <c r="C55" s="130" t="s">
        <v>181</v>
      </c>
      <c r="D55" s="146" t="s">
        <v>62</v>
      </c>
      <c r="E55" s="152">
        <v>36.119999999999997</v>
      </c>
      <c r="F55" s="131">
        <v>325.93</v>
      </c>
      <c r="G55" s="126">
        <f t="shared" ref="G55:G57" si="30">ROUND(E55*F55,2)</f>
        <v>11772.59</v>
      </c>
      <c r="I55" s="133">
        <v>36.840000000000003</v>
      </c>
      <c r="J55" s="161">
        <v>294.5</v>
      </c>
      <c r="K55" s="126">
        <f t="shared" ref="K55:K57" si="31">ROUND(I55*J55,2)</f>
        <v>10849.38</v>
      </c>
      <c r="M55" s="168">
        <v>36.840000000000003</v>
      </c>
      <c r="N55" s="123">
        <f t="shared" ref="N55:N57" si="32">SUM(O55:S55)</f>
        <v>294.5</v>
      </c>
      <c r="O55" s="134">
        <v>40.97</v>
      </c>
      <c r="P55" s="135"/>
      <c r="Q55" s="135">
        <v>34.08</v>
      </c>
      <c r="R55" s="135"/>
      <c r="S55" s="135">
        <v>219.45</v>
      </c>
      <c r="T55" s="159">
        <f t="shared" si="2"/>
        <v>10849.38</v>
      </c>
      <c r="V55" s="194"/>
    </row>
    <row r="56" spans="1:22" s="83" customFormat="1" x14ac:dyDescent="0.25">
      <c r="A56" s="128">
        <v>400</v>
      </c>
      <c r="B56" s="129" t="s">
        <v>118</v>
      </c>
      <c r="C56" s="130" t="s">
        <v>182</v>
      </c>
      <c r="D56" s="146" t="s">
        <v>197</v>
      </c>
      <c r="E56" s="152">
        <v>545.23</v>
      </c>
      <c r="F56" s="131">
        <v>70.38</v>
      </c>
      <c r="G56" s="126">
        <f t="shared" si="30"/>
        <v>38373.29</v>
      </c>
      <c r="I56" s="133">
        <v>556.13</v>
      </c>
      <c r="J56" s="161">
        <v>43.56</v>
      </c>
      <c r="K56" s="126">
        <f t="shared" si="31"/>
        <v>24225.02</v>
      </c>
      <c r="M56" s="168">
        <v>556.13</v>
      </c>
      <c r="N56" s="123">
        <f t="shared" si="32"/>
        <v>43.56</v>
      </c>
      <c r="O56" s="134">
        <v>21.21</v>
      </c>
      <c r="P56" s="135">
        <v>0.28999999999999998</v>
      </c>
      <c r="Q56" s="135">
        <v>0.64</v>
      </c>
      <c r="R56" s="135"/>
      <c r="S56" s="135">
        <v>21.42</v>
      </c>
      <c r="T56" s="159">
        <f t="shared" si="2"/>
        <v>24225.02</v>
      </c>
      <c r="V56" s="194"/>
    </row>
    <row r="57" spans="1:22" s="83" customFormat="1" x14ac:dyDescent="0.25">
      <c r="A57" s="128">
        <v>500</v>
      </c>
      <c r="B57" s="129" t="s">
        <v>119</v>
      </c>
      <c r="C57" s="130" t="s">
        <v>183</v>
      </c>
      <c r="D57" s="146" t="s">
        <v>198</v>
      </c>
      <c r="E57" s="152">
        <v>5144.6000000000004</v>
      </c>
      <c r="F57" s="131">
        <v>4.0200000000000005</v>
      </c>
      <c r="G57" s="126">
        <f t="shared" si="30"/>
        <v>20681.29</v>
      </c>
      <c r="I57" s="133">
        <v>5247.49</v>
      </c>
      <c r="J57" s="161">
        <v>3.4</v>
      </c>
      <c r="K57" s="126">
        <f t="shared" si="31"/>
        <v>17841.47</v>
      </c>
      <c r="M57" s="168">
        <v>5247.49</v>
      </c>
      <c r="N57" s="123">
        <f t="shared" si="32"/>
        <v>3.4000000000000004</v>
      </c>
      <c r="O57" s="134"/>
      <c r="P57" s="135">
        <v>2.66</v>
      </c>
      <c r="Q57" s="135"/>
      <c r="R57" s="135"/>
      <c r="S57" s="135">
        <v>0.74</v>
      </c>
      <c r="T57" s="159">
        <f t="shared" si="2"/>
        <v>17841.47</v>
      </c>
      <c r="V57" s="194"/>
    </row>
    <row r="58" spans="1:22" s="2" customFormat="1" x14ac:dyDescent="0.25">
      <c r="A58" s="136"/>
      <c r="B58" s="137" t="s">
        <v>120</v>
      </c>
      <c r="C58" s="138" t="s">
        <v>184</v>
      </c>
      <c r="D58" s="145"/>
      <c r="E58" s="151"/>
      <c r="F58" s="139"/>
      <c r="G58" s="140"/>
      <c r="I58" s="141"/>
      <c r="J58" s="160"/>
      <c r="K58" s="140"/>
      <c r="M58" s="167"/>
      <c r="N58" s="139"/>
      <c r="O58" s="142"/>
      <c r="P58" s="143"/>
      <c r="Q58" s="143"/>
      <c r="R58" s="143"/>
      <c r="S58" s="143"/>
      <c r="T58" s="159">
        <f t="shared" si="2"/>
        <v>0</v>
      </c>
      <c r="V58" s="194"/>
    </row>
    <row r="59" spans="1:22" s="83" customFormat="1" x14ac:dyDescent="0.25">
      <c r="A59" s="128">
        <v>300</v>
      </c>
      <c r="B59" s="129" t="s">
        <v>121</v>
      </c>
      <c r="C59" s="130" t="s">
        <v>185</v>
      </c>
      <c r="D59" s="146" t="s">
        <v>20</v>
      </c>
      <c r="E59" s="152">
        <v>0.63</v>
      </c>
      <c r="F59" s="131">
        <v>325.93</v>
      </c>
      <c r="G59" s="126">
        <f t="shared" ref="G59:G61" si="33">ROUND(E59*F59,2)</f>
        <v>205.34</v>
      </c>
      <c r="I59" s="133">
        <v>0.64</v>
      </c>
      <c r="J59" s="161">
        <v>294.5</v>
      </c>
      <c r="K59" s="126">
        <f t="shared" ref="K59:K61" si="34">ROUND(I59*J59,2)</f>
        <v>188.48</v>
      </c>
      <c r="M59" s="168">
        <v>0.64</v>
      </c>
      <c r="N59" s="123">
        <f t="shared" ref="N59:N61" si="35">SUM(O59:S59)</f>
        <v>294.5</v>
      </c>
      <c r="O59" s="134">
        <v>40.97</v>
      </c>
      <c r="P59" s="135"/>
      <c r="Q59" s="135">
        <v>34.08</v>
      </c>
      <c r="R59" s="135"/>
      <c r="S59" s="135">
        <v>219.45</v>
      </c>
      <c r="T59" s="159">
        <f t="shared" si="2"/>
        <v>188.48</v>
      </c>
      <c r="V59" s="194"/>
    </row>
    <row r="60" spans="1:22" s="83" customFormat="1" x14ac:dyDescent="0.25">
      <c r="A60" s="128">
        <v>400</v>
      </c>
      <c r="B60" s="129" t="s">
        <v>122</v>
      </c>
      <c r="C60" s="130" t="s">
        <v>186</v>
      </c>
      <c r="D60" s="146" t="s">
        <v>197</v>
      </c>
      <c r="E60" s="152">
        <v>6.54</v>
      </c>
      <c r="F60" s="131">
        <v>55.43</v>
      </c>
      <c r="G60" s="126">
        <f t="shared" si="33"/>
        <v>362.51</v>
      </c>
      <c r="I60" s="133">
        <v>6.67</v>
      </c>
      <c r="J60" s="161">
        <v>33.340000000000003</v>
      </c>
      <c r="K60" s="126">
        <f t="shared" si="34"/>
        <v>222.38</v>
      </c>
      <c r="M60" s="168">
        <v>6.67</v>
      </c>
      <c r="N60" s="123">
        <f t="shared" si="35"/>
        <v>33.340000000000003</v>
      </c>
      <c r="O60" s="134">
        <v>15.27</v>
      </c>
      <c r="P60" s="135">
        <v>6.38</v>
      </c>
      <c r="Q60" s="135">
        <v>0.46</v>
      </c>
      <c r="R60" s="135"/>
      <c r="S60" s="135">
        <v>11.23</v>
      </c>
      <c r="T60" s="159">
        <f t="shared" si="2"/>
        <v>222.38</v>
      </c>
      <c r="V60" s="194"/>
    </row>
    <row r="61" spans="1:22" s="83" customFormat="1" x14ac:dyDescent="0.25">
      <c r="A61" s="128">
        <v>500</v>
      </c>
      <c r="B61" s="129" t="s">
        <v>123</v>
      </c>
      <c r="C61" s="130" t="s">
        <v>187</v>
      </c>
      <c r="D61" s="146" t="s">
        <v>198</v>
      </c>
      <c r="E61" s="152">
        <v>73.150000000000006</v>
      </c>
      <c r="F61" s="131">
        <v>4.0200000000000005</v>
      </c>
      <c r="G61" s="126">
        <f t="shared" si="33"/>
        <v>294.06</v>
      </c>
      <c r="I61" s="133">
        <v>74.61</v>
      </c>
      <c r="J61" s="161">
        <v>3.4</v>
      </c>
      <c r="K61" s="126">
        <f t="shared" si="34"/>
        <v>253.67</v>
      </c>
      <c r="M61" s="168">
        <v>74.61</v>
      </c>
      <c r="N61" s="123">
        <f t="shared" si="35"/>
        <v>3.4000000000000004</v>
      </c>
      <c r="O61" s="134"/>
      <c r="P61" s="135">
        <v>2.66</v>
      </c>
      <c r="Q61" s="135"/>
      <c r="R61" s="135"/>
      <c r="S61" s="135">
        <v>0.74</v>
      </c>
      <c r="T61" s="159">
        <f t="shared" si="2"/>
        <v>253.67</v>
      </c>
      <c r="V61" s="194"/>
    </row>
    <row r="62" spans="1:22" s="2" customFormat="1" x14ac:dyDescent="0.25">
      <c r="A62" s="136"/>
      <c r="B62" s="137" t="s">
        <v>124</v>
      </c>
      <c r="C62" s="138" t="s">
        <v>188</v>
      </c>
      <c r="D62" s="145"/>
      <c r="E62" s="151"/>
      <c r="F62" s="139"/>
      <c r="G62" s="140"/>
      <c r="I62" s="141"/>
      <c r="J62" s="160"/>
      <c r="K62" s="140"/>
      <c r="M62" s="167"/>
      <c r="N62" s="139"/>
      <c r="O62" s="142"/>
      <c r="P62" s="143"/>
      <c r="Q62" s="143"/>
      <c r="R62" s="143"/>
      <c r="S62" s="143"/>
      <c r="T62" s="159">
        <f t="shared" si="2"/>
        <v>0</v>
      </c>
      <c r="V62" s="194"/>
    </row>
    <row r="63" spans="1:22" s="83" customFormat="1" x14ac:dyDescent="0.25">
      <c r="A63" s="128">
        <v>300</v>
      </c>
      <c r="B63" s="129" t="s">
        <v>125</v>
      </c>
      <c r="C63" s="130" t="s">
        <v>189</v>
      </c>
      <c r="D63" s="146" t="s">
        <v>62</v>
      </c>
      <c r="E63" s="152">
        <v>2.13</v>
      </c>
      <c r="F63" s="131">
        <v>315.52</v>
      </c>
      <c r="G63" s="126">
        <f t="shared" ref="G63:G66" si="36">ROUND(E63*F63,2)</f>
        <v>672.06</v>
      </c>
      <c r="I63" s="133">
        <v>2.17</v>
      </c>
      <c r="J63" s="161">
        <v>294.5</v>
      </c>
      <c r="K63" s="126">
        <f t="shared" ref="K63:K66" si="37">ROUND(I63*J63,2)</f>
        <v>639.07000000000005</v>
      </c>
      <c r="M63" s="168">
        <v>2.17</v>
      </c>
      <c r="N63" s="123">
        <f t="shared" ref="N63:N66" si="38">SUM(O63:S63)</f>
        <v>294.5</v>
      </c>
      <c r="O63" s="134"/>
      <c r="P63" s="135">
        <v>40.97</v>
      </c>
      <c r="Q63" s="135">
        <v>34.08</v>
      </c>
      <c r="R63" s="135"/>
      <c r="S63" s="135">
        <v>219.45</v>
      </c>
      <c r="T63" s="159">
        <f t="shared" si="2"/>
        <v>639.07000000000005</v>
      </c>
      <c r="V63" s="194"/>
    </row>
    <row r="64" spans="1:22" s="83" customFormat="1" x14ac:dyDescent="0.25">
      <c r="A64" s="128">
        <v>400</v>
      </c>
      <c r="B64" s="129" t="s">
        <v>126</v>
      </c>
      <c r="C64" s="130" t="s">
        <v>190</v>
      </c>
      <c r="D64" s="146" t="s">
        <v>197</v>
      </c>
      <c r="E64" s="152">
        <v>24.72</v>
      </c>
      <c r="F64" s="131">
        <v>43.61</v>
      </c>
      <c r="G64" s="126">
        <f t="shared" si="36"/>
        <v>1078.04</v>
      </c>
      <c r="I64" s="133">
        <v>25.21</v>
      </c>
      <c r="J64" s="161">
        <v>25.75</v>
      </c>
      <c r="K64" s="126">
        <f t="shared" si="37"/>
        <v>649.16</v>
      </c>
      <c r="M64" s="168">
        <v>25.21</v>
      </c>
      <c r="N64" s="123">
        <f t="shared" si="38"/>
        <v>25.75</v>
      </c>
      <c r="O64" s="134">
        <v>15.27</v>
      </c>
      <c r="P64" s="135">
        <v>5.09</v>
      </c>
      <c r="Q64" s="135">
        <v>0.46</v>
      </c>
      <c r="R64" s="135"/>
      <c r="S64" s="135">
        <v>4.93</v>
      </c>
      <c r="T64" s="159">
        <f t="shared" si="2"/>
        <v>649.16</v>
      </c>
      <c r="V64" s="194"/>
    </row>
    <row r="65" spans="1:22" s="83" customFormat="1" x14ac:dyDescent="0.25">
      <c r="A65" s="128">
        <v>500</v>
      </c>
      <c r="B65" s="129" t="s">
        <v>127</v>
      </c>
      <c r="C65" s="130" t="s">
        <v>191</v>
      </c>
      <c r="D65" s="146" t="s">
        <v>198</v>
      </c>
      <c r="E65" s="152">
        <v>93.93</v>
      </c>
      <c r="F65" s="131">
        <v>4.0200000000000005</v>
      </c>
      <c r="G65" s="126">
        <f t="shared" si="36"/>
        <v>377.6</v>
      </c>
      <c r="I65" s="133">
        <v>95.81</v>
      </c>
      <c r="J65" s="161">
        <v>3.4</v>
      </c>
      <c r="K65" s="126">
        <f t="shared" si="37"/>
        <v>325.75</v>
      </c>
      <c r="M65" s="168">
        <v>95.81</v>
      </c>
      <c r="N65" s="123">
        <f t="shared" si="38"/>
        <v>3.4000000000000004</v>
      </c>
      <c r="O65" s="134"/>
      <c r="P65" s="135">
        <v>2.66</v>
      </c>
      <c r="Q65" s="135"/>
      <c r="R65" s="135"/>
      <c r="S65" s="135">
        <v>0.74</v>
      </c>
      <c r="T65" s="159">
        <f t="shared" si="2"/>
        <v>325.75</v>
      </c>
      <c r="V65" s="194"/>
    </row>
    <row r="66" spans="1:22" s="83" customFormat="1" x14ac:dyDescent="0.25">
      <c r="A66" s="128">
        <v>300</v>
      </c>
      <c r="B66" s="129" t="s">
        <v>128</v>
      </c>
      <c r="C66" s="130" t="s">
        <v>192</v>
      </c>
      <c r="D66" s="146" t="s">
        <v>200</v>
      </c>
      <c r="E66" s="152">
        <v>205.92000000000002</v>
      </c>
      <c r="F66" s="131">
        <v>2.4900000000000002</v>
      </c>
      <c r="G66" s="126">
        <f t="shared" si="36"/>
        <v>512.74</v>
      </c>
      <c r="I66" s="133">
        <v>210.04</v>
      </c>
      <c r="J66" s="161">
        <v>2.39</v>
      </c>
      <c r="K66" s="126">
        <f t="shared" si="37"/>
        <v>502</v>
      </c>
      <c r="M66" s="168">
        <v>210.04</v>
      </c>
      <c r="N66" s="123">
        <f t="shared" si="38"/>
        <v>2.3899999999999997</v>
      </c>
      <c r="O66" s="134">
        <v>0.95</v>
      </c>
      <c r="P66" s="135">
        <v>1.41</v>
      </c>
      <c r="Q66" s="135"/>
      <c r="R66" s="135"/>
      <c r="S66" s="135">
        <v>0.03</v>
      </c>
      <c r="T66" s="159">
        <f t="shared" si="2"/>
        <v>502</v>
      </c>
      <c r="V66" s="194"/>
    </row>
    <row r="67" spans="1:22" s="2" customFormat="1" x14ac:dyDescent="0.25">
      <c r="A67" s="136"/>
      <c r="B67" s="137" t="s">
        <v>129</v>
      </c>
      <c r="C67" s="138" t="s">
        <v>193</v>
      </c>
      <c r="D67" s="145"/>
      <c r="E67" s="151"/>
      <c r="F67" s="139"/>
      <c r="G67" s="140"/>
      <c r="I67" s="141"/>
      <c r="J67" s="160"/>
      <c r="K67" s="140"/>
      <c r="M67" s="167"/>
      <c r="N67" s="139"/>
      <c r="O67" s="142"/>
      <c r="P67" s="143"/>
      <c r="Q67" s="143"/>
      <c r="R67" s="143"/>
      <c r="S67" s="143"/>
      <c r="T67" s="159">
        <f t="shared" si="2"/>
        <v>0</v>
      </c>
      <c r="V67" s="194"/>
    </row>
    <row r="68" spans="1:22" s="83" customFormat="1" x14ac:dyDescent="0.25">
      <c r="A68" s="128">
        <v>300</v>
      </c>
      <c r="B68" s="129" t="s">
        <v>130</v>
      </c>
      <c r="C68" s="130" t="s">
        <v>194</v>
      </c>
      <c r="D68" s="144" t="s">
        <v>197</v>
      </c>
      <c r="E68" s="152">
        <v>12.31</v>
      </c>
      <c r="F68" s="131">
        <v>80.040000000000006</v>
      </c>
      <c r="G68" s="126">
        <f t="shared" ref="G68:G70" si="39">ROUND(E68*F68,2)</f>
        <v>985.29</v>
      </c>
      <c r="I68" s="133">
        <v>12.56</v>
      </c>
      <c r="J68" s="161">
        <v>59.800000000000004</v>
      </c>
      <c r="K68" s="126">
        <f t="shared" ref="K68:K70" si="40">ROUND(I68*J68,2)</f>
        <v>751.09</v>
      </c>
      <c r="M68" s="168">
        <v>12.56</v>
      </c>
      <c r="N68" s="123">
        <f t="shared" ref="N68:N70" si="41">SUM(O68:S68)</f>
        <v>59.8</v>
      </c>
      <c r="O68" s="134">
        <v>16.29</v>
      </c>
      <c r="P68" s="135"/>
      <c r="Q68" s="135">
        <v>2.31</v>
      </c>
      <c r="R68" s="135"/>
      <c r="S68" s="135">
        <v>41.2</v>
      </c>
      <c r="T68" s="159">
        <f t="shared" si="2"/>
        <v>751.09</v>
      </c>
      <c r="V68" s="194"/>
    </row>
    <row r="69" spans="1:22" s="83" customFormat="1" x14ac:dyDescent="0.25">
      <c r="A69" s="128">
        <v>400</v>
      </c>
      <c r="B69" s="129" t="s">
        <v>131</v>
      </c>
      <c r="C69" s="130" t="s">
        <v>195</v>
      </c>
      <c r="D69" s="146" t="s">
        <v>197</v>
      </c>
      <c r="E69" s="152">
        <v>6.96</v>
      </c>
      <c r="F69" s="131">
        <v>41.15</v>
      </c>
      <c r="G69" s="126">
        <f t="shared" si="39"/>
        <v>286.39999999999998</v>
      </c>
      <c r="I69" s="133">
        <v>7.1</v>
      </c>
      <c r="J69" s="161">
        <v>27.36</v>
      </c>
      <c r="K69" s="126">
        <f t="shared" si="40"/>
        <v>194.26</v>
      </c>
      <c r="M69" s="168">
        <v>7.1</v>
      </c>
      <c r="N69" s="123">
        <f t="shared" si="41"/>
        <v>27.36</v>
      </c>
      <c r="O69" s="134">
        <v>20.059999999999999</v>
      </c>
      <c r="P69" s="135">
        <v>6.7</v>
      </c>
      <c r="Q69" s="135">
        <v>0.6</v>
      </c>
      <c r="R69" s="135"/>
      <c r="S69" s="135"/>
      <c r="T69" s="159">
        <f t="shared" si="2"/>
        <v>194.26</v>
      </c>
      <c r="V69" s="194"/>
    </row>
    <row r="70" spans="1:22" s="83" customFormat="1" x14ac:dyDescent="0.25">
      <c r="A70" s="128">
        <v>500</v>
      </c>
      <c r="B70" s="129" t="s">
        <v>132</v>
      </c>
      <c r="C70" s="130" t="s">
        <v>196</v>
      </c>
      <c r="D70" s="146" t="s">
        <v>199</v>
      </c>
      <c r="E70" s="152">
        <v>83.01</v>
      </c>
      <c r="F70" s="131">
        <v>4.0200000000000005</v>
      </c>
      <c r="G70" s="126">
        <f t="shared" si="39"/>
        <v>333.7</v>
      </c>
      <c r="I70" s="133">
        <v>84.67</v>
      </c>
      <c r="J70" s="161">
        <v>3.4</v>
      </c>
      <c r="K70" s="126">
        <f t="shared" si="40"/>
        <v>287.88</v>
      </c>
      <c r="M70" s="168">
        <v>84.67</v>
      </c>
      <c r="N70" s="123">
        <f t="shared" si="41"/>
        <v>3.4000000000000004</v>
      </c>
      <c r="O70" s="134"/>
      <c r="P70" s="135">
        <v>2.66</v>
      </c>
      <c r="Q70" s="135"/>
      <c r="R70" s="135"/>
      <c r="S70" s="135">
        <v>0.74</v>
      </c>
      <c r="T70" s="159">
        <f t="shared" si="2"/>
        <v>287.88</v>
      </c>
      <c r="V70" s="194"/>
    </row>
    <row r="71" spans="1:22" s="2" customFormat="1" x14ac:dyDescent="0.25">
      <c r="A71" s="45"/>
      <c r="B71" s="25"/>
      <c r="C71" s="21" t="s">
        <v>21</v>
      </c>
      <c r="D71" s="45"/>
      <c r="E71" s="153"/>
      <c r="F71" s="27"/>
      <c r="G71" s="99">
        <f>SUM(G7:G70)</f>
        <v>960724.52000000014</v>
      </c>
      <c r="I71" s="10"/>
      <c r="J71" s="162"/>
      <c r="K71" s="92">
        <f>SUM(K7:K70)</f>
        <v>696510.66999999993</v>
      </c>
      <c r="M71" s="164"/>
      <c r="N71" s="7"/>
      <c r="O71" s="13"/>
      <c r="P71" s="7"/>
      <c r="Q71" s="7"/>
      <c r="R71" s="7"/>
      <c r="S71" s="7"/>
      <c r="T71" s="27">
        <f>SUM(T7:T70)</f>
        <v>696510.66999999993</v>
      </c>
    </row>
    <row r="72" spans="1:22" s="83" customFormat="1" x14ac:dyDescent="0.25">
      <c r="A72" s="77"/>
      <c r="B72" s="78"/>
      <c r="C72" s="79" t="s">
        <v>51</v>
      </c>
      <c r="D72" s="77"/>
      <c r="E72" s="154"/>
      <c r="F72" s="82"/>
      <c r="G72" s="82">
        <f>ROUND(G71*0.1,2)</f>
        <v>96072.45</v>
      </c>
      <c r="I72" s="84"/>
      <c r="J72" s="163"/>
      <c r="K72" s="82">
        <f>ROUND(K71*0.12,2)</f>
        <v>83581.279999999999</v>
      </c>
      <c r="M72" s="169"/>
      <c r="N72" s="81"/>
      <c r="O72" s="80"/>
      <c r="P72" s="81"/>
      <c r="Q72" s="81"/>
      <c r="R72" s="81"/>
      <c r="S72" s="81"/>
      <c r="T72" s="82">
        <f>ROUND(T71*0.12,2)</f>
        <v>83581.279999999999</v>
      </c>
    </row>
    <row r="73" spans="1:22" s="83" customFormat="1" x14ac:dyDescent="0.25">
      <c r="A73" s="77"/>
      <c r="B73" s="78"/>
      <c r="C73" s="79" t="s">
        <v>52</v>
      </c>
      <c r="D73" s="77"/>
      <c r="E73" s="154"/>
      <c r="F73" s="82"/>
      <c r="G73" s="93">
        <f>ROUND(G71*0.08,2)</f>
        <v>76857.960000000006</v>
      </c>
      <c r="I73" s="84"/>
      <c r="J73" s="163"/>
      <c r="K73" s="82">
        <v>0</v>
      </c>
      <c r="M73" s="169"/>
      <c r="N73" s="81"/>
      <c r="O73" s="80"/>
      <c r="P73" s="81"/>
      <c r="Q73" s="81"/>
      <c r="R73" s="81"/>
      <c r="S73" s="81"/>
      <c r="T73" s="82"/>
    </row>
    <row r="74" spans="1:22" s="2" customFormat="1" x14ac:dyDescent="0.25">
      <c r="A74" s="73"/>
      <c r="B74" s="38"/>
      <c r="C74" s="74" t="s">
        <v>53</v>
      </c>
      <c r="D74" s="73"/>
      <c r="E74" s="155"/>
      <c r="F74" s="75"/>
      <c r="G74" s="75">
        <f>SUM(G71:G73)</f>
        <v>1133654.9300000002</v>
      </c>
      <c r="I74" s="76"/>
      <c r="J74" s="39"/>
      <c r="K74" s="75">
        <f>SUM(K71:K73)</f>
        <v>780091.95</v>
      </c>
      <c r="M74" s="170"/>
      <c r="N74" s="39"/>
      <c r="O74" s="49"/>
      <c r="P74" s="39"/>
      <c r="Q74" s="39"/>
      <c r="R74" s="39"/>
      <c r="S74" s="39"/>
      <c r="T74" s="75">
        <f>SUM(T71:T73)</f>
        <v>780091.95</v>
      </c>
    </row>
    <row r="75" spans="1:22" x14ac:dyDescent="0.25">
      <c r="A75" s="46"/>
      <c r="B75" s="26"/>
      <c r="C75" s="23" t="s">
        <v>22</v>
      </c>
      <c r="D75" s="46"/>
      <c r="E75" s="156"/>
      <c r="F75" s="19"/>
      <c r="G75" s="19">
        <f>ROUND(G74*0.18,2)</f>
        <v>204057.89</v>
      </c>
      <c r="I75" s="12"/>
      <c r="J75" s="9"/>
      <c r="K75" s="19">
        <f>ROUND(K74*0.18,2)</f>
        <v>140416.54999999999</v>
      </c>
      <c r="M75" s="171"/>
      <c r="N75" s="9"/>
      <c r="O75" s="14"/>
      <c r="P75" s="9"/>
      <c r="Q75" s="9"/>
      <c r="R75" s="9"/>
      <c r="S75" s="9"/>
      <c r="T75" s="19">
        <f>ROUND(T74*0.18,2)</f>
        <v>140416.54999999999</v>
      </c>
    </row>
    <row r="76" spans="1:22" s="2" customFormat="1" x14ac:dyDescent="0.25">
      <c r="A76" s="47"/>
      <c r="B76" s="28"/>
      <c r="C76" s="29" t="s">
        <v>28</v>
      </c>
      <c r="D76" s="47"/>
      <c r="E76" s="157"/>
      <c r="F76" s="32"/>
      <c r="G76" s="32">
        <f>SUM(G74:G75)</f>
        <v>1337712.8200000003</v>
      </c>
      <c r="I76" s="33"/>
      <c r="J76" s="31"/>
      <c r="K76" s="32">
        <f>SUM(K74:K75)</f>
        <v>920508.5</v>
      </c>
      <c r="M76" s="172"/>
      <c r="N76" s="31"/>
      <c r="O76" s="30"/>
      <c r="P76" s="31"/>
      <c r="Q76" s="31"/>
      <c r="R76" s="31"/>
      <c r="S76" s="31"/>
      <c r="T76" s="32">
        <f>SUM(T74:T75)</f>
        <v>920508.5</v>
      </c>
    </row>
    <row r="77" spans="1:22" s="148" customFormat="1" x14ac:dyDescent="0.25">
      <c r="A77" s="255"/>
      <c r="K77" s="256"/>
    </row>
    <row r="80" spans="1:22" x14ac:dyDescent="0.25">
      <c r="Q80" s="85"/>
    </row>
  </sheetData>
  <mergeCells count="7">
    <mergeCell ref="M5:T5"/>
    <mergeCell ref="E5:G5"/>
    <mergeCell ref="I5:K5"/>
    <mergeCell ref="A5:A6"/>
    <mergeCell ref="B5:B6"/>
    <mergeCell ref="D5:D6"/>
    <mergeCell ref="C5:C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5"/>
  <sheetViews>
    <sheetView zoomScale="85" zoomScaleNormal="85" workbookViewId="0">
      <selection activeCell="M7" sqref="M7:M70"/>
    </sheetView>
  </sheetViews>
  <sheetFormatPr baseColWidth="10" defaultRowHeight="15" x14ac:dyDescent="0.25"/>
  <cols>
    <col min="2" max="2" width="11.42578125" style="1"/>
    <col min="3" max="3" width="55" customWidth="1"/>
    <col min="4" max="4" width="11.42578125" style="1"/>
    <col min="5" max="5" width="14" customWidth="1"/>
    <col min="6" max="7" width="13" customWidth="1"/>
    <col min="8" max="9" width="13.42578125" customWidth="1"/>
    <col min="10" max="10" width="12.5703125" customWidth="1"/>
    <col min="11" max="11" width="13.140625" bestFit="1" customWidth="1"/>
    <col min="12" max="12" width="14.85546875" customWidth="1"/>
    <col min="15" max="18" width="12.140625" customWidth="1"/>
  </cols>
  <sheetData>
    <row r="1" spans="1:19" s="43" customFormat="1" x14ac:dyDescent="0.25">
      <c r="A1" s="43" t="s">
        <v>23</v>
      </c>
      <c r="B1" s="44"/>
      <c r="D1" s="44"/>
    </row>
    <row r="3" spans="1:19" x14ac:dyDescent="0.25">
      <c r="A3" s="2" t="s">
        <v>16</v>
      </c>
      <c r="B3" s="2" t="s">
        <v>69</v>
      </c>
    </row>
    <row r="4" spans="1:19" x14ac:dyDescent="0.25">
      <c r="E4" s="445" t="s">
        <v>68</v>
      </c>
      <c r="F4" s="445"/>
      <c r="G4" s="445"/>
      <c r="H4" s="445"/>
      <c r="I4" s="445"/>
      <c r="J4" s="445"/>
      <c r="K4" s="445"/>
      <c r="L4" s="446" t="s">
        <v>42</v>
      </c>
      <c r="M4" s="446"/>
      <c r="N4" s="446"/>
      <c r="O4" s="446"/>
      <c r="P4" s="446"/>
      <c r="Q4" s="446"/>
      <c r="R4" s="446"/>
    </row>
    <row r="5" spans="1:19" ht="15" customHeight="1" x14ac:dyDescent="0.25">
      <c r="A5" s="442" t="s">
        <v>1</v>
      </c>
      <c r="B5" s="442" t="s">
        <v>2</v>
      </c>
      <c r="C5" s="442" t="s">
        <v>15</v>
      </c>
      <c r="D5" s="442" t="s">
        <v>3</v>
      </c>
      <c r="E5" s="65" t="s">
        <v>13</v>
      </c>
      <c r="F5" s="442" t="s">
        <v>47</v>
      </c>
      <c r="G5" s="442"/>
      <c r="H5" s="444" t="s">
        <v>48</v>
      </c>
      <c r="I5" s="444"/>
      <c r="J5" s="444" t="s">
        <v>49</v>
      </c>
      <c r="K5" s="444"/>
      <c r="L5" s="65" t="s">
        <v>25</v>
      </c>
      <c r="M5" s="442" t="s">
        <v>44</v>
      </c>
      <c r="N5" s="442"/>
      <c r="O5" s="444" t="s">
        <v>45</v>
      </c>
      <c r="P5" s="444"/>
      <c r="Q5" s="444" t="s">
        <v>46</v>
      </c>
      <c r="R5" s="444"/>
    </row>
    <row r="6" spans="1:19" ht="45" x14ac:dyDescent="0.25">
      <c r="A6" s="442"/>
      <c r="B6" s="442"/>
      <c r="C6" s="442"/>
      <c r="D6" s="442"/>
      <c r="E6" s="65" t="s">
        <v>6</v>
      </c>
      <c r="F6" s="65" t="s">
        <v>26</v>
      </c>
      <c r="G6" s="65" t="s">
        <v>7</v>
      </c>
      <c r="H6" s="65" t="s">
        <v>27</v>
      </c>
      <c r="I6" s="65" t="s">
        <v>7</v>
      </c>
      <c r="J6" s="65" t="s">
        <v>24</v>
      </c>
      <c r="K6" s="65" t="s">
        <v>7</v>
      </c>
      <c r="L6" s="65" t="s">
        <v>6</v>
      </c>
      <c r="M6" s="65" t="s">
        <v>327</v>
      </c>
      <c r="N6" s="65" t="s">
        <v>7</v>
      </c>
      <c r="O6" s="65" t="s">
        <v>27</v>
      </c>
      <c r="P6" s="65" t="s">
        <v>7</v>
      </c>
      <c r="Q6" s="65" t="s">
        <v>326</v>
      </c>
      <c r="R6" s="65" t="s">
        <v>7</v>
      </c>
    </row>
    <row r="7" spans="1:19" s="2" customFormat="1" x14ac:dyDescent="0.25">
      <c r="A7" s="173"/>
      <c r="B7" s="116" t="s">
        <v>70</v>
      </c>
      <c r="C7" s="95" t="s">
        <v>133</v>
      </c>
      <c r="D7" s="94"/>
      <c r="E7" s="162"/>
      <c r="F7" s="162"/>
      <c r="G7" s="162"/>
      <c r="H7" s="162"/>
      <c r="I7" s="162"/>
      <c r="J7" s="162"/>
      <c r="K7" s="162"/>
      <c r="L7" s="162"/>
      <c r="M7" s="59"/>
      <c r="N7" s="162"/>
      <c r="O7" s="162"/>
      <c r="P7" s="162"/>
      <c r="Q7" s="162"/>
      <c r="R7" s="162"/>
    </row>
    <row r="8" spans="1:19" s="2" customFormat="1" x14ac:dyDescent="0.25">
      <c r="A8" s="174"/>
      <c r="B8" s="117" t="s">
        <v>71</v>
      </c>
      <c r="C8" s="97" t="s">
        <v>134</v>
      </c>
      <c r="D8" s="96"/>
      <c r="E8" s="176"/>
      <c r="F8" s="176"/>
      <c r="G8" s="176"/>
      <c r="H8" s="176"/>
      <c r="I8" s="176"/>
      <c r="J8" s="176"/>
      <c r="K8" s="176"/>
      <c r="L8" s="176"/>
      <c r="M8" s="62"/>
      <c r="N8" s="176"/>
      <c r="O8" s="176"/>
      <c r="P8" s="176"/>
      <c r="Q8" s="176"/>
      <c r="R8" s="176"/>
    </row>
    <row r="9" spans="1:19" x14ac:dyDescent="0.25">
      <c r="A9" s="174"/>
      <c r="B9" s="117" t="s">
        <v>17</v>
      </c>
      <c r="C9" s="97" t="s">
        <v>135</v>
      </c>
      <c r="D9" s="96"/>
      <c r="E9" s="175"/>
      <c r="F9" s="175"/>
      <c r="G9" s="175"/>
      <c r="H9" s="175"/>
      <c r="I9" s="175"/>
      <c r="J9" s="175"/>
      <c r="K9" s="175"/>
      <c r="L9" s="175"/>
      <c r="M9" s="63"/>
      <c r="N9" s="175"/>
      <c r="O9" s="175"/>
      <c r="P9" s="175"/>
      <c r="Q9" s="175"/>
      <c r="R9" s="175"/>
    </row>
    <row r="10" spans="1:19" s="2" customFormat="1" x14ac:dyDescent="0.25">
      <c r="A10" s="174">
        <v>100</v>
      </c>
      <c r="B10" s="121" t="s">
        <v>72</v>
      </c>
      <c r="C10" s="122" t="s">
        <v>136</v>
      </c>
      <c r="D10" s="144" t="s">
        <v>19</v>
      </c>
      <c r="E10" s="175">
        <f>PRESUPUESTOS!F10</f>
        <v>2.04</v>
      </c>
      <c r="F10" s="175">
        <f>IF(Q10=0,0,((M10/Q10)*J10))</f>
        <v>0</v>
      </c>
      <c r="G10" s="175">
        <f t="shared" ref="G10:G70" si="0">ROUND(E10*F10,2)</f>
        <v>0</v>
      </c>
      <c r="H10" s="175">
        <f t="shared" ref="H10:H70" si="1">J10-F10</f>
        <v>897.34</v>
      </c>
      <c r="I10" s="175">
        <f t="shared" ref="I10:I70" si="2">ROUND(E10*H10,2)</f>
        <v>1830.57</v>
      </c>
      <c r="J10" s="175">
        <f>PRESUPUESTOS!E10</f>
        <v>897.34</v>
      </c>
      <c r="K10" s="175">
        <f t="shared" ref="K10:K70" si="3">ROUND(E10*J10,2)</f>
        <v>1830.57</v>
      </c>
      <c r="L10" s="175">
        <f>PRESUPUESTOS!N10</f>
        <v>1.33</v>
      </c>
      <c r="M10" s="63">
        <v>0</v>
      </c>
      <c r="N10" s="175">
        <f t="shared" ref="N10:N70" si="4">ROUND(M10*L10,2)</f>
        <v>0</v>
      </c>
      <c r="O10" s="175">
        <f t="shared" ref="O10:O70" si="5">Q10-M10</f>
        <v>942.21</v>
      </c>
      <c r="P10" s="175">
        <f t="shared" ref="P10:P70" si="6">ROUND(O10*L10,2)</f>
        <v>1253.1400000000001</v>
      </c>
      <c r="Q10" s="175">
        <f>PRESUPUESTOS!M10</f>
        <v>942.21</v>
      </c>
      <c r="R10" s="175">
        <f t="shared" ref="R10:R70" si="7">ROUND(Q10*L10,2)</f>
        <v>1253.1400000000001</v>
      </c>
      <c r="S10" s="371"/>
    </row>
    <row r="11" spans="1:19" x14ac:dyDescent="0.25">
      <c r="A11" s="174">
        <v>100</v>
      </c>
      <c r="B11" s="121" t="s">
        <v>73</v>
      </c>
      <c r="C11" s="122" t="s">
        <v>137</v>
      </c>
      <c r="D11" s="144" t="s">
        <v>197</v>
      </c>
      <c r="E11" s="175">
        <f>PRESUPUESTOS!F11</f>
        <v>2.04</v>
      </c>
      <c r="F11" s="175">
        <f t="shared" ref="F11:F70" si="8">IF(Q11=0,0,((M11/Q11)*J11))</f>
        <v>224.33500000000001</v>
      </c>
      <c r="G11" s="175">
        <f t="shared" si="0"/>
        <v>457.64</v>
      </c>
      <c r="H11" s="175">
        <f t="shared" si="1"/>
        <v>673.005</v>
      </c>
      <c r="I11" s="175">
        <f t="shared" si="2"/>
        <v>1372.93</v>
      </c>
      <c r="J11" s="175">
        <f>PRESUPUESTOS!E11</f>
        <v>897.34</v>
      </c>
      <c r="K11" s="175">
        <f t="shared" si="3"/>
        <v>1830.57</v>
      </c>
      <c r="L11" s="175">
        <f>PRESUPUESTOS!N11</f>
        <v>1.33</v>
      </c>
      <c r="M11" s="63">
        <v>235.55250000000001</v>
      </c>
      <c r="N11" s="175">
        <f t="shared" si="4"/>
        <v>313.27999999999997</v>
      </c>
      <c r="O11" s="175">
        <f t="shared" si="5"/>
        <v>706.65750000000003</v>
      </c>
      <c r="P11" s="175">
        <f t="shared" si="6"/>
        <v>939.85</v>
      </c>
      <c r="Q11" s="175">
        <f>PRESUPUESTOS!M11</f>
        <v>942.21</v>
      </c>
      <c r="R11" s="175">
        <f t="shared" si="7"/>
        <v>1253.1400000000001</v>
      </c>
    </row>
    <row r="12" spans="1:19" x14ac:dyDescent="0.25">
      <c r="A12" s="174"/>
      <c r="B12" s="117" t="s">
        <v>74</v>
      </c>
      <c r="C12" s="97" t="s">
        <v>138</v>
      </c>
      <c r="D12" s="96"/>
      <c r="E12" s="175"/>
      <c r="F12" s="175"/>
      <c r="G12" s="175"/>
      <c r="H12" s="175"/>
      <c r="I12" s="175"/>
      <c r="J12" s="175"/>
      <c r="K12" s="175"/>
      <c r="L12" s="175"/>
      <c r="M12" s="63"/>
      <c r="N12" s="175"/>
      <c r="O12" s="175"/>
      <c r="P12" s="175"/>
      <c r="Q12" s="175"/>
      <c r="R12" s="175"/>
    </row>
    <row r="13" spans="1:19" x14ac:dyDescent="0.25">
      <c r="A13" s="174"/>
      <c r="B13" s="117" t="s">
        <v>75</v>
      </c>
      <c r="C13" s="97" t="s">
        <v>139</v>
      </c>
      <c r="D13" s="96"/>
      <c r="E13" s="175"/>
      <c r="F13" s="175"/>
      <c r="G13" s="175"/>
      <c r="H13" s="175"/>
      <c r="I13" s="175"/>
      <c r="J13" s="175"/>
      <c r="K13" s="175"/>
      <c r="L13" s="175"/>
      <c r="M13" s="63"/>
      <c r="N13" s="175"/>
      <c r="O13" s="175"/>
      <c r="P13" s="175"/>
      <c r="Q13" s="175"/>
      <c r="R13" s="175"/>
    </row>
    <row r="14" spans="1:19" x14ac:dyDescent="0.25">
      <c r="A14" s="174"/>
      <c r="B14" s="117" t="s">
        <v>76</v>
      </c>
      <c r="C14" s="97" t="s">
        <v>140</v>
      </c>
      <c r="D14" s="96"/>
      <c r="E14" s="175"/>
      <c r="F14" s="175"/>
      <c r="G14" s="175"/>
      <c r="H14" s="175"/>
      <c r="I14" s="175"/>
      <c r="J14" s="175"/>
      <c r="K14" s="175"/>
      <c r="L14" s="175"/>
      <c r="M14" s="63"/>
      <c r="N14" s="175"/>
      <c r="O14" s="175"/>
      <c r="P14" s="175"/>
      <c r="Q14" s="175"/>
      <c r="R14" s="175"/>
    </row>
    <row r="15" spans="1:19" s="2" customFormat="1" x14ac:dyDescent="0.25">
      <c r="A15" s="174">
        <v>200</v>
      </c>
      <c r="B15" s="121" t="s">
        <v>77</v>
      </c>
      <c r="C15" s="122" t="s">
        <v>141</v>
      </c>
      <c r="D15" s="144" t="s">
        <v>62</v>
      </c>
      <c r="E15" s="175">
        <f>PRESUPUESTOS!F15</f>
        <v>46.74</v>
      </c>
      <c r="F15" s="175">
        <f t="shared" si="8"/>
        <v>0</v>
      </c>
      <c r="G15" s="175">
        <f t="shared" si="0"/>
        <v>0</v>
      </c>
      <c r="H15" s="175">
        <f t="shared" si="1"/>
        <v>41.9</v>
      </c>
      <c r="I15" s="175">
        <f t="shared" si="2"/>
        <v>1958.41</v>
      </c>
      <c r="J15" s="175">
        <f>PRESUPUESTOS!E15</f>
        <v>41.9</v>
      </c>
      <c r="K15" s="175">
        <f t="shared" si="3"/>
        <v>1958.41</v>
      </c>
      <c r="L15" s="175">
        <f>PRESUPUESTOS!N15</f>
        <v>29.22</v>
      </c>
      <c r="M15" s="63">
        <v>0</v>
      </c>
      <c r="N15" s="175">
        <f t="shared" si="4"/>
        <v>0</v>
      </c>
      <c r="O15" s="175">
        <f t="shared" si="5"/>
        <v>39.81</v>
      </c>
      <c r="P15" s="175">
        <f t="shared" si="6"/>
        <v>1163.25</v>
      </c>
      <c r="Q15" s="175">
        <f>PRESUPUESTOS!M15</f>
        <v>39.81</v>
      </c>
      <c r="R15" s="175">
        <f t="shared" si="7"/>
        <v>1163.25</v>
      </c>
    </row>
    <row r="16" spans="1:19" x14ac:dyDescent="0.25">
      <c r="A16" s="174">
        <v>200</v>
      </c>
      <c r="B16" s="121" t="s">
        <v>78</v>
      </c>
      <c r="C16" s="122" t="s">
        <v>142</v>
      </c>
      <c r="D16" s="144" t="s">
        <v>62</v>
      </c>
      <c r="E16" s="175">
        <f>PRESUPUESTOS!F16</f>
        <v>50.99</v>
      </c>
      <c r="F16" s="175">
        <f t="shared" si="8"/>
        <v>0</v>
      </c>
      <c r="G16" s="175">
        <f t="shared" si="0"/>
        <v>0</v>
      </c>
      <c r="H16" s="175">
        <f t="shared" si="1"/>
        <v>1975.16</v>
      </c>
      <c r="I16" s="175">
        <f t="shared" si="2"/>
        <v>100713.41</v>
      </c>
      <c r="J16" s="175">
        <f>PRESUPUESTOS!E16</f>
        <v>1975.16</v>
      </c>
      <c r="K16" s="175">
        <f t="shared" si="3"/>
        <v>100713.41</v>
      </c>
      <c r="L16" s="175">
        <f>PRESUPUESTOS!N16</f>
        <v>33.36</v>
      </c>
      <c r="M16" s="63">
        <v>0</v>
      </c>
      <c r="N16" s="175">
        <f t="shared" si="4"/>
        <v>0</v>
      </c>
      <c r="O16" s="175">
        <f t="shared" si="5"/>
        <v>1876.4</v>
      </c>
      <c r="P16" s="175">
        <f t="shared" si="6"/>
        <v>62596.7</v>
      </c>
      <c r="Q16" s="175">
        <f>PRESUPUESTOS!M16</f>
        <v>1876.4</v>
      </c>
      <c r="R16" s="175">
        <f t="shared" si="7"/>
        <v>62596.7</v>
      </c>
    </row>
    <row r="17" spans="1:18" x14ac:dyDescent="0.25">
      <c r="A17" s="174"/>
      <c r="B17" s="117" t="s">
        <v>79</v>
      </c>
      <c r="C17" s="97" t="s">
        <v>143</v>
      </c>
      <c r="D17" s="96"/>
      <c r="E17" s="175"/>
      <c r="F17" s="175"/>
      <c r="G17" s="175"/>
      <c r="H17" s="175"/>
      <c r="I17" s="175"/>
      <c r="J17" s="175"/>
      <c r="K17" s="175"/>
      <c r="L17" s="175"/>
      <c r="M17" s="63"/>
      <c r="N17" s="175"/>
      <c r="O17" s="175"/>
      <c r="P17" s="175"/>
      <c r="Q17" s="175"/>
      <c r="R17" s="175"/>
    </row>
    <row r="18" spans="1:18" x14ac:dyDescent="0.25">
      <c r="A18" s="174">
        <v>200</v>
      </c>
      <c r="B18" s="121" t="s">
        <v>80</v>
      </c>
      <c r="C18" s="122" t="s">
        <v>144</v>
      </c>
      <c r="D18" s="144" t="s">
        <v>62</v>
      </c>
      <c r="E18" s="175">
        <f>PRESUPUESTOS!F18</f>
        <v>26.01</v>
      </c>
      <c r="F18" s="175">
        <f t="shared" si="8"/>
        <v>838.53700000000003</v>
      </c>
      <c r="G18" s="175">
        <f t="shared" si="0"/>
        <v>21810.35</v>
      </c>
      <c r="H18" s="175">
        <f t="shared" si="1"/>
        <v>359.37300000000005</v>
      </c>
      <c r="I18" s="175">
        <f t="shared" si="2"/>
        <v>9347.2900000000009</v>
      </c>
      <c r="J18" s="175">
        <f>PRESUPUESTOS!E18</f>
        <v>1197.9100000000001</v>
      </c>
      <c r="K18" s="175">
        <f t="shared" si="3"/>
        <v>31157.64</v>
      </c>
      <c r="L18" s="175">
        <f>PRESUPUESTOS!N18</f>
        <v>15</v>
      </c>
      <c r="M18" s="63">
        <v>796.60699999999997</v>
      </c>
      <c r="N18" s="175">
        <f t="shared" si="4"/>
        <v>11949.11</v>
      </c>
      <c r="O18" s="175">
        <f t="shared" si="5"/>
        <v>341.40300000000002</v>
      </c>
      <c r="P18" s="175">
        <f t="shared" si="6"/>
        <v>5121.05</v>
      </c>
      <c r="Q18" s="175">
        <f>PRESUPUESTOS!M18</f>
        <v>1138.01</v>
      </c>
      <c r="R18" s="175">
        <f t="shared" si="7"/>
        <v>17070.150000000001</v>
      </c>
    </row>
    <row r="19" spans="1:18" s="2" customFormat="1" x14ac:dyDescent="0.25">
      <c r="A19" s="174"/>
      <c r="B19" s="117" t="s">
        <v>81</v>
      </c>
      <c r="C19" s="97" t="s">
        <v>145</v>
      </c>
      <c r="D19" s="96"/>
      <c r="E19" s="175"/>
      <c r="F19" s="175"/>
      <c r="G19" s="175"/>
      <c r="H19" s="175"/>
      <c r="I19" s="175"/>
      <c r="J19" s="175"/>
      <c r="K19" s="175"/>
      <c r="L19" s="175"/>
      <c r="M19" s="63"/>
      <c r="N19" s="175"/>
      <c r="O19" s="175"/>
      <c r="P19" s="175"/>
      <c r="Q19" s="175"/>
      <c r="R19" s="175"/>
    </row>
    <row r="20" spans="1:18" x14ac:dyDescent="0.25">
      <c r="A20" s="174">
        <v>200</v>
      </c>
      <c r="B20" s="121" t="s">
        <v>82</v>
      </c>
      <c r="C20" s="122" t="s">
        <v>146</v>
      </c>
      <c r="D20" s="144" t="s">
        <v>62</v>
      </c>
      <c r="E20" s="175">
        <f>PRESUPUESTOS!F20</f>
        <v>17.53</v>
      </c>
      <c r="F20" s="175">
        <f t="shared" si="8"/>
        <v>0</v>
      </c>
      <c r="G20" s="175">
        <f t="shared" si="0"/>
        <v>0</v>
      </c>
      <c r="H20" s="175">
        <f t="shared" si="1"/>
        <v>68.91</v>
      </c>
      <c r="I20" s="175">
        <f t="shared" si="2"/>
        <v>1207.99</v>
      </c>
      <c r="J20" s="175">
        <f>PRESUPUESTOS!E20</f>
        <v>68.91</v>
      </c>
      <c r="K20" s="175">
        <f t="shared" si="3"/>
        <v>1207.99</v>
      </c>
      <c r="L20" s="175">
        <f>PRESUPUESTOS!N20</f>
        <v>0</v>
      </c>
      <c r="M20" s="63">
        <v>0</v>
      </c>
      <c r="N20" s="175">
        <f t="shared" si="4"/>
        <v>0</v>
      </c>
      <c r="O20" s="175">
        <f t="shared" si="5"/>
        <v>0</v>
      </c>
      <c r="P20" s="175">
        <f t="shared" si="6"/>
        <v>0</v>
      </c>
      <c r="Q20" s="175">
        <f>PRESUPUESTOS!M20</f>
        <v>0</v>
      </c>
      <c r="R20" s="175">
        <f t="shared" si="7"/>
        <v>0</v>
      </c>
    </row>
    <row r="21" spans="1:18" s="2" customFormat="1" x14ac:dyDescent="0.25">
      <c r="A21" s="174">
        <v>200</v>
      </c>
      <c r="B21" s="121" t="s">
        <v>83</v>
      </c>
      <c r="C21" s="122" t="s">
        <v>147</v>
      </c>
      <c r="D21" s="144" t="s">
        <v>20</v>
      </c>
      <c r="E21" s="175">
        <f>PRESUPUESTOS!F21</f>
        <v>16.02</v>
      </c>
      <c r="F21" s="175">
        <f t="shared" si="8"/>
        <v>0</v>
      </c>
      <c r="G21" s="175">
        <f t="shared" si="0"/>
        <v>0</v>
      </c>
      <c r="H21" s="175">
        <f t="shared" si="1"/>
        <v>68.91</v>
      </c>
      <c r="I21" s="175">
        <f t="shared" si="2"/>
        <v>1103.94</v>
      </c>
      <c r="J21" s="175">
        <f>PRESUPUESTOS!E21</f>
        <v>68.91</v>
      </c>
      <c r="K21" s="175">
        <f t="shared" si="3"/>
        <v>1103.94</v>
      </c>
      <c r="L21" s="175">
        <f>PRESUPUESTOS!N21</f>
        <v>0</v>
      </c>
      <c r="M21" s="63">
        <v>0</v>
      </c>
      <c r="N21" s="175">
        <f t="shared" si="4"/>
        <v>0</v>
      </c>
      <c r="O21" s="175">
        <f t="shared" si="5"/>
        <v>0</v>
      </c>
      <c r="P21" s="175">
        <f t="shared" si="6"/>
        <v>0</v>
      </c>
      <c r="Q21" s="175">
        <f>PRESUPUESTOS!M21</f>
        <v>0</v>
      </c>
      <c r="R21" s="175">
        <f t="shared" si="7"/>
        <v>0</v>
      </c>
    </row>
    <row r="22" spans="1:18" x14ac:dyDescent="0.25">
      <c r="A22" s="174">
        <v>200</v>
      </c>
      <c r="B22" s="121" t="s">
        <v>84</v>
      </c>
      <c r="C22" s="122" t="s">
        <v>148</v>
      </c>
      <c r="D22" s="144" t="s">
        <v>62</v>
      </c>
      <c r="E22" s="175">
        <f>PRESUPUESTOS!F22</f>
        <v>21.84</v>
      </c>
      <c r="F22" s="175">
        <f t="shared" si="8"/>
        <v>0</v>
      </c>
      <c r="G22" s="175">
        <f t="shared" si="0"/>
        <v>0</v>
      </c>
      <c r="H22" s="175">
        <f t="shared" si="1"/>
        <v>995.9</v>
      </c>
      <c r="I22" s="175">
        <f t="shared" si="2"/>
        <v>21750.46</v>
      </c>
      <c r="J22" s="175">
        <f>PRESUPUESTOS!E22</f>
        <v>995.9</v>
      </c>
      <c r="K22" s="175">
        <f t="shared" si="3"/>
        <v>21750.46</v>
      </c>
      <c r="L22" s="175">
        <f>PRESUPUESTOS!N22</f>
        <v>18.27</v>
      </c>
      <c r="M22" s="63">
        <v>0</v>
      </c>
      <c r="N22" s="175">
        <f t="shared" si="4"/>
        <v>0</v>
      </c>
      <c r="O22" s="175">
        <f t="shared" si="5"/>
        <v>1118.06</v>
      </c>
      <c r="P22" s="175">
        <f t="shared" si="6"/>
        <v>20426.96</v>
      </c>
      <c r="Q22" s="175">
        <f>PRESUPUESTOS!M22</f>
        <v>1118.06</v>
      </c>
      <c r="R22" s="175">
        <f t="shared" si="7"/>
        <v>20426.96</v>
      </c>
    </row>
    <row r="23" spans="1:18" x14ac:dyDescent="0.25">
      <c r="A23" s="174"/>
      <c r="B23" s="137" t="s">
        <v>85</v>
      </c>
      <c r="C23" s="138" t="s">
        <v>149</v>
      </c>
      <c r="D23" s="145"/>
      <c r="E23" s="175">
        <f>PRESUPUESTOS!F23</f>
        <v>0</v>
      </c>
      <c r="F23" s="175">
        <f t="shared" si="8"/>
        <v>0</v>
      </c>
      <c r="G23" s="175">
        <f t="shared" si="0"/>
        <v>0</v>
      </c>
      <c r="H23" s="175">
        <f t="shared" si="1"/>
        <v>0</v>
      </c>
      <c r="I23" s="175">
        <f t="shared" si="2"/>
        <v>0</v>
      </c>
      <c r="J23" s="175">
        <f>PRESUPUESTOS!E23</f>
        <v>0</v>
      </c>
      <c r="K23" s="175">
        <f t="shared" si="3"/>
        <v>0</v>
      </c>
      <c r="L23" s="175">
        <f>PRESUPUESTOS!N23</f>
        <v>0</v>
      </c>
      <c r="M23" s="63"/>
      <c r="N23" s="175">
        <f t="shared" si="4"/>
        <v>0</v>
      </c>
      <c r="O23" s="175">
        <f t="shared" si="5"/>
        <v>0</v>
      </c>
      <c r="P23" s="175">
        <f t="shared" si="6"/>
        <v>0</v>
      </c>
      <c r="Q23" s="175">
        <f>PRESUPUESTOS!M23</f>
        <v>0</v>
      </c>
      <c r="R23" s="175">
        <f t="shared" si="7"/>
        <v>0</v>
      </c>
    </row>
    <row r="24" spans="1:18" x14ac:dyDescent="0.25">
      <c r="A24" s="174">
        <v>200</v>
      </c>
      <c r="B24" s="129" t="s">
        <v>86</v>
      </c>
      <c r="C24" s="130" t="s">
        <v>150</v>
      </c>
      <c r="D24" s="146" t="s">
        <v>197</v>
      </c>
      <c r="E24" s="175">
        <f>PRESUPUESTOS!F24</f>
        <v>4.72</v>
      </c>
      <c r="F24" s="175">
        <f t="shared" si="8"/>
        <v>0</v>
      </c>
      <c r="G24" s="175">
        <f t="shared" si="0"/>
        <v>0</v>
      </c>
      <c r="H24" s="175">
        <f t="shared" si="1"/>
        <v>68.95</v>
      </c>
      <c r="I24" s="175">
        <f t="shared" si="2"/>
        <v>325.44</v>
      </c>
      <c r="J24" s="175">
        <f>PRESUPUESTOS!E24</f>
        <v>68.95</v>
      </c>
      <c r="K24" s="175">
        <f t="shared" si="3"/>
        <v>325.44</v>
      </c>
      <c r="L24" s="175">
        <f>PRESUPUESTOS!N24</f>
        <v>4.3600000000000003</v>
      </c>
      <c r="M24" s="63">
        <v>0</v>
      </c>
      <c r="N24" s="175">
        <f t="shared" si="4"/>
        <v>0</v>
      </c>
      <c r="O24" s="175">
        <f t="shared" si="5"/>
        <v>70.33</v>
      </c>
      <c r="P24" s="175">
        <f t="shared" si="6"/>
        <v>306.64</v>
      </c>
      <c r="Q24" s="175">
        <f>PRESUPUESTOS!M24</f>
        <v>70.33</v>
      </c>
      <c r="R24" s="175">
        <f t="shared" si="7"/>
        <v>306.64</v>
      </c>
    </row>
    <row r="25" spans="1:18" x14ac:dyDescent="0.25">
      <c r="A25" s="174">
        <v>200</v>
      </c>
      <c r="B25" s="129" t="s">
        <v>87</v>
      </c>
      <c r="C25" s="130" t="s">
        <v>151</v>
      </c>
      <c r="D25" s="146" t="s">
        <v>197</v>
      </c>
      <c r="E25" s="175">
        <f>PRESUPUESTOS!F25</f>
        <v>7.8500000000000005</v>
      </c>
      <c r="F25" s="175">
        <f t="shared" si="8"/>
        <v>5.1360000000000001</v>
      </c>
      <c r="G25" s="175">
        <f t="shared" si="0"/>
        <v>40.32</v>
      </c>
      <c r="H25" s="175">
        <f t="shared" si="1"/>
        <v>3.4240000000000004</v>
      </c>
      <c r="I25" s="175">
        <f t="shared" si="2"/>
        <v>26.88</v>
      </c>
      <c r="J25" s="175">
        <f>PRESUPUESTOS!E25</f>
        <v>8.56</v>
      </c>
      <c r="K25" s="175">
        <f t="shared" si="3"/>
        <v>67.2</v>
      </c>
      <c r="L25" s="175">
        <f>PRESUPUESTOS!N25</f>
        <v>7.37</v>
      </c>
      <c r="M25" s="63">
        <v>5.2380000000000004</v>
      </c>
      <c r="N25" s="175">
        <f t="shared" si="4"/>
        <v>38.6</v>
      </c>
      <c r="O25" s="175">
        <f t="shared" si="5"/>
        <v>3.492</v>
      </c>
      <c r="P25" s="175">
        <f t="shared" si="6"/>
        <v>25.74</v>
      </c>
      <c r="Q25" s="175">
        <f>PRESUPUESTOS!M25</f>
        <v>8.73</v>
      </c>
      <c r="R25" s="175">
        <f t="shared" si="7"/>
        <v>64.34</v>
      </c>
    </row>
    <row r="26" spans="1:18" x14ac:dyDescent="0.25">
      <c r="A26" s="174">
        <v>200</v>
      </c>
      <c r="B26" s="129" t="s">
        <v>88</v>
      </c>
      <c r="C26" s="130" t="s">
        <v>152</v>
      </c>
      <c r="D26" s="146" t="s">
        <v>197</v>
      </c>
      <c r="E26" s="175">
        <f>PRESUPUESTOS!F26</f>
        <v>15.19</v>
      </c>
      <c r="F26" s="175">
        <f t="shared" si="8"/>
        <v>0</v>
      </c>
      <c r="G26" s="175">
        <f t="shared" si="0"/>
        <v>0</v>
      </c>
      <c r="H26" s="175">
        <f t="shared" si="1"/>
        <v>68.95</v>
      </c>
      <c r="I26" s="175">
        <f t="shared" si="2"/>
        <v>1047.3499999999999</v>
      </c>
      <c r="J26" s="175">
        <f>PRESUPUESTOS!E26</f>
        <v>68.95</v>
      </c>
      <c r="K26" s="175">
        <f t="shared" si="3"/>
        <v>1047.3499999999999</v>
      </c>
      <c r="L26" s="175">
        <f>PRESUPUESTOS!N26</f>
        <v>11.5</v>
      </c>
      <c r="M26" s="63">
        <v>0</v>
      </c>
      <c r="N26" s="175">
        <f t="shared" si="4"/>
        <v>0</v>
      </c>
      <c r="O26" s="175">
        <f t="shared" si="5"/>
        <v>70.33</v>
      </c>
      <c r="P26" s="175">
        <f t="shared" si="6"/>
        <v>808.8</v>
      </c>
      <c r="Q26" s="175">
        <f>PRESUPUESTOS!M26</f>
        <v>70.33</v>
      </c>
      <c r="R26" s="175">
        <f t="shared" si="7"/>
        <v>808.8</v>
      </c>
    </row>
    <row r="27" spans="1:18" x14ac:dyDescent="0.25">
      <c r="A27" s="174">
        <v>200</v>
      </c>
      <c r="B27" s="129" t="s">
        <v>89</v>
      </c>
      <c r="C27" s="130" t="s">
        <v>153</v>
      </c>
      <c r="D27" s="146" t="s">
        <v>197</v>
      </c>
      <c r="E27" s="175">
        <f>PRESUPUESTOS!F27</f>
        <v>21.79</v>
      </c>
      <c r="F27" s="175">
        <f t="shared" si="8"/>
        <v>4.28</v>
      </c>
      <c r="G27" s="175">
        <f t="shared" si="0"/>
        <v>93.26</v>
      </c>
      <c r="H27" s="175">
        <f t="shared" si="1"/>
        <v>4.28</v>
      </c>
      <c r="I27" s="175">
        <f t="shared" si="2"/>
        <v>93.26</v>
      </c>
      <c r="J27" s="175">
        <f>PRESUPUESTOS!E27</f>
        <v>8.56</v>
      </c>
      <c r="K27" s="175">
        <f t="shared" si="3"/>
        <v>186.52</v>
      </c>
      <c r="L27" s="175">
        <f>PRESUPUESTOS!N27</f>
        <v>14.5</v>
      </c>
      <c r="M27" s="63">
        <v>4.3650000000000002</v>
      </c>
      <c r="N27" s="175">
        <f t="shared" si="4"/>
        <v>63.29</v>
      </c>
      <c r="O27" s="175">
        <f t="shared" si="5"/>
        <v>4.3650000000000002</v>
      </c>
      <c r="P27" s="175">
        <f t="shared" si="6"/>
        <v>63.29</v>
      </c>
      <c r="Q27" s="175">
        <f>PRESUPUESTOS!M27</f>
        <v>8.73</v>
      </c>
      <c r="R27" s="175">
        <f t="shared" si="7"/>
        <v>126.59</v>
      </c>
    </row>
    <row r="28" spans="1:18" x14ac:dyDescent="0.25">
      <c r="A28" s="174"/>
      <c r="B28" s="137" t="s">
        <v>90</v>
      </c>
      <c r="C28" s="138" t="s">
        <v>154</v>
      </c>
      <c r="D28" s="145"/>
      <c r="E28" s="175">
        <f>PRESUPUESTOS!F28</f>
        <v>0</v>
      </c>
      <c r="F28" s="175">
        <f t="shared" si="8"/>
        <v>0</v>
      </c>
      <c r="G28" s="175">
        <f t="shared" si="0"/>
        <v>0</v>
      </c>
      <c r="H28" s="175">
        <f t="shared" si="1"/>
        <v>0</v>
      </c>
      <c r="I28" s="175">
        <f t="shared" si="2"/>
        <v>0</v>
      </c>
      <c r="J28" s="175">
        <f>PRESUPUESTOS!E28</f>
        <v>0</v>
      </c>
      <c r="K28" s="175">
        <f t="shared" si="3"/>
        <v>0</v>
      </c>
      <c r="L28" s="175">
        <f>PRESUPUESTOS!N28</f>
        <v>0</v>
      </c>
      <c r="M28" s="63"/>
      <c r="N28" s="175">
        <f t="shared" si="4"/>
        <v>0</v>
      </c>
      <c r="O28" s="175">
        <f t="shared" si="5"/>
        <v>0</v>
      </c>
      <c r="P28" s="175">
        <f t="shared" si="6"/>
        <v>0</v>
      </c>
      <c r="Q28" s="175">
        <f>PRESUPUESTOS!M28</f>
        <v>0</v>
      </c>
      <c r="R28" s="175">
        <f t="shared" si="7"/>
        <v>0</v>
      </c>
    </row>
    <row r="29" spans="1:18" x14ac:dyDescent="0.25">
      <c r="A29" s="174"/>
      <c r="B29" s="137" t="s">
        <v>91</v>
      </c>
      <c r="C29" s="138" t="s">
        <v>155</v>
      </c>
      <c r="D29" s="145"/>
      <c r="E29" s="175">
        <f>PRESUPUESTOS!F29</f>
        <v>0</v>
      </c>
      <c r="F29" s="175">
        <f t="shared" si="8"/>
        <v>0</v>
      </c>
      <c r="G29" s="175">
        <f t="shared" si="0"/>
        <v>0</v>
      </c>
      <c r="H29" s="175">
        <f t="shared" si="1"/>
        <v>0</v>
      </c>
      <c r="I29" s="175">
        <f t="shared" si="2"/>
        <v>0</v>
      </c>
      <c r="J29" s="175">
        <f>PRESUPUESTOS!E29</f>
        <v>0</v>
      </c>
      <c r="K29" s="175">
        <f t="shared" si="3"/>
        <v>0</v>
      </c>
      <c r="L29" s="175">
        <f>PRESUPUESTOS!N29</f>
        <v>0</v>
      </c>
      <c r="M29" s="63"/>
      <c r="N29" s="175">
        <f t="shared" si="4"/>
        <v>0</v>
      </c>
      <c r="O29" s="175">
        <f t="shared" si="5"/>
        <v>0</v>
      </c>
      <c r="P29" s="175">
        <f t="shared" si="6"/>
        <v>0</v>
      </c>
      <c r="Q29" s="175">
        <f>PRESUPUESTOS!M29</f>
        <v>0</v>
      </c>
      <c r="R29" s="175">
        <f t="shared" si="7"/>
        <v>0</v>
      </c>
    </row>
    <row r="30" spans="1:18" x14ac:dyDescent="0.25">
      <c r="A30" s="174">
        <v>300</v>
      </c>
      <c r="B30" s="129" t="s">
        <v>92</v>
      </c>
      <c r="C30" s="130" t="s">
        <v>156</v>
      </c>
      <c r="D30" s="146" t="s">
        <v>62</v>
      </c>
      <c r="E30" s="175">
        <f>PRESUPUESTOS!F30</f>
        <v>173.72</v>
      </c>
      <c r="F30" s="175">
        <f t="shared" si="8"/>
        <v>97.106999999999999</v>
      </c>
      <c r="G30" s="175">
        <f t="shared" si="0"/>
        <v>16869.43</v>
      </c>
      <c r="H30" s="175">
        <f t="shared" si="1"/>
        <v>226.583</v>
      </c>
      <c r="I30" s="175">
        <f t="shared" si="2"/>
        <v>39362</v>
      </c>
      <c r="J30" s="175">
        <f>PRESUPUESTOS!E30</f>
        <v>323.69</v>
      </c>
      <c r="K30" s="175">
        <f t="shared" si="3"/>
        <v>56231.43</v>
      </c>
      <c r="L30" s="175">
        <f>PRESUPUESTOS!N30</f>
        <v>184.10000000000002</v>
      </c>
      <c r="M30" s="63">
        <v>99.048000000000002</v>
      </c>
      <c r="N30" s="175">
        <f t="shared" si="4"/>
        <v>18234.740000000002</v>
      </c>
      <c r="O30" s="175">
        <f t="shared" si="5"/>
        <v>231.11200000000002</v>
      </c>
      <c r="P30" s="175">
        <f t="shared" si="6"/>
        <v>42547.72</v>
      </c>
      <c r="Q30" s="175">
        <f>PRESUPUESTOS!M30</f>
        <v>330.16</v>
      </c>
      <c r="R30" s="175">
        <f t="shared" si="7"/>
        <v>60782.46</v>
      </c>
    </row>
    <row r="31" spans="1:18" x14ac:dyDescent="0.25">
      <c r="A31" s="174"/>
      <c r="B31" s="137" t="s">
        <v>93</v>
      </c>
      <c r="C31" s="138" t="s">
        <v>157</v>
      </c>
      <c r="D31" s="145"/>
      <c r="E31" s="175">
        <f>PRESUPUESTOS!F31</f>
        <v>0</v>
      </c>
      <c r="F31" s="175">
        <f t="shared" si="8"/>
        <v>0</v>
      </c>
      <c r="G31" s="175">
        <f t="shared" si="0"/>
        <v>0</v>
      </c>
      <c r="H31" s="175">
        <f t="shared" si="1"/>
        <v>0</v>
      </c>
      <c r="I31" s="175">
        <f t="shared" si="2"/>
        <v>0</v>
      </c>
      <c r="J31" s="175">
        <f>PRESUPUESTOS!E31</f>
        <v>0</v>
      </c>
      <c r="K31" s="175">
        <f t="shared" si="3"/>
        <v>0</v>
      </c>
      <c r="L31" s="175">
        <f>PRESUPUESTOS!N31</f>
        <v>0</v>
      </c>
      <c r="M31" s="63"/>
      <c r="N31" s="175">
        <f t="shared" si="4"/>
        <v>0</v>
      </c>
      <c r="O31" s="175">
        <f t="shared" si="5"/>
        <v>0</v>
      </c>
      <c r="P31" s="175">
        <f t="shared" si="6"/>
        <v>0</v>
      </c>
      <c r="Q31" s="175">
        <f>PRESUPUESTOS!M31</f>
        <v>0</v>
      </c>
      <c r="R31" s="175">
        <f t="shared" si="7"/>
        <v>0</v>
      </c>
    </row>
    <row r="32" spans="1:18" x14ac:dyDescent="0.25">
      <c r="A32" s="174">
        <v>300</v>
      </c>
      <c r="B32" s="129" t="s">
        <v>94</v>
      </c>
      <c r="C32" s="130" t="s">
        <v>158</v>
      </c>
      <c r="D32" s="146" t="s">
        <v>62</v>
      </c>
      <c r="E32" s="175">
        <f>PRESUPUESTOS!F32</f>
        <v>179.78</v>
      </c>
      <c r="F32" s="175">
        <f t="shared" si="8"/>
        <v>17.310999999999996</v>
      </c>
      <c r="G32" s="175">
        <f t="shared" si="0"/>
        <v>3112.17</v>
      </c>
      <c r="H32" s="175">
        <f t="shared" si="1"/>
        <v>7.419000000000004</v>
      </c>
      <c r="I32" s="175">
        <f t="shared" si="2"/>
        <v>1333.79</v>
      </c>
      <c r="J32" s="175">
        <f>PRESUPUESTOS!E32</f>
        <v>24.73</v>
      </c>
      <c r="K32" s="175">
        <f t="shared" si="3"/>
        <v>4445.96</v>
      </c>
      <c r="L32" s="175">
        <f>PRESUPUESTOS!N32</f>
        <v>182.46</v>
      </c>
      <c r="M32" s="63">
        <v>16.967999999999996</v>
      </c>
      <c r="N32" s="175">
        <f t="shared" si="4"/>
        <v>3095.98</v>
      </c>
      <c r="O32" s="175">
        <f t="shared" si="5"/>
        <v>7.272000000000002</v>
      </c>
      <c r="P32" s="175">
        <f t="shared" si="6"/>
        <v>1326.85</v>
      </c>
      <c r="Q32" s="175">
        <f>PRESUPUESTOS!M32</f>
        <v>24.24</v>
      </c>
      <c r="R32" s="175">
        <f t="shared" si="7"/>
        <v>4422.83</v>
      </c>
    </row>
    <row r="33" spans="1:18" x14ac:dyDescent="0.25">
      <c r="A33" s="174">
        <v>400</v>
      </c>
      <c r="B33" s="129" t="s">
        <v>95</v>
      </c>
      <c r="C33" s="130" t="s">
        <v>159</v>
      </c>
      <c r="D33" s="146" t="s">
        <v>197</v>
      </c>
      <c r="E33" s="175">
        <f>PRESUPUESTOS!F33</f>
        <v>46.17</v>
      </c>
      <c r="F33" s="175">
        <f t="shared" si="8"/>
        <v>13.853999999999999</v>
      </c>
      <c r="G33" s="175">
        <f t="shared" si="0"/>
        <v>639.64</v>
      </c>
      <c r="H33" s="175">
        <f t="shared" si="1"/>
        <v>9.2360000000000007</v>
      </c>
      <c r="I33" s="175">
        <f t="shared" si="2"/>
        <v>426.43</v>
      </c>
      <c r="J33" s="175">
        <f>PRESUPUESTOS!E33</f>
        <v>23.09</v>
      </c>
      <c r="K33" s="175">
        <f t="shared" si="3"/>
        <v>1066.07</v>
      </c>
      <c r="L33" s="175">
        <f>PRESUPUESTOS!N33</f>
        <v>23.830000000000002</v>
      </c>
      <c r="M33" s="63">
        <v>13.577999999999999</v>
      </c>
      <c r="N33" s="175">
        <f t="shared" si="4"/>
        <v>323.56</v>
      </c>
      <c r="O33" s="175">
        <f t="shared" si="5"/>
        <v>9.0519999999999996</v>
      </c>
      <c r="P33" s="175">
        <f t="shared" si="6"/>
        <v>215.71</v>
      </c>
      <c r="Q33" s="175">
        <f>PRESUPUESTOS!M33</f>
        <v>22.63</v>
      </c>
      <c r="R33" s="175">
        <f t="shared" si="7"/>
        <v>539.27</v>
      </c>
    </row>
    <row r="34" spans="1:18" x14ac:dyDescent="0.25">
      <c r="A34" s="174">
        <v>300</v>
      </c>
      <c r="B34" s="129" t="s">
        <v>96</v>
      </c>
      <c r="C34" s="130" t="s">
        <v>160</v>
      </c>
      <c r="D34" s="146" t="s">
        <v>62</v>
      </c>
      <c r="E34" s="175">
        <f>PRESUPUESTOS!F34</f>
        <v>179.78</v>
      </c>
      <c r="F34" s="175">
        <f t="shared" si="8"/>
        <v>0</v>
      </c>
      <c r="G34" s="175">
        <f t="shared" si="0"/>
        <v>0</v>
      </c>
      <c r="H34" s="175">
        <f t="shared" si="1"/>
        <v>163.82</v>
      </c>
      <c r="I34" s="175">
        <f t="shared" si="2"/>
        <v>29451.56</v>
      </c>
      <c r="J34" s="175">
        <f>PRESUPUESTOS!E34</f>
        <v>163.82</v>
      </c>
      <c r="K34" s="175">
        <f t="shared" si="3"/>
        <v>29451.56</v>
      </c>
      <c r="L34" s="175">
        <f>PRESUPUESTOS!N34</f>
        <v>207.85000000000002</v>
      </c>
      <c r="M34" s="63">
        <v>0</v>
      </c>
      <c r="N34" s="175">
        <f t="shared" si="4"/>
        <v>0</v>
      </c>
      <c r="O34" s="175">
        <f t="shared" si="5"/>
        <v>160.54</v>
      </c>
      <c r="P34" s="175">
        <f t="shared" si="6"/>
        <v>33368.239999999998</v>
      </c>
      <c r="Q34" s="175">
        <f>PRESUPUESTOS!M34</f>
        <v>160.54</v>
      </c>
      <c r="R34" s="175">
        <f t="shared" si="7"/>
        <v>33368.239999999998</v>
      </c>
    </row>
    <row r="35" spans="1:18" x14ac:dyDescent="0.25">
      <c r="A35" s="174">
        <v>400</v>
      </c>
      <c r="B35" s="129" t="s">
        <v>97</v>
      </c>
      <c r="C35" s="130" t="s">
        <v>161</v>
      </c>
      <c r="D35" s="146" t="s">
        <v>197</v>
      </c>
      <c r="E35" s="175">
        <f>PRESUPUESTOS!F35</f>
        <v>37.47</v>
      </c>
      <c r="F35" s="175">
        <f t="shared" si="8"/>
        <v>0</v>
      </c>
      <c r="G35" s="175">
        <f t="shared" si="0"/>
        <v>0</v>
      </c>
      <c r="H35" s="175">
        <f t="shared" si="1"/>
        <v>327.63</v>
      </c>
      <c r="I35" s="175">
        <f t="shared" si="2"/>
        <v>12276.3</v>
      </c>
      <c r="J35" s="175">
        <f>PRESUPUESTOS!E35</f>
        <v>327.63</v>
      </c>
      <c r="K35" s="175">
        <f t="shared" si="3"/>
        <v>12276.3</v>
      </c>
      <c r="L35" s="175">
        <f>PRESUPUESTOS!N35</f>
        <v>26.53</v>
      </c>
      <c r="M35" s="63">
        <v>0</v>
      </c>
      <c r="N35" s="175">
        <f t="shared" si="4"/>
        <v>0</v>
      </c>
      <c r="O35" s="175">
        <f t="shared" si="5"/>
        <v>321.08</v>
      </c>
      <c r="P35" s="175">
        <f t="shared" si="6"/>
        <v>8518.25</v>
      </c>
      <c r="Q35" s="175">
        <f>PRESUPUESTOS!M35</f>
        <v>321.08</v>
      </c>
      <c r="R35" s="175">
        <f t="shared" si="7"/>
        <v>8518.25</v>
      </c>
    </row>
    <row r="36" spans="1:18" x14ac:dyDescent="0.25">
      <c r="A36" s="174"/>
      <c r="B36" s="137" t="s">
        <v>98</v>
      </c>
      <c r="C36" s="138" t="s">
        <v>162</v>
      </c>
      <c r="D36" s="145"/>
      <c r="E36" s="175">
        <f>PRESUPUESTOS!F36</f>
        <v>0</v>
      </c>
      <c r="F36" s="175">
        <f t="shared" si="8"/>
        <v>0</v>
      </c>
      <c r="G36" s="175">
        <f t="shared" si="0"/>
        <v>0</v>
      </c>
      <c r="H36" s="175">
        <f t="shared" si="1"/>
        <v>0</v>
      </c>
      <c r="I36" s="175">
        <f t="shared" si="2"/>
        <v>0</v>
      </c>
      <c r="J36" s="175">
        <f>PRESUPUESTOS!E36</f>
        <v>0</v>
      </c>
      <c r="K36" s="175">
        <f t="shared" si="3"/>
        <v>0</v>
      </c>
      <c r="L36" s="175">
        <f>PRESUPUESTOS!N36</f>
        <v>0</v>
      </c>
      <c r="M36" s="63"/>
      <c r="N36" s="175">
        <f t="shared" si="4"/>
        <v>0</v>
      </c>
      <c r="O36" s="175">
        <f t="shared" si="5"/>
        <v>0</v>
      </c>
      <c r="P36" s="175">
        <f t="shared" si="6"/>
        <v>0</v>
      </c>
      <c r="Q36" s="175">
        <f>PRESUPUESTOS!M36</f>
        <v>0</v>
      </c>
      <c r="R36" s="175">
        <f t="shared" si="7"/>
        <v>0</v>
      </c>
    </row>
    <row r="37" spans="1:18" x14ac:dyDescent="0.25">
      <c r="A37" s="174">
        <v>300</v>
      </c>
      <c r="B37" s="129" t="s">
        <v>99</v>
      </c>
      <c r="C37" s="130" t="s">
        <v>163</v>
      </c>
      <c r="D37" s="144" t="s">
        <v>62</v>
      </c>
      <c r="E37" s="175">
        <f>PRESUPUESTOS!F37</f>
        <v>260.59000000000003</v>
      </c>
      <c r="F37" s="175">
        <f t="shared" si="8"/>
        <v>1.605</v>
      </c>
      <c r="G37" s="175">
        <f t="shared" si="0"/>
        <v>418.25</v>
      </c>
      <c r="H37" s="175">
        <f t="shared" si="1"/>
        <v>1.605</v>
      </c>
      <c r="I37" s="175">
        <f t="shared" si="2"/>
        <v>418.25</v>
      </c>
      <c r="J37" s="175">
        <f>PRESUPUESTOS!E37</f>
        <v>3.21</v>
      </c>
      <c r="K37" s="175">
        <f t="shared" si="3"/>
        <v>836.49</v>
      </c>
      <c r="L37" s="175">
        <f>PRESUPUESTOS!N37</f>
        <v>201.22000000000003</v>
      </c>
      <c r="M37" s="63">
        <v>1.575</v>
      </c>
      <c r="N37" s="175">
        <f t="shared" si="4"/>
        <v>316.92</v>
      </c>
      <c r="O37" s="175">
        <f t="shared" si="5"/>
        <v>1.575</v>
      </c>
      <c r="P37" s="175">
        <f t="shared" si="6"/>
        <v>316.92</v>
      </c>
      <c r="Q37" s="175">
        <f>PRESUPUESTOS!M37</f>
        <v>3.15</v>
      </c>
      <c r="R37" s="175">
        <f t="shared" si="7"/>
        <v>633.84</v>
      </c>
    </row>
    <row r="38" spans="1:18" x14ac:dyDescent="0.25">
      <c r="A38" s="174">
        <v>400</v>
      </c>
      <c r="B38" s="129" t="s">
        <v>100</v>
      </c>
      <c r="C38" s="130" t="s">
        <v>164</v>
      </c>
      <c r="D38" s="146" t="s">
        <v>197</v>
      </c>
      <c r="E38" s="175">
        <f>PRESUPUESTOS!F38</f>
        <v>37.700000000000003</v>
      </c>
      <c r="F38" s="175">
        <f t="shared" si="8"/>
        <v>17.580000000000002</v>
      </c>
      <c r="G38" s="175">
        <f t="shared" si="0"/>
        <v>662.77</v>
      </c>
      <c r="H38" s="175">
        <f t="shared" si="1"/>
        <v>26.37</v>
      </c>
      <c r="I38" s="175">
        <f t="shared" si="2"/>
        <v>994.15</v>
      </c>
      <c r="J38" s="175">
        <f>PRESUPUESTOS!E38</f>
        <v>43.95</v>
      </c>
      <c r="K38" s="175">
        <f t="shared" si="3"/>
        <v>1656.92</v>
      </c>
      <c r="L38" s="175">
        <f>PRESUPUESTOS!N38</f>
        <v>24.18</v>
      </c>
      <c r="M38" s="63">
        <v>17.228000000000002</v>
      </c>
      <c r="N38" s="175">
        <f t="shared" si="4"/>
        <v>416.57</v>
      </c>
      <c r="O38" s="175">
        <f t="shared" si="5"/>
        <v>25.841999999999999</v>
      </c>
      <c r="P38" s="175">
        <f t="shared" si="6"/>
        <v>624.86</v>
      </c>
      <c r="Q38" s="175">
        <f>PRESUPUESTOS!M38</f>
        <v>43.07</v>
      </c>
      <c r="R38" s="175">
        <f t="shared" si="7"/>
        <v>1041.43</v>
      </c>
    </row>
    <row r="39" spans="1:18" x14ac:dyDescent="0.25">
      <c r="A39" s="174"/>
      <c r="B39" s="137" t="s">
        <v>101</v>
      </c>
      <c r="C39" s="138" t="s">
        <v>165</v>
      </c>
      <c r="D39" s="145"/>
      <c r="E39" s="175">
        <f>PRESUPUESTOS!F39</f>
        <v>0</v>
      </c>
      <c r="F39" s="175">
        <f t="shared" si="8"/>
        <v>0</v>
      </c>
      <c r="G39" s="175">
        <f t="shared" si="0"/>
        <v>0</v>
      </c>
      <c r="H39" s="175">
        <f t="shared" si="1"/>
        <v>0</v>
      </c>
      <c r="I39" s="175">
        <f t="shared" si="2"/>
        <v>0</v>
      </c>
      <c r="J39" s="175">
        <f>PRESUPUESTOS!E39</f>
        <v>0</v>
      </c>
      <c r="K39" s="175">
        <f t="shared" si="3"/>
        <v>0</v>
      </c>
      <c r="L39" s="175">
        <f>PRESUPUESTOS!N39</f>
        <v>0</v>
      </c>
      <c r="M39" s="63"/>
      <c r="N39" s="175">
        <f t="shared" si="4"/>
        <v>0</v>
      </c>
      <c r="O39" s="175">
        <f t="shared" si="5"/>
        <v>0</v>
      </c>
      <c r="P39" s="175">
        <f t="shared" si="6"/>
        <v>0</v>
      </c>
      <c r="Q39" s="175">
        <f>PRESUPUESTOS!M39</f>
        <v>0</v>
      </c>
      <c r="R39" s="175">
        <f t="shared" si="7"/>
        <v>0</v>
      </c>
    </row>
    <row r="40" spans="1:18" x14ac:dyDescent="0.25">
      <c r="A40" s="174"/>
      <c r="B40" s="137" t="s">
        <v>102</v>
      </c>
      <c r="C40" s="138" t="s">
        <v>166</v>
      </c>
      <c r="D40" s="145"/>
      <c r="E40" s="175">
        <f>PRESUPUESTOS!F40</f>
        <v>0</v>
      </c>
      <c r="F40" s="175">
        <f t="shared" si="8"/>
        <v>0</v>
      </c>
      <c r="G40" s="175">
        <f t="shared" si="0"/>
        <v>0</v>
      </c>
      <c r="H40" s="175">
        <f t="shared" si="1"/>
        <v>0</v>
      </c>
      <c r="I40" s="175">
        <f t="shared" si="2"/>
        <v>0</v>
      </c>
      <c r="J40" s="175">
        <f>PRESUPUESTOS!E40</f>
        <v>0</v>
      </c>
      <c r="K40" s="175">
        <f t="shared" si="3"/>
        <v>0</v>
      </c>
      <c r="L40" s="175">
        <f>PRESUPUESTOS!N40</f>
        <v>0</v>
      </c>
      <c r="M40" s="63"/>
      <c r="N40" s="175">
        <f t="shared" si="4"/>
        <v>0</v>
      </c>
      <c r="O40" s="175">
        <f t="shared" si="5"/>
        <v>0</v>
      </c>
      <c r="P40" s="175">
        <f t="shared" si="6"/>
        <v>0</v>
      </c>
      <c r="Q40" s="175">
        <f>PRESUPUESTOS!M40</f>
        <v>0</v>
      </c>
      <c r="R40" s="175">
        <f t="shared" si="7"/>
        <v>0</v>
      </c>
    </row>
    <row r="41" spans="1:18" x14ac:dyDescent="0.25">
      <c r="A41" s="174">
        <v>300</v>
      </c>
      <c r="B41" s="129" t="s">
        <v>103</v>
      </c>
      <c r="C41" s="130" t="s">
        <v>167</v>
      </c>
      <c r="D41" s="146" t="s">
        <v>62</v>
      </c>
      <c r="E41" s="175">
        <f>PRESUPUESTOS!F41</f>
        <v>292.79000000000002</v>
      </c>
      <c r="F41" s="175">
        <f t="shared" si="8"/>
        <v>198.375</v>
      </c>
      <c r="G41" s="175">
        <f t="shared" si="0"/>
        <v>58082.22</v>
      </c>
      <c r="H41" s="175">
        <f t="shared" si="1"/>
        <v>198.375</v>
      </c>
      <c r="I41" s="175">
        <f t="shared" si="2"/>
        <v>58082.22</v>
      </c>
      <c r="J41" s="175">
        <f>PRESUPUESTOS!E41</f>
        <v>396.75</v>
      </c>
      <c r="K41" s="175">
        <f t="shared" si="3"/>
        <v>116164.43</v>
      </c>
      <c r="L41" s="175">
        <f>PRESUPUESTOS!N41</f>
        <v>286.60000000000002</v>
      </c>
      <c r="M41" s="63">
        <v>206.31</v>
      </c>
      <c r="N41" s="175">
        <f t="shared" si="4"/>
        <v>59128.45</v>
      </c>
      <c r="O41" s="175">
        <f t="shared" si="5"/>
        <v>206.31</v>
      </c>
      <c r="P41" s="175">
        <f t="shared" si="6"/>
        <v>59128.45</v>
      </c>
      <c r="Q41" s="175">
        <f>PRESUPUESTOS!M41</f>
        <v>412.62</v>
      </c>
      <c r="R41" s="175">
        <f t="shared" si="7"/>
        <v>118256.89</v>
      </c>
    </row>
    <row r="42" spans="1:18" x14ac:dyDescent="0.25">
      <c r="A42" s="174">
        <v>500</v>
      </c>
      <c r="B42" s="129" t="s">
        <v>104</v>
      </c>
      <c r="C42" s="130" t="s">
        <v>168</v>
      </c>
      <c r="D42" s="146" t="s">
        <v>198</v>
      </c>
      <c r="E42" s="175">
        <f>PRESUPUESTOS!F42</f>
        <v>4.0200000000000005</v>
      </c>
      <c r="F42" s="175">
        <f t="shared" si="8"/>
        <v>8767.4549999999999</v>
      </c>
      <c r="G42" s="175">
        <f t="shared" si="0"/>
        <v>35245.17</v>
      </c>
      <c r="H42" s="175">
        <f t="shared" si="1"/>
        <v>8767.4549999999999</v>
      </c>
      <c r="I42" s="175">
        <f t="shared" si="2"/>
        <v>35245.17</v>
      </c>
      <c r="J42" s="175">
        <f>PRESUPUESTOS!E42</f>
        <v>17534.91</v>
      </c>
      <c r="K42" s="175">
        <f t="shared" si="3"/>
        <v>70490.34</v>
      </c>
      <c r="L42" s="175">
        <f>PRESUPUESTOS!N42</f>
        <v>3.4000000000000004</v>
      </c>
      <c r="M42" s="63">
        <v>8679.7800000000007</v>
      </c>
      <c r="N42" s="175">
        <f t="shared" si="4"/>
        <v>29511.25</v>
      </c>
      <c r="O42" s="175">
        <f t="shared" si="5"/>
        <v>8679.7800000000007</v>
      </c>
      <c r="P42" s="175">
        <f t="shared" si="6"/>
        <v>29511.25</v>
      </c>
      <c r="Q42" s="175">
        <f>PRESUPUESTOS!M42</f>
        <v>17359.560000000001</v>
      </c>
      <c r="R42" s="175">
        <f t="shared" si="7"/>
        <v>59022.5</v>
      </c>
    </row>
    <row r="43" spans="1:18" x14ac:dyDescent="0.25">
      <c r="A43" s="174"/>
      <c r="B43" s="137" t="s">
        <v>105</v>
      </c>
      <c r="C43" s="138" t="s">
        <v>169</v>
      </c>
      <c r="D43" s="145"/>
      <c r="E43" s="175">
        <f>PRESUPUESTOS!F43</f>
        <v>0</v>
      </c>
      <c r="F43" s="175">
        <f t="shared" si="8"/>
        <v>0</v>
      </c>
      <c r="G43" s="175">
        <f t="shared" si="0"/>
        <v>0</v>
      </c>
      <c r="H43" s="175">
        <f t="shared" si="1"/>
        <v>0</v>
      </c>
      <c r="I43" s="175">
        <f t="shared" si="2"/>
        <v>0</v>
      </c>
      <c r="J43" s="175">
        <f>PRESUPUESTOS!E43</f>
        <v>0</v>
      </c>
      <c r="K43" s="175">
        <f t="shared" si="3"/>
        <v>0</v>
      </c>
      <c r="L43" s="175">
        <f>PRESUPUESTOS!N43</f>
        <v>0</v>
      </c>
      <c r="M43" s="63"/>
      <c r="N43" s="175">
        <f t="shared" si="4"/>
        <v>0</v>
      </c>
      <c r="O43" s="175">
        <f t="shared" si="5"/>
        <v>0</v>
      </c>
      <c r="P43" s="175">
        <f t="shared" si="6"/>
        <v>0</v>
      </c>
      <c r="Q43" s="175">
        <f>PRESUPUESTOS!M43</f>
        <v>0</v>
      </c>
      <c r="R43" s="175">
        <f t="shared" si="7"/>
        <v>0</v>
      </c>
    </row>
    <row r="44" spans="1:18" x14ac:dyDescent="0.25">
      <c r="A44" s="174">
        <v>300</v>
      </c>
      <c r="B44" s="129" t="s">
        <v>106</v>
      </c>
      <c r="C44" s="130" t="s">
        <v>170</v>
      </c>
      <c r="D44" s="146" t="s">
        <v>62</v>
      </c>
      <c r="E44" s="175">
        <f>PRESUPUESTOS!F44</f>
        <v>454.82</v>
      </c>
      <c r="F44" s="175">
        <f t="shared" si="8"/>
        <v>4.0140000000000002</v>
      </c>
      <c r="G44" s="175">
        <f t="shared" si="0"/>
        <v>1825.65</v>
      </c>
      <c r="H44" s="175">
        <f t="shared" si="1"/>
        <v>2.6760000000000002</v>
      </c>
      <c r="I44" s="175">
        <f t="shared" si="2"/>
        <v>1217.0999999999999</v>
      </c>
      <c r="J44" s="175">
        <f>PRESUPUESTOS!E44</f>
        <v>6.69</v>
      </c>
      <c r="K44" s="175">
        <f t="shared" si="3"/>
        <v>3042.75</v>
      </c>
      <c r="L44" s="175">
        <f>PRESUPUESTOS!N44</f>
        <v>290.45</v>
      </c>
      <c r="M44" s="63">
        <v>3.972</v>
      </c>
      <c r="N44" s="175">
        <f t="shared" si="4"/>
        <v>1153.67</v>
      </c>
      <c r="O44" s="175">
        <f t="shared" si="5"/>
        <v>2.6480000000000001</v>
      </c>
      <c r="P44" s="175">
        <f t="shared" si="6"/>
        <v>769.11</v>
      </c>
      <c r="Q44" s="175">
        <f>PRESUPUESTOS!M44</f>
        <v>6.62</v>
      </c>
      <c r="R44" s="175">
        <f t="shared" si="7"/>
        <v>1922.78</v>
      </c>
    </row>
    <row r="45" spans="1:18" x14ac:dyDescent="0.25">
      <c r="A45" s="174">
        <v>400</v>
      </c>
      <c r="B45" s="129" t="s">
        <v>107</v>
      </c>
      <c r="C45" s="130" t="s">
        <v>171</v>
      </c>
      <c r="D45" s="146" t="s">
        <v>197</v>
      </c>
      <c r="E45" s="175">
        <f>PRESUPUESTOS!F45</f>
        <v>59.78</v>
      </c>
      <c r="F45" s="175">
        <f t="shared" si="8"/>
        <v>22.254000000000001</v>
      </c>
      <c r="G45" s="175">
        <f t="shared" si="0"/>
        <v>1330.34</v>
      </c>
      <c r="H45" s="175">
        <f t="shared" si="1"/>
        <v>51.926000000000002</v>
      </c>
      <c r="I45" s="175">
        <f t="shared" si="2"/>
        <v>3104.14</v>
      </c>
      <c r="J45" s="175">
        <f>PRESUPUESTOS!E45</f>
        <v>74.180000000000007</v>
      </c>
      <c r="K45" s="175">
        <f t="shared" si="3"/>
        <v>4434.4799999999996</v>
      </c>
      <c r="L45" s="175">
        <f>PRESUPUESTOS!N45</f>
        <v>33.690000000000005</v>
      </c>
      <c r="M45" s="63">
        <v>22.032</v>
      </c>
      <c r="N45" s="175">
        <f t="shared" si="4"/>
        <v>742.26</v>
      </c>
      <c r="O45" s="175">
        <f t="shared" si="5"/>
        <v>51.408000000000001</v>
      </c>
      <c r="P45" s="175">
        <f t="shared" si="6"/>
        <v>1731.94</v>
      </c>
      <c r="Q45" s="175">
        <f>PRESUPUESTOS!M45</f>
        <v>73.44</v>
      </c>
      <c r="R45" s="175">
        <f t="shared" si="7"/>
        <v>2474.19</v>
      </c>
    </row>
    <row r="46" spans="1:18" x14ac:dyDescent="0.25">
      <c r="A46" s="174">
        <v>500</v>
      </c>
      <c r="B46" s="129" t="s">
        <v>108</v>
      </c>
      <c r="C46" s="130" t="s">
        <v>172</v>
      </c>
      <c r="D46" s="146" t="s">
        <v>198</v>
      </c>
      <c r="E46" s="175">
        <f>PRESUPUESTOS!F46</f>
        <v>4.0200000000000005</v>
      </c>
      <c r="F46" s="175">
        <f t="shared" si="8"/>
        <v>125.80500000000001</v>
      </c>
      <c r="G46" s="175">
        <f t="shared" si="0"/>
        <v>505.74</v>
      </c>
      <c r="H46" s="175">
        <f t="shared" si="1"/>
        <v>293.54500000000002</v>
      </c>
      <c r="I46" s="175">
        <f t="shared" si="2"/>
        <v>1180.05</v>
      </c>
      <c r="J46" s="175">
        <f>PRESUPUESTOS!E46</f>
        <v>419.35</v>
      </c>
      <c r="K46" s="175">
        <f t="shared" si="3"/>
        <v>1685.79</v>
      </c>
      <c r="L46" s="175">
        <f>PRESUPUESTOS!N46</f>
        <v>3.4000000000000004</v>
      </c>
      <c r="M46" s="63">
        <v>124.548</v>
      </c>
      <c r="N46" s="175">
        <f t="shared" si="4"/>
        <v>423.46</v>
      </c>
      <c r="O46" s="175">
        <f t="shared" si="5"/>
        <v>290.61200000000002</v>
      </c>
      <c r="P46" s="175">
        <f t="shared" si="6"/>
        <v>988.08</v>
      </c>
      <c r="Q46" s="175">
        <f>PRESUPUESTOS!M46</f>
        <v>415.16</v>
      </c>
      <c r="R46" s="175">
        <f t="shared" si="7"/>
        <v>1411.54</v>
      </c>
    </row>
    <row r="47" spans="1:18" x14ac:dyDescent="0.25">
      <c r="A47" s="174">
        <v>300</v>
      </c>
      <c r="B47" s="129" t="s">
        <v>109</v>
      </c>
      <c r="C47" s="130" t="s">
        <v>173</v>
      </c>
      <c r="D47" s="146" t="s">
        <v>62</v>
      </c>
      <c r="E47" s="175">
        <f>PRESUPUESTOS!F47</f>
        <v>417.41</v>
      </c>
      <c r="F47" s="175">
        <f t="shared" si="8"/>
        <v>153.91199999999998</v>
      </c>
      <c r="G47" s="175">
        <f t="shared" si="0"/>
        <v>64244.41</v>
      </c>
      <c r="H47" s="175">
        <f t="shared" si="1"/>
        <v>102.608</v>
      </c>
      <c r="I47" s="175">
        <f t="shared" si="2"/>
        <v>42829.61</v>
      </c>
      <c r="J47" s="175">
        <f>PRESUPUESTOS!E47</f>
        <v>256.52</v>
      </c>
      <c r="K47" s="175">
        <f t="shared" si="3"/>
        <v>107074.01</v>
      </c>
      <c r="L47" s="175">
        <f>PRESUPUESTOS!N47</f>
        <v>328.19</v>
      </c>
      <c r="M47" s="63">
        <v>152.36999999999998</v>
      </c>
      <c r="N47" s="175">
        <f t="shared" si="4"/>
        <v>50006.31</v>
      </c>
      <c r="O47" s="175">
        <f t="shared" si="5"/>
        <v>101.58000000000001</v>
      </c>
      <c r="P47" s="175">
        <f t="shared" si="6"/>
        <v>33337.54</v>
      </c>
      <c r="Q47" s="175">
        <f>PRESUPUESTOS!M47</f>
        <v>253.95</v>
      </c>
      <c r="R47" s="175">
        <f t="shared" si="7"/>
        <v>83343.850000000006</v>
      </c>
    </row>
    <row r="48" spans="1:18" x14ac:dyDescent="0.25">
      <c r="A48" s="174">
        <v>400</v>
      </c>
      <c r="B48" s="129" t="s">
        <v>110</v>
      </c>
      <c r="C48" s="130" t="s">
        <v>174</v>
      </c>
      <c r="D48" s="146" t="s">
        <v>197</v>
      </c>
      <c r="E48" s="175">
        <f>PRESUPUESTOS!F48</f>
        <v>51.21</v>
      </c>
      <c r="F48" s="175">
        <f t="shared" si="8"/>
        <v>628.85699999999997</v>
      </c>
      <c r="G48" s="175">
        <f t="shared" si="0"/>
        <v>32203.77</v>
      </c>
      <c r="H48" s="175">
        <f t="shared" si="1"/>
        <v>1467.3330000000001</v>
      </c>
      <c r="I48" s="175">
        <f t="shared" si="2"/>
        <v>75142.12</v>
      </c>
      <c r="J48" s="175">
        <f>PRESUPUESTOS!E48</f>
        <v>2096.19</v>
      </c>
      <c r="K48" s="175">
        <f t="shared" si="3"/>
        <v>107345.89</v>
      </c>
      <c r="L48" s="175">
        <f>PRESUPUESTOS!N48</f>
        <v>30.97</v>
      </c>
      <c r="M48" s="63">
        <v>622.56899999999996</v>
      </c>
      <c r="N48" s="175">
        <f t="shared" si="4"/>
        <v>19280.96</v>
      </c>
      <c r="O48" s="175">
        <f t="shared" si="5"/>
        <v>1452.6610000000001</v>
      </c>
      <c r="P48" s="175">
        <f t="shared" si="6"/>
        <v>44988.91</v>
      </c>
      <c r="Q48" s="175">
        <f>PRESUPUESTOS!M48</f>
        <v>2075.23</v>
      </c>
      <c r="R48" s="175">
        <f t="shared" si="7"/>
        <v>64269.87</v>
      </c>
    </row>
    <row r="49" spans="1:18" x14ac:dyDescent="0.25">
      <c r="A49" s="174">
        <v>500</v>
      </c>
      <c r="B49" s="129" t="s">
        <v>111</v>
      </c>
      <c r="C49" s="130" t="s">
        <v>175</v>
      </c>
      <c r="D49" s="146" t="s">
        <v>199</v>
      </c>
      <c r="E49" s="175">
        <f>PRESUPUESTOS!F49</f>
        <v>4.0200000000000005</v>
      </c>
      <c r="F49" s="175">
        <f t="shared" si="8"/>
        <v>0</v>
      </c>
      <c r="G49" s="175">
        <f t="shared" si="0"/>
        <v>0</v>
      </c>
      <c r="H49" s="175">
        <f t="shared" si="1"/>
        <v>18595.100000000002</v>
      </c>
      <c r="I49" s="175">
        <f t="shared" si="2"/>
        <v>74752.3</v>
      </c>
      <c r="J49" s="175">
        <f>PRESUPUESTOS!E49</f>
        <v>18595.100000000002</v>
      </c>
      <c r="K49" s="175">
        <f t="shared" si="3"/>
        <v>74752.3</v>
      </c>
      <c r="L49" s="175">
        <f>PRESUPUESTOS!N49</f>
        <v>0</v>
      </c>
      <c r="M49" s="63">
        <v>0</v>
      </c>
      <c r="N49" s="175">
        <f t="shared" si="4"/>
        <v>0</v>
      </c>
      <c r="O49" s="175">
        <f t="shared" si="5"/>
        <v>0</v>
      </c>
      <c r="P49" s="175">
        <f t="shared" si="6"/>
        <v>0</v>
      </c>
      <c r="Q49" s="175">
        <f>PRESUPUESTOS!M49</f>
        <v>0</v>
      </c>
      <c r="R49" s="175">
        <f t="shared" si="7"/>
        <v>0</v>
      </c>
    </row>
    <row r="50" spans="1:18" x14ac:dyDescent="0.25">
      <c r="A50" s="174"/>
      <c r="B50" s="137" t="s">
        <v>112</v>
      </c>
      <c r="C50" s="138" t="s">
        <v>176</v>
      </c>
      <c r="D50" s="145"/>
      <c r="E50" s="175">
        <f>PRESUPUESTOS!F50</f>
        <v>0</v>
      </c>
      <c r="F50" s="175">
        <f t="shared" si="8"/>
        <v>0</v>
      </c>
      <c r="G50" s="175">
        <f t="shared" si="0"/>
        <v>0</v>
      </c>
      <c r="H50" s="175">
        <f t="shared" si="1"/>
        <v>0</v>
      </c>
      <c r="I50" s="175">
        <f t="shared" si="2"/>
        <v>0</v>
      </c>
      <c r="J50" s="175">
        <f>PRESUPUESTOS!E50</f>
        <v>0</v>
      </c>
      <c r="K50" s="175">
        <f t="shared" si="3"/>
        <v>0</v>
      </c>
      <c r="L50" s="175">
        <f>PRESUPUESTOS!N50</f>
        <v>0</v>
      </c>
      <c r="M50" s="63"/>
      <c r="N50" s="175">
        <f t="shared" si="4"/>
        <v>0</v>
      </c>
      <c r="O50" s="175">
        <f t="shared" si="5"/>
        <v>0</v>
      </c>
      <c r="P50" s="175">
        <f t="shared" si="6"/>
        <v>0</v>
      </c>
      <c r="Q50" s="175">
        <f>PRESUPUESTOS!M50</f>
        <v>0</v>
      </c>
      <c r="R50" s="175">
        <f t="shared" si="7"/>
        <v>0</v>
      </c>
    </row>
    <row r="51" spans="1:18" x14ac:dyDescent="0.25">
      <c r="A51" s="174">
        <v>300</v>
      </c>
      <c r="B51" s="129" t="s">
        <v>113</v>
      </c>
      <c r="C51" s="130" t="s">
        <v>177</v>
      </c>
      <c r="D51" s="146" t="s">
        <v>62</v>
      </c>
      <c r="E51" s="175">
        <f>PRESUPUESTOS!F51</f>
        <v>442.62</v>
      </c>
      <c r="F51" s="175">
        <f t="shared" si="8"/>
        <v>0</v>
      </c>
      <c r="G51" s="175">
        <f t="shared" si="0"/>
        <v>0</v>
      </c>
      <c r="H51" s="175">
        <f t="shared" si="1"/>
        <v>66.63</v>
      </c>
      <c r="I51" s="175">
        <f t="shared" si="2"/>
        <v>29491.77</v>
      </c>
      <c r="J51" s="175">
        <f>PRESUPUESTOS!E51</f>
        <v>66.63</v>
      </c>
      <c r="K51" s="175">
        <f t="shared" si="3"/>
        <v>29491.77</v>
      </c>
      <c r="L51" s="175">
        <f>PRESUPUESTOS!N51</f>
        <v>291.23</v>
      </c>
      <c r="M51" s="63">
        <v>0</v>
      </c>
      <c r="N51" s="175">
        <f t="shared" si="4"/>
        <v>0</v>
      </c>
      <c r="O51" s="175">
        <f t="shared" si="5"/>
        <v>67.959999999999994</v>
      </c>
      <c r="P51" s="175">
        <f t="shared" si="6"/>
        <v>19791.990000000002</v>
      </c>
      <c r="Q51" s="175">
        <f>PRESUPUESTOS!M51</f>
        <v>67.959999999999994</v>
      </c>
      <c r="R51" s="175">
        <f t="shared" si="7"/>
        <v>19791.990000000002</v>
      </c>
    </row>
    <row r="52" spans="1:18" x14ac:dyDescent="0.25">
      <c r="A52" s="174">
        <v>400</v>
      </c>
      <c r="B52" s="129" t="s">
        <v>114</v>
      </c>
      <c r="C52" s="130" t="s">
        <v>178</v>
      </c>
      <c r="D52" s="144" t="s">
        <v>197</v>
      </c>
      <c r="E52" s="175">
        <f>PRESUPUESTOS!F52</f>
        <v>60.480000000000004</v>
      </c>
      <c r="F52" s="175">
        <f t="shared" si="8"/>
        <v>270.41399999999999</v>
      </c>
      <c r="G52" s="175">
        <f t="shared" si="0"/>
        <v>16354.64</v>
      </c>
      <c r="H52" s="175">
        <f t="shared" si="1"/>
        <v>630.96600000000001</v>
      </c>
      <c r="I52" s="175">
        <f t="shared" si="2"/>
        <v>38160.82</v>
      </c>
      <c r="J52" s="175">
        <f>PRESUPUESTOS!E52</f>
        <v>901.38</v>
      </c>
      <c r="K52" s="175">
        <f t="shared" si="3"/>
        <v>54515.46</v>
      </c>
      <c r="L52" s="175">
        <f>PRESUPUESTOS!N52</f>
        <v>37.489999999999995</v>
      </c>
      <c r="M52" s="63">
        <v>275.82299999999998</v>
      </c>
      <c r="N52" s="175">
        <f t="shared" si="4"/>
        <v>10340.6</v>
      </c>
      <c r="O52" s="175">
        <f t="shared" si="5"/>
        <v>643.58699999999999</v>
      </c>
      <c r="P52" s="175">
        <f t="shared" si="6"/>
        <v>24128.080000000002</v>
      </c>
      <c r="Q52" s="175">
        <f>PRESUPUESTOS!M52</f>
        <v>919.41</v>
      </c>
      <c r="R52" s="175">
        <f t="shared" si="7"/>
        <v>34468.68</v>
      </c>
    </row>
    <row r="53" spans="1:18" x14ac:dyDescent="0.25">
      <c r="A53" s="174">
        <v>500</v>
      </c>
      <c r="B53" s="129" t="s">
        <v>115</v>
      </c>
      <c r="C53" s="130" t="s">
        <v>179</v>
      </c>
      <c r="D53" s="146" t="s">
        <v>198</v>
      </c>
      <c r="E53" s="175">
        <f>PRESUPUESTOS!F53</f>
        <v>4.0200000000000005</v>
      </c>
      <c r="F53" s="175">
        <f t="shared" si="8"/>
        <v>6962.4120000000003</v>
      </c>
      <c r="G53" s="175">
        <f t="shared" si="0"/>
        <v>27988.9</v>
      </c>
      <c r="H53" s="175">
        <f t="shared" si="1"/>
        <v>4641.6080000000002</v>
      </c>
      <c r="I53" s="175">
        <f t="shared" si="2"/>
        <v>18659.259999999998</v>
      </c>
      <c r="J53" s="175">
        <f>PRESUPUESTOS!E53</f>
        <v>11604.02</v>
      </c>
      <c r="K53" s="175">
        <f t="shared" si="3"/>
        <v>46648.160000000003</v>
      </c>
      <c r="L53" s="175">
        <f>PRESUPUESTOS!N53</f>
        <v>3.4000000000000004</v>
      </c>
      <c r="M53" s="63">
        <v>7101.66</v>
      </c>
      <c r="N53" s="175">
        <f t="shared" si="4"/>
        <v>24145.64</v>
      </c>
      <c r="O53" s="175">
        <f t="shared" si="5"/>
        <v>4734.4400000000005</v>
      </c>
      <c r="P53" s="175">
        <f t="shared" si="6"/>
        <v>16097.1</v>
      </c>
      <c r="Q53" s="175">
        <f>PRESUPUESTOS!M53</f>
        <v>11836.1</v>
      </c>
      <c r="R53" s="175">
        <f t="shared" si="7"/>
        <v>40242.74</v>
      </c>
    </row>
    <row r="54" spans="1:18" x14ac:dyDescent="0.25">
      <c r="A54" s="174"/>
      <c r="B54" s="137" t="s">
        <v>116</v>
      </c>
      <c r="C54" s="138" t="s">
        <v>180</v>
      </c>
      <c r="D54" s="145"/>
      <c r="E54" s="175">
        <f>PRESUPUESTOS!F54</f>
        <v>0</v>
      </c>
      <c r="F54" s="175">
        <f t="shared" si="8"/>
        <v>0</v>
      </c>
      <c r="G54" s="175">
        <f t="shared" si="0"/>
        <v>0</v>
      </c>
      <c r="H54" s="175">
        <f t="shared" si="1"/>
        <v>0</v>
      </c>
      <c r="I54" s="175">
        <f t="shared" si="2"/>
        <v>0</v>
      </c>
      <c r="J54" s="175">
        <f>PRESUPUESTOS!E54</f>
        <v>0</v>
      </c>
      <c r="K54" s="175">
        <f t="shared" si="3"/>
        <v>0</v>
      </c>
      <c r="L54" s="175">
        <f>PRESUPUESTOS!N54</f>
        <v>0</v>
      </c>
      <c r="M54" s="63"/>
      <c r="N54" s="175">
        <f t="shared" si="4"/>
        <v>0</v>
      </c>
      <c r="O54" s="175">
        <f t="shared" si="5"/>
        <v>0</v>
      </c>
      <c r="P54" s="175">
        <f t="shared" si="6"/>
        <v>0</v>
      </c>
      <c r="Q54" s="175">
        <f>PRESUPUESTOS!M54</f>
        <v>0</v>
      </c>
      <c r="R54" s="175">
        <f t="shared" si="7"/>
        <v>0</v>
      </c>
    </row>
    <row r="55" spans="1:18" x14ac:dyDescent="0.25">
      <c r="A55" s="174">
        <v>300</v>
      </c>
      <c r="B55" s="129" t="s">
        <v>117</v>
      </c>
      <c r="C55" s="130" t="s">
        <v>181</v>
      </c>
      <c r="D55" s="146" t="s">
        <v>62</v>
      </c>
      <c r="E55" s="175">
        <f>PRESUPUESTOS!F55</f>
        <v>325.93</v>
      </c>
      <c r="F55" s="175">
        <f t="shared" si="8"/>
        <v>0</v>
      </c>
      <c r="G55" s="175">
        <f t="shared" si="0"/>
        <v>0</v>
      </c>
      <c r="H55" s="175">
        <f t="shared" si="1"/>
        <v>36.119999999999997</v>
      </c>
      <c r="I55" s="175">
        <f t="shared" si="2"/>
        <v>11772.59</v>
      </c>
      <c r="J55" s="175">
        <f>PRESUPUESTOS!E55</f>
        <v>36.119999999999997</v>
      </c>
      <c r="K55" s="175">
        <f t="shared" si="3"/>
        <v>11772.59</v>
      </c>
      <c r="L55" s="175">
        <f>PRESUPUESTOS!N55</f>
        <v>294.5</v>
      </c>
      <c r="M55" s="63">
        <v>0</v>
      </c>
      <c r="N55" s="175">
        <f t="shared" si="4"/>
        <v>0</v>
      </c>
      <c r="O55" s="175">
        <f t="shared" si="5"/>
        <v>36.840000000000003</v>
      </c>
      <c r="P55" s="175">
        <f t="shared" si="6"/>
        <v>10849.38</v>
      </c>
      <c r="Q55" s="175">
        <f>PRESUPUESTOS!M55</f>
        <v>36.840000000000003</v>
      </c>
      <c r="R55" s="175">
        <f t="shared" si="7"/>
        <v>10849.38</v>
      </c>
    </row>
    <row r="56" spans="1:18" x14ac:dyDescent="0.25">
      <c r="A56" s="174">
        <v>400</v>
      </c>
      <c r="B56" s="129" t="s">
        <v>118</v>
      </c>
      <c r="C56" s="130" t="s">
        <v>182</v>
      </c>
      <c r="D56" s="146" t="s">
        <v>197</v>
      </c>
      <c r="E56" s="175">
        <f>PRESUPUESTOS!F56</f>
        <v>70.38</v>
      </c>
      <c r="F56" s="175">
        <f t="shared" si="8"/>
        <v>163.56899999999999</v>
      </c>
      <c r="G56" s="175">
        <f t="shared" si="0"/>
        <v>11511.99</v>
      </c>
      <c r="H56" s="175">
        <f t="shared" si="1"/>
        <v>381.66100000000006</v>
      </c>
      <c r="I56" s="175">
        <f t="shared" si="2"/>
        <v>26861.3</v>
      </c>
      <c r="J56" s="175">
        <f>PRESUPUESTOS!E56</f>
        <v>545.23</v>
      </c>
      <c r="K56" s="175">
        <f t="shared" si="3"/>
        <v>38373.29</v>
      </c>
      <c r="L56" s="175">
        <f>PRESUPUESTOS!N56</f>
        <v>43.56</v>
      </c>
      <c r="M56" s="63">
        <v>166.839</v>
      </c>
      <c r="N56" s="175">
        <f t="shared" si="4"/>
        <v>7267.51</v>
      </c>
      <c r="O56" s="175">
        <f t="shared" si="5"/>
        <v>389.291</v>
      </c>
      <c r="P56" s="175">
        <f t="shared" si="6"/>
        <v>16957.52</v>
      </c>
      <c r="Q56" s="175">
        <f>PRESUPUESTOS!M56</f>
        <v>556.13</v>
      </c>
      <c r="R56" s="175">
        <f t="shared" si="7"/>
        <v>24225.02</v>
      </c>
    </row>
    <row r="57" spans="1:18" x14ac:dyDescent="0.25">
      <c r="A57" s="174">
        <v>500</v>
      </c>
      <c r="B57" s="129" t="s">
        <v>119</v>
      </c>
      <c r="C57" s="130" t="s">
        <v>183</v>
      </c>
      <c r="D57" s="146" t="s">
        <v>198</v>
      </c>
      <c r="E57" s="175">
        <f>PRESUPUESTOS!F57</f>
        <v>4.0200000000000005</v>
      </c>
      <c r="F57" s="175">
        <f t="shared" si="8"/>
        <v>3086.76</v>
      </c>
      <c r="G57" s="175">
        <f t="shared" si="0"/>
        <v>12408.78</v>
      </c>
      <c r="H57" s="175">
        <f t="shared" si="1"/>
        <v>2057.84</v>
      </c>
      <c r="I57" s="175">
        <f t="shared" si="2"/>
        <v>8272.52</v>
      </c>
      <c r="J57" s="175">
        <f>PRESUPUESTOS!E57</f>
        <v>5144.6000000000004</v>
      </c>
      <c r="K57" s="175">
        <f t="shared" si="3"/>
        <v>20681.29</v>
      </c>
      <c r="L57" s="175">
        <f>PRESUPUESTOS!N57</f>
        <v>3.4000000000000004</v>
      </c>
      <c r="M57" s="63">
        <v>3148.4939999999997</v>
      </c>
      <c r="N57" s="175">
        <f t="shared" si="4"/>
        <v>10704.88</v>
      </c>
      <c r="O57" s="175">
        <f t="shared" si="5"/>
        <v>2098.9960000000001</v>
      </c>
      <c r="P57" s="175">
        <f t="shared" si="6"/>
        <v>7136.59</v>
      </c>
      <c r="Q57" s="175">
        <f>PRESUPUESTOS!M57</f>
        <v>5247.49</v>
      </c>
      <c r="R57" s="175">
        <f t="shared" si="7"/>
        <v>17841.47</v>
      </c>
    </row>
    <row r="58" spans="1:18" x14ac:dyDescent="0.25">
      <c r="A58" s="174"/>
      <c r="B58" s="137" t="s">
        <v>120</v>
      </c>
      <c r="C58" s="138" t="s">
        <v>184</v>
      </c>
      <c r="D58" s="145"/>
      <c r="E58" s="175">
        <f>PRESUPUESTOS!F58</f>
        <v>0</v>
      </c>
      <c r="F58" s="175">
        <f t="shared" si="8"/>
        <v>0</v>
      </c>
      <c r="G58" s="175">
        <f t="shared" si="0"/>
        <v>0</v>
      </c>
      <c r="H58" s="175">
        <f t="shared" si="1"/>
        <v>0</v>
      </c>
      <c r="I58" s="175">
        <f t="shared" si="2"/>
        <v>0</v>
      </c>
      <c r="J58" s="175">
        <f>PRESUPUESTOS!E58</f>
        <v>0</v>
      </c>
      <c r="K58" s="175">
        <f t="shared" si="3"/>
        <v>0</v>
      </c>
      <c r="L58" s="175">
        <f>PRESUPUESTOS!N58</f>
        <v>0</v>
      </c>
      <c r="M58" s="63"/>
      <c r="N58" s="175">
        <f t="shared" si="4"/>
        <v>0</v>
      </c>
      <c r="O58" s="175">
        <f t="shared" si="5"/>
        <v>0</v>
      </c>
      <c r="P58" s="175">
        <f t="shared" si="6"/>
        <v>0</v>
      </c>
      <c r="Q58" s="175">
        <f>PRESUPUESTOS!M58</f>
        <v>0</v>
      </c>
      <c r="R58" s="175">
        <f t="shared" si="7"/>
        <v>0</v>
      </c>
    </row>
    <row r="59" spans="1:18" x14ac:dyDescent="0.25">
      <c r="A59" s="174">
        <v>300</v>
      </c>
      <c r="B59" s="129" t="s">
        <v>121</v>
      </c>
      <c r="C59" s="130" t="s">
        <v>185</v>
      </c>
      <c r="D59" s="146" t="s">
        <v>20</v>
      </c>
      <c r="E59" s="175">
        <f>PRESUPUESTOS!F59</f>
        <v>325.93</v>
      </c>
      <c r="F59" s="175">
        <f t="shared" si="8"/>
        <v>0</v>
      </c>
      <c r="G59" s="175">
        <f t="shared" si="0"/>
        <v>0</v>
      </c>
      <c r="H59" s="175">
        <f t="shared" si="1"/>
        <v>0.63</v>
      </c>
      <c r="I59" s="175">
        <f t="shared" si="2"/>
        <v>205.34</v>
      </c>
      <c r="J59" s="175">
        <f>PRESUPUESTOS!E59</f>
        <v>0.63</v>
      </c>
      <c r="K59" s="175">
        <f t="shared" si="3"/>
        <v>205.34</v>
      </c>
      <c r="L59" s="175">
        <f>PRESUPUESTOS!N59</f>
        <v>294.5</v>
      </c>
      <c r="M59" s="63">
        <v>0</v>
      </c>
      <c r="N59" s="175">
        <f t="shared" si="4"/>
        <v>0</v>
      </c>
      <c r="O59" s="175">
        <f t="shared" si="5"/>
        <v>0.64</v>
      </c>
      <c r="P59" s="175">
        <f t="shared" si="6"/>
        <v>188.48</v>
      </c>
      <c r="Q59" s="175">
        <f>PRESUPUESTOS!M59</f>
        <v>0.64</v>
      </c>
      <c r="R59" s="175">
        <f t="shared" si="7"/>
        <v>188.48</v>
      </c>
    </row>
    <row r="60" spans="1:18" x14ac:dyDescent="0.25">
      <c r="A60" s="174">
        <v>400</v>
      </c>
      <c r="B60" s="129" t="s">
        <v>122</v>
      </c>
      <c r="C60" s="130" t="s">
        <v>186</v>
      </c>
      <c r="D60" s="146" t="s">
        <v>197</v>
      </c>
      <c r="E60" s="175">
        <f>PRESUPUESTOS!F60</f>
        <v>55.43</v>
      </c>
      <c r="F60" s="175">
        <f t="shared" si="8"/>
        <v>1.9237601199400298</v>
      </c>
      <c r="G60" s="175">
        <f t="shared" si="0"/>
        <v>106.63</v>
      </c>
      <c r="H60" s="175">
        <f t="shared" si="1"/>
        <v>4.61623988005997</v>
      </c>
      <c r="I60" s="175">
        <f t="shared" si="2"/>
        <v>255.88</v>
      </c>
      <c r="J60" s="175">
        <f>PRESUPUESTOS!E60</f>
        <v>6.54</v>
      </c>
      <c r="K60" s="175">
        <f t="shared" si="3"/>
        <v>362.51</v>
      </c>
      <c r="L60" s="175">
        <f>PRESUPUESTOS!N60</f>
        <v>33.340000000000003</v>
      </c>
      <c r="M60" s="63">
        <v>1.962</v>
      </c>
      <c r="N60" s="175">
        <f t="shared" si="4"/>
        <v>65.41</v>
      </c>
      <c r="O60" s="175">
        <f t="shared" si="5"/>
        <v>4.7080000000000002</v>
      </c>
      <c r="P60" s="175">
        <f t="shared" si="6"/>
        <v>156.96</v>
      </c>
      <c r="Q60" s="175">
        <f>PRESUPUESTOS!M60</f>
        <v>6.67</v>
      </c>
      <c r="R60" s="175">
        <f t="shared" si="7"/>
        <v>222.38</v>
      </c>
    </row>
    <row r="61" spans="1:18" x14ac:dyDescent="0.25">
      <c r="A61" s="174">
        <v>500</v>
      </c>
      <c r="B61" s="129" t="s">
        <v>123</v>
      </c>
      <c r="C61" s="130" t="s">
        <v>187</v>
      </c>
      <c r="D61" s="146" t="s">
        <v>198</v>
      </c>
      <c r="E61" s="175">
        <f>PRESUPUESTOS!F61</f>
        <v>4.0200000000000005</v>
      </c>
      <c r="F61" s="175">
        <f t="shared" si="8"/>
        <v>43.031141938078015</v>
      </c>
      <c r="G61" s="175">
        <f t="shared" si="0"/>
        <v>172.99</v>
      </c>
      <c r="H61" s="175">
        <f t="shared" si="1"/>
        <v>30.118858061921991</v>
      </c>
      <c r="I61" s="175">
        <f t="shared" si="2"/>
        <v>121.08</v>
      </c>
      <c r="J61" s="175">
        <f>PRESUPUESTOS!E61</f>
        <v>73.150000000000006</v>
      </c>
      <c r="K61" s="175">
        <f t="shared" si="3"/>
        <v>294.06</v>
      </c>
      <c r="L61" s="175">
        <f>PRESUPUESTOS!N61</f>
        <v>3.4000000000000004</v>
      </c>
      <c r="M61" s="63">
        <v>43.89</v>
      </c>
      <c r="N61" s="175">
        <f t="shared" si="4"/>
        <v>149.22999999999999</v>
      </c>
      <c r="O61" s="175">
        <f t="shared" si="5"/>
        <v>30.72</v>
      </c>
      <c r="P61" s="175">
        <f t="shared" si="6"/>
        <v>104.45</v>
      </c>
      <c r="Q61" s="175">
        <f>PRESUPUESTOS!M61</f>
        <v>74.61</v>
      </c>
      <c r="R61" s="175">
        <f t="shared" si="7"/>
        <v>253.67</v>
      </c>
    </row>
    <row r="62" spans="1:18" x14ac:dyDescent="0.25">
      <c r="A62" s="174"/>
      <c r="B62" s="137" t="s">
        <v>124</v>
      </c>
      <c r="C62" s="138" t="s">
        <v>188</v>
      </c>
      <c r="D62" s="145"/>
      <c r="E62" s="175">
        <f>PRESUPUESTOS!F62</f>
        <v>0</v>
      </c>
      <c r="F62" s="175">
        <f t="shared" si="8"/>
        <v>0</v>
      </c>
      <c r="G62" s="175">
        <f t="shared" si="0"/>
        <v>0</v>
      </c>
      <c r="H62" s="175">
        <f t="shared" si="1"/>
        <v>0</v>
      </c>
      <c r="I62" s="175">
        <f t="shared" si="2"/>
        <v>0</v>
      </c>
      <c r="J62" s="175">
        <f>PRESUPUESTOS!E62</f>
        <v>0</v>
      </c>
      <c r="K62" s="175">
        <f t="shared" si="3"/>
        <v>0</v>
      </c>
      <c r="L62" s="175">
        <f>PRESUPUESTOS!N62</f>
        <v>0</v>
      </c>
      <c r="M62" s="63"/>
      <c r="N62" s="175">
        <f t="shared" si="4"/>
        <v>0</v>
      </c>
      <c r="O62" s="175">
        <f t="shared" si="5"/>
        <v>0</v>
      </c>
      <c r="P62" s="175">
        <f t="shared" si="6"/>
        <v>0</v>
      </c>
      <c r="Q62" s="175">
        <f>PRESUPUESTOS!M62</f>
        <v>0</v>
      </c>
      <c r="R62" s="175">
        <f t="shared" si="7"/>
        <v>0</v>
      </c>
    </row>
    <row r="63" spans="1:18" x14ac:dyDescent="0.25">
      <c r="A63" s="174">
        <v>300</v>
      </c>
      <c r="B63" s="129" t="s">
        <v>125</v>
      </c>
      <c r="C63" s="130" t="s">
        <v>189</v>
      </c>
      <c r="D63" s="146" t="s">
        <v>62</v>
      </c>
      <c r="E63" s="175">
        <f>PRESUPUESTOS!F63</f>
        <v>315.52</v>
      </c>
      <c r="F63" s="175">
        <f t="shared" si="8"/>
        <v>0</v>
      </c>
      <c r="G63" s="175">
        <f t="shared" si="0"/>
        <v>0</v>
      </c>
      <c r="H63" s="175">
        <f t="shared" si="1"/>
        <v>2.13</v>
      </c>
      <c r="I63" s="175">
        <f t="shared" si="2"/>
        <v>672.06</v>
      </c>
      <c r="J63" s="175">
        <f>PRESUPUESTOS!E63</f>
        <v>2.13</v>
      </c>
      <c r="K63" s="175">
        <f t="shared" si="3"/>
        <v>672.06</v>
      </c>
      <c r="L63" s="175">
        <f>PRESUPUESTOS!N63</f>
        <v>294.5</v>
      </c>
      <c r="M63" s="63">
        <v>0</v>
      </c>
      <c r="N63" s="175">
        <f t="shared" si="4"/>
        <v>0</v>
      </c>
      <c r="O63" s="175">
        <f t="shared" si="5"/>
        <v>2.17</v>
      </c>
      <c r="P63" s="175">
        <f t="shared" si="6"/>
        <v>639.07000000000005</v>
      </c>
      <c r="Q63" s="175">
        <f>PRESUPUESTOS!M63</f>
        <v>2.17</v>
      </c>
      <c r="R63" s="175">
        <f t="shared" si="7"/>
        <v>639.07000000000005</v>
      </c>
    </row>
    <row r="64" spans="1:18" x14ac:dyDescent="0.25">
      <c r="A64" s="174">
        <v>400</v>
      </c>
      <c r="B64" s="129" t="s">
        <v>126</v>
      </c>
      <c r="C64" s="130" t="s">
        <v>190</v>
      </c>
      <c r="D64" s="146" t="s">
        <v>197</v>
      </c>
      <c r="E64" s="175">
        <f>PRESUPUESTOS!F64</f>
        <v>43.61</v>
      </c>
      <c r="F64" s="175">
        <f t="shared" si="8"/>
        <v>7.4159999999999995</v>
      </c>
      <c r="G64" s="175">
        <f t="shared" si="0"/>
        <v>323.41000000000003</v>
      </c>
      <c r="H64" s="175">
        <f t="shared" si="1"/>
        <v>17.303999999999998</v>
      </c>
      <c r="I64" s="175">
        <f t="shared" si="2"/>
        <v>754.63</v>
      </c>
      <c r="J64" s="175">
        <f>PRESUPUESTOS!E64</f>
        <v>24.72</v>
      </c>
      <c r="K64" s="175">
        <f t="shared" si="3"/>
        <v>1078.04</v>
      </c>
      <c r="L64" s="175">
        <f>PRESUPUESTOS!N64</f>
        <v>25.75</v>
      </c>
      <c r="M64" s="63">
        <v>7.5629999999999997</v>
      </c>
      <c r="N64" s="175">
        <f t="shared" si="4"/>
        <v>194.75</v>
      </c>
      <c r="O64" s="175">
        <f t="shared" si="5"/>
        <v>17.647000000000002</v>
      </c>
      <c r="P64" s="175">
        <f t="shared" si="6"/>
        <v>454.41</v>
      </c>
      <c r="Q64" s="175">
        <f>PRESUPUESTOS!M64</f>
        <v>25.21</v>
      </c>
      <c r="R64" s="175">
        <f t="shared" si="7"/>
        <v>649.16</v>
      </c>
    </row>
    <row r="65" spans="1:18" x14ac:dyDescent="0.25">
      <c r="A65" s="174">
        <v>500</v>
      </c>
      <c r="B65" s="129" t="s">
        <v>127</v>
      </c>
      <c r="C65" s="130" t="s">
        <v>191</v>
      </c>
      <c r="D65" s="146" t="s">
        <v>198</v>
      </c>
      <c r="E65" s="175">
        <f>PRESUPUESTOS!F65</f>
        <v>4.0200000000000005</v>
      </c>
      <c r="F65" s="175">
        <f t="shared" si="8"/>
        <v>56.358000000000004</v>
      </c>
      <c r="G65" s="175">
        <f t="shared" si="0"/>
        <v>226.56</v>
      </c>
      <c r="H65" s="175">
        <f t="shared" si="1"/>
        <v>37.572000000000003</v>
      </c>
      <c r="I65" s="175">
        <f t="shared" si="2"/>
        <v>151.04</v>
      </c>
      <c r="J65" s="175">
        <f>PRESUPUESTOS!E65</f>
        <v>93.93</v>
      </c>
      <c r="K65" s="175">
        <f t="shared" si="3"/>
        <v>377.6</v>
      </c>
      <c r="L65" s="175">
        <f>PRESUPUESTOS!N65</f>
        <v>3.4000000000000004</v>
      </c>
      <c r="M65" s="63">
        <v>57.485999999999997</v>
      </c>
      <c r="N65" s="175">
        <f t="shared" si="4"/>
        <v>195.45</v>
      </c>
      <c r="O65" s="175">
        <f t="shared" si="5"/>
        <v>38.324000000000005</v>
      </c>
      <c r="P65" s="175">
        <f t="shared" si="6"/>
        <v>130.30000000000001</v>
      </c>
      <c r="Q65" s="175">
        <f>PRESUPUESTOS!M65</f>
        <v>95.81</v>
      </c>
      <c r="R65" s="175">
        <f t="shared" si="7"/>
        <v>325.75</v>
      </c>
    </row>
    <row r="66" spans="1:18" x14ac:dyDescent="0.25">
      <c r="A66" s="174">
        <v>300</v>
      </c>
      <c r="B66" s="129" t="s">
        <v>128</v>
      </c>
      <c r="C66" s="130" t="s">
        <v>192</v>
      </c>
      <c r="D66" s="146" t="s">
        <v>200</v>
      </c>
      <c r="E66" s="175">
        <f>PRESUPUESTOS!F66</f>
        <v>2.4900000000000002</v>
      </c>
      <c r="F66" s="175">
        <f t="shared" si="8"/>
        <v>61.776000000000003</v>
      </c>
      <c r="G66" s="175">
        <f t="shared" si="0"/>
        <v>153.82</v>
      </c>
      <c r="H66" s="175">
        <f t="shared" si="1"/>
        <v>144.14400000000001</v>
      </c>
      <c r="I66" s="175">
        <f t="shared" si="2"/>
        <v>358.92</v>
      </c>
      <c r="J66" s="175">
        <f>PRESUPUESTOS!E66</f>
        <v>205.92000000000002</v>
      </c>
      <c r="K66" s="175">
        <f t="shared" si="3"/>
        <v>512.74</v>
      </c>
      <c r="L66" s="175">
        <f>PRESUPUESTOS!N66</f>
        <v>2.3899999999999997</v>
      </c>
      <c r="M66" s="63">
        <v>63.011999999999993</v>
      </c>
      <c r="N66" s="175">
        <f t="shared" si="4"/>
        <v>150.6</v>
      </c>
      <c r="O66" s="175">
        <f t="shared" si="5"/>
        <v>147.02799999999999</v>
      </c>
      <c r="P66" s="175">
        <f t="shared" si="6"/>
        <v>351.4</v>
      </c>
      <c r="Q66" s="175">
        <f>PRESUPUESTOS!M66</f>
        <v>210.04</v>
      </c>
      <c r="R66" s="175">
        <f t="shared" si="7"/>
        <v>502</v>
      </c>
    </row>
    <row r="67" spans="1:18" x14ac:dyDescent="0.25">
      <c r="A67" s="174"/>
      <c r="B67" s="137" t="s">
        <v>129</v>
      </c>
      <c r="C67" s="138" t="s">
        <v>193</v>
      </c>
      <c r="D67" s="145"/>
      <c r="E67" s="175">
        <f>PRESUPUESTOS!F67</f>
        <v>0</v>
      </c>
      <c r="F67" s="175">
        <f t="shared" si="8"/>
        <v>0</v>
      </c>
      <c r="G67" s="175">
        <f t="shared" si="0"/>
        <v>0</v>
      </c>
      <c r="H67" s="175">
        <f t="shared" si="1"/>
        <v>0</v>
      </c>
      <c r="I67" s="175">
        <f t="shared" si="2"/>
        <v>0</v>
      </c>
      <c r="J67" s="175">
        <f>PRESUPUESTOS!E67</f>
        <v>0</v>
      </c>
      <c r="K67" s="175">
        <f t="shared" si="3"/>
        <v>0</v>
      </c>
      <c r="L67" s="175">
        <f>PRESUPUESTOS!N67</f>
        <v>0</v>
      </c>
      <c r="M67" s="63"/>
      <c r="N67" s="175">
        <f t="shared" si="4"/>
        <v>0</v>
      </c>
      <c r="O67" s="175">
        <f t="shared" si="5"/>
        <v>0</v>
      </c>
      <c r="P67" s="175">
        <f t="shared" si="6"/>
        <v>0</v>
      </c>
      <c r="Q67" s="175">
        <f>PRESUPUESTOS!M67</f>
        <v>0</v>
      </c>
      <c r="R67" s="175">
        <f t="shared" si="7"/>
        <v>0</v>
      </c>
    </row>
    <row r="68" spans="1:18" x14ac:dyDescent="0.25">
      <c r="A68" s="174">
        <v>300</v>
      </c>
      <c r="B68" s="129" t="s">
        <v>130</v>
      </c>
      <c r="C68" s="130" t="s">
        <v>194</v>
      </c>
      <c r="D68" s="144" t="s">
        <v>197</v>
      </c>
      <c r="E68" s="175">
        <f>PRESUPUESTOS!F68</f>
        <v>80.040000000000006</v>
      </c>
      <c r="F68" s="175">
        <f t="shared" si="8"/>
        <v>0</v>
      </c>
      <c r="G68" s="175">
        <f t="shared" si="0"/>
        <v>0</v>
      </c>
      <c r="H68" s="175">
        <f t="shared" si="1"/>
        <v>12.31</v>
      </c>
      <c r="I68" s="175">
        <f t="shared" si="2"/>
        <v>985.29</v>
      </c>
      <c r="J68" s="175">
        <f>PRESUPUESTOS!E68</f>
        <v>12.31</v>
      </c>
      <c r="K68" s="175">
        <f t="shared" si="3"/>
        <v>985.29</v>
      </c>
      <c r="L68" s="175">
        <f>PRESUPUESTOS!N68</f>
        <v>59.8</v>
      </c>
      <c r="M68" s="63">
        <v>0</v>
      </c>
      <c r="N68" s="175">
        <f t="shared" si="4"/>
        <v>0</v>
      </c>
      <c r="O68" s="175">
        <f t="shared" si="5"/>
        <v>12.56</v>
      </c>
      <c r="P68" s="175">
        <f t="shared" si="6"/>
        <v>751.09</v>
      </c>
      <c r="Q68" s="175">
        <f>PRESUPUESTOS!M68</f>
        <v>12.56</v>
      </c>
      <c r="R68" s="175">
        <f t="shared" si="7"/>
        <v>751.09</v>
      </c>
    </row>
    <row r="69" spans="1:18" x14ac:dyDescent="0.25">
      <c r="A69" s="174">
        <v>400</v>
      </c>
      <c r="B69" s="129" t="s">
        <v>131</v>
      </c>
      <c r="C69" s="130" t="s">
        <v>195</v>
      </c>
      <c r="D69" s="146" t="s">
        <v>197</v>
      </c>
      <c r="E69" s="175">
        <f>PRESUPUESTOS!F69</f>
        <v>41.15</v>
      </c>
      <c r="F69" s="175">
        <f t="shared" si="8"/>
        <v>2.0880000000000001</v>
      </c>
      <c r="G69" s="175">
        <f t="shared" si="0"/>
        <v>85.92</v>
      </c>
      <c r="H69" s="175">
        <f t="shared" si="1"/>
        <v>4.8719999999999999</v>
      </c>
      <c r="I69" s="175">
        <f t="shared" si="2"/>
        <v>200.48</v>
      </c>
      <c r="J69" s="175">
        <f>PRESUPUESTOS!E69</f>
        <v>6.96</v>
      </c>
      <c r="K69" s="175">
        <f t="shared" si="3"/>
        <v>286.39999999999998</v>
      </c>
      <c r="L69" s="175">
        <f>PRESUPUESTOS!N69</f>
        <v>27.36</v>
      </c>
      <c r="M69" s="63">
        <v>2.13</v>
      </c>
      <c r="N69" s="175">
        <f t="shared" si="4"/>
        <v>58.28</v>
      </c>
      <c r="O69" s="175">
        <f t="shared" si="5"/>
        <v>4.97</v>
      </c>
      <c r="P69" s="175">
        <f t="shared" si="6"/>
        <v>135.97999999999999</v>
      </c>
      <c r="Q69" s="175">
        <f>PRESUPUESTOS!M69</f>
        <v>7.1</v>
      </c>
      <c r="R69" s="175">
        <f t="shared" si="7"/>
        <v>194.26</v>
      </c>
    </row>
    <row r="70" spans="1:18" x14ac:dyDescent="0.25">
      <c r="A70" s="174">
        <v>500</v>
      </c>
      <c r="B70" s="129" t="s">
        <v>132</v>
      </c>
      <c r="C70" s="130" t="s">
        <v>196</v>
      </c>
      <c r="D70" s="146" t="s">
        <v>199</v>
      </c>
      <c r="E70" s="175">
        <f>PRESUPUESTOS!F70</f>
        <v>4.0200000000000005</v>
      </c>
      <c r="F70" s="175">
        <f t="shared" si="8"/>
        <v>24.903000000000002</v>
      </c>
      <c r="G70" s="175">
        <f t="shared" si="0"/>
        <v>100.11</v>
      </c>
      <c r="H70" s="175">
        <f t="shared" si="1"/>
        <v>58.106999999999999</v>
      </c>
      <c r="I70" s="175">
        <f t="shared" si="2"/>
        <v>233.59</v>
      </c>
      <c r="J70" s="175">
        <f>PRESUPUESTOS!E70</f>
        <v>83.01</v>
      </c>
      <c r="K70" s="175">
        <f t="shared" si="3"/>
        <v>333.7</v>
      </c>
      <c r="L70" s="175">
        <f>PRESUPUESTOS!N70</f>
        <v>3.4000000000000004</v>
      </c>
      <c r="M70" s="63">
        <v>25.401</v>
      </c>
      <c r="N70" s="175">
        <f t="shared" si="4"/>
        <v>86.36</v>
      </c>
      <c r="O70" s="175">
        <f t="shared" si="5"/>
        <v>59.269000000000005</v>
      </c>
      <c r="P70" s="175">
        <f t="shared" si="6"/>
        <v>201.51</v>
      </c>
      <c r="Q70" s="175">
        <f>PRESUPUESTOS!M70</f>
        <v>84.67</v>
      </c>
      <c r="R70" s="175">
        <f t="shared" si="7"/>
        <v>287.88</v>
      </c>
    </row>
    <row r="71" spans="1:18" s="2" customFormat="1" x14ac:dyDescent="0.25">
      <c r="A71" s="37"/>
      <c r="B71" s="25"/>
      <c r="C71" s="21" t="s">
        <v>21</v>
      </c>
      <c r="D71" s="25"/>
      <c r="E71" s="7"/>
      <c r="F71" s="7"/>
      <c r="G71" s="7">
        <f>SUM(G7:G70)</f>
        <v>306974.87999999995</v>
      </c>
      <c r="H71" s="7"/>
      <c r="I71" s="7">
        <f>SUM(I7:I70)</f>
        <v>653749.68999999994</v>
      </c>
      <c r="J71" s="7"/>
      <c r="K71" s="7">
        <f>SUM(K7:K70)</f>
        <v>960724.52000000014</v>
      </c>
      <c r="L71" s="7"/>
      <c r="M71" s="59"/>
      <c r="N71" s="7">
        <f>SUM(N7:N70)</f>
        <v>248357.12000000005</v>
      </c>
      <c r="O71" s="7"/>
      <c r="P71" s="7">
        <f>SUM(P7:P70)</f>
        <v>448153.56000000006</v>
      </c>
      <c r="Q71" s="7"/>
      <c r="R71" s="7">
        <f>SUM(R7:R70)</f>
        <v>696510.66999999993</v>
      </c>
    </row>
    <row r="72" spans="1:18" s="2" customFormat="1" x14ac:dyDescent="0.25">
      <c r="A72" s="86"/>
      <c r="B72" s="38"/>
      <c r="C72" s="79" t="s">
        <v>51</v>
      </c>
      <c r="D72" s="38"/>
      <c r="E72" s="39"/>
      <c r="F72" s="39"/>
      <c r="G72" s="82">
        <f>ROUND(G71*0.1,2)</f>
        <v>30697.49</v>
      </c>
      <c r="H72" s="39"/>
      <c r="I72" s="82">
        <f>ROUND(I71*0.1,2)</f>
        <v>65374.97</v>
      </c>
      <c r="J72" s="39"/>
      <c r="K72" s="82">
        <f>ROUND(K71*0.1,2)</f>
        <v>96072.45</v>
      </c>
      <c r="L72" s="39"/>
      <c r="M72" s="62"/>
      <c r="N72" s="82">
        <f>ROUND(N71*0.1,2)</f>
        <v>24835.71</v>
      </c>
      <c r="O72" s="39"/>
      <c r="P72" s="82">
        <f>ROUND(P71*0.1,2)</f>
        <v>44815.360000000001</v>
      </c>
      <c r="Q72" s="39"/>
      <c r="R72" s="82">
        <f>ROUND(R71*0.1,2)</f>
        <v>69651.070000000007</v>
      </c>
    </row>
    <row r="73" spans="1:18" s="2" customFormat="1" x14ac:dyDescent="0.25">
      <c r="A73" s="86"/>
      <c r="B73" s="38"/>
      <c r="C73" s="79" t="s">
        <v>52</v>
      </c>
      <c r="D73" s="38"/>
      <c r="E73" s="39"/>
      <c r="F73" s="39"/>
      <c r="G73" s="82">
        <f>ROUND(G71*0.08,2)</f>
        <v>24557.99</v>
      </c>
      <c r="H73" s="39"/>
      <c r="I73" s="82">
        <f>ROUND(I71*0.08,2)</f>
        <v>52299.98</v>
      </c>
      <c r="J73" s="39"/>
      <c r="K73" s="82">
        <f>ROUND(K71*0.08,2)</f>
        <v>76857.960000000006</v>
      </c>
      <c r="L73" s="39"/>
      <c r="M73" s="62"/>
      <c r="N73" s="82"/>
      <c r="O73" s="39"/>
      <c r="P73" s="82"/>
      <c r="Q73" s="39"/>
      <c r="R73" s="82"/>
    </row>
    <row r="74" spans="1:18" s="2" customFormat="1" x14ac:dyDescent="0.25">
      <c r="A74" s="86"/>
      <c r="B74" s="38"/>
      <c r="C74" s="74" t="s">
        <v>53</v>
      </c>
      <c r="D74" s="38"/>
      <c r="E74" s="39"/>
      <c r="F74" s="39"/>
      <c r="G74" s="75">
        <f>SUM(G71:G73)</f>
        <v>362230.35999999993</v>
      </c>
      <c r="H74" s="39"/>
      <c r="I74" s="75">
        <f>SUM(I71:I73)</f>
        <v>771424.6399999999</v>
      </c>
      <c r="J74" s="39"/>
      <c r="K74" s="75">
        <f>SUM(K71:K73)</f>
        <v>1133654.9300000002</v>
      </c>
      <c r="L74" s="39"/>
      <c r="M74" s="62"/>
      <c r="N74" s="75">
        <f>SUM(N71:N73)</f>
        <v>273192.83000000007</v>
      </c>
      <c r="O74" s="39"/>
      <c r="P74" s="75">
        <f>SUM(P71:P73)</f>
        <v>492968.92000000004</v>
      </c>
      <c r="Q74" s="39"/>
      <c r="R74" s="75">
        <f>SUM(R71:R73)</f>
        <v>766161.74</v>
      </c>
    </row>
    <row r="75" spans="1:18" x14ac:dyDescent="0.25">
      <c r="A75" s="35"/>
      <c r="B75" s="36"/>
      <c r="C75" s="23" t="s">
        <v>22</v>
      </c>
      <c r="D75" s="26"/>
      <c r="E75" s="40"/>
      <c r="F75" s="40"/>
      <c r="G75" s="19">
        <f>ROUND(G74*0.18,2)</f>
        <v>65201.46</v>
      </c>
      <c r="H75" s="40"/>
      <c r="I75" s="19">
        <f>ROUND(I74*0.18,2)</f>
        <v>138856.44</v>
      </c>
      <c r="J75" s="40"/>
      <c r="K75" s="19">
        <f>ROUND(K74*0.18,2)</f>
        <v>204057.89</v>
      </c>
      <c r="L75" s="40"/>
      <c r="M75" s="63"/>
      <c r="N75" s="19">
        <f>ROUND(N74*0.18,2)</f>
        <v>49174.71</v>
      </c>
      <c r="O75" s="40"/>
      <c r="P75" s="19">
        <f>ROUND(P74*0.18,2)</f>
        <v>88734.41</v>
      </c>
      <c r="Q75" s="40"/>
      <c r="R75" s="19">
        <f>ROUND(R74*0.18,2)</f>
        <v>137909.10999999999</v>
      </c>
    </row>
    <row r="76" spans="1:18" s="2" customFormat="1" x14ac:dyDescent="0.25">
      <c r="A76" s="28"/>
      <c r="B76" s="41"/>
      <c r="C76" s="29" t="s">
        <v>28</v>
      </c>
      <c r="D76" s="28"/>
      <c r="E76" s="42"/>
      <c r="F76" s="42"/>
      <c r="G76" s="32">
        <f>SUM(G74:G75)</f>
        <v>427431.81999999995</v>
      </c>
      <c r="H76" s="42"/>
      <c r="I76" s="32">
        <f>SUM(I74:I75)</f>
        <v>910281.07999999984</v>
      </c>
      <c r="J76" s="42"/>
      <c r="K76" s="32">
        <f>SUM(K74:K75)</f>
        <v>1337712.8200000003</v>
      </c>
      <c r="L76" s="42"/>
      <c r="M76" s="64"/>
      <c r="N76" s="32">
        <f>SUM(N74:N75)</f>
        <v>322367.5400000001</v>
      </c>
      <c r="O76" s="42"/>
      <c r="P76" s="32">
        <f>SUM(P74:P75)</f>
        <v>581703.33000000007</v>
      </c>
      <c r="Q76" s="42"/>
      <c r="R76" s="32">
        <f>SUM(R74:R75)</f>
        <v>904070.85</v>
      </c>
    </row>
    <row r="80" spans="1:18" x14ac:dyDescent="0.25">
      <c r="H80" s="88"/>
    </row>
    <row r="81" spans="10:13" x14ac:dyDescent="0.25">
      <c r="J81">
        <v>130</v>
      </c>
      <c r="L81">
        <v>220</v>
      </c>
      <c r="M81" t="s">
        <v>66</v>
      </c>
    </row>
    <row r="83" spans="10:13" x14ac:dyDescent="0.25">
      <c r="J83" s="112">
        <f>+L83*0.59</f>
        <v>95.314499999999995</v>
      </c>
      <c r="L83">
        <v>161.55000000000001</v>
      </c>
      <c r="M83" t="s">
        <v>67</v>
      </c>
    </row>
    <row r="85" spans="10:13" x14ac:dyDescent="0.25">
      <c r="L85" s="111">
        <f>+J81/L81</f>
        <v>0.59090909090909094</v>
      </c>
    </row>
  </sheetData>
  <mergeCells count="12">
    <mergeCell ref="H5:I5"/>
    <mergeCell ref="J5:K5"/>
    <mergeCell ref="E4:K4"/>
    <mergeCell ref="L4:R4"/>
    <mergeCell ref="M5:N5"/>
    <mergeCell ref="O5:P5"/>
    <mergeCell ref="Q5:R5"/>
    <mergeCell ref="A5:A6"/>
    <mergeCell ref="B5:B6"/>
    <mergeCell ref="D5:D6"/>
    <mergeCell ref="C5:C6"/>
    <mergeCell ref="F5:G5"/>
  </mergeCells>
  <pageMargins left="0.7" right="0.7" top="0.75" bottom="0.75" header="0.3" footer="0.3"/>
  <pageSetup paperSize="9" orientation="portrait" copies="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F95F-DA17-435F-BB24-20BDB1792748}">
  <dimension ref="B1:P34"/>
  <sheetViews>
    <sheetView topLeftCell="B1" zoomScale="85" zoomScaleNormal="85" workbookViewId="0">
      <selection activeCell="G58" sqref="G58"/>
    </sheetView>
  </sheetViews>
  <sheetFormatPr baseColWidth="10" defaultRowHeight="15" x14ac:dyDescent="0.25"/>
  <cols>
    <col min="3" max="3" width="33.7109375" customWidth="1"/>
    <col min="4" max="4" width="11.42578125" style="249"/>
    <col min="7" max="7" width="18" customWidth="1"/>
    <col min="8" max="8" width="13.140625" bestFit="1" customWidth="1"/>
    <col min="9" max="9" width="12.42578125" bestFit="1" customWidth="1"/>
    <col min="11" max="12" width="13.140625" bestFit="1" customWidth="1"/>
  </cols>
  <sheetData>
    <row r="1" spans="2:16" s="2" customFormat="1" x14ac:dyDescent="0.25">
      <c r="B1" s="2" t="s">
        <v>219</v>
      </c>
      <c r="D1" s="5"/>
      <c r="E1" s="373"/>
      <c r="F1" s="373"/>
    </row>
    <row r="3" spans="2:16" x14ac:dyDescent="0.25">
      <c r="B3" s="447" t="s">
        <v>2</v>
      </c>
      <c r="C3" s="447" t="s">
        <v>15</v>
      </c>
      <c r="D3" s="447" t="s">
        <v>224</v>
      </c>
      <c r="E3" s="447"/>
      <c r="F3" s="447"/>
      <c r="G3" s="447"/>
      <c r="H3" s="447"/>
      <c r="I3" s="447"/>
      <c r="J3" s="251"/>
      <c r="K3" s="448" t="s">
        <v>271</v>
      </c>
      <c r="L3" s="449"/>
      <c r="M3" s="251"/>
      <c r="N3" s="447" t="s">
        <v>225</v>
      </c>
      <c r="O3" s="447"/>
      <c r="P3" s="447"/>
    </row>
    <row r="4" spans="2:16" ht="45" x14ac:dyDescent="0.25">
      <c r="B4" s="447"/>
      <c r="C4" s="447"/>
      <c r="D4" s="250" t="s">
        <v>61</v>
      </c>
      <c r="E4" s="100" t="s">
        <v>56</v>
      </c>
      <c r="F4" s="100" t="s">
        <v>222</v>
      </c>
      <c r="G4" s="100" t="s">
        <v>223</v>
      </c>
      <c r="H4" s="100" t="s">
        <v>220</v>
      </c>
      <c r="I4" s="100" t="s">
        <v>221</v>
      </c>
      <c r="J4" s="251"/>
      <c r="K4" s="250" t="s">
        <v>220</v>
      </c>
      <c r="L4" s="250" t="s">
        <v>221</v>
      </c>
      <c r="M4" s="251"/>
      <c r="N4" s="100" t="s">
        <v>5</v>
      </c>
      <c r="O4" s="100" t="s">
        <v>263</v>
      </c>
      <c r="P4" s="100" t="s">
        <v>226</v>
      </c>
    </row>
    <row r="5" spans="2:16" x14ac:dyDescent="0.25">
      <c r="B5" s="250"/>
      <c r="C5" s="296" t="s">
        <v>236</v>
      </c>
      <c r="D5" s="250"/>
      <c r="E5" s="269"/>
      <c r="F5" s="305"/>
      <c r="G5" s="268"/>
      <c r="H5" s="305"/>
      <c r="I5" s="270">
        <f>SUM(I6:I9)</f>
        <v>3500</v>
      </c>
      <c r="J5" s="251"/>
      <c r="K5" s="305"/>
      <c r="L5" s="270">
        <f>SUM(L6:L9)</f>
        <v>6400</v>
      </c>
      <c r="M5" s="251"/>
      <c r="N5" s="250"/>
      <c r="O5" s="270">
        <f>SUM(O6:O9)</f>
        <v>800</v>
      </c>
      <c r="P5" s="270">
        <f>SUM(P6:P9)</f>
        <v>5600</v>
      </c>
    </row>
    <row r="6" spans="2:16" s="2" customFormat="1" x14ac:dyDescent="0.25">
      <c r="B6" s="293">
        <v>1</v>
      </c>
      <c r="C6" s="297" t="s">
        <v>229</v>
      </c>
      <c r="D6" s="86"/>
      <c r="E6" s="258"/>
      <c r="F6" s="306"/>
      <c r="G6" s="257"/>
      <c r="H6" s="306"/>
      <c r="I6" s="259"/>
      <c r="K6" s="307"/>
      <c r="L6" s="278"/>
      <c r="N6" s="288"/>
      <c r="O6" s="277"/>
      <c r="P6" s="288"/>
    </row>
    <row r="7" spans="2:16" x14ac:dyDescent="0.25">
      <c r="B7" s="294" t="s">
        <v>230</v>
      </c>
      <c r="C7" s="298" t="s">
        <v>231</v>
      </c>
      <c r="D7" s="294" t="s">
        <v>234</v>
      </c>
      <c r="E7" s="262">
        <v>2</v>
      </c>
      <c r="F7" s="291"/>
      <c r="G7" s="261"/>
      <c r="H7" s="291">
        <v>750</v>
      </c>
      <c r="I7" s="263">
        <f>E7*H7</f>
        <v>1500</v>
      </c>
      <c r="K7" s="291"/>
      <c r="L7" s="263">
        <f>+'ANALISIS COSTOS INDIRECTOS'!L7</f>
        <v>1600</v>
      </c>
      <c r="N7" s="291">
        <v>0.4</v>
      </c>
      <c r="O7" s="262">
        <f>SUM('ANALISIS COSTOS INDIRECTOS'!N7)</f>
        <v>800</v>
      </c>
      <c r="P7" s="289">
        <f>L7-O7</f>
        <v>800</v>
      </c>
    </row>
    <row r="8" spans="2:16" x14ac:dyDescent="0.25">
      <c r="B8" s="294"/>
      <c r="C8" s="298" t="s">
        <v>232</v>
      </c>
      <c r="D8" s="294" t="s">
        <v>200</v>
      </c>
      <c r="E8" s="262">
        <v>2</v>
      </c>
      <c r="F8" s="291"/>
      <c r="G8" s="261"/>
      <c r="H8" s="291">
        <v>500</v>
      </c>
      <c r="I8" s="263">
        <f t="shared" ref="I8:I9" si="0">E8*H8</f>
        <v>1000</v>
      </c>
      <c r="K8" s="291"/>
      <c r="L8" s="263">
        <f>+'ANALISIS COSTOS INDIRECTOS'!L8</f>
        <v>2400</v>
      </c>
      <c r="N8" s="291">
        <v>0</v>
      </c>
      <c r="O8" s="262">
        <f>SUM('ANALISIS COSTOS INDIRECTOS'!N8)</f>
        <v>0</v>
      </c>
      <c r="P8" s="289">
        <f t="shared" ref="P8:P9" si="1">L8-O8</f>
        <v>2400</v>
      </c>
    </row>
    <row r="9" spans="2:16" x14ac:dyDescent="0.25">
      <c r="B9" s="295"/>
      <c r="C9" s="299" t="s">
        <v>233</v>
      </c>
      <c r="D9" s="295" t="s">
        <v>235</v>
      </c>
      <c r="E9" s="266">
        <v>2</v>
      </c>
      <c r="F9" s="292"/>
      <c r="G9" s="265"/>
      <c r="H9" s="292">
        <v>500</v>
      </c>
      <c r="I9" s="267">
        <f t="shared" si="0"/>
        <v>1000</v>
      </c>
      <c r="K9" s="292"/>
      <c r="L9" s="267">
        <f>+'ANALISIS COSTOS INDIRECTOS'!L9</f>
        <v>2400</v>
      </c>
      <c r="N9" s="292">
        <v>0</v>
      </c>
      <c r="O9" s="266">
        <f>SUM('ANALISIS COSTOS INDIRECTOS'!N9)</f>
        <v>0</v>
      </c>
      <c r="P9" s="290">
        <f t="shared" si="1"/>
        <v>2400</v>
      </c>
    </row>
    <row r="10" spans="2:16" x14ac:dyDescent="0.25">
      <c r="B10" s="249"/>
      <c r="E10" s="247"/>
      <c r="F10" s="273"/>
      <c r="G10" s="272"/>
      <c r="H10" s="247"/>
      <c r="I10" s="247"/>
      <c r="K10" s="247"/>
      <c r="L10" s="247"/>
      <c r="O10" s="247"/>
    </row>
    <row r="11" spans="2:16" x14ac:dyDescent="0.25">
      <c r="B11" s="102"/>
      <c r="C11" s="103" t="s">
        <v>237</v>
      </c>
      <c r="D11" s="102"/>
      <c r="E11" s="308"/>
      <c r="F11" s="105"/>
      <c r="G11" s="272"/>
      <c r="H11" s="105"/>
      <c r="I11" s="274">
        <f>SUM(I12:I34)</f>
        <v>160049.99080600002</v>
      </c>
      <c r="K11" s="105"/>
      <c r="L11" s="274">
        <f>SUM(L12:L34)</f>
        <v>231312.20735000001</v>
      </c>
      <c r="N11" s="101"/>
      <c r="O11" s="274">
        <f>SUM(O12:O34)</f>
        <v>70733.441469999991</v>
      </c>
      <c r="P11" s="274">
        <f>SUM(P12:P34)</f>
        <v>160578.76588000002</v>
      </c>
    </row>
    <row r="12" spans="2:16" s="2" customFormat="1" x14ac:dyDescent="0.25">
      <c r="B12" s="37">
        <v>1.01</v>
      </c>
      <c r="C12" s="288" t="s">
        <v>238</v>
      </c>
      <c r="D12" s="37"/>
      <c r="E12" s="309"/>
      <c r="F12" s="307"/>
      <c r="G12" s="276"/>
      <c r="H12" s="307"/>
      <c r="I12" s="278"/>
      <c r="K12" s="307"/>
      <c r="L12" s="278"/>
      <c r="N12" s="288"/>
      <c r="O12" s="277"/>
      <c r="P12" s="288"/>
    </row>
    <row r="13" spans="2:16" x14ac:dyDescent="0.25">
      <c r="B13" s="294"/>
      <c r="C13" s="298" t="s">
        <v>239</v>
      </c>
      <c r="D13" s="294" t="s">
        <v>243</v>
      </c>
      <c r="E13" s="286">
        <v>1</v>
      </c>
      <c r="F13" s="291">
        <v>5</v>
      </c>
      <c r="G13" s="279">
        <v>1</v>
      </c>
      <c r="H13" s="291">
        <v>10000</v>
      </c>
      <c r="I13" s="263">
        <f>+E13*F13*G13*H13</f>
        <v>50000</v>
      </c>
      <c r="K13" s="291"/>
      <c r="L13" s="263">
        <f>+'ANALISIS COSTOS INDIRECTOS'!L13</f>
        <v>81000</v>
      </c>
      <c r="N13" s="291">
        <v>1</v>
      </c>
      <c r="O13" s="262">
        <f>SUM('ANALISIS COSTOS INDIRECTOS'!N13)</f>
        <v>27000</v>
      </c>
      <c r="P13" s="289">
        <f t="shared" ref="P13:P16" si="2">L13-O13</f>
        <v>54000</v>
      </c>
    </row>
    <row r="14" spans="2:16" x14ac:dyDescent="0.25">
      <c r="B14" s="294"/>
      <c r="C14" s="298" t="s">
        <v>240</v>
      </c>
      <c r="D14" s="294" t="s">
        <v>243</v>
      </c>
      <c r="E14" s="286">
        <v>1</v>
      </c>
      <c r="F14" s="291">
        <v>5</v>
      </c>
      <c r="G14" s="279">
        <v>0.5</v>
      </c>
      <c r="H14" s="291">
        <v>4500</v>
      </c>
      <c r="I14" s="263">
        <f t="shared" ref="I14:I21" si="3">+E14*F14*G14*H14</f>
        <v>11250</v>
      </c>
      <c r="K14" s="291"/>
      <c r="L14" s="263">
        <f>+'ANALISIS COSTOS INDIRECTOS'!L14</f>
        <v>25800</v>
      </c>
      <c r="N14" s="291">
        <v>1</v>
      </c>
      <c r="O14" s="262">
        <f>SUM('ANALISIS COSTOS INDIRECTOS'!N14)</f>
        <v>8600</v>
      </c>
      <c r="P14" s="289">
        <f t="shared" si="2"/>
        <v>17200</v>
      </c>
    </row>
    <row r="15" spans="2:16" x14ac:dyDescent="0.25">
      <c r="B15" s="294"/>
      <c r="C15" s="298" t="s">
        <v>241</v>
      </c>
      <c r="D15" s="294" t="s">
        <v>243</v>
      </c>
      <c r="E15" s="286">
        <v>1</v>
      </c>
      <c r="F15" s="291">
        <v>5</v>
      </c>
      <c r="G15" s="279">
        <v>1</v>
      </c>
      <c r="H15" s="291">
        <v>4000</v>
      </c>
      <c r="I15" s="263">
        <f t="shared" si="3"/>
        <v>20000</v>
      </c>
      <c r="K15" s="291"/>
      <c r="L15" s="263">
        <f>+'ANALISIS COSTOS INDIRECTOS'!L15</f>
        <v>25200</v>
      </c>
      <c r="N15" s="291">
        <v>1</v>
      </c>
      <c r="O15" s="262">
        <f>SUM('ANALISIS COSTOS INDIRECTOS'!N15)</f>
        <v>8400</v>
      </c>
      <c r="P15" s="289">
        <f t="shared" si="2"/>
        <v>16800</v>
      </c>
    </row>
    <row r="16" spans="2:16" x14ac:dyDescent="0.25">
      <c r="B16" s="295"/>
      <c r="C16" s="299" t="s">
        <v>242</v>
      </c>
      <c r="D16" s="295" t="s">
        <v>243</v>
      </c>
      <c r="E16" s="287">
        <v>1</v>
      </c>
      <c r="F16" s="292">
        <v>5</v>
      </c>
      <c r="G16" s="280">
        <v>1</v>
      </c>
      <c r="H16" s="292">
        <v>3000</v>
      </c>
      <c r="I16" s="267">
        <f t="shared" si="3"/>
        <v>15000</v>
      </c>
      <c r="K16" s="292"/>
      <c r="L16" s="263">
        <f>+'ANALISIS COSTOS INDIRECTOS'!L16</f>
        <v>12500</v>
      </c>
      <c r="N16" s="292">
        <v>1</v>
      </c>
      <c r="O16" s="262">
        <f>SUM('ANALISIS COSTOS INDIRECTOS'!N16)</f>
        <v>2500</v>
      </c>
      <c r="P16" s="289">
        <f t="shared" si="2"/>
        <v>10000</v>
      </c>
    </row>
    <row r="17" spans="2:16" s="2" customFormat="1" x14ac:dyDescent="0.25">
      <c r="B17" s="37">
        <v>2.0099999999999998</v>
      </c>
      <c r="C17" s="288" t="s">
        <v>244</v>
      </c>
      <c r="D17" s="37"/>
      <c r="E17" s="275"/>
      <c r="F17" s="288"/>
      <c r="G17" s="276"/>
      <c r="H17" s="288"/>
      <c r="I17" s="281"/>
      <c r="K17" s="288"/>
      <c r="L17" s="281"/>
      <c r="N17" s="288"/>
      <c r="O17" s="277"/>
      <c r="P17" s="288"/>
    </row>
    <row r="18" spans="2:16" x14ac:dyDescent="0.25">
      <c r="B18" s="294"/>
      <c r="C18" s="298" t="s">
        <v>245</v>
      </c>
      <c r="D18" s="294" t="s">
        <v>243</v>
      </c>
      <c r="E18" s="286">
        <v>1</v>
      </c>
      <c r="F18" s="291">
        <v>5</v>
      </c>
      <c r="G18" s="279">
        <v>1</v>
      </c>
      <c r="H18" s="291">
        <v>3500</v>
      </c>
      <c r="I18" s="263">
        <f t="shared" si="3"/>
        <v>17500</v>
      </c>
      <c r="K18" s="291"/>
      <c r="L18" s="263">
        <f>+'ANALISIS COSTOS INDIRECTOS'!L18</f>
        <v>21000</v>
      </c>
      <c r="N18" s="291">
        <v>1</v>
      </c>
      <c r="O18" s="262">
        <f>SUM('ANALISIS COSTOS INDIRECTOS'!N18)</f>
        <v>7000</v>
      </c>
      <c r="P18" s="289">
        <f t="shared" ref="P18:P21" si="4">L18-O18</f>
        <v>14000</v>
      </c>
    </row>
    <row r="19" spans="2:16" x14ac:dyDescent="0.25">
      <c r="B19" s="294"/>
      <c r="C19" s="298" t="s">
        <v>246</v>
      </c>
      <c r="D19" s="294" t="s">
        <v>243</v>
      </c>
      <c r="E19" s="286">
        <v>1</v>
      </c>
      <c r="F19" s="291">
        <v>5</v>
      </c>
      <c r="G19" s="279">
        <v>1</v>
      </c>
      <c r="H19" s="291">
        <v>1500</v>
      </c>
      <c r="I19" s="263">
        <f t="shared" si="3"/>
        <v>7500</v>
      </c>
      <c r="K19" s="291"/>
      <c r="L19" s="263">
        <f>+'ANALISIS COSTOS INDIRECTOS'!L19</f>
        <v>10800</v>
      </c>
      <c r="N19" s="291">
        <v>1</v>
      </c>
      <c r="O19" s="262">
        <f>SUM('ANALISIS COSTOS INDIRECTOS'!N19)</f>
        <v>3600</v>
      </c>
      <c r="P19" s="289">
        <f t="shared" si="4"/>
        <v>7200</v>
      </c>
    </row>
    <row r="20" spans="2:16" x14ac:dyDescent="0.25">
      <c r="B20" s="294"/>
      <c r="C20" s="298" t="s">
        <v>247</v>
      </c>
      <c r="D20" s="294" t="s">
        <v>243</v>
      </c>
      <c r="E20" s="286">
        <v>1</v>
      </c>
      <c r="F20" s="291">
        <v>5</v>
      </c>
      <c r="G20" s="279">
        <v>1</v>
      </c>
      <c r="H20" s="291">
        <v>1300</v>
      </c>
      <c r="I20" s="263">
        <f t="shared" si="3"/>
        <v>6500</v>
      </c>
      <c r="K20" s="291"/>
      <c r="L20" s="263">
        <f>+'ANALISIS COSTOS INDIRECTOS'!L20</f>
        <v>8100</v>
      </c>
      <c r="N20" s="291">
        <v>1</v>
      </c>
      <c r="O20" s="262">
        <f>SUM('ANALISIS COSTOS INDIRECTOS'!N20)</f>
        <v>2700</v>
      </c>
      <c r="P20" s="289">
        <f t="shared" si="4"/>
        <v>5400</v>
      </c>
    </row>
    <row r="21" spans="2:16" x14ac:dyDescent="0.25">
      <c r="B21" s="295"/>
      <c r="C21" s="299" t="s">
        <v>248</v>
      </c>
      <c r="D21" s="295" t="s">
        <v>243</v>
      </c>
      <c r="E21" s="287">
        <v>1</v>
      </c>
      <c r="F21" s="292">
        <v>5</v>
      </c>
      <c r="G21" s="280">
        <v>1</v>
      </c>
      <c r="H21" s="292">
        <v>2000</v>
      </c>
      <c r="I21" s="267">
        <f t="shared" si="3"/>
        <v>10000</v>
      </c>
      <c r="K21" s="292"/>
      <c r="L21" s="263">
        <f>+'ANALISIS COSTOS INDIRECTOS'!L21</f>
        <v>12600</v>
      </c>
      <c r="N21" s="292">
        <v>1</v>
      </c>
      <c r="O21" s="262">
        <f>SUM('ANALISIS COSTOS INDIRECTOS'!N21)</f>
        <v>4200</v>
      </c>
      <c r="P21" s="289">
        <f t="shared" si="4"/>
        <v>8400</v>
      </c>
    </row>
    <row r="22" spans="2:16" s="2" customFormat="1" x14ac:dyDescent="0.25">
      <c r="B22" s="37">
        <v>3.01</v>
      </c>
      <c r="C22" s="288" t="s">
        <v>249</v>
      </c>
      <c r="D22" s="37"/>
      <c r="E22" s="275"/>
      <c r="F22" s="288"/>
      <c r="G22" s="276"/>
      <c r="H22" s="307"/>
      <c r="I22" s="281"/>
      <c r="K22" s="307"/>
      <c r="L22" s="281"/>
      <c r="N22" s="288"/>
      <c r="O22" s="277"/>
      <c r="P22" s="288"/>
    </row>
    <row r="23" spans="2:16" x14ac:dyDescent="0.25">
      <c r="B23" s="294"/>
      <c r="C23" s="298" t="s">
        <v>250</v>
      </c>
      <c r="D23" s="294" t="s">
        <v>243</v>
      </c>
      <c r="E23" s="260"/>
      <c r="F23" s="291">
        <v>5</v>
      </c>
      <c r="G23" s="261"/>
      <c r="H23" s="291">
        <v>100</v>
      </c>
      <c r="I23" s="263">
        <f>+F23*H23</f>
        <v>500</v>
      </c>
      <c r="K23" s="291"/>
      <c r="L23" s="263">
        <f>+'ANALISIS COSTOS INDIRECTOS'!L23</f>
        <v>980</v>
      </c>
      <c r="N23" s="291">
        <v>1</v>
      </c>
      <c r="O23" s="262">
        <f>SUM('ANALISIS COSTOS INDIRECTOS'!N23)</f>
        <v>200</v>
      </c>
      <c r="P23" s="289">
        <f t="shared" ref="P23:P29" si="5">L23-O23</f>
        <v>780</v>
      </c>
    </row>
    <row r="24" spans="2:16" x14ac:dyDescent="0.25">
      <c r="B24" s="294"/>
      <c r="C24" s="298" t="s">
        <v>251</v>
      </c>
      <c r="D24" s="294" t="s">
        <v>257</v>
      </c>
      <c r="E24" s="260"/>
      <c r="F24" s="291">
        <v>1</v>
      </c>
      <c r="G24" s="261"/>
      <c r="H24" s="291">
        <v>250</v>
      </c>
      <c r="I24" s="263">
        <f t="shared" ref="I24:I29" si="6">+F24*H24</f>
        <v>250</v>
      </c>
      <c r="K24" s="291"/>
      <c r="L24" s="263">
        <f>+'ANALISIS COSTOS INDIRECTOS'!L24</f>
        <v>600</v>
      </c>
      <c r="N24" s="291">
        <v>0.2</v>
      </c>
      <c r="O24" s="262">
        <f>SUM('ANALISIS COSTOS INDIRECTOS'!N24)</f>
        <v>300</v>
      </c>
      <c r="P24" s="289">
        <f t="shared" si="5"/>
        <v>300</v>
      </c>
    </row>
    <row r="25" spans="2:16" x14ac:dyDescent="0.25">
      <c r="B25" s="294"/>
      <c r="C25" s="298" t="s">
        <v>252</v>
      </c>
      <c r="D25" s="294" t="s">
        <v>243</v>
      </c>
      <c r="E25" s="260"/>
      <c r="F25" s="291">
        <v>5</v>
      </c>
      <c r="G25" s="261"/>
      <c r="H25" s="291">
        <v>100</v>
      </c>
      <c r="I25" s="263">
        <f t="shared" si="6"/>
        <v>500</v>
      </c>
      <c r="K25" s="291"/>
      <c r="L25" s="263">
        <f>+'ANALISIS COSTOS INDIRECTOS'!L25</f>
        <v>615</v>
      </c>
      <c r="N25" s="291">
        <v>1</v>
      </c>
      <c r="O25" s="262">
        <f>SUM('ANALISIS COSTOS INDIRECTOS'!N25)</f>
        <v>120</v>
      </c>
      <c r="P25" s="289">
        <f t="shared" si="5"/>
        <v>495</v>
      </c>
    </row>
    <row r="26" spans="2:16" x14ac:dyDescent="0.25">
      <c r="B26" s="294"/>
      <c r="C26" s="298" t="s">
        <v>253</v>
      </c>
      <c r="D26" s="294" t="s">
        <v>243</v>
      </c>
      <c r="E26" s="260"/>
      <c r="F26" s="291">
        <v>5</v>
      </c>
      <c r="G26" s="261"/>
      <c r="H26" s="291">
        <v>500</v>
      </c>
      <c r="I26" s="263">
        <f t="shared" si="6"/>
        <v>2500</v>
      </c>
      <c r="K26" s="291"/>
      <c r="L26" s="263">
        <f>+'ANALISIS COSTOS INDIRECTOS'!L26</f>
        <v>3120</v>
      </c>
      <c r="N26" s="291">
        <v>1</v>
      </c>
      <c r="O26" s="262">
        <f>SUM('ANALISIS COSTOS INDIRECTOS'!N26)</f>
        <v>600</v>
      </c>
      <c r="P26" s="289">
        <f t="shared" si="5"/>
        <v>2520</v>
      </c>
    </row>
    <row r="27" spans="2:16" x14ac:dyDescent="0.25">
      <c r="B27" s="294"/>
      <c r="C27" s="298" t="s">
        <v>254</v>
      </c>
      <c r="D27" s="294" t="s">
        <v>257</v>
      </c>
      <c r="E27" s="260"/>
      <c r="F27" s="291">
        <v>1</v>
      </c>
      <c r="G27" s="261"/>
      <c r="H27" s="291">
        <v>900</v>
      </c>
      <c r="I27" s="263">
        <f t="shared" si="6"/>
        <v>900</v>
      </c>
      <c r="K27" s="291"/>
      <c r="L27" s="263">
        <f>+'ANALISIS COSTOS INDIRECTOS'!L27</f>
        <v>4620</v>
      </c>
      <c r="N27" s="291">
        <v>0.2</v>
      </c>
      <c r="O27" s="262">
        <f>SUM('ANALISIS COSTOS INDIRECTOS'!N27)</f>
        <v>850</v>
      </c>
      <c r="P27" s="289">
        <f t="shared" si="5"/>
        <v>3770</v>
      </c>
    </row>
    <row r="28" spans="2:16" x14ac:dyDescent="0.25">
      <c r="B28" s="294"/>
      <c r="C28" s="298" t="s">
        <v>255</v>
      </c>
      <c r="D28" s="294" t="s">
        <v>243</v>
      </c>
      <c r="E28" s="260"/>
      <c r="F28" s="291">
        <v>5</v>
      </c>
      <c r="G28" s="261"/>
      <c r="H28" s="291">
        <v>150</v>
      </c>
      <c r="I28" s="263">
        <f t="shared" si="6"/>
        <v>750</v>
      </c>
      <c r="K28" s="291"/>
      <c r="L28" s="263">
        <f>+'ANALISIS COSTOS INDIRECTOS'!L28</f>
        <v>560</v>
      </c>
      <c r="N28" s="291">
        <v>1</v>
      </c>
      <c r="O28" s="262">
        <f>SUM('ANALISIS COSTOS INDIRECTOS'!N28)</f>
        <v>100</v>
      </c>
      <c r="P28" s="289">
        <f t="shared" si="5"/>
        <v>460</v>
      </c>
    </row>
    <row r="29" spans="2:16" x14ac:dyDescent="0.25">
      <c r="B29" s="295"/>
      <c r="C29" s="299" t="s">
        <v>256</v>
      </c>
      <c r="D29" s="295" t="s">
        <v>257</v>
      </c>
      <c r="E29" s="264"/>
      <c r="F29" s="292">
        <v>1</v>
      </c>
      <c r="G29" s="265"/>
      <c r="H29" s="292">
        <v>1000</v>
      </c>
      <c r="I29" s="267">
        <f t="shared" si="6"/>
        <v>1000</v>
      </c>
      <c r="K29" s="292"/>
      <c r="L29" s="263">
        <f>+'ANALISIS COSTOS INDIRECTOS'!L29</f>
        <v>1000</v>
      </c>
      <c r="N29" s="292">
        <v>0</v>
      </c>
      <c r="O29" s="262">
        <f>SUM('ANALISIS COSTOS INDIRECTOS'!N29)</f>
        <v>0</v>
      </c>
      <c r="P29" s="289">
        <f t="shared" si="5"/>
        <v>1000</v>
      </c>
    </row>
    <row r="30" spans="2:16" s="2" customFormat="1" x14ac:dyDescent="0.25">
      <c r="B30" s="37">
        <v>4.01</v>
      </c>
      <c r="C30" s="288" t="s">
        <v>258</v>
      </c>
      <c r="D30" s="37"/>
      <c r="E30" s="275"/>
      <c r="F30" s="288"/>
      <c r="G30" s="276"/>
      <c r="H30" s="288"/>
      <c r="I30" s="281"/>
      <c r="K30" s="288"/>
      <c r="L30" s="281"/>
      <c r="N30" s="288"/>
      <c r="O30" s="277"/>
      <c r="P30" s="288"/>
    </row>
    <row r="31" spans="2:16" x14ac:dyDescent="0.25">
      <c r="B31" s="294"/>
      <c r="C31" s="298" t="s">
        <v>259</v>
      </c>
      <c r="D31" s="294"/>
      <c r="E31" s="260"/>
      <c r="F31" s="291">
        <v>5</v>
      </c>
      <c r="G31" s="282">
        <v>1.2999999999999999E-3</v>
      </c>
      <c r="H31" s="291">
        <v>192144.90400000001</v>
      </c>
      <c r="I31" s="283">
        <f>+F31*G31*H31</f>
        <v>1248.9418760000001</v>
      </c>
      <c r="K31" s="291"/>
      <c r="L31" s="263">
        <f>+'ANALISIS COSTOS INDIRECTOS'!L31</f>
        <v>2401.8113000000003</v>
      </c>
      <c r="N31" s="291">
        <v>1</v>
      </c>
      <c r="O31" s="262">
        <f>SUM('ANALISIS COSTOS INDIRECTOS'!N31)</f>
        <v>480.36226000000005</v>
      </c>
      <c r="P31" s="289">
        <f t="shared" ref="P31:P34" si="7">L31-O31</f>
        <v>1921.4490400000002</v>
      </c>
    </row>
    <row r="32" spans="2:16" x14ac:dyDescent="0.25">
      <c r="B32" s="294"/>
      <c r="C32" s="298" t="s">
        <v>260</v>
      </c>
      <c r="D32" s="294"/>
      <c r="E32" s="260"/>
      <c r="F32" s="291">
        <v>5</v>
      </c>
      <c r="G32" s="282">
        <v>1.2999999999999999E-3</v>
      </c>
      <c r="H32" s="291">
        <v>384289.80800000002</v>
      </c>
      <c r="I32" s="283">
        <f t="shared" ref="I32:I34" si="8">+F32*G32*H32</f>
        <v>2497.8837520000002</v>
      </c>
      <c r="K32" s="291"/>
      <c r="L32" s="263">
        <f>+'ANALISIS COSTOS INDIRECTOS'!L32</f>
        <v>4803.6226000000006</v>
      </c>
      <c r="N32" s="291">
        <v>1</v>
      </c>
      <c r="O32" s="262">
        <f>SUM('ANALISIS COSTOS INDIRECTOS'!N32)</f>
        <v>960.7245200000001</v>
      </c>
      <c r="P32" s="289">
        <f t="shared" si="7"/>
        <v>3842.8980800000004</v>
      </c>
    </row>
    <row r="33" spans="2:16" x14ac:dyDescent="0.25">
      <c r="B33" s="294"/>
      <c r="C33" s="298" t="s">
        <v>261</v>
      </c>
      <c r="D33" s="294"/>
      <c r="E33" s="260"/>
      <c r="F33" s="291">
        <v>5</v>
      </c>
      <c r="G33" s="282">
        <v>1.2999999999999999E-3</v>
      </c>
      <c r="H33" s="291">
        <v>96072.452000000005</v>
      </c>
      <c r="I33" s="283">
        <f t="shared" si="8"/>
        <v>624.47093800000005</v>
      </c>
      <c r="K33" s="291"/>
      <c r="L33" s="263">
        <f>+'ANALISIS COSTOS INDIRECTOS'!L33</f>
        <v>1200.9056500000002</v>
      </c>
      <c r="N33" s="291">
        <v>1</v>
      </c>
      <c r="O33" s="262">
        <f>SUM('ANALISIS COSTOS INDIRECTOS'!N33)</f>
        <v>240.18113000000002</v>
      </c>
      <c r="P33" s="289">
        <f t="shared" si="7"/>
        <v>960.7245200000001</v>
      </c>
    </row>
    <row r="34" spans="2:16" x14ac:dyDescent="0.25">
      <c r="B34" s="295"/>
      <c r="C34" s="299" t="s">
        <v>262</v>
      </c>
      <c r="D34" s="295"/>
      <c r="E34" s="264"/>
      <c r="F34" s="292">
        <v>5</v>
      </c>
      <c r="G34" s="284">
        <v>2E-3</v>
      </c>
      <c r="H34" s="292">
        <v>1152869.4240000001</v>
      </c>
      <c r="I34" s="285">
        <f t="shared" si="8"/>
        <v>11528.694240000001</v>
      </c>
      <c r="K34" s="292"/>
      <c r="L34" s="267">
        <f>+'ANALISIS COSTOS INDIRECTOS'!L34</f>
        <v>14410.8678</v>
      </c>
      <c r="N34" s="292">
        <v>1</v>
      </c>
      <c r="O34" s="266">
        <f>SUM('ANALISIS COSTOS INDIRECTOS'!N34)</f>
        <v>2882.1735600000002</v>
      </c>
      <c r="P34" s="290">
        <f t="shared" si="7"/>
        <v>11528.694240000001</v>
      </c>
    </row>
  </sheetData>
  <mergeCells count="5">
    <mergeCell ref="D3:I3"/>
    <mergeCell ref="B3:B4"/>
    <mergeCell ref="C3:C4"/>
    <mergeCell ref="N3:P3"/>
    <mergeCell ref="K3:L3"/>
  </mergeCells>
  <pageMargins left="0.7" right="0.7" top="0.75" bottom="0.75" header="0.3" footer="0.3"/>
  <pageSetup paperSize="9" orientation="portrait" copies="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A2BB-5085-4889-8227-A8E7761756AB}">
  <dimension ref="B1:R34"/>
  <sheetViews>
    <sheetView topLeftCell="D1" zoomScaleNormal="100" workbookViewId="0">
      <selection activeCell="M4" sqref="M4"/>
    </sheetView>
  </sheetViews>
  <sheetFormatPr baseColWidth="10" defaultRowHeight="15" x14ac:dyDescent="0.25"/>
  <cols>
    <col min="3" max="3" width="33.7109375" customWidth="1"/>
    <col min="4" max="4" width="11.42578125" style="249"/>
    <col min="7" max="7" width="18" style="249" customWidth="1"/>
    <col min="8" max="8" width="13.85546875" bestFit="1" customWidth="1"/>
    <col min="9" max="9" width="12.42578125" bestFit="1" customWidth="1"/>
    <col min="12" max="12" width="13.140625" bestFit="1" customWidth="1"/>
  </cols>
  <sheetData>
    <row r="1" spans="2:18" s="2" customFormat="1" x14ac:dyDescent="0.25">
      <c r="B1" s="2" t="s">
        <v>228</v>
      </c>
      <c r="D1" s="5"/>
      <c r="G1" s="5"/>
    </row>
    <row r="3" spans="2:18" x14ac:dyDescent="0.25">
      <c r="B3" s="447" t="s">
        <v>2</v>
      </c>
      <c r="C3" s="447" t="s">
        <v>15</v>
      </c>
      <c r="D3" s="447" t="s">
        <v>224</v>
      </c>
      <c r="E3" s="447"/>
      <c r="F3" s="447"/>
      <c r="G3" s="447"/>
      <c r="H3" s="447"/>
      <c r="I3" s="447"/>
      <c r="J3" s="251"/>
      <c r="K3" s="448" t="s">
        <v>271</v>
      </c>
      <c r="L3" s="449"/>
      <c r="M3" s="251"/>
      <c r="N3" s="447" t="s">
        <v>227</v>
      </c>
      <c r="O3" s="447"/>
      <c r="P3" s="447"/>
      <c r="Q3" s="447"/>
      <c r="R3" s="447"/>
    </row>
    <row r="4" spans="2:18" ht="30" customHeight="1" x14ac:dyDescent="0.25">
      <c r="B4" s="447"/>
      <c r="C4" s="447"/>
      <c r="D4" s="250" t="s">
        <v>61</v>
      </c>
      <c r="E4" s="100" t="s">
        <v>56</v>
      </c>
      <c r="F4" s="100" t="s">
        <v>222</v>
      </c>
      <c r="G4" s="250" t="s">
        <v>223</v>
      </c>
      <c r="H4" s="100" t="s">
        <v>220</v>
      </c>
      <c r="I4" s="100" t="s">
        <v>221</v>
      </c>
      <c r="J4" s="251"/>
      <c r="K4" s="250" t="s">
        <v>220</v>
      </c>
      <c r="L4" s="250" t="s">
        <v>221</v>
      </c>
      <c r="M4" s="251"/>
      <c r="N4" s="100" t="s">
        <v>417</v>
      </c>
      <c r="O4" s="100" t="s">
        <v>418</v>
      </c>
      <c r="P4" s="100" t="s">
        <v>419</v>
      </c>
      <c r="Q4" s="100" t="s">
        <v>420</v>
      </c>
      <c r="R4" s="100" t="s">
        <v>421</v>
      </c>
    </row>
    <row r="5" spans="2:18" x14ac:dyDescent="0.25">
      <c r="B5" s="250"/>
      <c r="C5" s="296" t="s">
        <v>236</v>
      </c>
      <c r="D5" s="250"/>
      <c r="E5" s="305"/>
      <c r="F5" s="305"/>
      <c r="G5" s="268"/>
      <c r="H5" s="305"/>
      <c r="I5" s="270">
        <f>SUM(I6:I9)</f>
        <v>3500</v>
      </c>
      <c r="K5" s="305"/>
      <c r="L5" s="270">
        <f>SUM(L6:L9)</f>
        <v>6400</v>
      </c>
      <c r="N5" s="105"/>
      <c r="O5" s="273"/>
      <c r="P5" s="105"/>
      <c r="Q5" s="273"/>
      <c r="R5" s="105"/>
    </row>
    <row r="6" spans="2:18" x14ac:dyDescent="0.25">
      <c r="B6" s="293">
        <v>1</v>
      </c>
      <c r="C6" s="297" t="s">
        <v>229</v>
      </c>
      <c r="D6" s="86"/>
      <c r="E6" s="306"/>
      <c r="F6" s="306"/>
      <c r="G6" s="300"/>
      <c r="H6" s="306"/>
      <c r="I6" s="259"/>
      <c r="K6" s="307"/>
      <c r="L6" s="278"/>
      <c r="N6" s="310"/>
      <c r="O6" s="311"/>
      <c r="P6" s="310"/>
      <c r="Q6" s="311"/>
      <c r="R6" s="310"/>
    </row>
    <row r="7" spans="2:18" x14ac:dyDescent="0.25">
      <c r="B7" s="294" t="s">
        <v>230</v>
      </c>
      <c r="C7" s="298" t="s">
        <v>231</v>
      </c>
      <c r="D7" s="294" t="s">
        <v>234</v>
      </c>
      <c r="E7" s="291">
        <v>2</v>
      </c>
      <c r="F7" s="291"/>
      <c r="G7" s="301"/>
      <c r="H7" s="291">
        <v>750</v>
      </c>
      <c r="I7" s="263">
        <f>E7*H7</f>
        <v>1500</v>
      </c>
      <c r="K7" s="291"/>
      <c r="L7" s="263">
        <f>SUM(N7:R7)</f>
        <v>1600</v>
      </c>
      <c r="N7" s="291">
        <v>800</v>
      </c>
      <c r="O7" s="262">
        <v>800</v>
      </c>
      <c r="P7" s="291"/>
      <c r="Q7" s="262"/>
      <c r="R7" s="291"/>
    </row>
    <row r="8" spans="2:18" x14ac:dyDescent="0.25">
      <c r="B8" s="294"/>
      <c r="C8" s="298" t="s">
        <v>232</v>
      </c>
      <c r="D8" s="294" t="s">
        <v>200</v>
      </c>
      <c r="E8" s="291">
        <v>2</v>
      </c>
      <c r="F8" s="291"/>
      <c r="G8" s="301"/>
      <c r="H8" s="291">
        <v>500</v>
      </c>
      <c r="I8" s="263">
        <f t="shared" ref="I8:I9" si="0">E8*H8</f>
        <v>1000</v>
      </c>
      <c r="K8" s="291"/>
      <c r="L8" s="263">
        <f t="shared" ref="L8:L9" si="1">SUM(N8:R8)</f>
        <v>2400</v>
      </c>
      <c r="N8" s="291"/>
      <c r="O8" s="262">
        <v>600</v>
      </c>
      <c r="P8" s="291">
        <v>600</v>
      </c>
      <c r="Q8" s="262">
        <v>600</v>
      </c>
      <c r="R8" s="291">
        <v>600</v>
      </c>
    </row>
    <row r="9" spans="2:18" x14ac:dyDescent="0.25">
      <c r="B9" s="295"/>
      <c r="C9" s="299" t="s">
        <v>233</v>
      </c>
      <c r="D9" s="295" t="s">
        <v>235</v>
      </c>
      <c r="E9" s="292">
        <v>2</v>
      </c>
      <c r="F9" s="292"/>
      <c r="G9" s="302"/>
      <c r="H9" s="292">
        <v>500</v>
      </c>
      <c r="I9" s="267">
        <f t="shared" si="0"/>
        <v>1000</v>
      </c>
      <c r="K9" s="292"/>
      <c r="L9" s="267">
        <f t="shared" si="1"/>
        <v>2400</v>
      </c>
      <c r="N9" s="292"/>
      <c r="O9" s="266">
        <v>600</v>
      </c>
      <c r="P9" s="292">
        <v>600</v>
      </c>
      <c r="Q9" s="266">
        <v>600</v>
      </c>
      <c r="R9" s="292">
        <v>600</v>
      </c>
    </row>
    <row r="10" spans="2:18" x14ac:dyDescent="0.25">
      <c r="B10" s="249"/>
      <c r="E10" s="247"/>
      <c r="F10" s="247"/>
      <c r="H10" s="247"/>
      <c r="I10" s="247"/>
      <c r="K10" s="247"/>
      <c r="L10" s="247"/>
      <c r="N10" s="247"/>
      <c r="O10" s="247"/>
      <c r="P10" s="247"/>
      <c r="Q10" s="247"/>
      <c r="R10" s="247"/>
    </row>
    <row r="11" spans="2:18" x14ac:dyDescent="0.25">
      <c r="B11" s="102"/>
      <c r="C11" s="271" t="s">
        <v>237</v>
      </c>
      <c r="D11" s="102"/>
      <c r="E11" s="273"/>
      <c r="F11" s="105"/>
      <c r="G11" s="303"/>
      <c r="H11" s="105"/>
      <c r="I11" s="274">
        <f>SUM(I12:I34)</f>
        <v>160049.99080600002</v>
      </c>
      <c r="K11" s="105"/>
      <c r="L11" s="274">
        <f>SUM(L12:L34)</f>
        <v>231312.20735000001</v>
      </c>
      <c r="N11" s="105"/>
      <c r="O11" s="273"/>
      <c r="P11" s="105"/>
      <c r="Q11" s="273"/>
      <c r="R11" s="105"/>
    </row>
    <row r="12" spans="2:18" x14ac:dyDescent="0.25">
      <c r="B12" s="37">
        <v>1.01</v>
      </c>
      <c r="C12" s="276" t="s">
        <v>238</v>
      </c>
      <c r="D12" s="37"/>
      <c r="E12" s="277"/>
      <c r="F12" s="307"/>
      <c r="G12" s="304"/>
      <c r="H12" s="307"/>
      <c r="I12" s="278"/>
      <c r="K12" s="307"/>
      <c r="L12" s="278"/>
      <c r="N12" s="310"/>
      <c r="O12" s="311"/>
      <c r="P12" s="310"/>
      <c r="Q12" s="311"/>
      <c r="R12" s="310"/>
    </row>
    <row r="13" spans="2:18" x14ac:dyDescent="0.25">
      <c r="B13" s="294"/>
      <c r="C13" s="261" t="s">
        <v>239</v>
      </c>
      <c r="D13" s="294" t="s">
        <v>243</v>
      </c>
      <c r="E13" s="262">
        <v>1</v>
      </c>
      <c r="F13" s="291">
        <v>5</v>
      </c>
      <c r="G13" s="279">
        <v>1</v>
      </c>
      <c r="H13" s="291">
        <v>10000</v>
      </c>
      <c r="I13" s="263">
        <f>+E13*F13*G13*H13</f>
        <v>50000</v>
      </c>
      <c r="K13" s="291"/>
      <c r="L13" s="263">
        <f t="shared" ref="L13:L16" si="2">SUM(N13:R13)</f>
        <v>81000</v>
      </c>
      <c r="N13" s="291">
        <f>13500*2</f>
        <v>27000</v>
      </c>
      <c r="O13" s="262">
        <v>13500</v>
      </c>
      <c r="P13" s="291">
        <v>13500</v>
      </c>
      <c r="Q13" s="262">
        <v>13500</v>
      </c>
      <c r="R13" s="291">
        <v>13500</v>
      </c>
    </row>
    <row r="14" spans="2:18" x14ac:dyDescent="0.25">
      <c r="B14" s="294"/>
      <c r="C14" s="261" t="s">
        <v>240</v>
      </c>
      <c r="D14" s="294" t="s">
        <v>243</v>
      </c>
      <c r="E14" s="262">
        <v>1</v>
      </c>
      <c r="F14" s="291">
        <v>5</v>
      </c>
      <c r="G14" s="279">
        <v>0.5</v>
      </c>
      <c r="H14" s="291">
        <v>4500</v>
      </c>
      <c r="I14" s="263">
        <f t="shared" ref="I14:I21" si="3">+E14*F14*G14*H14</f>
        <v>11250</v>
      </c>
      <c r="K14" s="291"/>
      <c r="L14" s="263">
        <f t="shared" si="2"/>
        <v>25800</v>
      </c>
      <c r="N14" s="291">
        <f>4300*2</f>
        <v>8600</v>
      </c>
      <c r="O14" s="262">
        <v>4300</v>
      </c>
      <c r="P14" s="291">
        <v>4300</v>
      </c>
      <c r="Q14" s="262">
        <v>4300</v>
      </c>
      <c r="R14" s="291">
        <v>4300</v>
      </c>
    </row>
    <row r="15" spans="2:18" x14ac:dyDescent="0.25">
      <c r="B15" s="294"/>
      <c r="C15" s="261" t="s">
        <v>241</v>
      </c>
      <c r="D15" s="294" t="s">
        <v>243</v>
      </c>
      <c r="E15" s="262">
        <v>1</v>
      </c>
      <c r="F15" s="291">
        <v>5</v>
      </c>
      <c r="G15" s="279">
        <v>1</v>
      </c>
      <c r="H15" s="291">
        <v>4000</v>
      </c>
      <c r="I15" s="263">
        <f t="shared" si="3"/>
        <v>20000</v>
      </c>
      <c r="K15" s="291"/>
      <c r="L15" s="263">
        <f t="shared" si="2"/>
        <v>25200</v>
      </c>
      <c r="N15" s="291">
        <f>4200*2</f>
        <v>8400</v>
      </c>
      <c r="O15" s="262">
        <v>4200</v>
      </c>
      <c r="P15" s="291">
        <v>4200</v>
      </c>
      <c r="Q15" s="262">
        <v>4200</v>
      </c>
      <c r="R15" s="291">
        <v>4200</v>
      </c>
    </row>
    <row r="16" spans="2:18" x14ac:dyDescent="0.25">
      <c r="B16" s="295"/>
      <c r="C16" s="265" t="s">
        <v>242</v>
      </c>
      <c r="D16" s="295" t="s">
        <v>243</v>
      </c>
      <c r="E16" s="266">
        <v>1</v>
      </c>
      <c r="F16" s="292">
        <v>5</v>
      </c>
      <c r="G16" s="280">
        <v>1</v>
      </c>
      <c r="H16" s="292">
        <v>3000</v>
      </c>
      <c r="I16" s="267">
        <f t="shared" si="3"/>
        <v>15000</v>
      </c>
      <c r="K16" s="292"/>
      <c r="L16" s="263">
        <f t="shared" si="2"/>
        <v>12500</v>
      </c>
      <c r="N16" s="292">
        <v>2500</v>
      </c>
      <c r="O16" s="266">
        <v>2500</v>
      </c>
      <c r="P16" s="292">
        <v>2500</v>
      </c>
      <c r="Q16" s="266">
        <v>2500</v>
      </c>
      <c r="R16" s="292">
        <v>2500</v>
      </c>
    </row>
    <row r="17" spans="2:18" x14ac:dyDescent="0.25">
      <c r="B17" s="37">
        <v>2.0099999999999998</v>
      </c>
      <c r="C17" s="276" t="s">
        <v>244</v>
      </c>
      <c r="D17" s="37"/>
      <c r="E17" s="276"/>
      <c r="F17" s="288"/>
      <c r="G17" s="304"/>
      <c r="H17" s="288"/>
      <c r="I17" s="281"/>
      <c r="K17" s="288"/>
      <c r="L17" s="281"/>
      <c r="N17" s="310"/>
      <c r="O17" s="311"/>
      <c r="P17" s="310"/>
      <c r="Q17" s="311"/>
      <c r="R17" s="310"/>
    </row>
    <row r="18" spans="2:18" x14ac:dyDescent="0.25">
      <c r="B18" s="294"/>
      <c r="C18" s="261" t="s">
        <v>245</v>
      </c>
      <c r="D18" s="294" t="s">
        <v>243</v>
      </c>
      <c r="E18" s="262">
        <v>1</v>
      </c>
      <c r="F18" s="291">
        <v>5</v>
      </c>
      <c r="G18" s="279">
        <v>1</v>
      </c>
      <c r="H18" s="291">
        <v>3500</v>
      </c>
      <c r="I18" s="263">
        <f t="shared" si="3"/>
        <v>17500</v>
      </c>
      <c r="K18" s="291"/>
      <c r="L18" s="263">
        <f t="shared" ref="L18:L21" si="4">SUM(N18:R18)</f>
        <v>21000</v>
      </c>
      <c r="N18" s="291">
        <f>3500*2</f>
        <v>7000</v>
      </c>
      <c r="O18" s="262">
        <v>3500</v>
      </c>
      <c r="P18" s="291">
        <v>3500</v>
      </c>
      <c r="Q18" s="262">
        <v>3500</v>
      </c>
      <c r="R18" s="291">
        <v>3500</v>
      </c>
    </row>
    <row r="19" spans="2:18" x14ac:dyDescent="0.25">
      <c r="B19" s="294"/>
      <c r="C19" s="261" t="s">
        <v>246</v>
      </c>
      <c r="D19" s="294" t="s">
        <v>243</v>
      </c>
      <c r="E19" s="262">
        <v>1</v>
      </c>
      <c r="F19" s="291">
        <v>5</v>
      </c>
      <c r="G19" s="279">
        <v>1</v>
      </c>
      <c r="H19" s="291">
        <v>1500</v>
      </c>
      <c r="I19" s="263">
        <f t="shared" si="3"/>
        <v>7500</v>
      </c>
      <c r="K19" s="291"/>
      <c r="L19" s="263">
        <f t="shared" si="4"/>
        <v>10800</v>
      </c>
      <c r="N19" s="291">
        <f>1800*2</f>
        <v>3600</v>
      </c>
      <c r="O19" s="262">
        <v>1800</v>
      </c>
      <c r="P19" s="291">
        <v>1800</v>
      </c>
      <c r="Q19" s="262">
        <v>1800</v>
      </c>
      <c r="R19" s="291">
        <v>1800</v>
      </c>
    </row>
    <row r="20" spans="2:18" x14ac:dyDescent="0.25">
      <c r="B20" s="294"/>
      <c r="C20" s="261" t="s">
        <v>247</v>
      </c>
      <c r="D20" s="294" t="s">
        <v>243</v>
      </c>
      <c r="E20" s="262">
        <v>1</v>
      </c>
      <c r="F20" s="291">
        <v>5</v>
      </c>
      <c r="G20" s="279">
        <v>1</v>
      </c>
      <c r="H20" s="291">
        <v>1300</v>
      </c>
      <c r="I20" s="263">
        <f t="shared" si="3"/>
        <v>6500</v>
      </c>
      <c r="K20" s="291"/>
      <c r="L20" s="263">
        <f t="shared" si="4"/>
        <v>8100</v>
      </c>
      <c r="N20" s="291">
        <f>1350*2</f>
        <v>2700</v>
      </c>
      <c r="O20" s="262">
        <v>1350</v>
      </c>
      <c r="P20" s="291">
        <v>1350</v>
      </c>
      <c r="Q20" s="262">
        <v>1350</v>
      </c>
      <c r="R20" s="291">
        <v>1350</v>
      </c>
    </row>
    <row r="21" spans="2:18" x14ac:dyDescent="0.25">
      <c r="B21" s="295"/>
      <c r="C21" s="265" t="s">
        <v>248</v>
      </c>
      <c r="D21" s="295" t="s">
        <v>243</v>
      </c>
      <c r="E21" s="266">
        <v>1</v>
      </c>
      <c r="F21" s="292">
        <v>5</v>
      </c>
      <c r="G21" s="280">
        <v>1</v>
      </c>
      <c r="H21" s="292">
        <v>2000</v>
      </c>
      <c r="I21" s="267">
        <f t="shared" si="3"/>
        <v>10000</v>
      </c>
      <c r="K21" s="292"/>
      <c r="L21" s="263">
        <f t="shared" si="4"/>
        <v>12600</v>
      </c>
      <c r="N21" s="292">
        <f>2100*2</f>
        <v>4200</v>
      </c>
      <c r="O21" s="266">
        <v>2100</v>
      </c>
      <c r="P21" s="292">
        <v>2100</v>
      </c>
      <c r="Q21" s="266">
        <v>2100</v>
      </c>
      <c r="R21" s="292">
        <v>2100</v>
      </c>
    </row>
    <row r="22" spans="2:18" x14ac:dyDescent="0.25">
      <c r="B22" s="37">
        <v>3.01</v>
      </c>
      <c r="C22" s="276" t="s">
        <v>249</v>
      </c>
      <c r="D22" s="37"/>
      <c r="E22" s="276"/>
      <c r="F22" s="288"/>
      <c r="G22" s="304"/>
      <c r="H22" s="288"/>
      <c r="I22" s="281"/>
      <c r="K22" s="288"/>
      <c r="L22" s="281"/>
      <c r="N22" s="310"/>
      <c r="O22" s="311"/>
      <c r="P22" s="310"/>
      <c r="Q22" s="311"/>
      <c r="R22" s="310"/>
    </row>
    <row r="23" spans="2:18" x14ac:dyDescent="0.25">
      <c r="B23" s="294"/>
      <c r="C23" s="261" t="s">
        <v>250</v>
      </c>
      <c r="D23" s="294" t="s">
        <v>243</v>
      </c>
      <c r="E23" s="261"/>
      <c r="F23" s="291">
        <v>5</v>
      </c>
      <c r="G23" s="301"/>
      <c r="H23" s="291">
        <v>100</v>
      </c>
      <c r="I23" s="263">
        <f>+F23*H23</f>
        <v>500</v>
      </c>
      <c r="K23" s="291"/>
      <c r="L23" s="263">
        <f t="shared" ref="L23:L34" si="5">SUM(N23:R23)</f>
        <v>980</v>
      </c>
      <c r="N23" s="291">
        <v>200</v>
      </c>
      <c r="O23" s="262">
        <v>200</v>
      </c>
      <c r="P23" s="291">
        <v>210</v>
      </c>
      <c r="Q23" s="262">
        <v>180</v>
      </c>
      <c r="R23" s="291">
        <v>190</v>
      </c>
    </row>
    <row r="24" spans="2:18" x14ac:dyDescent="0.25">
      <c r="B24" s="294"/>
      <c r="C24" s="261" t="s">
        <v>251</v>
      </c>
      <c r="D24" s="294" t="s">
        <v>257</v>
      </c>
      <c r="E24" s="261"/>
      <c r="F24" s="291">
        <v>1</v>
      </c>
      <c r="G24" s="301"/>
      <c r="H24" s="291">
        <v>250</v>
      </c>
      <c r="I24" s="263">
        <f t="shared" ref="I24:I29" si="6">+F24*H24</f>
        <v>250</v>
      </c>
      <c r="K24" s="291"/>
      <c r="L24" s="263">
        <f t="shared" si="5"/>
        <v>600</v>
      </c>
      <c r="N24" s="291">
        <v>300</v>
      </c>
      <c r="O24" s="262"/>
      <c r="P24" s="291">
        <v>300</v>
      </c>
      <c r="Q24" s="262"/>
      <c r="R24" s="291"/>
    </row>
    <row r="25" spans="2:18" x14ac:dyDescent="0.25">
      <c r="B25" s="294"/>
      <c r="C25" s="261" t="s">
        <v>252</v>
      </c>
      <c r="D25" s="294" t="s">
        <v>243</v>
      </c>
      <c r="E25" s="261"/>
      <c r="F25" s="291">
        <v>5</v>
      </c>
      <c r="G25" s="301"/>
      <c r="H25" s="291">
        <v>100</v>
      </c>
      <c r="I25" s="263">
        <f t="shared" si="6"/>
        <v>500</v>
      </c>
      <c r="K25" s="291"/>
      <c r="L25" s="263">
        <f t="shared" si="5"/>
        <v>615</v>
      </c>
      <c r="N25" s="291">
        <v>120</v>
      </c>
      <c r="O25" s="262">
        <v>120</v>
      </c>
      <c r="P25" s="291">
        <v>120</v>
      </c>
      <c r="Q25" s="262">
        <v>125</v>
      </c>
      <c r="R25" s="291">
        <v>130</v>
      </c>
    </row>
    <row r="26" spans="2:18" x14ac:dyDescent="0.25">
      <c r="B26" s="294"/>
      <c r="C26" s="261" t="s">
        <v>253</v>
      </c>
      <c r="D26" s="294" t="s">
        <v>243</v>
      </c>
      <c r="E26" s="261"/>
      <c r="F26" s="291">
        <v>5</v>
      </c>
      <c r="G26" s="301"/>
      <c r="H26" s="291">
        <v>500</v>
      </c>
      <c r="I26" s="263">
        <f t="shared" si="6"/>
        <v>2500</v>
      </c>
      <c r="K26" s="291"/>
      <c r="L26" s="263">
        <f t="shared" si="5"/>
        <v>3120</v>
      </c>
      <c r="N26" s="291">
        <v>600</v>
      </c>
      <c r="O26" s="262">
        <v>600</v>
      </c>
      <c r="P26" s="291">
        <v>650</v>
      </c>
      <c r="Q26" s="262">
        <v>650</v>
      </c>
      <c r="R26" s="291">
        <v>620</v>
      </c>
    </row>
    <row r="27" spans="2:18" x14ac:dyDescent="0.25">
      <c r="B27" s="294"/>
      <c r="C27" s="261" t="s">
        <v>254</v>
      </c>
      <c r="D27" s="294" t="s">
        <v>257</v>
      </c>
      <c r="E27" s="261"/>
      <c r="F27" s="291">
        <v>1</v>
      </c>
      <c r="G27" s="301"/>
      <c r="H27" s="291">
        <v>900</v>
      </c>
      <c r="I27" s="263">
        <f t="shared" si="6"/>
        <v>900</v>
      </c>
      <c r="K27" s="291"/>
      <c r="L27" s="263">
        <f t="shared" si="5"/>
        <v>4620</v>
      </c>
      <c r="N27" s="291">
        <v>850</v>
      </c>
      <c r="O27" s="262">
        <v>920</v>
      </c>
      <c r="P27" s="291">
        <v>970</v>
      </c>
      <c r="Q27" s="262">
        <v>930</v>
      </c>
      <c r="R27" s="291">
        <v>950</v>
      </c>
    </row>
    <row r="28" spans="2:18" x14ac:dyDescent="0.25">
      <c r="B28" s="294"/>
      <c r="C28" s="261" t="s">
        <v>255</v>
      </c>
      <c r="D28" s="294" t="s">
        <v>243</v>
      </c>
      <c r="E28" s="261"/>
      <c r="F28" s="291">
        <v>5</v>
      </c>
      <c r="G28" s="301"/>
      <c r="H28" s="291">
        <v>150</v>
      </c>
      <c r="I28" s="263">
        <f t="shared" si="6"/>
        <v>750</v>
      </c>
      <c r="K28" s="291"/>
      <c r="L28" s="263">
        <f t="shared" si="5"/>
        <v>560</v>
      </c>
      <c r="N28" s="291">
        <v>100</v>
      </c>
      <c r="O28" s="262">
        <v>105</v>
      </c>
      <c r="P28" s="291">
        <v>120</v>
      </c>
      <c r="Q28" s="262">
        <v>125</v>
      </c>
      <c r="R28" s="291">
        <v>110</v>
      </c>
    </row>
    <row r="29" spans="2:18" x14ac:dyDescent="0.25">
      <c r="B29" s="295"/>
      <c r="C29" s="265" t="s">
        <v>256</v>
      </c>
      <c r="D29" s="295" t="s">
        <v>257</v>
      </c>
      <c r="E29" s="265"/>
      <c r="F29" s="292">
        <v>1</v>
      </c>
      <c r="G29" s="302"/>
      <c r="H29" s="292">
        <v>1000</v>
      </c>
      <c r="I29" s="267">
        <f t="shared" si="6"/>
        <v>1000</v>
      </c>
      <c r="K29" s="292"/>
      <c r="L29" s="263">
        <f t="shared" si="5"/>
        <v>1000</v>
      </c>
      <c r="N29" s="292"/>
      <c r="O29" s="266"/>
      <c r="P29" s="292"/>
      <c r="Q29" s="266"/>
      <c r="R29" s="292">
        <v>1000</v>
      </c>
    </row>
    <row r="30" spans="2:18" x14ac:dyDescent="0.25">
      <c r="B30" s="37">
        <v>4.01</v>
      </c>
      <c r="C30" s="276" t="s">
        <v>258</v>
      </c>
      <c r="D30" s="37"/>
      <c r="E30" s="276"/>
      <c r="F30" s="288"/>
      <c r="G30" s="304"/>
      <c r="H30" s="288"/>
      <c r="I30" s="281"/>
      <c r="K30" s="288"/>
      <c r="L30" s="281"/>
      <c r="N30" s="310"/>
      <c r="O30" s="311"/>
      <c r="P30" s="310"/>
      <c r="Q30" s="311"/>
      <c r="R30" s="310"/>
    </row>
    <row r="31" spans="2:18" x14ac:dyDescent="0.25">
      <c r="B31" s="294"/>
      <c r="C31" s="261" t="s">
        <v>259</v>
      </c>
      <c r="D31" s="294"/>
      <c r="E31" s="261"/>
      <c r="F31" s="291">
        <v>5</v>
      </c>
      <c r="G31" s="312">
        <v>1.2999999999999999E-3</v>
      </c>
      <c r="H31" s="291">
        <v>192144.90400000001</v>
      </c>
      <c r="I31" s="283">
        <f>+F31*G31*H31</f>
        <v>1248.9418760000001</v>
      </c>
      <c r="K31" s="291"/>
      <c r="L31" s="263">
        <f t="shared" si="5"/>
        <v>2401.8113000000003</v>
      </c>
      <c r="N31" s="291">
        <f>+H31*0.25%</f>
        <v>480.36226000000005</v>
      </c>
      <c r="O31" s="262">
        <f>+H31*0.25%</f>
        <v>480.36226000000005</v>
      </c>
      <c r="P31" s="291">
        <f>+H31*0.25%</f>
        <v>480.36226000000005</v>
      </c>
      <c r="Q31" s="262">
        <f>+H31*0.25%</f>
        <v>480.36226000000005</v>
      </c>
      <c r="R31" s="291">
        <f>+H31*0.25%</f>
        <v>480.36226000000005</v>
      </c>
    </row>
    <row r="32" spans="2:18" x14ac:dyDescent="0.25">
      <c r="B32" s="294"/>
      <c r="C32" s="261" t="s">
        <v>260</v>
      </c>
      <c r="D32" s="294"/>
      <c r="E32" s="261"/>
      <c r="F32" s="291">
        <v>5</v>
      </c>
      <c r="G32" s="312">
        <v>1.2999999999999999E-3</v>
      </c>
      <c r="H32" s="291">
        <v>384289.80800000002</v>
      </c>
      <c r="I32" s="283">
        <f t="shared" ref="I32:I34" si="7">+F32*G32*H32</f>
        <v>2497.8837520000002</v>
      </c>
      <c r="K32" s="291"/>
      <c r="L32" s="263">
        <f t="shared" si="5"/>
        <v>4803.6226000000006</v>
      </c>
      <c r="N32" s="291">
        <f t="shared" ref="N32:N34" si="8">+H32*0.25%</f>
        <v>960.7245200000001</v>
      </c>
      <c r="O32" s="262">
        <f t="shared" ref="O32:O34" si="9">+H32*0.25%</f>
        <v>960.7245200000001</v>
      </c>
      <c r="P32" s="291">
        <f t="shared" ref="P32:P34" si="10">+H32*0.25%</f>
        <v>960.7245200000001</v>
      </c>
      <c r="Q32" s="262">
        <f t="shared" ref="Q32:Q34" si="11">+H32*0.25%</f>
        <v>960.7245200000001</v>
      </c>
      <c r="R32" s="291">
        <f t="shared" ref="R32:R34" si="12">+H32*0.25%</f>
        <v>960.7245200000001</v>
      </c>
    </row>
    <row r="33" spans="2:18" x14ac:dyDescent="0.25">
      <c r="B33" s="294"/>
      <c r="C33" s="261" t="s">
        <v>261</v>
      </c>
      <c r="D33" s="294"/>
      <c r="E33" s="261"/>
      <c r="F33" s="291">
        <v>5</v>
      </c>
      <c r="G33" s="312">
        <v>1.2999999999999999E-3</v>
      </c>
      <c r="H33" s="291">
        <v>96072.452000000005</v>
      </c>
      <c r="I33" s="283">
        <f t="shared" si="7"/>
        <v>624.47093800000005</v>
      </c>
      <c r="K33" s="291"/>
      <c r="L33" s="263">
        <f t="shared" si="5"/>
        <v>1200.9056500000002</v>
      </c>
      <c r="N33" s="291">
        <f t="shared" si="8"/>
        <v>240.18113000000002</v>
      </c>
      <c r="O33" s="262">
        <f t="shared" si="9"/>
        <v>240.18113000000002</v>
      </c>
      <c r="P33" s="291">
        <f t="shared" si="10"/>
        <v>240.18113000000002</v>
      </c>
      <c r="Q33" s="262">
        <f t="shared" si="11"/>
        <v>240.18113000000002</v>
      </c>
      <c r="R33" s="291">
        <f t="shared" si="12"/>
        <v>240.18113000000002</v>
      </c>
    </row>
    <row r="34" spans="2:18" x14ac:dyDescent="0.25">
      <c r="B34" s="295"/>
      <c r="C34" s="265" t="s">
        <v>262</v>
      </c>
      <c r="D34" s="295"/>
      <c r="E34" s="265"/>
      <c r="F34" s="292">
        <v>5</v>
      </c>
      <c r="G34" s="313">
        <v>2E-3</v>
      </c>
      <c r="H34" s="292">
        <v>1152869.4240000001</v>
      </c>
      <c r="I34" s="285">
        <f t="shared" si="7"/>
        <v>11528.694240000001</v>
      </c>
      <c r="K34" s="292"/>
      <c r="L34" s="267">
        <f t="shared" si="5"/>
        <v>14410.8678</v>
      </c>
      <c r="N34" s="292">
        <f t="shared" si="8"/>
        <v>2882.1735600000002</v>
      </c>
      <c r="O34" s="266">
        <f t="shared" si="9"/>
        <v>2882.1735600000002</v>
      </c>
      <c r="P34" s="292">
        <f t="shared" si="10"/>
        <v>2882.1735600000002</v>
      </c>
      <c r="Q34" s="266">
        <f t="shared" si="11"/>
        <v>2882.1735600000002</v>
      </c>
      <c r="R34" s="292">
        <f t="shared" si="12"/>
        <v>2882.1735600000002</v>
      </c>
    </row>
  </sheetData>
  <mergeCells count="5">
    <mergeCell ref="B3:B4"/>
    <mergeCell ref="C3:C4"/>
    <mergeCell ref="D3:I3"/>
    <mergeCell ref="N3:R3"/>
    <mergeCell ref="K3:L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zoomScale="115" zoomScaleNormal="115" workbookViewId="0">
      <selection activeCell="C7" sqref="C7"/>
    </sheetView>
  </sheetViews>
  <sheetFormatPr baseColWidth="10" defaultRowHeight="15" x14ac:dyDescent="0.25"/>
  <cols>
    <col min="1" max="1" width="11.42578125" style="1"/>
    <col min="2" max="2" width="39.42578125" customWidth="1"/>
    <col min="3" max="3" width="17" customWidth="1"/>
    <col min="5" max="5" width="18.140625" customWidth="1"/>
    <col min="6" max="6" width="16.42578125" customWidth="1"/>
    <col min="8" max="8" width="18.28515625" customWidth="1"/>
  </cols>
  <sheetData>
    <row r="1" spans="1:8" x14ac:dyDescent="0.25">
      <c r="A1" s="48" t="s">
        <v>4</v>
      </c>
    </row>
    <row r="3" spans="1:8" x14ac:dyDescent="0.25">
      <c r="A3" s="5" t="s">
        <v>16</v>
      </c>
      <c r="B3" s="2" t="s">
        <v>69</v>
      </c>
    </row>
    <row r="4" spans="1:8" x14ac:dyDescent="0.25">
      <c r="A4" s="4"/>
      <c r="B4" s="4"/>
      <c r="C4" s="442" t="s">
        <v>68</v>
      </c>
      <c r="D4" s="442"/>
      <c r="E4" s="442"/>
      <c r="F4" s="442" t="s">
        <v>42</v>
      </c>
      <c r="G4" s="442"/>
      <c r="H4" s="442"/>
    </row>
    <row r="5" spans="1:8" ht="30" x14ac:dyDescent="0.25">
      <c r="A5" s="65" t="s">
        <v>41</v>
      </c>
      <c r="B5" s="65" t="s">
        <v>40</v>
      </c>
      <c r="C5" s="65" t="s">
        <v>29</v>
      </c>
      <c r="D5" s="65" t="s">
        <v>30</v>
      </c>
      <c r="E5" s="65" t="s">
        <v>31</v>
      </c>
      <c r="F5" s="65" t="s">
        <v>32</v>
      </c>
      <c r="G5" s="65" t="s">
        <v>30</v>
      </c>
      <c r="H5" s="87" t="s">
        <v>33</v>
      </c>
    </row>
    <row r="6" spans="1:8" s="2" customFormat="1" x14ac:dyDescent="0.25">
      <c r="A6" s="25"/>
      <c r="B6" s="21" t="s">
        <v>201</v>
      </c>
      <c r="C6" s="162"/>
      <c r="D6" s="155"/>
      <c r="E6" s="162"/>
      <c r="F6" s="162"/>
      <c r="G6" s="155"/>
      <c r="H6" s="162"/>
    </row>
    <row r="7" spans="1:8" x14ac:dyDescent="0.25">
      <c r="A7" s="26">
        <v>100</v>
      </c>
      <c r="B7" s="23" t="s">
        <v>202</v>
      </c>
      <c r="C7" s="177">
        <f>SUMIF('COSTO DIRECTO'!$A$7:$A$70,'RESUMEN - ANALISIS'!A7,'COSTO DIRECTO'!$K$7:$K$70)</f>
        <v>3661.14</v>
      </c>
      <c r="D7" s="178">
        <f>E7/C7</f>
        <v>0.12499931715258089</v>
      </c>
      <c r="E7" s="177">
        <f>SUMIF('COSTO DIRECTO'!$A$7:$A$70,'RESUMEN - ANALISIS'!A7,'COSTO DIRECTO'!$G$7:$G$70)</f>
        <v>457.64</v>
      </c>
      <c r="F7" s="177">
        <f>SUMIF('COSTO DIRECTO'!$A$7:$A$70,'RESUMEN - ANALISIS'!A7,'COSTO DIRECTO'!$R$7:$R$70)</f>
        <v>2506.2800000000002</v>
      </c>
      <c r="G7" s="178">
        <f>H7/F7</f>
        <v>0.12499800501141131</v>
      </c>
      <c r="H7" s="177">
        <f>SUMIF('COSTO DIRECTO'!$A$7:$A$70,'RESUMEN - ANALISIS'!A7,'COSTO DIRECTO'!$N$7:$N$70)</f>
        <v>313.27999999999997</v>
      </c>
    </row>
    <row r="8" spans="1:8" x14ac:dyDescent="0.25">
      <c r="A8" s="26">
        <v>200</v>
      </c>
      <c r="B8" s="23" t="s">
        <v>18</v>
      </c>
      <c r="C8" s="177">
        <f>SUMIF('COSTO DIRECTO'!$A$7:$A$70,'RESUMEN - ANALISIS'!A8,'COSTO DIRECTO'!$K$7:$K$70)</f>
        <v>159518.36000000002</v>
      </c>
      <c r="D8" s="178">
        <f>E8/C8</f>
        <v>0.13756366351810534</v>
      </c>
      <c r="E8" s="177">
        <f>SUMIF('COSTO DIRECTO'!$A$7:$A$70,'RESUMEN - ANALISIS'!A8,'COSTO DIRECTO'!$G$7:$G$70)</f>
        <v>21943.929999999997</v>
      </c>
      <c r="F8" s="177">
        <f>SUMIF('COSTO DIRECTO'!$A$7:$A$70,'RESUMEN - ANALISIS'!A8,'COSTO DIRECTO'!$R$7:$R$70)</f>
        <v>102563.43</v>
      </c>
      <c r="G8" s="178">
        <f t="shared" ref="G8:G11" si="0">H8/F8</f>
        <v>0.11749802049326941</v>
      </c>
      <c r="H8" s="177">
        <f>SUMIF('COSTO DIRECTO'!$A$7:$A$70,'RESUMEN - ANALISIS'!A8,'COSTO DIRECTO'!$N$7:$N$70)</f>
        <v>12051.000000000002</v>
      </c>
    </row>
    <row r="9" spans="1:8" x14ac:dyDescent="0.25">
      <c r="A9" s="26">
        <v>300</v>
      </c>
      <c r="B9" s="23" t="s">
        <v>34</v>
      </c>
      <c r="C9" s="177">
        <f>SUMIF('COSTO DIRECTO'!$A$7:$A$70,'RESUMEN - ANALISIS'!A9,'COSTO DIRECTO'!$K$7:$K$70)</f>
        <v>360886.42000000004</v>
      </c>
      <c r="D9" s="178">
        <f t="shared" ref="D9:D11" si="1">E9/C9</f>
        <v>0.40097366368066717</v>
      </c>
      <c r="E9" s="177">
        <f>SUMIF('COSTO DIRECTO'!$A$7:$A$70,'RESUMEN - ANALISIS'!A9,'COSTO DIRECTO'!$G$7:$G$70)</f>
        <v>144705.95000000001</v>
      </c>
      <c r="F9" s="177">
        <f>SUMIF('COSTO DIRECTO'!$A$7:$A$70,'RESUMEN - ANALISIS'!A9,'COSTO DIRECTO'!$R$7:$R$70)</f>
        <v>335452.90000000002</v>
      </c>
      <c r="G9" s="178">
        <f t="shared" si="0"/>
        <v>0.39375623224601725</v>
      </c>
      <c r="H9" s="177">
        <f>SUMIF('COSTO DIRECTO'!$A$7:$A$70,'RESUMEN - ANALISIS'!A9,'COSTO DIRECTO'!$N$7:$N$70)</f>
        <v>132086.67000000001</v>
      </c>
    </row>
    <row r="10" spans="1:8" x14ac:dyDescent="0.25">
      <c r="A10" s="26">
        <v>400</v>
      </c>
      <c r="B10" s="34" t="s">
        <v>203</v>
      </c>
      <c r="C10" s="177">
        <f>SUMIF('COSTO DIRECTO'!$A$7:$A$70,'RESUMEN - ANALISIS'!A10,'COSTO DIRECTO'!$K$7:$K$70)</f>
        <v>221395.36000000002</v>
      </c>
      <c r="D10" s="178">
        <f t="shared" si="1"/>
        <v>0.28554848665301746</v>
      </c>
      <c r="E10" s="177">
        <f>SUMIF('COSTO DIRECTO'!$A$7:$A$70,'RESUMEN - ANALISIS'!A10,'COSTO DIRECTO'!$G$7:$G$70)</f>
        <v>63219.11</v>
      </c>
      <c r="F10" s="177">
        <f>SUMIF('COSTO DIRECTO'!$A$7:$A$70,'RESUMEN - ANALISIS'!A10,'COSTO DIRECTO'!$R$7:$R$70)</f>
        <v>136602.51</v>
      </c>
      <c r="G10" s="178">
        <f t="shared" si="0"/>
        <v>0.28322978838382984</v>
      </c>
      <c r="H10" s="177">
        <f>SUMIF('COSTO DIRECTO'!$A$7:$A$70,'RESUMEN - ANALISIS'!A10,'COSTO DIRECTO'!$N$7:$N$70)</f>
        <v>38689.9</v>
      </c>
    </row>
    <row r="11" spans="1:8" x14ac:dyDescent="0.25">
      <c r="A11" s="26">
        <v>500</v>
      </c>
      <c r="B11" s="24" t="s">
        <v>204</v>
      </c>
      <c r="C11" s="177">
        <f>SUMIF('COSTO DIRECTO'!$A$7:$A$70,'RESUMEN - ANALISIS'!A11,'COSTO DIRECTO'!$K$7:$K$70)</f>
        <v>215263.24000000002</v>
      </c>
      <c r="D11" s="178">
        <f t="shared" si="1"/>
        <v>0.35606752922607682</v>
      </c>
      <c r="E11" s="177">
        <f>SUMIF('COSTO DIRECTO'!$A$7:$A$70,'RESUMEN - ANALISIS'!A11,'COSTO DIRECTO'!$G$7:$G$70)</f>
        <v>76648.25</v>
      </c>
      <c r="F11" s="177">
        <f>SUMIF('COSTO DIRECTO'!$A$7:$A$70,'RESUMEN - ANALISIS'!A11,'COSTO DIRECTO'!$R$7:$R$70)</f>
        <v>119385.55</v>
      </c>
      <c r="G11" s="178">
        <f t="shared" si="0"/>
        <v>0.54626602633233245</v>
      </c>
      <c r="H11" s="177">
        <f>SUMIF('COSTO DIRECTO'!$A$7:$A$70,'RESUMEN - ANALISIS'!A11,'COSTO DIRECTO'!$N$7:$N$70)</f>
        <v>65216.27</v>
      </c>
    </row>
    <row r="12" spans="1:8" x14ac:dyDescent="0.25">
      <c r="A12" s="66"/>
      <c r="B12" s="67" t="s">
        <v>35</v>
      </c>
      <c r="C12" s="68">
        <f>SUM(C7:C11)</f>
        <v>960724.52</v>
      </c>
      <c r="D12" s="67"/>
      <c r="E12" s="89">
        <f>SUM(E7:E11)</f>
        <v>306974.88</v>
      </c>
      <c r="F12" s="68">
        <f>SUM(F7:F11)</f>
        <v>696510.67</v>
      </c>
      <c r="G12" s="67"/>
      <c r="H12" s="68">
        <f>SUM(H7:H11)</f>
        <v>248357.12</v>
      </c>
    </row>
    <row r="13" spans="1:8" x14ac:dyDescent="0.25">
      <c r="F13" s="85"/>
    </row>
    <row r="14" spans="1:8" x14ac:dyDescent="0.25">
      <c r="A14" s="249"/>
    </row>
    <row r="15" spans="1:8" ht="30" x14ac:dyDescent="0.25">
      <c r="A15" s="248" t="s">
        <v>41</v>
      </c>
      <c r="B15" s="248" t="s">
        <v>40</v>
      </c>
      <c r="C15" s="248" t="s">
        <v>29</v>
      </c>
      <c r="D15" s="248" t="s">
        <v>30</v>
      </c>
      <c r="E15" s="248" t="s">
        <v>31</v>
      </c>
      <c r="F15" s="248" t="s">
        <v>32</v>
      </c>
      <c r="G15" s="248" t="s">
        <v>30</v>
      </c>
      <c r="H15" s="87" t="s">
        <v>33</v>
      </c>
    </row>
    <row r="16" spans="1:8" x14ac:dyDescent="0.25">
      <c r="A16" s="26"/>
      <c r="B16" s="23"/>
      <c r="C16" s="177"/>
      <c r="D16" s="178"/>
      <c r="E16" s="177"/>
      <c r="F16" s="177"/>
      <c r="G16" s="178"/>
      <c r="H16" s="177"/>
    </row>
    <row r="17" spans="1:8" x14ac:dyDescent="0.25">
      <c r="A17" s="26">
        <v>600</v>
      </c>
      <c r="B17" s="23" t="s">
        <v>272</v>
      </c>
      <c r="C17" s="177">
        <f>PRESUPUESTOS!G72</f>
        <v>96072.45</v>
      </c>
      <c r="D17" s="178">
        <f t="shared" ref="D17:D18" si="2">E17/C17</f>
        <v>0.31952435896034714</v>
      </c>
      <c r="E17" s="177">
        <f>E12*0.1</f>
        <v>30697.488000000001</v>
      </c>
      <c r="F17" s="177">
        <f>'COSTO INDIRECTO'!L5+'COSTO INDIRECTO'!L11</f>
        <v>237712.20735000001</v>
      </c>
      <c r="G17" s="178">
        <f>H17/F17</f>
        <v>0.30092456028005493</v>
      </c>
      <c r="H17" s="177">
        <f>'COSTO INDIRECTO'!O5+'COSTO INDIRECTO'!O11</f>
        <v>71533.441469999991</v>
      </c>
    </row>
    <row r="18" spans="1:8" x14ac:dyDescent="0.25">
      <c r="A18" s="26"/>
      <c r="B18" s="23" t="s">
        <v>273</v>
      </c>
      <c r="C18" s="177">
        <f>PRESUPUESTOS!G73</f>
        <v>76857.960000000006</v>
      </c>
      <c r="D18" s="178">
        <f t="shared" si="2"/>
        <v>0.31952435896034714</v>
      </c>
      <c r="E18" s="177">
        <f>E12*0.08</f>
        <v>24557.990400000002</v>
      </c>
      <c r="F18" s="177"/>
      <c r="G18" s="178"/>
      <c r="H18" s="177"/>
    </row>
    <row r="19" spans="1:8" x14ac:dyDescent="0.25">
      <c r="A19" s="26"/>
      <c r="B19" s="23"/>
      <c r="C19" s="177"/>
      <c r="D19" s="178"/>
      <c r="E19" s="177"/>
      <c r="F19" s="177"/>
      <c r="G19" s="178"/>
      <c r="H19" s="177"/>
    </row>
    <row r="20" spans="1:8" s="2" customFormat="1" x14ac:dyDescent="0.25">
      <c r="A20" s="314"/>
      <c r="B20" s="22" t="s">
        <v>274</v>
      </c>
      <c r="C20" s="158"/>
      <c r="D20" s="315"/>
      <c r="E20" s="158"/>
      <c r="F20" s="158"/>
      <c r="G20" s="315"/>
      <c r="H20" s="158"/>
    </row>
    <row r="21" spans="1:8" x14ac:dyDescent="0.25">
      <c r="A21" s="26"/>
      <c r="B21" s="23" t="s">
        <v>275</v>
      </c>
      <c r="C21" s="177">
        <f>C12*0.02</f>
        <v>19214.490400000002</v>
      </c>
      <c r="D21" s="178">
        <f>E21/C21</f>
        <v>6.2452866301361799E-2</v>
      </c>
      <c r="E21" s="177">
        <v>1200</v>
      </c>
      <c r="F21" s="177"/>
      <c r="G21" s="178"/>
      <c r="H21" s="177"/>
    </row>
    <row r="22" spans="1:8" x14ac:dyDescent="0.25">
      <c r="A22" s="26"/>
      <c r="B22" s="23"/>
      <c r="C22" s="177"/>
      <c r="D22" s="178"/>
      <c r="E22" s="177"/>
      <c r="F22" s="177"/>
      <c r="G22" s="178"/>
      <c r="H22" s="177"/>
    </row>
    <row r="23" spans="1:8" s="2" customFormat="1" x14ac:dyDescent="0.25">
      <c r="A23" s="314"/>
      <c r="B23" s="22" t="s">
        <v>276</v>
      </c>
      <c r="C23" s="158"/>
      <c r="D23" s="315"/>
      <c r="E23" s="158"/>
      <c r="F23" s="158"/>
      <c r="G23" s="315"/>
      <c r="H23" s="158"/>
    </row>
    <row r="24" spans="1:8" x14ac:dyDescent="0.25">
      <c r="A24" s="26"/>
      <c r="B24" s="23" t="s">
        <v>277</v>
      </c>
      <c r="C24" s="177"/>
      <c r="D24" s="178"/>
      <c r="E24" s="177"/>
      <c r="F24" s="177">
        <f>F12*0.02</f>
        <v>13930.213400000001</v>
      </c>
      <c r="G24" s="178">
        <f t="shared" ref="G24:G26" si="3">H24/F24</f>
        <v>0</v>
      </c>
      <c r="H24" s="177">
        <v>0</v>
      </c>
    </row>
    <row r="25" spans="1:8" x14ac:dyDescent="0.25">
      <c r="A25" s="26"/>
      <c r="B25" s="23" t="s">
        <v>278</v>
      </c>
      <c r="C25" s="177"/>
      <c r="D25" s="178"/>
      <c r="E25" s="177"/>
      <c r="F25" s="177">
        <v>0</v>
      </c>
      <c r="G25" s="178"/>
      <c r="H25" s="177"/>
    </row>
    <row r="26" spans="1:8" x14ac:dyDescent="0.25">
      <c r="A26" s="26"/>
      <c r="B26" s="23" t="s">
        <v>279</v>
      </c>
      <c r="C26" s="177"/>
      <c r="D26" s="178"/>
      <c r="E26" s="177"/>
      <c r="F26" s="177">
        <f>F12*0.015</f>
        <v>10447.66005</v>
      </c>
      <c r="G26" s="178">
        <f t="shared" si="3"/>
        <v>0</v>
      </c>
      <c r="H26" s="177">
        <v>0</v>
      </c>
    </row>
    <row r="27" spans="1:8" x14ac:dyDescent="0.25">
      <c r="A27" s="26"/>
      <c r="B27" s="23"/>
      <c r="C27" s="177"/>
      <c r="D27" s="178"/>
      <c r="E27" s="177"/>
      <c r="F27" s="177"/>
      <c r="G27" s="178"/>
      <c r="H27" s="177"/>
    </row>
    <row r="28" spans="1:8" x14ac:dyDescent="0.25">
      <c r="A28" s="66"/>
      <c r="B28" s="67" t="s">
        <v>35</v>
      </c>
      <c r="C28" s="68">
        <f>SUM(C16:C27)</f>
        <v>192144.90040000001</v>
      </c>
      <c r="D28" s="67"/>
      <c r="E28" s="89">
        <f>SUM(E16:E27)</f>
        <v>56455.478400000007</v>
      </c>
      <c r="F28" s="68">
        <f>SUM(F16:F27)</f>
        <v>262090.08080000003</v>
      </c>
      <c r="G28" s="67"/>
      <c r="H28" s="68">
        <f>SUM(H16:H27)</f>
        <v>71533.441469999991</v>
      </c>
    </row>
    <row r="30" spans="1:8" x14ac:dyDescent="0.25">
      <c r="A30" s="249"/>
    </row>
    <row r="31" spans="1:8" s="115" customFormat="1" ht="30" x14ac:dyDescent="0.25">
      <c r="A31" s="110"/>
      <c r="B31" s="114" t="s">
        <v>4</v>
      </c>
      <c r="C31" s="109" t="s">
        <v>328</v>
      </c>
      <c r="D31" s="114"/>
      <c r="E31" s="87" t="s">
        <v>329</v>
      </c>
      <c r="F31" s="110" t="s">
        <v>36</v>
      </c>
      <c r="G31" s="114"/>
      <c r="H31" s="110" t="s">
        <v>37</v>
      </c>
    </row>
    <row r="32" spans="1:8" x14ac:dyDescent="0.25">
      <c r="A32" s="36"/>
      <c r="B32" s="52"/>
      <c r="C32" s="40"/>
      <c r="D32" s="54"/>
      <c r="E32" s="40"/>
      <c r="F32" s="40"/>
      <c r="G32" s="54"/>
      <c r="H32" s="40"/>
    </row>
    <row r="33" spans="1:8" x14ac:dyDescent="0.25">
      <c r="A33" s="26"/>
      <c r="B33" s="53" t="s">
        <v>43</v>
      </c>
      <c r="C33" s="9" t="e">
        <f>#REF!+#REF!</f>
        <v>#REF!</v>
      </c>
      <c r="D33" s="14"/>
      <c r="E33" s="9">
        <f>F12</f>
        <v>696510.67</v>
      </c>
      <c r="F33" s="91"/>
      <c r="G33" s="14"/>
      <c r="H33" s="9">
        <f>+F33-E33</f>
        <v>-696510.67</v>
      </c>
    </row>
    <row r="34" spans="1:8" x14ac:dyDescent="0.25">
      <c r="A34" s="26"/>
      <c r="B34" s="53"/>
      <c r="C34" s="9"/>
      <c r="D34" s="14"/>
      <c r="E34" s="9"/>
      <c r="F34" s="9"/>
      <c r="G34" s="14"/>
      <c r="H34" s="9"/>
    </row>
    <row r="35" spans="1:8" x14ac:dyDescent="0.25">
      <c r="A35" s="26"/>
      <c r="B35" s="53" t="s">
        <v>38</v>
      </c>
      <c r="C35" s="9">
        <f>E12+E28</f>
        <v>363430.35840000003</v>
      </c>
      <c r="D35" s="14"/>
      <c r="E35" s="9">
        <f>C12</f>
        <v>960724.52</v>
      </c>
      <c r="F35" s="9"/>
      <c r="G35" s="14"/>
      <c r="H35" s="9">
        <f>+F35-E35</f>
        <v>-960724.52</v>
      </c>
    </row>
    <row r="36" spans="1:8" x14ac:dyDescent="0.25">
      <c r="A36" s="35"/>
      <c r="B36" s="6"/>
      <c r="C36" s="51"/>
      <c r="D36" s="50"/>
      <c r="E36" s="51"/>
      <c r="F36" s="51"/>
      <c r="G36" s="50"/>
      <c r="H36" s="51"/>
    </row>
    <row r="37" spans="1:8" x14ac:dyDescent="0.25">
      <c r="A37" s="66"/>
      <c r="B37" s="69" t="s">
        <v>39</v>
      </c>
      <c r="C37" s="90" t="e">
        <f>C35-C33</f>
        <v>#REF!</v>
      </c>
      <c r="D37" s="71"/>
      <c r="E37" s="70">
        <f>E35-E33</f>
        <v>264213.84999999998</v>
      </c>
      <c r="F37" s="70">
        <f>F35-F33</f>
        <v>0</v>
      </c>
      <c r="G37" s="71"/>
      <c r="H37" s="70"/>
    </row>
    <row r="38" spans="1:8" x14ac:dyDescent="0.25">
      <c r="A38" s="66"/>
      <c r="B38" s="69" t="s">
        <v>50</v>
      </c>
      <c r="C38" s="72" t="e">
        <f>C37/C35</f>
        <v>#REF!</v>
      </c>
      <c r="D38" s="71"/>
      <c r="E38" s="72">
        <f>E37/E35</f>
        <v>0.27501520415030106</v>
      </c>
      <c r="F38" s="72" t="e">
        <f>F37/F35</f>
        <v>#DIV/0!</v>
      </c>
      <c r="G38" s="71"/>
      <c r="H38" s="70"/>
    </row>
  </sheetData>
  <mergeCells count="2">
    <mergeCell ref="C4:E4"/>
    <mergeCell ref="F4:H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8790-F418-4D1E-BDBA-B85AE6D1F277}">
  <dimension ref="A2:R12"/>
  <sheetViews>
    <sheetView zoomScaleNormal="100" workbookViewId="0">
      <selection activeCell="F28" sqref="F28"/>
    </sheetView>
  </sheetViews>
  <sheetFormatPr baseColWidth="10" defaultRowHeight="15" x14ac:dyDescent="0.25"/>
  <cols>
    <col min="2" max="2" width="38" customWidth="1"/>
    <col min="3" max="3" width="15.42578125" customWidth="1"/>
  </cols>
  <sheetData>
    <row r="2" spans="1:18" ht="15.75" thickBot="1" x14ac:dyDescent="0.3"/>
    <row r="3" spans="1:18" ht="15.75" thickBot="1" x14ac:dyDescent="0.3">
      <c r="A3" s="218"/>
      <c r="C3" s="219" t="s">
        <v>209</v>
      </c>
      <c r="D3" s="220"/>
      <c r="E3" s="454" t="s">
        <v>358</v>
      </c>
      <c r="F3" s="455"/>
      <c r="G3" s="456"/>
      <c r="H3" s="220"/>
      <c r="I3" s="457" t="s">
        <v>210</v>
      </c>
      <c r="J3" s="458"/>
      <c r="K3" s="459"/>
      <c r="L3" s="220"/>
      <c r="M3" s="460" t="s">
        <v>217</v>
      </c>
      <c r="N3" s="461"/>
      <c r="O3" s="462"/>
      <c r="P3" s="221"/>
    </row>
    <row r="4" spans="1:18" ht="45.75" thickBot="1" x14ac:dyDescent="0.3">
      <c r="A4" s="222" t="s">
        <v>211</v>
      </c>
      <c r="B4" s="223" t="s">
        <v>212</v>
      </c>
      <c r="C4" s="219" t="s">
        <v>213</v>
      </c>
      <c r="D4" s="224"/>
      <c r="E4" s="225" t="s">
        <v>214</v>
      </c>
      <c r="F4" s="463" t="s">
        <v>215</v>
      </c>
      <c r="G4" s="464"/>
      <c r="H4" s="224"/>
      <c r="I4" s="226" t="s">
        <v>214</v>
      </c>
      <c r="J4" s="465" t="s">
        <v>215</v>
      </c>
      <c r="K4" s="459"/>
      <c r="L4" s="224"/>
      <c r="M4" s="227" t="s">
        <v>214</v>
      </c>
      <c r="N4" s="466" t="s">
        <v>215</v>
      </c>
      <c r="O4" s="462"/>
      <c r="P4" s="221"/>
      <c r="Q4" s="450" t="s">
        <v>218</v>
      </c>
      <c r="R4" s="451"/>
    </row>
    <row r="5" spans="1:18" x14ac:dyDescent="0.25">
      <c r="A5" s="229"/>
      <c r="B5" s="21" t="s">
        <v>201</v>
      </c>
      <c r="C5" s="230"/>
      <c r="E5" s="234"/>
      <c r="F5" s="228"/>
      <c r="G5" s="235"/>
      <c r="I5" s="234"/>
      <c r="J5" s="228"/>
      <c r="K5" s="235"/>
      <c r="M5" s="234"/>
      <c r="N5" s="228"/>
      <c r="O5" s="235"/>
      <c r="Q5" s="234"/>
      <c r="R5" s="235"/>
    </row>
    <row r="6" spans="1:18" x14ac:dyDescent="0.25">
      <c r="A6" s="231">
        <v>100</v>
      </c>
      <c r="B6" s="23" t="s">
        <v>202</v>
      </c>
      <c r="C6" s="232">
        <f>+'RESUMEN - ANALISIS'!C7</f>
        <v>3661.14</v>
      </c>
      <c r="E6" s="234">
        <f>+'RESUMEN - ANALISIS'!F7</f>
        <v>2506.2800000000002</v>
      </c>
      <c r="F6" s="228">
        <f>C6-E6</f>
        <v>1154.8599999999997</v>
      </c>
      <c r="G6" s="235">
        <f>+F6/C6</f>
        <v>0.31543726817330114</v>
      </c>
      <c r="I6" s="234">
        <f>+'RESUMEN - ANALISIS'!F7</f>
        <v>2506.2800000000002</v>
      </c>
      <c r="J6" s="228">
        <f>C6-I6</f>
        <v>1154.8599999999997</v>
      </c>
      <c r="K6" s="235">
        <f>J6/C6</f>
        <v>0.31543726817330114</v>
      </c>
      <c r="M6" s="234">
        <f>+'RESUMEN - ANALISIS'!F7</f>
        <v>2506.2800000000002</v>
      </c>
      <c r="N6" s="228">
        <f>C6-M6</f>
        <v>1154.8599999999997</v>
      </c>
      <c r="O6" s="235">
        <f>N6/C6</f>
        <v>0.31543726817330114</v>
      </c>
      <c r="Q6" s="234">
        <f>E6-M6</f>
        <v>0</v>
      </c>
      <c r="R6" s="235">
        <f>M6/E6</f>
        <v>1</v>
      </c>
    </row>
    <row r="7" spans="1:18" x14ac:dyDescent="0.25">
      <c r="A7" s="231">
        <v>200</v>
      </c>
      <c r="B7" s="23" t="s">
        <v>18</v>
      </c>
      <c r="C7" s="232">
        <f>+'RESUMEN - ANALISIS'!C8</f>
        <v>159518.36000000002</v>
      </c>
      <c r="E7" s="234">
        <f>+'RESUMEN - ANALISIS'!F8</f>
        <v>102563.43</v>
      </c>
      <c r="F7" s="228">
        <f t="shared" ref="F7:F10" si="0">C7-E7</f>
        <v>56954.930000000022</v>
      </c>
      <c r="G7" s="235">
        <f t="shared" ref="G7:G10" si="1">+F7/C7</f>
        <v>0.35704310149627927</v>
      </c>
      <c r="I7" s="234">
        <f>+'RESUMEN - ANALISIS'!F8</f>
        <v>102563.43</v>
      </c>
      <c r="J7" s="228">
        <f t="shared" ref="J7:J10" si="2">C7-I7</f>
        <v>56954.930000000022</v>
      </c>
      <c r="K7" s="235">
        <f t="shared" ref="K7:K10" si="3">J7/C7</f>
        <v>0.35704310149627927</v>
      </c>
      <c r="M7" s="234">
        <f>+'RESUMEN - ANALISIS'!F8</f>
        <v>102563.43</v>
      </c>
      <c r="N7" s="228">
        <f t="shared" ref="N7:N10" si="4">C7-M7</f>
        <v>56954.930000000022</v>
      </c>
      <c r="O7" s="235">
        <f t="shared" ref="O7:O10" si="5">N7/C7</f>
        <v>0.35704310149627927</v>
      </c>
      <c r="Q7" s="234">
        <f t="shared" ref="Q7:Q10" si="6">E7-M7</f>
        <v>0</v>
      </c>
      <c r="R7" s="235">
        <f t="shared" ref="R7:R10" si="7">M7/E7</f>
        <v>1</v>
      </c>
    </row>
    <row r="8" spans="1:18" x14ac:dyDescent="0.25">
      <c r="A8" s="231">
        <v>300</v>
      </c>
      <c r="B8" s="23" t="s">
        <v>34</v>
      </c>
      <c r="C8" s="232">
        <f>+'RESUMEN - ANALISIS'!C9</f>
        <v>360886.42000000004</v>
      </c>
      <c r="E8" s="234">
        <f>+'RESUMEN - ANALISIS'!F9</f>
        <v>335452.90000000002</v>
      </c>
      <c r="F8" s="228">
        <f t="shared" si="0"/>
        <v>25433.520000000019</v>
      </c>
      <c r="G8" s="235">
        <f t="shared" si="1"/>
        <v>7.047513730220166E-2</v>
      </c>
      <c r="I8" s="234">
        <f>+'RESUMEN - ANALISIS'!F9</f>
        <v>335452.90000000002</v>
      </c>
      <c r="J8" s="228">
        <f t="shared" si="2"/>
        <v>25433.520000000019</v>
      </c>
      <c r="K8" s="235">
        <f t="shared" si="3"/>
        <v>7.047513730220166E-2</v>
      </c>
      <c r="M8" s="234">
        <f>+'RESUMEN - ANALISIS'!F9</f>
        <v>335452.90000000002</v>
      </c>
      <c r="N8" s="228">
        <f t="shared" si="4"/>
        <v>25433.520000000019</v>
      </c>
      <c r="O8" s="235">
        <f t="shared" si="5"/>
        <v>7.047513730220166E-2</v>
      </c>
      <c r="Q8" s="234">
        <f t="shared" si="6"/>
        <v>0</v>
      </c>
      <c r="R8" s="235">
        <f t="shared" si="7"/>
        <v>1</v>
      </c>
    </row>
    <row r="9" spans="1:18" x14ac:dyDescent="0.25">
      <c r="A9" s="231">
        <v>400</v>
      </c>
      <c r="B9" s="23" t="s">
        <v>203</v>
      </c>
      <c r="C9" s="232">
        <f>+'RESUMEN - ANALISIS'!C10</f>
        <v>221395.36000000002</v>
      </c>
      <c r="E9" s="234">
        <f>+'RESUMEN - ANALISIS'!F10</f>
        <v>136602.51</v>
      </c>
      <c r="F9" s="228">
        <f t="shared" si="0"/>
        <v>84792.85</v>
      </c>
      <c r="G9" s="235">
        <f t="shared" si="1"/>
        <v>0.38299289560540023</v>
      </c>
      <c r="I9" s="234">
        <f>+'RESUMEN - ANALISIS'!F10</f>
        <v>136602.51</v>
      </c>
      <c r="J9" s="228">
        <f t="shared" si="2"/>
        <v>84792.85</v>
      </c>
      <c r="K9" s="235">
        <f t="shared" si="3"/>
        <v>0.38299289560540023</v>
      </c>
      <c r="M9" s="234">
        <f>+'RESUMEN - ANALISIS'!F10</f>
        <v>136602.51</v>
      </c>
      <c r="N9" s="228">
        <f t="shared" si="4"/>
        <v>84792.85</v>
      </c>
      <c r="O9" s="235">
        <f t="shared" si="5"/>
        <v>0.38299289560540023</v>
      </c>
      <c r="Q9" s="234">
        <f t="shared" si="6"/>
        <v>0</v>
      </c>
      <c r="R9" s="235">
        <f t="shared" si="7"/>
        <v>1</v>
      </c>
    </row>
    <row r="10" spans="1:18" x14ac:dyDescent="0.25">
      <c r="A10" s="231">
        <v>500</v>
      </c>
      <c r="B10" s="23" t="s">
        <v>204</v>
      </c>
      <c r="C10" s="232">
        <f>+'RESUMEN - ANALISIS'!C11</f>
        <v>215263.24000000002</v>
      </c>
      <c r="E10" s="234">
        <f>+'RESUMEN - ANALISIS'!F11</f>
        <v>119385.55</v>
      </c>
      <c r="F10" s="228">
        <f t="shared" si="0"/>
        <v>95877.690000000017</v>
      </c>
      <c r="G10" s="235">
        <f t="shared" si="1"/>
        <v>0.44539741202445904</v>
      </c>
      <c r="I10" s="234">
        <f>+'RESUMEN - ANALISIS'!F11</f>
        <v>119385.55</v>
      </c>
      <c r="J10" s="228">
        <f t="shared" si="2"/>
        <v>95877.690000000017</v>
      </c>
      <c r="K10" s="235">
        <f t="shared" si="3"/>
        <v>0.44539741202445904</v>
      </c>
      <c r="M10" s="234">
        <f>+'RESUMEN - ANALISIS'!F11</f>
        <v>119385.55</v>
      </c>
      <c r="N10" s="228">
        <f t="shared" si="4"/>
        <v>95877.690000000017</v>
      </c>
      <c r="O10" s="235">
        <f t="shared" si="5"/>
        <v>0.44539741202445904</v>
      </c>
      <c r="Q10" s="234">
        <f t="shared" si="6"/>
        <v>0</v>
      </c>
      <c r="R10" s="235">
        <f t="shared" si="7"/>
        <v>1</v>
      </c>
    </row>
    <row r="11" spans="1:18" ht="15.75" thickBot="1" x14ac:dyDescent="0.3">
      <c r="A11" s="231">
        <v>600</v>
      </c>
      <c r="B11" s="23" t="s">
        <v>272</v>
      </c>
      <c r="C11" s="232">
        <f>+'RESUMEN - ANALISIS'!C17</f>
        <v>96072.45</v>
      </c>
      <c r="E11" s="234">
        <f>+'RESUMEN - ANALISIS'!F17</f>
        <v>237712.20735000001</v>
      </c>
      <c r="F11" s="228">
        <f t="shared" ref="F11" si="8">C11-E11</f>
        <v>-141639.75735000003</v>
      </c>
      <c r="G11" s="235">
        <f t="shared" ref="G11" si="9">+F11/C11</f>
        <v>-1.4743015021475983</v>
      </c>
      <c r="I11" s="234">
        <f>+'RESUMEN - ANALISIS'!F17</f>
        <v>237712.20735000001</v>
      </c>
      <c r="J11" s="228">
        <f t="shared" ref="J11" si="10">C11-I11</f>
        <v>-141639.75735000003</v>
      </c>
      <c r="K11" s="235">
        <f t="shared" ref="K11" si="11">J11/C11</f>
        <v>-1.4743015021475983</v>
      </c>
      <c r="M11" s="234">
        <f>+'RESUMEN - ANALISIS'!F17</f>
        <v>237712.20735000001</v>
      </c>
      <c r="N11" s="228">
        <f t="shared" ref="N11" si="12">C11-M11</f>
        <v>-141639.75735000003</v>
      </c>
      <c r="O11" s="235">
        <f t="shared" ref="O11" si="13">N11/C11</f>
        <v>-1.4743015021475983</v>
      </c>
      <c r="Q11" s="234">
        <f t="shared" ref="Q11" si="14">E11-M11</f>
        <v>0</v>
      </c>
      <c r="R11" s="235">
        <f t="shared" ref="R11" si="15">M11/E11</f>
        <v>1</v>
      </c>
    </row>
    <row r="12" spans="1:18" ht="30.75" customHeight="1" thickBot="1" x14ac:dyDescent="0.3">
      <c r="A12" s="452" t="s">
        <v>216</v>
      </c>
      <c r="B12" s="453"/>
      <c r="C12" s="233">
        <f>SUM(C5:C11)</f>
        <v>1056796.97</v>
      </c>
      <c r="D12" s="224"/>
      <c r="E12" s="236">
        <f>SUM(E5:E11)</f>
        <v>934222.87735000008</v>
      </c>
      <c r="F12" s="237">
        <f>C12-E12</f>
        <v>122574.09264999989</v>
      </c>
      <c r="G12" s="238">
        <f>F12/C12</f>
        <v>0.11598641567831132</v>
      </c>
      <c r="H12" s="224"/>
      <c r="I12" s="239">
        <f>SUM(I5:I11)</f>
        <v>934222.87735000008</v>
      </c>
      <c r="J12" s="240">
        <f>C12-I12</f>
        <v>122574.09264999989</v>
      </c>
      <c r="K12" s="241">
        <f>J12/C12</f>
        <v>0.11598641567831132</v>
      </c>
      <c r="L12" s="224"/>
      <c r="M12" s="242">
        <f>SUM(M5:M11)</f>
        <v>934222.87735000008</v>
      </c>
      <c r="N12" s="243">
        <f>C12-M12</f>
        <v>122574.09264999989</v>
      </c>
      <c r="O12" s="244">
        <f>N12/C12</f>
        <v>0.11598641567831132</v>
      </c>
      <c r="P12" s="221"/>
      <c r="Q12" s="245">
        <f>SUM(Q5:Q11)</f>
        <v>0</v>
      </c>
      <c r="R12" s="246">
        <f>E12/M12</f>
        <v>1</v>
      </c>
    </row>
  </sheetData>
  <mergeCells count="8">
    <mergeCell ref="Q4:R4"/>
    <mergeCell ref="A12:B12"/>
    <mergeCell ref="E3:G3"/>
    <mergeCell ref="I3:K3"/>
    <mergeCell ref="M3:O3"/>
    <mergeCell ref="F4:G4"/>
    <mergeCell ref="J4:K4"/>
    <mergeCell ref="N4:O4"/>
  </mergeCells>
  <conditionalFormatting sqref="R12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8134-0670-4A95-BCFF-773CCA0BF999}">
  <sheetPr filterMode="1"/>
  <dimension ref="A2:S35"/>
  <sheetViews>
    <sheetView topLeftCell="H1" zoomScaleNormal="100" workbookViewId="0">
      <selection activeCell="T2" sqref="T2"/>
    </sheetView>
  </sheetViews>
  <sheetFormatPr baseColWidth="10" defaultRowHeight="15" x14ac:dyDescent="0.25"/>
  <cols>
    <col min="1" max="1" width="11.42578125" style="254"/>
    <col min="2" max="2" width="40" customWidth="1"/>
    <col min="3" max="3" width="21.85546875" customWidth="1"/>
    <col min="4" max="4" width="11.140625" customWidth="1"/>
    <col min="5" max="5" width="15.140625" customWidth="1"/>
    <col min="7" max="7" width="14.7109375" bestFit="1" customWidth="1"/>
    <col min="8" max="8" width="14.42578125" customWidth="1"/>
    <col min="9" max="9" width="15.28515625" customWidth="1"/>
    <col min="10" max="10" width="13.7109375" customWidth="1"/>
    <col min="11" max="11" width="13.28515625" customWidth="1"/>
    <col min="12" max="12" width="13.7109375" customWidth="1"/>
    <col min="13" max="13" width="13.28515625" customWidth="1"/>
    <col min="14" max="14" width="13.7109375" customWidth="1"/>
    <col min="15" max="15" width="13.28515625" customWidth="1"/>
    <col min="16" max="16" width="13.7109375" customWidth="1"/>
    <col min="17" max="17" width="13.28515625" customWidth="1"/>
    <col min="18" max="18" width="13.7109375" customWidth="1"/>
    <col min="19" max="19" width="13.28515625" customWidth="1"/>
  </cols>
  <sheetData>
    <row r="2" spans="1:19" x14ac:dyDescent="0.25">
      <c r="A2" s="316"/>
      <c r="J2" s="467" t="s">
        <v>322</v>
      </c>
      <c r="K2" s="467"/>
      <c r="L2" s="467" t="s">
        <v>422</v>
      </c>
      <c r="M2" s="467"/>
      <c r="N2" s="467" t="s">
        <v>423</v>
      </c>
      <c r="O2" s="467"/>
      <c r="P2" s="467" t="s">
        <v>424</v>
      </c>
      <c r="Q2" s="467"/>
      <c r="R2" s="467" t="s">
        <v>425</v>
      </c>
      <c r="S2" s="467"/>
    </row>
    <row r="3" spans="1:19" ht="30" x14ac:dyDescent="0.25">
      <c r="A3" s="253" t="s">
        <v>2</v>
      </c>
      <c r="B3" s="100" t="s">
        <v>15</v>
      </c>
      <c r="C3" s="100" t="s">
        <v>55</v>
      </c>
      <c r="D3" s="100" t="s">
        <v>61</v>
      </c>
      <c r="E3" s="100" t="s">
        <v>56</v>
      </c>
      <c r="F3" s="100" t="s">
        <v>57</v>
      </c>
      <c r="G3" s="100" t="s">
        <v>53</v>
      </c>
      <c r="H3" s="100" t="s">
        <v>40</v>
      </c>
      <c r="I3" s="100" t="s">
        <v>58</v>
      </c>
      <c r="J3" s="108" t="s">
        <v>64</v>
      </c>
      <c r="K3" s="108" t="s">
        <v>65</v>
      </c>
      <c r="L3" s="108" t="s">
        <v>64</v>
      </c>
      <c r="M3" s="108" t="s">
        <v>65</v>
      </c>
      <c r="N3" s="108" t="s">
        <v>64</v>
      </c>
      <c r="O3" s="108" t="s">
        <v>65</v>
      </c>
      <c r="P3" s="108" t="s">
        <v>64</v>
      </c>
      <c r="Q3" s="108" t="s">
        <v>65</v>
      </c>
      <c r="R3" s="108" t="s">
        <v>64</v>
      </c>
      <c r="S3" s="108" t="s">
        <v>65</v>
      </c>
    </row>
    <row r="4" spans="1:19" hidden="1" x14ac:dyDescent="0.25">
      <c r="A4" s="253"/>
      <c r="B4" s="100" t="s">
        <v>59</v>
      </c>
      <c r="C4" s="100"/>
      <c r="D4" s="100"/>
      <c r="E4" s="100"/>
      <c r="F4" s="100"/>
      <c r="G4" s="100"/>
      <c r="H4" s="100"/>
      <c r="I4" s="100"/>
      <c r="J4" s="105"/>
      <c r="K4" s="105"/>
      <c r="L4" s="105"/>
      <c r="M4" s="105"/>
      <c r="N4" s="105"/>
      <c r="O4" s="105"/>
      <c r="P4" s="105"/>
      <c r="Q4" s="105"/>
      <c r="R4" s="105"/>
      <c r="S4" s="105"/>
    </row>
    <row r="5" spans="1:19" hidden="1" x14ac:dyDescent="0.25">
      <c r="A5" s="317" t="s">
        <v>285</v>
      </c>
      <c r="B5" s="101" t="s">
        <v>280</v>
      </c>
      <c r="C5" s="101"/>
      <c r="D5" s="102" t="s">
        <v>199</v>
      </c>
      <c r="E5" s="106">
        <v>530</v>
      </c>
      <c r="F5" s="106">
        <v>2.9</v>
      </c>
      <c r="G5" s="106">
        <f>+E5*F5</f>
        <v>1537</v>
      </c>
      <c r="H5" s="102">
        <v>400</v>
      </c>
      <c r="I5" s="102" t="s">
        <v>9</v>
      </c>
      <c r="J5" s="105">
        <v>212</v>
      </c>
      <c r="K5" s="105">
        <f>+J5*F5</f>
        <v>614.79999999999995</v>
      </c>
      <c r="L5" s="105">
        <v>132.5</v>
      </c>
      <c r="M5" s="105">
        <f>+L5*F5</f>
        <v>384.25</v>
      </c>
      <c r="N5" s="105">
        <v>106</v>
      </c>
      <c r="O5" s="105">
        <f>+N5*F5</f>
        <v>307.39999999999998</v>
      </c>
      <c r="P5" s="105">
        <v>79.5</v>
      </c>
      <c r="Q5" s="105">
        <f>+P5*F5</f>
        <v>230.54999999999998</v>
      </c>
      <c r="R5" s="105"/>
      <c r="S5" s="105">
        <f>+R5*F5</f>
        <v>0</v>
      </c>
    </row>
    <row r="6" spans="1:19" hidden="1" x14ac:dyDescent="0.25">
      <c r="A6" s="317" t="s">
        <v>285</v>
      </c>
      <c r="B6" s="101" t="s">
        <v>281</v>
      </c>
      <c r="C6" s="101"/>
      <c r="D6" s="102" t="s">
        <v>199</v>
      </c>
      <c r="E6" s="106">
        <v>550</v>
      </c>
      <c r="F6" s="106">
        <v>3.06</v>
      </c>
      <c r="G6" s="106">
        <f t="shared" ref="G6:G34" si="0">+E6*F6</f>
        <v>1683</v>
      </c>
      <c r="H6" s="102">
        <v>400</v>
      </c>
      <c r="I6" s="102" t="s">
        <v>9</v>
      </c>
      <c r="J6" s="105">
        <v>220</v>
      </c>
      <c r="K6" s="105">
        <f t="shared" ref="K6:K7" si="1">+J6*F6</f>
        <v>673.2</v>
      </c>
      <c r="L6" s="105">
        <v>137.5</v>
      </c>
      <c r="M6" s="105">
        <f t="shared" ref="M6:M12" si="2">+L6*F6</f>
        <v>420.75</v>
      </c>
      <c r="N6" s="105">
        <v>110</v>
      </c>
      <c r="O6" s="105">
        <f t="shared" ref="O6:O23" si="3">+N6*F6</f>
        <v>336.6</v>
      </c>
      <c r="P6" s="105">
        <v>82.5</v>
      </c>
      <c r="Q6" s="105">
        <f t="shared" ref="Q6:Q17" si="4">+P6*F6</f>
        <v>252.45000000000002</v>
      </c>
      <c r="R6" s="105"/>
      <c r="S6" s="105"/>
    </row>
    <row r="7" spans="1:19" hidden="1" x14ac:dyDescent="0.25">
      <c r="A7" s="317" t="s">
        <v>285</v>
      </c>
      <c r="B7" s="101" t="s">
        <v>282</v>
      </c>
      <c r="C7" s="101"/>
      <c r="D7" s="102" t="s">
        <v>199</v>
      </c>
      <c r="E7" s="106">
        <v>15</v>
      </c>
      <c r="F7" s="106">
        <v>3.06</v>
      </c>
      <c r="G7" s="106">
        <f t="shared" si="0"/>
        <v>45.9</v>
      </c>
      <c r="H7" s="102">
        <v>400</v>
      </c>
      <c r="I7" s="102" t="s">
        <v>9</v>
      </c>
      <c r="J7" s="105">
        <v>6</v>
      </c>
      <c r="K7" s="105">
        <f t="shared" si="1"/>
        <v>18.36</v>
      </c>
      <c r="L7" s="105">
        <v>3.75</v>
      </c>
      <c r="M7" s="105">
        <f t="shared" si="2"/>
        <v>11.475</v>
      </c>
      <c r="N7" s="105">
        <v>1.5</v>
      </c>
      <c r="O7" s="105">
        <f t="shared" si="3"/>
        <v>4.59</v>
      </c>
      <c r="P7" s="105">
        <v>3.75</v>
      </c>
      <c r="Q7" s="105">
        <f t="shared" si="4"/>
        <v>11.475</v>
      </c>
      <c r="R7" s="105"/>
      <c r="S7" s="105"/>
    </row>
    <row r="8" spans="1:19" x14ac:dyDescent="0.25">
      <c r="A8" s="317" t="s">
        <v>285</v>
      </c>
      <c r="B8" s="101" t="s">
        <v>283</v>
      </c>
      <c r="C8" s="101"/>
      <c r="D8" s="102" t="s">
        <v>199</v>
      </c>
      <c r="E8" s="106">
        <v>880</v>
      </c>
      <c r="F8" s="106">
        <v>2.9</v>
      </c>
      <c r="G8" s="106">
        <f t="shared" si="0"/>
        <v>2552</v>
      </c>
      <c r="H8" s="102">
        <v>500</v>
      </c>
      <c r="I8" s="102" t="s">
        <v>9</v>
      </c>
      <c r="J8" s="105"/>
      <c r="K8" s="105"/>
      <c r="L8" s="105">
        <v>237.60000000000002</v>
      </c>
      <c r="M8" s="105">
        <f t="shared" si="2"/>
        <v>689.04000000000008</v>
      </c>
      <c r="N8" s="105">
        <v>484.00000000000006</v>
      </c>
      <c r="O8" s="105">
        <f t="shared" si="3"/>
        <v>1403.6000000000001</v>
      </c>
      <c r="P8" s="105">
        <v>158.4</v>
      </c>
      <c r="Q8" s="105">
        <f t="shared" si="4"/>
        <v>459.36</v>
      </c>
      <c r="R8" s="105"/>
      <c r="S8" s="105"/>
    </row>
    <row r="9" spans="1:19" x14ac:dyDescent="0.25">
      <c r="A9" s="317" t="s">
        <v>285</v>
      </c>
      <c r="B9" s="101" t="s">
        <v>284</v>
      </c>
      <c r="C9" s="101"/>
      <c r="D9" s="102" t="s">
        <v>199</v>
      </c>
      <c r="E9" s="106">
        <v>900</v>
      </c>
      <c r="F9" s="106">
        <v>2.9</v>
      </c>
      <c r="G9" s="106">
        <f t="shared" si="0"/>
        <v>2610</v>
      </c>
      <c r="H9" s="102">
        <v>500</v>
      </c>
      <c r="I9" s="102" t="s">
        <v>9</v>
      </c>
      <c r="J9" s="105"/>
      <c r="K9" s="105"/>
      <c r="L9" s="105">
        <v>243.00000000000003</v>
      </c>
      <c r="M9" s="105">
        <f t="shared" si="2"/>
        <v>704.7</v>
      </c>
      <c r="N9" s="105">
        <v>495.00000000000006</v>
      </c>
      <c r="O9" s="105">
        <f t="shared" si="3"/>
        <v>1435.5000000000002</v>
      </c>
      <c r="P9" s="105">
        <v>162</v>
      </c>
      <c r="Q9" s="105">
        <f t="shared" si="4"/>
        <v>469.8</v>
      </c>
      <c r="R9" s="105"/>
      <c r="S9" s="105"/>
    </row>
    <row r="10" spans="1:19" hidden="1" x14ac:dyDescent="0.25">
      <c r="A10" s="102" t="s">
        <v>286</v>
      </c>
      <c r="B10" s="101" t="s">
        <v>325</v>
      </c>
      <c r="C10" s="101"/>
      <c r="D10" s="102" t="s">
        <v>319</v>
      </c>
      <c r="E10" s="106">
        <v>2000</v>
      </c>
      <c r="F10" s="106">
        <v>4.5</v>
      </c>
      <c r="G10" s="106">
        <f t="shared" si="0"/>
        <v>9000</v>
      </c>
      <c r="H10" s="102">
        <v>400</v>
      </c>
      <c r="I10" s="102" t="s">
        <v>9</v>
      </c>
      <c r="J10" s="105">
        <v>500</v>
      </c>
      <c r="K10" s="105">
        <f t="shared" ref="K10:K11" si="5">+J10*F10</f>
        <v>2250</v>
      </c>
      <c r="L10" s="105">
        <v>600</v>
      </c>
      <c r="M10" s="105">
        <f t="shared" si="2"/>
        <v>2700</v>
      </c>
      <c r="N10" s="105">
        <v>400</v>
      </c>
      <c r="O10" s="105">
        <f t="shared" si="3"/>
        <v>1800</v>
      </c>
      <c r="P10" s="105">
        <v>500</v>
      </c>
      <c r="Q10" s="105">
        <f t="shared" si="4"/>
        <v>2250</v>
      </c>
      <c r="R10" s="105"/>
      <c r="S10" s="105"/>
    </row>
    <row r="11" spans="1:19" hidden="1" x14ac:dyDescent="0.25">
      <c r="A11" s="102" t="s">
        <v>288</v>
      </c>
      <c r="B11" s="101" t="s">
        <v>287</v>
      </c>
      <c r="C11" s="101"/>
      <c r="D11" s="102" t="s">
        <v>62</v>
      </c>
      <c r="E11" s="106">
        <v>170.78070000000002</v>
      </c>
      <c r="F11" s="106">
        <v>54</v>
      </c>
      <c r="G11" s="106">
        <f t="shared" si="0"/>
        <v>9222.1578000000009</v>
      </c>
      <c r="H11" s="102">
        <v>300</v>
      </c>
      <c r="I11" s="102" t="s">
        <v>9</v>
      </c>
      <c r="J11" s="105">
        <v>170.78070000000002</v>
      </c>
      <c r="K11" s="105">
        <f t="shared" si="5"/>
        <v>9222.1578000000009</v>
      </c>
      <c r="L11" s="105"/>
      <c r="M11" s="105"/>
      <c r="N11" s="105"/>
      <c r="O11" s="105"/>
      <c r="P11" s="105"/>
      <c r="Q11" s="105"/>
      <c r="R11" s="105"/>
      <c r="S11" s="105"/>
    </row>
    <row r="12" spans="1:19" x14ac:dyDescent="0.25">
      <c r="A12" s="102" t="s">
        <v>290</v>
      </c>
      <c r="B12" s="101" t="s">
        <v>289</v>
      </c>
      <c r="C12" s="101"/>
      <c r="D12" s="102" t="s">
        <v>199</v>
      </c>
      <c r="E12" s="106">
        <v>37571.337999999996</v>
      </c>
      <c r="F12" s="106">
        <v>2.35</v>
      </c>
      <c r="G12" s="106">
        <f t="shared" si="0"/>
        <v>88292.6443</v>
      </c>
      <c r="H12" s="102">
        <v>500</v>
      </c>
      <c r="I12" s="102" t="s">
        <v>9</v>
      </c>
      <c r="J12" s="105"/>
      <c r="K12" s="105"/>
      <c r="L12" s="105">
        <v>10100</v>
      </c>
      <c r="M12" s="105">
        <f t="shared" si="2"/>
        <v>23735</v>
      </c>
      <c r="N12" s="105">
        <v>20660</v>
      </c>
      <c r="O12" s="105">
        <f t="shared" si="3"/>
        <v>48551</v>
      </c>
      <c r="P12" s="105">
        <v>6811.34</v>
      </c>
      <c r="Q12" s="105">
        <f t="shared" si="4"/>
        <v>16006.649000000001</v>
      </c>
      <c r="R12" s="105"/>
      <c r="S12" s="105"/>
    </row>
    <row r="13" spans="1:19" hidden="1" x14ac:dyDescent="0.25">
      <c r="A13" s="102" t="s">
        <v>291</v>
      </c>
      <c r="B13" s="101" t="s">
        <v>292</v>
      </c>
      <c r="C13" s="101"/>
      <c r="D13" s="102" t="s">
        <v>200</v>
      </c>
      <c r="E13" s="106">
        <v>220.542</v>
      </c>
      <c r="F13" s="106">
        <v>11.23</v>
      </c>
      <c r="G13" s="106">
        <f t="shared" si="0"/>
        <v>2476.6866600000003</v>
      </c>
      <c r="H13" s="102">
        <v>300</v>
      </c>
      <c r="I13" s="102" t="s">
        <v>9</v>
      </c>
      <c r="J13" s="105"/>
      <c r="K13" s="105"/>
      <c r="L13" s="105"/>
      <c r="M13" s="105"/>
      <c r="N13" s="105">
        <v>88</v>
      </c>
      <c r="O13" s="105">
        <f t="shared" si="3"/>
        <v>988.24</v>
      </c>
      <c r="P13" s="105">
        <v>132.54</v>
      </c>
      <c r="Q13" s="105">
        <f t="shared" si="4"/>
        <v>1488.4241999999999</v>
      </c>
      <c r="R13" s="105"/>
      <c r="S13" s="105"/>
    </row>
    <row r="14" spans="1:19" hidden="1" x14ac:dyDescent="0.25">
      <c r="A14" s="102" t="s">
        <v>297</v>
      </c>
      <c r="B14" s="101" t="s">
        <v>293</v>
      </c>
      <c r="C14" s="101"/>
      <c r="D14" s="102" t="s">
        <v>62</v>
      </c>
      <c r="E14" s="106">
        <v>399.10255000000001</v>
      </c>
      <c r="F14" s="106">
        <v>180</v>
      </c>
      <c r="G14" s="106">
        <f t="shared" si="0"/>
        <v>71838.459000000003</v>
      </c>
      <c r="H14" s="102">
        <v>300</v>
      </c>
      <c r="I14" s="102" t="s">
        <v>9</v>
      </c>
      <c r="J14" s="105">
        <v>399.10255000000001</v>
      </c>
      <c r="K14" s="105">
        <f>+J14*F14</f>
        <v>71838.459000000003</v>
      </c>
      <c r="L14" s="105"/>
      <c r="M14" s="105"/>
      <c r="N14" s="105"/>
      <c r="O14" s="105"/>
      <c r="P14" s="105"/>
      <c r="Q14" s="105"/>
      <c r="R14" s="105"/>
      <c r="S14" s="105"/>
    </row>
    <row r="15" spans="1:19" hidden="1" x14ac:dyDescent="0.25">
      <c r="A15" s="102" t="s">
        <v>297</v>
      </c>
      <c r="B15" s="101" t="s">
        <v>294</v>
      </c>
      <c r="C15" s="101"/>
      <c r="D15" s="102" t="s">
        <v>62</v>
      </c>
      <c r="E15" s="106">
        <v>557.31870000000004</v>
      </c>
      <c r="F15" s="106">
        <v>200</v>
      </c>
      <c r="G15" s="106">
        <f t="shared" si="0"/>
        <v>111463.74</v>
      </c>
      <c r="H15" s="102">
        <v>300</v>
      </c>
      <c r="I15" s="102" t="s">
        <v>9</v>
      </c>
      <c r="J15" s="105"/>
      <c r="K15" s="105"/>
      <c r="L15" s="105"/>
      <c r="M15" s="105"/>
      <c r="N15" s="105">
        <v>250</v>
      </c>
      <c r="O15" s="105">
        <f t="shared" si="3"/>
        <v>50000</v>
      </c>
      <c r="P15" s="105">
        <v>200</v>
      </c>
      <c r="Q15" s="105">
        <f t="shared" si="4"/>
        <v>40000</v>
      </c>
      <c r="R15" s="105">
        <v>107.32</v>
      </c>
      <c r="S15" s="105">
        <f>+R15*F15</f>
        <v>21464</v>
      </c>
    </row>
    <row r="16" spans="1:19" hidden="1" x14ac:dyDescent="0.25">
      <c r="A16" s="102" t="s">
        <v>297</v>
      </c>
      <c r="B16" s="101" t="s">
        <v>295</v>
      </c>
      <c r="C16" s="101"/>
      <c r="D16" s="102" t="s">
        <v>62</v>
      </c>
      <c r="E16" s="106">
        <v>269.18700000000001</v>
      </c>
      <c r="F16" s="106">
        <v>230</v>
      </c>
      <c r="G16" s="106">
        <f t="shared" si="0"/>
        <v>61913.01</v>
      </c>
      <c r="H16" s="102">
        <v>300</v>
      </c>
      <c r="I16" s="102" t="s">
        <v>9</v>
      </c>
      <c r="J16" s="105"/>
      <c r="K16" s="105"/>
      <c r="L16" s="105"/>
      <c r="M16" s="105"/>
      <c r="N16" s="105">
        <v>156</v>
      </c>
      <c r="O16" s="105">
        <f t="shared" si="3"/>
        <v>35880</v>
      </c>
      <c r="P16" s="105">
        <v>113.19</v>
      </c>
      <c r="Q16" s="105">
        <f t="shared" si="4"/>
        <v>26033.7</v>
      </c>
      <c r="R16" s="105"/>
      <c r="S16" s="105"/>
    </row>
    <row r="17" spans="1:19" hidden="1" x14ac:dyDescent="0.25">
      <c r="A17" s="102" t="s">
        <v>297</v>
      </c>
      <c r="B17" s="101" t="s">
        <v>296</v>
      </c>
      <c r="C17" s="101"/>
      <c r="D17" s="102" t="s">
        <v>199</v>
      </c>
      <c r="E17" s="106">
        <v>2.5120000000000005</v>
      </c>
      <c r="F17" s="106">
        <v>190</v>
      </c>
      <c r="G17" s="106">
        <f t="shared" si="0"/>
        <v>477.28000000000009</v>
      </c>
      <c r="H17" s="102">
        <v>300</v>
      </c>
      <c r="I17" s="102" t="s">
        <v>9</v>
      </c>
      <c r="J17" s="105"/>
      <c r="K17" s="105"/>
      <c r="L17" s="105">
        <v>0.9</v>
      </c>
      <c r="M17" s="105">
        <f t="shared" ref="M17" si="6">+L17*F17</f>
        <v>171</v>
      </c>
      <c r="N17" s="105">
        <v>1.0048000000000001</v>
      </c>
      <c r="O17" s="105">
        <f t="shared" si="3"/>
        <v>190.91200000000003</v>
      </c>
      <c r="P17" s="105">
        <v>0.61</v>
      </c>
      <c r="Q17" s="105">
        <f t="shared" si="4"/>
        <v>115.89999999999999</v>
      </c>
      <c r="R17" s="105"/>
      <c r="S17" s="105"/>
    </row>
    <row r="18" spans="1:19" hidden="1" x14ac:dyDescent="0.25">
      <c r="A18" s="104"/>
      <c r="B18" s="104" t="s">
        <v>60</v>
      </c>
      <c r="C18" s="103"/>
      <c r="D18" s="104"/>
      <c r="E18" s="107"/>
      <c r="F18" s="107"/>
      <c r="G18" s="107"/>
      <c r="H18" s="104"/>
      <c r="I18" s="104"/>
      <c r="J18" s="105"/>
      <c r="K18" s="105"/>
      <c r="L18" s="105"/>
      <c r="M18" s="105"/>
      <c r="N18" s="105"/>
      <c r="O18" s="105"/>
      <c r="P18" s="105"/>
      <c r="Q18" s="105"/>
      <c r="R18" s="105"/>
      <c r="S18" s="105"/>
    </row>
    <row r="19" spans="1:19" hidden="1" x14ac:dyDescent="0.25">
      <c r="A19" s="102" t="s">
        <v>300</v>
      </c>
      <c r="B19" s="101" t="s">
        <v>298</v>
      </c>
      <c r="C19" s="101"/>
      <c r="D19" s="102" t="s">
        <v>63</v>
      </c>
      <c r="E19" s="106">
        <v>26.381880000000006</v>
      </c>
      <c r="F19" s="106">
        <v>8.1</v>
      </c>
      <c r="G19" s="106">
        <f t="shared" si="0"/>
        <v>213.69322800000003</v>
      </c>
      <c r="H19" s="102">
        <v>100</v>
      </c>
      <c r="I19" s="102" t="s">
        <v>10</v>
      </c>
      <c r="J19" s="105">
        <v>15</v>
      </c>
      <c r="K19" s="372">
        <f t="shared" ref="K19:K20" si="7">+J19*F19</f>
        <v>121.5</v>
      </c>
      <c r="L19" s="105">
        <v>9</v>
      </c>
      <c r="M19" s="105">
        <f t="shared" ref="M19:M20" si="8">+L19*F19</f>
        <v>72.899999999999991</v>
      </c>
      <c r="N19" s="105">
        <v>2.38</v>
      </c>
      <c r="O19" s="105">
        <f t="shared" si="3"/>
        <v>19.277999999999999</v>
      </c>
      <c r="P19" s="105"/>
      <c r="Q19" s="105"/>
      <c r="R19" s="105"/>
      <c r="S19" s="105"/>
    </row>
    <row r="20" spans="1:19" hidden="1" x14ac:dyDescent="0.25">
      <c r="A20" s="102" t="s">
        <v>300</v>
      </c>
      <c r="B20" s="101" t="s">
        <v>299</v>
      </c>
      <c r="C20" s="101"/>
      <c r="D20" s="102" t="s">
        <v>63</v>
      </c>
      <c r="E20" s="106">
        <v>26.381880000000006</v>
      </c>
      <c r="F20" s="106">
        <v>14</v>
      </c>
      <c r="G20" s="106">
        <f t="shared" si="0"/>
        <v>369.34632000000011</v>
      </c>
      <c r="H20" s="102">
        <v>100</v>
      </c>
      <c r="I20" s="102" t="s">
        <v>10</v>
      </c>
      <c r="J20" s="105">
        <v>8.4</v>
      </c>
      <c r="K20" s="372">
        <f t="shared" si="7"/>
        <v>117.60000000000001</v>
      </c>
      <c r="L20" s="105">
        <v>7.3</v>
      </c>
      <c r="M20" s="105">
        <f t="shared" si="8"/>
        <v>102.2</v>
      </c>
      <c r="N20" s="105">
        <v>5</v>
      </c>
      <c r="O20" s="105">
        <f t="shared" si="3"/>
        <v>70</v>
      </c>
      <c r="P20" s="105">
        <v>5.68</v>
      </c>
      <c r="Q20" s="105">
        <f t="shared" ref="Q20:Q23" si="9">+P20*F20</f>
        <v>79.52</v>
      </c>
      <c r="R20" s="105"/>
      <c r="S20" s="105"/>
    </row>
    <row r="21" spans="1:19" hidden="1" x14ac:dyDescent="0.25">
      <c r="A21" s="102" t="s">
        <v>304</v>
      </c>
      <c r="B21" s="101" t="s">
        <v>301</v>
      </c>
      <c r="C21" s="101"/>
      <c r="D21" s="102" t="s">
        <v>63</v>
      </c>
      <c r="E21" s="106">
        <v>6.1876540000000002</v>
      </c>
      <c r="F21" s="106">
        <v>26.11</v>
      </c>
      <c r="G21" s="106">
        <f t="shared" si="0"/>
        <v>161.55964594</v>
      </c>
      <c r="H21" s="102">
        <v>200</v>
      </c>
      <c r="I21" s="102" t="s">
        <v>10</v>
      </c>
      <c r="J21" s="105"/>
      <c r="K21" s="105"/>
      <c r="L21" s="105"/>
      <c r="M21" s="105"/>
      <c r="N21" s="105">
        <v>3</v>
      </c>
      <c r="O21" s="105">
        <f t="shared" si="3"/>
        <v>78.33</v>
      </c>
      <c r="P21" s="105">
        <v>2</v>
      </c>
      <c r="Q21" s="105">
        <f t="shared" si="9"/>
        <v>52.22</v>
      </c>
      <c r="R21" s="105">
        <v>1.19</v>
      </c>
      <c r="S21" s="105">
        <f t="shared" ref="S21:S23" si="10">+R21*F21</f>
        <v>31.070899999999998</v>
      </c>
    </row>
    <row r="22" spans="1:19" hidden="1" x14ac:dyDescent="0.25">
      <c r="A22" s="102" t="s">
        <v>304</v>
      </c>
      <c r="B22" s="101" t="s">
        <v>302</v>
      </c>
      <c r="C22" s="101"/>
      <c r="D22" s="102" t="s">
        <v>63</v>
      </c>
      <c r="E22" s="106">
        <v>505.08572899999996</v>
      </c>
      <c r="F22" s="106">
        <v>5.9</v>
      </c>
      <c r="G22" s="106">
        <f t="shared" si="0"/>
        <v>2980.0058011000001</v>
      </c>
      <c r="H22" s="102">
        <v>300</v>
      </c>
      <c r="I22" s="102" t="s">
        <v>10</v>
      </c>
      <c r="J22" s="105"/>
      <c r="K22" s="105"/>
      <c r="L22" s="105"/>
      <c r="M22" s="105"/>
      <c r="N22" s="105">
        <v>313</v>
      </c>
      <c r="O22" s="105">
        <f t="shared" si="3"/>
        <v>1846.7</v>
      </c>
      <c r="P22" s="105">
        <v>177</v>
      </c>
      <c r="Q22" s="105">
        <f t="shared" si="9"/>
        <v>1044.3</v>
      </c>
      <c r="R22" s="105">
        <v>15.09</v>
      </c>
      <c r="S22" s="105">
        <f t="shared" si="10"/>
        <v>89.031000000000006</v>
      </c>
    </row>
    <row r="23" spans="1:19" hidden="1" x14ac:dyDescent="0.25">
      <c r="A23" s="102" t="s">
        <v>304</v>
      </c>
      <c r="B23" s="101" t="s">
        <v>303</v>
      </c>
      <c r="C23" s="101"/>
      <c r="D23" s="102" t="s">
        <v>62</v>
      </c>
      <c r="E23" s="106">
        <v>389.12850000000009</v>
      </c>
      <c r="F23" s="106">
        <v>30</v>
      </c>
      <c r="G23" s="106">
        <f t="shared" si="0"/>
        <v>11673.855000000003</v>
      </c>
      <c r="H23" s="102">
        <v>300</v>
      </c>
      <c r="I23" s="102" t="s">
        <v>10</v>
      </c>
      <c r="J23" s="105"/>
      <c r="K23" s="105"/>
      <c r="L23" s="105"/>
      <c r="M23" s="105"/>
      <c r="N23" s="105">
        <v>235</v>
      </c>
      <c r="O23" s="105">
        <f t="shared" si="3"/>
        <v>7050</v>
      </c>
      <c r="P23" s="105">
        <v>137</v>
      </c>
      <c r="Q23" s="105">
        <f t="shared" si="9"/>
        <v>4110</v>
      </c>
      <c r="R23" s="105">
        <v>17.13</v>
      </c>
      <c r="S23" s="105">
        <f t="shared" si="10"/>
        <v>513.9</v>
      </c>
    </row>
    <row r="24" spans="1:19" x14ac:dyDescent="0.25">
      <c r="A24" s="102" t="s">
        <v>306</v>
      </c>
      <c r="B24" s="101" t="s">
        <v>305</v>
      </c>
      <c r="C24" s="101"/>
      <c r="D24" s="102" t="s">
        <v>199</v>
      </c>
      <c r="E24" s="106">
        <v>35113.399999999994</v>
      </c>
      <c r="F24" s="106">
        <v>0.74</v>
      </c>
      <c r="G24" s="106">
        <f t="shared" si="0"/>
        <v>25983.915999999994</v>
      </c>
      <c r="H24" s="102">
        <v>500</v>
      </c>
      <c r="I24" s="102" t="s">
        <v>268</v>
      </c>
      <c r="J24" s="105"/>
      <c r="K24" s="105"/>
      <c r="L24" s="105"/>
      <c r="M24" s="105"/>
      <c r="N24" s="105"/>
      <c r="O24" s="105"/>
      <c r="P24" s="105"/>
      <c r="Q24" s="105"/>
      <c r="R24" s="105"/>
      <c r="S24" s="105"/>
    </row>
    <row r="25" spans="1:19" hidden="1" x14ac:dyDescent="0.25">
      <c r="A25" s="102" t="s">
        <v>313</v>
      </c>
      <c r="B25" s="101" t="s">
        <v>307</v>
      </c>
      <c r="C25" s="101"/>
      <c r="D25" s="102" t="s">
        <v>197</v>
      </c>
      <c r="E25" s="106">
        <v>70.33</v>
      </c>
      <c r="F25" s="106">
        <v>13</v>
      </c>
      <c r="G25" s="106">
        <f t="shared" si="0"/>
        <v>914.29</v>
      </c>
      <c r="H25" s="102">
        <v>200</v>
      </c>
      <c r="I25" s="102" t="s">
        <v>268</v>
      </c>
      <c r="J25" s="105"/>
      <c r="K25" s="105"/>
      <c r="L25" s="105"/>
      <c r="M25" s="105"/>
      <c r="N25" s="105"/>
      <c r="O25" s="105"/>
      <c r="P25" s="105"/>
      <c r="Q25" s="105"/>
      <c r="R25" s="105"/>
      <c r="S25" s="105"/>
    </row>
    <row r="26" spans="1:19" hidden="1" x14ac:dyDescent="0.25">
      <c r="A26" s="102" t="s">
        <v>313</v>
      </c>
      <c r="B26" s="101" t="s">
        <v>308</v>
      </c>
      <c r="C26" s="101"/>
      <c r="D26" s="102" t="s">
        <v>197</v>
      </c>
      <c r="E26" s="106">
        <v>8.73</v>
      </c>
      <c r="F26" s="106">
        <v>15</v>
      </c>
      <c r="G26" s="106">
        <f t="shared" si="0"/>
        <v>130.95000000000002</v>
      </c>
      <c r="H26" s="102">
        <v>200</v>
      </c>
      <c r="I26" s="102" t="s">
        <v>268</v>
      </c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7" spans="1:19" hidden="1" x14ac:dyDescent="0.25">
      <c r="A27" s="102" t="s">
        <v>313</v>
      </c>
      <c r="B27" s="101" t="s">
        <v>309</v>
      </c>
      <c r="C27" s="101"/>
      <c r="D27" s="102" t="s">
        <v>62</v>
      </c>
      <c r="E27" s="106">
        <v>39.81</v>
      </c>
      <c r="F27" s="106">
        <v>19</v>
      </c>
      <c r="G27" s="106">
        <f t="shared" si="0"/>
        <v>756.3900000000001</v>
      </c>
      <c r="H27" s="102">
        <v>200</v>
      </c>
      <c r="I27" s="102" t="s">
        <v>268</v>
      </c>
      <c r="J27" s="105"/>
      <c r="K27" s="105"/>
      <c r="L27" s="105"/>
      <c r="M27" s="105"/>
      <c r="N27" s="105"/>
      <c r="O27" s="105"/>
      <c r="P27" s="105"/>
      <c r="Q27" s="105"/>
      <c r="R27" s="105"/>
      <c r="S27" s="105"/>
    </row>
    <row r="28" spans="1:19" hidden="1" x14ac:dyDescent="0.25">
      <c r="A28" s="102" t="s">
        <v>313</v>
      </c>
      <c r="B28" s="101" t="s">
        <v>310</v>
      </c>
      <c r="C28" s="101"/>
      <c r="D28" s="102" t="s">
        <v>62</v>
      </c>
      <c r="E28" s="106">
        <v>1876.4</v>
      </c>
      <c r="F28" s="106">
        <v>21.1</v>
      </c>
      <c r="G28" s="106">
        <f t="shared" si="0"/>
        <v>39592.040000000008</v>
      </c>
      <c r="H28" s="102">
        <v>200</v>
      </c>
      <c r="I28" s="102" t="s">
        <v>268</v>
      </c>
      <c r="J28" s="105"/>
      <c r="K28" s="105"/>
      <c r="L28" s="105"/>
      <c r="M28" s="105"/>
      <c r="N28" s="105"/>
      <c r="O28" s="105"/>
      <c r="P28" s="105"/>
      <c r="Q28" s="105"/>
      <c r="R28" s="105"/>
      <c r="S28" s="105"/>
    </row>
    <row r="29" spans="1:19" hidden="1" x14ac:dyDescent="0.25">
      <c r="A29" s="102" t="s">
        <v>313</v>
      </c>
      <c r="B29" s="101" t="s">
        <v>311</v>
      </c>
      <c r="C29" s="101"/>
      <c r="D29" s="102" t="s">
        <v>62</v>
      </c>
      <c r="E29" s="106">
        <v>1138.01</v>
      </c>
      <c r="F29" s="106">
        <v>15</v>
      </c>
      <c r="G29" s="106">
        <f t="shared" si="0"/>
        <v>17070.150000000001</v>
      </c>
      <c r="H29" s="102">
        <v>200</v>
      </c>
      <c r="I29" s="102" t="s">
        <v>268</v>
      </c>
      <c r="J29" s="105"/>
      <c r="K29" s="105"/>
      <c r="L29" s="105"/>
      <c r="M29" s="105"/>
      <c r="N29" s="105"/>
      <c r="O29" s="105"/>
      <c r="P29" s="105"/>
      <c r="Q29" s="105"/>
      <c r="R29" s="105"/>
      <c r="S29" s="105"/>
    </row>
    <row r="30" spans="1:19" hidden="1" x14ac:dyDescent="0.25">
      <c r="A30" s="102" t="s">
        <v>313</v>
      </c>
      <c r="B30" s="101" t="s">
        <v>312</v>
      </c>
      <c r="C30" s="101"/>
      <c r="D30" s="102" t="s">
        <v>62</v>
      </c>
      <c r="E30" s="106">
        <v>1173.963</v>
      </c>
      <c r="F30" s="106">
        <v>17.399999999999999</v>
      </c>
      <c r="G30" s="106">
        <f t="shared" si="0"/>
        <v>20426.956199999997</v>
      </c>
      <c r="H30" s="102">
        <v>200</v>
      </c>
      <c r="I30" s="102" t="s">
        <v>268</v>
      </c>
      <c r="J30" s="105"/>
      <c r="K30" s="105"/>
      <c r="L30" s="105"/>
      <c r="M30" s="105"/>
      <c r="N30" s="105"/>
      <c r="O30" s="105"/>
      <c r="P30" s="105"/>
      <c r="Q30" s="105"/>
      <c r="R30" s="105"/>
      <c r="S30" s="105"/>
    </row>
    <row r="31" spans="1:19" hidden="1" x14ac:dyDescent="0.25">
      <c r="A31" s="102" t="s">
        <v>318</v>
      </c>
      <c r="B31" s="101" t="s">
        <v>314</v>
      </c>
      <c r="C31" s="101"/>
      <c r="D31" s="102" t="s">
        <v>197</v>
      </c>
      <c r="E31" s="106">
        <v>551.64599999999996</v>
      </c>
      <c r="F31" s="106">
        <v>19.04</v>
      </c>
      <c r="G31" s="106">
        <f t="shared" si="0"/>
        <v>10503.339839999999</v>
      </c>
      <c r="H31" s="102">
        <v>400</v>
      </c>
      <c r="I31" s="102" t="s">
        <v>11</v>
      </c>
      <c r="J31" s="105"/>
      <c r="K31" s="105"/>
      <c r="L31" s="105"/>
      <c r="M31" s="105"/>
      <c r="N31" s="105">
        <v>195</v>
      </c>
      <c r="O31" s="105">
        <f t="shared" ref="O31:O34" si="11">+N31*F31</f>
        <v>3712.7999999999997</v>
      </c>
      <c r="P31" s="105">
        <v>356.65</v>
      </c>
      <c r="Q31" s="105">
        <f t="shared" ref="Q31:Q34" si="12">+P31*F31</f>
        <v>6790.6159999999991</v>
      </c>
      <c r="R31" s="105"/>
      <c r="S31" s="105"/>
    </row>
    <row r="32" spans="1:19" hidden="1" x14ac:dyDescent="0.25">
      <c r="A32" s="102" t="s">
        <v>318</v>
      </c>
      <c r="B32" s="101" t="s">
        <v>315</v>
      </c>
      <c r="C32" s="101"/>
      <c r="D32" s="102" t="s">
        <v>197</v>
      </c>
      <c r="E32" s="106">
        <v>444.904</v>
      </c>
      <c r="F32" s="106">
        <v>26.78</v>
      </c>
      <c r="G32" s="106">
        <f t="shared" si="0"/>
        <v>11914.529120000001</v>
      </c>
      <c r="H32" s="102">
        <v>400</v>
      </c>
      <c r="I32" s="102" t="s">
        <v>11</v>
      </c>
      <c r="J32" s="105"/>
      <c r="K32" s="105"/>
      <c r="L32" s="105"/>
      <c r="M32" s="105"/>
      <c r="N32" s="105">
        <v>145</v>
      </c>
      <c r="O32" s="105">
        <f t="shared" si="11"/>
        <v>3883.1000000000004</v>
      </c>
      <c r="P32" s="105">
        <v>299.89999999999998</v>
      </c>
      <c r="Q32" s="105">
        <f t="shared" si="12"/>
        <v>8031.3220000000001</v>
      </c>
      <c r="R32" s="105"/>
      <c r="S32" s="105"/>
    </row>
    <row r="33" spans="1:19" hidden="1" x14ac:dyDescent="0.25">
      <c r="A33" s="102" t="s">
        <v>318</v>
      </c>
      <c r="B33" s="101" t="s">
        <v>316</v>
      </c>
      <c r="C33" s="101"/>
      <c r="D33" s="102" t="s">
        <v>197</v>
      </c>
      <c r="E33" s="106">
        <v>6.67</v>
      </c>
      <c r="F33" s="106">
        <v>11.23</v>
      </c>
      <c r="G33" s="106">
        <f t="shared" si="0"/>
        <v>74.9041</v>
      </c>
      <c r="H33" s="102">
        <v>400</v>
      </c>
      <c r="I33" s="102" t="s">
        <v>11</v>
      </c>
      <c r="J33" s="105"/>
      <c r="K33" s="105"/>
      <c r="L33" s="105"/>
      <c r="M33" s="105"/>
      <c r="N33" s="105">
        <v>2</v>
      </c>
      <c r="O33" s="105">
        <f t="shared" si="11"/>
        <v>22.46</v>
      </c>
      <c r="P33" s="105">
        <v>4.67</v>
      </c>
      <c r="Q33" s="105">
        <f t="shared" si="12"/>
        <v>52.444099999999999</v>
      </c>
      <c r="R33" s="105"/>
      <c r="S33" s="105"/>
    </row>
    <row r="34" spans="1:19" hidden="1" x14ac:dyDescent="0.25">
      <c r="A34" s="102" t="s">
        <v>318</v>
      </c>
      <c r="B34" s="101" t="s">
        <v>317</v>
      </c>
      <c r="C34" s="101"/>
      <c r="D34" s="102" t="s">
        <v>197</v>
      </c>
      <c r="E34" s="106">
        <v>11.064669</v>
      </c>
      <c r="F34" s="106">
        <v>11.23</v>
      </c>
      <c r="G34" s="106">
        <f t="shared" si="0"/>
        <v>124.25623287000001</v>
      </c>
      <c r="H34" s="102">
        <v>400</v>
      </c>
      <c r="I34" s="102" t="s">
        <v>11</v>
      </c>
      <c r="J34" s="105"/>
      <c r="K34" s="105"/>
      <c r="L34" s="105"/>
      <c r="M34" s="105"/>
      <c r="N34" s="105">
        <v>3</v>
      </c>
      <c r="O34" s="105">
        <f t="shared" si="11"/>
        <v>33.69</v>
      </c>
      <c r="P34" s="105">
        <v>8.06</v>
      </c>
      <c r="Q34" s="105">
        <f t="shared" si="12"/>
        <v>90.513800000000003</v>
      </c>
      <c r="R34" s="105"/>
      <c r="S34" s="105"/>
    </row>
    <row r="35" spans="1:19" hidden="1" x14ac:dyDescent="0.25">
      <c r="A35" s="102"/>
      <c r="B35" s="101"/>
      <c r="C35" s="101"/>
      <c r="D35" s="102"/>
      <c r="E35" s="106"/>
      <c r="F35" s="106"/>
      <c r="G35" s="106"/>
      <c r="H35" s="102"/>
      <c r="I35" s="102"/>
      <c r="J35" s="105"/>
      <c r="K35" s="105"/>
      <c r="L35" s="105"/>
      <c r="M35" s="105"/>
      <c r="N35" s="105"/>
      <c r="O35" s="105"/>
      <c r="P35" s="105"/>
      <c r="Q35" s="105"/>
      <c r="R35" s="105"/>
      <c r="S35" s="105"/>
    </row>
  </sheetData>
  <autoFilter ref="A3:S35" xr:uid="{E9458134-0670-4A95-BCFF-773CCA0BF999}">
    <filterColumn colId="7">
      <filters>
        <filter val="500"/>
      </filters>
    </filterColumn>
  </autoFilter>
  <mergeCells count="5">
    <mergeCell ref="J2:K2"/>
    <mergeCell ref="L2:M2"/>
    <mergeCell ref="P2:Q2"/>
    <mergeCell ref="R2:S2"/>
    <mergeCell ref="N2:O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CDC0-AA50-436A-9486-28BF12137E22}">
  <dimension ref="A2:C10"/>
  <sheetViews>
    <sheetView zoomScale="115" zoomScaleNormal="115" workbookViewId="0">
      <selection activeCell="E16" sqref="E16"/>
    </sheetView>
  </sheetViews>
  <sheetFormatPr baseColWidth="10" defaultRowHeight="15" x14ac:dyDescent="0.25"/>
  <cols>
    <col min="1" max="1" width="12.42578125" customWidth="1"/>
    <col min="2" max="2" width="25.85546875" customWidth="1"/>
    <col min="3" max="3" width="11.42578125" style="316"/>
    <col min="4" max="8" width="14.5703125" customWidth="1"/>
  </cols>
  <sheetData>
    <row r="2" spans="1:3" s="2" customFormat="1" x14ac:dyDescent="0.25">
      <c r="A2" s="2" t="s">
        <v>264</v>
      </c>
      <c r="C2" s="5"/>
    </row>
    <row r="4" spans="1:3" x14ac:dyDescent="0.25">
      <c r="A4" s="104" t="s">
        <v>265</v>
      </c>
      <c r="B4" s="104" t="s">
        <v>270</v>
      </c>
    </row>
    <row r="5" spans="1:3" x14ac:dyDescent="0.25">
      <c r="A5" s="101" t="s">
        <v>266</v>
      </c>
      <c r="B5" s="105">
        <f>32500*2</f>
        <v>65000</v>
      </c>
    </row>
    <row r="6" spans="1:3" x14ac:dyDescent="0.25">
      <c r="A6" s="101" t="s">
        <v>320</v>
      </c>
      <c r="B6" s="105">
        <v>29800</v>
      </c>
    </row>
    <row r="7" spans="1:3" x14ac:dyDescent="0.25">
      <c r="A7" s="101" t="s">
        <v>323</v>
      </c>
      <c r="B7" s="105">
        <v>31200</v>
      </c>
    </row>
    <row r="8" spans="1:3" x14ac:dyDescent="0.25">
      <c r="A8" s="101" t="s">
        <v>321</v>
      </c>
      <c r="B8" s="105">
        <v>33000</v>
      </c>
    </row>
    <row r="9" spans="1:3" x14ac:dyDescent="0.25">
      <c r="A9" s="101" t="s">
        <v>322</v>
      </c>
      <c r="B9" s="105">
        <v>25460</v>
      </c>
    </row>
    <row r="10" spans="1:3" s="2" customFormat="1" x14ac:dyDescent="0.25">
      <c r="A10" s="318" t="s">
        <v>324</v>
      </c>
      <c r="B10" s="321">
        <f>SUM(B5:B9)</f>
        <v>184460</v>
      </c>
      <c r="C10" s="5"/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DE1B-9CB8-44C0-B921-D8CFE900A312}">
  <dimension ref="A2:AG359"/>
  <sheetViews>
    <sheetView zoomScale="85" zoomScaleNormal="85" workbookViewId="0">
      <selection activeCell="K10" sqref="K10"/>
    </sheetView>
  </sheetViews>
  <sheetFormatPr baseColWidth="10" defaultColWidth="11.5703125" defaultRowHeight="12.75" outlineLevelCol="1" x14ac:dyDescent="0.25"/>
  <cols>
    <col min="1" max="1" width="3.7109375" style="323" customWidth="1"/>
    <col min="2" max="2" width="14.5703125" style="325" bestFit="1" customWidth="1"/>
    <col min="3" max="3" width="47.140625" style="325" customWidth="1"/>
    <col min="4" max="4" width="6.5703125" style="326" bestFit="1" customWidth="1"/>
    <col min="5" max="5" width="12.85546875" style="327" customWidth="1"/>
    <col min="6" max="7" width="12.85546875" style="327" customWidth="1" outlineLevel="1"/>
    <col min="8" max="8" width="12.7109375" style="327" customWidth="1" outlineLevel="1"/>
    <col min="9" max="9" width="12" style="327" customWidth="1" outlineLevel="1"/>
    <col min="10" max="10" width="13.140625" style="327" customWidth="1"/>
    <col min="11" max="12" width="11.42578125" style="328" customWidth="1"/>
    <col min="13" max="13" width="12.28515625" style="328" customWidth="1"/>
    <col min="14" max="18" width="11.42578125" style="328" customWidth="1"/>
    <col min="19" max="20" width="12.42578125" style="328" bestFit="1" customWidth="1"/>
    <col min="21" max="21" width="11.42578125" style="328" customWidth="1"/>
    <col min="22" max="22" width="12.42578125" style="328" customWidth="1"/>
    <col min="23" max="23" width="11.42578125" style="328" customWidth="1"/>
    <col min="24" max="24" width="12.5703125" style="328" bestFit="1" customWidth="1"/>
    <col min="25" max="25" width="13.28515625" style="328" customWidth="1"/>
    <col min="26" max="26" width="11.5703125" style="328"/>
    <col min="27" max="27" width="12.140625" style="328" bestFit="1" customWidth="1"/>
    <col min="28" max="28" width="11.42578125" style="328" customWidth="1"/>
    <col min="29" max="29" width="13.5703125" style="328" customWidth="1"/>
    <col min="30" max="30" width="12.42578125" style="328" bestFit="1" customWidth="1"/>
    <col min="31" max="31" width="13" style="328" bestFit="1" customWidth="1"/>
    <col min="32" max="16384" width="11.5703125" style="323"/>
  </cols>
  <sheetData>
    <row r="2" spans="1:33" x14ac:dyDescent="0.25">
      <c r="B2" s="324" t="s">
        <v>356</v>
      </c>
    </row>
    <row r="3" spans="1:33" ht="5.0999999999999996" customHeight="1" x14ac:dyDescent="0.25"/>
    <row r="4" spans="1:33" x14ac:dyDescent="0.25">
      <c r="A4" s="329"/>
      <c r="B4" s="330" t="str">
        <f>+[1]Procesos!A4</f>
        <v xml:space="preserve">CR: </v>
      </c>
      <c r="C4" s="331" t="str">
        <f>[2]Caratula!C6</f>
        <v>001</v>
      </c>
      <c r="E4" s="332"/>
      <c r="F4" s="333"/>
      <c r="G4" s="332"/>
      <c r="H4" s="332"/>
      <c r="I4" s="332"/>
      <c r="J4" s="332"/>
      <c r="K4" s="326"/>
      <c r="L4" s="326"/>
      <c r="M4" s="326"/>
      <c r="N4" s="326"/>
      <c r="O4" s="326"/>
      <c r="P4" s="326"/>
      <c r="Q4" s="326"/>
      <c r="R4" s="326"/>
      <c r="S4" s="326"/>
      <c r="T4" s="326"/>
      <c r="U4" s="326"/>
      <c r="V4" s="326"/>
      <c r="W4" s="326"/>
      <c r="X4" s="326"/>
      <c r="Y4" s="326"/>
      <c r="Z4" s="326"/>
      <c r="AA4" s="326"/>
      <c r="AB4" s="326"/>
      <c r="AC4" s="326"/>
      <c r="AD4" s="326"/>
    </row>
    <row r="5" spans="1:33" x14ac:dyDescent="0.25">
      <c r="A5" s="329"/>
      <c r="B5" s="330" t="str">
        <f>+[1]Procesos!A5</f>
        <v>PROYECTO:</v>
      </c>
      <c r="C5" s="331" t="str">
        <f>[2]Caratula!C7</f>
        <v>I.E. N° 1182 "EL BOSQUE" - CERCO + INGRESOS Y CASETAS</v>
      </c>
      <c r="D5" s="328"/>
      <c r="E5" s="332"/>
      <c r="F5" s="333"/>
      <c r="G5" s="332"/>
      <c r="H5" s="332"/>
      <c r="I5" s="332"/>
      <c r="J5" s="332"/>
      <c r="K5" s="326"/>
      <c r="L5" s="326"/>
      <c r="M5" s="326"/>
      <c r="N5" s="326"/>
      <c r="O5" s="326"/>
      <c r="P5" s="326"/>
      <c r="Q5" s="326"/>
      <c r="R5" s="326"/>
      <c r="S5" s="326"/>
      <c r="T5" s="326"/>
      <c r="U5" s="326"/>
      <c r="V5" s="326"/>
      <c r="W5" s="326"/>
      <c r="X5" s="326"/>
      <c r="Y5" s="326"/>
      <c r="Z5" s="326"/>
      <c r="AA5" s="326"/>
      <c r="AB5" s="326"/>
      <c r="AC5" s="326"/>
      <c r="AD5" s="326"/>
    </row>
    <row r="6" spans="1:33" x14ac:dyDescent="0.25">
      <c r="A6" s="329"/>
      <c r="B6" s="330" t="str">
        <f>+[1]Procesos!A6</f>
        <v>CORTE:</v>
      </c>
      <c r="C6" s="334">
        <f>[2]Caratula!C8</f>
        <v>45504</v>
      </c>
      <c r="E6" s="332"/>
      <c r="F6" s="333"/>
      <c r="G6" s="332"/>
      <c r="H6" s="332"/>
      <c r="I6" s="332"/>
      <c r="J6" s="332"/>
      <c r="K6" s="326"/>
      <c r="L6" s="326"/>
      <c r="M6" s="326"/>
      <c r="N6" s="326"/>
      <c r="O6" s="326"/>
      <c r="P6" s="326"/>
      <c r="Q6" s="326"/>
      <c r="R6" s="326"/>
      <c r="S6" s="326"/>
      <c r="T6" s="326"/>
      <c r="U6" s="326"/>
      <c r="V6" s="326"/>
      <c r="W6" s="326"/>
      <c r="X6" s="326"/>
      <c r="Y6" s="326"/>
      <c r="Z6" s="326"/>
      <c r="AA6" s="326"/>
      <c r="AB6" s="326"/>
      <c r="AC6" s="326"/>
      <c r="AD6" s="326"/>
    </row>
    <row r="7" spans="1:33" x14ac:dyDescent="0.25">
      <c r="A7" s="329"/>
      <c r="B7" s="324"/>
      <c r="C7" s="326"/>
      <c r="E7" s="335" t="s">
        <v>330</v>
      </c>
      <c r="F7" s="335"/>
      <c r="G7" s="335"/>
      <c r="I7" s="335" t="s">
        <v>330</v>
      </c>
      <c r="J7" s="332"/>
      <c r="K7" s="326"/>
      <c r="L7" s="326"/>
      <c r="M7" s="326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  <c r="AA7" s="326"/>
      <c r="AB7" s="326"/>
      <c r="AC7" s="326"/>
      <c r="AD7" s="326"/>
    </row>
    <row r="8" spans="1:33" ht="15" customHeight="1" x14ac:dyDescent="0.25">
      <c r="A8" s="329"/>
      <c r="B8" s="474" t="s">
        <v>331</v>
      </c>
      <c r="C8" s="474" t="s">
        <v>212</v>
      </c>
      <c r="D8" s="474" t="s">
        <v>3</v>
      </c>
      <c r="E8" s="471" t="s">
        <v>332</v>
      </c>
      <c r="F8" s="468" t="s">
        <v>333</v>
      </c>
      <c r="G8" s="468" t="s">
        <v>334</v>
      </c>
      <c r="H8" s="468" t="s">
        <v>335</v>
      </c>
      <c r="I8" s="468" t="s">
        <v>336</v>
      </c>
      <c r="J8" s="471" t="s">
        <v>337</v>
      </c>
      <c r="K8" s="472" t="s">
        <v>338</v>
      </c>
      <c r="L8" s="473"/>
      <c r="M8" s="473"/>
      <c r="N8" s="473"/>
      <c r="O8" s="473"/>
      <c r="P8" s="473"/>
      <c r="Q8" s="473"/>
      <c r="R8" s="473"/>
      <c r="S8" s="473"/>
      <c r="T8" s="473"/>
      <c r="U8" s="473"/>
      <c r="V8" s="473"/>
      <c r="W8" s="473"/>
      <c r="X8" s="473"/>
      <c r="Y8" s="473"/>
      <c r="Z8" s="473"/>
      <c r="AA8" s="473"/>
      <c r="AB8" s="473"/>
      <c r="AC8" s="473"/>
      <c r="AD8" s="473"/>
      <c r="AE8" s="474" t="s">
        <v>339</v>
      </c>
    </row>
    <row r="9" spans="1:33" s="338" customFormat="1" ht="15" customHeight="1" x14ac:dyDescent="0.25">
      <c r="A9" s="336"/>
      <c r="B9" s="474"/>
      <c r="C9" s="474"/>
      <c r="D9" s="474"/>
      <c r="E9" s="471"/>
      <c r="F9" s="469"/>
      <c r="G9" s="469"/>
      <c r="H9" s="469"/>
      <c r="I9" s="469"/>
      <c r="J9" s="471"/>
      <c r="K9" s="337">
        <f>[2]Semanas!B8</f>
        <v>1</v>
      </c>
      <c r="L9" s="337">
        <f>[2]Semanas!C8</f>
        <v>2</v>
      </c>
      <c r="M9" s="337">
        <f>[2]Semanas!D8</f>
        <v>3</v>
      </c>
      <c r="N9" s="337">
        <f>[2]Semanas!E8</f>
        <v>4</v>
      </c>
      <c r="O9" s="337">
        <f>[2]Semanas!F8</f>
        <v>5</v>
      </c>
      <c r="P9" s="337">
        <f>[2]Semanas!G8</f>
        <v>6</v>
      </c>
      <c r="Q9" s="337">
        <f>[2]Semanas!H8</f>
        <v>7</v>
      </c>
      <c r="R9" s="337">
        <f>[2]Semanas!I8</f>
        <v>8</v>
      </c>
      <c r="S9" s="337">
        <f>[2]Semanas!J8</f>
        <v>9</v>
      </c>
      <c r="T9" s="337">
        <f>[2]Semanas!K8</f>
        <v>10</v>
      </c>
      <c r="U9" s="337">
        <f>[2]Semanas!L8</f>
        <v>11</v>
      </c>
      <c r="V9" s="337">
        <f>[2]Semanas!M8</f>
        <v>12</v>
      </c>
      <c r="W9" s="337">
        <f>[2]Semanas!N8</f>
        <v>13</v>
      </c>
      <c r="X9" s="337">
        <f>[2]Semanas!O8</f>
        <v>14</v>
      </c>
      <c r="Y9" s="337">
        <f>[2]Semanas!P8</f>
        <v>15</v>
      </c>
      <c r="Z9" s="337">
        <f>[2]Semanas!Q8</f>
        <v>16</v>
      </c>
      <c r="AA9" s="337">
        <f>[2]Semanas!R8</f>
        <v>17</v>
      </c>
      <c r="AB9" s="337">
        <f>[2]Semanas!S8</f>
        <v>18</v>
      </c>
      <c r="AC9" s="337">
        <f>[2]Semanas!T8</f>
        <v>19</v>
      </c>
      <c r="AD9" s="337">
        <f>[2]Semanas!U8</f>
        <v>20</v>
      </c>
      <c r="AE9" s="474"/>
    </row>
    <row r="10" spans="1:33" s="336" customFormat="1" x14ac:dyDescent="0.25">
      <c r="B10" s="474"/>
      <c r="C10" s="474"/>
      <c r="D10" s="474"/>
      <c r="E10" s="471"/>
      <c r="F10" s="470"/>
      <c r="G10" s="470"/>
      <c r="H10" s="470"/>
      <c r="I10" s="470"/>
      <c r="J10" s="471"/>
      <c r="K10" s="339">
        <f>[2]Semanas!B9</f>
        <v>45481</v>
      </c>
      <c r="L10" s="339">
        <f>[2]Semanas!C9</f>
        <v>45488</v>
      </c>
      <c r="M10" s="339">
        <f>[2]Semanas!D9</f>
        <v>45495</v>
      </c>
      <c r="N10" s="339">
        <f>[2]Semanas!E9</f>
        <v>45502</v>
      </c>
      <c r="O10" s="339">
        <f>[2]Semanas!F9</f>
        <v>45509</v>
      </c>
      <c r="P10" s="339">
        <f>[2]Semanas!G9</f>
        <v>45516</v>
      </c>
      <c r="Q10" s="339">
        <f>[2]Semanas!H9</f>
        <v>45523</v>
      </c>
      <c r="R10" s="339">
        <f>[2]Semanas!I9</f>
        <v>45530</v>
      </c>
      <c r="S10" s="339">
        <f>[2]Semanas!J9</f>
        <v>45537</v>
      </c>
      <c r="T10" s="339">
        <f>[2]Semanas!K9</f>
        <v>45544</v>
      </c>
      <c r="U10" s="339">
        <f>[2]Semanas!L9</f>
        <v>45551</v>
      </c>
      <c r="V10" s="339">
        <f>[2]Semanas!M9</f>
        <v>45558</v>
      </c>
      <c r="W10" s="339">
        <f>[2]Semanas!N9</f>
        <v>45565</v>
      </c>
      <c r="X10" s="339">
        <f>[2]Semanas!O9</f>
        <v>45572</v>
      </c>
      <c r="Y10" s="339">
        <f>[2]Semanas!P9</f>
        <v>45579</v>
      </c>
      <c r="Z10" s="339">
        <f>[2]Semanas!Q9</f>
        <v>45586</v>
      </c>
      <c r="AA10" s="339">
        <f>[2]Semanas!R9</f>
        <v>45593</v>
      </c>
      <c r="AB10" s="339">
        <f>[2]Semanas!S9</f>
        <v>45600</v>
      </c>
      <c r="AC10" s="339">
        <f>[2]Semanas!T9</f>
        <v>45607</v>
      </c>
      <c r="AD10" s="339">
        <f>[2]Semanas!U9</f>
        <v>45614</v>
      </c>
      <c r="AE10" s="474"/>
    </row>
    <row r="11" spans="1:33" ht="30" customHeight="1" x14ac:dyDescent="0.25">
      <c r="A11" s="329">
        <f>+A10+1</f>
        <v>1</v>
      </c>
      <c r="B11" s="340">
        <v>100</v>
      </c>
      <c r="C11" s="341" t="str">
        <f>+VLOOKUP(B11,[2]Procesos!A12:$C$40,2,0)</f>
        <v>OBRAS PROVISIONALES</v>
      </c>
      <c r="D11" s="342" t="str">
        <f>[2]Procesos!$B$7</f>
        <v>HH</v>
      </c>
      <c r="E11" s="343">
        <v>100.63</v>
      </c>
      <c r="F11" s="344"/>
      <c r="G11" s="344"/>
      <c r="H11" s="344"/>
      <c r="I11" s="344"/>
      <c r="J11" s="344">
        <f ca="1">SUMIF($E$7:$J$7,"Previsto",E11:I11)</f>
        <v>100.63</v>
      </c>
      <c r="K11" s="345">
        <v>12.8</v>
      </c>
      <c r="L11" s="345">
        <v>14.2</v>
      </c>
      <c r="M11" s="345">
        <v>10.199999999999999</v>
      </c>
      <c r="N11" s="345">
        <v>11.2</v>
      </c>
      <c r="O11" s="345">
        <v>11.4</v>
      </c>
      <c r="P11" s="345">
        <v>11.35</v>
      </c>
      <c r="Q11" s="345">
        <v>9.5</v>
      </c>
      <c r="R11" s="345">
        <v>11.5</v>
      </c>
      <c r="S11" s="345">
        <v>4.5</v>
      </c>
      <c r="T11" s="345">
        <v>4.2</v>
      </c>
      <c r="U11" s="345">
        <v>3</v>
      </c>
      <c r="V11" s="345">
        <v>2.8</v>
      </c>
      <c r="W11" s="345">
        <v>4.2</v>
      </c>
      <c r="X11" s="345">
        <v>4.5</v>
      </c>
      <c r="Y11" s="345">
        <v>4.5</v>
      </c>
      <c r="Z11" s="345">
        <v>4.3</v>
      </c>
      <c r="AA11" s="345">
        <v>0</v>
      </c>
      <c r="AB11" s="345">
        <v>0</v>
      </c>
      <c r="AC11" s="345">
        <v>0</v>
      </c>
      <c r="AD11" s="345">
        <v>0</v>
      </c>
      <c r="AE11" s="346">
        <f>SUM(K11:AD11)</f>
        <v>124.15</v>
      </c>
      <c r="AG11" s="323">
        <v>17</v>
      </c>
    </row>
    <row r="12" spans="1:33" ht="30" customHeight="1" x14ac:dyDescent="0.25">
      <c r="A12" s="329">
        <f t="shared" ref="A12:A15" si="0">+A11+1</f>
        <v>2</v>
      </c>
      <c r="B12" s="340">
        <v>200</v>
      </c>
      <c r="C12" s="341" t="str">
        <f>+VLOOKUP(B12,[2]Procesos!A13:$C$40,2,0)</f>
        <v>MOVIMIENTO DE TIERRAS</v>
      </c>
      <c r="D12" s="342" t="str">
        <f>[2]Procesos!$B$7</f>
        <v>HH</v>
      </c>
      <c r="E12" s="343">
        <v>3931.7</v>
      </c>
      <c r="F12" s="344"/>
      <c r="G12" s="344"/>
      <c r="H12" s="344"/>
      <c r="I12" s="344"/>
      <c r="J12" s="344">
        <f ca="1">SUMIF($E$7:$J$7,"Previsto",E12:I12)</f>
        <v>3931.7</v>
      </c>
      <c r="K12" s="345">
        <v>385</v>
      </c>
      <c r="L12" s="345">
        <v>375</v>
      </c>
      <c r="M12" s="345">
        <v>390</v>
      </c>
      <c r="N12" s="345">
        <v>400</v>
      </c>
      <c r="O12" s="345">
        <v>385</v>
      </c>
      <c r="P12" s="345">
        <v>405</v>
      </c>
      <c r="Q12" s="345">
        <v>380</v>
      </c>
      <c r="R12" s="345">
        <v>395</v>
      </c>
      <c r="S12" s="345">
        <v>180</v>
      </c>
      <c r="T12" s="345">
        <v>182</v>
      </c>
      <c r="U12" s="345">
        <v>185</v>
      </c>
      <c r="V12" s="345">
        <v>190</v>
      </c>
      <c r="W12" s="345">
        <v>4.5</v>
      </c>
      <c r="X12" s="345">
        <v>5</v>
      </c>
      <c r="Y12" s="345">
        <v>4.25</v>
      </c>
      <c r="Z12" s="345">
        <v>4.3</v>
      </c>
      <c r="AA12" s="345">
        <v>3.5</v>
      </c>
      <c r="AB12" s="345">
        <v>3.8</v>
      </c>
      <c r="AC12" s="345">
        <v>3.5</v>
      </c>
      <c r="AD12" s="345">
        <v>3</v>
      </c>
      <c r="AE12" s="346">
        <f t="shared" ref="AE12:AE15" si="1">SUM(K12:AD12)</f>
        <v>3883.8500000000004</v>
      </c>
    </row>
    <row r="13" spans="1:33" ht="30" customHeight="1" x14ac:dyDescent="0.25">
      <c r="A13" s="329">
        <f t="shared" si="0"/>
        <v>3</v>
      </c>
      <c r="B13" s="340">
        <v>300</v>
      </c>
      <c r="C13" s="341" t="str">
        <f>+VLOOKUP(B13,[2]Procesos!A14:$C$40,2,0)</f>
        <v>CONCRETO</v>
      </c>
      <c r="D13" s="342" t="str">
        <f>[2]Procesos!$B$7</f>
        <v>HH</v>
      </c>
      <c r="E13" s="343">
        <v>2487.06</v>
      </c>
      <c r="F13" s="344"/>
      <c r="G13" s="344"/>
      <c r="H13" s="344"/>
      <c r="I13" s="344"/>
      <c r="J13" s="344">
        <f ca="1">SUMIF($E$7:$J$7,"Previsto",E13:I13)</f>
        <v>2487.06</v>
      </c>
      <c r="K13" s="345">
        <v>0</v>
      </c>
      <c r="L13" s="345">
        <v>0</v>
      </c>
      <c r="M13" s="345">
        <v>0</v>
      </c>
      <c r="N13" s="345">
        <v>0</v>
      </c>
      <c r="O13" s="345">
        <v>190</v>
      </c>
      <c r="P13" s="345">
        <v>195</v>
      </c>
      <c r="Q13" s="345">
        <v>165</v>
      </c>
      <c r="R13" s="345">
        <v>174</v>
      </c>
      <c r="S13" s="345">
        <v>260</v>
      </c>
      <c r="T13" s="345">
        <v>280</v>
      </c>
      <c r="U13" s="345">
        <v>290</v>
      </c>
      <c r="V13" s="345">
        <v>285</v>
      </c>
      <c r="W13" s="345">
        <v>140</v>
      </c>
      <c r="X13" s="345">
        <v>146</v>
      </c>
      <c r="Y13" s="345">
        <v>150</v>
      </c>
      <c r="Z13" s="345">
        <v>155</v>
      </c>
      <c r="AA13" s="345">
        <v>20</v>
      </c>
      <c r="AB13" s="345">
        <v>22</v>
      </c>
      <c r="AC13" s="345">
        <v>24</v>
      </c>
      <c r="AD13" s="345">
        <v>21</v>
      </c>
      <c r="AE13" s="346">
        <f t="shared" si="1"/>
        <v>2517</v>
      </c>
    </row>
    <row r="14" spans="1:33" ht="30" customHeight="1" x14ac:dyDescent="0.25">
      <c r="A14" s="329">
        <f t="shared" si="0"/>
        <v>4</v>
      </c>
      <c r="B14" s="340">
        <v>400</v>
      </c>
      <c r="C14" s="341" t="str">
        <f>+VLOOKUP(B14,[2]Procesos!A15:$C$40,2,0)</f>
        <v>ENCOFRADO</v>
      </c>
      <c r="D14" s="342" t="str">
        <f>[2]Procesos!$B$7</f>
        <v>HH</v>
      </c>
      <c r="E14" s="343">
        <v>5370.78</v>
      </c>
      <c r="F14" s="344"/>
      <c r="G14" s="344"/>
      <c r="H14" s="344"/>
      <c r="I14" s="344"/>
      <c r="J14" s="344">
        <f ca="1">SUMIF($E$7:$J$7,"Previsto",E14:I14)</f>
        <v>5370.78</v>
      </c>
      <c r="K14" s="345">
        <v>0</v>
      </c>
      <c r="L14" s="345">
        <v>0</v>
      </c>
      <c r="M14" s="345">
        <v>0</v>
      </c>
      <c r="N14" s="345">
        <v>0</v>
      </c>
      <c r="O14" s="345">
        <v>490</v>
      </c>
      <c r="P14" s="345">
        <v>465</v>
      </c>
      <c r="Q14" s="345">
        <v>460</v>
      </c>
      <c r="R14" s="345">
        <v>480</v>
      </c>
      <c r="S14" s="345">
        <v>365</v>
      </c>
      <c r="T14" s="345">
        <v>390</v>
      </c>
      <c r="U14" s="345">
        <v>375</v>
      </c>
      <c r="V14" s="345">
        <v>382</v>
      </c>
      <c r="W14" s="345">
        <v>500</v>
      </c>
      <c r="X14" s="345">
        <v>505</v>
      </c>
      <c r="Y14" s="345">
        <v>495</v>
      </c>
      <c r="Z14" s="345">
        <v>498</v>
      </c>
      <c r="AA14" s="345">
        <v>0</v>
      </c>
      <c r="AB14" s="345">
        <v>0</v>
      </c>
      <c r="AC14" s="345">
        <v>0</v>
      </c>
      <c r="AD14" s="345">
        <v>0</v>
      </c>
      <c r="AE14" s="346">
        <f t="shared" si="1"/>
        <v>5405</v>
      </c>
    </row>
    <row r="15" spans="1:33" ht="30" customHeight="1" x14ac:dyDescent="0.25">
      <c r="A15" s="329">
        <f t="shared" si="0"/>
        <v>5</v>
      </c>
      <c r="B15" s="340">
        <v>500</v>
      </c>
      <c r="C15" s="341" t="str">
        <f>+VLOOKUP(B15,[2]Procesos!A16:$C$40,2,0)</f>
        <v>ACERO</v>
      </c>
      <c r="D15" s="342" t="str">
        <f>[2]Procesos!$B$7</f>
        <v>HH</v>
      </c>
      <c r="E15" s="343">
        <v>39327.01</v>
      </c>
      <c r="F15" s="347"/>
      <c r="G15" s="347"/>
      <c r="H15" s="347"/>
      <c r="I15" s="347"/>
      <c r="J15" s="344">
        <f ca="1">SUMIF($E$7:$J$7,"Previsto",E15:I15)</f>
        <v>39327.01</v>
      </c>
      <c r="K15" s="345">
        <v>0</v>
      </c>
      <c r="L15" s="345">
        <v>0</v>
      </c>
      <c r="M15" s="345">
        <v>0</v>
      </c>
      <c r="N15" s="345">
        <v>0</v>
      </c>
      <c r="O15" s="345">
        <v>4100</v>
      </c>
      <c r="P15" s="345">
        <v>4150</v>
      </c>
      <c r="Q15" s="345">
        <v>4050</v>
      </c>
      <c r="R15" s="345">
        <v>4060</v>
      </c>
      <c r="S15" s="345">
        <v>4600</v>
      </c>
      <c r="T15" s="345">
        <v>4800</v>
      </c>
      <c r="U15" s="345">
        <v>4820</v>
      </c>
      <c r="V15" s="345">
        <v>4500</v>
      </c>
      <c r="W15" s="345">
        <v>1290</v>
      </c>
      <c r="X15" s="345">
        <v>1260</v>
      </c>
      <c r="Y15" s="345">
        <v>1280</v>
      </c>
      <c r="Z15" s="345">
        <v>1240</v>
      </c>
      <c r="AA15" s="345">
        <v>0</v>
      </c>
      <c r="AB15" s="345">
        <v>0</v>
      </c>
      <c r="AC15" s="345">
        <v>0</v>
      </c>
      <c r="AD15" s="345">
        <v>0</v>
      </c>
      <c r="AE15" s="346">
        <f t="shared" si="1"/>
        <v>40150</v>
      </c>
    </row>
    <row r="16" spans="1:33" ht="30" customHeight="1" x14ac:dyDescent="0.25">
      <c r="A16" s="329"/>
      <c r="B16" s="348"/>
      <c r="C16" s="341"/>
      <c r="D16" s="342"/>
      <c r="E16" s="347"/>
      <c r="F16" s="347"/>
      <c r="G16" s="347"/>
      <c r="H16" s="347"/>
      <c r="I16" s="347"/>
      <c r="J16" s="344"/>
      <c r="K16" s="345"/>
      <c r="L16" s="345"/>
      <c r="M16" s="345"/>
      <c r="N16" s="345"/>
      <c r="O16" s="345"/>
      <c r="P16" s="345"/>
      <c r="Q16" s="349"/>
      <c r="R16" s="349"/>
      <c r="S16" s="349"/>
      <c r="T16" s="349"/>
      <c r="U16" s="349"/>
      <c r="V16" s="349"/>
      <c r="W16" s="349"/>
      <c r="X16" s="349"/>
      <c r="Y16" s="349"/>
      <c r="Z16" s="349"/>
      <c r="AA16" s="349"/>
      <c r="AB16" s="349"/>
      <c r="AC16" s="349"/>
      <c r="AD16" s="349"/>
      <c r="AE16" s="346"/>
    </row>
    <row r="17" spans="1:31" ht="30" customHeight="1" x14ac:dyDescent="0.25">
      <c r="A17" s="329"/>
      <c r="B17" s="348"/>
      <c r="C17" s="341"/>
      <c r="D17" s="342"/>
      <c r="E17" s="347"/>
      <c r="F17" s="347"/>
      <c r="G17" s="347"/>
      <c r="H17" s="347"/>
      <c r="I17" s="347"/>
      <c r="J17" s="344"/>
      <c r="K17" s="345"/>
      <c r="L17" s="345"/>
      <c r="M17" s="345"/>
      <c r="N17" s="345"/>
      <c r="O17" s="345"/>
      <c r="P17" s="345"/>
      <c r="Q17" s="349"/>
      <c r="R17" s="349"/>
      <c r="S17" s="349"/>
      <c r="T17" s="349"/>
      <c r="U17" s="349"/>
      <c r="V17" s="349"/>
      <c r="W17" s="349"/>
      <c r="X17" s="349"/>
      <c r="Y17" s="349"/>
      <c r="Z17" s="349"/>
      <c r="AA17" s="349"/>
      <c r="AB17" s="349"/>
      <c r="AC17" s="349"/>
      <c r="AD17" s="349"/>
      <c r="AE17" s="346"/>
    </row>
    <row r="18" spans="1:31" x14ac:dyDescent="0.25">
      <c r="A18" s="329"/>
      <c r="B18" s="350"/>
      <c r="C18" s="350"/>
      <c r="E18" s="332"/>
      <c r="F18" s="332"/>
      <c r="G18" s="332"/>
      <c r="H18" s="332"/>
      <c r="I18" s="332"/>
      <c r="J18" s="332"/>
      <c r="K18" s="326"/>
      <c r="L18" s="326"/>
      <c r="M18" s="326"/>
      <c r="N18" s="326"/>
      <c r="O18" s="326"/>
      <c r="P18" s="326"/>
      <c r="Q18" s="326"/>
      <c r="R18" s="326"/>
      <c r="S18" s="326"/>
      <c r="T18" s="326"/>
      <c r="U18" s="326"/>
      <c r="V18" s="326"/>
      <c r="W18" s="326"/>
      <c r="X18" s="326"/>
      <c r="Y18" s="326"/>
      <c r="Z18" s="326"/>
      <c r="AA18" s="326"/>
      <c r="AB18" s="326"/>
      <c r="AC18" s="326"/>
      <c r="AD18" s="326"/>
    </row>
    <row r="19" spans="1:31" s="354" customFormat="1" ht="30" customHeight="1" x14ac:dyDescent="0.25">
      <c r="A19" s="329"/>
      <c r="B19" s="351"/>
      <c r="C19" s="352" t="s">
        <v>35</v>
      </c>
      <c r="D19" s="353"/>
      <c r="E19" s="352">
        <f>+SUM(E11:E15)</f>
        <v>51217.18</v>
      </c>
      <c r="F19" s="352">
        <f>SUM(F11:F18)</f>
        <v>0</v>
      </c>
      <c r="G19" s="352">
        <f t="shared" ref="G19:I19" si="2">SUM(G11:G18)</f>
        <v>0</v>
      </c>
      <c r="H19" s="352">
        <f t="shared" si="2"/>
        <v>0</v>
      </c>
      <c r="I19" s="352">
        <f t="shared" si="2"/>
        <v>0</v>
      </c>
      <c r="J19" s="352">
        <f ca="1">+SUM(J11:J15)</f>
        <v>51217.18</v>
      </c>
      <c r="K19" s="352">
        <f t="shared" ref="K19:AE19" si="3">SUM(K11:K18)</f>
        <v>397.8</v>
      </c>
      <c r="L19" s="352">
        <f t="shared" si="3"/>
        <v>389.2</v>
      </c>
      <c r="M19" s="352">
        <f t="shared" si="3"/>
        <v>400.2</v>
      </c>
      <c r="N19" s="352">
        <f t="shared" si="3"/>
        <v>411.2</v>
      </c>
      <c r="O19" s="352">
        <f t="shared" si="3"/>
        <v>5176.3999999999996</v>
      </c>
      <c r="P19" s="352">
        <f t="shared" si="3"/>
        <v>5226.3500000000004</v>
      </c>
      <c r="Q19" s="352">
        <f t="shared" si="3"/>
        <v>5064.5</v>
      </c>
      <c r="R19" s="352">
        <f t="shared" si="3"/>
        <v>5120.5</v>
      </c>
      <c r="S19" s="352">
        <f t="shared" si="3"/>
        <v>5409.5</v>
      </c>
      <c r="T19" s="352">
        <f t="shared" si="3"/>
        <v>5656.2</v>
      </c>
      <c r="U19" s="352">
        <f t="shared" si="3"/>
        <v>5673</v>
      </c>
      <c r="V19" s="352">
        <f t="shared" si="3"/>
        <v>5359.8</v>
      </c>
      <c r="W19" s="352">
        <f t="shared" si="3"/>
        <v>1938.7</v>
      </c>
      <c r="X19" s="352">
        <f t="shared" si="3"/>
        <v>1920.5</v>
      </c>
      <c r="Y19" s="352">
        <f t="shared" si="3"/>
        <v>1933.75</v>
      </c>
      <c r="Z19" s="352">
        <f>SUM(Z11:Z18)</f>
        <v>1901.6</v>
      </c>
      <c r="AA19" s="352">
        <f>SUM(AA11:AA18)</f>
        <v>23.5</v>
      </c>
      <c r="AB19" s="352">
        <f t="shared" si="3"/>
        <v>25.8</v>
      </c>
      <c r="AC19" s="352">
        <f t="shared" si="3"/>
        <v>27.5</v>
      </c>
      <c r="AD19" s="352">
        <f t="shared" si="3"/>
        <v>24</v>
      </c>
      <c r="AE19" s="352">
        <f t="shared" si="3"/>
        <v>52080</v>
      </c>
    </row>
    <row r="20" spans="1:31" x14ac:dyDescent="0.25">
      <c r="A20" s="329"/>
      <c r="B20" s="350"/>
      <c r="C20" s="350"/>
      <c r="E20" s="332"/>
      <c r="F20" s="332"/>
      <c r="G20" s="332"/>
      <c r="H20" s="332"/>
      <c r="I20" s="332"/>
      <c r="J20" s="332"/>
      <c r="K20" s="326"/>
      <c r="L20" s="326"/>
      <c r="M20" s="326"/>
      <c r="N20" s="326"/>
      <c r="O20" s="326"/>
      <c r="P20" s="326"/>
      <c r="Q20" s="326"/>
      <c r="R20" s="326"/>
      <c r="S20" s="326"/>
      <c r="T20" s="326"/>
      <c r="U20" s="326"/>
      <c r="V20" s="326"/>
      <c r="W20" s="326"/>
      <c r="X20" s="326"/>
      <c r="Y20" s="326"/>
      <c r="Z20" s="326"/>
      <c r="AA20" s="326"/>
      <c r="AB20" s="326"/>
      <c r="AC20" s="326"/>
      <c r="AD20" s="326"/>
    </row>
    <row r="21" spans="1:31" x14ac:dyDescent="0.25">
      <c r="A21" s="329"/>
      <c r="B21" s="350"/>
      <c r="C21" s="350"/>
      <c r="E21" s="332"/>
      <c r="F21" s="332"/>
      <c r="G21" s="332"/>
      <c r="H21" s="332"/>
      <c r="I21" s="332"/>
      <c r="J21" s="332"/>
      <c r="K21" s="326"/>
      <c r="L21" s="326"/>
      <c r="M21" s="326"/>
      <c r="N21" s="326"/>
      <c r="O21" s="326"/>
      <c r="P21" s="326"/>
      <c r="Q21" s="326"/>
      <c r="R21" s="326"/>
      <c r="S21" s="326"/>
      <c r="T21" s="326"/>
      <c r="U21" s="326"/>
      <c r="V21" s="326"/>
      <c r="W21" s="326"/>
      <c r="X21" s="326"/>
      <c r="Y21" s="326"/>
      <c r="Z21" s="326"/>
      <c r="AA21" s="326"/>
      <c r="AB21" s="326"/>
      <c r="AC21" s="326"/>
      <c r="AD21" s="326"/>
    </row>
    <row r="23" spans="1:31" x14ac:dyDescent="0.25">
      <c r="B23" s="324"/>
    </row>
    <row r="24" spans="1:31" ht="5.0999999999999996" customHeight="1" x14ac:dyDescent="0.25"/>
    <row r="25" spans="1:31" x14ac:dyDescent="0.25">
      <c r="A25" s="329"/>
      <c r="B25" s="324" t="s">
        <v>357</v>
      </c>
      <c r="C25" s="331"/>
      <c r="E25" s="332"/>
      <c r="F25" s="333"/>
      <c r="G25" s="332"/>
      <c r="H25" s="332"/>
      <c r="I25" s="332"/>
      <c r="J25" s="332"/>
      <c r="K25" s="326"/>
      <c r="L25" s="326"/>
      <c r="M25" s="326"/>
      <c r="N25" s="326"/>
      <c r="O25" s="326"/>
      <c r="P25" s="326"/>
      <c r="Q25" s="326"/>
      <c r="R25" s="326"/>
      <c r="S25" s="326"/>
      <c r="T25" s="326"/>
      <c r="U25" s="326"/>
      <c r="V25" s="326"/>
      <c r="W25" s="326"/>
      <c r="X25" s="326"/>
      <c r="Y25" s="326"/>
      <c r="Z25" s="326"/>
      <c r="AA25" s="326"/>
      <c r="AB25" s="326"/>
      <c r="AC25" s="326"/>
      <c r="AD25" s="326"/>
    </row>
    <row r="26" spans="1:31" x14ac:dyDescent="0.25">
      <c r="A26" s="329"/>
      <c r="B26" s="330"/>
      <c r="C26" s="331"/>
      <c r="D26" s="328"/>
      <c r="E26" s="332"/>
      <c r="F26" s="333"/>
      <c r="G26" s="332"/>
      <c r="H26" s="332"/>
      <c r="I26" s="332"/>
      <c r="J26" s="332"/>
      <c r="K26" s="326"/>
      <c r="L26" s="326"/>
      <c r="M26" s="326"/>
      <c r="N26" s="326"/>
      <c r="O26" s="326"/>
      <c r="P26" s="326"/>
      <c r="Q26" s="326"/>
      <c r="R26" s="326"/>
      <c r="S26" s="326"/>
      <c r="T26" s="326"/>
      <c r="U26" s="326"/>
      <c r="V26" s="326"/>
      <c r="W26" s="326"/>
      <c r="X26" s="326"/>
      <c r="Y26" s="326"/>
      <c r="Z26" s="326"/>
      <c r="AA26" s="326"/>
      <c r="AB26" s="326"/>
      <c r="AC26" s="326"/>
      <c r="AD26" s="326"/>
    </row>
    <row r="27" spans="1:31" x14ac:dyDescent="0.25">
      <c r="A27" s="329"/>
      <c r="B27" s="330"/>
      <c r="C27" s="334"/>
      <c r="E27" s="332"/>
      <c r="F27" s="333"/>
      <c r="G27" s="332"/>
      <c r="H27" s="332"/>
      <c r="I27" s="332"/>
      <c r="J27" s="332"/>
      <c r="K27" s="326"/>
      <c r="L27" s="326"/>
      <c r="M27" s="326"/>
      <c r="N27" s="326"/>
      <c r="O27" s="326"/>
      <c r="P27" s="326"/>
      <c r="Q27" s="326"/>
      <c r="R27" s="326"/>
      <c r="S27" s="326"/>
      <c r="T27" s="326"/>
      <c r="U27" s="326"/>
      <c r="V27" s="326"/>
      <c r="W27" s="326"/>
      <c r="X27" s="326"/>
      <c r="Y27" s="326"/>
      <c r="Z27" s="326"/>
      <c r="AA27" s="326"/>
      <c r="AB27" s="326"/>
      <c r="AC27" s="326"/>
      <c r="AD27" s="326"/>
    </row>
    <row r="28" spans="1:31" x14ac:dyDescent="0.25">
      <c r="A28" s="329"/>
      <c r="B28" s="324"/>
      <c r="C28" s="326"/>
      <c r="E28" s="335" t="s">
        <v>330</v>
      </c>
      <c r="F28" s="335"/>
      <c r="G28" s="335"/>
      <c r="I28" s="335" t="s">
        <v>330</v>
      </c>
      <c r="J28" s="332"/>
      <c r="K28" s="326"/>
      <c r="L28" s="326"/>
      <c r="M28" s="326"/>
      <c r="N28" s="326"/>
      <c r="O28" s="326"/>
      <c r="P28" s="326"/>
      <c r="Q28" s="326"/>
      <c r="R28" s="326"/>
      <c r="S28" s="326"/>
      <c r="T28" s="326"/>
      <c r="U28" s="326"/>
      <c r="V28" s="326"/>
      <c r="W28" s="326"/>
      <c r="X28" s="326"/>
      <c r="Y28" s="326"/>
      <c r="Z28" s="326"/>
      <c r="AA28" s="326"/>
      <c r="AB28" s="326"/>
      <c r="AC28" s="326"/>
      <c r="AD28" s="326"/>
    </row>
    <row r="29" spans="1:31" ht="15" customHeight="1" x14ac:dyDescent="0.25">
      <c r="A29" s="329"/>
      <c r="B29" s="474" t="s">
        <v>331</v>
      </c>
      <c r="C29" s="474" t="s">
        <v>212</v>
      </c>
      <c r="D29" s="474" t="s">
        <v>3</v>
      </c>
      <c r="E29" s="471" t="s">
        <v>332</v>
      </c>
      <c r="F29" s="468" t="s">
        <v>333</v>
      </c>
      <c r="G29" s="468" t="s">
        <v>334</v>
      </c>
      <c r="H29" s="468" t="s">
        <v>335</v>
      </c>
      <c r="I29" s="468" t="s">
        <v>336</v>
      </c>
      <c r="J29" s="471" t="s">
        <v>337</v>
      </c>
      <c r="K29" s="472" t="s">
        <v>338</v>
      </c>
      <c r="L29" s="473"/>
      <c r="M29" s="473"/>
      <c r="N29" s="473"/>
      <c r="O29" s="473"/>
      <c r="P29" s="473"/>
      <c r="Q29" s="473"/>
      <c r="R29" s="473"/>
      <c r="S29" s="473"/>
      <c r="T29" s="473"/>
      <c r="U29" s="473"/>
      <c r="V29" s="473"/>
      <c r="W29" s="473"/>
      <c r="X29" s="473"/>
      <c r="Y29" s="473"/>
      <c r="Z29" s="473"/>
      <c r="AA29" s="473"/>
      <c r="AB29" s="473"/>
      <c r="AC29" s="473"/>
      <c r="AD29" s="473"/>
      <c r="AE29" s="474" t="s">
        <v>339</v>
      </c>
    </row>
    <row r="30" spans="1:31" s="338" customFormat="1" ht="15" customHeight="1" x14ac:dyDescent="0.25">
      <c r="A30" s="336"/>
      <c r="B30" s="474"/>
      <c r="C30" s="474"/>
      <c r="D30" s="474"/>
      <c r="E30" s="471"/>
      <c r="F30" s="469"/>
      <c r="G30" s="469"/>
      <c r="H30" s="469"/>
      <c r="I30" s="469"/>
      <c r="J30" s="471"/>
      <c r="K30" s="337">
        <v>1</v>
      </c>
      <c r="L30" s="337">
        <v>2</v>
      </c>
      <c r="M30" s="337">
        <v>3</v>
      </c>
      <c r="N30" s="337">
        <v>4</v>
      </c>
      <c r="O30" s="337">
        <v>5</v>
      </c>
      <c r="P30" s="337">
        <v>6</v>
      </c>
      <c r="Q30" s="337">
        <v>7</v>
      </c>
      <c r="R30" s="337">
        <v>8</v>
      </c>
      <c r="S30" s="337">
        <v>9</v>
      </c>
      <c r="T30" s="337">
        <v>10</v>
      </c>
      <c r="U30" s="337">
        <v>11</v>
      </c>
      <c r="V30" s="337">
        <v>12</v>
      </c>
      <c r="W30" s="337">
        <v>13</v>
      </c>
      <c r="X30" s="337">
        <v>14</v>
      </c>
      <c r="Y30" s="337">
        <v>15</v>
      </c>
      <c r="Z30" s="337">
        <v>16</v>
      </c>
      <c r="AA30" s="337">
        <v>17</v>
      </c>
      <c r="AB30" s="337">
        <v>18</v>
      </c>
      <c r="AC30" s="337">
        <v>19</v>
      </c>
      <c r="AD30" s="337">
        <v>20</v>
      </c>
      <c r="AE30" s="474"/>
    </row>
    <row r="31" spans="1:31" s="336" customFormat="1" x14ac:dyDescent="0.25">
      <c r="B31" s="474"/>
      <c r="C31" s="474"/>
      <c r="D31" s="474"/>
      <c r="E31" s="471"/>
      <c r="F31" s="470"/>
      <c r="G31" s="470"/>
      <c r="H31" s="470"/>
      <c r="I31" s="470"/>
      <c r="J31" s="471"/>
      <c r="K31" s="339">
        <v>45481</v>
      </c>
      <c r="L31" s="339">
        <v>45488</v>
      </c>
      <c r="M31" s="339">
        <v>45495</v>
      </c>
      <c r="N31" s="339">
        <v>45502</v>
      </c>
      <c r="O31" s="339">
        <v>45509</v>
      </c>
      <c r="P31" s="339">
        <v>45516</v>
      </c>
      <c r="Q31" s="339">
        <v>45523</v>
      </c>
      <c r="R31" s="339">
        <v>45530</v>
      </c>
      <c r="S31" s="339">
        <v>45537</v>
      </c>
      <c r="T31" s="339">
        <v>45544</v>
      </c>
      <c r="U31" s="339">
        <v>45551</v>
      </c>
      <c r="V31" s="339">
        <v>45558</v>
      </c>
      <c r="W31" s="339">
        <v>45565</v>
      </c>
      <c r="X31" s="339">
        <v>45572</v>
      </c>
      <c r="Y31" s="339">
        <v>45579</v>
      </c>
      <c r="Z31" s="339">
        <v>45586</v>
      </c>
      <c r="AA31" s="339">
        <v>45593</v>
      </c>
      <c r="AB31" s="339">
        <v>45600</v>
      </c>
      <c r="AC31" s="339">
        <v>45607</v>
      </c>
      <c r="AD31" s="339">
        <v>45614</v>
      </c>
      <c r="AE31" s="474"/>
    </row>
    <row r="32" spans="1:31" ht="30" customHeight="1" x14ac:dyDescent="0.25">
      <c r="A32" s="329">
        <f>+A31+1</f>
        <v>1</v>
      </c>
      <c r="B32" s="340">
        <v>100</v>
      </c>
      <c r="C32" s="341" t="s">
        <v>202</v>
      </c>
      <c r="D32" s="342" t="s">
        <v>347</v>
      </c>
      <c r="E32" s="343">
        <v>1710.71</v>
      </c>
      <c r="F32" s="344"/>
      <c r="G32" s="344"/>
      <c r="H32" s="344"/>
      <c r="I32" s="344"/>
      <c r="J32" s="344">
        <v>1710.71</v>
      </c>
      <c r="K32" s="343">
        <v>217.60000000000002</v>
      </c>
      <c r="L32" s="343">
        <v>241.39999999999998</v>
      </c>
      <c r="M32" s="343">
        <v>173.39999999999998</v>
      </c>
      <c r="N32" s="343">
        <v>190.39999999999998</v>
      </c>
      <c r="O32" s="343">
        <v>193.8</v>
      </c>
      <c r="P32" s="343">
        <v>192.95</v>
      </c>
      <c r="Q32" s="343">
        <v>161.5</v>
      </c>
      <c r="R32" s="343">
        <v>195.5</v>
      </c>
      <c r="S32" s="343">
        <v>76.5</v>
      </c>
      <c r="T32" s="343">
        <v>71.400000000000006</v>
      </c>
      <c r="U32" s="343">
        <v>51</v>
      </c>
      <c r="V32" s="343">
        <v>47.599999999999994</v>
      </c>
      <c r="W32" s="343">
        <v>71.400000000000006</v>
      </c>
      <c r="X32" s="343">
        <v>76.5</v>
      </c>
      <c r="Y32" s="343">
        <v>76.5</v>
      </c>
      <c r="Z32" s="343">
        <v>73.099999999999994</v>
      </c>
      <c r="AA32" s="343">
        <v>0</v>
      </c>
      <c r="AB32" s="343">
        <v>0</v>
      </c>
      <c r="AC32" s="343">
        <v>0</v>
      </c>
      <c r="AD32" s="343">
        <v>0</v>
      </c>
      <c r="AE32" s="346">
        <f>SUM(K32:AD32)</f>
        <v>2110.5500000000002</v>
      </c>
    </row>
    <row r="33" spans="1:31" ht="30" customHeight="1" x14ac:dyDescent="0.25">
      <c r="A33" s="329">
        <f t="shared" ref="A33:A36" si="4">+A32+1</f>
        <v>2</v>
      </c>
      <c r="B33" s="340">
        <v>200</v>
      </c>
      <c r="C33" s="341" t="s">
        <v>18</v>
      </c>
      <c r="D33" s="342" t="s">
        <v>347</v>
      </c>
      <c r="E33" s="343">
        <v>66838.899999999994</v>
      </c>
      <c r="F33" s="344"/>
      <c r="G33" s="344"/>
      <c r="H33" s="344"/>
      <c r="I33" s="344"/>
      <c r="J33" s="344">
        <v>66838.899999999994</v>
      </c>
      <c r="K33" s="343">
        <v>6545</v>
      </c>
      <c r="L33" s="343">
        <v>6375</v>
      </c>
      <c r="M33" s="343">
        <v>6630</v>
      </c>
      <c r="N33" s="343">
        <v>6800</v>
      </c>
      <c r="O33" s="343">
        <v>6545</v>
      </c>
      <c r="P33" s="343">
        <v>6885</v>
      </c>
      <c r="Q33" s="343">
        <v>6460</v>
      </c>
      <c r="R33" s="343">
        <v>6715</v>
      </c>
      <c r="S33" s="343">
        <v>3060</v>
      </c>
      <c r="T33" s="343">
        <v>3094</v>
      </c>
      <c r="U33" s="343">
        <v>3145</v>
      </c>
      <c r="V33" s="343">
        <v>3230</v>
      </c>
      <c r="W33" s="343">
        <v>76.5</v>
      </c>
      <c r="X33" s="343">
        <v>85</v>
      </c>
      <c r="Y33" s="343">
        <v>72.25</v>
      </c>
      <c r="Z33" s="343">
        <v>73.099999999999994</v>
      </c>
      <c r="AA33" s="343">
        <v>59.5</v>
      </c>
      <c r="AB33" s="343">
        <v>64.599999999999994</v>
      </c>
      <c r="AC33" s="343">
        <v>59.5</v>
      </c>
      <c r="AD33" s="343">
        <v>51</v>
      </c>
      <c r="AE33" s="346">
        <f t="shared" ref="AE33:AE36" si="5">SUM(K33:AD33)</f>
        <v>66025.450000000012</v>
      </c>
    </row>
    <row r="34" spans="1:31" ht="30" customHeight="1" x14ac:dyDescent="0.25">
      <c r="A34" s="329">
        <f t="shared" si="4"/>
        <v>3</v>
      </c>
      <c r="B34" s="340">
        <v>300</v>
      </c>
      <c r="C34" s="341" t="s">
        <v>34</v>
      </c>
      <c r="D34" s="342" t="s">
        <v>347</v>
      </c>
      <c r="E34" s="343">
        <v>42280.02</v>
      </c>
      <c r="F34" s="344"/>
      <c r="G34" s="344"/>
      <c r="H34" s="344"/>
      <c r="I34" s="344"/>
      <c r="J34" s="344">
        <v>42280.02</v>
      </c>
      <c r="K34" s="343">
        <v>0</v>
      </c>
      <c r="L34" s="343">
        <v>0</v>
      </c>
      <c r="M34" s="343">
        <v>0</v>
      </c>
      <c r="N34" s="343">
        <v>0</v>
      </c>
      <c r="O34" s="343">
        <v>3230</v>
      </c>
      <c r="P34" s="343">
        <v>3315</v>
      </c>
      <c r="Q34" s="343">
        <v>2805</v>
      </c>
      <c r="R34" s="343">
        <v>2958</v>
      </c>
      <c r="S34" s="343">
        <v>4420</v>
      </c>
      <c r="T34" s="343">
        <v>4760</v>
      </c>
      <c r="U34" s="343">
        <v>4930</v>
      </c>
      <c r="V34" s="343">
        <v>4845</v>
      </c>
      <c r="W34" s="343">
        <v>2380</v>
      </c>
      <c r="X34" s="343">
        <v>2482</v>
      </c>
      <c r="Y34" s="343">
        <v>2550</v>
      </c>
      <c r="Z34" s="343">
        <v>2635</v>
      </c>
      <c r="AA34" s="343">
        <v>340</v>
      </c>
      <c r="AB34" s="343">
        <v>374</v>
      </c>
      <c r="AC34" s="343">
        <v>408</v>
      </c>
      <c r="AD34" s="343">
        <v>357</v>
      </c>
      <c r="AE34" s="346">
        <f t="shared" si="5"/>
        <v>42789</v>
      </c>
    </row>
    <row r="35" spans="1:31" ht="30" customHeight="1" x14ac:dyDescent="0.25">
      <c r="A35" s="329">
        <f t="shared" si="4"/>
        <v>4</v>
      </c>
      <c r="B35" s="340">
        <v>400</v>
      </c>
      <c r="C35" s="341" t="s">
        <v>203</v>
      </c>
      <c r="D35" s="342" t="s">
        <v>347</v>
      </c>
      <c r="E35" s="343">
        <v>91303.26</v>
      </c>
      <c r="F35" s="344"/>
      <c r="G35" s="344"/>
      <c r="H35" s="344"/>
      <c r="I35" s="344"/>
      <c r="J35" s="344">
        <v>91303.26</v>
      </c>
      <c r="K35" s="343">
        <v>0</v>
      </c>
      <c r="L35" s="343">
        <v>0</v>
      </c>
      <c r="M35" s="343">
        <v>0</v>
      </c>
      <c r="N35" s="343">
        <v>0</v>
      </c>
      <c r="O35" s="343">
        <v>8330</v>
      </c>
      <c r="P35" s="343">
        <v>7905</v>
      </c>
      <c r="Q35" s="343">
        <v>7820</v>
      </c>
      <c r="R35" s="343">
        <v>8160</v>
      </c>
      <c r="S35" s="343">
        <v>6205</v>
      </c>
      <c r="T35" s="343">
        <v>6630</v>
      </c>
      <c r="U35" s="343">
        <v>6375</v>
      </c>
      <c r="V35" s="343">
        <v>6494</v>
      </c>
      <c r="W35" s="343">
        <v>8500</v>
      </c>
      <c r="X35" s="343">
        <v>8585</v>
      </c>
      <c r="Y35" s="343">
        <v>8415</v>
      </c>
      <c r="Z35" s="343">
        <v>8466</v>
      </c>
      <c r="AA35" s="343">
        <v>0</v>
      </c>
      <c r="AB35" s="343">
        <v>0</v>
      </c>
      <c r="AC35" s="343">
        <v>0</v>
      </c>
      <c r="AD35" s="343">
        <v>0</v>
      </c>
      <c r="AE35" s="346">
        <f t="shared" si="5"/>
        <v>91885</v>
      </c>
    </row>
    <row r="36" spans="1:31" ht="30" customHeight="1" x14ac:dyDescent="0.25">
      <c r="A36" s="329">
        <f t="shared" si="4"/>
        <v>5</v>
      </c>
      <c r="B36" s="340">
        <v>500</v>
      </c>
      <c r="C36" s="341" t="s">
        <v>204</v>
      </c>
      <c r="D36" s="342" t="s">
        <v>347</v>
      </c>
      <c r="E36" s="343">
        <v>668559.17000000004</v>
      </c>
      <c r="F36" s="347"/>
      <c r="G36" s="347"/>
      <c r="H36" s="347"/>
      <c r="I36" s="347"/>
      <c r="J36" s="344">
        <v>668559.17000000004</v>
      </c>
      <c r="K36" s="343">
        <v>0</v>
      </c>
      <c r="L36" s="343">
        <v>0</v>
      </c>
      <c r="M36" s="343">
        <v>0</v>
      </c>
      <c r="N36" s="343">
        <v>0</v>
      </c>
      <c r="O36" s="343">
        <v>69700</v>
      </c>
      <c r="P36" s="343">
        <v>70550</v>
      </c>
      <c r="Q36" s="343">
        <v>68850</v>
      </c>
      <c r="R36" s="343">
        <v>69020</v>
      </c>
      <c r="S36" s="343">
        <v>78200</v>
      </c>
      <c r="T36" s="343">
        <v>81600</v>
      </c>
      <c r="U36" s="343">
        <v>81940</v>
      </c>
      <c r="V36" s="343">
        <v>76500</v>
      </c>
      <c r="W36" s="343">
        <v>21930</v>
      </c>
      <c r="X36" s="343">
        <v>21420</v>
      </c>
      <c r="Y36" s="343">
        <v>21760</v>
      </c>
      <c r="Z36" s="343">
        <v>21080</v>
      </c>
      <c r="AA36" s="343">
        <v>0</v>
      </c>
      <c r="AB36" s="343">
        <v>0</v>
      </c>
      <c r="AC36" s="343">
        <v>0</v>
      </c>
      <c r="AD36" s="343">
        <v>0</v>
      </c>
      <c r="AE36" s="346">
        <f t="shared" si="5"/>
        <v>682550</v>
      </c>
    </row>
    <row r="37" spans="1:31" ht="30" customHeight="1" x14ac:dyDescent="0.25">
      <c r="A37" s="329"/>
      <c r="B37" s="348"/>
      <c r="C37" s="341"/>
      <c r="D37" s="342"/>
      <c r="E37" s="347"/>
      <c r="F37" s="347"/>
      <c r="G37" s="347"/>
      <c r="H37" s="347"/>
      <c r="I37" s="347"/>
      <c r="J37" s="344"/>
      <c r="K37" s="345"/>
      <c r="L37" s="345"/>
      <c r="M37" s="345"/>
      <c r="N37" s="345"/>
      <c r="O37" s="345"/>
      <c r="P37" s="345"/>
      <c r="Q37" s="349"/>
      <c r="R37" s="349"/>
      <c r="S37" s="349"/>
      <c r="T37" s="349"/>
      <c r="U37" s="349"/>
      <c r="V37" s="349"/>
      <c r="W37" s="349"/>
      <c r="X37" s="349"/>
      <c r="Y37" s="349"/>
      <c r="Z37" s="349"/>
      <c r="AA37" s="349"/>
      <c r="AB37" s="349"/>
      <c r="AC37" s="349"/>
      <c r="AD37" s="349"/>
      <c r="AE37" s="346"/>
    </row>
    <row r="38" spans="1:31" ht="30" customHeight="1" x14ac:dyDescent="0.25">
      <c r="A38" s="329"/>
      <c r="B38" s="348"/>
      <c r="C38" s="341"/>
      <c r="D38" s="342"/>
      <c r="E38" s="347"/>
      <c r="F38" s="347"/>
      <c r="G38" s="347"/>
      <c r="H38" s="347"/>
      <c r="I38" s="347"/>
      <c r="J38" s="344"/>
      <c r="K38" s="345"/>
      <c r="L38" s="345"/>
      <c r="M38" s="345"/>
      <c r="N38" s="345"/>
      <c r="O38" s="345"/>
      <c r="P38" s="345"/>
      <c r="Q38" s="349"/>
      <c r="R38" s="349"/>
      <c r="S38" s="349"/>
      <c r="T38" s="349"/>
      <c r="U38" s="349"/>
      <c r="V38" s="349"/>
      <c r="W38" s="349"/>
      <c r="X38" s="349"/>
      <c r="Y38" s="349"/>
      <c r="Z38" s="349"/>
      <c r="AA38" s="349"/>
      <c r="AB38" s="349"/>
      <c r="AC38" s="349"/>
      <c r="AD38" s="349"/>
      <c r="AE38" s="346"/>
    </row>
    <row r="39" spans="1:31" x14ac:dyDescent="0.25">
      <c r="A39" s="329"/>
      <c r="B39" s="350"/>
      <c r="C39" s="350"/>
      <c r="E39" s="332"/>
      <c r="F39" s="332"/>
      <c r="G39" s="332"/>
      <c r="H39" s="332"/>
      <c r="I39" s="332"/>
      <c r="J39" s="332"/>
      <c r="K39" s="326"/>
      <c r="L39" s="326"/>
      <c r="M39" s="326"/>
      <c r="N39" s="326"/>
      <c r="O39" s="326"/>
      <c r="P39" s="326"/>
      <c r="Q39" s="326"/>
      <c r="R39" s="326"/>
      <c r="S39" s="326"/>
      <c r="T39" s="326"/>
      <c r="U39" s="326"/>
      <c r="V39" s="326"/>
      <c r="W39" s="326"/>
      <c r="X39" s="326"/>
      <c r="Y39" s="326"/>
      <c r="Z39" s="326"/>
      <c r="AA39" s="326"/>
      <c r="AB39" s="326"/>
      <c r="AC39" s="326"/>
      <c r="AD39" s="326"/>
    </row>
    <row r="40" spans="1:31" s="354" customFormat="1" ht="30" customHeight="1" x14ac:dyDescent="0.25">
      <c r="A40" s="329"/>
      <c r="B40" s="351"/>
      <c r="C40" s="352" t="s">
        <v>35</v>
      </c>
      <c r="D40" s="353"/>
      <c r="E40" s="352">
        <f>+SUM(E32:E36)</f>
        <v>870692.06</v>
      </c>
      <c r="F40" s="352">
        <f>SUM(F32:F39)</f>
        <v>0</v>
      </c>
      <c r="G40" s="352">
        <f t="shared" ref="G40:I40" si="6">SUM(G32:G39)</f>
        <v>0</v>
      </c>
      <c r="H40" s="352">
        <f t="shared" si="6"/>
        <v>0</v>
      </c>
      <c r="I40" s="352">
        <f t="shared" si="6"/>
        <v>0</v>
      </c>
      <c r="J40" s="352">
        <f>+SUM(J32:J36)</f>
        <v>870692.06</v>
      </c>
      <c r="K40" s="352">
        <f t="shared" ref="K40:AE40" si="7">SUM(K32:K39)</f>
        <v>6762.6</v>
      </c>
      <c r="L40" s="352">
        <f t="shared" si="7"/>
        <v>6616.4</v>
      </c>
      <c r="M40" s="352">
        <f t="shared" si="7"/>
        <v>6803.4</v>
      </c>
      <c r="N40" s="352">
        <f t="shared" si="7"/>
        <v>6990.4</v>
      </c>
      <c r="O40" s="352">
        <f t="shared" si="7"/>
        <v>87998.8</v>
      </c>
      <c r="P40" s="352">
        <f t="shared" si="7"/>
        <v>88847.95</v>
      </c>
      <c r="Q40" s="352">
        <f t="shared" si="7"/>
        <v>86096.5</v>
      </c>
      <c r="R40" s="352">
        <f t="shared" si="7"/>
        <v>87048.5</v>
      </c>
      <c r="S40" s="352">
        <f t="shared" si="7"/>
        <v>91961.5</v>
      </c>
      <c r="T40" s="352">
        <f t="shared" si="7"/>
        <v>96155.4</v>
      </c>
      <c r="U40" s="352">
        <f t="shared" si="7"/>
        <v>96441</v>
      </c>
      <c r="V40" s="352">
        <f t="shared" si="7"/>
        <v>91116.6</v>
      </c>
      <c r="W40" s="352">
        <f t="shared" si="7"/>
        <v>32957.9</v>
      </c>
      <c r="X40" s="352">
        <f t="shared" si="7"/>
        <v>32648.5</v>
      </c>
      <c r="Y40" s="352">
        <f t="shared" si="7"/>
        <v>32873.75</v>
      </c>
      <c r="Z40" s="352">
        <f>SUM(Z32:Z39)</f>
        <v>32327.200000000001</v>
      </c>
      <c r="AA40" s="352">
        <f>SUM(AA32:AA39)</f>
        <v>399.5</v>
      </c>
      <c r="AB40" s="352">
        <f t="shared" si="7"/>
        <v>438.6</v>
      </c>
      <c r="AC40" s="352">
        <f t="shared" si="7"/>
        <v>467.5</v>
      </c>
      <c r="AD40" s="352">
        <f t="shared" si="7"/>
        <v>408</v>
      </c>
      <c r="AE40" s="352">
        <f t="shared" si="7"/>
        <v>885360</v>
      </c>
    </row>
    <row r="41" spans="1:31" x14ac:dyDescent="0.25">
      <c r="A41" s="329"/>
      <c r="B41" s="350"/>
      <c r="C41" s="350"/>
      <c r="E41" s="332"/>
      <c r="F41" s="332"/>
      <c r="G41" s="332"/>
      <c r="H41" s="332"/>
      <c r="I41" s="332"/>
      <c r="J41" s="332"/>
      <c r="K41" s="326"/>
      <c r="L41" s="326"/>
      <c r="M41" s="326"/>
      <c r="N41" s="326"/>
      <c r="O41" s="326"/>
      <c r="P41" s="326"/>
      <c r="Q41" s="326"/>
      <c r="R41" s="326"/>
      <c r="S41" s="326"/>
      <c r="T41" s="326"/>
      <c r="U41" s="326"/>
      <c r="V41" s="326"/>
      <c r="W41" s="326"/>
      <c r="X41" s="326"/>
      <c r="Y41" s="326"/>
      <c r="Z41" s="326"/>
      <c r="AA41" s="326"/>
      <c r="AB41" s="326"/>
      <c r="AC41" s="326"/>
      <c r="AD41" s="326"/>
    </row>
    <row r="42" spans="1:31" x14ac:dyDescent="0.25">
      <c r="A42" s="329"/>
      <c r="B42" s="350"/>
      <c r="C42" s="350"/>
      <c r="E42" s="332"/>
      <c r="F42" s="332"/>
      <c r="G42" s="332"/>
      <c r="H42" s="332"/>
      <c r="I42" s="332"/>
      <c r="J42" s="332"/>
      <c r="K42" s="326"/>
      <c r="L42" s="326"/>
      <c r="M42" s="326"/>
      <c r="N42" s="326"/>
      <c r="O42" s="326"/>
      <c r="P42" s="326"/>
      <c r="Q42" s="326"/>
      <c r="R42" s="326"/>
      <c r="S42" s="326"/>
      <c r="T42" s="326"/>
      <c r="U42" s="326"/>
      <c r="V42" s="326"/>
      <c r="W42" s="326"/>
      <c r="X42" s="326"/>
      <c r="Y42" s="326"/>
      <c r="Z42" s="326"/>
      <c r="AA42" s="326"/>
      <c r="AB42" s="326"/>
      <c r="AC42" s="326"/>
      <c r="AD42" s="326"/>
    </row>
    <row r="43" spans="1:31" x14ac:dyDescent="0.25">
      <c r="A43" s="329"/>
      <c r="B43" s="350"/>
      <c r="C43" s="350"/>
      <c r="E43" s="332"/>
      <c r="F43" s="332"/>
      <c r="G43" s="332"/>
      <c r="H43" s="332"/>
      <c r="I43" s="332"/>
      <c r="J43" s="332"/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  <c r="W43" s="333"/>
      <c r="X43" s="333"/>
      <c r="Y43" s="333"/>
      <c r="Z43" s="333"/>
      <c r="AA43" s="326"/>
      <c r="AB43" s="326"/>
      <c r="AC43" s="326"/>
      <c r="AD43" s="326"/>
    </row>
    <row r="44" spans="1:31" x14ac:dyDescent="0.25">
      <c r="A44" s="329"/>
      <c r="B44" s="350"/>
      <c r="C44" s="350"/>
      <c r="E44" s="332"/>
      <c r="F44" s="332"/>
      <c r="G44" s="332"/>
      <c r="H44" s="332"/>
      <c r="I44" s="332"/>
      <c r="J44" s="332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6"/>
      <c r="Z44" s="326"/>
      <c r="AA44" s="326"/>
      <c r="AB44" s="326"/>
      <c r="AC44" s="326"/>
      <c r="AD44" s="326"/>
    </row>
    <row r="45" spans="1:31" x14ac:dyDescent="0.25">
      <c r="A45" s="329"/>
      <c r="B45" s="350"/>
      <c r="C45" s="350"/>
      <c r="E45" s="332"/>
      <c r="F45" s="332"/>
      <c r="G45" s="332"/>
      <c r="H45" s="332"/>
      <c r="I45" s="332"/>
      <c r="J45" s="332"/>
      <c r="K45" s="326"/>
      <c r="L45" s="326"/>
      <c r="M45" s="326"/>
      <c r="N45" s="333">
        <v>822.8</v>
      </c>
      <c r="O45" s="333">
        <v>743.75</v>
      </c>
      <c r="P45" s="333">
        <v>246.5</v>
      </c>
      <c r="Q45" s="333">
        <v>297.5</v>
      </c>
      <c r="R45" s="333">
        <v>0</v>
      </c>
      <c r="S45" s="326"/>
      <c r="AA45" s="326"/>
      <c r="AB45" s="326"/>
      <c r="AC45" s="326"/>
    </row>
    <row r="46" spans="1:31" x14ac:dyDescent="0.25">
      <c r="A46" s="329"/>
      <c r="B46" s="350"/>
      <c r="C46" s="350"/>
      <c r="E46" s="332"/>
      <c r="F46" s="332"/>
      <c r="G46" s="332"/>
      <c r="H46" s="332"/>
      <c r="I46" s="332"/>
      <c r="J46" s="332"/>
      <c r="K46" s="326"/>
      <c r="L46" s="326"/>
      <c r="M46" s="326"/>
      <c r="N46" s="333">
        <v>26350</v>
      </c>
      <c r="O46" s="333">
        <v>26605</v>
      </c>
      <c r="P46" s="333">
        <v>12529</v>
      </c>
      <c r="Q46" s="333">
        <v>306.85000000000002</v>
      </c>
      <c r="R46" s="333">
        <v>234.6</v>
      </c>
      <c r="S46" s="326"/>
      <c r="AA46" s="326"/>
      <c r="AB46" s="326"/>
      <c r="AC46" s="326"/>
    </row>
    <row r="47" spans="1:31" x14ac:dyDescent="0.25">
      <c r="A47" s="329"/>
      <c r="B47" s="350"/>
      <c r="C47" s="350"/>
      <c r="E47" s="332"/>
      <c r="F47" s="332"/>
      <c r="G47" s="332"/>
      <c r="H47" s="332"/>
      <c r="I47" s="332"/>
      <c r="J47" s="332"/>
      <c r="K47" s="326"/>
      <c r="L47" s="326"/>
      <c r="M47" s="326"/>
      <c r="N47" s="333">
        <v>0</v>
      </c>
      <c r="O47" s="333">
        <v>12308</v>
      </c>
      <c r="P47" s="333">
        <v>18955</v>
      </c>
      <c r="Q47" s="333">
        <v>10047</v>
      </c>
      <c r="R47" s="333">
        <v>1479</v>
      </c>
      <c r="S47" s="326"/>
      <c r="AA47" s="326"/>
      <c r="AB47" s="326"/>
      <c r="AC47" s="326"/>
    </row>
    <row r="48" spans="1:31" x14ac:dyDescent="0.25">
      <c r="A48" s="329"/>
      <c r="B48" s="350"/>
      <c r="C48" s="350"/>
      <c r="E48" s="332"/>
      <c r="F48" s="332"/>
      <c r="G48" s="332"/>
      <c r="H48" s="332"/>
      <c r="I48" s="332"/>
      <c r="J48" s="332"/>
      <c r="K48" s="326"/>
      <c r="L48" s="326"/>
      <c r="M48" s="326"/>
      <c r="N48" s="333">
        <v>0</v>
      </c>
      <c r="O48" s="333">
        <v>32215</v>
      </c>
      <c r="P48" s="333">
        <v>25704</v>
      </c>
      <c r="Q48" s="333">
        <v>33966</v>
      </c>
      <c r="R48" s="333">
        <v>0</v>
      </c>
      <c r="S48" s="326"/>
      <c r="AA48" s="326"/>
      <c r="AB48" s="326"/>
      <c r="AC48" s="326"/>
    </row>
    <row r="49" spans="1:30" x14ac:dyDescent="0.25">
      <c r="A49" s="329"/>
      <c r="B49" s="350"/>
      <c r="C49" s="350"/>
      <c r="E49" s="332"/>
      <c r="F49" s="332"/>
      <c r="G49" s="332"/>
      <c r="H49" s="332"/>
      <c r="I49" s="332"/>
      <c r="J49" s="332"/>
      <c r="K49" s="326"/>
      <c r="L49" s="326"/>
      <c r="M49" s="326"/>
      <c r="N49" s="333">
        <v>0</v>
      </c>
      <c r="O49" s="333">
        <v>278120</v>
      </c>
      <c r="P49" s="333">
        <v>318240</v>
      </c>
      <c r="Q49" s="333">
        <v>86190</v>
      </c>
      <c r="R49" s="333">
        <v>0</v>
      </c>
      <c r="S49" s="326"/>
      <c r="AA49" s="326"/>
      <c r="AB49" s="326"/>
      <c r="AC49" s="326"/>
    </row>
    <row r="50" spans="1:30" x14ac:dyDescent="0.25">
      <c r="A50" s="329"/>
      <c r="B50" s="350"/>
      <c r="C50" s="350"/>
      <c r="E50" s="332"/>
      <c r="F50" s="332"/>
      <c r="G50" s="332"/>
      <c r="H50" s="332"/>
      <c r="I50" s="332"/>
      <c r="J50" s="332"/>
      <c r="K50" s="326"/>
      <c r="L50" s="326"/>
      <c r="M50" s="326"/>
      <c r="N50" s="333"/>
      <c r="O50" s="326"/>
      <c r="P50" s="326"/>
      <c r="Q50" s="326"/>
      <c r="R50" s="326"/>
      <c r="S50" s="326"/>
      <c r="T50" s="326"/>
      <c r="U50" s="326"/>
      <c r="V50" s="326"/>
      <c r="W50" s="326"/>
      <c r="X50" s="326"/>
      <c r="Y50" s="326"/>
      <c r="Z50" s="326"/>
      <c r="AA50" s="326"/>
      <c r="AB50" s="326"/>
      <c r="AC50" s="326"/>
    </row>
    <row r="51" spans="1:30" x14ac:dyDescent="0.25">
      <c r="A51" s="329"/>
      <c r="B51" s="350"/>
      <c r="C51" s="350"/>
      <c r="E51" s="332"/>
      <c r="F51" s="332"/>
      <c r="G51" s="332"/>
      <c r="H51" s="332"/>
      <c r="I51" s="332"/>
      <c r="J51" s="332"/>
      <c r="K51" s="326"/>
      <c r="L51" s="326"/>
      <c r="M51" s="326"/>
      <c r="N51" s="333"/>
      <c r="O51" s="326"/>
      <c r="P51" s="326"/>
      <c r="Q51" s="326"/>
      <c r="R51" s="326"/>
      <c r="S51" s="326"/>
      <c r="T51" s="326"/>
      <c r="U51" s="326"/>
      <c r="V51" s="326"/>
      <c r="W51" s="326"/>
      <c r="X51" s="326"/>
      <c r="Y51" s="326"/>
      <c r="Z51" s="326"/>
      <c r="AA51" s="326"/>
      <c r="AB51" s="326"/>
      <c r="AC51" s="326"/>
      <c r="AD51" s="326"/>
    </row>
    <row r="52" spans="1:30" x14ac:dyDescent="0.25">
      <c r="A52" s="329"/>
      <c r="B52" s="350"/>
      <c r="C52" s="350"/>
      <c r="E52" s="332"/>
      <c r="F52" s="332"/>
      <c r="G52" s="332"/>
      <c r="H52" s="332"/>
      <c r="I52" s="332"/>
      <c r="J52" s="332"/>
      <c r="K52" s="326"/>
      <c r="L52" s="326"/>
      <c r="M52" s="326"/>
      <c r="N52" s="326"/>
      <c r="O52" s="326"/>
      <c r="P52" s="326"/>
      <c r="Q52" s="326"/>
      <c r="R52" s="326"/>
      <c r="S52" s="326"/>
      <c r="T52" s="326"/>
      <c r="U52" s="326"/>
      <c r="V52" s="326"/>
      <c r="W52" s="326"/>
      <c r="X52" s="326"/>
      <c r="Y52" s="326"/>
      <c r="Z52" s="326"/>
      <c r="AA52" s="326"/>
      <c r="AB52" s="326"/>
      <c r="AC52" s="326"/>
      <c r="AD52" s="326"/>
    </row>
    <row r="53" spans="1:30" x14ac:dyDescent="0.25">
      <c r="A53" s="329"/>
      <c r="B53" s="350"/>
      <c r="C53" s="350"/>
      <c r="E53" s="332"/>
      <c r="F53" s="332"/>
      <c r="G53" s="332"/>
      <c r="H53" s="332"/>
      <c r="I53" s="332"/>
      <c r="J53" s="332"/>
      <c r="K53" s="326"/>
      <c r="L53" s="326"/>
      <c r="M53" s="326"/>
      <c r="N53" s="326"/>
      <c r="O53" s="326"/>
      <c r="P53" s="326"/>
      <c r="Q53" s="326"/>
      <c r="R53" s="326"/>
      <c r="S53" s="326"/>
      <c r="T53" s="326"/>
      <c r="U53" s="326"/>
      <c r="V53" s="326"/>
      <c r="W53" s="326"/>
      <c r="X53" s="326"/>
      <c r="Y53" s="326"/>
      <c r="Z53" s="326"/>
      <c r="AA53" s="326"/>
      <c r="AB53" s="326"/>
      <c r="AC53" s="326"/>
      <c r="AD53" s="326"/>
    </row>
    <row r="54" spans="1:30" s="328" customFormat="1" x14ac:dyDescent="0.25">
      <c r="A54" s="329"/>
      <c r="B54" s="350"/>
      <c r="C54" s="350"/>
      <c r="D54" s="326"/>
      <c r="E54" s="332"/>
      <c r="F54" s="332"/>
      <c r="G54" s="332"/>
      <c r="H54" s="332"/>
      <c r="I54" s="332"/>
      <c r="J54" s="332"/>
      <c r="K54" s="326"/>
      <c r="L54" s="326"/>
      <c r="M54" s="326"/>
      <c r="N54" s="326"/>
      <c r="O54" s="326"/>
      <c r="P54" s="326"/>
      <c r="Q54" s="326"/>
      <c r="R54" s="326"/>
      <c r="S54" s="326"/>
      <c r="T54" s="326"/>
      <c r="U54" s="326"/>
      <c r="V54" s="326"/>
      <c r="W54" s="326"/>
      <c r="X54" s="326"/>
      <c r="Y54" s="326"/>
      <c r="Z54" s="326"/>
      <c r="AA54" s="326"/>
      <c r="AB54" s="326"/>
      <c r="AC54" s="326"/>
      <c r="AD54" s="326"/>
    </row>
    <row r="55" spans="1:30" s="328" customFormat="1" x14ac:dyDescent="0.25">
      <c r="A55" s="329"/>
      <c r="B55" s="350"/>
      <c r="C55" s="350"/>
      <c r="D55" s="326"/>
      <c r="E55" s="332"/>
      <c r="F55" s="332"/>
      <c r="G55" s="332"/>
      <c r="H55" s="332"/>
      <c r="I55" s="332"/>
      <c r="J55" s="332"/>
      <c r="K55" s="326"/>
      <c r="L55" s="326"/>
      <c r="M55" s="326"/>
      <c r="N55" s="326"/>
      <c r="O55" s="326"/>
      <c r="P55" s="326"/>
      <c r="Q55" s="326"/>
      <c r="R55" s="326"/>
      <c r="S55" s="326"/>
      <c r="T55" s="326"/>
      <c r="U55" s="326"/>
      <c r="V55" s="326"/>
      <c r="W55" s="326"/>
      <c r="X55" s="326"/>
      <c r="Y55" s="326"/>
      <c r="Z55" s="326"/>
      <c r="AA55" s="326"/>
      <c r="AB55" s="326"/>
      <c r="AC55" s="326"/>
      <c r="AD55" s="326"/>
    </row>
    <row r="56" spans="1:30" s="328" customFormat="1" x14ac:dyDescent="0.25">
      <c r="A56" s="329"/>
      <c r="B56" s="350"/>
      <c r="C56" s="350"/>
      <c r="D56" s="326"/>
      <c r="E56" s="332"/>
      <c r="F56" s="332"/>
      <c r="G56" s="332"/>
      <c r="H56" s="332"/>
      <c r="I56" s="332"/>
      <c r="J56" s="332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  <c r="Z56" s="326"/>
      <c r="AA56" s="326"/>
      <c r="AB56" s="326"/>
      <c r="AC56" s="326"/>
      <c r="AD56" s="326"/>
    </row>
    <row r="57" spans="1:30" s="328" customFormat="1" x14ac:dyDescent="0.25">
      <c r="A57" s="329"/>
      <c r="B57" s="350"/>
      <c r="C57" s="350"/>
      <c r="D57" s="326"/>
      <c r="E57" s="332"/>
      <c r="F57" s="332"/>
      <c r="G57" s="332"/>
      <c r="H57" s="332"/>
      <c r="I57" s="332"/>
      <c r="J57" s="332"/>
      <c r="K57" s="326"/>
      <c r="L57" s="326"/>
      <c r="M57" s="326"/>
      <c r="N57" s="326"/>
      <c r="O57" s="326"/>
      <c r="P57" s="326"/>
      <c r="Q57" s="326"/>
      <c r="R57" s="326"/>
      <c r="S57" s="326"/>
      <c r="T57" s="326"/>
      <c r="U57" s="326"/>
      <c r="V57" s="326"/>
      <c r="W57" s="326"/>
      <c r="X57" s="326"/>
      <c r="Y57" s="326"/>
      <c r="Z57" s="326"/>
      <c r="AA57" s="326"/>
      <c r="AB57" s="326"/>
      <c r="AC57" s="326"/>
      <c r="AD57" s="326"/>
    </row>
    <row r="58" spans="1:30" s="328" customFormat="1" x14ac:dyDescent="0.25">
      <c r="A58" s="329"/>
      <c r="B58" s="350"/>
      <c r="C58" s="350"/>
      <c r="D58" s="326"/>
      <c r="E58" s="332"/>
      <c r="F58" s="332"/>
      <c r="G58" s="332"/>
      <c r="H58" s="332"/>
      <c r="I58" s="332"/>
      <c r="J58" s="332"/>
      <c r="K58" s="326"/>
      <c r="L58" s="326"/>
      <c r="M58" s="326"/>
      <c r="N58" s="326"/>
      <c r="O58" s="326"/>
      <c r="P58" s="326"/>
      <c r="Q58" s="326"/>
      <c r="R58" s="326"/>
      <c r="S58" s="326"/>
      <c r="T58" s="326"/>
      <c r="U58" s="326"/>
      <c r="V58" s="326"/>
      <c r="W58" s="326"/>
      <c r="X58" s="326"/>
      <c r="Y58" s="326"/>
      <c r="Z58" s="326"/>
      <c r="AA58" s="326"/>
      <c r="AB58" s="326"/>
      <c r="AC58" s="326"/>
      <c r="AD58" s="326"/>
    </row>
    <row r="59" spans="1:30" s="328" customFormat="1" x14ac:dyDescent="0.25">
      <c r="A59" s="329"/>
      <c r="B59" s="350"/>
      <c r="C59" s="350"/>
      <c r="D59" s="326"/>
      <c r="E59" s="332"/>
      <c r="F59" s="332"/>
      <c r="G59" s="332"/>
      <c r="H59" s="332"/>
      <c r="I59" s="332"/>
      <c r="J59" s="332"/>
      <c r="K59" s="326"/>
      <c r="L59" s="326"/>
      <c r="M59" s="326"/>
      <c r="N59" s="326"/>
      <c r="O59" s="326"/>
      <c r="P59" s="326"/>
      <c r="Q59" s="326"/>
      <c r="R59" s="326"/>
      <c r="S59" s="326"/>
      <c r="T59" s="326"/>
      <c r="U59" s="326"/>
      <c r="V59" s="326"/>
      <c r="W59" s="326"/>
      <c r="X59" s="326"/>
      <c r="Y59" s="326"/>
      <c r="Z59" s="326"/>
      <c r="AA59" s="326"/>
      <c r="AB59" s="326"/>
      <c r="AC59" s="326"/>
      <c r="AD59" s="326"/>
    </row>
    <row r="60" spans="1:30" s="328" customFormat="1" x14ac:dyDescent="0.25">
      <c r="A60" s="329"/>
      <c r="B60" s="350"/>
      <c r="C60" s="350"/>
      <c r="D60" s="326"/>
      <c r="E60" s="332"/>
      <c r="F60" s="332"/>
      <c r="G60" s="332"/>
      <c r="H60" s="332"/>
      <c r="I60" s="332"/>
      <c r="J60" s="332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  <c r="W60" s="326"/>
      <c r="X60" s="326"/>
      <c r="Y60" s="326"/>
      <c r="Z60" s="326"/>
      <c r="AA60" s="326"/>
      <c r="AB60" s="326"/>
      <c r="AC60" s="326"/>
      <c r="AD60" s="326"/>
    </row>
    <row r="61" spans="1:30" s="328" customFormat="1" x14ac:dyDescent="0.25">
      <c r="A61" s="329"/>
      <c r="B61" s="350"/>
      <c r="C61" s="350"/>
      <c r="D61" s="326"/>
      <c r="E61" s="332"/>
      <c r="F61" s="332"/>
      <c r="G61" s="332"/>
      <c r="H61" s="332"/>
      <c r="I61" s="332"/>
      <c r="J61" s="332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326"/>
      <c r="W61" s="326"/>
      <c r="X61" s="326"/>
      <c r="Y61" s="326"/>
      <c r="Z61" s="326"/>
      <c r="AA61" s="326"/>
      <c r="AB61" s="326"/>
      <c r="AC61" s="326"/>
      <c r="AD61" s="326"/>
    </row>
    <row r="62" spans="1:30" s="328" customFormat="1" x14ac:dyDescent="0.25">
      <c r="A62" s="329"/>
      <c r="B62" s="350"/>
      <c r="C62" s="350"/>
      <c r="D62" s="326"/>
      <c r="E62" s="332"/>
      <c r="F62" s="332"/>
      <c r="G62" s="332"/>
      <c r="H62" s="332"/>
      <c r="I62" s="332"/>
      <c r="J62" s="332"/>
      <c r="K62" s="326"/>
      <c r="L62" s="326"/>
      <c r="M62" s="326"/>
      <c r="N62" s="326"/>
      <c r="O62" s="326"/>
      <c r="P62" s="326"/>
      <c r="Q62" s="326"/>
      <c r="R62" s="326"/>
      <c r="S62" s="326"/>
      <c r="T62" s="326"/>
      <c r="U62" s="326"/>
      <c r="V62" s="326"/>
      <c r="W62" s="326"/>
      <c r="X62" s="326"/>
      <c r="Y62" s="326"/>
      <c r="Z62" s="326"/>
      <c r="AA62" s="326"/>
      <c r="AB62" s="326"/>
      <c r="AC62" s="326"/>
      <c r="AD62" s="326"/>
    </row>
    <row r="63" spans="1:30" s="328" customFormat="1" x14ac:dyDescent="0.25">
      <c r="A63" s="329"/>
      <c r="B63" s="350"/>
      <c r="C63" s="350"/>
      <c r="D63" s="326"/>
      <c r="E63" s="332"/>
      <c r="F63" s="332"/>
      <c r="G63" s="332"/>
      <c r="H63" s="332"/>
      <c r="I63" s="332"/>
      <c r="J63" s="332"/>
      <c r="K63" s="326"/>
      <c r="L63" s="326"/>
      <c r="M63" s="326"/>
      <c r="N63" s="326"/>
      <c r="O63" s="326"/>
      <c r="P63" s="326"/>
      <c r="Q63" s="326"/>
      <c r="R63" s="326"/>
      <c r="S63" s="326"/>
      <c r="T63" s="326"/>
      <c r="U63" s="326"/>
      <c r="V63" s="326"/>
      <c r="W63" s="326"/>
      <c r="X63" s="326"/>
      <c r="Y63" s="326"/>
      <c r="Z63" s="326"/>
      <c r="AA63" s="326"/>
      <c r="AB63" s="326"/>
      <c r="AC63" s="326"/>
      <c r="AD63" s="326"/>
    </row>
    <row r="64" spans="1:30" s="328" customFormat="1" x14ac:dyDescent="0.25">
      <c r="A64" s="329"/>
      <c r="B64" s="350"/>
      <c r="C64" s="350"/>
      <c r="D64" s="326"/>
      <c r="E64" s="332"/>
      <c r="F64" s="332"/>
      <c r="G64" s="332"/>
      <c r="H64" s="332"/>
      <c r="I64" s="332"/>
      <c r="J64" s="332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6"/>
      <c r="W64" s="326"/>
      <c r="X64" s="326"/>
      <c r="Y64" s="326"/>
      <c r="Z64" s="326"/>
      <c r="AA64" s="326"/>
      <c r="AB64" s="326"/>
      <c r="AC64" s="326"/>
      <c r="AD64" s="326"/>
    </row>
    <row r="65" spans="1:30" s="328" customFormat="1" x14ac:dyDescent="0.25">
      <c r="A65" s="329"/>
      <c r="B65" s="350"/>
      <c r="C65" s="350"/>
      <c r="D65" s="326"/>
      <c r="E65" s="332"/>
      <c r="F65" s="332"/>
      <c r="G65" s="332"/>
      <c r="H65" s="332"/>
      <c r="I65" s="332"/>
      <c r="J65" s="332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6"/>
      <c r="Z65" s="326"/>
      <c r="AA65" s="326"/>
      <c r="AB65" s="326"/>
      <c r="AC65" s="326"/>
      <c r="AD65" s="326"/>
    </row>
    <row r="66" spans="1:30" s="328" customFormat="1" x14ac:dyDescent="0.25">
      <c r="A66" s="329"/>
      <c r="B66" s="350"/>
      <c r="C66" s="350"/>
      <c r="D66" s="326"/>
      <c r="E66" s="332"/>
      <c r="F66" s="332"/>
      <c r="G66" s="332"/>
      <c r="H66" s="332"/>
      <c r="I66" s="332"/>
      <c r="J66" s="332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  <c r="AA66" s="326"/>
      <c r="AB66" s="326"/>
      <c r="AC66" s="326"/>
      <c r="AD66" s="326"/>
    </row>
    <row r="67" spans="1:30" s="328" customFormat="1" x14ac:dyDescent="0.25">
      <c r="A67" s="329"/>
      <c r="B67" s="350"/>
      <c r="C67" s="350"/>
      <c r="D67" s="326"/>
      <c r="E67" s="332"/>
      <c r="F67" s="332"/>
      <c r="G67" s="332"/>
      <c r="H67" s="332"/>
      <c r="I67" s="332"/>
      <c r="J67" s="332"/>
      <c r="K67" s="326"/>
      <c r="L67" s="326"/>
      <c r="M67" s="326"/>
      <c r="N67" s="326"/>
      <c r="O67" s="326"/>
      <c r="P67" s="326"/>
      <c r="Q67" s="326"/>
      <c r="R67" s="326"/>
      <c r="S67" s="326"/>
      <c r="T67" s="326"/>
      <c r="U67" s="326"/>
      <c r="V67" s="326"/>
      <c r="W67" s="326"/>
      <c r="X67" s="326"/>
      <c r="Y67" s="326"/>
      <c r="Z67" s="326"/>
      <c r="AA67" s="326"/>
      <c r="AB67" s="326"/>
      <c r="AC67" s="326"/>
      <c r="AD67" s="326"/>
    </row>
    <row r="68" spans="1:30" s="328" customFormat="1" x14ac:dyDescent="0.25">
      <c r="A68" s="329"/>
      <c r="B68" s="350"/>
      <c r="C68" s="350"/>
      <c r="D68" s="326"/>
      <c r="E68" s="332"/>
      <c r="F68" s="332"/>
      <c r="G68" s="332"/>
      <c r="H68" s="332"/>
      <c r="I68" s="332"/>
      <c r="J68" s="332"/>
      <c r="K68" s="326"/>
      <c r="L68" s="326"/>
      <c r="M68" s="326"/>
      <c r="N68" s="326"/>
      <c r="O68" s="326"/>
      <c r="P68" s="326"/>
      <c r="Q68" s="326"/>
      <c r="R68" s="326"/>
      <c r="S68" s="326"/>
      <c r="T68" s="326"/>
      <c r="U68" s="326"/>
      <c r="V68" s="326"/>
      <c r="W68" s="326"/>
      <c r="X68" s="326"/>
      <c r="Y68" s="326"/>
      <c r="Z68" s="326"/>
      <c r="AA68" s="326"/>
      <c r="AB68" s="326"/>
      <c r="AC68" s="326"/>
      <c r="AD68" s="326"/>
    </row>
    <row r="69" spans="1:30" s="328" customFormat="1" x14ac:dyDescent="0.25">
      <c r="A69" s="329"/>
      <c r="B69" s="350"/>
      <c r="C69" s="350"/>
      <c r="D69" s="326"/>
      <c r="E69" s="332"/>
      <c r="F69" s="332"/>
      <c r="G69" s="332"/>
      <c r="H69" s="332"/>
      <c r="I69" s="332"/>
      <c r="J69" s="332"/>
      <c r="K69" s="326"/>
      <c r="L69" s="326"/>
      <c r="M69" s="326"/>
      <c r="N69" s="326"/>
      <c r="O69" s="326"/>
      <c r="P69" s="326"/>
      <c r="Q69" s="326"/>
      <c r="R69" s="326"/>
      <c r="S69" s="326"/>
      <c r="T69" s="326"/>
      <c r="U69" s="326"/>
      <c r="V69" s="326"/>
      <c r="W69" s="326"/>
      <c r="X69" s="326"/>
      <c r="Y69" s="326"/>
      <c r="Z69" s="326"/>
      <c r="AA69" s="326"/>
      <c r="AB69" s="326"/>
      <c r="AC69" s="326"/>
      <c r="AD69" s="326"/>
    </row>
    <row r="70" spans="1:30" s="328" customFormat="1" x14ac:dyDescent="0.25">
      <c r="A70" s="329"/>
      <c r="B70" s="350"/>
      <c r="C70" s="350"/>
      <c r="D70" s="326"/>
      <c r="E70" s="332"/>
      <c r="F70" s="332"/>
      <c r="G70" s="332"/>
      <c r="H70" s="332"/>
      <c r="I70" s="332"/>
      <c r="J70" s="332"/>
      <c r="K70" s="326"/>
      <c r="L70" s="326"/>
      <c r="M70" s="326"/>
      <c r="N70" s="326"/>
      <c r="O70" s="326"/>
      <c r="P70" s="326"/>
      <c r="Q70" s="326"/>
      <c r="R70" s="326"/>
      <c r="S70" s="326"/>
      <c r="T70" s="326"/>
      <c r="U70" s="326"/>
      <c r="V70" s="326"/>
      <c r="W70" s="326"/>
      <c r="X70" s="326"/>
      <c r="Y70" s="326"/>
      <c r="Z70" s="326"/>
      <c r="AA70" s="326"/>
      <c r="AB70" s="326"/>
      <c r="AC70" s="326"/>
      <c r="AD70" s="326"/>
    </row>
    <row r="71" spans="1:30" s="328" customFormat="1" x14ac:dyDescent="0.25">
      <c r="A71" s="329"/>
      <c r="B71" s="350"/>
      <c r="C71" s="350"/>
      <c r="D71" s="326"/>
      <c r="E71" s="332"/>
      <c r="F71" s="332"/>
      <c r="G71" s="332"/>
      <c r="H71" s="332"/>
      <c r="I71" s="332"/>
      <c r="J71" s="332"/>
      <c r="K71" s="326"/>
      <c r="L71" s="326"/>
      <c r="M71" s="326"/>
      <c r="N71" s="326"/>
      <c r="O71" s="326"/>
      <c r="P71" s="326"/>
      <c r="Q71" s="326"/>
      <c r="R71" s="326"/>
      <c r="S71" s="326"/>
      <c r="T71" s="326"/>
      <c r="U71" s="326"/>
      <c r="V71" s="326"/>
      <c r="W71" s="326"/>
      <c r="X71" s="326"/>
      <c r="Y71" s="326"/>
      <c r="Z71" s="326"/>
      <c r="AA71" s="326"/>
      <c r="AB71" s="326"/>
      <c r="AC71" s="326"/>
      <c r="AD71" s="326"/>
    </row>
    <row r="72" spans="1:30" s="328" customFormat="1" x14ac:dyDescent="0.25">
      <c r="A72" s="329"/>
      <c r="B72" s="350"/>
      <c r="C72" s="350"/>
      <c r="D72" s="326"/>
      <c r="E72" s="332"/>
      <c r="F72" s="332"/>
      <c r="G72" s="332"/>
      <c r="H72" s="332"/>
      <c r="I72" s="332"/>
      <c r="J72" s="332"/>
      <c r="K72" s="326"/>
      <c r="L72" s="326"/>
      <c r="M72" s="326"/>
      <c r="N72" s="326"/>
      <c r="O72" s="326"/>
      <c r="P72" s="326"/>
      <c r="Q72" s="326"/>
      <c r="R72" s="326"/>
      <c r="S72" s="326"/>
      <c r="T72" s="326"/>
      <c r="U72" s="326"/>
      <c r="V72" s="326"/>
      <c r="W72" s="326"/>
      <c r="X72" s="326"/>
      <c r="Y72" s="326"/>
      <c r="Z72" s="326"/>
      <c r="AA72" s="326"/>
      <c r="AB72" s="326"/>
      <c r="AC72" s="326"/>
      <c r="AD72" s="326"/>
    </row>
    <row r="73" spans="1:30" s="328" customFormat="1" x14ac:dyDescent="0.25">
      <c r="A73" s="329"/>
      <c r="B73" s="350"/>
      <c r="C73" s="350"/>
      <c r="D73" s="326"/>
      <c r="E73" s="332"/>
      <c r="F73" s="332"/>
      <c r="G73" s="332"/>
      <c r="H73" s="332"/>
      <c r="I73" s="332"/>
      <c r="J73" s="332"/>
      <c r="K73" s="326"/>
      <c r="L73" s="326"/>
      <c r="M73" s="326"/>
      <c r="N73" s="326"/>
      <c r="O73" s="326"/>
      <c r="P73" s="326"/>
      <c r="Q73" s="326"/>
      <c r="R73" s="326"/>
      <c r="S73" s="326"/>
      <c r="T73" s="326"/>
      <c r="U73" s="326"/>
      <c r="V73" s="326"/>
      <c r="W73" s="326"/>
      <c r="X73" s="326"/>
      <c r="Y73" s="326"/>
      <c r="Z73" s="326"/>
      <c r="AA73" s="326"/>
      <c r="AB73" s="326"/>
      <c r="AC73" s="326"/>
      <c r="AD73" s="326"/>
    </row>
    <row r="74" spans="1:30" s="328" customFormat="1" x14ac:dyDescent="0.25">
      <c r="A74" s="329"/>
      <c r="B74" s="350"/>
      <c r="C74" s="350"/>
      <c r="D74" s="326"/>
      <c r="E74" s="332"/>
      <c r="F74" s="332"/>
      <c r="G74" s="332"/>
      <c r="H74" s="332"/>
      <c r="I74" s="332"/>
      <c r="J74" s="332"/>
      <c r="K74" s="326"/>
      <c r="L74" s="326"/>
      <c r="M74" s="326"/>
      <c r="N74" s="326"/>
      <c r="O74" s="326"/>
      <c r="P74" s="326"/>
      <c r="Q74" s="326"/>
      <c r="R74" s="326"/>
      <c r="S74" s="326"/>
      <c r="T74" s="326"/>
      <c r="U74" s="326"/>
      <c r="V74" s="326"/>
      <c r="W74" s="326"/>
      <c r="X74" s="326"/>
      <c r="Y74" s="326"/>
      <c r="Z74" s="326"/>
      <c r="AA74" s="326"/>
      <c r="AB74" s="326"/>
      <c r="AC74" s="326"/>
      <c r="AD74" s="326"/>
    </row>
    <row r="75" spans="1:30" s="328" customFormat="1" x14ac:dyDescent="0.25">
      <c r="A75" s="329"/>
      <c r="B75" s="350"/>
      <c r="C75" s="350"/>
      <c r="D75" s="326"/>
      <c r="E75" s="332"/>
      <c r="F75" s="332"/>
      <c r="G75" s="332"/>
      <c r="H75" s="332"/>
      <c r="I75" s="332"/>
      <c r="J75" s="332"/>
      <c r="K75" s="326"/>
      <c r="L75" s="326"/>
      <c r="M75" s="326"/>
      <c r="N75" s="326"/>
      <c r="O75" s="326"/>
      <c r="P75" s="326"/>
      <c r="Q75" s="326"/>
      <c r="R75" s="326"/>
      <c r="S75" s="326"/>
      <c r="T75" s="326"/>
      <c r="U75" s="326"/>
      <c r="V75" s="326"/>
      <c r="W75" s="326"/>
      <c r="X75" s="326"/>
      <c r="Y75" s="326"/>
      <c r="Z75" s="326"/>
      <c r="AA75" s="326"/>
      <c r="AB75" s="326"/>
      <c r="AC75" s="326"/>
      <c r="AD75" s="326"/>
    </row>
    <row r="76" spans="1:30" s="328" customFormat="1" x14ac:dyDescent="0.25">
      <c r="A76" s="329"/>
      <c r="B76" s="350"/>
      <c r="C76" s="350"/>
      <c r="D76" s="326"/>
      <c r="E76" s="332"/>
      <c r="F76" s="332"/>
      <c r="G76" s="332"/>
      <c r="H76" s="332"/>
      <c r="I76" s="332"/>
      <c r="J76" s="332"/>
      <c r="K76" s="326"/>
      <c r="L76" s="326"/>
      <c r="M76" s="326"/>
      <c r="N76" s="326"/>
      <c r="O76" s="326"/>
      <c r="P76" s="326"/>
      <c r="Q76" s="326"/>
      <c r="R76" s="326"/>
      <c r="S76" s="326"/>
      <c r="T76" s="326"/>
      <c r="U76" s="326"/>
      <c r="V76" s="326"/>
      <c r="W76" s="326"/>
      <c r="X76" s="326"/>
      <c r="Y76" s="326"/>
      <c r="Z76" s="326"/>
      <c r="AA76" s="326"/>
      <c r="AB76" s="326"/>
      <c r="AC76" s="326"/>
      <c r="AD76" s="326"/>
    </row>
    <row r="77" spans="1:30" s="328" customFormat="1" x14ac:dyDescent="0.25">
      <c r="A77" s="329"/>
      <c r="B77" s="350"/>
      <c r="C77" s="350"/>
      <c r="D77" s="326"/>
      <c r="E77" s="332"/>
      <c r="F77" s="332"/>
      <c r="G77" s="332"/>
      <c r="H77" s="332"/>
      <c r="I77" s="332"/>
      <c r="J77" s="332"/>
      <c r="K77" s="326"/>
      <c r="L77" s="326"/>
      <c r="M77" s="326"/>
      <c r="N77" s="326"/>
      <c r="O77" s="326"/>
      <c r="P77" s="326"/>
      <c r="Q77" s="326"/>
      <c r="R77" s="326"/>
      <c r="S77" s="326"/>
      <c r="T77" s="326"/>
      <c r="U77" s="326"/>
      <c r="V77" s="326"/>
      <c r="W77" s="326"/>
      <c r="X77" s="326"/>
      <c r="Y77" s="326"/>
      <c r="Z77" s="326"/>
      <c r="AA77" s="326"/>
      <c r="AB77" s="326"/>
      <c r="AC77" s="326"/>
      <c r="AD77" s="326"/>
    </row>
    <row r="78" spans="1:30" s="328" customFormat="1" x14ac:dyDescent="0.25">
      <c r="A78" s="329"/>
      <c r="B78" s="350"/>
      <c r="C78" s="350"/>
      <c r="D78" s="326"/>
      <c r="E78" s="332"/>
      <c r="F78" s="332"/>
      <c r="G78" s="332"/>
      <c r="H78" s="332"/>
      <c r="I78" s="332"/>
      <c r="J78" s="332"/>
      <c r="K78" s="326"/>
      <c r="L78" s="326"/>
      <c r="M78" s="326"/>
      <c r="N78" s="326"/>
      <c r="O78" s="326"/>
      <c r="P78" s="326"/>
      <c r="Q78" s="326"/>
      <c r="R78" s="326"/>
      <c r="S78" s="326"/>
      <c r="T78" s="326"/>
      <c r="U78" s="326"/>
      <c r="V78" s="326"/>
      <c r="W78" s="326"/>
      <c r="X78" s="326"/>
      <c r="Y78" s="326"/>
      <c r="Z78" s="326"/>
      <c r="AA78" s="326"/>
      <c r="AB78" s="326"/>
      <c r="AC78" s="326"/>
      <c r="AD78" s="326"/>
    </row>
    <row r="79" spans="1:30" s="328" customFormat="1" x14ac:dyDescent="0.25">
      <c r="A79" s="329"/>
      <c r="B79" s="350"/>
      <c r="C79" s="350"/>
      <c r="D79" s="326"/>
      <c r="E79" s="332"/>
      <c r="F79" s="332"/>
      <c r="G79" s="332"/>
      <c r="H79" s="332"/>
      <c r="I79" s="332"/>
      <c r="J79" s="332"/>
      <c r="K79" s="326"/>
      <c r="L79" s="326"/>
      <c r="M79" s="326"/>
      <c r="N79" s="326"/>
      <c r="O79" s="326"/>
      <c r="P79" s="326"/>
      <c r="Q79" s="326"/>
      <c r="R79" s="326"/>
      <c r="S79" s="326"/>
      <c r="T79" s="326"/>
      <c r="U79" s="326"/>
      <c r="V79" s="326"/>
      <c r="W79" s="326"/>
      <c r="X79" s="326"/>
      <c r="Y79" s="326"/>
      <c r="Z79" s="326"/>
      <c r="AA79" s="326"/>
      <c r="AB79" s="326"/>
      <c r="AC79" s="326"/>
      <c r="AD79" s="326"/>
    </row>
    <row r="80" spans="1:30" s="328" customFormat="1" x14ac:dyDescent="0.25">
      <c r="A80" s="329"/>
      <c r="B80" s="350"/>
      <c r="C80" s="350"/>
      <c r="D80" s="326"/>
      <c r="E80" s="332"/>
      <c r="F80" s="332"/>
      <c r="G80" s="332"/>
      <c r="H80" s="332"/>
      <c r="I80" s="332"/>
      <c r="J80" s="332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326"/>
      <c r="W80" s="326"/>
      <c r="X80" s="326"/>
      <c r="Y80" s="326"/>
      <c r="Z80" s="326"/>
      <c r="AA80" s="326"/>
      <c r="AB80" s="326"/>
      <c r="AC80" s="326"/>
      <c r="AD80" s="326"/>
    </row>
    <row r="81" spans="1:30" s="328" customFormat="1" x14ac:dyDescent="0.25">
      <c r="A81" s="329"/>
      <c r="B81" s="350"/>
      <c r="C81" s="350"/>
      <c r="D81" s="326"/>
      <c r="E81" s="332"/>
      <c r="F81" s="332"/>
      <c r="G81" s="332"/>
      <c r="H81" s="332"/>
      <c r="I81" s="332"/>
      <c r="J81" s="332"/>
      <c r="K81" s="326"/>
      <c r="L81" s="326"/>
      <c r="M81" s="326"/>
      <c r="N81" s="326"/>
      <c r="O81" s="326"/>
      <c r="P81" s="326"/>
      <c r="Q81" s="326"/>
      <c r="R81" s="326"/>
      <c r="S81" s="326"/>
      <c r="T81" s="326"/>
      <c r="U81" s="326"/>
      <c r="V81" s="326"/>
      <c r="W81" s="326"/>
      <c r="X81" s="326"/>
      <c r="Y81" s="326"/>
      <c r="Z81" s="326"/>
      <c r="AA81" s="326"/>
      <c r="AB81" s="326"/>
      <c r="AC81" s="326"/>
      <c r="AD81" s="326"/>
    </row>
    <row r="82" spans="1:30" s="328" customFormat="1" x14ac:dyDescent="0.25">
      <c r="A82" s="329"/>
      <c r="B82" s="350"/>
      <c r="C82" s="350"/>
      <c r="D82" s="326"/>
      <c r="E82" s="332"/>
      <c r="F82" s="332"/>
      <c r="G82" s="332"/>
      <c r="H82" s="332"/>
      <c r="I82" s="332"/>
      <c r="J82" s="332"/>
      <c r="K82" s="326"/>
      <c r="L82" s="326"/>
      <c r="M82" s="326"/>
      <c r="N82" s="326"/>
      <c r="O82" s="326"/>
      <c r="P82" s="326"/>
      <c r="Q82" s="326"/>
      <c r="R82" s="326"/>
      <c r="S82" s="326"/>
      <c r="T82" s="326"/>
      <c r="U82" s="326"/>
      <c r="V82" s="326"/>
      <c r="W82" s="326"/>
      <c r="X82" s="326"/>
      <c r="Y82" s="326"/>
      <c r="Z82" s="326"/>
      <c r="AA82" s="326"/>
      <c r="AB82" s="326"/>
      <c r="AC82" s="326"/>
      <c r="AD82" s="326"/>
    </row>
    <row r="83" spans="1:30" s="328" customFormat="1" x14ac:dyDescent="0.25">
      <c r="A83" s="329"/>
      <c r="B83" s="350"/>
      <c r="C83" s="350"/>
      <c r="D83" s="326"/>
      <c r="E83" s="332"/>
      <c r="F83" s="332"/>
      <c r="G83" s="332"/>
      <c r="H83" s="332"/>
      <c r="I83" s="332"/>
      <c r="J83" s="332"/>
      <c r="K83" s="326"/>
      <c r="L83" s="326"/>
      <c r="M83" s="326"/>
      <c r="N83" s="326"/>
      <c r="O83" s="326"/>
      <c r="P83" s="326"/>
      <c r="Q83" s="326"/>
      <c r="R83" s="326"/>
      <c r="S83" s="326"/>
      <c r="T83" s="326"/>
      <c r="U83" s="326"/>
      <c r="V83" s="326"/>
      <c r="W83" s="326"/>
      <c r="X83" s="326"/>
      <c r="Y83" s="326"/>
      <c r="Z83" s="326"/>
      <c r="AA83" s="326"/>
      <c r="AB83" s="326"/>
      <c r="AC83" s="326"/>
      <c r="AD83" s="326"/>
    </row>
    <row r="84" spans="1:30" s="328" customFormat="1" x14ac:dyDescent="0.25">
      <c r="A84" s="329"/>
      <c r="B84" s="350"/>
      <c r="C84" s="350"/>
      <c r="D84" s="326"/>
      <c r="E84" s="332"/>
      <c r="F84" s="332"/>
      <c r="G84" s="332"/>
      <c r="H84" s="332"/>
      <c r="I84" s="332"/>
      <c r="J84" s="332"/>
      <c r="K84" s="326"/>
      <c r="L84" s="326"/>
      <c r="M84" s="326"/>
      <c r="N84" s="326"/>
      <c r="O84" s="326"/>
      <c r="P84" s="326"/>
      <c r="Q84" s="326"/>
      <c r="R84" s="326"/>
      <c r="S84" s="326"/>
      <c r="T84" s="326"/>
      <c r="U84" s="326"/>
      <c r="V84" s="326"/>
      <c r="W84" s="326"/>
      <c r="X84" s="326"/>
      <c r="Y84" s="326"/>
      <c r="Z84" s="326"/>
      <c r="AA84" s="326"/>
      <c r="AB84" s="326"/>
      <c r="AC84" s="326"/>
      <c r="AD84" s="326"/>
    </row>
    <row r="85" spans="1:30" s="328" customFormat="1" x14ac:dyDescent="0.25">
      <c r="A85" s="329"/>
      <c r="B85" s="350"/>
      <c r="C85" s="350"/>
      <c r="D85" s="326"/>
      <c r="E85" s="332"/>
      <c r="F85" s="332"/>
      <c r="G85" s="332"/>
      <c r="H85" s="332"/>
      <c r="I85" s="332"/>
      <c r="J85" s="332"/>
      <c r="K85" s="326"/>
      <c r="L85" s="326"/>
      <c r="M85" s="326"/>
      <c r="N85" s="326"/>
      <c r="O85" s="326"/>
      <c r="P85" s="326"/>
      <c r="Q85" s="326"/>
      <c r="R85" s="326"/>
      <c r="S85" s="326"/>
      <c r="T85" s="326"/>
      <c r="U85" s="326"/>
      <c r="V85" s="326"/>
      <c r="W85" s="326"/>
      <c r="X85" s="326"/>
      <c r="Y85" s="326"/>
      <c r="Z85" s="326"/>
      <c r="AA85" s="326"/>
      <c r="AB85" s="326"/>
      <c r="AC85" s="326"/>
      <c r="AD85" s="326"/>
    </row>
    <row r="86" spans="1:30" s="328" customFormat="1" x14ac:dyDescent="0.25">
      <c r="A86" s="329"/>
      <c r="B86" s="350"/>
      <c r="C86" s="350"/>
      <c r="D86" s="326"/>
      <c r="E86" s="332"/>
      <c r="F86" s="332"/>
      <c r="G86" s="332"/>
      <c r="H86" s="332"/>
      <c r="I86" s="332"/>
      <c r="J86" s="332"/>
      <c r="K86" s="326"/>
      <c r="L86" s="326"/>
      <c r="M86" s="326"/>
      <c r="N86" s="326"/>
      <c r="O86" s="326"/>
      <c r="P86" s="326"/>
      <c r="Q86" s="326"/>
      <c r="R86" s="326"/>
      <c r="S86" s="326"/>
      <c r="T86" s="326"/>
      <c r="U86" s="326"/>
      <c r="V86" s="326"/>
      <c r="W86" s="326"/>
      <c r="X86" s="326"/>
      <c r="Y86" s="326"/>
      <c r="Z86" s="326"/>
      <c r="AA86" s="326"/>
      <c r="AB86" s="326"/>
      <c r="AC86" s="326"/>
      <c r="AD86" s="326"/>
    </row>
    <row r="87" spans="1:30" s="328" customFormat="1" x14ac:dyDescent="0.25">
      <c r="A87" s="329"/>
      <c r="B87" s="350"/>
      <c r="C87" s="350"/>
      <c r="D87" s="326"/>
      <c r="E87" s="332"/>
      <c r="F87" s="332"/>
      <c r="G87" s="332"/>
      <c r="H87" s="332"/>
      <c r="I87" s="332"/>
      <c r="J87" s="332"/>
      <c r="K87" s="326"/>
      <c r="L87" s="326"/>
      <c r="M87" s="326"/>
      <c r="N87" s="326"/>
      <c r="O87" s="326"/>
      <c r="P87" s="326"/>
      <c r="Q87" s="326"/>
      <c r="R87" s="326"/>
      <c r="S87" s="326"/>
      <c r="T87" s="326"/>
      <c r="U87" s="326"/>
      <c r="V87" s="326"/>
      <c r="W87" s="326"/>
      <c r="X87" s="326"/>
      <c r="Y87" s="326"/>
      <c r="Z87" s="326"/>
      <c r="AA87" s="326"/>
      <c r="AB87" s="326"/>
      <c r="AC87" s="326"/>
      <c r="AD87" s="326"/>
    </row>
    <row r="88" spans="1:30" s="328" customFormat="1" x14ac:dyDescent="0.25">
      <c r="A88" s="329"/>
      <c r="B88" s="350"/>
      <c r="C88" s="350"/>
      <c r="D88" s="326"/>
      <c r="E88" s="332"/>
      <c r="F88" s="332"/>
      <c r="G88" s="332"/>
      <c r="H88" s="332"/>
      <c r="I88" s="332"/>
      <c r="J88" s="332"/>
      <c r="K88" s="326"/>
      <c r="L88" s="326"/>
      <c r="M88" s="326"/>
      <c r="N88" s="326"/>
      <c r="O88" s="326"/>
      <c r="P88" s="326"/>
      <c r="Q88" s="326"/>
      <c r="R88" s="326"/>
      <c r="S88" s="326"/>
      <c r="T88" s="326"/>
      <c r="U88" s="326"/>
      <c r="V88" s="326"/>
      <c r="W88" s="326"/>
      <c r="X88" s="326"/>
      <c r="Y88" s="326"/>
      <c r="Z88" s="326"/>
      <c r="AA88" s="326"/>
      <c r="AB88" s="326"/>
      <c r="AC88" s="326"/>
      <c r="AD88" s="326"/>
    </row>
    <row r="89" spans="1:30" s="328" customFormat="1" x14ac:dyDescent="0.25">
      <c r="A89" s="329"/>
      <c r="B89" s="350"/>
      <c r="C89" s="350"/>
      <c r="D89" s="326"/>
      <c r="E89" s="332"/>
      <c r="F89" s="332"/>
      <c r="G89" s="332"/>
      <c r="H89" s="332"/>
      <c r="I89" s="332"/>
      <c r="J89" s="332"/>
      <c r="K89" s="326"/>
      <c r="L89" s="326"/>
      <c r="M89" s="326"/>
      <c r="N89" s="326"/>
      <c r="O89" s="326"/>
      <c r="P89" s="326"/>
      <c r="Q89" s="326"/>
      <c r="R89" s="326"/>
      <c r="S89" s="326"/>
      <c r="T89" s="326"/>
      <c r="U89" s="326"/>
      <c r="V89" s="326"/>
      <c r="W89" s="326"/>
      <c r="X89" s="326"/>
      <c r="Y89" s="326"/>
      <c r="Z89" s="326"/>
      <c r="AA89" s="326"/>
      <c r="AB89" s="326"/>
      <c r="AC89" s="326"/>
      <c r="AD89" s="326"/>
    </row>
    <row r="90" spans="1:30" s="328" customFormat="1" x14ac:dyDescent="0.25">
      <c r="A90" s="329"/>
      <c r="B90" s="350"/>
      <c r="C90" s="350"/>
      <c r="D90" s="326"/>
      <c r="E90" s="332"/>
      <c r="F90" s="332"/>
      <c r="G90" s="332"/>
      <c r="H90" s="332"/>
      <c r="I90" s="332"/>
      <c r="J90" s="332"/>
      <c r="K90" s="326"/>
      <c r="L90" s="326"/>
      <c r="M90" s="326"/>
      <c r="N90" s="326"/>
      <c r="O90" s="326"/>
      <c r="P90" s="326"/>
      <c r="Q90" s="326"/>
      <c r="R90" s="326"/>
      <c r="S90" s="326"/>
      <c r="T90" s="326"/>
      <c r="U90" s="326"/>
      <c r="V90" s="326"/>
      <c r="W90" s="326"/>
      <c r="X90" s="326"/>
      <c r="Y90" s="326"/>
      <c r="Z90" s="326"/>
      <c r="AA90" s="326"/>
      <c r="AB90" s="326"/>
      <c r="AC90" s="326"/>
      <c r="AD90" s="326"/>
    </row>
    <row r="91" spans="1:30" s="328" customFormat="1" x14ac:dyDescent="0.25">
      <c r="A91" s="329"/>
      <c r="B91" s="350"/>
      <c r="C91" s="350"/>
      <c r="D91" s="326"/>
      <c r="E91" s="332"/>
      <c r="F91" s="332"/>
      <c r="G91" s="332"/>
      <c r="H91" s="332"/>
      <c r="I91" s="332"/>
      <c r="J91" s="332"/>
      <c r="K91" s="326"/>
      <c r="L91" s="326"/>
      <c r="M91" s="326"/>
      <c r="N91" s="326"/>
      <c r="O91" s="326"/>
      <c r="P91" s="326"/>
      <c r="Q91" s="326"/>
      <c r="R91" s="326"/>
      <c r="S91" s="326"/>
      <c r="T91" s="326"/>
      <c r="U91" s="326"/>
      <c r="V91" s="326"/>
      <c r="W91" s="326"/>
      <c r="X91" s="326"/>
      <c r="Y91" s="326"/>
      <c r="Z91" s="326"/>
      <c r="AA91" s="326"/>
      <c r="AB91" s="326"/>
      <c r="AC91" s="326"/>
      <c r="AD91" s="326"/>
    </row>
    <row r="92" spans="1:30" s="328" customFormat="1" x14ac:dyDescent="0.25">
      <c r="A92" s="329"/>
      <c r="B92" s="350"/>
      <c r="C92" s="350"/>
      <c r="D92" s="326"/>
      <c r="E92" s="332"/>
      <c r="F92" s="332"/>
      <c r="G92" s="332"/>
      <c r="H92" s="332"/>
      <c r="I92" s="332"/>
      <c r="J92" s="332"/>
      <c r="K92" s="326"/>
      <c r="L92" s="326"/>
      <c r="M92" s="326"/>
      <c r="N92" s="326"/>
      <c r="O92" s="326"/>
      <c r="P92" s="326"/>
      <c r="Q92" s="326"/>
      <c r="R92" s="326"/>
      <c r="S92" s="326"/>
      <c r="T92" s="326"/>
      <c r="U92" s="326"/>
      <c r="V92" s="326"/>
      <c r="W92" s="326"/>
      <c r="X92" s="326"/>
      <c r="Y92" s="326"/>
      <c r="Z92" s="326"/>
      <c r="AA92" s="326"/>
      <c r="AB92" s="326"/>
      <c r="AC92" s="326"/>
      <c r="AD92" s="326"/>
    </row>
    <row r="93" spans="1:30" s="328" customFormat="1" x14ac:dyDescent="0.25">
      <c r="A93" s="329"/>
      <c r="B93" s="350"/>
      <c r="C93" s="350"/>
      <c r="D93" s="326"/>
      <c r="E93" s="332"/>
      <c r="F93" s="332"/>
      <c r="G93" s="332"/>
      <c r="H93" s="332"/>
      <c r="I93" s="332"/>
      <c r="J93" s="332"/>
      <c r="K93" s="326"/>
      <c r="L93" s="326"/>
      <c r="M93" s="326"/>
      <c r="N93" s="326"/>
      <c r="O93" s="326"/>
      <c r="P93" s="326"/>
      <c r="Q93" s="326"/>
      <c r="R93" s="326"/>
      <c r="S93" s="326"/>
      <c r="T93" s="326"/>
      <c r="U93" s="326"/>
      <c r="V93" s="326"/>
      <c r="W93" s="326"/>
      <c r="X93" s="326"/>
      <c r="Y93" s="326"/>
      <c r="Z93" s="326"/>
      <c r="AA93" s="326"/>
      <c r="AB93" s="326"/>
      <c r="AC93" s="326"/>
      <c r="AD93" s="326"/>
    </row>
    <row r="94" spans="1:30" s="328" customFormat="1" x14ac:dyDescent="0.25">
      <c r="A94" s="329"/>
      <c r="B94" s="350"/>
      <c r="C94" s="350"/>
      <c r="D94" s="326"/>
      <c r="E94" s="332"/>
      <c r="F94" s="332"/>
      <c r="G94" s="332"/>
      <c r="H94" s="332"/>
      <c r="I94" s="332"/>
      <c r="J94" s="332"/>
      <c r="K94" s="326"/>
      <c r="L94" s="326"/>
      <c r="M94" s="326"/>
      <c r="N94" s="326"/>
      <c r="O94" s="326"/>
      <c r="P94" s="326"/>
      <c r="Q94" s="326"/>
      <c r="R94" s="326"/>
      <c r="S94" s="326"/>
      <c r="T94" s="326"/>
      <c r="U94" s="326"/>
      <c r="V94" s="326"/>
      <c r="W94" s="326"/>
      <c r="X94" s="326"/>
      <c r="Y94" s="326"/>
      <c r="Z94" s="326"/>
      <c r="AA94" s="326"/>
      <c r="AB94" s="326"/>
      <c r="AC94" s="326"/>
      <c r="AD94" s="326"/>
    </row>
    <row r="95" spans="1:30" s="328" customFormat="1" x14ac:dyDescent="0.25">
      <c r="A95" s="329"/>
      <c r="B95" s="350"/>
      <c r="C95" s="350"/>
      <c r="D95" s="326"/>
      <c r="E95" s="332"/>
      <c r="F95" s="332"/>
      <c r="G95" s="332"/>
      <c r="H95" s="332"/>
      <c r="I95" s="332"/>
      <c r="J95" s="332"/>
      <c r="K95" s="326"/>
      <c r="L95" s="326"/>
      <c r="M95" s="326"/>
      <c r="N95" s="326"/>
      <c r="O95" s="326"/>
      <c r="P95" s="326"/>
      <c r="Q95" s="326"/>
      <c r="R95" s="326"/>
      <c r="S95" s="326"/>
      <c r="T95" s="326"/>
      <c r="U95" s="326"/>
      <c r="V95" s="326"/>
      <c r="W95" s="326"/>
      <c r="X95" s="326"/>
      <c r="Y95" s="326"/>
      <c r="Z95" s="326"/>
      <c r="AA95" s="326"/>
      <c r="AB95" s="326"/>
      <c r="AC95" s="326"/>
      <c r="AD95" s="326"/>
    </row>
    <row r="96" spans="1:30" s="328" customFormat="1" x14ac:dyDescent="0.25">
      <c r="A96" s="329"/>
      <c r="B96" s="350"/>
      <c r="C96" s="350"/>
      <c r="D96" s="326"/>
      <c r="E96" s="332"/>
      <c r="F96" s="332"/>
      <c r="G96" s="332"/>
      <c r="H96" s="332"/>
      <c r="I96" s="332"/>
      <c r="J96" s="332"/>
      <c r="K96" s="326"/>
      <c r="L96" s="326"/>
      <c r="M96" s="326"/>
      <c r="N96" s="326"/>
      <c r="O96" s="326"/>
      <c r="P96" s="326"/>
      <c r="Q96" s="326"/>
      <c r="R96" s="326"/>
      <c r="S96" s="326"/>
      <c r="T96" s="326"/>
      <c r="U96" s="326"/>
      <c r="V96" s="326"/>
      <c r="W96" s="326"/>
      <c r="X96" s="326"/>
      <c r="Y96" s="326"/>
      <c r="Z96" s="326"/>
      <c r="AA96" s="326"/>
      <c r="AB96" s="326"/>
      <c r="AC96" s="326"/>
      <c r="AD96" s="326"/>
    </row>
    <row r="97" spans="1:30" s="328" customFormat="1" x14ac:dyDescent="0.25">
      <c r="A97" s="329"/>
      <c r="B97" s="350"/>
      <c r="C97" s="350"/>
      <c r="D97" s="326"/>
      <c r="E97" s="332"/>
      <c r="F97" s="332"/>
      <c r="G97" s="332"/>
      <c r="H97" s="332"/>
      <c r="I97" s="332"/>
      <c r="J97" s="332"/>
      <c r="K97" s="326"/>
      <c r="L97" s="326"/>
      <c r="M97" s="326"/>
      <c r="N97" s="326"/>
      <c r="O97" s="326"/>
      <c r="P97" s="326"/>
      <c r="Q97" s="326"/>
      <c r="R97" s="326"/>
      <c r="S97" s="326"/>
      <c r="T97" s="326"/>
      <c r="U97" s="326"/>
      <c r="V97" s="326"/>
      <c r="W97" s="326"/>
      <c r="X97" s="326"/>
      <c r="Y97" s="326"/>
      <c r="Z97" s="326"/>
      <c r="AA97" s="326"/>
      <c r="AB97" s="326"/>
      <c r="AC97" s="326"/>
      <c r="AD97" s="326"/>
    </row>
    <row r="98" spans="1:30" s="328" customFormat="1" x14ac:dyDescent="0.25">
      <c r="A98" s="329"/>
      <c r="B98" s="350"/>
      <c r="C98" s="350"/>
      <c r="D98" s="326"/>
      <c r="E98" s="332"/>
      <c r="F98" s="332"/>
      <c r="G98" s="332"/>
      <c r="H98" s="332"/>
      <c r="I98" s="332"/>
      <c r="J98" s="332"/>
      <c r="K98" s="326"/>
      <c r="L98" s="326"/>
      <c r="M98" s="326"/>
      <c r="N98" s="326"/>
      <c r="O98" s="326"/>
      <c r="P98" s="326"/>
      <c r="Q98" s="326"/>
      <c r="R98" s="326"/>
      <c r="S98" s="326"/>
      <c r="T98" s="326"/>
      <c r="U98" s="326"/>
      <c r="V98" s="326"/>
      <c r="W98" s="326"/>
      <c r="X98" s="326"/>
      <c r="Y98" s="326"/>
      <c r="Z98" s="326"/>
      <c r="AA98" s="326"/>
      <c r="AB98" s="326"/>
      <c r="AC98" s="326"/>
      <c r="AD98" s="326"/>
    </row>
    <row r="99" spans="1:30" s="328" customFormat="1" x14ac:dyDescent="0.25">
      <c r="A99" s="329"/>
      <c r="B99" s="350"/>
      <c r="C99" s="350"/>
      <c r="D99" s="326"/>
      <c r="E99" s="332"/>
      <c r="F99" s="332"/>
      <c r="G99" s="332"/>
      <c r="H99" s="332"/>
      <c r="I99" s="332"/>
      <c r="J99" s="332"/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326"/>
      <c r="W99" s="326"/>
      <c r="X99" s="326"/>
      <c r="Y99" s="326"/>
      <c r="Z99" s="326"/>
      <c r="AA99" s="326"/>
      <c r="AB99" s="326"/>
      <c r="AC99" s="326"/>
      <c r="AD99" s="326"/>
    </row>
    <row r="100" spans="1:30" s="328" customFormat="1" x14ac:dyDescent="0.25">
      <c r="A100" s="329"/>
      <c r="B100" s="350"/>
      <c r="C100" s="350"/>
      <c r="D100" s="326"/>
      <c r="E100" s="332"/>
      <c r="F100" s="332"/>
      <c r="G100" s="332"/>
      <c r="H100" s="332"/>
      <c r="I100" s="332"/>
      <c r="J100" s="332"/>
      <c r="K100" s="326"/>
      <c r="L100" s="326"/>
      <c r="M100" s="326"/>
      <c r="N100" s="326"/>
      <c r="O100" s="326"/>
      <c r="P100" s="326"/>
      <c r="Q100" s="326"/>
      <c r="R100" s="326"/>
      <c r="S100" s="326"/>
      <c r="T100" s="326"/>
      <c r="U100" s="326"/>
      <c r="V100" s="326"/>
      <c r="W100" s="326"/>
      <c r="X100" s="326"/>
      <c r="Y100" s="326"/>
      <c r="Z100" s="326"/>
      <c r="AA100" s="326"/>
      <c r="AB100" s="326"/>
      <c r="AC100" s="326"/>
      <c r="AD100" s="326"/>
    </row>
    <row r="101" spans="1:30" s="328" customFormat="1" x14ac:dyDescent="0.25">
      <c r="A101" s="329"/>
      <c r="B101" s="350"/>
      <c r="C101" s="350"/>
      <c r="D101" s="326"/>
      <c r="E101" s="332"/>
      <c r="F101" s="332"/>
      <c r="G101" s="332"/>
      <c r="H101" s="332"/>
      <c r="I101" s="332"/>
      <c r="J101" s="332"/>
      <c r="K101" s="326"/>
      <c r="L101" s="326"/>
      <c r="M101" s="326"/>
      <c r="N101" s="326"/>
      <c r="O101" s="326"/>
      <c r="P101" s="326"/>
      <c r="Q101" s="326"/>
      <c r="R101" s="326"/>
      <c r="S101" s="326"/>
      <c r="T101" s="326"/>
      <c r="U101" s="326"/>
      <c r="V101" s="326"/>
      <c r="W101" s="326"/>
      <c r="X101" s="326"/>
      <c r="Y101" s="326"/>
      <c r="Z101" s="326"/>
      <c r="AA101" s="326"/>
      <c r="AB101" s="326"/>
      <c r="AC101" s="326"/>
      <c r="AD101" s="326"/>
    </row>
    <row r="102" spans="1:30" s="328" customFormat="1" x14ac:dyDescent="0.25">
      <c r="A102" s="329"/>
      <c r="B102" s="350"/>
      <c r="C102" s="350"/>
      <c r="D102" s="326"/>
      <c r="E102" s="332"/>
      <c r="F102" s="332"/>
      <c r="G102" s="332"/>
      <c r="H102" s="332"/>
      <c r="I102" s="332"/>
      <c r="J102" s="332"/>
      <c r="K102" s="326"/>
      <c r="L102" s="326"/>
      <c r="M102" s="326"/>
      <c r="N102" s="326"/>
      <c r="O102" s="326"/>
      <c r="P102" s="326"/>
      <c r="Q102" s="326"/>
      <c r="R102" s="326"/>
      <c r="S102" s="326"/>
      <c r="T102" s="326"/>
      <c r="U102" s="326"/>
      <c r="V102" s="326"/>
      <c r="W102" s="326"/>
      <c r="X102" s="326"/>
      <c r="Y102" s="326"/>
      <c r="Z102" s="326"/>
      <c r="AA102" s="326"/>
      <c r="AB102" s="326"/>
      <c r="AC102" s="326"/>
      <c r="AD102" s="326"/>
    </row>
    <row r="103" spans="1:30" s="328" customFormat="1" x14ac:dyDescent="0.25">
      <c r="A103" s="329"/>
      <c r="B103" s="350"/>
      <c r="C103" s="350"/>
      <c r="D103" s="326"/>
      <c r="E103" s="332"/>
      <c r="F103" s="332"/>
      <c r="G103" s="332"/>
      <c r="H103" s="332"/>
      <c r="I103" s="332"/>
      <c r="J103" s="332"/>
      <c r="K103" s="326"/>
      <c r="L103" s="326"/>
      <c r="M103" s="326"/>
      <c r="N103" s="326"/>
      <c r="O103" s="326"/>
      <c r="P103" s="326"/>
      <c r="Q103" s="326"/>
      <c r="R103" s="326"/>
      <c r="S103" s="326"/>
      <c r="T103" s="326"/>
      <c r="U103" s="326"/>
      <c r="V103" s="326"/>
      <c r="W103" s="326"/>
      <c r="X103" s="326"/>
      <c r="Y103" s="326"/>
      <c r="Z103" s="326"/>
      <c r="AA103" s="326"/>
      <c r="AB103" s="326"/>
      <c r="AC103" s="326"/>
      <c r="AD103" s="326"/>
    </row>
    <row r="104" spans="1:30" s="328" customFormat="1" x14ac:dyDescent="0.25">
      <c r="A104" s="329"/>
      <c r="B104" s="350"/>
      <c r="C104" s="350"/>
      <c r="D104" s="326"/>
      <c r="E104" s="332"/>
      <c r="F104" s="332"/>
      <c r="G104" s="332"/>
      <c r="H104" s="332"/>
      <c r="I104" s="332"/>
      <c r="J104" s="332"/>
      <c r="K104" s="326"/>
      <c r="L104" s="326"/>
      <c r="M104" s="326"/>
      <c r="N104" s="326"/>
      <c r="O104" s="326"/>
      <c r="P104" s="326"/>
      <c r="Q104" s="326"/>
      <c r="R104" s="326"/>
      <c r="S104" s="326"/>
      <c r="T104" s="326"/>
      <c r="U104" s="326"/>
      <c r="V104" s="326"/>
      <c r="W104" s="326"/>
      <c r="X104" s="326"/>
      <c r="Y104" s="326"/>
      <c r="Z104" s="326"/>
      <c r="AA104" s="326"/>
      <c r="AB104" s="326"/>
      <c r="AC104" s="326"/>
      <c r="AD104" s="326"/>
    </row>
    <row r="105" spans="1:30" s="328" customFormat="1" x14ac:dyDescent="0.25">
      <c r="A105" s="329"/>
      <c r="B105" s="350"/>
      <c r="C105" s="350"/>
      <c r="D105" s="326"/>
      <c r="E105" s="332"/>
      <c r="F105" s="332"/>
      <c r="G105" s="332"/>
      <c r="H105" s="332"/>
      <c r="I105" s="332"/>
      <c r="J105" s="332"/>
      <c r="K105" s="326"/>
      <c r="L105" s="326"/>
      <c r="M105" s="326"/>
      <c r="N105" s="326"/>
      <c r="O105" s="326"/>
      <c r="P105" s="326"/>
      <c r="Q105" s="326"/>
      <c r="R105" s="326"/>
      <c r="S105" s="326"/>
      <c r="T105" s="326"/>
      <c r="U105" s="326"/>
      <c r="V105" s="326"/>
      <c r="W105" s="326"/>
      <c r="X105" s="326"/>
      <c r="Y105" s="326"/>
      <c r="Z105" s="326"/>
      <c r="AA105" s="326"/>
      <c r="AB105" s="326"/>
      <c r="AC105" s="326"/>
      <c r="AD105" s="326"/>
    </row>
    <row r="106" spans="1:30" s="328" customFormat="1" x14ac:dyDescent="0.25">
      <c r="A106" s="329"/>
      <c r="B106" s="350"/>
      <c r="C106" s="350"/>
      <c r="D106" s="326"/>
      <c r="E106" s="332"/>
      <c r="F106" s="332"/>
      <c r="G106" s="332"/>
      <c r="H106" s="332"/>
      <c r="I106" s="332"/>
      <c r="J106" s="332"/>
      <c r="K106" s="326"/>
      <c r="L106" s="326"/>
      <c r="M106" s="326"/>
      <c r="N106" s="326"/>
      <c r="O106" s="326"/>
      <c r="P106" s="326"/>
      <c r="Q106" s="326"/>
      <c r="R106" s="326"/>
      <c r="S106" s="326"/>
      <c r="T106" s="326"/>
      <c r="U106" s="326"/>
      <c r="V106" s="326"/>
      <c r="W106" s="326"/>
      <c r="X106" s="326"/>
      <c r="Y106" s="326"/>
      <c r="Z106" s="326"/>
      <c r="AA106" s="326"/>
      <c r="AB106" s="326"/>
      <c r="AC106" s="326"/>
      <c r="AD106" s="326"/>
    </row>
    <row r="107" spans="1:30" s="328" customFormat="1" x14ac:dyDescent="0.25">
      <c r="A107" s="329"/>
      <c r="B107" s="350"/>
      <c r="C107" s="350"/>
      <c r="D107" s="326"/>
      <c r="E107" s="332"/>
      <c r="F107" s="332"/>
      <c r="G107" s="332"/>
      <c r="H107" s="332"/>
      <c r="I107" s="332"/>
      <c r="J107" s="332"/>
      <c r="K107" s="326"/>
      <c r="L107" s="326"/>
      <c r="M107" s="326"/>
      <c r="N107" s="326"/>
      <c r="O107" s="326"/>
      <c r="P107" s="326"/>
      <c r="Q107" s="326"/>
      <c r="R107" s="326"/>
      <c r="S107" s="326"/>
      <c r="T107" s="326"/>
      <c r="U107" s="326"/>
      <c r="V107" s="326"/>
      <c r="W107" s="326"/>
      <c r="X107" s="326"/>
      <c r="Y107" s="326"/>
      <c r="Z107" s="326"/>
      <c r="AA107" s="326"/>
      <c r="AB107" s="326"/>
      <c r="AC107" s="326"/>
      <c r="AD107" s="326"/>
    </row>
    <row r="108" spans="1:30" s="328" customFormat="1" x14ac:dyDescent="0.25">
      <c r="A108" s="329"/>
      <c r="B108" s="350"/>
      <c r="C108" s="350"/>
      <c r="D108" s="326"/>
      <c r="E108" s="332"/>
      <c r="F108" s="332"/>
      <c r="G108" s="332"/>
      <c r="H108" s="332"/>
      <c r="I108" s="332"/>
      <c r="J108" s="332"/>
      <c r="K108" s="326"/>
      <c r="L108" s="326"/>
      <c r="M108" s="326"/>
      <c r="N108" s="326"/>
      <c r="O108" s="326"/>
      <c r="P108" s="326"/>
      <c r="Q108" s="326"/>
      <c r="R108" s="326"/>
      <c r="S108" s="326"/>
      <c r="T108" s="326"/>
      <c r="U108" s="326"/>
      <c r="V108" s="326"/>
      <c r="W108" s="326"/>
      <c r="X108" s="326"/>
      <c r="Y108" s="326"/>
      <c r="Z108" s="326"/>
      <c r="AA108" s="326"/>
      <c r="AB108" s="326"/>
      <c r="AC108" s="326"/>
      <c r="AD108" s="326"/>
    </row>
    <row r="109" spans="1:30" s="328" customFormat="1" x14ac:dyDescent="0.25">
      <c r="A109" s="329"/>
      <c r="B109" s="350"/>
      <c r="C109" s="350"/>
      <c r="D109" s="326"/>
      <c r="E109" s="332"/>
      <c r="F109" s="332"/>
      <c r="G109" s="332"/>
      <c r="H109" s="332"/>
      <c r="I109" s="332"/>
      <c r="J109" s="332"/>
      <c r="K109" s="326"/>
      <c r="L109" s="326"/>
      <c r="M109" s="326"/>
      <c r="N109" s="326"/>
      <c r="O109" s="326"/>
      <c r="P109" s="326"/>
      <c r="Q109" s="326"/>
      <c r="R109" s="326"/>
      <c r="S109" s="326"/>
      <c r="T109" s="326"/>
      <c r="U109" s="326"/>
      <c r="V109" s="326"/>
      <c r="W109" s="326"/>
      <c r="X109" s="326"/>
      <c r="Y109" s="326"/>
      <c r="Z109" s="326"/>
      <c r="AA109" s="326"/>
      <c r="AB109" s="326"/>
      <c r="AC109" s="326"/>
      <c r="AD109" s="326"/>
    </row>
    <row r="110" spans="1:30" s="328" customFormat="1" x14ac:dyDescent="0.25">
      <c r="A110" s="329"/>
      <c r="B110" s="350"/>
      <c r="C110" s="350"/>
      <c r="D110" s="326"/>
      <c r="E110" s="332"/>
      <c r="F110" s="332"/>
      <c r="G110" s="332"/>
      <c r="H110" s="332"/>
      <c r="I110" s="332"/>
      <c r="J110" s="332"/>
      <c r="K110" s="326"/>
      <c r="L110" s="326"/>
      <c r="M110" s="326"/>
      <c r="N110" s="326"/>
      <c r="O110" s="326"/>
      <c r="P110" s="326"/>
      <c r="Q110" s="326"/>
      <c r="R110" s="326"/>
      <c r="S110" s="326"/>
      <c r="T110" s="326"/>
      <c r="U110" s="326"/>
      <c r="V110" s="326"/>
      <c r="W110" s="326"/>
      <c r="X110" s="326"/>
      <c r="Y110" s="326"/>
      <c r="Z110" s="326"/>
      <c r="AA110" s="326"/>
      <c r="AB110" s="326"/>
      <c r="AC110" s="326"/>
      <c r="AD110" s="326"/>
    </row>
    <row r="111" spans="1:30" s="328" customFormat="1" x14ac:dyDescent="0.25">
      <c r="A111" s="329"/>
      <c r="B111" s="350"/>
      <c r="C111" s="350"/>
      <c r="D111" s="326"/>
      <c r="E111" s="332"/>
      <c r="F111" s="332"/>
      <c r="G111" s="332"/>
      <c r="H111" s="332"/>
      <c r="I111" s="332"/>
      <c r="J111" s="332"/>
      <c r="K111" s="326"/>
      <c r="L111" s="326"/>
      <c r="M111" s="326"/>
      <c r="N111" s="326"/>
      <c r="O111" s="326"/>
      <c r="P111" s="326"/>
      <c r="Q111" s="326"/>
      <c r="R111" s="326"/>
      <c r="S111" s="326"/>
      <c r="T111" s="326"/>
      <c r="U111" s="326"/>
      <c r="V111" s="326"/>
      <c r="W111" s="326"/>
      <c r="X111" s="326"/>
      <c r="Y111" s="326"/>
      <c r="Z111" s="326"/>
      <c r="AA111" s="326"/>
      <c r="AB111" s="326"/>
      <c r="AC111" s="326"/>
      <c r="AD111" s="326"/>
    </row>
    <row r="112" spans="1:30" s="328" customFormat="1" x14ac:dyDescent="0.25">
      <c r="A112" s="329"/>
      <c r="B112" s="350"/>
      <c r="C112" s="350"/>
      <c r="D112" s="326"/>
      <c r="E112" s="332"/>
      <c r="F112" s="332"/>
      <c r="G112" s="332"/>
      <c r="H112" s="332"/>
      <c r="I112" s="332"/>
      <c r="J112" s="332"/>
      <c r="K112" s="326"/>
      <c r="L112" s="326"/>
      <c r="M112" s="326"/>
      <c r="N112" s="326"/>
      <c r="O112" s="326"/>
      <c r="P112" s="326"/>
      <c r="Q112" s="326"/>
      <c r="R112" s="326"/>
      <c r="S112" s="326"/>
      <c r="T112" s="326"/>
      <c r="U112" s="326"/>
      <c r="V112" s="326"/>
      <c r="W112" s="326"/>
      <c r="X112" s="326"/>
      <c r="Y112" s="326"/>
      <c r="Z112" s="326"/>
      <c r="AA112" s="326"/>
      <c r="AB112" s="326"/>
      <c r="AC112" s="326"/>
      <c r="AD112" s="326"/>
    </row>
    <row r="113" spans="1:30" s="328" customFormat="1" x14ac:dyDescent="0.25">
      <c r="A113" s="329"/>
      <c r="B113" s="350"/>
      <c r="C113" s="350"/>
      <c r="D113" s="326"/>
      <c r="E113" s="332"/>
      <c r="F113" s="332"/>
      <c r="G113" s="332"/>
      <c r="H113" s="332"/>
      <c r="I113" s="332"/>
      <c r="J113" s="332"/>
      <c r="K113" s="326"/>
      <c r="L113" s="326"/>
      <c r="M113" s="326"/>
      <c r="N113" s="326"/>
      <c r="O113" s="326"/>
      <c r="P113" s="326"/>
      <c r="Q113" s="326"/>
      <c r="R113" s="326"/>
      <c r="S113" s="326"/>
      <c r="T113" s="326"/>
      <c r="U113" s="326"/>
      <c r="V113" s="326"/>
      <c r="W113" s="326"/>
      <c r="X113" s="326"/>
      <c r="Y113" s="326"/>
      <c r="Z113" s="326"/>
      <c r="AA113" s="326"/>
      <c r="AB113" s="326"/>
      <c r="AC113" s="326"/>
      <c r="AD113" s="326"/>
    </row>
    <row r="114" spans="1:30" s="328" customFormat="1" x14ac:dyDescent="0.25">
      <c r="A114" s="329"/>
      <c r="B114" s="350"/>
      <c r="C114" s="350"/>
      <c r="D114" s="326"/>
      <c r="E114" s="332"/>
      <c r="F114" s="332"/>
      <c r="G114" s="332"/>
      <c r="H114" s="332"/>
      <c r="I114" s="332"/>
      <c r="J114" s="332"/>
      <c r="K114" s="326"/>
      <c r="L114" s="326"/>
      <c r="M114" s="326"/>
      <c r="N114" s="326"/>
      <c r="O114" s="326"/>
      <c r="P114" s="326"/>
      <c r="Q114" s="326"/>
      <c r="R114" s="326"/>
      <c r="S114" s="326"/>
      <c r="T114" s="326"/>
      <c r="U114" s="326"/>
      <c r="V114" s="326"/>
      <c r="W114" s="326"/>
      <c r="X114" s="326"/>
      <c r="Y114" s="326"/>
      <c r="Z114" s="326"/>
      <c r="AA114" s="326"/>
      <c r="AB114" s="326"/>
      <c r="AC114" s="326"/>
      <c r="AD114" s="326"/>
    </row>
    <row r="115" spans="1:30" s="328" customFormat="1" x14ac:dyDescent="0.25">
      <c r="A115" s="329"/>
      <c r="B115" s="350"/>
      <c r="C115" s="350"/>
      <c r="D115" s="326"/>
      <c r="E115" s="332"/>
      <c r="F115" s="332"/>
      <c r="G115" s="332"/>
      <c r="H115" s="332"/>
      <c r="I115" s="332"/>
      <c r="J115" s="332"/>
      <c r="K115" s="326"/>
      <c r="L115" s="326"/>
      <c r="M115" s="326"/>
      <c r="N115" s="326"/>
      <c r="O115" s="326"/>
      <c r="P115" s="326"/>
      <c r="Q115" s="326"/>
      <c r="R115" s="326"/>
      <c r="S115" s="326"/>
      <c r="T115" s="326"/>
      <c r="U115" s="326"/>
      <c r="V115" s="326"/>
      <c r="W115" s="326"/>
      <c r="X115" s="326"/>
      <c r="Y115" s="326"/>
      <c r="Z115" s="326"/>
      <c r="AA115" s="326"/>
      <c r="AB115" s="326"/>
      <c r="AC115" s="326"/>
      <c r="AD115" s="326"/>
    </row>
    <row r="116" spans="1:30" s="328" customFormat="1" x14ac:dyDescent="0.25">
      <c r="A116" s="329"/>
      <c r="B116" s="350"/>
      <c r="C116" s="350"/>
      <c r="D116" s="326"/>
      <c r="E116" s="332"/>
      <c r="F116" s="332"/>
      <c r="G116" s="332"/>
      <c r="H116" s="332"/>
      <c r="I116" s="332"/>
      <c r="J116" s="332"/>
      <c r="K116" s="326"/>
      <c r="L116" s="326"/>
      <c r="M116" s="326"/>
      <c r="N116" s="326"/>
      <c r="O116" s="326"/>
      <c r="P116" s="326"/>
      <c r="Q116" s="326"/>
      <c r="R116" s="326"/>
      <c r="S116" s="326"/>
      <c r="T116" s="326"/>
      <c r="U116" s="326"/>
      <c r="V116" s="326"/>
      <c r="W116" s="326"/>
      <c r="X116" s="326"/>
      <c r="Y116" s="326"/>
      <c r="Z116" s="326"/>
      <c r="AA116" s="326"/>
      <c r="AB116" s="326"/>
      <c r="AC116" s="326"/>
      <c r="AD116" s="326"/>
    </row>
    <row r="117" spans="1:30" s="328" customFormat="1" x14ac:dyDescent="0.25">
      <c r="A117" s="329"/>
      <c r="B117" s="350"/>
      <c r="C117" s="350"/>
      <c r="D117" s="326"/>
      <c r="E117" s="332"/>
      <c r="F117" s="332"/>
      <c r="G117" s="332"/>
      <c r="H117" s="332"/>
      <c r="I117" s="332"/>
      <c r="J117" s="332"/>
      <c r="K117" s="326"/>
      <c r="L117" s="326"/>
      <c r="M117" s="326"/>
      <c r="N117" s="326"/>
      <c r="O117" s="326"/>
      <c r="P117" s="326"/>
      <c r="Q117" s="326"/>
      <c r="R117" s="326"/>
      <c r="S117" s="326"/>
      <c r="T117" s="326"/>
      <c r="U117" s="326"/>
      <c r="V117" s="326"/>
      <c r="W117" s="326"/>
      <c r="X117" s="326"/>
      <c r="Y117" s="326"/>
      <c r="Z117" s="326"/>
      <c r="AA117" s="326"/>
      <c r="AB117" s="326"/>
      <c r="AC117" s="326"/>
      <c r="AD117" s="326"/>
    </row>
    <row r="118" spans="1:30" s="328" customFormat="1" x14ac:dyDescent="0.25">
      <c r="A118" s="329"/>
      <c r="B118" s="350"/>
      <c r="C118" s="350"/>
      <c r="D118" s="326"/>
      <c r="E118" s="332"/>
      <c r="F118" s="332"/>
      <c r="G118" s="332"/>
      <c r="H118" s="332"/>
      <c r="I118" s="332"/>
      <c r="J118" s="332"/>
      <c r="K118" s="326"/>
      <c r="L118" s="326"/>
      <c r="M118" s="326"/>
      <c r="N118" s="326"/>
      <c r="O118" s="326"/>
      <c r="P118" s="326"/>
      <c r="Q118" s="326"/>
      <c r="R118" s="326"/>
      <c r="S118" s="326"/>
      <c r="T118" s="326"/>
      <c r="U118" s="326"/>
      <c r="V118" s="326"/>
      <c r="W118" s="326"/>
      <c r="X118" s="326"/>
      <c r="Y118" s="326"/>
      <c r="Z118" s="326"/>
      <c r="AA118" s="326"/>
      <c r="AB118" s="326"/>
      <c r="AC118" s="326"/>
      <c r="AD118" s="326"/>
    </row>
    <row r="119" spans="1:30" s="328" customFormat="1" x14ac:dyDescent="0.25">
      <c r="A119" s="329"/>
      <c r="B119" s="350"/>
      <c r="C119" s="350"/>
      <c r="D119" s="326"/>
      <c r="E119" s="332"/>
      <c r="F119" s="332"/>
      <c r="G119" s="332"/>
      <c r="H119" s="332"/>
      <c r="I119" s="332"/>
      <c r="J119" s="332"/>
      <c r="K119" s="326"/>
      <c r="L119" s="326"/>
      <c r="M119" s="326"/>
      <c r="N119" s="326"/>
      <c r="O119" s="326"/>
      <c r="P119" s="326"/>
      <c r="Q119" s="326"/>
      <c r="R119" s="326"/>
      <c r="S119" s="326"/>
      <c r="T119" s="326"/>
      <c r="U119" s="326"/>
      <c r="V119" s="326"/>
      <c r="W119" s="326"/>
      <c r="X119" s="326"/>
      <c r="Y119" s="326"/>
      <c r="Z119" s="326"/>
      <c r="AA119" s="326"/>
      <c r="AB119" s="326"/>
      <c r="AC119" s="326"/>
      <c r="AD119" s="326"/>
    </row>
    <row r="120" spans="1:30" s="328" customFormat="1" x14ac:dyDescent="0.25">
      <c r="A120" s="329"/>
      <c r="B120" s="350"/>
      <c r="C120" s="350"/>
      <c r="D120" s="326"/>
      <c r="E120" s="332"/>
      <c r="F120" s="332"/>
      <c r="G120" s="332"/>
      <c r="H120" s="332"/>
      <c r="I120" s="332"/>
      <c r="J120" s="332"/>
      <c r="K120" s="326"/>
      <c r="L120" s="326"/>
      <c r="M120" s="326"/>
      <c r="N120" s="326"/>
      <c r="O120" s="326"/>
      <c r="P120" s="326"/>
      <c r="Q120" s="326"/>
      <c r="R120" s="326"/>
      <c r="S120" s="326"/>
      <c r="T120" s="326"/>
      <c r="U120" s="326"/>
      <c r="V120" s="326"/>
      <c r="W120" s="326"/>
      <c r="X120" s="326"/>
      <c r="Y120" s="326"/>
      <c r="Z120" s="326"/>
      <c r="AA120" s="326"/>
      <c r="AB120" s="326"/>
      <c r="AC120" s="326"/>
      <c r="AD120" s="326"/>
    </row>
    <row r="121" spans="1:30" s="328" customFormat="1" x14ac:dyDescent="0.25">
      <c r="A121" s="329"/>
      <c r="B121" s="350"/>
      <c r="C121" s="350"/>
      <c r="D121" s="326"/>
      <c r="E121" s="332"/>
      <c r="F121" s="332"/>
      <c r="G121" s="332"/>
      <c r="H121" s="332"/>
      <c r="I121" s="332"/>
      <c r="J121" s="332"/>
      <c r="K121" s="326"/>
      <c r="L121" s="326"/>
      <c r="M121" s="326"/>
      <c r="N121" s="326"/>
      <c r="O121" s="326"/>
      <c r="P121" s="326"/>
      <c r="Q121" s="326"/>
      <c r="R121" s="326"/>
      <c r="S121" s="326"/>
      <c r="T121" s="326"/>
      <c r="U121" s="326"/>
      <c r="V121" s="326"/>
      <c r="W121" s="326"/>
      <c r="X121" s="326"/>
      <c r="Y121" s="326"/>
      <c r="Z121" s="326"/>
      <c r="AA121" s="326"/>
      <c r="AB121" s="326"/>
      <c r="AC121" s="326"/>
      <c r="AD121" s="326"/>
    </row>
    <row r="122" spans="1:30" s="328" customFormat="1" x14ac:dyDescent="0.25">
      <c r="A122" s="329"/>
      <c r="B122" s="350"/>
      <c r="C122" s="350"/>
      <c r="D122" s="326"/>
      <c r="E122" s="332"/>
      <c r="F122" s="332"/>
      <c r="G122" s="332"/>
      <c r="H122" s="332"/>
      <c r="I122" s="332"/>
      <c r="J122" s="332"/>
      <c r="K122" s="326"/>
      <c r="L122" s="326"/>
      <c r="M122" s="326"/>
      <c r="N122" s="326"/>
      <c r="O122" s="326"/>
      <c r="P122" s="326"/>
      <c r="Q122" s="326"/>
      <c r="R122" s="326"/>
      <c r="S122" s="326"/>
      <c r="T122" s="326"/>
      <c r="U122" s="326"/>
      <c r="V122" s="326"/>
      <c r="W122" s="326"/>
      <c r="X122" s="326"/>
      <c r="Y122" s="326"/>
      <c r="Z122" s="326"/>
      <c r="AA122" s="326"/>
      <c r="AB122" s="326"/>
      <c r="AC122" s="326"/>
      <c r="AD122" s="326"/>
    </row>
    <row r="123" spans="1:30" s="328" customFormat="1" x14ac:dyDescent="0.25">
      <c r="A123" s="329"/>
      <c r="B123" s="350"/>
      <c r="C123" s="350"/>
      <c r="D123" s="326"/>
      <c r="E123" s="332"/>
      <c r="F123" s="332"/>
      <c r="G123" s="332"/>
      <c r="H123" s="332"/>
      <c r="I123" s="332"/>
      <c r="J123" s="332"/>
      <c r="K123" s="326"/>
      <c r="L123" s="326"/>
      <c r="M123" s="326"/>
      <c r="N123" s="326"/>
      <c r="O123" s="326"/>
      <c r="P123" s="326"/>
      <c r="Q123" s="326"/>
      <c r="R123" s="326"/>
      <c r="S123" s="326"/>
      <c r="T123" s="326"/>
      <c r="U123" s="326"/>
      <c r="V123" s="326"/>
      <c r="W123" s="326"/>
      <c r="X123" s="326"/>
      <c r="Y123" s="326"/>
      <c r="Z123" s="326"/>
      <c r="AA123" s="326"/>
      <c r="AB123" s="326"/>
      <c r="AC123" s="326"/>
      <c r="AD123" s="326"/>
    </row>
    <row r="124" spans="1:30" s="328" customFormat="1" x14ac:dyDescent="0.25">
      <c r="A124" s="329"/>
      <c r="B124" s="350"/>
      <c r="C124" s="350"/>
      <c r="D124" s="326"/>
      <c r="E124" s="332"/>
      <c r="F124" s="332"/>
      <c r="G124" s="332"/>
      <c r="H124" s="332"/>
      <c r="I124" s="332"/>
      <c r="J124" s="332"/>
      <c r="K124" s="326"/>
      <c r="L124" s="326"/>
      <c r="M124" s="326"/>
      <c r="N124" s="326"/>
      <c r="O124" s="326"/>
      <c r="P124" s="326"/>
      <c r="Q124" s="326"/>
      <c r="R124" s="326"/>
      <c r="S124" s="326"/>
      <c r="T124" s="326"/>
      <c r="U124" s="326"/>
      <c r="V124" s="326"/>
      <c r="W124" s="326"/>
      <c r="X124" s="326"/>
      <c r="Y124" s="326"/>
      <c r="Z124" s="326"/>
      <c r="AA124" s="326"/>
      <c r="AB124" s="326"/>
      <c r="AC124" s="326"/>
      <c r="AD124" s="326"/>
    </row>
    <row r="125" spans="1:30" s="328" customFormat="1" x14ac:dyDescent="0.25">
      <c r="A125" s="329"/>
      <c r="B125" s="350"/>
      <c r="C125" s="350"/>
      <c r="D125" s="326"/>
      <c r="E125" s="332"/>
      <c r="F125" s="332"/>
      <c r="G125" s="332"/>
      <c r="H125" s="332"/>
      <c r="I125" s="332"/>
      <c r="J125" s="332"/>
      <c r="K125" s="326"/>
      <c r="L125" s="326"/>
      <c r="M125" s="326"/>
      <c r="N125" s="326"/>
      <c r="O125" s="326"/>
      <c r="P125" s="326"/>
      <c r="Q125" s="326"/>
      <c r="R125" s="326"/>
      <c r="S125" s="326"/>
      <c r="T125" s="326"/>
      <c r="U125" s="326"/>
      <c r="V125" s="326"/>
      <c r="W125" s="326"/>
      <c r="X125" s="326"/>
      <c r="Y125" s="326"/>
      <c r="Z125" s="326"/>
      <c r="AA125" s="326"/>
      <c r="AB125" s="326"/>
      <c r="AC125" s="326"/>
      <c r="AD125" s="326"/>
    </row>
    <row r="126" spans="1:30" s="328" customFormat="1" x14ac:dyDescent="0.25">
      <c r="A126" s="329"/>
      <c r="B126" s="350"/>
      <c r="C126" s="350"/>
      <c r="D126" s="326"/>
      <c r="E126" s="332"/>
      <c r="F126" s="332"/>
      <c r="G126" s="332"/>
      <c r="H126" s="332"/>
      <c r="I126" s="332"/>
      <c r="J126" s="332"/>
      <c r="K126" s="326"/>
      <c r="L126" s="326"/>
      <c r="M126" s="326"/>
      <c r="N126" s="326"/>
      <c r="O126" s="326"/>
      <c r="P126" s="326"/>
      <c r="Q126" s="326"/>
      <c r="R126" s="326"/>
      <c r="S126" s="326"/>
      <c r="T126" s="326"/>
      <c r="U126" s="326"/>
      <c r="V126" s="326"/>
      <c r="W126" s="326"/>
      <c r="X126" s="326"/>
      <c r="Y126" s="326"/>
      <c r="Z126" s="326"/>
      <c r="AA126" s="326"/>
      <c r="AB126" s="326"/>
      <c r="AC126" s="326"/>
      <c r="AD126" s="326"/>
    </row>
    <row r="127" spans="1:30" s="328" customFormat="1" x14ac:dyDescent="0.25">
      <c r="A127" s="329"/>
      <c r="B127" s="350"/>
      <c r="C127" s="350"/>
      <c r="D127" s="326"/>
      <c r="E127" s="332"/>
      <c r="F127" s="332"/>
      <c r="G127" s="332"/>
      <c r="H127" s="332"/>
      <c r="I127" s="332"/>
      <c r="J127" s="332"/>
      <c r="K127" s="326"/>
      <c r="L127" s="326"/>
      <c r="M127" s="326"/>
      <c r="N127" s="326"/>
      <c r="O127" s="326"/>
      <c r="P127" s="326"/>
      <c r="Q127" s="326"/>
      <c r="R127" s="326"/>
      <c r="S127" s="326"/>
      <c r="T127" s="326"/>
      <c r="U127" s="326"/>
      <c r="V127" s="326"/>
      <c r="W127" s="326"/>
      <c r="X127" s="326"/>
      <c r="Y127" s="326"/>
      <c r="Z127" s="326"/>
      <c r="AA127" s="326"/>
      <c r="AB127" s="326"/>
      <c r="AC127" s="326"/>
      <c r="AD127" s="326"/>
    </row>
    <row r="128" spans="1:30" s="328" customFormat="1" x14ac:dyDescent="0.25">
      <c r="A128" s="329"/>
      <c r="B128" s="350"/>
      <c r="C128" s="350"/>
      <c r="D128" s="326"/>
      <c r="E128" s="332"/>
      <c r="F128" s="332"/>
      <c r="G128" s="332"/>
      <c r="H128" s="332"/>
      <c r="I128" s="332"/>
      <c r="J128" s="332"/>
      <c r="K128" s="326"/>
      <c r="L128" s="326"/>
      <c r="M128" s="326"/>
      <c r="N128" s="326"/>
      <c r="O128" s="326"/>
      <c r="P128" s="326"/>
      <c r="Q128" s="326"/>
      <c r="R128" s="326"/>
      <c r="S128" s="326"/>
      <c r="T128" s="326"/>
      <c r="U128" s="326"/>
      <c r="V128" s="326"/>
      <c r="W128" s="326"/>
      <c r="X128" s="326"/>
      <c r="Y128" s="326"/>
      <c r="Z128" s="326"/>
      <c r="AA128" s="326"/>
      <c r="AB128" s="326"/>
      <c r="AC128" s="326"/>
      <c r="AD128" s="326"/>
    </row>
    <row r="129" spans="1:30" s="328" customFormat="1" x14ac:dyDescent="0.25">
      <c r="A129" s="329"/>
      <c r="B129" s="350"/>
      <c r="C129" s="350"/>
      <c r="D129" s="326"/>
      <c r="E129" s="332"/>
      <c r="F129" s="332"/>
      <c r="G129" s="332"/>
      <c r="H129" s="332"/>
      <c r="I129" s="332"/>
      <c r="J129" s="332"/>
      <c r="K129" s="326"/>
      <c r="L129" s="326"/>
      <c r="M129" s="326"/>
      <c r="N129" s="326"/>
      <c r="O129" s="326"/>
      <c r="P129" s="326"/>
      <c r="Q129" s="326"/>
      <c r="R129" s="326"/>
      <c r="S129" s="326"/>
      <c r="T129" s="326"/>
      <c r="U129" s="326"/>
      <c r="V129" s="326"/>
      <c r="W129" s="326"/>
      <c r="X129" s="326"/>
      <c r="Y129" s="326"/>
      <c r="Z129" s="326"/>
      <c r="AA129" s="326"/>
      <c r="AB129" s="326"/>
      <c r="AC129" s="326"/>
      <c r="AD129" s="326"/>
    </row>
    <row r="130" spans="1:30" s="328" customFormat="1" x14ac:dyDescent="0.25">
      <c r="A130" s="329"/>
      <c r="B130" s="350"/>
      <c r="C130" s="350"/>
      <c r="D130" s="326"/>
      <c r="E130" s="332"/>
      <c r="F130" s="332"/>
      <c r="G130" s="332"/>
      <c r="H130" s="332"/>
      <c r="I130" s="332"/>
      <c r="J130" s="332"/>
      <c r="K130" s="326"/>
      <c r="L130" s="326"/>
      <c r="M130" s="326"/>
      <c r="N130" s="326"/>
      <c r="O130" s="326"/>
      <c r="P130" s="326"/>
      <c r="Q130" s="326"/>
      <c r="R130" s="326"/>
      <c r="S130" s="326"/>
      <c r="T130" s="326"/>
      <c r="U130" s="326"/>
      <c r="V130" s="326"/>
      <c r="W130" s="326"/>
      <c r="X130" s="326"/>
      <c r="Y130" s="326"/>
      <c r="Z130" s="326"/>
      <c r="AA130" s="326"/>
      <c r="AB130" s="326"/>
      <c r="AC130" s="326"/>
      <c r="AD130" s="326"/>
    </row>
    <row r="131" spans="1:30" s="328" customFormat="1" x14ac:dyDescent="0.25">
      <c r="A131" s="329"/>
      <c r="B131" s="350"/>
      <c r="C131" s="350"/>
      <c r="D131" s="326"/>
      <c r="E131" s="332"/>
      <c r="F131" s="332"/>
      <c r="G131" s="332"/>
      <c r="H131" s="332"/>
      <c r="I131" s="332"/>
      <c r="J131" s="332"/>
      <c r="K131" s="326"/>
      <c r="L131" s="326"/>
      <c r="M131" s="326"/>
      <c r="N131" s="326"/>
      <c r="O131" s="326"/>
      <c r="P131" s="326"/>
      <c r="Q131" s="326"/>
      <c r="R131" s="326"/>
      <c r="S131" s="326"/>
      <c r="T131" s="326"/>
      <c r="U131" s="326"/>
      <c r="V131" s="326"/>
      <c r="W131" s="326"/>
      <c r="X131" s="326"/>
      <c r="Y131" s="326"/>
      <c r="Z131" s="326"/>
      <c r="AA131" s="326"/>
      <c r="AB131" s="326"/>
      <c r="AC131" s="326"/>
      <c r="AD131" s="326"/>
    </row>
    <row r="132" spans="1:30" s="328" customFormat="1" x14ac:dyDescent="0.25">
      <c r="A132" s="329"/>
      <c r="B132" s="350"/>
      <c r="C132" s="350"/>
      <c r="D132" s="326"/>
      <c r="E132" s="332"/>
      <c r="F132" s="332"/>
      <c r="G132" s="332"/>
      <c r="H132" s="332"/>
      <c r="I132" s="332"/>
      <c r="J132" s="332"/>
      <c r="K132" s="326"/>
      <c r="L132" s="326"/>
      <c r="M132" s="326"/>
      <c r="N132" s="326"/>
      <c r="O132" s="326"/>
      <c r="P132" s="326"/>
      <c r="Q132" s="326"/>
      <c r="R132" s="326"/>
      <c r="S132" s="326"/>
      <c r="T132" s="326"/>
      <c r="U132" s="326"/>
      <c r="V132" s="326"/>
      <c r="W132" s="326"/>
      <c r="X132" s="326"/>
      <c r="Y132" s="326"/>
      <c r="Z132" s="326"/>
      <c r="AA132" s="326"/>
      <c r="AB132" s="326"/>
      <c r="AC132" s="326"/>
      <c r="AD132" s="326"/>
    </row>
    <row r="133" spans="1:30" s="328" customFormat="1" x14ac:dyDescent="0.25">
      <c r="A133" s="329"/>
      <c r="B133" s="350"/>
      <c r="C133" s="350"/>
      <c r="D133" s="326"/>
      <c r="E133" s="332"/>
      <c r="F133" s="332"/>
      <c r="G133" s="332"/>
      <c r="H133" s="332"/>
      <c r="I133" s="332"/>
      <c r="J133" s="332"/>
      <c r="K133" s="326"/>
      <c r="L133" s="326"/>
      <c r="M133" s="326"/>
      <c r="N133" s="326"/>
      <c r="O133" s="326"/>
      <c r="P133" s="326"/>
      <c r="Q133" s="326"/>
      <c r="R133" s="326"/>
      <c r="S133" s="326"/>
      <c r="T133" s="326"/>
      <c r="U133" s="326"/>
      <c r="V133" s="326"/>
      <c r="W133" s="326"/>
      <c r="X133" s="326"/>
      <c r="Y133" s="326"/>
      <c r="Z133" s="326"/>
      <c r="AA133" s="326"/>
      <c r="AB133" s="326"/>
      <c r="AC133" s="326"/>
      <c r="AD133" s="326"/>
    </row>
    <row r="134" spans="1:30" s="328" customFormat="1" x14ac:dyDescent="0.25">
      <c r="A134" s="329"/>
      <c r="B134" s="350"/>
      <c r="C134" s="350"/>
      <c r="D134" s="326"/>
      <c r="E134" s="332"/>
      <c r="F134" s="332"/>
      <c r="G134" s="332"/>
      <c r="H134" s="332"/>
      <c r="I134" s="332"/>
      <c r="J134" s="332"/>
      <c r="K134" s="326"/>
      <c r="L134" s="326"/>
      <c r="M134" s="326"/>
      <c r="N134" s="326"/>
      <c r="O134" s="326"/>
      <c r="P134" s="326"/>
      <c r="Q134" s="326"/>
      <c r="R134" s="326"/>
      <c r="S134" s="326"/>
      <c r="T134" s="326"/>
      <c r="U134" s="326"/>
      <c r="V134" s="326"/>
      <c r="W134" s="326"/>
      <c r="X134" s="326"/>
      <c r="Y134" s="326"/>
      <c r="Z134" s="326"/>
      <c r="AA134" s="326"/>
      <c r="AB134" s="326"/>
      <c r="AC134" s="326"/>
      <c r="AD134" s="326"/>
    </row>
    <row r="135" spans="1:30" s="328" customFormat="1" x14ac:dyDescent="0.25">
      <c r="A135" s="329"/>
      <c r="B135" s="350"/>
      <c r="C135" s="350"/>
      <c r="D135" s="326"/>
      <c r="E135" s="332"/>
      <c r="F135" s="332"/>
      <c r="G135" s="332"/>
      <c r="H135" s="332"/>
      <c r="I135" s="332"/>
      <c r="J135" s="332"/>
      <c r="K135" s="326"/>
      <c r="L135" s="326"/>
      <c r="M135" s="326"/>
      <c r="N135" s="326"/>
      <c r="O135" s="326"/>
      <c r="P135" s="326"/>
      <c r="Q135" s="326"/>
      <c r="R135" s="326"/>
      <c r="S135" s="326"/>
      <c r="T135" s="326"/>
      <c r="U135" s="326"/>
      <c r="V135" s="326"/>
      <c r="W135" s="326"/>
      <c r="X135" s="326"/>
      <c r="Y135" s="326"/>
      <c r="Z135" s="326"/>
      <c r="AA135" s="326"/>
      <c r="AB135" s="326"/>
      <c r="AC135" s="326"/>
      <c r="AD135" s="326"/>
    </row>
    <row r="136" spans="1:30" s="328" customFormat="1" x14ac:dyDescent="0.25">
      <c r="A136" s="329"/>
      <c r="B136" s="350"/>
      <c r="C136" s="350"/>
      <c r="D136" s="326"/>
      <c r="E136" s="332"/>
      <c r="F136" s="332"/>
      <c r="G136" s="332"/>
      <c r="H136" s="332"/>
      <c r="I136" s="332"/>
      <c r="J136" s="332"/>
      <c r="K136" s="326"/>
      <c r="L136" s="326"/>
      <c r="M136" s="326"/>
      <c r="N136" s="326"/>
      <c r="O136" s="326"/>
      <c r="P136" s="326"/>
      <c r="Q136" s="326"/>
      <c r="R136" s="326"/>
      <c r="S136" s="326"/>
      <c r="T136" s="326"/>
      <c r="U136" s="326"/>
      <c r="V136" s="326"/>
      <c r="W136" s="326"/>
      <c r="X136" s="326"/>
      <c r="Y136" s="326"/>
      <c r="Z136" s="326"/>
      <c r="AA136" s="326"/>
      <c r="AB136" s="326"/>
      <c r="AC136" s="326"/>
      <c r="AD136" s="326"/>
    </row>
    <row r="137" spans="1:30" s="328" customFormat="1" x14ac:dyDescent="0.25">
      <c r="A137" s="329"/>
      <c r="B137" s="350"/>
      <c r="C137" s="350"/>
      <c r="D137" s="326"/>
      <c r="E137" s="332"/>
      <c r="F137" s="332"/>
      <c r="G137" s="332"/>
      <c r="H137" s="332"/>
      <c r="I137" s="332"/>
      <c r="J137" s="332"/>
      <c r="K137" s="326"/>
      <c r="L137" s="326"/>
      <c r="M137" s="326"/>
      <c r="N137" s="326"/>
      <c r="O137" s="326"/>
      <c r="P137" s="326"/>
      <c r="Q137" s="326"/>
      <c r="R137" s="326"/>
      <c r="S137" s="326"/>
      <c r="T137" s="326"/>
      <c r="U137" s="326"/>
      <c r="V137" s="326"/>
      <c r="W137" s="326"/>
      <c r="X137" s="326"/>
      <c r="Y137" s="326"/>
      <c r="Z137" s="326"/>
      <c r="AA137" s="326"/>
      <c r="AB137" s="326"/>
      <c r="AC137" s="326"/>
      <c r="AD137" s="326"/>
    </row>
    <row r="138" spans="1:30" s="328" customFormat="1" x14ac:dyDescent="0.25">
      <c r="A138" s="329"/>
      <c r="B138" s="350"/>
      <c r="C138" s="350"/>
      <c r="D138" s="326"/>
      <c r="E138" s="332"/>
      <c r="F138" s="332"/>
      <c r="G138" s="332"/>
      <c r="H138" s="332"/>
      <c r="I138" s="332"/>
      <c r="J138" s="332"/>
      <c r="K138" s="326"/>
      <c r="L138" s="326"/>
      <c r="M138" s="326"/>
      <c r="N138" s="326"/>
      <c r="O138" s="326"/>
      <c r="P138" s="326"/>
      <c r="Q138" s="326"/>
      <c r="R138" s="326"/>
      <c r="S138" s="326"/>
      <c r="T138" s="326"/>
      <c r="U138" s="326"/>
      <c r="V138" s="326"/>
      <c r="W138" s="326"/>
      <c r="X138" s="326"/>
      <c r="Y138" s="326"/>
      <c r="Z138" s="326"/>
      <c r="AA138" s="326"/>
      <c r="AB138" s="326"/>
      <c r="AC138" s="326"/>
      <c r="AD138" s="326"/>
    </row>
    <row r="139" spans="1:30" s="328" customFormat="1" x14ac:dyDescent="0.25">
      <c r="A139" s="329"/>
      <c r="B139" s="350"/>
      <c r="C139" s="350"/>
      <c r="D139" s="326"/>
      <c r="E139" s="332"/>
      <c r="F139" s="332"/>
      <c r="G139" s="332"/>
      <c r="H139" s="332"/>
      <c r="I139" s="332"/>
      <c r="J139" s="332"/>
      <c r="K139" s="326"/>
      <c r="L139" s="326"/>
      <c r="M139" s="326"/>
      <c r="N139" s="326"/>
      <c r="O139" s="326"/>
      <c r="P139" s="326"/>
      <c r="Q139" s="326"/>
      <c r="R139" s="326"/>
      <c r="S139" s="326"/>
      <c r="T139" s="326"/>
      <c r="U139" s="326"/>
      <c r="V139" s="326"/>
      <c r="W139" s="326"/>
      <c r="X139" s="326"/>
      <c r="Y139" s="326"/>
      <c r="Z139" s="326"/>
      <c r="AA139" s="326"/>
      <c r="AB139" s="326"/>
      <c r="AC139" s="326"/>
      <c r="AD139" s="326"/>
    </row>
    <row r="140" spans="1:30" s="328" customFormat="1" x14ac:dyDescent="0.25">
      <c r="A140" s="329"/>
      <c r="B140" s="350"/>
      <c r="C140" s="350"/>
      <c r="D140" s="326"/>
      <c r="E140" s="332"/>
      <c r="F140" s="332"/>
      <c r="G140" s="332"/>
      <c r="H140" s="332"/>
      <c r="I140" s="332"/>
      <c r="J140" s="332"/>
      <c r="K140" s="326"/>
      <c r="L140" s="326"/>
      <c r="M140" s="326"/>
      <c r="N140" s="326"/>
      <c r="O140" s="326"/>
      <c r="P140" s="326"/>
      <c r="Q140" s="326"/>
      <c r="R140" s="326"/>
      <c r="S140" s="326"/>
      <c r="T140" s="326"/>
      <c r="U140" s="326"/>
      <c r="V140" s="326"/>
      <c r="W140" s="326"/>
      <c r="X140" s="326"/>
      <c r="Y140" s="326"/>
      <c r="Z140" s="326"/>
      <c r="AA140" s="326"/>
      <c r="AB140" s="326"/>
      <c r="AC140" s="326"/>
      <c r="AD140" s="326"/>
    </row>
    <row r="141" spans="1:30" s="328" customFormat="1" x14ac:dyDescent="0.25">
      <c r="A141" s="329"/>
      <c r="B141" s="350"/>
      <c r="C141" s="350"/>
      <c r="D141" s="326"/>
      <c r="E141" s="332"/>
      <c r="F141" s="332"/>
      <c r="G141" s="332"/>
      <c r="H141" s="332"/>
      <c r="I141" s="332"/>
      <c r="J141" s="332"/>
      <c r="K141" s="326"/>
      <c r="L141" s="326"/>
      <c r="M141" s="326"/>
      <c r="N141" s="326"/>
      <c r="O141" s="326"/>
      <c r="P141" s="326"/>
      <c r="Q141" s="326"/>
      <c r="R141" s="326"/>
      <c r="S141" s="326"/>
      <c r="T141" s="326"/>
      <c r="U141" s="326"/>
      <c r="V141" s="326"/>
      <c r="W141" s="326"/>
      <c r="X141" s="326"/>
      <c r="Y141" s="326"/>
      <c r="Z141" s="326"/>
      <c r="AA141" s="326"/>
      <c r="AB141" s="326"/>
      <c r="AC141" s="326"/>
      <c r="AD141" s="326"/>
    </row>
    <row r="142" spans="1:30" s="328" customFormat="1" x14ac:dyDescent="0.25">
      <c r="A142" s="329"/>
      <c r="B142" s="350"/>
      <c r="C142" s="350"/>
      <c r="D142" s="326"/>
      <c r="E142" s="332"/>
      <c r="F142" s="332"/>
      <c r="G142" s="332"/>
      <c r="H142" s="332"/>
      <c r="I142" s="332"/>
      <c r="J142" s="332"/>
      <c r="K142" s="326"/>
      <c r="L142" s="326"/>
      <c r="M142" s="326"/>
      <c r="N142" s="326"/>
      <c r="O142" s="326"/>
      <c r="P142" s="326"/>
      <c r="Q142" s="326"/>
      <c r="R142" s="326"/>
      <c r="S142" s="326"/>
      <c r="T142" s="326"/>
      <c r="U142" s="326"/>
      <c r="V142" s="326"/>
      <c r="W142" s="326"/>
      <c r="X142" s="326"/>
      <c r="Y142" s="326"/>
      <c r="Z142" s="326"/>
      <c r="AA142" s="326"/>
      <c r="AB142" s="326"/>
      <c r="AC142" s="326"/>
      <c r="AD142" s="326"/>
    </row>
    <row r="143" spans="1:30" s="328" customFormat="1" x14ac:dyDescent="0.25">
      <c r="A143" s="329"/>
      <c r="B143" s="350"/>
      <c r="C143" s="350"/>
      <c r="D143" s="326"/>
      <c r="E143" s="332"/>
      <c r="F143" s="332"/>
      <c r="G143" s="332"/>
      <c r="H143" s="332"/>
      <c r="I143" s="332"/>
      <c r="J143" s="332"/>
      <c r="K143" s="326"/>
      <c r="L143" s="326"/>
      <c r="M143" s="326"/>
      <c r="N143" s="326"/>
      <c r="O143" s="326"/>
      <c r="P143" s="326"/>
      <c r="Q143" s="326"/>
      <c r="R143" s="326"/>
      <c r="S143" s="326"/>
      <c r="T143" s="326"/>
      <c r="U143" s="326"/>
      <c r="V143" s="326"/>
      <c r="W143" s="326"/>
      <c r="X143" s="326"/>
      <c r="Y143" s="326"/>
      <c r="Z143" s="326"/>
      <c r="AA143" s="326"/>
      <c r="AB143" s="326"/>
      <c r="AC143" s="326"/>
      <c r="AD143" s="326"/>
    </row>
    <row r="144" spans="1:30" s="328" customFormat="1" x14ac:dyDescent="0.25">
      <c r="A144" s="329"/>
      <c r="B144" s="350"/>
      <c r="C144" s="350"/>
      <c r="D144" s="326"/>
      <c r="E144" s="332"/>
      <c r="F144" s="332"/>
      <c r="G144" s="332"/>
      <c r="H144" s="332"/>
      <c r="I144" s="332"/>
      <c r="J144" s="332"/>
      <c r="K144" s="326"/>
      <c r="L144" s="326"/>
      <c r="M144" s="326"/>
      <c r="N144" s="326"/>
      <c r="O144" s="326"/>
      <c r="P144" s="326"/>
      <c r="Q144" s="326"/>
      <c r="R144" s="326"/>
      <c r="S144" s="326"/>
      <c r="T144" s="326"/>
      <c r="U144" s="326"/>
      <c r="V144" s="326"/>
      <c r="W144" s="326"/>
      <c r="X144" s="326"/>
      <c r="Y144" s="326"/>
      <c r="Z144" s="326"/>
      <c r="AA144" s="326"/>
      <c r="AB144" s="326"/>
      <c r="AC144" s="326"/>
      <c r="AD144" s="326"/>
    </row>
    <row r="145" spans="1:30" s="328" customFormat="1" x14ac:dyDescent="0.25">
      <c r="A145" s="329"/>
      <c r="B145" s="350"/>
      <c r="C145" s="350"/>
      <c r="D145" s="326"/>
      <c r="E145" s="332"/>
      <c r="F145" s="332"/>
      <c r="G145" s="332"/>
      <c r="H145" s="332"/>
      <c r="I145" s="332"/>
      <c r="J145" s="332"/>
      <c r="K145" s="326"/>
      <c r="L145" s="326"/>
      <c r="M145" s="326"/>
      <c r="N145" s="326"/>
      <c r="O145" s="326"/>
      <c r="P145" s="326"/>
      <c r="Q145" s="326"/>
      <c r="R145" s="326"/>
      <c r="S145" s="326"/>
      <c r="T145" s="326"/>
      <c r="U145" s="326"/>
      <c r="V145" s="326"/>
      <c r="W145" s="326"/>
      <c r="X145" s="326"/>
      <c r="Y145" s="326"/>
      <c r="Z145" s="326"/>
      <c r="AA145" s="326"/>
      <c r="AB145" s="326"/>
      <c r="AC145" s="326"/>
      <c r="AD145" s="326"/>
    </row>
    <row r="146" spans="1:30" s="328" customFormat="1" x14ac:dyDescent="0.25">
      <c r="A146" s="329"/>
      <c r="B146" s="350"/>
      <c r="C146" s="350"/>
      <c r="D146" s="326"/>
      <c r="E146" s="332"/>
      <c r="F146" s="332"/>
      <c r="G146" s="332"/>
      <c r="H146" s="332"/>
      <c r="I146" s="332"/>
      <c r="J146" s="332"/>
      <c r="K146" s="326"/>
      <c r="L146" s="326"/>
      <c r="M146" s="326"/>
      <c r="N146" s="326"/>
      <c r="O146" s="326"/>
      <c r="P146" s="326"/>
      <c r="Q146" s="326"/>
      <c r="R146" s="326"/>
      <c r="S146" s="326"/>
      <c r="T146" s="326"/>
      <c r="U146" s="326"/>
      <c r="V146" s="326"/>
      <c r="W146" s="326"/>
      <c r="X146" s="326"/>
      <c r="Y146" s="326"/>
      <c r="Z146" s="326"/>
      <c r="AA146" s="326"/>
      <c r="AB146" s="326"/>
      <c r="AC146" s="326"/>
      <c r="AD146" s="326"/>
    </row>
    <row r="147" spans="1:30" s="328" customFormat="1" x14ac:dyDescent="0.25">
      <c r="A147" s="329"/>
      <c r="B147" s="350"/>
      <c r="C147" s="350"/>
      <c r="D147" s="326"/>
      <c r="E147" s="332"/>
      <c r="F147" s="332"/>
      <c r="G147" s="332"/>
      <c r="H147" s="332"/>
      <c r="I147" s="332"/>
      <c r="J147" s="332"/>
      <c r="K147" s="326"/>
      <c r="L147" s="326"/>
      <c r="M147" s="326"/>
      <c r="N147" s="326"/>
      <c r="O147" s="326"/>
      <c r="P147" s="326"/>
      <c r="Q147" s="326"/>
      <c r="R147" s="326"/>
      <c r="S147" s="326"/>
      <c r="T147" s="326"/>
      <c r="U147" s="326"/>
      <c r="V147" s="326"/>
      <c r="W147" s="326"/>
      <c r="X147" s="326"/>
      <c r="Y147" s="326"/>
      <c r="Z147" s="326"/>
      <c r="AA147" s="326"/>
      <c r="AB147" s="326"/>
      <c r="AC147" s="326"/>
      <c r="AD147" s="326"/>
    </row>
    <row r="148" spans="1:30" s="328" customFormat="1" x14ac:dyDescent="0.25">
      <c r="A148" s="329"/>
      <c r="B148" s="350"/>
      <c r="C148" s="350"/>
      <c r="D148" s="326"/>
      <c r="E148" s="332"/>
      <c r="F148" s="332"/>
      <c r="G148" s="332"/>
      <c r="H148" s="332"/>
      <c r="I148" s="332"/>
      <c r="J148" s="332"/>
      <c r="K148" s="326"/>
      <c r="L148" s="326"/>
      <c r="M148" s="326"/>
      <c r="N148" s="326"/>
      <c r="O148" s="326"/>
      <c r="P148" s="326"/>
      <c r="Q148" s="326"/>
      <c r="R148" s="326"/>
      <c r="S148" s="326"/>
      <c r="T148" s="326"/>
      <c r="U148" s="326"/>
      <c r="V148" s="326"/>
      <c r="W148" s="326"/>
      <c r="X148" s="326"/>
      <c r="Y148" s="326"/>
      <c r="Z148" s="326"/>
      <c r="AA148" s="326"/>
      <c r="AB148" s="326"/>
      <c r="AC148" s="326"/>
      <c r="AD148" s="326"/>
    </row>
    <row r="149" spans="1:30" s="328" customFormat="1" x14ac:dyDescent="0.25">
      <c r="A149" s="329"/>
      <c r="B149" s="350"/>
      <c r="C149" s="350"/>
      <c r="D149" s="326"/>
      <c r="E149" s="332"/>
      <c r="F149" s="332"/>
      <c r="G149" s="332"/>
      <c r="H149" s="332"/>
      <c r="I149" s="332"/>
      <c r="J149" s="332"/>
      <c r="K149" s="326"/>
      <c r="L149" s="326"/>
      <c r="M149" s="326"/>
      <c r="N149" s="326"/>
      <c r="O149" s="326"/>
      <c r="P149" s="326"/>
      <c r="Q149" s="326"/>
      <c r="R149" s="326"/>
      <c r="S149" s="326"/>
      <c r="T149" s="326"/>
      <c r="U149" s="326"/>
      <c r="V149" s="326"/>
      <c r="W149" s="326"/>
      <c r="X149" s="326"/>
      <c r="Y149" s="326"/>
      <c r="Z149" s="326"/>
      <c r="AA149" s="326"/>
      <c r="AB149" s="326"/>
      <c r="AC149" s="326"/>
      <c r="AD149" s="326"/>
    </row>
    <row r="150" spans="1:30" s="328" customFormat="1" x14ac:dyDescent="0.25">
      <c r="A150" s="329"/>
      <c r="B150" s="350"/>
      <c r="C150" s="350"/>
      <c r="D150" s="326"/>
      <c r="E150" s="332"/>
      <c r="F150" s="332"/>
      <c r="G150" s="332"/>
      <c r="H150" s="332"/>
      <c r="I150" s="332"/>
      <c r="J150" s="332"/>
      <c r="K150" s="326"/>
      <c r="L150" s="326"/>
      <c r="M150" s="326"/>
      <c r="N150" s="326"/>
      <c r="O150" s="326"/>
      <c r="P150" s="326"/>
      <c r="Q150" s="326"/>
      <c r="R150" s="326"/>
      <c r="S150" s="326"/>
      <c r="T150" s="326"/>
      <c r="U150" s="326"/>
      <c r="V150" s="326"/>
      <c r="W150" s="326"/>
      <c r="X150" s="326"/>
      <c r="Y150" s="326"/>
      <c r="Z150" s="326"/>
      <c r="AA150" s="326"/>
      <c r="AB150" s="326"/>
      <c r="AC150" s="326"/>
      <c r="AD150" s="326"/>
    </row>
    <row r="151" spans="1:30" s="328" customFormat="1" x14ac:dyDescent="0.25">
      <c r="A151" s="329"/>
      <c r="B151" s="350"/>
      <c r="C151" s="350"/>
      <c r="D151" s="326"/>
      <c r="E151" s="332"/>
      <c r="F151" s="332"/>
      <c r="G151" s="332"/>
      <c r="H151" s="332"/>
      <c r="I151" s="332"/>
      <c r="J151" s="332"/>
      <c r="K151" s="326"/>
      <c r="L151" s="326"/>
      <c r="M151" s="326"/>
      <c r="N151" s="326"/>
      <c r="O151" s="326"/>
      <c r="P151" s="326"/>
      <c r="Q151" s="326"/>
      <c r="R151" s="326"/>
      <c r="S151" s="326"/>
      <c r="T151" s="326"/>
      <c r="U151" s="326"/>
      <c r="V151" s="326"/>
      <c r="W151" s="326"/>
      <c r="X151" s="326"/>
      <c r="Y151" s="326"/>
      <c r="Z151" s="326"/>
      <c r="AA151" s="326"/>
      <c r="AB151" s="326"/>
      <c r="AC151" s="326"/>
      <c r="AD151" s="326"/>
    </row>
    <row r="152" spans="1:30" s="328" customFormat="1" x14ac:dyDescent="0.25">
      <c r="A152" s="329"/>
      <c r="B152" s="350"/>
      <c r="C152" s="350"/>
      <c r="D152" s="326"/>
      <c r="E152" s="332"/>
      <c r="F152" s="332"/>
      <c r="G152" s="332"/>
      <c r="H152" s="332"/>
      <c r="I152" s="332"/>
      <c r="J152" s="332"/>
      <c r="K152" s="326"/>
      <c r="L152" s="326"/>
      <c r="M152" s="326"/>
      <c r="N152" s="326"/>
      <c r="O152" s="326"/>
      <c r="P152" s="326"/>
      <c r="Q152" s="326"/>
      <c r="R152" s="326"/>
      <c r="S152" s="326"/>
      <c r="T152" s="326"/>
      <c r="U152" s="326"/>
      <c r="V152" s="326"/>
      <c r="W152" s="326"/>
      <c r="X152" s="326"/>
      <c r="Y152" s="326"/>
      <c r="Z152" s="326"/>
      <c r="AA152" s="326"/>
      <c r="AB152" s="326"/>
      <c r="AC152" s="326"/>
      <c r="AD152" s="326"/>
    </row>
    <row r="153" spans="1:30" s="328" customFormat="1" x14ac:dyDescent="0.25">
      <c r="A153" s="329"/>
      <c r="B153" s="350"/>
      <c r="C153" s="350"/>
      <c r="D153" s="326"/>
      <c r="E153" s="332"/>
      <c r="F153" s="332"/>
      <c r="G153" s="332"/>
      <c r="H153" s="332"/>
      <c r="I153" s="332"/>
      <c r="J153" s="332"/>
      <c r="K153" s="326"/>
      <c r="L153" s="326"/>
      <c r="M153" s="326"/>
      <c r="N153" s="326"/>
      <c r="O153" s="326"/>
      <c r="P153" s="326"/>
      <c r="Q153" s="326"/>
      <c r="R153" s="326"/>
      <c r="S153" s="326"/>
      <c r="T153" s="326"/>
      <c r="U153" s="326"/>
      <c r="V153" s="326"/>
      <c r="W153" s="326"/>
      <c r="X153" s="326"/>
      <c r="Y153" s="326"/>
      <c r="Z153" s="326"/>
      <c r="AA153" s="326"/>
      <c r="AB153" s="326"/>
      <c r="AC153" s="326"/>
      <c r="AD153" s="326"/>
    </row>
    <row r="154" spans="1:30" s="328" customFormat="1" x14ac:dyDescent="0.25">
      <c r="A154" s="329"/>
      <c r="B154" s="350"/>
      <c r="C154" s="350"/>
      <c r="D154" s="326"/>
      <c r="E154" s="332"/>
      <c r="F154" s="332"/>
      <c r="G154" s="332"/>
      <c r="H154" s="332"/>
      <c r="I154" s="332"/>
      <c r="J154" s="332"/>
      <c r="K154" s="326"/>
      <c r="L154" s="326"/>
      <c r="M154" s="326"/>
      <c r="N154" s="326"/>
      <c r="O154" s="326"/>
      <c r="P154" s="326"/>
      <c r="Q154" s="326"/>
      <c r="R154" s="326"/>
      <c r="S154" s="326"/>
      <c r="T154" s="326"/>
      <c r="U154" s="326"/>
      <c r="V154" s="326"/>
      <c r="W154" s="326"/>
      <c r="X154" s="326"/>
      <c r="Y154" s="326"/>
      <c r="Z154" s="326"/>
      <c r="AA154" s="326"/>
      <c r="AB154" s="326"/>
      <c r="AC154" s="326"/>
      <c r="AD154" s="326"/>
    </row>
    <row r="155" spans="1:30" s="328" customFormat="1" x14ac:dyDescent="0.25">
      <c r="A155" s="329"/>
      <c r="B155" s="350"/>
      <c r="C155" s="350"/>
      <c r="D155" s="326"/>
      <c r="E155" s="332"/>
      <c r="F155" s="332"/>
      <c r="G155" s="332"/>
      <c r="H155" s="332"/>
      <c r="I155" s="332"/>
      <c r="J155" s="332"/>
      <c r="K155" s="326"/>
      <c r="L155" s="326"/>
      <c r="M155" s="326"/>
      <c r="N155" s="326"/>
      <c r="O155" s="326"/>
      <c r="P155" s="326"/>
      <c r="Q155" s="326"/>
      <c r="R155" s="326"/>
      <c r="S155" s="326"/>
      <c r="T155" s="326"/>
      <c r="U155" s="326"/>
      <c r="V155" s="326"/>
      <c r="W155" s="326"/>
      <c r="X155" s="326"/>
      <c r="Y155" s="326"/>
      <c r="Z155" s="326"/>
      <c r="AA155" s="326"/>
      <c r="AB155" s="326"/>
      <c r="AC155" s="326"/>
      <c r="AD155" s="326"/>
    </row>
    <row r="156" spans="1:30" s="328" customFormat="1" x14ac:dyDescent="0.25">
      <c r="A156" s="329"/>
      <c r="B156" s="350"/>
      <c r="C156" s="350"/>
      <c r="D156" s="326"/>
      <c r="E156" s="332"/>
      <c r="F156" s="332"/>
      <c r="G156" s="332"/>
      <c r="H156" s="332"/>
      <c r="I156" s="332"/>
      <c r="J156" s="332"/>
      <c r="K156" s="326"/>
      <c r="L156" s="326"/>
      <c r="M156" s="326"/>
      <c r="N156" s="326"/>
      <c r="O156" s="326"/>
      <c r="P156" s="326"/>
      <c r="Q156" s="326"/>
      <c r="R156" s="326"/>
      <c r="S156" s="326"/>
      <c r="T156" s="326"/>
      <c r="U156" s="326"/>
      <c r="V156" s="326"/>
      <c r="W156" s="326"/>
      <c r="X156" s="326"/>
      <c r="Y156" s="326"/>
      <c r="Z156" s="326"/>
      <c r="AA156" s="326"/>
      <c r="AB156" s="326"/>
      <c r="AC156" s="326"/>
      <c r="AD156" s="326"/>
    </row>
    <row r="157" spans="1:30" s="328" customFormat="1" x14ac:dyDescent="0.25">
      <c r="A157" s="329"/>
      <c r="B157" s="350"/>
      <c r="C157" s="350"/>
      <c r="D157" s="326"/>
      <c r="E157" s="332"/>
      <c r="F157" s="332"/>
      <c r="G157" s="332"/>
      <c r="H157" s="332"/>
      <c r="I157" s="332"/>
      <c r="J157" s="332"/>
      <c r="K157" s="326"/>
      <c r="L157" s="326"/>
      <c r="M157" s="326"/>
      <c r="N157" s="326"/>
      <c r="O157" s="326"/>
      <c r="P157" s="326"/>
      <c r="Q157" s="326"/>
      <c r="R157" s="326"/>
      <c r="S157" s="326"/>
      <c r="T157" s="326"/>
      <c r="U157" s="326"/>
      <c r="V157" s="326"/>
      <c r="W157" s="326"/>
      <c r="X157" s="326"/>
      <c r="Y157" s="326"/>
      <c r="Z157" s="326"/>
      <c r="AA157" s="326"/>
      <c r="AB157" s="326"/>
      <c r="AC157" s="326"/>
      <c r="AD157" s="326"/>
    </row>
    <row r="158" spans="1:30" s="328" customFormat="1" x14ac:dyDescent="0.25">
      <c r="A158" s="329"/>
      <c r="B158" s="350"/>
      <c r="C158" s="350"/>
      <c r="D158" s="326"/>
      <c r="E158" s="332"/>
      <c r="F158" s="332"/>
      <c r="G158" s="332"/>
      <c r="H158" s="332"/>
      <c r="I158" s="332"/>
      <c r="J158" s="332"/>
      <c r="K158" s="326"/>
      <c r="L158" s="326"/>
      <c r="M158" s="326"/>
      <c r="N158" s="326"/>
      <c r="O158" s="326"/>
      <c r="P158" s="326"/>
      <c r="Q158" s="326"/>
      <c r="R158" s="326"/>
      <c r="S158" s="326"/>
      <c r="T158" s="326"/>
      <c r="U158" s="326"/>
      <c r="V158" s="326"/>
      <c r="W158" s="326"/>
      <c r="X158" s="326"/>
      <c r="Y158" s="326"/>
      <c r="Z158" s="326"/>
      <c r="AA158" s="326"/>
      <c r="AB158" s="326"/>
      <c r="AC158" s="326"/>
      <c r="AD158" s="326"/>
    </row>
    <row r="159" spans="1:30" s="328" customFormat="1" x14ac:dyDescent="0.25">
      <c r="A159" s="329"/>
      <c r="B159" s="350"/>
      <c r="C159" s="350"/>
      <c r="D159" s="326"/>
      <c r="E159" s="332"/>
      <c r="F159" s="332"/>
      <c r="G159" s="332"/>
      <c r="H159" s="332"/>
      <c r="I159" s="332"/>
      <c r="J159" s="332"/>
      <c r="K159" s="326"/>
      <c r="L159" s="326"/>
      <c r="M159" s="326"/>
      <c r="N159" s="326"/>
      <c r="O159" s="326"/>
      <c r="P159" s="326"/>
      <c r="Q159" s="326"/>
      <c r="R159" s="326"/>
      <c r="S159" s="326"/>
      <c r="T159" s="326"/>
      <c r="U159" s="326"/>
      <c r="V159" s="326"/>
      <c r="W159" s="326"/>
      <c r="X159" s="326"/>
      <c r="Y159" s="326"/>
      <c r="Z159" s="326"/>
      <c r="AA159" s="326"/>
      <c r="AB159" s="326"/>
      <c r="AC159" s="326"/>
      <c r="AD159" s="326"/>
    </row>
    <row r="160" spans="1:30" s="328" customFormat="1" x14ac:dyDescent="0.25">
      <c r="A160" s="329"/>
      <c r="B160" s="350"/>
      <c r="C160" s="350"/>
      <c r="D160" s="326"/>
      <c r="E160" s="332"/>
      <c r="F160" s="332"/>
      <c r="G160" s="332"/>
      <c r="H160" s="332"/>
      <c r="I160" s="332"/>
      <c r="J160" s="332"/>
      <c r="K160" s="326"/>
      <c r="L160" s="326"/>
      <c r="M160" s="326"/>
      <c r="N160" s="326"/>
      <c r="O160" s="326"/>
      <c r="P160" s="326"/>
      <c r="Q160" s="326"/>
      <c r="R160" s="326"/>
      <c r="S160" s="326"/>
      <c r="T160" s="326"/>
      <c r="U160" s="326"/>
      <c r="V160" s="326"/>
      <c r="W160" s="326"/>
      <c r="X160" s="326"/>
      <c r="Y160" s="326"/>
      <c r="Z160" s="326"/>
      <c r="AA160" s="326"/>
      <c r="AB160" s="326"/>
      <c r="AC160" s="326"/>
      <c r="AD160" s="326"/>
    </row>
    <row r="161" spans="1:30" s="328" customFormat="1" x14ac:dyDescent="0.25">
      <c r="A161" s="329"/>
      <c r="B161" s="350"/>
      <c r="C161" s="350"/>
      <c r="D161" s="326"/>
      <c r="E161" s="332"/>
      <c r="F161" s="332"/>
      <c r="G161" s="332"/>
      <c r="H161" s="332"/>
      <c r="I161" s="332"/>
      <c r="J161" s="332"/>
      <c r="K161" s="326"/>
      <c r="L161" s="326"/>
      <c r="M161" s="326"/>
      <c r="N161" s="326"/>
      <c r="O161" s="326"/>
      <c r="P161" s="326"/>
      <c r="Q161" s="326"/>
      <c r="R161" s="326"/>
      <c r="S161" s="326"/>
      <c r="T161" s="326"/>
      <c r="U161" s="326"/>
      <c r="V161" s="326"/>
      <c r="W161" s="326"/>
      <c r="X161" s="326"/>
      <c r="Y161" s="326"/>
      <c r="Z161" s="326"/>
      <c r="AA161" s="326"/>
      <c r="AB161" s="326"/>
      <c r="AC161" s="326"/>
      <c r="AD161" s="326"/>
    </row>
    <row r="162" spans="1:30" s="328" customFormat="1" x14ac:dyDescent="0.25">
      <c r="A162" s="329"/>
      <c r="B162" s="350"/>
      <c r="C162" s="350"/>
      <c r="D162" s="326"/>
      <c r="E162" s="332"/>
      <c r="F162" s="332"/>
      <c r="G162" s="332"/>
      <c r="H162" s="332"/>
      <c r="I162" s="332"/>
      <c r="J162" s="332"/>
      <c r="K162" s="326"/>
      <c r="L162" s="326"/>
      <c r="M162" s="326"/>
      <c r="N162" s="326"/>
      <c r="O162" s="326"/>
      <c r="P162" s="326"/>
      <c r="Q162" s="326"/>
      <c r="R162" s="326"/>
      <c r="S162" s="326"/>
      <c r="T162" s="326"/>
      <c r="U162" s="326"/>
      <c r="V162" s="326"/>
      <c r="W162" s="326"/>
      <c r="X162" s="326"/>
      <c r="Y162" s="326"/>
      <c r="Z162" s="326"/>
      <c r="AA162" s="326"/>
      <c r="AB162" s="326"/>
      <c r="AC162" s="326"/>
      <c r="AD162" s="326"/>
    </row>
    <row r="163" spans="1:30" s="328" customFormat="1" x14ac:dyDescent="0.25">
      <c r="A163" s="329"/>
      <c r="B163" s="350"/>
      <c r="C163" s="350"/>
      <c r="D163" s="326"/>
      <c r="E163" s="332"/>
      <c r="F163" s="332"/>
      <c r="G163" s="332"/>
      <c r="H163" s="332"/>
      <c r="I163" s="332"/>
      <c r="J163" s="332"/>
      <c r="K163" s="326"/>
      <c r="L163" s="326"/>
      <c r="M163" s="326"/>
      <c r="N163" s="326"/>
      <c r="O163" s="326"/>
      <c r="P163" s="326"/>
      <c r="Q163" s="326"/>
      <c r="R163" s="326"/>
      <c r="S163" s="326"/>
      <c r="T163" s="326"/>
      <c r="U163" s="326"/>
      <c r="V163" s="326"/>
      <c r="W163" s="326"/>
      <c r="X163" s="326"/>
      <c r="Y163" s="326"/>
      <c r="Z163" s="326"/>
      <c r="AA163" s="326"/>
      <c r="AB163" s="326"/>
      <c r="AC163" s="326"/>
      <c r="AD163" s="326"/>
    </row>
    <row r="164" spans="1:30" s="328" customFormat="1" x14ac:dyDescent="0.25">
      <c r="A164" s="329"/>
      <c r="B164" s="350"/>
      <c r="C164" s="350"/>
      <c r="D164" s="326"/>
      <c r="E164" s="332"/>
      <c r="F164" s="332"/>
      <c r="G164" s="332"/>
      <c r="H164" s="332"/>
      <c r="I164" s="332"/>
      <c r="J164" s="332"/>
      <c r="K164" s="326"/>
      <c r="L164" s="326"/>
      <c r="M164" s="326"/>
      <c r="N164" s="326"/>
      <c r="O164" s="326"/>
      <c r="P164" s="326"/>
      <c r="Q164" s="326"/>
      <c r="R164" s="326"/>
      <c r="S164" s="326"/>
      <c r="T164" s="326"/>
      <c r="U164" s="326"/>
      <c r="V164" s="326"/>
      <c r="W164" s="326"/>
      <c r="X164" s="326"/>
      <c r="Y164" s="326"/>
      <c r="Z164" s="326"/>
      <c r="AA164" s="326"/>
      <c r="AB164" s="326"/>
      <c r="AC164" s="326"/>
      <c r="AD164" s="326"/>
    </row>
    <row r="165" spans="1:30" s="328" customFormat="1" x14ac:dyDescent="0.25">
      <c r="A165" s="329"/>
      <c r="B165" s="350"/>
      <c r="C165" s="350"/>
      <c r="D165" s="326"/>
      <c r="E165" s="332"/>
      <c r="F165" s="332"/>
      <c r="G165" s="332"/>
      <c r="H165" s="332"/>
      <c r="I165" s="332"/>
      <c r="J165" s="332"/>
      <c r="K165" s="326"/>
      <c r="L165" s="326"/>
      <c r="M165" s="326"/>
      <c r="N165" s="326"/>
      <c r="O165" s="326"/>
      <c r="P165" s="326"/>
      <c r="Q165" s="326"/>
      <c r="R165" s="326"/>
      <c r="S165" s="326"/>
      <c r="T165" s="326"/>
      <c r="U165" s="326"/>
      <c r="V165" s="326"/>
      <c r="W165" s="326"/>
      <c r="X165" s="326"/>
      <c r="Y165" s="326"/>
      <c r="Z165" s="326"/>
      <c r="AA165" s="326"/>
      <c r="AB165" s="326"/>
      <c r="AC165" s="326"/>
      <c r="AD165" s="326"/>
    </row>
    <row r="166" spans="1:30" s="328" customFormat="1" x14ac:dyDescent="0.25">
      <c r="A166" s="329"/>
      <c r="B166" s="350"/>
      <c r="C166" s="350"/>
      <c r="D166" s="326"/>
      <c r="E166" s="332"/>
      <c r="F166" s="332"/>
      <c r="G166" s="332"/>
      <c r="H166" s="332"/>
      <c r="I166" s="332"/>
      <c r="J166" s="332"/>
      <c r="K166" s="326"/>
      <c r="L166" s="326"/>
      <c r="M166" s="326"/>
      <c r="N166" s="326"/>
      <c r="O166" s="326"/>
      <c r="P166" s="326"/>
      <c r="Q166" s="326"/>
      <c r="R166" s="326"/>
      <c r="S166" s="326"/>
      <c r="T166" s="326"/>
      <c r="U166" s="326"/>
      <c r="V166" s="326"/>
      <c r="W166" s="326"/>
      <c r="X166" s="326"/>
      <c r="Y166" s="326"/>
      <c r="Z166" s="326"/>
      <c r="AA166" s="326"/>
      <c r="AB166" s="326"/>
      <c r="AC166" s="326"/>
      <c r="AD166" s="326"/>
    </row>
    <row r="167" spans="1:30" s="328" customFormat="1" x14ac:dyDescent="0.25">
      <c r="A167" s="329"/>
      <c r="B167" s="350"/>
      <c r="C167" s="350"/>
      <c r="D167" s="326"/>
      <c r="E167" s="332"/>
      <c r="F167" s="332"/>
      <c r="G167" s="332"/>
      <c r="H167" s="332"/>
      <c r="I167" s="332"/>
      <c r="J167" s="332"/>
      <c r="K167" s="326"/>
      <c r="L167" s="326"/>
      <c r="M167" s="326"/>
      <c r="N167" s="326"/>
      <c r="O167" s="326"/>
      <c r="P167" s="326"/>
      <c r="Q167" s="326"/>
      <c r="R167" s="326"/>
      <c r="S167" s="326"/>
      <c r="T167" s="326"/>
      <c r="U167" s="326"/>
      <c r="V167" s="326"/>
      <c r="W167" s="326"/>
      <c r="X167" s="326"/>
      <c r="Y167" s="326"/>
      <c r="Z167" s="326"/>
      <c r="AA167" s="326"/>
      <c r="AB167" s="326"/>
      <c r="AC167" s="326"/>
      <c r="AD167" s="326"/>
    </row>
    <row r="168" spans="1:30" s="328" customFormat="1" x14ac:dyDescent="0.25">
      <c r="A168" s="329"/>
      <c r="B168" s="350"/>
      <c r="C168" s="350"/>
      <c r="D168" s="326"/>
      <c r="E168" s="332"/>
      <c r="F168" s="332"/>
      <c r="G168" s="332"/>
      <c r="H168" s="332"/>
      <c r="I168" s="332"/>
      <c r="J168" s="332"/>
      <c r="K168" s="326"/>
      <c r="L168" s="326"/>
      <c r="M168" s="326"/>
      <c r="N168" s="326"/>
      <c r="O168" s="326"/>
      <c r="P168" s="326"/>
      <c r="Q168" s="326"/>
      <c r="R168" s="326"/>
      <c r="S168" s="326"/>
      <c r="T168" s="326"/>
      <c r="U168" s="326"/>
      <c r="V168" s="326"/>
      <c r="W168" s="326"/>
      <c r="X168" s="326"/>
      <c r="Y168" s="326"/>
      <c r="Z168" s="326"/>
      <c r="AA168" s="326"/>
      <c r="AB168" s="326"/>
      <c r="AC168" s="326"/>
      <c r="AD168" s="326"/>
    </row>
    <row r="169" spans="1:30" s="328" customFormat="1" x14ac:dyDescent="0.25">
      <c r="A169" s="329"/>
      <c r="B169" s="350"/>
      <c r="C169" s="350"/>
      <c r="D169" s="326"/>
      <c r="E169" s="332"/>
      <c r="F169" s="332"/>
      <c r="G169" s="332"/>
      <c r="H169" s="332"/>
      <c r="I169" s="332"/>
      <c r="J169" s="332"/>
      <c r="K169" s="326"/>
      <c r="L169" s="326"/>
      <c r="M169" s="326"/>
      <c r="N169" s="326"/>
      <c r="O169" s="326"/>
      <c r="P169" s="326"/>
      <c r="Q169" s="326"/>
      <c r="R169" s="326"/>
      <c r="S169" s="326"/>
      <c r="T169" s="326"/>
      <c r="U169" s="326"/>
      <c r="V169" s="326"/>
      <c r="W169" s="326"/>
      <c r="X169" s="326"/>
      <c r="Y169" s="326"/>
      <c r="Z169" s="326"/>
      <c r="AA169" s="326"/>
      <c r="AB169" s="326"/>
      <c r="AC169" s="326"/>
      <c r="AD169" s="326"/>
    </row>
    <row r="170" spans="1:30" s="328" customFormat="1" x14ac:dyDescent="0.25">
      <c r="A170" s="329"/>
      <c r="B170" s="350"/>
      <c r="C170" s="350"/>
      <c r="D170" s="326"/>
      <c r="E170" s="332"/>
      <c r="F170" s="332"/>
      <c r="G170" s="332"/>
      <c r="H170" s="332"/>
      <c r="I170" s="332"/>
      <c r="J170" s="332"/>
      <c r="K170" s="326"/>
      <c r="L170" s="326"/>
      <c r="M170" s="326"/>
      <c r="N170" s="326"/>
      <c r="O170" s="326"/>
      <c r="P170" s="326"/>
      <c r="Q170" s="326"/>
      <c r="R170" s="326"/>
      <c r="S170" s="326"/>
      <c r="T170" s="326"/>
      <c r="U170" s="326"/>
      <c r="V170" s="326"/>
      <c r="W170" s="326"/>
      <c r="X170" s="326"/>
      <c r="Y170" s="326"/>
      <c r="Z170" s="326"/>
      <c r="AA170" s="326"/>
      <c r="AB170" s="326"/>
      <c r="AC170" s="326"/>
      <c r="AD170" s="326"/>
    </row>
    <row r="171" spans="1:30" s="328" customFormat="1" x14ac:dyDescent="0.25">
      <c r="A171" s="329"/>
      <c r="B171" s="350"/>
      <c r="C171" s="350"/>
      <c r="D171" s="326"/>
      <c r="E171" s="332"/>
      <c r="F171" s="332"/>
      <c r="G171" s="332"/>
      <c r="H171" s="332"/>
      <c r="I171" s="332"/>
      <c r="J171" s="332"/>
      <c r="K171" s="326"/>
      <c r="L171" s="326"/>
      <c r="M171" s="326"/>
      <c r="N171" s="326"/>
      <c r="O171" s="326"/>
      <c r="P171" s="326"/>
      <c r="Q171" s="326"/>
      <c r="R171" s="326"/>
      <c r="S171" s="326"/>
      <c r="T171" s="326"/>
      <c r="U171" s="326"/>
      <c r="V171" s="326"/>
      <c r="W171" s="326"/>
      <c r="X171" s="326"/>
      <c r="Y171" s="326"/>
      <c r="Z171" s="326"/>
      <c r="AA171" s="326"/>
      <c r="AB171" s="326"/>
      <c r="AC171" s="326"/>
      <c r="AD171" s="326"/>
    </row>
    <row r="172" spans="1:30" s="328" customFormat="1" x14ac:dyDescent="0.25">
      <c r="A172" s="329"/>
      <c r="B172" s="350"/>
      <c r="C172" s="350"/>
      <c r="D172" s="326"/>
      <c r="E172" s="332"/>
      <c r="F172" s="332"/>
      <c r="G172" s="332"/>
      <c r="H172" s="332"/>
      <c r="I172" s="332"/>
      <c r="J172" s="332"/>
      <c r="K172" s="326"/>
      <c r="L172" s="326"/>
      <c r="M172" s="326"/>
      <c r="N172" s="326"/>
      <c r="O172" s="326"/>
      <c r="P172" s="326"/>
      <c r="Q172" s="326"/>
      <c r="R172" s="326"/>
      <c r="S172" s="326"/>
      <c r="T172" s="326"/>
      <c r="U172" s="326"/>
      <c r="V172" s="326"/>
      <c r="W172" s="326"/>
      <c r="X172" s="326"/>
      <c r="Y172" s="326"/>
      <c r="Z172" s="326"/>
      <c r="AA172" s="326"/>
      <c r="AB172" s="326"/>
      <c r="AC172" s="326"/>
      <c r="AD172" s="326"/>
    </row>
    <row r="173" spans="1:30" s="328" customFormat="1" x14ac:dyDescent="0.25">
      <c r="A173" s="329"/>
      <c r="B173" s="350"/>
      <c r="C173" s="350"/>
      <c r="D173" s="326"/>
      <c r="E173" s="332"/>
      <c r="F173" s="332"/>
      <c r="G173" s="332"/>
      <c r="H173" s="332"/>
      <c r="I173" s="332"/>
      <c r="J173" s="332"/>
      <c r="K173" s="326"/>
      <c r="L173" s="326"/>
      <c r="M173" s="326"/>
      <c r="N173" s="326"/>
      <c r="O173" s="326"/>
      <c r="P173" s="326"/>
      <c r="Q173" s="326"/>
      <c r="R173" s="326"/>
      <c r="S173" s="326"/>
      <c r="T173" s="326"/>
      <c r="U173" s="326"/>
      <c r="V173" s="326"/>
      <c r="W173" s="326"/>
      <c r="X173" s="326"/>
      <c r="Y173" s="326"/>
      <c r="Z173" s="326"/>
      <c r="AA173" s="326"/>
      <c r="AB173" s="326"/>
      <c r="AC173" s="326"/>
      <c r="AD173" s="326"/>
    </row>
    <row r="174" spans="1:30" s="328" customFormat="1" x14ac:dyDescent="0.25">
      <c r="A174" s="329"/>
      <c r="B174" s="350"/>
      <c r="C174" s="350"/>
      <c r="D174" s="326"/>
      <c r="E174" s="332"/>
      <c r="F174" s="332"/>
      <c r="G174" s="332"/>
      <c r="H174" s="332"/>
      <c r="I174" s="332"/>
      <c r="J174" s="332"/>
      <c r="K174" s="326"/>
      <c r="L174" s="326"/>
      <c r="M174" s="326"/>
      <c r="N174" s="326"/>
      <c r="O174" s="326"/>
      <c r="P174" s="326"/>
      <c r="Q174" s="326"/>
      <c r="R174" s="326"/>
      <c r="S174" s="326"/>
      <c r="T174" s="326"/>
      <c r="U174" s="326"/>
      <c r="V174" s="326"/>
      <c r="W174" s="326"/>
      <c r="X174" s="326"/>
      <c r="Y174" s="326"/>
      <c r="Z174" s="326"/>
      <c r="AA174" s="326"/>
      <c r="AB174" s="326"/>
      <c r="AC174" s="326"/>
      <c r="AD174" s="326"/>
    </row>
    <row r="175" spans="1:30" s="328" customFormat="1" x14ac:dyDescent="0.25">
      <c r="A175" s="329"/>
      <c r="B175" s="350"/>
      <c r="C175" s="350"/>
      <c r="D175" s="326"/>
      <c r="E175" s="332"/>
      <c r="F175" s="332"/>
      <c r="G175" s="332"/>
      <c r="H175" s="332"/>
      <c r="I175" s="332"/>
      <c r="J175" s="332"/>
      <c r="K175" s="326"/>
      <c r="L175" s="326"/>
      <c r="M175" s="326"/>
      <c r="N175" s="326"/>
      <c r="O175" s="326"/>
      <c r="P175" s="326"/>
      <c r="Q175" s="326"/>
      <c r="R175" s="326"/>
      <c r="S175" s="326"/>
      <c r="T175" s="326"/>
      <c r="U175" s="326"/>
      <c r="V175" s="326"/>
      <c r="W175" s="326"/>
      <c r="X175" s="326"/>
      <c r="Y175" s="326"/>
      <c r="Z175" s="326"/>
      <c r="AA175" s="326"/>
      <c r="AB175" s="326"/>
      <c r="AC175" s="326"/>
      <c r="AD175" s="326"/>
    </row>
    <row r="176" spans="1:30" s="328" customFormat="1" x14ac:dyDescent="0.25">
      <c r="A176" s="329"/>
      <c r="B176" s="350"/>
      <c r="C176" s="350"/>
      <c r="D176" s="326"/>
      <c r="E176" s="332"/>
      <c r="F176" s="332"/>
      <c r="G176" s="332"/>
      <c r="H176" s="332"/>
      <c r="I176" s="332"/>
      <c r="J176" s="332"/>
      <c r="K176" s="326"/>
      <c r="L176" s="326"/>
      <c r="M176" s="326"/>
      <c r="N176" s="326"/>
      <c r="O176" s="326"/>
      <c r="P176" s="326"/>
      <c r="Q176" s="326"/>
      <c r="R176" s="326"/>
      <c r="S176" s="326"/>
      <c r="T176" s="326"/>
      <c r="U176" s="326"/>
      <c r="V176" s="326"/>
      <c r="W176" s="326"/>
      <c r="X176" s="326"/>
      <c r="Y176" s="326"/>
      <c r="Z176" s="326"/>
      <c r="AA176" s="326"/>
      <c r="AB176" s="326"/>
      <c r="AC176" s="326"/>
      <c r="AD176" s="326"/>
    </row>
    <row r="177" spans="1:30" s="328" customFormat="1" x14ac:dyDescent="0.25">
      <c r="A177" s="329"/>
      <c r="B177" s="350"/>
      <c r="C177" s="350"/>
      <c r="D177" s="326"/>
      <c r="E177" s="332"/>
      <c r="F177" s="332"/>
      <c r="G177" s="332"/>
      <c r="H177" s="332"/>
      <c r="I177" s="332"/>
      <c r="J177" s="332"/>
      <c r="K177" s="326"/>
      <c r="L177" s="326"/>
      <c r="M177" s="326"/>
      <c r="N177" s="326"/>
      <c r="O177" s="326"/>
      <c r="P177" s="326"/>
      <c r="Q177" s="326"/>
      <c r="R177" s="326"/>
      <c r="S177" s="326"/>
      <c r="T177" s="326"/>
      <c r="U177" s="326"/>
      <c r="V177" s="326"/>
      <c r="W177" s="326"/>
      <c r="X177" s="326"/>
      <c r="Y177" s="326"/>
      <c r="Z177" s="326"/>
      <c r="AA177" s="326"/>
      <c r="AB177" s="326"/>
      <c r="AC177" s="326"/>
      <c r="AD177" s="326"/>
    </row>
    <row r="178" spans="1:30" s="328" customFormat="1" x14ac:dyDescent="0.25">
      <c r="A178" s="329"/>
      <c r="B178" s="350"/>
      <c r="C178" s="350"/>
      <c r="D178" s="326"/>
      <c r="E178" s="332"/>
      <c r="F178" s="332"/>
      <c r="G178" s="332"/>
      <c r="H178" s="332"/>
      <c r="I178" s="332"/>
      <c r="J178" s="332"/>
      <c r="K178" s="326"/>
      <c r="L178" s="326"/>
      <c r="M178" s="326"/>
      <c r="N178" s="326"/>
      <c r="O178" s="326"/>
      <c r="P178" s="326"/>
      <c r="Q178" s="326"/>
      <c r="R178" s="326"/>
      <c r="S178" s="326"/>
      <c r="T178" s="326"/>
      <c r="U178" s="326"/>
      <c r="V178" s="326"/>
      <c r="W178" s="326"/>
      <c r="X178" s="326"/>
      <c r="Y178" s="326"/>
      <c r="Z178" s="326"/>
      <c r="AA178" s="326"/>
      <c r="AB178" s="326"/>
      <c r="AC178" s="326"/>
      <c r="AD178" s="326"/>
    </row>
    <row r="179" spans="1:30" s="328" customFormat="1" x14ac:dyDescent="0.25">
      <c r="A179" s="329"/>
      <c r="B179" s="350"/>
      <c r="C179" s="350"/>
      <c r="D179" s="326"/>
      <c r="E179" s="332"/>
      <c r="F179" s="332"/>
      <c r="G179" s="332"/>
      <c r="H179" s="332"/>
      <c r="I179" s="332"/>
      <c r="J179" s="332"/>
      <c r="K179" s="326"/>
      <c r="L179" s="326"/>
      <c r="M179" s="326"/>
      <c r="N179" s="326"/>
      <c r="O179" s="326"/>
      <c r="P179" s="326"/>
      <c r="Q179" s="326"/>
      <c r="R179" s="326"/>
      <c r="S179" s="326"/>
      <c r="T179" s="326"/>
      <c r="U179" s="326"/>
      <c r="V179" s="326"/>
      <c r="W179" s="326"/>
      <c r="X179" s="326"/>
      <c r="Y179" s="326"/>
      <c r="Z179" s="326"/>
      <c r="AA179" s="326"/>
      <c r="AB179" s="326"/>
      <c r="AC179" s="326"/>
      <c r="AD179" s="326"/>
    </row>
    <row r="180" spans="1:30" s="328" customFormat="1" x14ac:dyDescent="0.25">
      <c r="A180" s="329"/>
      <c r="B180" s="350"/>
      <c r="C180" s="350"/>
      <c r="D180" s="326"/>
      <c r="E180" s="332"/>
      <c r="F180" s="332"/>
      <c r="G180" s="332"/>
      <c r="H180" s="332"/>
      <c r="I180" s="332"/>
      <c r="J180" s="332"/>
      <c r="K180" s="326"/>
      <c r="L180" s="326"/>
      <c r="M180" s="326"/>
      <c r="N180" s="326"/>
      <c r="O180" s="326"/>
      <c r="P180" s="326"/>
      <c r="Q180" s="326"/>
      <c r="R180" s="326"/>
      <c r="S180" s="326"/>
      <c r="T180" s="326"/>
      <c r="U180" s="326"/>
      <c r="V180" s="326"/>
      <c r="W180" s="326"/>
      <c r="X180" s="326"/>
      <c r="Y180" s="326"/>
      <c r="Z180" s="326"/>
      <c r="AA180" s="326"/>
      <c r="AB180" s="326"/>
      <c r="AC180" s="326"/>
      <c r="AD180" s="326"/>
    </row>
    <row r="181" spans="1:30" s="328" customFormat="1" x14ac:dyDescent="0.25">
      <c r="A181" s="329"/>
      <c r="B181" s="350"/>
      <c r="C181" s="350"/>
      <c r="D181" s="326"/>
      <c r="E181" s="332"/>
      <c r="F181" s="332"/>
      <c r="G181" s="332"/>
      <c r="H181" s="332"/>
      <c r="I181" s="332"/>
      <c r="J181" s="332"/>
      <c r="K181" s="326"/>
      <c r="L181" s="326"/>
      <c r="M181" s="326"/>
      <c r="N181" s="326"/>
      <c r="O181" s="326"/>
      <c r="P181" s="326"/>
      <c r="Q181" s="326"/>
      <c r="R181" s="326"/>
      <c r="S181" s="326"/>
      <c r="T181" s="326"/>
      <c r="U181" s="326"/>
      <c r="V181" s="326"/>
      <c r="W181" s="326"/>
      <c r="X181" s="326"/>
      <c r="Y181" s="326"/>
      <c r="Z181" s="326"/>
      <c r="AA181" s="326"/>
      <c r="AB181" s="326"/>
      <c r="AC181" s="326"/>
      <c r="AD181" s="326"/>
    </row>
    <row r="182" spans="1:30" s="328" customFormat="1" x14ac:dyDescent="0.25">
      <c r="A182" s="329"/>
      <c r="B182" s="350"/>
      <c r="C182" s="350"/>
      <c r="D182" s="326"/>
      <c r="E182" s="332"/>
      <c r="F182" s="332"/>
      <c r="G182" s="332"/>
      <c r="H182" s="332"/>
      <c r="I182" s="332"/>
      <c r="J182" s="332"/>
      <c r="K182" s="326"/>
      <c r="L182" s="326"/>
      <c r="M182" s="326"/>
      <c r="N182" s="326"/>
      <c r="O182" s="326"/>
      <c r="P182" s="326"/>
      <c r="Q182" s="326"/>
      <c r="R182" s="326"/>
      <c r="S182" s="326"/>
      <c r="T182" s="326"/>
      <c r="U182" s="326"/>
      <c r="V182" s="326"/>
      <c r="W182" s="326"/>
      <c r="X182" s="326"/>
      <c r="Y182" s="326"/>
      <c r="Z182" s="326"/>
      <c r="AA182" s="326"/>
      <c r="AB182" s="326"/>
      <c r="AC182" s="326"/>
      <c r="AD182" s="326"/>
    </row>
    <row r="183" spans="1:30" s="328" customFormat="1" x14ac:dyDescent="0.25">
      <c r="A183" s="329"/>
      <c r="B183" s="350"/>
      <c r="C183" s="350"/>
      <c r="D183" s="326"/>
      <c r="E183" s="332"/>
      <c r="F183" s="332"/>
      <c r="G183" s="332"/>
      <c r="H183" s="332"/>
      <c r="I183" s="332"/>
      <c r="J183" s="332"/>
      <c r="K183" s="326"/>
      <c r="L183" s="326"/>
      <c r="M183" s="326"/>
      <c r="N183" s="326"/>
      <c r="O183" s="326"/>
      <c r="P183" s="326"/>
      <c r="Q183" s="326"/>
      <c r="R183" s="326"/>
      <c r="S183" s="326"/>
      <c r="T183" s="326"/>
      <c r="U183" s="326"/>
      <c r="V183" s="326"/>
      <c r="W183" s="326"/>
      <c r="X183" s="326"/>
      <c r="Y183" s="326"/>
      <c r="Z183" s="326"/>
      <c r="AA183" s="326"/>
      <c r="AB183" s="326"/>
      <c r="AC183" s="326"/>
      <c r="AD183" s="326"/>
    </row>
    <row r="184" spans="1:30" s="328" customFormat="1" x14ac:dyDescent="0.25">
      <c r="A184" s="329"/>
      <c r="B184" s="350"/>
      <c r="C184" s="350"/>
      <c r="D184" s="326"/>
      <c r="E184" s="332"/>
      <c r="F184" s="332"/>
      <c r="G184" s="332"/>
      <c r="H184" s="332"/>
      <c r="I184" s="332"/>
      <c r="J184" s="332"/>
      <c r="K184" s="326"/>
      <c r="L184" s="326"/>
      <c r="M184" s="326"/>
      <c r="N184" s="326"/>
      <c r="O184" s="326"/>
      <c r="P184" s="326"/>
      <c r="Q184" s="326"/>
      <c r="R184" s="326"/>
      <c r="S184" s="326"/>
      <c r="T184" s="326"/>
      <c r="U184" s="326"/>
      <c r="V184" s="326"/>
      <c r="W184" s="326"/>
      <c r="X184" s="326"/>
      <c r="Y184" s="326"/>
      <c r="Z184" s="326"/>
      <c r="AA184" s="326"/>
      <c r="AB184" s="326"/>
      <c r="AC184" s="326"/>
      <c r="AD184" s="326"/>
    </row>
    <row r="185" spans="1:30" s="328" customFormat="1" x14ac:dyDescent="0.25">
      <c r="A185" s="329"/>
      <c r="B185" s="350"/>
      <c r="C185" s="350"/>
      <c r="D185" s="326"/>
      <c r="E185" s="332"/>
      <c r="F185" s="332"/>
      <c r="G185" s="332"/>
      <c r="H185" s="332"/>
      <c r="I185" s="332"/>
      <c r="J185" s="332"/>
      <c r="K185" s="326"/>
      <c r="L185" s="326"/>
      <c r="M185" s="326"/>
      <c r="N185" s="326"/>
      <c r="O185" s="326"/>
      <c r="P185" s="326"/>
      <c r="Q185" s="326"/>
      <c r="R185" s="326"/>
      <c r="S185" s="326"/>
      <c r="T185" s="326"/>
      <c r="U185" s="326"/>
      <c r="V185" s="326"/>
      <c r="W185" s="326"/>
      <c r="X185" s="326"/>
      <c r="Y185" s="326"/>
      <c r="Z185" s="326"/>
      <c r="AA185" s="326"/>
      <c r="AB185" s="326"/>
      <c r="AC185" s="326"/>
      <c r="AD185" s="326"/>
    </row>
    <row r="186" spans="1:30" s="328" customFormat="1" x14ac:dyDescent="0.25">
      <c r="A186" s="329"/>
      <c r="B186" s="350"/>
      <c r="C186" s="350"/>
      <c r="D186" s="326"/>
      <c r="E186" s="332"/>
      <c r="F186" s="332"/>
      <c r="G186" s="332"/>
      <c r="H186" s="332"/>
      <c r="I186" s="332"/>
      <c r="J186" s="332"/>
      <c r="K186" s="326"/>
      <c r="L186" s="326"/>
      <c r="M186" s="326"/>
      <c r="N186" s="326"/>
      <c r="O186" s="326"/>
      <c r="P186" s="326"/>
      <c r="Q186" s="326"/>
      <c r="R186" s="326"/>
      <c r="S186" s="326"/>
      <c r="T186" s="326"/>
      <c r="U186" s="326"/>
      <c r="V186" s="326"/>
      <c r="W186" s="326"/>
      <c r="X186" s="326"/>
      <c r="Y186" s="326"/>
      <c r="Z186" s="326"/>
      <c r="AA186" s="326"/>
      <c r="AB186" s="326"/>
      <c r="AC186" s="326"/>
      <c r="AD186" s="326"/>
    </row>
    <row r="187" spans="1:30" s="328" customFormat="1" x14ac:dyDescent="0.25">
      <c r="A187" s="329"/>
      <c r="B187" s="350"/>
      <c r="C187" s="350"/>
      <c r="D187" s="326"/>
      <c r="E187" s="332"/>
      <c r="F187" s="332"/>
      <c r="G187" s="332"/>
      <c r="H187" s="332"/>
      <c r="I187" s="332"/>
      <c r="J187" s="332"/>
      <c r="K187" s="326"/>
      <c r="L187" s="326"/>
      <c r="M187" s="326"/>
      <c r="N187" s="326"/>
      <c r="O187" s="326"/>
      <c r="P187" s="326"/>
      <c r="Q187" s="326"/>
      <c r="R187" s="326"/>
      <c r="S187" s="326"/>
      <c r="T187" s="326"/>
      <c r="U187" s="326"/>
      <c r="V187" s="326"/>
      <c r="W187" s="326"/>
      <c r="X187" s="326"/>
      <c r="Y187" s="326"/>
      <c r="Z187" s="326"/>
      <c r="AA187" s="326"/>
      <c r="AB187" s="326"/>
      <c r="AC187" s="326"/>
      <c r="AD187" s="326"/>
    </row>
    <row r="188" spans="1:30" s="328" customFormat="1" x14ac:dyDescent="0.25">
      <c r="A188" s="329"/>
      <c r="B188" s="350"/>
      <c r="C188" s="350"/>
      <c r="D188" s="326"/>
      <c r="E188" s="332"/>
      <c r="F188" s="332"/>
      <c r="G188" s="332"/>
      <c r="H188" s="332"/>
      <c r="I188" s="332"/>
      <c r="J188" s="332"/>
      <c r="K188" s="326"/>
      <c r="L188" s="326"/>
      <c r="M188" s="326"/>
      <c r="N188" s="326"/>
      <c r="O188" s="326"/>
      <c r="P188" s="326"/>
      <c r="Q188" s="326"/>
      <c r="R188" s="326"/>
      <c r="S188" s="326"/>
      <c r="T188" s="326"/>
      <c r="U188" s="326"/>
      <c r="V188" s="326"/>
      <c r="W188" s="326"/>
      <c r="X188" s="326"/>
      <c r="Y188" s="326"/>
      <c r="Z188" s="326"/>
      <c r="AA188" s="326"/>
      <c r="AB188" s="326"/>
      <c r="AC188" s="326"/>
      <c r="AD188" s="326"/>
    </row>
    <row r="189" spans="1:30" s="328" customFormat="1" x14ac:dyDescent="0.25">
      <c r="A189" s="329"/>
      <c r="B189" s="350"/>
      <c r="C189" s="350"/>
      <c r="D189" s="326"/>
      <c r="E189" s="332"/>
      <c r="F189" s="332"/>
      <c r="G189" s="332"/>
      <c r="H189" s="332"/>
      <c r="I189" s="332"/>
      <c r="J189" s="332"/>
      <c r="K189" s="326"/>
      <c r="L189" s="326"/>
      <c r="M189" s="326"/>
      <c r="N189" s="326"/>
      <c r="O189" s="326"/>
      <c r="P189" s="326"/>
      <c r="Q189" s="326"/>
      <c r="R189" s="326"/>
      <c r="S189" s="326"/>
      <c r="T189" s="326"/>
      <c r="U189" s="326"/>
      <c r="V189" s="326"/>
      <c r="W189" s="326"/>
      <c r="X189" s="326"/>
      <c r="Y189" s="326"/>
      <c r="Z189" s="326"/>
      <c r="AA189" s="326"/>
      <c r="AB189" s="326"/>
      <c r="AC189" s="326"/>
      <c r="AD189" s="326"/>
    </row>
    <row r="190" spans="1:30" s="328" customFormat="1" x14ac:dyDescent="0.25">
      <c r="A190" s="329"/>
      <c r="B190" s="350"/>
      <c r="C190" s="350"/>
      <c r="D190" s="326"/>
      <c r="E190" s="332"/>
      <c r="F190" s="332"/>
      <c r="G190" s="332"/>
      <c r="H190" s="332"/>
      <c r="I190" s="332"/>
      <c r="J190" s="332"/>
      <c r="K190" s="326"/>
      <c r="L190" s="326"/>
      <c r="M190" s="326"/>
      <c r="N190" s="326"/>
      <c r="O190" s="326"/>
      <c r="P190" s="326"/>
      <c r="Q190" s="326"/>
      <c r="R190" s="326"/>
      <c r="S190" s="326"/>
      <c r="T190" s="326"/>
      <c r="U190" s="326"/>
      <c r="V190" s="326"/>
      <c r="W190" s="326"/>
      <c r="X190" s="326"/>
      <c r="Y190" s="326"/>
      <c r="Z190" s="326"/>
      <c r="AA190" s="326"/>
      <c r="AB190" s="326"/>
      <c r="AC190" s="326"/>
      <c r="AD190" s="326"/>
    </row>
    <row r="191" spans="1:30" s="328" customFormat="1" x14ac:dyDescent="0.25">
      <c r="A191" s="329"/>
      <c r="B191" s="350"/>
      <c r="C191" s="350"/>
      <c r="D191" s="326"/>
      <c r="E191" s="332"/>
      <c r="F191" s="332"/>
      <c r="G191" s="332"/>
      <c r="H191" s="332"/>
      <c r="I191" s="332"/>
      <c r="J191" s="332"/>
      <c r="K191" s="326"/>
      <c r="L191" s="326"/>
      <c r="M191" s="326"/>
      <c r="N191" s="326"/>
      <c r="O191" s="326"/>
      <c r="P191" s="326"/>
      <c r="Q191" s="326"/>
      <c r="R191" s="326"/>
      <c r="S191" s="326"/>
      <c r="T191" s="326"/>
      <c r="U191" s="326"/>
      <c r="V191" s="326"/>
      <c r="W191" s="326"/>
      <c r="X191" s="326"/>
      <c r="Y191" s="326"/>
      <c r="Z191" s="326"/>
      <c r="AA191" s="326"/>
      <c r="AB191" s="326"/>
      <c r="AC191" s="326"/>
      <c r="AD191" s="326"/>
    </row>
    <row r="192" spans="1:30" s="328" customFormat="1" x14ac:dyDescent="0.25">
      <c r="A192" s="329"/>
      <c r="B192" s="350"/>
      <c r="C192" s="350"/>
      <c r="D192" s="326"/>
      <c r="E192" s="332"/>
      <c r="F192" s="332"/>
      <c r="G192" s="332"/>
      <c r="H192" s="332"/>
      <c r="I192" s="332"/>
      <c r="J192" s="332"/>
      <c r="K192" s="326"/>
      <c r="L192" s="326"/>
      <c r="M192" s="326"/>
      <c r="N192" s="326"/>
      <c r="O192" s="326"/>
      <c r="P192" s="326"/>
      <c r="Q192" s="326"/>
      <c r="R192" s="326"/>
      <c r="S192" s="326"/>
      <c r="T192" s="326"/>
      <c r="U192" s="326"/>
      <c r="V192" s="326"/>
      <c r="W192" s="326"/>
      <c r="X192" s="326"/>
      <c r="Y192" s="326"/>
      <c r="Z192" s="326"/>
      <c r="AA192" s="326"/>
      <c r="AB192" s="326"/>
      <c r="AC192" s="326"/>
      <c r="AD192" s="326"/>
    </row>
    <row r="193" spans="1:30" s="328" customFormat="1" x14ac:dyDescent="0.25">
      <c r="A193" s="329"/>
      <c r="B193" s="350"/>
      <c r="C193" s="350"/>
      <c r="D193" s="326"/>
      <c r="E193" s="332"/>
      <c r="F193" s="332"/>
      <c r="G193" s="332"/>
      <c r="H193" s="332"/>
      <c r="I193" s="332"/>
      <c r="J193" s="332"/>
      <c r="K193" s="326"/>
      <c r="L193" s="326"/>
      <c r="M193" s="326"/>
      <c r="N193" s="326"/>
      <c r="O193" s="326"/>
      <c r="P193" s="326"/>
      <c r="Q193" s="326"/>
      <c r="R193" s="326"/>
      <c r="S193" s="326"/>
      <c r="T193" s="326"/>
      <c r="U193" s="326"/>
      <c r="V193" s="326"/>
      <c r="W193" s="326"/>
      <c r="X193" s="326"/>
      <c r="Y193" s="326"/>
      <c r="Z193" s="326"/>
      <c r="AA193" s="326"/>
      <c r="AB193" s="326"/>
      <c r="AC193" s="326"/>
      <c r="AD193" s="326"/>
    </row>
    <row r="194" spans="1:30" s="328" customFormat="1" x14ac:dyDescent="0.25">
      <c r="A194" s="329"/>
      <c r="B194" s="350"/>
      <c r="C194" s="350"/>
      <c r="D194" s="326"/>
      <c r="E194" s="332"/>
      <c r="F194" s="332"/>
      <c r="G194" s="332"/>
      <c r="H194" s="332"/>
      <c r="I194" s="332"/>
      <c r="J194" s="332"/>
      <c r="K194" s="326"/>
      <c r="L194" s="326"/>
      <c r="M194" s="326"/>
      <c r="N194" s="326"/>
      <c r="O194" s="326"/>
      <c r="P194" s="326"/>
      <c r="Q194" s="326"/>
      <c r="R194" s="326"/>
      <c r="S194" s="326"/>
      <c r="T194" s="326"/>
      <c r="U194" s="326"/>
      <c r="V194" s="326"/>
      <c r="W194" s="326"/>
      <c r="X194" s="326"/>
      <c r="Y194" s="326"/>
      <c r="Z194" s="326"/>
      <c r="AA194" s="326"/>
      <c r="AB194" s="326"/>
      <c r="AC194" s="326"/>
      <c r="AD194" s="326"/>
    </row>
    <row r="195" spans="1:30" s="328" customFormat="1" x14ac:dyDescent="0.25">
      <c r="A195" s="329"/>
      <c r="B195" s="350"/>
      <c r="C195" s="350"/>
      <c r="D195" s="326"/>
      <c r="E195" s="332"/>
      <c r="F195" s="332"/>
      <c r="G195" s="332"/>
      <c r="H195" s="332"/>
      <c r="I195" s="332"/>
      <c r="J195" s="332"/>
      <c r="K195" s="326"/>
      <c r="L195" s="326"/>
      <c r="M195" s="326"/>
      <c r="N195" s="326"/>
      <c r="O195" s="326"/>
      <c r="P195" s="326"/>
      <c r="Q195" s="326"/>
      <c r="R195" s="326"/>
      <c r="S195" s="326"/>
      <c r="T195" s="326"/>
      <c r="U195" s="326"/>
      <c r="V195" s="326"/>
      <c r="W195" s="326"/>
      <c r="X195" s="326"/>
      <c r="Y195" s="326"/>
      <c r="Z195" s="326"/>
      <c r="AA195" s="326"/>
      <c r="AB195" s="326"/>
      <c r="AC195" s="326"/>
      <c r="AD195" s="326"/>
    </row>
    <row r="196" spans="1:30" s="328" customFormat="1" x14ac:dyDescent="0.25">
      <c r="A196" s="329"/>
      <c r="B196" s="350"/>
      <c r="C196" s="350"/>
      <c r="D196" s="326"/>
      <c r="E196" s="332"/>
      <c r="F196" s="332"/>
      <c r="G196" s="332"/>
      <c r="H196" s="332"/>
      <c r="I196" s="332"/>
      <c r="J196" s="332"/>
      <c r="K196" s="326"/>
      <c r="L196" s="326"/>
      <c r="M196" s="326"/>
      <c r="N196" s="326"/>
      <c r="O196" s="326"/>
      <c r="P196" s="326"/>
      <c r="Q196" s="326"/>
      <c r="R196" s="326"/>
      <c r="S196" s="326"/>
      <c r="T196" s="326"/>
      <c r="U196" s="326"/>
      <c r="V196" s="326"/>
      <c r="W196" s="326"/>
      <c r="X196" s="326"/>
      <c r="Y196" s="326"/>
      <c r="Z196" s="326"/>
      <c r="AA196" s="326"/>
      <c r="AB196" s="326"/>
      <c r="AC196" s="326"/>
      <c r="AD196" s="326"/>
    </row>
    <row r="197" spans="1:30" s="328" customFormat="1" x14ac:dyDescent="0.25">
      <c r="A197" s="329"/>
      <c r="B197" s="350"/>
      <c r="C197" s="350"/>
      <c r="D197" s="326"/>
      <c r="E197" s="332"/>
      <c r="F197" s="332"/>
      <c r="G197" s="332"/>
      <c r="H197" s="332"/>
      <c r="I197" s="332"/>
      <c r="J197" s="332"/>
      <c r="K197" s="326"/>
      <c r="L197" s="326"/>
      <c r="M197" s="326"/>
      <c r="N197" s="326"/>
      <c r="O197" s="326"/>
      <c r="P197" s="326"/>
      <c r="Q197" s="326"/>
      <c r="R197" s="326"/>
      <c r="S197" s="326"/>
      <c r="T197" s="326"/>
      <c r="U197" s="326"/>
      <c r="V197" s="326"/>
      <c r="W197" s="326"/>
      <c r="X197" s="326"/>
      <c r="Y197" s="326"/>
      <c r="Z197" s="326"/>
      <c r="AA197" s="326"/>
      <c r="AB197" s="326"/>
      <c r="AC197" s="326"/>
      <c r="AD197" s="326"/>
    </row>
    <row r="198" spans="1:30" s="328" customFormat="1" x14ac:dyDescent="0.25">
      <c r="A198" s="329"/>
      <c r="B198" s="350"/>
      <c r="C198" s="350"/>
      <c r="D198" s="326"/>
      <c r="E198" s="332"/>
      <c r="F198" s="332"/>
      <c r="G198" s="332"/>
      <c r="H198" s="332"/>
      <c r="I198" s="332"/>
      <c r="J198" s="332"/>
      <c r="K198" s="326"/>
      <c r="L198" s="326"/>
      <c r="M198" s="326"/>
      <c r="N198" s="326"/>
      <c r="O198" s="326"/>
      <c r="P198" s="326"/>
      <c r="Q198" s="326"/>
      <c r="R198" s="326"/>
      <c r="S198" s="326"/>
      <c r="T198" s="326"/>
      <c r="U198" s="326"/>
      <c r="V198" s="326"/>
      <c r="W198" s="326"/>
      <c r="X198" s="326"/>
      <c r="Y198" s="326"/>
      <c r="Z198" s="326"/>
      <c r="AA198" s="326"/>
      <c r="AB198" s="326"/>
      <c r="AC198" s="326"/>
      <c r="AD198" s="326"/>
    </row>
    <row r="199" spans="1:30" s="328" customFormat="1" x14ac:dyDescent="0.25">
      <c r="A199" s="329"/>
      <c r="B199" s="350"/>
      <c r="C199" s="350"/>
      <c r="D199" s="326"/>
      <c r="E199" s="332"/>
      <c r="F199" s="332"/>
      <c r="G199" s="332"/>
      <c r="H199" s="332"/>
      <c r="I199" s="332"/>
      <c r="J199" s="332"/>
      <c r="K199" s="326"/>
      <c r="L199" s="326"/>
      <c r="M199" s="326"/>
      <c r="N199" s="326"/>
      <c r="O199" s="326"/>
      <c r="P199" s="326"/>
      <c r="Q199" s="326"/>
      <c r="R199" s="326"/>
      <c r="S199" s="326"/>
      <c r="T199" s="326"/>
      <c r="U199" s="326"/>
      <c r="V199" s="326"/>
      <c r="W199" s="326"/>
      <c r="X199" s="326"/>
      <c r="Y199" s="326"/>
      <c r="Z199" s="326"/>
      <c r="AA199" s="326"/>
      <c r="AB199" s="326"/>
      <c r="AC199" s="326"/>
      <c r="AD199" s="326"/>
    </row>
    <row r="200" spans="1:30" s="328" customFormat="1" x14ac:dyDescent="0.25">
      <c r="A200" s="329"/>
      <c r="B200" s="350"/>
      <c r="C200" s="350"/>
      <c r="D200" s="326"/>
      <c r="E200" s="332"/>
      <c r="F200" s="332"/>
      <c r="G200" s="332"/>
      <c r="H200" s="332"/>
      <c r="I200" s="332"/>
      <c r="J200" s="332"/>
      <c r="K200" s="326"/>
      <c r="L200" s="326"/>
      <c r="M200" s="326"/>
      <c r="N200" s="326"/>
      <c r="O200" s="326"/>
      <c r="P200" s="326"/>
      <c r="Q200" s="326"/>
      <c r="R200" s="326"/>
      <c r="S200" s="326"/>
      <c r="T200" s="326"/>
      <c r="U200" s="326"/>
      <c r="V200" s="326"/>
      <c r="W200" s="326"/>
      <c r="X200" s="326"/>
      <c r="Y200" s="326"/>
      <c r="Z200" s="326"/>
      <c r="AA200" s="326"/>
      <c r="AB200" s="326"/>
      <c r="AC200" s="326"/>
      <c r="AD200" s="326"/>
    </row>
    <row r="201" spans="1:30" s="328" customFormat="1" x14ac:dyDescent="0.25">
      <c r="A201" s="329"/>
      <c r="B201" s="350"/>
      <c r="C201" s="350"/>
      <c r="D201" s="326"/>
      <c r="E201" s="332"/>
      <c r="F201" s="332"/>
      <c r="G201" s="332"/>
      <c r="H201" s="332"/>
      <c r="I201" s="332"/>
      <c r="J201" s="332"/>
      <c r="K201" s="326"/>
      <c r="L201" s="326"/>
      <c r="M201" s="326"/>
      <c r="N201" s="326"/>
      <c r="O201" s="326"/>
      <c r="P201" s="326"/>
      <c r="Q201" s="326"/>
      <c r="R201" s="326"/>
      <c r="S201" s="326"/>
      <c r="T201" s="326"/>
      <c r="U201" s="326"/>
      <c r="V201" s="326"/>
      <c r="W201" s="326"/>
      <c r="X201" s="326"/>
      <c r="Y201" s="326"/>
      <c r="Z201" s="326"/>
      <c r="AA201" s="326"/>
      <c r="AB201" s="326"/>
      <c r="AC201" s="326"/>
      <c r="AD201" s="326"/>
    </row>
    <row r="202" spans="1:30" s="328" customFormat="1" x14ac:dyDescent="0.25">
      <c r="A202" s="329"/>
      <c r="B202" s="350"/>
      <c r="C202" s="350"/>
      <c r="D202" s="326"/>
      <c r="E202" s="332"/>
      <c r="F202" s="332"/>
      <c r="G202" s="332"/>
      <c r="H202" s="332"/>
      <c r="I202" s="332"/>
      <c r="J202" s="332"/>
      <c r="K202" s="326"/>
      <c r="L202" s="326"/>
      <c r="M202" s="326"/>
      <c r="N202" s="326"/>
      <c r="O202" s="326"/>
      <c r="P202" s="326"/>
      <c r="Q202" s="326"/>
      <c r="R202" s="326"/>
      <c r="S202" s="326"/>
      <c r="T202" s="326"/>
      <c r="U202" s="326"/>
      <c r="V202" s="326"/>
      <c r="W202" s="326"/>
      <c r="X202" s="326"/>
      <c r="Y202" s="326"/>
      <c r="Z202" s="326"/>
      <c r="AA202" s="326"/>
      <c r="AB202" s="326"/>
      <c r="AC202" s="326"/>
      <c r="AD202" s="326"/>
    </row>
    <row r="203" spans="1:30" s="328" customFormat="1" x14ac:dyDescent="0.25">
      <c r="A203" s="329"/>
      <c r="B203" s="350"/>
      <c r="C203" s="350"/>
      <c r="D203" s="326"/>
      <c r="E203" s="332"/>
      <c r="F203" s="332"/>
      <c r="G203" s="332"/>
      <c r="H203" s="332"/>
      <c r="I203" s="332"/>
      <c r="J203" s="332"/>
      <c r="K203" s="326"/>
      <c r="L203" s="326"/>
      <c r="M203" s="326"/>
      <c r="N203" s="326"/>
      <c r="O203" s="326"/>
      <c r="P203" s="326"/>
      <c r="Q203" s="326"/>
      <c r="R203" s="326"/>
      <c r="S203" s="326"/>
      <c r="T203" s="326"/>
      <c r="U203" s="326"/>
      <c r="V203" s="326"/>
      <c r="W203" s="326"/>
      <c r="X203" s="326"/>
      <c r="Y203" s="326"/>
      <c r="Z203" s="326"/>
      <c r="AA203" s="326"/>
      <c r="AB203" s="326"/>
      <c r="AC203" s="326"/>
      <c r="AD203" s="326"/>
    </row>
    <row r="204" spans="1:30" s="328" customFormat="1" x14ac:dyDescent="0.25">
      <c r="A204" s="329"/>
      <c r="B204" s="350"/>
      <c r="C204" s="350"/>
      <c r="D204" s="326"/>
      <c r="E204" s="332"/>
      <c r="F204" s="332"/>
      <c r="G204" s="332"/>
      <c r="H204" s="332"/>
      <c r="I204" s="332"/>
      <c r="J204" s="332"/>
      <c r="K204" s="326"/>
      <c r="L204" s="326"/>
      <c r="M204" s="326"/>
      <c r="N204" s="326"/>
      <c r="O204" s="326"/>
      <c r="P204" s="326"/>
      <c r="Q204" s="326"/>
      <c r="R204" s="326"/>
      <c r="S204" s="326"/>
      <c r="T204" s="326"/>
      <c r="U204" s="326"/>
      <c r="V204" s="326"/>
      <c r="W204" s="326"/>
      <c r="X204" s="326"/>
      <c r="Y204" s="326"/>
      <c r="Z204" s="326"/>
      <c r="AA204" s="326"/>
      <c r="AB204" s="326"/>
      <c r="AC204" s="326"/>
      <c r="AD204" s="326"/>
    </row>
    <row r="205" spans="1:30" s="328" customFormat="1" x14ac:dyDescent="0.25">
      <c r="A205" s="329"/>
      <c r="B205" s="350"/>
      <c r="C205" s="350"/>
      <c r="D205" s="326"/>
      <c r="E205" s="332"/>
      <c r="F205" s="332"/>
      <c r="G205" s="332"/>
      <c r="H205" s="332"/>
      <c r="I205" s="332"/>
      <c r="J205" s="332"/>
      <c r="K205" s="326"/>
      <c r="L205" s="326"/>
      <c r="M205" s="326"/>
      <c r="N205" s="326"/>
      <c r="O205" s="326"/>
      <c r="P205" s="326"/>
      <c r="Q205" s="326"/>
      <c r="R205" s="326"/>
      <c r="S205" s="326"/>
      <c r="T205" s="326"/>
      <c r="U205" s="326"/>
      <c r="V205" s="326"/>
      <c r="W205" s="326"/>
      <c r="X205" s="326"/>
      <c r="Y205" s="326"/>
      <c r="Z205" s="326"/>
      <c r="AA205" s="326"/>
      <c r="AB205" s="326"/>
      <c r="AC205" s="326"/>
      <c r="AD205" s="326"/>
    </row>
    <row r="206" spans="1:30" s="328" customFormat="1" x14ac:dyDescent="0.25">
      <c r="A206" s="329"/>
      <c r="B206" s="350"/>
      <c r="C206" s="350"/>
      <c r="D206" s="326"/>
      <c r="E206" s="332"/>
      <c r="F206" s="332"/>
      <c r="G206" s="332"/>
      <c r="H206" s="332"/>
      <c r="I206" s="332"/>
      <c r="J206" s="332"/>
      <c r="K206" s="326"/>
      <c r="L206" s="326"/>
      <c r="M206" s="326"/>
      <c r="N206" s="326"/>
      <c r="O206" s="326"/>
      <c r="P206" s="326"/>
      <c r="Q206" s="326"/>
      <c r="R206" s="326"/>
      <c r="S206" s="326"/>
      <c r="T206" s="326"/>
      <c r="U206" s="326"/>
      <c r="V206" s="326"/>
      <c r="W206" s="326"/>
      <c r="X206" s="326"/>
      <c r="Y206" s="326"/>
      <c r="Z206" s="326"/>
      <c r="AA206" s="326"/>
      <c r="AB206" s="326"/>
      <c r="AC206" s="326"/>
      <c r="AD206" s="326"/>
    </row>
    <row r="207" spans="1:30" s="328" customFormat="1" x14ac:dyDescent="0.25">
      <c r="A207" s="329"/>
      <c r="B207" s="350"/>
      <c r="C207" s="350"/>
      <c r="D207" s="326"/>
      <c r="E207" s="332"/>
      <c r="F207" s="332"/>
      <c r="G207" s="332"/>
      <c r="H207" s="332"/>
      <c r="I207" s="332"/>
      <c r="J207" s="332"/>
      <c r="K207" s="326"/>
      <c r="L207" s="326"/>
      <c r="M207" s="326"/>
      <c r="N207" s="326"/>
      <c r="O207" s="326"/>
      <c r="P207" s="326"/>
      <c r="Q207" s="326"/>
      <c r="R207" s="326"/>
      <c r="S207" s="326"/>
      <c r="T207" s="326"/>
      <c r="U207" s="326"/>
      <c r="V207" s="326"/>
      <c r="W207" s="326"/>
      <c r="X207" s="326"/>
      <c r="Y207" s="326"/>
      <c r="Z207" s="326"/>
      <c r="AA207" s="326"/>
      <c r="AB207" s="326"/>
      <c r="AC207" s="326"/>
      <c r="AD207" s="326"/>
    </row>
    <row r="208" spans="1:30" s="328" customFormat="1" x14ac:dyDescent="0.25">
      <c r="A208" s="329"/>
      <c r="B208" s="350"/>
      <c r="C208" s="350"/>
      <c r="D208" s="326"/>
      <c r="E208" s="332"/>
      <c r="F208" s="332"/>
      <c r="G208" s="332"/>
      <c r="H208" s="332"/>
      <c r="I208" s="332"/>
      <c r="J208" s="332"/>
      <c r="K208" s="326"/>
      <c r="L208" s="326"/>
      <c r="M208" s="326"/>
      <c r="N208" s="326"/>
      <c r="O208" s="326"/>
      <c r="P208" s="326"/>
      <c r="Q208" s="326"/>
      <c r="R208" s="326"/>
      <c r="S208" s="326"/>
      <c r="T208" s="326"/>
      <c r="U208" s="326"/>
      <c r="V208" s="326"/>
      <c r="W208" s="326"/>
      <c r="X208" s="326"/>
      <c r="Y208" s="326"/>
      <c r="Z208" s="326"/>
      <c r="AA208" s="326"/>
      <c r="AB208" s="326"/>
      <c r="AC208" s="326"/>
      <c r="AD208" s="326"/>
    </row>
    <row r="209" spans="1:30" s="328" customFormat="1" x14ac:dyDescent="0.25">
      <c r="A209" s="329"/>
      <c r="B209" s="350"/>
      <c r="C209" s="350"/>
      <c r="D209" s="326"/>
      <c r="E209" s="332"/>
      <c r="F209" s="332"/>
      <c r="G209" s="332"/>
      <c r="H209" s="332"/>
      <c r="I209" s="332"/>
      <c r="J209" s="332"/>
      <c r="K209" s="326"/>
      <c r="L209" s="326"/>
      <c r="M209" s="326"/>
      <c r="N209" s="326"/>
      <c r="O209" s="326"/>
      <c r="P209" s="326"/>
      <c r="Q209" s="326"/>
      <c r="R209" s="326"/>
      <c r="S209" s="326"/>
      <c r="T209" s="326"/>
      <c r="U209" s="326"/>
      <c r="V209" s="326"/>
      <c r="W209" s="326"/>
      <c r="X209" s="326"/>
      <c r="Y209" s="326"/>
      <c r="Z209" s="326"/>
      <c r="AA209" s="326"/>
      <c r="AB209" s="326"/>
      <c r="AC209" s="326"/>
      <c r="AD209" s="326"/>
    </row>
    <row r="210" spans="1:30" s="328" customFormat="1" x14ac:dyDescent="0.25">
      <c r="A210" s="329"/>
      <c r="B210" s="350"/>
      <c r="C210" s="350"/>
      <c r="D210" s="326"/>
      <c r="E210" s="332"/>
      <c r="F210" s="332"/>
      <c r="G210" s="332"/>
      <c r="H210" s="332"/>
      <c r="I210" s="332"/>
      <c r="J210" s="332"/>
      <c r="K210" s="326"/>
      <c r="L210" s="326"/>
      <c r="M210" s="326"/>
      <c r="N210" s="326"/>
      <c r="O210" s="326"/>
      <c r="P210" s="326"/>
      <c r="Q210" s="326"/>
      <c r="R210" s="326"/>
      <c r="S210" s="326"/>
      <c r="T210" s="326"/>
      <c r="U210" s="326"/>
      <c r="V210" s="326"/>
      <c r="W210" s="326"/>
      <c r="X210" s="326"/>
      <c r="Y210" s="326"/>
      <c r="Z210" s="326"/>
      <c r="AA210" s="326"/>
      <c r="AB210" s="326"/>
      <c r="AC210" s="326"/>
      <c r="AD210" s="326"/>
    </row>
    <row r="211" spans="1:30" s="328" customFormat="1" x14ac:dyDescent="0.25">
      <c r="A211" s="329"/>
      <c r="B211" s="350"/>
      <c r="C211" s="350"/>
      <c r="D211" s="326"/>
      <c r="E211" s="332"/>
      <c r="F211" s="332"/>
      <c r="G211" s="332"/>
      <c r="H211" s="332"/>
      <c r="I211" s="332"/>
      <c r="J211" s="332"/>
      <c r="K211" s="326"/>
      <c r="L211" s="326"/>
      <c r="M211" s="326"/>
      <c r="N211" s="326"/>
      <c r="O211" s="326"/>
      <c r="P211" s="326"/>
      <c r="Q211" s="326"/>
      <c r="R211" s="326"/>
      <c r="S211" s="326"/>
      <c r="T211" s="326"/>
      <c r="U211" s="326"/>
      <c r="V211" s="326"/>
      <c r="W211" s="326"/>
      <c r="X211" s="326"/>
      <c r="Y211" s="326"/>
      <c r="Z211" s="326"/>
      <c r="AA211" s="326"/>
      <c r="AB211" s="326"/>
      <c r="AC211" s="326"/>
      <c r="AD211" s="326"/>
    </row>
    <row r="212" spans="1:30" s="328" customFormat="1" x14ac:dyDescent="0.25">
      <c r="A212" s="329"/>
      <c r="B212" s="350"/>
      <c r="C212" s="350"/>
      <c r="D212" s="326"/>
      <c r="E212" s="332"/>
      <c r="F212" s="332"/>
      <c r="G212" s="332"/>
      <c r="H212" s="332"/>
      <c r="I212" s="332"/>
      <c r="J212" s="332"/>
      <c r="K212" s="326"/>
      <c r="L212" s="326"/>
      <c r="M212" s="326"/>
      <c r="N212" s="326"/>
      <c r="O212" s="326"/>
      <c r="P212" s="326"/>
      <c r="Q212" s="326"/>
      <c r="R212" s="326"/>
      <c r="S212" s="326"/>
      <c r="T212" s="326"/>
      <c r="U212" s="326"/>
      <c r="V212" s="326"/>
      <c r="W212" s="326"/>
      <c r="X212" s="326"/>
      <c r="Y212" s="326"/>
      <c r="Z212" s="326"/>
      <c r="AA212" s="326"/>
      <c r="AB212" s="326"/>
      <c r="AC212" s="326"/>
      <c r="AD212" s="326"/>
    </row>
    <row r="213" spans="1:30" s="328" customFormat="1" x14ac:dyDescent="0.25">
      <c r="A213" s="329"/>
      <c r="B213" s="350"/>
      <c r="C213" s="350"/>
      <c r="D213" s="326"/>
      <c r="E213" s="332"/>
      <c r="F213" s="332"/>
      <c r="G213" s="332"/>
      <c r="H213" s="332"/>
      <c r="I213" s="332"/>
      <c r="J213" s="332"/>
      <c r="K213" s="326"/>
      <c r="L213" s="326"/>
      <c r="M213" s="326"/>
      <c r="N213" s="326"/>
      <c r="O213" s="326"/>
      <c r="P213" s="326"/>
      <c r="Q213" s="326"/>
      <c r="R213" s="326"/>
      <c r="S213" s="326"/>
      <c r="T213" s="326"/>
      <c r="U213" s="326"/>
      <c r="V213" s="326"/>
      <c r="W213" s="326"/>
      <c r="X213" s="326"/>
      <c r="Y213" s="326"/>
      <c r="Z213" s="326"/>
      <c r="AA213" s="326"/>
      <c r="AB213" s="326"/>
      <c r="AC213" s="326"/>
      <c r="AD213" s="326"/>
    </row>
    <row r="214" spans="1:30" s="328" customFormat="1" x14ac:dyDescent="0.25">
      <c r="A214" s="329"/>
      <c r="B214" s="350"/>
      <c r="C214" s="350"/>
      <c r="D214" s="326"/>
      <c r="E214" s="332"/>
      <c r="F214" s="332"/>
      <c r="G214" s="332"/>
      <c r="H214" s="332"/>
      <c r="I214" s="332"/>
      <c r="J214" s="332"/>
      <c r="K214" s="326"/>
      <c r="L214" s="326"/>
      <c r="M214" s="326"/>
      <c r="N214" s="326"/>
      <c r="O214" s="326"/>
      <c r="P214" s="326"/>
      <c r="Q214" s="326"/>
      <c r="R214" s="326"/>
      <c r="S214" s="326"/>
      <c r="T214" s="326"/>
      <c r="U214" s="326"/>
      <c r="V214" s="326"/>
      <c r="W214" s="326"/>
      <c r="X214" s="326"/>
      <c r="Y214" s="326"/>
      <c r="Z214" s="326"/>
      <c r="AA214" s="326"/>
      <c r="AB214" s="326"/>
      <c r="AC214" s="326"/>
      <c r="AD214" s="326"/>
    </row>
    <row r="215" spans="1:30" s="328" customFormat="1" x14ac:dyDescent="0.25">
      <c r="A215" s="329"/>
      <c r="B215" s="350"/>
      <c r="C215" s="350"/>
      <c r="D215" s="326"/>
      <c r="E215" s="332"/>
      <c r="F215" s="332"/>
      <c r="G215" s="332"/>
      <c r="H215" s="332"/>
      <c r="I215" s="332"/>
      <c r="J215" s="332"/>
      <c r="K215" s="326"/>
      <c r="L215" s="326"/>
      <c r="M215" s="326"/>
      <c r="N215" s="326"/>
      <c r="O215" s="326"/>
      <c r="P215" s="326"/>
      <c r="Q215" s="326"/>
      <c r="R215" s="326"/>
      <c r="S215" s="326"/>
      <c r="T215" s="326"/>
      <c r="U215" s="326"/>
      <c r="V215" s="326"/>
      <c r="W215" s="326"/>
      <c r="X215" s="326"/>
      <c r="Y215" s="326"/>
      <c r="Z215" s="326"/>
      <c r="AA215" s="326"/>
      <c r="AB215" s="326"/>
      <c r="AC215" s="326"/>
      <c r="AD215" s="326"/>
    </row>
    <row r="216" spans="1:30" s="328" customFormat="1" x14ac:dyDescent="0.25">
      <c r="A216" s="329"/>
      <c r="B216" s="350"/>
      <c r="C216" s="350"/>
      <c r="D216" s="326"/>
      <c r="E216" s="332"/>
      <c r="F216" s="332"/>
      <c r="G216" s="332"/>
      <c r="H216" s="332"/>
      <c r="I216" s="332"/>
      <c r="J216" s="332"/>
      <c r="K216" s="326"/>
      <c r="L216" s="326"/>
      <c r="M216" s="326"/>
      <c r="N216" s="326"/>
      <c r="O216" s="326"/>
      <c r="P216" s="326"/>
      <c r="Q216" s="326"/>
      <c r="R216" s="326"/>
      <c r="S216" s="326"/>
      <c r="T216" s="326"/>
      <c r="U216" s="326"/>
      <c r="V216" s="326"/>
      <c r="W216" s="326"/>
      <c r="X216" s="326"/>
      <c r="Y216" s="326"/>
      <c r="Z216" s="326"/>
      <c r="AA216" s="326"/>
      <c r="AB216" s="326"/>
      <c r="AC216" s="326"/>
      <c r="AD216" s="326"/>
    </row>
    <row r="217" spans="1:30" s="328" customFormat="1" x14ac:dyDescent="0.25">
      <c r="A217" s="329"/>
      <c r="B217" s="350"/>
      <c r="C217" s="350"/>
      <c r="D217" s="326"/>
      <c r="E217" s="332"/>
      <c r="F217" s="332"/>
      <c r="G217" s="332"/>
      <c r="H217" s="332"/>
      <c r="I217" s="332"/>
      <c r="J217" s="332"/>
      <c r="K217" s="326"/>
      <c r="L217" s="326"/>
      <c r="M217" s="326"/>
      <c r="N217" s="326"/>
      <c r="O217" s="326"/>
      <c r="P217" s="326"/>
      <c r="Q217" s="326"/>
      <c r="R217" s="326"/>
      <c r="S217" s="326"/>
      <c r="T217" s="326"/>
      <c r="U217" s="326"/>
      <c r="V217" s="326"/>
      <c r="W217" s="326"/>
      <c r="X217" s="326"/>
      <c r="Y217" s="326"/>
      <c r="Z217" s="326"/>
      <c r="AA217" s="326"/>
      <c r="AB217" s="326"/>
      <c r="AC217" s="326"/>
      <c r="AD217" s="326"/>
    </row>
    <row r="218" spans="1:30" s="328" customFormat="1" x14ac:dyDescent="0.25">
      <c r="A218" s="329"/>
      <c r="B218" s="350"/>
      <c r="C218" s="350"/>
      <c r="D218" s="326"/>
      <c r="E218" s="332"/>
      <c r="F218" s="332"/>
      <c r="G218" s="332"/>
      <c r="H218" s="332"/>
      <c r="I218" s="332"/>
      <c r="J218" s="332"/>
      <c r="K218" s="326"/>
      <c r="L218" s="326"/>
      <c r="M218" s="326"/>
      <c r="N218" s="326"/>
      <c r="O218" s="326"/>
      <c r="P218" s="326"/>
      <c r="Q218" s="326"/>
      <c r="R218" s="326"/>
      <c r="S218" s="326"/>
      <c r="T218" s="326"/>
      <c r="U218" s="326"/>
      <c r="V218" s="326"/>
      <c r="W218" s="326"/>
      <c r="X218" s="326"/>
      <c r="Y218" s="326"/>
      <c r="Z218" s="326"/>
      <c r="AA218" s="326"/>
      <c r="AB218" s="326"/>
      <c r="AC218" s="326"/>
      <c r="AD218" s="326"/>
    </row>
    <row r="219" spans="1:30" s="328" customFormat="1" x14ac:dyDescent="0.25">
      <c r="A219" s="329"/>
      <c r="B219" s="350"/>
      <c r="C219" s="350"/>
      <c r="D219" s="326"/>
      <c r="E219" s="332"/>
      <c r="F219" s="332"/>
      <c r="G219" s="332"/>
      <c r="H219" s="332"/>
      <c r="I219" s="332"/>
      <c r="J219" s="332"/>
      <c r="K219" s="326"/>
      <c r="L219" s="326"/>
      <c r="M219" s="326"/>
      <c r="N219" s="326"/>
      <c r="O219" s="326"/>
      <c r="P219" s="326"/>
      <c r="Q219" s="326"/>
      <c r="R219" s="326"/>
      <c r="S219" s="326"/>
      <c r="T219" s="326"/>
      <c r="U219" s="326"/>
      <c r="V219" s="326"/>
      <c r="W219" s="326"/>
      <c r="X219" s="326"/>
      <c r="Y219" s="326"/>
      <c r="Z219" s="326"/>
      <c r="AA219" s="326"/>
      <c r="AB219" s="326"/>
      <c r="AC219" s="326"/>
      <c r="AD219" s="326"/>
    </row>
    <row r="220" spans="1:30" s="328" customFormat="1" x14ac:dyDescent="0.25">
      <c r="A220" s="329"/>
      <c r="B220" s="350"/>
      <c r="C220" s="350"/>
      <c r="D220" s="326"/>
      <c r="E220" s="332"/>
      <c r="F220" s="332"/>
      <c r="G220" s="332"/>
      <c r="H220" s="332"/>
      <c r="I220" s="332"/>
      <c r="J220" s="332"/>
      <c r="K220" s="326"/>
      <c r="L220" s="326"/>
      <c r="M220" s="326"/>
      <c r="N220" s="326"/>
      <c r="O220" s="326"/>
      <c r="P220" s="326"/>
      <c r="Q220" s="326"/>
      <c r="R220" s="326"/>
      <c r="S220" s="326"/>
      <c r="T220" s="326"/>
      <c r="U220" s="326"/>
      <c r="V220" s="326"/>
      <c r="W220" s="326"/>
      <c r="X220" s="326"/>
      <c r="Y220" s="326"/>
      <c r="Z220" s="326"/>
      <c r="AA220" s="326"/>
      <c r="AB220" s="326"/>
      <c r="AC220" s="326"/>
      <c r="AD220" s="326"/>
    </row>
    <row r="221" spans="1:30" s="328" customFormat="1" x14ac:dyDescent="0.25">
      <c r="A221" s="329"/>
      <c r="B221" s="350"/>
      <c r="C221" s="350"/>
      <c r="D221" s="326"/>
      <c r="E221" s="332"/>
      <c r="F221" s="332"/>
      <c r="G221" s="332"/>
      <c r="H221" s="332"/>
      <c r="I221" s="332"/>
      <c r="J221" s="332"/>
      <c r="K221" s="326"/>
      <c r="L221" s="326"/>
      <c r="M221" s="326"/>
      <c r="N221" s="326"/>
      <c r="O221" s="326"/>
      <c r="P221" s="326"/>
      <c r="Q221" s="326"/>
      <c r="R221" s="326"/>
      <c r="S221" s="326"/>
      <c r="T221" s="326"/>
      <c r="U221" s="326"/>
      <c r="V221" s="326"/>
      <c r="W221" s="326"/>
      <c r="X221" s="326"/>
      <c r="Y221" s="326"/>
      <c r="Z221" s="326"/>
      <c r="AA221" s="326"/>
      <c r="AB221" s="326"/>
      <c r="AC221" s="326"/>
      <c r="AD221" s="326"/>
    </row>
    <row r="222" spans="1:30" s="328" customFormat="1" x14ac:dyDescent="0.25">
      <c r="A222" s="329"/>
      <c r="B222" s="350"/>
      <c r="C222" s="350"/>
      <c r="D222" s="326"/>
      <c r="E222" s="332"/>
      <c r="F222" s="332"/>
      <c r="G222" s="332"/>
      <c r="H222" s="332"/>
      <c r="I222" s="332"/>
      <c r="J222" s="332"/>
      <c r="K222" s="326"/>
      <c r="L222" s="326"/>
      <c r="M222" s="326"/>
      <c r="N222" s="326"/>
      <c r="O222" s="326"/>
      <c r="P222" s="326"/>
      <c r="Q222" s="326"/>
      <c r="R222" s="326"/>
      <c r="S222" s="326"/>
      <c r="T222" s="326"/>
      <c r="U222" s="326"/>
      <c r="V222" s="326"/>
      <c r="W222" s="326"/>
      <c r="X222" s="326"/>
      <c r="Y222" s="326"/>
      <c r="Z222" s="326"/>
      <c r="AA222" s="326"/>
      <c r="AB222" s="326"/>
      <c r="AC222" s="326"/>
      <c r="AD222" s="326"/>
    </row>
    <row r="223" spans="1:30" s="328" customFormat="1" x14ac:dyDescent="0.25">
      <c r="A223" s="329"/>
      <c r="B223" s="350"/>
      <c r="C223" s="350"/>
      <c r="D223" s="326"/>
      <c r="E223" s="332"/>
      <c r="F223" s="332"/>
      <c r="G223" s="332"/>
      <c r="H223" s="332"/>
      <c r="I223" s="332"/>
      <c r="J223" s="332"/>
      <c r="K223" s="326"/>
      <c r="L223" s="326"/>
      <c r="M223" s="326"/>
      <c r="N223" s="326"/>
      <c r="O223" s="326"/>
      <c r="P223" s="326"/>
      <c r="Q223" s="326"/>
      <c r="R223" s="326"/>
      <c r="S223" s="326"/>
      <c r="T223" s="326"/>
      <c r="U223" s="326"/>
      <c r="V223" s="326"/>
      <c r="W223" s="326"/>
      <c r="X223" s="326"/>
      <c r="Y223" s="326"/>
      <c r="Z223" s="326"/>
      <c r="AA223" s="326"/>
      <c r="AB223" s="326"/>
      <c r="AC223" s="326"/>
      <c r="AD223" s="326"/>
    </row>
    <row r="224" spans="1:30" s="328" customFormat="1" x14ac:dyDescent="0.25">
      <c r="A224" s="329"/>
      <c r="B224" s="350"/>
      <c r="C224" s="350"/>
      <c r="D224" s="326"/>
      <c r="E224" s="332"/>
      <c r="F224" s="332"/>
      <c r="G224" s="332"/>
      <c r="H224" s="332"/>
      <c r="I224" s="332"/>
      <c r="J224" s="332"/>
      <c r="K224" s="326"/>
      <c r="L224" s="326"/>
      <c r="M224" s="326"/>
      <c r="N224" s="326"/>
      <c r="O224" s="326"/>
      <c r="P224" s="326"/>
      <c r="Q224" s="326"/>
      <c r="R224" s="326"/>
      <c r="S224" s="326"/>
      <c r="T224" s="326"/>
      <c r="U224" s="326"/>
      <c r="V224" s="326"/>
      <c r="W224" s="326"/>
      <c r="X224" s="326"/>
      <c r="Y224" s="326"/>
      <c r="Z224" s="326"/>
      <c r="AA224" s="326"/>
      <c r="AB224" s="326"/>
      <c r="AC224" s="326"/>
      <c r="AD224" s="326"/>
    </row>
    <row r="225" spans="1:30" s="328" customFormat="1" x14ac:dyDescent="0.25">
      <c r="A225" s="329"/>
      <c r="B225" s="350"/>
      <c r="C225" s="350"/>
      <c r="D225" s="326"/>
      <c r="E225" s="332"/>
      <c r="F225" s="332"/>
      <c r="G225" s="332"/>
      <c r="H225" s="332"/>
      <c r="I225" s="332"/>
      <c r="J225" s="332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</row>
    <row r="226" spans="1:30" s="328" customFormat="1" x14ac:dyDescent="0.25">
      <c r="A226" s="329"/>
      <c r="B226" s="350"/>
      <c r="C226" s="350"/>
      <c r="D226" s="326"/>
      <c r="E226" s="332"/>
      <c r="F226" s="332"/>
      <c r="G226" s="332"/>
      <c r="H226" s="332"/>
      <c r="I226" s="332"/>
      <c r="J226" s="332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</row>
    <row r="227" spans="1:30" s="328" customFormat="1" x14ac:dyDescent="0.25">
      <c r="A227" s="329"/>
      <c r="B227" s="350"/>
      <c r="C227" s="350"/>
      <c r="D227" s="326"/>
      <c r="E227" s="332"/>
      <c r="F227" s="332"/>
      <c r="G227" s="332"/>
      <c r="H227" s="332"/>
      <c r="I227" s="332"/>
      <c r="J227" s="332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326"/>
      <c r="AB227" s="326"/>
      <c r="AC227" s="326"/>
      <c r="AD227" s="326"/>
    </row>
    <row r="228" spans="1:30" s="328" customFormat="1" x14ac:dyDescent="0.25">
      <c r="A228" s="329"/>
      <c r="B228" s="350"/>
      <c r="C228" s="350"/>
      <c r="D228" s="326"/>
      <c r="E228" s="332"/>
      <c r="F228" s="332"/>
      <c r="G228" s="332"/>
      <c r="H228" s="332"/>
      <c r="I228" s="332"/>
      <c r="J228" s="332"/>
      <c r="K228" s="326"/>
      <c r="L228" s="326"/>
      <c r="M228" s="326"/>
      <c r="N228" s="326"/>
      <c r="O228" s="326"/>
      <c r="P228" s="326"/>
      <c r="Q228" s="326"/>
      <c r="R228" s="326"/>
      <c r="S228" s="326"/>
      <c r="T228" s="326"/>
      <c r="U228" s="326"/>
      <c r="V228" s="326"/>
      <c r="W228" s="326"/>
      <c r="X228" s="326"/>
      <c r="Y228" s="326"/>
      <c r="Z228" s="326"/>
      <c r="AA228" s="326"/>
      <c r="AB228" s="326"/>
      <c r="AC228" s="326"/>
      <c r="AD228" s="326"/>
    </row>
    <row r="229" spans="1:30" s="328" customFormat="1" x14ac:dyDescent="0.25">
      <c r="A229" s="329"/>
      <c r="B229" s="350"/>
      <c r="C229" s="350"/>
      <c r="D229" s="326"/>
      <c r="E229" s="332"/>
      <c r="F229" s="332"/>
      <c r="G229" s="332"/>
      <c r="H229" s="332"/>
      <c r="I229" s="332"/>
      <c r="J229" s="332"/>
      <c r="K229" s="326"/>
      <c r="L229" s="326"/>
      <c r="M229" s="326"/>
      <c r="N229" s="326"/>
      <c r="O229" s="326"/>
      <c r="P229" s="326"/>
      <c r="Q229" s="326"/>
      <c r="R229" s="326"/>
      <c r="S229" s="326"/>
      <c r="T229" s="326"/>
      <c r="U229" s="326"/>
      <c r="V229" s="326"/>
      <c r="W229" s="326"/>
      <c r="X229" s="326"/>
      <c r="Y229" s="326"/>
      <c r="Z229" s="326"/>
      <c r="AA229" s="326"/>
      <c r="AB229" s="326"/>
      <c r="AC229" s="326"/>
      <c r="AD229" s="326"/>
    </row>
    <row r="230" spans="1:30" s="328" customFormat="1" x14ac:dyDescent="0.25">
      <c r="A230" s="329"/>
      <c r="B230" s="350"/>
      <c r="C230" s="350"/>
      <c r="D230" s="326"/>
      <c r="E230" s="332"/>
      <c r="F230" s="332"/>
      <c r="G230" s="332"/>
      <c r="H230" s="332"/>
      <c r="I230" s="332"/>
      <c r="J230" s="332"/>
      <c r="K230" s="326"/>
      <c r="L230" s="326"/>
      <c r="M230" s="326"/>
      <c r="N230" s="326"/>
      <c r="O230" s="326"/>
      <c r="P230" s="326"/>
      <c r="Q230" s="326"/>
      <c r="R230" s="326"/>
      <c r="S230" s="326"/>
      <c r="T230" s="326"/>
      <c r="U230" s="326"/>
      <c r="V230" s="326"/>
      <c r="W230" s="326"/>
      <c r="X230" s="326"/>
      <c r="Y230" s="326"/>
      <c r="Z230" s="326"/>
      <c r="AA230" s="326"/>
      <c r="AB230" s="326"/>
      <c r="AC230" s="326"/>
      <c r="AD230" s="326"/>
    </row>
    <row r="231" spans="1:30" s="328" customFormat="1" x14ac:dyDescent="0.25">
      <c r="A231" s="329"/>
      <c r="B231" s="350"/>
      <c r="C231" s="350"/>
      <c r="D231" s="326"/>
      <c r="E231" s="332"/>
      <c r="F231" s="332"/>
      <c r="G231" s="332"/>
      <c r="H231" s="332"/>
      <c r="I231" s="332"/>
      <c r="J231" s="332"/>
      <c r="K231" s="326"/>
      <c r="L231" s="326"/>
      <c r="M231" s="326"/>
      <c r="N231" s="326"/>
      <c r="O231" s="326"/>
      <c r="P231" s="326"/>
      <c r="Q231" s="326"/>
      <c r="R231" s="326"/>
      <c r="S231" s="326"/>
      <c r="T231" s="326"/>
      <c r="U231" s="326"/>
      <c r="V231" s="326"/>
      <c r="W231" s="326"/>
      <c r="X231" s="326"/>
      <c r="Y231" s="326"/>
      <c r="Z231" s="326"/>
      <c r="AA231" s="326"/>
      <c r="AB231" s="326"/>
      <c r="AC231" s="326"/>
      <c r="AD231" s="326"/>
    </row>
    <row r="232" spans="1:30" s="328" customFormat="1" x14ac:dyDescent="0.25">
      <c r="A232" s="329"/>
      <c r="B232" s="350"/>
      <c r="C232" s="350"/>
      <c r="D232" s="326"/>
      <c r="E232" s="332"/>
      <c r="F232" s="332"/>
      <c r="G232" s="332"/>
      <c r="H232" s="332"/>
      <c r="I232" s="332"/>
      <c r="J232" s="332"/>
      <c r="K232" s="326"/>
      <c r="L232" s="326"/>
      <c r="M232" s="326"/>
      <c r="N232" s="326"/>
      <c r="O232" s="326"/>
      <c r="P232" s="326"/>
      <c r="Q232" s="326"/>
      <c r="R232" s="326"/>
      <c r="S232" s="326"/>
      <c r="T232" s="326"/>
      <c r="U232" s="326"/>
      <c r="V232" s="326"/>
      <c r="W232" s="326"/>
      <c r="X232" s="326"/>
      <c r="Y232" s="326"/>
      <c r="Z232" s="326"/>
      <c r="AA232" s="326"/>
      <c r="AB232" s="326"/>
      <c r="AC232" s="326"/>
      <c r="AD232" s="326"/>
    </row>
    <row r="233" spans="1:30" s="328" customFormat="1" x14ac:dyDescent="0.25">
      <c r="A233" s="329"/>
      <c r="B233" s="350"/>
      <c r="C233" s="350"/>
      <c r="D233" s="326"/>
      <c r="E233" s="332"/>
      <c r="F233" s="332"/>
      <c r="G233" s="332"/>
      <c r="H233" s="332"/>
      <c r="I233" s="332"/>
      <c r="J233" s="332"/>
      <c r="K233" s="326"/>
      <c r="L233" s="326"/>
      <c r="M233" s="326"/>
      <c r="N233" s="326"/>
      <c r="O233" s="326"/>
      <c r="P233" s="326"/>
      <c r="Q233" s="326"/>
      <c r="R233" s="326"/>
      <c r="S233" s="326"/>
      <c r="T233" s="326"/>
      <c r="U233" s="326"/>
      <c r="V233" s="326"/>
      <c r="W233" s="326"/>
      <c r="X233" s="326"/>
      <c r="Y233" s="326"/>
      <c r="Z233" s="326"/>
      <c r="AA233" s="326"/>
      <c r="AB233" s="326"/>
      <c r="AC233" s="326"/>
      <c r="AD233" s="326"/>
    </row>
    <row r="234" spans="1:30" s="328" customFormat="1" x14ac:dyDescent="0.25">
      <c r="A234" s="329"/>
      <c r="B234" s="350"/>
      <c r="C234" s="350"/>
      <c r="D234" s="326"/>
      <c r="E234" s="332"/>
      <c r="F234" s="332"/>
      <c r="G234" s="332"/>
      <c r="H234" s="332"/>
      <c r="I234" s="332"/>
      <c r="J234" s="332"/>
      <c r="K234" s="326"/>
      <c r="L234" s="326"/>
      <c r="M234" s="326"/>
      <c r="N234" s="326"/>
      <c r="O234" s="326"/>
      <c r="P234" s="326"/>
      <c r="Q234" s="326"/>
      <c r="R234" s="326"/>
      <c r="S234" s="326"/>
      <c r="T234" s="326"/>
      <c r="U234" s="326"/>
      <c r="V234" s="326"/>
      <c r="W234" s="326"/>
      <c r="X234" s="326"/>
      <c r="Y234" s="326"/>
      <c r="Z234" s="326"/>
      <c r="AA234" s="326"/>
      <c r="AB234" s="326"/>
      <c r="AC234" s="326"/>
      <c r="AD234" s="326"/>
    </row>
    <row r="235" spans="1:30" s="328" customFormat="1" x14ac:dyDescent="0.25">
      <c r="A235" s="329"/>
      <c r="B235" s="350"/>
      <c r="C235" s="350"/>
      <c r="D235" s="326"/>
      <c r="E235" s="332"/>
      <c r="F235" s="332"/>
      <c r="G235" s="332"/>
      <c r="H235" s="332"/>
      <c r="I235" s="332"/>
      <c r="J235" s="332"/>
      <c r="K235" s="326"/>
      <c r="L235" s="326"/>
      <c r="M235" s="326"/>
      <c r="N235" s="326"/>
      <c r="O235" s="326"/>
      <c r="P235" s="326"/>
      <c r="Q235" s="326"/>
      <c r="R235" s="326"/>
      <c r="S235" s="326"/>
      <c r="T235" s="326"/>
      <c r="U235" s="326"/>
      <c r="V235" s="326"/>
      <c r="W235" s="326"/>
      <c r="X235" s="326"/>
      <c r="Y235" s="326"/>
      <c r="Z235" s="326"/>
      <c r="AA235" s="326"/>
      <c r="AB235" s="326"/>
      <c r="AC235" s="326"/>
      <c r="AD235" s="326"/>
    </row>
    <row r="236" spans="1:30" s="328" customFormat="1" x14ac:dyDescent="0.25">
      <c r="A236" s="329"/>
      <c r="B236" s="350"/>
      <c r="C236" s="350"/>
      <c r="D236" s="326"/>
      <c r="E236" s="332"/>
      <c r="F236" s="332"/>
      <c r="G236" s="332"/>
      <c r="H236" s="332"/>
      <c r="I236" s="332"/>
      <c r="J236" s="332"/>
      <c r="K236" s="326"/>
      <c r="L236" s="326"/>
      <c r="M236" s="326"/>
      <c r="N236" s="326"/>
      <c r="O236" s="326"/>
      <c r="P236" s="326"/>
      <c r="Q236" s="326"/>
      <c r="R236" s="326"/>
      <c r="S236" s="326"/>
      <c r="T236" s="326"/>
      <c r="U236" s="326"/>
      <c r="V236" s="326"/>
      <c r="W236" s="326"/>
      <c r="X236" s="326"/>
      <c r="Y236" s="326"/>
      <c r="Z236" s="326"/>
      <c r="AA236" s="326"/>
      <c r="AB236" s="326"/>
      <c r="AC236" s="326"/>
      <c r="AD236" s="326"/>
    </row>
    <row r="237" spans="1:30" s="328" customFormat="1" x14ac:dyDescent="0.25">
      <c r="A237" s="329"/>
      <c r="B237" s="350"/>
      <c r="C237" s="350"/>
      <c r="D237" s="326"/>
      <c r="E237" s="332"/>
      <c r="F237" s="332"/>
      <c r="G237" s="332"/>
      <c r="H237" s="332"/>
      <c r="I237" s="332"/>
      <c r="J237" s="332"/>
      <c r="K237" s="326"/>
      <c r="L237" s="326"/>
      <c r="M237" s="326"/>
      <c r="N237" s="326"/>
      <c r="O237" s="326"/>
      <c r="P237" s="326"/>
      <c r="Q237" s="326"/>
      <c r="R237" s="326"/>
      <c r="S237" s="326"/>
      <c r="T237" s="326"/>
      <c r="U237" s="326"/>
      <c r="V237" s="326"/>
      <c r="W237" s="326"/>
      <c r="X237" s="326"/>
      <c r="Y237" s="326"/>
      <c r="Z237" s="326"/>
      <c r="AA237" s="326"/>
      <c r="AB237" s="326"/>
      <c r="AC237" s="326"/>
      <c r="AD237" s="326"/>
    </row>
    <row r="238" spans="1:30" s="328" customFormat="1" x14ac:dyDescent="0.25">
      <c r="A238" s="329"/>
      <c r="B238" s="350"/>
      <c r="C238" s="350"/>
      <c r="D238" s="326"/>
      <c r="E238" s="332"/>
      <c r="F238" s="332"/>
      <c r="G238" s="332"/>
      <c r="H238" s="332"/>
      <c r="I238" s="332"/>
      <c r="J238" s="332"/>
      <c r="K238" s="326"/>
      <c r="L238" s="326"/>
      <c r="M238" s="326"/>
      <c r="N238" s="326"/>
      <c r="O238" s="326"/>
      <c r="P238" s="326"/>
      <c r="Q238" s="326"/>
      <c r="R238" s="326"/>
      <c r="S238" s="326"/>
      <c r="T238" s="326"/>
      <c r="U238" s="326"/>
      <c r="V238" s="326"/>
      <c r="W238" s="326"/>
      <c r="X238" s="326"/>
      <c r="Y238" s="326"/>
      <c r="Z238" s="326"/>
      <c r="AA238" s="326"/>
      <c r="AB238" s="326"/>
      <c r="AC238" s="326"/>
      <c r="AD238" s="326"/>
    </row>
    <row r="239" spans="1:30" s="328" customFormat="1" x14ac:dyDescent="0.25">
      <c r="A239" s="329"/>
      <c r="B239" s="350"/>
      <c r="C239" s="350"/>
      <c r="D239" s="326"/>
      <c r="E239" s="332"/>
      <c r="F239" s="332"/>
      <c r="G239" s="332"/>
      <c r="H239" s="332"/>
      <c r="I239" s="332"/>
      <c r="J239" s="332"/>
      <c r="K239" s="326"/>
      <c r="L239" s="326"/>
      <c r="M239" s="326"/>
      <c r="N239" s="326"/>
      <c r="O239" s="326"/>
      <c r="P239" s="326"/>
      <c r="Q239" s="326"/>
      <c r="R239" s="326"/>
      <c r="S239" s="326"/>
      <c r="T239" s="326"/>
      <c r="U239" s="326"/>
      <c r="V239" s="326"/>
      <c r="W239" s="326"/>
      <c r="X239" s="326"/>
      <c r="Y239" s="326"/>
      <c r="Z239" s="326"/>
      <c r="AA239" s="326"/>
      <c r="AB239" s="326"/>
      <c r="AC239" s="326"/>
      <c r="AD239" s="326"/>
    </row>
    <row r="240" spans="1:30" s="328" customFormat="1" x14ac:dyDescent="0.25">
      <c r="A240" s="329"/>
      <c r="B240" s="350"/>
      <c r="C240" s="350"/>
      <c r="D240" s="326"/>
      <c r="E240" s="332"/>
      <c r="F240" s="332"/>
      <c r="G240" s="332"/>
      <c r="H240" s="332"/>
      <c r="I240" s="332"/>
      <c r="J240" s="332"/>
      <c r="K240" s="326"/>
      <c r="L240" s="326"/>
      <c r="M240" s="326"/>
      <c r="N240" s="326"/>
      <c r="O240" s="326"/>
      <c r="P240" s="326"/>
      <c r="Q240" s="326"/>
      <c r="R240" s="326"/>
      <c r="S240" s="326"/>
      <c r="T240" s="326"/>
      <c r="U240" s="326"/>
      <c r="V240" s="326"/>
      <c r="W240" s="326"/>
      <c r="X240" s="326"/>
      <c r="Y240" s="326"/>
      <c r="Z240" s="326"/>
      <c r="AA240" s="326"/>
      <c r="AB240" s="326"/>
      <c r="AC240" s="326"/>
      <c r="AD240" s="326"/>
    </row>
    <row r="241" spans="1:30" s="328" customFormat="1" x14ac:dyDescent="0.25">
      <c r="A241" s="329"/>
      <c r="B241" s="350"/>
      <c r="C241" s="350"/>
      <c r="D241" s="326"/>
      <c r="E241" s="332"/>
      <c r="F241" s="332"/>
      <c r="G241" s="332"/>
      <c r="H241" s="332"/>
      <c r="I241" s="332"/>
      <c r="J241" s="332"/>
      <c r="K241" s="326"/>
      <c r="L241" s="326"/>
      <c r="M241" s="326"/>
      <c r="N241" s="326"/>
      <c r="O241" s="326"/>
      <c r="P241" s="326"/>
      <c r="Q241" s="326"/>
      <c r="R241" s="326"/>
      <c r="S241" s="326"/>
      <c r="T241" s="326"/>
      <c r="U241" s="326"/>
      <c r="V241" s="326"/>
      <c r="W241" s="326"/>
      <c r="X241" s="326"/>
      <c r="Y241" s="326"/>
      <c r="Z241" s="326"/>
      <c r="AA241" s="326"/>
      <c r="AB241" s="326"/>
      <c r="AC241" s="326"/>
      <c r="AD241" s="326"/>
    </row>
    <row r="242" spans="1:30" s="328" customFormat="1" x14ac:dyDescent="0.25">
      <c r="A242" s="329"/>
      <c r="B242" s="350"/>
      <c r="C242" s="350"/>
      <c r="D242" s="326"/>
      <c r="E242" s="332"/>
      <c r="F242" s="332"/>
      <c r="G242" s="332"/>
      <c r="H242" s="332"/>
      <c r="I242" s="332"/>
      <c r="J242" s="332"/>
      <c r="K242" s="326"/>
      <c r="L242" s="326"/>
      <c r="M242" s="326"/>
      <c r="N242" s="326"/>
      <c r="O242" s="326"/>
      <c r="P242" s="326"/>
      <c r="Q242" s="326"/>
      <c r="R242" s="326"/>
      <c r="S242" s="326"/>
      <c r="T242" s="326"/>
      <c r="U242" s="326"/>
      <c r="V242" s="326"/>
      <c r="W242" s="326"/>
      <c r="X242" s="326"/>
      <c r="Y242" s="326"/>
      <c r="Z242" s="326"/>
      <c r="AA242" s="326"/>
      <c r="AB242" s="326"/>
      <c r="AC242" s="326"/>
      <c r="AD242" s="326"/>
    </row>
    <row r="243" spans="1:30" s="328" customFormat="1" x14ac:dyDescent="0.25">
      <c r="A243" s="329"/>
      <c r="B243" s="350"/>
      <c r="C243" s="350"/>
      <c r="D243" s="326"/>
      <c r="E243" s="332"/>
      <c r="F243" s="332"/>
      <c r="G243" s="332"/>
      <c r="H243" s="332"/>
      <c r="I243" s="332"/>
      <c r="J243" s="332"/>
      <c r="K243" s="326"/>
      <c r="L243" s="326"/>
      <c r="M243" s="326"/>
      <c r="N243" s="326"/>
      <c r="O243" s="326"/>
      <c r="P243" s="326"/>
      <c r="Q243" s="326"/>
      <c r="R243" s="326"/>
      <c r="S243" s="326"/>
      <c r="T243" s="326"/>
      <c r="U243" s="326"/>
      <c r="V243" s="326"/>
      <c r="W243" s="326"/>
      <c r="X243" s="326"/>
      <c r="Y243" s="326"/>
      <c r="Z243" s="326"/>
      <c r="AA243" s="326"/>
      <c r="AB243" s="326"/>
      <c r="AC243" s="326"/>
      <c r="AD243" s="326"/>
    </row>
    <row r="244" spans="1:30" s="328" customFormat="1" x14ac:dyDescent="0.25">
      <c r="A244" s="329"/>
      <c r="B244" s="350"/>
      <c r="C244" s="350"/>
      <c r="D244" s="326"/>
      <c r="E244" s="332"/>
      <c r="F244" s="332"/>
      <c r="G244" s="332"/>
      <c r="H244" s="332"/>
      <c r="I244" s="332"/>
      <c r="J244" s="332"/>
      <c r="K244" s="326"/>
      <c r="L244" s="326"/>
      <c r="M244" s="326"/>
      <c r="N244" s="326"/>
      <c r="O244" s="326"/>
      <c r="P244" s="326"/>
      <c r="Q244" s="326"/>
      <c r="R244" s="326"/>
      <c r="S244" s="326"/>
      <c r="T244" s="326"/>
      <c r="U244" s="326"/>
      <c r="V244" s="326"/>
      <c r="W244" s="326"/>
      <c r="X244" s="326"/>
      <c r="Y244" s="326"/>
      <c r="Z244" s="326"/>
      <c r="AA244" s="326"/>
      <c r="AB244" s="326"/>
      <c r="AC244" s="326"/>
      <c r="AD244" s="326"/>
    </row>
    <row r="245" spans="1:30" s="328" customFormat="1" x14ac:dyDescent="0.25">
      <c r="A245" s="329"/>
      <c r="B245" s="350"/>
      <c r="C245" s="350"/>
      <c r="D245" s="326"/>
      <c r="E245" s="332"/>
      <c r="F245" s="332"/>
      <c r="G245" s="332"/>
      <c r="H245" s="332"/>
      <c r="I245" s="332"/>
      <c r="J245" s="332"/>
      <c r="K245" s="326"/>
      <c r="L245" s="326"/>
      <c r="M245" s="326"/>
      <c r="N245" s="326"/>
      <c r="O245" s="326"/>
      <c r="P245" s="326"/>
      <c r="Q245" s="326"/>
      <c r="R245" s="326"/>
      <c r="S245" s="326"/>
      <c r="T245" s="326"/>
      <c r="U245" s="326"/>
      <c r="V245" s="326"/>
      <c r="W245" s="326"/>
      <c r="X245" s="326"/>
      <c r="Y245" s="326"/>
      <c r="Z245" s="326"/>
      <c r="AA245" s="326"/>
      <c r="AB245" s="326"/>
      <c r="AC245" s="326"/>
      <c r="AD245" s="326"/>
    </row>
    <row r="246" spans="1:30" s="328" customFormat="1" x14ac:dyDescent="0.25">
      <c r="A246" s="329"/>
      <c r="B246" s="350"/>
      <c r="C246" s="350"/>
      <c r="D246" s="326"/>
      <c r="E246" s="332"/>
      <c r="F246" s="332"/>
      <c r="G246" s="332"/>
      <c r="H246" s="332"/>
      <c r="I246" s="332"/>
      <c r="J246" s="332"/>
      <c r="K246" s="326"/>
      <c r="L246" s="326"/>
      <c r="M246" s="326"/>
      <c r="N246" s="326"/>
      <c r="O246" s="326"/>
      <c r="P246" s="326"/>
      <c r="Q246" s="326"/>
      <c r="R246" s="326"/>
      <c r="S246" s="326"/>
      <c r="T246" s="326"/>
      <c r="U246" s="326"/>
      <c r="V246" s="326"/>
      <c r="W246" s="326"/>
      <c r="X246" s="326"/>
      <c r="Y246" s="326"/>
      <c r="Z246" s="326"/>
      <c r="AA246" s="326"/>
      <c r="AB246" s="326"/>
      <c r="AC246" s="326"/>
      <c r="AD246" s="326"/>
    </row>
    <row r="247" spans="1:30" s="328" customFormat="1" x14ac:dyDescent="0.25">
      <c r="A247" s="329"/>
      <c r="B247" s="350"/>
      <c r="C247" s="350"/>
      <c r="D247" s="326"/>
      <c r="E247" s="332"/>
      <c r="F247" s="332"/>
      <c r="G247" s="332"/>
      <c r="H247" s="332"/>
      <c r="I247" s="332"/>
      <c r="J247" s="332"/>
      <c r="K247" s="326"/>
      <c r="L247" s="326"/>
      <c r="M247" s="326"/>
      <c r="N247" s="326"/>
      <c r="O247" s="326"/>
      <c r="P247" s="326"/>
      <c r="Q247" s="326"/>
      <c r="R247" s="326"/>
      <c r="S247" s="326"/>
      <c r="T247" s="326"/>
      <c r="U247" s="326"/>
      <c r="V247" s="326"/>
      <c r="W247" s="326"/>
      <c r="X247" s="326"/>
      <c r="Y247" s="326"/>
      <c r="Z247" s="326"/>
      <c r="AA247" s="326"/>
      <c r="AB247" s="326"/>
      <c r="AC247" s="326"/>
      <c r="AD247" s="326"/>
    </row>
    <row r="248" spans="1:30" s="328" customFormat="1" x14ac:dyDescent="0.25">
      <c r="A248" s="329"/>
      <c r="B248" s="350"/>
      <c r="C248" s="350"/>
      <c r="D248" s="326"/>
      <c r="E248" s="332"/>
      <c r="F248" s="332"/>
      <c r="G248" s="332"/>
      <c r="H248" s="332"/>
      <c r="I248" s="332"/>
      <c r="J248" s="332"/>
      <c r="K248" s="326"/>
      <c r="L248" s="326"/>
      <c r="M248" s="326"/>
      <c r="N248" s="326"/>
      <c r="O248" s="326"/>
      <c r="P248" s="326"/>
      <c r="Q248" s="326"/>
      <c r="R248" s="326"/>
      <c r="S248" s="326"/>
      <c r="T248" s="326"/>
      <c r="U248" s="326"/>
      <c r="V248" s="326"/>
      <c r="W248" s="326"/>
      <c r="X248" s="326"/>
      <c r="Y248" s="326"/>
      <c r="Z248" s="326"/>
      <c r="AA248" s="326"/>
      <c r="AB248" s="326"/>
      <c r="AC248" s="326"/>
      <c r="AD248" s="326"/>
    </row>
    <row r="249" spans="1:30" s="328" customFormat="1" x14ac:dyDescent="0.25">
      <c r="A249" s="329"/>
      <c r="B249" s="350"/>
      <c r="C249" s="350"/>
      <c r="D249" s="326"/>
      <c r="E249" s="332"/>
      <c r="F249" s="332"/>
      <c r="G249" s="332"/>
      <c r="H249" s="332"/>
      <c r="I249" s="332"/>
      <c r="J249" s="332"/>
      <c r="K249" s="326"/>
      <c r="L249" s="326"/>
      <c r="M249" s="326"/>
      <c r="N249" s="326"/>
      <c r="O249" s="326"/>
      <c r="P249" s="326"/>
      <c r="Q249" s="326"/>
      <c r="R249" s="326"/>
      <c r="S249" s="326"/>
      <c r="T249" s="326"/>
      <c r="U249" s="326"/>
      <c r="V249" s="326"/>
      <c r="W249" s="326"/>
      <c r="X249" s="326"/>
      <c r="Y249" s="326"/>
      <c r="Z249" s="326"/>
      <c r="AA249" s="326"/>
      <c r="AB249" s="326"/>
      <c r="AC249" s="326"/>
      <c r="AD249" s="326"/>
    </row>
    <row r="250" spans="1:30" s="328" customFormat="1" x14ac:dyDescent="0.25">
      <c r="A250" s="329"/>
      <c r="B250" s="350"/>
      <c r="C250" s="350"/>
      <c r="D250" s="326"/>
      <c r="E250" s="332"/>
      <c r="F250" s="332"/>
      <c r="G250" s="332"/>
      <c r="H250" s="332"/>
      <c r="I250" s="332"/>
      <c r="J250" s="332"/>
      <c r="K250" s="326"/>
      <c r="L250" s="326"/>
      <c r="M250" s="326"/>
      <c r="N250" s="326"/>
      <c r="O250" s="326"/>
      <c r="P250" s="326"/>
      <c r="Q250" s="326"/>
      <c r="R250" s="326"/>
      <c r="S250" s="326"/>
      <c r="T250" s="326"/>
      <c r="U250" s="326"/>
      <c r="V250" s="326"/>
      <c r="W250" s="326"/>
      <c r="X250" s="326"/>
      <c r="Y250" s="326"/>
      <c r="Z250" s="326"/>
      <c r="AA250" s="326"/>
      <c r="AB250" s="326"/>
      <c r="AC250" s="326"/>
      <c r="AD250" s="326"/>
    </row>
    <row r="251" spans="1:30" s="328" customFormat="1" x14ac:dyDescent="0.25">
      <c r="A251" s="329"/>
      <c r="B251" s="350"/>
      <c r="C251" s="350"/>
      <c r="D251" s="326"/>
      <c r="E251" s="332"/>
      <c r="F251" s="332"/>
      <c r="G251" s="332"/>
      <c r="H251" s="332"/>
      <c r="I251" s="332"/>
      <c r="J251" s="332"/>
      <c r="K251" s="326"/>
      <c r="L251" s="326"/>
      <c r="M251" s="326"/>
      <c r="N251" s="326"/>
      <c r="O251" s="326"/>
      <c r="P251" s="326"/>
      <c r="Q251" s="326"/>
      <c r="R251" s="326"/>
      <c r="S251" s="326"/>
      <c r="T251" s="326"/>
      <c r="U251" s="326"/>
      <c r="V251" s="326"/>
      <c r="W251" s="326"/>
      <c r="X251" s="326"/>
      <c r="Y251" s="326"/>
      <c r="Z251" s="326"/>
      <c r="AA251" s="326"/>
      <c r="AB251" s="326"/>
      <c r="AC251" s="326"/>
      <c r="AD251" s="326"/>
    </row>
    <row r="252" spans="1:30" s="328" customFormat="1" x14ac:dyDescent="0.25">
      <c r="A252" s="329"/>
      <c r="B252" s="350"/>
      <c r="C252" s="350"/>
      <c r="D252" s="326"/>
      <c r="E252" s="332"/>
      <c r="F252" s="332"/>
      <c r="G252" s="332"/>
      <c r="H252" s="332"/>
      <c r="I252" s="332"/>
      <c r="J252" s="332"/>
      <c r="K252" s="326"/>
      <c r="L252" s="326"/>
      <c r="M252" s="326"/>
      <c r="N252" s="326"/>
      <c r="O252" s="326"/>
      <c r="P252" s="326"/>
      <c r="Q252" s="326"/>
      <c r="R252" s="326"/>
      <c r="S252" s="326"/>
      <c r="T252" s="326"/>
      <c r="U252" s="326"/>
      <c r="V252" s="326"/>
      <c r="W252" s="326"/>
      <c r="X252" s="326"/>
      <c r="Y252" s="326"/>
      <c r="Z252" s="326"/>
      <c r="AA252" s="326"/>
      <c r="AB252" s="326"/>
      <c r="AC252" s="326"/>
      <c r="AD252" s="326"/>
    </row>
    <row r="253" spans="1:30" s="328" customFormat="1" x14ac:dyDescent="0.25">
      <c r="A253" s="329"/>
      <c r="B253" s="350"/>
      <c r="C253" s="350"/>
      <c r="D253" s="326"/>
      <c r="E253" s="332"/>
      <c r="F253" s="332"/>
      <c r="G253" s="332"/>
      <c r="H253" s="332"/>
      <c r="I253" s="332"/>
      <c r="J253" s="332"/>
      <c r="K253" s="326"/>
      <c r="L253" s="326"/>
      <c r="M253" s="326"/>
      <c r="N253" s="326"/>
      <c r="O253" s="326"/>
      <c r="P253" s="326"/>
      <c r="Q253" s="326"/>
      <c r="R253" s="326"/>
      <c r="S253" s="326"/>
      <c r="T253" s="326"/>
      <c r="U253" s="326"/>
      <c r="V253" s="326"/>
      <c r="W253" s="326"/>
      <c r="X253" s="326"/>
      <c r="Y253" s="326"/>
      <c r="Z253" s="326"/>
      <c r="AA253" s="326"/>
      <c r="AB253" s="326"/>
      <c r="AC253" s="326"/>
      <c r="AD253" s="326"/>
    </row>
    <row r="254" spans="1:30" s="328" customFormat="1" x14ac:dyDescent="0.25">
      <c r="A254" s="329"/>
      <c r="B254" s="350"/>
      <c r="C254" s="350"/>
      <c r="D254" s="326"/>
      <c r="E254" s="332"/>
      <c r="F254" s="332"/>
      <c r="G254" s="332"/>
      <c r="H254" s="332"/>
      <c r="I254" s="332"/>
      <c r="J254" s="332"/>
      <c r="K254" s="326"/>
      <c r="L254" s="326"/>
      <c r="M254" s="326"/>
      <c r="N254" s="326"/>
      <c r="O254" s="326"/>
      <c r="P254" s="326"/>
      <c r="Q254" s="326"/>
      <c r="R254" s="326"/>
      <c r="S254" s="326"/>
      <c r="T254" s="326"/>
      <c r="U254" s="326"/>
      <c r="V254" s="326"/>
      <c r="W254" s="326"/>
      <c r="X254" s="326"/>
      <c r="Y254" s="326"/>
      <c r="Z254" s="326"/>
      <c r="AA254" s="326"/>
      <c r="AB254" s="326"/>
      <c r="AC254" s="326"/>
      <c r="AD254" s="326"/>
    </row>
    <row r="255" spans="1:30" s="328" customFormat="1" x14ac:dyDescent="0.25">
      <c r="A255" s="329"/>
      <c r="B255" s="350"/>
      <c r="C255" s="350"/>
      <c r="D255" s="326"/>
      <c r="E255" s="332"/>
      <c r="F255" s="332"/>
      <c r="G255" s="332"/>
      <c r="H255" s="332"/>
      <c r="I255" s="332"/>
      <c r="J255" s="332"/>
      <c r="K255" s="326"/>
      <c r="L255" s="326"/>
      <c r="M255" s="326"/>
      <c r="N255" s="326"/>
      <c r="O255" s="326"/>
      <c r="P255" s="326"/>
      <c r="Q255" s="326"/>
      <c r="R255" s="326"/>
      <c r="S255" s="326"/>
      <c r="T255" s="326"/>
      <c r="U255" s="326"/>
      <c r="V255" s="326"/>
      <c r="W255" s="326"/>
      <c r="X255" s="326"/>
      <c r="Y255" s="326"/>
      <c r="Z255" s="326"/>
      <c r="AA255" s="326"/>
      <c r="AB255" s="326"/>
      <c r="AC255" s="326"/>
      <c r="AD255" s="326"/>
    </row>
    <row r="256" spans="1:30" s="328" customFormat="1" x14ac:dyDescent="0.25">
      <c r="A256" s="329"/>
      <c r="B256" s="350"/>
      <c r="C256" s="350"/>
      <c r="D256" s="326"/>
      <c r="E256" s="332"/>
      <c r="F256" s="332"/>
      <c r="G256" s="332"/>
      <c r="H256" s="332"/>
      <c r="I256" s="332"/>
      <c r="J256" s="332"/>
      <c r="K256" s="326"/>
      <c r="L256" s="326"/>
      <c r="M256" s="326"/>
      <c r="N256" s="326"/>
      <c r="O256" s="326"/>
      <c r="P256" s="326"/>
      <c r="Q256" s="326"/>
      <c r="R256" s="326"/>
      <c r="S256" s="326"/>
      <c r="T256" s="326"/>
      <c r="U256" s="326"/>
      <c r="V256" s="326"/>
      <c r="W256" s="326"/>
      <c r="X256" s="326"/>
      <c r="Y256" s="326"/>
      <c r="Z256" s="326"/>
      <c r="AA256" s="326"/>
      <c r="AB256" s="326"/>
      <c r="AC256" s="326"/>
      <c r="AD256" s="326"/>
    </row>
    <row r="257" spans="1:30" s="328" customFormat="1" x14ac:dyDescent="0.25">
      <c r="A257" s="329"/>
      <c r="B257" s="350"/>
      <c r="C257" s="350"/>
      <c r="D257" s="326"/>
      <c r="E257" s="332"/>
      <c r="F257" s="332"/>
      <c r="G257" s="332"/>
      <c r="H257" s="332"/>
      <c r="I257" s="332"/>
      <c r="J257" s="332"/>
      <c r="K257" s="326"/>
      <c r="L257" s="326"/>
      <c r="M257" s="326"/>
      <c r="N257" s="326"/>
      <c r="O257" s="326"/>
      <c r="P257" s="326"/>
      <c r="Q257" s="326"/>
      <c r="R257" s="326"/>
      <c r="S257" s="326"/>
      <c r="T257" s="326"/>
      <c r="U257" s="326"/>
      <c r="V257" s="326"/>
      <c r="W257" s="326"/>
      <c r="X257" s="326"/>
      <c r="Y257" s="326"/>
      <c r="Z257" s="326"/>
      <c r="AA257" s="326"/>
      <c r="AB257" s="326"/>
      <c r="AC257" s="326"/>
      <c r="AD257" s="326"/>
    </row>
    <row r="258" spans="1:30" s="328" customFormat="1" x14ac:dyDescent="0.25">
      <c r="A258" s="329"/>
      <c r="B258" s="350"/>
      <c r="C258" s="350"/>
      <c r="D258" s="326"/>
      <c r="E258" s="332"/>
      <c r="F258" s="332"/>
      <c r="G258" s="332"/>
      <c r="H258" s="332"/>
      <c r="I258" s="332"/>
      <c r="J258" s="332"/>
      <c r="K258" s="326"/>
      <c r="L258" s="326"/>
      <c r="M258" s="326"/>
      <c r="N258" s="326"/>
      <c r="O258" s="326"/>
      <c r="P258" s="326"/>
      <c r="Q258" s="326"/>
      <c r="R258" s="326"/>
      <c r="S258" s="326"/>
      <c r="T258" s="326"/>
      <c r="U258" s="326"/>
      <c r="V258" s="326"/>
      <c r="W258" s="326"/>
      <c r="X258" s="326"/>
      <c r="Y258" s="326"/>
      <c r="Z258" s="326"/>
      <c r="AA258" s="326"/>
      <c r="AB258" s="326"/>
      <c r="AC258" s="326"/>
      <c r="AD258" s="326"/>
    </row>
    <row r="259" spans="1:30" s="328" customFormat="1" x14ac:dyDescent="0.25">
      <c r="A259" s="329"/>
      <c r="B259" s="350"/>
      <c r="C259" s="350"/>
      <c r="D259" s="326"/>
      <c r="E259" s="332"/>
      <c r="F259" s="332"/>
      <c r="G259" s="332"/>
      <c r="H259" s="332"/>
      <c r="I259" s="332"/>
      <c r="J259" s="332"/>
      <c r="K259" s="326"/>
      <c r="L259" s="326"/>
      <c r="M259" s="326"/>
      <c r="N259" s="326"/>
      <c r="O259" s="326"/>
      <c r="P259" s="326"/>
      <c r="Q259" s="326"/>
      <c r="R259" s="326"/>
      <c r="S259" s="326"/>
      <c r="T259" s="326"/>
      <c r="U259" s="326"/>
      <c r="V259" s="326"/>
      <c r="W259" s="326"/>
      <c r="X259" s="326"/>
      <c r="Y259" s="326"/>
      <c r="Z259" s="326"/>
      <c r="AA259" s="326"/>
      <c r="AB259" s="326"/>
      <c r="AC259" s="326"/>
      <c r="AD259" s="326"/>
    </row>
    <row r="260" spans="1:30" s="328" customFormat="1" x14ac:dyDescent="0.25">
      <c r="A260" s="329"/>
      <c r="B260" s="350"/>
      <c r="C260" s="350"/>
      <c r="D260" s="326"/>
      <c r="E260" s="332"/>
      <c r="F260" s="332"/>
      <c r="G260" s="332"/>
      <c r="H260" s="332"/>
      <c r="I260" s="332"/>
      <c r="J260" s="332"/>
      <c r="K260" s="326"/>
      <c r="L260" s="326"/>
      <c r="M260" s="326"/>
      <c r="N260" s="326"/>
      <c r="O260" s="326"/>
      <c r="P260" s="326"/>
      <c r="Q260" s="326"/>
      <c r="R260" s="326"/>
      <c r="S260" s="326"/>
      <c r="T260" s="326"/>
      <c r="U260" s="326"/>
      <c r="V260" s="326"/>
      <c r="W260" s="326"/>
      <c r="X260" s="326"/>
      <c r="Y260" s="326"/>
      <c r="Z260" s="326"/>
      <c r="AA260" s="326"/>
      <c r="AB260" s="326"/>
      <c r="AC260" s="326"/>
      <c r="AD260" s="326"/>
    </row>
    <row r="261" spans="1:30" s="328" customFormat="1" x14ac:dyDescent="0.25">
      <c r="A261" s="329"/>
      <c r="B261" s="350"/>
      <c r="C261" s="350"/>
      <c r="D261" s="326"/>
      <c r="E261" s="332"/>
      <c r="F261" s="332"/>
      <c r="G261" s="332"/>
      <c r="H261" s="332"/>
      <c r="I261" s="332"/>
      <c r="J261" s="332"/>
      <c r="K261" s="326"/>
      <c r="L261" s="326"/>
      <c r="M261" s="326"/>
      <c r="N261" s="326"/>
      <c r="O261" s="326"/>
      <c r="P261" s="326"/>
      <c r="Q261" s="326"/>
      <c r="R261" s="326"/>
      <c r="S261" s="326"/>
      <c r="T261" s="326"/>
      <c r="U261" s="326"/>
      <c r="V261" s="326"/>
      <c r="W261" s="326"/>
      <c r="X261" s="326"/>
      <c r="Y261" s="326"/>
      <c r="Z261" s="326"/>
      <c r="AA261" s="326"/>
      <c r="AB261" s="326"/>
      <c r="AC261" s="326"/>
      <c r="AD261" s="326"/>
    </row>
    <row r="262" spans="1:30" s="328" customFormat="1" x14ac:dyDescent="0.25">
      <c r="A262" s="329"/>
      <c r="B262" s="350"/>
      <c r="C262" s="350"/>
      <c r="D262" s="326"/>
      <c r="E262" s="332"/>
      <c r="F262" s="332"/>
      <c r="G262" s="332"/>
      <c r="H262" s="332"/>
      <c r="I262" s="332"/>
      <c r="J262" s="332"/>
      <c r="K262" s="326"/>
      <c r="L262" s="326"/>
      <c r="M262" s="326"/>
      <c r="N262" s="326"/>
      <c r="O262" s="326"/>
      <c r="P262" s="326"/>
      <c r="Q262" s="326"/>
      <c r="R262" s="326"/>
      <c r="S262" s="326"/>
      <c r="T262" s="326"/>
      <c r="U262" s="326"/>
      <c r="V262" s="326"/>
      <c r="W262" s="326"/>
      <c r="X262" s="326"/>
      <c r="Y262" s="326"/>
      <c r="Z262" s="326"/>
      <c r="AA262" s="326"/>
      <c r="AB262" s="326"/>
      <c r="AC262" s="326"/>
      <c r="AD262" s="326"/>
    </row>
    <row r="263" spans="1:30" s="328" customFormat="1" x14ac:dyDescent="0.25">
      <c r="A263" s="329"/>
      <c r="B263" s="350"/>
      <c r="C263" s="350"/>
      <c r="D263" s="326"/>
      <c r="E263" s="332"/>
      <c r="F263" s="332"/>
      <c r="G263" s="332"/>
      <c r="H263" s="332"/>
      <c r="I263" s="332"/>
      <c r="J263" s="332"/>
      <c r="K263" s="326"/>
      <c r="L263" s="326"/>
      <c r="M263" s="326"/>
      <c r="N263" s="326"/>
      <c r="O263" s="326"/>
      <c r="P263" s="326"/>
      <c r="Q263" s="326"/>
      <c r="R263" s="326"/>
      <c r="S263" s="326"/>
      <c r="T263" s="326"/>
      <c r="U263" s="326"/>
      <c r="V263" s="326"/>
      <c r="W263" s="326"/>
      <c r="X263" s="326"/>
      <c r="Y263" s="326"/>
      <c r="Z263" s="326"/>
      <c r="AA263" s="326"/>
      <c r="AB263" s="326"/>
      <c r="AC263" s="326"/>
      <c r="AD263" s="326"/>
    </row>
    <row r="264" spans="1:30" s="328" customFormat="1" x14ac:dyDescent="0.25">
      <c r="A264" s="329"/>
      <c r="B264" s="350"/>
      <c r="C264" s="350"/>
      <c r="D264" s="326"/>
      <c r="E264" s="332"/>
      <c r="F264" s="332"/>
      <c r="G264" s="332"/>
      <c r="H264" s="332"/>
      <c r="I264" s="332"/>
      <c r="J264" s="332"/>
      <c r="K264" s="326"/>
      <c r="L264" s="326"/>
      <c r="M264" s="326"/>
      <c r="N264" s="326"/>
      <c r="O264" s="326"/>
      <c r="P264" s="326"/>
      <c r="Q264" s="326"/>
      <c r="R264" s="326"/>
      <c r="S264" s="326"/>
      <c r="T264" s="326"/>
      <c r="U264" s="326"/>
      <c r="V264" s="326"/>
      <c r="W264" s="326"/>
      <c r="X264" s="326"/>
      <c r="Y264" s="326"/>
      <c r="Z264" s="326"/>
      <c r="AA264" s="326"/>
      <c r="AB264" s="326"/>
      <c r="AC264" s="326"/>
      <c r="AD264" s="326"/>
    </row>
    <row r="265" spans="1:30" s="328" customFormat="1" x14ac:dyDescent="0.25">
      <c r="A265" s="329"/>
      <c r="B265" s="350"/>
      <c r="C265" s="350"/>
      <c r="D265" s="326"/>
      <c r="E265" s="332"/>
      <c r="F265" s="332"/>
      <c r="G265" s="332"/>
      <c r="H265" s="332"/>
      <c r="I265" s="332"/>
      <c r="J265" s="332"/>
      <c r="K265" s="326"/>
      <c r="L265" s="326"/>
      <c r="M265" s="326"/>
      <c r="N265" s="326"/>
      <c r="O265" s="326"/>
      <c r="P265" s="326"/>
      <c r="Q265" s="326"/>
      <c r="R265" s="326"/>
      <c r="S265" s="326"/>
      <c r="T265" s="326"/>
      <c r="U265" s="326"/>
      <c r="V265" s="326"/>
      <c r="W265" s="326"/>
      <c r="X265" s="326"/>
      <c r="Y265" s="326"/>
      <c r="Z265" s="326"/>
      <c r="AA265" s="326"/>
      <c r="AB265" s="326"/>
      <c r="AC265" s="326"/>
      <c r="AD265" s="326"/>
    </row>
    <row r="266" spans="1:30" s="328" customFormat="1" x14ac:dyDescent="0.25">
      <c r="A266" s="329"/>
      <c r="B266" s="350"/>
      <c r="C266" s="350"/>
      <c r="D266" s="326"/>
      <c r="E266" s="332"/>
      <c r="F266" s="332"/>
      <c r="G266" s="332"/>
      <c r="H266" s="332"/>
      <c r="I266" s="332"/>
      <c r="J266" s="332"/>
      <c r="K266" s="326"/>
      <c r="L266" s="326"/>
      <c r="M266" s="326"/>
      <c r="N266" s="326"/>
      <c r="O266" s="326"/>
      <c r="P266" s="326"/>
      <c r="Q266" s="326"/>
      <c r="R266" s="326"/>
      <c r="S266" s="326"/>
      <c r="T266" s="326"/>
      <c r="U266" s="326"/>
      <c r="V266" s="326"/>
      <c r="W266" s="326"/>
      <c r="X266" s="326"/>
      <c r="Y266" s="326"/>
      <c r="Z266" s="326"/>
      <c r="AA266" s="326"/>
      <c r="AB266" s="326"/>
      <c r="AC266" s="326"/>
      <c r="AD266" s="326"/>
    </row>
    <row r="267" spans="1:30" s="328" customFormat="1" x14ac:dyDescent="0.25">
      <c r="A267" s="329"/>
      <c r="B267" s="350"/>
      <c r="C267" s="350"/>
      <c r="D267" s="326"/>
      <c r="E267" s="332"/>
      <c r="F267" s="332"/>
      <c r="G267" s="332"/>
      <c r="H267" s="332"/>
      <c r="I267" s="332"/>
      <c r="J267" s="332"/>
      <c r="K267" s="326"/>
      <c r="L267" s="326"/>
      <c r="M267" s="326"/>
      <c r="N267" s="326"/>
      <c r="O267" s="326"/>
      <c r="P267" s="326"/>
      <c r="Q267" s="326"/>
      <c r="R267" s="326"/>
      <c r="S267" s="326"/>
      <c r="T267" s="326"/>
      <c r="U267" s="326"/>
      <c r="V267" s="326"/>
      <c r="W267" s="326"/>
      <c r="X267" s="326"/>
      <c r="Y267" s="326"/>
      <c r="Z267" s="326"/>
      <c r="AA267" s="326"/>
      <c r="AB267" s="326"/>
      <c r="AC267" s="326"/>
      <c r="AD267" s="326"/>
    </row>
    <row r="268" spans="1:30" s="328" customFormat="1" x14ac:dyDescent="0.25">
      <c r="A268" s="329"/>
      <c r="B268" s="350"/>
      <c r="C268" s="350"/>
      <c r="D268" s="326"/>
      <c r="E268" s="332"/>
      <c r="F268" s="332"/>
      <c r="G268" s="332"/>
      <c r="H268" s="332"/>
      <c r="I268" s="332"/>
      <c r="J268" s="332"/>
      <c r="K268" s="326"/>
      <c r="L268" s="326"/>
      <c r="M268" s="326"/>
      <c r="N268" s="326"/>
      <c r="O268" s="326"/>
      <c r="P268" s="326"/>
      <c r="Q268" s="326"/>
      <c r="R268" s="326"/>
      <c r="S268" s="326"/>
      <c r="T268" s="326"/>
      <c r="U268" s="326"/>
      <c r="V268" s="326"/>
      <c r="W268" s="326"/>
      <c r="X268" s="326"/>
      <c r="Y268" s="326"/>
      <c r="Z268" s="326"/>
      <c r="AA268" s="326"/>
      <c r="AB268" s="326"/>
      <c r="AC268" s="326"/>
      <c r="AD268" s="326"/>
    </row>
    <row r="269" spans="1:30" s="328" customFormat="1" x14ac:dyDescent="0.25">
      <c r="A269" s="329"/>
      <c r="B269" s="350"/>
      <c r="C269" s="350"/>
      <c r="D269" s="326"/>
      <c r="E269" s="332"/>
      <c r="F269" s="332"/>
      <c r="G269" s="332"/>
      <c r="H269" s="332"/>
      <c r="I269" s="332"/>
      <c r="J269" s="332"/>
      <c r="K269" s="326"/>
      <c r="L269" s="326"/>
      <c r="M269" s="326"/>
      <c r="N269" s="326"/>
      <c r="O269" s="326"/>
      <c r="P269" s="326"/>
      <c r="Q269" s="326"/>
      <c r="R269" s="326"/>
      <c r="S269" s="326"/>
      <c r="T269" s="326"/>
      <c r="U269" s="326"/>
      <c r="V269" s="326"/>
      <c r="W269" s="326"/>
      <c r="X269" s="326"/>
      <c r="Y269" s="326"/>
      <c r="Z269" s="326"/>
      <c r="AA269" s="326"/>
      <c r="AB269" s="326"/>
      <c r="AC269" s="326"/>
      <c r="AD269" s="326"/>
    </row>
    <row r="270" spans="1:30" s="328" customFormat="1" x14ac:dyDescent="0.25">
      <c r="A270" s="329"/>
      <c r="B270" s="350"/>
      <c r="C270" s="350"/>
      <c r="D270" s="326"/>
      <c r="E270" s="332"/>
      <c r="F270" s="332"/>
      <c r="G270" s="332"/>
      <c r="H270" s="332"/>
      <c r="I270" s="332"/>
      <c r="J270" s="332"/>
      <c r="K270" s="326"/>
      <c r="L270" s="326"/>
      <c r="M270" s="326"/>
      <c r="N270" s="326"/>
      <c r="O270" s="326"/>
      <c r="P270" s="326"/>
      <c r="Q270" s="326"/>
      <c r="R270" s="326"/>
      <c r="S270" s="326"/>
      <c r="T270" s="326"/>
      <c r="U270" s="326"/>
      <c r="V270" s="326"/>
      <c r="W270" s="326"/>
      <c r="X270" s="326"/>
      <c r="Y270" s="326"/>
      <c r="Z270" s="326"/>
      <c r="AA270" s="326"/>
      <c r="AB270" s="326"/>
      <c r="AC270" s="326"/>
      <c r="AD270" s="326"/>
    </row>
    <row r="271" spans="1:30" s="328" customFormat="1" x14ac:dyDescent="0.25">
      <c r="A271" s="329"/>
      <c r="B271" s="350"/>
      <c r="C271" s="350"/>
      <c r="D271" s="326"/>
      <c r="E271" s="332"/>
      <c r="F271" s="332"/>
      <c r="G271" s="332"/>
      <c r="H271" s="332"/>
      <c r="I271" s="332"/>
      <c r="J271" s="332"/>
      <c r="K271" s="326"/>
      <c r="L271" s="326"/>
      <c r="M271" s="326"/>
      <c r="N271" s="326"/>
      <c r="O271" s="326"/>
      <c r="P271" s="326"/>
      <c r="Q271" s="326"/>
      <c r="R271" s="326"/>
      <c r="S271" s="326"/>
      <c r="T271" s="326"/>
      <c r="U271" s="326"/>
      <c r="V271" s="326"/>
      <c r="W271" s="326"/>
      <c r="X271" s="326"/>
      <c r="Y271" s="326"/>
      <c r="Z271" s="326"/>
      <c r="AA271" s="326"/>
      <c r="AB271" s="326"/>
      <c r="AC271" s="326"/>
      <c r="AD271" s="326"/>
    </row>
    <row r="272" spans="1:30" s="328" customFormat="1" x14ac:dyDescent="0.25">
      <c r="A272" s="329"/>
      <c r="B272" s="350"/>
      <c r="C272" s="350"/>
      <c r="D272" s="326"/>
      <c r="E272" s="332"/>
      <c r="F272" s="332"/>
      <c r="G272" s="332"/>
      <c r="H272" s="332"/>
      <c r="I272" s="332"/>
      <c r="J272" s="332"/>
      <c r="K272" s="326"/>
      <c r="L272" s="326"/>
      <c r="M272" s="326"/>
      <c r="N272" s="326"/>
      <c r="O272" s="326"/>
      <c r="P272" s="326"/>
      <c r="Q272" s="326"/>
      <c r="R272" s="326"/>
      <c r="S272" s="326"/>
      <c r="T272" s="326"/>
      <c r="U272" s="326"/>
      <c r="V272" s="326"/>
      <c r="W272" s="326"/>
      <c r="X272" s="326"/>
      <c r="Y272" s="326"/>
      <c r="Z272" s="326"/>
      <c r="AA272" s="326"/>
      <c r="AB272" s="326"/>
      <c r="AC272" s="326"/>
      <c r="AD272" s="326"/>
    </row>
    <row r="273" spans="1:30" s="328" customFormat="1" x14ac:dyDescent="0.25">
      <c r="A273" s="329"/>
      <c r="B273" s="350"/>
      <c r="C273" s="350"/>
      <c r="D273" s="326"/>
      <c r="E273" s="332"/>
      <c r="F273" s="332"/>
      <c r="G273" s="332"/>
      <c r="H273" s="332"/>
      <c r="I273" s="332"/>
      <c r="J273" s="332"/>
      <c r="K273" s="326"/>
      <c r="L273" s="326"/>
      <c r="M273" s="326"/>
      <c r="N273" s="326"/>
      <c r="O273" s="326"/>
      <c r="P273" s="326"/>
      <c r="Q273" s="326"/>
      <c r="R273" s="326"/>
      <c r="S273" s="326"/>
      <c r="T273" s="326"/>
      <c r="U273" s="326"/>
      <c r="V273" s="326"/>
      <c r="W273" s="326"/>
      <c r="X273" s="326"/>
      <c r="Y273" s="326"/>
      <c r="Z273" s="326"/>
      <c r="AA273" s="326"/>
      <c r="AB273" s="326"/>
      <c r="AC273" s="326"/>
      <c r="AD273" s="326"/>
    </row>
    <row r="274" spans="1:30" s="328" customFormat="1" x14ac:dyDescent="0.25">
      <c r="A274" s="329"/>
      <c r="B274" s="350"/>
      <c r="C274" s="350"/>
      <c r="D274" s="326"/>
      <c r="E274" s="332"/>
      <c r="F274" s="332"/>
      <c r="G274" s="332"/>
      <c r="H274" s="332"/>
      <c r="I274" s="332"/>
      <c r="J274" s="332"/>
      <c r="K274" s="326"/>
      <c r="L274" s="326"/>
      <c r="M274" s="326"/>
      <c r="N274" s="326"/>
      <c r="O274" s="326"/>
      <c r="P274" s="326"/>
      <c r="Q274" s="326"/>
      <c r="R274" s="326"/>
      <c r="S274" s="326"/>
      <c r="T274" s="326"/>
      <c r="U274" s="326"/>
      <c r="V274" s="326"/>
      <c r="W274" s="326"/>
      <c r="X274" s="326"/>
      <c r="Y274" s="326"/>
      <c r="Z274" s="326"/>
      <c r="AA274" s="326"/>
      <c r="AB274" s="326"/>
      <c r="AC274" s="326"/>
      <c r="AD274" s="326"/>
    </row>
    <row r="275" spans="1:30" s="328" customFormat="1" x14ac:dyDescent="0.25">
      <c r="A275" s="329"/>
      <c r="B275" s="350"/>
      <c r="C275" s="350"/>
      <c r="D275" s="326"/>
      <c r="E275" s="332"/>
      <c r="F275" s="332"/>
      <c r="G275" s="332"/>
      <c r="H275" s="332"/>
      <c r="I275" s="332"/>
      <c r="J275" s="332"/>
      <c r="K275" s="326"/>
      <c r="L275" s="326"/>
      <c r="M275" s="326"/>
      <c r="N275" s="326"/>
      <c r="O275" s="326"/>
      <c r="P275" s="326"/>
      <c r="Q275" s="326"/>
      <c r="R275" s="326"/>
      <c r="S275" s="326"/>
      <c r="T275" s="326"/>
      <c r="U275" s="326"/>
      <c r="V275" s="326"/>
      <c r="W275" s="326"/>
      <c r="X275" s="326"/>
      <c r="Y275" s="326"/>
      <c r="Z275" s="326"/>
      <c r="AA275" s="326"/>
      <c r="AB275" s="326"/>
      <c r="AC275" s="326"/>
      <c r="AD275" s="326"/>
    </row>
    <row r="276" spans="1:30" s="328" customFormat="1" x14ac:dyDescent="0.25">
      <c r="A276" s="329"/>
      <c r="B276" s="350"/>
      <c r="C276" s="350"/>
      <c r="D276" s="326"/>
      <c r="E276" s="332"/>
      <c r="F276" s="332"/>
      <c r="G276" s="332"/>
      <c r="H276" s="332"/>
      <c r="I276" s="332"/>
      <c r="J276" s="332"/>
      <c r="K276" s="326"/>
      <c r="L276" s="326"/>
      <c r="M276" s="326"/>
      <c r="N276" s="326"/>
      <c r="O276" s="326"/>
      <c r="P276" s="326"/>
      <c r="Q276" s="326"/>
      <c r="R276" s="326"/>
      <c r="S276" s="326"/>
      <c r="T276" s="326"/>
      <c r="U276" s="326"/>
      <c r="V276" s="326"/>
      <c r="W276" s="326"/>
      <c r="X276" s="326"/>
      <c r="Y276" s="326"/>
      <c r="Z276" s="326"/>
      <c r="AA276" s="326"/>
      <c r="AB276" s="326"/>
      <c r="AC276" s="326"/>
      <c r="AD276" s="326"/>
    </row>
    <row r="277" spans="1:30" s="328" customFormat="1" x14ac:dyDescent="0.25">
      <c r="A277" s="329"/>
      <c r="B277" s="350"/>
      <c r="C277" s="350"/>
      <c r="D277" s="326"/>
      <c r="E277" s="332"/>
      <c r="F277" s="332"/>
      <c r="G277" s="332"/>
      <c r="H277" s="332"/>
      <c r="I277" s="332"/>
      <c r="J277" s="332"/>
      <c r="K277" s="326"/>
      <c r="L277" s="326"/>
      <c r="M277" s="326"/>
      <c r="N277" s="326"/>
      <c r="O277" s="326"/>
      <c r="P277" s="326"/>
      <c r="Q277" s="326"/>
      <c r="R277" s="326"/>
      <c r="S277" s="326"/>
      <c r="T277" s="326"/>
      <c r="U277" s="326"/>
      <c r="V277" s="326"/>
      <c r="W277" s="326"/>
      <c r="X277" s="326"/>
      <c r="Y277" s="326"/>
      <c r="Z277" s="326"/>
      <c r="AA277" s="326"/>
      <c r="AB277" s="326"/>
      <c r="AC277" s="326"/>
      <c r="AD277" s="326"/>
    </row>
    <row r="278" spans="1:30" s="328" customFormat="1" x14ac:dyDescent="0.25">
      <c r="A278" s="329"/>
      <c r="B278" s="350"/>
      <c r="C278" s="350"/>
      <c r="D278" s="326"/>
      <c r="E278" s="332"/>
      <c r="F278" s="332"/>
      <c r="G278" s="332"/>
      <c r="H278" s="332"/>
      <c r="I278" s="332"/>
      <c r="J278" s="332"/>
      <c r="K278" s="326"/>
      <c r="L278" s="326"/>
      <c r="M278" s="326"/>
      <c r="N278" s="326"/>
      <c r="O278" s="326"/>
      <c r="P278" s="326"/>
      <c r="Q278" s="326"/>
      <c r="R278" s="326"/>
      <c r="S278" s="326"/>
      <c r="T278" s="326"/>
      <c r="U278" s="326"/>
      <c r="V278" s="326"/>
      <c r="W278" s="326"/>
      <c r="X278" s="326"/>
      <c r="Y278" s="326"/>
      <c r="Z278" s="326"/>
      <c r="AA278" s="326"/>
      <c r="AB278" s="326"/>
      <c r="AC278" s="326"/>
      <c r="AD278" s="326"/>
    </row>
    <row r="279" spans="1:30" s="328" customFormat="1" x14ac:dyDescent="0.25">
      <c r="A279" s="329"/>
      <c r="B279" s="350"/>
      <c r="C279" s="350"/>
      <c r="D279" s="326"/>
      <c r="E279" s="332"/>
      <c r="F279" s="332"/>
      <c r="G279" s="332"/>
      <c r="H279" s="332"/>
      <c r="I279" s="332"/>
      <c r="J279" s="332"/>
      <c r="K279" s="326"/>
      <c r="L279" s="326"/>
      <c r="M279" s="326"/>
      <c r="N279" s="326"/>
      <c r="O279" s="326"/>
      <c r="P279" s="326"/>
      <c r="Q279" s="326"/>
      <c r="R279" s="326"/>
      <c r="S279" s="326"/>
      <c r="T279" s="326"/>
      <c r="U279" s="326"/>
      <c r="V279" s="326"/>
      <c r="W279" s="326"/>
      <c r="X279" s="326"/>
      <c r="Y279" s="326"/>
      <c r="Z279" s="326"/>
      <c r="AA279" s="326"/>
      <c r="AB279" s="326"/>
      <c r="AC279" s="326"/>
      <c r="AD279" s="326"/>
    </row>
    <row r="280" spans="1:30" s="328" customFormat="1" x14ac:dyDescent="0.25">
      <c r="A280" s="329"/>
      <c r="B280" s="350"/>
      <c r="C280" s="350"/>
      <c r="D280" s="326"/>
      <c r="E280" s="332"/>
      <c r="F280" s="332"/>
      <c r="G280" s="332"/>
      <c r="H280" s="332"/>
      <c r="I280" s="332"/>
      <c r="J280" s="332"/>
      <c r="K280" s="326"/>
      <c r="L280" s="326"/>
      <c r="M280" s="326"/>
      <c r="N280" s="326"/>
      <c r="O280" s="326"/>
      <c r="P280" s="326"/>
      <c r="Q280" s="326"/>
      <c r="R280" s="326"/>
      <c r="S280" s="326"/>
      <c r="T280" s="326"/>
      <c r="U280" s="326"/>
      <c r="V280" s="326"/>
      <c r="W280" s="326"/>
      <c r="X280" s="326"/>
      <c r="Y280" s="326"/>
      <c r="Z280" s="326"/>
      <c r="AA280" s="326"/>
      <c r="AB280" s="326"/>
      <c r="AC280" s="326"/>
      <c r="AD280" s="326"/>
    </row>
    <row r="281" spans="1:30" s="328" customFormat="1" x14ac:dyDescent="0.25">
      <c r="A281" s="329"/>
      <c r="B281" s="350"/>
      <c r="C281" s="350"/>
      <c r="D281" s="326"/>
      <c r="E281" s="332"/>
      <c r="F281" s="332"/>
      <c r="G281" s="332"/>
      <c r="H281" s="332"/>
      <c r="I281" s="332"/>
      <c r="J281" s="332"/>
      <c r="K281" s="326"/>
      <c r="L281" s="326"/>
      <c r="M281" s="326"/>
      <c r="N281" s="326"/>
      <c r="O281" s="326"/>
      <c r="P281" s="326"/>
      <c r="Q281" s="326"/>
      <c r="R281" s="326"/>
      <c r="S281" s="326"/>
      <c r="T281" s="326"/>
      <c r="U281" s="326"/>
      <c r="V281" s="326"/>
      <c r="W281" s="326"/>
      <c r="X281" s="326"/>
      <c r="Y281" s="326"/>
      <c r="Z281" s="326"/>
      <c r="AA281" s="326"/>
      <c r="AB281" s="326"/>
      <c r="AC281" s="326"/>
      <c r="AD281" s="326"/>
    </row>
    <row r="282" spans="1:30" s="328" customFormat="1" x14ac:dyDescent="0.25">
      <c r="A282" s="329"/>
      <c r="B282" s="350"/>
      <c r="C282" s="350"/>
      <c r="D282" s="326"/>
      <c r="E282" s="332"/>
      <c r="F282" s="332"/>
      <c r="G282" s="332"/>
      <c r="H282" s="332"/>
      <c r="I282" s="332"/>
      <c r="J282" s="332"/>
      <c r="K282" s="326"/>
      <c r="L282" s="326"/>
      <c r="M282" s="326"/>
      <c r="N282" s="326"/>
      <c r="O282" s="326"/>
      <c r="P282" s="326"/>
      <c r="Q282" s="326"/>
      <c r="R282" s="326"/>
      <c r="S282" s="326"/>
      <c r="T282" s="326"/>
      <c r="U282" s="326"/>
      <c r="V282" s="326"/>
      <c r="W282" s="326"/>
      <c r="X282" s="326"/>
      <c r="Y282" s="326"/>
      <c r="Z282" s="326"/>
      <c r="AA282" s="326"/>
      <c r="AB282" s="326"/>
      <c r="AC282" s="326"/>
      <c r="AD282" s="326"/>
    </row>
    <row r="283" spans="1:30" s="328" customFormat="1" x14ac:dyDescent="0.25">
      <c r="A283" s="329"/>
      <c r="B283" s="350"/>
      <c r="C283" s="350"/>
      <c r="D283" s="326"/>
      <c r="E283" s="332"/>
      <c r="F283" s="332"/>
      <c r="G283" s="332"/>
      <c r="H283" s="332"/>
      <c r="I283" s="332"/>
      <c r="J283" s="332"/>
      <c r="K283" s="326"/>
      <c r="L283" s="326"/>
      <c r="M283" s="326"/>
      <c r="N283" s="326"/>
      <c r="O283" s="326"/>
      <c r="P283" s="326"/>
      <c r="Q283" s="326"/>
      <c r="R283" s="326"/>
      <c r="S283" s="326"/>
      <c r="T283" s="326"/>
      <c r="U283" s="326"/>
      <c r="V283" s="326"/>
      <c r="W283" s="326"/>
      <c r="X283" s="326"/>
      <c r="Y283" s="326"/>
      <c r="Z283" s="326"/>
      <c r="AA283" s="326"/>
      <c r="AB283" s="326"/>
      <c r="AC283" s="326"/>
      <c r="AD283" s="326"/>
    </row>
    <row r="284" spans="1:30" s="328" customFormat="1" x14ac:dyDescent="0.25">
      <c r="A284" s="329"/>
      <c r="B284" s="350"/>
      <c r="C284" s="350"/>
      <c r="D284" s="326"/>
      <c r="E284" s="332"/>
      <c r="F284" s="332"/>
      <c r="G284" s="332"/>
      <c r="H284" s="332"/>
      <c r="I284" s="332"/>
      <c r="J284" s="332"/>
      <c r="K284" s="326"/>
      <c r="L284" s="326"/>
      <c r="M284" s="326"/>
      <c r="N284" s="326"/>
      <c r="O284" s="326"/>
      <c r="P284" s="326"/>
      <c r="Q284" s="326"/>
      <c r="R284" s="326"/>
      <c r="S284" s="326"/>
      <c r="T284" s="326"/>
      <c r="U284" s="326"/>
      <c r="V284" s="326"/>
      <c r="W284" s="326"/>
      <c r="X284" s="326"/>
      <c r="Y284" s="326"/>
      <c r="Z284" s="326"/>
      <c r="AA284" s="326"/>
      <c r="AB284" s="326"/>
      <c r="AC284" s="326"/>
      <c r="AD284" s="326"/>
    </row>
    <row r="285" spans="1:30" s="328" customFormat="1" x14ac:dyDescent="0.25">
      <c r="A285" s="329"/>
      <c r="B285" s="350"/>
      <c r="C285" s="350"/>
      <c r="D285" s="326"/>
      <c r="E285" s="332"/>
      <c r="F285" s="332"/>
      <c r="G285" s="332"/>
      <c r="H285" s="332"/>
      <c r="I285" s="332"/>
      <c r="J285" s="332"/>
      <c r="K285" s="326"/>
      <c r="L285" s="326"/>
      <c r="M285" s="326"/>
      <c r="N285" s="326"/>
      <c r="O285" s="326"/>
      <c r="P285" s="326"/>
      <c r="Q285" s="326"/>
      <c r="R285" s="326"/>
      <c r="S285" s="326"/>
      <c r="T285" s="326"/>
      <c r="U285" s="326"/>
      <c r="V285" s="326"/>
      <c r="W285" s="326"/>
      <c r="X285" s="326"/>
      <c r="Y285" s="326"/>
      <c r="Z285" s="326"/>
      <c r="AA285" s="326"/>
      <c r="AB285" s="326"/>
      <c r="AC285" s="326"/>
      <c r="AD285" s="326"/>
    </row>
    <row r="286" spans="1:30" s="328" customFormat="1" x14ac:dyDescent="0.25">
      <c r="A286" s="329"/>
      <c r="B286" s="350"/>
      <c r="C286" s="350"/>
      <c r="D286" s="326"/>
      <c r="E286" s="332"/>
      <c r="F286" s="332"/>
      <c r="G286" s="332"/>
      <c r="H286" s="332"/>
      <c r="I286" s="332"/>
      <c r="J286" s="332"/>
      <c r="K286" s="326"/>
      <c r="L286" s="326"/>
      <c r="M286" s="326"/>
      <c r="N286" s="326"/>
      <c r="O286" s="326"/>
      <c r="P286" s="326"/>
      <c r="Q286" s="326"/>
      <c r="R286" s="326"/>
      <c r="S286" s="326"/>
      <c r="T286" s="326"/>
      <c r="U286" s="326"/>
      <c r="V286" s="326"/>
      <c r="W286" s="326"/>
      <c r="X286" s="326"/>
      <c r="Y286" s="326"/>
      <c r="Z286" s="326"/>
      <c r="AA286" s="326"/>
      <c r="AB286" s="326"/>
      <c r="AC286" s="326"/>
      <c r="AD286" s="326"/>
    </row>
    <row r="287" spans="1:30" s="328" customFormat="1" x14ac:dyDescent="0.25">
      <c r="A287" s="329"/>
      <c r="B287" s="350"/>
      <c r="C287" s="350"/>
      <c r="D287" s="326"/>
      <c r="E287" s="332"/>
      <c r="F287" s="332"/>
      <c r="G287" s="332"/>
      <c r="H287" s="332"/>
      <c r="I287" s="332"/>
      <c r="J287" s="332"/>
      <c r="K287" s="326"/>
      <c r="L287" s="326"/>
      <c r="M287" s="326"/>
      <c r="N287" s="326"/>
      <c r="O287" s="326"/>
      <c r="P287" s="326"/>
      <c r="Q287" s="326"/>
      <c r="R287" s="326"/>
      <c r="S287" s="326"/>
      <c r="T287" s="326"/>
      <c r="U287" s="326"/>
      <c r="V287" s="326"/>
      <c r="W287" s="326"/>
      <c r="X287" s="326"/>
      <c r="Y287" s="326"/>
      <c r="Z287" s="326"/>
      <c r="AA287" s="326"/>
      <c r="AB287" s="326"/>
      <c r="AC287" s="326"/>
      <c r="AD287" s="326"/>
    </row>
    <row r="288" spans="1:30" s="328" customFormat="1" x14ac:dyDescent="0.25">
      <c r="A288" s="329"/>
      <c r="B288" s="350"/>
      <c r="C288" s="350"/>
      <c r="D288" s="326"/>
      <c r="E288" s="332"/>
      <c r="F288" s="332"/>
      <c r="G288" s="332"/>
      <c r="H288" s="332"/>
      <c r="I288" s="332"/>
      <c r="J288" s="332"/>
      <c r="K288" s="326"/>
      <c r="L288" s="326"/>
      <c r="M288" s="326"/>
      <c r="N288" s="326"/>
      <c r="O288" s="326"/>
      <c r="P288" s="326"/>
      <c r="Q288" s="326"/>
      <c r="R288" s="326"/>
      <c r="S288" s="326"/>
      <c r="T288" s="326"/>
      <c r="U288" s="326"/>
      <c r="V288" s="326"/>
      <c r="W288" s="326"/>
      <c r="X288" s="326"/>
      <c r="Y288" s="326"/>
      <c r="Z288" s="326"/>
      <c r="AA288" s="326"/>
      <c r="AB288" s="326"/>
      <c r="AC288" s="326"/>
      <c r="AD288" s="326"/>
    </row>
    <row r="289" spans="1:30" s="328" customFormat="1" x14ac:dyDescent="0.25">
      <c r="A289" s="329"/>
      <c r="B289" s="350"/>
      <c r="C289" s="350"/>
      <c r="D289" s="326"/>
      <c r="E289" s="332"/>
      <c r="F289" s="332"/>
      <c r="G289" s="332"/>
      <c r="H289" s="332"/>
      <c r="I289" s="332"/>
      <c r="J289" s="332"/>
      <c r="K289" s="326"/>
      <c r="L289" s="326"/>
      <c r="M289" s="326"/>
      <c r="N289" s="326"/>
      <c r="O289" s="326"/>
      <c r="P289" s="326"/>
      <c r="Q289" s="326"/>
      <c r="R289" s="326"/>
      <c r="S289" s="326"/>
      <c r="T289" s="326"/>
      <c r="U289" s="326"/>
      <c r="V289" s="326"/>
      <c r="W289" s="326"/>
      <c r="X289" s="326"/>
      <c r="Y289" s="326"/>
      <c r="Z289" s="326"/>
      <c r="AA289" s="326"/>
      <c r="AB289" s="326"/>
      <c r="AC289" s="326"/>
      <c r="AD289" s="326"/>
    </row>
    <row r="290" spans="1:30" s="328" customFormat="1" x14ac:dyDescent="0.25">
      <c r="A290" s="329"/>
      <c r="B290" s="350"/>
      <c r="C290" s="350"/>
      <c r="D290" s="326"/>
      <c r="E290" s="332"/>
      <c r="F290" s="332"/>
      <c r="G290" s="332"/>
      <c r="H290" s="332"/>
      <c r="I290" s="332"/>
      <c r="J290" s="332"/>
      <c r="K290" s="326"/>
      <c r="L290" s="326"/>
      <c r="M290" s="326"/>
      <c r="N290" s="326"/>
      <c r="O290" s="326"/>
      <c r="P290" s="326"/>
      <c r="Q290" s="326"/>
      <c r="R290" s="326"/>
      <c r="S290" s="326"/>
      <c r="T290" s="326"/>
      <c r="U290" s="326"/>
      <c r="V290" s="326"/>
      <c r="W290" s="326"/>
      <c r="X290" s="326"/>
      <c r="Y290" s="326"/>
      <c r="Z290" s="326"/>
      <c r="AA290" s="326"/>
      <c r="AB290" s="326"/>
      <c r="AC290" s="326"/>
      <c r="AD290" s="326"/>
    </row>
    <row r="291" spans="1:30" s="328" customFormat="1" x14ac:dyDescent="0.25">
      <c r="A291" s="329"/>
      <c r="B291" s="350"/>
      <c r="C291" s="350"/>
      <c r="D291" s="326"/>
      <c r="E291" s="332"/>
      <c r="F291" s="332"/>
      <c r="G291" s="332"/>
      <c r="H291" s="332"/>
      <c r="I291" s="332"/>
      <c r="J291" s="332"/>
      <c r="K291" s="326"/>
      <c r="L291" s="326"/>
      <c r="M291" s="326"/>
      <c r="N291" s="326"/>
      <c r="O291" s="326"/>
      <c r="P291" s="326"/>
      <c r="Q291" s="326"/>
      <c r="R291" s="326"/>
      <c r="S291" s="326"/>
      <c r="T291" s="326"/>
      <c r="U291" s="326"/>
      <c r="V291" s="326"/>
      <c r="W291" s="326"/>
      <c r="X291" s="326"/>
      <c r="Y291" s="326"/>
      <c r="Z291" s="326"/>
      <c r="AA291" s="326"/>
      <c r="AB291" s="326"/>
      <c r="AC291" s="326"/>
      <c r="AD291" s="326"/>
    </row>
    <row r="292" spans="1:30" s="328" customFormat="1" x14ac:dyDescent="0.25">
      <c r="A292" s="329"/>
      <c r="B292" s="350"/>
      <c r="C292" s="350"/>
      <c r="D292" s="326"/>
      <c r="E292" s="332"/>
      <c r="F292" s="332"/>
      <c r="G292" s="332"/>
      <c r="H292" s="332"/>
      <c r="I292" s="332"/>
      <c r="J292" s="332"/>
      <c r="K292" s="326"/>
      <c r="L292" s="326"/>
      <c r="M292" s="326"/>
      <c r="N292" s="326"/>
      <c r="O292" s="326"/>
      <c r="P292" s="326"/>
      <c r="Q292" s="326"/>
      <c r="R292" s="326"/>
      <c r="S292" s="326"/>
      <c r="T292" s="326"/>
      <c r="U292" s="326"/>
      <c r="V292" s="326"/>
      <c r="W292" s="326"/>
      <c r="X292" s="326"/>
      <c r="Y292" s="326"/>
      <c r="Z292" s="326"/>
      <c r="AA292" s="326"/>
      <c r="AB292" s="326"/>
      <c r="AC292" s="326"/>
      <c r="AD292" s="326"/>
    </row>
    <row r="293" spans="1:30" s="328" customFormat="1" x14ac:dyDescent="0.25">
      <c r="A293" s="329"/>
      <c r="B293" s="350"/>
      <c r="C293" s="350"/>
      <c r="D293" s="326"/>
      <c r="E293" s="332"/>
      <c r="F293" s="332"/>
      <c r="G293" s="332"/>
      <c r="H293" s="332"/>
      <c r="I293" s="332"/>
      <c r="J293" s="332"/>
      <c r="K293" s="326"/>
      <c r="L293" s="326"/>
      <c r="M293" s="326"/>
      <c r="N293" s="326"/>
      <c r="O293" s="326"/>
      <c r="P293" s="326"/>
      <c r="Q293" s="326"/>
      <c r="R293" s="326"/>
      <c r="S293" s="326"/>
      <c r="T293" s="326"/>
      <c r="U293" s="326"/>
      <c r="V293" s="326"/>
      <c r="W293" s="326"/>
      <c r="X293" s="326"/>
      <c r="Y293" s="326"/>
      <c r="Z293" s="326"/>
      <c r="AA293" s="326"/>
      <c r="AB293" s="326"/>
      <c r="AC293" s="326"/>
      <c r="AD293" s="326"/>
    </row>
    <row r="294" spans="1:30" s="328" customFormat="1" x14ac:dyDescent="0.25">
      <c r="A294" s="329"/>
      <c r="B294" s="350"/>
      <c r="C294" s="350"/>
      <c r="D294" s="326"/>
      <c r="E294" s="332"/>
      <c r="F294" s="332"/>
      <c r="G294" s="332"/>
      <c r="H294" s="332"/>
      <c r="I294" s="332"/>
      <c r="J294" s="332"/>
      <c r="K294" s="326"/>
      <c r="L294" s="326"/>
      <c r="M294" s="326"/>
      <c r="N294" s="326"/>
      <c r="O294" s="326"/>
      <c r="P294" s="326"/>
      <c r="Q294" s="326"/>
      <c r="R294" s="326"/>
      <c r="S294" s="326"/>
      <c r="T294" s="326"/>
      <c r="U294" s="326"/>
      <c r="V294" s="326"/>
      <c r="W294" s="326"/>
      <c r="X294" s="326"/>
      <c r="Y294" s="326"/>
      <c r="Z294" s="326"/>
      <c r="AA294" s="326"/>
      <c r="AB294" s="326"/>
      <c r="AC294" s="326"/>
      <c r="AD294" s="326"/>
    </row>
    <row r="295" spans="1:30" s="328" customFormat="1" x14ac:dyDescent="0.25">
      <c r="A295" s="329"/>
      <c r="B295" s="350"/>
      <c r="C295" s="350"/>
      <c r="D295" s="326"/>
      <c r="E295" s="332"/>
      <c r="F295" s="332"/>
      <c r="G295" s="332"/>
      <c r="H295" s="332"/>
      <c r="I295" s="332"/>
      <c r="J295" s="332"/>
      <c r="K295" s="326"/>
      <c r="L295" s="326"/>
      <c r="M295" s="326"/>
      <c r="N295" s="326"/>
      <c r="O295" s="326"/>
      <c r="P295" s="326"/>
      <c r="Q295" s="326"/>
      <c r="R295" s="326"/>
      <c r="S295" s="326"/>
      <c r="T295" s="326"/>
      <c r="U295" s="326"/>
      <c r="V295" s="326"/>
      <c r="W295" s="326"/>
      <c r="X295" s="326"/>
      <c r="Y295" s="326"/>
      <c r="Z295" s="326"/>
      <c r="AA295" s="326"/>
      <c r="AB295" s="326"/>
      <c r="AC295" s="326"/>
      <c r="AD295" s="326"/>
    </row>
    <row r="296" spans="1:30" s="328" customFormat="1" x14ac:dyDescent="0.25">
      <c r="A296" s="329"/>
      <c r="B296" s="350"/>
      <c r="C296" s="350"/>
      <c r="D296" s="326"/>
      <c r="E296" s="332"/>
      <c r="F296" s="332"/>
      <c r="G296" s="332"/>
      <c r="H296" s="332"/>
      <c r="I296" s="332"/>
      <c r="J296" s="332"/>
      <c r="K296" s="326"/>
      <c r="L296" s="326"/>
      <c r="M296" s="326"/>
      <c r="N296" s="326"/>
      <c r="O296" s="326"/>
      <c r="P296" s="326"/>
      <c r="Q296" s="326"/>
      <c r="R296" s="326"/>
      <c r="S296" s="326"/>
      <c r="T296" s="326"/>
      <c r="U296" s="326"/>
      <c r="V296" s="326"/>
      <c r="W296" s="326"/>
      <c r="X296" s="326"/>
      <c r="Y296" s="326"/>
      <c r="Z296" s="326"/>
      <c r="AA296" s="326"/>
      <c r="AB296" s="326"/>
      <c r="AC296" s="326"/>
      <c r="AD296" s="326"/>
    </row>
    <row r="297" spans="1:30" s="328" customFormat="1" x14ac:dyDescent="0.25">
      <c r="A297" s="329"/>
      <c r="B297" s="350"/>
      <c r="C297" s="350"/>
      <c r="D297" s="326"/>
      <c r="E297" s="332"/>
      <c r="F297" s="332"/>
      <c r="G297" s="332"/>
      <c r="H297" s="332"/>
      <c r="I297" s="332"/>
      <c r="J297" s="332"/>
      <c r="K297" s="326"/>
      <c r="L297" s="326"/>
      <c r="M297" s="326"/>
      <c r="N297" s="326"/>
      <c r="O297" s="326"/>
      <c r="P297" s="326"/>
      <c r="Q297" s="326"/>
      <c r="R297" s="326"/>
      <c r="S297" s="326"/>
      <c r="T297" s="326"/>
      <c r="U297" s="326"/>
      <c r="V297" s="326"/>
      <c r="W297" s="326"/>
      <c r="X297" s="326"/>
      <c r="Y297" s="326"/>
      <c r="Z297" s="326"/>
      <c r="AA297" s="326"/>
      <c r="AB297" s="326"/>
      <c r="AC297" s="326"/>
      <c r="AD297" s="326"/>
    </row>
    <row r="298" spans="1:30" s="328" customFormat="1" x14ac:dyDescent="0.25">
      <c r="A298" s="329"/>
      <c r="B298" s="350"/>
      <c r="C298" s="350"/>
      <c r="D298" s="326"/>
      <c r="E298" s="332"/>
      <c r="F298" s="332"/>
      <c r="G298" s="332"/>
      <c r="H298" s="332"/>
      <c r="I298" s="332"/>
      <c r="J298" s="332"/>
      <c r="K298" s="326"/>
      <c r="L298" s="326"/>
      <c r="M298" s="326"/>
      <c r="N298" s="326"/>
      <c r="O298" s="326"/>
      <c r="P298" s="326"/>
      <c r="Q298" s="326"/>
      <c r="R298" s="326"/>
      <c r="S298" s="326"/>
      <c r="T298" s="326"/>
      <c r="U298" s="326"/>
      <c r="V298" s="326"/>
      <c r="W298" s="326"/>
      <c r="X298" s="326"/>
      <c r="Y298" s="326"/>
      <c r="Z298" s="326"/>
      <c r="AA298" s="326"/>
      <c r="AB298" s="326"/>
      <c r="AC298" s="326"/>
      <c r="AD298" s="326"/>
    </row>
    <row r="299" spans="1:30" s="328" customFormat="1" x14ac:dyDescent="0.25">
      <c r="A299" s="329"/>
      <c r="B299" s="350"/>
      <c r="C299" s="350"/>
      <c r="D299" s="326"/>
      <c r="E299" s="332"/>
      <c r="F299" s="332"/>
      <c r="G299" s="332"/>
      <c r="H299" s="332"/>
      <c r="I299" s="332"/>
      <c r="J299" s="332"/>
      <c r="K299" s="326"/>
      <c r="L299" s="326"/>
      <c r="M299" s="326"/>
      <c r="N299" s="326"/>
      <c r="O299" s="326"/>
      <c r="P299" s="326"/>
      <c r="Q299" s="326"/>
      <c r="R299" s="326"/>
      <c r="S299" s="326"/>
      <c r="T299" s="326"/>
      <c r="U299" s="326"/>
      <c r="V299" s="326"/>
      <c r="W299" s="326"/>
      <c r="X299" s="326"/>
      <c r="Y299" s="326"/>
      <c r="Z299" s="326"/>
      <c r="AA299" s="326"/>
      <c r="AB299" s="326"/>
      <c r="AC299" s="326"/>
      <c r="AD299" s="326"/>
    </row>
    <row r="300" spans="1:30" s="328" customFormat="1" x14ac:dyDescent="0.25">
      <c r="A300" s="329"/>
      <c r="B300" s="350"/>
      <c r="C300" s="350"/>
      <c r="D300" s="326"/>
      <c r="E300" s="332"/>
      <c r="F300" s="332"/>
      <c r="G300" s="332"/>
      <c r="H300" s="332"/>
      <c r="I300" s="332"/>
      <c r="J300" s="332"/>
      <c r="K300" s="326"/>
      <c r="L300" s="326"/>
      <c r="M300" s="326"/>
      <c r="N300" s="326"/>
      <c r="O300" s="326"/>
      <c r="P300" s="326"/>
      <c r="Q300" s="326"/>
      <c r="R300" s="326"/>
      <c r="S300" s="326"/>
      <c r="T300" s="326"/>
      <c r="U300" s="326"/>
      <c r="V300" s="326"/>
      <c r="W300" s="326"/>
      <c r="X300" s="326"/>
      <c r="Y300" s="326"/>
      <c r="Z300" s="326"/>
      <c r="AA300" s="326"/>
      <c r="AB300" s="326"/>
      <c r="AC300" s="326"/>
      <c r="AD300" s="326"/>
    </row>
    <row r="301" spans="1:30" s="328" customFormat="1" x14ac:dyDescent="0.25">
      <c r="A301" s="329"/>
      <c r="B301" s="350"/>
      <c r="C301" s="350"/>
      <c r="D301" s="326"/>
      <c r="E301" s="332"/>
      <c r="F301" s="332"/>
      <c r="G301" s="332"/>
      <c r="H301" s="332"/>
      <c r="I301" s="332"/>
      <c r="J301" s="332"/>
      <c r="K301" s="326"/>
      <c r="L301" s="326"/>
      <c r="M301" s="326"/>
      <c r="N301" s="326"/>
      <c r="O301" s="326"/>
      <c r="P301" s="326"/>
      <c r="Q301" s="326"/>
      <c r="R301" s="326"/>
      <c r="S301" s="326"/>
      <c r="T301" s="326"/>
      <c r="U301" s="326"/>
      <c r="V301" s="326"/>
      <c r="W301" s="326"/>
      <c r="X301" s="326"/>
      <c r="Y301" s="326"/>
      <c r="Z301" s="326"/>
      <c r="AA301" s="326"/>
      <c r="AB301" s="326"/>
      <c r="AC301" s="326"/>
      <c r="AD301" s="326"/>
    </row>
    <row r="302" spans="1:30" s="328" customFormat="1" x14ac:dyDescent="0.25">
      <c r="A302" s="329"/>
      <c r="B302" s="350"/>
      <c r="C302" s="350"/>
      <c r="D302" s="326"/>
      <c r="E302" s="332"/>
      <c r="F302" s="332"/>
      <c r="G302" s="332"/>
      <c r="H302" s="332"/>
      <c r="I302" s="332"/>
      <c r="J302" s="332"/>
      <c r="K302" s="326"/>
      <c r="L302" s="326"/>
      <c r="M302" s="326"/>
      <c r="N302" s="326"/>
      <c r="O302" s="326"/>
      <c r="P302" s="326"/>
      <c r="Q302" s="326"/>
      <c r="R302" s="326"/>
      <c r="S302" s="326"/>
      <c r="T302" s="326"/>
      <c r="U302" s="326"/>
      <c r="V302" s="326"/>
      <c r="W302" s="326"/>
      <c r="X302" s="326"/>
      <c r="Y302" s="326"/>
      <c r="Z302" s="326"/>
      <c r="AA302" s="326"/>
      <c r="AB302" s="326"/>
      <c r="AC302" s="326"/>
      <c r="AD302" s="326"/>
    </row>
    <row r="303" spans="1:30" s="328" customFormat="1" x14ac:dyDescent="0.25">
      <c r="A303" s="329"/>
      <c r="B303" s="350"/>
      <c r="C303" s="350"/>
      <c r="D303" s="326"/>
      <c r="E303" s="332"/>
      <c r="F303" s="332"/>
      <c r="G303" s="332"/>
      <c r="H303" s="332"/>
      <c r="I303" s="332"/>
      <c r="J303" s="332"/>
      <c r="K303" s="326"/>
      <c r="L303" s="326"/>
      <c r="M303" s="326"/>
      <c r="N303" s="326"/>
      <c r="O303" s="326"/>
      <c r="P303" s="326"/>
      <c r="Q303" s="326"/>
      <c r="R303" s="326"/>
      <c r="S303" s="326"/>
      <c r="T303" s="326"/>
      <c r="U303" s="326"/>
      <c r="V303" s="326"/>
      <c r="W303" s="326"/>
      <c r="X303" s="326"/>
      <c r="Y303" s="326"/>
      <c r="Z303" s="326"/>
      <c r="AA303" s="326"/>
      <c r="AB303" s="326"/>
      <c r="AC303" s="326"/>
      <c r="AD303" s="326"/>
    </row>
    <row r="304" spans="1:30" s="328" customFormat="1" x14ac:dyDescent="0.25">
      <c r="A304" s="329"/>
      <c r="B304" s="350"/>
      <c r="C304" s="350"/>
      <c r="D304" s="326"/>
      <c r="E304" s="332"/>
      <c r="F304" s="332"/>
      <c r="G304" s="332"/>
      <c r="H304" s="332"/>
      <c r="I304" s="332"/>
      <c r="J304" s="332"/>
      <c r="K304" s="326"/>
      <c r="L304" s="326"/>
      <c r="M304" s="326"/>
      <c r="N304" s="326"/>
      <c r="O304" s="326"/>
      <c r="P304" s="326"/>
      <c r="Q304" s="326"/>
      <c r="R304" s="326"/>
      <c r="S304" s="326"/>
      <c r="T304" s="326"/>
      <c r="U304" s="326"/>
      <c r="V304" s="326"/>
      <c r="W304" s="326"/>
      <c r="X304" s="326"/>
      <c r="Y304" s="326"/>
      <c r="Z304" s="326"/>
      <c r="AA304" s="326"/>
      <c r="AB304" s="326"/>
      <c r="AC304" s="326"/>
      <c r="AD304" s="326"/>
    </row>
    <row r="305" spans="1:30" s="328" customFormat="1" x14ac:dyDescent="0.25">
      <c r="A305" s="329"/>
      <c r="B305" s="350"/>
      <c r="C305" s="350"/>
      <c r="D305" s="326"/>
      <c r="E305" s="332"/>
      <c r="F305" s="332"/>
      <c r="G305" s="332"/>
      <c r="H305" s="332"/>
      <c r="I305" s="332"/>
      <c r="J305" s="332"/>
      <c r="K305" s="326"/>
      <c r="L305" s="326"/>
      <c r="M305" s="326"/>
      <c r="N305" s="326"/>
      <c r="O305" s="326"/>
      <c r="P305" s="326"/>
      <c r="Q305" s="326"/>
      <c r="R305" s="326"/>
      <c r="S305" s="326"/>
      <c r="T305" s="326"/>
      <c r="U305" s="326"/>
      <c r="V305" s="326"/>
      <c r="W305" s="326"/>
      <c r="X305" s="326"/>
      <c r="Y305" s="326"/>
      <c r="Z305" s="326"/>
      <c r="AA305" s="326"/>
      <c r="AB305" s="326"/>
      <c r="AC305" s="326"/>
      <c r="AD305" s="326"/>
    </row>
    <row r="306" spans="1:30" s="328" customFormat="1" x14ac:dyDescent="0.25">
      <c r="A306" s="329"/>
      <c r="B306" s="350"/>
      <c r="C306" s="350"/>
      <c r="D306" s="326"/>
      <c r="E306" s="332"/>
      <c r="F306" s="332"/>
      <c r="G306" s="332"/>
      <c r="H306" s="332"/>
      <c r="I306" s="332"/>
      <c r="J306" s="332"/>
      <c r="K306" s="326"/>
      <c r="L306" s="326"/>
      <c r="M306" s="326"/>
      <c r="N306" s="326"/>
      <c r="O306" s="326"/>
      <c r="P306" s="326"/>
      <c r="Q306" s="326"/>
      <c r="R306" s="326"/>
      <c r="S306" s="326"/>
      <c r="T306" s="326"/>
      <c r="U306" s="326"/>
      <c r="V306" s="326"/>
      <c r="W306" s="326"/>
      <c r="X306" s="326"/>
      <c r="Y306" s="326"/>
      <c r="Z306" s="326"/>
      <c r="AA306" s="326"/>
      <c r="AB306" s="326"/>
      <c r="AC306" s="326"/>
      <c r="AD306" s="326"/>
    </row>
    <row r="307" spans="1:30" s="328" customFormat="1" x14ac:dyDescent="0.25">
      <c r="A307" s="329"/>
      <c r="B307" s="350"/>
      <c r="C307" s="350"/>
      <c r="D307" s="326"/>
      <c r="E307" s="332"/>
      <c r="F307" s="332"/>
      <c r="G307" s="332"/>
      <c r="H307" s="332"/>
      <c r="I307" s="332"/>
      <c r="J307" s="332"/>
      <c r="K307" s="326"/>
      <c r="L307" s="326"/>
      <c r="M307" s="326"/>
      <c r="N307" s="326"/>
      <c r="O307" s="326"/>
      <c r="P307" s="326"/>
      <c r="Q307" s="326"/>
      <c r="R307" s="326"/>
      <c r="S307" s="326"/>
      <c r="T307" s="326"/>
      <c r="U307" s="326"/>
      <c r="V307" s="326"/>
      <c r="W307" s="326"/>
      <c r="X307" s="326"/>
      <c r="Y307" s="326"/>
      <c r="Z307" s="326"/>
      <c r="AA307" s="326"/>
      <c r="AB307" s="326"/>
      <c r="AC307" s="326"/>
      <c r="AD307" s="326"/>
    </row>
    <row r="308" spans="1:30" s="328" customFormat="1" x14ac:dyDescent="0.25">
      <c r="A308" s="329"/>
      <c r="B308" s="350"/>
      <c r="C308" s="350"/>
      <c r="D308" s="326"/>
      <c r="E308" s="332"/>
      <c r="F308" s="332"/>
      <c r="G308" s="332"/>
      <c r="H308" s="332"/>
      <c r="I308" s="332"/>
      <c r="J308" s="332"/>
      <c r="K308" s="326"/>
      <c r="L308" s="326"/>
      <c r="M308" s="326"/>
      <c r="N308" s="326"/>
      <c r="O308" s="326"/>
      <c r="P308" s="326"/>
      <c r="Q308" s="326"/>
      <c r="R308" s="326"/>
      <c r="S308" s="326"/>
      <c r="T308" s="326"/>
      <c r="U308" s="326"/>
      <c r="V308" s="326"/>
      <c r="W308" s="326"/>
      <c r="X308" s="326"/>
      <c r="Y308" s="326"/>
      <c r="Z308" s="326"/>
      <c r="AA308" s="326"/>
      <c r="AB308" s="326"/>
      <c r="AC308" s="326"/>
      <c r="AD308" s="326"/>
    </row>
    <row r="309" spans="1:30" s="328" customFormat="1" x14ac:dyDescent="0.25">
      <c r="A309" s="329"/>
      <c r="B309" s="350"/>
      <c r="C309" s="350"/>
      <c r="D309" s="326"/>
      <c r="E309" s="332"/>
      <c r="F309" s="332"/>
      <c r="G309" s="332"/>
      <c r="H309" s="332"/>
      <c r="I309" s="332"/>
      <c r="J309" s="332"/>
      <c r="K309" s="326"/>
      <c r="L309" s="326"/>
      <c r="M309" s="326"/>
      <c r="N309" s="326"/>
      <c r="O309" s="326"/>
      <c r="P309" s="326"/>
      <c r="Q309" s="326"/>
      <c r="R309" s="326"/>
      <c r="S309" s="326"/>
      <c r="T309" s="326"/>
      <c r="U309" s="326"/>
      <c r="V309" s="326"/>
      <c r="W309" s="326"/>
      <c r="X309" s="326"/>
      <c r="Y309" s="326"/>
      <c r="Z309" s="326"/>
      <c r="AA309" s="326"/>
      <c r="AB309" s="326"/>
      <c r="AC309" s="326"/>
      <c r="AD309" s="326"/>
    </row>
    <row r="310" spans="1:30" s="328" customFormat="1" x14ac:dyDescent="0.25">
      <c r="A310" s="329"/>
      <c r="B310" s="350"/>
      <c r="C310" s="350"/>
      <c r="D310" s="326"/>
      <c r="E310" s="332"/>
      <c r="F310" s="332"/>
      <c r="G310" s="332"/>
      <c r="H310" s="332"/>
      <c r="I310" s="332"/>
      <c r="J310" s="332"/>
      <c r="K310" s="326"/>
      <c r="L310" s="326"/>
      <c r="M310" s="326"/>
      <c r="N310" s="326"/>
      <c r="O310" s="326"/>
      <c r="P310" s="326"/>
      <c r="Q310" s="326"/>
      <c r="R310" s="326"/>
      <c r="S310" s="326"/>
      <c r="T310" s="326"/>
      <c r="U310" s="326"/>
      <c r="V310" s="326"/>
      <c r="W310" s="326"/>
      <c r="X310" s="326"/>
      <c r="Y310" s="326"/>
      <c r="Z310" s="326"/>
      <c r="AA310" s="326"/>
      <c r="AB310" s="326"/>
      <c r="AC310" s="326"/>
      <c r="AD310" s="326"/>
    </row>
    <row r="311" spans="1:30" s="328" customFormat="1" x14ac:dyDescent="0.25">
      <c r="A311" s="329"/>
      <c r="B311" s="350"/>
      <c r="C311" s="350"/>
      <c r="D311" s="326"/>
      <c r="E311" s="332"/>
      <c r="F311" s="332"/>
      <c r="G311" s="332"/>
      <c r="H311" s="332"/>
      <c r="I311" s="332"/>
      <c r="J311" s="332"/>
      <c r="K311" s="326"/>
      <c r="L311" s="326"/>
      <c r="M311" s="326"/>
      <c r="N311" s="326"/>
      <c r="O311" s="326"/>
      <c r="P311" s="326"/>
      <c r="Q311" s="326"/>
      <c r="R311" s="326"/>
      <c r="S311" s="326"/>
      <c r="T311" s="326"/>
      <c r="U311" s="326"/>
      <c r="V311" s="326"/>
      <c r="W311" s="326"/>
      <c r="X311" s="326"/>
      <c r="Y311" s="326"/>
      <c r="Z311" s="326"/>
      <c r="AA311" s="326"/>
      <c r="AB311" s="326"/>
      <c r="AC311" s="326"/>
      <c r="AD311" s="326"/>
    </row>
    <row r="312" spans="1:30" s="328" customFormat="1" x14ac:dyDescent="0.25">
      <c r="A312" s="329"/>
      <c r="B312" s="350"/>
      <c r="C312" s="350"/>
      <c r="D312" s="326"/>
      <c r="E312" s="332"/>
      <c r="F312" s="332"/>
      <c r="G312" s="332"/>
      <c r="H312" s="332"/>
      <c r="I312" s="332"/>
      <c r="J312" s="332"/>
      <c r="K312" s="326"/>
      <c r="L312" s="326"/>
      <c r="M312" s="326"/>
      <c r="N312" s="326"/>
      <c r="O312" s="326"/>
      <c r="P312" s="326"/>
      <c r="Q312" s="326"/>
      <c r="R312" s="326"/>
      <c r="S312" s="326"/>
      <c r="T312" s="326"/>
      <c r="U312" s="326"/>
      <c r="V312" s="326"/>
      <c r="W312" s="326"/>
      <c r="X312" s="326"/>
      <c r="Y312" s="326"/>
      <c r="Z312" s="326"/>
      <c r="AA312" s="326"/>
      <c r="AB312" s="326"/>
      <c r="AC312" s="326"/>
      <c r="AD312" s="326"/>
    </row>
    <row r="313" spans="1:30" s="328" customFormat="1" x14ac:dyDescent="0.25">
      <c r="A313" s="329"/>
      <c r="B313" s="350"/>
      <c r="C313" s="350"/>
      <c r="D313" s="326"/>
      <c r="E313" s="332"/>
      <c r="F313" s="332"/>
      <c r="G313" s="332"/>
      <c r="H313" s="332"/>
      <c r="I313" s="332"/>
      <c r="J313" s="332"/>
      <c r="K313" s="326"/>
      <c r="L313" s="326"/>
      <c r="M313" s="326"/>
      <c r="N313" s="326"/>
      <c r="O313" s="326"/>
      <c r="P313" s="326"/>
      <c r="Q313" s="326"/>
      <c r="R313" s="326"/>
      <c r="S313" s="326"/>
      <c r="T313" s="326"/>
      <c r="U313" s="326"/>
      <c r="V313" s="326"/>
      <c r="W313" s="326"/>
      <c r="X313" s="326"/>
      <c r="Y313" s="326"/>
      <c r="Z313" s="326"/>
      <c r="AA313" s="326"/>
      <c r="AB313" s="326"/>
      <c r="AC313" s="326"/>
      <c r="AD313" s="326"/>
    </row>
    <row r="314" spans="1:30" s="328" customFormat="1" x14ac:dyDescent="0.25">
      <c r="A314" s="329"/>
      <c r="B314" s="350"/>
      <c r="C314" s="350"/>
      <c r="D314" s="326"/>
      <c r="E314" s="332"/>
      <c r="F314" s="332"/>
      <c r="G314" s="332"/>
      <c r="H314" s="332"/>
      <c r="I314" s="332"/>
      <c r="J314" s="332"/>
      <c r="K314" s="326"/>
      <c r="L314" s="326"/>
      <c r="M314" s="326"/>
      <c r="N314" s="326"/>
      <c r="O314" s="326"/>
      <c r="P314" s="326"/>
      <c r="Q314" s="326"/>
      <c r="R314" s="326"/>
      <c r="S314" s="326"/>
      <c r="T314" s="326"/>
      <c r="U314" s="326"/>
      <c r="V314" s="326"/>
      <c r="W314" s="326"/>
      <c r="X314" s="326"/>
      <c r="Y314" s="326"/>
      <c r="Z314" s="326"/>
      <c r="AA314" s="326"/>
      <c r="AB314" s="326"/>
      <c r="AC314" s="326"/>
      <c r="AD314" s="326"/>
    </row>
    <row r="315" spans="1:30" s="328" customFormat="1" x14ac:dyDescent="0.25">
      <c r="A315" s="329"/>
      <c r="B315" s="350"/>
      <c r="C315" s="350"/>
      <c r="D315" s="326"/>
      <c r="E315" s="332"/>
      <c r="F315" s="332"/>
      <c r="G315" s="332"/>
      <c r="H315" s="332"/>
      <c r="I315" s="332"/>
      <c r="J315" s="332"/>
      <c r="K315" s="326"/>
      <c r="L315" s="326"/>
      <c r="M315" s="326"/>
      <c r="N315" s="326"/>
      <c r="O315" s="326"/>
      <c r="P315" s="326"/>
      <c r="Q315" s="326"/>
      <c r="R315" s="326"/>
      <c r="S315" s="326"/>
      <c r="T315" s="326"/>
      <c r="U315" s="326"/>
      <c r="V315" s="326"/>
      <c r="W315" s="326"/>
      <c r="X315" s="326"/>
      <c r="Y315" s="326"/>
      <c r="Z315" s="326"/>
      <c r="AA315" s="326"/>
      <c r="AB315" s="326"/>
      <c r="AC315" s="326"/>
      <c r="AD315" s="326"/>
    </row>
    <row r="316" spans="1:30" s="328" customFormat="1" x14ac:dyDescent="0.25">
      <c r="A316" s="329"/>
      <c r="B316" s="350"/>
      <c r="C316" s="350"/>
      <c r="D316" s="326"/>
      <c r="E316" s="332"/>
      <c r="F316" s="332"/>
      <c r="G316" s="332"/>
      <c r="H316" s="332"/>
      <c r="I316" s="332"/>
      <c r="J316" s="332"/>
      <c r="K316" s="326"/>
      <c r="L316" s="326"/>
      <c r="M316" s="326"/>
      <c r="N316" s="326"/>
      <c r="O316" s="326"/>
      <c r="P316" s="326"/>
      <c r="Q316" s="326"/>
      <c r="R316" s="326"/>
      <c r="S316" s="326"/>
      <c r="T316" s="326"/>
      <c r="U316" s="326"/>
      <c r="V316" s="326"/>
      <c r="W316" s="326"/>
      <c r="X316" s="326"/>
      <c r="Y316" s="326"/>
      <c r="Z316" s="326"/>
      <c r="AA316" s="326"/>
      <c r="AB316" s="326"/>
      <c r="AC316" s="326"/>
      <c r="AD316" s="326"/>
    </row>
    <row r="317" spans="1:30" s="328" customFormat="1" x14ac:dyDescent="0.25">
      <c r="A317" s="329"/>
      <c r="B317" s="350"/>
      <c r="C317" s="350"/>
      <c r="D317" s="326"/>
      <c r="E317" s="332"/>
      <c r="F317" s="332"/>
      <c r="G317" s="332"/>
      <c r="H317" s="332"/>
      <c r="I317" s="332"/>
      <c r="J317" s="332"/>
      <c r="K317" s="326"/>
      <c r="L317" s="326"/>
      <c r="M317" s="326"/>
      <c r="N317" s="326"/>
      <c r="O317" s="326"/>
      <c r="P317" s="326"/>
      <c r="Q317" s="326"/>
      <c r="R317" s="326"/>
      <c r="S317" s="326"/>
      <c r="T317" s="326"/>
      <c r="U317" s="326"/>
      <c r="V317" s="326"/>
      <c r="W317" s="326"/>
      <c r="X317" s="326"/>
      <c r="Y317" s="326"/>
      <c r="Z317" s="326"/>
      <c r="AA317" s="326"/>
      <c r="AB317" s="326"/>
      <c r="AC317" s="326"/>
      <c r="AD317" s="326"/>
    </row>
    <row r="318" spans="1:30" s="328" customFormat="1" x14ac:dyDescent="0.25">
      <c r="A318" s="329"/>
      <c r="B318" s="350"/>
      <c r="C318" s="350"/>
      <c r="D318" s="326"/>
      <c r="E318" s="332"/>
      <c r="F318" s="332"/>
      <c r="G318" s="332"/>
      <c r="H318" s="332"/>
      <c r="I318" s="332"/>
      <c r="J318" s="332"/>
      <c r="K318" s="326"/>
      <c r="L318" s="326"/>
      <c r="M318" s="326"/>
      <c r="N318" s="326"/>
      <c r="O318" s="326"/>
      <c r="P318" s="326"/>
      <c r="Q318" s="326"/>
      <c r="R318" s="326"/>
      <c r="S318" s="326"/>
      <c r="T318" s="326"/>
      <c r="U318" s="326"/>
      <c r="V318" s="326"/>
      <c r="W318" s="326"/>
      <c r="X318" s="326"/>
      <c r="Y318" s="326"/>
      <c r="Z318" s="326"/>
      <c r="AA318" s="326"/>
      <c r="AB318" s="326"/>
      <c r="AC318" s="326"/>
      <c r="AD318" s="326"/>
    </row>
    <row r="319" spans="1:30" s="328" customFormat="1" x14ac:dyDescent="0.25">
      <c r="A319" s="329"/>
      <c r="B319" s="350"/>
      <c r="C319" s="350"/>
      <c r="D319" s="326"/>
      <c r="E319" s="332"/>
      <c r="F319" s="332"/>
      <c r="G319" s="332"/>
      <c r="H319" s="332"/>
      <c r="I319" s="332"/>
      <c r="J319" s="332"/>
      <c r="K319" s="326"/>
      <c r="L319" s="326"/>
      <c r="M319" s="326"/>
      <c r="N319" s="326"/>
      <c r="O319" s="326"/>
      <c r="P319" s="326"/>
      <c r="Q319" s="326"/>
      <c r="R319" s="326"/>
      <c r="S319" s="326"/>
      <c r="T319" s="326"/>
      <c r="U319" s="326"/>
      <c r="V319" s="326"/>
      <c r="W319" s="326"/>
      <c r="X319" s="326"/>
      <c r="Y319" s="326"/>
      <c r="Z319" s="326"/>
      <c r="AA319" s="326"/>
      <c r="AB319" s="326"/>
      <c r="AC319" s="326"/>
      <c r="AD319" s="326"/>
    </row>
    <row r="320" spans="1:30" s="328" customFormat="1" x14ac:dyDescent="0.25">
      <c r="A320" s="329"/>
      <c r="B320" s="350"/>
      <c r="C320" s="350"/>
      <c r="D320" s="326"/>
      <c r="E320" s="332"/>
      <c r="F320" s="332"/>
      <c r="G320" s="332"/>
      <c r="H320" s="332"/>
      <c r="I320" s="332"/>
      <c r="J320" s="332"/>
      <c r="K320" s="326"/>
      <c r="L320" s="326"/>
      <c r="M320" s="326"/>
      <c r="N320" s="326"/>
      <c r="O320" s="326"/>
      <c r="P320" s="326"/>
      <c r="Q320" s="326"/>
      <c r="R320" s="326"/>
      <c r="S320" s="326"/>
      <c r="T320" s="326"/>
      <c r="U320" s="326"/>
      <c r="V320" s="326"/>
      <c r="W320" s="326"/>
      <c r="X320" s="326"/>
      <c r="Y320" s="326"/>
      <c r="Z320" s="326"/>
      <c r="AA320" s="326"/>
      <c r="AB320" s="326"/>
      <c r="AC320" s="326"/>
      <c r="AD320" s="326"/>
    </row>
    <row r="321" spans="1:30" s="328" customFormat="1" x14ac:dyDescent="0.25">
      <c r="A321" s="329"/>
      <c r="B321" s="350"/>
      <c r="C321" s="350"/>
      <c r="D321" s="326"/>
      <c r="E321" s="332"/>
      <c r="F321" s="332"/>
      <c r="G321" s="332"/>
      <c r="H321" s="332"/>
      <c r="I321" s="332"/>
      <c r="J321" s="332"/>
      <c r="K321" s="326"/>
      <c r="L321" s="326"/>
      <c r="M321" s="326"/>
      <c r="N321" s="326"/>
      <c r="O321" s="326"/>
      <c r="P321" s="326"/>
      <c r="Q321" s="326"/>
      <c r="R321" s="326"/>
      <c r="S321" s="326"/>
      <c r="T321" s="326"/>
      <c r="U321" s="326"/>
      <c r="V321" s="326"/>
      <c r="W321" s="326"/>
      <c r="X321" s="326"/>
      <c r="Y321" s="326"/>
      <c r="Z321" s="326"/>
      <c r="AA321" s="326"/>
      <c r="AB321" s="326"/>
      <c r="AC321" s="326"/>
      <c r="AD321" s="326"/>
    </row>
    <row r="322" spans="1:30" s="328" customFormat="1" x14ac:dyDescent="0.25">
      <c r="A322" s="329"/>
      <c r="B322" s="350"/>
      <c r="C322" s="350"/>
      <c r="D322" s="326"/>
      <c r="E322" s="332"/>
      <c r="F322" s="332"/>
      <c r="G322" s="332"/>
      <c r="H322" s="332"/>
      <c r="I322" s="332"/>
      <c r="J322" s="332"/>
      <c r="K322" s="326"/>
      <c r="L322" s="326"/>
      <c r="M322" s="326"/>
      <c r="N322" s="326"/>
      <c r="O322" s="326"/>
      <c r="P322" s="326"/>
      <c r="Q322" s="326"/>
      <c r="R322" s="326"/>
      <c r="S322" s="326"/>
      <c r="T322" s="326"/>
      <c r="U322" s="326"/>
      <c r="V322" s="326"/>
      <c r="W322" s="326"/>
      <c r="X322" s="326"/>
      <c r="Y322" s="326"/>
      <c r="Z322" s="326"/>
      <c r="AA322" s="326"/>
      <c r="AB322" s="326"/>
      <c r="AC322" s="326"/>
      <c r="AD322" s="326"/>
    </row>
    <row r="323" spans="1:30" s="328" customFormat="1" x14ac:dyDescent="0.25">
      <c r="A323" s="329"/>
      <c r="B323" s="350"/>
      <c r="C323" s="350"/>
      <c r="D323" s="326"/>
      <c r="E323" s="332"/>
      <c r="F323" s="332"/>
      <c r="G323" s="332"/>
      <c r="H323" s="332"/>
      <c r="I323" s="332"/>
      <c r="J323" s="332"/>
      <c r="K323" s="326"/>
      <c r="L323" s="326"/>
      <c r="M323" s="326"/>
      <c r="N323" s="326"/>
      <c r="O323" s="326"/>
      <c r="P323" s="326"/>
      <c r="Q323" s="326"/>
      <c r="R323" s="326"/>
      <c r="S323" s="326"/>
      <c r="T323" s="326"/>
      <c r="U323" s="326"/>
      <c r="V323" s="326"/>
      <c r="W323" s="326"/>
      <c r="X323" s="326"/>
      <c r="Y323" s="326"/>
      <c r="Z323" s="326"/>
      <c r="AA323" s="326"/>
      <c r="AB323" s="326"/>
      <c r="AC323" s="326"/>
      <c r="AD323" s="326"/>
    </row>
    <row r="324" spans="1:30" s="328" customFormat="1" x14ac:dyDescent="0.25">
      <c r="A324" s="329"/>
      <c r="B324" s="350"/>
      <c r="C324" s="350"/>
      <c r="D324" s="326"/>
      <c r="E324" s="332"/>
      <c r="F324" s="332"/>
      <c r="G324" s="332"/>
      <c r="H324" s="332"/>
      <c r="I324" s="332"/>
      <c r="J324" s="332"/>
      <c r="K324" s="326"/>
      <c r="L324" s="326"/>
      <c r="M324" s="326"/>
      <c r="N324" s="326"/>
      <c r="O324" s="326"/>
      <c r="P324" s="326"/>
      <c r="Q324" s="326"/>
      <c r="R324" s="326"/>
      <c r="S324" s="326"/>
      <c r="T324" s="326"/>
      <c r="U324" s="326"/>
      <c r="V324" s="326"/>
      <c r="W324" s="326"/>
      <c r="X324" s="326"/>
      <c r="Y324" s="326"/>
      <c r="Z324" s="326"/>
      <c r="AA324" s="326"/>
      <c r="AB324" s="326"/>
      <c r="AC324" s="326"/>
      <c r="AD324" s="326"/>
    </row>
    <row r="325" spans="1:30" s="328" customFormat="1" x14ac:dyDescent="0.25">
      <c r="A325" s="329"/>
      <c r="B325" s="350"/>
      <c r="C325" s="350"/>
      <c r="D325" s="326"/>
      <c r="E325" s="332"/>
      <c r="F325" s="332"/>
      <c r="G325" s="332"/>
      <c r="H325" s="332"/>
      <c r="I325" s="332"/>
      <c r="J325" s="332"/>
      <c r="K325" s="326"/>
      <c r="L325" s="326"/>
      <c r="M325" s="326"/>
      <c r="N325" s="326"/>
      <c r="O325" s="326"/>
      <c r="P325" s="326"/>
      <c r="Q325" s="326"/>
      <c r="R325" s="326"/>
      <c r="S325" s="326"/>
      <c r="T325" s="326"/>
      <c r="U325" s="326"/>
      <c r="V325" s="326"/>
      <c r="W325" s="326"/>
      <c r="X325" s="326"/>
      <c r="Y325" s="326"/>
      <c r="Z325" s="326"/>
      <c r="AA325" s="326"/>
      <c r="AB325" s="326"/>
      <c r="AC325" s="326"/>
      <c r="AD325" s="326"/>
    </row>
    <row r="326" spans="1:30" s="328" customFormat="1" x14ac:dyDescent="0.25">
      <c r="A326" s="329"/>
      <c r="B326" s="350"/>
      <c r="C326" s="350"/>
      <c r="D326" s="326"/>
      <c r="E326" s="332"/>
      <c r="F326" s="332"/>
      <c r="G326" s="332"/>
      <c r="H326" s="332"/>
      <c r="I326" s="332"/>
      <c r="J326" s="332"/>
      <c r="K326" s="326"/>
      <c r="L326" s="326"/>
      <c r="M326" s="326"/>
      <c r="N326" s="326"/>
      <c r="O326" s="326"/>
      <c r="P326" s="326"/>
      <c r="Q326" s="326"/>
      <c r="R326" s="326"/>
      <c r="S326" s="326"/>
      <c r="T326" s="326"/>
      <c r="U326" s="326"/>
      <c r="V326" s="326"/>
      <c r="W326" s="326"/>
      <c r="X326" s="326"/>
      <c r="Y326" s="326"/>
      <c r="Z326" s="326"/>
      <c r="AA326" s="326"/>
      <c r="AB326" s="326"/>
      <c r="AC326" s="326"/>
      <c r="AD326" s="326"/>
    </row>
    <row r="327" spans="1:30" s="328" customFormat="1" x14ac:dyDescent="0.25">
      <c r="A327" s="329"/>
      <c r="B327" s="350"/>
      <c r="C327" s="350"/>
      <c r="D327" s="326"/>
      <c r="E327" s="332"/>
      <c r="F327" s="332"/>
      <c r="G327" s="332"/>
      <c r="H327" s="332"/>
      <c r="I327" s="332"/>
      <c r="J327" s="332"/>
      <c r="K327" s="326"/>
      <c r="L327" s="326"/>
      <c r="M327" s="326"/>
      <c r="N327" s="326"/>
      <c r="O327" s="326"/>
      <c r="P327" s="326"/>
      <c r="Q327" s="326"/>
      <c r="R327" s="326"/>
      <c r="S327" s="326"/>
      <c r="T327" s="326"/>
      <c r="U327" s="326"/>
      <c r="V327" s="326"/>
      <c r="W327" s="326"/>
      <c r="X327" s="326"/>
      <c r="Y327" s="326"/>
      <c r="Z327" s="326"/>
      <c r="AA327" s="326"/>
      <c r="AB327" s="326"/>
      <c r="AC327" s="326"/>
      <c r="AD327" s="326"/>
    </row>
    <row r="328" spans="1:30" s="328" customFormat="1" x14ac:dyDescent="0.25">
      <c r="A328" s="329"/>
      <c r="B328" s="350"/>
      <c r="C328" s="350"/>
      <c r="D328" s="326"/>
      <c r="E328" s="332"/>
      <c r="F328" s="332"/>
      <c r="G328" s="332"/>
      <c r="H328" s="332"/>
      <c r="I328" s="332"/>
      <c r="J328" s="332"/>
      <c r="K328" s="326"/>
      <c r="L328" s="326"/>
      <c r="M328" s="326"/>
      <c r="N328" s="326"/>
      <c r="O328" s="326"/>
      <c r="P328" s="326"/>
      <c r="Q328" s="326"/>
      <c r="R328" s="326"/>
      <c r="S328" s="326"/>
      <c r="T328" s="326"/>
      <c r="U328" s="326"/>
      <c r="V328" s="326"/>
      <c r="W328" s="326"/>
      <c r="X328" s="326"/>
      <c r="Y328" s="326"/>
      <c r="Z328" s="326"/>
      <c r="AA328" s="326"/>
      <c r="AB328" s="326"/>
      <c r="AC328" s="326"/>
      <c r="AD328" s="326"/>
    </row>
    <row r="329" spans="1:30" s="328" customFormat="1" x14ac:dyDescent="0.25">
      <c r="A329" s="329"/>
      <c r="B329" s="350"/>
      <c r="C329" s="350"/>
      <c r="D329" s="326"/>
      <c r="E329" s="332"/>
      <c r="F329" s="332"/>
      <c r="G329" s="332"/>
      <c r="H329" s="332"/>
      <c r="I329" s="332"/>
      <c r="J329" s="332"/>
      <c r="K329" s="326"/>
      <c r="L329" s="326"/>
      <c r="M329" s="326"/>
      <c r="N329" s="326"/>
      <c r="O329" s="326"/>
      <c r="P329" s="326"/>
      <c r="Q329" s="326"/>
      <c r="R329" s="326"/>
      <c r="S329" s="326"/>
      <c r="T329" s="326"/>
      <c r="U329" s="326"/>
      <c r="V329" s="326"/>
      <c r="W329" s="326"/>
      <c r="X329" s="326"/>
      <c r="Y329" s="326"/>
      <c r="Z329" s="326"/>
      <c r="AA329" s="326"/>
      <c r="AB329" s="326"/>
      <c r="AC329" s="326"/>
      <c r="AD329" s="326"/>
    </row>
    <row r="330" spans="1:30" s="328" customFormat="1" x14ac:dyDescent="0.25">
      <c r="A330" s="329"/>
      <c r="B330" s="350"/>
      <c r="C330" s="350"/>
      <c r="D330" s="326"/>
      <c r="E330" s="332"/>
      <c r="F330" s="332"/>
      <c r="G330" s="332"/>
      <c r="H330" s="332"/>
      <c r="I330" s="332"/>
      <c r="J330" s="332"/>
      <c r="K330" s="326"/>
      <c r="L330" s="326"/>
      <c r="M330" s="326"/>
      <c r="N330" s="326"/>
      <c r="O330" s="326"/>
      <c r="P330" s="326"/>
      <c r="Q330" s="326"/>
      <c r="R330" s="326"/>
      <c r="S330" s="326"/>
      <c r="T330" s="326"/>
      <c r="U330" s="326"/>
      <c r="V330" s="326"/>
      <c r="W330" s="326"/>
      <c r="X330" s="326"/>
      <c r="Y330" s="326"/>
      <c r="Z330" s="326"/>
      <c r="AA330" s="326"/>
      <c r="AB330" s="326"/>
      <c r="AC330" s="326"/>
      <c r="AD330" s="326"/>
    </row>
    <row r="331" spans="1:30" s="328" customFormat="1" x14ac:dyDescent="0.25">
      <c r="A331" s="329"/>
      <c r="B331" s="350"/>
      <c r="C331" s="350"/>
      <c r="D331" s="326"/>
      <c r="E331" s="332"/>
      <c r="F331" s="332"/>
      <c r="G331" s="332"/>
      <c r="H331" s="332"/>
      <c r="I331" s="332"/>
      <c r="J331" s="332"/>
      <c r="K331" s="326"/>
      <c r="L331" s="326"/>
      <c r="M331" s="326"/>
      <c r="N331" s="326"/>
      <c r="O331" s="326"/>
      <c r="P331" s="326"/>
      <c r="Q331" s="326"/>
      <c r="R331" s="326"/>
      <c r="S331" s="326"/>
      <c r="T331" s="326"/>
      <c r="U331" s="326"/>
      <c r="V331" s="326"/>
      <c r="W331" s="326"/>
      <c r="X331" s="326"/>
      <c r="Y331" s="326"/>
      <c r="Z331" s="326"/>
      <c r="AA331" s="326"/>
      <c r="AB331" s="326"/>
      <c r="AC331" s="326"/>
      <c r="AD331" s="326"/>
    </row>
    <row r="332" spans="1:30" s="328" customFormat="1" x14ac:dyDescent="0.25">
      <c r="A332" s="329"/>
      <c r="B332" s="350"/>
      <c r="C332" s="350"/>
      <c r="D332" s="326"/>
      <c r="E332" s="332"/>
      <c r="F332" s="332"/>
      <c r="G332" s="332"/>
      <c r="H332" s="332"/>
      <c r="I332" s="332"/>
      <c r="J332" s="332"/>
      <c r="K332" s="326"/>
      <c r="L332" s="326"/>
      <c r="M332" s="326"/>
      <c r="N332" s="326"/>
      <c r="O332" s="326"/>
      <c r="P332" s="326"/>
      <c r="Q332" s="326"/>
      <c r="R332" s="326"/>
      <c r="S332" s="326"/>
      <c r="T332" s="326"/>
      <c r="U332" s="326"/>
      <c r="V332" s="326"/>
      <c r="W332" s="326"/>
      <c r="X332" s="326"/>
      <c r="Y332" s="326"/>
      <c r="Z332" s="326"/>
      <c r="AA332" s="326"/>
      <c r="AB332" s="326"/>
      <c r="AC332" s="326"/>
      <c r="AD332" s="326"/>
    </row>
    <row r="333" spans="1:30" s="328" customFormat="1" x14ac:dyDescent="0.25">
      <c r="A333" s="329"/>
      <c r="B333" s="350"/>
      <c r="C333" s="350"/>
      <c r="D333" s="326"/>
      <c r="E333" s="332"/>
      <c r="F333" s="332"/>
      <c r="G333" s="332"/>
      <c r="H333" s="332"/>
      <c r="I333" s="332"/>
      <c r="J333" s="332"/>
      <c r="K333" s="326"/>
      <c r="L333" s="326"/>
      <c r="M333" s="326"/>
      <c r="N333" s="326"/>
      <c r="O333" s="326"/>
      <c r="P333" s="326"/>
      <c r="Q333" s="326"/>
      <c r="R333" s="326"/>
      <c r="S333" s="326"/>
      <c r="T333" s="326"/>
      <c r="U333" s="326"/>
      <c r="V333" s="326"/>
      <c r="W333" s="326"/>
      <c r="X333" s="326"/>
      <c r="Y333" s="326"/>
      <c r="Z333" s="326"/>
      <c r="AA333" s="326"/>
      <c r="AB333" s="326"/>
      <c r="AC333" s="326"/>
      <c r="AD333" s="326"/>
    </row>
    <row r="334" spans="1:30" s="328" customFormat="1" x14ac:dyDescent="0.25">
      <c r="A334" s="329"/>
      <c r="B334" s="350"/>
      <c r="C334" s="350"/>
      <c r="D334" s="326"/>
      <c r="E334" s="332"/>
      <c r="F334" s="332"/>
      <c r="G334" s="332"/>
      <c r="H334" s="332"/>
      <c r="I334" s="332"/>
      <c r="J334" s="332"/>
      <c r="K334" s="326"/>
      <c r="L334" s="326"/>
      <c r="M334" s="326"/>
      <c r="N334" s="326"/>
      <c r="O334" s="326"/>
      <c r="P334" s="326"/>
      <c r="Q334" s="326"/>
      <c r="R334" s="326"/>
      <c r="S334" s="326"/>
      <c r="T334" s="326"/>
      <c r="U334" s="326"/>
      <c r="V334" s="326"/>
      <c r="W334" s="326"/>
      <c r="X334" s="326"/>
      <c r="Y334" s="326"/>
      <c r="Z334" s="326"/>
      <c r="AA334" s="326"/>
      <c r="AB334" s="326"/>
      <c r="AC334" s="326"/>
      <c r="AD334" s="326"/>
    </row>
    <row r="335" spans="1:30" s="328" customFormat="1" x14ac:dyDescent="0.25">
      <c r="A335" s="329"/>
      <c r="B335" s="350"/>
      <c r="C335" s="350"/>
      <c r="D335" s="326"/>
      <c r="E335" s="332"/>
      <c r="F335" s="332"/>
      <c r="G335" s="332"/>
      <c r="H335" s="332"/>
      <c r="I335" s="332"/>
      <c r="J335" s="332"/>
      <c r="K335" s="326"/>
      <c r="L335" s="326"/>
      <c r="M335" s="326"/>
      <c r="N335" s="326"/>
      <c r="O335" s="326"/>
      <c r="P335" s="326"/>
      <c r="Q335" s="326"/>
      <c r="R335" s="326"/>
      <c r="S335" s="326"/>
      <c r="T335" s="326"/>
      <c r="U335" s="326"/>
      <c r="V335" s="326"/>
      <c r="W335" s="326"/>
      <c r="X335" s="326"/>
      <c r="Y335" s="326"/>
      <c r="Z335" s="326"/>
      <c r="AA335" s="326"/>
      <c r="AB335" s="326"/>
      <c r="AC335" s="326"/>
      <c r="AD335" s="326"/>
    </row>
    <row r="336" spans="1:30" s="328" customFormat="1" x14ac:dyDescent="0.25">
      <c r="A336" s="329"/>
      <c r="B336" s="350"/>
      <c r="C336" s="350"/>
      <c r="D336" s="326"/>
      <c r="E336" s="332"/>
      <c r="F336" s="332"/>
      <c r="G336" s="332"/>
      <c r="H336" s="332"/>
      <c r="I336" s="332"/>
      <c r="J336" s="332"/>
      <c r="K336" s="326"/>
      <c r="L336" s="326"/>
      <c r="M336" s="326"/>
      <c r="N336" s="326"/>
      <c r="O336" s="326"/>
      <c r="P336" s="326"/>
      <c r="Q336" s="326"/>
      <c r="R336" s="326"/>
      <c r="S336" s="326"/>
      <c r="T336" s="326"/>
      <c r="U336" s="326"/>
      <c r="V336" s="326"/>
      <c r="W336" s="326"/>
      <c r="X336" s="326"/>
      <c r="Y336" s="326"/>
      <c r="Z336" s="326"/>
      <c r="AA336" s="326"/>
      <c r="AB336" s="326"/>
      <c r="AC336" s="326"/>
      <c r="AD336" s="326"/>
    </row>
    <row r="337" spans="1:30" s="328" customFormat="1" x14ac:dyDescent="0.25">
      <c r="A337" s="329"/>
      <c r="B337" s="350"/>
      <c r="C337" s="350"/>
      <c r="D337" s="326"/>
      <c r="E337" s="332"/>
      <c r="F337" s="332"/>
      <c r="G337" s="332"/>
      <c r="H337" s="332"/>
      <c r="I337" s="332"/>
      <c r="J337" s="332"/>
      <c r="K337" s="326"/>
      <c r="L337" s="326"/>
      <c r="M337" s="326"/>
      <c r="N337" s="326"/>
      <c r="O337" s="326"/>
      <c r="P337" s="326"/>
      <c r="Q337" s="326"/>
      <c r="R337" s="326"/>
      <c r="S337" s="326"/>
      <c r="T337" s="326"/>
      <c r="U337" s="326"/>
      <c r="V337" s="326"/>
      <c r="W337" s="326"/>
      <c r="X337" s="326"/>
      <c r="Y337" s="326"/>
      <c r="Z337" s="326"/>
      <c r="AA337" s="326"/>
      <c r="AB337" s="326"/>
      <c r="AC337" s="326"/>
      <c r="AD337" s="326"/>
    </row>
    <row r="338" spans="1:30" s="328" customFormat="1" x14ac:dyDescent="0.25">
      <c r="A338" s="329"/>
      <c r="B338" s="350"/>
      <c r="C338" s="350"/>
      <c r="D338" s="326"/>
      <c r="E338" s="332"/>
      <c r="F338" s="332"/>
      <c r="G338" s="332"/>
      <c r="H338" s="332"/>
      <c r="I338" s="332"/>
      <c r="J338" s="332"/>
      <c r="K338" s="326"/>
      <c r="L338" s="326"/>
      <c r="M338" s="326"/>
      <c r="N338" s="326"/>
      <c r="O338" s="326"/>
      <c r="P338" s="326"/>
      <c r="Q338" s="326"/>
      <c r="R338" s="326"/>
      <c r="S338" s="326"/>
      <c r="T338" s="326"/>
      <c r="U338" s="326"/>
      <c r="V338" s="326"/>
      <c r="W338" s="326"/>
      <c r="X338" s="326"/>
      <c r="Y338" s="326"/>
      <c r="Z338" s="326"/>
      <c r="AA338" s="326"/>
      <c r="AB338" s="326"/>
      <c r="AC338" s="326"/>
      <c r="AD338" s="326"/>
    </row>
    <row r="339" spans="1:30" s="328" customFormat="1" x14ac:dyDescent="0.25">
      <c r="A339" s="329"/>
      <c r="B339" s="350"/>
      <c r="C339" s="350"/>
      <c r="D339" s="326"/>
      <c r="E339" s="332"/>
      <c r="F339" s="332"/>
      <c r="G339" s="332"/>
      <c r="H339" s="332"/>
      <c r="I339" s="332"/>
      <c r="J339" s="332"/>
      <c r="K339" s="326"/>
      <c r="L339" s="326"/>
      <c r="M339" s="326"/>
      <c r="N339" s="326"/>
      <c r="O339" s="326"/>
      <c r="P339" s="326"/>
      <c r="Q339" s="326"/>
      <c r="R339" s="326"/>
      <c r="S339" s="326"/>
      <c r="T339" s="326"/>
      <c r="U339" s="326"/>
      <c r="V339" s="326"/>
      <c r="W339" s="326"/>
      <c r="X339" s="326"/>
      <c r="Y339" s="326"/>
      <c r="Z339" s="326"/>
      <c r="AA339" s="326"/>
      <c r="AB339" s="326"/>
      <c r="AC339" s="326"/>
      <c r="AD339" s="326"/>
    </row>
    <row r="340" spans="1:30" s="328" customFormat="1" x14ac:dyDescent="0.25">
      <c r="A340" s="329"/>
      <c r="B340" s="350"/>
      <c r="C340" s="350"/>
      <c r="D340" s="326"/>
      <c r="E340" s="332"/>
      <c r="F340" s="332"/>
      <c r="G340" s="332"/>
      <c r="H340" s="332"/>
      <c r="I340" s="332"/>
      <c r="J340" s="332"/>
      <c r="K340" s="326"/>
      <c r="L340" s="326"/>
      <c r="M340" s="326"/>
      <c r="N340" s="326"/>
      <c r="O340" s="326"/>
      <c r="P340" s="326"/>
      <c r="Q340" s="326"/>
      <c r="R340" s="326"/>
      <c r="S340" s="326"/>
      <c r="T340" s="326"/>
      <c r="U340" s="326"/>
      <c r="V340" s="326"/>
      <c r="W340" s="326"/>
      <c r="X340" s="326"/>
      <c r="Y340" s="326"/>
      <c r="Z340" s="326"/>
      <c r="AA340" s="326"/>
      <c r="AB340" s="326"/>
      <c r="AC340" s="326"/>
      <c r="AD340" s="326"/>
    </row>
    <row r="341" spans="1:30" s="328" customFormat="1" x14ac:dyDescent="0.25">
      <c r="A341" s="329"/>
      <c r="B341" s="350"/>
      <c r="C341" s="350"/>
      <c r="D341" s="326"/>
      <c r="E341" s="332"/>
      <c r="F341" s="332"/>
      <c r="G341" s="332"/>
      <c r="H341" s="332"/>
      <c r="I341" s="332"/>
      <c r="J341" s="332"/>
      <c r="K341" s="326"/>
      <c r="L341" s="326"/>
      <c r="M341" s="326"/>
      <c r="N341" s="326"/>
      <c r="O341" s="326"/>
      <c r="P341" s="326"/>
      <c r="Q341" s="326"/>
      <c r="R341" s="326"/>
      <c r="S341" s="326"/>
      <c r="T341" s="326"/>
      <c r="U341" s="326"/>
      <c r="V341" s="326"/>
      <c r="W341" s="326"/>
      <c r="X341" s="326"/>
      <c r="Y341" s="326"/>
      <c r="Z341" s="326"/>
      <c r="AA341" s="326"/>
      <c r="AB341" s="326"/>
      <c r="AC341" s="326"/>
      <c r="AD341" s="326"/>
    </row>
    <row r="342" spans="1:30" s="328" customFormat="1" x14ac:dyDescent="0.25">
      <c r="A342" s="329"/>
      <c r="B342" s="350"/>
      <c r="C342" s="350"/>
      <c r="D342" s="326"/>
      <c r="E342" s="332"/>
      <c r="F342" s="332"/>
      <c r="G342" s="332"/>
      <c r="H342" s="332"/>
      <c r="I342" s="332"/>
      <c r="J342" s="332"/>
      <c r="K342" s="326"/>
      <c r="L342" s="326"/>
      <c r="M342" s="326"/>
      <c r="N342" s="326"/>
      <c r="O342" s="326"/>
      <c r="P342" s="326"/>
      <c r="Q342" s="326"/>
      <c r="R342" s="326"/>
      <c r="S342" s="326"/>
      <c r="T342" s="326"/>
      <c r="U342" s="326"/>
      <c r="V342" s="326"/>
      <c r="W342" s="326"/>
      <c r="X342" s="326"/>
      <c r="Y342" s="326"/>
      <c r="Z342" s="326"/>
      <c r="AA342" s="326"/>
      <c r="AB342" s="326"/>
      <c r="AC342" s="326"/>
      <c r="AD342" s="326"/>
    </row>
    <row r="343" spans="1:30" s="328" customFormat="1" x14ac:dyDescent="0.25">
      <c r="A343" s="329"/>
      <c r="B343" s="350"/>
      <c r="C343" s="350"/>
      <c r="D343" s="326"/>
      <c r="E343" s="332"/>
      <c r="F343" s="332"/>
      <c r="G343" s="332"/>
      <c r="H343" s="332"/>
      <c r="I343" s="332"/>
      <c r="J343" s="332"/>
      <c r="K343" s="326"/>
      <c r="L343" s="326"/>
      <c r="M343" s="326"/>
      <c r="N343" s="326"/>
      <c r="O343" s="326"/>
      <c r="P343" s="326"/>
      <c r="Q343" s="326"/>
      <c r="R343" s="326"/>
      <c r="S343" s="326"/>
      <c r="T343" s="326"/>
      <c r="U343" s="326"/>
      <c r="V343" s="326"/>
      <c r="W343" s="326"/>
      <c r="X343" s="326"/>
      <c r="Y343" s="326"/>
      <c r="Z343" s="326"/>
      <c r="AA343" s="326"/>
      <c r="AB343" s="326"/>
      <c r="AC343" s="326"/>
      <c r="AD343" s="326"/>
    </row>
    <row r="344" spans="1:30" s="328" customFormat="1" x14ac:dyDescent="0.25">
      <c r="A344" s="329"/>
      <c r="B344" s="350"/>
      <c r="C344" s="350"/>
      <c r="D344" s="326"/>
      <c r="E344" s="332"/>
      <c r="F344" s="332"/>
      <c r="G344" s="332"/>
      <c r="H344" s="332"/>
      <c r="I344" s="332"/>
      <c r="J344" s="332"/>
      <c r="K344" s="326"/>
      <c r="L344" s="326"/>
      <c r="M344" s="326"/>
      <c r="N344" s="326"/>
      <c r="O344" s="326"/>
      <c r="P344" s="326"/>
      <c r="Q344" s="326"/>
      <c r="R344" s="326"/>
      <c r="S344" s="326"/>
      <c r="T344" s="326"/>
      <c r="U344" s="326"/>
      <c r="V344" s="326"/>
      <c r="W344" s="326"/>
      <c r="X344" s="326"/>
      <c r="Y344" s="326"/>
      <c r="Z344" s="326"/>
      <c r="AA344" s="326"/>
      <c r="AB344" s="326"/>
      <c r="AC344" s="326"/>
      <c r="AD344" s="326"/>
    </row>
    <row r="345" spans="1:30" s="328" customFormat="1" x14ac:dyDescent="0.25">
      <c r="A345" s="329"/>
      <c r="B345" s="350"/>
      <c r="C345" s="350"/>
      <c r="D345" s="326"/>
      <c r="E345" s="332"/>
      <c r="F345" s="332"/>
      <c r="G345" s="332"/>
      <c r="H345" s="332"/>
      <c r="I345" s="332"/>
      <c r="J345" s="332"/>
      <c r="K345" s="326"/>
      <c r="L345" s="326"/>
      <c r="M345" s="326"/>
      <c r="N345" s="326"/>
      <c r="O345" s="326"/>
      <c r="P345" s="326"/>
      <c r="Q345" s="326"/>
      <c r="R345" s="326"/>
      <c r="S345" s="326"/>
      <c r="T345" s="326"/>
      <c r="U345" s="326"/>
      <c r="V345" s="326"/>
      <c r="W345" s="326"/>
      <c r="X345" s="326"/>
      <c r="Y345" s="326"/>
      <c r="Z345" s="326"/>
      <c r="AA345" s="326"/>
      <c r="AB345" s="326"/>
      <c r="AC345" s="326"/>
      <c r="AD345" s="326"/>
    </row>
    <row r="346" spans="1:30" s="328" customFormat="1" x14ac:dyDescent="0.25">
      <c r="A346" s="329"/>
      <c r="B346" s="350"/>
      <c r="C346" s="350"/>
      <c r="D346" s="326"/>
      <c r="E346" s="332"/>
      <c r="F346" s="332"/>
      <c r="G346" s="332"/>
      <c r="H346" s="332"/>
      <c r="I346" s="332"/>
      <c r="J346" s="332"/>
      <c r="K346" s="326"/>
      <c r="L346" s="326"/>
      <c r="M346" s="326"/>
      <c r="N346" s="326"/>
      <c r="O346" s="326"/>
      <c r="P346" s="326"/>
      <c r="Q346" s="326"/>
      <c r="R346" s="326"/>
      <c r="S346" s="326"/>
      <c r="T346" s="326"/>
      <c r="U346" s="326"/>
      <c r="V346" s="326"/>
      <c r="W346" s="326"/>
      <c r="X346" s="326"/>
      <c r="Y346" s="326"/>
      <c r="Z346" s="326"/>
      <c r="AA346" s="326"/>
      <c r="AB346" s="326"/>
      <c r="AC346" s="326"/>
      <c r="AD346" s="326"/>
    </row>
    <row r="347" spans="1:30" s="328" customFormat="1" x14ac:dyDescent="0.25">
      <c r="A347" s="329"/>
      <c r="B347" s="350"/>
      <c r="C347" s="350"/>
      <c r="D347" s="326"/>
      <c r="E347" s="332"/>
      <c r="F347" s="332"/>
      <c r="G347" s="332"/>
      <c r="H347" s="332"/>
      <c r="I347" s="332"/>
      <c r="J347" s="332"/>
      <c r="K347" s="326"/>
      <c r="L347" s="326"/>
      <c r="M347" s="326"/>
      <c r="N347" s="326"/>
      <c r="O347" s="326"/>
      <c r="P347" s="326"/>
      <c r="Q347" s="326"/>
      <c r="R347" s="326"/>
      <c r="S347" s="326"/>
      <c r="T347" s="326"/>
      <c r="U347" s="326"/>
      <c r="V347" s="326"/>
      <c r="W347" s="326"/>
      <c r="X347" s="326"/>
      <c r="Y347" s="326"/>
      <c r="Z347" s="326"/>
      <c r="AA347" s="326"/>
      <c r="AB347" s="326"/>
      <c r="AC347" s="326"/>
      <c r="AD347" s="326"/>
    </row>
    <row r="348" spans="1:30" s="328" customFormat="1" x14ac:dyDescent="0.25">
      <c r="A348" s="329"/>
      <c r="B348" s="350"/>
      <c r="C348" s="350"/>
      <c r="D348" s="326"/>
      <c r="E348" s="332"/>
      <c r="F348" s="332"/>
      <c r="G348" s="332"/>
      <c r="H348" s="332"/>
      <c r="I348" s="332"/>
      <c r="J348" s="332"/>
      <c r="K348" s="326"/>
      <c r="L348" s="326"/>
      <c r="M348" s="326"/>
      <c r="N348" s="326"/>
      <c r="O348" s="326"/>
      <c r="P348" s="326"/>
      <c r="Q348" s="326"/>
      <c r="R348" s="326"/>
      <c r="S348" s="326"/>
      <c r="T348" s="326"/>
      <c r="U348" s="326"/>
      <c r="V348" s="326"/>
      <c r="W348" s="326"/>
      <c r="X348" s="326"/>
      <c r="Y348" s="326"/>
      <c r="Z348" s="326"/>
      <c r="AA348" s="326"/>
      <c r="AB348" s="326"/>
      <c r="AC348" s="326"/>
      <c r="AD348" s="326"/>
    </row>
    <row r="349" spans="1:30" s="328" customFormat="1" x14ac:dyDescent="0.25">
      <c r="A349" s="329"/>
      <c r="B349" s="350"/>
      <c r="C349" s="350"/>
      <c r="D349" s="326"/>
      <c r="E349" s="332"/>
      <c r="F349" s="332"/>
      <c r="G349" s="332"/>
      <c r="H349" s="332"/>
      <c r="I349" s="332"/>
      <c r="J349" s="332"/>
      <c r="K349" s="326"/>
      <c r="L349" s="326"/>
      <c r="M349" s="326"/>
      <c r="N349" s="326"/>
      <c r="O349" s="326"/>
      <c r="P349" s="326"/>
      <c r="Q349" s="326"/>
      <c r="R349" s="326"/>
      <c r="S349" s="326"/>
      <c r="T349" s="326"/>
      <c r="U349" s="326"/>
      <c r="V349" s="326"/>
      <c r="W349" s="326"/>
      <c r="X349" s="326"/>
      <c r="Y349" s="326"/>
      <c r="Z349" s="326"/>
      <c r="AA349" s="326"/>
      <c r="AB349" s="326"/>
      <c r="AC349" s="326"/>
      <c r="AD349" s="326"/>
    </row>
    <row r="350" spans="1:30" s="328" customFormat="1" x14ac:dyDescent="0.25">
      <c r="A350" s="329"/>
      <c r="B350" s="350"/>
      <c r="C350" s="350"/>
      <c r="D350" s="326"/>
      <c r="E350" s="332"/>
      <c r="F350" s="332"/>
      <c r="G350" s="332"/>
      <c r="H350" s="332"/>
      <c r="I350" s="332"/>
      <c r="J350" s="332"/>
      <c r="K350" s="326"/>
      <c r="L350" s="326"/>
      <c r="M350" s="326"/>
      <c r="N350" s="326"/>
      <c r="O350" s="326"/>
      <c r="P350" s="326"/>
      <c r="Q350" s="326"/>
      <c r="R350" s="326"/>
      <c r="S350" s="326"/>
      <c r="T350" s="326"/>
      <c r="U350" s="326"/>
      <c r="V350" s="326"/>
      <c r="W350" s="326"/>
      <c r="X350" s="326"/>
      <c r="Y350" s="326"/>
      <c r="Z350" s="326"/>
      <c r="AA350" s="326"/>
      <c r="AB350" s="326"/>
      <c r="AC350" s="326"/>
      <c r="AD350" s="326"/>
    </row>
    <row r="351" spans="1:30" s="328" customFormat="1" x14ac:dyDescent="0.25">
      <c r="A351" s="329"/>
      <c r="B351" s="350"/>
      <c r="C351" s="350"/>
      <c r="D351" s="326"/>
      <c r="E351" s="332"/>
      <c r="F351" s="332"/>
      <c r="G351" s="332"/>
      <c r="H351" s="332"/>
      <c r="I351" s="332"/>
      <c r="J351" s="332"/>
      <c r="K351" s="326"/>
      <c r="L351" s="326"/>
      <c r="M351" s="326"/>
      <c r="N351" s="326"/>
      <c r="O351" s="326"/>
      <c r="P351" s="326"/>
      <c r="Q351" s="326"/>
      <c r="R351" s="326"/>
      <c r="S351" s="326"/>
      <c r="T351" s="326"/>
      <c r="U351" s="326"/>
      <c r="V351" s="326"/>
      <c r="W351" s="326"/>
      <c r="X351" s="326"/>
      <c r="Y351" s="326"/>
      <c r="Z351" s="326"/>
      <c r="AA351" s="326"/>
      <c r="AB351" s="326"/>
      <c r="AC351" s="326"/>
      <c r="AD351" s="326"/>
    </row>
    <row r="352" spans="1:30" s="328" customFormat="1" x14ac:dyDescent="0.25">
      <c r="A352" s="329"/>
      <c r="B352" s="350"/>
      <c r="C352" s="350"/>
      <c r="D352" s="326"/>
      <c r="E352" s="332"/>
      <c r="F352" s="332"/>
      <c r="G352" s="332"/>
      <c r="H352" s="332"/>
      <c r="I352" s="332"/>
      <c r="J352" s="332"/>
      <c r="K352" s="326"/>
      <c r="L352" s="326"/>
      <c r="M352" s="326"/>
      <c r="N352" s="326"/>
      <c r="O352" s="326"/>
      <c r="P352" s="326"/>
      <c r="Q352" s="326"/>
      <c r="R352" s="326"/>
      <c r="S352" s="326"/>
      <c r="T352" s="326"/>
      <c r="U352" s="326"/>
      <c r="V352" s="326"/>
      <c r="W352" s="326"/>
      <c r="X352" s="326"/>
      <c r="Y352" s="326"/>
      <c r="Z352" s="326"/>
      <c r="AA352" s="326"/>
      <c r="AB352" s="326"/>
      <c r="AC352" s="326"/>
      <c r="AD352" s="326"/>
    </row>
    <row r="353" spans="1:30" s="328" customFormat="1" x14ac:dyDescent="0.25">
      <c r="A353" s="329"/>
      <c r="B353" s="350"/>
      <c r="C353" s="350"/>
      <c r="D353" s="326"/>
      <c r="E353" s="332"/>
      <c r="F353" s="332"/>
      <c r="G353" s="332"/>
      <c r="H353" s="332"/>
      <c r="I353" s="332"/>
      <c r="J353" s="332"/>
      <c r="K353" s="326"/>
      <c r="L353" s="326"/>
      <c r="M353" s="326"/>
      <c r="N353" s="326"/>
      <c r="O353" s="326"/>
      <c r="P353" s="326"/>
      <c r="Q353" s="326"/>
      <c r="R353" s="326"/>
      <c r="S353" s="326"/>
      <c r="T353" s="326"/>
      <c r="U353" s="326"/>
      <c r="V353" s="326"/>
      <c r="W353" s="326"/>
      <c r="X353" s="326"/>
      <c r="Y353" s="326"/>
      <c r="Z353" s="326"/>
      <c r="AA353" s="326"/>
      <c r="AB353" s="326"/>
      <c r="AC353" s="326"/>
      <c r="AD353" s="326"/>
    </row>
    <row r="354" spans="1:30" s="328" customFormat="1" x14ac:dyDescent="0.25">
      <c r="A354" s="329"/>
      <c r="B354" s="350"/>
      <c r="C354" s="350"/>
      <c r="D354" s="326"/>
      <c r="E354" s="332"/>
      <c r="F354" s="332"/>
      <c r="G354" s="332"/>
      <c r="H354" s="332"/>
      <c r="I354" s="332"/>
      <c r="J354" s="332"/>
      <c r="K354" s="326"/>
      <c r="L354" s="326"/>
      <c r="M354" s="326"/>
      <c r="N354" s="326"/>
      <c r="O354" s="326"/>
      <c r="P354" s="326"/>
      <c r="Q354" s="326"/>
      <c r="R354" s="326"/>
      <c r="S354" s="326"/>
      <c r="T354" s="326"/>
      <c r="U354" s="326"/>
      <c r="V354" s="326"/>
      <c r="W354" s="326"/>
      <c r="X354" s="326"/>
      <c r="Y354" s="326"/>
      <c r="Z354" s="326"/>
      <c r="AA354" s="326"/>
      <c r="AB354" s="326"/>
      <c r="AC354" s="326"/>
      <c r="AD354" s="326"/>
    </row>
    <row r="355" spans="1:30" s="328" customFormat="1" x14ac:dyDescent="0.25">
      <c r="A355" s="329"/>
      <c r="B355" s="350"/>
      <c r="C355" s="350"/>
      <c r="D355" s="326"/>
      <c r="E355" s="332"/>
      <c r="F355" s="332"/>
      <c r="G355" s="332"/>
      <c r="H355" s="332"/>
      <c r="I355" s="332"/>
      <c r="J355" s="332"/>
      <c r="K355" s="326"/>
      <c r="L355" s="326"/>
      <c r="M355" s="326"/>
      <c r="N355" s="326"/>
      <c r="O355" s="326"/>
      <c r="P355" s="326"/>
      <c r="Q355" s="326"/>
      <c r="R355" s="326"/>
      <c r="S355" s="326"/>
      <c r="T355" s="326"/>
      <c r="U355" s="326"/>
      <c r="V355" s="326"/>
      <c r="W355" s="326"/>
      <c r="X355" s="326"/>
      <c r="Y355" s="326"/>
      <c r="Z355" s="326"/>
      <c r="AA355" s="326"/>
      <c r="AB355" s="326"/>
      <c r="AC355" s="326"/>
      <c r="AD355" s="326"/>
    </row>
    <row r="356" spans="1:30" s="328" customFormat="1" x14ac:dyDescent="0.25">
      <c r="A356" s="329"/>
      <c r="B356" s="350"/>
      <c r="C356" s="350"/>
      <c r="D356" s="326"/>
      <c r="E356" s="332"/>
      <c r="F356" s="332"/>
      <c r="G356" s="332"/>
      <c r="H356" s="332"/>
      <c r="I356" s="332"/>
      <c r="J356" s="332"/>
      <c r="K356" s="326"/>
      <c r="L356" s="326"/>
      <c r="M356" s="326"/>
      <c r="N356" s="326"/>
      <c r="O356" s="326"/>
      <c r="P356" s="326"/>
      <c r="Q356" s="326"/>
      <c r="R356" s="326"/>
      <c r="S356" s="326"/>
      <c r="T356" s="326"/>
      <c r="U356" s="326"/>
      <c r="V356" s="326"/>
      <c r="W356" s="326"/>
      <c r="X356" s="326"/>
      <c r="Y356" s="326"/>
      <c r="Z356" s="326"/>
      <c r="AA356" s="326"/>
      <c r="AB356" s="326"/>
      <c r="AC356" s="326"/>
      <c r="AD356" s="326"/>
    </row>
    <row r="357" spans="1:30" s="328" customFormat="1" x14ac:dyDescent="0.25">
      <c r="A357" s="329"/>
      <c r="B357" s="350"/>
      <c r="C357" s="350"/>
      <c r="D357" s="326"/>
      <c r="E357" s="332"/>
      <c r="F357" s="332"/>
      <c r="G357" s="332"/>
      <c r="H357" s="332"/>
      <c r="I357" s="332"/>
      <c r="J357" s="332"/>
      <c r="K357" s="326"/>
      <c r="L357" s="326"/>
      <c r="M357" s="326"/>
      <c r="N357" s="326"/>
      <c r="O357" s="326"/>
      <c r="P357" s="326"/>
      <c r="Q357" s="326"/>
      <c r="R357" s="326"/>
      <c r="S357" s="326"/>
      <c r="T357" s="326"/>
      <c r="U357" s="326"/>
      <c r="V357" s="326"/>
      <c r="W357" s="326"/>
      <c r="X357" s="326"/>
      <c r="Y357" s="326"/>
      <c r="Z357" s="326"/>
      <c r="AA357" s="326"/>
      <c r="AB357" s="326"/>
      <c r="AC357" s="326"/>
      <c r="AD357" s="326"/>
    </row>
    <row r="358" spans="1:30" s="328" customFormat="1" x14ac:dyDescent="0.25">
      <c r="A358" s="329"/>
      <c r="B358" s="350"/>
      <c r="C358" s="350"/>
      <c r="D358" s="326"/>
      <c r="E358" s="332"/>
      <c r="F358" s="332"/>
      <c r="G358" s="332"/>
      <c r="H358" s="332"/>
      <c r="I358" s="332"/>
      <c r="J358" s="332"/>
      <c r="K358" s="326"/>
      <c r="L358" s="326"/>
      <c r="M358" s="326"/>
      <c r="N358" s="326"/>
      <c r="O358" s="326"/>
      <c r="P358" s="326"/>
      <c r="Q358" s="326"/>
      <c r="R358" s="326"/>
      <c r="S358" s="326"/>
      <c r="T358" s="326"/>
      <c r="U358" s="326"/>
      <c r="V358" s="326"/>
      <c r="W358" s="326"/>
      <c r="X358" s="326"/>
      <c r="Y358" s="326"/>
      <c r="Z358" s="326"/>
      <c r="AA358" s="326"/>
      <c r="AB358" s="326"/>
      <c r="AC358" s="326"/>
      <c r="AD358" s="326"/>
    </row>
    <row r="359" spans="1:30" s="328" customFormat="1" x14ac:dyDescent="0.25">
      <c r="A359" s="329"/>
      <c r="B359" s="350"/>
      <c r="C359" s="350"/>
      <c r="D359" s="326"/>
      <c r="E359" s="332"/>
      <c r="F359" s="332"/>
      <c r="G359" s="332"/>
      <c r="H359" s="332"/>
      <c r="I359" s="332"/>
      <c r="J359" s="332"/>
      <c r="K359" s="326"/>
      <c r="L359" s="326"/>
      <c r="M359" s="326"/>
      <c r="N359" s="326"/>
      <c r="O359" s="326"/>
      <c r="P359" s="326"/>
      <c r="Q359" s="326"/>
      <c r="R359" s="326"/>
      <c r="S359" s="326"/>
      <c r="T359" s="326"/>
      <c r="U359" s="326"/>
      <c r="V359" s="326"/>
      <c r="W359" s="326"/>
      <c r="X359" s="326"/>
      <c r="Y359" s="326"/>
      <c r="Z359" s="326"/>
      <c r="AA359" s="326"/>
      <c r="AB359" s="326"/>
      <c r="AC359" s="326"/>
      <c r="AD359" s="326"/>
    </row>
  </sheetData>
  <mergeCells count="22">
    <mergeCell ref="G8:G10"/>
    <mergeCell ref="B8:B10"/>
    <mergeCell ref="C8:C10"/>
    <mergeCell ref="D8:D10"/>
    <mergeCell ref="E8:E10"/>
    <mergeCell ref="F8:F10"/>
    <mergeCell ref="B29:B31"/>
    <mergeCell ref="C29:C31"/>
    <mergeCell ref="D29:D31"/>
    <mergeCell ref="E29:E31"/>
    <mergeCell ref="F29:F31"/>
    <mergeCell ref="AE29:AE31"/>
    <mergeCell ref="H8:H10"/>
    <mergeCell ref="I8:I10"/>
    <mergeCell ref="J8:J10"/>
    <mergeCell ref="K8:AD8"/>
    <mergeCell ref="AE8:AE10"/>
    <mergeCell ref="G29:G31"/>
    <mergeCell ref="H29:H31"/>
    <mergeCell ref="I29:I31"/>
    <mergeCell ref="J29:J31"/>
    <mergeCell ref="K29:AD2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5219-7A35-4B6F-AC81-30971AD3F5BF}">
  <dimension ref="A1:AY75"/>
  <sheetViews>
    <sheetView zoomScale="85" zoomScaleNormal="85" workbookViewId="0">
      <selection activeCell="L10" sqref="L10"/>
    </sheetView>
  </sheetViews>
  <sheetFormatPr baseColWidth="10" defaultRowHeight="15" x14ac:dyDescent="0.25"/>
  <cols>
    <col min="2" max="2" width="55.7109375" customWidth="1"/>
    <col min="9" max="9" width="12.42578125" bestFit="1" customWidth="1"/>
    <col min="10" max="10" width="13.140625" bestFit="1" customWidth="1"/>
    <col min="11" max="11" width="11" bestFit="1" customWidth="1"/>
    <col min="12" max="13" width="11.42578125" bestFit="1" customWidth="1"/>
    <col min="14" max="14" width="14.140625" bestFit="1" customWidth="1"/>
    <col min="15" max="16" width="12.42578125" bestFit="1" customWidth="1"/>
    <col min="17" max="17" width="12.85546875" bestFit="1" customWidth="1"/>
    <col min="18" max="19" width="12.5703125" bestFit="1" customWidth="1"/>
    <col min="20" max="20" width="12.140625" bestFit="1" customWidth="1"/>
    <col min="21" max="22" width="12.5703125" bestFit="1" customWidth="1"/>
    <col min="23" max="23" width="12.42578125" bestFit="1" customWidth="1"/>
    <col min="24" max="24" width="12" bestFit="1" customWidth="1"/>
    <col min="25" max="26" width="9.85546875" bestFit="1" customWidth="1"/>
    <col min="27" max="29" width="10" bestFit="1" customWidth="1"/>
  </cols>
  <sheetData>
    <row r="1" spans="1:51" x14ac:dyDescent="0.25">
      <c r="A1" s="328"/>
      <c r="B1" s="328"/>
      <c r="C1" s="326"/>
      <c r="D1" s="327"/>
      <c r="E1" s="327"/>
      <c r="F1" s="327"/>
      <c r="G1" s="327"/>
      <c r="H1" s="327"/>
      <c r="I1" s="327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  <c r="AD1" s="328"/>
    </row>
    <row r="2" spans="1:51" x14ac:dyDescent="0.25">
      <c r="A2" s="324" t="s">
        <v>340</v>
      </c>
      <c r="B2" s="328"/>
      <c r="C2" s="326"/>
      <c r="D2" s="327"/>
      <c r="E2" s="327"/>
      <c r="F2" s="327"/>
      <c r="G2" s="327"/>
      <c r="H2" s="327"/>
      <c r="I2" s="327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</row>
    <row r="3" spans="1:51" x14ac:dyDescent="0.25">
      <c r="A3" s="328"/>
      <c r="B3" s="328"/>
      <c r="C3" s="326"/>
      <c r="D3" s="327"/>
      <c r="E3" s="327"/>
      <c r="F3" s="327"/>
      <c r="G3" s="327"/>
      <c r="H3" s="327"/>
      <c r="I3" s="327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  <c r="AB3" s="328"/>
      <c r="AC3" s="328"/>
      <c r="AD3" s="328"/>
    </row>
    <row r="4" spans="1:51" x14ac:dyDescent="0.25">
      <c r="A4" s="330"/>
      <c r="B4" s="331"/>
      <c r="C4" s="326"/>
      <c r="D4" s="333"/>
      <c r="E4" s="332"/>
      <c r="F4" s="332"/>
      <c r="G4" s="332"/>
      <c r="H4" s="332"/>
      <c r="I4" s="332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6"/>
      <c r="U4" s="326"/>
      <c r="V4" s="326"/>
      <c r="W4" s="326"/>
      <c r="X4" s="326"/>
      <c r="Y4" s="326"/>
      <c r="Z4" s="326"/>
      <c r="AA4" s="326"/>
      <c r="AB4" s="326"/>
      <c r="AC4" s="326"/>
      <c r="AD4" s="328"/>
    </row>
    <row r="5" spans="1:51" x14ac:dyDescent="0.25">
      <c r="A5" s="330"/>
      <c r="B5" s="331"/>
      <c r="C5" s="326"/>
      <c r="D5" s="333"/>
      <c r="E5" s="115"/>
      <c r="F5" s="332"/>
      <c r="G5" s="332"/>
      <c r="H5" s="332"/>
      <c r="I5" s="332"/>
      <c r="J5" s="326"/>
      <c r="K5" s="326"/>
      <c r="L5" s="326"/>
      <c r="M5" s="326"/>
      <c r="N5" s="326"/>
      <c r="O5" s="333"/>
      <c r="P5" s="326"/>
      <c r="Q5" s="326"/>
      <c r="R5" s="326"/>
      <c r="S5" s="326"/>
      <c r="T5" s="355"/>
      <c r="U5" s="355"/>
      <c r="V5" s="355"/>
      <c r="W5" s="355"/>
      <c r="X5" s="356"/>
      <c r="Y5" s="356"/>
      <c r="Z5" s="355"/>
      <c r="AA5" s="355"/>
      <c r="AB5" s="355"/>
      <c r="AC5" s="326"/>
      <c r="AD5" s="328"/>
    </row>
    <row r="6" spans="1:51" x14ac:dyDescent="0.25">
      <c r="A6" s="330"/>
      <c r="B6" s="331"/>
      <c r="C6" s="326"/>
      <c r="D6" s="333"/>
      <c r="E6" s="332"/>
      <c r="F6" s="332"/>
      <c r="G6" s="332"/>
      <c r="H6" s="332"/>
      <c r="I6" s="332"/>
      <c r="J6" s="326"/>
      <c r="K6" s="326"/>
      <c r="L6" s="326"/>
      <c r="M6" s="326"/>
      <c r="N6" s="333"/>
      <c r="O6" s="333"/>
      <c r="P6" s="333"/>
      <c r="Q6" s="326"/>
      <c r="R6" s="326"/>
      <c r="S6" s="326"/>
      <c r="T6" s="328"/>
      <c r="U6" s="328"/>
      <c r="V6" s="328"/>
      <c r="W6" s="328"/>
      <c r="X6" s="328"/>
      <c r="Y6" s="328"/>
      <c r="Z6" s="328"/>
      <c r="AA6" s="328"/>
      <c r="AB6" s="328"/>
      <c r="AC6" s="326"/>
      <c r="AD6" s="328"/>
    </row>
    <row r="7" spans="1:51" x14ac:dyDescent="0.25">
      <c r="A7" s="324"/>
      <c r="B7" s="326"/>
      <c r="C7" s="326"/>
      <c r="D7" s="335" t="s">
        <v>330</v>
      </c>
      <c r="E7" s="357"/>
      <c r="F7" s="357"/>
      <c r="G7" s="327"/>
      <c r="H7" s="335"/>
      <c r="I7" s="357"/>
      <c r="J7" s="326"/>
      <c r="K7" s="326"/>
      <c r="L7" s="326"/>
      <c r="M7" s="326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  <c r="AA7" s="326"/>
      <c r="AB7" s="326"/>
      <c r="AC7" s="326"/>
      <c r="AD7" s="328"/>
    </row>
    <row r="8" spans="1:51" x14ac:dyDescent="0.25">
      <c r="A8" s="474" t="s">
        <v>331</v>
      </c>
      <c r="B8" s="474" t="s">
        <v>212</v>
      </c>
      <c r="C8" s="474" t="s">
        <v>3</v>
      </c>
      <c r="D8" s="471" t="s">
        <v>332</v>
      </c>
      <c r="E8" s="468" t="s">
        <v>333</v>
      </c>
      <c r="F8" s="468" t="s">
        <v>334</v>
      </c>
      <c r="G8" s="468" t="s">
        <v>335</v>
      </c>
      <c r="H8" s="468" t="s">
        <v>336</v>
      </c>
      <c r="I8" s="471" t="s">
        <v>337</v>
      </c>
      <c r="J8" s="475" t="s">
        <v>338</v>
      </c>
      <c r="K8" s="475"/>
      <c r="L8" s="475"/>
      <c r="M8" s="475"/>
      <c r="N8" s="475"/>
      <c r="O8" s="475"/>
      <c r="P8" s="475"/>
      <c r="Q8" s="475"/>
      <c r="R8" s="475"/>
      <c r="S8" s="475"/>
      <c r="T8" s="475"/>
      <c r="U8" s="475"/>
      <c r="V8" s="475"/>
      <c r="W8" s="475"/>
      <c r="X8" s="475"/>
      <c r="Y8" s="475"/>
      <c r="Z8" s="475"/>
      <c r="AA8" s="475"/>
      <c r="AB8" s="475"/>
      <c r="AC8" s="475"/>
      <c r="AD8" s="474" t="s">
        <v>339</v>
      </c>
    </row>
    <row r="9" spans="1:51" x14ac:dyDescent="0.25">
      <c r="A9" s="474"/>
      <c r="B9" s="474"/>
      <c r="C9" s="474"/>
      <c r="D9" s="471"/>
      <c r="E9" s="469"/>
      <c r="F9" s="469"/>
      <c r="G9" s="469"/>
      <c r="H9" s="469"/>
      <c r="I9" s="471"/>
      <c r="J9" s="358">
        <v>1</v>
      </c>
      <c r="K9" s="337">
        <v>2</v>
      </c>
      <c r="L9" s="337">
        <v>3</v>
      </c>
      <c r="M9" s="337">
        <v>4</v>
      </c>
      <c r="N9" s="337">
        <v>5</v>
      </c>
      <c r="O9" s="337">
        <v>6</v>
      </c>
      <c r="P9" s="337">
        <v>7</v>
      </c>
      <c r="Q9" s="337">
        <v>8</v>
      </c>
      <c r="R9" s="337">
        <v>9</v>
      </c>
      <c r="S9" s="337">
        <v>10</v>
      </c>
      <c r="T9" s="337">
        <v>11</v>
      </c>
      <c r="U9" s="337">
        <v>12</v>
      </c>
      <c r="V9" s="337">
        <v>13</v>
      </c>
      <c r="W9" s="337">
        <v>14</v>
      </c>
      <c r="X9" s="337">
        <v>15</v>
      </c>
      <c r="Y9" s="337">
        <v>16</v>
      </c>
      <c r="Z9" s="337">
        <v>17</v>
      </c>
      <c r="AA9" s="337">
        <v>18</v>
      </c>
      <c r="AB9" s="337">
        <v>19</v>
      </c>
      <c r="AC9" s="337">
        <v>20</v>
      </c>
      <c r="AD9" s="474"/>
      <c r="AF9" t="s">
        <v>338</v>
      </c>
    </row>
    <row r="10" spans="1:51" x14ac:dyDescent="0.25">
      <c r="A10" s="474"/>
      <c r="B10" s="474"/>
      <c r="C10" s="474"/>
      <c r="D10" s="471"/>
      <c r="E10" s="470"/>
      <c r="F10" s="470"/>
      <c r="G10" s="470"/>
      <c r="H10" s="470"/>
      <c r="I10" s="471"/>
      <c r="J10" s="359">
        <v>45481</v>
      </c>
      <c r="K10" s="339">
        <v>45488</v>
      </c>
      <c r="L10" s="339">
        <v>45495</v>
      </c>
      <c r="M10" s="339">
        <v>45502</v>
      </c>
      <c r="N10" s="339">
        <v>45509</v>
      </c>
      <c r="O10" s="339">
        <v>45516</v>
      </c>
      <c r="P10" s="339">
        <v>45523</v>
      </c>
      <c r="Q10" s="339">
        <v>45530</v>
      </c>
      <c r="R10" s="339">
        <v>45537</v>
      </c>
      <c r="S10" s="339">
        <v>45544</v>
      </c>
      <c r="T10" s="339">
        <v>45551</v>
      </c>
      <c r="U10" s="339">
        <v>45558</v>
      </c>
      <c r="V10" s="339">
        <v>45565</v>
      </c>
      <c r="W10" s="339">
        <v>45572</v>
      </c>
      <c r="X10" s="339">
        <v>45579</v>
      </c>
      <c r="Y10" s="339">
        <v>45586</v>
      </c>
      <c r="Z10" s="339">
        <v>45593</v>
      </c>
      <c r="AA10" s="339">
        <v>45600</v>
      </c>
      <c r="AB10" s="339">
        <v>45607</v>
      </c>
      <c r="AC10" s="339">
        <v>45614</v>
      </c>
      <c r="AD10" s="474"/>
      <c r="AF10">
        <v>1</v>
      </c>
      <c r="AG10">
        <v>2</v>
      </c>
      <c r="AH10">
        <v>3</v>
      </c>
      <c r="AI10">
        <v>4</v>
      </c>
      <c r="AJ10">
        <v>5</v>
      </c>
      <c r="AK10">
        <v>6</v>
      </c>
      <c r="AL10">
        <v>7</v>
      </c>
      <c r="AM10">
        <v>8</v>
      </c>
      <c r="AN10">
        <v>9</v>
      </c>
      <c r="AO10">
        <v>10</v>
      </c>
      <c r="AP10">
        <v>11</v>
      </c>
      <c r="AQ10">
        <v>12</v>
      </c>
      <c r="AR10">
        <v>13</v>
      </c>
      <c r="AS10">
        <v>14</v>
      </c>
      <c r="AT10">
        <v>15</v>
      </c>
      <c r="AU10">
        <v>16</v>
      </c>
      <c r="AV10">
        <v>17</v>
      </c>
      <c r="AW10">
        <v>18</v>
      </c>
      <c r="AX10">
        <v>19</v>
      </c>
      <c r="AY10">
        <v>20</v>
      </c>
    </row>
    <row r="11" spans="1:51" s="148" customFormat="1" x14ac:dyDescent="0.25">
      <c r="A11" s="375"/>
      <c r="B11" s="95" t="s">
        <v>133</v>
      </c>
      <c r="C11" s="94"/>
      <c r="D11" s="95"/>
      <c r="E11" s="95"/>
      <c r="F11" s="95"/>
      <c r="G11" s="95"/>
      <c r="H11" s="95"/>
      <c r="I11" s="360"/>
      <c r="J11" s="95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F11" s="148">
        <v>45481</v>
      </c>
      <c r="AG11" s="148">
        <v>45488</v>
      </c>
      <c r="AH11" s="148">
        <v>45495</v>
      </c>
      <c r="AI11" s="148">
        <v>45502</v>
      </c>
      <c r="AJ11" s="148">
        <v>45509</v>
      </c>
      <c r="AK11" s="148">
        <v>45516</v>
      </c>
      <c r="AL11" s="148">
        <v>45523</v>
      </c>
      <c r="AM11" s="148">
        <v>45530</v>
      </c>
      <c r="AN11" s="148">
        <v>45537</v>
      </c>
      <c r="AO11" s="148">
        <v>45544</v>
      </c>
      <c r="AP11" s="148">
        <v>45551</v>
      </c>
      <c r="AQ11" s="148">
        <v>45558</v>
      </c>
      <c r="AR11" s="148">
        <v>45565</v>
      </c>
      <c r="AS11" s="148">
        <v>45572</v>
      </c>
      <c r="AT11" s="148">
        <v>45579</v>
      </c>
      <c r="AU11" s="148">
        <v>45586</v>
      </c>
      <c r="AV11" s="148">
        <v>45593</v>
      </c>
      <c r="AW11" s="148">
        <v>45600</v>
      </c>
      <c r="AX11" s="148">
        <v>45607</v>
      </c>
      <c r="AY11" s="148">
        <v>45614</v>
      </c>
    </row>
    <row r="12" spans="1:51" s="148" customFormat="1" x14ac:dyDescent="0.25">
      <c r="A12" s="98"/>
      <c r="B12" s="97" t="s">
        <v>134</v>
      </c>
      <c r="C12" s="96"/>
      <c r="D12" s="97"/>
      <c r="E12" s="97"/>
      <c r="F12" s="97"/>
      <c r="G12" s="97"/>
      <c r="H12" s="97"/>
      <c r="I12" s="361"/>
      <c r="J12" s="97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48">
        <v>100</v>
      </c>
      <c r="AF12" s="148">
        <v>8.358035972986827E-2</v>
      </c>
      <c r="AG12" s="148">
        <v>8.636637172086388E-2</v>
      </c>
      <c r="AH12" s="148">
        <v>8.7480776517262132E-2</v>
      </c>
      <c r="AI12" s="148">
        <v>9.472440769385071E-2</v>
      </c>
      <c r="AJ12" s="148">
        <v>9.472440769385071E-2</v>
      </c>
      <c r="AK12" s="148">
        <v>8.915238371185949E-2</v>
      </c>
      <c r="AL12" s="148">
        <v>7.800833574787705E-2</v>
      </c>
      <c r="AM12" s="148">
        <v>8.636637172086388E-2</v>
      </c>
      <c r="AN12" s="148">
        <v>2.7860119909956092E-2</v>
      </c>
      <c r="AO12" s="148">
        <v>2.7860119909956092E-2</v>
      </c>
      <c r="AP12" s="148">
        <v>2.8974524706354334E-2</v>
      </c>
      <c r="AQ12" s="148">
        <v>3.0646131900951702E-2</v>
      </c>
      <c r="AR12" s="148">
        <v>3.2317739095549067E-2</v>
      </c>
      <c r="AS12" s="148">
        <v>3.2874941493748186E-2</v>
      </c>
      <c r="AT12" s="148">
        <v>3.0646131900951702E-2</v>
      </c>
      <c r="AU12" s="148">
        <v>2.8417322308155215E-2</v>
      </c>
      <c r="AV12" s="148">
        <v>0</v>
      </c>
      <c r="AW12" s="148">
        <v>0</v>
      </c>
      <c r="AX12" s="148">
        <v>0</v>
      </c>
      <c r="AY12" s="148">
        <v>0</v>
      </c>
    </row>
    <row r="13" spans="1:51" s="148" customFormat="1" x14ac:dyDescent="0.25">
      <c r="A13" s="98"/>
      <c r="B13" s="97" t="s">
        <v>135</v>
      </c>
      <c r="C13" s="96"/>
      <c r="D13" s="158"/>
      <c r="E13" s="158"/>
      <c r="F13" s="158"/>
      <c r="G13" s="158"/>
      <c r="H13" s="158"/>
      <c r="I13" s="362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48">
        <v>200</v>
      </c>
      <c r="AF13" s="148">
        <v>0.10248538444545159</v>
      </c>
      <c r="AG13" s="148">
        <v>0.10931774340848169</v>
      </c>
      <c r="AH13" s="148">
        <v>0.11159519639615839</v>
      </c>
      <c r="AI13" s="148">
        <v>0.1138726493838351</v>
      </c>
      <c r="AJ13" s="148">
        <v>8.4265760544037976E-2</v>
      </c>
      <c r="AK13" s="148">
        <v>8.5404487037876328E-2</v>
      </c>
      <c r="AL13" s="148">
        <v>8.4038015245270298E-2</v>
      </c>
      <c r="AM13" s="148">
        <v>8.654321353171468E-2</v>
      </c>
      <c r="AN13" s="148">
        <v>4.6687786247372388E-2</v>
      </c>
      <c r="AO13" s="148">
        <v>4.327160676585734E-2</v>
      </c>
      <c r="AP13" s="148">
        <v>4.5549059753534037E-2</v>
      </c>
      <c r="AQ13" s="148">
        <v>4.6687786247372388E-2</v>
      </c>
      <c r="AR13" s="148">
        <v>2.2774529876767018E-3</v>
      </c>
      <c r="AS13" s="148">
        <v>6.6046136642624355E-3</v>
      </c>
      <c r="AT13" s="148">
        <v>4.5549059753534037E-3</v>
      </c>
      <c r="AU13" s="148">
        <v>5.0103965728887445E-3</v>
      </c>
      <c r="AV13" s="148">
        <v>0</v>
      </c>
      <c r="AW13" s="148">
        <v>0</v>
      </c>
      <c r="AX13" s="148">
        <v>0</v>
      </c>
      <c r="AY13" s="148">
        <v>0</v>
      </c>
    </row>
    <row r="14" spans="1:51" s="148" customFormat="1" x14ac:dyDescent="0.25">
      <c r="A14" s="120">
        <v>100</v>
      </c>
      <c r="B14" s="122" t="s">
        <v>136</v>
      </c>
      <c r="C14" s="144" t="s">
        <v>19</v>
      </c>
      <c r="D14" s="159">
        <v>897.34</v>
      </c>
      <c r="E14" s="159"/>
      <c r="F14" s="159"/>
      <c r="G14" s="159"/>
      <c r="H14" s="159"/>
      <c r="I14" s="363">
        <v>897.34</v>
      </c>
      <c r="J14" s="159">
        <v>75</v>
      </c>
      <c r="K14" s="159">
        <v>77.5</v>
      </c>
      <c r="L14" s="159">
        <v>78.5</v>
      </c>
      <c r="M14" s="159">
        <v>85</v>
      </c>
      <c r="N14" s="159">
        <f>$D14*AJ$12</f>
        <v>85</v>
      </c>
      <c r="O14" s="159">
        <f t="shared" ref="O14:AC15" si="0">$D14*AK$12</f>
        <v>80</v>
      </c>
      <c r="P14" s="159">
        <f t="shared" si="0"/>
        <v>70</v>
      </c>
      <c r="Q14" s="159">
        <f t="shared" si="0"/>
        <v>77.5</v>
      </c>
      <c r="R14" s="159">
        <f t="shared" si="0"/>
        <v>25</v>
      </c>
      <c r="S14" s="159">
        <f t="shared" si="0"/>
        <v>25</v>
      </c>
      <c r="T14" s="159">
        <f t="shared" si="0"/>
        <v>26</v>
      </c>
      <c r="U14" s="159">
        <f t="shared" si="0"/>
        <v>27.5</v>
      </c>
      <c r="V14" s="159">
        <f t="shared" si="0"/>
        <v>29</v>
      </c>
      <c r="W14" s="159">
        <f t="shared" si="0"/>
        <v>29.5</v>
      </c>
      <c r="X14" s="159">
        <f t="shared" si="0"/>
        <v>27.5</v>
      </c>
      <c r="Y14" s="159">
        <f t="shared" si="0"/>
        <v>25.5</v>
      </c>
      <c r="Z14" s="159">
        <f t="shared" si="0"/>
        <v>0</v>
      </c>
      <c r="AA14" s="159">
        <f t="shared" si="0"/>
        <v>0</v>
      </c>
      <c r="AB14" s="159">
        <f t="shared" si="0"/>
        <v>0</v>
      </c>
      <c r="AC14" s="159">
        <f t="shared" si="0"/>
        <v>0</v>
      </c>
      <c r="AD14" s="159"/>
      <c r="AE14" s="148">
        <v>300</v>
      </c>
      <c r="AF14" s="148">
        <v>0</v>
      </c>
      <c r="AG14" s="148">
        <v>0</v>
      </c>
      <c r="AH14" s="148">
        <v>0</v>
      </c>
      <c r="AI14" s="148">
        <v>0</v>
      </c>
      <c r="AJ14" s="148">
        <v>0.12230665140002082</v>
      </c>
      <c r="AK14" s="148">
        <v>0.11319870927448736</v>
      </c>
      <c r="AL14" s="148">
        <v>0.1158009784532112</v>
      </c>
      <c r="AM14" s="148">
        <v>0.11710211304257313</v>
      </c>
      <c r="AN14" s="148">
        <v>0.19517018840428854</v>
      </c>
      <c r="AO14" s="148">
        <v>0.19517018840428854</v>
      </c>
      <c r="AP14" s="148">
        <v>0.20818153429790778</v>
      </c>
      <c r="AQ14" s="148">
        <v>0.18215884251066933</v>
      </c>
      <c r="AR14" s="148">
        <v>7.8068075361715422E-2</v>
      </c>
      <c r="AS14" s="148">
        <v>8.0670344540439268E-2</v>
      </c>
      <c r="AT14" s="148">
        <v>8.3272613719163113E-2</v>
      </c>
      <c r="AU14" s="148">
        <v>8.5874882897886959E-2</v>
      </c>
      <c r="AV14" s="148">
        <v>1.9517018840428856E-2</v>
      </c>
      <c r="AW14" s="148">
        <v>1.5613615072343084E-2</v>
      </c>
      <c r="AX14" s="148">
        <v>1.8215884251066933E-2</v>
      </c>
      <c r="AY14" s="148">
        <v>2.0818153429790778E-2</v>
      </c>
    </row>
    <row r="15" spans="1:51" s="148" customFormat="1" x14ac:dyDescent="0.25">
      <c r="A15" s="120">
        <v>100</v>
      </c>
      <c r="B15" s="122" t="s">
        <v>137</v>
      </c>
      <c r="C15" s="144" t="s">
        <v>197</v>
      </c>
      <c r="D15" s="159">
        <v>897.34</v>
      </c>
      <c r="E15" s="159"/>
      <c r="F15" s="159"/>
      <c r="G15" s="159"/>
      <c r="H15" s="159"/>
      <c r="I15" s="363">
        <v>897.34</v>
      </c>
      <c r="J15" s="159">
        <v>75</v>
      </c>
      <c r="K15" s="159">
        <v>77.5</v>
      </c>
      <c r="L15" s="159">
        <v>78.5</v>
      </c>
      <c r="M15" s="159">
        <v>85</v>
      </c>
      <c r="N15" s="159">
        <f>$D15*AJ$12</f>
        <v>85</v>
      </c>
      <c r="O15" s="159">
        <f t="shared" si="0"/>
        <v>80</v>
      </c>
      <c r="P15" s="159">
        <f t="shared" si="0"/>
        <v>70</v>
      </c>
      <c r="Q15" s="159">
        <f t="shared" si="0"/>
        <v>77.5</v>
      </c>
      <c r="R15" s="159">
        <f t="shared" si="0"/>
        <v>25</v>
      </c>
      <c r="S15" s="159">
        <f t="shared" si="0"/>
        <v>25</v>
      </c>
      <c r="T15" s="159">
        <f t="shared" si="0"/>
        <v>26</v>
      </c>
      <c r="U15" s="159">
        <f t="shared" si="0"/>
        <v>27.5</v>
      </c>
      <c r="V15" s="159">
        <f t="shared" si="0"/>
        <v>29</v>
      </c>
      <c r="W15" s="159">
        <f t="shared" si="0"/>
        <v>29.5</v>
      </c>
      <c r="X15" s="159">
        <f t="shared" si="0"/>
        <v>27.5</v>
      </c>
      <c r="Y15" s="159">
        <f t="shared" si="0"/>
        <v>25.5</v>
      </c>
      <c r="Z15" s="159">
        <f t="shared" si="0"/>
        <v>0</v>
      </c>
      <c r="AA15" s="159">
        <f t="shared" si="0"/>
        <v>0</v>
      </c>
      <c r="AB15" s="159">
        <f t="shared" si="0"/>
        <v>0</v>
      </c>
      <c r="AC15" s="159">
        <f t="shared" si="0"/>
        <v>0</v>
      </c>
      <c r="AD15" s="159"/>
      <c r="AE15" s="148">
        <v>400</v>
      </c>
      <c r="AF15" s="148">
        <v>0</v>
      </c>
      <c r="AG15" s="148">
        <v>0</v>
      </c>
      <c r="AH15" s="148">
        <v>0</v>
      </c>
      <c r="AI15" s="148">
        <v>0</v>
      </c>
      <c r="AJ15" s="148">
        <v>9.5753994309476911E-2</v>
      </c>
      <c r="AK15" s="148">
        <v>9.8489822718319117E-2</v>
      </c>
      <c r="AL15" s="148">
        <v>9.7121908513898014E-2</v>
      </c>
      <c r="AM15" s="148">
        <v>9.7942657036550668E-2</v>
      </c>
      <c r="AN15" s="148">
        <v>7.6603195447581526E-2</v>
      </c>
      <c r="AO15" s="148">
        <v>7.6603195447581526E-2</v>
      </c>
      <c r="AP15" s="148">
        <v>7.1131538629897142E-2</v>
      </c>
      <c r="AQ15" s="148">
        <v>7.6603195447581526E-2</v>
      </c>
      <c r="AR15" s="148">
        <v>8.2074852265265924E-2</v>
      </c>
      <c r="AS15" s="148">
        <v>8.481068067410813E-2</v>
      </c>
      <c r="AT15" s="148">
        <v>8.6178594878529219E-2</v>
      </c>
      <c r="AU15" s="148">
        <v>8.0706938060844821E-2</v>
      </c>
      <c r="AV15" s="148">
        <v>0</v>
      </c>
      <c r="AW15" s="148">
        <v>0</v>
      </c>
      <c r="AX15" s="148">
        <v>0</v>
      </c>
      <c r="AY15" s="148">
        <v>0</v>
      </c>
    </row>
    <row r="16" spans="1:51" s="148" customFormat="1" x14ac:dyDescent="0.25">
      <c r="A16" s="98"/>
      <c r="B16" s="97" t="s">
        <v>138</v>
      </c>
      <c r="C16" s="96"/>
      <c r="D16" s="158"/>
      <c r="E16" s="158"/>
      <c r="F16" s="158"/>
      <c r="G16" s="158"/>
      <c r="H16" s="158"/>
      <c r="I16" s="362"/>
      <c r="J16" s="158"/>
      <c r="K16" s="158"/>
      <c r="L16" s="159"/>
      <c r="M16" s="159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48">
        <v>500</v>
      </c>
      <c r="AF16" s="148">
        <v>0</v>
      </c>
      <c r="AG16" s="148">
        <v>0</v>
      </c>
      <c r="AH16" s="148">
        <v>0</v>
      </c>
      <c r="AI16" s="148">
        <v>0</v>
      </c>
      <c r="AJ16" s="148">
        <v>0.10308494778616671</v>
      </c>
      <c r="AK16" s="148">
        <v>0.10476568063050638</v>
      </c>
      <c r="AL16" s="148">
        <v>0.10177771112945808</v>
      </c>
      <c r="AM16" s="148">
        <v>0.10084397066038048</v>
      </c>
      <c r="AN16" s="148">
        <v>0.11204885628931165</v>
      </c>
      <c r="AO16" s="148">
        <v>0.11204885628931165</v>
      </c>
      <c r="AP16" s="148">
        <v>0.11186210819549612</v>
      </c>
      <c r="AQ16" s="148">
        <v>0.12512122285639801</v>
      </c>
      <c r="AR16" s="148">
        <v>2.8012214072327912E-2</v>
      </c>
      <c r="AS16" s="148">
        <v>2.6144733134172718E-2</v>
      </c>
      <c r="AT16" s="148">
        <v>3.548213782494869E-2</v>
      </c>
      <c r="AU16" s="148">
        <v>3.1747175948638295E-2</v>
      </c>
      <c r="AV16" s="148">
        <v>0</v>
      </c>
      <c r="AW16" s="148">
        <v>0</v>
      </c>
      <c r="AX16" s="148">
        <v>0</v>
      </c>
      <c r="AY16" s="148">
        <v>0</v>
      </c>
    </row>
    <row r="17" spans="1:30" s="148" customFormat="1" x14ac:dyDescent="0.25">
      <c r="A17" s="98"/>
      <c r="B17" s="97" t="s">
        <v>139</v>
      </c>
      <c r="C17" s="96"/>
      <c r="D17" s="158"/>
      <c r="E17" s="158"/>
      <c r="F17" s="158"/>
      <c r="G17" s="158"/>
      <c r="H17" s="158"/>
      <c r="I17" s="362"/>
      <c r="J17" s="158"/>
      <c r="K17" s="158"/>
      <c r="L17" s="159"/>
      <c r="M17" s="159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</row>
    <row r="18" spans="1:30" s="148" customFormat="1" x14ac:dyDescent="0.25">
      <c r="A18" s="98"/>
      <c r="B18" s="97" t="s">
        <v>140</v>
      </c>
      <c r="C18" s="96"/>
      <c r="D18" s="158"/>
      <c r="E18" s="158"/>
      <c r="F18" s="158"/>
      <c r="G18" s="158"/>
      <c r="H18" s="158"/>
      <c r="I18" s="362"/>
      <c r="J18" s="158"/>
      <c r="K18" s="158"/>
      <c r="L18" s="159"/>
      <c r="M18" s="159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</row>
    <row r="19" spans="1:30" s="148" customFormat="1" x14ac:dyDescent="0.25">
      <c r="A19" s="120">
        <v>200</v>
      </c>
      <c r="B19" s="122" t="s">
        <v>141</v>
      </c>
      <c r="C19" s="144" t="s">
        <v>62</v>
      </c>
      <c r="D19" s="159">
        <v>41.9</v>
      </c>
      <c r="E19" s="159"/>
      <c r="F19" s="159"/>
      <c r="G19" s="159"/>
      <c r="H19" s="159"/>
      <c r="I19" s="363">
        <v>41.9</v>
      </c>
      <c r="J19" s="159">
        <v>4.3</v>
      </c>
      <c r="K19" s="159">
        <v>4.5804134488153823</v>
      </c>
      <c r="L19" s="159">
        <v>4.6758387289990369</v>
      </c>
      <c r="M19" s="159">
        <v>4.7712640091826906</v>
      </c>
      <c r="N19" s="159">
        <f>$D19*AJ$13</f>
        <v>3.5307353667951911</v>
      </c>
      <c r="O19" s="159">
        <f t="shared" ref="O19:AC20" si="1">$D19*AK$13</f>
        <v>3.5784480068870179</v>
      </c>
      <c r="P19" s="159">
        <f t="shared" si="1"/>
        <v>3.5211928387768254</v>
      </c>
      <c r="Q19" s="159">
        <f t="shared" si="1"/>
        <v>3.6261606469788448</v>
      </c>
      <c r="R19" s="159">
        <f t="shared" si="1"/>
        <v>1.9562182437649029</v>
      </c>
      <c r="S19" s="159">
        <f t="shared" si="1"/>
        <v>1.8130803234894224</v>
      </c>
      <c r="T19" s="159">
        <f t="shared" si="1"/>
        <v>1.9085056036730761</v>
      </c>
      <c r="U19" s="159">
        <f t="shared" si="1"/>
        <v>1.9562182437649029</v>
      </c>
      <c r="V19" s="159">
        <f t="shared" si="1"/>
        <v>9.5425280183653802E-2</v>
      </c>
      <c r="W19" s="159">
        <f t="shared" si="1"/>
        <v>0.27673331253259603</v>
      </c>
      <c r="X19" s="159">
        <f t="shared" si="1"/>
        <v>0.1908505603673076</v>
      </c>
      <c r="Y19" s="159">
        <f t="shared" si="1"/>
        <v>0.20993561640403838</v>
      </c>
      <c r="Z19" s="159">
        <f t="shared" si="1"/>
        <v>0</v>
      </c>
      <c r="AA19" s="159">
        <f t="shared" si="1"/>
        <v>0</v>
      </c>
      <c r="AB19" s="159">
        <f t="shared" si="1"/>
        <v>0</v>
      </c>
      <c r="AC19" s="159">
        <f t="shared" si="1"/>
        <v>0</v>
      </c>
      <c r="AD19" s="159"/>
    </row>
    <row r="20" spans="1:30" s="148" customFormat="1" x14ac:dyDescent="0.25">
      <c r="A20" s="120">
        <v>200</v>
      </c>
      <c r="B20" s="122" t="s">
        <v>142</v>
      </c>
      <c r="C20" s="144" t="s">
        <v>62</v>
      </c>
      <c r="D20" s="159">
        <v>1975.16</v>
      </c>
      <c r="E20" s="159"/>
      <c r="F20" s="159"/>
      <c r="G20" s="159"/>
      <c r="H20" s="159"/>
      <c r="I20" s="363">
        <v>1975.16</v>
      </c>
      <c r="J20" s="159">
        <v>202.43</v>
      </c>
      <c r="K20" s="159">
        <v>215.92003407069669</v>
      </c>
      <c r="L20" s="159">
        <v>220.41836811383621</v>
      </c>
      <c r="M20" s="159">
        <v>224.91670215697573</v>
      </c>
      <c r="N20" s="159">
        <f>$D20*AJ$13</f>
        <v>166.43835959616206</v>
      </c>
      <c r="O20" s="159">
        <f t="shared" si="1"/>
        <v>168.68752661773181</v>
      </c>
      <c r="P20" s="159">
        <f t="shared" si="1"/>
        <v>165.98852619184808</v>
      </c>
      <c r="Q20" s="159">
        <f t="shared" si="1"/>
        <v>170.93669363930158</v>
      </c>
      <c r="R20" s="159">
        <f t="shared" si="1"/>
        <v>92.215847884360045</v>
      </c>
      <c r="S20" s="159">
        <f t="shared" si="1"/>
        <v>85.46834681965079</v>
      </c>
      <c r="T20" s="159">
        <f t="shared" si="1"/>
        <v>89.966680862790298</v>
      </c>
      <c r="U20" s="159">
        <f t="shared" si="1"/>
        <v>92.215847884360045</v>
      </c>
      <c r="V20" s="159">
        <f t="shared" si="1"/>
        <v>4.4983340431395149</v>
      </c>
      <c r="W20" s="159">
        <f t="shared" si="1"/>
        <v>13.045168725104592</v>
      </c>
      <c r="X20" s="159">
        <f t="shared" si="1"/>
        <v>8.9966680862790298</v>
      </c>
      <c r="Y20" s="159">
        <f t="shared" si="1"/>
        <v>9.8963348949069339</v>
      </c>
      <c r="Z20" s="159">
        <f t="shared" si="1"/>
        <v>0</v>
      </c>
      <c r="AA20" s="159">
        <f t="shared" si="1"/>
        <v>0</v>
      </c>
      <c r="AB20" s="159">
        <f t="shared" si="1"/>
        <v>0</v>
      </c>
      <c r="AC20" s="159">
        <f t="shared" si="1"/>
        <v>0</v>
      </c>
      <c r="AD20" s="159"/>
    </row>
    <row r="21" spans="1:30" s="148" customFormat="1" x14ac:dyDescent="0.25">
      <c r="A21" s="98"/>
      <c r="B21" s="97" t="s">
        <v>143</v>
      </c>
      <c r="C21" s="96"/>
      <c r="D21" s="158"/>
      <c r="E21" s="158"/>
      <c r="F21" s="158"/>
      <c r="G21" s="158"/>
      <c r="H21" s="158"/>
      <c r="I21" s="362"/>
      <c r="J21" s="158"/>
      <c r="K21" s="159"/>
      <c r="L21" s="159"/>
      <c r="M21" s="159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</row>
    <row r="22" spans="1:30" s="148" customFormat="1" x14ac:dyDescent="0.25">
      <c r="A22" s="120">
        <v>200</v>
      </c>
      <c r="B22" s="122" t="s">
        <v>144</v>
      </c>
      <c r="C22" s="144" t="s">
        <v>62</v>
      </c>
      <c r="D22" s="159">
        <v>1197.9100000000001</v>
      </c>
      <c r="E22" s="159"/>
      <c r="F22" s="159"/>
      <c r="G22" s="159"/>
      <c r="H22" s="159"/>
      <c r="I22" s="363">
        <v>1197.9100000000001</v>
      </c>
      <c r="J22" s="159">
        <v>122.77</v>
      </c>
      <c r="K22" s="159">
        <v>130.95281800645429</v>
      </c>
      <c r="L22" s="159">
        <v>133.6810017149221</v>
      </c>
      <c r="M22" s="159">
        <v>136.40918542338991</v>
      </c>
      <c r="N22" s="159">
        <f>$D22*AJ$13</f>
        <v>100.94279721330854</v>
      </c>
      <c r="O22" s="159">
        <f t="shared" ref="O22:AC22" si="2">$D22*AK$13</f>
        <v>102.30688906754244</v>
      </c>
      <c r="P22" s="159">
        <f t="shared" si="2"/>
        <v>100.66997884246175</v>
      </c>
      <c r="Q22" s="159">
        <f t="shared" si="2"/>
        <v>103.67098092177633</v>
      </c>
      <c r="R22" s="159">
        <f t="shared" si="2"/>
        <v>55.927766023589861</v>
      </c>
      <c r="S22" s="159">
        <f t="shared" si="2"/>
        <v>51.835490460888167</v>
      </c>
      <c r="T22" s="159">
        <f t="shared" si="2"/>
        <v>54.563674169355963</v>
      </c>
      <c r="U22" s="159">
        <f t="shared" si="2"/>
        <v>55.927766023589861</v>
      </c>
      <c r="V22" s="159">
        <f t="shared" si="2"/>
        <v>2.7281837084677982</v>
      </c>
      <c r="W22" s="159">
        <f t="shared" si="2"/>
        <v>7.9117327545566143</v>
      </c>
      <c r="X22" s="159">
        <f t="shared" si="2"/>
        <v>5.4563674169355965</v>
      </c>
      <c r="Y22" s="159">
        <f t="shared" si="2"/>
        <v>6.0020041586291564</v>
      </c>
      <c r="Z22" s="159">
        <f t="shared" si="2"/>
        <v>0</v>
      </c>
      <c r="AA22" s="159">
        <f t="shared" si="2"/>
        <v>0</v>
      </c>
      <c r="AB22" s="159">
        <f t="shared" si="2"/>
        <v>0</v>
      </c>
      <c r="AC22" s="159">
        <f t="shared" si="2"/>
        <v>0</v>
      </c>
      <c r="AD22" s="159"/>
    </row>
    <row r="23" spans="1:30" s="148" customFormat="1" x14ac:dyDescent="0.25">
      <c r="A23" s="98"/>
      <c r="B23" s="97" t="s">
        <v>145</v>
      </c>
      <c r="C23" s="96"/>
      <c r="D23" s="158"/>
      <c r="E23" s="158"/>
      <c r="F23" s="158"/>
      <c r="G23" s="158"/>
      <c r="H23" s="158"/>
      <c r="I23" s="362"/>
      <c r="J23" s="158"/>
      <c r="K23" s="159"/>
      <c r="L23" s="159"/>
      <c r="M23" s="159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</row>
    <row r="24" spans="1:30" s="148" customFormat="1" x14ac:dyDescent="0.25">
      <c r="A24" s="120">
        <v>200</v>
      </c>
      <c r="B24" s="122" t="s">
        <v>146</v>
      </c>
      <c r="C24" s="144" t="s">
        <v>62</v>
      </c>
      <c r="D24" s="159">
        <v>68.91</v>
      </c>
      <c r="E24" s="159"/>
      <c r="F24" s="159"/>
      <c r="G24" s="159"/>
      <c r="H24" s="159"/>
      <c r="I24" s="363">
        <v>68.91</v>
      </c>
      <c r="J24" s="159">
        <v>7.06</v>
      </c>
      <c r="K24" s="159">
        <v>7.5330856982784731</v>
      </c>
      <c r="L24" s="159">
        <v>7.6900249836592742</v>
      </c>
      <c r="M24" s="159">
        <v>7.8469642690400763</v>
      </c>
      <c r="N24" s="159">
        <f t="shared" ref="N24:N26" si="3">$D24*AJ$13</f>
        <v>5.8067535590896568</v>
      </c>
      <c r="O24" s="159">
        <f t="shared" ref="O24:O26" si="4">$D24*AK$13</f>
        <v>5.8852232017800574</v>
      </c>
      <c r="P24" s="159">
        <f t="shared" ref="P24:P26" si="5">$D24*AL$13</f>
        <v>5.791059630551576</v>
      </c>
      <c r="Q24" s="159">
        <f t="shared" ref="Q24:Q26" si="6">$D24*AM$13</f>
        <v>5.963692844470458</v>
      </c>
      <c r="R24" s="159">
        <f t="shared" ref="R24:R26" si="7">$D24*AN$13</f>
        <v>3.2172553503064312</v>
      </c>
      <c r="S24" s="159">
        <f t="shared" ref="S24:S26" si="8">$D24*AO$13</f>
        <v>2.981846422235229</v>
      </c>
      <c r="T24" s="159">
        <f t="shared" ref="T24:T26" si="9">$D24*AP$13</f>
        <v>3.1387857076160302</v>
      </c>
      <c r="U24" s="159">
        <f t="shared" ref="U24:U26" si="10">$D24*AQ$13</f>
        <v>3.2172553503064312</v>
      </c>
      <c r="V24" s="159">
        <f t="shared" ref="V24:V26" si="11">$D24*AR$13</f>
        <v>0.15693928538080151</v>
      </c>
      <c r="W24" s="159">
        <f t="shared" ref="W24:W26" si="12">$D24*AS$13</f>
        <v>0.45512392760432441</v>
      </c>
      <c r="X24" s="159">
        <f t="shared" ref="X24:X26" si="13">$D24*AT$13</f>
        <v>0.31387857076160303</v>
      </c>
      <c r="Y24" s="159">
        <f t="shared" ref="Y24:Y26" si="14">$D24*AU$13</f>
        <v>0.34526642783776335</v>
      </c>
      <c r="Z24" s="159">
        <f t="shared" ref="Z24:Z26" si="15">$D24*AV$13</f>
        <v>0</v>
      </c>
      <c r="AA24" s="159">
        <f t="shared" ref="AA24:AA26" si="16">$D24*AW$13</f>
        <v>0</v>
      </c>
      <c r="AB24" s="159">
        <f t="shared" ref="AB24:AB26" si="17">$D24*AX$13</f>
        <v>0</v>
      </c>
      <c r="AC24" s="159">
        <f t="shared" ref="AC24:AC26" si="18">$D24*AY$13</f>
        <v>0</v>
      </c>
      <c r="AD24" s="159"/>
    </row>
    <row r="25" spans="1:30" s="148" customFormat="1" x14ac:dyDescent="0.25">
      <c r="A25" s="120">
        <v>200</v>
      </c>
      <c r="B25" s="122" t="s">
        <v>147</v>
      </c>
      <c r="C25" s="144" t="s">
        <v>20</v>
      </c>
      <c r="D25" s="159">
        <v>68.91</v>
      </c>
      <c r="E25" s="159"/>
      <c r="F25" s="159"/>
      <c r="G25" s="159"/>
      <c r="H25" s="159"/>
      <c r="I25" s="363">
        <v>68.91</v>
      </c>
      <c r="J25" s="159">
        <v>7.06</v>
      </c>
      <c r="K25" s="159">
        <v>7.5330856982784731</v>
      </c>
      <c r="L25" s="159">
        <v>7.6900249836592742</v>
      </c>
      <c r="M25" s="159">
        <v>7.8469642690400763</v>
      </c>
      <c r="N25" s="159">
        <f t="shared" si="3"/>
        <v>5.8067535590896568</v>
      </c>
      <c r="O25" s="159">
        <f t="shared" si="4"/>
        <v>5.8852232017800574</v>
      </c>
      <c r="P25" s="159">
        <f t="shared" si="5"/>
        <v>5.791059630551576</v>
      </c>
      <c r="Q25" s="159">
        <f t="shared" si="6"/>
        <v>5.963692844470458</v>
      </c>
      <c r="R25" s="159">
        <f t="shared" si="7"/>
        <v>3.2172553503064312</v>
      </c>
      <c r="S25" s="159">
        <f t="shared" si="8"/>
        <v>2.981846422235229</v>
      </c>
      <c r="T25" s="159">
        <f t="shared" si="9"/>
        <v>3.1387857076160302</v>
      </c>
      <c r="U25" s="159">
        <f t="shared" si="10"/>
        <v>3.2172553503064312</v>
      </c>
      <c r="V25" s="159">
        <f t="shared" si="11"/>
        <v>0.15693928538080151</v>
      </c>
      <c r="W25" s="159">
        <f t="shared" si="12"/>
        <v>0.45512392760432441</v>
      </c>
      <c r="X25" s="159">
        <f t="shared" si="13"/>
        <v>0.31387857076160303</v>
      </c>
      <c r="Y25" s="159">
        <f t="shared" si="14"/>
        <v>0.34526642783776335</v>
      </c>
      <c r="Z25" s="159">
        <f t="shared" si="15"/>
        <v>0</v>
      </c>
      <c r="AA25" s="159">
        <f t="shared" si="16"/>
        <v>0</v>
      </c>
      <c r="AB25" s="159">
        <f t="shared" si="17"/>
        <v>0</v>
      </c>
      <c r="AC25" s="159">
        <f t="shared" si="18"/>
        <v>0</v>
      </c>
      <c r="AD25" s="159"/>
    </row>
    <row r="26" spans="1:30" s="148" customFormat="1" x14ac:dyDescent="0.25">
      <c r="A26" s="120">
        <v>200</v>
      </c>
      <c r="B26" s="122" t="s">
        <v>148</v>
      </c>
      <c r="C26" s="144" t="s">
        <v>62</v>
      </c>
      <c r="D26" s="159">
        <v>995.9</v>
      </c>
      <c r="E26" s="159"/>
      <c r="F26" s="159"/>
      <c r="G26" s="159"/>
      <c r="H26" s="159"/>
      <c r="I26" s="363">
        <v>995.9</v>
      </c>
      <c r="J26" s="159">
        <v>102.07</v>
      </c>
      <c r="K26" s="159">
        <v>108.86954066050691</v>
      </c>
      <c r="L26" s="159">
        <v>111.13765609093414</v>
      </c>
      <c r="M26" s="159">
        <v>113.40577152136137</v>
      </c>
      <c r="N26" s="159">
        <f t="shared" si="3"/>
        <v>83.920270925807415</v>
      </c>
      <c r="O26" s="159">
        <f t="shared" si="4"/>
        <v>85.05432864102103</v>
      </c>
      <c r="P26" s="159">
        <f t="shared" si="5"/>
        <v>83.693459382764686</v>
      </c>
      <c r="Q26" s="159">
        <f t="shared" si="6"/>
        <v>86.188386356234645</v>
      </c>
      <c r="R26" s="159">
        <f t="shared" si="7"/>
        <v>46.49636632375816</v>
      </c>
      <c r="S26" s="159">
        <f t="shared" si="8"/>
        <v>43.094193178117322</v>
      </c>
      <c r="T26" s="159">
        <f t="shared" si="9"/>
        <v>45.362308608544545</v>
      </c>
      <c r="U26" s="159">
        <f t="shared" si="10"/>
        <v>46.49636632375816</v>
      </c>
      <c r="V26" s="159">
        <f t="shared" si="11"/>
        <v>2.2681154304272275</v>
      </c>
      <c r="W26" s="159">
        <f t="shared" si="12"/>
        <v>6.5775347482389597</v>
      </c>
      <c r="X26" s="159">
        <f t="shared" si="13"/>
        <v>4.536230860854455</v>
      </c>
      <c r="Y26" s="159">
        <f t="shared" si="14"/>
        <v>4.9898539469399008</v>
      </c>
      <c r="Z26" s="159">
        <f t="shared" si="15"/>
        <v>0</v>
      </c>
      <c r="AA26" s="159">
        <f t="shared" si="16"/>
        <v>0</v>
      </c>
      <c r="AB26" s="159">
        <f t="shared" si="17"/>
        <v>0</v>
      </c>
      <c r="AC26" s="159">
        <f t="shared" si="18"/>
        <v>0</v>
      </c>
      <c r="AD26" s="159"/>
    </row>
    <row r="27" spans="1:30" s="148" customFormat="1" x14ac:dyDescent="0.25">
      <c r="A27" s="136"/>
      <c r="B27" s="138" t="s">
        <v>149</v>
      </c>
      <c r="C27" s="145"/>
      <c r="D27" s="160"/>
      <c r="E27" s="160"/>
      <c r="F27" s="160"/>
      <c r="G27" s="160"/>
      <c r="H27" s="160"/>
      <c r="I27" s="364"/>
      <c r="J27" s="160"/>
      <c r="K27" s="159"/>
      <c r="L27" s="159"/>
      <c r="M27" s="159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</row>
    <row r="28" spans="1:30" s="148" customFormat="1" x14ac:dyDescent="0.25">
      <c r="A28" s="128">
        <v>200</v>
      </c>
      <c r="B28" s="130" t="s">
        <v>150</v>
      </c>
      <c r="C28" s="146" t="s">
        <v>197</v>
      </c>
      <c r="D28" s="161">
        <v>68.95</v>
      </c>
      <c r="E28" s="161"/>
      <c r="F28" s="161"/>
      <c r="G28" s="161"/>
      <c r="H28" s="161"/>
      <c r="I28" s="365">
        <v>68.95</v>
      </c>
      <c r="J28" s="161">
        <v>7.07</v>
      </c>
      <c r="K28" s="159">
        <v>7.537458408014813</v>
      </c>
      <c r="L28" s="159">
        <v>7.6944887915151217</v>
      </c>
      <c r="M28" s="159">
        <v>7.8515191750154303</v>
      </c>
      <c r="N28" s="159">
        <f t="shared" ref="N28:N31" si="19">$D28*AJ$13</f>
        <v>5.8101241895114191</v>
      </c>
      <c r="O28" s="159">
        <f t="shared" ref="O28:O31" si="20">$D28*AK$13</f>
        <v>5.8886393812615729</v>
      </c>
      <c r="P28" s="159">
        <f t="shared" ref="P28:P31" si="21">$D28*AL$13</f>
        <v>5.7944211511613872</v>
      </c>
      <c r="Q28" s="159">
        <f t="shared" ref="Q28:Q31" si="22">$D28*AM$13</f>
        <v>5.9671545730117277</v>
      </c>
      <c r="R28" s="159">
        <f t="shared" ref="R28:R31" si="23">$D28*AN$13</f>
        <v>3.2191228617563263</v>
      </c>
      <c r="S28" s="159">
        <f t="shared" ref="S28:S31" si="24">$D28*AO$13</f>
        <v>2.9835772865058638</v>
      </c>
      <c r="T28" s="159">
        <f t="shared" ref="T28:T31" si="25">$D28*AP$13</f>
        <v>3.140607670006172</v>
      </c>
      <c r="U28" s="159">
        <f t="shared" ref="U28:U31" si="26">$D28*AQ$13</f>
        <v>3.2191228617563263</v>
      </c>
      <c r="V28" s="159">
        <f t="shared" ref="V28:V31" si="27">$D28*AR$13</f>
        <v>0.1570303835003086</v>
      </c>
      <c r="W28" s="159">
        <f t="shared" ref="W28:W31" si="28">$D28*AS$13</f>
        <v>0.45538811215089492</v>
      </c>
      <c r="X28" s="159">
        <f t="shared" ref="X28:X31" si="29">$D28*AT$13</f>
        <v>0.31406076700061719</v>
      </c>
      <c r="Y28" s="159">
        <f t="shared" ref="Y28:Y31" si="30">$D28*AU$13</f>
        <v>0.34546684370067893</v>
      </c>
      <c r="Z28" s="159">
        <f t="shared" ref="Z28:Z31" si="31">$D28*AV$13</f>
        <v>0</v>
      </c>
      <c r="AA28" s="159">
        <f t="shared" ref="AA28:AA31" si="32">$D28*AW$13</f>
        <v>0</v>
      </c>
      <c r="AB28" s="159">
        <f t="shared" ref="AB28:AB31" si="33">$D28*AX$13</f>
        <v>0</v>
      </c>
      <c r="AC28" s="159">
        <f t="shared" ref="AC28:AC31" si="34">$D28*AY$13</f>
        <v>0</v>
      </c>
      <c r="AD28" s="161"/>
    </row>
    <row r="29" spans="1:30" s="148" customFormat="1" x14ac:dyDescent="0.25">
      <c r="A29" s="128">
        <v>200</v>
      </c>
      <c r="B29" s="130" t="s">
        <v>151</v>
      </c>
      <c r="C29" s="146" t="s">
        <v>197</v>
      </c>
      <c r="D29" s="161">
        <v>8.56</v>
      </c>
      <c r="E29" s="161"/>
      <c r="F29" s="161"/>
      <c r="G29" s="161"/>
      <c r="H29" s="161"/>
      <c r="I29" s="365">
        <v>8.56</v>
      </c>
      <c r="J29" s="161">
        <v>0.88</v>
      </c>
      <c r="K29" s="159">
        <v>0.93575988357660334</v>
      </c>
      <c r="L29" s="159">
        <v>0.9552548811511159</v>
      </c>
      <c r="M29" s="159">
        <v>0.97474987872562846</v>
      </c>
      <c r="N29" s="159">
        <f t="shared" si="19"/>
        <v>0.72131491025696515</v>
      </c>
      <c r="O29" s="159">
        <f t="shared" si="20"/>
        <v>0.73106240904422137</v>
      </c>
      <c r="P29" s="159">
        <f t="shared" si="21"/>
        <v>0.71936541049951375</v>
      </c>
      <c r="Q29" s="159">
        <f t="shared" si="22"/>
        <v>0.74080990783147771</v>
      </c>
      <c r="R29" s="159">
        <f t="shared" si="23"/>
        <v>0.39964745027750764</v>
      </c>
      <c r="S29" s="159">
        <f t="shared" si="24"/>
        <v>0.37040495391573885</v>
      </c>
      <c r="T29" s="159">
        <f t="shared" si="25"/>
        <v>0.38989995149025136</v>
      </c>
      <c r="U29" s="159">
        <f t="shared" si="26"/>
        <v>0.39964745027750764</v>
      </c>
      <c r="V29" s="159">
        <f t="shared" si="27"/>
        <v>1.9494997574512569E-2</v>
      </c>
      <c r="W29" s="159">
        <f t="shared" si="28"/>
        <v>5.6535492966086454E-2</v>
      </c>
      <c r="X29" s="159">
        <f t="shared" si="29"/>
        <v>3.8989995149025139E-2</v>
      </c>
      <c r="Y29" s="159">
        <f t="shared" si="30"/>
        <v>4.2888994663927656E-2</v>
      </c>
      <c r="Z29" s="159">
        <f t="shared" si="31"/>
        <v>0</v>
      </c>
      <c r="AA29" s="159">
        <f t="shared" si="32"/>
        <v>0</v>
      </c>
      <c r="AB29" s="159">
        <f t="shared" si="33"/>
        <v>0</v>
      </c>
      <c r="AC29" s="159">
        <f t="shared" si="34"/>
        <v>0</v>
      </c>
      <c r="AD29" s="161"/>
    </row>
    <row r="30" spans="1:30" s="148" customFormat="1" x14ac:dyDescent="0.25">
      <c r="A30" s="128">
        <v>200</v>
      </c>
      <c r="B30" s="130" t="s">
        <v>152</v>
      </c>
      <c r="C30" s="146" t="s">
        <v>197</v>
      </c>
      <c r="D30" s="161">
        <v>68.95</v>
      </c>
      <c r="E30" s="161"/>
      <c r="F30" s="161"/>
      <c r="G30" s="161"/>
      <c r="H30" s="161"/>
      <c r="I30" s="365">
        <v>68.95</v>
      </c>
      <c r="J30" s="161">
        <v>7.07</v>
      </c>
      <c r="K30" s="159">
        <v>7.537458408014813</v>
      </c>
      <c r="L30" s="159">
        <v>7.6944887915151217</v>
      </c>
      <c r="M30" s="159">
        <v>7.8515191750154303</v>
      </c>
      <c r="N30" s="159">
        <f t="shared" si="19"/>
        <v>5.8101241895114191</v>
      </c>
      <c r="O30" s="159">
        <f t="shared" si="20"/>
        <v>5.8886393812615729</v>
      </c>
      <c r="P30" s="159">
        <f t="shared" si="21"/>
        <v>5.7944211511613872</v>
      </c>
      <c r="Q30" s="159">
        <f t="shared" si="22"/>
        <v>5.9671545730117277</v>
      </c>
      <c r="R30" s="159">
        <f t="shared" si="23"/>
        <v>3.2191228617563263</v>
      </c>
      <c r="S30" s="159">
        <f t="shared" si="24"/>
        <v>2.9835772865058638</v>
      </c>
      <c r="T30" s="159">
        <f t="shared" si="25"/>
        <v>3.140607670006172</v>
      </c>
      <c r="U30" s="159">
        <f t="shared" si="26"/>
        <v>3.2191228617563263</v>
      </c>
      <c r="V30" s="159">
        <f t="shared" si="27"/>
        <v>0.1570303835003086</v>
      </c>
      <c r="W30" s="159">
        <f t="shared" si="28"/>
        <v>0.45538811215089492</v>
      </c>
      <c r="X30" s="159">
        <f t="shared" si="29"/>
        <v>0.31406076700061719</v>
      </c>
      <c r="Y30" s="159">
        <f t="shared" si="30"/>
        <v>0.34546684370067893</v>
      </c>
      <c r="Z30" s="159">
        <f t="shared" si="31"/>
        <v>0</v>
      </c>
      <c r="AA30" s="159">
        <f t="shared" si="32"/>
        <v>0</v>
      </c>
      <c r="AB30" s="159">
        <f t="shared" si="33"/>
        <v>0</v>
      </c>
      <c r="AC30" s="159">
        <f t="shared" si="34"/>
        <v>0</v>
      </c>
      <c r="AD30" s="161"/>
    </row>
    <row r="31" spans="1:30" s="148" customFormat="1" x14ac:dyDescent="0.25">
      <c r="A31" s="128">
        <v>200</v>
      </c>
      <c r="B31" s="130" t="s">
        <v>153</v>
      </c>
      <c r="C31" s="146" t="s">
        <v>197</v>
      </c>
      <c r="D31" s="161">
        <v>8.56</v>
      </c>
      <c r="E31" s="161"/>
      <c r="F31" s="161"/>
      <c r="G31" s="161"/>
      <c r="H31" s="161"/>
      <c r="I31" s="365">
        <v>8.56</v>
      </c>
      <c r="J31" s="161">
        <v>0.88</v>
      </c>
      <c r="K31" s="159">
        <v>0.93575988357660334</v>
      </c>
      <c r="L31" s="159">
        <v>0.9552548811511159</v>
      </c>
      <c r="M31" s="159">
        <v>0.97474987872562846</v>
      </c>
      <c r="N31" s="159">
        <f t="shared" si="19"/>
        <v>0.72131491025696515</v>
      </c>
      <c r="O31" s="159">
        <f t="shared" si="20"/>
        <v>0.73106240904422137</v>
      </c>
      <c r="P31" s="159">
        <f t="shared" si="21"/>
        <v>0.71936541049951375</v>
      </c>
      <c r="Q31" s="159">
        <f t="shared" si="22"/>
        <v>0.74080990783147771</v>
      </c>
      <c r="R31" s="159">
        <f t="shared" si="23"/>
        <v>0.39964745027750764</v>
      </c>
      <c r="S31" s="159">
        <f t="shared" si="24"/>
        <v>0.37040495391573885</v>
      </c>
      <c r="T31" s="159">
        <f t="shared" si="25"/>
        <v>0.38989995149025136</v>
      </c>
      <c r="U31" s="159">
        <f t="shared" si="26"/>
        <v>0.39964745027750764</v>
      </c>
      <c r="V31" s="159">
        <f t="shared" si="27"/>
        <v>1.9494997574512569E-2</v>
      </c>
      <c r="W31" s="159">
        <f t="shared" si="28"/>
        <v>5.6535492966086454E-2</v>
      </c>
      <c r="X31" s="159">
        <f t="shared" si="29"/>
        <v>3.8989995149025139E-2</v>
      </c>
      <c r="Y31" s="159">
        <f t="shared" si="30"/>
        <v>4.2888994663927656E-2</v>
      </c>
      <c r="Z31" s="159">
        <f t="shared" si="31"/>
        <v>0</v>
      </c>
      <c r="AA31" s="159">
        <f t="shared" si="32"/>
        <v>0</v>
      </c>
      <c r="AB31" s="159">
        <f t="shared" si="33"/>
        <v>0</v>
      </c>
      <c r="AC31" s="159">
        <f t="shared" si="34"/>
        <v>0</v>
      </c>
      <c r="AD31" s="161"/>
    </row>
    <row r="32" spans="1:30" s="148" customFormat="1" x14ac:dyDescent="0.25">
      <c r="A32" s="136"/>
      <c r="B32" s="138" t="s">
        <v>154</v>
      </c>
      <c r="C32" s="145"/>
      <c r="D32" s="160"/>
      <c r="E32" s="160"/>
      <c r="F32" s="160"/>
      <c r="G32" s="160"/>
      <c r="H32" s="160"/>
      <c r="I32" s="364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</row>
    <row r="33" spans="1:30" s="148" customFormat="1" x14ac:dyDescent="0.25">
      <c r="A33" s="136"/>
      <c r="B33" s="138" t="s">
        <v>155</v>
      </c>
      <c r="C33" s="145"/>
      <c r="D33" s="160"/>
      <c r="E33" s="160"/>
      <c r="F33" s="160"/>
      <c r="G33" s="160"/>
      <c r="H33" s="160"/>
      <c r="I33" s="364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</row>
    <row r="34" spans="1:30" s="148" customFormat="1" x14ac:dyDescent="0.25">
      <c r="A34" s="128">
        <v>300</v>
      </c>
      <c r="B34" s="130" t="s">
        <v>156</v>
      </c>
      <c r="C34" s="146" t="s">
        <v>62</v>
      </c>
      <c r="D34" s="161">
        <v>323.69</v>
      </c>
      <c r="E34" s="161"/>
      <c r="F34" s="161"/>
      <c r="G34" s="161"/>
      <c r="H34" s="161"/>
      <c r="I34" s="365">
        <v>323.69</v>
      </c>
      <c r="J34" s="161">
        <f>+D34*K34</f>
        <v>0</v>
      </c>
      <c r="K34" s="161">
        <f t="shared" ref="K34:M34" si="35">+E34*L34</f>
        <v>0</v>
      </c>
      <c r="L34" s="161">
        <f t="shared" si="35"/>
        <v>0</v>
      </c>
      <c r="M34" s="161">
        <f t="shared" si="35"/>
        <v>0</v>
      </c>
      <c r="N34" s="161">
        <f>$I34*AF$14</f>
        <v>0</v>
      </c>
      <c r="O34" s="161">
        <f t="shared" ref="O34:AC34" si="36">$I34*AG$14</f>
        <v>0</v>
      </c>
      <c r="P34" s="161">
        <f t="shared" si="36"/>
        <v>0</v>
      </c>
      <c r="Q34" s="161">
        <f t="shared" si="36"/>
        <v>0</v>
      </c>
      <c r="R34" s="161">
        <f t="shared" si="36"/>
        <v>39.589439991672741</v>
      </c>
      <c r="S34" s="161">
        <f t="shared" si="36"/>
        <v>36.641290205058816</v>
      </c>
      <c r="T34" s="161">
        <f t="shared" si="36"/>
        <v>37.483618715519931</v>
      </c>
      <c r="U34" s="161">
        <f t="shared" si="36"/>
        <v>37.904782970750496</v>
      </c>
      <c r="V34" s="161">
        <f t="shared" si="36"/>
        <v>63.174638284584155</v>
      </c>
      <c r="W34" s="161">
        <f t="shared" si="36"/>
        <v>63.174638284584155</v>
      </c>
      <c r="X34" s="161">
        <f t="shared" si="36"/>
        <v>67.386280836889767</v>
      </c>
      <c r="Y34" s="161">
        <f t="shared" si="36"/>
        <v>58.962995732278557</v>
      </c>
      <c r="Z34" s="161">
        <f t="shared" si="36"/>
        <v>25.269855313833666</v>
      </c>
      <c r="AA34" s="161">
        <f t="shared" si="36"/>
        <v>26.112183824294785</v>
      </c>
      <c r="AB34" s="161">
        <f t="shared" si="36"/>
        <v>26.954512334755908</v>
      </c>
      <c r="AC34" s="161">
        <f t="shared" si="36"/>
        <v>27.79684084521703</v>
      </c>
      <c r="AD34" s="161"/>
    </row>
    <row r="35" spans="1:30" s="148" customFormat="1" x14ac:dyDescent="0.25">
      <c r="A35" s="136"/>
      <c r="B35" s="138" t="s">
        <v>157</v>
      </c>
      <c r="C35" s="145"/>
      <c r="D35" s="160"/>
      <c r="E35" s="160"/>
      <c r="F35" s="160"/>
      <c r="G35" s="160"/>
      <c r="H35" s="160"/>
      <c r="I35" s="364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</row>
    <row r="36" spans="1:30" s="148" customFormat="1" x14ac:dyDescent="0.25">
      <c r="A36" s="128">
        <v>300</v>
      </c>
      <c r="B36" s="130" t="s">
        <v>158</v>
      </c>
      <c r="C36" s="146" t="s">
        <v>62</v>
      </c>
      <c r="D36" s="161">
        <v>24.73</v>
      </c>
      <c r="E36" s="161"/>
      <c r="F36" s="161"/>
      <c r="G36" s="161"/>
      <c r="H36" s="161"/>
      <c r="I36" s="365">
        <v>24.73</v>
      </c>
      <c r="J36" s="161">
        <f t="shared" ref="J36:J39" si="37">+D36*K36</f>
        <v>0</v>
      </c>
      <c r="K36" s="161">
        <f t="shared" ref="K36:K39" si="38">+E36*L36</f>
        <v>0</v>
      </c>
      <c r="L36" s="161">
        <f t="shared" ref="L36:L39" si="39">+F36*M36</f>
        <v>0</v>
      </c>
      <c r="M36" s="161">
        <f t="shared" ref="M36:M39" si="40">+G36*N36</f>
        <v>0</v>
      </c>
      <c r="N36" s="161">
        <f>$I36*AF$14</f>
        <v>0</v>
      </c>
      <c r="O36" s="161">
        <f t="shared" ref="O36:AC36" si="41">$I36*AG$14</f>
        <v>0</v>
      </c>
      <c r="P36" s="161">
        <f t="shared" si="41"/>
        <v>0</v>
      </c>
      <c r="Q36" s="161">
        <f t="shared" si="41"/>
        <v>0</v>
      </c>
      <c r="R36" s="161">
        <f t="shared" si="41"/>
        <v>3.0246434891225151</v>
      </c>
      <c r="S36" s="161">
        <f t="shared" si="41"/>
        <v>2.7994040803580722</v>
      </c>
      <c r="T36" s="161">
        <f t="shared" si="41"/>
        <v>2.8637581971479129</v>
      </c>
      <c r="U36" s="161">
        <f t="shared" si="41"/>
        <v>2.8959352555428337</v>
      </c>
      <c r="V36" s="161">
        <f t="shared" si="41"/>
        <v>4.8265587592380559</v>
      </c>
      <c r="W36" s="161">
        <f t="shared" si="41"/>
        <v>4.8265587592380559</v>
      </c>
      <c r="X36" s="161">
        <f t="shared" si="41"/>
        <v>5.1483293431872594</v>
      </c>
      <c r="Y36" s="161">
        <f t="shared" si="41"/>
        <v>4.5047881752888523</v>
      </c>
      <c r="Z36" s="161">
        <f t="shared" si="41"/>
        <v>1.9306235036952224</v>
      </c>
      <c r="AA36" s="161">
        <f t="shared" si="41"/>
        <v>1.9949776204850631</v>
      </c>
      <c r="AB36" s="161">
        <f t="shared" si="41"/>
        <v>2.059331737274904</v>
      </c>
      <c r="AC36" s="161">
        <f t="shared" si="41"/>
        <v>2.1236858540647447</v>
      </c>
      <c r="AD36" s="161"/>
    </row>
    <row r="37" spans="1:30" s="148" customFormat="1" x14ac:dyDescent="0.25">
      <c r="A37" s="128">
        <v>400</v>
      </c>
      <c r="B37" s="130" t="s">
        <v>159</v>
      </c>
      <c r="C37" s="146" t="s">
        <v>197</v>
      </c>
      <c r="D37" s="161">
        <v>23.09</v>
      </c>
      <c r="E37" s="161"/>
      <c r="F37" s="161"/>
      <c r="G37" s="161"/>
      <c r="H37" s="161"/>
      <c r="I37" s="365">
        <v>23.09</v>
      </c>
      <c r="J37" s="161">
        <f t="shared" si="37"/>
        <v>0</v>
      </c>
      <c r="K37" s="161">
        <f t="shared" si="38"/>
        <v>0</v>
      </c>
      <c r="L37" s="161">
        <f t="shared" si="39"/>
        <v>0</v>
      </c>
      <c r="M37" s="161">
        <f t="shared" si="40"/>
        <v>0</v>
      </c>
      <c r="N37" s="161">
        <f>$I37*AJ$15</f>
        <v>2.2109597286058218</v>
      </c>
      <c r="O37" s="161">
        <f t="shared" ref="O37:AC37" si="42">$I37*AK$15</f>
        <v>2.2741300065659882</v>
      </c>
      <c r="P37" s="161">
        <f t="shared" si="42"/>
        <v>2.242544867585905</v>
      </c>
      <c r="Q37" s="161">
        <f t="shared" si="42"/>
        <v>2.2614959509739547</v>
      </c>
      <c r="R37" s="161">
        <f t="shared" si="42"/>
        <v>1.7687677828846575</v>
      </c>
      <c r="S37" s="161">
        <f t="shared" si="42"/>
        <v>1.7687677828846575</v>
      </c>
      <c r="T37" s="161">
        <f t="shared" si="42"/>
        <v>1.642427226964325</v>
      </c>
      <c r="U37" s="161">
        <f t="shared" si="42"/>
        <v>1.7687677828846575</v>
      </c>
      <c r="V37" s="161">
        <f t="shared" si="42"/>
        <v>1.8951083388049901</v>
      </c>
      <c r="W37" s="161">
        <f t="shared" si="42"/>
        <v>1.9582786167651567</v>
      </c>
      <c r="X37" s="161">
        <f t="shared" si="42"/>
        <v>1.9898637557452397</v>
      </c>
      <c r="Y37" s="161">
        <f t="shared" si="42"/>
        <v>1.8635231998249069</v>
      </c>
      <c r="Z37" s="161">
        <f t="shared" si="42"/>
        <v>0</v>
      </c>
      <c r="AA37" s="161">
        <f t="shared" si="42"/>
        <v>0</v>
      </c>
      <c r="AB37" s="161">
        <f t="shared" si="42"/>
        <v>0</v>
      </c>
      <c r="AC37" s="161">
        <f t="shared" si="42"/>
        <v>0</v>
      </c>
      <c r="AD37" s="161"/>
    </row>
    <row r="38" spans="1:30" s="148" customFormat="1" x14ac:dyDescent="0.25">
      <c r="A38" s="128">
        <v>300</v>
      </c>
      <c r="B38" s="130" t="s">
        <v>160</v>
      </c>
      <c r="C38" s="146" t="s">
        <v>62</v>
      </c>
      <c r="D38" s="161">
        <v>163.82</v>
      </c>
      <c r="E38" s="161"/>
      <c r="F38" s="161"/>
      <c r="G38" s="161"/>
      <c r="H38" s="161"/>
      <c r="I38" s="365">
        <v>163.82</v>
      </c>
      <c r="J38" s="161">
        <f t="shared" si="37"/>
        <v>0</v>
      </c>
      <c r="K38" s="161">
        <f t="shared" si="38"/>
        <v>0</v>
      </c>
      <c r="L38" s="161">
        <f t="shared" si="39"/>
        <v>0</v>
      </c>
      <c r="M38" s="161">
        <f t="shared" si="40"/>
        <v>0</v>
      </c>
      <c r="N38" s="161">
        <f>$I38*AF$14</f>
        <v>0</v>
      </c>
      <c r="O38" s="161">
        <f t="shared" ref="O38:AC38" si="43">$I38*AG$14</f>
        <v>0</v>
      </c>
      <c r="P38" s="161">
        <f t="shared" si="43"/>
        <v>0</v>
      </c>
      <c r="Q38" s="161">
        <f t="shared" si="43"/>
        <v>0</v>
      </c>
      <c r="R38" s="161">
        <f t="shared" si="43"/>
        <v>20.036275632351412</v>
      </c>
      <c r="S38" s="161">
        <f t="shared" si="43"/>
        <v>18.544212553346519</v>
      </c>
      <c r="T38" s="161">
        <f t="shared" si="43"/>
        <v>18.970516290205058</v>
      </c>
      <c r="U38" s="161">
        <f t="shared" si="43"/>
        <v>19.18366815863433</v>
      </c>
      <c r="V38" s="161">
        <f t="shared" si="43"/>
        <v>31.972780264390547</v>
      </c>
      <c r="W38" s="161">
        <f t="shared" si="43"/>
        <v>31.972780264390547</v>
      </c>
      <c r="X38" s="161">
        <f t="shared" si="43"/>
        <v>34.104298948683251</v>
      </c>
      <c r="Y38" s="161">
        <f t="shared" si="43"/>
        <v>29.841261580097846</v>
      </c>
      <c r="Z38" s="161">
        <f t="shared" si="43"/>
        <v>12.789112105756219</v>
      </c>
      <c r="AA38" s="161">
        <f t="shared" si="43"/>
        <v>13.21541584261476</v>
      </c>
      <c r="AB38" s="161">
        <f t="shared" si="43"/>
        <v>13.641719579473301</v>
      </c>
      <c r="AC38" s="161">
        <f t="shared" si="43"/>
        <v>14.068023316331841</v>
      </c>
      <c r="AD38" s="161"/>
    </row>
    <row r="39" spans="1:30" s="148" customFormat="1" x14ac:dyDescent="0.25">
      <c r="A39" s="128">
        <v>400</v>
      </c>
      <c r="B39" s="130" t="s">
        <v>161</v>
      </c>
      <c r="C39" s="146" t="s">
        <v>197</v>
      </c>
      <c r="D39" s="161">
        <v>327.63</v>
      </c>
      <c r="E39" s="161"/>
      <c r="F39" s="161"/>
      <c r="G39" s="161"/>
      <c r="H39" s="161"/>
      <c r="I39" s="365">
        <v>327.63</v>
      </c>
      <c r="J39" s="161">
        <f t="shared" si="37"/>
        <v>0</v>
      </c>
      <c r="K39" s="161">
        <f t="shared" si="38"/>
        <v>0</v>
      </c>
      <c r="L39" s="161">
        <f t="shared" si="39"/>
        <v>0</v>
      </c>
      <c r="M39" s="161">
        <f t="shared" si="40"/>
        <v>0</v>
      </c>
      <c r="N39" s="161">
        <f>$I39*AJ$15</f>
        <v>31.37188115561392</v>
      </c>
      <c r="O39" s="161">
        <f t="shared" ref="O39:AC39" si="44">$I39*AK$15</f>
        <v>32.268220617202893</v>
      </c>
      <c r="P39" s="161">
        <f t="shared" si="44"/>
        <v>31.820050886408406</v>
      </c>
      <c r="Q39" s="161">
        <f t="shared" si="44"/>
        <v>32.088952724885097</v>
      </c>
      <c r="R39" s="161">
        <f t="shared" si="44"/>
        <v>25.097504924491137</v>
      </c>
      <c r="S39" s="161">
        <f t="shared" si="44"/>
        <v>25.097504924491137</v>
      </c>
      <c r="T39" s="161">
        <f t="shared" si="44"/>
        <v>23.304826001313199</v>
      </c>
      <c r="U39" s="161">
        <f t="shared" si="44"/>
        <v>25.097504924491137</v>
      </c>
      <c r="V39" s="161">
        <f t="shared" si="44"/>
        <v>26.890183847669075</v>
      </c>
      <c r="W39" s="161">
        <f t="shared" si="44"/>
        <v>27.786523309258047</v>
      </c>
      <c r="X39" s="161">
        <f t="shared" si="44"/>
        <v>28.234693040052527</v>
      </c>
      <c r="Y39" s="161">
        <f t="shared" si="44"/>
        <v>26.442014116874589</v>
      </c>
      <c r="Z39" s="161">
        <f t="shared" si="44"/>
        <v>0</v>
      </c>
      <c r="AA39" s="161">
        <f t="shared" si="44"/>
        <v>0</v>
      </c>
      <c r="AB39" s="161">
        <f t="shared" si="44"/>
        <v>0</v>
      </c>
      <c r="AC39" s="161">
        <f t="shared" si="44"/>
        <v>0</v>
      </c>
      <c r="AD39" s="161"/>
    </row>
    <row r="40" spans="1:30" s="148" customFormat="1" x14ac:dyDescent="0.25">
      <c r="A40" s="136"/>
      <c r="B40" s="138" t="s">
        <v>162</v>
      </c>
      <c r="C40" s="145"/>
      <c r="D40" s="160"/>
      <c r="E40" s="160"/>
      <c r="F40" s="160"/>
      <c r="G40" s="160"/>
      <c r="H40" s="160"/>
      <c r="I40" s="364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</row>
    <row r="41" spans="1:30" s="148" customFormat="1" x14ac:dyDescent="0.25">
      <c r="A41" s="128">
        <v>300</v>
      </c>
      <c r="B41" s="130" t="s">
        <v>163</v>
      </c>
      <c r="C41" s="144" t="s">
        <v>62</v>
      </c>
      <c r="D41" s="161">
        <v>3.21</v>
      </c>
      <c r="E41" s="161"/>
      <c r="F41" s="161"/>
      <c r="G41" s="161"/>
      <c r="H41" s="161"/>
      <c r="I41" s="365">
        <v>3.21</v>
      </c>
      <c r="J41" s="161">
        <f t="shared" ref="J41:J42" si="45">+D41*K41</f>
        <v>0</v>
      </c>
      <c r="K41" s="161">
        <f t="shared" ref="K41:K42" si="46">+E41*L41</f>
        <v>0</v>
      </c>
      <c r="L41" s="161">
        <f t="shared" ref="L41:L42" si="47">+F41*M41</f>
        <v>0</v>
      </c>
      <c r="M41" s="161">
        <f t="shared" ref="M41:M42" si="48">+G41*N41</f>
        <v>0</v>
      </c>
      <c r="N41" s="161">
        <f>$I41*AF$14</f>
        <v>0</v>
      </c>
      <c r="O41" s="161">
        <f t="shared" ref="O41:AC41" si="49">$I41*AG$14</f>
        <v>0</v>
      </c>
      <c r="P41" s="161">
        <f t="shared" si="49"/>
        <v>0</v>
      </c>
      <c r="Q41" s="161">
        <f t="shared" si="49"/>
        <v>0</v>
      </c>
      <c r="R41" s="161">
        <f t="shared" si="49"/>
        <v>0.39260435099406682</v>
      </c>
      <c r="S41" s="161">
        <f t="shared" si="49"/>
        <v>0.36336785677110439</v>
      </c>
      <c r="T41" s="161">
        <f t="shared" si="49"/>
        <v>0.37172114083480795</v>
      </c>
      <c r="U41" s="161">
        <f t="shared" si="49"/>
        <v>0.37589778286665976</v>
      </c>
      <c r="V41" s="161">
        <f t="shared" si="49"/>
        <v>0.62649630477776619</v>
      </c>
      <c r="W41" s="161">
        <f t="shared" si="49"/>
        <v>0.62649630477776619</v>
      </c>
      <c r="X41" s="161">
        <f t="shared" si="49"/>
        <v>0.66826272509628393</v>
      </c>
      <c r="Y41" s="161">
        <f t="shared" si="49"/>
        <v>0.58472988445924856</v>
      </c>
      <c r="Z41" s="161">
        <f t="shared" si="49"/>
        <v>0.25059852191110649</v>
      </c>
      <c r="AA41" s="161">
        <f t="shared" si="49"/>
        <v>0.25895180597481005</v>
      </c>
      <c r="AB41" s="161">
        <f t="shared" si="49"/>
        <v>0.2673050900385136</v>
      </c>
      <c r="AC41" s="161">
        <f t="shared" si="49"/>
        <v>0.27565837410221711</v>
      </c>
      <c r="AD41" s="161"/>
    </row>
    <row r="42" spans="1:30" s="148" customFormat="1" x14ac:dyDescent="0.25">
      <c r="A42" s="128">
        <v>400</v>
      </c>
      <c r="B42" s="130" t="s">
        <v>164</v>
      </c>
      <c r="C42" s="146" t="s">
        <v>197</v>
      </c>
      <c r="D42" s="161">
        <v>43.95</v>
      </c>
      <c r="E42" s="161"/>
      <c r="F42" s="161"/>
      <c r="G42" s="161"/>
      <c r="H42" s="161"/>
      <c r="I42" s="365">
        <v>43.95</v>
      </c>
      <c r="J42" s="161">
        <f t="shared" si="45"/>
        <v>0</v>
      </c>
      <c r="K42" s="161">
        <f t="shared" si="46"/>
        <v>0</v>
      </c>
      <c r="L42" s="161">
        <f t="shared" si="47"/>
        <v>0</v>
      </c>
      <c r="M42" s="161">
        <f t="shared" si="48"/>
        <v>0</v>
      </c>
      <c r="N42" s="161">
        <f>$I42*AJ$15</f>
        <v>4.2083880499015107</v>
      </c>
      <c r="O42" s="161">
        <f t="shared" ref="O42:AC42" si="50">$I42*AK$15</f>
        <v>4.3286277084701252</v>
      </c>
      <c r="P42" s="161">
        <f t="shared" si="50"/>
        <v>4.268507879185818</v>
      </c>
      <c r="Q42" s="161">
        <f t="shared" si="50"/>
        <v>4.3045797767564018</v>
      </c>
      <c r="R42" s="161">
        <f t="shared" si="50"/>
        <v>3.3667104399212082</v>
      </c>
      <c r="S42" s="161">
        <f t="shared" si="50"/>
        <v>3.3667104399212082</v>
      </c>
      <c r="T42" s="161">
        <f t="shared" si="50"/>
        <v>3.1262311227839796</v>
      </c>
      <c r="U42" s="161">
        <f t="shared" si="50"/>
        <v>3.3667104399212082</v>
      </c>
      <c r="V42" s="161">
        <f t="shared" si="50"/>
        <v>3.6071897570584377</v>
      </c>
      <c r="W42" s="161">
        <f t="shared" si="50"/>
        <v>3.7274294156270527</v>
      </c>
      <c r="X42" s="161">
        <f t="shared" si="50"/>
        <v>3.7875492449113595</v>
      </c>
      <c r="Y42" s="161">
        <f t="shared" si="50"/>
        <v>3.54706992777413</v>
      </c>
      <c r="Z42" s="161">
        <f t="shared" si="50"/>
        <v>0</v>
      </c>
      <c r="AA42" s="161">
        <f t="shared" si="50"/>
        <v>0</v>
      </c>
      <c r="AB42" s="161">
        <f t="shared" si="50"/>
        <v>0</v>
      </c>
      <c r="AC42" s="161">
        <f t="shared" si="50"/>
        <v>0</v>
      </c>
      <c r="AD42" s="161"/>
    </row>
    <row r="43" spans="1:30" s="148" customFormat="1" x14ac:dyDescent="0.25">
      <c r="A43" s="136"/>
      <c r="B43" s="138" t="s">
        <v>165</v>
      </c>
      <c r="C43" s="145"/>
      <c r="D43" s="160"/>
      <c r="E43" s="160"/>
      <c r="F43" s="160"/>
      <c r="G43" s="160"/>
      <c r="H43" s="160"/>
      <c r="I43" s="364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</row>
    <row r="44" spans="1:30" s="148" customFormat="1" x14ac:dyDescent="0.25">
      <c r="A44" s="136"/>
      <c r="B44" s="138" t="s">
        <v>166</v>
      </c>
      <c r="C44" s="145"/>
      <c r="D44" s="160"/>
      <c r="E44" s="160"/>
      <c r="F44" s="160"/>
      <c r="G44" s="160"/>
      <c r="H44" s="160"/>
      <c r="I44" s="364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</row>
    <row r="45" spans="1:30" s="148" customFormat="1" x14ac:dyDescent="0.25">
      <c r="A45" s="128">
        <v>300</v>
      </c>
      <c r="B45" s="130" t="s">
        <v>167</v>
      </c>
      <c r="C45" s="146" t="s">
        <v>62</v>
      </c>
      <c r="D45" s="161">
        <v>396.75</v>
      </c>
      <c r="E45" s="161"/>
      <c r="F45" s="161"/>
      <c r="G45" s="161"/>
      <c r="H45" s="161"/>
      <c r="I45" s="365">
        <v>396.75</v>
      </c>
      <c r="J45" s="161">
        <v>0</v>
      </c>
      <c r="K45" s="161">
        <v>0</v>
      </c>
      <c r="L45" s="161">
        <v>0</v>
      </c>
      <c r="M45" s="161">
        <v>0</v>
      </c>
      <c r="N45" s="161">
        <f>$I45*AF$14</f>
        <v>0</v>
      </c>
      <c r="O45" s="161">
        <f t="shared" ref="O45:AC45" si="51">$I45*AG$14</f>
        <v>0</v>
      </c>
      <c r="P45" s="161">
        <f t="shared" si="51"/>
        <v>0</v>
      </c>
      <c r="Q45" s="161">
        <f t="shared" si="51"/>
        <v>0</v>
      </c>
      <c r="R45" s="161">
        <f t="shared" si="51"/>
        <v>48.525163942958265</v>
      </c>
      <c r="S45" s="161">
        <f t="shared" si="51"/>
        <v>44.911587904652862</v>
      </c>
      <c r="T45" s="161">
        <f t="shared" si="51"/>
        <v>45.944038201311542</v>
      </c>
      <c r="U45" s="161">
        <f t="shared" si="51"/>
        <v>46.46026334964089</v>
      </c>
      <c r="V45" s="161">
        <f t="shared" si="51"/>
        <v>77.433772249401486</v>
      </c>
      <c r="W45" s="161">
        <f t="shared" si="51"/>
        <v>77.433772249401486</v>
      </c>
      <c r="X45" s="161">
        <f t="shared" si="51"/>
        <v>82.596023732694917</v>
      </c>
      <c r="Y45" s="161">
        <f t="shared" si="51"/>
        <v>72.271520766108054</v>
      </c>
      <c r="Z45" s="161">
        <f t="shared" si="51"/>
        <v>30.973508899760592</v>
      </c>
      <c r="AA45" s="161">
        <f t="shared" si="51"/>
        <v>32.005959196419276</v>
      </c>
      <c r="AB45" s="161">
        <f t="shared" si="51"/>
        <v>33.038409493077964</v>
      </c>
      <c r="AC45" s="161">
        <f t="shared" si="51"/>
        <v>34.070859789736652</v>
      </c>
      <c r="AD45" s="161"/>
    </row>
    <row r="46" spans="1:30" s="148" customFormat="1" x14ac:dyDescent="0.25">
      <c r="A46" s="128">
        <v>500</v>
      </c>
      <c r="B46" s="130" t="s">
        <v>168</v>
      </c>
      <c r="C46" s="146" t="s">
        <v>198</v>
      </c>
      <c r="D46" s="161">
        <v>17534.91</v>
      </c>
      <c r="E46" s="161"/>
      <c r="F46" s="161"/>
      <c r="G46" s="161"/>
      <c r="H46" s="161"/>
      <c r="I46" s="365">
        <v>17534.91</v>
      </c>
      <c r="J46" s="161">
        <v>0</v>
      </c>
      <c r="K46" s="161">
        <v>0</v>
      </c>
      <c r="L46" s="161">
        <v>0</v>
      </c>
      <c r="M46" s="161">
        <v>0</v>
      </c>
      <c r="N46" s="161">
        <f>$I46*AJ$16</f>
        <v>1807.5852817851326</v>
      </c>
      <c r="O46" s="161">
        <f t="shared" ref="O46:AC46" si="52">$I46*AK$16</f>
        <v>1837.0567809446727</v>
      </c>
      <c r="P46" s="161">
        <f t="shared" si="52"/>
        <v>1784.6630046610458</v>
      </c>
      <c r="Q46" s="161">
        <f t="shared" si="52"/>
        <v>1768.2899495724123</v>
      </c>
      <c r="R46" s="161">
        <f t="shared" si="52"/>
        <v>1964.7666106360136</v>
      </c>
      <c r="S46" s="161">
        <f t="shared" si="52"/>
        <v>1964.7666106360136</v>
      </c>
      <c r="T46" s="161">
        <f t="shared" si="52"/>
        <v>1961.4919996182869</v>
      </c>
      <c r="U46" s="161">
        <f t="shared" si="52"/>
        <v>2193.9893818768819</v>
      </c>
      <c r="V46" s="161">
        <f t="shared" si="52"/>
        <v>491.19165265900341</v>
      </c>
      <c r="W46" s="161">
        <f t="shared" si="52"/>
        <v>458.44554248173654</v>
      </c>
      <c r="X46" s="161">
        <f t="shared" si="52"/>
        <v>622.17609336807107</v>
      </c>
      <c r="Y46" s="161">
        <f t="shared" si="52"/>
        <v>556.6838730135371</v>
      </c>
      <c r="Z46" s="161">
        <f t="shared" si="52"/>
        <v>0</v>
      </c>
      <c r="AA46" s="161">
        <f t="shared" si="52"/>
        <v>0</v>
      </c>
      <c r="AB46" s="161">
        <f t="shared" si="52"/>
        <v>0</v>
      </c>
      <c r="AC46" s="161">
        <f t="shared" si="52"/>
        <v>0</v>
      </c>
      <c r="AD46" s="161"/>
    </row>
    <row r="47" spans="1:30" s="148" customFormat="1" x14ac:dyDescent="0.25">
      <c r="A47" s="136"/>
      <c r="B47" s="138" t="s">
        <v>169</v>
      </c>
      <c r="C47" s="145"/>
      <c r="D47" s="160"/>
      <c r="E47" s="160"/>
      <c r="F47" s="160"/>
      <c r="G47" s="160"/>
      <c r="H47" s="160"/>
      <c r="I47" s="364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</row>
    <row r="48" spans="1:30" s="148" customFormat="1" x14ac:dyDescent="0.25">
      <c r="A48" s="128">
        <v>300</v>
      </c>
      <c r="B48" s="130" t="s">
        <v>170</v>
      </c>
      <c r="C48" s="146" t="s">
        <v>62</v>
      </c>
      <c r="D48" s="161">
        <v>6.69</v>
      </c>
      <c r="E48" s="161"/>
      <c r="F48" s="161"/>
      <c r="G48" s="161"/>
      <c r="H48" s="161"/>
      <c r="I48" s="365">
        <v>6.69</v>
      </c>
      <c r="J48" s="161">
        <v>0</v>
      </c>
      <c r="K48" s="161">
        <v>0</v>
      </c>
      <c r="L48" s="161">
        <v>0</v>
      </c>
      <c r="M48" s="161">
        <v>0</v>
      </c>
      <c r="N48" s="161">
        <f>$I48*AF$14</f>
        <v>0</v>
      </c>
      <c r="O48" s="161">
        <f t="shared" ref="O48:AC48" si="53">$I48*AG$14</f>
        <v>0</v>
      </c>
      <c r="P48" s="161">
        <f t="shared" si="53"/>
        <v>0</v>
      </c>
      <c r="Q48" s="161">
        <f t="shared" si="53"/>
        <v>0</v>
      </c>
      <c r="R48" s="161">
        <f t="shared" si="53"/>
        <v>0.81823149786613936</v>
      </c>
      <c r="S48" s="161">
        <f t="shared" si="53"/>
        <v>0.75729936504632045</v>
      </c>
      <c r="T48" s="161">
        <f t="shared" si="53"/>
        <v>0.77470854585198301</v>
      </c>
      <c r="U48" s="161">
        <f t="shared" si="53"/>
        <v>0.78341313625481435</v>
      </c>
      <c r="V48" s="161">
        <f t="shared" si="53"/>
        <v>1.3056885604246904</v>
      </c>
      <c r="W48" s="161">
        <f t="shared" si="53"/>
        <v>1.3056885604246904</v>
      </c>
      <c r="X48" s="161">
        <f t="shared" si="53"/>
        <v>1.3927344644530031</v>
      </c>
      <c r="Y48" s="161">
        <f t="shared" si="53"/>
        <v>1.2186426563963779</v>
      </c>
      <c r="Z48" s="161">
        <f t="shared" si="53"/>
        <v>0.52227542416987616</v>
      </c>
      <c r="AA48" s="161">
        <f t="shared" si="53"/>
        <v>0.53968460497553872</v>
      </c>
      <c r="AB48" s="161">
        <f t="shared" si="53"/>
        <v>0.55709378578120128</v>
      </c>
      <c r="AC48" s="161">
        <f t="shared" si="53"/>
        <v>0.57450296658686384</v>
      </c>
      <c r="AD48" s="161"/>
    </row>
    <row r="49" spans="1:30" s="148" customFormat="1" x14ac:dyDescent="0.25">
      <c r="A49" s="128">
        <v>400</v>
      </c>
      <c r="B49" s="130" t="s">
        <v>171</v>
      </c>
      <c r="C49" s="146" t="s">
        <v>197</v>
      </c>
      <c r="D49" s="161">
        <v>74.180000000000007</v>
      </c>
      <c r="E49" s="161"/>
      <c r="F49" s="161"/>
      <c r="G49" s="161"/>
      <c r="H49" s="161"/>
      <c r="I49" s="365">
        <v>74.180000000000007</v>
      </c>
      <c r="J49" s="161">
        <v>0</v>
      </c>
      <c r="K49" s="161">
        <v>0</v>
      </c>
      <c r="L49" s="161">
        <v>0</v>
      </c>
      <c r="M49" s="161">
        <v>0</v>
      </c>
      <c r="N49" s="161">
        <f>$I49*AJ$15</f>
        <v>7.1030312978769983</v>
      </c>
      <c r="O49" s="161">
        <f t="shared" ref="O49:AC49" si="54">$I49*AK$15</f>
        <v>7.3059750492449131</v>
      </c>
      <c r="P49" s="161">
        <f t="shared" si="54"/>
        <v>7.2045031735609557</v>
      </c>
      <c r="Q49" s="161">
        <f t="shared" si="54"/>
        <v>7.2653862989713289</v>
      </c>
      <c r="R49" s="161">
        <f t="shared" si="54"/>
        <v>5.6824250383015977</v>
      </c>
      <c r="S49" s="161">
        <f t="shared" si="54"/>
        <v>5.6824250383015977</v>
      </c>
      <c r="T49" s="161">
        <f t="shared" si="54"/>
        <v>5.2765375355657707</v>
      </c>
      <c r="U49" s="161">
        <f t="shared" si="54"/>
        <v>5.6824250383015977</v>
      </c>
      <c r="V49" s="161">
        <f t="shared" si="54"/>
        <v>6.0883125410374266</v>
      </c>
      <c r="W49" s="161">
        <f t="shared" si="54"/>
        <v>6.2912562924053415</v>
      </c>
      <c r="X49" s="161">
        <f t="shared" si="54"/>
        <v>6.392728168089298</v>
      </c>
      <c r="Y49" s="161">
        <f t="shared" si="54"/>
        <v>5.9868406653534691</v>
      </c>
      <c r="Z49" s="161">
        <f t="shared" si="54"/>
        <v>0</v>
      </c>
      <c r="AA49" s="161">
        <f t="shared" si="54"/>
        <v>0</v>
      </c>
      <c r="AB49" s="161">
        <f t="shared" si="54"/>
        <v>0</v>
      </c>
      <c r="AC49" s="161">
        <f t="shared" si="54"/>
        <v>0</v>
      </c>
      <c r="AD49" s="161"/>
    </row>
    <row r="50" spans="1:30" s="148" customFormat="1" x14ac:dyDescent="0.25">
      <c r="A50" s="128">
        <v>500</v>
      </c>
      <c r="B50" s="130" t="s">
        <v>172</v>
      </c>
      <c r="C50" s="146" t="s">
        <v>198</v>
      </c>
      <c r="D50" s="161">
        <v>419.35</v>
      </c>
      <c r="E50" s="161"/>
      <c r="F50" s="161"/>
      <c r="G50" s="161"/>
      <c r="H50" s="161"/>
      <c r="I50" s="365">
        <v>419.35</v>
      </c>
      <c r="J50" s="161">
        <v>0</v>
      </c>
      <c r="K50" s="161">
        <v>0</v>
      </c>
      <c r="L50" s="161">
        <v>0</v>
      </c>
      <c r="M50" s="161">
        <v>0</v>
      </c>
      <c r="N50" s="161">
        <f>$I50*AJ$16</f>
        <v>43.228672854129016</v>
      </c>
      <c r="O50" s="161">
        <f t="shared" ref="O50:AC50" si="55">$I50*AK$16</f>
        <v>43.933488172402853</v>
      </c>
      <c r="P50" s="161">
        <f t="shared" si="55"/>
        <v>42.680483162138245</v>
      </c>
      <c r="Q50" s="161">
        <f t="shared" si="55"/>
        <v>42.288919096430554</v>
      </c>
      <c r="R50" s="161">
        <f t="shared" si="55"/>
        <v>46.987687884922842</v>
      </c>
      <c r="S50" s="161">
        <f t="shared" si="55"/>
        <v>46.987687884922842</v>
      </c>
      <c r="T50" s="161">
        <f t="shared" si="55"/>
        <v>46.909375071781298</v>
      </c>
      <c r="U50" s="161">
        <f t="shared" si="55"/>
        <v>52.469584804830511</v>
      </c>
      <c r="V50" s="161">
        <f t="shared" si="55"/>
        <v>11.74692197123071</v>
      </c>
      <c r="W50" s="161">
        <f t="shared" si="55"/>
        <v>10.963793839815329</v>
      </c>
      <c r="X50" s="161">
        <f t="shared" si="55"/>
        <v>14.879434496892234</v>
      </c>
      <c r="Y50" s="161">
        <f t="shared" si="55"/>
        <v>13.313178234061469</v>
      </c>
      <c r="Z50" s="161">
        <f t="shared" si="55"/>
        <v>0</v>
      </c>
      <c r="AA50" s="161">
        <f t="shared" si="55"/>
        <v>0</v>
      </c>
      <c r="AB50" s="161">
        <f t="shared" si="55"/>
        <v>0</v>
      </c>
      <c r="AC50" s="161">
        <f t="shared" si="55"/>
        <v>0</v>
      </c>
      <c r="AD50" s="161"/>
    </row>
    <row r="51" spans="1:30" s="148" customFormat="1" x14ac:dyDescent="0.25">
      <c r="A51" s="128">
        <v>300</v>
      </c>
      <c r="B51" s="130" t="s">
        <v>173</v>
      </c>
      <c r="C51" s="146" t="s">
        <v>62</v>
      </c>
      <c r="D51" s="161">
        <v>256.52</v>
      </c>
      <c r="E51" s="161"/>
      <c r="F51" s="161"/>
      <c r="G51" s="161"/>
      <c r="H51" s="161"/>
      <c r="I51" s="365">
        <v>256.52</v>
      </c>
      <c r="J51" s="161">
        <v>0</v>
      </c>
      <c r="K51" s="161">
        <v>0</v>
      </c>
      <c r="L51" s="161">
        <v>0</v>
      </c>
      <c r="M51" s="161">
        <v>0</v>
      </c>
      <c r="N51" s="161">
        <f>$I51*AF$14</f>
        <v>0</v>
      </c>
      <c r="O51" s="161">
        <f t="shared" ref="O51:AC51" si="56">$I51*AG$14</f>
        <v>0</v>
      </c>
      <c r="P51" s="161">
        <f t="shared" si="56"/>
        <v>0</v>
      </c>
      <c r="Q51" s="161">
        <f t="shared" si="56"/>
        <v>0</v>
      </c>
      <c r="R51" s="161">
        <f t="shared" si="56"/>
        <v>31.374102217133341</v>
      </c>
      <c r="S51" s="161">
        <f t="shared" si="56"/>
        <v>29.037732903091495</v>
      </c>
      <c r="T51" s="161">
        <f t="shared" si="56"/>
        <v>29.705266992817737</v>
      </c>
      <c r="U51" s="161">
        <f t="shared" si="56"/>
        <v>30.039034037680857</v>
      </c>
      <c r="V51" s="161">
        <f t="shared" si="56"/>
        <v>50.06505672946809</v>
      </c>
      <c r="W51" s="161">
        <f t="shared" si="56"/>
        <v>50.06505672946809</v>
      </c>
      <c r="X51" s="161">
        <f t="shared" si="56"/>
        <v>53.402727178099298</v>
      </c>
      <c r="Y51" s="161">
        <f t="shared" si="56"/>
        <v>46.727386280836896</v>
      </c>
      <c r="Z51" s="161">
        <f t="shared" si="56"/>
        <v>20.02602269178724</v>
      </c>
      <c r="AA51" s="161">
        <f t="shared" si="56"/>
        <v>20.693556781513479</v>
      </c>
      <c r="AB51" s="161">
        <f t="shared" si="56"/>
        <v>21.361090871239721</v>
      </c>
      <c r="AC51" s="161">
        <f t="shared" si="56"/>
        <v>22.02862496096596</v>
      </c>
      <c r="AD51" s="161"/>
    </row>
    <row r="52" spans="1:30" s="148" customFormat="1" x14ac:dyDescent="0.25">
      <c r="A52" s="128">
        <v>400</v>
      </c>
      <c r="B52" s="130" t="s">
        <v>174</v>
      </c>
      <c r="C52" s="146" t="s">
        <v>197</v>
      </c>
      <c r="D52" s="161">
        <v>2096.19</v>
      </c>
      <c r="E52" s="161"/>
      <c r="F52" s="161"/>
      <c r="G52" s="161"/>
      <c r="H52" s="161"/>
      <c r="I52" s="365">
        <v>2096.19</v>
      </c>
      <c r="J52" s="161">
        <v>0</v>
      </c>
      <c r="K52" s="161">
        <v>0</v>
      </c>
      <c r="L52" s="161">
        <v>0</v>
      </c>
      <c r="M52" s="161">
        <v>0</v>
      </c>
      <c r="N52" s="161">
        <f>$I52*AJ$15</f>
        <v>200.71856533158243</v>
      </c>
      <c r="O52" s="161">
        <f t="shared" ref="O52:AC52" si="57">$I52*AK$15</f>
        <v>206.45338148391335</v>
      </c>
      <c r="P52" s="161">
        <f t="shared" si="57"/>
        <v>203.58597340774787</v>
      </c>
      <c r="Q52" s="161">
        <f t="shared" si="57"/>
        <v>205.30641825344716</v>
      </c>
      <c r="R52" s="161">
        <f t="shared" si="57"/>
        <v>160.57485226526592</v>
      </c>
      <c r="S52" s="161">
        <f t="shared" si="57"/>
        <v>160.57485226526592</v>
      </c>
      <c r="T52" s="161">
        <f t="shared" si="57"/>
        <v>149.1052199606041</v>
      </c>
      <c r="U52" s="161">
        <f t="shared" si="57"/>
        <v>160.57485226526592</v>
      </c>
      <c r="V52" s="161">
        <f t="shared" si="57"/>
        <v>172.04448456992779</v>
      </c>
      <c r="W52" s="161">
        <f t="shared" si="57"/>
        <v>177.77930072225874</v>
      </c>
      <c r="X52" s="161">
        <f t="shared" si="57"/>
        <v>180.64670879842416</v>
      </c>
      <c r="Y52" s="161">
        <f t="shared" si="57"/>
        <v>169.17707649376231</v>
      </c>
      <c r="Z52" s="161">
        <f t="shared" si="57"/>
        <v>0</v>
      </c>
      <c r="AA52" s="161">
        <f t="shared" si="57"/>
        <v>0</v>
      </c>
      <c r="AB52" s="161">
        <f t="shared" si="57"/>
        <v>0</v>
      </c>
      <c r="AC52" s="161">
        <f t="shared" si="57"/>
        <v>0</v>
      </c>
      <c r="AD52" s="161"/>
    </row>
    <row r="53" spans="1:30" s="148" customFormat="1" x14ac:dyDescent="0.25">
      <c r="A53" s="128">
        <v>500</v>
      </c>
      <c r="B53" s="130" t="s">
        <v>175</v>
      </c>
      <c r="C53" s="146" t="s">
        <v>199</v>
      </c>
      <c r="D53" s="161">
        <v>18595.100000000002</v>
      </c>
      <c r="E53" s="161"/>
      <c r="F53" s="161"/>
      <c r="G53" s="161"/>
      <c r="H53" s="161"/>
      <c r="I53" s="365">
        <v>18595.100000000002</v>
      </c>
      <c r="J53" s="161">
        <v>0</v>
      </c>
      <c r="K53" s="161">
        <v>0</v>
      </c>
      <c r="L53" s="161">
        <v>0</v>
      </c>
      <c r="M53" s="161">
        <v>0</v>
      </c>
      <c r="N53" s="161">
        <f>$I53*AJ$16</f>
        <v>1916.8749125785489</v>
      </c>
      <c r="O53" s="161">
        <f t="shared" ref="O53:AC53" si="58">$I53*AK$16</f>
        <v>1948.1283078923295</v>
      </c>
      <c r="P53" s="161">
        <f t="shared" si="58"/>
        <v>1892.566716223386</v>
      </c>
      <c r="Q53" s="161">
        <f t="shared" si="58"/>
        <v>1875.2037188268412</v>
      </c>
      <c r="R53" s="161">
        <f t="shared" si="58"/>
        <v>2083.5596875853794</v>
      </c>
      <c r="S53" s="161">
        <f t="shared" si="58"/>
        <v>2083.5596875853794</v>
      </c>
      <c r="T53" s="161">
        <f t="shared" si="58"/>
        <v>2080.08708810607</v>
      </c>
      <c r="U53" s="161">
        <f t="shared" si="58"/>
        <v>2326.6416511370071</v>
      </c>
      <c r="V53" s="161">
        <f t="shared" si="58"/>
        <v>520.88992189634484</v>
      </c>
      <c r="W53" s="161">
        <f t="shared" si="58"/>
        <v>486.16392710325516</v>
      </c>
      <c r="X53" s="161">
        <f t="shared" si="58"/>
        <v>659.79390106870346</v>
      </c>
      <c r="Y53" s="161">
        <f t="shared" si="58"/>
        <v>590.34191148252398</v>
      </c>
      <c r="Z53" s="161">
        <f t="shared" si="58"/>
        <v>0</v>
      </c>
      <c r="AA53" s="161">
        <f t="shared" si="58"/>
        <v>0</v>
      </c>
      <c r="AB53" s="161">
        <f t="shared" si="58"/>
        <v>0</v>
      </c>
      <c r="AC53" s="161">
        <f t="shared" si="58"/>
        <v>0</v>
      </c>
      <c r="AD53" s="161"/>
    </row>
    <row r="54" spans="1:30" s="148" customFormat="1" x14ac:dyDescent="0.25">
      <c r="A54" s="136"/>
      <c r="B54" s="138" t="s">
        <v>176</v>
      </c>
      <c r="C54" s="145"/>
      <c r="D54" s="160"/>
      <c r="E54" s="160"/>
      <c r="F54" s="160"/>
      <c r="G54" s="160"/>
      <c r="H54" s="160"/>
      <c r="I54" s="364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</row>
    <row r="55" spans="1:30" s="148" customFormat="1" x14ac:dyDescent="0.25">
      <c r="A55" s="128">
        <v>300</v>
      </c>
      <c r="B55" s="130" t="s">
        <v>177</v>
      </c>
      <c r="C55" s="146" t="s">
        <v>62</v>
      </c>
      <c r="D55" s="161">
        <v>66.63</v>
      </c>
      <c r="E55" s="161"/>
      <c r="F55" s="161"/>
      <c r="G55" s="161"/>
      <c r="H55" s="161"/>
      <c r="I55" s="365">
        <v>66.63</v>
      </c>
      <c r="J55" s="161">
        <v>0</v>
      </c>
      <c r="K55" s="161">
        <v>0</v>
      </c>
      <c r="L55" s="161">
        <v>0</v>
      </c>
      <c r="M55" s="161">
        <v>0</v>
      </c>
      <c r="N55" s="161">
        <f>$I55*AF$14</f>
        <v>0</v>
      </c>
      <c r="O55" s="161">
        <f t="shared" ref="O55:AC55" si="59">$I55*AG$14</f>
        <v>0</v>
      </c>
      <c r="P55" s="161">
        <f t="shared" si="59"/>
        <v>0</v>
      </c>
      <c r="Q55" s="161">
        <f t="shared" si="59"/>
        <v>0</v>
      </c>
      <c r="R55" s="161">
        <f t="shared" si="59"/>
        <v>8.1492921827833875</v>
      </c>
      <c r="S55" s="161">
        <f t="shared" si="59"/>
        <v>7.5424299989590917</v>
      </c>
      <c r="T55" s="161">
        <f t="shared" si="59"/>
        <v>7.7158191943374623</v>
      </c>
      <c r="U55" s="161">
        <f t="shared" si="59"/>
        <v>7.8025137920266472</v>
      </c>
      <c r="V55" s="161">
        <f t="shared" si="59"/>
        <v>13.004189653377745</v>
      </c>
      <c r="W55" s="161">
        <f t="shared" si="59"/>
        <v>13.004189653377745</v>
      </c>
      <c r="X55" s="161">
        <f t="shared" si="59"/>
        <v>13.871135630269595</v>
      </c>
      <c r="Y55" s="161">
        <f t="shared" si="59"/>
        <v>12.137243676485896</v>
      </c>
      <c r="Z55" s="161">
        <f t="shared" si="59"/>
        <v>5.2016758613510978</v>
      </c>
      <c r="AA55" s="161">
        <f t="shared" si="59"/>
        <v>5.3750650567294684</v>
      </c>
      <c r="AB55" s="161">
        <f t="shared" si="59"/>
        <v>5.5484542521078382</v>
      </c>
      <c r="AC55" s="161">
        <f t="shared" si="59"/>
        <v>5.7218434474862079</v>
      </c>
      <c r="AD55" s="161"/>
    </row>
    <row r="56" spans="1:30" s="148" customFormat="1" x14ac:dyDescent="0.25">
      <c r="A56" s="128">
        <v>400</v>
      </c>
      <c r="B56" s="130" t="s">
        <v>178</v>
      </c>
      <c r="C56" s="144" t="s">
        <v>197</v>
      </c>
      <c r="D56" s="161">
        <v>901.38</v>
      </c>
      <c r="E56" s="161"/>
      <c r="F56" s="161"/>
      <c r="G56" s="161"/>
      <c r="H56" s="161"/>
      <c r="I56" s="365">
        <v>901.38</v>
      </c>
      <c r="J56" s="161">
        <v>0</v>
      </c>
      <c r="K56" s="161">
        <v>0</v>
      </c>
      <c r="L56" s="161">
        <v>0</v>
      </c>
      <c r="M56" s="161">
        <v>0</v>
      </c>
      <c r="N56" s="161">
        <f>$I56*AJ$15</f>
        <v>86.3107353906763</v>
      </c>
      <c r="O56" s="161">
        <f t="shared" ref="O56:AC56" si="60">$I56*AK$15</f>
        <v>88.776756401838483</v>
      </c>
      <c r="P56" s="161">
        <f t="shared" si="60"/>
        <v>87.543745896257391</v>
      </c>
      <c r="Q56" s="161">
        <f t="shared" si="60"/>
        <v>88.283552199606035</v>
      </c>
      <c r="R56" s="161">
        <f t="shared" si="60"/>
        <v>69.048588312541042</v>
      </c>
      <c r="S56" s="161">
        <f t="shared" si="60"/>
        <v>69.048588312541042</v>
      </c>
      <c r="T56" s="161">
        <f t="shared" si="60"/>
        <v>64.116546290216689</v>
      </c>
      <c r="U56" s="161">
        <f t="shared" si="60"/>
        <v>69.048588312541042</v>
      </c>
      <c r="V56" s="161">
        <f t="shared" si="60"/>
        <v>73.980630334865396</v>
      </c>
      <c r="W56" s="161">
        <f t="shared" si="60"/>
        <v>76.446651346027579</v>
      </c>
      <c r="X56" s="161">
        <f t="shared" si="60"/>
        <v>77.679661851608671</v>
      </c>
      <c r="Y56" s="161">
        <f t="shared" si="60"/>
        <v>72.747619829284304</v>
      </c>
      <c r="Z56" s="161">
        <f t="shared" si="60"/>
        <v>0</v>
      </c>
      <c r="AA56" s="161">
        <f t="shared" si="60"/>
        <v>0</v>
      </c>
      <c r="AB56" s="161">
        <f t="shared" si="60"/>
        <v>0</v>
      </c>
      <c r="AC56" s="161">
        <f t="shared" si="60"/>
        <v>0</v>
      </c>
      <c r="AD56" s="161"/>
    </row>
    <row r="57" spans="1:30" s="148" customFormat="1" x14ac:dyDescent="0.25">
      <c r="A57" s="128">
        <v>500</v>
      </c>
      <c r="B57" s="130" t="s">
        <v>179</v>
      </c>
      <c r="C57" s="146" t="s">
        <v>198</v>
      </c>
      <c r="D57" s="161">
        <v>11604.02</v>
      </c>
      <c r="E57" s="161"/>
      <c r="F57" s="161"/>
      <c r="G57" s="161"/>
      <c r="H57" s="161"/>
      <c r="I57" s="365">
        <v>11604.02</v>
      </c>
      <c r="J57" s="161">
        <v>0</v>
      </c>
      <c r="K57" s="161">
        <v>0</v>
      </c>
      <c r="L57" s="161">
        <v>0</v>
      </c>
      <c r="M57" s="161">
        <v>0</v>
      </c>
      <c r="N57" s="161">
        <f>$I57*AJ$16</f>
        <v>1196.1997958096342</v>
      </c>
      <c r="O57" s="161">
        <f t="shared" ref="O57:AC57" si="61">$I57*AK$16</f>
        <v>1215.7030533500088</v>
      </c>
      <c r="P57" s="161">
        <f t="shared" si="61"/>
        <v>1181.0305955004542</v>
      </c>
      <c r="Q57" s="161">
        <f t="shared" si="61"/>
        <v>1170.1954524224684</v>
      </c>
      <c r="R57" s="161">
        <f t="shared" si="61"/>
        <v>1300.2171693582982</v>
      </c>
      <c r="S57" s="161">
        <f t="shared" si="61"/>
        <v>1300.2171693582982</v>
      </c>
      <c r="T57" s="161">
        <f t="shared" si="61"/>
        <v>1298.0501407427009</v>
      </c>
      <c r="U57" s="161">
        <f t="shared" si="61"/>
        <v>1451.9091724500997</v>
      </c>
      <c r="V57" s="161">
        <f t="shared" si="61"/>
        <v>325.05429233957454</v>
      </c>
      <c r="W57" s="161">
        <f t="shared" si="61"/>
        <v>303.38400618360293</v>
      </c>
      <c r="X57" s="161">
        <f t="shared" si="61"/>
        <v>411.7354369634611</v>
      </c>
      <c r="Y57" s="161">
        <f t="shared" si="61"/>
        <v>368.39486465151776</v>
      </c>
      <c r="Z57" s="161">
        <f t="shared" si="61"/>
        <v>0</v>
      </c>
      <c r="AA57" s="161">
        <f t="shared" si="61"/>
        <v>0</v>
      </c>
      <c r="AB57" s="161">
        <f t="shared" si="61"/>
        <v>0</v>
      </c>
      <c r="AC57" s="161">
        <f t="shared" si="61"/>
        <v>0</v>
      </c>
      <c r="AD57" s="161"/>
    </row>
    <row r="58" spans="1:30" s="148" customFormat="1" x14ac:dyDescent="0.25">
      <c r="A58" s="136"/>
      <c r="B58" s="138" t="s">
        <v>180</v>
      </c>
      <c r="C58" s="145"/>
      <c r="D58" s="160"/>
      <c r="E58" s="160"/>
      <c r="F58" s="160"/>
      <c r="G58" s="160"/>
      <c r="H58" s="160"/>
      <c r="I58" s="364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</row>
    <row r="59" spans="1:30" s="148" customFormat="1" x14ac:dyDescent="0.25">
      <c r="A59" s="128">
        <v>300</v>
      </c>
      <c r="B59" s="130" t="s">
        <v>181</v>
      </c>
      <c r="C59" s="146" t="s">
        <v>62</v>
      </c>
      <c r="D59" s="161">
        <v>36.119999999999997</v>
      </c>
      <c r="E59" s="161"/>
      <c r="F59" s="161"/>
      <c r="G59" s="161"/>
      <c r="H59" s="161"/>
      <c r="I59" s="365">
        <v>36.119999999999997</v>
      </c>
      <c r="J59" s="161">
        <v>0</v>
      </c>
      <c r="K59" s="161">
        <v>0</v>
      </c>
      <c r="L59" s="161">
        <v>0</v>
      </c>
      <c r="M59" s="161">
        <v>0</v>
      </c>
      <c r="N59" s="161">
        <f>$I59*AF$14</f>
        <v>0</v>
      </c>
      <c r="O59" s="161">
        <f t="shared" ref="O59:AC59" si="62">$I59*AG$14</f>
        <v>0</v>
      </c>
      <c r="P59" s="161">
        <f t="shared" si="62"/>
        <v>0</v>
      </c>
      <c r="Q59" s="161">
        <f t="shared" si="62"/>
        <v>0</v>
      </c>
      <c r="R59" s="161">
        <f t="shared" si="62"/>
        <v>4.4177162485687518</v>
      </c>
      <c r="S59" s="161">
        <f t="shared" si="62"/>
        <v>4.088737378994483</v>
      </c>
      <c r="T59" s="161">
        <f t="shared" si="62"/>
        <v>4.1827313417299887</v>
      </c>
      <c r="U59" s="161">
        <f t="shared" si="62"/>
        <v>4.2297283230977412</v>
      </c>
      <c r="V59" s="161">
        <f t="shared" si="62"/>
        <v>7.0495472051629013</v>
      </c>
      <c r="W59" s="161">
        <f t="shared" si="62"/>
        <v>7.0495472051629013</v>
      </c>
      <c r="X59" s="161">
        <f t="shared" si="62"/>
        <v>7.5195170188404283</v>
      </c>
      <c r="Y59" s="161">
        <f t="shared" si="62"/>
        <v>6.5795773914853752</v>
      </c>
      <c r="Z59" s="161">
        <f t="shared" si="62"/>
        <v>2.8198188820651611</v>
      </c>
      <c r="AA59" s="161">
        <f t="shared" si="62"/>
        <v>2.9138128448006659</v>
      </c>
      <c r="AB59" s="161">
        <f t="shared" si="62"/>
        <v>3.0078068075361712</v>
      </c>
      <c r="AC59" s="161">
        <f t="shared" si="62"/>
        <v>3.1018007702716766</v>
      </c>
      <c r="AD59" s="161"/>
    </row>
    <row r="60" spans="1:30" s="148" customFormat="1" x14ac:dyDescent="0.25">
      <c r="A60" s="128">
        <v>400</v>
      </c>
      <c r="B60" s="130" t="s">
        <v>182</v>
      </c>
      <c r="C60" s="146" t="s">
        <v>197</v>
      </c>
      <c r="D60" s="161">
        <v>545.23</v>
      </c>
      <c r="E60" s="161"/>
      <c r="F60" s="161"/>
      <c r="G60" s="161"/>
      <c r="H60" s="161"/>
      <c r="I60" s="365">
        <v>545.23</v>
      </c>
      <c r="J60" s="161">
        <v>0</v>
      </c>
      <c r="K60" s="161">
        <v>0</v>
      </c>
      <c r="L60" s="161">
        <v>0</v>
      </c>
      <c r="M60" s="161">
        <v>0</v>
      </c>
      <c r="N60" s="161">
        <f>$I60*AJ$15</f>
        <v>52.207950317356101</v>
      </c>
      <c r="O60" s="161">
        <f t="shared" ref="O60:AC60" si="63">$I60*AK$15</f>
        <v>53.699606040709135</v>
      </c>
      <c r="P60" s="161">
        <f t="shared" si="63"/>
        <v>52.953778179032618</v>
      </c>
      <c r="Q60" s="161">
        <f t="shared" si="63"/>
        <v>53.401274896038522</v>
      </c>
      <c r="R60" s="161">
        <f t="shared" si="63"/>
        <v>41.766360253884876</v>
      </c>
      <c r="S60" s="161">
        <f t="shared" si="63"/>
        <v>41.766360253884876</v>
      </c>
      <c r="T60" s="161">
        <f t="shared" si="63"/>
        <v>38.783048807178822</v>
      </c>
      <c r="U60" s="161">
        <f t="shared" si="63"/>
        <v>41.766360253884876</v>
      </c>
      <c r="V60" s="161">
        <f t="shared" si="63"/>
        <v>44.749671700590945</v>
      </c>
      <c r="W60" s="161">
        <f t="shared" si="63"/>
        <v>46.241327423943979</v>
      </c>
      <c r="X60" s="161">
        <f t="shared" si="63"/>
        <v>46.987155285620489</v>
      </c>
      <c r="Y60" s="161">
        <f t="shared" si="63"/>
        <v>44.00384383891442</v>
      </c>
      <c r="Z60" s="161">
        <f t="shared" si="63"/>
        <v>0</v>
      </c>
      <c r="AA60" s="161">
        <f t="shared" si="63"/>
        <v>0</v>
      </c>
      <c r="AB60" s="161">
        <f t="shared" si="63"/>
        <v>0</v>
      </c>
      <c r="AC60" s="161">
        <f t="shared" si="63"/>
        <v>0</v>
      </c>
      <c r="AD60" s="161"/>
    </row>
    <row r="61" spans="1:30" s="148" customFormat="1" x14ac:dyDescent="0.25">
      <c r="A61" s="128">
        <v>500</v>
      </c>
      <c r="B61" s="130" t="s">
        <v>183</v>
      </c>
      <c r="C61" s="146" t="s">
        <v>198</v>
      </c>
      <c r="D61" s="161">
        <v>5144.6000000000004</v>
      </c>
      <c r="E61" s="161"/>
      <c r="F61" s="161"/>
      <c r="G61" s="161"/>
      <c r="H61" s="161"/>
      <c r="I61" s="365">
        <v>5144.6000000000004</v>
      </c>
      <c r="J61" s="161">
        <v>0</v>
      </c>
      <c r="K61" s="161">
        <v>0</v>
      </c>
      <c r="L61" s="161">
        <v>0</v>
      </c>
      <c r="M61" s="161">
        <v>0</v>
      </c>
      <c r="N61" s="161">
        <f>$I61*AJ$16</f>
        <v>530.33082238071324</v>
      </c>
      <c r="O61" s="161">
        <f t="shared" ref="O61:AC61" si="64">$I61*AK$16</f>
        <v>538.97752057170317</v>
      </c>
      <c r="P61" s="161">
        <f t="shared" si="64"/>
        <v>523.60561267661001</v>
      </c>
      <c r="Q61" s="161">
        <f t="shared" si="64"/>
        <v>518.80189145939346</v>
      </c>
      <c r="R61" s="161">
        <f t="shared" si="64"/>
        <v>576.44654606599272</v>
      </c>
      <c r="S61" s="161">
        <f t="shared" si="64"/>
        <v>576.44654606599272</v>
      </c>
      <c r="T61" s="161">
        <f t="shared" si="64"/>
        <v>575.48580182254943</v>
      </c>
      <c r="U61" s="161">
        <f t="shared" si="64"/>
        <v>643.6986431070253</v>
      </c>
      <c r="V61" s="161">
        <f t="shared" si="64"/>
        <v>144.11163651649818</v>
      </c>
      <c r="W61" s="161">
        <f t="shared" si="64"/>
        <v>134.50419408206497</v>
      </c>
      <c r="X61" s="161">
        <f t="shared" si="64"/>
        <v>182.54140625423105</v>
      </c>
      <c r="Y61" s="161">
        <f t="shared" si="64"/>
        <v>163.32652138536457</v>
      </c>
      <c r="Z61" s="161">
        <f t="shared" si="64"/>
        <v>0</v>
      </c>
      <c r="AA61" s="161">
        <f t="shared" si="64"/>
        <v>0</v>
      </c>
      <c r="AB61" s="161">
        <f t="shared" si="64"/>
        <v>0</v>
      </c>
      <c r="AC61" s="161">
        <f t="shared" si="64"/>
        <v>0</v>
      </c>
      <c r="AD61" s="161"/>
    </row>
    <row r="62" spans="1:30" s="148" customFormat="1" x14ac:dyDescent="0.25">
      <c r="A62" s="136"/>
      <c r="B62" s="138" t="s">
        <v>184</v>
      </c>
      <c r="C62" s="145"/>
      <c r="D62" s="160"/>
      <c r="E62" s="160"/>
      <c r="F62" s="160"/>
      <c r="G62" s="160"/>
      <c r="H62" s="160"/>
      <c r="I62" s="364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</row>
    <row r="63" spans="1:30" s="148" customFormat="1" x14ac:dyDescent="0.25">
      <c r="A63" s="128">
        <v>300</v>
      </c>
      <c r="B63" s="130" t="s">
        <v>185</v>
      </c>
      <c r="C63" s="146" t="s">
        <v>20</v>
      </c>
      <c r="D63" s="161">
        <v>0.63</v>
      </c>
      <c r="E63" s="161"/>
      <c r="F63" s="161"/>
      <c r="G63" s="161"/>
      <c r="H63" s="161"/>
      <c r="I63" s="365">
        <v>0.63</v>
      </c>
      <c r="J63" s="161">
        <v>0</v>
      </c>
      <c r="K63" s="161">
        <v>0</v>
      </c>
      <c r="L63" s="161">
        <v>0</v>
      </c>
      <c r="M63" s="161">
        <v>0</v>
      </c>
      <c r="N63" s="161">
        <f>$I63*AF$14</f>
        <v>0</v>
      </c>
      <c r="O63" s="161">
        <f t="shared" ref="O63:AC63" si="65">$I63*AG$14</f>
        <v>0</v>
      </c>
      <c r="P63" s="161">
        <f t="shared" si="65"/>
        <v>0</v>
      </c>
      <c r="Q63" s="161">
        <f t="shared" si="65"/>
        <v>0</v>
      </c>
      <c r="R63" s="161">
        <f t="shared" si="65"/>
        <v>7.7053190382013123E-2</v>
      </c>
      <c r="S63" s="161">
        <f t="shared" si="65"/>
        <v>7.1315186842927036E-2</v>
      </c>
      <c r="T63" s="161">
        <f t="shared" si="65"/>
        <v>7.2954616425523061E-2</v>
      </c>
      <c r="U63" s="161">
        <f t="shared" si="65"/>
        <v>7.3774331216821074E-2</v>
      </c>
      <c r="V63" s="161">
        <f t="shared" si="65"/>
        <v>0.12295721869470178</v>
      </c>
      <c r="W63" s="161">
        <f t="shared" si="65"/>
        <v>0.12295721869470178</v>
      </c>
      <c r="X63" s="161">
        <f t="shared" si="65"/>
        <v>0.1311543666076819</v>
      </c>
      <c r="Y63" s="161">
        <f t="shared" si="65"/>
        <v>0.11476007078172168</v>
      </c>
      <c r="Z63" s="161">
        <f t="shared" si="65"/>
        <v>4.9182887477880716E-2</v>
      </c>
      <c r="AA63" s="161">
        <f t="shared" si="65"/>
        <v>5.082231706047674E-2</v>
      </c>
      <c r="AB63" s="161">
        <f t="shared" si="65"/>
        <v>5.2461746643072758E-2</v>
      </c>
      <c r="AC63" s="161">
        <f t="shared" si="65"/>
        <v>5.4101176225668783E-2</v>
      </c>
      <c r="AD63" s="161"/>
    </row>
    <row r="64" spans="1:30" s="148" customFormat="1" x14ac:dyDescent="0.25">
      <c r="A64" s="128">
        <v>400</v>
      </c>
      <c r="B64" s="130" t="s">
        <v>186</v>
      </c>
      <c r="C64" s="146" t="s">
        <v>197</v>
      </c>
      <c r="D64" s="161">
        <v>6.54</v>
      </c>
      <c r="E64" s="161"/>
      <c r="F64" s="161"/>
      <c r="G64" s="161"/>
      <c r="H64" s="161"/>
      <c r="I64" s="365">
        <v>6.54</v>
      </c>
      <c r="J64" s="161">
        <v>0</v>
      </c>
      <c r="K64" s="161">
        <v>0</v>
      </c>
      <c r="L64" s="161">
        <v>0</v>
      </c>
      <c r="M64" s="161">
        <v>0</v>
      </c>
      <c r="N64" s="161">
        <f>$I64*AJ$15</f>
        <v>0.62623112278397897</v>
      </c>
      <c r="O64" s="161">
        <f t="shared" ref="O64:AC64" si="66">$I64*AK$15</f>
        <v>0.64412344057780702</v>
      </c>
      <c r="P64" s="161">
        <f t="shared" si="66"/>
        <v>0.63517728168089305</v>
      </c>
      <c r="Q64" s="161">
        <f t="shared" si="66"/>
        <v>0.64054497701904134</v>
      </c>
      <c r="R64" s="161">
        <f t="shared" si="66"/>
        <v>0.50098489822718317</v>
      </c>
      <c r="S64" s="161">
        <f t="shared" si="66"/>
        <v>0.50098489822718317</v>
      </c>
      <c r="T64" s="161">
        <f t="shared" si="66"/>
        <v>0.4652002626395273</v>
      </c>
      <c r="U64" s="161">
        <f t="shared" si="66"/>
        <v>0.50098489822718317</v>
      </c>
      <c r="V64" s="161">
        <f t="shared" si="66"/>
        <v>0.53676953381483916</v>
      </c>
      <c r="W64" s="161">
        <f t="shared" si="66"/>
        <v>0.55466185160866721</v>
      </c>
      <c r="X64" s="161">
        <f t="shared" si="66"/>
        <v>0.56360801050558107</v>
      </c>
      <c r="Y64" s="161">
        <f t="shared" si="66"/>
        <v>0.52782337491792508</v>
      </c>
      <c r="Z64" s="161">
        <f t="shared" si="66"/>
        <v>0</v>
      </c>
      <c r="AA64" s="161">
        <f t="shared" si="66"/>
        <v>0</v>
      </c>
      <c r="AB64" s="161">
        <f t="shared" si="66"/>
        <v>0</v>
      </c>
      <c r="AC64" s="161">
        <f t="shared" si="66"/>
        <v>0</v>
      </c>
      <c r="AD64" s="161"/>
    </row>
    <row r="65" spans="1:30" s="148" customFormat="1" x14ac:dyDescent="0.25">
      <c r="A65" s="128">
        <v>500</v>
      </c>
      <c r="B65" s="130" t="s">
        <v>187</v>
      </c>
      <c r="C65" s="146" t="s">
        <v>198</v>
      </c>
      <c r="D65" s="161">
        <v>73.150000000000006</v>
      </c>
      <c r="E65" s="161"/>
      <c r="F65" s="161"/>
      <c r="G65" s="161"/>
      <c r="H65" s="161"/>
      <c r="I65" s="365">
        <v>73.150000000000006</v>
      </c>
      <c r="J65" s="161">
        <v>0</v>
      </c>
      <c r="K65" s="161">
        <v>0</v>
      </c>
      <c r="L65" s="161">
        <v>0</v>
      </c>
      <c r="M65" s="161">
        <v>0</v>
      </c>
      <c r="N65" s="161">
        <f>$I65*AJ$16</f>
        <v>7.5406639305580958</v>
      </c>
      <c r="O65" s="161">
        <f t="shared" ref="O65:AC65" si="67">$I65*AK$16</f>
        <v>7.6636095381215421</v>
      </c>
      <c r="P65" s="161">
        <f t="shared" si="67"/>
        <v>7.4450395691198592</v>
      </c>
      <c r="Q65" s="161">
        <f t="shared" si="67"/>
        <v>7.3767364538068323</v>
      </c>
      <c r="R65" s="161">
        <f t="shared" si="67"/>
        <v>8.1963738375631472</v>
      </c>
      <c r="S65" s="161">
        <f t="shared" si="67"/>
        <v>8.1963738375631472</v>
      </c>
      <c r="T65" s="161">
        <f t="shared" si="67"/>
        <v>8.1827132145005415</v>
      </c>
      <c r="U65" s="161">
        <f t="shared" si="67"/>
        <v>9.152617451945515</v>
      </c>
      <c r="V65" s="161">
        <f t="shared" si="67"/>
        <v>2.0490934593907868</v>
      </c>
      <c r="W65" s="161">
        <f t="shared" si="67"/>
        <v>1.9124872287647345</v>
      </c>
      <c r="X65" s="161">
        <f t="shared" si="67"/>
        <v>2.5955183818949967</v>
      </c>
      <c r="Y65" s="161">
        <f t="shared" si="67"/>
        <v>2.3223059206428913</v>
      </c>
      <c r="Z65" s="161">
        <f t="shared" si="67"/>
        <v>0</v>
      </c>
      <c r="AA65" s="161">
        <f t="shared" si="67"/>
        <v>0</v>
      </c>
      <c r="AB65" s="161">
        <f t="shared" si="67"/>
        <v>0</v>
      </c>
      <c r="AC65" s="161">
        <f t="shared" si="67"/>
        <v>0</v>
      </c>
      <c r="AD65" s="161"/>
    </row>
    <row r="66" spans="1:30" s="148" customFormat="1" x14ac:dyDescent="0.25">
      <c r="A66" s="136"/>
      <c r="B66" s="138" t="s">
        <v>188</v>
      </c>
      <c r="C66" s="145"/>
      <c r="D66" s="160"/>
      <c r="E66" s="160"/>
      <c r="F66" s="160"/>
      <c r="G66" s="160"/>
      <c r="H66" s="160"/>
      <c r="I66" s="364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</row>
    <row r="67" spans="1:30" s="148" customFormat="1" x14ac:dyDescent="0.25">
      <c r="A67" s="128">
        <v>300</v>
      </c>
      <c r="B67" s="130" t="s">
        <v>189</v>
      </c>
      <c r="C67" s="146" t="s">
        <v>62</v>
      </c>
      <c r="D67" s="161">
        <v>2.13</v>
      </c>
      <c r="E67" s="161"/>
      <c r="F67" s="161"/>
      <c r="G67" s="161"/>
      <c r="H67" s="161"/>
      <c r="I67" s="365">
        <v>2.13</v>
      </c>
      <c r="J67" s="161">
        <v>0</v>
      </c>
      <c r="K67" s="161">
        <v>0</v>
      </c>
      <c r="L67" s="161">
        <v>0</v>
      </c>
      <c r="M67" s="161">
        <v>0</v>
      </c>
      <c r="N67" s="161">
        <f>$I67*AF$14</f>
        <v>0</v>
      </c>
      <c r="O67" s="161">
        <f t="shared" ref="O67:AC67" si="68">$I67*AG$14</f>
        <v>0</v>
      </c>
      <c r="P67" s="161">
        <f t="shared" si="68"/>
        <v>0</v>
      </c>
      <c r="Q67" s="161">
        <f t="shared" si="68"/>
        <v>0</v>
      </c>
      <c r="R67" s="161">
        <f t="shared" si="68"/>
        <v>0.26051316748204434</v>
      </c>
      <c r="S67" s="161">
        <f t="shared" si="68"/>
        <v>0.24111325075465806</v>
      </c>
      <c r="T67" s="161">
        <f t="shared" si="68"/>
        <v>0.24665608410533985</v>
      </c>
      <c r="U67" s="161">
        <f t="shared" si="68"/>
        <v>0.24942750078068077</v>
      </c>
      <c r="V67" s="161">
        <f t="shared" si="68"/>
        <v>0.41571250130113457</v>
      </c>
      <c r="W67" s="161">
        <f t="shared" si="68"/>
        <v>0.41571250130113457</v>
      </c>
      <c r="X67" s="161">
        <f t="shared" si="68"/>
        <v>0.44342666805454356</v>
      </c>
      <c r="Y67" s="161">
        <f t="shared" si="68"/>
        <v>0.38799833454772564</v>
      </c>
      <c r="Z67" s="161">
        <f t="shared" si="68"/>
        <v>0.16628500052045384</v>
      </c>
      <c r="AA67" s="161">
        <f t="shared" si="68"/>
        <v>0.17182783387113562</v>
      </c>
      <c r="AB67" s="161">
        <f t="shared" si="68"/>
        <v>0.17737066722181744</v>
      </c>
      <c r="AC67" s="161">
        <f t="shared" si="68"/>
        <v>0.18291350057249922</v>
      </c>
      <c r="AD67" s="161"/>
    </row>
    <row r="68" spans="1:30" s="148" customFormat="1" x14ac:dyDescent="0.25">
      <c r="A68" s="128">
        <v>400</v>
      </c>
      <c r="B68" s="130" t="s">
        <v>190</v>
      </c>
      <c r="C68" s="146" t="s">
        <v>197</v>
      </c>
      <c r="D68" s="161">
        <v>24.72</v>
      </c>
      <c r="E68" s="161"/>
      <c r="F68" s="161"/>
      <c r="G68" s="161"/>
      <c r="H68" s="161"/>
      <c r="I68" s="365">
        <v>24.72</v>
      </c>
      <c r="J68" s="161">
        <v>0</v>
      </c>
      <c r="K68" s="161">
        <v>0</v>
      </c>
      <c r="L68" s="161">
        <v>0</v>
      </c>
      <c r="M68" s="161">
        <v>0</v>
      </c>
      <c r="N68" s="161">
        <f>$I68*AJ$15</f>
        <v>2.367038739330269</v>
      </c>
      <c r="O68" s="161">
        <f t="shared" ref="O68:AC68" si="69">$I68*AK$15</f>
        <v>2.4346684175968485</v>
      </c>
      <c r="P68" s="161">
        <f t="shared" si="69"/>
        <v>2.400853578463559</v>
      </c>
      <c r="Q68" s="161">
        <f t="shared" si="69"/>
        <v>2.4211424819435323</v>
      </c>
      <c r="R68" s="161">
        <f t="shared" si="69"/>
        <v>1.8936309914642153</v>
      </c>
      <c r="S68" s="161">
        <f t="shared" si="69"/>
        <v>1.8936309914642153</v>
      </c>
      <c r="T68" s="161">
        <f t="shared" si="69"/>
        <v>1.7583716349310572</v>
      </c>
      <c r="U68" s="161">
        <f t="shared" si="69"/>
        <v>1.8936309914642153</v>
      </c>
      <c r="V68" s="161">
        <f t="shared" si="69"/>
        <v>2.0288903479973737</v>
      </c>
      <c r="W68" s="161">
        <f t="shared" si="69"/>
        <v>2.0965200262639527</v>
      </c>
      <c r="X68" s="161">
        <f t="shared" si="69"/>
        <v>2.1303348653972423</v>
      </c>
      <c r="Y68" s="161">
        <f t="shared" si="69"/>
        <v>1.9950755088640839</v>
      </c>
      <c r="Z68" s="161">
        <f t="shared" si="69"/>
        <v>0</v>
      </c>
      <c r="AA68" s="161">
        <f t="shared" si="69"/>
        <v>0</v>
      </c>
      <c r="AB68" s="161">
        <f t="shared" si="69"/>
        <v>0</v>
      </c>
      <c r="AC68" s="161">
        <f t="shared" si="69"/>
        <v>0</v>
      </c>
      <c r="AD68" s="161"/>
    </row>
    <row r="69" spans="1:30" s="148" customFormat="1" x14ac:dyDescent="0.25">
      <c r="A69" s="128">
        <v>500</v>
      </c>
      <c r="B69" s="130" t="s">
        <v>191</v>
      </c>
      <c r="C69" s="146" t="s">
        <v>198</v>
      </c>
      <c r="D69" s="161">
        <v>93.93</v>
      </c>
      <c r="E69" s="161"/>
      <c r="F69" s="161"/>
      <c r="G69" s="161"/>
      <c r="H69" s="161"/>
      <c r="I69" s="365">
        <v>93.93</v>
      </c>
      <c r="J69" s="161">
        <v>0</v>
      </c>
      <c r="K69" s="161">
        <v>0</v>
      </c>
      <c r="L69" s="161">
        <v>0</v>
      </c>
      <c r="M69" s="161">
        <v>0</v>
      </c>
      <c r="N69" s="161">
        <f>$I69*AJ$16</f>
        <v>9.6827691455546407</v>
      </c>
      <c r="O69" s="161">
        <f t="shared" ref="O69:AC69" si="70">$I69*AK$16</f>
        <v>9.8406403816234658</v>
      </c>
      <c r="P69" s="161">
        <f t="shared" si="70"/>
        <v>9.5599804063899985</v>
      </c>
      <c r="Q69" s="161">
        <f t="shared" si="70"/>
        <v>9.4722741641295389</v>
      </c>
      <c r="R69" s="161">
        <f t="shared" si="70"/>
        <v>10.524749071255044</v>
      </c>
      <c r="S69" s="161">
        <f t="shared" si="70"/>
        <v>10.524749071255044</v>
      </c>
      <c r="T69" s="161">
        <f t="shared" si="70"/>
        <v>10.507207822802952</v>
      </c>
      <c r="U69" s="161">
        <f t="shared" si="70"/>
        <v>11.752636462901465</v>
      </c>
      <c r="V69" s="161">
        <f t="shared" si="70"/>
        <v>2.6311872678137611</v>
      </c>
      <c r="W69" s="161">
        <f t="shared" si="70"/>
        <v>2.4557747832928434</v>
      </c>
      <c r="X69" s="161">
        <f t="shared" si="70"/>
        <v>3.3328372058974307</v>
      </c>
      <c r="Y69" s="161">
        <f t="shared" si="70"/>
        <v>2.9820122368555952</v>
      </c>
      <c r="Z69" s="161">
        <f t="shared" si="70"/>
        <v>0</v>
      </c>
      <c r="AA69" s="161">
        <f t="shared" si="70"/>
        <v>0</v>
      </c>
      <c r="AB69" s="161">
        <f t="shared" si="70"/>
        <v>0</v>
      </c>
      <c r="AC69" s="161">
        <f t="shared" si="70"/>
        <v>0</v>
      </c>
      <c r="AD69" s="161"/>
    </row>
    <row r="70" spans="1:30" s="148" customFormat="1" x14ac:dyDescent="0.25">
      <c r="A70" s="128">
        <v>300</v>
      </c>
      <c r="B70" s="130" t="s">
        <v>192</v>
      </c>
      <c r="C70" s="146" t="s">
        <v>200</v>
      </c>
      <c r="D70" s="161">
        <v>205.92000000000002</v>
      </c>
      <c r="E70" s="161"/>
      <c r="F70" s="161"/>
      <c r="G70" s="161"/>
      <c r="H70" s="161"/>
      <c r="I70" s="365">
        <v>205.92000000000002</v>
      </c>
      <c r="J70" s="161">
        <v>0</v>
      </c>
      <c r="K70" s="161">
        <v>0</v>
      </c>
      <c r="L70" s="161">
        <v>0</v>
      </c>
      <c r="M70" s="161">
        <v>0</v>
      </c>
      <c r="N70" s="161">
        <f>$I70*AF$14</f>
        <v>0</v>
      </c>
      <c r="O70" s="161">
        <f t="shared" ref="O70:AC70" si="71">$I70*AG$14</f>
        <v>0</v>
      </c>
      <c r="P70" s="161">
        <f t="shared" si="71"/>
        <v>0</v>
      </c>
      <c r="Q70" s="161">
        <f t="shared" si="71"/>
        <v>0</v>
      </c>
      <c r="R70" s="161">
        <f t="shared" si="71"/>
        <v>25.18538565629229</v>
      </c>
      <c r="S70" s="161">
        <f t="shared" si="71"/>
        <v>23.309878213802438</v>
      </c>
      <c r="T70" s="161">
        <f t="shared" si="71"/>
        <v>23.845737483085252</v>
      </c>
      <c r="U70" s="161">
        <f t="shared" si="71"/>
        <v>24.11366711772666</v>
      </c>
      <c r="V70" s="161">
        <f t="shared" si="71"/>
        <v>40.189445196211096</v>
      </c>
      <c r="W70" s="161">
        <f t="shared" si="71"/>
        <v>40.189445196211096</v>
      </c>
      <c r="X70" s="161">
        <f t="shared" si="71"/>
        <v>42.868741542625173</v>
      </c>
      <c r="Y70" s="161">
        <f t="shared" si="71"/>
        <v>37.510148849797034</v>
      </c>
      <c r="Z70" s="161">
        <f t="shared" si="71"/>
        <v>16.07577807848444</v>
      </c>
      <c r="AA70" s="161">
        <f t="shared" si="71"/>
        <v>16.611637347767257</v>
      </c>
      <c r="AB70" s="161">
        <f t="shared" si="71"/>
        <v>17.14749661705007</v>
      </c>
      <c r="AC70" s="161">
        <f t="shared" si="71"/>
        <v>17.683355886332883</v>
      </c>
      <c r="AD70" s="161"/>
    </row>
    <row r="71" spans="1:30" s="148" customFormat="1" x14ac:dyDescent="0.25">
      <c r="A71" s="136"/>
      <c r="B71" s="138" t="s">
        <v>193</v>
      </c>
      <c r="C71" s="145"/>
      <c r="D71" s="160"/>
      <c r="E71" s="160"/>
      <c r="F71" s="160"/>
      <c r="G71" s="160"/>
      <c r="H71" s="160"/>
      <c r="I71" s="364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</row>
    <row r="72" spans="1:30" s="148" customFormat="1" x14ac:dyDescent="0.25">
      <c r="A72" s="128">
        <v>300</v>
      </c>
      <c r="B72" s="130" t="s">
        <v>194</v>
      </c>
      <c r="C72" s="144" t="s">
        <v>197</v>
      </c>
      <c r="D72" s="161">
        <v>12.31</v>
      </c>
      <c r="E72" s="161"/>
      <c r="F72" s="161"/>
      <c r="G72" s="161"/>
      <c r="H72" s="161"/>
      <c r="I72" s="365">
        <v>12.31</v>
      </c>
      <c r="J72" s="161">
        <v>0</v>
      </c>
      <c r="K72" s="161">
        <v>0</v>
      </c>
      <c r="L72" s="161">
        <v>0</v>
      </c>
      <c r="M72" s="161">
        <v>0</v>
      </c>
      <c r="N72" s="161">
        <f>$I72*AF$14</f>
        <v>0</v>
      </c>
      <c r="O72" s="161">
        <f t="shared" ref="O72:AC72" si="72">$I72*AG$14</f>
        <v>0</v>
      </c>
      <c r="P72" s="161">
        <f t="shared" si="72"/>
        <v>0</v>
      </c>
      <c r="Q72" s="161">
        <f t="shared" si="72"/>
        <v>0</v>
      </c>
      <c r="R72" s="161">
        <f t="shared" si="72"/>
        <v>1.5055948787342563</v>
      </c>
      <c r="S72" s="161">
        <f t="shared" si="72"/>
        <v>1.3934761111689393</v>
      </c>
      <c r="T72" s="161">
        <f t="shared" si="72"/>
        <v>1.4255100447590299</v>
      </c>
      <c r="U72" s="161">
        <f t="shared" si="72"/>
        <v>1.4415270115540753</v>
      </c>
      <c r="V72" s="161">
        <f t="shared" si="72"/>
        <v>2.4025450192567921</v>
      </c>
      <c r="W72" s="161">
        <f t="shared" si="72"/>
        <v>2.4025450192567921</v>
      </c>
      <c r="X72" s="161">
        <f t="shared" si="72"/>
        <v>2.562714687207245</v>
      </c>
      <c r="Y72" s="161">
        <f t="shared" si="72"/>
        <v>2.2423753513063396</v>
      </c>
      <c r="Z72" s="161">
        <f t="shared" si="72"/>
        <v>0.96101800770271684</v>
      </c>
      <c r="AA72" s="161">
        <f t="shared" si="72"/>
        <v>0.99305194129280738</v>
      </c>
      <c r="AB72" s="161">
        <f t="shared" si="72"/>
        <v>1.0250858748828979</v>
      </c>
      <c r="AC72" s="161">
        <f t="shared" si="72"/>
        <v>1.0571198084729885</v>
      </c>
      <c r="AD72" s="161"/>
    </row>
    <row r="73" spans="1:30" s="148" customFormat="1" x14ac:dyDescent="0.25">
      <c r="A73" s="128">
        <v>400</v>
      </c>
      <c r="B73" s="130" t="s">
        <v>195</v>
      </c>
      <c r="C73" s="146" t="s">
        <v>197</v>
      </c>
      <c r="D73" s="161">
        <v>6.96</v>
      </c>
      <c r="E73" s="161"/>
      <c r="F73" s="161"/>
      <c r="G73" s="161"/>
      <c r="H73" s="161"/>
      <c r="I73" s="365">
        <v>6.96</v>
      </c>
      <c r="J73" s="161">
        <v>0</v>
      </c>
      <c r="K73" s="161">
        <v>0</v>
      </c>
      <c r="L73" s="161">
        <v>0</v>
      </c>
      <c r="M73" s="161">
        <v>0</v>
      </c>
      <c r="N73" s="161">
        <f>$I73*AJ$15</f>
        <v>0.66644780039395934</v>
      </c>
      <c r="O73" s="161">
        <f t="shared" ref="O73:AC73" si="73">$I73*AK$15</f>
        <v>0.68548916611950106</v>
      </c>
      <c r="P73" s="161">
        <f t="shared" si="73"/>
        <v>0.6759684832567302</v>
      </c>
      <c r="Q73" s="161">
        <f t="shared" si="73"/>
        <v>0.6816808929743926</v>
      </c>
      <c r="R73" s="161">
        <f t="shared" si="73"/>
        <v>0.53315824031516745</v>
      </c>
      <c r="S73" s="161">
        <f t="shared" si="73"/>
        <v>0.53315824031516745</v>
      </c>
      <c r="T73" s="161">
        <f t="shared" si="73"/>
        <v>0.49507550886408414</v>
      </c>
      <c r="U73" s="161">
        <f t="shared" si="73"/>
        <v>0.53315824031516745</v>
      </c>
      <c r="V73" s="161">
        <f t="shared" si="73"/>
        <v>0.57124097176625088</v>
      </c>
      <c r="W73" s="161">
        <f t="shared" si="73"/>
        <v>0.5902823374917926</v>
      </c>
      <c r="X73" s="161">
        <f t="shared" si="73"/>
        <v>0.59980302035456334</v>
      </c>
      <c r="Y73" s="161">
        <f t="shared" si="73"/>
        <v>0.56172028890347991</v>
      </c>
      <c r="Z73" s="161">
        <f t="shared" si="73"/>
        <v>0</v>
      </c>
      <c r="AA73" s="161">
        <f t="shared" si="73"/>
        <v>0</v>
      </c>
      <c r="AB73" s="161">
        <f t="shared" si="73"/>
        <v>0</v>
      </c>
      <c r="AC73" s="161">
        <f t="shared" si="73"/>
        <v>0</v>
      </c>
      <c r="AD73" s="161"/>
    </row>
    <row r="74" spans="1:30" s="148" customFormat="1" x14ac:dyDescent="0.25">
      <c r="A74" s="366">
        <v>500</v>
      </c>
      <c r="B74" s="367" t="s">
        <v>196</v>
      </c>
      <c r="C74" s="368" t="s">
        <v>199</v>
      </c>
      <c r="D74" s="370">
        <v>83.01</v>
      </c>
      <c r="E74" s="370"/>
      <c r="F74" s="370"/>
      <c r="G74" s="370"/>
      <c r="H74" s="370"/>
      <c r="I74" s="369">
        <v>83.01</v>
      </c>
      <c r="J74" s="370">
        <v>0</v>
      </c>
      <c r="K74" s="370">
        <v>0</v>
      </c>
      <c r="L74" s="370">
        <v>0</v>
      </c>
      <c r="M74" s="370">
        <v>0</v>
      </c>
      <c r="N74" s="370">
        <f>$I74*AJ$16</f>
        <v>8.5570815157296991</v>
      </c>
      <c r="O74" s="370">
        <f t="shared" ref="O74:AC74" si="74">$I74*AK$16</f>
        <v>8.6965991491383345</v>
      </c>
      <c r="P74" s="370">
        <f t="shared" si="74"/>
        <v>8.4485678008563152</v>
      </c>
      <c r="Q74" s="370">
        <f t="shared" si="74"/>
        <v>8.3710580045181846</v>
      </c>
      <c r="R74" s="370">
        <f t="shared" si="74"/>
        <v>9.3011755605757607</v>
      </c>
      <c r="S74" s="370">
        <f t="shared" si="74"/>
        <v>9.3011755605757607</v>
      </c>
      <c r="T74" s="370">
        <f t="shared" si="74"/>
        <v>9.2856736013081331</v>
      </c>
      <c r="U74" s="370">
        <f t="shared" si="74"/>
        <v>10.3863127093096</v>
      </c>
      <c r="V74" s="370">
        <f t="shared" si="74"/>
        <v>2.3252938901439402</v>
      </c>
      <c r="W74" s="370">
        <f t="shared" si="74"/>
        <v>2.1702742974676776</v>
      </c>
      <c r="X74" s="370">
        <f t="shared" si="74"/>
        <v>2.9453722608489907</v>
      </c>
      <c r="Y74" s="370">
        <f t="shared" si="74"/>
        <v>2.6353330754964652</v>
      </c>
      <c r="Z74" s="370">
        <f t="shared" si="74"/>
        <v>0</v>
      </c>
      <c r="AA74" s="370">
        <f t="shared" si="74"/>
        <v>0</v>
      </c>
      <c r="AB74" s="370">
        <f t="shared" si="74"/>
        <v>0</v>
      </c>
      <c r="AC74" s="370">
        <f t="shared" si="74"/>
        <v>0</v>
      </c>
      <c r="AD74" s="370"/>
    </row>
    <row r="75" spans="1:30" s="148" customFormat="1" x14ac:dyDescent="0.25"/>
  </sheetData>
  <mergeCells count="11">
    <mergeCell ref="F8:F10"/>
    <mergeCell ref="A8:A10"/>
    <mergeCell ref="B8:B10"/>
    <mergeCell ref="C8:C10"/>
    <mergeCell ref="D8:D10"/>
    <mergeCell ref="E8:E10"/>
    <mergeCell ref="G8:G10"/>
    <mergeCell ref="H8:H10"/>
    <mergeCell ref="I8:I10"/>
    <mergeCell ref="J8:AC8"/>
    <mergeCell ref="AD8:AD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7170-9B8C-4EEC-97A3-997879239B2C}">
  <sheetPr>
    <tabColor rgb="FF92D050"/>
  </sheetPr>
  <dimension ref="A2:Q12"/>
  <sheetViews>
    <sheetView tabSelected="1" topLeftCell="C1" zoomScale="85" zoomScaleNormal="85" workbookViewId="0">
      <selection activeCell="H2" sqref="H2:Q2"/>
    </sheetView>
  </sheetViews>
  <sheetFormatPr baseColWidth="10" defaultRowHeight="15" x14ac:dyDescent="0.25"/>
  <cols>
    <col min="1" max="1" width="11.42578125" style="316"/>
    <col min="3" max="3" width="55" customWidth="1"/>
    <col min="4" max="4" width="11.42578125" style="316"/>
  </cols>
  <sheetData>
    <row r="2" spans="1:17" s="2" customFormat="1" ht="33.75" customHeight="1" x14ac:dyDescent="0.25">
      <c r="A2" s="476" t="s">
        <v>1</v>
      </c>
      <c r="B2" s="476" t="s">
        <v>2</v>
      </c>
      <c r="C2" s="476" t="s">
        <v>267</v>
      </c>
      <c r="D2" s="476" t="s">
        <v>3</v>
      </c>
      <c r="E2" s="476" t="s">
        <v>268</v>
      </c>
      <c r="F2" s="476"/>
      <c r="G2" s="476"/>
      <c r="H2" s="477" t="s">
        <v>417</v>
      </c>
      <c r="I2" s="467"/>
      <c r="J2" s="477" t="s">
        <v>418</v>
      </c>
      <c r="K2" s="467"/>
      <c r="L2" s="477" t="s">
        <v>419</v>
      </c>
      <c r="M2" s="467"/>
      <c r="N2" s="477" t="s">
        <v>420</v>
      </c>
      <c r="O2" s="467"/>
      <c r="P2" s="477" t="s">
        <v>421</v>
      </c>
      <c r="Q2" s="467"/>
    </row>
    <row r="3" spans="1:17" s="2" customFormat="1" ht="23.25" customHeight="1" x14ac:dyDescent="0.25">
      <c r="A3" s="476"/>
      <c r="B3" s="476"/>
      <c r="C3" s="476"/>
      <c r="D3" s="476"/>
      <c r="E3" s="319" t="s">
        <v>5</v>
      </c>
      <c r="F3" s="319" t="s">
        <v>269</v>
      </c>
      <c r="G3" s="319" t="s">
        <v>53</v>
      </c>
      <c r="H3" s="320" t="s">
        <v>5</v>
      </c>
      <c r="I3" s="320" t="s">
        <v>270</v>
      </c>
      <c r="J3" s="320" t="s">
        <v>5</v>
      </c>
      <c r="K3" s="320" t="s">
        <v>270</v>
      </c>
      <c r="L3" s="320" t="s">
        <v>5</v>
      </c>
      <c r="M3" s="320" t="s">
        <v>270</v>
      </c>
      <c r="N3" s="320" t="s">
        <v>5</v>
      </c>
      <c r="O3" s="320" t="s">
        <v>270</v>
      </c>
      <c r="P3" s="320" t="s">
        <v>5</v>
      </c>
      <c r="Q3" s="320" t="s">
        <v>270</v>
      </c>
    </row>
    <row r="4" spans="1:17" x14ac:dyDescent="0.25">
      <c r="A4" s="316">
        <v>300</v>
      </c>
      <c r="B4" s="252" t="s">
        <v>306</v>
      </c>
      <c r="C4" t="s">
        <v>305</v>
      </c>
      <c r="D4" s="316" t="s">
        <v>199</v>
      </c>
      <c r="E4" s="247">
        <v>35113.399999999994</v>
      </c>
      <c r="F4" s="247">
        <v>0.74</v>
      </c>
      <c r="G4" s="247">
        <f>E4*F4</f>
        <v>25983.915999999994</v>
      </c>
      <c r="H4" s="247"/>
      <c r="I4" s="247"/>
      <c r="J4" s="247">
        <v>9500</v>
      </c>
      <c r="K4" s="247">
        <f>J4*F4</f>
        <v>7030</v>
      </c>
      <c r="L4" s="247">
        <v>19300</v>
      </c>
      <c r="M4" s="247">
        <f>L4*F4</f>
        <v>14282</v>
      </c>
      <c r="N4" s="247">
        <v>6313.4</v>
      </c>
      <c r="O4" s="247">
        <f>N4*F4</f>
        <v>4671.9159999999993</v>
      </c>
      <c r="P4" s="247"/>
      <c r="Q4" s="247"/>
    </row>
    <row r="5" spans="1:17" x14ac:dyDescent="0.25">
      <c r="B5" s="1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</row>
    <row r="6" spans="1:17" x14ac:dyDescent="0.25">
      <c r="A6" s="316">
        <v>200</v>
      </c>
      <c r="B6" s="1" t="s">
        <v>313</v>
      </c>
      <c r="C6" t="s">
        <v>307</v>
      </c>
      <c r="D6" s="316" t="s">
        <v>197</v>
      </c>
      <c r="E6" s="247">
        <v>70.33</v>
      </c>
      <c r="F6" s="247">
        <v>13</v>
      </c>
      <c r="G6" s="247">
        <f>E6*F6</f>
        <v>914.29</v>
      </c>
      <c r="H6" s="247"/>
      <c r="I6" s="247"/>
      <c r="J6" s="247"/>
      <c r="K6" s="247"/>
      <c r="L6" s="247">
        <v>32</v>
      </c>
      <c r="M6" s="247">
        <f t="shared" ref="M6:M7" si="0">L6*F6</f>
        <v>416</v>
      </c>
      <c r="N6" s="247">
        <v>35</v>
      </c>
      <c r="O6" s="247">
        <f t="shared" ref="O6:O7" si="1">N6*F6</f>
        <v>455</v>
      </c>
      <c r="P6" s="247">
        <v>3.33</v>
      </c>
      <c r="Q6" s="247">
        <f>P6*F6</f>
        <v>43.29</v>
      </c>
    </row>
    <row r="7" spans="1:17" x14ac:dyDescent="0.25">
      <c r="A7" s="316">
        <v>200</v>
      </c>
      <c r="B7" s="316" t="s">
        <v>313</v>
      </c>
      <c r="C7" t="s">
        <v>308</v>
      </c>
      <c r="D7" s="316" t="s">
        <v>197</v>
      </c>
      <c r="E7" s="247">
        <v>8.73</v>
      </c>
      <c r="F7" s="247">
        <v>15</v>
      </c>
      <c r="G7" s="247">
        <f t="shared" ref="G7:G11" si="2">E7*F7</f>
        <v>130.95000000000002</v>
      </c>
      <c r="H7" s="247"/>
      <c r="I7" s="247"/>
      <c r="J7" s="247"/>
      <c r="K7" s="247"/>
      <c r="L7" s="247">
        <v>4.3650000000000002</v>
      </c>
      <c r="M7" s="247">
        <f t="shared" si="0"/>
        <v>65.475000000000009</v>
      </c>
      <c r="N7" s="247">
        <v>3.4920000000000004</v>
      </c>
      <c r="O7" s="247">
        <f t="shared" si="1"/>
        <v>52.38000000000001</v>
      </c>
      <c r="P7" s="247">
        <v>0.87300000000000011</v>
      </c>
      <c r="Q7" s="247">
        <f>P7*F7</f>
        <v>13.095000000000002</v>
      </c>
    </row>
    <row r="8" spans="1:17" x14ac:dyDescent="0.25">
      <c r="A8" s="316">
        <v>200</v>
      </c>
      <c r="B8" s="316" t="s">
        <v>313</v>
      </c>
      <c r="C8" t="s">
        <v>309</v>
      </c>
      <c r="D8" s="316" t="s">
        <v>62</v>
      </c>
      <c r="E8" s="247">
        <v>39.81</v>
      </c>
      <c r="F8" s="247">
        <v>19</v>
      </c>
      <c r="G8" s="247">
        <f t="shared" si="2"/>
        <v>756.3900000000001</v>
      </c>
      <c r="H8" s="247">
        <v>24</v>
      </c>
      <c r="I8" s="247">
        <f>H8*F8</f>
        <v>456</v>
      </c>
      <c r="J8" s="247">
        <v>15.81</v>
      </c>
      <c r="K8" s="247">
        <f t="shared" ref="K8:K11" si="3">J8*F8</f>
        <v>300.39</v>
      </c>
      <c r="L8" s="247"/>
      <c r="M8" s="247"/>
      <c r="N8" s="247"/>
      <c r="O8" s="247"/>
      <c r="P8" s="247"/>
      <c r="Q8" s="247"/>
    </row>
    <row r="9" spans="1:17" x14ac:dyDescent="0.25">
      <c r="A9" s="316">
        <v>200</v>
      </c>
      <c r="B9" s="316" t="s">
        <v>313</v>
      </c>
      <c r="C9" t="s">
        <v>310</v>
      </c>
      <c r="D9" s="316" t="s">
        <v>62</v>
      </c>
      <c r="E9" s="247">
        <v>1876.4</v>
      </c>
      <c r="F9" s="247">
        <v>21.1</v>
      </c>
      <c r="G9" s="247">
        <f t="shared" si="2"/>
        <v>39592.040000000008</v>
      </c>
      <c r="H9" s="247">
        <v>1150</v>
      </c>
      <c r="I9" s="247">
        <f>H9*F9</f>
        <v>24265</v>
      </c>
      <c r="J9" s="247">
        <v>726.4</v>
      </c>
      <c r="K9" s="247">
        <f t="shared" si="3"/>
        <v>15327.04</v>
      </c>
      <c r="L9" s="247"/>
      <c r="M9" s="247"/>
      <c r="N9" s="247"/>
      <c r="O9" s="247"/>
      <c r="P9" s="247"/>
      <c r="Q9" s="247"/>
    </row>
    <row r="10" spans="1:17" x14ac:dyDescent="0.25">
      <c r="A10" s="316">
        <v>200</v>
      </c>
      <c r="B10" s="316" t="s">
        <v>313</v>
      </c>
      <c r="C10" t="s">
        <v>311</v>
      </c>
      <c r="D10" s="316" t="s">
        <v>62</v>
      </c>
      <c r="E10" s="247">
        <v>1138.01</v>
      </c>
      <c r="F10" s="247">
        <v>15</v>
      </c>
      <c r="G10" s="247">
        <f t="shared" si="2"/>
        <v>17070.150000000001</v>
      </c>
      <c r="H10" s="247"/>
      <c r="I10" s="247"/>
      <c r="J10" s="247">
        <v>341.40299999999996</v>
      </c>
      <c r="K10" s="247">
        <f t="shared" si="3"/>
        <v>5121.0449999999992</v>
      </c>
      <c r="L10" s="247">
        <v>398.30349999999999</v>
      </c>
      <c r="M10" s="247">
        <f>L10*F10</f>
        <v>5974.5524999999998</v>
      </c>
      <c r="N10" s="247">
        <v>398.30349999999999</v>
      </c>
      <c r="O10" s="247">
        <f>N10*F10</f>
        <v>5974.5524999999998</v>
      </c>
      <c r="P10" s="247"/>
      <c r="Q10" s="247"/>
    </row>
    <row r="11" spans="1:17" x14ac:dyDescent="0.25">
      <c r="A11" s="316">
        <v>200</v>
      </c>
      <c r="B11" s="316" t="s">
        <v>313</v>
      </c>
      <c r="C11" t="s">
        <v>312</v>
      </c>
      <c r="D11" s="316" t="s">
        <v>62</v>
      </c>
      <c r="E11" s="247">
        <v>1173.963</v>
      </c>
      <c r="F11" s="247">
        <v>17.399999999999999</v>
      </c>
      <c r="G11" s="247">
        <f t="shared" si="2"/>
        <v>20426.956199999997</v>
      </c>
      <c r="H11" s="247">
        <v>470</v>
      </c>
      <c r="I11" s="247">
        <f>H11*F11</f>
        <v>8177.9999999999991</v>
      </c>
      <c r="J11" s="247">
        <v>703.96</v>
      </c>
      <c r="K11" s="247">
        <f t="shared" si="3"/>
        <v>12248.904</v>
      </c>
      <c r="L11" s="247"/>
      <c r="M11" s="247"/>
      <c r="N11" s="247"/>
      <c r="O11" s="247"/>
      <c r="P11" s="247"/>
      <c r="Q11" s="247"/>
    </row>
    <row r="12" spans="1:17" x14ac:dyDescent="0.25">
      <c r="E12" s="247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</row>
  </sheetData>
  <mergeCells count="10">
    <mergeCell ref="N2:O2"/>
    <mergeCell ref="P2:Q2"/>
    <mergeCell ref="J2:K2"/>
    <mergeCell ref="L2:M2"/>
    <mergeCell ref="E2:G2"/>
    <mergeCell ref="A2:A3"/>
    <mergeCell ref="B2:B3"/>
    <mergeCell ref="C2:C3"/>
    <mergeCell ref="D2:D3"/>
    <mergeCell ref="H2:I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7EFDE-0F42-425F-912E-86EC86932B9F}">
  <dimension ref="A2:S12"/>
  <sheetViews>
    <sheetView topLeftCell="D1" workbookViewId="0">
      <selection activeCell="M11" sqref="M11"/>
    </sheetView>
  </sheetViews>
  <sheetFormatPr baseColWidth="10" defaultRowHeight="15" x14ac:dyDescent="0.25"/>
  <cols>
    <col min="2" max="2" width="48.5703125" customWidth="1"/>
    <col min="3" max="3" width="19.140625" customWidth="1"/>
    <col min="8" max="8" width="11.42578125" style="316"/>
    <col min="9" max="9" width="15.5703125" customWidth="1"/>
  </cols>
  <sheetData>
    <row r="2" spans="1:19" ht="27.75" customHeight="1" x14ac:dyDescent="0.25">
      <c r="A2" s="316"/>
      <c r="J2" s="477" t="s">
        <v>417</v>
      </c>
      <c r="K2" s="467"/>
      <c r="L2" s="477" t="s">
        <v>418</v>
      </c>
      <c r="M2" s="467"/>
      <c r="N2" s="477" t="s">
        <v>419</v>
      </c>
      <c r="O2" s="467"/>
      <c r="P2" s="477" t="s">
        <v>420</v>
      </c>
      <c r="Q2" s="467"/>
      <c r="R2" s="477" t="s">
        <v>421</v>
      </c>
      <c r="S2" s="467"/>
    </row>
    <row r="3" spans="1:19" ht="45" x14ac:dyDescent="0.25">
      <c r="A3" s="322" t="s">
        <v>2</v>
      </c>
      <c r="B3" s="322" t="s">
        <v>15</v>
      </c>
      <c r="C3" s="322" t="s">
        <v>55</v>
      </c>
      <c r="D3" s="322" t="s">
        <v>61</v>
      </c>
      <c r="E3" s="322" t="s">
        <v>56</v>
      </c>
      <c r="F3" s="322" t="s">
        <v>57</v>
      </c>
      <c r="G3" s="322" t="s">
        <v>53</v>
      </c>
      <c r="H3" s="374" t="s">
        <v>40</v>
      </c>
      <c r="I3" s="322" t="s">
        <v>58</v>
      </c>
      <c r="J3" s="108" t="s">
        <v>64</v>
      </c>
      <c r="K3" s="108" t="s">
        <v>65</v>
      </c>
      <c r="L3" s="108" t="s">
        <v>64</v>
      </c>
      <c r="M3" s="108" t="s">
        <v>65</v>
      </c>
      <c r="N3" s="108" t="s">
        <v>64</v>
      </c>
      <c r="O3" s="108" t="s">
        <v>65</v>
      </c>
      <c r="P3" s="108" t="s">
        <v>64</v>
      </c>
      <c r="Q3" s="108" t="s">
        <v>65</v>
      </c>
      <c r="R3" s="108" t="s">
        <v>64</v>
      </c>
      <c r="S3" s="108" t="s">
        <v>65</v>
      </c>
    </row>
    <row r="4" spans="1:19" x14ac:dyDescent="0.25">
      <c r="B4" t="s">
        <v>341</v>
      </c>
      <c r="E4" s="247">
        <v>1</v>
      </c>
      <c r="F4" s="247">
        <v>400</v>
      </c>
      <c r="G4" s="247">
        <v>400</v>
      </c>
      <c r="H4" s="316">
        <v>600</v>
      </c>
      <c r="I4" t="s">
        <v>349</v>
      </c>
      <c r="J4" s="247"/>
      <c r="K4" s="247">
        <v>400</v>
      </c>
      <c r="L4" s="247"/>
      <c r="M4" s="247">
        <v>380</v>
      </c>
      <c r="N4" s="247"/>
      <c r="O4" s="247">
        <v>401</v>
      </c>
      <c r="P4" s="247"/>
      <c r="Q4" s="247">
        <v>385</v>
      </c>
      <c r="R4" s="247"/>
      <c r="S4" s="247">
        <v>396</v>
      </c>
    </row>
    <row r="5" spans="1:19" x14ac:dyDescent="0.25">
      <c r="B5" t="s">
        <v>342</v>
      </c>
      <c r="E5" s="247">
        <v>1</v>
      </c>
      <c r="F5" s="247">
        <v>1200</v>
      </c>
      <c r="G5" s="247">
        <v>1200</v>
      </c>
      <c r="H5" s="316">
        <v>600</v>
      </c>
      <c r="I5" t="s">
        <v>349</v>
      </c>
      <c r="J5" s="247"/>
      <c r="K5" s="247">
        <v>1200</v>
      </c>
      <c r="L5" s="247"/>
      <c r="M5" s="247">
        <v>1150</v>
      </c>
      <c r="N5" s="247"/>
      <c r="O5" s="247">
        <v>1210</v>
      </c>
      <c r="P5" s="247"/>
      <c r="Q5" s="247">
        <v>1180</v>
      </c>
      <c r="R5" s="247"/>
      <c r="S5" s="247">
        <v>1350</v>
      </c>
    </row>
    <row r="6" spans="1:19" x14ac:dyDescent="0.25">
      <c r="B6" t="s">
        <v>343</v>
      </c>
      <c r="E6" s="247">
        <v>1</v>
      </c>
      <c r="F6" s="247">
        <v>450</v>
      </c>
      <c r="G6" s="247">
        <v>450</v>
      </c>
      <c r="H6" s="316">
        <v>600</v>
      </c>
      <c r="I6" t="s">
        <v>9</v>
      </c>
      <c r="J6" s="247"/>
      <c r="K6" s="247">
        <v>450</v>
      </c>
      <c r="L6" s="247"/>
      <c r="M6" s="247">
        <v>430</v>
      </c>
      <c r="N6" s="247"/>
      <c r="O6" s="247">
        <v>435</v>
      </c>
      <c r="P6" s="247"/>
      <c r="Q6" s="247">
        <v>465</v>
      </c>
      <c r="R6" s="247"/>
      <c r="S6" s="247">
        <v>445</v>
      </c>
    </row>
    <row r="7" spans="1:19" x14ac:dyDescent="0.25">
      <c r="B7" t="s">
        <v>344</v>
      </c>
      <c r="E7" s="247"/>
      <c r="F7" s="247"/>
      <c r="G7" s="247">
        <f>1337712.82*0.1*0.03</f>
        <v>4013.1384600000001</v>
      </c>
      <c r="H7" s="316">
        <v>600</v>
      </c>
      <c r="I7" t="s">
        <v>350</v>
      </c>
      <c r="J7" s="247"/>
      <c r="K7" s="247">
        <f>G7*0.2</f>
        <v>802.62769200000002</v>
      </c>
      <c r="L7" s="247"/>
      <c r="M7" s="247">
        <v>805</v>
      </c>
      <c r="N7" s="247"/>
      <c r="O7" s="247">
        <v>803</v>
      </c>
      <c r="P7" s="247"/>
      <c r="Q7" s="247">
        <v>803.5</v>
      </c>
      <c r="R7" s="247"/>
      <c r="S7" s="247">
        <v>790</v>
      </c>
    </row>
    <row r="8" spans="1:19" x14ac:dyDescent="0.25">
      <c r="B8" t="s">
        <v>345</v>
      </c>
      <c r="E8" s="247"/>
      <c r="F8" s="247"/>
      <c r="G8" s="247">
        <f>1337712.82*0.1*0.03</f>
        <v>4013.1384600000001</v>
      </c>
      <c r="H8" s="316">
        <v>600</v>
      </c>
      <c r="I8" t="s">
        <v>350</v>
      </c>
      <c r="J8" s="247"/>
      <c r="K8" s="247">
        <f>+G8*0.2</f>
        <v>802.62769200000002</v>
      </c>
      <c r="L8" s="247"/>
      <c r="M8" s="247">
        <v>800.1</v>
      </c>
      <c r="N8" s="247"/>
      <c r="O8" s="247">
        <v>795</v>
      </c>
      <c r="P8" s="247"/>
      <c r="Q8" s="247">
        <v>801.45</v>
      </c>
      <c r="R8" s="247"/>
      <c r="S8" s="247">
        <v>780</v>
      </c>
    </row>
    <row r="9" spans="1:19" x14ac:dyDescent="0.25">
      <c r="B9" t="s">
        <v>354</v>
      </c>
      <c r="E9" s="247">
        <v>1</v>
      </c>
      <c r="F9" s="247">
        <v>1000</v>
      </c>
      <c r="G9" s="247">
        <v>1000</v>
      </c>
      <c r="H9" s="316">
        <v>600</v>
      </c>
      <c r="I9" t="s">
        <v>9</v>
      </c>
      <c r="J9" s="247"/>
      <c r="K9" s="247">
        <v>230</v>
      </c>
      <c r="L9" s="247"/>
      <c r="M9" s="247">
        <v>200</v>
      </c>
      <c r="N9" s="247"/>
      <c r="O9" s="247">
        <v>210</v>
      </c>
      <c r="P9" s="247"/>
      <c r="Q9" s="247">
        <v>225</v>
      </c>
      <c r="R9" s="247"/>
      <c r="S9" s="247">
        <v>185</v>
      </c>
    </row>
    <row r="10" spans="1:19" x14ac:dyDescent="0.25">
      <c r="B10" t="s">
        <v>355</v>
      </c>
      <c r="E10" s="247">
        <v>1</v>
      </c>
      <c r="F10" s="247">
        <v>1000</v>
      </c>
      <c r="G10" s="247">
        <v>1000</v>
      </c>
      <c r="H10" s="316">
        <v>600</v>
      </c>
      <c r="I10" t="s">
        <v>9</v>
      </c>
      <c r="J10" s="247"/>
      <c r="K10" s="247">
        <v>220</v>
      </c>
      <c r="L10" s="247"/>
      <c r="M10" s="247">
        <v>180</v>
      </c>
      <c r="N10" s="247"/>
      <c r="O10" s="247">
        <v>205</v>
      </c>
      <c r="P10" s="247"/>
      <c r="Q10" s="247">
        <v>192</v>
      </c>
      <c r="R10" s="247"/>
      <c r="S10" s="247">
        <v>215</v>
      </c>
    </row>
    <row r="11" spans="1:19" x14ac:dyDescent="0.25">
      <c r="B11" t="s">
        <v>353</v>
      </c>
      <c r="E11" s="247"/>
      <c r="F11" s="247"/>
      <c r="G11" s="247">
        <f>1337712.82*0.002</f>
        <v>2675.4256400000004</v>
      </c>
      <c r="H11" s="316">
        <v>600</v>
      </c>
      <c r="I11" t="s">
        <v>350</v>
      </c>
      <c r="J11" s="247"/>
      <c r="K11" s="247">
        <f t="shared" ref="K11:K12" si="0">+G11*0.2</f>
        <v>535.08512800000005</v>
      </c>
      <c r="L11" s="247"/>
      <c r="M11" s="247">
        <v>540</v>
      </c>
      <c r="N11" s="247"/>
      <c r="O11" s="247">
        <v>526</v>
      </c>
      <c r="P11" s="247"/>
      <c r="Q11" s="247">
        <v>515</v>
      </c>
      <c r="R11" s="247"/>
      <c r="S11" s="247">
        <v>520</v>
      </c>
    </row>
    <row r="12" spans="1:19" x14ac:dyDescent="0.25">
      <c r="B12" t="s">
        <v>348</v>
      </c>
      <c r="E12" s="247"/>
      <c r="F12" s="247"/>
      <c r="G12" s="247">
        <f>870692.06*0.02</f>
        <v>17413.841200000003</v>
      </c>
      <c r="H12" s="316">
        <v>600</v>
      </c>
      <c r="I12" t="s">
        <v>350</v>
      </c>
      <c r="J12" s="247"/>
      <c r="K12" s="247">
        <f t="shared" si="0"/>
        <v>3482.7682400000008</v>
      </c>
      <c r="L12" s="247"/>
      <c r="M12" s="247">
        <v>3378</v>
      </c>
      <c r="N12" s="247"/>
      <c r="O12" s="247">
        <v>3510</v>
      </c>
      <c r="P12" s="247"/>
      <c r="Q12" s="247">
        <v>3650</v>
      </c>
      <c r="R12" s="247"/>
      <c r="S12" s="247">
        <v>3250</v>
      </c>
    </row>
  </sheetData>
  <mergeCells count="5"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A658-AD03-408A-936A-8090B248FB53}">
  <dimension ref="A1:R77"/>
  <sheetViews>
    <sheetView topLeftCell="D1" zoomScale="85" zoomScaleNormal="85" workbookViewId="0">
      <selection activeCell="O18" sqref="O18"/>
    </sheetView>
  </sheetViews>
  <sheetFormatPr baseColWidth="10" defaultRowHeight="15" x14ac:dyDescent="0.25"/>
  <cols>
    <col min="1" max="1" width="11.42578125" style="83"/>
    <col min="2" max="2" width="65.5703125" style="83" customWidth="1"/>
    <col min="3" max="3" width="11.42578125" style="83"/>
    <col min="4" max="4" width="11.28515625" style="83" customWidth="1"/>
    <col min="5" max="5" width="9.140625" style="83" customWidth="1"/>
    <col min="6" max="6" width="13.140625" style="83" bestFit="1" customWidth="1"/>
    <col min="7" max="16384" width="11.42578125" style="83"/>
  </cols>
  <sheetData>
    <row r="1" spans="1:18" s="208" customFormat="1" ht="17.25" x14ac:dyDescent="0.3">
      <c r="A1" s="478" t="s">
        <v>208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</row>
    <row r="3" spans="1:18" s="2" customFormat="1" x14ac:dyDescent="0.25">
      <c r="A3" s="2" t="s">
        <v>16</v>
      </c>
      <c r="B3" s="2" t="s">
        <v>69</v>
      </c>
    </row>
    <row r="5" spans="1:18" ht="16.5" customHeight="1" x14ac:dyDescent="0.25">
      <c r="A5" s="441" t="s">
        <v>2</v>
      </c>
      <c r="B5" s="441" t="s">
        <v>15</v>
      </c>
      <c r="C5" s="441" t="s">
        <v>3</v>
      </c>
      <c r="D5" s="441" t="s">
        <v>13</v>
      </c>
      <c r="E5" s="441"/>
      <c r="F5" s="441"/>
      <c r="G5" s="479" t="s">
        <v>205</v>
      </c>
      <c r="H5" s="479"/>
      <c r="I5" s="479"/>
      <c r="J5" s="479"/>
      <c r="K5" s="479"/>
      <c r="L5" s="194"/>
    </row>
    <row r="6" spans="1:18" x14ac:dyDescent="0.25">
      <c r="A6" s="441"/>
      <c r="B6" s="441"/>
      <c r="C6" s="441"/>
      <c r="D6" s="179" t="s">
        <v>5</v>
      </c>
      <c r="E6" s="179" t="s">
        <v>6</v>
      </c>
      <c r="F6" s="179" t="s">
        <v>7</v>
      </c>
      <c r="G6" s="210">
        <v>45597</v>
      </c>
      <c r="H6" s="210">
        <v>45627</v>
      </c>
      <c r="I6" s="210">
        <v>45658</v>
      </c>
      <c r="J6" s="210">
        <v>45689</v>
      </c>
      <c r="K6" s="210">
        <v>45717</v>
      </c>
      <c r="L6" s="194"/>
      <c r="N6" s="210">
        <v>45597</v>
      </c>
      <c r="O6" s="210">
        <v>45627</v>
      </c>
      <c r="P6" s="210">
        <v>45658</v>
      </c>
      <c r="Q6" s="210">
        <v>45689</v>
      </c>
      <c r="R6" s="210">
        <v>45717</v>
      </c>
    </row>
    <row r="7" spans="1:18" x14ac:dyDescent="0.25">
      <c r="A7" s="196" t="s">
        <v>70</v>
      </c>
      <c r="B7" s="197" t="s">
        <v>133</v>
      </c>
      <c r="C7" s="198"/>
      <c r="D7" s="200"/>
      <c r="E7" s="74"/>
      <c r="F7" s="199"/>
      <c r="G7" s="211"/>
      <c r="H7" s="211"/>
      <c r="I7" s="211"/>
      <c r="J7" s="211"/>
      <c r="K7" s="211"/>
      <c r="L7" s="194"/>
      <c r="N7" s="195"/>
      <c r="O7" s="195"/>
      <c r="P7" s="195"/>
      <c r="Q7" s="195"/>
      <c r="R7" s="195"/>
    </row>
    <row r="8" spans="1:18" x14ac:dyDescent="0.25">
      <c r="A8" s="190" t="s">
        <v>71</v>
      </c>
      <c r="B8" s="182" t="s">
        <v>134</v>
      </c>
      <c r="C8" s="181"/>
      <c r="D8" s="119"/>
      <c r="E8" s="22"/>
      <c r="F8" s="18"/>
      <c r="G8" s="212"/>
      <c r="H8" s="212"/>
      <c r="I8" s="212"/>
      <c r="J8" s="212"/>
      <c r="K8" s="212"/>
      <c r="L8" s="194"/>
      <c r="N8" s="195"/>
      <c r="O8" s="195"/>
      <c r="P8" s="195"/>
      <c r="Q8" s="195"/>
      <c r="R8" s="195"/>
    </row>
    <row r="9" spans="1:18" x14ac:dyDescent="0.25">
      <c r="A9" s="190" t="s">
        <v>17</v>
      </c>
      <c r="B9" s="182" t="s">
        <v>135</v>
      </c>
      <c r="C9" s="183"/>
      <c r="D9" s="156"/>
      <c r="E9" s="9"/>
      <c r="F9" s="19"/>
      <c r="G9" s="213"/>
      <c r="H9" s="213"/>
      <c r="I9" s="213"/>
      <c r="J9" s="213"/>
      <c r="K9" s="213"/>
      <c r="L9" s="194"/>
      <c r="N9" s="195"/>
      <c r="O9" s="195"/>
      <c r="P9" s="195"/>
      <c r="Q9" s="195"/>
      <c r="R9" s="195"/>
    </row>
    <row r="10" spans="1:18" x14ac:dyDescent="0.25">
      <c r="A10" s="191" t="s">
        <v>72</v>
      </c>
      <c r="B10" s="184" t="s">
        <v>136</v>
      </c>
      <c r="C10" s="183" t="s">
        <v>19</v>
      </c>
      <c r="D10" s="150">
        <v>897.34</v>
      </c>
      <c r="E10" s="123">
        <v>2.04</v>
      </c>
      <c r="F10" s="126">
        <v>1830.57</v>
      </c>
      <c r="G10" s="214">
        <f t="shared" ref="G10:K11" si="0">$F10*N10</f>
        <v>915.28499999999997</v>
      </c>
      <c r="H10" s="214">
        <f t="shared" si="0"/>
        <v>915.28499999999997</v>
      </c>
      <c r="I10" s="214">
        <f t="shared" si="0"/>
        <v>0</v>
      </c>
      <c r="J10" s="214">
        <f t="shared" si="0"/>
        <v>0</v>
      </c>
      <c r="K10" s="214">
        <f t="shared" si="0"/>
        <v>0</v>
      </c>
      <c r="L10" s="194">
        <f>F10-SUM(G10:K10)</f>
        <v>0</v>
      </c>
      <c r="N10" s="195">
        <v>0.5</v>
      </c>
      <c r="O10" s="195">
        <v>0.5</v>
      </c>
      <c r="P10" s="195"/>
      <c r="Q10" s="195"/>
      <c r="R10" s="195"/>
    </row>
    <row r="11" spans="1:18" x14ac:dyDescent="0.25">
      <c r="A11" s="191" t="s">
        <v>73</v>
      </c>
      <c r="B11" s="184" t="s">
        <v>137</v>
      </c>
      <c r="C11" s="183" t="s">
        <v>197</v>
      </c>
      <c r="D11" s="150">
        <v>897.34</v>
      </c>
      <c r="E11" s="123">
        <v>2.04</v>
      </c>
      <c r="F11" s="126">
        <v>1830.57</v>
      </c>
      <c r="G11" s="214">
        <f t="shared" si="0"/>
        <v>457.64249999999998</v>
      </c>
      <c r="H11" s="214">
        <f t="shared" si="0"/>
        <v>457.64249999999998</v>
      </c>
      <c r="I11" s="214">
        <f t="shared" si="0"/>
        <v>457.64249999999998</v>
      </c>
      <c r="J11" s="214">
        <f t="shared" si="0"/>
        <v>457.64249999999998</v>
      </c>
      <c r="K11" s="214">
        <f t="shared" si="0"/>
        <v>0</v>
      </c>
      <c r="L11" s="194">
        <f>F11-SUM(G11:K11)</f>
        <v>0</v>
      </c>
      <c r="N11" s="195">
        <v>0.25</v>
      </c>
      <c r="O11" s="195">
        <v>0.25</v>
      </c>
      <c r="P11" s="195">
        <v>0.25</v>
      </c>
      <c r="Q11" s="195">
        <v>0.25</v>
      </c>
      <c r="R11" s="195"/>
    </row>
    <row r="12" spans="1:18" x14ac:dyDescent="0.25">
      <c r="A12" s="190" t="s">
        <v>74</v>
      </c>
      <c r="B12" s="182" t="s">
        <v>138</v>
      </c>
      <c r="C12" s="183"/>
      <c r="D12" s="156"/>
      <c r="E12" s="9"/>
      <c r="F12" s="19"/>
      <c r="G12" s="213"/>
      <c r="H12" s="213"/>
      <c r="I12" s="213"/>
      <c r="J12" s="213"/>
      <c r="K12" s="213"/>
      <c r="L12" s="194"/>
      <c r="N12" s="195"/>
      <c r="O12" s="195"/>
      <c r="P12" s="195"/>
      <c r="Q12" s="195"/>
      <c r="R12" s="195"/>
    </row>
    <row r="13" spans="1:18" x14ac:dyDescent="0.25">
      <c r="A13" s="190" t="s">
        <v>75</v>
      </c>
      <c r="B13" s="182" t="s">
        <v>139</v>
      </c>
      <c r="C13" s="183"/>
      <c r="D13" s="156"/>
      <c r="E13" s="9"/>
      <c r="F13" s="19"/>
      <c r="G13" s="213"/>
      <c r="H13" s="213"/>
      <c r="I13" s="213"/>
      <c r="J13" s="213"/>
      <c r="K13" s="213"/>
      <c r="L13" s="194"/>
      <c r="N13" s="195"/>
      <c r="O13" s="195"/>
      <c r="P13" s="195"/>
      <c r="Q13" s="195"/>
      <c r="R13" s="195"/>
    </row>
    <row r="14" spans="1:18" x14ac:dyDescent="0.25">
      <c r="A14" s="190" t="s">
        <v>76</v>
      </c>
      <c r="B14" s="182" t="s">
        <v>140</v>
      </c>
      <c r="C14" s="183"/>
      <c r="D14" s="156"/>
      <c r="E14" s="9"/>
      <c r="F14" s="19"/>
      <c r="G14" s="213"/>
      <c r="H14" s="213"/>
      <c r="I14" s="213"/>
      <c r="J14" s="213"/>
      <c r="K14" s="213"/>
      <c r="L14" s="194"/>
      <c r="N14" s="195"/>
      <c r="O14" s="195"/>
      <c r="P14" s="195"/>
      <c r="Q14" s="195"/>
      <c r="R14" s="195"/>
    </row>
    <row r="15" spans="1:18" x14ac:dyDescent="0.25">
      <c r="A15" s="191" t="s">
        <v>77</v>
      </c>
      <c r="B15" s="184" t="s">
        <v>141</v>
      </c>
      <c r="C15" s="183" t="s">
        <v>62</v>
      </c>
      <c r="D15" s="150">
        <v>41.9</v>
      </c>
      <c r="E15" s="123">
        <v>46.74</v>
      </c>
      <c r="F15" s="126">
        <v>1958.41</v>
      </c>
      <c r="G15" s="214">
        <f t="shared" ref="G15:K16" si="1">$F15*N15</f>
        <v>979.20500000000004</v>
      </c>
      <c r="H15" s="214">
        <f t="shared" si="1"/>
        <v>979.20500000000004</v>
      </c>
      <c r="I15" s="214">
        <f t="shared" si="1"/>
        <v>0</v>
      </c>
      <c r="J15" s="214">
        <f t="shared" si="1"/>
        <v>0</v>
      </c>
      <c r="K15" s="214">
        <f t="shared" si="1"/>
        <v>0</v>
      </c>
      <c r="L15" s="194">
        <f>F15-SUM(G15:K15)</f>
        <v>0</v>
      </c>
      <c r="N15" s="195">
        <v>0.5</v>
      </c>
      <c r="O15" s="195">
        <v>0.5</v>
      </c>
      <c r="P15" s="195"/>
      <c r="Q15" s="195"/>
      <c r="R15" s="195"/>
    </row>
    <row r="16" spans="1:18" x14ac:dyDescent="0.25">
      <c r="A16" s="191" t="s">
        <v>78</v>
      </c>
      <c r="B16" s="184" t="s">
        <v>142</v>
      </c>
      <c r="C16" s="183" t="s">
        <v>62</v>
      </c>
      <c r="D16" s="150">
        <v>1975.16</v>
      </c>
      <c r="E16" s="123">
        <v>50.99</v>
      </c>
      <c r="F16" s="126">
        <v>100713.41</v>
      </c>
      <c r="G16" s="214">
        <f t="shared" si="1"/>
        <v>50356.705000000002</v>
      </c>
      <c r="H16" s="214">
        <f t="shared" si="1"/>
        <v>50356.705000000002</v>
      </c>
      <c r="I16" s="214">
        <f t="shared" si="1"/>
        <v>0</v>
      </c>
      <c r="J16" s="214">
        <f t="shared" si="1"/>
        <v>0</v>
      </c>
      <c r="K16" s="214">
        <f t="shared" si="1"/>
        <v>0</v>
      </c>
      <c r="L16" s="194">
        <f>F16-SUM(G16:K16)</f>
        <v>0</v>
      </c>
      <c r="N16" s="195">
        <v>0.5</v>
      </c>
      <c r="O16" s="195">
        <v>0.5</v>
      </c>
      <c r="P16" s="195"/>
      <c r="Q16" s="195"/>
      <c r="R16" s="195"/>
    </row>
    <row r="17" spans="1:18" x14ac:dyDescent="0.25">
      <c r="A17" s="190" t="s">
        <v>79</v>
      </c>
      <c r="B17" s="182" t="s">
        <v>143</v>
      </c>
      <c r="C17" s="183"/>
      <c r="D17" s="156"/>
      <c r="E17" s="9"/>
      <c r="F17" s="19"/>
      <c r="G17" s="213"/>
      <c r="H17" s="213"/>
      <c r="I17" s="213"/>
      <c r="J17" s="213"/>
      <c r="K17" s="213"/>
      <c r="L17" s="194"/>
      <c r="N17" s="195"/>
      <c r="O17" s="195"/>
      <c r="P17" s="195"/>
      <c r="Q17" s="195"/>
      <c r="R17" s="195"/>
    </row>
    <row r="18" spans="1:18" x14ac:dyDescent="0.25">
      <c r="A18" s="191" t="s">
        <v>80</v>
      </c>
      <c r="B18" s="184" t="s">
        <v>144</v>
      </c>
      <c r="C18" s="183" t="s">
        <v>62</v>
      </c>
      <c r="D18" s="150">
        <v>1197.9100000000001</v>
      </c>
      <c r="E18" s="123">
        <v>26.01</v>
      </c>
      <c r="F18" s="126">
        <v>31157.64</v>
      </c>
      <c r="G18" s="214">
        <f>$F18*N18</f>
        <v>0</v>
      </c>
      <c r="H18" s="214">
        <f>$F18*O18</f>
        <v>15578.82</v>
      </c>
      <c r="I18" s="214">
        <f>$F18*P18</f>
        <v>15578.82</v>
      </c>
      <c r="J18" s="214">
        <f>$F18*Q18</f>
        <v>0</v>
      </c>
      <c r="K18" s="214">
        <f>$F18*R18</f>
        <v>0</v>
      </c>
      <c r="L18" s="194">
        <f>F18-SUM(G18:K18)</f>
        <v>0</v>
      </c>
      <c r="N18" s="195"/>
      <c r="O18" s="195">
        <v>0.5</v>
      </c>
      <c r="P18" s="195">
        <v>0.5</v>
      </c>
      <c r="Q18" s="195"/>
      <c r="R18" s="195"/>
    </row>
    <row r="19" spans="1:18" x14ac:dyDescent="0.25">
      <c r="A19" s="190" t="s">
        <v>81</v>
      </c>
      <c r="B19" s="182" t="s">
        <v>145</v>
      </c>
      <c r="C19" s="181"/>
      <c r="D19" s="149"/>
      <c r="E19" s="8"/>
      <c r="F19" s="20"/>
      <c r="G19" s="215"/>
      <c r="H19" s="215"/>
      <c r="I19" s="215"/>
      <c r="J19" s="215"/>
      <c r="K19" s="215"/>
      <c r="L19" s="194"/>
      <c r="N19" s="195"/>
      <c r="O19" s="195"/>
      <c r="P19" s="195"/>
      <c r="Q19" s="195"/>
      <c r="R19" s="195"/>
    </row>
    <row r="20" spans="1:18" x14ac:dyDescent="0.25">
      <c r="A20" s="191" t="s">
        <v>82</v>
      </c>
      <c r="B20" s="184" t="s">
        <v>146</v>
      </c>
      <c r="C20" s="183" t="s">
        <v>62</v>
      </c>
      <c r="D20" s="150">
        <v>68.91</v>
      </c>
      <c r="E20" s="123">
        <v>17.53</v>
      </c>
      <c r="F20" s="126">
        <v>1207.99</v>
      </c>
      <c r="G20" s="214">
        <f t="shared" ref="G20:K22" si="2">$F20*N20</f>
        <v>362.39699999999999</v>
      </c>
      <c r="H20" s="214">
        <f t="shared" si="2"/>
        <v>603.995</v>
      </c>
      <c r="I20" s="214">
        <f t="shared" si="2"/>
        <v>241.59800000000001</v>
      </c>
      <c r="J20" s="214">
        <f t="shared" si="2"/>
        <v>0</v>
      </c>
      <c r="K20" s="214">
        <f t="shared" si="2"/>
        <v>0</v>
      </c>
      <c r="L20" s="194">
        <f>F20-SUM(G20:K20)</f>
        <v>0</v>
      </c>
      <c r="N20" s="195">
        <v>0.3</v>
      </c>
      <c r="O20" s="195">
        <v>0.5</v>
      </c>
      <c r="P20" s="195">
        <v>0.2</v>
      </c>
      <c r="Q20" s="195"/>
      <c r="R20" s="195"/>
    </row>
    <row r="21" spans="1:18" x14ac:dyDescent="0.25">
      <c r="A21" s="191" t="s">
        <v>83</v>
      </c>
      <c r="B21" s="184" t="s">
        <v>147</v>
      </c>
      <c r="C21" s="183" t="s">
        <v>20</v>
      </c>
      <c r="D21" s="150">
        <v>68.91</v>
      </c>
      <c r="E21" s="123">
        <v>16.02</v>
      </c>
      <c r="F21" s="126">
        <v>1103.94</v>
      </c>
      <c r="G21" s="214">
        <f t="shared" si="2"/>
        <v>331.18200000000002</v>
      </c>
      <c r="H21" s="214">
        <f t="shared" si="2"/>
        <v>331.18200000000002</v>
      </c>
      <c r="I21" s="214">
        <f t="shared" si="2"/>
        <v>441.57600000000002</v>
      </c>
      <c r="J21" s="214">
        <f t="shared" si="2"/>
        <v>0</v>
      </c>
      <c r="K21" s="214">
        <f t="shared" si="2"/>
        <v>0</v>
      </c>
      <c r="L21" s="194">
        <f>F21-SUM(G21:K21)</f>
        <v>0</v>
      </c>
      <c r="N21" s="195">
        <v>0.3</v>
      </c>
      <c r="O21" s="195">
        <v>0.3</v>
      </c>
      <c r="P21" s="195">
        <v>0.4</v>
      </c>
      <c r="Q21" s="195"/>
      <c r="R21" s="195"/>
    </row>
    <row r="22" spans="1:18" x14ac:dyDescent="0.25">
      <c r="A22" s="191" t="s">
        <v>84</v>
      </c>
      <c r="B22" s="184" t="s">
        <v>148</v>
      </c>
      <c r="C22" s="183" t="s">
        <v>62</v>
      </c>
      <c r="D22" s="150">
        <v>995.9</v>
      </c>
      <c r="E22" s="123">
        <v>21.84</v>
      </c>
      <c r="F22" s="126">
        <v>21750.46</v>
      </c>
      <c r="G22" s="214">
        <f t="shared" si="2"/>
        <v>6525.1379999999999</v>
      </c>
      <c r="H22" s="214">
        <f t="shared" si="2"/>
        <v>6525.1379999999999</v>
      </c>
      <c r="I22" s="214">
        <f t="shared" si="2"/>
        <v>8700.1839999999993</v>
      </c>
      <c r="J22" s="214">
        <f t="shared" si="2"/>
        <v>0</v>
      </c>
      <c r="K22" s="214">
        <f t="shared" si="2"/>
        <v>0</v>
      </c>
      <c r="L22" s="194">
        <f>F22-SUM(G22:K22)</f>
        <v>0</v>
      </c>
      <c r="N22" s="195">
        <v>0.3</v>
      </c>
      <c r="O22" s="195">
        <v>0.3</v>
      </c>
      <c r="P22" s="195">
        <v>0.4</v>
      </c>
      <c r="Q22" s="195"/>
      <c r="R22" s="195"/>
    </row>
    <row r="23" spans="1:18" x14ac:dyDescent="0.25">
      <c r="A23" s="190" t="s">
        <v>85</v>
      </c>
      <c r="B23" s="182" t="s">
        <v>149</v>
      </c>
      <c r="C23" s="185"/>
      <c r="D23" s="201"/>
      <c r="E23" s="51"/>
      <c r="F23" s="180"/>
      <c r="G23" s="213"/>
      <c r="H23" s="213"/>
      <c r="I23" s="213"/>
      <c r="J23" s="213"/>
      <c r="K23" s="213"/>
      <c r="L23" s="194"/>
      <c r="N23" s="195"/>
      <c r="O23" s="195"/>
      <c r="P23" s="195"/>
      <c r="Q23" s="195"/>
      <c r="R23" s="195"/>
    </row>
    <row r="24" spans="1:18" x14ac:dyDescent="0.25">
      <c r="A24" s="191" t="s">
        <v>86</v>
      </c>
      <c r="B24" s="184" t="s">
        <v>150</v>
      </c>
      <c r="C24" s="185" t="s">
        <v>197</v>
      </c>
      <c r="D24" s="152">
        <v>68.95</v>
      </c>
      <c r="E24" s="131">
        <v>4.72</v>
      </c>
      <c r="F24" s="126">
        <v>325.44</v>
      </c>
      <c r="G24" s="214">
        <f t="shared" ref="G24:K27" si="3">$F24*N24</f>
        <v>65.088000000000008</v>
      </c>
      <c r="H24" s="214">
        <f t="shared" si="3"/>
        <v>130.17600000000002</v>
      </c>
      <c r="I24" s="214">
        <f t="shared" si="3"/>
        <v>130.17600000000002</v>
      </c>
      <c r="J24" s="214">
        <f t="shared" si="3"/>
        <v>0</v>
      </c>
      <c r="K24" s="214">
        <f t="shared" si="3"/>
        <v>0</v>
      </c>
      <c r="L24" s="194">
        <f>F24-SUM(G24:K24)</f>
        <v>0</v>
      </c>
      <c r="N24" s="195">
        <v>0.2</v>
      </c>
      <c r="O24" s="195">
        <v>0.4</v>
      </c>
      <c r="P24" s="195">
        <v>0.4</v>
      </c>
      <c r="Q24" s="195"/>
      <c r="R24" s="195"/>
    </row>
    <row r="25" spans="1:18" x14ac:dyDescent="0.25">
      <c r="A25" s="191" t="s">
        <v>87</v>
      </c>
      <c r="B25" s="184" t="s">
        <v>151</v>
      </c>
      <c r="C25" s="185" t="s">
        <v>197</v>
      </c>
      <c r="D25" s="152">
        <v>8.56</v>
      </c>
      <c r="E25" s="131">
        <v>7.8500000000000005</v>
      </c>
      <c r="F25" s="126">
        <v>67.2</v>
      </c>
      <c r="G25" s="214">
        <f t="shared" si="3"/>
        <v>13.440000000000001</v>
      </c>
      <c r="H25" s="214">
        <f t="shared" si="3"/>
        <v>26.880000000000003</v>
      </c>
      <c r="I25" s="214">
        <f t="shared" si="3"/>
        <v>26.880000000000003</v>
      </c>
      <c r="J25" s="214">
        <f t="shared" si="3"/>
        <v>0</v>
      </c>
      <c r="K25" s="214">
        <f t="shared" si="3"/>
        <v>0</v>
      </c>
      <c r="L25" s="194">
        <f>F25-SUM(G25:K25)</f>
        <v>0</v>
      </c>
      <c r="N25" s="195">
        <v>0.2</v>
      </c>
      <c r="O25" s="195">
        <v>0.4</v>
      </c>
      <c r="P25" s="195">
        <v>0.4</v>
      </c>
      <c r="Q25" s="195"/>
      <c r="R25" s="195"/>
    </row>
    <row r="26" spans="1:18" x14ac:dyDescent="0.25">
      <c r="A26" s="191" t="s">
        <v>88</v>
      </c>
      <c r="B26" s="184" t="s">
        <v>152</v>
      </c>
      <c r="C26" s="185" t="s">
        <v>197</v>
      </c>
      <c r="D26" s="152">
        <v>68.95</v>
      </c>
      <c r="E26" s="131">
        <v>15.19</v>
      </c>
      <c r="F26" s="126">
        <v>1047.3499999999999</v>
      </c>
      <c r="G26" s="214">
        <f t="shared" si="3"/>
        <v>209.47</v>
      </c>
      <c r="H26" s="214">
        <f t="shared" si="3"/>
        <v>418.94</v>
      </c>
      <c r="I26" s="214">
        <f t="shared" si="3"/>
        <v>418.94</v>
      </c>
      <c r="J26" s="214">
        <f t="shared" si="3"/>
        <v>0</v>
      </c>
      <c r="K26" s="214">
        <f t="shared" si="3"/>
        <v>0</v>
      </c>
      <c r="L26" s="194">
        <f>F26-SUM(G26:K26)</f>
        <v>0</v>
      </c>
      <c r="N26" s="195">
        <v>0.2</v>
      </c>
      <c r="O26" s="195">
        <v>0.4</v>
      </c>
      <c r="P26" s="195">
        <v>0.4</v>
      </c>
      <c r="Q26" s="195"/>
      <c r="R26" s="195"/>
    </row>
    <row r="27" spans="1:18" x14ac:dyDescent="0.25">
      <c r="A27" s="191" t="s">
        <v>89</v>
      </c>
      <c r="B27" s="184" t="s">
        <v>153</v>
      </c>
      <c r="C27" s="185" t="s">
        <v>197</v>
      </c>
      <c r="D27" s="152">
        <v>8.56</v>
      </c>
      <c r="E27" s="131">
        <v>21.79</v>
      </c>
      <c r="F27" s="126">
        <v>186.52</v>
      </c>
      <c r="G27" s="214">
        <f t="shared" si="3"/>
        <v>37.304000000000002</v>
      </c>
      <c r="H27" s="214">
        <f t="shared" si="3"/>
        <v>74.608000000000004</v>
      </c>
      <c r="I27" s="214">
        <f t="shared" si="3"/>
        <v>74.608000000000004</v>
      </c>
      <c r="J27" s="214">
        <f t="shared" si="3"/>
        <v>0</v>
      </c>
      <c r="K27" s="214">
        <f t="shared" si="3"/>
        <v>0</v>
      </c>
      <c r="L27" s="194">
        <f>F27-SUM(G27:K27)</f>
        <v>0</v>
      </c>
      <c r="N27" s="195">
        <v>0.2</v>
      </c>
      <c r="O27" s="195">
        <v>0.4</v>
      </c>
      <c r="P27" s="195">
        <v>0.4</v>
      </c>
      <c r="Q27" s="195"/>
      <c r="R27" s="195"/>
    </row>
    <row r="28" spans="1:18" x14ac:dyDescent="0.25">
      <c r="A28" s="190" t="s">
        <v>90</v>
      </c>
      <c r="B28" s="182" t="s">
        <v>154</v>
      </c>
      <c r="C28" s="185"/>
      <c r="D28" s="201"/>
      <c r="E28" s="51"/>
      <c r="F28" s="180"/>
      <c r="G28" s="213"/>
      <c r="H28" s="213"/>
      <c r="I28" s="213"/>
      <c r="J28" s="213"/>
      <c r="K28" s="213"/>
      <c r="L28" s="194"/>
      <c r="N28" s="195"/>
      <c r="O28" s="195"/>
      <c r="P28" s="195"/>
      <c r="Q28" s="195"/>
      <c r="R28" s="195"/>
    </row>
    <row r="29" spans="1:18" x14ac:dyDescent="0.25">
      <c r="A29" s="190" t="s">
        <v>91</v>
      </c>
      <c r="B29" s="182" t="s">
        <v>155</v>
      </c>
      <c r="C29" s="185"/>
      <c r="D29" s="201"/>
      <c r="E29" s="51"/>
      <c r="F29" s="180"/>
      <c r="G29" s="213"/>
      <c r="H29" s="213"/>
      <c r="I29" s="213"/>
      <c r="J29" s="213"/>
      <c r="K29" s="213"/>
      <c r="L29" s="194"/>
      <c r="N29" s="195"/>
      <c r="O29" s="195"/>
      <c r="P29" s="195"/>
      <c r="Q29" s="195"/>
      <c r="R29" s="195"/>
    </row>
    <row r="30" spans="1:18" x14ac:dyDescent="0.25">
      <c r="A30" s="191" t="s">
        <v>92</v>
      </c>
      <c r="B30" s="184" t="s">
        <v>156</v>
      </c>
      <c r="C30" s="185" t="s">
        <v>62</v>
      </c>
      <c r="D30" s="152">
        <v>323.69</v>
      </c>
      <c r="E30" s="131">
        <v>173.72</v>
      </c>
      <c r="F30" s="126">
        <v>56231.43</v>
      </c>
      <c r="G30" s="214">
        <f>$F30*N30</f>
        <v>0</v>
      </c>
      <c r="H30" s="214">
        <f>$F30*O30</f>
        <v>28115.715</v>
      </c>
      <c r="I30" s="214">
        <f>$F30*P30</f>
        <v>28115.715</v>
      </c>
      <c r="J30" s="214">
        <f>$F30*Q30</f>
        <v>0</v>
      </c>
      <c r="K30" s="214">
        <f>$F30*R30</f>
        <v>0</v>
      </c>
      <c r="L30" s="194">
        <f>F30-SUM(G30:K30)</f>
        <v>0</v>
      </c>
      <c r="N30" s="195"/>
      <c r="O30" s="195">
        <v>0.5</v>
      </c>
      <c r="P30" s="195">
        <v>0.5</v>
      </c>
      <c r="Q30" s="195"/>
      <c r="R30" s="195"/>
    </row>
    <row r="31" spans="1:18" x14ac:dyDescent="0.25">
      <c r="A31" s="190" t="s">
        <v>93</v>
      </c>
      <c r="B31" s="182" t="s">
        <v>157</v>
      </c>
      <c r="C31" s="185"/>
      <c r="D31" s="201"/>
      <c r="E31" s="51"/>
      <c r="F31" s="180"/>
      <c r="G31" s="213"/>
      <c r="H31" s="213"/>
      <c r="I31" s="213"/>
      <c r="J31" s="213"/>
      <c r="K31" s="213"/>
      <c r="L31" s="194"/>
      <c r="N31" s="195"/>
      <c r="O31" s="195"/>
      <c r="P31" s="195"/>
      <c r="Q31" s="195"/>
      <c r="R31" s="195"/>
    </row>
    <row r="32" spans="1:18" x14ac:dyDescent="0.25">
      <c r="A32" s="191" t="s">
        <v>94</v>
      </c>
      <c r="B32" s="184" t="s">
        <v>158</v>
      </c>
      <c r="C32" s="185" t="s">
        <v>62</v>
      </c>
      <c r="D32" s="152">
        <v>24.73</v>
      </c>
      <c r="E32" s="131">
        <v>179.78</v>
      </c>
      <c r="F32" s="126">
        <v>4445.96</v>
      </c>
      <c r="G32" s="214">
        <f t="shared" ref="G32:K35" si="4">$F32*N32</f>
        <v>0</v>
      </c>
      <c r="H32" s="214">
        <f t="shared" si="4"/>
        <v>0</v>
      </c>
      <c r="I32" s="214">
        <f t="shared" si="4"/>
        <v>2222.98</v>
      </c>
      <c r="J32" s="214">
        <f t="shared" si="4"/>
        <v>2222.98</v>
      </c>
      <c r="K32" s="214">
        <f t="shared" si="4"/>
        <v>0</v>
      </c>
      <c r="L32" s="194">
        <f>F32-SUM(G32:K32)</f>
        <v>0</v>
      </c>
      <c r="N32" s="195"/>
      <c r="O32" s="195"/>
      <c r="P32" s="195">
        <v>0.5</v>
      </c>
      <c r="Q32" s="195">
        <v>0.5</v>
      </c>
      <c r="R32" s="195"/>
    </row>
    <row r="33" spans="1:18" x14ac:dyDescent="0.25">
      <c r="A33" s="191" t="s">
        <v>95</v>
      </c>
      <c r="B33" s="184" t="s">
        <v>159</v>
      </c>
      <c r="C33" s="185" t="s">
        <v>197</v>
      </c>
      <c r="D33" s="152">
        <v>23.09</v>
      </c>
      <c r="E33" s="131">
        <v>46.17</v>
      </c>
      <c r="F33" s="126">
        <v>1066.07</v>
      </c>
      <c r="G33" s="214">
        <f t="shared" si="4"/>
        <v>0</v>
      </c>
      <c r="H33" s="214">
        <f t="shared" si="4"/>
        <v>426.428</v>
      </c>
      <c r="I33" s="214">
        <f t="shared" si="4"/>
        <v>426.428</v>
      </c>
      <c r="J33" s="214">
        <f t="shared" si="4"/>
        <v>213.214</v>
      </c>
      <c r="K33" s="214">
        <f t="shared" si="4"/>
        <v>0</v>
      </c>
      <c r="L33" s="194">
        <f>F33-SUM(G33:K33)</f>
        <v>0</v>
      </c>
      <c r="N33" s="195"/>
      <c r="O33" s="195">
        <v>0.4</v>
      </c>
      <c r="P33" s="195">
        <v>0.4</v>
      </c>
      <c r="Q33" s="195">
        <v>0.2</v>
      </c>
      <c r="R33" s="195"/>
    </row>
    <row r="34" spans="1:18" x14ac:dyDescent="0.25">
      <c r="A34" s="191" t="s">
        <v>96</v>
      </c>
      <c r="B34" s="184" t="s">
        <v>160</v>
      </c>
      <c r="C34" s="185" t="s">
        <v>62</v>
      </c>
      <c r="D34" s="152">
        <v>163.82</v>
      </c>
      <c r="E34" s="131">
        <v>179.78</v>
      </c>
      <c r="F34" s="126">
        <v>29451.56</v>
      </c>
      <c r="G34" s="214">
        <f t="shared" si="4"/>
        <v>29451.56</v>
      </c>
      <c r="H34" s="214">
        <f t="shared" si="4"/>
        <v>0</v>
      </c>
      <c r="I34" s="214">
        <f t="shared" si="4"/>
        <v>0</v>
      </c>
      <c r="J34" s="214">
        <f t="shared" si="4"/>
        <v>0</v>
      </c>
      <c r="K34" s="214">
        <f t="shared" si="4"/>
        <v>0</v>
      </c>
      <c r="L34" s="194">
        <f>F34-SUM(G34:K34)</f>
        <v>0</v>
      </c>
      <c r="N34" s="195">
        <v>1</v>
      </c>
      <c r="O34" s="195"/>
      <c r="P34" s="195"/>
      <c r="Q34" s="195"/>
      <c r="R34" s="195"/>
    </row>
    <row r="35" spans="1:18" x14ac:dyDescent="0.25">
      <c r="A35" s="191" t="s">
        <v>97</v>
      </c>
      <c r="B35" s="184" t="s">
        <v>161</v>
      </c>
      <c r="C35" s="185" t="s">
        <v>197</v>
      </c>
      <c r="D35" s="152">
        <v>327.63</v>
      </c>
      <c r="E35" s="131">
        <v>37.47</v>
      </c>
      <c r="F35" s="126">
        <v>12276.3</v>
      </c>
      <c r="G35" s="214">
        <f t="shared" si="4"/>
        <v>12276.3</v>
      </c>
      <c r="H35" s="214">
        <f t="shared" si="4"/>
        <v>0</v>
      </c>
      <c r="I35" s="214">
        <f t="shared" si="4"/>
        <v>0</v>
      </c>
      <c r="J35" s="214">
        <f t="shared" si="4"/>
        <v>0</v>
      </c>
      <c r="K35" s="214">
        <f t="shared" si="4"/>
        <v>0</v>
      </c>
      <c r="L35" s="194">
        <f>F35-SUM(G35:K35)</f>
        <v>0</v>
      </c>
      <c r="N35" s="195">
        <v>1</v>
      </c>
      <c r="O35" s="195"/>
      <c r="P35" s="195"/>
      <c r="Q35" s="195"/>
      <c r="R35" s="195"/>
    </row>
    <row r="36" spans="1:18" x14ac:dyDescent="0.25">
      <c r="A36" s="190" t="s">
        <v>98</v>
      </c>
      <c r="B36" s="182" t="s">
        <v>162</v>
      </c>
      <c r="C36" s="185"/>
      <c r="D36" s="201"/>
      <c r="E36" s="51"/>
      <c r="F36" s="180"/>
      <c r="G36" s="213"/>
      <c r="H36" s="213"/>
      <c r="I36" s="213"/>
      <c r="J36" s="213"/>
      <c r="K36" s="213"/>
      <c r="L36" s="194"/>
      <c r="N36" s="195"/>
      <c r="O36" s="195"/>
      <c r="P36" s="195"/>
      <c r="Q36" s="195"/>
      <c r="R36" s="195"/>
    </row>
    <row r="37" spans="1:18" x14ac:dyDescent="0.25">
      <c r="A37" s="191" t="s">
        <v>99</v>
      </c>
      <c r="B37" s="184" t="s">
        <v>163</v>
      </c>
      <c r="C37" s="185" t="s">
        <v>62</v>
      </c>
      <c r="D37" s="152">
        <v>3.21</v>
      </c>
      <c r="E37" s="131">
        <v>260.59000000000003</v>
      </c>
      <c r="F37" s="126">
        <v>836.49</v>
      </c>
      <c r="G37" s="214">
        <f t="shared" ref="G37:K38" si="5">$F37*N37</f>
        <v>0</v>
      </c>
      <c r="H37" s="214">
        <f t="shared" si="5"/>
        <v>0</v>
      </c>
      <c r="I37" s="214">
        <f t="shared" si="5"/>
        <v>418.245</v>
      </c>
      <c r="J37" s="214">
        <f t="shared" si="5"/>
        <v>418.245</v>
      </c>
      <c r="K37" s="214">
        <f t="shared" si="5"/>
        <v>0</v>
      </c>
      <c r="L37" s="194">
        <f>F37-SUM(G37:K37)</f>
        <v>0</v>
      </c>
      <c r="N37" s="195"/>
      <c r="O37" s="195"/>
      <c r="P37" s="195">
        <v>0.5</v>
      </c>
      <c r="Q37" s="195">
        <v>0.5</v>
      </c>
      <c r="R37" s="195"/>
    </row>
    <row r="38" spans="1:18" x14ac:dyDescent="0.25">
      <c r="A38" s="191" t="s">
        <v>100</v>
      </c>
      <c r="B38" s="184" t="s">
        <v>164</v>
      </c>
      <c r="C38" s="185" t="s">
        <v>197</v>
      </c>
      <c r="D38" s="152">
        <v>43.95</v>
      </c>
      <c r="E38" s="131">
        <v>37.700000000000003</v>
      </c>
      <c r="F38" s="126">
        <v>1656.92</v>
      </c>
      <c r="G38" s="214">
        <f t="shared" si="5"/>
        <v>0</v>
      </c>
      <c r="H38" s="214">
        <f t="shared" si="5"/>
        <v>662.76800000000003</v>
      </c>
      <c r="I38" s="214">
        <f t="shared" si="5"/>
        <v>662.76800000000003</v>
      </c>
      <c r="J38" s="214">
        <f t="shared" si="5"/>
        <v>331.38400000000001</v>
      </c>
      <c r="K38" s="214">
        <f t="shared" si="5"/>
        <v>0</v>
      </c>
      <c r="L38" s="194">
        <f>F38-SUM(G38:K38)</f>
        <v>0</v>
      </c>
      <c r="N38" s="195"/>
      <c r="O38" s="195">
        <v>0.4</v>
      </c>
      <c r="P38" s="195">
        <v>0.4</v>
      </c>
      <c r="Q38" s="195">
        <v>0.2</v>
      </c>
      <c r="R38" s="195"/>
    </row>
    <row r="39" spans="1:18" x14ac:dyDescent="0.25">
      <c r="A39" s="190" t="s">
        <v>101</v>
      </c>
      <c r="B39" s="182" t="s">
        <v>165</v>
      </c>
      <c r="C39" s="185"/>
      <c r="D39" s="201"/>
      <c r="E39" s="51"/>
      <c r="F39" s="180"/>
      <c r="G39" s="213"/>
      <c r="H39" s="213"/>
      <c r="I39" s="213"/>
      <c r="J39" s="213"/>
      <c r="K39" s="213"/>
      <c r="L39" s="194"/>
      <c r="N39" s="195"/>
      <c r="O39" s="195"/>
      <c r="P39" s="195"/>
      <c r="Q39" s="195"/>
      <c r="R39" s="195"/>
    </row>
    <row r="40" spans="1:18" x14ac:dyDescent="0.25">
      <c r="A40" s="190" t="s">
        <v>102</v>
      </c>
      <c r="B40" s="182" t="s">
        <v>166</v>
      </c>
      <c r="C40" s="185"/>
      <c r="D40" s="201"/>
      <c r="E40" s="51"/>
      <c r="F40" s="180"/>
      <c r="G40" s="213"/>
      <c r="H40" s="213"/>
      <c r="I40" s="213"/>
      <c r="J40" s="213"/>
      <c r="K40" s="213"/>
      <c r="L40" s="194"/>
      <c r="N40" s="195"/>
      <c r="O40" s="195"/>
      <c r="P40" s="195"/>
      <c r="Q40" s="195"/>
      <c r="R40" s="195"/>
    </row>
    <row r="41" spans="1:18" x14ac:dyDescent="0.25">
      <c r="A41" s="191" t="s">
        <v>103</v>
      </c>
      <c r="B41" s="184" t="s">
        <v>167</v>
      </c>
      <c r="C41" s="185" t="s">
        <v>62</v>
      </c>
      <c r="D41" s="152">
        <v>396.75</v>
      </c>
      <c r="E41" s="131">
        <v>292.79000000000002</v>
      </c>
      <c r="F41" s="126">
        <v>116164.43</v>
      </c>
      <c r="G41" s="214">
        <f t="shared" ref="G41:K42" si="6">$F41*N41</f>
        <v>34849.328999999998</v>
      </c>
      <c r="H41" s="214">
        <f t="shared" si="6"/>
        <v>81315.100999999995</v>
      </c>
      <c r="I41" s="214">
        <f t="shared" si="6"/>
        <v>0</v>
      </c>
      <c r="J41" s="214">
        <f t="shared" si="6"/>
        <v>0</v>
      </c>
      <c r="K41" s="214">
        <f t="shared" si="6"/>
        <v>0</v>
      </c>
      <c r="L41" s="194">
        <f>F41-SUM(G41:K41)</f>
        <v>0</v>
      </c>
      <c r="N41" s="195">
        <v>0.3</v>
      </c>
      <c r="O41" s="195">
        <v>0.7</v>
      </c>
      <c r="P41" s="195"/>
      <c r="Q41" s="195"/>
      <c r="R41" s="195"/>
    </row>
    <row r="42" spans="1:18" x14ac:dyDescent="0.25">
      <c r="A42" s="191" t="s">
        <v>104</v>
      </c>
      <c r="B42" s="184" t="s">
        <v>168</v>
      </c>
      <c r="C42" s="185" t="s">
        <v>198</v>
      </c>
      <c r="D42" s="152">
        <v>17534.91</v>
      </c>
      <c r="E42" s="131">
        <v>4.0200000000000005</v>
      </c>
      <c r="F42" s="126">
        <v>70490.34</v>
      </c>
      <c r="G42" s="214">
        <f t="shared" si="6"/>
        <v>21147.101999999999</v>
      </c>
      <c r="H42" s="214">
        <f t="shared" si="6"/>
        <v>49343.237999999998</v>
      </c>
      <c r="I42" s="214">
        <f t="shared" si="6"/>
        <v>0</v>
      </c>
      <c r="J42" s="214">
        <f t="shared" si="6"/>
        <v>0</v>
      </c>
      <c r="K42" s="214">
        <f t="shared" si="6"/>
        <v>0</v>
      </c>
      <c r="L42" s="194">
        <f>F42-SUM(G42:K42)</f>
        <v>0</v>
      </c>
      <c r="N42" s="195">
        <v>0.3</v>
      </c>
      <c r="O42" s="195">
        <v>0.7</v>
      </c>
      <c r="P42" s="195"/>
      <c r="Q42" s="195"/>
      <c r="R42" s="195"/>
    </row>
    <row r="43" spans="1:18" x14ac:dyDescent="0.25">
      <c r="A43" s="190" t="s">
        <v>105</v>
      </c>
      <c r="B43" s="182" t="s">
        <v>169</v>
      </c>
      <c r="C43" s="185"/>
      <c r="D43" s="201"/>
      <c r="E43" s="51"/>
      <c r="F43" s="180"/>
      <c r="G43" s="213"/>
      <c r="H43" s="213"/>
      <c r="I43" s="213"/>
      <c r="J43" s="213"/>
      <c r="K43" s="213"/>
      <c r="L43" s="194"/>
      <c r="N43" s="195"/>
      <c r="O43" s="195"/>
      <c r="P43" s="195"/>
      <c r="Q43" s="195"/>
      <c r="R43" s="195"/>
    </row>
    <row r="44" spans="1:18" x14ac:dyDescent="0.25">
      <c r="A44" s="191" t="s">
        <v>106</v>
      </c>
      <c r="B44" s="184" t="s">
        <v>170</v>
      </c>
      <c r="C44" s="185" t="s">
        <v>62</v>
      </c>
      <c r="D44" s="152">
        <v>6.69</v>
      </c>
      <c r="E44" s="131">
        <v>454.82</v>
      </c>
      <c r="F44" s="126">
        <v>3042.75</v>
      </c>
      <c r="G44" s="214">
        <f t="shared" ref="G44:K49" si="7">$F44*N44</f>
        <v>0</v>
      </c>
      <c r="H44" s="214">
        <f t="shared" si="7"/>
        <v>912.82499999999993</v>
      </c>
      <c r="I44" s="214">
        <f t="shared" si="7"/>
        <v>912.82499999999993</v>
      </c>
      <c r="J44" s="214">
        <f t="shared" si="7"/>
        <v>1217.1000000000001</v>
      </c>
      <c r="K44" s="214">
        <f t="shared" si="7"/>
        <v>0</v>
      </c>
      <c r="L44" s="194">
        <f t="shared" ref="L44:L49" si="8">F44-SUM(G44:K44)</f>
        <v>0</v>
      </c>
      <c r="N44" s="195"/>
      <c r="O44" s="195">
        <v>0.3</v>
      </c>
      <c r="P44" s="195">
        <v>0.3</v>
      </c>
      <c r="Q44" s="195">
        <v>0.4</v>
      </c>
      <c r="R44" s="195"/>
    </row>
    <row r="45" spans="1:18" x14ac:dyDescent="0.25">
      <c r="A45" s="191" t="s">
        <v>107</v>
      </c>
      <c r="B45" s="184" t="s">
        <v>171</v>
      </c>
      <c r="C45" s="185" t="s">
        <v>197</v>
      </c>
      <c r="D45" s="152">
        <v>74.180000000000007</v>
      </c>
      <c r="E45" s="131">
        <v>59.78</v>
      </c>
      <c r="F45" s="126">
        <v>4434.4799999999996</v>
      </c>
      <c r="G45" s="214">
        <f t="shared" si="7"/>
        <v>0</v>
      </c>
      <c r="H45" s="214">
        <f t="shared" si="7"/>
        <v>1330.3439999999998</v>
      </c>
      <c r="I45" s="214">
        <f t="shared" si="7"/>
        <v>1330.3439999999998</v>
      </c>
      <c r="J45" s="214">
        <f t="shared" si="7"/>
        <v>1773.7919999999999</v>
      </c>
      <c r="K45" s="214">
        <f t="shared" si="7"/>
        <v>0</v>
      </c>
      <c r="L45" s="194">
        <f t="shared" si="8"/>
        <v>0</v>
      </c>
      <c r="N45" s="195"/>
      <c r="O45" s="195">
        <v>0.3</v>
      </c>
      <c r="P45" s="195">
        <v>0.3</v>
      </c>
      <c r="Q45" s="195">
        <v>0.4</v>
      </c>
      <c r="R45" s="195"/>
    </row>
    <row r="46" spans="1:18" x14ac:dyDescent="0.25">
      <c r="A46" s="191" t="s">
        <v>108</v>
      </c>
      <c r="B46" s="184" t="s">
        <v>172</v>
      </c>
      <c r="C46" s="185" t="s">
        <v>198</v>
      </c>
      <c r="D46" s="152">
        <v>419.35</v>
      </c>
      <c r="E46" s="131">
        <v>4.0200000000000005</v>
      </c>
      <c r="F46" s="126">
        <v>1685.79</v>
      </c>
      <c r="G46" s="214">
        <f t="shared" si="7"/>
        <v>0</v>
      </c>
      <c r="H46" s="214">
        <f t="shared" si="7"/>
        <v>505.73699999999997</v>
      </c>
      <c r="I46" s="214">
        <f t="shared" si="7"/>
        <v>505.73699999999997</v>
      </c>
      <c r="J46" s="214">
        <f t="shared" si="7"/>
        <v>674.31600000000003</v>
      </c>
      <c r="K46" s="214">
        <f t="shared" si="7"/>
        <v>0</v>
      </c>
      <c r="L46" s="194">
        <f t="shared" si="8"/>
        <v>0</v>
      </c>
      <c r="N46" s="195"/>
      <c r="O46" s="195">
        <v>0.3</v>
      </c>
      <c r="P46" s="195">
        <v>0.3</v>
      </c>
      <c r="Q46" s="195">
        <v>0.4</v>
      </c>
      <c r="R46" s="195"/>
    </row>
    <row r="47" spans="1:18" x14ac:dyDescent="0.25">
      <c r="A47" s="191" t="s">
        <v>109</v>
      </c>
      <c r="B47" s="184" t="s">
        <v>173</v>
      </c>
      <c r="C47" s="185" t="s">
        <v>62</v>
      </c>
      <c r="D47" s="152">
        <v>256.52</v>
      </c>
      <c r="E47" s="131">
        <v>417.41</v>
      </c>
      <c r="F47" s="126">
        <v>107074.01</v>
      </c>
      <c r="G47" s="214">
        <f t="shared" si="7"/>
        <v>0</v>
      </c>
      <c r="H47" s="214">
        <f t="shared" si="7"/>
        <v>32122.202999999998</v>
      </c>
      <c r="I47" s="214">
        <f t="shared" si="7"/>
        <v>32122.202999999998</v>
      </c>
      <c r="J47" s="214">
        <f t="shared" si="7"/>
        <v>42829.603999999999</v>
      </c>
      <c r="K47" s="214">
        <f t="shared" si="7"/>
        <v>0</v>
      </c>
      <c r="L47" s="194">
        <f t="shared" si="8"/>
        <v>0</v>
      </c>
      <c r="N47" s="195"/>
      <c r="O47" s="195">
        <v>0.3</v>
      </c>
      <c r="P47" s="195">
        <v>0.3</v>
      </c>
      <c r="Q47" s="195">
        <v>0.4</v>
      </c>
      <c r="R47" s="195"/>
    </row>
    <row r="48" spans="1:18" x14ac:dyDescent="0.25">
      <c r="A48" s="191" t="s">
        <v>110</v>
      </c>
      <c r="B48" s="184" t="s">
        <v>174</v>
      </c>
      <c r="C48" s="185" t="s">
        <v>197</v>
      </c>
      <c r="D48" s="152">
        <v>2096.19</v>
      </c>
      <c r="E48" s="131">
        <v>51.21</v>
      </c>
      <c r="F48" s="126">
        <v>107345.89</v>
      </c>
      <c r="G48" s="214">
        <f t="shared" si="7"/>
        <v>0</v>
      </c>
      <c r="H48" s="214">
        <f t="shared" si="7"/>
        <v>32203.767</v>
      </c>
      <c r="I48" s="214">
        <f t="shared" si="7"/>
        <v>32203.767</v>
      </c>
      <c r="J48" s="214">
        <f t="shared" si="7"/>
        <v>42938.356</v>
      </c>
      <c r="K48" s="214">
        <f t="shared" si="7"/>
        <v>0</v>
      </c>
      <c r="L48" s="194">
        <f t="shared" si="8"/>
        <v>0</v>
      </c>
      <c r="N48" s="195"/>
      <c r="O48" s="195">
        <v>0.3</v>
      </c>
      <c r="P48" s="195">
        <v>0.3</v>
      </c>
      <c r="Q48" s="195">
        <v>0.4</v>
      </c>
      <c r="R48" s="195"/>
    </row>
    <row r="49" spans="1:18" x14ac:dyDescent="0.25">
      <c r="A49" s="191" t="s">
        <v>111</v>
      </c>
      <c r="B49" s="184" t="s">
        <v>175</v>
      </c>
      <c r="C49" s="185" t="s">
        <v>199</v>
      </c>
      <c r="D49" s="152">
        <v>18595.100000000002</v>
      </c>
      <c r="E49" s="131">
        <v>4.0200000000000005</v>
      </c>
      <c r="F49" s="126">
        <v>74752.3</v>
      </c>
      <c r="G49" s="214">
        <f t="shared" si="7"/>
        <v>0</v>
      </c>
      <c r="H49" s="214">
        <f t="shared" si="7"/>
        <v>22425.69</v>
      </c>
      <c r="I49" s="214">
        <f t="shared" si="7"/>
        <v>22425.69</v>
      </c>
      <c r="J49" s="214">
        <f t="shared" si="7"/>
        <v>29900.920000000002</v>
      </c>
      <c r="K49" s="214">
        <f t="shared" si="7"/>
        <v>0</v>
      </c>
      <c r="L49" s="194">
        <f t="shared" si="8"/>
        <v>0</v>
      </c>
      <c r="N49" s="195"/>
      <c r="O49" s="195">
        <v>0.3</v>
      </c>
      <c r="P49" s="195">
        <v>0.3</v>
      </c>
      <c r="Q49" s="195">
        <v>0.4</v>
      </c>
      <c r="R49" s="195"/>
    </row>
    <row r="50" spans="1:18" x14ac:dyDescent="0.25">
      <c r="A50" s="190" t="s">
        <v>112</v>
      </c>
      <c r="B50" s="182" t="s">
        <v>176</v>
      </c>
      <c r="C50" s="185"/>
      <c r="D50" s="201"/>
      <c r="E50" s="51"/>
      <c r="F50" s="180"/>
      <c r="G50" s="213"/>
      <c r="H50" s="213"/>
      <c r="I50" s="213"/>
      <c r="J50" s="213"/>
      <c r="K50" s="213"/>
      <c r="L50" s="194"/>
      <c r="N50" s="195"/>
      <c r="O50" s="195"/>
      <c r="P50" s="195"/>
      <c r="Q50" s="195"/>
      <c r="R50" s="195"/>
    </row>
    <row r="51" spans="1:18" x14ac:dyDescent="0.25">
      <c r="A51" s="192" t="s">
        <v>113</v>
      </c>
      <c r="B51" s="186" t="s">
        <v>177</v>
      </c>
      <c r="C51" s="185" t="s">
        <v>62</v>
      </c>
      <c r="D51" s="152">
        <v>66.63</v>
      </c>
      <c r="E51" s="131">
        <v>442.62</v>
      </c>
      <c r="F51" s="126">
        <v>29491.77</v>
      </c>
      <c r="G51" s="214">
        <f t="shared" ref="G51:K53" si="9">$F51*N51</f>
        <v>0</v>
      </c>
      <c r="H51" s="214">
        <f t="shared" si="9"/>
        <v>0</v>
      </c>
      <c r="I51" s="214">
        <f t="shared" si="9"/>
        <v>8847.530999999999</v>
      </c>
      <c r="J51" s="214">
        <f t="shared" si="9"/>
        <v>8847.530999999999</v>
      </c>
      <c r="K51" s="214">
        <f t="shared" si="9"/>
        <v>11796.708000000001</v>
      </c>
      <c r="L51" s="194">
        <f>F51-SUM(G51:K51)</f>
        <v>0</v>
      </c>
      <c r="N51" s="195"/>
      <c r="O51" s="195"/>
      <c r="P51" s="195">
        <v>0.3</v>
      </c>
      <c r="Q51" s="195">
        <v>0.3</v>
      </c>
      <c r="R51" s="195">
        <v>0.4</v>
      </c>
    </row>
    <row r="52" spans="1:18" x14ac:dyDescent="0.25">
      <c r="A52" s="193" t="s">
        <v>114</v>
      </c>
      <c r="B52" s="187" t="s">
        <v>178</v>
      </c>
      <c r="C52" s="185" t="s">
        <v>197</v>
      </c>
      <c r="D52" s="152">
        <v>901.38</v>
      </c>
      <c r="E52" s="131">
        <v>60.480000000000004</v>
      </c>
      <c r="F52" s="126">
        <v>54515.46</v>
      </c>
      <c r="G52" s="214">
        <f t="shared" si="9"/>
        <v>0</v>
      </c>
      <c r="H52" s="214">
        <f t="shared" si="9"/>
        <v>0</v>
      </c>
      <c r="I52" s="214">
        <f t="shared" si="9"/>
        <v>16354.637999999999</v>
      </c>
      <c r="J52" s="214">
        <f t="shared" si="9"/>
        <v>16354.637999999999</v>
      </c>
      <c r="K52" s="214">
        <f t="shared" si="9"/>
        <v>21806.184000000001</v>
      </c>
      <c r="L52" s="194">
        <f>F52-SUM(G52:K52)</f>
        <v>0</v>
      </c>
      <c r="N52" s="195"/>
      <c r="O52" s="195"/>
      <c r="P52" s="195">
        <v>0.3</v>
      </c>
      <c r="Q52" s="195">
        <v>0.3</v>
      </c>
      <c r="R52" s="195">
        <v>0.4</v>
      </c>
    </row>
    <row r="53" spans="1:18" x14ac:dyDescent="0.25">
      <c r="A53" s="191" t="s">
        <v>115</v>
      </c>
      <c r="B53" s="184" t="s">
        <v>179</v>
      </c>
      <c r="C53" s="185" t="s">
        <v>198</v>
      </c>
      <c r="D53" s="152">
        <v>11604.02</v>
      </c>
      <c r="E53" s="131">
        <v>4.0200000000000005</v>
      </c>
      <c r="F53" s="126">
        <v>46648.160000000003</v>
      </c>
      <c r="G53" s="214">
        <f t="shared" si="9"/>
        <v>0</v>
      </c>
      <c r="H53" s="214">
        <f t="shared" si="9"/>
        <v>0</v>
      </c>
      <c r="I53" s="214">
        <f t="shared" si="9"/>
        <v>13994.448</v>
      </c>
      <c r="J53" s="214">
        <f t="shared" si="9"/>
        <v>13994.448</v>
      </c>
      <c r="K53" s="214">
        <f t="shared" si="9"/>
        <v>18659.264000000003</v>
      </c>
      <c r="L53" s="194">
        <f>F53-SUM(G53:K53)</f>
        <v>0</v>
      </c>
      <c r="N53" s="195"/>
      <c r="O53" s="195"/>
      <c r="P53" s="195">
        <v>0.3</v>
      </c>
      <c r="Q53" s="195">
        <v>0.3</v>
      </c>
      <c r="R53" s="195">
        <v>0.4</v>
      </c>
    </row>
    <row r="54" spans="1:18" x14ac:dyDescent="0.25">
      <c r="A54" s="190" t="s">
        <v>116</v>
      </c>
      <c r="B54" s="182" t="s">
        <v>180</v>
      </c>
      <c r="C54" s="185"/>
      <c r="D54" s="201"/>
      <c r="E54" s="51"/>
      <c r="F54" s="180"/>
      <c r="G54" s="213"/>
      <c r="H54" s="213"/>
      <c r="I54" s="213"/>
      <c r="J54" s="213"/>
      <c r="K54" s="213"/>
      <c r="L54" s="194"/>
      <c r="N54" s="195"/>
      <c r="O54" s="195"/>
      <c r="P54" s="195"/>
      <c r="Q54" s="195"/>
      <c r="R54" s="195"/>
    </row>
    <row r="55" spans="1:18" x14ac:dyDescent="0.25">
      <c r="A55" s="191" t="s">
        <v>117</v>
      </c>
      <c r="B55" s="184" t="s">
        <v>181</v>
      </c>
      <c r="C55" s="185" t="s">
        <v>62</v>
      </c>
      <c r="D55" s="152">
        <v>36.119999999999997</v>
      </c>
      <c r="E55" s="131">
        <v>325.93</v>
      </c>
      <c r="F55" s="126">
        <v>11772.59</v>
      </c>
      <c r="G55" s="214">
        <f t="shared" ref="G55:K57" si="10">$F55*N55</f>
        <v>0</v>
      </c>
      <c r="H55" s="214">
        <f t="shared" si="10"/>
        <v>0</v>
      </c>
      <c r="I55" s="214">
        <f t="shared" si="10"/>
        <v>3531.777</v>
      </c>
      <c r="J55" s="214">
        <f t="shared" si="10"/>
        <v>3531.777</v>
      </c>
      <c r="K55" s="214">
        <f t="shared" si="10"/>
        <v>4709.0360000000001</v>
      </c>
      <c r="L55" s="194">
        <f>F55-SUM(G55:K55)</f>
        <v>0</v>
      </c>
      <c r="N55" s="195"/>
      <c r="O55" s="195"/>
      <c r="P55" s="195">
        <v>0.3</v>
      </c>
      <c r="Q55" s="195">
        <v>0.3</v>
      </c>
      <c r="R55" s="195">
        <v>0.4</v>
      </c>
    </row>
    <row r="56" spans="1:18" x14ac:dyDescent="0.25">
      <c r="A56" s="191" t="s">
        <v>118</v>
      </c>
      <c r="B56" s="184" t="s">
        <v>182</v>
      </c>
      <c r="C56" s="185" t="s">
        <v>197</v>
      </c>
      <c r="D56" s="152">
        <v>545.23</v>
      </c>
      <c r="E56" s="131">
        <v>70.38</v>
      </c>
      <c r="F56" s="126">
        <v>38373.29</v>
      </c>
      <c r="G56" s="214">
        <f t="shared" si="10"/>
        <v>0</v>
      </c>
      <c r="H56" s="214">
        <f t="shared" si="10"/>
        <v>0</v>
      </c>
      <c r="I56" s="214">
        <f t="shared" si="10"/>
        <v>11511.986999999999</v>
      </c>
      <c r="J56" s="214">
        <f t="shared" si="10"/>
        <v>11511.986999999999</v>
      </c>
      <c r="K56" s="214">
        <f t="shared" si="10"/>
        <v>15349.316000000001</v>
      </c>
      <c r="L56" s="194">
        <f>F56-SUM(G56:K56)</f>
        <v>0</v>
      </c>
      <c r="N56" s="195"/>
      <c r="O56" s="195"/>
      <c r="P56" s="195">
        <v>0.3</v>
      </c>
      <c r="Q56" s="195">
        <v>0.3</v>
      </c>
      <c r="R56" s="195">
        <v>0.4</v>
      </c>
    </row>
    <row r="57" spans="1:18" x14ac:dyDescent="0.25">
      <c r="A57" s="191" t="s">
        <v>119</v>
      </c>
      <c r="B57" s="184" t="s">
        <v>183</v>
      </c>
      <c r="C57" s="185" t="s">
        <v>198</v>
      </c>
      <c r="D57" s="152">
        <v>5144.6000000000004</v>
      </c>
      <c r="E57" s="131">
        <v>4.0200000000000005</v>
      </c>
      <c r="F57" s="126">
        <v>20681.29</v>
      </c>
      <c r="G57" s="214">
        <f t="shared" si="10"/>
        <v>0</v>
      </c>
      <c r="H57" s="214">
        <f t="shared" si="10"/>
        <v>0</v>
      </c>
      <c r="I57" s="214">
        <f t="shared" si="10"/>
        <v>6204.3869999999997</v>
      </c>
      <c r="J57" s="214">
        <f t="shared" si="10"/>
        <v>6204.3869999999997</v>
      </c>
      <c r="K57" s="214">
        <f t="shared" si="10"/>
        <v>8272.5160000000014</v>
      </c>
      <c r="L57" s="194">
        <f>F57-SUM(G57:K57)</f>
        <v>0</v>
      </c>
      <c r="N57" s="195"/>
      <c r="O57" s="195"/>
      <c r="P57" s="195">
        <v>0.3</v>
      </c>
      <c r="Q57" s="195">
        <v>0.3</v>
      </c>
      <c r="R57" s="195">
        <v>0.4</v>
      </c>
    </row>
    <row r="58" spans="1:18" x14ac:dyDescent="0.25">
      <c r="A58" s="190" t="s">
        <v>120</v>
      </c>
      <c r="B58" s="182" t="s">
        <v>184</v>
      </c>
      <c r="C58" s="185"/>
      <c r="D58" s="201"/>
      <c r="E58" s="51"/>
      <c r="F58" s="20"/>
      <c r="G58" s="213"/>
      <c r="H58" s="213"/>
      <c r="I58" s="213"/>
      <c r="J58" s="213"/>
      <c r="K58" s="213"/>
      <c r="L58" s="194"/>
      <c r="N58" s="195"/>
      <c r="O58" s="195"/>
      <c r="P58" s="195"/>
      <c r="Q58" s="195"/>
      <c r="R58" s="195"/>
    </row>
    <row r="59" spans="1:18" x14ac:dyDescent="0.25">
      <c r="A59" s="191" t="s">
        <v>121</v>
      </c>
      <c r="B59" s="184" t="s">
        <v>185</v>
      </c>
      <c r="C59" s="185" t="s">
        <v>20</v>
      </c>
      <c r="D59" s="152">
        <v>0.63</v>
      </c>
      <c r="E59" s="131">
        <v>325.93</v>
      </c>
      <c r="F59" s="126">
        <v>205.34</v>
      </c>
      <c r="G59" s="214">
        <f t="shared" ref="G59:K61" si="11">$F59*N59</f>
        <v>0</v>
      </c>
      <c r="H59" s="214">
        <f t="shared" si="11"/>
        <v>0</v>
      </c>
      <c r="I59" s="214">
        <f t="shared" si="11"/>
        <v>61.601999999999997</v>
      </c>
      <c r="J59" s="214">
        <f t="shared" si="11"/>
        <v>61.601999999999997</v>
      </c>
      <c r="K59" s="214">
        <f t="shared" si="11"/>
        <v>82.13600000000001</v>
      </c>
      <c r="L59" s="194">
        <f>F59-SUM(G59:K59)</f>
        <v>0</v>
      </c>
      <c r="N59" s="195"/>
      <c r="O59" s="195"/>
      <c r="P59" s="195">
        <v>0.3</v>
      </c>
      <c r="Q59" s="195">
        <v>0.3</v>
      </c>
      <c r="R59" s="195">
        <v>0.4</v>
      </c>
    </row>
    <row r="60" spans="1:18" x14ac:dyDescent="0.25">
      <c r="A60" s="191" t="s">
        <v>122</v>
      </c>
      <c r="B60" s="184" t="s">
        <v>186</v>
      </c>
      <c r="C60" s="185" t="s">
        <v>197</v>
      </c>
      <c r="D60" s="152">
        <v>6.54</v>
      </c>
      <c r="E60" s="131">
        <v>55.43</v>
      </c>
      <c r="F60" s="126">
        <v>362.51</v>
      </c>
      <c r="G60" s="214">
        <f t="shared" si="11"/>
        <v>0</v>
      </c>
      <c r="H60" s="214">
        <f t="shared" si="11"/>
        <v>0</v>
      </c>
      <c r="I60" s="214">
        <f t="shared" si="11"/>
        <v>108.753</v>
      </c>
      <c r="J60" s="214">
        <f t="shared" si="11"/>
        <v>108.753</v>
      </c>
      <c r="K60" s="214">
        <f t="shared" si="11"/>
        <v>145.00399999999999</v>
      </c>
      <c r="L60" s="194">
        <f>F60-SUM(G60:K60)</f>
        <v>0</v>
      </c>
      <c r="N60" s="195"/>
      <c r="O60" s="195"/>
      <c r="P60" s="195">
        <v>0.3</v>
      </c>
      <c r="Q60" s="195">
        <v>0.3</v>
      </c>
      <c r="R60" s="195">
        <v>0.4</v>
      </c>
    </row>
    <row r="61" spans="1:18" x14ac:dyDescent="0.25">
      <c r="A61" s="191" t="s">
        <v>123</v>
      </c>
      <c r="B61" s="184" t="s">
        <v>187</v>
      </c>
      <c r="C61" s="185" t="s">
        <v>198</v>
      </c>
      <c r="D61" s="152">
        <v>73.150000000000006</v>
      </c>
      <c r="E61" s="131">
        <v>4.0200000000000005</v>
      </c>
      <c r="F61" s="126">
        <v>294.06</v>
      </c>
      <c r="G61" s="214">
        <f t="shared" si="11"/>
        <v>0</v>
      </c>
      <c r="H61" s="214">
        <f t="shared" si="11"/>
        <v>0</v>
      </c>
      <c r="I61" s="214">
        <f t="shared" si="11"/>
        <v>88.218000000000004</v>
      </c>
      <c r="J61" s="214">
        <f t="shared" si="11"/>
        <v>88.218000000000004</v>
      </c>
      <c r="K61" s="214">
        <f t="shared" si="11"/>
        <v>117.62400000000001</v>
      </c>
      <c r="L61" s="194">
        <f>F61-SUM(G61:K61)</f>
        <v>0</v>
      </c>
      <c r="N61" s="195"/>
      <c r="O61" s="195"/>
      <c r="P61" s="195">
        <v>0.3</v>
      </c>
      <c r="Q61" s="195">
        <v>0.3</v>
      </c>
      <c r="R61" s="195">
        <v>0.4</v>
      </c>
    </row>
    <row r="62" spans="1:18" x14ac:dyDescent="0.25">
      <c r="A62" s="190" t="s">
        <v>124</v>
      </c>
      <c r="B62" s="182" t="s">
        <v>188</v>
      </c>
      <c r="C62" s="185"/>
      <c r="D62" s="201"/>
      <c r="E62" s="51"/>
      <c r="F62" s="180"/>
      <c r="G62" s="213"/>
      <c r="H62" s="213"/>
      <c r="I62" s="213"/>
      <c r="J62" s="213"/>
      <c r="K62" s="213"/>
      <c r="L62" s="194"/>
      <c r="N62" s="195"/>
      <c r="O62" s="195"/>
      <c r="P62" s="195"/>
      <c r="Q62" s="195"/>
      <c r="R62" s="195"/>
    </row>
    <row r="63" spans="1:18" x14ac:dyDescent="0.25">
      <c r="A63" s="191" t="s">
        <v>125</v>
      </c>
      <c r="B63" s="184" t="s">
        <v>189</v>
      </c>
      <c r="C63" s="185" t="s">
        <v>62</v>
      </c>
      <c r="D63" s="152">
        <v>2.13</v>
      </c>
      <c r="E63" s="131">
        <v>315.52</v>
      </c>
      <c r="F63" s="126">
        <v>672.06</v>
      </c>
      <c r="G63" s="214">
        <f t="shared" ref="G63:K66" si="12">$F63*N63</f>
        <v>0</v>
      </c>
      <c r="H63" s="214">
        <f t="shared" si="12"/>
        <v>0</v>
      </c>
      <c r="I63" s="214">
        <f t="shared" si="12"/>
        <v>201.61799999999997</v>
      </c>
      <c r="J63" s="214">
        <f t="shared" si="12"/>
        <v>201.61799999999997</v>
      </c>
      <c r="K63" s="214">
        <f t="shared" si="12"/>
        <v>268.82400000000001</v>
      </c>
      <c r="L63" s="194">
        <f>F63-SUM(G63:K63)</f>
        <v>0</v>
      </c>
      <c r="N63" s="195"/>
      <c r="O63" s="195"/>
      <c r="P63" s="195">
        <v>0.3</v>
      </c>
      <c r="Q63" s="195">
        <v>0.3</v>
      </c>
      <c r="R63" s="195">
        <v>0.4</v>
      </c>
    </row>
    <row r="64" spans="1:18" x14ac:dyDescent="0.25">
      <c r="A64" s="191" t="s">
        <v>126</v>
      </c>
      <c r="B64" s="184" t="s">
        <v>190</v>
      </c>
      <c r="C64" s="185" t="s">
        <v>197</v>
      </c>
      <c r="D64" s="152">
        <v>24.72</v>
      </c>
      <c r="E64" s="131">
        <v>43.61</v>
      </c>
      <c r="F64" s="126">
        <v>1078.04</v>
      </c>
      <c r="G64" s="214">
        <f t="shared" si="12"/>
        <v>0</v>
      </c>
      <c r="H64" s="214">
        <f t="shared" si="12"/>
        <v>0</v>
      </c>
      <c r="I64" s="214">
        <f t="shared" si="12"/>
        <v>323.41199999999998</v>
      </c>
      <c r="J64" s="214">
        <f t="shared" si="12"/>
        <v>323.41199999999998</v>
      </c>
      <c r="K64" s="214">
        <f t="shared" si="12"/>
        <v>431.21600000000001</v>
      </c>
      <c r="L64" s="194">
        <f>F64-SUM(G64:K64)</f>
        <v>0</v>
      </c>
      <c r="N64" s="195"/>
      <c r="O64" s="195"/>
      <c r="P64" s="195">
        <v>0.3</v>
      </c>
      <c r="Q64" s="195">
        <v>0.3</v>
      </c>
      <c r="R64" s="195">
        <v>0.4</v>
      </c>
    </row>
    <row r="65" spans="1:18" x14ac:dyDescent="0.25">
      <c r="A65" s="191" t="s">
        <v>127</v>
      </c>
      <c r="B65" s="184" t="s">
        <v>191</v>
      </c>
      <c r="C65" s="185" t="s">
        <v>198</v>
      </c>
      <c r="D65" s="152">
        <v>93.93</v>
      </c>
      <c r="E65" s="131">
        <v>4.0200000000000005</v>
      </c>
      <c r="F65" s="126">
        <v>377.6</v>
      </c>
      <c r="G65" s="214">
        <f t="shared" si="12"/>
        <v>0</v>
      </c>
      <c r="H65" s="214">
        <f t="shared" si="12"/>
        <v>0</v>
      </c>
      <c r="I65" s="214">
        <f t="shared" si="12"/>
        <v>113.28</v>
      </c>
      <c r="J65" s="214">
        <f t="shared" si="12"/>
        <v>113.28</v>
      </c>
      <c r="K65" s="214">
        <f t="shared" si="12"/>
        <v>151.04000000000002</v>
      </c>
      <c r="L65" s="194">
        <f>F65-SUM(G65:K65)</f>
        <v>0</v>
      </c>
      <c r="N65" s="195"/>
      <c r="O65" s="195"/>
      <c r="P65" s="195">
        <v>0.3</v>
      </c>
      <c r="Q65" s="195">
        <v>0.3</v>
      </c>
      <c r="R65" s="195">
        <v>0.4</v>
      </c>
    </row>
    <row r="66" spans="1:18" x14ac:dyDescent="0.25">
      <c r="A66" s="191" t="s">
        <v>128</v>
      </c>
      <c r="B66" s="184" t="s">
        <v>192</v>
      </c>
      <c r="C66" s="185" t="s">
        <v>200</v>
      </c>
      <c r="D66" s="152">
        <v>205.92000000000002</v>
      </c>
      <c r="E66" s="131">
        <v>2.4900000000000002</v>
      </c>
      <c r="F66" s="126">
        <v>512.74</v>
      </c>
      <c r="G66" s="214">
        <f t="shared" si="12"/>
        <v>0</v>
      </c>
      <c r="H66" s="214">
        <f t="shared" si="12"/>
        <v>0</v>
      </c>
      <c r="I66" s="214">
        <f t="shared" si="12"/>
        <v>153.822</v>
      </c>
      <c r="J66" s="214">
        <f t="shared" si="12"/>
        <v>153.822</v>
      </c>
      <c r="K66" s="214">
        <f t="shared" si="12"/>
        <v>205.096</v>
      </c>
      <c r="L66" s="194">
        <f>F66-SUM(G66:K66)</f>
        <v>0</v>
      </c>
      <c r="N66" s="195"/>
      <c r="O66" s="195"/>
      <c r="P66" s="195">
        <v>0.3</v>
      </c>
      <c r="Q66" s="195">
        <v>0.3</v>
      </c>
      <c r="R66" s="195">
        <v>0.4</v>
      </c>
    </row>
    <row r="67" spans="1:18" x14ac:dyDescent="0.25">
      <c r="A67" s="190" t="s">
        <v>129</v>
      </c>
      <c r="B67" s="182" t="s">
        <v>193</v>
      </c>
      <c r="C67" s="185"/>
      <c r="D67" s="201"/>
      <c r="E67" s="51"/>
      <c r="F67" s="180"/>
      <c r="G67" s="213"/>
      <c r="H67" s="213"/>
      <c r="I67" s="213"/>
      <c r="J67" s="213"/>
      <c r="K67" s="213"/>
      <c r="L67" s="194"/>
      <c r="N67" s="195"/>
      <c r="O67" s="195"/>
      <c r="P67" s="195"/>
      <c r="Q67" s="195"/>
      <c r="R67" s="195"/>
    </row>
    <row r="68" spans="1:18" x14ac:dyDescent="0.25">
      <c r="A68" s="191" t="s">
        <v>130</v>
      </c>
      <c r="B68" s="184" t="s">
        <v>194</v>
      </c>
      <c r="C68" s="146" t="s">
        <v>197</v>
      </c>
      <c r="D68" s="152">
        <v>12.31</v>
      </c>
      <c r="E68" s="131">
        <v>80.040000000000006</v>
      </c>
      <c r="F68" s="126">
        <v>985.29</v>
      </c>
      <c r="G68" s="214">
        <f t="shared" ref="G68:K70" si="13">$F68*N68</f>
        <v>0</v>
      </c>
      <c r="H68" s="214">
        <f t="shared" si="13"/>
        <v>0</v>
      </c>
      <c r="I68" s="214">
        <f t="shared" si="13"/>
        <v>295.58699999999999</v>
      </c>
      <c r="J68" s="214">
        <f t="shared" si="13"/>
        <v>295.58699999999999</v>
      </c>
      <c r="K68" s="214">
        <f t="shared" si="13"/>
        <v>394.11599999999999</v>
      </c>
      <c r="L68" s="194">
        <f>F68-SUM(G68:K68)</f>
        <v>0</v>
      </c>
      <c r="N68" s="195"/>
      <c r="O68" s="195"/>
      <c r="P68" s="195">
        <v>0.3</v>
      </c>
      <c r="Q68" s="195">
        <v>0.3</v>
      </c>
      <c r="R68" s="195">
        <v>0.4</v>
      </c>
    </row>
    <row r="69" spans="1:18" x14ac:dyDescent="0.25">
      <c r="A69" s="191" t="s">
        <v>131</v>
      </c>
      <c r="B69" s="184" t="s">
        <v>195</v>
      </c>
      <c r="C69" s="146" t="s">
        <v>197</v>
      </c>
      <c r="D69" s="152">
        <v>6.96</v>
      </c>
      <c r="E69" s="131">
        <v>41.15</v>
      </c>
      <c r="F69" s="126">
        <v>286.39999999999998</v>
      </c>
      <c r="G69" s="214">
        <f t="shared" si="13"/>
        <v>0</v>
      </c>
      <c r="H69" s="214">
        <f t="shared" si="13"/>
        <v>0</v>
      </c>
      <c r="I69" s="214">
        <f t="shared" si="13"/>
        <v>85.919999999999987</v>
      </c>
      <c r="J69" s="214">
        <f t="shared" si="13"/>
        <v>85.919999999999987</v>
      </c>
      <c r="K69" s="214">
        <f t="shared" si="13"/>
        <v>114.56</v>
      </c>
      <c r="L69" s="194">
        <f>F69-SUM(G69:K69)</f>
        <v>0</v>
      </c>
      <c r="N69" s="195"/>
      <c r="O69" s="195"/>
      <c r="P69" s="195">
        <v>0.3</v>
      </c>
      <c r="Q69" s="195">
        <v>0.3</v>
      </c>
      <c r="R69" s="195">
        <v>0.4</v>
      </c>
    </row>
    <row r="70" spans="1:18" x14ac:dyDescent="0.25">
      <c r="A70" s="192" t="s">
        <v>132</v>
      </c>
      <c r="B70" s="186" t="s">
        <v>196</v>
      </c>
      <c r="C70" s="146" t="s">
        <v>199</v>
      </c>
      <c r="D70" s="152">
        <v>83.01</v>
      </c>
      <c r="E70" s="131">
        <v>4.0200000000000005</v>
      </c>
      <c r="F70" s="132">
        <v>333.7</v>
      </c>
      <c r="G70" s="216">
        <f t="shared" si="13"/>
        <v>0</v>
      </c>
      <c r="H70" s="216">
        <f t="shared" si="13"/>
        <v>0</v>
      </c>
      <c r="I70" s="216">
        <f t="shared" si="13"/>
        <v>100.11</v>
      </c>
      <c r="J70" s="216">
        <f t="shared" si="13"/>
        <v>100.11</v>
      </c>
      <c r="K70" s="216">
        <f t="shared" si="13"/>
        <v>133.47999999999999</v>
      </c>
      <c r="L70" s="194">
        <f>F70-SUM(G70:K70)</f>
        <v>0</v>
      </c>
      <c r="N70" s="195"/>
      <c r="O70" s="195"/>
      <c r="P70" s="195">
        <v>0.3</v>
      </c>
      <c r="Q70" s="195">
        <v>0.3</v>
      </c>
      <c r="R70" s="195">
        <v>0.4</v>
      </c>
    </row>
    <row r="71" spans="1:18" x14ac:dyDescent="0.25">
      <c r="A71" s="25"/>
      <c r="B71" s="21" t="s">
        <v>21</v>
      </c>
      <c r="C71" s="25"/>
      <c r="D71" s="153"/>
      <c r="E71" s="7"/>
      <c r="F71" s="203">
        <f>SUM(F7:F70)</f>
        <v>960724.52000000014</v>
      </c>
      <c r="G71" s="203">
        <f>SUM(G7:G70)</f>
        <v>157977.14750000002</v>
      </c>
      <c r="H71" s="203">
        <f>SUM(H7:H70)</f>
        <v>325762.39250000002</v>
      </c>
      <c r="I71" s="203">
        <f t="shared" ref="I71:K71" si="14">SUM(I7:I70)</f>
        <v>209394.21649999998</v>
      </c>
      <c r="J71" s="203">
        <f t="shared" si="14"/>
        <v>184954.64349999998</v>
      </c>
      <c r="K71" s="203">
        <f t="shared" si="14"/>
        <v>82636.119999999981</v>
      </c>
      <c r="L71" s="194"/>
    </row>
    <row r="72" spans="1:18" x14ac:dyDescent="0.25">
      <c r="A72" s="78"/>
      <c r="B72" s="79" t="s">
        <v>51</v>
      </c>
      <c r="C72" s="78"/>
      <c r="D72" s="202"/>
      <c r="E72" s="40"/>
      <c r="F72" s="204">
        <f>F71*0.15</f>
        <v>144108.67800000001</v>
      </c>
      <c r="G72" s="204">
        <f t="shared" ref="G72:K72" si="15">G71*0.15</f>
        <v>23696.572125000002</v>
      </c>
      <c r="H72" s="204">
        <f t="shared" si="15"/>
        <v>48864.358874999998</v>
      </c>
      <c r="I72" s="204">
        <f t="shared" si="15"/>
        <v>31409.132474999995</v>
      </c>
      <c r="J72" s="204">
        <f t="shared" si="15"/>
        <v>27743.196524999996</v>
      </c>
      <c r="K72" s="204">
        <f t="shared" si="15"/>
        <v>12395.417999999996</v>
      </c>
      <c r="L72" s="194"/>
    </row>
    <row r="73" spans="1:18" x14ac:dyDescent="0.25">
      <c r="A73" s="78"/>
      <c r="B73" s="79" t="s">
        <v>206</v>
      </c>
      <c r="C73" s="78"/>
      <c r="D73" s="202"/>
      <c r="E73" s="40"/>
      <c r="F73" s="204">
        <f>F71*0.05</f>
        <v>48036.22600000001</v>
      </c>
      <c r="G73" s="204">
        <f t="shared" ref="G73:K73" si="16">G71*0.05</f>
        <v>7898.8573750000014</v>
      </c>
      <c r="H73" s="204">
        <f t="shared" si="16"/>
        <v>16288.119625000001</v>
      </c>
      <c r="I73" s="204">
        <f t="shared" si="16"/>
        <v>10469.710825</v>
      </c>
      <c r="J73" s="204">
        <f t="shared" si="16"/>
        <v>9247.7321749999992</v>
      </c>
      <c r="K73" s="204">
        <f t="shared" si="16"/>
        <v>4131.8059999999996</v>
      </c>
      <c r="L73" s="194"/>
    </row>
    <row r="74" spans="1:18" x14ac:dyDescent="0.25">
      <c r="A74" s="38"/>
      <c r="B74" s="74" t="s">
        <v>53</v>
      </c>
      <c r="C74" s="38"/>
      <c r="D74" s="155"/>
      <c r="E74" s="39"/>
      <c r="F74" s="205">
        <f>SUM(F71:F73)</f>
        <v>1152869.4240000001</v>
      </c>
      <c r="G74" s="205">
        <f t="shared" ref="G74:K74" si="17">SUM(G71:G73)</f>
        <v>189572.57700000002</v>
      </c>
      <c r="H74" s="205">
        <f t="shared" si="17"/>
        <v>390914.87099999998</v>
      </c>
      <c r="I74" s="205">
        <f t="shared" si="17"/>
        <v>251273.05979999996</v>
      </c>
      <c r="J74" s="205">
        <f t="shared" si="17"/>
        <v>221945.5722</v>
      </c>
      <c r="K74" s="205">
        <f t="shared" si="17"/>
        <v>99163.343999999968</v>
      </c>
      <c r="L74" s="194"/>
    </row>
    <row r="75" spans="1:18" x14ac:dyDescent="0.25">
      <c r="A75" s="188"/>
      <c r="B75" s="189" t="s">
        <v>22</v>
      </c>
      <c r="C75" s="188"/>
      <c r="D75" s="156"/>
      <c r="E75" s="9"/>
      <c r="F75" s="206">
        <f>ROUND(F74*0.18,2)</f>
        <v>207516.5</v>
      </c>
      <c r="G75" s="206">
        <f t="shared" ref="G75:K75" si="18">ROUND(G74*0.18,2)</f>
        <v>34123.06</v>
      </c>
      <c r="H75" s="206">
        <f t="shared" si="18"/>
        <v>70364.679999999993</v>
      </c>
      <c r="I75" s="206">
        <f t="shared" si="18"/>
        <v>45229.15</v>
      </c>
      <c r="J75" s="206">
        <f t="shared" si="18"/>
        <v>39950.199999999997</v>
      </c>
      <c r="K75" s="206">
        <f t="shared" si="18"/>
        <v>17849.400000000001</v>
      </c>
      <c r="L75" s="194"/>
    </row>
    <row r="76" spans="1:18" x14ac:dyDescent="0.25">
      <c r="A76" s="28"/>
      <c r="B76" s="29" t="s">
        <v>28</v>
      </c>
      <c r="C76" s="28"/>
      <c r="D76" s="157"/>
      <c r="E76" s="31"/>
      <c r="F76" s="207">
        <f>SUM(F74:F75)</f>
        <v>1360385.9240000001</v>
      </c>
      <c r="G76" s="207">
        <f t="shared" ref="G76:K76" si="19">SUM(G74:G75)</f>
        <v>223695.63700000002</v>
      </c>
      <c r="H76" s="207">
        <f t="shared" si="19"/>
        <v>461279.55099999998</v>
      </c>
      <c r="I76" s="207">
        <f t="shared" si="19"/>
        <v>296502.20979999995</v>
      </c>
      <c r="J76" s="207">
        <f t="shared" si="19"/>
        <v>261895.77220000001</v>
      </c>
      <c r="K76" s="207">
        <f t="shared" si="19"/>
        <v>117012.74399999998</v>
      </c>
      <c r="L76" s="194"/>
    </row>
    <row r="77" spans="1:18" x14ac:dyDescent="0.25">
      <c r="L77" s="194"/>
    </row>
  </sheetData>
  <mergeCells count="6">
    <mergeCell ref="A1:K1"/>
    <mergeCell ref="A5:A6"/>
    <mergeCell ref="C5:C6"/>
    <mergeCell ref="B5:B6"/>
    <mergeCell ref="D5:F5"/>
    <mergeCell ref="G5:K5"/>
  </mergeCells>
  <phoneticPr fontId="4" type="noConversion"/>
  <pageMargins left="0.7" right="0.7" top="0.75" bottom="0.75" header="0.3" footer="0.3"/>
  <pageSetup paperSize="9" orientation="portrait" copies="2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E4FB-5FF2-4C7D-BEE7-FAE5BF436E21}">
  <dimension ref="A1:X77"/>
  <sheetViews>
    <sheetView topLeftCell="I61" workbookViewId="0">
      <selection activeCell="T74" sqref="T74"/>
    </sheetView>
  </sheetViews>
  <sheetFormatPr baseColWidth="10" defaultRowHeight="15" x14ac:dyDescent="0.25"/>
  <cols>
    <col min="1" max="1" width="11.42578125" style="83"/>
    <col min="2" max="2" width="65.5703125" style="83" customWidth="1"/>
    <col min="3" max="3" width="11.42578125" style="83"/>
    <col min="4" max="4" width="11.28515625" style="83" customWidth="1"/>
    <col min="5" max="5" width="9.140625" style="83" customWidth="1"/>
    <col min="6" max="6" width="13.140625" style="83" bestFit="1" customWidth="1"/>
    <col min="7" max="16384" width="11.42578125" style="83"/>
  </cols>
  <sheetData>
    <row r="1" spans="1:24" s="208" customFormat="1" ht="17.25" x14ac:dyDescent="0.3">
      <c r="A1" s="478" t="s">
        <v>207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</row>
    <row r="3" spans="1:24" s="2" customFormat="1" x14ac:dyDescent="0.25">
      <c r="A3" s="2" t="s">
        <v>16</v>
      </c>
      <c r="B3" s="2" t="s">
        <v>69</v>
      </c>
    </row>
    <row r="4" spans="1:24" x14ac:dyDescent="0.25">
      <c r="T4" s="83" t="s">
        <v>426</v>
      </c>
    </row>
    <row r="5" spans="1:24" ht="16.5" customHeight="1" x14ac:dyDescent="0.25">
      <c r="A5" s="441" t="s">
        <v>2</v>
      </c>
      <c r="B5" s="441" t="s">
        <v>15</v>
      </c>
      <c r="C5" s="441" t="s">
        <v>3</v>
      </c>
      <c r="D5" s="441" t="s">
        <v>13</v>
      </c>
      <c r="E5" s="441"/>
      <c r="F5" s="441"/>
      <c r="G5" s="480" t="s">
        <v>205</v>
      </c>
      <c r="H5" s="480"/>
      <c r="I5" s="480"/>
      <c r="J5" s="480"/>
      <c r="K5" s="480"/>
      <c r="L5" s="194"/>
    </row>
    <row r="6" spans="1:24" x14ac:dyDescent="0.25">
      <c r="A6" s="441"/>
      <c r="B6" s="441"/>
      <c r="C6" s="441"/>
      <c r="D6" s="179" t="s">
        <v>5</v>
      </c>
      <c r="E6" s="179" t="s">
        <v>6</v>
      </c>
      <c r="F6" s="179" t="s">
        <v>7</v>
      </c>
      <c r="G6" s="217">
        <v>45597</v>
      </c>
      <c r="H6" s="217">
        <v>45627</v>
      </c>
      <c r="I6" s="217">
        <v>45658</v>
      </c>
      <c r="J6" s="217">
        <v>45689</v>
      </c>
      <c r="K6" s="217">
        <v>45717</v>
      </c>
      <c r="L6" s="194"/>
      <c r="N6" s="210">
        <v>45597</v>
      </c>
      <c r="O6" s="210">
        <v>45627</v>
      </c>
      <c r="P6" s="210">
        <v>45658</v>
      </c>
      <c r="Q6" s="210">
        <v>45689</v>
      </c>
      <c r="R6" s="210">
        <v>45717</v>
      </c>
      <c r="T6" s="210">
        <v>45597</v>
      </c>
      <c r="U6" s="210">
        <v>45627</v>
      </c>
      <c r="V6" s="210">
        <v>45658</v>
      </c>
      <c r="W6" s="210">
        <v>45689</v>
      </c>
      <c r="X6" s="210">
        <v>45717</v>
      </c>
    </row>
    <row r="7" spans="1:24" x14ac:dyDescent="0.25">
      <c r="A7" s="196" t="s">
        <v>70</v>
      </c>
      <c r="B7" s="197" t="s">
        <v>133</v>
      </c>
      <c r="C7" s="198"/>
      <c r="D7" s="200"/>
      <c r="E7" s="74"/>
      <c r="F7" s="199"/>
      <c r="G7" s="211"/>
      <c r="H7" s="211"/>
      <c r="I7" s="211"/>
      <c r="J7" s="211"/>
      <c r="K7" s="211"/>
      <c r="L7" s="194"/>
      <c r="N7" s="195"/>
      <c r="O7" s="195"/>
      <c r="P7" s="195"/>
      <c r="Q7" s="195"/>
      <c r="R7" s="195"/>
    </row>
    <row r="8" spans="1:24" x14ac:dyDescent="0.25">
      <c r="A8" s="190" t="s">
        <v>71</v>
      </c>
      <c r="B8" s="182" t="s">
        <v>134</v>
      </c>
      <c r="C8" s="181"/>
      <c r="D8" s="119"/>
      <c r="E8" s="22"/>
      <c r="F8" s="18"/>
      <c r="G8" s="212"/>
      <c r="H8" s="212"/>
      <c r="I8" s="212"/>
      <c r="J8" s="212"/>
      <c r="K8" s="212"/>
      <c r="L8" s="194"/>
      <c r="N8" s="195"/>
      <c r="O8" s="195"/>
      <c r="P8" s="195"/>
      <c r="Q8" s="195"/>
      <c r="R8" s="195"/>
    </row>
    <row r="9" spans="1:24" x14ac:dyDescent="0.25">
      <c r="A9" s="190" t="s">
        <v>17</v>
      </c>
      <c r="B9" s="182" t="s">
        <v>135</v>
      </c>
      <c r="C9" s="183"/>
      <c r="D9" s="156"/>
      <c r="E9" s="9"/>
      <c r="F9" s="19"/>
      <c r="G9" s="213"/>
      <c r="H9" s="213"/>
      <c r="I9" s="213"/>
      <c r="J9" s="213"/>
      <c r="K9" s="213"/>
      <c r="L9" s="194"/>
      <c r="N9" s="195"/>
      <c r="O9" s="195"/>
      <c r="P9" s="195"/>
      <c r="Q9" s="195"/>
      <c r="R9" s="195"/>
    </row>
    <row r="10" spans="1:24" x14ac:dyDescent="0.25">
      <c r="A10" s="191" t="s">
        <v>72</v>
      </c>
      <c r="B10" s="184" t="s">
        <v>136</v>
      </c>
      <c r="C10" s="183" t="s">
        <v>19</v>
      </c>
      <c r="D10" s="150">
        <v>942.21</v>
      </c>
      <c r="E10" s="123">
        <v>1.33</v>
      </c>
      <c r="F10" s="126">
        <v>1253.1400000000001</v>
      </c>
      <c r="G10" s="214">
        <f t="shared" ref="G10:K11" si="0">$F10*N10</f>
        <v>626.57000000000005</v>
      </c>
      <c r="H10" s="214">
        <f t="shared" si="0"/>
        <v>626.57000000000005</v>
      </c>
      <c r="I10" s="214">
        <f t="shared" si="0"/>
        <v>0</v>
      </c>
      <c r="J10" s="214">
        <f t="shared" si="0"/>
        <v>0</v>
      </c>
      <c r="K10" s="214">
        <f t="shared" si="0"/>
        <v>0</v>
      </c>
      <c r="L10" s="194">
        <f>F10-SUM(G10:K10)</f>
        <v>0</v>
      </c>
      <c r="N10" s="195">
        <v>0.5</v>
      </c>
      <c r="O10" s="195">
        <v>0.5</v>
      </c>
      <c r="P10" s="195"/>
      <c r="Q10" s="195"/>
      <c r="R10" s="195"/>
      <c r="T10" s="194">
        <f>N10*$D10</f>
        <v>471.10500000000002</v>
      </c>
      <c r="U10" s="194">
        <f t="shared" ref="U10:X10" si="1">O10*$D10</f>
        <v>471.10500000000002</v>
      </c>
      <c r="V10" s="194">
        <f t="shared" si="1"/>
        <v>0</v>
      </c>
      <c r="W10" s="194">
        <f t="shared" si="1"/>
        <v>0</v>
      </c>
      <c r="X10" s="194">
        <f t="shared" si="1"/>
        <v>0</v>
      </c>
    </row>
    <row r="11" spans="1:24" x14ac:dyDescent="0.25">
      <c r="A11" s="191" t="s">
        <v>73</v>
      </c>
      <c r="B11" s="184" t="s">
        <v>137</v>
      </c>
      <c r="C11" s="183" t="s">
        <v>197</v>
      </c>
      <c r="D11" s="150">
        <v>942.21</v>
      </c>
      <c r="E11" s="123">
        <v>1.33</v>
      </c>
      <c r="F11" s="126">
        <v>1253.1400000000001</v>
      </c>
      <c r="G11" s="214">
        <f t="shared" si="0"/>
        <v>313.28500000000003</v>
      </c>
      <c r="H11" s="214">
        <f t="shared" si="0"/>
        <v>313.28500000000003</v>
      </c>
      <c r="I11" s="214">
        <f t="shared" si="0"/>
        <v>313.28500000000003</v>
      </c>
      <c r="J11" s="214">
        <f t="shared" si="0"/>
        <v>313.28500000000003</v>
      </c>
      <c r="K11" s="214">
        <f t="shared" si="0"/>
        <v>0</v>
      </c>
      <c r="L11" s="194">
        <f>F11-SUM(G11:K11)</f>
        <v>0</v>
      </c>
      <c r="N11" s="195">
        <v>0.25</v>
      </c>
      <c r="O11" s="195">
        <v>0.25</v>
      </c>
      <c r="P11" s="195">
        <v>0.25</v>
      </c>
      <c r="Q11" s="195">
        <v>0.25</v>
      </c>
      <c r="R11" s="195"/>
      <c r="T11" s="194">
        <f>N11*$D11</f>
        <v>235.55250000000001</v>
      </c>
      <c r="U11" s="194">
        <f t="shared" ref="U11" si="2">O11*$D11</f>
        <v>235.55250000000001</v>
      </c>
      <c r="V11" s="194">
        <f t="shared" ref="V11" si="3">P11*$D11</f>
        <v>235.55250000000001</v>
      </c>
      <c r="W11" s="194">
        <f t="shared" ref="W11" si="4">Q11*$D11</f>
        <v>235.55250000000001</v>
      </c>
      <c r="X11" s="194">
        <f t="shared" ref="X11" si="5">R11*$D11</f>
        <v>0</v>
      </c>
    </row>
    <row r="12" spans="1:24" x14ac:dyDescent="0.25">
      <c r="A12" s="190" t="s">
        <v>74</v>
      </c>
      <c r="B12" s="182" t="s">
        <v>138</v>
      </c>
      <c r="C12" s="183"/>
      <c r="D12" s="156"/>
      <c r="E12" s="9"/>
      <c r="F12" s="19"/>
      <c r="G12" s="213"/>
      <c r="H12" s="213"/>
      <c r="I12" s="213"/>
      <c r="J12" s="213"/>
      <c r="K12" s="213"/>
      <c r="L12" s="194"/>
      <c r="N12" s="195"/>
      <c r="O12" s="195"/>
      <c r="P12" s="195"/>
      <c r="Q12" s="195"/>
      <c r="R12" s="195"/>
    </row>
    <row r="13" spans="1:24" x14ac:dyDescent="0.25">
      <c r="A13" s="190" t="s">
        <v>75</v>
      </c>
      <c r="B13" s="182" t="s">
        <v>139</v>
      </c>
      <c r="C13" s="183"/>
      <c r="D13" s="156"/>
      <c r="E13" s="9"/>
      <c r="F13" s="19"/>
      <c r="G13" s="213"/>
      <c r="H13" s="213"/>
      <c r="I13" s="213"/>
      <c r="J13" s="213"/>
      <c r="K13" s="213"/>
      <c r="L13" s="194"/>
      <c r="N13" s="195"/>
      <c r="O13" s="195"/>
      <c r="P13" s="195"/>
      <c r="Q13" s="195"/>
      <c r="R13" s="195"/>
    </row>
    <row r="14" spans="1:24" x14ac:dyDescent="0.25">
      <c r="A14" s="190" t="s">
        <v>76</v>
      </c>
      <c r="B14" s="182" t="s">
        <v>140</v>
      </c>
      <c r="C14" s="183"/>
      <c r="D14" s="156"/>
      <c r="E14" s="9"/>
      <c r="F14" s="19"/>
      <c r="G14" s="213"/>
      <c r="H14" s="213"/>
      <c r="I14" s="213"/>
      <c r="J14" s="213"/>
      <c r="K14" s="213"/>
      <c r="L14" s="194"/>
      <c r="N14" s="195"/>
      <c r="O14" s="195"/>
      <c r="P14" s="195"/>
      <c r="Q14" s="195"/>
      <c r="R14" s="195"/>
    </row>
    <row r="15" spans="1:24" x14ac:dyDescent="0.25">
      <c r="A15" s="191" t="s">
        <v>77</v>
      </c>
      <c r="B15" s="184" t="s">
        <v>141</v>
      </c>
      <c r="C15" s="183" t="s">
        <v>62</v>
      </c>
      <c r="D15" s="150">
        <v>39.81</v>
      </c>
      <c r="E15" s="123">
        <v>29.22</v>
      </c>
      <c r="F15" s="126">
        <v>1163.25</v>
      </c>
      <c r="G15" s="214">
        <f t="shared" ref="G15:K16" si="6">$F15*N15</f>
        <v>581.625</v>
      </c>
      <c r="H15" s="214">
        <f t="shared" si="6"/>
        <v>581.625</v>
      </c>
      <c r="I15" s="214">
        <f t="shared" si="6"/>
        <v>0</v>
      </c>
      <c r="J15" s="214">
        <f t="shared" si="6"/>
        <v>0</v>
      </c>
      <c r="K15" s="214">
        <f t="shared" si="6"/>
        <v>0</v>
      </c>
      <c r="L15" s="194">
        <f>F15-SUM(G15:K15)</f>
        <v>0</v>
      </c>
      <c r="N15" s="195">
        <v>0.5</v>
      </c>
      <c r="O15" s="195">
        <v>0.5</v>
      </c>
      <c r="P15" s="195"/>
      <c r="Q15" s="195"/>
      <c r="R15" s="195"/>
      <c r="T15" s="194">
        <f t="shared" ref="T15:T16" si="7">N15*$D15</f>
        <v>19.905000000000001</v>
      </c>
      <c r="U15" s="194">
        <f t="shared" ref="U15:U16" si="8">O15*$D15</f>
        <v>19.905000000000001</v>
      </c>
      <c r="V15" s="194">
        <f t="shared" ref="V15:V16" si="9">P15*$D15</f>
        <v>0</v>
      </c>
      <c r="W15" s="194">
        <f t="shared" ref="W15:W16" si="10">Q15*$D15</f>
        <v>0</v>
      </c>
      <c r="X15" s="194">
        <f t="shared" ref="X15:X16" si="11">R15*$D15</f>
        <v>0</v>
      </c>
    </row>
    <row r="16" spans="1:24" x14ac:dyDescent="0.25">
      <c r="A16" s="191" t="s">
        <v>78</v>
      </c>
      <c r="B16" s="184" t="s">
        <v>142</v>
      </c>
      <c r="C16" s="183" t="s">
        <v>62</v>
      </c>
      <c r="D16" s="150">
        <v>1876.4</v>
      </c>
      <c r="E16" s="123">
        <v>33.36</v>
      </c>
      <c r="F16" s="126">
        <v>62596.7</v>
      </c>
      <c r="G16" s="214">
        <f t="shared" si="6"/>
        <v>31298.35</v>
      </c>
      <c r="H16" s="214">
        <f t="shared" si="6"/>
        <v>31298.35</v>
      </c>
      <c r="I16" s="214">
        <f t="shared" si="6"/>
        <v>0</v>
      </c>
      <c r="J16" s="214">
        <f t="shared" si="6"/>
        <v>0</v>
      </c>
      <c r="K16" s="214">
        <f t="shared" si="6"/>
        <v>0</v>
      </c>
      <c r="L16" s="194">
        <f>F16-SUM(G16:K16)</f>
        <v>0</v>
      </c>
      <c r="N16" s="195">
        <v>0.5</v>
      </c>
      <c r="O16" s="195">
        <v>0.5</v>
      </c>
      <c r="P16" s="195"/>
      <c r="Q16" s="195"/>
      <c r="R16" s="195"/>
      <c r="T16" s="194">
        <f t="shared" si="7"/>
        <v>938.2</v>
      </c>
      <c r="U16" s="194">
        <f t="shared" si="8"/>
        <v>938.2</v>
      </c>
      <c r="V16" s="194">
        <f t="shared" si="9"/>
        <v>0</v>
      </c>
      <c r="W16" s="194">
        <f t="shared" si="10"/>
        <v>0</v>
      </c>
      <c r="X16" s="194">
        <f t="shared" si="11"/>
        <v>0</v>
      </c>
    </row>
    <row r="17" spans="1:24" x14ac:dyDescent="0.25">
      <c r="A17" s="190" t="s">
        <v>79</v>
      </c>
      <c r="B17" s="182" t="s">
        <v>143</v>
      </c>
      <c r="C17" s="183"/>
      <c r="D17" s="156"/>
      <c r="E17" s="9"/>
      <c r="F17" s="19"/>
      <c r="G17" s="213"/>
      <c r="H17" s="213"/>
      <c r="I17" s="213"/>
      <c r="J17" s="213"/>
      <c r="K17" s="213"/>
      <c r="L17" s="194"/>
      <c r="N17" s="195"/>
      <c r="O17" s="195"/>
      <c r="P17" s="195"/>
      <c r="Q17" s="195"/>
      <c r="R17" s="195"/>
    </row>
    <row r="18" spans="1:24" x14ac:dyDescent="0.25">
      <c r="A18" s="191" t="s">
        <v>80</v>
      </c>
      <c r="B18" s="184" t="s">
        <v>144</v>
      </c>
      <c r="C18" s="183" t="s">
        <v>62</v>
      </c>
      <c r="D18" s="150">
        <v>1138.01</v>
      </c>
      <c r="E18" s="123">
        <v>15</v>
      </c>
      <c r="F18" s="126">
        <v>17070.150000000001</v>
      </c>
      <c r="G18" s="214">
        <f>$F18*N18</f>
        <v>0</v>
      </c>
      <c r="H18" s="214">
        <f>$F18*O18</f>
        <v>8535.0750000000007</v>
      </c>
      <c r="I18" s="214">
        <f>$F18*P18</f>
        <v>8535.0750000000007</v>
      </c>
      <c r="J18" s="214">
        <f>$F18*Q18</f>
        <v>0</v>
      </c>
      <c r="K18" s="214">
        <f>$F18*R18</f>
        <v>0</v>
      </c>
      <c r="L18" s="194">
        <f>F18-SUM(G18:K18)</f>
        <v>0</v>
      </c>
      <c r="N18" s="195"/>
      <c r="O18" s="195">
        <v>0.5</v>
      </c>
      <c r="P18" s="195">
        <v>0.5</v>
      </c>
      <c r="Q18" s="195"/>
      <c r="R18" s="195"/>
      <c r="T18" s="194">
        <f>N18*$D18</f>
        <v>0</v>
      </c>
      <c r="U18" s="194">
        <f t="shared" ref="U18" si="12">O18*$D18</f>
        <v>569.005</v>
      </c>
      <c r="V18" s="194">
        <f t="shared" ref="V18" si="13">P18*$D18</f>
        <v>569.005</v>
      </c>
      <c r="W18" s="194">
        <f t="shared" ref="W18" si="14">Q18*$D18</f>
        <v>0</v>
      </c>
      <c r="X18" s="194">
        <f t="shared" ref="X18" si="15">R18*$D18</f>
        <v>0</v>
      </c>
    </row>
    <row r="19" spans="1:24" x14ac:dyDescent="0.25">
      <c r="A19" s="190" t="s">
        <v>81</v>
      </c>
      <c r="B19" s="182" t="s">
        <v>145</v>
      </c>
      <c r="C19" s="181"/>
      <c r="D19" s="149"/>
      <c r="E19" s="8"/>
      <c r="F19" s="20"/>
      <c r="G19" s="215"/>
      <c r="H19" s="215"/>
      <c r="I19" s="215"/>
      <c r="J19" s="215"/>
      <c r="K19" s="215"/>
      <c r="L19" s="194"/>
      <c r="N19" s="195"/>
      <c r="O19" s="195"/>
      <c r="P19" s="195"/>
      <c r="Q19" s="195"/>
      <c r="R19" s="195"/>
    </row>
    <row r="20" spans="1:24" x14ac:dyDescent="0.25">
      <c r="A20" s="191" t="s">
        <v>82</v>
      </c>
      <c r="B20" s="184" t="s">
        <v>146</v>
      </c>
      <c r="C20" s="183" t="s">
        <v>62</v>
      </c>
      <c r="D20" s="150">
        <v>1118.06</v>
      </c>
      <c r="E20" s="123">
        <v>18.27</v>
      </c>
      <c r="F20" s="126">
        <v>20426.96</v>
      </c>
      <c r="G20" s="214">
        <f t="shared" ref="G20:K22" si="16">$F20*N20</f>
        <v>6128.0879999999997</v>
      </c>
      <c r="H20" s="214">
        <f t="shared" si="16"/>
        <v>10213.48</v>
      </c>
      <c r="I20" s="214">
        <f t="shared" si="16"/>
        <v>4085.3919999999998</v>
      </c>
      <c r="J20" s="214">
        <f t="shared" si="16"/>
        <v>0</v>
      </c>
      <c r="K20" s="214">
        <f t="shared" si="16"/>
        <v>0</v>
      </c>
      <c r="L20" s="194">
        <f>F20-SUM(G20:K20)</f>
        <v>0</v>
      </c>
      <c r="N20" s="195">
        <v>0.3</v>
      </c>
      <c r="O20" s="195">
        <v>0.5</v>
      </c>
      <c r="P20" s="195">
        <v>0.2</v>
      </c>
      <c r="Q20" s="195"/>
      <c r="R20" s="195"/>
      <c r="T20" s="194">
        <f t="shared" ref="T20:T22" si="17">N20*$D20</f>
        <v>335.41799999999995</v>
      </c>
      <c r="U20" s="194">
        <f t="shared" ref="U20:U22" si="18">O20*$D20</f>
        <v>559.03</v>
      </c>
      <c r="V20" s="194">
        <f t="shared" ref="V20:V22" si="19">P20*$D20</f>
        <v>223.61199999999999</v>
      </c>
      <c r="W20" s="194">
        <f t="shared" ref="W20:W22" si="20">Q20*$D20</f>
        <v>0</v>
      </c>
      <c r="X20" s="194">
        <f t="shared" ref="X20:X22" si="21">R20*$D20</f>
        <v>0</v>
      </c>
    </row>
    <row r="21" spans="1:24" x14ac:dyDescent="0.25">
      <c r="A21" s="191" t="s">
        <v>83</v>
      </c>
      <c r="B21" s="184" t="s">
        <v>147</v>
      </c>
      <c r="C21" s="183" t="s">
        <v>20</v>
      </c>
      <c r="D21" s="150"/>
      <c r="E21" s="123"/>
      <c r="F21" s="126"/>
      <c r="G21" s="214">
        <f t="shared" si="16"/>
        <v>0</v>
      </c>
      <c r="H21" s="214">
        <f t="shared" si="16"/>
        <v>0</v>
      </c>
      <c r="I21" s="214">
        <f t="shared" si="16"/>
        <v>0</v>
      </c>
      <c r="J21" s="214">
        <f t="shared" si="16"/>
        <v>0</v>
      </c>
      <c r="K21" s="214">
        <f t="shared" si="16"/>
        <v>0</v>
      </c>
      <c r="L21" s="194">
        <f>F21-SUM(G21:K21)</f>
        <v>0</v>
      </c>
      <c r="N21" s="195">
        <v>0.3</v>
      </c>
      <c r="O21" s="195">
        <v>0.3</v>
      </c>
      <c r="P21" s="195">
        <v>0.4</v>
      </c>
      <c r="Q21" s="195"/>
      <c r="R21" s="195"/>
      <c r="T21" s="194">
        <f t="shared" si="17"/>
        <v>0</v>
      </c>
      <c r="U21" s="194">
        <f t="shared" si="18"/>
        <v>0</v>
      </c>
      <c r="V21" s="194">
        <f t="shared" si="19"/>
        <v>0</v>
      </c>
      <c r="W21" s="194">
        <f t="shared" si="20"/>
        <v>0</v>
      </c>
      <c r="X21" s="194">
        <f t="shared" si="21"/>
        <v>0</v>
      </c>
    </row>
    <row r="22" spans="1:24" x14ac:dyDescent="0.25">
      <c r="A22" s="191" t="s">
        <v>84</v>
      </c>
      <c r="B22" s="184" t="s">
        <v>148</v>
      </c>
      <c r="C22" s="183" t="s">
        <v>62</v>
      </c>
      <c r="D22" s="150"/>
      <c r="E22" s="123"/>
      <c r="F22" s="126"/>
      <c r="G22" s="214">
        <f t="shared" si="16"/>
        <v>0</v>
      </c>
      <c r="H22" s="214">
        <f t="shared" si="16"/>
        <v>0</v>
      </c>
      <c r="I22" s="214">
        <f t="shared" si="16"/>
        <v>0</v>
      </c>
      <c r="J22" s="214">
        <f t="shared" si="16"/>
        <v>0</v>
      </c>
      <c r="K22" s="214">
        <f t="shared" si="16"/>
        <v>0</v>
      </c>
      <c r="L22" s="194">
        <f>F22-SUM(G22:K22)</f>
        <v>0</v>
      </c>
      <c r="N22" s="195">
        <v>0.3</v>
      </c>
      <c r="O22" s="195">
        <v>0.3</v>
      </c>
      <c r="P22" s="195">
        <v>0.4</v>
      </c>
      <c r="Q22" s="195"/>
      <c r="R22" s="195"/>
      <c r="T22" s="194">
        <f t="shared" si="17"/>
        <v>0</v>
      </c>
      <c r="U22" s="194">
        <f t="shared" si="18"/>
        <v>0</v>
      </c>
      <c r="V22" s="194">
        <f t="shared" si="19"/>
        <v>0</v>
      </c>
      <c r="W22" s="194">
        <f t="shared" si="20"/>
        <v>0</v>
      </c>
      <c r="X22" s="194">
        <f t="shared" si="21"/>
        <v>0</v>
      </c>
    </row>
    <row r="23" spans="1:24" x14ac:dyDescent="0.25">
      <c r="A23" s="190" t="s">
        <v>85</v>
      </c>
      <c r="B23" s="182" t="s">
        <v>149</v>
      </c>
      <c r="C23" s="185"/>
      <c r="D23" s="201"/>
      <c r="E23" s="51"/>
      <c r="F23" s="180"/>
      <c r="G23" s="213"/>
      <c r="H23" s="213"/>
      <c r="I23" s="213"/>
      <c r="J23" s="213"/>
      <c r="K23" s="213"/>
      <c r="L23" s="194"/>
      <c r="N23" s="195"/>
      <c r="O23" s="195"/>
      <c r="P23" s="195"/>
      <c r="Q23" s="195"/>
      <c r="R23" s="195"/>
    </row>
    <row r="24" spans="1:24" x14ac:dyDescent="0.25">
      <c r="A24" s="191" t="s">
        <v>86</v>
      </c>
      <c r="B24" s="184" t="s">
        <v>150</v>
      </c>
      <c r="C24" s="185" t="s">
        <v>197</v>
      </c>
      <c r="D24" s="152">
        <v>70.33</v>
      </c>
      <c r="E24" s="131">
        <v>4.3600000000000003</v>
      </c>
      <c r="F24" s="126">
        <v>306.64</v>
      </c>
      <c r="G24" s="214">
        <f t="shared" ref="G24:K27" si="22">$F24*N24</f>
        <v>61.328000000000003</v>
      </c>
      <c r="H24" s="214">
        <f t="shared" si="22"/>
        <v>122.65600000000001</v>
      </c>
      <c r="I24" s="214">
        <f t="shared" si="22"/>
        <v>122.65600000000001</v>
      </c>
      <c r="J24" s="214">
        <f t="shared" si="22"/>
        <v>0</v>
      </c>
      <c r="K24" s="214">
        <f t="shared" si="22"/>
        <v>0</v>
      </c>
      <c r="L24" s="194">
        <f>F24-SUM(G24:K24)</f>
        <v>0</v>
      </c>
      <c r="N24" s="195">
        <v>0.2</v>
      </c>
      <c r="O24" s="195">
        <v>0.4</v>
      </c>
      <c r="P24" s="195">
        <v>0.4</v>
      </c>
      <c r="Q24" s="195"/>
      <c r="R24" s="195"/>
      <c r="T24" s="194">
        <f t="shared" ref="T24:T27" si="23">N24*$D24</f>
        <v>14.066000000000001</v>
      </c>
      <c r="U24" s="194">
        <f t="shared" ref="U24:U27" si="24">O24*$D24</f>
        <v>28.132000000000001</v>
      </c>
      <c r="V24" s="194">
        <f t="shared" ref="V24:V27" si="25">P24*$D24</f>
        <v>28.132000000000001</v>
      </c>
      <c r="W24" s="194">
        <f t="shared" ref="W24:W27" si="26">Q24*$D24</f>
        <v>0</v>
      </c>
      <c r="X24" s="194">
        <f t="shared" ref="X24:X27" si="27">R24*$D24</f>
        <v>0</v>
      </c>
    </row>
    <row r="25" spans="1:24" x14ac:dyDescent="0.25">
      <c r="A25" s="191" t="s">
        <v>87</v>
      </c>
      <c r="B25" s="184" t="s">
        <v>151</v>
      </c>
      <c r="C25" s="185" t="s">
        <v>197</v>
      </c>
      <c r="D25" s="152">
        <v>8.73</v>
      </c>
      <c r="E25" s="131">
        <v>7.37</v>
      </c>
      <c r="F25" s="126">
        <v>64.34</v>
      </c>
      <c r="G25" s="214">
        <f t="shared" si="22"/>
        <v>12.868000000000002</v>
      </c>
      <c r="H25" s="214">
        <f t="shared" si="22"/>
        <v>25.736000000000004</v>
      </c>
      <c r="I25" s="214">
        <f t="shared" si="22"/>
        <v>25.736000000000004</v>
      </c>
      <c r="J25" s="214">
        <f t="shared" si="22"/>
        <v>0</v>
      </c>
      <c r="K25" s="214">
        <f t="shared" si="22"/>
        <v>0</v>
      </c>
      <c r="L25" s="194">
        <f>F25-SUM(G25:K25)</f>
        <v>0</v>
      </c>
      <c r="N25" s="195">
        <v>0.2</v>
      </c>
      <c r="O25" s="195">
        <v>0.4</v>
      </c>
      <c r="P25" s="195">
        <v>0.4</v>
      </c>
      <c r="Q25" s="195"/>
      <c r="R25" s="195"/>
      <c r="T25" s="194">
        <f t="shared" si="23"/>
        <v>1.7460000000000002</v>
      </c>
      <c r="U25" s="194">
        <f t="shared" si="24"/>
        <v>3.4920000000000004</v>
      </c>
      <c r="V25" s="194">
        <f t="shared" si="25"/>
        <v>3.4920000000000004</v>
      </c>
      <c r="W25" s="194">
        <f t="shared" si="26"/>
        <v>0</v>
      </c>
      <c r="X25" s="194">
        <f t="shared" si="27"/>
        <v>0</v>
      </c>
    </row>
    <row r="26" spans="1:24" x14ac:dyDescent="0.25">
      <c r="A26" s="191" t="s">
        <v>88</v>
      </c>
      <c r="B26" s="184" t="s">
        <v>152</v>
      </c>
      <c r="C26" s="185" t="s">
        <v>197</v>
      </c>
      <c r="D26" s="152">
        <v>70.33</v>
      </c>
      <c r="E26" s="131">
        <v>11.5</v>
      </c>
      <c r="F26" s="126">
        <v>808.8</v>
      </c>
      <c r="G26" s="214">
        <f t="shared" si="22"/>
        <v>161.76</v>
      </c>
      <c r="H26" s="214">
        <f t="shared" si="22"/>
        <v>323.52</v>
      </c>
      <c r="I26" s="214">
        <f t="shared" si="22"/>
        <v>323.52</v>
      </c>
      <c r="J26" s="214">
        <f t="shared" si="22"/>
        <v>0</v>
      </c>
      <c r="K26" s="214">
        <f t="shared" si="22"/>
        <v>0</v>
      </c>
      <c r="L26" s="194">
        <f>F26-SUM(G26:K26)</f>
        <v>0</v>
      </c>
      <c r="N26" s="195">
        <v>0.2</v>
      </c>
      <c r="O26" s="195">
        <v>0.4</v>
      </c>
      <c r="P26" s="195">
        <v>0.4</v>
      </c>
      <c r="Q26" s="195"/>
      <c r="R26" s="195"/>
      <c r="T26" s="194">
        <f t="shared" si="23"/>
        <v>14.066000000000001</v>
      </c>
      <c r="U26" s="194">
        <f t="shared" si="24"/>
        <v>28.132000000000001</v>
      </c>
      <c r="V26" s="194">
        <f t="shared" si="25"/>
        <v>28.132000000000001</v>
      </c>
      <c r="W26" s="194">
        <f t="shared" si="26"/>
        <v>0</v>
      </c>
      <c r="X26" s="194">
        <f t="shared" si="27"/>
        <v>0</v>
      </c>
    </row>
    <row r="27" spans="1:24" x14ac:dyDescent="0.25">
      <c r="A27" s="191" t="s">
        <v>89</v>
      </c>
      <c r="B27" s="184" t="s">
        <v>153</v>
      </c>
      <c r="C27" s="185" t="s">
        <v>197</v>
      </c>
      <c r="D27" s="152">
        <v>8.73</v>
      </c>
      <c r="E27" s="131">
        <v>14.5</v>
      </c>
      <c r="F27" s="126">
        <v>126.59</v>
      </c>
      <c r="G27" s="214">
        <f t="shared" si="22"/>
        <v>25.318000000000001</v>
      </c>
      <c r="H27" s="214">
        <f t="shared" si="22"/>
        <v>50.636000000000003</v>
      </c>
      <c r="I27" s="214">
        <f t="shared" si="22"/>
        <v>50.636000000000003</v>
      </c>
      <c r="J27" s="214">
        <f t="shared" si="22"/>
        <v>0</v>
      </c>
      <c r="K27" s="214">
        <f t="shared" si="22"/>
        <v>0</v>
      </c>
      <c r="L27" s="194">
        <f>F27-SUM(G27:K27)</f>
        <v>0</v>
      </c>
      <c r="N27" s="195">
        <v>0.2</v>
      </c>
      <c r="O27" s="195">
        <v>0.4</v>
      </c>
      <c r="P27" s="195">
        <v>0.4</v>
      </c>
      <c r="Q27" s="195"/>
      <c r="R27" s="195"/>
      <c r="T27" s="194">
        <f t="shared" si="23"/>
        <v>1.7460000000000002</v>
      </c>
      <c r="U27" s="194">
        <f t="shared" si="24"/>
        <v>3.4920000000000004</v>
      </c>
      <c r="V27" s="194">
        <f t="shared" si="25"/>
        <v>3.4920000000000004</v>
      </c>
      <c r="W27" s="194">
        <f t="shared" si="26"/>
        <v>0</v>
      </c>
      <c r="X27" s="194">
        <f t="shared" si="27"/>
        <v>0</v>
      </c>
    </row>
    <row r="28" spans="1:24" x14ac:dyDescent="0.25">
      <c r="A28" s="190" t="s">
        <v>90</v>
      </c>
      <c r="B28" s="182" t="s">
        <v>154</v>
      </c>
      <c r="C28" s="185"/>
      <c r="D28" s="201"/>
      <c r="E28" s="51"/>
      <c r="F28" s="180"/>
      <c r="G28" s="213"/>
      <c r="H28" s="213"/>
      <c r="I28" s="213"/>
      <c r="J28" s="213"/>
      <c r="K28" s="213"/>
      <c r="L28" s="194"/>
      <c r="N28" s="195"/>
      <c r="O28" s="195"/>
      <c r="P28" s="195"/>
      <c r="Q28" s="195"/>
      <c r="R28" s="195"/>
    </row>
    <row r="29" spans="1:24" x14ac:dyDescent="0.25">
      <c r="A29" s="190" t="s">
        <v>91</v>
      </c>
      <c r="B29" s="182" t="s">
        <v>155</v>
      </c>
      <c r="C29" s="185"/>
      <c r="D29" s="201"/>
      <c r="E29" s="51"/>
      <c r="F29" s="180"/>
      <c r="G29" s="213"/>
      <c r="H29" s="213"/>
      <c r="I29" s="213"/>
      <c r="J29" s="213"/>
      <c r="K29" s="213"/>
      <c r="L29" s="194"/>
      <c r="N29" s="195"/>
      <c r="O29" s="195"/>
      <c r="P29" s="195"/>
      <c r="Q29" s="195"/>
      <c r="R29" s="195"/>
    </row>
    <row r="30" spans="1:24" x14ac:dyDescent="0.25">
      <c r="A30" s="191" t="s">
        <v>92</v>
      </c>
      <c r="B30" s="184" t="s">
        <v>156</v>
      </c>
      <c r="C30" s="185" t="s">
        <v>62</v>
      </c>
      <c r="D30" s="152">
        <v>330.16</v>
      </c>
      <c r="E30" s="131">
        <v>184.1</v>
      </c>
      <c r="F30" s="126">
        <v>60782.46</v>
      </c>
      <c r="G30" s="214">
        <f>$F30*N30</f>
        <v>0</v>
      </c>
      <c r="H30" s="214">
        <f>$F30*O30</f>
        <v>30391.23</v>
      </c>
      <c r="I30" s="214">
        <f>$F30*P30</f>
        <v>30391.23</v>
      </c>
      <c r="J30" s="214">
        <f>$F30*Q30</f>
        <v>0</v>
      </c>
      <c r="K30" s="214">
        <f>$F30*R30</f>
        <v>0</v>
      </c>
      <c r="L30" s="194">
        <f>F30-SUM(G30:K30)</f>
        <v>0</v>
      </c>
      <c r="N30" s="195"/>
      <c r="O30" s="195">
        <v>0.5</v>
      </c>
      <c r="P30" s="195">
        <v>0.5</v>
      </c>
      <c r="Q30" s="195"/>
      <c r="R30" s="195"/>
      <c r="T30" s="194">
        <f>N30*$D30</f>
        <v>0</v>
      </c>
      <c r="U30" s="194">
        <f t="shared" ref="U30" si="28">O30*$D30</f>
        <v>165.08</v>
      </c>
      <c r="V30" s="194">
        <f t="shared" ref="V30" si="29">P30*$D30</f>
        <v>165.08</v>
      </c>
      <c r="W30" s="194">
        <f t="shared" ref="W30" si="30">Q30*$D30</f>
        <v>0</v>
      </c>
      <c r="X30" s="194">
        <f t="shared" ref="X30" si="31">R30*$D30</f>
        <v>0</v>
      </c>
    </row>
    <row r="31" spans="1:24" x14ac:dyDescent="0.25">
      <c r="A31" s="190" t="s">
        <v>93</v>
      </c>
      <c r="B31" s="182" t="s">
        <v>157</v>
      </c>
      <c r="C31" s="185"/>
      <c r="D31" s="201"/>
      <c r="E31" s="51"/>
      <c r="F31" s="180"/>
      <c r="G31" s="213"/>
      <c r="H31" s="213"/>
      <c r="I31" s="213"/>
      <c r="J31" s="213"/>
      <c r="K31" s="213"/>
      <c r="L31" s="194"/>
      <c r="N31" s="195"/>
      <c r="O31" s="195"/>
      <c r="P31" s="195"/>
      <c r="Q31" s="195"/>
      <c r="R31" s="195"/>
    </row>
    <row r="32" spans="1:24" x14ac:dyDescent="0.25">
      <c r="A32" s="191" t="s">
        <v>94</v>
      </c>
      <c r="B32" s="184" t="s">
        <v>158</v>
      </c>
      <c r="C32" s="185" t="s">
        <v>62</v>
      </c>
      <c r="D32" s="152">
        <v>24.24</v>
      </c>
      <c r="E32" s="131">
        <v>182.46</v>
      </c>
      <c r="F32" s="126">
        <v>4422.83</v>
      </c>
      <c r="G32" s="214">
        <f t="shared" ref="G32:K35" si="32">$F32*N32</f>
        <v>0</v>
      </c>
      <c r="H32" s="214">
        <f t="shared" si="32"/>
        <v>0</v>
      </c>
      <c r="I32" s="214">
        <f t="shared" si="32"/>
        <v>2211.415</v>
      </c>
      <c r="J32" s="214">
        <f t="shared" si="32"/>
        <v>2211.415</v>
      </c>
      <c r="K32" s="214">
        <f t="shared" si="32"/>
        <v>0</v>
      </c>
      <c r="L32" s="194">
        <f>F32-SUM(G32:K32)</f>
        <v>0</v>
      </c>
      <c r="N32" s="195"/>
      <c r="O32" s="195"/>
      <c r="P32" s="195">
        <v>0.5</v>
      </c>
      <c r="Q32" s="195">
        <v>0.5</v>
      </c>
      <c r="R32" s="195"/>
      <c r="T32" s="194">
        <f t="shared" ref="T32:T35" si="33">N32*$D32</f>
        <v>0</v>
      </c>
      <c r="U32" s="194">
        <f t="shared" ref="U32:U35" si="34">O32*$D32</f>
        <v>0</v>
      </c>
      <c r="V32" s="194">
        <f t="shared" ref="V32:V35" si="35">P32*$D32</f>
        <v>12.12</v>
      </c>
      <c r="W32" s="194">
        <f t="shared" ref="W32:W35" si="36">Q32*$D32</f>
        <v>12.12</v>
      </c>
      <c r="X32" s="194">
        <f t="shared" ref="X32:X35" si="37">R32*$D32</f>
        <v>0</v>
      </c>
    </row>
    <row r="33" spans="1:24" x14ac:dyDescent="0.25">
      <c r="A33" s="191" t="s">
        <v>95</v>
      </c>
      <c r="B33" s="184" t="s">
        <v>159</v>
      </c>
      <c r="C33" s="185" t="s">
        <v>197</v>
      </c>
      <c r="D33" s="152">
        <v>22.63</v>
      </c>
      <c r="E33" s="131">
        <v>23.830000000000002</v>
      </c>
      <c r="F33" s="126">
        <v>539.27</v>
      </c>
      <c r="G33" s="214">
        <f t="shared" si="32"/>
        <v>0</v>
      </c>
      <c r="H33" s="214">
        <f t="shared" si="32"/>
        <v>215.708</v>
      </c>
      <c r="I33" s="214">
        <f t="shared" si="32"/>
        <v>215.708</v>
      </c>
      <c r="J33" s="214">
        <f t="shared" si="32"/>
        <v>107.854</v>
      </c>
      <c r="K33" s="214">
        <f t="shared" si="32"/>
        <v>0</v>
      </c>
      <c r="L33" s="194">
        <f>F33-SUM(G33:K33)</f>
        <v>0</v>
      </c>
      <c r="N33" s="195"/>
      <c r="O33" s="195">
        <v>0.4</v>
      </c>
      <c r="P33" s="195">
        <v>0.4</v>
      </c>
      <c r="Q33" s="195">
        <v>0.2</v>
      </c>
      <c r="R33" s="195"/>
      <c r="T33" s="194">
        <f t="shared" si="33"/>
        <v>0</v>
      </c>
      <c r="U33" s="194">
        <f t="shared" si="34"/>
        <v>9.0519999999999996</v>
      </c>
      <c r="V33" s="194">
        <f t="shared" si="35"/>
        <v>9.0519999999999996</v>
      </c>
      <c r="W33" s="194">
        <f t="shared" si="36"/>
        <v>4.5259999999999998</v>
      </c>
      <c r="X33" s="194">
        <f t="shared" si="37"/>
        <v>0</v>
      </c>
    </row>
    <row r="34" spans="1:24" x14ac:dyDescent="0.25">
      <c r="A34" s="191" t="s">
        <v>96</v>
      </c>
      <c r="B34" s="184" t="s">
        <v>160</v>
      </c>
      <c r="C34" s="185" t="s">
        <v>62</v>
      </c>
      <c r="D34" s="152">
        <v>160.54</v>
      </c>
      <c r="E34" s="131">
        <v>207.85</v>
      </c>
      <c r="F34" s="126">
        <v>33368.239999999998</v>
      </c>
      <c r="G34" s="214">
        <f t="shared" si="32"/>
        <v>33368.239999999998</v>
      </c>
      <c r="H34" s="214">
        <f t="shared" si="32"/>
        <v>0</v>
      </c>
      <c r="I34" s="214">
        <f t="shared" si="32"/>
        <v>0</v>
      </c>
      <c r="J34" s="214">
        <f t="shared" si="32"/>
        <v>0</v>
      </c>
      <c r="K34" s="214">
        <f t="shared" si="32"/>
        <v>0</v>
      </c>
      <c r="L34" s="194">
        <f>F34-SUM(G34:K34)</f>
        <v>0</v>
      </c>
      <c r="N34" s="195">
        <v>1</v>
      </c>
      <c r="O34" s="195"/>
      <c r="P34" s="195"/>
      <c r="Q34" s="195"/>
      <c r="R34" s="195"/>
      <c r="T34" s="194">
        <f t="shared" si="33"/>
        <v>160.54</v>
      </c>
      <c r="U34" s="194">
        <f t="shared" si="34"/>
        <v>0</v>
      </c>
      <c r="V34" s="194">
        <f t="shared" si="35"/>
        <v>0</v>
      </c>
      <c r="W34" s="194">
        <f t="shared" si="36"/>
        <v>0</v>
      </c>
      <c r="X34" s="194">
        <f t="shared" si="37"/>
        <v>0</v>
      </c>
    </row>
    <row r="35" spans="1:24" x14ac:dyDescent="0.25">
      <c r="A35" s="191" t="s">
        <v>97</v>
      </c>
      <c r="B35" s="184" t="s">
        <v>161</v>
      </c>
      <c r="C35" s="185" t="s">
        <v>197</v>
      </c>
      <c r="D35" s="152">
        <v>321.08</v>
      </c>
      <c r="E35" s="131">
        <v>26.53</v>
      </c>
      <c r="F35" s="126">
        <v>8518.25</v>
      </c>
      <c r="G35" s="214">
        <f t="shared" si="32"/>
        <v>8518.25</v>
      </c>
      <c r="H35" s="214">
        <f t="shared" si="32"/>
        <v>0</v>
      </c>
      <c r="I35" s="214">
        <f t="shared" si="32"/>
        <v>0</v>
      </c>
      <c r="J35" s="214">
        <f t="shared" si="32"/>
        <v>0</v>
      </c>
      <c r="K35" s="214">
        <f t="shared" si="32"/>
        <v>0</v>
      </c>
      <c r="L35" s="194">
        <f>F35-SUM(G35:K35)</f>
        <v>0</v>
      </c>
      <c r="N35" s="195">
        <v>1</v>
      </c>
      <c r="O35" s="195"/>
      <c r="P35" s="195"/>
      <c r="Q35" s="195"/>
      <c r="R35" s="195"/>
      <c r="T35" s="194">
        <f t="shared" si="33"/>
        <v>321.08</v>
      </c>
      <c r="U35" s="194">
        <f t="shared" si="34"/>
        <v>0</v>
      </c>
      <c r="V35" s="194">
        <f t="shared" si="35"/>
        <v>0</v>
      </c>
      <c r="W35" s="194">
        <f t="shared" si="36"/>
        <v>0</v>
      </c>
      <c r="X35" s="194">
        <f t="shared" si="37"/>
        <v>0</v>
      </c>
    </row>
    <row r="36" spans="1:24" x14ac:dyDescent="0.25">
      <c r="A36" s="190" t="s">
        <v>98</v>
      </c>
      <c r="B36" s="182" t="s">
        <v>162</v>
      </c>
      <c r="C36" s="185"/>
      <c r="D36" s="201"/>
      <c r="E36" s="51"/>
      <c r="F36" s="180"/>
      <c r="G36" s="213"/>
      <c r="H36" s="213"/>
      <c r="I36" s="213"/>
      <c r="J36" s="213"/>
      <c r="K36" s="213"/>
      <c r="L36" s="194"/>
      <c r="N36" s="195"/>
      <c r="O36" s="195"/>
      <c r="P36" s="195"/>
      <c r="Q36" s="195"/>
      <c r="R36" s="195"/>
    </row>
    <row r="37" spans="1:24" x14ac:dyDescent="0.25">
      <c r="A37" s="191" t="s">
        <v>99</v>
      </c>
      <c r="B37" s="184" t="s">
        <v>163</v>
      </c>
      <c r="C37" s="185" t="s">
        <v>62</v>
      </c>
      <c r="D37" s="152">
        <v>3.15</v>
      </c>
      <c r="E37" s="131">
        <v>201.22</v>
      </c>
      <c r="F37" s="126">
        <v>633.84</v>
      </c>
      <c r="G37" s="214">
        <f t="shared" ref="G37:K38" si="38">$F37*N37</f>
        <v>0</v>
      </c>
      <c r="H37" s="214">
        <f t="shared" si="38"/>
        <v>0</v>
      </c>
      <c r="I37" s="214">
        <f t="shared" si="38"/>
        <v>316.92</v>
      </c>
      <c r="J37" s="214">
        <f t="shared" si="38"/>
        <v>316.92</v>
      </c>
      <c r="K37" s="214">
        <f t="shared" si="38"/>
        <v>0</v>
      </c>
      <c r="L37" s="194">
        <f>F37-SUM(G37:K37)</f>
        <v>0</v>
      </c>
      <c r="N37" s="195"/>
      <c r="O37" s="195"/>
      <c r="P37" s="195">
        <v>0.5</v>
      </c>
      <c r="Q37" s="195">
        <v>0.5</v>
      </c>
      <c r="R37" s="195"/>
      <c r="T37" s="194">
        <f t="shared" ref="T37:T38" si="39">N37*$D37</f>
        <v>0</v>
      </c>
      <c r="U37" s="194">
        <f t="shared" ref="U37:U38" si="40">O37*$D37</f>
        <v>0</v>
      </c>
      <c r="V37" s="194">
        <f t="shared" ref="V37:V38" si="41">P37*$D37</f>
        <v>1.575</v>
      </c>
      <c r="W37" s="194">
        <f t="shared" ref="W37:W38" si="42">Q37*$D37</f>
        <v>1.575</v>
      </c>
      <c r="X37" s="194">
        <f t="shared" ref="X37:X38" si="43">R37*$D37</f>
        <v>0</v>
      </c>
    </row>
    <row r="38" spans="1:24" x14ac:dyDescent="0.25">
      <c r="A38" s="191" t="s">
        <v>100</v>
      </c>
      <c r="B38" s="184" t="s">
        <v>164</v>
      </c>
      <c r="C38" s="185" t="s">
        <v>197</v>
      </c>
      <c r="D38" s="152">
        <v>43.07</v>
      </c>
      <c r="E38" s="131">
        <v>24.18</v>
      </c>
      <c r="F38" s="126">
        <v>1041.43</v>
      </c>
      <c r="G38" s="214">
        <f t="shared" si="38"/>
        <v>0</v>
      </c>
      <c r="H38" s="214">
        <f t="shared" si="38"/>
        <v>416.57200000000006</v>
      </c>
      <c r="I38" s="214">
        <f t="shared" si="38"/>
        <v>416.57200000000006</v>
      </c>
      <c r="J38" s="214">
        <f t="shared" si="38"/>
        <v>208.28600000000003</v>
      </c>
      <c r="K38" s="214">
        <f t="shared" si="38"/>
        <v>0</v>
      </c>
      <c r="L38" s="194">
        <f>F38-SUM(G38:K38)</f>
        <v>0</v>
      </c>
      <c r="N38" s="195"/>
      <c r="O38" s="195">
        <v>0.4</v>
      </c>
      <c r="P38" s="195">
        <v>0.4</v>
      </c>
      <c r="Q38" s="195">
        <v>0.2</v>
      </c>
      <c r="R38" s="195"/>
      <c r="T38" s="194">
        <f t="shared" si="39"/>
        <v>0</v>
      </c>
      <c r="U38" s="194">
        <f t="shared" si="40"/>
        <v>17.228000000000002</v>
      </c>
      <c r="V38" s="194">
        <f t="shared" si="41"/>
        <v>17.228000000000002</v>
      </c>
      <c r="W38" s="194">
        <f t="shared" si="42"/>
        <v>8.6140000000000008</v>
      </c>
      <c r="X38" s="194">
        <f t="shared" si="43"/>
        <v>0</v>
      </c>
    </row>
    <row r="39" spans="1:24" x14ac:dyDescent="0.25">
      <c r="A39" s="190" t="s">
        <v>101</v>
      </c>
      <c r="B39" s="182" t="s">
        <v>165</v>
      </c>
      <c r="C39" s="185"/>
      <c r="D39" s="201"/>
      <c r="E39" s="51"/>
      <c r="F39" s="180"/>
      <c r="G39" s="213"/>
      <c r="H39" s="213"/>
      <c r="I39" s="213"/>
      <c r="J39" s="213"/>
      <c r="K39" s="213"/>
      <c r="L39" s="194"/>
      <c r="N39" s="195"/>
      <c r="O39" s="195"/>
      <c r="P39" s="195"/>
      <c r="Q39" s="195"/>
      <c r="R39" s="195"/>
    </row>
    <row r="40" spans="1:24" x14ac:dyDescent="0.25">
      <c r="A40" s="190" t="s">
        <v>102</v>
      </c>
      <c r="B40" s="182" t="s">
        <v>166</v>
      </c>
      <c r="C40" s="185"/>
      <c r="D40" s="201"/>
      <c r="E40" s="51"/>
      <c r="F40" s="180"/>
      <c r="G40" s="213"/>
      <c r="H40" s="213"/>
      <c r="I40" s="213"/>
      <c r="J40" s="213"/>
      <c r="K40" s="213"/>
      <c r="L40" s="194"/>
      <c r="N40" s="195"/>
      <c r="O40" s="195"/>
      <c r="P40" s="195"/>
      <c r="Q40" s="195"/>
      <c r="R40" s="195"/>
    </row>
    <row r="41" spans="1:24" x14ac:dyDescent="0.25">
      <c r="A41" s="191" t="s">
        <v>103</v>
      </c>
      <c r="B41" s="184" t="s">
        <v>167</v>
      </c>
      <c r="C41" s="185" t="s">
        <v>62</v>
      </c>
      <c r="D41" s="152">
        <v>412.62</v>
      </c>
      <c r="E41" s="131">
        <v>286.60000000000002</v>
      </c>
      <c r="F41" s="126">
        <v>118256.89</v>
      </c>
      <c r="G41" s="214">
        <f t="shared" ref="G41:K42" si="44">$F41*N41</f>
        <v>35477.066999999995</v>
      </c>
      <c r="H41" s="214">
        <f t="shared" si="44"/>
        <v>82779.822999999989</v>
      </c>
      <c r="I41" s="214">
        <f t="shared" si="44"/>
        <v>0</v>
      </c>
      <c r="J41" s="214">
        <f t="shared" si="44"/>
        <v>0</v>
      </c>
      <c r="K41" s="214">
        <f t="shared" si="44"/>
        <v>0</v>
      </c>
      <c r="L41" s="194">
        <f>F41-SUM(G41:K41)</f>
        <v>0</v>
      </c>
      <c r="N41" s="195">
        <v>0.3</v>
      </c>
      <c r="O41" s="195">
        <v>0.7</v>
      </c>
      <c r="P41" s="195"/>
      <c r="Q41" s="195"/>
      <c r="R41" s="195"/>
      <c r="T41" s="194">
        <f t="shared" ref="T41:T42" si="45">N41*$D41</f>
        <v>123.786</v>
      </c>
      <c r="U41" s="194">
        <f t="shared" ref="U41:U42" si="46">O41*$D41</f>
        <v>288.834</v>
      </c>
      <c r="V41" s="194">
        <f t="shared" ref="V41:V42" si="47">P41*$D41</f>
        <v>0</v>
      </c>
      <c r="W41" s="194">
        <f t="shared" ref="W41:W42" si="48">Q41*$D41</f>
        <v>0</v>
      </c>
      <c r="X41" s="194">
        <f t="shared" ref="X41:X42" si="49">R41*$D41</f>
        <v>0</v>
      </c>
    </row>
    <row r="42" spans="1:24" x14ac:dyDescent="0.25">
      <c r="A42" s="191" t="s">
        <v>104</v>
      </c>
      <c r="B42" s="184" t="s">
        <v>168</v>
      </c>
      <c r="C42" s="185" t="s">
        <v>198</v>
      </c>
      <c r="D42" s="152">
        <v>17359.560000000001</v>
      </c>
      <c r="E42" s="131">
        <v>3.4</v>
      </c>
      <c r="F42" s="126">
        <v>59022.5</v>
      </c>
      <c r="G42" s="214">
        <f t="shared" si="44"/>
        <v>17706.75</v>
      </c>
      <c r="H42" s="214">
        <f t="shared" si="44"/>
        <v>41315.75</v>
      </c>
      <c r="I42" s="214">
        <f t="shared" si="44"/>
        <v>0</v>
      </c>
      <c r="J42" s="214">
        <f t="shared" si="44"/>
        <v>0</v>
      </c>
      <c r="K42" s="214">
        <f t="shared" si="44"/>
        <v>0</v>
      </c>
      <c r="L42" s="194">
        <f>F42-SUM(G42:K42)</f>
        <v>0</v>
      </c>
      <c r="N42" s="195">
        <v>0.3</v>
      </c>
      <c r="O42" s="195">
        <v>0.7</v>
      </c>
      <c r="P42" s="195"/>
      <c r="Q42" s="195"/>
      <c r="R42" s="195"/>
      <c r="T42" s="194">
        <f t="shared" si="45"/>
        <v>5207.8680000000004</v>
      </c>
      <c r="U42" s="194">
        <f t="shared" si="46"/>
        <v>12151.692000000001</v>
      </c>
      <c r="V42" s="194">
        <f t="shared" si="47"/>
        <v>0</v>
      </c>
      <c r="W42" s="194">
        <f t="shared" si="48"/>
        <v>0</v>
      </c>
      <c r="X42" s="194">
        <f t="shared" si="49"/>
        <v>0</v>
      </c>
    </row>
    <row r="43" spans="1:24" x14ac:dyDescent="0.25">
      <c r="A43" s="190" t="s">
        <v>105</v>
      </c>
      <c r="B43" s="182" t="s">
        <v>169</v>
      </c>
      <c r="C43" s="185"/>
      <c r="D43" s="201"/>
      <c r="E43" s="51"/>
      <c r="F43" s="180"/>
      <c r="G43" s="213"/>
      <c r="H43" s="213"/>
      <c r="I43" s="213"/>
      <c r="J43" s="213"/>
      <c r="K43" s="213"/>
      <c r="L43" s="194"/>
      <c r="N43" s="195"/>
      <c r="O43" s="195"/>
      <c r="P43" s="195"/>
      <c r="Q43" s="195"/>
      <c r="R43" s="195"/>
    </row>
    <row r="44" spans="1:24" x14ac:dyDescent="0.25">
      <c r="A44" s="191" t="s">
        <v>106</v>
      </c>
      <c r="B44" s="184" t="s">
        <v>170</v>
      </c>
      <c r="C44" s="185" t="s">
        <v>62</v>
      </c>
      <c r="D44" s="152">
        <v>6.62</v>
      </c>
      <c r="E44" s="131">
        <v>290.45</v>
      </c>
      <c r="F44" s="126">
        <v>1922.78</v>
      </c>
      <c r="G44" s="214">
        <f t="shared" ref="G44:K49" si="50">$F44*N44</f>
        <v>0</v>
      </c>
      <c r="H44" s="214">
        <f t="shared" si="50"/>
        <v>576.83399999999995</v>
      </c>
      <c r="I44" s="214">
        <f t="shared" si="50"/>
        <v>576.83399999999995</v>
      </c>
      <c r="J44" s="214">
        <f t="shared" si="50"/>
        <v>769.11200000000008</v>
      </c>
      <c r="K44" s="214">
        <f t="shared" si="50"/>
        <v>0</v>
      </c>
      <c r="L44" s="194">
        <f t="shared" ref="L44:L49" si="51">F44-SUM(G44:K44)</f>
        <v>0</v>
      </c>
      <c r="N44" s="195"/>
      <c r="O44" s="195">
        <v>0.3</v>
      </c>
      <c r="P44" s="195">
        <v>0.3</v>
      </c>
      <c r="Q44" s="195">
        <v>0.4</v>
      </c>
      <c r="R44" s="195"/>
      <c r="T44" s="194">
        <f t="shared" ref="T44:T49" si="52">N44*$D44</f>
        <v>0</v>
      </c>
      <c r="U44" s="194">
        <f t="shared" ref="U44:U49" si="53">O44*$D44</f>
        <v>1.986</v>
      </c>
      <c r="V44" s="194">
        <f t="shared" ref="V44:V49" si="54">P44*$D44</f>
        <v>1.986</v>
      </c>
      <c r="W44" s="194">
        <f t="shared" ref="W44:W49" si="55">Q44*$D44</f>
        <v>2.6480000000000001</v>
      </c>
      <c r="X44" s="194">
        <f t="shared" ref="X44:X49" si="56">R44*$D44</f>
        <v>0</v>
      </c>
    </row>
    <row r="45" spans="1:24" x14ac:dyDescent="0.25">
      <c r="A45" s="191" t="s">
        <v>107</v>
      </c>
      <c r="B45" s="184" t="s">
        <v>171</v>
      </c>
      <c r="C45" s="185" t="s">
        <v>197</v>
      </c>
      <c r="D45" s="152">
        <v>73.44</v>
      </c>
      <c r="E45" s="131">
        <v>33.69</v>
      </c>
      <c r="F45" s="126">
        <v>2474.19</v>
      </c>
      <c r="G45" s="214">
        <f t="shared" si="50"/>
        <v>0</v>
      </c>
      <c r="H45" s="214">
        <f t="shared" si="50"/>
        <v>742.25699999999995</v>
      </c>
      <c r="I45" s="214">
        <f t="shared" si="50"/>
        <v>742.25699999999995</v>
      </c>
      <c r="J45" s="214">
        <f t="shared" si="50"/>
        <v>989.67600000000004</v>
      </c>
      <c r="K45" s="214">
        <f t="shared" si="50"/>
        <v>0</v>
      </c>
      <c r="L45" s="194">
        <f t="shared" si="51"/>
        <v>0</v>
      </c>
      <c r="N45" s="195"/>
      <c r="O45" s="195">
        <v>0.3</v>
      </c>
      <c r="P45" s="195">
        <v>0.3</v>
      </c>
      <c r="Q45" s="195">
        <v>0.4</v>
      </c>
      <c r="R45" s="195"/>
      <c r="T45" s="194">
        <f t="shared" si="52"/>
        <v>0</v>
      </c>
      <c r="U45" s="194">
        <f t="shared" si="53"/>
        <v>22.032</v>
      </c>
      <c r="V45" s="194">
        <f t="shared" si="54"/>
        <v>22.032</v>
      </c>
      <c r="W45" s="194">
        <f t="shared" si="55"/>
        <v>29.376000000000001</v>
      </c>
      <c r="X45" s="194">
        <f t="shared" si="56"/>
        <v>0</v>
      </c>
    </row>
    <row r="46" spans="1:24" x14ac:dyDescent="0.25">
      <c r="A46" s="191" t="s">
        <v>108</v>
      </c>
      <c r="B46" s="184" t="s">
        <v>172</v>
      </c>
      <c r="C46" s="185" t="s">
        <v>198</v>
      </c>
      <c r="D46" s="152">
        <v>415.16</v>
      </c>
      <c r="E46" s="131">
        <v>3.4</v>
      </c>
      <c r="F46" s="126">
        <v>1411.54</v>
      </c>
      <c r="G46" s="214">
        <f t="shared" si="50"/>
        <v>0</v>
      </c>
      <c r="H46" s="214">
        <f t="shared" si="50"/>
        <v>423.46199999999999</v>
      </c>
      <c r="I46" s="214">
        <f t="shared" si="50"/>
        <v>423.46199999999999</v>
      </c>
      <c r="J46" s="214">
        <f t="shared" si="50"/>
        <v>564.61599999999999</v>
      </c>
      <c r="K46" s="214">
        <f t="shared" si="50"/>
        <v>0</v>
      </c>
      <c r="L46" s="194">
        <f t="shared" si="51"/>
        <v>0</v>
      </c>
      <c r="N46" s="195"/>
      <c r="O46" s="195">
        <v>0.3</v>
      </c>
      <c r="P46" s="195">
        <v>0.3</v>
      </c>
      <c r="Q46" s="195">
        <v>0.4</v>
      </c>
      <c r="R46" s="195"/>
      <c r="T46" s="194">
        <f t="shared" si="52"/>
        <v>0</v>
      </c>
      <c r="U46" s="194">
        <f t="shared" si="53"/>
        <v>124.548</v>
      </c>
      <c r="V46" s="194">
        <f t="shared" si="54"/>
        <v>124.548</v>
      </c>
      <c r="W46" s="194">
        <f t="shared" si="55"/>
        <v>166.06400000000002</v>
      </c>
      <c r="X46" s="194">
        <f t="shared" si="56"/>
        <v>0</v>
      </c>
    </row>
    <row r="47" spans="1:24" x14ac:dyDescent="0.25">
      <c r="A47" s="191" t="s">
        <v>109</v>
      </c>
      <c r="B47" s="184" t="s">
        <v>173</v>
      </c>
      <c r="C47" s="185" t="s">
        <v>62</v>
      </c>
      <c r="D47" s="152">
        <v>253.95</v>
      </c>
      <c r="E47" s="131">
        <v>328.19</v>
      </c>
      <c r="F47" s="126">
        <v>83343.850000000006</v>
      </c>
      <c r="G47" s="214">
        <f t="shared" si="50"/>
        <v>0</v>
      </c>
      <c r="H47" s="214">
        <f t="shared" si="50"/>
        <v>25003.155000000002</v>
      </c>
      <c r="I47" s="214">
        <f t="shared" si="50"/>
        <v>25003.155000000002</v>
      </c>
      <c r="J47" s="214">
        <f t="shared" si="50"/>
        <v>33337.54</v>
      </c>
      <c r="K47" s="214">
        <f t="shared" si="50"/>
        <v>0</v>
      </c>
      <c r="L47" s="194">
        <f t="shared" si="51"/>
        <v>0</v>
      </c>
      <c r="N47" s="195"/>
      <c r="O47" s="195">
        <v>0.3</v>
      </c>
      <c r="P47" s="195">
        <v>0.3</v>
      </c>
      <c r="Q47" s="195">
        <v>0.4</v>
      </c>
      <c r="R47" s="195"/>
      <c r="T47" s="194">
        <f t="shared" si="52"/>
        <v>0</v>
      </c>
      <c r="U47" s="194">
        <f t="shared" si="53"/>
        <v>76.184999999999988</v>
      </c>
      <c r="V47" s="194">
        <f t="shared" si="54"/>
        <v>76.184999999999988</v>
      </c>
      <c r="W47" s="194">
        <f t="shared" si="55"/>
        <v>101.58</v>
      </c>
      <c r="X47" s="194">
        <f t="shared" si="56"/>
        <v>0</v>
      </c>
    </row>
    <row r="48" spans="1:24" x14ac:dyDescent="0.25">
      <c r="A48" s="191" t="s">
        <v>110</v>
      </c>
      <c r="B48" s="184" t="s">
        <v>174</v>
      </c>
      <c r="C48" s="185" t="s">
        <v>197</v>
      </c>
      <c r="D48" s="152">
        <v>2075.23</v>
      </c>
      <c r="E48" s="131">
        <v>30.970000000000002</v>
      </c>
      <c r="F48" s="126">
        <v>64269.87</v>
      </c>
      <c r="G48" s="214">
        <f t="shared" si="50"/>
        <v>0</v>
      </c>
      <c r="H48" s="214">
        <f t="shared" si="50"/>
        <v>19280.960999999999</v>
      </c>
      <c r="I48" s="214">
        <f t="shared" si="50"/>
        <v>19280.960999999999</v>
      </c>
      <c r="J48" s="214">
        <f t="shared" si="50"/>
        <v>25707.948000000004</v>
      </c>
      <c r="K48" s="214">
        <f t="shared" si="50"/>
        <v>0</v>
      </c>
      <c r="L48" s="194">
        <f t="shared" si="51"/>
        <v>0</v>
      </c>
      <c r="N48" s="195"/>
      <c r="O48" s="195">
        <v>0.3</v>
      </c>
      <c r="P48" s="195">
        <v>0.3</v>
      </c>
      <c r="Q48" s="195">
        <v>0.4</v>
      </c>
      <c r="R48" s="195"/>
      <c r="T48" s="194">
        <f t="shared" si="52"/>
        <v>0</v>
      </c>
      <c r="U48" s="194">
        <f t="shared" si="53"/>
        <v>622.56899999999996</v>
      </c>
      <c r="V48" s="194">
        <f t="shared" si="54"/>
        <v>622.56899999999996</v>
      </c>
      <c r="W48" s="194">
        <f t="shared" si="55"/>
        <v>830.0920000000001</v>
      </c>
      <c r="X48" s="194">
        <f t="shared" si="56"/>
        <v>0</v>
      </c>
    </row>
    <row r="49" spans="1:24" x14ac:dyDescent="0.25">
      <c r="A49" s="191" t="s">
        <v>111</v>
      </c>
      <c r="B49" s="184" t="s">
        <v>175</v>
      </c>
      <c r="C49" s="185" t="s">
        <v>199</v>
      </c>
      <c r="D49" s="152"/>
      <c r="E49" s="131"/>
      <c r="F49" s="126"/>
      <c r="G49" s="214">
        <f t="shared" si="50"/>
        <v>0</v>
      </c>
      <c r="H49" s="214">
        <f t="shared" si="50"/>
        <v>0</v>
      </c>
      <c r="I49" s="214">
        <f t="shared" si="50"/>
        <v>0</v>
      </c>
      <c r="J49" s="214">
        <f t="shared" si="50"/>
        <v>0</v>
      </c>
      <c r="K49" s="214">
        <f t="shared" si="50"/>
        <v>0</v>
      </c>
      <c r="L49" s="194">
        <f t="shared" si="51"/>
        <v>0</v>
      </c>
      <c r="N49" s="195"/>
      <c r="O49" s="195">
        <v>0.3</v>
      </c>
      <c r="P49" s="195">
        <v>0.3</v>
      </c>
      <c r="Q49" s="195">
        <v>0.4</v>
      </c>
      <c r="R49" s="195"/>
      <c r="T49" s="194">
        <f t="shared" si="52"/>
        <v>0</v>
      </c>
      <c r="U49" s="194">
        <f t="shared" si="53"/>
        <v>0</v>
      </c>
      <c r="V49" s="194">
        <f t="shared" si="54"/>
        <v>0</v>
      </c>
      <c r="W49" s="194">
        <f t="shared" si="55"/>
        <v>0</v>
      </c>
      <c r="X49" s="194">
        <f t="shared" si="56"/>
        <v>0</v>
      </c>
    </row>
    <row r="50" spans="1:24" x14ac:dyDescent="0.25">
      <c r="A50" s="190" t="s">
        <v>112</v>
      </c>
      <c r="B50" s="182" t="s">
        <v>176</v>
      </c>
      <c r="C50" s="185"/>
      <c r="D50" s="201"/>
      <c r="E50" s="51"/>
      <c r="F50" s="180"/>
      <c r="G50" s="213"/>
      <c r="H50" s="213"/>
      <c r="I50" s="213"/>
      <c r="J50" s="213"/>
      <c r="K50" s="213"/>
      <c r="L50" s="194"/>
      <c r="N50" s="195"/>
      <c r="O50" s="195"/>
      <c r="P50" s="195"/>
      <c r="Q50" s="195"/>
      <c r="R50" s="195"/>
    </row>
    <row r="51" spans="1:24" x14ac:dyDescent="0.25">
      <c r="A51" s="192" t="s">
        <v>113</v>
      </c>
      <c r="B51" s="186" t="s">
        <v>177</v>
      </c>
      <c r="C51" s="185" t="s">
        <v>62</v>
      </c>
      <c r="D51" s="152">
        <v>67.959999999999994</v>
      </c>
      <c r="E51" s="131">
        <v>291.23</v>
      </c>
      <c r="F51" s="126">
        <v>19791.990000000002</v>
      </c>
      <c r="G51" s="214">
        <f t="shared" ref="G51:K53" si="57">$F51*N51</f>
        <v>0</v>
      </c>
      <c r="H51" s="214">
        <f t="shared" si="57"/>
        <v>0</v>
      </c>
      <c r="I51" s="214">
        <f t="shared" si="57"/>
        <v>5937.5970000000007</v>
      </c>
      <c r="J51" s="214">
        <f t="shared" si="57"/>
        <v>5937.5970000000007</v>
      </c>
      <c r="K51" s="214">
        <f t="shared" si="57"/>
        <v>7916.7960000000012</v>
      </c>
      <c r="L51" s="194">
        <f>F51-SUM(G51:K51)</f>
        <v>0</v>
      </c>
      <c r="N51" s="195"/>
      <c r="O51" s="195"/>
      <c r="P51" s="195">
        <v>0.3</v>
      </c>
      <c r="Q51" s="195">
        <v>0.3</v>
      </c>
      <c r="R51" s="195">
        <v>0.4</v>
      </c>
      <c r="T51" s="194">
        <f t="shared" ref="T51:T53" si="58">N51*$D51</f>
        <v>0</v>
      </c>
      <c r="U51" s="194">
        <f t="shared" ref="U51:U53" si="59">O51*$D51</f>
        <v>0</v>
      </c>
      <c r="V51" s="194">
        <f t="shared" ref="V51:V53" si="60">P51*$D51</f>
        <v>20.387999999999998</v>
      </c>
      <c r="W51" s="194">
        <f t="shared" ref="W51:W53" si="61">Q51*$D51</f>
        <v>20.387999999999998</v>
      </c>
      <c r="X51" s="194">
        <f t="shared" ref="X51:X53" si="62">R51*$D51</f>
        <v>27.183999999999997</v>
      </c>
    </row>
    <row r="52" spans="1:24" x14ac:dyDescent="0.25">
      <c r="A52" s="193" t="s">
        <v>114</v>
      </c>
      <c r="B52" s="187" t="s">
        <v>178</v>
      </c>
      <c r="C52" s="185" t="s">
        <v>197</v>
      </c>
      <c r="D52" s="152">
        <v>919.41</v>
      </c>
      <c r="E52" s="131">
        <v>37.49</v>
      </c>
      <c r="F52" s="126">
        <v>34468.68</v>
      </c>
      <c r="G52" s="214">
        <f t="shared" si="57"/>
        <v>0</v>
      </c>
      <c r="H52" s="214">
        <f t="shared" si="57"/>
        <v>0</v>
      </c>
      <c r="I52" s="214">
        <f t="shared" si="57"/>
        <v>10340.603999999999</v>
      </c>
      <c r="J52" s="214">
        <f t="shared" si="57"/>
        <v>10340.603999999999</v>
      </c>
      <c r="K52" s="214">
        <f t="shared" si="57"/>
        <v>13787.472000000002</v>
      </c>
      <c r="L52" s="194">
        <f>F52-SUM(G52:K52)</f>
        <v>0</v>
      </c>
      <c r="N52" s="195"/>
      <c r="O52" s="195"/>
      <c r="P52" s="195">
        <v>0.3</v>
      </c>
      <c r="Q52" s="195">
        <v>0.3</v>
      </c>
      <c r="R52" s="195">
        <v>0.4</v>
      </c>
      <c r="T52" s="194">
        <f t="shared" si="58"/>
        <v>0</v>
      </c>
      <c r="U52" s="194">
        <f t="shared" si="59"/>
        <v>0</v>
      </c>
      <c r="V52" s="194">
        <f t="shared" si="60"/>
        <v>275.82299999999998</v>
      </c>
      <c r="W52" s="194">
        <f t="shared" si="61"/>
        <v>275.82299999999998</v>
      </c>
      <c r="X52" s="194">
        <f t="shared" si="62"/>
        <v>367.76400000000001</v>
      </c>
    </row>
    <row r="53" spans="1:24" x14ac:dyDescent="0.25">
      <c r="A53" s="191" t="s">
        <v>115</v>
      </c>
      <c r="B53" s="184" t="s">
        <v>179</v>
      </c>
      <c r="C53" s="185" t="s">
        <v>198</v>
      </c>
      <c r="D53" s="152">
        <v>11836.1</v>
      </c>
      <c r="E53" s="131">
        <v>3.4</v>
      </c>
      <c r="F53" s="126">
        <v>40242.74</v>
      </c>
      <c r="G53" s="214">
        <f t="shared" si="57"/>
        <v>0</v>
      </c>
      <c r="H53" s="214">
        <f t="shared" si="57"/>
        <v>0</v>
      </c>
      <c r="I53" s="214">
        <f t="shared" si="57"/>
        <v>12072.821999999998</v>
      </c>
      <c r="J53" s="214">
        <f t="shared" si="57"/>
        <v>12072.821999999998</v>
      </c>
      <c r="K53" s="214">
        <f t="shared" si="57"/>
        <v>16097.096</v>
      </c>
      <c r="L53" s="194">
        <f>F53-SUM(G53:K53)</f>
        <v>0</v>
      </c>
      <c r="N53" s="195"/>
      <c r="O53" s="195"/>
      <c r="P53" s="195">
        <v>0.3</v>
      </c>
      <c r="Q53" s="195">
        <v>0.3</v>
      </c>
      <c r="R53" s="195">
        <v>0.4</v>
      </c>
      <c r="T53" s="194">
        <f t="shared" si="58"/>
        <v>0</v>
      </c>
      <c r="U53" s="194">
        <f t="shared" si="59"/>
        <v>0</v>
      </c>
      <c r="V53" s="194">
        <f t="shared" si="60"/>
        <v>3550.83</v>
      </c>
      <c r="W53" s="194">
        <f t="shared" si="61"/>
        <v>3550.83</v>
      </c>
      <c r="X53" s="194">
        <f t="shared" si="62"/>
        <v>4734.4400000000005</v>
      </c>
    </row>
    <row r="54" spans="1:24" x14ac:dyDescent="0.25">
      <c r="A54" s="190" t="s">
        <v>116</v>
      </c>
      <c r="B54" s="182" t="s">
        <v>180</v>
      </c>
      <c r="C54" s="185"/>
      <c r="D54" s="201"/>
      <c r="E54" s="51"/>
      <c r="F54" s="180"/>
      <c r="G54" s="213"/>
      <c r="H54" s="213"/>
      <c r="I54" s="213"/>
      <c r="J54" s="213"/>
      <c r="K54" s="213"/>
      <c r="L54" s="194"/>
      <c r="N54" s="195"/>
      <c r="O54" s="195"/>
      <c r="P54" s="195"/>
      <c r="Q54" s="195"/>
      <c r="R54" s="195"/>
    </row>
    <row r="55" spans="1:24" x14ac:dyDescent="0.25">
      <c r="A55" s="191" t="s">
        <v>117</v>
      </c>
      <c r="B55" s="184" t="s">
        <v>181</v>
      </c>
      <c r="C55" s="185" t="s">
        <v>62</v>
      </c>
      <c r="D55" s="152">
        <v>36.840000000000003</v>
      </c>
      <c r="E55" s="131">
        <v>294.5</v>
      </c>
      <c r="F55" s="126">
        <v>10849.38</v>
      </c>
      <c r="G55" s="214">
        <f t="shared" ref="G55:K57" si="63">$F55*N55</f>
        <v>0</v>
      </c>
      <c r="H55" s="214">
        <f t="shared" si="63"/>
        <v>0</v>
      </c>
      <c r="I55" s="214">
        <f t="shared" si="63"/>
        <v>3254.8139999999999</v>
      </c>
      <c r="J55" s="214">
        <f t="shared" si="63"/>
        <v>3254.8139999999999</v>
      </c>
      <c r="K55" s="214">
        <f t="shared" si="63"/>
        <v>4339.7519999999995</v>
      </c>
      <c r="L55" s="194">
        <f>F55-SUM(G55:K55)</f>
        <v>0</v>
      </c>
      <c r="N55" s="195"/>
      <c r="O55" s="195"/>
      <c r="P55" s="195">
        <v>0.3</v>
      </c>
      <c r="Q55" s="195">
        <v>0.3</v>
      </c>
      <c r="R55" s="195">
        <v>0.4</v>
      </c>
      <c r="T55" s="194">
        <f t="shared" ref="T55:T57" si="64">N55*$D55</f>
        <v>0</v>
      </c>
      <c r="U55" s="194">
        <f t="shared" ref="U55:U57" si="65">O55*$D55</f>
        <v>0</v>
      </c>
      <c r="V55" s="194">
        <f t="shared" ref="V55:V57" si="66">P55*$D55</f>
        <v>11.052000000000001</v>
      </c>
      <c r="W55" s="194">
        <f t="shared" ref="W55:W57" si="67">Q55*$D55</f>
        <v>11.052000000000001</v>
      </c>
      <c r="X55" s="194">
        <f t="shared" ref="X55:X57" si="68">R55*$D55</f>
        <v>14.736000000000002</v>
      </c>
    </row>
    <row r="56" spans="1:24" x14ac:dyDescent="0.25">
      <c r="A56" s="191" t="s">
        <v>118</v>
      </c>
      <c r="B56" s="184" t="s">
        <v>182</v>
      </c>
      <c r="C56" s="185" t="s">
        <v>197</v>
      </c>
      <c r="D56" s="152">
        <v>556.13</v>
      </c>
      <c r="E56" s="131">
        <v>43.56</v>
      </c>
      <c r="F56" s="126">
        <v>24225.02</v>
      </c>
      <c r="G56" s="214">
        <f t="shared" si="63"/>
        <v>0</v>
      </c>
      <c r="H56" s="214">
        <f t="shared" si="63"/>
        <v>0</v>
      </c>
      <c r="I56" s="214">
        <f t="shared" si="63"/>
        <v>7267.5060000000003</v>
      </c>
      <c r="J56" s="214">
        <f t="shared" si="63"/>
        <v>7267.5060000000003</v>
      </c>
      <c r="K56" s="214">
        <f t="shared" si="63"/>
        <v>9690.0079999999998</v>
      </c>
      <c r="L56" s="194">
        <f>F56-SUM(G56:K56)</f>
        <v>0</v>
      </c>
      <c r="N56" s="195"/>
      <c r="O56" s="195"/>
      <c r="P56" s="195">
        <v>0.3</v>
      </c>
      <c r="Q56" s="195">
        <v>0.3</v>
      </c>
      <c r="R56" s="195">
        <v>0.4</v>
      </c>
      <c r="T56" s="194">
        <f t="shared" si="64"/>
        <v>0</v>
      </c>
      <c r="U56" s="194">
        <f t="shared" si="65"/>
        <v>0</v>
      </c>
      <c r="V56" s="194">
        <f t="shared" si="66"/>
        <v>166.839</v>
      </c>
      <c r="W56" s="194">
        <f t="shared" si="67"/>
        <v>166.839</v>
      </c>
      <c r="X56" s="194">
        <f t="shared" si="68"/>
        <v>222.452</v>
      </c>
    </row>
    <row r="57" spans="1:24" x14ac:dyDescent="0.25">
      <c r="A57" s="191" t="s">
        <v>119</v>
      </c>
      <c r="B57" s="184" t="s">
        <v>183</v>
      </c>
      <c r="C57" s="185" t="s">
        <v>198</v>
      </c>
      <c r="D57" s="152">
        <v>5247.49</v>
      </c>
      <c r="E57" s="131">
        <v>3.4</v>
      </c>
      <c r="F57" s="126">
        <v>17841.47</v>
      </c>
      <c r="G57" s="214">
        <f t="shared" si="63"/>
        <v>0</v>
      </c>
      <c r="H57" s="214">
        <f t="shared" si="63"/>
        <v>0</v>
      </c>
      <c r="I57" s="214">
        <f t="shared" si="63"/>
        <v>5352.4409999999998</v>
      </c>
      <c r="J57" s="214">
        <f t="shared" si="63"/>
        <v>5352.4409999999998</v>
      </c>
      <c r="K57" s="214">
        <f t="shared" si="63"/>
        <v>7136.5880000000006</v>
      </c>
      <c r="L57" s="194">
        <f>F57-SUM(G57:K57)</f>
        <v>0</v>
      </c>
      <c r="N57" s="195"/>
      <c r="O57" s="195"/>
      <c r="P57" s="195">
        <v>0.3</v>
      </c>
      <c r="Q57" s="195">
        <v>0.3</v>
      </c>
      <c r="R57" s="195">
        <v>0.4</v>
      </c>
      <c r="T57" s="194">
        <f t="shared" si="64"/>
        <v>0</v>
      </c>
      <c r="U57" s="194">
        <f t="shared" si="65"/>
        <v>0</v>
      </c>
      <c r="V57" s="194">
        <f t="shared" si="66"/>
        <v>1574.2469999999998</v>
      </c>
      <c r="W57" s="194">
        <f t="shared" si="67"/>
        <v>1574.2469999999998</v>
      </c>
      <c r="X57" s="194">
        <f t="shared" si="68"/>
        <v>2098.9960000000001</v>
      </c>
    </row>
    <row r="58" spans="1:24" x14ac:dyDescent="0.25">
      <c r="A58" s="190" t="s">
        <v>120</v>
      </c>
      <c r="B58" s="182" t="s">
        <v>184</v>
      </c>
      <c r="C58" s="185"/>
      <c r="D58" s="201"/>
      <c r="E58" s="51"/>
      <c r="F58" s="20"/>
      <c r="G58" s="213"/>
      <c r="H58" s="213"/>
      <c r="I58" s="213"/>
      <c r="J58" s="213"/>
      <c r="K58" s="213"/>
      <c r="L58" s="194"/>
      <c r="N58" s="195"/>
      <c r="O58" s="195"/>
      <c r="P58" s="195"/>
      <c r="Q58" s="195"/>
      <c r="R58" s="195"/>
    </row>
    <row r="59" spans="1:24" x14ac:dyDescent="0.25">
      <c r="A59" s="191" t="s">
        <v>121</v>
      </c>
      <c r="B59" s="184" t="s">
        <v>185</v>
      </c>
      <c r="C59" s="185" t="s">
        <v>20</v>
      </c>
      <c r="D59" s="152">
        <v>0.63</v>
      </c>
      <c r="E59" s="131">
        <v>325.93</v>
      </c>
      <c r="F59" s="126">
        <v>205.34</v>
      </c>
      <c r="G59" s="214">
        <f t="shared" ref="G59:K61" si="69">$F59*N59</f>
        <v>0</v>
      </c>
      <c r="H59" s="214">
        <f t="shared" si="69"/>
        <v>0</v>
      </c>
      <c r="I59" s="214">
        <f t="shared" si="69"/>
        <v>61.601999999999997</v>
      </c>
      <c r="J59" s="214">
        <f t="shared" si="69"/>
        <v>61.601999999999997</v>
      </c>
      <c r="K59" s="214">
        <f t="shared" si="69"/>
        <v>82.13600000000001</v>
      </c>
      <c r="L59" s="194">
        <f>F59-SUM(G59:K59)</f>
        <v>0</v>
      </c>
      <c r="N59" s="195"/>
      <c r="O59" s="195"/>
      <c r="P59" s="195">
        <v>0.3</v>
      </c>
      <c r="Q59" s="195">
        <v>0.3</v>
      </c>
      <c r="R59" s="195">
        <v>0.4</v>
      </c>
      <c r="T59" s="194">
        <f t="shared" ref="T59:T61" si="70">N59*$D59</f>
        <v>0</v>
      </c>
      <c r="U59" s="194">
        <f t="shared" ref="U59:U61" si="71">O59*$D59</f>
        <v>0</v>
      </c>
      <c r="V59" s="194">
        <f t="shared" ref="V59:V61" si="72">P59*$D59</f>
        <v>0.189</v>
      </c>
      <c r="W59" s="194">
        <f t="shared" ref="W59:W61" si="73">Q59*$D59</f>
        <v>0.189</v>
      </c>
      <c r="X59" s="194">
        <f t="shared" ref="X59:X61" si="74">R59*$D59</f>
        <v>0.252</v>
      </c>
    </row>
    <row r="60" spans="1:24" x14ac:dyDescent="0.25">
      <c r="A60" s="191" t="s">
        <v>122</v>
      </c>
      <c r="B60" s="184" t="s">
        <v>186</v>
      </c>
      <c r="C60" s="185" t="s">
        <v>197</v>
      </c>
      <c r="D60" s="152">
        <v>6.54</v>
      </c>
      <c r="E60" s="131">
        <v>55.43</v>
      </c>
      <c r="F60" s="126">
        <v>362.51</v>
      </c>
      <c r="G60" s="214">
        <f t="shared" si="69"/>
        <v>0</v>
      </c>
      <c r="H60" s="214">
        <f t="shared" si="69"/>
        <v>0</v>
      </c>
      <c r="I60" s="214">
        <f t="shared" si="69"/>
        <v>108.753</v>
      </c>
      <c r="J60" s="214">
        <f t="shared" si="69"/>
        <v>108.753</v>
      </c>
      <c r="K60" s="214">
        <f t="shared" si="69"/>
        <v>145.00399999999999</v>
      </c>
      <c r="L60" s="194">
        <f>F60-SUM(G60:K60)</f>
        <v>0</v>
      </c>
      <c r="N60" s="195"/>
      <c r="O60" s="195"/>
      <c r="P60" s="195">
        <v>0.3</v>
      </c>
      <c r="Q60" s="195">
        <v>0.3</v>
      </c>
      <c r="R60" s="195">
        <v>0.4</v>
      </c>
      <c r="T60" s="194">
        <f t="shared" si="70"/>
        <v>0</v>
      </c>
      <c r="U60" s="194">
        <f t="shared" si="71"/>
        <v>0</v>
      </c>
      <c r="V60" s="194">
        <f t="shared" si="72"/>
        <v>1.962</v>
      </c>
      <c r="W60" s="194">
        <f t="shared" si="73"/>
        <v>1.962</v>
      </c>
      <c r="X60" s="194">
        <f t="shared" si="74"/>
        <v>2.6160000000000001</v>
      </c>
    </row>
    <row r="61" spans="1:24" x14ac:dyDescent="0.25">
      <c r="A61" s="191" t="s">
        <v>123</v>
      </c>
      <c r="B61" s="184" t="s">
        <v>187</v>
      </c>
      <c r="C61" s="185" t="s">
        <v>198</v>
      </c>
      <c r="D61" s="152">
        <v>73.150000000000006</v>
      </c>
      <c r="E61" s="131">
        <v>4.0200000000000005</v>
      </c>
      <c r="F61" s="126">
        <v>294.06</v>
      </c>
      <c r="G61" s="214">
        <f t="shared" si="69"/>
        <v>0</v>
      </c>
      <c r="H61" s="214">
        <f t="shared" si="69"/>
        <v>0</v>
      </c>
      <c r="I61" s="214">
        <f t="shared" si="69"/>
        <v>88.218000000000004</v>
      </c>
      <c r="J61" s="214">
        <f t="shared" si="69"/>
        <v>88.218000000000004</v>
      </c>
      <c r="K61" s="214">
        <f t="shared" si="69"/>
        <v>117.62400000000001</v>
      </c>
      <c r="L61" s="194">
        <f>F61-SUM(G61:K61)</f>
        <v>0</v>
      </c>
      <c r="N61" s="195"/>
      <c r="O61" s="195"/>
      <c r="P61" s="195">
        <v>0.3</v>
      </c>
      <c r="Q61" s="195">
        <v>0.3</v>
      </c>
      <c r="R61" s="195">
        <v>0.4</v>
      </c>
      <c r="T61" s="194">
        <f t="shared" si="70"/>
        <v>0</v>
      </c>
      <c r="U61" s="194">
        <f t="shared" si="71"/>
        <v>0</v>
      </c>
      <c r="V61" s="194">
        <f t="shared" si="72"/>
        <v>21.945</v>
      </c>
      <c r="W61" s="194">
        <f t="shared" si="73"/>
        <v>21.945</v>
      </c>
      <c r="X61" s="194">
        <f t="shared" si="74"/>
        <v>29.260000000000005</v>
      </c>
    </row>
    <row r="62" spans="1:24" x14ac:dyDescent="0.25">
      <c r="A62" s="190" t="s">
        <v>124</v>
      </c>
      <c r="B62" s="182" t="s">
        <v>188</v>
      </c>
      <c r="C62" s="185"/>
      <c r="D62" s="201"/>
      <c r="E62" s="51"/>
      <c r="F62" s="180"/>
      <c r="G62" s="213"/>
      <c r="H62" s="213"/>
      <c r="I62" s="213"/>
      <c r="J62" s="213"/>
      <c r="K62" s="213"/>
      <c r="L62" s="194"/>
      <c r="N62" s="195"/>
      <c r="O62" s="195"/>
      <c r="P62" s="195"/>
      <c r="Q62" s="195"/>
      <c r="R62" s="195"/>
    </row>
    <row r="63" spans="1:24" x14ac:dyDescent="0.25">
      <c r="A63" s="191" t="s">
        <v>125</v>
      </c>
      <c r="B63" s="184" t="s">
        <v>189</v>
      </c>
      <c r="C63" s="185" t="s">
        <v>62</v>
      </c>
      <c r="D63" s="152">
        <v>2.17</v>
      </c>
      <c r="E63" s="131">
        <v>294.5</v>
      </c>
      <c r="F63" s="126">
        <v>639.07000000000005</v>
      </c>
      <c r="G63" s="214">
        <f t="shared" ref="G63:K66" si="75">$F63*N63</f>
        <v>0</v>
      </c>
      <c r="H63" s="214">
        <f t="shared" si="75"/>
        <v>0</v>
      </c>
      <c r="I63" s="214">
        <f t="shared" si="75"/>
        <v>191.721</v>
      </c>
      <c r="J63" s="214">
        <f t="shared" si="75"/>
        <v>191.721</v>
      </c>
      <c r="K63" s="214">
        <f t="shared" si="75"/>
        <v>255.62800000000004</v>
      </c>
      <c r="L63" s="194">
        <f>F63-SUM(G63:K63)</f>
        <v>0</v>
      </c>
      <c r="N63" s="195"/>
      <c r="O63" s="195"/>
      <c r="P63" s="195">
        <v>0.3</v>
      </c>
      <c r="Q63" s="195">
        <v>0.3</v>
      </c>
      <c r="R63" s="195">
        <v>0.4</v>
      </c>
      <c r="T63" s="194">
        <f t="shared" ref="T63:T66" si="76">N63*$D63</f>
        <v>0</v>
      </c>
      <c r="U63" s="194">
        <f t="shared" ref="U63:U66" si="77">O63*$D63</f>
        <v>0</v>
      </c>
      <c r="V63" s="194">
        <f t="shared" ref="V63:V66" si="78">P63*$D63</f>
        <v>0.65099999999999991</v>
      </c>
      <c r="W63" s="194">
        <f t="shared" ref="W63:W66" si="79">Q63*$D63</f>
        <v>0.65099999999999991</v>
      </c>
      <c r="X63" s="194">
        <f t="shared" ref="X63:X66" si="80">R63*$D63</f>
        <v>0.86799999999999999</v>
      </c>
    </row>
    <row r="64" spans="1:24" x14ac:dyDescent="0.25">
      <c r="A64" s="191" t="s">
        <v>126</v>
      </c>
      <c r="B64" s="184" t="s">
        <v>190</v>
      </c>
      <c r="C64" s="185" t="s">
        <v>197</v>
      </c>
      <c r="D64" s="152">
        <v>25.21</v>
      </c>
      <c r="E64" s="131">
        <v>25.75</v>
      </c>
      <c r="F64" s="126">
        <v>649.16</v>
      </c>
      <c r="G64" s="214">
        <f t="shared" si="75"/>
        <v>0</v>
      </c>
      <c r="H64" s="214">
        <f t="shared" si="75"/>
        <v>0</v>
      </c>
      <c r="I64" s="214">
        <f t="shared" si="75"/>
        <v>194.74799999999999</v>
      </c>
      <c r="J64" s="214">
        <f t="shared" si="75"/>
        <v>194.74799999999999</v>
      </c>
      <c r="K64" s="214">
        <f t="shared" si="75"/>
        <v>259.66399999999999</v>
      </c>
      <c r="L64" s="194">
        <f>F64-SUM(G64:K64)</f>
        <v>0</v>
      </c>
      <c r="N64" s="195"/>
      <c r="O64" s="195"/>
      <c r="P64" s="195">
        <v>0.3</v>
      </c>
      <c r="Q64" s="195">
        <v>0.3</v>
      </c>
      <c r="R64" s="195">
        <v>0.4</v>
      </c>
      <c r="T64" s="194">
        <f t="shared" si="76"/>
        <v>0</v>
      </c>
      <c r="U64" s="194">
        <f t="shared" si="77"/>
        <v>0</v>
      </c>
      <c r="V64" s="194">
        <f t="shared" si="78"/>
        <v>7.5629999999999997</v>
      </c>
      <c r="W64" s="194">
        <f t="shared" si="79"/>
        <v>7.5629999999999997</v>
      </c>
      <c r="X64" s="194">
        <f t="shared" si="80"/>
        <v>10.084000000000001</v>
      </c>
    </row>
    <row r="65" spans="1:24" x14ac:dyDescent="0.25">
      <c r="A65" s="191" t="s">
        <v>127</v>
      </c>
      <c r="B65" s="184" t="s">
        <v>191</v>
      </c>
      <c r="C65" s="185" t="s">
        <v>198</v>
      </c>
      <c r="D65" s="152">
        <v>95.81</v>
      </c>
      <c r="E65" s="131">
        <v>3.4</v>
      </c>
      <c r="F65" s="126">
        <v>325.75</v>
      </c>
      <c r="G65" s="214">
        <f t="shared" si="75"/>
        <v>0</v>
      </c>
      <c r="H65" s="214">
        <f t="shared" si="75"/>
        <v>0</v>
      </c>
      <c r="I65" s="214">
        <f t="shared" si="75"/>
        <v>97.724999999999994</v>
      </c>
      <c r="J65" s="214">
        <f t="shared" si="75"/>
        <v>97.724999999999994</v>
      </c>
      <c r="K65" s="214">
        <f t="shared" si="75"/>
        <v>130.30000000000001</v>
      </c>
      <c r="L65" s="194">
        <f>F65-SUM(G65:K65)</f>
        <v>0</v>
      </c>
      <c r="N65" s="195"/>
      <c r="O65" s="195"/>
      <c r="P65" s="195">
        <v>0.3</v>
      </c>
      <c r="Q65" s="195">
        <v>0.3</v>
      </c>
      <c r="R65" s="195">
        <v>0.4</v>
      </c>
      <c r="T65" s="194">
        <f t="shared" si="76"/>
        <v>0</v>
      </c>
      <c r="U65" s="194">
        <f t="shared" si="77"/>
        <v>0</v>
      </c>
      <c r="V65" s="194">
        <f t="shared" si="78"/>
        <v>28.742999999999999</v>
      </c>
      <c r="W65" s="194">
        <f t="shared" si="79"/>
        <v>28.742999999999999</v>
      </c>
      <c r="X65" s="194">
        <f t="shared" si="80"/>
        <v>38.324000000000005</v>
      </c>
    </row>
    <row r="66" spans="1:24" x14ac:dyDescent="0.25">
      <c r="A66" s="191" t="s">
        <v>128</v>
      </c>
      <c r="B66" s="184" t="s">
        <v>192</v>
      </c>
      <c r="C66" s="185" t="s">
        <v>200</v>
      </c>
      <c r="D66" s="152">
        <v>210.04</v>
      </c>
      <c r="E66" s="131">
        <v>2.39</v>
      </c>
      <c r="F66" s="126">
        <v>502</v>
      </c>
      <c r="G66" s="214">
        <f t="shared" si="75"/>
        <v>0</v>
      </c>
      <c r="H66" s="214">
        <f t="shared" si="75"/>
        <v>0</v>
      </c>
      <c r="I66" s="214">
        <f t="shared" si="75"/>
        <v>150.6</v>
      </c>
      <c r="J66" s="214">
        <f t="shared" si="75"/>
        <v>150.6</v>
      </c>
      <c r="K66" s="214">
        <f t="shared" si="75"/>
        <v>200.8</v>
      </c>
      <c r="L66" s="194">
        <f>F66-SUM(G66:K66)</f>
        <v>0</v>
      </c>
      <c r="N66" s="195"/>
      <c r="O66" s="195"/>
      <c r="P66" s="195">
        <v>0.3</v>
      </c>
      <c r="Q66" s="195">
        <v>0.3</v>
      </c>
      <c r="R66" s="195">
        <v>0.4</v>
      </c>
      <c r="T66" s="194">
        <f t="shared" si="76"/>
        <v>0</v>
      </c>
      <c r="U66" s="194">
        <f t="shared" si="77"/>
        <v>0</v>
      </c>
      <c r="V66" s="194">
        <f t="shared" si="78"/>
        <v>63.011999999999993</v>
      </c>
      <c r="W66" s="194">
        <f t="shared" si="79"/>
        <v>63.011999999999993</v>
      </c>
      <c r="X66" s="194">
        <f t="shared" si="80"/>
        <v>84.016000000000005</v>
      </c>
    </row>
    <row r="67" spans="1:24" x14ac:dyDescent="0.25">
      <c r="A67" s="190" t="s">
        <v>129</v>
      </c>
      <c r="B67" s="182" t="s">
        <v>193</v>
      </c>
      <c r="C67" s="185"/>
      <c r="D67" s="201"/>
      <c r="E67" s="51"/>
      <c r="F67" s="180"/>
      <c r="G67" s="213"/>
      <c r="H67" s="213"/>
      <c r="I67" s="213"/>
      <c r="J67" s="213"/>
      <c r="K67" s="213"/>
      <c r="L67" s="194"/>
      <c r="N67" s="195"/>
      <c r="O67" s="195"/>
      <c r="P67" s="195"/>
      <c r="Q67" s="195"/>
      <c r="R67" s="195"/>
    </row>
    <row r="68" spans="1:24" x14ac:dyDescent="0.25">
      <c r="A68" s="191" t="s">
        <v>130</v>
      </c>
      <c r="B68" s="184" t="s">
        <v>194</v>
      </c>
      <c r="C68" s="146" t="s">
        <v>197</v>
      </c>
      <c r="D68" s="152">
        <v>12.56</v>
      </c>
      <c r="E68" s="131">
        <v>59.800000000000004</v>
      </c>
      <c r="F68" s="126">
        <v>751.09</v>
      </c>
      <c r="G68" s="214">
        <f t="shared" ref="G68:K70" si="81">$F68*N68</f>
        <v>0</v>
      </c>
      <c r="H68" s="214">
        <f t="shared" si="81"/>
        <v>0</v>
      </c>
      <c r="I68" s="214">
        <f t="shared" si="81"/>
        <v>225.327</v>
      </c>
      <c r="J68" s="214">
        <f t="shared" si="81"/>
        <v>225.327</v>
      </c>
      <c r="K68" s="214">
        <f t="shared" si="81"/>
        <v>300.43600000000004</v>
      </c>
      <c r="L68" s="194">
        <f>F68-SUM(G68:K68)</f>
        <v>0</v>
      </c>
      <c r="N68" s="195"/>
      <c r="O68" s="195"/>
      <c r="P68" s="195">
        <v>0.3</v>
      </c>
      <c r="Q68" s="195">
        <v>0.3</v>
      </c>
      <c r="R68" s="195">
        <v>0.4</v>
      </c>
      <c r="T68" s="194">
        <f t="shared" ref="T68:T70" si="82">N68*$D68</f>
        <v>0</v>
      </c>
      <c r="U68" s="194">
        <f t="shared" ref="U68:U70" si="83">O68*$D68</f>
        <v>0</v>
      </c>
      <c r="V68" s="194">
        <f t="shared" ref="V68:V70" si="84">P68*$D68</f>
        <v>3.7679999999999998</v>
      </c>
      <c r="W68" s="194">
        <f t="shared" ref="W68:W70" si="85">Q68*$D68</f>
        <v>3.7679999999999998</v>
      </c>
      <c r="X68" s="194">
        <f t="shared" ref="X68:X70" si="86">R68*$D68</f>
        <v>5.0240000000000009</v>
      </c>
    </row>
    <row r="69" spans="1:24" x14ac:dyDescent="0.25">
      <c r="A69" s="191" t="s">
        <v>131</v>
      </c>
      <c r="B69" s="184" t="s">
        <v>195</v>
      </c>
      <c r="C69" s="146" t="s">
        <v>197</v>
      </c>
      <c r="D69" s="152">
        <v>7.1</v>
      </c>
      <c r="E69" s="131">
        <v>27.36</v>
      </c>
      <c r="F69" s="126">
        <v>194.26</v>
      </c>
      <c r="G69" s="214">
        <f t="shared" si="81"/>
        <v>0</v>
      </c>
      <c r="H69" s="214">
        <f t="shared" si="81"/>
        <v>0</v>
      </c>
      <c r="I69" s="214">
        <f t="shared" si="81"/>
        <v>58.277999999999992</v>
      </c>
      <c r="J69" s="214">
        <f t="shared" si="81"/>
        <v>58.277999999999992</v>
      </c>
      <c r="K69" s="214">
        <f t="shared" si="81"/>
        <v>77.704000000000008</v>
      </c>
      <c r="L69" s="194">
        <f>F69-SUM(G69:K69)</f>
        <v>0</v>
      </c>
      <c r="N69" s="195"/>
      <c r="O69" s="195"/>
      <c r="P69" s="195">
        <v>0.3</v>
      </c>
      <c r="Q69" s="195">
        <v>0.3</v>
      </c>
      <c r="R69" s="195">
        <v>0.4</v>
      </c>
      <c r="T69" s="194">
        <f t="shared" si="82"/>
        <v>0</v>
      </c>
      <c r="U69" s="194">
        <f t="shared" si="83"/>
        <v>0</v>
      </c>
      <c r="V69" s="194">
        <f t="shared" si="84"/>
        <v>2.13</v>
      </c>
      <c r="W69" s="194">
        <f t="shared" si="85"/>
        <v>2.13</v>
      </c>
      <c r="X69" s="194">
        <f t="shared" si="86"/>
        <v>2.84</v>
      </c>
    </row>
    <row r="70" spans="1:24" x14ac:dyDescent="0.25">
      <c r="A70" s="192" t="s">
        <v>132</v>
      </c>
      <c r="B70" s="186" t="s">
        <v>196</v>
      </c>
      <c r="C70" s="146" t="s">
        <v>199</v>
      </c>
      <c r="D70" s="152">
        <v>84.67</v>
      </c>
      <c r="E70" s="131">
        <v>3.4</v>
      </c>
      <c r="F70" s="132">
        <v>287.88</v>
      </c>
      <c r="G70" s="216">
        <f t="shared" si="81"/>
        <v>0</v>
      </c>
      <c r="H70" s="216">
        <f t="shared" si="81"/>
        <v>0</v>
      </c>
      <c r="I70" s="216">
        <f t="shared" si="81"/>
        <v>86.36399999999999</v>
      </c>
      <c r="J70" s="216">
        <f t="shared" si="81"/>
        <v>86.36399999999999</v>
      </c>
      <c r="K70" s="216">
        <f t="shared" si="81"/>
        <v>115.152</v>
      </c>
      <c r="L70" s="194">
        <f>F70-SUM(G70:K70)</f>
        <v>0</v>
      </c>
      <c r="N70" s="195"/>
      <c r="O70" s="195"/>
      <c r="P70" s="195">
        <v>0.3</v>
      </c>
      <c r="Q70" s="195">
        <v>0.3</v>
      </c>
      <c r="R70" s="195">
        <v>0.4</v>
      </c>
      <c r="T70" s="194">
        <f t="shared" si="82"/>
        <v>0</v>
      </c>
      <c r="U70" s="194">
        <f t="shared" si="83"/>
        <v>0</v>
      </c>
      <c r="V70" s="194">
        <f t="shared" si="84"/>
        <v>25.401</v>
      </c>
      <c r="W70" s="194">
        <f t="shared" si="85"/>
        <v>25.401</v>
      </c>
      <c r="X70" s="194">
        <f t="shared" si="86"/>
        <v>33.868000000000002</v>
      </c>
    </row>
    <row r="71" spans="1:24" x14ac:dyDescent="0.25">
      <c r="A71" s="25"/>
      <c r="B71" s="21" t="s">
        <v>21</v>
      </c>
      <c r="C71" s="25"/>
      <c r="D71" s="153"/>
      <c r="E71" s="7"/>
      <c r="F71" s="203">
        <f>SUM(F7:F70)</f>
        <v>696708.04999999993</v>
      </c>
      <c r="G71" s="203">
        <f>SUM(G7:G70)</f>
        <v>134279.49900000001</v>
      </c>
      <c r="H71" s="203">
        <f>SUM(H7:H70)</f>
        <v>253236.685</v>
      </c>
      <c r="I71" s="203">
        <f t="shared" ref="I71:K71" si="87">SUM(I7:I70)</f>
        <v>138523.93399999995</v>
      </c>
      <c r="J71" s="203">
        <f t="shared" si="87"/>
        <v>110015.77200000003</v>
      </c>
      <c r="K71" s="203">
        <f t="shared" si="87"/>
        <v>60652.160000000011</v>
      </c>
      <c r="L71" s="194"/>
    </row>
    <row r="72" spans="1:24" x14ac:dyDescent="0.25">
      <c r="A72" s="78"/>
      <c r="B72" s="79" t="s">
        <v>51</v>
      </c>
      <c r="C72" s="78"/>
      <c r="D72" s="202"/>
      <c r="E72" s="40"/>
      <c r="F72" s="209">
        <f>F71*0.15</f>
        <v>104506.20749999999</v>
      </c>
      <c r="G72" s="204">
        <f t="shared" ref="G72:K72" si="88">G71*0.15</f>
        <v>20141.924849999999</v>
      </c>
      <c r="H72" s="204">
        <f t="shared" si="88"/>
        <v>37985.50275</v>
      </c>
      <c r="I72" s="204">
        <f t="shared" si="88"/>
        <v>20778.59009999999</v>
      </c>
      <c r="J72" s="204">
        <f t="shared" si="88"/>
        <v>16502.365800000003</v>
      </c>
      <c r="K72" s="204">
        <f t="shared" si="88"/>
        <v>9097.8240000000005</v>
      </c>
      <c r="L72" s="194"/>
    </row>
    <row r="73" spans="1:24" x14ac:dyDescent="0.25">
      <c r="A73" s="78"/>
      <c r="B73" s="79" t="s">
        <v>206</v>
      </c>
      <c r="C73" s="78"/>
      <c r="D73" s="202"/>
      <c r="E73" s="40"/>
      <c r="F73" s="209">
        <f>F71*0.05</f>
        <v>34835.402499999997</v>
      </c>
      <c r="G73" s="204">
        <f t="shared" ref="G73:K73" si="89">G71*0.05</f>
        <v>6713.9749500000007</v>
      </c>
      <c r="H73" s="204">
        <f t="shared" si="89"/>
        <v>12661.83425</v>
      </c>
      <c r="I73" s="204">
        <f t="shared" si="89"/>
        <v>6926.1966999999977</v>
      </c>
      <c r="J73" s="204">
        <f t="shared" si="89"/>
        <v>5500.7886000000017</v>
      </c>
      <c r="K73" s="204">
        <f t="shared" si="89"/>
        <v>3032.6080000000006</v>
      </c>
      <c r="L73" s="194"/>
    </row>
    <row r="74" spans="1:24" x14ac:dyDescent="0.25">
      <c r="A74" s="38"/>
      <c r="B74" s="74" t="s">
        <v>53</v>
      </c>
      <c r="C74" s="38"/>
      <c r="D74" s="155"/>
      <c r="E74" s="39"/>
      <c r="F74" s="205">
        <f>SUM(F71:F73)</f>
        <v>836049.65999999992</v>
      </c>
      <c r="G74" s="205">
        <f t="shared" ref="G74:K74" si="90">SUM(G71:G73)</f>
        <v>161135.39880000002</v>
      </c>
      <c r="H74" s="205">
        <f t="shared" si="90"/>
        <v>303884.022</v>
      </c>
      <c r="I74" s="205">
        <f t="shared" si="90"/>
        <v>166228.72079999995</v>
      </c>
      <c r="J74" s="205">
        <f t="shared" si="90"/>
        <v>132018.92640000003</v>
      </c>
      <c r="K74" s="205">
        <f t="shared" si="90"/>
        <v>72782.592000000019</v>
      </c>
      <c r="L74" s="194"/>
    </row>
    <row r="75" spans="1:24" x14ac:dyDescent="0.25">
      <c r="A75" s="188"/>
      <c r="B75" s="189" t="s">
        <v>22</v>
      </c>
      <c r="C75" s="188"/>
      <c r="D75" s="156"/>
      <c r="E75" s="9"/>
      <c r="F75" s="206">
        <f>ROUND(F74*0.18,2)</f>
        <v>150488.94</v>
      </c>
      <c r="G75" s="206">
        <f t="shared" ref="G75:K75" si="91">ROUND(G74*0.18,2)</f>
        <v>29004.37</v>
      </c>
      <c r="H75" s="206">
        <f t="shared" si="91"/>
        <v>54699.12</v>
      </c>
      <c r="I75" s="206">
        <f t="shared" si="91"/>
        <v>29921.17</v>
      </c>
      <c r="J75" s="206">
        <f t="shared" si="91"/>
        <v>23763.41</v>
      </c>
      <c r="K75" s="206">
        <f t="shared" si="91"/>
        <v>13100.87</v>
      </c>
      <c r="L75" s="194"/>
    </row>
    <row r="76" spans="1:24" x14ac:dyDescent="0.25">
      <c r="A76" s="28"/>
      <c r="B76" s="29" t="s">
        <v>28</v>
      </c>
      <c r="C76" s="28"/>
      <c r="D76" s="157"/>
      <c r="E76" s="31"/>
      <c r="F76" s="207">
        <f>SUM(F74:F75)</f>
        <v>986538.59999999986</v>
      </c>
      <c r="G76" s="207">
        <f t="shared" ref="G76:K76" si="92">SUM(G74:G75)</f>
        <v>190139.76880000002</v>
      </c>
      <c r="H76" s="207">
        <f t="shared" si="92"/>
        <v>358583.14199999999</v>
      </c>
      <c r="I76" s="207">
        <f t="shared" si="92"/>
        <v>196149.89079999994</v>
      </c>
      <c r="J76" s="207">
        <f t="shared" si="92"/>
        <v>155782.33640000003</v>
      </c>
      <c r="K76" s="207">
        <f t="shared" si="92"/>
        <v>85883.462000000014</v>
      </c>
      <c r="L76" s="194"/>
    </row>
    <row r="77" spans="1:24" x14ac:dyDescent="0.25">
      <c r="L77" s="194"/>
    </row>
  </sheetData>
  <mergeCells count="6">
    <mergeCell ref="A1:K1"/>
    <mergeCell ref="A5:A6"/>
    <mergeCell ref="B5:B6"/>
    <mergeCell ref="C5:C6"/>
    <mergeCell ref="D5:F5"/>
    <mergeCell ref="G5:K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0230-8DF2-4360-BA5A-5A01312AC9C9}">
  <dimension ref="A1:AM77"/>
  <sheetViews>
    <sheetView topLeftCell="B1" zoomScale="115" zoomScaleNormal="115" workbookViewId="0">
      <pane xSplit="5" topLeftCell="G1" activePane="topRight" state="frozen"/>
      <selection activeCell="B13" sqref="B13"/>
      <selection pane="topRight" activeCell="H19" sqref="H19"/>
    </sheetView>
  </sheetViews>
  <sheetFormatPr baseColWidth="10" defaultRowHeight="15" x14ac:dyDescent="0.25"/>
  <cols>
    <col min="1" max="1" width="11.42578125" style="83"/>
    <col min="2" max="2" width="80.5703125" style="83" customWidth="1"/>
    <col min="3" max="3" width="11.42578125" style="83"/>
    <col min="4" max="4" width="11.28515625" style="83" customWidth="1"/>
    <col min="5" max="5" width="9.140625" style="83" customWidth="1"/>
    <col min="6" max="6" width="13.140625" style="83" bestFit="1" customWidth="1"/>
    <col min="7" max="16384" width="11.42578125" style="83"/>
  </cols>
  <sheetData>
    <row r="1" spans="1:30" s="208" customFormat="1" ht="17.25" x14ac:dyDescent="0.3">
      <c r="A1" s="478" t="s">
        <v>208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</row>
    <row r="3" spans="1:30" s="2" customFormat="1" x14ac:dyDescent="0.25">
      <c r="A3" s="2" t="s">
        <v>16</v>
      </c>
      <c r="B3" s="2" t="s">
        <v>69</v>
      </c>
      <c r="T3" s="2" t="s">
        <v>426</v>
      </c>
    </row>
    <row r="4" spans="1:30" x14ac:dyDescent="0.25">
      <c r="T4" s="194">
        <f>+T10+T11</f>
        <v>673.005</v>
      </c>
      <c r="U4" s="194">
        <f t="shared" ref="U4:V4" si="0">+U10+U11</f>
        <v>673.005</v>
      </c>
      <c r="V4" s="194">
        <f t="shared" si="0"/>
        <v>224.33500000000001</v>
      </c>
    </row>
    <row r="5" spans="1:30" ht="16.5" customHeight="1" x14ac:dyDescent="0.25">
      <c r="A5" s="441" t="s">
        <v>2</v>
      </c>
      <c r="B5" s="441" t="s">
        <v>15</v>
      </c>
      <c r="C5" s="441" t="s">
        <v>3</v>
      </c>
      <c r="D5" s="441" t="s">
        <v>13</v>
      </c>
      <c r="E5" s="441"/>
      <c r="F5" s="441"/>
      <c r="G5" s="479" t="s">
        <v>205</v>
      </c>
      <c r="H5" s="479"/>
      <c r="I5" s="479"/>
      <c r="J5" s="479"/>
      <c r="K5" s="479"/>
      <c r="L5" s="194"/>
      <c r="N5" s="194"/>
    </row>
    <row r="6" spans="1:30" x14ac:dyDescent="0.25">
      <c r="A6" s="441"/>
      <c r="B6" s="441"/>
      <c r="C6" s="441"/>
      <c r="D6" s="179" t="s">
        <v>5</v>
      </c>
      <c r="E6" s="179" t="s">
        <v>6</v>
      </c>
      <c r="F6" s="179" t="s">
        <v>7</v>
      </c>
      <c r="G6" s="210">
        <v>45474</v>
      </c>
      <c r="H6" s="210">
        <v>45505</v>
      </c>
      <c r="I6" s="210">
        <v>45536</v>
      </c>
      <c r="J6" s="210">
        <v>45566</v>
      </c>
      <c r="K6" s="210">
        <v>45597</v>
      </c>
      <c r="L6" s="194"/>
      <c r="N6" s="210">
        <v>45597</v>
      </c>
      <c r="O6" s="210">
        <v>45627</v>
      </c>
      <c r="P6" s="210">
        <v>45658</v>
      </c>
      <c r="Q6" s="210">
        <v>45689</v>
      </c>
      <c r="R6" s="210">
        <v>45717</v>
      </c>
      <c r="T6" s="210">
        <v>45597</v>
      </c>
      <c r="U6" s="210">
        <v>45627</v>
      </c>
      <c r="V6" s="210">
        <v>45658</v>
      </c>
      <c r="W6" s="210">
        <v>45689</v>
      </c>
      <c r="X6" s="210">
        <v>45717</v>
      </c>
    </row>
    <row r="7" spans="1:30" x14ac:dyDescent="0.25">
      <c r="A7" s="196" t="s">
        <v>70</v>
      </c>
      <c r="B7" s="197" t="s">
        <v>133</v>
      </c>
      <c r="C7" s="198"/>
      <c r="D7" s="200"/>
      <c r="E7" s="74"/>
      <c r="F7" s="199"/>
      <c r="G7" s="211"/>
      <c r="H7" s="211"/>
      <c r="I7" s="211"/>
      <c r="J7" s="211"/>
      <c r="K7" s="211"/>
      <c r="L7" s="194"/>
      <c r="N7" s="195"/>
      <c r="O7" s="195"/>
      <c r="P7" s="195"/>
      <c r="Q7" s="195"/>
      <c r="R7" s="195"/>
    </row>
    <row r="8" spans="1:30" x14ac:dyDescent="0.25">
      <c r="A8" s="190" t="s">
        <v>71</v>
      </c>
      <c r="B8" s="182" t="s">
        <v>134</v>
      </c>
      <c r="C8" s="181"/>
      <c r="D8" s="119"/>
      <c r="E8" s="22"/>
      <c r="F8" s="18"/>
      <c r="G8" s="212"/>
      <c r="H8" s="212"/>
      <c r="I8" s="212"/>
      <c r="J8" s="212"/>
      <c r="K8" s="212"/>
      <c r="L8" s="194"/>
      <c r="N8" s="195"/>
      <c r="O8" s="195"/>
      <c r="P8" s="195"/>
      <c r="Q8" s="195"/>
      <c r="R8" s="195"/>
    </row>
    <row r="9" spans="1:30" x14ac:dyDescent="0.25">
      <c r="A9" s="190" t="s">
        <v>17</v>
      </c>
      <c r="B9" s="182" t="s">
        <v>135</v>
      </c>
      <c r="C9" s="183"/>
      <c r="D9" s="156"/>
      <c r="E9" s="9"/>
      <c r="F9" s="19"/>
      <c r="G9" s="213"/>
      <c r="H9" s="213"/>
      <c r="I9" s="213"/>
      <c r="J9" s="213"/>
      <c r="K9" s="213"/>
      <c r="L9" s="194"/>
      <c r="N9" s="195"/>
      <c r="O9" s="195"/>
      <c r="P9" s="195"/>
      <c r="Q9" s="195"/>
      <c r="R9" s="195"/>
    </row>
    <row r="10" spans="1:30" x14ac:dyDescent="0.25">
      <c r="A10" s="191" t="s">
        <v>72</v>
      </c>
      <c r="B10" s="184" t="s">
        <v>136</v>
      </c>
      <c r="C10" s="183" t="s">
        <v>197</v>
      </c>
      <c r="D10" s="150">
        <v>897.34</v>
      </c>
      <c r="E10" s="123">
        <v>2.04</v>
      </c>
      <c r="F10" s="126">
        <v>1830.57</v>
      </c>
      <c r="G10" s="214">
        <f t="shared" ref="G10:K11" si="1">$F10*N10</f>
        <v>915.28499999999997</v>
      </c>
      <c r="H10" s="214">
        <f t="shared" si="1"/>
        <v>915.28499999999997</v>
      </c>
      <c r="I10" s="214">
        <f t="shared" si="1"/>
        <v>0</v>
      </c>
      <c r="J10" s="214">
        <f t="shared" si="1"/>
        <v>0</v>
      </c>
      <c r="K10" s="214">
        <f t="shared" si="1"/>
        <v>0</v>
      </c>
      <c r="L10" s="194">
        <f>F10-SUM(G10:K10)</f>
        <v>0</v>
      </c>
      <c r="N10" s="195">
        <v>0.5</v>
      </c>
      <c r="O10" s="195">
        <v>0.5</v>
      </c>
      <c r="P10" s="195"/>
      <c r="Q10" s="195"/>
      <c r="R10" s="195"/>
      <c r="T10" s="247">
        <f>+$D10*N10</f>
        <v>448.67</v>
      </c>
      <c r="U10" s="247">
        <f t="shared" ref="U10:X10" si="2">+$D10*O10</f>
        <v>448.67</v>
      </c>
      <c r="V10" s="247">
        <f t="shared" si="2"/>
        <v>0</v>
      </c>
      <c r="W10" s="247">
        <f t="shared" si="2"/>
        <v>0</v>
      </c>
      <c r="X10" s="247">
        <f t="shared" si="2"/>
        <v>0</v>
      </c>
      <c r="Y10" s="247"/>
    </row>
    <row r="11" spans="1:30" x14ac:dyDescent="0.25">
      <c r="A11" s="191" t="s">
        <v>73</v>
      </c>
      <c r="B11" s="184" t="s">
        <v>137</v>
      </c>
      <c r="C11" s="183" t="s">
        <v>197</v>
      </c>
      <c r="D11" s="150">
        <v>897.34</v>
      </c>
      <c r="E11" s="123">
        <v>2.04</v>
      </c>
      <c r="F11" s="126">
        <v>1830.57</v>
      </c>
      <c r="G11" s="214">
        <f t="shared" si="1"/>
        <v>457.64249999999998</v>
      </c>
      <c r="H11" s="214">
        <f t="shared" si="1"/>
        <v>457.64249999999998</v>
      </c>
      <c r="I11" s="214">
        <f t="shared" si="1"/>
        <v>457.64249999999998</v>
      </c>
      <c r="J11" s="214">
        <f t="shared" si="1"/>
        <v>457.64249999999998</v>
      </c>
      <c r="K11" s="214">
        <f t="shared" si="1"/>
        <v>0</v>
      </c>
      <c r="L11" s="194">
        <f>F11-SUM(G11:K11)</f>
        <v>0</v>
      </c>
      <c r="N11" s="195">
        <v>0.25</v>
      </c>
      <c r="O11" s="195">
        <v>0.25</v>
      </c>
      <c r="P11" s="195">
        <v>0.25</v>
      </c>
      <c r="Q11" s="195">
        <v>0.25</v>
      </c>
      <c r="R11" s="195"/>
      <c r="T11" s="247">
        <f>+$D11*N11</f>
        <v>224.33500000000001</v>
      </c>
      <c r="U11" s="247">
        <f t="shared" ref="U11" si="3">+$D11*O11</f>
        <v>224.33500000000001</v>
      </c>
      <c r="V11" s="247">
        <f t="shared" ref="V11" si="4">+$D11*P11</f>
        <v>224.33500000000001</v>
      </c>
      <c r="W11" s="247">
        <f t="shared" ref="W11" si="5">+$D11*Q11</f>
        <v>224.33500000000001</v>
      </c>
      <c r="X11" s="247">
        <f t="shared" ref="X11" si="6">+$D11*R11</f>
        <v>0</v>
      </c>
      <c r="Y11" s="247"/>
    </row>
    <row r="12" spans="1:30" x14ac:dyDescent="0.25">
      <c r="A12" s="190" t="s">
        <v>74</v>
      </c>
      <c r="B12" s="182" t="s">
        <v>138</v>
      </c>
      <c r="C12" s="183"/>
      <c r="D12" s="156"/>
      <c r="E12" s="9"/>
      <c r="F12" s="19"/>
      <c r="G12" s="213"/>
      <c r="H12" s="213"/>
      <c r="I12" s="213"/>
      <c r="J12" s="213"/>
      <c r="K12" s="213"/>
      <c r="L12" s="194"/>
      <c r="N12" s="195"/>
      <c r="O12" s="195"/>
      <c r="P12" s="195"/>
      <c r="Q12" s="195"/>
      <c r="R12" s="195"/>
      <c r="T12" s="247"/>
      <c r="U12" s="247"/>
      <c r="V12" s="247"/>
      <c r="W12" s="247"/>
      <c r="X12" s="247"/>
      <c r="Y12" s="247"/>
    </row>
    <row r="13" spans="1:30" x14ac:dyDescent="0.25">
      <c r="A13" s="190" t="s">
        <v>75</v>
      </c>
      <c r="B13" s="182" t="s">
        <v>139</v>
      </c>
      <c r="C13" s="183"/>
      <c r="D13" s="156"/>
      <c r="E13" s="9"/>
      <c r="F13" s="19"/>
      <c r="G13" s="213"/>
      <c r="H13" s="213"/>
      <c r="I13" s="213"/>
      <c r="J13" s="213"/>
      <c r="K13" s="213"/>
      <c r="L13" s="194"/>
      <c r="N13" s="195"/>
      <c r="O13" s="195"/>
      <c r="P13" s="195"/>
      <c r="Q13" s="195"/>
      <c r="R13" s="195"/>
      <c r="T13" s="247"/>
      <c r="U13" s="247"/>
      <c r="V13" s="247"/>
      <c r="W13" s="247"/>
      <c r="X13" s="247"/>
      <c r="Y13" s="247"/>
    </row>
    <row r="14" spans="1:30" x14ac:dyDescent="0.25">
      <c r="A14" s="190" t="s">
        <v>76</v>
      </c>
      <c r="B14" s="182" t="s">
        <v>140</v>
      </c>
      <c r="C14" s="183"/>
      <c r="D14" s="156"/>
      <c r="E14" s="9"/>
      <c r="F14" s="19"/>
      <c r="G14" s="213"/>
      <c r="H14" s="213"/>
      <c r="I14" s="213"/>
      <c r="J14" s="213"/>
      <c r="K14" s="213"/>
      <c r="L14" s="194"/>
      <c r="N14" s="195"/>
      <c r="O14" s="195"/>
      <c r="P14" s="195"/>
      <c r="Q14" s="195"/>
      <c r="R14" s="195"/>
      <c r="T14" s="247"/>
      <c r="U14" s="247"/>
      <c r="V14" s="247"/>
      <c r="W14" s="247"/>
      <c r="X14" s="247"/>
      <c r="Y14" s="247"/>
    </row>
    <row r="15" spans="1:30" x14ac:dyDescent="0.25">
      <c r="A15" s="191" t="s">
        <v>77</v>
      </c>
      <c r="B15" s="184" t="s">
        <v>141</v>
      </c>
      <c r="C15" s="183" t="s">
        <v>62</v>
      </c>
      <c r="D15" s="150">
        <v>41.9</v>
      </c>
      <c r="E15" s="123">
        <v>46.74</v>
      </c>
      <c r="F15" s="126">
        <v>1958.41</v>
      </c>
      <c r="G15" s="214">
        <f t="shared" ref="G15:K16" si="7">$F15*N15</f>
        <v>1370.8869999999999</v>
      </c>
      <c r="H15" s="214">
        <f t="shared" si="7"/>
        <v>587.52300000000002</v>
      </c>
      <c r="I15" s="214">
        <f t="shared" si="7"/>
        <v>0</v>
      </c>
      <c r="J15" s="214">
        <f t="shared" si="7"/>
        <v>0</v>
      </c>
      <c r="K15" s="214">
        <f t="shared" si="7"/>
        <v>0</v>
      </c>
      <c r="L15" s="194">
        <f>F15-SUM(G15:K15)</f>
        <v>0</v>
      </c>
      <c r="N15" s="195">
        <v>0.7</v>
      </c>
      <c r="O15" s="195">
        <v>0.3</v>
      </c>
      <c r="P15" s="195"/>
      <c r="Q15" s="195"/>
      <c r="R15" s="195"/>
      <c r="T15" s="247">
        <f t="shared" ref="T15:T16" si="8">+$D15*N15</f>
        <v>29.33</v>
      </c>
      <c r="U15" s="247">
        <f t="shared" ref="U15:U16" si="9">+$D15*O15</f>
        <v>12.569999999999999</v>
      </c>
      <c r="V15" s="247">
        <f t="shared" ref="V15:V16" si="10">+$D15*P15</f>
        <v>0</v>
      </c>
      <c r="W15" s="247">
        <f t="shared" ref="W15:W16" si="11">+$D15*Q15</f>
        <v>0</v>
      </c>
      <c r="X15" s="247">
        <f t="shared" ref="X15:X16" si="12">+$D15*R15</f>
        <v>0</v>
      </c>
      <c r="Y15" s="247"/>
      <c r="Z15" s="194">
        <f>SUM(T15:T27)/4</f>
        <v>494.70049999999998</v>
      </c>
      <c r="AA15" s="194">
        <f t="shared" ref="AA15:AD15" si="13">SUM(U15:U27)/4</f>
        <v>382.83775000000003</v>
      </c>
      <c r="AB15" s="194">
        <f t="shared" si="13"/>
        <v>210.72565</v>
      </c>
      <c r="AC15" s="194">
        <f t="shared" si="13"/>
        <v>4.7992249999999999</v>
      </c>
      <c r="AD15" s="194">
        <f t="shared" si="13"/>
        <v>4.6541249999999996</v>
      </c>
    </row>
    <row r="16" spans="1:30" x14ac:dyDescent="0.25">
      <c r="A16" s="191" t="s">
        <v>78</v>
      </c>
      <c r="B16" s="184" t="s">
        <v>142</v>
      </c>
      <c r="C16" s="183" t="s">
        <v>62</v>
      </c>
      <c r="D16" s="150">
        <v>1975.16</v>
      </c>
      <c r="E16" s="123">
        <v>50.99</v>
      </c>
      <c r="F16" s="126">
        <v>100713.41</v>
      </c>
      <c r="G16" s="214">
        <f t="shared" si="7"/>
        <v>70499.387000000002</v>
      </c>
      <c r="H16" s="214">
        <f t="shared" si="7"/>
        <v>30214.023000000001</v>
      </c>
      <c r="I16" s="214">
        <f t="shared" si="7"/>
        <v>0</v>
      </c>
      <c r="J16" s="214">
        <f t="shared" si="7"/>
        <v>0</v>
      </c>
      <c r="K16" s="214">
        <f t="shared" si="7"/>
        <v>0</v>
      </c>
      <c r="L16" s="194">
        <f>F16-SUM(G16:K16)</f>
        <v>0</v>
      </c>
      <c r="N16" s="195">
        <v>0.7</v>
      </c>
      <c r="O16" s="195">
        <v>0.3</v>
      </c>
      <c r="P16" s="195"/>
      <c r="Q16" s="195"/>
      <c r="R16" s="195"/>
      <c r="T16" s="247">
        <f t="shared" si="8"/>
        <v>1382.6120000000001</v>
      </c>
      <c r="U16" s="247">
        <f t="shared" si="9"/>
        <v>592.548</v>
      </c>
      <c r="V16" s="247">
        <f t="shared" si="10"/>
        <v>0</v>
      </c>
      <c r="W16" s="247">
        <f t="shared" si="11"/>
        <v>0</v>
      </c>
      <c r="X16" s="247">
        <f t="shared" si="12"/>
        <v>0</v>
      </c>
      <c r="Y16" s="247"/>
    </row>
    <row r="17" spans="1:30" x14ac:dyDescent="0.25">
      <c r="A17" s="190" t="s">
        <v>79</v>
      </c>
      <c r="B17" s="182" t="s">
        <v>143</v>
      </c>
      <c r="C17" s="183"/>
      <c r="D17" s="156"/>
      <c r="E17" s="9"/>
      <c r="F17" s="19"/>
      <c r="G17" s="213"/>
      <c r="H17" s="213"/>
      <c r="I17" s="213"/>
      <c r="J17" s="213"/>
      <c r="K17" s="213"/>
      <c r="L17" s="194"/>
      <c r="N17" s="195"/>
      <c r="O17" s="195"/>
      <c r="P17" s="195"/>
      <c r="Q17" s="195"/>
      <c r="R17" s="195"/>
      <c r="T17" s="247"/>
      <c r="U17" s="247"/>
      <c r="V17" s="247"/>
      <c r="W17" s="247"/>
      <c r="X17" s="247"/>
      <c r="Y17" s="247"/>
    </row>
    <row r="18" spans="1:30" x14ac:dyDescent="0.25">
      <c r="A18" s="191" t="s">
        <v>80</v>
      </c>
      <c r="B18" s="184" t="s">
        <v>144</v>
      </c>
      <c r="C18" s="183" t="s">
        <v>62</v>
      </c>
      <c r="D18" s="150">
        <v>1197.9100000000001</v>
      </c>
      <c r="E18" s="123">
        <v>26.01</v>
      </c>
      <c r="F18" s="126">
        <v>31157.64</v>
      </c>
      <c r="G18" s="214">
        <f>$F18*N18</f>
        <v>0</v>
      </c>
      <c r="H18" s="214">
        <f>$F18*O18</f>
        <v>9347.2919999999995</v>
      </c>
      <c r="I18" s="214">
        <f>$F18*P18</f>
        <v>21810.347999999998</v>
      </c>
      <c r="J18" s="214">
        <f>$F18*Q18</f>
        <v>0</v>
      </c>
      <c r="K18" s="214">
        <f>$F18*R18</f>
        <v>0</v>
      </c>
      <c r="L18" s="194">
        <f>F18-SUM(G18:K18)</f>
        <v>0</v>
      </c>
      <c r="N18" s="195"/>
      <c r="O18" s="195">
        <v>0.3</v>
      </c>
      <c r="P18" s="195">
        <v>0.7</v>
      </c>
      <c r="Q18" s="195"/>
      <c r="R18" s="195"/>
      <c r="T18" s="247">
        <f>+$D18*N18</f>
        <v>0</v>
      </c>
      <c r="U18" s="247">
        <f t="shared" ref="U18" si="14">+$D18*O18</f>
        <v>359.37299999999999</v>
      </c>
      <c r="V18" s="247">
        <f t="shared" ref="V18" si="15">+$D18*P18</f>
        <v>838.53700000000003</v>
      </c>
      <c r="W18" s="247">
        <f t="shared" ref="W18" si="16">+$D18*Q18</f>
        <v>0</v>
      </c>
      <c r="X18" s="247">
        <f t="shared" ref="X18" si="17">+$D18*R18</f>
        <v>0</v>
      </c>
      <c r="Y18" s="247"/>
    </row>
    <row r="19" spans="1:30" x14ac:dyDescent="0.25">
      <c r="A19" s="190" t="s">
        <v>81</v>
      </c>
      <c r="B19" s="182" t="s">
        <v>145</v>
      </c>
      <c r="C19" s="181"/>
      <c r="D19" s="149"/>
      <c r="E19" s="8"/>
      <c r="F19" s="20"/>
      <c r="G19" s="215"/>
      <c r="H19" s="215"/>
      <c r="I19" s="215"/>
      <c r="J19" s="215"/>
      <c r="K19" s="215"/>
      <c r="L19" s="194"/>
      <c r="N19" s="195"/>
      <c r="O19" s="195"/>
      <c r="P19" s="195"/>
      <c r="Q19" s="195"/>
      <c r="R19" s="195"/>
      <c r="T19" s="247"/>
      <c r="U19" s="247"/>
      <c r="V19" s="247"/>
      <c r="W19" s="247"/>
      <c r="X19" s="247"/>
      <c r="Y19" s="247"/>
    </row>
    <row r="20" spans="1:30" x14ac:dyDescent="0.25">
      <c r="A20" s="191" t="s">
        <v>82</v>
      </c>
      <c r="B20" s="184" t="s">
        <v>146</v>
      </c>
      <c r="C20" s="183" t="s">
        <v>62</v>
      </c>
      <c r="D20" s="150">
        <v>68.91</v>
      </c>
      <c r="E20" s="123">
        <v>17.53</v>
      </c>
      <c r="F20" s="126">
        <v>1207.99</v>
      </c>
      <c r="G20" s="214">
        <f t="shared" ref="G20:K22" si="18">$F20*N20</f>
        <v>603.995</v>
      </c>
      <c r="H20" s="214">
        <f t="shared" si="18"/>
        <v>603.995</v>
      </c>
      <c r="I20" s="214">
        <f t="shared" si="18"/>
        <v>0</v>
      </c>
      <c r="J20" s="214">
        <f t="shared" si="18"/>
        <v>0</v>
      </c>
      <c r="K20" s="214">
        <f t="shared" si="18"/>
        <v>0</v>
      </c>
      <c r="L20" s="194">
        <f>F20-SUM(G20:K20)</f>
        <v>0</v>
      </c>
      <c r="N20" s="195">
        <v>0.5</v>
      </c>
      <c r="O20" s="195">
        <v>0.5</v>
      </c>
      <c r="P20" s="195"/>
      <c r="Q20" s="195"/>
      <c r="R20" s="195"/>
      <c r="T20" s="247">
        <f t="shared" ref="T20:T22" si="19">+$D20*N20</f>
        <v>34.454999999999998</v>
      </c>
      <c r="U20" s="247">
        <f t="shared" ref="U20:U22" si="20">+$D20*O20</f>
        <v>34.454999999999998</v>
      </c>
      <c r="V20" s="247">
        <f t="shared" ref="V20:V22" si="21">+$D20*P20</f>
        <v>0</v>
      </c>
      <c r="W20" s="247">
        <f t="shared" ref="W20:W22" si="22">+$D20*Q20</f>
        <v>0</v>
      </c>
      <c r="X20" s="247">
        <f t="shared" ref="X20:X22" si="23">+$D20*R20</f>
        <v>0</v>
      </c>
      <c r="Y20" s="247"/>
    </row>
    <row r="21" spans="1:30" x14ac:dyDescent="0.25">
      <c r="A21" s="191" t="s">
        <v>83</v>
      </c>
      <c r="B21" s="184" t="s">
        <v>147</v>
      </c>
      <c r="C21" s="183" t="s">
        <v>20</v>
      </c>
      <c r="D21" s="150">
        <v>68.91</v>
      </c>
      <c r="E21" s="123">
        <v>16.02</v>
      </c>
      <c r="F21" s="126">
        <v>1103.94</v>
      </c>
      <c r="G21" s="214">
        <f t="shared" si="18"/>
        <v>551.97</v>
      </c>
      <c r="H21" s="214">
        <f t="shared" si="18"/>
        <v>551.97</v>
      </c>
      <c r="I21" s="214">
        <f t="shared" si="18"/>
        <v>0</v>
      </c>
      <c r="J21" s="214">
        <f t="shared" si="18"/>
        <v>0</v>
      </c>
      <c r="K21" s="214">
        <f t="shared" si="18"/>
        <v>0</v>
      </c>
      <c r="L21" s="194">
        <f>F21-SUM(G21:K21)</f>
        <v>0</v>
      </c>
      <c r="N21" s="195">
        <v>0.5</v>
      </c>
      <c r="O21" s="195">
        <v>0.5</v>
      </c>
      <c r="P21" s="195"/>
      <c r="Q21" s="195"/>
      <c r="R21" s="195"/>
      <c r="T21" s="247">
        <f t="shared" si="19"/>
        <v>34.454999999999998</v>
      </c>
      <c r="U21" s="247">
        <f t="shared" si="20"/>
        <v>34.454999999999998</v>
      </c>
      <c r="V21" s="247">
        <f t="shared" si="21"/>
        <v>0</v>
      </c>
      <c r="W21" s="247">
        <f t="shared" si="22"/>
        <v>0</v>
      </c>
      <c r="X21" s="247">
        <f t="shared" si="23"/>
        <v>0</v>
      </c>
      <c r="Y21" s="247"/>
    </row>
    <row r="22" spans="1:30" x14ac:dyDescent="0.25">
      <c r="A22" s="191" t="s">
        <v>84</v>
      </c>
      <c r="B22" s="184" t="s">
        <v>148</v>
      </c>
      <c r="C22" s="183" t="s">
        <v>62</v>
      </c>
      <c r="D22" s="150">
        <v>995.9</v>
      </c>
      <c r="E22" s="123">
        <v>21.84</v>
      </c>
      <c r="F22" s="126">
        <v>21750.46</v>
      </c>
      <c r="G22" s="214">
        <f t="shared" si="18"/>
        <v>10875.23</v>
      </c>
      <c r="H22" s="214">
        <f t="shared" si="18"/>
        <v>10875.23</v>
      </c>
      <c r="I22" s="214">
        <f t="shared" si="18"/>
        <v>0</v>
      </c>
      <c r="J22" s="214">
        <f t="shared" si="18"/>
        <v>0</v>
      </c>
      <c r="K22" s="214">
        <f t="shared" si="18"/>
        <v>0</v>
      </c>
      <c r="L22" s="194">
        <f>F22-SUM(G22:K22)</f>
        <v>0</v>
      </c>
      <c r="N22" s="195">
        <v>0.5</v>
      </c>
      <c r="O22" s="195">
        <v>0.5</v>
      </c>
      <c r="P22" s="195"/>
      <c r="Q22" s="195"/>
      <c r="R22" s="195"/>
      <c r="T22" s="247">
        <f t="shared" si="19"/>
        <v>497.95</v>
      </c>
      <c r="U22" s="247">
        <f t="shared" si="20"/>
        <v>497.95</v>
      </c>
      <c r="V22" s="247">
        <f t="shared" si="21"/>
        <v>0</v>
      </c>
      <c r="W22" s="247">
        <f t="shared" si="22"/>
        <v>0</v>
      </c>
      <c r="X22" s="247">
        <f t="shared" si="23"/>
        <v>0</v>
      </c>
      <c r="Y22" s="247"/>
    </row>
    <row r="23" spans="1:30" x14ac:dyDescent="0.25">
      <c r="A23" s="190" t="s">
        <v>85</v>
      </c>
      <c r="B23" s="182" t="s">
        <v>149</v>
      </c>
      <c r="C23" s="185"/>
      <c r="D23" s="201"/>
      <c r="E23" s="51"/>
      <c r="F23" s="180"/>
      <c r="G23" s="213"/>
      <c r="H23" s="213"/>
      <c r="I23" s="213"/>
      <c r="J23" s="213"/>
      <c r="K23" s="213"/>
      <c r="L23" s="194"/>
      <c r="N23" s="195"/>
      <c r="O23" s="195"/>
      <c r="P23" s="195"/>
      <c r="Q23" s="195"/>
      <c r="R23" s="195"/>
      <c r="T23" s="247"/>
      <c r="U23" s="247"/>
      <c r="V23" s="247"/>
      <c r="W23" s="247"/>
      <c r="X23" s="247"/>
      <c r="Y23" s="247"/>
    </row>
    <row r="24" spans="1:30" x14ac:dyDescent="0.25">
      <c r="A24" s="191" t="s">
        <v>86</v>
      </c>
      <c r="B24" s="184" t="s">
        <v>150</v>
      </c>
      <c r="C24" s="185" t="s">
        <v>197</v>
      </c>
      <c r="D24" s="152">
        <v>68.95</v>
      </c>
      <c r="E24" s="131">
        <v>4.72</v>
      </c>
      <c r="F24" s="126">
        <v>325.44</v>
      </c>
      <c r="G24" s="214">
        <f t="shared" ref="G24:K27" si="24">$F24*N24</f>
        <v>0</v>
      </c>
      <c r="H24" s="214">
        <f t="shared" si="24"/>
        <v>0</v>
      </c>
      <c r="I24" s="214">
        <f t="shared" si="24"/>
        <v>0</v>
      </c>
      <c r="J24" s="214">
        <f t="shared" si="24"/>
        <v>162.72</v>
      </c>
      <c r="K24" s="214">
        <f t="shared" si="24"/>
        <v>162.72</v>
      </c>
      <c r="L24" s="194">
        <f>F24-SUM(G24:K24)</f>
        <v>0</v>
      </c>
      <c r="N24" s="195"/>
      <c r="O24" s="195"/>
      <c r="P24" s="195"/>
      <c r="Q24" s="195">
        <v>0.5</v>
      </c>
      <c r="R24" s="195">
        <v>0.5</v>
      </c>
      <c r="T24" s="247">
        <f t="shared" ref="T24:T27" si="25">+$D24*N24</f>
        <v>0</v>
      </c>
      <c r="U24" s="247">
        <f t="shared" ref="U24:U27" si="26">+$D24*O24</f>
        <v>0</v>
      </c>
      <c r="V24" s="247">
        <f t="shared" ref="V24:V26" si="27">+$D24*P24</f>
        <v>0</v>
      </c>
      <c r="W24" s="247">
        <f>+$D24*Q24*0.3</f>
        <v>10.342499999999999</v>
      </c>
      <c r="X24" s="247">
        <f>+$D24*R24*0.3</f>
        <v>10.342499999999999</v>
      </c>
      <c r="Y24" s="247"/>
    </row>
    <row r="25" spans="1:30" x14ac:dyDescent="0.25">
      <c r="A25" s="191" t="s">
        <v>87</v>
      </c>
      <c r="B25" s="184" t="s">
        <v>151</v>
      </c>
      <c r="C25" s="185" t="s">
        <v>197</v>
      </c>
      <c r="D25" s="152">
        <v>8.56</v>
      </c>
      <c r="E25" s="131">
        <v>7.8500000000000005</v>
      </c>
      <c r="F25" s="126">
        <v>67.2</v>
      </c>
      <c r="G25" s="214">
        <f t="shared" si="24"/>
        <v>0</v>
      </c>
      <c r="H25" s="214">
        <f t="shared" si="24"/>
        <v>0</v>
      </c>
      <c r="I25" s="214">
        <f t="shared" si="24"/>
        <v>40.32</v>
      </c>
      <c r="J25" s="214">
        <f t="shared" si="24"/>
        <v>26.880000000000003</v>
      </c>
      <c r="K25" s="214">
        <f t="shared" si="24"/>
        <v>0</v>
      </c>
      <c r="L25" s="194">
        <f>F25-SUM(G25:K25)</f>
        <v>0</v>
      </c>
      <c r="N25" s="195"/>
      <c r="O25" s="195"/>
      <c r="P25" s="195">
        <v>0.6</v>
      </c>
      <c r="Q25" s="195">
        <v>0.4</v>
      </c>
      <c r="R25" s="195"/>
      <c r="T25" s="247">
        <f t="shared" si="25"/>
        <v>0</v>
      </c>
      <c r="U25" s="247">
        <f t="shared" si="26"/>
        <v>0</v>
      </c>
      <c r="V25" s="247">
        <f>+$D25*P25*0.6</f>
        <v>3.0815999999999999</v>
      </c>
      <c r="W25" s="247">
        <f>+$D25*Q25*0.6</f>
        <v>2.0544000000000002</v>
      </c>
      <c r="X25" s="247">
        <f t="shared" ref="X25:X27" si="28">+$D25*R25</f>
        <v>0</v>
      </c>
      <c r="Y25" s="247"/>
    </row>
    <row r="26" spans="1:30" x14ac:dyDescent="0.25">
      <c r="A26" s="191" t="s">
        <v>88</v>
      </c>
      <c r="B26" s="184" t="s">
        <v>152</v>
      </c>
      <c r="C26" s="185" t="s">
        <v>197</v>
      </c>
      <c r="D26" s="152">
        <v>68.95</v>
      </c>
      <c r="E26" s="131">
        <v>15.19</v>
      </c>
      <c r="F26" s="126">
        <v>1047.3499999999999</v>
      </c>
      <c r="G26" s="214">
        <f t="shared" si="24"/>
        <v>0</v>
      </c>
      <c r="H26" s="214">
        <f t="shared" si="24"/>
        <v>0</v>
      </c>
      <c r="I26" s="214">
        <f t="shared" si="24"/>
        <v>0</v>
      </c>
      <c r="J26" s="214">
        <f t="shared" si="24"/>
        <v>418.94</v>
      </c>
      <c r="K26" s="214">
        <f t="shared" si="24"/>
        <v>628.41</v>
      </c>
      <c r="L26" s="194">
        <f>F26-SUM(G26:K26)</f>
        <v>0</v>
      </c>
      <c r="N26" s="195"/>
      <c r="O26" s="195"/>
      <c r="P26" s="195"/>
      <c r="Q26" s="195">
        <v>0.4</v>
      </c>
      <c r="R26" s="195">
        <v>0.6</v>
      </c>
      <c r="T26" s="247">
        <f t="shared" si="25"/>
        <v>0</v>
      </c>
      <c r="U26" s="247">
        <f t="shared" si="26"/>
        <v>0</v>
      </c>
      <c r="V26" s="247">
        <f t="shared" si="27"/>
        <v>0</v>
      </c>
      <c r="W26" s="247">
        <f>+$D26*Q26*8*0.025</f>
        <v>5.5160000000000009</v>
      </c>
      <c r="X26" s="247">
        <f>+$D26*R26*8*0.025</f>
        <v>8.2739999999999991</v>
      </c>
      <c r="Y26" s="247"/>
    </row>
    <row r="27" spans="1:30" x14ac:dyDescent="0.25">
      <c r="A27" s="191" t="s">
        <v>89</v>
      </c>
      <c r="B27" s="184" t="s">
        <v>153</v>
      </c>
      <c r="C27" s="185" t="s">
        <v>197</v>
      </c>
      <c r="D27" s="152">
        <v>8.56</v>
      </c>
      <c r="E27" s="131">
        <v>21.79</v>
      </c>
      <c r="F27" s="126">
        <v>186.52</v>
      </c>
      <c r="G27" s="214">
        <f t="shared" si="24"/>
        <v>0</v>
      </c>
      <c r="H27" s="214">
        <f t="shared" si="24"/>
        <v>0</v>
      </c>
      <c r="I27" s="214">
        <f t="shared" si="24"/>
        <v>93.26</v>
      </c>
      <c r="J27" s="214">
        <f t="shared" si="24"/>
        <v>93.26</v>
      </c>
      <c r="K27" s="214">
        <f t="shared" si="24"/>
        <v>0</v>
      </c>
      <c r="L27" s="194">
        <f>F27-SUM(G27:K27)</f>
        <v>0</v>
      </c>
      <c r="N27" s="195"/>
      <c r="O27" s="195"/>
      <c r="P27" s="195">
        <v>0.5</v>
      </c>
      <c r="Q27" s="195">
        <v>0.5</v>
      </c>
      <c r="R27" s="195"/>
      <c r="T27" s="247">
        <f t="shared" si="25"/>
        <v>0</v>
      </c>
      <c r="U27" s="247">
        <f t="shared" si="26"/>
        <v>0</v>
      </c>
      <c r="V27" s="247">
        <f>+$D27*P27*12*0.025</f>
        <v>1.284</v>
      </c>
      <c r="W27" s="247">
        <f>+$D27*Q27*12*0.025</f>
        <v>1.284</v>
      </c>
      <c r="X27" s="247">
        <f t="shared" si="28"/>
        <v>0</v>
      </c>
      <c r="Y27" s="247"/>
    </row>
    <row r="28" spans="1:30" x14ac:dyDescent="0.25">
      <c r="A28" s="190" t="s">
        <v>90</v>
      </c>
      <c r="B28" s="182" t="s">
        <v>154</v>
      </c>
      <c r="C28" s="185"/>
      <c r="D28" s="201"/>
      <c r="E28" s="51"/>
      <c r="F28" s="180"/>
      <c r="G28" s="213"/>
      <c r="H28" s="213"/>
      <c r="I28" s="213"/>
      <c r="J28" s="213"/>
      <c r="K28" s="213"/>
      <c r="L28" s="194"/>
      <c r="N28" s="195"/>
      <c r="O28" s="195"/>
      <c r="P28" s="195"/>
      <c r="Q28" s="195"/>
      <c r="R28" s="195"/>
    </row>
    <row r="29" spans="1:30" x14ac:dyDescent="0.25">
      <c r="A29" s="190" t="s">
        <v>91</v>
      </c>
      <c r="B29" s="182" t="s">
        <v>155</v>
      </c>
      <c r="C29" s="185"/>
      <c r="D29" s="201"/>
      <c r="E29" s="51"/>
      <c r="F29" s="180"/>
      <c r="G29" s="213"/>
      <c r="H29" s="213"/>
      <c r="I29" s="213"/>
      <c r="J29" s="213"/>
      <c r="K29" s="213"/>
      <c r="L29" s="194"/>
      <c r="N29" s="195"/>
      <c r="O29" s="195"/>
      <c r="P29" s="195"/>
      <c r="Q29" s="195"/>
      <c r="R29" s="195"/>
      <c r="U29" s="194"/>
    </row>
    <row r="30" spans="1:30" x14ac:dyDescent="0.25">
      <c r="A30" s="191" t="s">
        <v>92</v>
      </c>
      <c r="B30" s="184" t="s">
        <v>156</v>
      </c>
      <c r="C30" s="185" t="s">
        <v>62</v>
      </c>
      <c r="D30" s="152">
        <v>323.69</v>
      </c>
      <c r="E30" s="131">
        <v>173.72</v>
      </c>
      <c r="F30" s="126">
        <v>56231.43</v>
      </c>
      <c r="G30" s="214">
        <f>$F30*N30</f>
        <v>0</v>
      </c>
      <c r="H30" s="214">
        <f>$F30*O30</f>
        <v>39362.000999999997</v>
      </c>
      <c r="I30" s="214">
        <f>$F30*P30</f>
        <v>16869.429</v>
      </c>
      <c r="J30" s="214">
        <f>$F30*Q30</f>
        <v>0</v>
      </c>
      <c r="K30" s="214">
        <f>$F30*R30</f>
        <v>0</v>
      </c>
      <c r="L30" s="194">
        <f>F30-SUM(G30:K30)</f>
        <v>0</v>
      </c>
      <c r="N30" s="195"/>
      <c r="O30" s="195">
        <v>0.7</v>
      </c>
      <c r="P30" s="195">
        <v>0.3</v>
      </c>
      <c r="Q30" s="195"/>
      <c r="R30" s="195"/>
      <c r="T30" s="247">
        <f>+$D30*N30</f>
        <v>0</v>
      </c>
      <c r="U30" s="247">
        <f t="shared" ref="U30" si="29">+$D30*O30</f>
        <v>226.58299999999997</v>
      </c>
      <c r="V30" s="247">
        <f t="shared" ref="V30" si="30">+$D30*P30</f>
        <v>97.106999999999999</v>
      </c>
      <c r="W30" s="247">
        <f t="shared" ref="W30" si="31">+$D30*Q30</f>
        <v>0</v>
      </c>
      <c r="X30" s="247">
        <f t="shared" ref="X30" si="32">+$D30*R30</f>
        <v>0</v>
      </c>
      <c r="Y30" s="194">
        <f>+D30+D32+D34</f>
        <v>512.24</v>
      </c>
      <c r="Z30" s="194">
        <f>(+S30+S32+S34)/4</f>
        <v>0</v>
      </c>
      <c r="AA30" s="194">
        <f>(+T30+T32+T34)/4</f>
        <v>40.954999999999998</v>
      </c>
      <c r="AB30" s="194">
        <f t="shared" ref="AB30:AD30" si="33">(+U30+U32+U34)/4</f>
        <v>58.500499999999995</v>
      </c>
      <c r="AC30" s="194">
        <f t="shared" si="33"/>
        <v>28.604500000000002</v>
      </c>
      <c r="AD30" s="194">
        <f t="shared" si="33"/>
        <v>0</v>
      </c>
    </row>
    <row r="31" spans="1:30" x14ac:dyDescent="0.25">
      <c r="A31" s="190" t="s">
        <v>93</v>
      </c>
      <c r="B31" s="182" t="s">
        <v>157</v>
      </c>
      <c r="C31" s="185"/>
      <c r="D31" s="201"/>
      <c r="E31" s="51"/>
      <c r="F31" s="180"/>
      <c r="G31" s="213"/>
      <c r="H31" s="213"/>
      <c r="I31" s="213"/>
      <c r="J31" s="213"/>
      <c r="K31" s="213"/>
      <c r="L31" s="194"/>
      <c r="N31" s="195"/>
      <c r="O31" s="195"/>
      <c r="P31" s="195"/>
      <c r="Q31" s="195"/>
      <c r="R31" s="195"/>
      <c r="T31" s="247"/>
      <c r="U31" s="247"/>
      <c r="V31" s="247"/>
      <c r="W31" s="247"/>
      <c r="X31" s="247"/>
      <c r="Y31" s="194">
        <f>+D33+D35</f>
        <v>350.71999999999997</v>
      </c>
      <c r="Z31" s="194">
        <f>(+S33+S35)/4</f>
        <v>0</v>
      </c>
      <c r="AA31" s="194">
        <f>(+T33+T35)/4</f>
        <v>81.907499999999999</v>
      </c>
      <c r="AB31" s="194">
        <f t="shared" ref="AB31:AD31" si="34">(+U33+U35)/4</f>
        <v>2.3090000000000002</v>
      </c>
      <c r="AC31" s="194">
        <f t="shared" si="34"/>
        <v>3.4634999999999998</v>
      </c>
      <c r="AD31" s="194">
        <f t="shared" si="34"/>
        <v>0</v>
      </c>
    </row>
    <row r="32" spans="1:30" x14ac:dyDescent="0.25">
      <c r="A32" s="191" t="s">
        <v>94</v>
      </c>
      <c r="B32" s="184" t="s">
        <v>158</v>
      </c>
      <c r="C32" s="185" t="s">
        <v>62</v>
      </c>
      <c r="D32" s="152">
        <v>24.73</v>
      </c>
      <c r="E32" s="131">
        <v>179.78</v>
      </c>
      <c r="F32" s="126">
        <v>4445.96</v>
      </c>
      <c r="G32" s="214">
        <f t="shared" ref="G32:K35" si="35">$F32*N32</f>
        <v>0</v>
      </c>
      <c r="H32" s="214">
        <f t="shared" si="35"/>
        <v>1333.788</v>
      </c>
      <c r="I32" s="214">
        <f t="shared" si="35"/>
        <v>3112.172</v>
      </c>
      <c r="J32" s="214">
        <f t="shared" si="35"/>
        <v>0</v>
      </c>
      <c r="K32" s="214">
        <f t="shared" si="35"/>
        <v>0</v>
      </c>
      <c r="L32" s="194">
        <f>F32-SUM(G32:K32)</f>
        <v>0</v>
      </c>
      <c r="N32" s="195"/>
      <c r="O32" s="195">
        <v>0.3</v>
      </c>
      <c r="P32" s="195">
        <v>0.7</v>
      </c>
      <c r="Q32" s="195"/>
      <c r="R32" s="195"/>
      <c r="T32" s="247">
        <f t="shared" ref="T32:T35" si="36">+$D32*N32</f>
        <v>0</v>
      </c>
      <c r="U32" s="247">
        <f t="shared" ref="U32:U35" si="37">+$D32*O32</f>
        <v>7.4189999999999996</v>
      </c>
      <c r="V32" s="247">
        <f t="shared" ref="V32:V35" si="38">+$D32*P32</f>
        <v>17.311</v>
      </c>
      <c r="W32" s="247">
        <f t="shared" ref="W32:W35" si="39">+$D32*Q32</f>
        <v>0</v>
      </c>
      <c r="X32" s="247">
        <f t="shared" ref="X32:X35" si="40">+$D32*R32</f>
        <v>0</v>
      </c>
      <c r="Y32" s="247"/>
    </row>
    <row r="33" spans="1:39" x14ac:dyDescent="0.25">
      <c r="A33" s="191" t="s">
        <v>95</v>
      </c>
      <c r="B33" s="184" t="s">
        <v>159</v>
      </c>
      <c r="C33" s="185" t="s">
        <v>197</v>
      </c>
      <c r="D33" s="152">
        <v>23.09</v>
      </c>
      <c r="E33" s="131">
        <v>46.17</v>
      </c>
      <c r="F33" s="126">
        <v>1066.07</v>
      </c>
      <c r="G33" s="214">
        <f t="shared" si="35"/>
        <v>0</v>
      </c>
      <c r="H33" s="214">
        <f t="shared" si="35"/>
        <v>426.428</v>
      </c>
      <c r="I33" s="214">
        <f t="shared" si="35"/>
        <v>639.64199999999994</v>
      </c>
      <c r="J33" s="214">
        <f t="shared" si="35"/>
        <v>0</v>
      </c>
      <c r="K33" s="214">
        <f t="shared" si="35"/>
        <v>0</v>
      </c>
      <c r="L33" s="194">
        <f>F33-SUM(G33:K33)</f>
        <v>0</v>
      </c>
      <c r="N33" s="195"/>
      <c r="O33" s="195">
        <v>0.4</v>
      </c>
      <c r="P33" s="195">
        <v>0.6</v>
      </c>
      <c r="Q33" s="195"/>
      <c r="R33" s="195"/>
      <c r="T33" s="247">
        <f t="shared" si="36"/>
        <v>0</v>
      </c>
      <c r="U33" s="247">
        <f t="shared" si="37"/>
        <v>9.2360000000000007</v>
      </c>
      <c r="V33" s="247">
        <f t="shared" si="38"/>
        <v>13.853999999999999</v>
      </c>
      <c r="W33" s="247">
        <f t="shared" si="39"/>
        <v>0</v>
      </c>
      <c r="X33" s="247">
        <f t="shared" si="40"/>
        <v>0</v>
      </c>
      <c r="Y33" s="247"/>
    </row>
    <row r="34" spans="1:39" x14ac:dyDescent="0.25">
      <c r="A34" s="191" t="s">
        <v>96</v>
      </c>
      <c r="B34" s="184" t="s">
        <v>160</v>
      </c>
      <c r="C34" s="185" t="s">
        <v>62</v>
      </c>
      <c r="D34" s="152">
        <v>163.82</v>
      </c>
      <c r="E34" s="131">
        <v>179.78</v>
      </c>
      <c r="F34" s="126">
        <v>29451.56</v>
      </c>
      <c r="G34" s="214">
        <f t="shared" si="35"/>
        <v>29451.56</v>
      </c>
      <c r="H34" s="214">
        <f t="shared" si="35"/>
        <v>0</v>
      </c>
      <c r="I34" s="214">
        <f t="shared" si="35"/>
        <v>0</v>
      </c>
      <c r="J34" s="214">
        <f t="shared" si="35"/>
        <v>0</v>
      </c>
      <c r="K34" s="214">
        <f t="shared" si="35"/>
        <v>0</v>
      </c>
      <c r="L34" s="194">
        <f>F34-SUM(G34:K34)</f>
        <v>0</v>
      </c>
      <c r="N34" s="195">
        <v>1</v>
      </c>
      <c r="O34" s="195"/>
      <c r="P34" s="195"/>
      <c r="Q34" s="195"/>
      <c r="R34" s="195"/>
      <c r="T34" s="247">
        <f t="shared" si="36"/>
        <v>163.82</v>
      </c>
      <c r="U34" s="247">
        <f t="shared" si="37"/>
        <v>0</v>
      </c>
      <c r="V34" s="247">
        <f t="shared" si="38"/>
        <v>0</v>
      </c>
      <c r="W34" s="247">
        <f t="shared" si="39"/>
        <v>0</v>
      </c>
      <c r="X34" s="247">
        <f t="shared" si="40"/>
        <v>0</v>
      </c>
      <c r="Y34" s="247"/>
    </row>
    <row r="35" spans="1:39" x14ac:dyDescent="0.25">
      <c r="A35" s="191" t="s">
        <v>97</v>
      </c>
      <c r="B35" s="184" t="s">
        <v>161</v>
      </c>
      <c r="C35" s="185" t="s">
        <v>197</v>
      </c>
      <c r="D35" s="152">
        <v>327.63</v>
      </c>
      <c r="E35" s="131">
        <v>37.47</v>
      </c>
      <c r="F35" s="126">
        <v>12276.3</v>
      </c>
      <c r="G35" s="214">
        <f t="shared" si="35"/>
        <v>12276.3</v>
      </c>
      <c r="H35" s="214">
        <f t="shared" si="35"/>
        <v>0</v>
      </c>
      <c r="I35" s="214">
        <f t="shared" si="35"/>
        <v>0</v>
      </c>
      <c r="J35" s="214">
        <f t="shared" si="35"/>
        <v>0</v>
      </c>
      <c r="K35" s="214">
        <f t="shared" si="35"/>
        <v>0</v>
      </c>
      <c r="L35" s="194">
        <f>F35-SUM(G35:K35)</f>
        <v>0</v>
      </c>
      <c r="N35" s="195">
        <v>1</v>
      </c>
      <c r="O35" s="195"/>
      <c r="P35" s="195"/>
      <c r="Q35" s="195"/>
      <c r="R35" s="195"/>
      <c r="T35" s="247">
        <f t="shared" si="36"/>
        <v>327.63</v>
      </c>
      <c r="U35" s="247">
        <f t="shared" si="37"/>
        <v>0</v>
      </c>
      <c r="V35" s="247">
        <f t="shared" si="38"/>
        <v>0</v>
      </c>
      <c r="W35" s="247">
        <f t="shared" si="39"/>
        <v>0</v>
      </c>
      <c r="X35" s="247">
        <f t="shared" si="40"/>
        <v>0</v>
      </c>
      <c r="Y35" s="247"/>
    </row>
    <row r="36" spans="1:39" x14ac:dyDescent="0.25">
      <c r="A36" s="190" t="s">
        <v>98</v>
      </c>
      <c r="B36" s="182" t="s">
        <v>162</v>
      </c>
      <c r="C36" s="185"/>
      <c r="D36" s="201"/>
      <c r="E36" s="51"/>
      <c r="F36" s="180"/>
      <c r="G36" s="213"/>
      <c r="H36" s="213"/>
      <c r="I36" s="213"/>
      <c r="J36" s="213"/>
      <c r="K36" s="213"/>
      <c r="L36" s="194"/>
      <c r="N36" s="195"/>
      <c r="O36" s="195"/>
      <c r="P36" s="195"/>
      <c r="Q36" s="195"/>
      <c r="R36" s="195"/>
      <c r="T36" s="247"/>
      <c r="U36" s="247"/>
      <c r="V36" s="247"/>
      <c r="W36" s="247"/>
      <c r="X36" s="247"/>
      <c r="Y36" s="247"/>
    </row>
    <row r="37" spans="1:39" x14ac:dyDescent="0.25">
      <c r="A37" s="191" t="s">
        <v>99</v>
      </c>
      <c r="B37" s="184" t="s">
        <v>163</v>
      </c>
      <c r="C37" s="185" t="s">
        <v>62</v>
      </c>
      <c r="D37" s="152">
        <v>3.21</v>
      </c>
      <c r="E37" s="131">
        <v>260.59000000000003</v>
      </c>
      <c r="F37" s="126">
        <v>836.49</v>
      </c>
      <c r="G37" s="214">
        <f t="shared" ref="G37:K38" si="41">$F37*N37</f>
        <v>0</v>
      </c>
      <c r="H37" s="214">
        <f t="shared" si="41"/>
        <v>0</v>
      </c>
      <c r="I37" s="214">
        <f t="shared" si="41"/>
        <v>418.245</v>
      </c>
      <c r="J37" s="214">
        <f t="shared" si="41"/>
        <v>418.245</v>
      </c>
      <c r="K37" s="214">
        <f t="shared" si="41"/>
        <v>0</v>
      </c>
      <c r="L37" s="194">
        <f>F37-SUM(G37:K37)</f>
        <v>0</v>
      </c>
      <c r="N37" s="195"/>
      <c r="O37" s="195"/>
      <c r="P37" s="195">
        <v>0.5</v>
      </c>
      <c r="Q37" s="195">
        <v>0.5</v>
      </c>
      <c r="R37" s="195"/>
      <c r="T37" s="247">
        <f t="shared" ref="T37:T38" si="42">+$D37*N37</f>
        <v>0</v>
      </c>
      <c r="U37" s="247">
        <f t="shared" ref="U37:U38" si="43">+$D37*O37</f>
        <v>0</v>
      </c>
      <c r="V37" s="247">
        <f t="shared" ref="V37:V38" si="44">+$D37*P37</f>
        <v>1.605</v>
      </c>
      <c r="W37" s="247">
        <f t="shared" ref="W37:W38" si="45">+$D37*Q37</f>
        <v>1.605</v>
      </c>
      <c r="X37" s="247">
        <f t="shared" ref="X37:X38" si="46">+$D37*R37</f>
        <v>0</v>
      </c>
      <c r="Y37" s="247"/>
    </row>
    <row r="38" spans="1:39" x14ac:dyDescent="0.25">
      <c r="A38" s="191" t="s">
        <v>100</v>
      </c>
      <c r="B38" s="184" t="s">
        <v>164</v>
      </c>
      <c r="C38" s="185" t="s">
        <v>197</v>
      </c>
      <c r="D38" s="152">
        <v>43.95</v>
      </c>
      <c r="E38" s="131">
        <v>37.700000000000003</v>
      </c>
      <c r="F38" s="126">
        <v>1656.92</v>
      </c>
      <c r="G38" s="214">
        <f t="shared" si="41"/>
        <v>0</v>
      </c>
      <c r="H38" s="214">
        <f t="shared" si="41"/>
        <v>662.76800000000003</v>
      </c>
      <c r="I38" s="214">
        <f t="shared" si="41"/>
        <v>662.76800000000003</v>
      </c>
      <c r="J38" s="214">
        <f t="shared" si="41"/>
        <v>331.38400000000001</v>
      </c>
      <c r="K38" s="214">
        <f t="shared" si="41"/>
        <v>0</v>
      </c>
      <c r="L38" s="194">
        <f>F38-SUM(G38:K38)</f>
        <v>0</v>
      </c>
      <c r="N38" s="195"/>
      <c r="O38" s="195">
        <v>0.4</v>
      </c>
      <c r="P38" s="195">
        <v>0.4</v>
      </c>
      <c r="Q38" s="195">
        <v>0.2</v>
      </c>
      <c r="R38" s="195"/>
      <c r="T38" s="247">
        <f t="shared" si="42"/>
        <v>0</v>
      </c>
      <c r="U38" s="247">
        <f t="shared" si="43"/>
        <v>17.580000000000002</v>
      </c>
      <c r="V38" s="247">
        <f t="shared" si="44"/>
        <v>17.580000000000002</v>
      </c>
      <c r="W38" s="247">
        <f t="shared" si="45"/>
        <v>8.7900000000000009</v>
      </c>
      <c r="X38" s="247">
        <f t="shared" si="46"/>
        <v>0</v>
      </c>
      <c r="Y38" s="247"/>
    </row>
    <row r="39" spans="1:39" x14ac:dyDescent="0.25">
      <c r="A39" s="190" t="s">
        <v>101</v>
      </c>
      <c r="B39" s="182" t="s">
        <v>165</v>
      </c>
      <c r="C39" s="185"/>
      <c r="D39" s="201"/>
      <c r="E39" s="51"/>
      <c r="F39" s="180"/>
      <c r="G39" s="213"/>
      <c r="H39" s="213"/>
      <c r="I39" s="213"/>
      <c r="J39" s="213"/>
      <c r="K39" s="213"/>
      <c r="L39" s="194"/>
      <c r="N39" s="195"/>
      <c r="O39" s="195"/>
      <c r="P39" s="195"/>
      <c r="Q39" s="195"/>
      <c r="R39" s="195"/>
      <c r="T39" s="247"/>
      <c r="U39" s="247"/>
      <c r="V39" s="247"/>
      <c r="W39" s="247"/>
      <c r="X39" s="247"/>
      <c r="Y39" s="247"/>
    </row>
    <row r="40" spans="1:39" x14ac:dyDescent="0.25">
      <c r="A40" s="190" t="s">
        <v>102</v>
      </c>
      <c r="B40" s="182" t="s">
        <v>166</v>
      </c>
      <c r="C40" s="185"/>
      <c r="D40" s="201"/>
      <c r="E40" s="51"/>
      <c r="F40" s="180"/>
      <c r="G40" s="213"/>
      <c r="H40" s="213"/>
      <c r="I40" s="213"/>
      <c r="J40" s="213"/>
      <c r="K40" s="213"/>
      <c r="L40" s="194"/>
      <c r="N40" s="195"/>
      <c r="O40" s="195"/>
      <c r="P40" s="195"/>
      <c r="Q40" s="195"/>
      <c r="R40" s="195"/>
      <c r="T40" s="247"/>
      <c r="U40" s="247"/>
      <c r="V40" s="247"/>
      <c r="W40" s="247"/>
      <c r="X40" s="247"/>
      <c r="Y40" s="247"/>
    </row>
    <row r="41" spans="1:39" x14ac:dyDescent="0.25">
      <c r="A41" s="191" t="s">
        <v>103</v>
      </c>
      <c r="B41" s="184" t="s">
        <v>167</v>
      </c>
      <c r="C41" s="185" t="s">
        <v>62</v>
      </c>
      <c r="D41" s="152">
        <v>396.75</v>
      </c>
      <c r="E41" s="131">
        <v>292.79000000000002</v>
      </c>
      <c r="F41" s="126">
        <v>116164.43</v>
      </c>
      <c r="G41" s="214">
        <f t="shared" ref="G41:K42" si="47">$F41*N41</f>
        <v>0</v>
      </c>
      <c r="H41" s="214">
        <f t="shared" si="47"/>
        <v>58082.214999999997</v>
      </c>
      <c r="I41" s="214">
        <f t="shared" si="47"/>
        <v>58082.214999999997</v>
      </c>
      <c r="J41" s="214">
        <f t="shared" si="47"/>
        <v>0</v>
      </c>
      <c r="K41" s="214">
        <f t="shared" si="47"/>
        <v>0</v>
      </c>
      <c r="L41" s="194">
        <f>F41-SUM(G41:K41)</f>
        <v>0</v>
      </c>
      <c r="N41" s="195"/>
      <c r="O41" s="195">
        <v>0.5</v>
      </c>
      <c r="P41" s="195">
        <v>0.5</v>
      </c>
      <c r="Q41" s="195"/>
      <c r="R41" s="195"/>
      <c r="T41" s="247">
        <f t="shared" ref="T41:T42" si="48">+$D41*N41</f>
        <v>0</v>
      </c>
      <c r="U41" s="247">
        <f t="shared" ref="U41:U42" si="49">+$D41*O41</f>
        <v>198.375</v>
      </c>
      <c r="V41" s="247">
        <f t="shared" ref="V41:V42" si="50">+$D41*P41</f>
        <v>198.375</v>
      </c>
      <c r="W41" s="247">
        <f t="shared" ref="W41:W42" si="51">+$D41*Q41</f>
        <v>0</v>
      </c>
      <c r="X41" s="247">
        <f t="shared" ref="X41:X42" si="52">+$D41*R41</f>
        <v>0</v>
      </c>
      <c r="Y41" s="247"/>
      <c r="Z41" s="194">
        <f>(T41+T44+T47+T51+T55+T59+T63+T68)/4</f>
        <v>0</v>
      </c>
      <c r="AA41" s="247">
        <f t="shared" ref="AA41:AD41" si="53">(U41+U44+U47+U51+U55+U59+U63+U68)/4</f>
        <v>49.59375</v>
      </c>
      <c r="AB41" s="247">
        <f t="shared" si="53"/>
        <v>89.075249999999997</v>
      </c>
      <c r="AC41" s="247">
        <f t="shared" si="53"/>
        <v>43.993999999999993</v>
      </c>
      <c r="AD41" s="247">
        <f t="shared" si="53"/>
        <v>11.782</v>
      </c>
      <c r="AF41" s="194">
        <f>+D41+D44+D47+D51+D55+D59+D63+(D68*0.25)</f>
        <v>768.54750000000001</v>
      </c>
      <c r="AG41" s="194">
        <f>(+T41+T44+T47+T51+T55+T59+T63+(T68*0.25))/4</f>
        <v>0</v>
      </c>
      <c r="AH41" s="194">
        <f>(+U41+U44+U47+U51+U55+U59+U63+(U68*0.25))/4</f>
        <v>49.59375</v>
      </c>
      <c r="AI41" s="194">
        <f t="shared" ref="AI41:AK41" si="54">(+V41+V44+V47+V51+V55+V59+V63+(V68*0.25))/4</f>
        <v>89.075249999999997</v>
      </c>
      <c r="AJ41" s="194">
        <f t="shared" si="54"/>
        <v>42.609124999999992</v>
      </c>
      <c r="AK41" s="194">
        <f t="shared" si="54"/>
        <v>10.858750000000001</v>
      </c>
      <c r="AL41" s="194"/>
      <c r="AM41" s="194"/>
    </row>
    <row r="42" spans="1:39" x14ac:dyDescent="0.25">
      <c r="A42" s="191" t="s">
        <v>104</v>
      </c>
      <c r="B42" s="184" t="s">
        <v>168</v>
      </c>
      <c r="C42" s="185" t="s">
        <v>198</v>
      </c>
      <c r="D42" s="152">
        <v>17534.91</v>
      </c>
      <c r="E42" s="131">
        <v>4.0200000000000005</v>
      </c>
      <c r="F42" s="126">
        <v>70490.34</v>
      </c>
      <c r="G42" s="214">
        <f t="shared" si="47"/>
        <v>0</v>
      </c>
      <c r="H42" s="214">
        <f t="shared" si="47"/>
        <v>35245.17</v>
      </c>
      <c r="I42" s="214">
        <f t="shared" si="47"/>
        <v>35245.17</v>
      </c>
      <c r="J42" s="214">
        <f t="shared" si="47"/>
        <v>0</v>
      </c>
      <c r="K42" s="214">
        <f t="shared" si="47"/>
        <v>0</v>
      </c>
      <c r="L42" s="194">
        <f>F42-SUM(G42:K42)</f>
        <v>0</v>
      </c>
      <c r="N42" s="195"/>
      <c r="O42" s="195">
        <v>0.5</v>
      </c>
      <c r="P42" s="195">
        <v>0.5</v>
      </c>
      <c r="Q42" s="195"/>
      <c r="R42" s="195"/>
      <c r="T42" s="247">
        <f t="shared" si="48"/>
        <v>0</v>
      </c>
      <c r="U42" s="247">
        <f t="shared" si="49"/>
        <v>8767.4549999999999</v>
      </c>
      <c r="V42" s="247">
        <f t="shared" si="50"/>
        <v>8767.4549999999999</v>
      </c>
      <c r="W42" s="247">
        <f t="shared" si="51"/>
        <v>0</v>
      </c>
      <c r="X42" s="247">
        <f t="shared" si="52"/>
        <v>0</v>
      </c>
      <c r="Y42" s="247"/>
      <c r="Z42" s="247">
        <f>+(T45+T48+T52+T56+T60+T64+T69)/4</f>
        <v>0</v>
      </c>
      <c r="AA42" s="247">
        <f t="shared" ref="AA42:AD42" si="55">+(U45+U48+U52+U56+U60+U64+U69)/4</f>
        <v>271.29624999999999</v>
      </c>
      <c r="AB42" s="247">
        <f t="shared" si="55"/>
        <v>274.14</v>
      </c>
      <c r="AC42" s="247">
        <f t="shared" si="55"/>
        <v>368.36375000000004</v>
      </c>
      <c r="AD42" s="247">
        <f t="shared" si="55"/>
        <v>0</v>
      </c>
    </row>
    <row r="43" spans="1:39" x14ac:dyDescent="0.25">
      <c r="A43" s="190" t="s">
        <v>105</v>
      </c>
      <c r="B43" s="182" t="s">
        <v>169</v>
      </c>
      <c r="C43" s="185"/>
      <c r="D43" s="201"/>
      <c r="E43" s="51"/>
      <c r="F43" s="180"/>
      <c r="G43" s="213"/>
      <c r="H43" s="213"/>
      <c r="I43" s="213"/>
      <c r="J43" s="213"/>
      <c r="K43" s="213"/>
      <c r="L43" s="194"/>
      <c r="N43" s="195"/>
      <c r="O43" s="195"/>
      <c r="P43" s="195"/>
      <c r="Q43" s="195"/>
      <c r="R43" s="195"/>
      <c r="T43" s="247"/>
      <c r="U43" s="247"/>
      <c r="V43" s="247"/>
      <c r="W43" s="247"/>
      <c r="X43" s="247"/>
      <c r="Y43" s="247"/>
      <c r="Z43" s="247">
        <f>+(T42+T49+T57+T61+T65+T70)/4</f>
        <v>0</v>
      </c>
      <c r="AA43" s="247">
        <f t="shared" ref="AA43:AD43" si="56">+(U42+U49+U57+U61+U65+U70)/4</f>
        <v>5446.0062500000004</v>
      </c>
      <c r="AB43" s="247">
        <f t="shared" si="56"/>
        <v>4389.4740000000002</v>
      </c>
      <c r="AC43" s="247">
        <f t="shared" si="56"/>
        <v>545.69475000000011</v>
      </c>
      <c r="AD43" s="247">
        <f t="shared" si="56"/>
        <v>0</v>
      </c>
      <c r="AF43" s="194">
        <f>+D42+D46+D49+D53+D57+D61+D65+D70</f>
        <v>53548.070000000007</v>
      </c>
      <c r="AG43" s="194">
        <f>(T42+T46+T49+T53+T57+T61+T65+T70)/4</f>
        <v>0</v>
      </c>
      <c r="AH43" s="194">
        <f t="shared" ref="AH43:AK43" si="57">(U42+U46+U49+U53+U57+U61+U65+U70)/4</f>
        <v>5519.3924999999999</v>
      </c>
      <c r="AI43" s="194">
        <f t="shared" si="57"/>
        <v>6161.5282499999994</v>
      </c>
      <c r="AJ43" s="194">
        <f t="shared" si="57"/>
        <v>1706.0967500000002</v>
      </c>
      <c r="AK43" s="194">
        <f t="shared" si="57"/>
        <v>0</v>
      </c>
      <c r="AL43" s="194"/>
    </row>
    <row r="44" spans="1:39" x14ac:dyDescent="0.25">
      <c r="A44" s="191" t="s">
        <v>106</v>
      </c>
      <c r="B44" s="184" t="s">
        <v>170</v>
      </c>
      <c r="C44" s="185" t="s">
        <v>62</v>
      </c>
      <c r="D44" s="152">
        <v>6.69</v>
      </c>
      <c r="E44" s="131">
        <v>454.82</v>
      </c>
      <c r="F44" s="126">
        <v>3042.75</v>
      </c>
      <c r="G44" s="214">
        <f t="shared" ref="G44:K49" si="58">$F44*N44</f>
        <v>0</v>
      </c>
      <c r="H44" s="214">
        <f t="shared" si="58"/>
        <v>0</v>
      </c>
      <c r="I44" s="214">
        <f t="shared" si="58"/>
        <v>1825.6499999999999</v>
      </c>
      <c r="J44" s="214">
        <f t="shared" si="58"/>
        <v>1217.1000000000001</v>
      </c>
      <c r="K44" s="214">
        <f t="shared" si="58"/>
        <v>0</v>
      </c>
      <c r="L44" s="194">
        <f t="shared" ref="L44:L49" si="59">F44-SUM(G44:K44)</f>
        <v>0</v>
      </c>
      <c r="N44" s="195"/>
      <c r="O44" s="195"/>
      <c r="P44" s="195">
        <v>0.6</v>
      </c>
      <c r="Q44" s="195">
        <v>0.4</v>
      </c>
      <c r="R44" s="195"/>
      <c r="T44" s="247">
        <f t="shared" ref="T44:T49" si="60">+$D44*N44</f>
        <v>0</v>
      </c>
      <c r="U44" s="247">
        <f t="shared" ref="U44:U49" si="61">+$D44*O44</f>
        <v>0</v>
      </c>
      <c r="V44" s="247">
        <f t="shared" ref="V44:V49" si="62">+$D44*P44</f>
        <v>4.0140000000000002</v>
      </c>
      <c r="W44" s="247">
        <f t="shared" ref="W44:W49" si="63">+$D44*Q44</f>
        <v>2.6760000000000002</v>
      </c>
      <c r="X44" s="247">
        <f t="shared" ref="X44:X49" si="64">+$D44*R44</f>
        <v>0</v>
      </c>
      <c r="Y44" s="247"/>
    </row>
    <row r="45" spans="1:39" x14ac:dyDescent="0.25">
      <c r="A45" s="191" t="s">
        <v>107</v>
      </c>
      <c r="B45" s="184" t="s">
        <v>171</v>
      </c>
      <c r="C45" s="185" t="s">
        <v>197</v>
      </c>
      <c r="D45" s="152">
        <v>74.180000000000007</v>
      </c>
      <c r="E45" s="131">
        <v>59.78</v>
      </c>
      <c r="F45" s="126">
        <v>4434.4799999999996</v>
      </c>
      <c r="G45" s="214">
        <f t="shared" si="58"/>
        <v>0</v>
      </c>
      <c r="H45" s="214">
        <f t="shared" si="58"/>
        <v>2217.2399999999998</v>
      </c>
      <c r="I45" s="214">
        <f t="shared" si="58"/>
        <v>1330.3439999999998</v>
      </c>
      <c r="J45" s="214">
        <f t="shared" si="58"/>
        <v>886.89599999999996</v>
      </c>
      <c r="K45" s="214">
        <f t="shared" si="58"/>
        <v>0</v>
      </c>
      <c r="L45" s="194">
        <f t="shared" si="59"/>
        <v>0</v>
      </c>
      <c r="N45" s="195"/>
      <c r="O45" s="195">
        <v>0.5</v>
      </c>
      <c r="P45" s="195">
        <v>0.3</v>
      </c>
      <c r="Q45" s="195">
        <v>0.2</v>
      </c>
      <c r="R45" s="195"/>
      <c r="T45" s="247">
        <f t="shared" si="60"/>
        <v>0</v>
      </c>
      <c r="U45" s="247">
        <f t="shared" si="61"/>
        <v>37.090000000000003</v>
      </c>
      <c r="V45" s="247">
        <f t="shared" si="62"/>
        <v>22.254000000000001</v>
      </c>
      <c r="W45" s="247">
        <f t="shared" si="63"/>
        <v>14.836000000000002</v>
      </c>
      <c r="X45" s="247">
        <f t="shared" si="64"/>
        <v>0</v>
      </c>
      <c r="Y45" s="247"/>
    </row>
    <row r="46" spans="1:39" x14ac:dyDescent="0.25">
      <c r="A46" s="191" t="s">
        <v>108</v>
      </c>
      <c r="B46" s="184" t="s">
        <v>172</v>
      </c>
      <c r="C46" s="185" t="s">
        <v>198</v>
      </c>
      <c r="D46" s="152">
        <v>419.35</v>
      </c>
      <c r="E46" s="131">
        <v>4.0200000000000005</v>
      </c>
      <c r="F46" s="126">
        <v>1685.79</v>
      </c>
      <c r="G46" s="214">
        <f t="shared" si="58"/>
        <v>0</v>
      </c>
      <c r="H46" s="214">
        <f t="shared" si="58"/>
        <v>1180.0529999999999</v>
      </c>
      <c r="I46" s="214">
        <f t="shared" si="58"/>
        <v>505.73699999999997</v>
      </c>
      <c r="J46" s="214">
        <f t="shared" si="58"/>
        <v>0</v>
      </c>
      <c r="K46" s="214">
        <f t="shared" si="58"/>
        <v>0</v>
      </c>
      <c r="L46" s="194">
        <f t="shared" si="59"/>
        <v>0</v>
      </c>
      <c r="N46" s="195"/>
      <c r="O46" s="195">
        <v>0.7</v>
      </c>
      <c r="P46" s="195">
        <v>0.3</v>
      </c>
      <c r="Q46" s="195"/>
      <c r="R46" s="195"/>
      <c r="T46" s="247">
        <f t="shared" si="60"/>
        <v>0</v>
      </c>
      <c r="U46" s="247">
        <f t="shared" si="61"/>
        <v>293.54500000000002</v>
      </c>
      <c r="V46" s="247">
        <f t="shared" si="62"/>
        <v>125.80500000000001</v>
      </c>
      <c r="W46" s="247">
        <f t="shared" si="63"/>
        <v>0</v>
      </c>
      <c r="X46" s="247">
        <f t="shared" si="64"/>
        <v>0</v>
      </c>
      <c r="Y46" s="247"/>
    </row>
    <row r="47" spans="1:39" x14ac:dyDescent="0.25">
      <c r="A47" s="191" t="s">
        <v>109</v>
      </c>
      <c r="B47" s="184" t="s">
        <v>173</v>
      </c>
      <c r="C47" s="185" t="s">
        <v>62</v>
      </c>
      <c r="D47" s="152">
        <v>256.52</v>
      </c>
      <c r="E47" s="131">
        <v>417.41</v>
      </c>
      <c r="F47" s="126">
        <v>107074.01</v>
      </c>
      <c r="G47" s="214">
        <f t="shared" si="58"/>
        <v>0</v>
      </c>
      <c r="H47" s="214">
        <f t="shared" si="58"/>
        <v>0</v>
      </c>
      <c r="I47" s="214">
        <f t="shared" si="58"/>
        <v>64244.405999999995</v>
      </c>
      <c r="J47" s="214">
        <f t="shared" si="58"/>
        <v>42829.603999999999</v>
      </c>
      <c r="K47" s="214">
        <f t="shared" si="58"/>
        <v>0</v>
      </c>
      <c r="L47" s="194">
        <f t="shared" si="59"/>
        <v>0</v>
      </c>
      <c r="N47" s="195"/>
      <c r="O47" s="195"/>
      <c r="P47" s="195">
        <v>0.6</v>
      </c>
      <c r="Q47" s="195">
        <v>0.4</v>
      </c>
      <c r="R47" s="195"/>
      <c r="T47" s="247">
        <f t="shared" si="60"/>
        <v>0</v>
      </c>
      <c r="U47" s="247">
        <f t="shared" si="61"/>
        <v>0</v>
      </c>
      <c r="V47" s="247">
        <f t="shared" si="62"/>
        <v>153.91199999999998</v>
      </c>
      <c r="W47" s="247">
        <f t="shared" si="63"/>
        <v>102.608</v>
      </c>
      <c r="X47" s="247">
        <f t="shared" si="64"/>
        <v>0</v>
      </c>
      <c r="Y47" s="247"/>
    </row>
    <row r="48" spans="1:39" x14ac:dyDescent="0.25">
      <c r="A48" s="191" t="s">
        <v>110</v>
      </c>
      <c r="B48" s="184" t="s">
        <v>174</v>
      </c>
      <c r="C48" s="185" t="s">
        <v>197</v>
      </c>
      <c r="D48" s="152">
        <v>2096.19</v>
      </c>
      <c r="E48" s="131">
        <v>51.21</v>
      </c>
      <c r="F48" s="126">
        <v>107345.89</v>
      </c>
      <c r="G48" s="214">
        <f t="shared" si="58"/>
        <v>0</v>
      </c>
      <c r="H48" s="214">
        <f t="shared" si="58"/>
        <v>53672.945</v>
      </c>
      <c r="I48" s="214">
        <f t="shared" si="58"/>
        <v>32203.767</v>
      </c>
      <c r="J48" s="214">
        <f t="shared" si="58"/>
        <v>21469.178</v>
      </c>
      <c r="K48" s="214">
        <f t="shared" si="58"/>
        <v>0</v>
      </c>
      <c r="L48" s="194">
        <f t="shared" si="59"/>
        <v>0</v>
      </c>
      <c r="N48" s="195"/>
      <c r="O48" s="195">
        <v>0.5</v>
      </c>
      <c r="P48" s="195">
        <v>0.3</v>
      </c>
      <c r="Q48" s="195">
        <v>0.2</v>
      </c>
      <c r="R48" s="195"/>
      <c r="T48" s="247">
        <f t="shared" si="60"/>
        <v>0</v>
      </c>
      <c r="U48" s="247">
        <f t="shared" si="61"/>
        <v>1048.095</v>
      </c>
      <c r="V48" s="247">
        <f t="shared" si="62"/>
        <v>628.85699999999997</v>
      </c>
      <c r="W48" s="247">
        <f t="shared" si="63"/>
        <v>419.23800000000006</v>
      </c>
      <c r="X48" s="247">
        <f t="shared" si="64"/>
        <v>0</v>
      </c>
      <c r="Y48" s="247"/>
    </row>
    <row r="49" spans="1:25" x14ac:dyDescent="0.25">
      <c r="A49" s="191" t="s">
        <v>111</v>
      </c>
      <c r="B49" s="184" t="s">
        <v>175</v>
      </c>
      <c r="C49" s="185" t="s">
        <v>199</v>
      </c>
      <c r="D49" s="152">
        <v>18595.100000000002</v>
      </c>
      <c r="E49" s="131">
        <v>4.0200000000000005</v>
      </c>
      <c r="F49" s="126">
        <v>74752.3</v>
      </c>
      <c r="G49" s="214">
        <f t="shared" si="58"/>
        <v>0</v>
      </c>
      <c r="H49" s="214">
        <f t="shared" si="58"/>
        <v>52326.61</v>
      </c>
      <c r="I49" s="214">
        <f t="shared" si="58"/>
        <v>22425.69</v>
      </c>
      <c r="J49" s="214">
        <f t="shared" si="58"/>
        <v>0</v>
      </c>
      <c r="K49" s="214">
        <f t="shared" si="58"/>
        <v>0</v>
      </c>
      <c r="L49" s="194">
        <f t="shared" si="59"/>
        <v>0</v>
      </c>
      <c r="N49" s="195"/>
      <c r="O49" s="195">
        <v>0.7</v>
      </c>
      <c r="P49" s="195">
        <v>0.3</v>
      </c>
      <c r="Q49" s="195"/>
      <c r="R49" s="195"/>
      <c r="T49" s="247">
        <f t="shared" si="60"/>
        <v>0</v>
      </c>
      <c r="U49" s="247">
        <f t="shared" si="61"/>
        <v>13016.570000000002</v>
      </c>
      <c r="V49" s="247">
        <f t="shared" si="62"/>
        <v>5578.5300000000007</v>
      </c>
      <c r="W49" s="247">
        <f t="shared" si="63"/>
        <v>0</v>
      </c>
      <c r="X49" s="247">
        <f t="shared" si="64"/>
        <v>0</v>
      </c>
      <c r="Y49" s="247"/>
    </row>
    <row r="50" spans="1:25" x14ac:dyDescent="0.25">
      <c r="A50" s="190" t="s">
        <v>112</v>
      </c>
      <c r="B50" s="182" t="s">
        <v>176</v>
      </c>
      <c r="C50" s="185"/>
      <c r="D50" s="201"/>
      <c r="E50" s="51"/>
      <c r="F50" s="180"/>
      <c r="G50" s="213"/>
      <c r="H50" s="213"/>
      <c r="I50" s="213"/>
      <c r="J50" s="213"/>
      <c r="K50" s="213"/>
      <c r="L50" s="194"/>
      <c r="N50" s="195"/>
      <c r="O50" s="195"/>
      <c r="P50" s="195"/>
      <c r="Q50" s="195"/>
      <c r="R50" s="195"/>
      <c r="T50" s="247"/>
      <c r="U50" s="247"/>
      <c r="V50" s="247"/>
      <c r="W50" s="247"/>
      <c r="X50" s="247"/>
      <c r="Y50" s="247"/>
    </row>
    <row r="51" spans="1:25" x14ac:dyDescent="0.25">
      <c r="A51" s="192" t="s">
        <v>113</v>
      </c>
      <c r="B51" s="186" t="s">
        <v>177</v>
      </c>
      <c r="C51" s="185" t="s">
        <v>62</v>
      </c>
      <c r="D51" s="152">
        <v>66.63</v>
      </c>
      <c r="E51" s="131">
        <v>442.62</v>
      </c>
      <c r="F51" s="126">
        <v>29491.77</v>
      </c>
      <c r="G51" s="214">
        <f t="shared" ref="G51:K53" si="65">$F51*N51</f>
        <v>0</v>
      </c>
      <c r="H51" s="214">
        <f t="shared" si="65"/>
        <v>0</v>
      </c>
      <c r="I51" s="214">
        <f t="shared" si="65"/>
        <v>0</v>
      </c>
      <c r="J51" s="214">
        <f t="shared" si="65"/>
        <v>17695.061999999998</v>
      </c>
      <c r="K51" s="214">
        <f t="shared" si="65"/>
        <v>11796.708000000001</v>
      </c>
      <c r="L51" s="194">
        <f>F51-SUM(G51:K51)</f>
        <v>0</v>
      </c>
      <c r="N51" s="195"/>
      <c r="O51" s="195"/>
      <c r="P51" s="195"/>
      <c r="Q51" s="195">
        <v>0.6</v>
      </c>
      <c r="R51" s="195">
        <v>0.4</v>
      </c>
      <c r="T51" s="247">
        <f t="shared" ref="T51:T53" si="66">+$D51*N51</f>
        <v>0</v>
      </c>
      <c r="U51" s="247">
        <f t="shared" ref="U51:U53" si="67">+$D51*O51</f>
        <v>0</v>
      </c>
      <c r="V51" s="247">
        <f t="shared" ref="V51:V53" si="68">+$D51*P51</f>
        <v>0</v>
      </c>
      <c r="W51" s="247">
        <f t="shared" ref="W51:W53" si="69">+$D51*Q51</f>
        <v>39.977999999999994</v>
      </c>
      <c r="X51" s="247">
        <f t="shared" ref="X51:X53" si="70">+$D51*R51</f>
        <v>26.652000000000001</v>
      </c>
      <c r="Y51" s="247"/>
    </row>
    <row r="52" spans="1:25" x14ac:dyDescent="0.25">
      <c r="A52" s="193" t="s">
        <v>114</v>
      </c>
      <c r="B52" s="187" t="s">
        <v>178</v>
      </c>
      <c r="C52" s="185" t="s">
        <v>197</v>
      </c>
      <c r="D52" s="152">
        <v>901.38</v>
      </c>
      <c r="E52" s="131">
        <v>60.480000000000004</v>
      </c>
      <c r="F52" s="126">
        <v>54515.46</v>
      </c>
      <c r="G52" s="214">
        <f t="shared" si="65"/>
        <v>0</v>
      </c>
      <c r="H52" s="214">
        <f t="shared" si="65"/>
        <v>0</v>
      </c>
      <c r="I52" s="214">
        <f t="shared" si="65"/>
        <v>16354.637999999999</v>
      </c>
      <c r="J52" s="214">
        <f t="shared" si="65"/>
        <v>38160.822</v>
      </c>
      <c r="K52" s="214">
        <f t="shared" si="65"/>
        <v>0</v>
      </c>
      <c r="L52" s="194">
        <f>F52-SUM(G52:K52)</f>
        <v>0</v>
      </c>
      <c r="N52" s="195"/>
      <c r="O52" s="195"/>
      <c r="P52" s="195">
        <v>0.3</v>
      </c>
      <c r="Q52" s="195">
        <v>0.7</v>
      </c>
      <c r="R52" s="195"/>
      <c r="T52" s="247">
        <f t="shared" si="66"/>
        <v>0</v>
      </c>
      <c r="U52" s="247">
        <f t="shared" si="67"/>
        <v>0</v>
      </c>
      <c r="V52" s="247">
        <f t="shared" si="68"/>
        <v>270.41399999999999</v>
      </c>
      <c r="W52" s="247">
        <f t="shared" si="69"/>
        <v>630.96600000000001</v>
      </c>
      <c r="X52" s="247">
        <f t="shared" si="70"/>
        <v>0</v>
      </c>
      <c r="Y52" s="247"/>
    </row>
    <row r="53" spans="1:25" x14ac:dyDescent="0.25">
      <c r="A53" s="191" t="s">
        <v>115</v>
      </c>
      <c r="B53" s="184" t="s">
        <v>179</v>
      </c>
      <c r="C53" s="185" t="s">
        <v>198</v>
      </c>
      <c r="D53" s="152">
        <v>11604.02</v>
      </c>
      <c r="E53" s="131">
        <v>4.0200000000000005</v>
      </c>
      <c r="F53" s="126">
        <v>46648.160000000003</v>
      </c>
      <c r="G53" s="214">
        <f t="shared" si="65"/>
        <v>0</v>
      </c>
      <c r="H53" s="214">
        <f t="shared" si="65"/>
        <v>0</v>
      </c>
      <c r="I53" s="214">
        <f t="shared" si="65"/>
        <v>27988.896000000001</v>
      </c>
      <c r="J53" s="214">
        <f t="shared" si="65"/>
        <v>18659.264000000003</v>
      </c>
      <c r="K53" s="214">
        <f t="shared" si="65"/>
        <v>0</v>
      </c>
      <c r="L53" s="194">
        <f>F53-SUM(G53:K53)</f>
        <v>0</v>
      </c>
      <c r="N53" s="195"/>
      <c r="O53" s="195"/>
      <c r="P53" s="195">
        <v>0.6</v>
      </c>
      <c r="Q53" s="195">
        <v>0.4</v>
      </c>
      <c r="R53" s="195"/>
      <c r="T53" s="247">
        <f t="shared" si="66"/>
        <v>0</v>
      </c>
      <c r="U53" s="247">
        <f t="shared" si="67"/>
        <v>0</v>
      </c>
      <c r="V53" s="247">
        <f t="shared" si="68"/>
        <v>6962.4120000000003</v>
      </c>
      <c r="W53" s="247">
        <f t="shared" si="69"/>
        <v>4641.6080000000002</v>
      </c>
      <c r="X53" s="247">
        <f t="shared" si="70"/>
        <v>0</v>
      </c>
      <c r="Y53" s="247"/>
    </row>
    <row r="54" spans="1:25" x14ac:dyDescent="0.25">
      <c r="A54" s="190" t="s">
        <v>116</v>
      </c>
      <c r="B54" s="182" t="s">
        <v>180</v>
      </c>
      <c r="C54" s="185"/>
      <c r="D54" s="201"/>
      <c r="E54" s="51"/>
      <c r="F54" s="180"/>
      <c r="G54" s="213"/>
      <c r="H54" s="213"/>
      <c r="I54" s="213"/>
      <c r="J54" s="213"/>
      <c r="K54" s="213"/>
      <c r="L54" s="194"/>
      <c r="N54" s="195"/>
      <c r="O54" s="195"/>
      <c r="P54" s="195"/>
      <c r="Q54" s="195"/>
      <c r="R54" s="195"/>
      <c r="T54" s="247"/>
      <c r="U54" s="247"/>
      <c r="V54" s="247"/>
      <c r="W54" s="247"/>
      <c r="X54" s="247"/>
      <c r="Y54" s="247"/>
    </row>
    <row r="55" spans="1:25" x14ac:dyDescent="0.25">
      <c r="A55" s="191" t="s">
        <v>117</v>
      </c>
      <c r="B55" s="184" t="s">
        <v>181</v>
      </c>
      <c r="C55" s="185" t="s">
        <v>62</v>
      </c>
      <c r="D55" s="152">
        <v>36.119999999999997</v>
      </c>
      <c r="E55" s="131">
        <v>325.93</v>
      </c>
      <c r="F55" s="126">
        <v>11772.59</v>
      </c>
      <c r="G55" s="214">
        <f t="shared" ref="G55:K57" si="71">$F55*N55</f>
        <v>0</v>
      </c>
      <c r="H55" s="214">
        <f t="shared" si="71"/>
        <v>0</v>
      </c>
      <c r="I55" s="214">
        <f t="shared" si="71"/>
        <v>0</v>
      </c>
      <c r="J55" s="214">
        <f t="shared" si="71"/>
        <v>7063.5540000000001</v>
      </c>
      <c r="K55" s="214">
        <f t="shared" si="71"/>
        <v>4709.0360000000001</v>
      </c>
      <c r="L55" s="194">
        <f>F55-SUM(G55:K55)</f>
        <v>0</v>
      </c>
      <c r="N55" s="195"/>
      <c r="O55" s="195"/>
      <c r="P55" s="195"/>
      <c r="Q55" s="195">
        <v>0.6</v>
      </c>
      <c r="R55" s="195">
        <v>0.4</v>
      </c>
      <c r="T55" s="247">
        <f t="shared" ref="T55:T57" si="72">+$D55*N55</f>
        <v>0</v>
      </c>
      <c r="U55" s="247">
        <f t="shared" ref="U55:U57" si="73">+$D55*O55</f>
        <v>0</v>
      </c>
      <c r="V55" s="247">
        <f t="shared" ref="V55:V57" si="74">+$D55*P55</f>
        <v>0</v>
      </c>
      <c r="W55" s="247">
        <f t="shared" ref="W55:W57" si="75">+$D55*Q55</f>
        <v>21.671999999999997</v>
      </c>
      <c r="X55" s="247">
        <f t="shared" ref="X55:X57" si="76">+$D55*R55</f>
        <v>14.448</v>
      </c>
      <c r="Y55" s="247"/>
    </row>
    <row r="56" spans="1:25" x14ac:dyDescent="0.25">
      <c r="A56" s="191" t="s">
        <v>118</v>
      </c>
      <c r="B56" s="184" t="s">
        <v>182</v>
      </c>
      <c r="C56" s="185" t="s">
        <v>197</v>
      </c>
      <c r="D56" s="152">
        <v>545.23</v>
      </c>
      <c r="E56" s="131">
        <v>70.38</v>
      </c>
      <c r="F56" s="126">
        <v>38373.29</v>
      </c>
      <c r="G56" s="214">
        <f t="shared" si="71"/>
        <v>0</v>
      </c>
      <c r="H56" s="214">
        <f t="shared" si="71"/>
        <v>0</v>
      </c>
      <c r="I56" s="214">
        <f t="shared" si="71"/>
        <v>11511.986999999999</v>
      </c>
      <c r="J56" s="214">
        <f t="shared" si="71"/>
        <v>26861.303</v>
      </c>
      <c r="K56" s="214">
        <f t="shared" si="71"/>
        <v>0</v>
      </c>
      <c r="L56" s="194">
        <f>F56-SUM(G56:K56)</f>
        <v>0</v>
      </c>
      <c r="N56" s="195"/>
      <c r="O56" s="195"/>
      <c r="P56" s="195">
        <v>0.3</v>
      </c>
      <c r="Q56" s="195">
        <v>0.7</v>
      </c>
      <c r="R56" s="195"/>
      <c r="T56" s="247">
        <f t="shared" si="72"/>
        <v>0</v>
      </c>
      <c r="U56" s="247">
        <f t="shared" si="73"/>
        <v>0</v>
      </c>
      <c r="V56" s="247">
        <f t="shared" si="74"/>
        <v>163.56899999999999</v>
      </c>
      <c r="W56" s="247">
        <f t="shared" si="75"/>
        <v>381.661</v>
      </c>
      <c r="X56" s="247">
        <f t="shared" si="76"/>
        <v>0</v>
      </c>
      <c r="Y56" s="247"/>
    </row>
    <row r="57" spans="1:25" x14ac:dyDescent="0.25">
      <c r="A57" s="191" t="s">
        <v>119</v>
      </c>
      <c r="B57" s="184" t="s">
        <v>183</v>
      </c>
      <c r="C57" s="185" t="s">
        <v>198</v>
      </c>
      <c r="D57" s="152">
        <v>5144.6000000000004</v>
      </c>
      <c r="E57" s="131">
        <v>4.0200000000000005</v>
      </c>
      <c r="F57" s="126">
        <v>20681.29</v>
      </c>
      <c r="G57" s="214">
        <f t="shared" si="71"/>
        <v>0</v>
      </c>
      <c r="H57" s="214">
        <f t="shared" si="71"/>
        <v>0</v>
      </c>
      <c r="I57" s="214">
        <f t="shared" si="71"/>
        <v>12408.773999999999</v>
      </c>
      <c r="J57" s="214">
        <f t="shared" si="71"/>
        <v>8272.5160000000014</v>
      </c>
      <c r="K57" s="214">
        <f t="shared" si="71"/>
        <v>0</v>
      </c>
      <c r="L57" s="194">
        <f>F57-SUM(G57:K57)</f>
        <v>0</v>
      </c>
      <c r="N57" s="195"/>
      <c r="O57" s="195"/>
      <c r="P57" s="195">
        <v>0.6</v>
      </c>
      <c r="Q57" s="195">
        <v>0.4</v>
      </c>
      <c r="R57" s="195"/>
      <c r="T57" s="247">
        <f t="shared" si="72"/>
        <v>0</v>
      </c>
      <c r="U57" s="247">
        <f t="shared" si="73"/>
        <v>0</v>
      </c>
      <c r="V57" s="247">
        <f t="shared" si="74"/>
        <v>3086.76</v>
      </c>
      <c r="W57" s="247">
        <f t="shared" si="75"/>
        <v>2057.84</v>
      </c>
      <c r="X57" s="247">
        <f t="shared" si="76"/>
        <v>0</v>
      </c>
      <c r="Y57" s="247"/>
    </row>
    <row r="58" spans="1:25" x14ac:dyDescent="0.25">
      <c r="A58" s="190" t="s">
        <v>120</v>
      </c>
      <c r="B58" s="182" t="s">
        <v>184</v>
      </c>
      <c r="C58" s="185"/>
      <c r="D58" s="201"/>
      <c r="E58" s="51"/>
      <c r="F58" s="20"/>
      <c r="G58" s="213"/>
      <c r="H58" s="213"/>
      <c r="I58" s="213"/>
      <c r="J58" s="213"/>
      <c r="K58" s="213"/>
      <c r="L58" s="194"/>
      <c r="N58" s="195"/>
      <c r="O58" s="195"/>
      <c r="P58" s="195"/>
      <c r="Q58" s="195"/>
      <c r="R58" s="195"/>
      <c r="T58" s="247"/>
      <c r="U58" s="247"/>
      <c r="V58" s="247"/>
      <c r="W58" s="247"/>
      <c r="X58" s="247"/>
      <c r="Y58" s="247"/>
    </row>
    <row r="59" spans="1:25" x14ac:dyDescent="0.25">
      <c r="A59" s="191" t="s">
        <v>121</v>
      </c>
      <c r="B59" s="184" t="s">
        <v>185</v>
      </c>
      <c r="C59" s="185" t="s">
        <v>20</v>
      </c>
      <c r="D59" s="152">
        <v>0.63</v>
      </c>
      <c r="E59" s="131">
        <v>325.93</v>
      </c>
      <c r="F59" s="126">
        <v>205.34</v>
      </c>
      <c r="G59" s="214">
        <f t="shared" ref="G59:K61" si="77">$F59*N59</f>
        <v>0</v>
      </c>
      <c r="H59" s="214">
        <f t="shared" si="77"/>
        <v>0</v>
      </c>
      <c r="I59" s="214">
        <f t="shared" si="77"/>
        <v>0</v>
      </c>
      <c r="J59" s="214">
        <f t="shared" si="77"/>
        <v>123.20399999999999</v>
      </c>
      <c r="K59" s="214">
        <f t="shared" si="77"/>
        <v>82.13600000000001</v>
      </c>
      <c r="L59" s="194">
        <f>F59-SUM(G59:K59)</f>
        <v>0</v>
      </c>
      <c r="N59" s="195"/>
      <c r="O59" s="195"/>
      <c r="P59" s="195"/>
      <c r="Q59" s="195">
        <v>0.6</v>
      </c>
      <c r="R59" s="195">
        <v>0.4</v>
      </c>
      <c r="T59" s="247">
        <f t="shared" ref="T59:T61" si="78">+$D59*N59</f>
        <v>0</v>
      </c>
      <c r="U59" s="247">
        <f t="shared" ref="U59:U61" si="79">+$D59*O59</f>
        <v>0</v>
      </c>
      <c r="V59" s="247">
        <f t="shared" ref="V59:V61" si="80">+$D59*P59</f>
        <v>0</v>
      </c>
      <c r="W59" s="247">
        <f t="shared" ref="W59:W61" si="81">+$D59*Q59</f>
        <v>0.378</v>
      </c>
      <c r="X59" s="247">
        <f t="shared" ref="X59:X61" si="82">+$D59*R59</f>
        <v>0.252</v>
      </c>
      <c r="Y59" s="247"/>
    </row>
    <row r="60" spans="1:25" x14ac:dyDescent="0.25">
      <c r="A60" s="191" t="s">
        <v>122</v>
      </c>
      <c r="B60" s="184" t="s">
        <v>186</v>
      </c>
      <c r="C60" s="185" t="s">
        <v>197</v>
      </c>
      <c r="D60" s="152">
        <v>6.54</v>
      </c>
      <c r="E60" s="131">
        <v>55.43</v>
      </c>
      <c r="F60" s="126">
        <v>362.51</v>
      </c>
      <c r="G60" s="214">
        <f t="shared" si="77"/>
        <v>0</v>
      </c>
      <c r="H60" s="214">
        <f t="shared" si="77"/>
        <v>0</v>
      </c>
      <c r="I60" s="214">
        <f t="shared" si="77"/>
        <v>108.753</v>
      </c>
      <c r="J60" s="214">
        <f t="shared" si="77"/>
        <v>253.75699999999998</v>
      </c>
      <c r="K60" s="214">
        <f t="shared" si="77"/>
        <v>0</v>
      </c>
      <c r="L60" s="194">
        <f>F60-SUM(G60:K60)</f>
        <v>0</v>
      </c>
      <c r="N60" s="195"/>
      <c r="O60" s="195"/>
      <c r="P60" s="195">
        <v>0.3</v>
      </c>
      <c r="Q60" s="195">
        <v>0.7</v>
      </c>
      <c r="R60" s="195"/>
      <c r="T60" s="247">
        <f t="shared" si="78"/>
        <v>0</v>
      </c>
      <c r="U60" s="247">
        <f t="shared" si="79"/>
        <v>0</v>
      </c>
      <c r="V60" s="247">
        <f t="shared" si="80"/>
        <v>1.962</v>
      </c>
      <c r="W60" s="247">
        <f t="shared" si="81"/>
        <v>4.5779999999999994</v>
      </c>
      <c r="X60" s="247">
        <f t="shared" si="82"/>
        <v>0</v>
      </c>
      <c r="Y60" s="247"/>
    </row>
    <row r="61" spans="1:25" x14ac:dyDescent="0.25">
      <c r="A61" s="191" t="s">
        <v>123</v>
      </c>
      <c r="B61" s="184" t="s">
        <v>187</v>
      </c>
      <c r="C61" s="185" t="s">
        <v>198</v>
      </c>
      <c r="D61" s="152">
        <v>73.150000000000006</v>
      </c>
      <c r="E61" s="131">
        <v>4.0200000000000005</v>
      </c>
      <c r="F61" s="126">
        <v>294.06</v>
      </c>
      <c r="G61" s="214">
        <f t="shared" si="77"/>
        <v>0</v>
      </c>
      <c r="H61" s="214">
        <f t="shared" si="77"/>
        <v>0</v>
      </c>
      <c r="I61" s="214">
        <f t="shared" si="77"/>
        <v>176.43600000000001</v>
      </c>
      <c r="J61" s="214">
        <f t="shared" si="77"/>
        <v>117.62400000000001</v>
      </c>
      <c r="K61" s="214">
        <f t="shared" si="77"/>
        <v>0</v>
      </c>
      <c r="L61" s="194">
        <f>F61-SUM(G61:K61)</f>
        <v>0</v>
      </c>
      <c r="N61" s="195"/>
      <c r="O61" s="195"/>
      <c r="P61" s="195">
        <v>0.6</v>
      </c>
      <c r="Q61" s="195">
        <v>0.4</v>
      </c>
      <c r="R61" s="195"/>
      <c r="T61" s="247">
        <f t="shared" si="78"/>
        <v>0</v>
      </c>
      <c r="U61" s="247">
        <f t="shared" si="79"/>
        <v>0</v>
      </c>
      <c r="V61" s="247">
        <f t="shared" si="80"/>
        <v>43.89</v>
      </c>
      <c r="W61" s="247">
        <f t="shared" si="81"/>
        <v>29.260000000000005</v>
      </c>
      <c r="X61" s="247">
        <f t="shared" si="82"/>
        <v>0</v>
      </c>
      <c r="Y61" s="247"/>
    </row>
    <row r="62" spans="1:25" x14ac:dyDescent="0.25">
      <c r="A62" s="190" t="s">
        <v>124</v>
      </c>
      <c r="B62" s="182" t="s">
        <v>188</v>
      </c>
      <c r="C62" s="185"/>
      <c r="D62" s="201"/>
      <c r="E62" s="51"/>
      <c r="F62" s="180"/>
      <c r="G62" s="213"/>
      <c r="H62" s="213"/>
      <c r="I62" s="213"/>
      <c r="J62" s="213"/>
      <c r="K62" s="213"/>
      <c r="L62" s="194"/>
      <c r="N62" s="195"/>
      <c r="O62" s="195"/>
      <c r="P62" s="195"/>
      <c r="Q62" s="195"/>
      <c r="R62" s="195"/>
      <c r="T62" s="247"/>
      <c r="U62" s="247"/>
      <c r="V62" s="247"/>
      <c r="W62" s="247"/>
      <c r="X62" s="247"/>
      <c r="Y62" s="247"/>
    </row>
    <row r="63" spans="1:25" x14ac:dyDescent="0.25">
      <c r="A63" s="191" t="s">
        <v>125</v>
      </c>
      <c r="B63" s="184" t="s">
        <v>189</v>
      </c>
      <c r="C63" s="185" t="s">
        <v>62</v>
      </c>
      <c r="D63" s="152">
        <v>2.13</v>
      </c>
      <c r="E63" s="131">
        <v>315.52</v>
      </c>
      <c r="F63" s="126">
        <v>672.06</v>
      </c>
      <c r="G63" s="214">
        <f t="shared" ref="G63:K66" si="83">$F63*N63</f>
        <v>0</v>
      </c>
      <c r="H63" s="214">
        <f t="shared" si="83"/>
        <v>0</v>
      </c>
      <c r="I63" s="214">
        <f t="shared" si="83"/>
        <v>0</v>
      </c>
      <c r="J63" s="214">
        <f t="shared" si="83"/>
        <v>403.23599999999993</v>
      </c>
      <c r="K63" s="214">
        <f t="shared" si="83"/>
        <v>268.82400000000001</v>
      </c>
      <c r="L63" s="194">
        <f>F63-SUM(G63:K63)</f>
        <v>0</v>
      </c>
      <c r="N63" s="195"/>
      <c r="O63" s="195"/>
      <c r="P63" s="195"/>
      <c r="Q63" s="195">
        <v>0.6</v>
      </c>
      <c r="R63" s="195">
        <v>0.4</v>
      </c>
      <c r="T63" s="247">
        <f t="shared" ref="T63:T66" si="84">+$D63*N63</f>
        <v>0</v>
      </c>
      <c r="U63" s="247">
        <f t="shared" ref="U63:U66" si="85">+$D63*O63</f>
        <v>0</v>
      </c>
      <c r="V63" s="247">
        <f t="shared" ref="V63:V66" si="86">+$D63*P63</f>
        <v>0</v>
      </c>
      <c r="W63" s="247">
        <f t="shared" ref="W63:W66" si="87">+$D63*Q63</f>
        <v>1.2779999999999998</v>
      </c>
      <c r="X63" s="247">
        <f t="shared" ref="X63:X66" si="88">+$D63*R63</f>
        <v>0.85199999999999998</v>
      </c>
      <c r="Y63" s="247"/>
    </row>
    <row r="64" spans="1:25" x14ac:dyDescent="0.25">
      <c r="A64" s="191" t="s">
        <v>126</v>
      </c>
      <c r="B64" s="184" t="s">
        <v>190</v>
      </c>
      <c r="C64" s="185" t="s">
        <v>197</v>
      </c>
      <c r="D64" s="152">
        <v>24.72</v>
      </c>
      <c r="E64" s="131">
        <v>43.61</v>
      </c>
      <c r="F64" s="126">
        <v>1078.04</v>
      </c>
      <c r="G64" s="214">
        <f t="shared" si="83"/>
        <v>0</v>
      </c>
      <c r="H64" s="214">
        <f t="shared" si="83"/>
        <v>0</v>
      </c>
      <c r="I64" s="214">
        <f t="shared" si="83"/>
        <v>323.41199999999998</v>
      </c>
      <c r="J64" s="214">
        <f t="shared" si="83"/>
        <v>754.62799999999993</v>
      </c>
      <c r="K64" s="214">
        <f t="shared" si="83"/>
        <v>0</v>
      </c>
      <c r="L64" s="194">
        <f>F64-SUM(G64:K64)</f>
        <v>0</v>
      </c>
      <c r="N64" s="195"/>
      <c r="O64" s="195"/>
      <c r="P64" s="195">
        <v>0.3</v>
      </c>
      <c r="Q64" s="195">
        <v>0.7</v>
      </c>
      <c r="R64" s="195"/>
      <c r="T64" s="247">
        <f t="shared" si="84"/>
        <v>0</v>
      </c>
      <c r="U64" s="247">
        <f t="shared" si="85"/>
        <v>0</v>
      </c>
      <c r="V64" s="247">
        <f t="shared" si="86"/>
        <v>7.4159999999999995</v>
      </c>
      <c r="W64" s="247">
        <f t="shared" si="87"/>
        <v>17.303999999999998</v>
      </c>
      <c r="X64" s="247">
        <f t="shared" si="88"/>
        <v>0</v>
      </c>
      <c r="Y64" s="247"/>
    </row>
    <row r="65" spans="1:25" x14ac:dyDescent="0.25">
      <c r="A65" s="191" t="s">
        <v>127</v>
      </c>
      <c r="B65" s="184" t="s">
        <v>191</v>
      </c>
      <c r="C65" s="185" t="s">
        <v>198</v>
      </c>
      <c r="D65" s="152">
        <v>93.93</v>
      </c>
      <c r="E65" s="131">
        <v>4.0200000000000005</v>
      </c>
      <c r="F65" s="126">
        <v>377.6</v>
      </c>
      <c r="G65" s="214">
        <f t="shared" si="83"/>
        <v>0</v>
      </c>
      <c r="H65" s="214">
        <f t="shared" si="83"/>
        <v>0</v>
      </c>
      <c r="I65" s="214">
        <f t="shared" si="83"/>
        <v>226.56</v>
      </c>
      <c r="J65" s="214">
        <f t="shared" si="83"/>
        <v>151.04000000000002</v>
      </c>
      <c r="K65" s="214">
        <f t="shared" si="83"/>
        <v>0</v>
      </c>
      <c r="L65" s="194">
        <f>F65-SUM(G65:K65)</f>
        <v>0</v>
      </c>
      <c r="N65" s="195"/>
      <c r="O65" s="195"/>
      <c r="P65" s="195">
        <v>0.6</v>
      </c>
      <c r="Q65" s="195">
        <v>0.4</v>
      </c>
      <c r="R65" s="195"/>
      <c r="T65" s="247">
        <f t="shared" si="84"/>
        <v>0</v>
      </c>
      <c r="U65" s="247">
        <f t="shared" si="85"/>
        <v>0</v>
      </c>
      <c r="V65" s="247">
        <f t="shared" si="86"/>
        <v>56.358000000000004</v>
      </c>
      <c r="W65" s="247">
        <f t="shared" si="87"/>
        <v>37.572000000000003</v>
      </c>
      <c r="X65" s="247">
        <f t="shared" si="88"/>
        <v>0</v>
      </c>
      <c r="Y65" s="247"/>
    </row>
    <row r="66" spans="1:25" x14ac:dyDescent="0.25">
      <c r="A66" s="191" t="s">
        <v>128</v>
      </c>
      <c r="B66" s="184" t="s">
        <v>192</v>
      </c>
      <c r="C66" s="185" t="s">
        <v>200</v>
      </c>
      <c r="D66" s="152">
        <v>205.92000000000002</v>
      </c>
      <c r="E66" s="131">
        <v>2.4900000000000002</v>
      </c>
      <c r="F66" s="126">
        <v>512.74</v>
      </c>
      <c r="G66" s="214">
        <f t="shared" si="83"/>
        <v>0</v>
      </c>
      <c r="H66" s="214">
        <f t="shared" si="83"/>
        <v>0</v>
      </c>
      <c r="I66" s="214">
        <f t="shared" si="83"/>
        <v>153.822</v>
      </c>
      <c r="J66" s="214">
        <f t="shared" si="83"/>
        <v>358.91800000000001</v>
      </c>
      <c r="K66" s="214">
        <f t="shared" si="83"/>
        <v>0</v>
      </c>
      <c r="L66" s="194">
        <f>F66-SUM(G66:K66)</f>
        <v>0</v>
      </c>
      <c r="N66" s="195"/>
      <c r="O66" s="195"/>
      <c r="P66" s="195">
        <v>0.3</v>
      </c>
      <c r="Q66" s="195">
        <v>0.7</v>
      </c>
      <c r="R66" s="195"/>
      <c r="T66" s="247">
        <f t="shared" si="84"/>
        <v>0</v>
      </c>
      <c r="U66" s="247">
        <f t="shared" si="85"/>
        <v>0</v>
      </c>
      <c r="V66" s="247">
        <f t="shared" si="86"/>
        <v>61.776000000000003</v>
      </c>
      <c r="W66" s="247">
        <f t="shared" si="87"/>
        <v>144.14400000000001</v>
      </c>
      <c r="X66" s="247">
        <f t="shared" si="88"/>
        <v>0</v>
      </c>
      <c r="Y66" s="247"/>
    </row>
    <row r="67" spans="1:25" x14ac:dyDescent="0.25">
      <c r="A67" s="190" t="s">
        <v>129</v>
      </c>
      <c r="B67" s="182" t="s">
        <v>193</v>
      </c>
      <c r="C67" s="185"/>
      <c r="D67" s="201"/>
      <c r="E67" s="51"/>
      <c r="F67" s="180"/>
      <c r="G67" s="213"/>
      <c r="H67" s="213"/>
      <c r="I67" s="213"/>
      <c r="J67" s="213"/>
      <c r="K67" s="213"/>
      <c r="L67" s="194"/>
      <c r="N67" s="195"/>
      <c r="O67" s="195"/>
      <c r="P67" s="195"/>
      <c r="Q67" s="195"/>
      <c r="R67" s="195"/>
      <c r="T67" s="247"/>
      <c r="U67" s="247"/>
      <c r="V67" s="247"/>
      <c r="W67" s="247"/>
      <c r="X67" s="247"/>
      <c r="Y67" s="247"/>
    </row>
    <row r="68" spans="1:25" x14ac:dyDescent="0.25">
      <c r="A68" s="191" t="s">
        <v>130</v>
      </c>
      <c r="B68" s="184" t="s">
        <v>194</v>
      </c>
      <c r="C68" s="146" t="s">
        <v>197</v>
      </c>
      <c r="D68" s="152">
        <v>12.31</v>
      </c>
      <c r="E68" s="131">
        <v>80.040000000000006</v>
      </c>
      <c r="F68" s="126">
        <v>985.29</v>
      </c>
      <c r="G68" s="214">
        <f t="shared" ref="G68:K70" si="89">$F68*N68</f>
        <v>0</v>
      </c>
      <c r="H68" s="214">
        <f t="shared" si="89"/>
        <v>0</v>
      </c>
      <c r="I68" s="214">
        <f t="shared" si="89"/>
        <v>0</v>
      </c>
      <c r="J68" s="214">
        <f t="shared" si="89"/>
        <v>591.17399999999998</v>
      </c>
      <c r="K68" s="214">
        <f t="shared" si="89"/>
        <v>394.11599999999999</v>
      </c>
      <c r="L68" s="194">
        <f>F68-SUM(G68:K68)</f>
        <v>0</v>
      </c>
      <c r="N68" s="195"/>
      <c r="O68" s="195"/>
      <c r="P68" s="195"/>
      <c r="Q68" s="195">
        <v>0.6</v>
      </c>
      <c r="R68" s="195">
        <v>0.4</v>
      </c>
      <c r="T68" s="247">
        <f t="shared" ref="T68:T70" si="90">+$D68*N68</f>
        <v>0</v>
      </c>
      <c r="U68" s="247">
        <f t="shared" ref="U68:U70" si="91">+$D68*O68</f>
        <v>0</v>
      </c>
      <c r="V68" s="247">
        <f t="shared" ref="V68:V70" si="92">+$D68*P68</f>
        <v>0</v>
      </c>
      <c r="W68" s="247">
        <f t="shared" ref="W68:W70" si="93">+$D68*Q68</f>
        <v>7.3860000000000001</v>
      </c>
      <c r="X68" s="247">
        <f t="shared" ref="X68:X70" si="94">+$D68*R68</f>
        <v>4.9240000000000004</v>
      </c>
      <c r="Y68" s="247"/>
    </row>
    <row r="69" spans="1:25" x14ac:dyDescent="0.25">
      <c r="A69" s="191" t="s">
        <v>131</v>
      </c>
      <c r="B69" s="184" t="s">
        <v>195</v>
      </c>
      <c r="C69" s="146" t="s">
        <v>197</v>
      </c>
      <c r="D69" s="152">
        <v>6.96</v>
      </c>
      <c r="E69" s="131">
        <v>41.15</v>
      </c>
      <c r="F69" s="126">
        <v>286.39999999999998</v>
      </c>
      <c r="G69" s="214">
        <f t="shared" si="89"/>
        <v>0</v>
      </c>
      <c r="H69" s="214">
        <f t="shared" si="89"/>
        <v>0</v>
      </c>
      <c r="I69" s="214">
        <f t="shared" si="89"/>
        <v>85.919999999999987</v>
      </c>
      <c r="J69" s="214">
        <f t="shared" si="89"/>
        <v>200.47999999999996</v>
      </c>
      <c r="K69" s="214">
        <f t="shared" si="89"/>
        <v>0</v>
      </c>
      <c r="L69" s="194">
        <f>F69-SUM(G69:K69)</f>
        <v>0</v>
      </c>
      <c r="N69" s="195"/>
      <c r="O69" s="195"/>
      <c r="P69" s="195">
        <v>0.3</v>
      </c>
      <c r="Q69" s="195">
        <v>0.7</v>
      </c>
      <c r="R69" s="195"/>
      <c r="T69" s="247">
        <f t="shared" si="90"/>
        <v>0</v>
      </c>
      <c r="U69" s="247">
        <f t="shared" si="91"/>
        <v>0</v>
      </c>
      <c r="V69" s="247">
        <f t="shared" si="92"/>
        <v>2.0880000000000001</v>
      </c>
      <c r="W69" s="247">
        <f t="shared" si="93"/>
        <v>4.8719999999999999</v>
      </c>
      <c r="X69" s="247">
        <f t="shared" si="94"/>
        <v>0</v>
      </c>
      <c r="Y69" s="247"/>
    </row>
    <row r="70" spans="1:25" x14ac:dyDescent="0.25">
      <c r="A70" s="192" t="s">
        <v>132</v>
      </c>
      <c r="B70" s="186" t="s">
        <v>196</v>
      </c>
      <c r="C70" s="146" t="s">
        <v>199</v>
      </c>
      <c r="D70" s="152">
        <v>83.01</v>
      </c>
      <c r="E70" s="131">
        <v>4.0200000000000005</v>
      </c>
      <c r="F70" s="132">
        <v>333.7</v>
      </c>
      <c r="G70" s="216">
        <f t="shared" si="89"/>
        <v>0</v>
      </c>
      <c r="H70" s="216">
        <f t="shared" si="89"/>
        <v>0</v>
      </c>
      <c r="I70" s="216">
        <f t="shared" si="89"/>
        <v>100.11</v>
      </c>
      <c r="J70" s="216">
        <f t="shared" si="89"/>
        <v>233.58999999999997</v>
      </c>
      <c r="K70" s="216">
        <f t="shared" si="89"/>
        <v>0</v>
      </c>
      <c r="L70" s="194">
        <f>F70-SUM(G70:K70)</f>
        <v>0</v>
      </c>
      <c r="N70" s="195"/>
      <c r="O70" s="195"/>
      <c r="P70" s="195">
        <v>0.3</v>
      </c>
      <c r="Q70" s="195">
        <v>0.7</v>
      </c>
      <c r="R70" s="195"/>
      <c r="T70" s="247">
        <f t="shared" si="90"/>
        <v>0</v>
      </c>
      <c r="U70" s="247">
        <f t="shared" si="91"/>
        <v>0</v>
      </c>
      <c r="V70" s="247">
        <f t="shared" si="92"/>
        <v>24.903000000000002</v>
      </c>
      <c r="W70" s="247">
        <f t="shared" si="93"/>
        <v>58.106999999999999</v>
      </c>
      <c r="X70" s="247">
        <f t="shared" si="94"/>
        <v>0</v>
      </c>
      <c r="Y70" s="247"/>
    </row>
    <row r="71" spans="1:25" x14ac:dyDescent="0.25">
      <c r="A71" s="25"/>
      <c r="B71" s="21" t="s">
        <v>21</v>
      </c>
      <c r="C71" s="25"/>
      <c r="D71" s="153"/>
      <c r="E71" s="7"/>
      <c r="F71" s="203">
        <f>SUM(F7:F70)</f>
        <v>960724.52000000014</v>
      </c>
      <c r="G71" s="203">
        <f>SUM(G7:G70)</f>
        <v>127002.25649999999</v>
      </c>
      <c r="H71" s="203">
        <f>SUM(H7:H70)</f>
        <v>298062.17849999998</v>
      </c>
      <c r="I71" s="203">
        <f t="shared" ref="I71:K71" si="95">SUM(I7:I70)</f>
        <v>329406.11349999992</v>
      </c>
      <c r="J71" s="203">
        <f t="shared" si="95"/>
        <v>188212.02150000006</v>
      </c>
      <c r="K71" s="203">
        <f t="shared" si="95"/>
        <v>18041.949999999997</v>
      </c>
      <c r="L71" s="194"/>
    </row>
    <row r="72" spans="1:25" x14ac:dyDescent="0.25">
      <c r="A72" s="78"/>
      <c r="B72" s="79" t="s">
        <v>51</v>
      </c>
      <c r="C72" s="78"/>
      <c r="D72" s="202"/>
      <c r="E72" s="40"/>
      <c r="F72" s="204">
        <f>F71*0.15</f>
        <v>144108.67800000001</v>
      </c>
      <c r="G72" s="204">
        <f t="shared" ref="G72:K72" si="96">G71*0.15</f>
        <v>19050.338474999997</v>
      </c>
      <c r="H72" s="204">
        <f t="shared" si="96"/>
        <v>44709.326774999994</v>
      </c>
      <c r="I72" s="204">
        <f t="shared" si="96"/>
        <v>49410.917024999988</v>
      </c>
      <c r="J72" s="204">
        <f t="shared" si="96"/>
        <v>28231.803225000007</v>
      </c>
      <c r="K72" s="204">
        <f t="shared" si="96"/>
        <v>2706.2924999999996</v>
      </c>
      <c r="L72" s="194"/>
    </row>
    <row r="73" spans="1:25" x14ac:dyDescent="0.25">
      <c r="A73" s="78"/>
      <c r="B73" s="79" t="s">
        <v>206</v>
      </c>
      <c r="C73" s="78"/>
      <c r="D73" s="202"/>
      <c r="E73" s="40"/>
      <c r="F73" s="204">
        <f>F71*0.05</f>
        <v>48036.22600000001</v>
      </c>
      <c r="G73" s="204">
        <f t="shared" ref="G73:K73" si="97">G71*0.05</f>
        <v>6350.1128250000002</v>
      </c>
      <c r="H73" s="204">
        <f t="shared" si="97"/>
        <v>14903.108925</v>
      </c>
      <c r="I73" s="204">
        <f t="shared" si="97"/>
        <v>16470.305674999996</v>
      </c>
      <c r="J73" s="204">
        <f t="shared" si="97"/>
        <v>9410.6010750000041</v>
      </c>
      <c r="K73" s="204">
        <f t="shared" si="97"/>
        <v>902.09749999999985</v>
      </c>
      <c r="L73" s="194"/>
    </row>
    <row r="74" spans="1:25" x14ac:dyDescent="0.25">
      <c r="A74" s="38"/>
      <c r="B74" s="74" t="s">
        <v>53</v>
      </c>
      <c r="C74" s="38"/>
      <c r="D74" s="155"/>
      <c r="E74" s="39"/>
      <c r="F74" s="205">
        <f>SUM(F71:F73)</f>
        <v>1152869.4240000001</v>
      </c>
      <c r="G74" s="205">
        <f t="shared" ref="G74:K74" si="98">SUM(G71:G73)</f>
        <v>152402.70779999997</v>
      </c>
      <c r="H74" s="205">
        <f t="shared" si="98"/>
        <v>357674.61420000001</v>
      </c>
      <c r="I74" s="205">
        <f t="shared" si="98"/>
        <v>395287.3361999999</v>
      </c>
      <c r="J74" s="205">
        <f t="shared" si="98"/>
        <v>225854.42580000008</v>
      </c>
      <c r="K74" s="205">
        <f t="shared" si="98"/>
        <v>21650.339999999997</v>
      </c>
      <c r="L74" s="194"/>
    </row>
    <row r="75" spans="1:25" x14ac:dyDescent="0.25">
      <c r="A75" s="188"/>
      <c r="B75" s="189" t="s">
        <v>22</v>
      </c>
      <c r="C75" s="188"/>
      <c r="D75" s="156"/>
      <c r="E75" s="9"/>
      <c r="F75" s="206">
        <f>ROUND(F74*0.18,2)</f>
        <v>207516.5</v>
      </c>
      <c r="G75" s="206">
        <f t="shared" ref="G75:K75" si="99">ROUND(G74*0.18,2)</f>
        <v>27432.49</v>
      </c>
      <c r="H75" s="206">
        <f t="shared" si="99"/>
        <v>64381.43</v>
      </c>
      <c r="I75" s="206">
        <f t="shared" si="99"/>
        <v>71151.72</v>
      </c>
      <c r="J75" s="206">
        <f t="shared" si="99"/>
        <v>40653.800000000003</v>
      </c>
      <c r="K75" s="206">
        <f t="shared" si="99"/>
        <v>3897.06</v>
      </c>
      <c r="L75" s="194"/>
    </row>
    <row r="76" spans="1:25" x14ac:dyDescent="0.25">
      <c r="A76" s="28"/>
      <c r="B76" s="29" t="s">
        <v>28</v>
      </c>
      <c r="C76" s="28"/>
      <c r="D76" s="157"/>
      <c r="E76" s="31"/>
      <c r="F76" s="207">
        <f>SUM(F74:F75)</f>
        <v>1360385.9240000001</v>
      </c>
      <c r="G76" s="207">
        <f t="shared" ref="G76:K76" si="100">SUM(G74:G75)</f>
        <v>179835.19779999997</v>
      </c>
      <c r="H76" s="207">
        <f t="shared" si="100"/>
        <v>422056.0442</v>
      </c>
      <c r="I76" s="207">
        <f t="shared" si="100"/>
        <v>466439.05619999988</v>
      </c>
      <c r="J76" s="207">
        <f t="shared" si="100"/>
        <v>266508.22580000007</v>
      </c>
      <c r="K76" s="207">
        <f t="shared" si="100"/>
        <v>25547.399999999998</v>
      </c>
      <c r="L76" s="194"/>
    </row>
    <row r="77" spans="1:25" x14ac:dyDescent="0.25">
      <c r="L77" s="194"/>
    </row>
  </sheetData>
  <mergeCells count="6">
    <mergeCell ref="A1:K1"/>
    <mergeCell ref="A5:A6"/>
    <mergeCell ref="B5:B6"/>
    <mergeCell ref="C5:C6"/>
    <mergeCell ref="D5:F5"/>
    <mergeCell ref="G5:K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4E5F-2F0E-4D4F-B21B-14F959E4FAF0}">
  <dimension ref="A1:X79"/>
  <sheetViews>
    <sheetView topLeftCell="C1" zoomScale="85" zoomScaleNormal="85" workbookViewId="0">
      <selection activeCell="J11" sqref="J11"/>
    </sheetView>
  </sheetViews>
  <sheetFormatPr baseColWidth="10" defaultRowHeight="15" x14ac:dyDescent="0.25"/>
  <cols>
    <col min="1" max="1" width="11.42578125" style="83"/>
    <col min="2" max="2" width="65.5703125" style="83" customWidth="1"/>
    <col min="3" max="3" width="11.42578125" style="83"/>
    <col min="4" max="4" width="11.28515625" style="83" customWidth="1"/>
    <col min="5" max="5" width="9.140625" style="83" customWidth="1"/>
    <col min="6" max="6" width="13.140625" style="83" bestFit="1" customWidth="1"/>
    <col min="7" max="16384" width="11.42578125" style="83"/>
  </cols>
  <sheetData>
    <row r="1" spans="1:24" s="208" customFormat="1" ht="17.25" x14ac:dyDescent="0.3">
      <c r="A1" s="478" t="s">
        <v>352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</row>
    <row r="3" spans="1:24" s="2" customFormat="1" x14ac:dyDescent="0.25">
      <c r="A3" s="2" t="s">
        <v>16</v>
      </c>
      <c r="B3" s="2" t="s">
        <v>69</v>
      </c>
      <c r="G3" s="371">
        <f>+G10+G11</f>
        <v>939.85500000000002</v>
      </c>
      <c r="H3" s="371">
        <f>+H10+H11</f>
        <v>939.85500000000002</v>
      </c>
      <c r="I3" s="371">
        <f>+I10+I11</f>
        <v>313.28500000000003</v>
      </c>
    </row>
    <row r="4" spans="1:24" x14ac:dyDescent="0.25">
      <c r="N4" s="83" t="s">
        <v>427</v>
      </c>
      <c r="T4" s="83" t="s">
        <v>426</v>
      </c>
    </row>
    <row r="5" spans="1:24" ht="16.5" customHeight="1" x14ac:dyDescent="0.25">
      <c r="A5" s="441" t="s">
        <v>2</v>
      </c>
      <c r="B5" s="441" t="s">
        <v>15</v>
      </c>
      <c r="C5" s="441" t="s">
        <v>3</v>
      </c>
      <c r="D5" s="441" t="s">
        <v>13</v>
      </c>
      <c r="E5" s="441"/>
      <c r="F5" s="441"/>
      <c r="G5" s="480" t="s">
        <v>205</v>
      </c>
      <c r="H5" s="480"/>
      <c r="I5" s="480"/>
      <c r="J5" s="480"/>
      <c r="K5" s="480"/>
      <c r="L5" s="194"/>
    </row>
    <row r="6" spans="1:24" x14ac:dyDescent="0.25">
      <c r="A6" s="441"/>
      <c r="B6" s="441"/>
      <c r="C6" s="441"/>
      <c r="D6" s="179" t="s">
        <v>5</v>
      </c>
      <c r="E6" s="179" t="s">
        <v>6</v>
      </c>
      <c r="F6" s="179" t="s">
        <v>7</v>
      </c>
      <c r="G6" s="210">
        <v>45597</v>
      </c>
      <c r="H6" s="210">
        <v>45627</v>
      </c>
      <c r="I6" s="210">
        <v>45658</v>
      </c>
      <c r="J6" s="210">
        <v>45689</v>
      </c>
      <c r="K6" s="210">
        <v>45717</v>
      </c>
      <c r="L6" s="194"/>
      <c r="N6" s="210">
        <v>45597</v>
      </c>
      <c r="O6" s="210">
        <v>45627</v>
      </c>
      <c r="P6" s="210">
        <v>45658</v>
      </c>
      <c r="Q6" s="210">
        <v>45689</v>
      </c>
      <c r="R6" s="210">
        <v>45717</v>
      </c>
      <c r="T6" s="210">
        <v>45597</v>
      </c>
      <c r="U6" s="210">
        <v>45627</v>
      </c>
      <c r="V6" s="210">
        <v>45658</v>
      </c>
      <c r="W6" s="210">
        <v>45689</v>
      </c>
      <c r="X6" s="210">
        <v>45717</v>
      </c>
    </row>
    <row r="7" spans="1:24" x14ac:dyDescent="0.25">
      <c r="A7" s="196" t="s">
        <v>70</v>
      </c>
      <c r="B7" s="197" t="s">
        <v>133</v>
      </c>
      <c r="C7" s="198"/>
      <c r="D7" s="200"/>
      <c r="E7" s="74"/>
      <c r="F7" s="199"/>
      <c r="G7" s="211"/>
      <c r="H7" s="211"/>
      <c r="I7" s="211"/>
      <c r="J7" s="211"/>
      <c r="K7" s="211"/>
      <c r="L7" s="194"/>
      <c r="N7" s="195"/>
      <c r="O7" s="195"/>
      <c r="P7" s="195"/>
      <c r="Q7" s="195"/>
      <c r="R7" s="195"/>
    </row>
    <row r="8" spans="1:24" x14ac:dyDescent="0.25">
      <c r="A8" s="190" t="s">
        <v>71</v>
      </c>
      <c r="B8" s="182" t="s">
        <v>134</v>
      </c>
      <c r="C8" s="181"/>
      <c r="D8" s="119"/>
      <c r="E8" s="22"/>
      <c r="F8" s="18"/>
      <c r="G8" s="212"/>
      <c r="H8" s="212"/>
      <c r="I8" s="212"/>
      <c r="J8" s="212"/>
      <c r="K8" s="212"/>
      <c r="L8" s="194"/>
      <c r="N8" s="195"/>
      <c r="O8" s="195"/>
      <c r="P8" s="195"/>
      <c r="Q8" s="195"/>
      <c r="R8" s="195"/>
    </row>
    <row r="9" spans="1:24" x14ac:dyDescent="0.25">
      <c r="A9" s="190" t="s">
        <v>17</v>
      </c>
      <c r="B9" s="182" t="s">
        <v>135</v>
      </c>
      <c r="C9" s="183"/>
      <c r="D9" s="156"/>
      <c r="E9" s="9"/>
      <c r="F9" s="19"/>
      <c r="G9" s="213"/>
      <c r="H9" s="213"/>
      <c r="I9" s="213"/>
      <c r="J9" s="213"/>
      <c r="K9" s="213"/>
      <c r="L9" s="194"/>
      <c r="N9" s="195"/>
      <c r="O9" s="195"/>
      <c r="P9" s="195"/>
      <c r="Q9" s="195"/>
      <c r="R9" s="195"/>
    </row>
    <row r="10" spans="1:24" x14ac:dyDescent="0.25">
      <c r="A10" s="191" t="s">
        <v>72</v>
      </c>
      <c r="B10" s="184" t="s">
        <v>136</v>
      </c>
      <c r="C10" s="183" t="s">
        <v>19</v>
      </c>
      <c r="D10" s="150">
        <v>942.21</v>
      </c>
      <c r="E10" s="123">
        <v>1.33</v>
      </c>
      <c r="F10" s="126">
        <v>1253.1400000000001</v>
      </c>
      <c r="G10" s="214">
        <f t="shared" ref="G10:K11" si="0">$F10*N10</f>
        <v>626.57000000000005</v>
      </c>
      <c r="H10" s="214">
        <f t="shared" si="0"/>
        <v>626.57000000000005</v>
      </c>
      <c r="I10" s="214">
        <f t="shared" si="0"/>
        <v>0</v>
      </c>
      <c r="J10" s="214">
        <f t="shared" si="0"/>
        <v>0</v>
      </c>
      <c r="K10" s="214">
        <f t="shared" si="0"/>
        <v>0</v>
      </c>
      <c r="L10" s="194">
        <f>F10-SUM(G10:K10)</f>
        <v>0</v>
      </c>
      <c r="N10" s="195">
        <v>0.5</v>
      </c>
      <c r="O10" s="195">
        <v>0.5</v>
      </c>
      <c r="P10" s="195"/>
      <c r="Q10" s="195"/>
      <c r="R10" s="195"/>
      <c r="T10" s="194">
        <f>N10*$D10</f>
        <v>471.10500000000002</v>
      </c>
      <c r="U10" s="194">
        <f t="shared" ref="U10:X10" si="1">O10*$D10</f>
        <v>471.10500000000002</v>
      </c>
      <c r="V10" s="194">
        <f t="shared" si="1"/>
        <v>0</v>
      </c>
      <c r="W10" s="194">
        <f t="shared" si="1"/>
        <v>0</v>
      </c>
      <c r="X10" s="194">
        <f t="shared" si="1"/>
        <v>0</v>
      </c>
    </row>
    <row r="11" spans="1:24" x14ac:dyDescent="0.25">
      <c r="A11" s="191" t="s">
        <v>73</v>
      </c>
      <c r="B11" s="184" t="s">
        <v>137</v>
      </c>
      <c r="C11" s="183" t="s">
        <v>197</v>
      </c>
      <c r="D11" s="150">
        <v>942.21</v>
      </c>
      <c r="E11" s="123">
        <v>1.33</v>
      </c>
      <c r="F11" s="126">
        <v>1253.1400000000001</v>
      </c>
      <c r="G11" s="214">
        <f t="shared" si="0"/>
        <v>313.28500000000003</v>
      </c>
      <c r="H11" s="214">
        <f t="shared" si="0"/>
        <v>313.28500000000003</v>
      </c>
      <c r="I11" s="214">
        <f t="shared" si="0"/>
        <v>313.28500000000003</v>
      </c>
      <c r="J11" s="214">
        <f t="shared" si="0"/>
        <v>313.28500000000003</v>
      </c>
      <c r="K11" s="214">
        <f t="shared" si="0"/>
        <v>0</v>
      </c>
      <c r="L11" s="194">
        <f>F11-SUM(G11:K11)</f>
        <v>0</v>
      </c>
      <c r="N11" s="195">
        <v>0.25</v>
      </c>
      <c r="O11" s="195">
        <v>0.25</v>
      </c>
      <c r="P11" s="195">
        <v>0.25</v>
      </c>
      <c r="Q11" s="195">
        <v>0.25</v>
      </c>
      <c r="R11" s="195"/>
      <c r="T11" s="194">
        <f>N11*$D11</f>
        <v>235.55250000000001</v>
      </c>
      <c r="U11" s="194">
        <f t="shared" ref="U11" si="2">O11*$D11</f>
        <v>235.55250000000001</v>
      </c>
      <c r="V11" s="194">
        <f t="shared" ref="V11" si="3">P11*$D11</f>
        <v>235.55250000000001</v>
      </c>
      <c r="W11" s="194">
        <f t="shared" ref="W11" si="4">Q11*$D11</f>
        <v>235.55250000000001</v>
      </c>
      <c r="X11" s="194">
        <f t="shared" ref="X11" si="5">R11*$D11</f>
        <v>0</v>
      </c>
    </row>
    <row r="12" spans="1:24" x14ac:dyDescent="0.25">
      <c r="A12" s="190" t="s">
        <v>74</v>
      </c>
      <c r="B12" s="182" t="s">
        <v>138</v>
      </c>
      <c r="C12" s="183"/>
      <c r="D12" s="156"/>
      <c r="E12" s="9"/>
      <c r="F12" s="19"/>
      <c r="G12" s="213"/>
      <c r="H12" s="213"/>
      <c r="I12" s="213"/>
      <c r="J12" s="213"/>
      <c r="K12" s="213"/>
      <c r="L12" s="194"/>
      <c r="N12" s="195"/>
      <c r="O12" s="195"/>
      <c r="P12" s="195"/>
      <c r="Q12" s="195"/>
      <c r="R12" s="195"/>
    </row>
    <row r="13" spans="1:24" x14ac:dyDescent="0.25">
      <c r="A13" s="190" t="s">
        <v>75</v>
      </c>
      <c r="B13" s="182" t="s">
        <v>139</v>
      </c>
      <c r="C13" s="183"/>
      <c r="D13" s="156"/>
      <c r="E13" s="9"/>
      <c r="F13" s="19"/>
      <c r="G13" s="213"/>
      <c r="H13" s="213"/>
      <c r="I13" s="213"/>
      <c r="J13" s="213"/>
      <c r="K13" s="213"/>
      <c r="L13" s="194"/>
      <c r="N13" s="195"/>
      <c r="O13" s="195"/>
      <c r="P13" s="195"/>
      <c r="Q13" s="195"/>
      <c r="R13" s="195"/>
    </row>
    <row r="14" spans="1:24" x14ac:dyDescent="0.25">
      <c r="A14" s="190" t="s">
        <v>76</v>
      </c>
      <c r="B14" s="182" t="s">
        <v>140</v>
      </c>
      <c r="C14" s="183"/>
      <c r="D14" s="156"/>
      <c r="E14" s="9"/>
      <c r="F14" s="19"/>
      <c r="G14" s="213"/>
      <c r="H14" s="213"/>
      <c r="I14" s="213"/>
      <c r="J14" s="213"/>
      <c r="K14" s="213"/>
      <c r="L14" s="194"/>
      <c r="N14" s="195"/>
      <c r="O14" s="195"/>
      <c r="P14" s="195"/>
      <c r="Q14" s="195"/>
      <c r="R14" s="195"/>
    </row>
    <row r="15" spans="1:24" x14ac:dyDescent="0.25">
      <c r="A15" s="191" t="s">
        <v>77</v>
      </c>
      <c r="B15" s="184" t="s">
        <v>141</v>
      </c>
      <c r="C15" s="183" t="s">
        <v>62</v>
      </c>
      <c r="D15" s="150">
        <v>39.81</v>
      </c>
      <c r="E15" s="123">
        <v>29.22</v>
      </c>
      <c r="F15" s="126">
        <v>1163.25</v>
      </c>
      <c r="G15" s="214">
        <f t="shared" ref="G15:K16" si="6">$F15*N15</f>
        <v>814.27499999999998</v>
      </c>
      <c r="H15" s="214">
        <f t="shared" si="6"/>
        <v>348.97499999999997</v>
      </c>
      <c r="I15" s="214">
        <f t="shared" si="6"/>
        <v>0</v>
      </c>
      <c r="J15" s="214">
        <f t="shared" si="6"/>
        <v>0</v>
      </c>
      <c r="K15" s="214">
        <f t="shared" si="6"/>
        <v>0</v>
      </c>
      <c r="L15" s="194">
        <f>F15-SUM(G15:K15)</f>
        <v>0</v>
      </c>
      <c r="N15" s="195">
        <v>0.7</v>
      </c>
      <c r="O15" s="195">
        <v>0.3</v>
      </c>
      <c r="P15" s="195"/>
      <c r="Q15" s="195"/>
      <c r="R15" s="195"/>
      <c r="T15" s="194">
        <f t="shared" ref="T15:T16" si="7">N15*$D15</f>
        <v>27.867000000000001</v>
      </c>
      <c r="U15" s="194">
        <f t="shared" ref="U15:U16" si="8">O15*$D15</f>
        <v>11.943</v>
      </c>
      <c r="V15" s="194">
        <f t="shared" ref="V15:V16" si="9">P15*$D15</f>
        <v>0</v>
      </c>
      <c r="W15" s="194">
        <f t="shared" ref="W15:W16" si="10">Q15*$D15</f>
        <v>0</v>
      </c>
      <c r="X15" s="194">
        <f t="shared" ref="X15:X16" si="11">R15*$D15</f>
        <v>0</v>
      </c>
    </row>
    <row r="16" spans="1:24" x14ac:dyDescent="0.25">
      <c r="A16" s="191" t="s">
        <v>78</v>
      </c>
      <c r="B16" s="184" t="s">
        <v>142</v>
      </c>
      <c r="C16" s="183" t="s">
        <v>62</v>
      </c>
      <c r="D16" s="150">
        <v>1876.4</v>
      </c>
      <c r="E16" s="123">
        <v>33.36</v>
      </c>
      <c r="F16" s="126">
        <v>62596.7</v>
      </c>
      <c r="G16" s="214">
        <f t="shared" si="6"/>
        <v>43817.689999999995</v>
      </c>
      <c r="H16" s="214">
        <f t="shared" si="6"/>
        <v>18779.009999999998</v>
      </c>
      <c r="I16" s="214">
        <f t="shared" si="6"/>
        <v>0</v>
      </c>
      <c r="J16" s="214">
        <f t="shared" si="6"/>
        <v>0</v>
      </c>
      <c r="K16" s="214">
        <f t="shared" si="6"/>
        <v>0</v>
      </c>
      <c r="L16" s="194">
        <f>F16-SUM(G16:K16)</f>
        <v>0</v>
      </c>
      <c r="N16" s="195">
        <v>0.7</v>
      </c>
      <c r="O16" s="195">
        <v>0.3</v>
      </c>
      <c r="P16" s="195"/>
      <c r="Q16" s="195"/>
      <c r="R16" s="195"/>
      <c r="T16" s="194">
        <f t="shared" si="7"/>
        <v>1313.48</v>
      </c>
      <c r="U16" s="194">
        <f t="shared" si="8"/>
        <v>562.91999999999996</v>
      </c>
      <c r="V16" s="194">
        <f t="shared" si="9"/>
        <v>0</v>
      </c>
      <c r="W16" s="194">
        <f t="shared" si="10"/>
        <v>0</v>
      </c>
      <c r="X16" s="194">
        <f t="shared" si="11"/>
        <v>0</v>
      </c>
    </row>
    <row r="17" spans="1:24" x14ac:dyDescent="0.25">
      <c r="A17" s="190" t="s">
        <v>79</v>
      </c>
      <c r="B17" s="182" t="s">
        <v>143</v>
      </c>
      <c r="C17" s="183"/>
      <c r="D17" s="156"/>
      <c r="E17" s="9"/>
      <c r="F17" s="19"/>
      <c r="G17" s="213"/>
      <c r="H17" s="213"/>
      <c r="I17" s="213"/>
      <c r="J17" s="213"/>
      <c r="K17" s="213"/>
      <c r="L17" s="194"/>
      <c r="N17" s="195"/>
      <c r="O17" s="195"/>
      <c r="P17" s="195"/>
      <c r="Q17" s="195"/>
      <c r="R17" s="195"/>
    </row>
    <row r="18" spans="1:24" x14ac:dyDescent="0.25">
      <c r="A18" s="191" t="s">
        <v>80</v>
      </c>
      <c r="B18" s="184" t="s">
        <v>144</v>
      </c>
      <c r="C18" s="183" t="s">
        <v>62</v>
      </c>
      <c r="D18" s="150">
        <v>1138.01</v>
      </c>
      <c r="E18" s="123">
        <v>15</v>
      </c>
      <c r="F18" s="126">
        <v>17070.150000000001</v>
      </c>
      <c r="G18" s="214">
        <f>$F18*N18</f>
        <v>0</v>
      </c>
      <c r="H18" s="214">
        <f>$F18*O18</f>
        <v>5121.0450000000001</v>
      </c>
      <c r="I18" s="214">
        <f>$F18*P18</f>
        <v>11949.105</v>
      </c>
      <c r="J18" s="214">
        <f>$F18*Q18</f>
        <v>0</v>
      </c>
      <c r="K18" s="214">
        <f>$F18*R18</f>
        <v>0</v>
      </c>
      <c r="L18" s="194">
        <f>F18-SUM(G18:K18)</f>
        <v>0</v>
      </c>
      <c r="N18" s="195"/>
      <c r="O18" s="195">
        <v>0.3</v>
      </c>
      <c r="P18" s="195">
        <v>0.7</v>
      </c>
      <c r="Q18" s="195"/>
      <c r="R18" s="195"/>
      <c r="T18" s="194">
        <f>N18*$D18</f>
        <v>0</v>
      </c>
      <c r="U18" s="194">
        <f t="shared" ref="U18" si="12">O18*$D18</f>
        <v>341.40299999999996</v>
      </c>
      <c r="V18" s="194">
        <f t="shared" ref="V18" si="13">P18*$D18</f>
        <v>796.60699999999997</v>
      </c>
      <c r="W18" s="194">
        <f t="shared" ref="W18" si="14">Q18*$D18</f>
        <v>0</v>
      </c>
      <c r="X18" s="194">
        <f t="shared" ref="X18" si="15">R18*$D18</f>
        <v>0</v>
      </c>
    </row>
    <row r="19" spans="1:24" x14ac:dyDescent="0.25">
      <c r="A19" s="190" t="s">
        <v>81</v>
      </c>
      <c r="B19" s="182" t="s">
        <v>145</v>
      </c>
      <c r="C19" s="181"/>
      <c r="D19" s="149"/>
      <c r="E19" s="8"/>
      <c r="F19" s="20"/>
      <c r="G19" s="215"/>
      <c r="H19" s="215"/>
      <c r="I19" s="215"/>
      <c r="J19" s="215"/>
      <c r="K19" s="215"/>
      <c r="L19" s="194"/>
      <c r="N19" s="195"/>
      <c r="O19" s="195"/>
      <c r="P19" s="195"/>
      <c r="Q19" s="195"/>
      <c r="R19" s="195"/>
    </row>
    <row r="20" spans="1:24" x14ac:dyDescent="0.25">
      <c r="A20" s="191" t="s">
        <v>82</v>
      </c>
      <c r="B20" s="184" t="s">
        <v>146</v>
      </c>
      <c r="C20" s="183" t="s">
        <v>62</v>
      </c>
      <c r="D20" s="150">
        <v>1118.06</v>
      </c>
      <c r="E20" s="123">
        <v>18.27</v>
      </c>
      <c r="F20" s="126">
        <v>20426.96</v>
      </c>
      <c r="G20" s="214">
        <f t="shared" ref="G20:K22" si="16">$F20*N20</f>
        <v>10213.48</v>
      </c>
      <c r="H20" s="214">
        <f t="shared" si="16"/>
        <v>10213.48</v>
      </c>
      <c r="I20" s="214">
        <f t="shared" si="16"/>
        <v>0</v>
      </c>
      <c r="J20" s="214">
        <f t="shared" si="16"/>
        <v>0</v>
      </c>
      <c r="K20" s="214">
        <f t="shared" si="16"/>
        <v>0</v>
      </c>
      <c r="L20" s="194">
        <f>F20-SUM(G20:K20)</f>
        <v>0</v>
      </c>
      <c r="N20" s="195">
        <v>0.5</v>
      </c>
      <c r="O20" s="195">
        <v>0.5</v>
      </c>
      <c r="P20" s="195"/>
      <c r="Q20" s="195"/>
      <c r="R20" s="195"/>
      <c r="T20" s="194">
        <f t="shared" ref="T20:T22" si="17">N20*$D20</f>
        <v>559.03</v>
      </c>
      <c r="U20" s="194">
        <f t="shared" ref="U20:U22" si="18">O20*$D20</f>
        <v>559.03</v>
      </c>
      <c r="V20" s="194">
        <f t="shared" ref="V20:V22" si="19">P20*$D20</f>
        <v>0</v>
      </c>
      <c r="W20" s="194">
        <f t="shared" ref="W20:W22" si="20">Q20*$D20</f>
        <v>0</v>
      </c>
      <c r="X20" s="194">
        <f t="shared" ref="X20:X22" si="21">R20*$D20</f>
        <v>0</v>
      </c>
    </row>
    <row r="21" spans="1:24" x14ac:dyDescent="0.25">
      <c r="A21" s="191" t="s">
        <v>83</v>
      </c>
      <c r="B21" s="184" t="s">
        <v>147</v>
      </c>
      <c r="C21" s="183" t="s">
        <v>20</v>
      </c>
      <c r="D21" s="150"/>
      <c r="E21" s="123"/>
      <c r="F21" s="126"/>
      <c r="G21" s="214">
        <f t="shared" si="16"/>
        <v>0</v>
      </c>
      <c r="H21" s="214">
        <f t="shared" si="16"/>
        <v>0</v>
      </c>
      <c r="I21" s="214">
        <f t="shared" si="16"/>
        <v>0</v>
      </c>
      <c r="J21" s="214">
        <f t="shared" si="16"/>
        <v>0</v>
      </c>
      <c r="K21" s="214">
        <f t="shared" si="16"/>
        <v>0</v>
      </c>
      <c r="L21" s="194">
        <f>F21-SUM(G21:K21)</f>
        <v>0</v>
      </c>
      <c r="N21" s="195">
        <v>0.5</v>
      </c>
      <c r="O21" s="195">
        <v>0.5</v>
      </c>
      <c r="P21" s="195"/>
      <c r="Q21" s="195"/>
      <c r="R21" s="195"/>
      <c r="T21" s="194">
        <f t="shared" si="17"/>
        <v>0</v>
      </c>
      <c r="U21" s="194">
        <f t="shared" si="18"/>
        <v>0</v>
      </c>
      <c r="V21" s="194">
        <f t="shared" si="19"/>
        <v>0</v>
      </c>
      <c r="W21" s="194">
        <f t="shared" si="20"/>
        <v>0</v>
      </c>
      <c r="X21" s="194">
        <f t="shared" si="21"/>
        <v>0</v>
      </c>
    </row>
    <row r="22" spans="1:24" x14ac:dyDescent="0.25">
      <c r="A22" s="191" t="s">
        <v>84</v>
      </c>
      <c r="B22" s="184" t="s">
        <v>148</v>
      </c>
      <c r="C22" s="183" t="s">
        <v>62</v>
      </c>
      <c r="D22" s="150"/>
      <c r="E22" s="123"/>
      <c r="F22" s="126"/>
      <c r="G22" s="214">
        <f t="shared" si="16"/>
        <v>0</v>
      </c>
      <c r="H22" s="214">
        <f t="shared" si="16"/>
        <v>0</v>
      </c>
      <c r="I22" s="214">
        <f t="shared" si="16"/>
        <v>0</v>
      </c>
      <c r="J22" s="214">
        <f t="shared" si="16"/>
        <v>0</v>
      </c>
      <c r="K22" s="214">
        <f t="shared" si="16"/>
        <v>0</v>
      </c>
      <c r="L22" s="194">
        <f>F22-SUM(G22:K22)</f>
        <v>0</v>
      </c>
      <c r="N22" s="195">
        <v>0.5</v>
      </c>
      <c r="O22" s="195">
        <v>0.5</v>
      </c>
      <c r="P22" s="195"/>
      <c r="Q22" s="195"/>
      <c r="R22" s="195"/>
      <c r="T22" s="194">
        <f t="shared" si="17"/>
        <v>0</v>
      </c>
      <c r="U22" s="194">
        <f t="shared" si="18"/>
        <v>0</v>
      </c>
      <c r="V22" s="194">
        <f t="shared" si="19"/>
        <v>0</v>
      </c>
      <c r="W22" s="194">
        <f t="shared" si="20"/>
        <v>0</v>
      </c>
      <c r="X22" s="194">
        <f t="shared" si="21"/>
        <v>0</v>
      </c>
    </row>
    <row r="23" spans="1:24" x14ac:dyDescent="0.25">
      <c r="A23" s="190" t="s">
        <v>85</v>
      </c>
      <c r="B23" s="182" t="s">
        <v>149</v>
      </c>
      <c r="C23" s="185"/>
      <c r="D23" s="201"/>
      <c r="E23" s="51"/>
      <c r="F23" s="180"/>
      <c r="G23" s="213"/>
      <c r="H23" s="213"/>
      <c r="I23" s="213"/>
      <c r="J23" s="213"/>
      <c r="K23" s="213"/>
      <c r="L23" s="194"/>
      <c r="N23" s="195"/>
      <c r="O23" s="195"/>
      <c r="P23" s="195"/>
      <c r="Q23" s="195"/>
      <c r="R23" s="195"/>
    </row>
    <row r="24" spans="1:24" x14ac:dyDescent="0.25">
      <c r="A24" s="191" t="s">
        <v>86</v>
      </c>
      <c r="B24" s="184" t="s">
        <v>150</v>
      </c>
      <c r="C24" s="185" t="s">
        <v>197</v>
      </c>
      <c r="D24" s="152">
        <v>70.33</v>
      </c>
      <c r="E24" s="131">
        <v>4.3600000000000003</v>
      </c>
      <c r="F24" s="126">
        <v>306.64</v>
      </c>
      <c r="G24" s="214">
        <f t="shared" ref="G24:K27" si="22">$F24*N24</f>
        <v>0</v>
      </c>
      <c r="H24" s="214">
        <f t="shared" si="22"/>
        <v>0</v>
      </c>
      <c r="I24" s="214">
        <f t="shared" si="22"/>
        <v>0</v>
      </c>
      <c r="J24" s="214">
        <f t="shared" si="22"/>
        <v>153.32</v>
      </c>
      <c r="K24" s="214">
        <f t="shared" si="22"/>
        <v>153.32</v>
      </c>
      <c r="L24" s="194">
        <f>F24-SUM(G24:K24)</f>
        <v>0</v>
      </c>
      <c r="N24" s="195"/>
      <c r="O24" s="195"/>
      <c r="P24" s="195"/>
      <c r="Q24" s="195">
        <v>0.5</v>
      </c>
      <c r="R24" s="195">
        <v>0.5</v>
      </c>
      <c r="T24" s="194">
        <f t="shared" ref="T24:T27" si="23">N24*$D24</f>
        <v>0</v>
      </c>
      <c r="U24" s="194">
        <f t="shared" ref="U24:U27" si="24">O24*$D24</f>
        <v>0</v>
      </c>
      <c r="V24" s="194">
        <f t="shared" ref="V24:V27" si="25">P24*$D24</f>
        <v>0</v>
      </c>
      <c r="W24" s="194">
        <f t="shared" ref="W24:W27" si="26">Q24*$D24</f>
        <v>35.164999999999999</v>
      </c>
      <c r="X24" s="194">
        <f t="shared" ref="X24:X27" si="27">R24*$D24</f>
        <v>35.164999999999999</v>
      </c>
    </row>
    <row r="25" spans="1:24" x14ac:dyDescent="0.25">
      <c r="A25" s="191" t="s">
        <v>87</v>
      </c>
      <c r="B25" s="184" t="s">
        <v>151</v>
      </c>
      <c r="C25" s="185" t="s">
        <v>197</v>
      </c>
      <c r="D25" s="152">
        <v>8.73</v>
      </c>
      <c r="E25" s="131">
        <v>7.37</v>
      </c>
      <c r="F25" s="126">
        <v>64.34</v>
      </c>
      <c r="G25" s="214">
        <f t="shared" si="22"/>
        <v>0</v>
      </c>
      <c r="H25" s="214">
        <f t="shared" si="22"/>
        <v>0</v>
      </c>
      <c r="I25" s="214">
        <f t="shared" si="22"/>
        <v>38.603999999999999</v>
      </c>
      <c r="J25" s="214">
        <f t="shared" si="22"/>
        <v>25.736000000000004</v>
      </c>
      <c r="K25" s="214">
        <f t="shared" si="22"/>
        <v>0</v>
      </c>
      <c r="L25" s="194">
        <f>F25-SUM(G25:K25)</f>
        <v>0</v>
      </c>
      <c r="N25" s="195"/>
      <c r="O25" s="195"/>
      <c r="P25" s="195">
        <v>0.6</v>
      </c>
      <c r="Q25" s="195">
        <v>0.4</v>
      </c>
      <c r="R25" s="195"/>
      <c r="T25" s="194">
        <f t="shared" si="23"/>
        <v>0</v>
      </c>
      <c r="U25" s="194">
        <f t="shared" si="24"/>
        <v>0</v>
      </c>
      <c r="V25" s="194">
        <f t="shared" si="25"/>
        <v>5.2380000000000004</v>
      </c>
      <c r="W25" s="194">
        <f t="shared" si="26"/>
        <v>3.4920000000000004</v>
      </c>
      <c r="X25" s="194">
        <f t="shared" si="27"/>
        <v>0</v>
      </c>
    </row>
    <row r="26" spans="1:24" x14ac:dyDescent="0.25">
      <c r="A26" s="191" t="s">
        <v>88</v>
      </c>
      <c r="B26" s="184" t="s">
        <v>152</v>
      </c>
      <c r="C26" s="185" t="s">
        <v>197</v>
      </c>
      <c r="D26" s="152">
        <v>70.33</v>
      </c>
      <c r="E26" s="131">
        <v>11.5</v>
      </c>
      <c r="F26" s="126">
        <v>808.8</v>
      </c>
      <c r="G26" s="214">
        <f t="shared" si="22"/>
        <v>0</v>
      </c>
      <c r="H26" s="214">
        <f t="shared" si="22"/>
        <v>0</v>
      </c>
      <c r="I26" s="214">
        <f t="shared" si="22"/>
        <v>0</v>
      </c>
      <c r="J26" s="214">
        <f t="shared" si="22"/>
        <v>323.52</v>
      </c>
      <c r="K26" s="214">
        <f t="shared" si="22"/>
        <v>485.28</v>
      </c>
      <c r="L26" s="194">
        <f>F26-SUM(G26:K26)</f>
        <v>0</v>
      </c>
      <c r="N26" s="195"/>
      <c r="O26" s="195"/>
      <c r="P26" s="195"/>
      <c r="Q26" s="195">
        <v>0.4</v>
      </c>
      <c r="R26" s="195">
        <v>0.6</v>
      </c>
      <c r="T26" s="194">
        <f t="shared" si="23"/>
        <v>0</v>
      </c>
      <c r="U26" s="194">
        <f t="shared" si="24"/>
        <v>0</v>
      </c>
      <c r="V26" s="194">
        <f t="shared" si="25"/>
        <v>0</v>
      </c>
      <c r="W26" s="194">
        <f t="shared" si="26"/>
        <v>28.132000000000001</v>
      </c>
      <c r="X26" s="194">
        <f t="shared" si="27"/>
        <v>42.198</v>
      </c>
    </row>
    <row r="27" spans="1:24" x14ac:dyDescent="0.25">
      <c r="A27" s="191" t="s">
        <v>89</v>
      </c>
      <c r="B27" s="184" t="s">
        <v>153</v>
      </c>
      <c r="C27" s="185" t="s">
        <v>197</v>
      </c>
      <c r="D27" s="152">
        <v>8.73</v>
      </c>
      <c r="E27" s="131">
        <v>14.5</v>
      </c>
      <c r="F27" s="126">
        <v>126.59</v>
      </c>
      <c r="G27" s="214">
        <f t="shared" si="22"/>
        <v>0</v>
      </c>
      <c r="H27" s="214">
        <f t="shared" si="22"/>
        <v>0</v>
      </c>
      <c r="I27" s="214">
        <f t="shared" si="22"/>
        <v>63.295000000000002</v>
      </c>
      <c r="J27" s="214">
        <f t="shared" si="22"/>
        <v>63.295000000000002</v>
      </c>
      <c r="K27" s="214">
        <f t="shared" si="22"/>
        <v>0</v>
      </c>
      <c r="L27" s="194">
        <f>F27-SUM(G27:K27)</f>
        <v>0</v>
      </c>
      <c r="N27" s="195"/>
      <c r="O27" s="195"/>
      <c r="P27" s="195">
        <v>0.5</v>
      </c>
      <c r="Q27" s="195">
        <v>0.5</v>
      </c>
      <c r="R27" s="195"/>
      <c r="T27" s="194">
        <f t="shared" si="23"/>
        <v>0</v>
      </c>
      <c r="U27" s="194">
        <f t="shared" si="24"/>
        <v>0</v>
      </c>
      <c r="V27" s="194">
        <f t="shared" si="25"/>
        <v>4.3650000000000002</v>
      </c>
      <c r="W27" s="194">
        <f t="shared" si="26"/>
        <v>4.3650000000000002</v>
      </c>
      <c r="X27" s="194">
        <f t="shared" si="27"/>
        <v>0</v>
      </c>
    </row>
    <row r="28" spans="1:24" x14ac:dyDescent="0.25">
      <c r="A28" s="190" t="s">
        <v>90</v>
      </c>
      <c r="B28" s="182" t="s">
        <v>154</v>
      </c>
      <c r="C28" s="185"/>
      <c r="D28" s="201"/>
      <c r="E28" s="51"/>
      <c r="F28" s="180"/>
      <c r="G28" s="213"/>
      <c r="H28" s="213"/>
      <c r="I28" s="213"/>
      <c r="J28" s="213"/>
      <c r="K28" s="213"/>
      <c r="L28" s="194"/>
      <c r="N28" s="195"/>
      <c r="O28" s="195"/>
      <c r="P28" s="195"/>
      <c r="Q28" s="195"/>
      <c r="R28" s="195"/>
    </row>
    <row r="29" spans="1:24" x14ac:dyDescent="0.25">
      <c r="A29" s="190" t="s">
        <v>91</v>
      </c>
      <c r="B29" s="182" t="s">
        <v>155</v>
      </c>
      <c r="C29" s="185"/>
      <c r="D29" s="201"/>
      <c r="E29" s="51"/>
      <c r="F29" s="180"/>
      <c r="G29" s="213"/>
      <c r="H29" s="213"/>
      <c r="I29" s="213"/>
      <c r="J29" s="213"/>
      <c r="K29" s="213"/>
      <c r="L29" s="194"/>
      <c r="N29" s="195"/>
      <c r="O29" s="195"/>
      <c r="P29" s="195"/>
      <c r="Q29" s="195"/>
      <c r="R29" s="195"/>
    </row>
    <row r="30" spans="1:24" x14ac:dyDescent="0.25">
      <c r="A30" s="191" t="s">
        <v>92</v>
      </c>
      <c r="B30" s="184" t="s">
        <v>156</v>
      </c>
      <c r="C30" s="185" t="s">
        <v>62</v>
      </c>
      <c r="D30" s="152">
        <v>330.16</v>
      </c>
      <c r="E30" s="131">
        <v>184.1</v>
      </c>
      <c r="F30" s="126">
        <v>60782.46</v>
      </c>
      <c r="G30" s="214">
        <f>$F30*N30</f>
        <v>0</v>
      </c>
      <c r="H30" s="214">
        <f>$F30*O30</f>
        <v>42547.721999999994</v>
      </c>
      <c r="I30" s="214">
        <f>$F30*P30</f>
        <v>18234.737999999998</v>
      </c>
      <c r="J30" s="214">
        <f>$F30*Q30</f>
        <v>0</v>
      </c>
      <c r="K30" s="214">
        <f>$F30*R30</f>
        <v>0</v>
      </c>
      <c r="L30" s="194">
        <f>F30-SUM(G30:K30)</f>
        <v>0</v>
      </c>
      <c r="N30" s="195"/>
      <c r="O30" s="195">
        <v>0.7</v>
      </c>
      <c r="P30" s="195">
        <v>0.3</v>
      </c>
      <c r="Q30" s="195"/>
      <c r="R30" s="195"/>
      <c r="T30" s="194">
        <f>N30*$D30</f>
        <v>0</v>
      </c>
      <c r="U30" s="194">
        <f t="shared" ref="U30" si="28">O30*$D30</f>
        <v>231.11199999999999</v>
      </c>
      <c r="V30" s="194">
        <f t="shared" ref="V30" si="29">P30*$D30</f>
        <v>99.048000000000002</v>
      </c>
      <c r="W30" s="194">
        <f t="shared" ref="W30" si="30">Q30*$D30</f>
        <v>0</v>
      </c>
      <c r="X30" s="194">
        <f t="shared" ref="X30" si="31">R30*$D30</f>
        <v>0</v>
      </c>
    </row>
    <row r="31" spans="1:24" x14ac:dyDescent="0.25">
      <c r="A31" s="190" t="s">
        <v>93</v>
      </c>
      <c r="B31" s="182" t="s">
        <v>157</v>
      </c>
      <c r="C31" s="185"/>
      <c r="D31" s="201"/>
      <c r="E31" s="51"/>
      <c r="F31" s="180"/>
      <c r="G31" s="213"/>
      <c r="H31" s="213"/>
      <c r="I31" s="213"/>
      <c r="J31" s="213"/>
      <c r="K31" s="213"/>
      <c r="L31" s="194"/>
      <c r="N31" s="195"/>
      <c r="O31" s="195"/>
      <c r="P31" s="195"/>
      <c r="Q31" s="195"/>
      <c r="R31" s="195"/>
    </row>
    <row r="32" spans="1:24" x14ac:dyDescent="0.25">
      <c r="A32" s="191" t="s">
        <v>94</v>
      </c>
      <c r="B32" s="184" t="s">
        <v>158</v>
      </c>
      <c r="C32" s="185" t="s">
        <v>62</v>
      </c>
      <c r="D32" s="152">
        <v>24.24</v>
      </c>
      <c r="E32" s="131">
        <v>182.46</v>
      </c>
      <c r="F32" s="126">
        <v>4422.83</v>
      </c>
      <c r="G32" s="214">
        <f t="shared" ref="G32:K35" si="32">$F32*N32</f>
        <v>0</v>
      </c>
      <c r="H32" s="214">
        <f t="shared" si="32"/>
        <v>1326.8489999999999</v>
      </c>
      <c r="I32" s="214">
        <f t="shared" si="32"/>
        <v>3095.9809999999998</v>
      </c>
      <c r="J32" s="214">
        <f t="shared" si="32"/>
        <v>0</v>
      </c>
      <c r="K32" s="214">
        <f t="shared" si="32"/>
        <v>0</v>
      </c>
      <c r="L32" s="194">
        <f>F32-SUM(G32:K32)</f>
        <v>0</v>
      </c>
      <c r="N32" s="195"/>
      <c r="O32" s="195">
        <v>0.3</v>
      </c>
      <c r="P32" s="195">
        <v>0.7</v>
      </c>
      <c r="Q32" s="195"/>
      <c r="R32" s="195"/>
      <c r="T32" s="194">
        <f t="shared" ref="T32:T35" si="33">N32*$D32</f>
        <v>0</v>
      </c>
      <c r="U32" s="194">
        <f t="shared" ref="U32:U35" si="34">O32*$D32</f>
        <v>7.2719999999999994</v>
      </c>
      <c r="V32" s="194">
        <f t="shared" ref="V32:V35" si="35">P32*$D32</f>
        <v>16.967999999999996</v>
      </c>
      <c r="W32" s="194">
        <f t="shared" ref="W32:W35" si="36">Q32*$D32</f>
        <v>0</v>
      </c>
      <c r="X32" s="194">
        <f t="shared" ref="X32:X35" si="37">R32*$D32</f>
        <v>0</v>
      </c>
    </row>
    <row r="33" spans="1:24" x14ac:dyDescent="0.25">
      <c r="A33" s="191" t="s">
        <v>95</v>
      </c>
      <c r="B33" s="184" t="s">
        <v>159</v>
      </c>
      <c r="C33" s="185" t="s">
        <v>197</v>
      </c>
      <c r="D33" s="152">
        <v>22.63</v>
      </c>
      <c r="E33" s="131">
        <v>23.830000000000002</v>
      </c>
      <c r="F33" s="126">
        <v>539.27</v>
      </c>
      <c r="G33" s="214">
        <f t="shared" si="32"/>
        <v>0</v>
      </c>
      <c r="H33" s="214">
        <f t="shared" si="32"/>
        <v>215.708</v>
      </c>
      <c r="I33" s="214">
        <f t="shared" si="32"/>
        <v>323.56199999999995</v>
      </c>
      <c r="J33" s="214">
        <f t="shared" si="32"/>
        <v>0</v>
      </c>
      <c r="K33" s="214">
        <f t="shared" si="32"/>
        <v>0</v>
      </c>
      <c r="L33" s="194">
        <f>F33-SUM(G33:K33)</f>
        <v>0</v>
      </c>
      <c r="N33" s="195"/>
      <c r="O33" s="195">
        <v>0.4</v>
      </c>
      <c r="P33" s="195">
        <v>0.6</v>
      </c>
      <c r="Q33" s="195"/>
      <c r="R33" s="195"/>
      <c r="T33" s="194">
        <f t="shared" si="33"/>
        <v>0</v>
      </c>
      <c r="U33" s="194">
        <f t="shared" si="34"/>
        <v>9.0519999999999996</v>
      </c>
      <c r="V33" s="194">
        <f t="shared" si="35"/>
        <v>13.577999999999999</v>
      </c>
      <c r="W33" s="194">
        <f t="shared" si="36"/>
        <v>0</v>
      </c>
      <c r="X33" s="194">
        <f t="shared" si="37"/>
        <v>0</v>
      </c>
    </row>
    <row r="34" spans="1:24" x14ac:dyDescent="0.25">
      <c r="A34" s="191" t="s">
        <v>96</v>
      </c>
      <c r="B34" s="184" t="s">
        <v>160</v>
      </c>
      <c r="C34" s="185" t="s">
        <v>62</v>
      </c>
      <c r="D34" s="152">
        <v>160.54</v>
      </c>
      <c r="E34" s="131">
        <v>207.85</v>
      </c>
      <c r="F34" s="126">
        <v>33368.239999999998</v>
      </c>
      <c r="G34" s="214">
        <f t="shared" si="32"/>
        <v>33368.239999999998</v>
      </c>
      <c r="H34" s="214">
        <f t="shared" si="32"/>
        <v>0</v>
      </c>
      <c r="I34" s="214">
        <f t="shared" si="32"/>
        <v>0</v>
      </c>
      <c r="J34" s="214">
        <f t="shared" si="32"/>
        <v>0</v>
      </c>
      <c r="K34" s="214">
        <f t="shared" si="32"/>
        <v>0</v>
      </c>
      <c r="L34" s="194">
        <f>F34-SUM(G34:K34)</f>
        <v>0</v>
      </c>
      <c r="N34" s="195">
        <v>1</v>
      </c>
      <c r="O34" s="195"/>
      <c r="P34" s="195"/>
      <c r="Q34" s="195"/>
      <c r="R34" s="195"/>
      <c r="T34" s="194">
        <f t="shared" si="33"/>
        <v>160.54</v>
      </c>
      <c r="U34" s="194">
        <f t="shared" si="34"/>
        <v>0</v>
      </c>
      <c r="V34" s="194">
        <f t="shared" si="35"/>
        <v>0</v>
      </c>
      <c r="W34" s="194">
        <f t="shared" si="36"/>
        <v>0</v>
      </c>
      <c r="X34" s="194">
        <f t="shared" si="37"/>
        <v>0</v>
      </c>
    </row>
    <row r="35" spans="1:24" x14ac:dyDescent="0.25">
      <c r="A35" s="191" t="s">
        <v>97</v>
      </c>
      <c r="B35" s="184" t="s">
        <v>161</v>
      </c>
      <c r="C35" s="185" t="s">
        <v>197</v>
      </c>
      <c r="D35" s="152">
        <v>321.08</v>
      </c>
      <c r="E35" s="131">
        <v>26.53</v>
      </c>
      <c r="F35" s="126">
        <v>8518.25</v>
      </c>
      <c r="G35" s="214">
        <f t="shared" si="32"/>
        <v>8518.25</v>
      </c>
      <c r="H35" s="214">
        <f t="shared" si="32"/>
        <v>0</v>
      </c>
      <c r="I35" s="214">
        <f t="shared" si="32"/>
        <v>0</v>
      </c>
      <c r="J35" s="214">
        <f t="shared" si="32"/>
        <v>0</v>
      </c>
      <c r="K35" s="214">
        <f t="shared" si="32"/>
        <v>0</v>
      </c>
      <c r="L35" s="194">
        <f>F35-SUM(G35:K35)</f>
        <v>0</v>
      </c>
      <c r="N35" s="195">
        <v>1</v>
      </c>
      <c r="O35" s="195"/>
      <c r="P35" s="195"/>
      <c r="Q35" s="195"/>
      <c r="R35" s="195"/>
      <c r="T35" s="194">
        <f t="shared" si="33"/>
        <v>321.08</v>
      </c>
      <c r="U35" s="194">
        <f t="shared" si="34"/>
        <v>0</v>
      </c>
      <c r="V35" s="194">
        <f t="shared" si="35"/>
        <v>0</v>
      </c>
      <c r="W35" s="194">
        <f t="shared" si="36"/>
        <v>0</v>
      </c>
      <c r="X35" s="194">
        <f t="shared" si="37"/>
        <v>0</v>
      </c>
    </row>
    <row r="36" spans="1:24" x14ac:dyDescent="0.25">
      <c r="A36" s="190" t="s">
        <v>98</v>
      </c>
      <c r="B36" s="182" t="s">
        <v>162</v>
      </c>
      <c r="C36" s="185"/>
      <c r="D36" s="201"/>
      <c r="E36" s="51"/>
      <c r="F36" s="180"/>
      <c r="G36" s="213"/>
      <c r="H36" s="213"/>
      <c r="I36" s="213"/>
      <c r="J36" s="213"/>
      <c r="K36" s="213"/>
      <c r="L36" s="194"/>
      <c r="N36" s="195"/>
      <c r="O36" s="195"/>
      <c r="P36" s="195"/>
      <c r="Q36" s="195"/>
      <c r="R36" s="195"/>
    </row>
    <row r="37" spans="1:24" x14ac:dyDescent="0.25">
      <c r="A37" s="191" t="s">
        <v>99</v>
      </c>
      <c r="B37" s="184" t="s">
        <v>163</v>
      </c>
      <c r="C37" s="185" t="s">
        <v>62</v>
      </c>
      <c r="D37" s="152">
        <v>3.15</v>
      </c>
      <c r="E37" s="131">
        <v>201.22</v>
      </c>
      <c r="F37" s="126">
        <v>633.84</v>
      </c>
      <c r="G37" s="214">
        <f t="shared" ref="G37:K38" si="38">$F37*N37</f>
        <v>0</v>
      </c>
      <c r="H37" s="214">
        <f t="shared" si="38"/>
        <v>0</v>
      </c>
      <c r="I37" s="214">
        <f t="shared" si="38"/>
        <v>316.92</v>
      </c>
      <c r="J37" s="214">
        <f t="shared" si="38"/>
        <v>316.92</v>
      </c>
      <c r="K37" s="214">
        <f t="shared" si="38"/>
        <v>0</v>
      </c>
      <c r="L37" s="194">
        <f>F37-SUM(G37:K37)</f>
        <v>0</v>
      </c>
      <c r="N37" s="195"/>
      <c r="O37" s="195"/>
      <c r="P37" s="195">
        <v>0.5</v>
      </c>
      <c r="Q37" s="195">
        <v>0.5</v>
      </c>
      <c r="R37" s="195"/>
      <c r="T37" s="194">
        <f t="shared" ref="T37:T38" si="39">N37*$D37</f>
        <v>0</v>
      </c>
      <c r="U37" s="194">
        <f t="shared" ref="U37:U38" si="40">O37*$D37</f>
        <v>0</v>
      </c>
      <c r="V37" s="194">
        <f t="shared" ref="V37:V38" si="41">P37*$D37</f>
        <v>1.575</v>
      </c>
      <c r="W37" s="194">
        <f t="shared" ref="W37:W38" si="42">Q37*$D37</f>
        <v>1.575</v>
      </c>
      <c r="X37" s="194">
        <f t="shared" ref="X37:X38" si="43">R37*$D37</f>
        <v>0</v>
      </c>
    </row>
    <row r="38" spans="1:24" x14ac:dyDescent="0.25">
      <c r="A38" s="191" t="s">
        <v>100</v>
      </c>
      <c r="B38" s="184" t="s">
        <v>164</v>
      </c>
      <c r="C38" s="185" t="s">
        <v>197</v>
      </c>
      <c r="D38" s="152">
        <v>43.07</v>
      </c>
      <c r="E38" s="131">
        <v>24.18</v>
      </c>
      <c r="F38" s="126">
        <v>1041.43</v>
      </c>
      <c r="G38" s="214">
        <f t="shared" si="38"/>
        <v>0</v>
      </c>
      <c r="H38" s="214">
        <f t="shared" si="38"/>
        <v>416.57200000000006</v>
      </c>
      <c r="I38" s="214">
        <f t="shared" si="38"/>
        <v>416.57200000000006</v>
      </c>
      <c r="J38" s="214">
        <f t="shared" si="38"/>
        <v>208.28600000000003</v>
      </c>
      <c r="K38" s="214">
        <f t="shared" si="38"/>
        <v>0</v>
      </c>
      <c r="L38" s="194">
        <f>F38-SUM(G38:K38)</f>
        <v>0</v>
      </c>
      <c r="N38" s="195"/>
      <c r="O38" s="195">
        <v>0.4</v>
      </c>
      <c r="P38" s="195">
        <v>0.4</v>
      </c>
      <c r="Q38" s="195">
        <v>0.2</v>
      </c>
      <c r="R38" s="195"/>
      <c r="T38" s="194">
        <f t="shared" si="39"/>
        <v>0</v>
      </c>
      <c r="U38" s="194">
        <f t="shared" si="40"/>
        <v>17.228000000000002</v>
      </c>
      <c r="V38" s="194">
        <f t="shared" si="41"/>
        <v>17.228000000000002</v>
      </c>
      <c r="W38" s="194">
        <f t="shared" si="42"/>
        <v>8.6140000000000008</v>
      </c>
      <c r="X38" s="194">
        <f t="shared" si="43"/>
        <v>0</v>
      </c>
    </row>
    <row r="39" spans="1:24" x14ac:dyDescent="0.25">
      <c r="A39" s="190" t="s">
        <v>101</v>
      </c>
      <c r="B39" s="182" t="s">
        <v>165</v>
      </c>
      <c r="C39" s="185"/>
      <c r="D39" s="201"/>
      <c r="E39" s="51"/>
      <c r="F39" s="180"/>
      <c r="G39" s="213"/>
      <c r="H39" s="213"/>
      <c r="I39" s="213"/>
      <c r="J39" s="213"/>
      <c r="K39" s="213"/>
      <c r="L39" s="194"/>
      <c r="N39" s="195"/>
      <c r="O39" s="195"/>
      <c r="P39" s="195"/>
      <c r="Q39" s="195"/>
      <c r="R39" s="195"/>
    </row>
    <row r="40" spans="1:24" x14ac:dyDescent="0.25">
      <c r="A40" s="190" t="s">
        <v>102</v>
      </c>
      <c r="B40" s="182" t="s">
        <v>166</v>
      </c>
      <c r="C40" s="185"/>
      <c r="D40" s="201"/>
      <c r="E40" s="51"/>
      <c r="F40" s="180"/>
      <c r="G40" s="213"/>
      <c r="H40" s="213"/>
      <c r="I40" s="213"/>
      <c r="J40" s="213"/>
      <c r="K40" s="213"/>
      <c r="L40" s="194"/>
      <c r="N40" s="195"/>
      <c r="O40" s="195"/>
      <c r="P40" s="195"/>
      <c r="Q40" s="195"/>
      <c r="R40" s="195"/>
    </row>
    <row r="41" spans="1:24" x14ac:dyDescent="0.25">
      <c r="A41" s="191" t="s">
        <v>103</v>
      </c>
      <c r="B41" s="184" t="s">
        <v>167</v>
      </c>
      <c r="C41" s="185" t="s">
        <v>62</v>
      </c>
      <c r="D41" s="152">
        <v>412.62</v>
      </c>
      <c r="E41" s="131">
        <v>286.60000000000002</v>
      </c>
      <c r="F41" s="126">
        <v>118256.89</v>
      </c>
      <c r="G41" s="214">
        <f t="shared" ref="G41:K42" si="44">$F41*N41</f>
        <v>0</v>
      </c>
      <c r="H41" s="214">
        <f t="shared" si="44"/>
        <v>59128.445</v>
      </c>
      <c r="I41" s="214">
        <f t="shared" si="44"/>
        <v>59128.445</v>
      </c>
      <c r="J41" s="214">
        <f t="shared" si="44"/>
        <v>0</v>
      </c>
      <c r="K41" s="214">
        <f t="shared" si="44"/>
        <v>0</v>
      </c>
      <c r="L41" s="194">
        <f>F41-SUM(G41:K41)</f>
        <v>0</v>
      </c>
      <c r="N41" s="195"/>
      <c r="O41" s="195">
        <v>0.5</v>
      </c>
      <c r="P41" s="195">
        <v>0.5</v>
      </c>
      <c r="Q41" s="195"/>
      <c r="R41" s="195"/>
      <c r="T41" s="194">
        <f t="shared" ref="T41:T42" si="45">N41*$D41</f>
        <v>0</v>
      </c>
      <c r="U41" s="194">
        <f t="shared" ref="U41:U42" si="46">O41*$D41</f>
        <v>206.31</v>
      </c>
      <c r="V41" s="194">
        <f t="shared" ref="V41:V42" si="47">P41*$D41</f>
        <v>206.31</v>
      </c>
      <c r="W41" s="194">
        <f t="shared" ref="W41:W42" si="48">Q41*$D41</f>
        <v>0</v>
      </c>
      <c r="X41" s="194">
        <f t="shared" ref="X41:X42" si="49">R41*$D41</f>
        <v>0</v>
      </c>
    </row>
    <row r="42" spans="1:24" x14ac:dyDescent="0.25">
      <c r="A42" s="191" t="s">
        <v>104</v>
      </c>
      <c r="B42" s="184" t="s">
        <v>168</v>
      </c>
      <c r="C42" s="185" t="s">
        <v>198</v>
      </c>
      <c r="D42" s="152">
        <v>17359.560000000001</v>
      </c>
      <c r="E42" s="131">
        <v>3.4</v>
      </c>
      <c r="F42" s="126">
        <v>59022.5</v>
      </c>
      <c r="G42" s="214">
        <f t="shared" si="44"/>
        <v>0</v>
      </c>
      <c r="H42" s="214">
        <f t="shared" si="44"/>
        <v>29511.25</v>
      </c>
      <c r="I42" s="214">
        <f t="shared" si="44"/>
        <v>29511.25</v>
      </c>
      <c r="J42" s="214">
        <f t="shared" si="44"/>
        <v>0</v>
      </c>
      <c r="K42" s="214">
        <f t="shared" si="44"/>
        <v>0</v>
      </c>
      <c r="L42" s="194">
        <f>F42-SUM(G42:K42)</f>
        <v>0</v>
      </c>
      <c r="N42" s="195"/>
      <c r="O42" s="195">
        <v>0.5</v>
      </c>
      <c r="P42" s="195">
        <v>0.5</v>
      </c>
      <c r="Q42" s="195"/>
      <c r="R42" s="195"/>
      <c r="T42" s="194">
        <f t="shared" si="45"/>
        <v>0</v>
      </c>
      <c r="U42" s="194">
        <f t="shared" si="46"/>
        <v>8679.7800000000007</v>
      </c>
      <c r="V42" s="194">
        <f t="shared" si="47"/>
        <v>8679.7800000000007</v>
      </c>
      <c r="W42" s="194">
        <f t="shared" si="48"/>
        <v>0</v>
      </c>
      <c r="X42" s="194">
        <f t="shared" si="49"/>
        <v>0</v>
      </c>
    </row>
    <row r="43" spans="1:24" x14ac:dyDescent="0.25">
      <c r="A43" s="190" t="s">
        <v>105</v>
      </c>
      <c r="B43" s="182" t="s">
        <v>169</v>
      </c>
      <c r="C43" s="185"/>
      <c r="D43" s="201"/>
      <c r="E43" s="51"/>
      <c r="F43" s="180"/>
      <c r="G43" s="213"/>
      <c r="H43" s="213"/>
      <c r="I43" s="213"/>
      <c r="J43" s="213"/>
      <c r="K43" s="213"/>
      <c r="L43" s="194"/>
      <c r="N43" s="195"/>
      <c r="O43" s="195"/>
      <c r="P43" s="195"/>
      <c r="Q43" s="195"/>
      <c r="R43" s="195"/>
    </row>
    <row r="44" spans="1:24" x14ac:dyDescent="0.25">
      <c r="A44" s="191" t="s">
        <v>106</v>
      </c>
      <c r="B44" s="184" t="s">
        <v>170</v>
      </c>
      <c r="C44" s="185" t="s">
        <v>62</v>
      </c>
      <c r="D44" s="152">
        <v>6.62</v>
      </c>
      <c r="E44" s="131">
        <v>290.45</v>
      </c>
      <c r="F44" s="126">
        <v>1922.78</v>
      </c>
      <c r="G44" s="214">
        <f t="shared" ref="G44:K49" si="50">$F44*N44</f>
        <v>0</v>
      </c>
      <c r="H44" s="214">
        <f t="shared" si="50"/>
        <v>0</v>
      </c>
      <c r="I44" s="214">
        <f t="shared" si="50"/>
        <v>1153.6679999999999</v>
      </c>
      <c r="J44" s="214">
        <f t="shared" si="50"/>
        <v>769.11200000000008</v>
      </c>
      <c r="K44" s="214">
        <f t="shared" si="50"/>
        <v>0</v>
      </c>
      <c r="L44" s="194">
        <f t="shared" ref="L44:L49" si="51">F44-SUM(G44:K44)</f>
        <v>0</v>
      </c>
      <c r="N44" s="195"/>
      <c r="O44" s="195"/>
      <c r="P44" s="195">
        <v>0.6</v>
      </c>
      <c r="Q44" s="195">
        <v>0.4</v>
      </c>
      <c r="R44" s="195"/>
      <c r="T44" s="194">
        <f t="shared" ref="T44:T48" si="52">N44*$D44</f>
        <v>0</v>
      </c>
      <c r="U44" s="194">
        <f t="shared" ref="U44:U49" si="53">O44*$D44</f>
        <v>0</v>
      </c>
      <c r="V44" s="194">
        <f t="shared" ref="V44:V49" si="54">P44*$D44</f>
        <v>3.972</v>
      </c>
      <c r="W44" s="194">
        <f t="shared" ref="W44:W49" si="55">Q44*$D44</f>
        <v>2.6480000000000001</v>
      </c>
      <c r="X44" s="194">
        <f t="shared" ref="X44:X49" si="56">R44*$D44</f>
        <v>0</v>
      </c>
    </row>
    <row r="45" spans="1:24" x14ac:dyDescent="0.25">
      <c r="A45" s="191" t="s">
        <v>107</v>
      </c>
      <c r="B45" s="184" t="s">
        <v>171</v>
      </c>
      <c r="C45" s="185" t="s">
        <v>197</v>
      </c>
      <c r="D45" s="152">
        <v>73.44</v>
      </c>
      <c r="E45" s="131">
        <v>33.69</v>
      </c>
      <c r="F45" s="126">
        <v>2474.19</v>
      </c>
      <c r="G45" s="214">
        <f t="shared" si="50"/>
        <v>0</v>
      </c>
      <c r="H45" s="214">
        <f t="shared" si="50"/>
        <v>1237.095</v>
      </c>
      <c r="I45" s="214">
        <f t="shared" si="50"/>
        <v>742.25699999999995</v>
      </c>
      <c r="J45" s="214">
        <f t="shared" si="50"/>
        <v>494.83800000000002</v>
      </c>
      <c r="K45" s="214">
        <f t="shared" si="50"/>
        <v>0</v>
      </c>
      <c r="L45" s="194">
        <f t="shared" si="51"/>
        <v>0</v>
      </c>
      <c r="N45" s="195"/>
      <c r="O45" s="195">
        <v>0.5</v>
      </c>
      <c r="P45" s="195">
        <v>0.3</v>
      </c>
      <c r="Q45" s="195">
        <v>0.2</v>
      </c>
      <c r="R45" s="195"/>
      <c r="T45" s="194">
        <f t="shared" si="52"/>
        <v>0</v>
      </c>
      <c r="U45" s="194">
        <f t="shared" si="53"/>
        <v>36.72</v>
      </c>
      <c r="V45" s="194">
        <f t="shared" si="54"/>
        <v>22.032</v>
      </c>
      <c r="W45" s="194">
        <f t="shared" si="55"/>
        <v>14.688000000000001</v>
      </c>
      <c r="X45" s="194">
        <f t="shared" si="56"/>
        <v>0</v>
      </c>
    </row>
    <row r="46" spans="1:24" x14ac:dyDescent="0.25">
      <c r="A46" s="191" t="s">
        <v>108</v>
      </c>
      <c r="B46" s="184" t="s">
        <v>172</v>
      </c>
      <c r="C46" s="185" t="s">
        <v>198</v>
      </c>
      <c r="D46" s="152">
        <v>415.16</v>
      </c>
      <c r="E46" s="131">
        <v>3.4</v>
      </c>
      <c r="F46" s="126">
        <v>1411.54</v>
      </c>
      <c r="G46" s="214">
        <f t="shared" si="50"/>
        <v>0</v>
      </c>
      <c r="H46" s="214">
        <f t="shared" si="50"/>
        <v>988.07799999999986</v>
      </c>
      <c r="I46" s="214">
        <f t="shared" si="50"/>
        <v>423.46199999999999</v>
      </c>
      <c r="J46" s="214">
        <f t="shared" si="50"/>
        <v>0</v>
      </c>
      <c r="K46" s="214">
        <f t="shared" si="50"/>
        <v>0</v>
      </c>
      <c r="L46" s="194">
        <f t="shared" si="51"/>
        <v>0</v>
      </c>
      <c r="N46" s="195"/>
      <c r="O46" s="195">
        <v>0.7</v>
      </c>
      <c r="P46" s="195">
        <v>0.3</v>
      </c>
      <c r="Q46" s="195"/>
      <c r="R46" s="195"/>
      <c r="T46" s="194">
        <f t="shared" si="52"/>
        <v>0</v>
      </c>
      <c r="U46" s="194">
        <f t="shared" si="53"/>
        <v>290.61200000000002</v>
      </c>
      <c r="V46" s="194">
        <f t="shared" si="54"/>
        <v>124.548</v>
      </c>
      <c r="W46" s="194">
        <f t="shared" si="55"/>
        <v>0</v>
      </c>
      <c r="X46" s="194">
        <f t="shared" si="56"/>
        <v>0</v>
      </c>
    </row>
    <row r="47" spans="1:24" x14ac:dyDescent="0.25">
      <c r="A47" s="191" t="s">
        <v>109</v>
      </c>
      <c r="B47" s="184" t="s">
        <v>173</v>
      </c>
      <c r="C47" s="185" t="s">
        <v>62</v>
      </c>
      <c r="D47" s="152">
        <v>253.95</v>
      </c>
      <c r="E47" s="131">
        <v>328.19</v>
      </c>
      <c r="F47" s="126">
        <v>83343.850000000006</v>
      </c>
      <c r="G47" s="214">
        <f t="shared" si="50"/>
        <v>0</v>
      </c>
      <c r="H47" s="214">
        <f t="shared" si="50"/>
        <v>0</v>
      </c>
      <c r="I47" s="214">
        <f t="shared" si="50"/>
        <v>50006.310000000005</v>
      </c>
      <c r="J47" s="214">
        <f t="shared" si="50"/>
        <v>33337.54</v>
      </c>
      <c r="K47" s="214">
        <f t="shared" si="50"/>
        <v>0</v>
      </c>
      <c r="L47" s="194">
        <f t="shared" si="51"/>
        <v>0</v>
      </c>
      <c r="N47" s="195"/>
      <c r="O47" s="195"/>
      <c r="P47" s="195">
        <v>0.6</v>
      </c>
      <c r="Q47" s="195">
        <v>0.4</v>
      </c>
      <c r="R47" s="195"/>
      <c r="T47" s="194">
        <f t="shared" si="52"/>
        <v>0</v>
      </c>
      <c r="U47" s="194">
        <f t="shared" si="53"/>
        <v>0</v>
      </c>
      <c r="V47" s="194">
        <f t="shared" si="54"/>
        <v>152.36999999999998</v>
      </c>
      <c r="W47" s="194">
        <f t="shared" si="55"/>
        <v>101.58</v>
      </c>
      <c r="X47" s="194">
        <f t="shared" si="56"/>
        <v>0</v>
      </c>
    </row>
    <row r="48" spans="1:24" x14ac:dyDescent="0.25">
      <c r="A48" s="191" t="s">
        <v>110</v>
      </c>
      <c r="B48" s="184" t="s">
        <v>174</v>
      </c>
      <c r="C48" s="185" t="s">
        <v>197</v>
      </c>
      <c r="D48" s="152">
        <v>2075.23</v>
      </c>
      <c r="E48" s="131">
        <v>30.970000000000002</v>
      </c>
      <c r="F48" s="126">
        <v>64269.87</v>
      </c>
      <c r="G48" s="214">
        <f t="shared" si="50"/>
        <v>0</v>
      </c>
      <c r="H48" s="214">
        <f t="shared" si="50"/>
        <v>32134.935000000001</v>
      </c>
      <c r="I48" s="214">
        <f t="shared" si="50"/>
        <v>19280.960999999999</v>
      </c>
      <c r="J48" s="214">
        <f t="shared" si="50"/>
        <v>12853.974000000002</v>
      </c>
      <c r="K48" s="214">
        <f t="shared" si="50"/>
        <v>0</v>
      </c>
      <c r="L48" s="194">
        <f t="shared" si="51"/>
        <v>0</v>
      </c>
      <c r="N48" s="195"/>
      <c r="O48" s="195">
        <v>0.5</v>
      </c>
      <c r="P48" s="195">
        <v>0.3</v>
      </c>
      <c r="Q48" s="195">
        <v>0.2</v>
      </c>
      <c r="R48" s="195"/>
      <c r="T48" s="194">
        <f t="shared" si="52"/>
        <v>0</v>
      </c>
      <c r="U48" s="194">
        <f t="shared" si="53"/>
        <v>1037.615</v>
      </c>
      <c r="V48" s="194">
        <f t="shared" si="54"/>
        <v>622.56899999999996</v>
      </c>
      <c r="W48" s="194">
        <f t="shared" si="55"/>
        <v>415.04600000000005</v>
      </c>
      <c r="X48" s="194">
        <f t="shared" si="56"/>
        <v>0</v>
      </c>
    </row>
    <row r="49" spans="1:24" x14ac:dyDescent="0.25">
      <c r="A49" s="191" t="s">
        <v>111</v>
      </c>
      <c r="B49" s="184" t="s">
        <v>175</v>
      </c>
      <c r="C49" s="185" t="s">
        <v>199</v>
      </c>
      <c r="D49" s="152"/>
      <c r="E49" s="131"/>
      <c r="F49" s="126"/>
      <c r="G49" s="214">
        <f t="shared" si="50"/>
        <v>0</v>
      </c>
      <c r="H49" s="214">
        <f t="shared" si="50"/>
        <v>0</v>
      </c>
      <c r="I49" s="214">
        <f t="shared" si="50"/>
        <v>0</v>
      </c>
      <c r="J49" s="214">
        <f t="shared" si="50"/>
        <v>0</v>
      </c>
      <c r="K49" s="214">
        <f t="shared" si="50"/>
        <v>0</v>
      </c>
      <c r="L49" s="194">
        <f t="shared" si="51"/>
        <v>0</v>
      </c>
      <c r="N49" s="195"/>
      <c r="O49" s="195">
        <v>0.7</v>
      </c>
      <c r="P49" s="195">
        <v>0.3</v>
      </c>
      <c r="Q49" s="195"/>
      <c r="R49" s="195"/>
      <c r="T49" s="194">
        <f>N49*$D49</f>
        <v>0</v>
      </c>
      <c r="U49" s="194">
        <f t="shared" si="53"/>
        <v>0</v>
      </c>
      <c r="V49" s="194">
        <f t="shared" si="54"/>
        <v>0</v>
      </c>
      <c r="W49" s="194">
        <f t="shared" si="55"/>
        <v>0</v>
      </c>
      <c r="X49" s="194">
        <f t="shared" si="56"/>
        <v>0</v>
      </c>
    </row>
    <row r="50" spans="1:24" x14ac:dyDescent="0.25">
      <c r="A50" s="190" t="s">
        <v>112</v>
      </c>
      <c r="B50" s="182" t="s">
        <v>176</v>
      </c>
      <c r="C50" s="185"/>
      <c r="D50" s="201"/>
      <c r="E50" s="51"/>
      <c r="F50" s="180"/>
      <c r="G50" s="213"/>
      <c r="H50" s="213"/>
      <c r="I50" s="213"/>
      <c r="J50" s="213"/>
      <c r="K50" s="213"/>
      <c r="L50" s="194"/>
      <c r="N50" s="195"/>
      <c r="O50" s="195"/>
      <c r="P50" s="195"/>
      <c r="Q50" s="195"/>
      <c r="R50" s="195"/>
      <c r="T50" s="194"/>
      <c r="U50" s="194"/>
      <c r="V50" s="194"/>
      <c r="W50" s="194"/>
      <c r="X50" s="194"/>
    </row>
    <row r="51" spans="1:24" x14ac:dyDescent="0.25">
      <c r="A51" s="192" t="s">
        <v>113</v>
      </c>
      <c r="B51" s="186" t="s">
        <v>177</v>
      </c>
      <c r="C51" s="185" t="s">
        <v>62</v>
      </c>
      <c r="D51" s="152">
        <v>67.959999999999994</v>
      </c>
      <c r="E51" s="131">
        <v>291.23</v>
      </c>
      <c r="F51" s="126">
        <v>19791.990000000002</v>
      </c>
      <c r="G51" s="214">
        <f t="shared" ref="G51:K53" si="57">$F51*N51</f>
        <v>0</v>
      </c>
      <c r="H51" s="214">
        <f t="shared" si="57"/>
        <v>0</v>
      </c>
      <c r="I51" s="214">
        <f t="shared" si="57"/>
        <v>0</v>
      </c>
      <c r="J51" s="214">
        <f t="shared" si="57"/>
        <v>11875.194000000001</v>
      </c>
      <c r="K51" s="214">
        <f t="shared" si="57"/>
        <v>7916.7960000000012</v>
      </c>
      <c r="L51" s="194">
        <f>F51-SUM(G51:K51)</f>
        <v>0</v>
      </c>
      <c r="N51" s="195"/>
      <c r="O51" s="195"/>
      <c r="P51" s="195"/>
      <c r="Q51" s="195">
        <v>0.6</v>
      </c>
      <c r="R51" s="195">
        <v>0.4</v>
      </c>
      <c r="T51" s="194">
        <f t="shared" ref="T51:T53" si="58">N51*$D51</f>
        <v>0</v>
      </c>
      <c r="U51" s="194">
        <f t="shared" ref="U51:U53" si="59">O51*$D51</f>
        <v>0</v>
      </c>
      <c r="V51" s="194">
        <f t="shared" ref="V51:V53" si="60">P51*$D51</f>
        <v>0</v>
      </c>
      <c r="W51" s="194">
        <f t="shared" ref="W51:W53" si="61">Q51*$D51</f>
        <v>40.775999999999996</v>
      </c>
      <c r="X51" s="194">
        <f t="shared" ref="X51:X53" si="62">R51*$D51</f>
        <v>27.183999999999997</v>
      </c>
    </row>
    <row r="52" spans="1:24" x14ac:dyDescent="0.25">
      <c r="A52" s="193" t="s">
        <v>114</v>
      </c>
      <c r="B52" s="187" t="s">
        <v>178</v>
      </c>
      <c r="C52" s="185" t="s">
        <v>197</v>
      </c>
      <c r="D52" s="152">
        <v>919.41</v>
      </c>
      <c r="E52" s="131">
        <v>37.49</v>
      </c>
      <c r="F52" s="126">
        <v>34468.68</v>
      </c>
      <c r="G52" s="214">
        <f t="shared" si="57"/>
        <v>0</v>
      </c>
      <c r="H52" s="214">
        <f t="shared" si="57"/>
        <v>0</v>
      </c>
      <c r="I52" s="214">
        <f t="shared" si="57"/>
        <v>10340.603999999999</v>
      </c>
      <c r="J52" s="214">
        <f t="shared" si="57"/>
        <v>24128.075999999997</v>
      </c>
      <c r="K52" s="214">
        <f t="shared" si="57"/>
        <v>0</v>
      </c>
      <c r="L52" s="194">
        <f>F52-SUM(G52:K52)</f>
        <v>0</v>
      </c>
      <c r="N52" s="195"/>
      <c r="O52" s="195"/>
      <c r="P52" s="195">
        <v>0.3</v>
      </c>
      <c r="Q52" s="195">
        <v>0.7</v>
      </c>
      <c r="R52" s="195"/>
      <c r="T52" s="194">
        <f t="shared" si="58"/>
        <v>0</v>
      </c>
      <c r="U52" s="194">
        <f t="shared" si="59"/>
        <v>0</v>
      </c>
      <c r="V52" s="194">
        <f t="shared" si="60"/>
        <v>275.82299999999998</v>
      </c>
      <c r="W52" s="194">
        <f t="shared" si="61"/>
        <v>643.58699999999999</v>
      </c>
      <c r="X52" s="194">
        <f t="shared" si="62"/>
        <v>0</v>
      </c>
    </row>
    <row r="53" spans="1:24" x14ac:dyDescent="0.25">
      <c r="A53" s="191" t="s">
        <v>115</v>
      </c>
      <c r="B53" s="184" t="s">
        <v>179</v>
      </c>
      <c r="C53" s="185" t="s">
        <v>198</v>
      </c>
      <c r="D53" s="152">
        <v>11836.1</v>
      </c>
      <c r="E53" s="131">
        <v>3.4</v>
      </c>
      <c r="F53" s="126">
        <v>40242.74</v>
      </c>
      <c r="G53" s="214">
        <f t="shared" si="57"/>
        <v>0</v>
      </c>
      <c r="H53" s="214">
        <f t="shared" si="57"/>
        <v>0</v>
      </c>
      <c r="I53" s="214">
        <f t="shared" si="57"/>
        <v>24145.643999999997</v>
      </c>
      <c r="J53" s="214">
        <f t="shared" si="57"/>
        <v>16097.096</v>
      </c>
      <c r="K53" s="214">
        <f t="shared" si="57"/>
        <v>0</v>
      </c>
      <c r="L53" s="194">
        <f>F53-SUM(G53:K53)</f>
        <v>0</v>
      </c>
      <c r="N53" s="195"/>
      <c r="O53" s="195"/>
      <c r="P53" s="195">
        <v>0.6</v>
      </c>
      <c r="Q53" s="195">
        <v>0.4</v>
      </c>
      <c r="R53" s="195"/>
      <c r="T53" s="194">
        <f t="shared" si="58"/>
        <v>0</v>
      </c>
      <c r="U53" s="194">
        <f t="shared" si="59"/>
        <v>0</v>
      </c>
      <c r="V53" s="194">
        <f t="shared" si="60"/>
        <v>7101.66</v>
      </c>
      <c r="W53" s="194">
        <f t="shared" si="61"/>
        <v>4734.4400000000005</v>
      </c>
      <c r="X53" s="194">
        <f t="shared" si="62"/>
        <v>0</v>
      </c>
    </row>
    <row r="54" spans="1:24" x14ac:dyDescent="0.25">
      <c r="A54" s="190" t="s">
        <v>116</v>
      </c>
      <c r="B54" s="182" t="s">
        <v>180</v>
      </c>
      <c r="C54" s="185"/>
      <c r="D54" s="201"/>
      <c r="E54" s="51"/>
      <c r="F54" s="180"/>
      <c r="G54" s="213"/>
      <c r="H54" s="213"/>
      <c r="I54" s="213"/>
      <c r="J54" s="213"/>
      <c r="K54" s="213"/>
      <c r="L54" s="194"/>
      <c r="N54" s="195"/>
      <c r="O54" s="195"/>
      <c r="P54" s="195"/>
      <c r="Q54" s="195"/>
      <c r="R54" s="195"/>
    </row>
    <row r="55" spans="1:24" x14ac:dyDescent="0.25">
      <c r="A55" s="191" t="s">
        <v>117</v>
      </c>
      <c r="B55" s="184" t="s">
        <v>181</v>
      </c>
      <c r="C55" s="185" t="s">
        <v>62</v>
      </c>
      <c r="D55" s="152">
        <v>36.840000000000003</v>
      </c>
      <c r="E55" s="131">
        <v>294.5</v>
      </c>
      <c r="F55" s="126">
        <v>10849.38</v>
      </c>
      <c r="G55" s="214">
        <f t="shared" ref="G55:K57" si="63">$F55*N55</f>
        <v>0</v>
      </c>
      <c r="H55" s="214">
        <f t="shared" si="63"/>
        <v>0</v>
      </c>
      <c r="I55" s="214">
        <f t="shared" si="63"/>
        <v>0</v>
      </c>
      <c r="J55" s="214">
        <f t="shared" si="63"/>
        <v>6509.6279999999997</v>
      </c>
      <c r="K55" s="214">
        <f t="shared" si="63"/>
        <v>4339.7519999999995</v>
      </c>
      <c r="L55" s="194">
        <f>F55-SUM(G55:K55)</f>
        <v>0</v>
      </c>
      <c r="N55" s="195"/>
      <c r="O55" s="195"/>
      <c r="P55" s="195"/>
      <c r="Q55" s="195">
        <v>0.6</v>
      </c>
      <c r="R55" s="195">
        <v>0.4</v>
      </c>
      <c r="T55" s="194">
        <f t="shared" ref="T55:T57" si="64">N55*$D55</f>
        <v>0</v>
      </c>
      <c r="U55" s="194">
        <f t="shared" ref="U55:U57" si="65">O55*$D55</f>
        <v>0</v>
      </c>
      <c r="V55" s="194">
        <f t="shared" ref="V55:V57" si="66">P55*$D55</f>
        <v>0</v>
      </c>
      <c r="W55" s="194">
        <f t="shared" ref="W55:W57" si="67">Q55*$D55</f>
        <v>22.104000000000003</v>
      </c>
      <c r="X55" s="194">
        <f t="shared" ref="X55:X57" si="68">R55*$D55</f>
        <v>14.736000000000002</v>
      </c>
    </row>
    <row r="56" spans="1:24" x14ac:dyDescent="0.25">
      <c r="A56" s="191" t="s">
        <v>118</v>
      </c>
      <c r="B56" s="184" t="s">
        <v>182</v>
      </c>
      <c r="C56" s="185" t="s">
        <v>197</v>
      </c>
      <c r="D56" s="152">
        <v>556.13</v>
      </c>
      <c r="E56" s="131">
        <v>43.56</v>
      </c>
      <c r="F56" s="126">
        <v>24225.02</v>
      </c>
      <c r="G56" s="214">
        <f t="shared" si="63"/>
        <v>0</v>
      </c>
      <c r="H56" s="214">
        <f t="shared" si="63"/>
        <v>0</v>
      </c>
      <c r="I56" s="214">
        <f t="shared" si="63"/>
        <v>7267.5060000000003</v>
      </c>
      <c r="J56" s="214">
        <f t="shared" si="63"/>
        <v>16957.513999999999</v>
      </c>
      <c r="K56" s="214">
        <f t="shared" si="63"/>
        <v>0</v>
      </c>
      <c r="L56" s="194">
        <f>F56-SUM(G56:K56)</f>
        <v>0</v>
      </c>
      <c r="N56" s="195"/>
      <c r="O56" s="195"/>
      <c r="P56" s="195">
        <v>0.3</v>
      </c>
      <c r="Q56" s="195">
        <v>0.7</v>
      </c>
      <c r="R56" s="195"/>
      <c r="T56" s="194">
        <f t="shared" si="64"/>
        <v>0</v>
      </c>
      <c r="U56" s="194">
        <f t="shared" si="65"/>
        <v>0</v>
      </c>
      <c r="V56" s="194">
        <f t="shared" si="66"/>
        <v>166.839</v>
      </c>
      <c r="W56" s="194">
        <f t="shared" si="67"/>
        <v>389.291</v>
      </c>
      <c r="X56" s="194">
        <f t="shared" si="68"/>
        <v>0</v>
      </c>
    </row>
    <row r="57" spans="1:24" x14ac:dyDescent="0.25">
      <c r="A57" s="191" t="s">
        <v>119</v>
      </c>
      <c r="B57" s="184" t="s">
        <v>183</v>
      </c>
      <c r="C57" s="185" t="s">
        <v>198</v>
      </c>
      <c r="D57" s="152">
        <v>5247.49</v>
      </c>
      <c r="E57" s="131">
        <v>3.4</v>
      </c>
      <c r="F57" s="126">
        <v>17841.47</v>
      </c>
      <c r="G57" s="214">
        <f t="shared" si="63"/>
        <v>0</v>
      </c>
      <c r="H57" s="214">
        <f t="shared" si="63"/>
        <v>0</v>
      </c>
      <c r="I57" s="214">
        <f t="shared" si="63"/>
        <v>10704.882</v>
      </c>
      <c r="J57" s="214">
        <f t="shared" si="63"/>
        <v>7136.5880000000006</v>
      </c>
      <c r="K57" s="214">
        <f t="shared" si="63"/>
        <v>0</v>
      </c>
      <c r="L57" s="194">
        <f>F57-SUM(G57:K57)</f>
        <v>0</v>
      </c>
      <c r="N57" s="195"/>
      <c r="O57" s="195"/>
      <c r="P57" s="195">
        <v>0.6</v>
      </c>
      <c r="Q57" s="195">
        <v>0.4</v>
      </c>
      <c r="R57" s="195"/>
      <c r="T57" s="194">
        <f t="shared" si="64"/>
        <v>0</v>
      </c>
      <c r="U57" s="194">
        <f t="shared" si="65"/>
        <v>0</v>
      </c>
      <c r="V57" s="194">
        <f t="shared" si="66"/>
        <v>3148.4939999999997</v>
      </c>
      <c r="W57" s="194">
        <f t="shared" si="67"/>
        <v>2098.9960000000001</v>
      </c>
      <c r="X57" s="194">
        <f t="shared" si="68"/>
        <v>0</v>
      </c>
    </row>
    <row r="58" spans="1:24" x14ac:dyDescent="0.25">
      <c r="A58" s="190" t="s">
        <v>120</v>
      </c>
      <c r="B58" s="182" t="s">
        <v>184</v>
      </c>
      <c r="C58" s="185"/>
      <c r="D58" s="201"/>
      <c r="E58" s="51"/>
      <c r="F58" s="20"/>
      <c r="G58" s="213"/>
      <c r="H58" s="213"/>
      <c r="I58" s="213"/>
      <c r="J58" s="213"/>
      <c r="K58" s="213"/>
      <c r="L58" s="194"/>
      <c r="N58" s="195"/>
      <c r="O58" s="195"/>
      <c r="P58" s="195"/>
      <c r="Q58" s="195"/>
      <c r="R58" s="195"/>
    </row>
    <row r="59" spans="1:24" x14ac:dyDescent="0.25">
      <c r="A59" s="191" t="s">
        <v>121</v>
      </c>
      <c r="B59" s="184" t="s">
        <v>185</v>
      </c>
      <c r="C59" s="185" t="s">
        <v>20</v>
      </c>
      <c r="D59" s="152">
        <v>0.63</v>
      </c>
      <c r="E59" s="131">
        <v>325.93</v>
      </c>
      <c r="F59" s="126">
        <v>205.34</v>
      </c>
      <c r="G59" s="214">
        <f t="shared" ref="G59:K61" si="69">$F59*N59</f>
        <v>0</v>
      </c>
      <c r="H59" s="214">
        <f t="shared" si="69"/>
        <v>0</v>
      </c>
      <c r="I59" s="214">
        <f t="shared" si="69"/>
        <v>0</v>
      </c>
      <c r="J59" s="214">
        <f t="shared" si="69"/>
        <v>123.20399999999999</v>
      </c>
      <c r="K59" s="214">
        <f t="shared" si="69"/>
        <v>82.13600000000001</v>
      </c>
      <c r="L59" s="194">
        <f>F59-SUM(G59:K59)</f>
        <v>0</v>
      </c>
      <c r="N59" s="195"/>
      <c r="O59" s="195"/>
      <c r="P59" s="195"/>
      <c r="Q59" s="195">
        <v>0.6</v>
      </c>
      <c r="R59" s="195">
        <v>0.4</v>
      </c>
      <c r="T59" s="194">
        <f t="shared" ref="T59:T61" si="70">N59*$D59</f>
        <v>0</v>
      </c>
      <c r="U59" s="194">
        <f t="shared" ref="U59:U61" si="71">O59*$D59</f>
        <v>0</v>
      </c>
      <c r="V59" s="194">
        <f t="shared" ref="V59:V61" si="72">P59*$D59</f>
        <v>0</v>
      </c>
      <c r="W59" s="194">
        <f t="shared" ref="W59:W61" si="73">Q59*$D59</f>
        <v>0.378</v>
      </c>
      <c r="X59" s="194">
        <f t="shared" ref="X59:X61" si="74">R59*$D59</f>
        <v>0.252</v>
      </c>
    </row>
    <row r="60" spans="1:24" x14ac:dyDescent="0.25">
      <c r="A60" s="191" t="s">
        <v>122</v>
      </c>
      <c r="B60" s="184" t="s">
        <v>186</v>
      </c>
      <c r="C60" s="185" t="s">
        <v>197</v>
      </c>
      <c r="D60" s="152">
        <v>6.54</v>
      </c>
      <c r="E60" s="131">
        <v>55.43</v>
      </c>
      <c r="F60" s="126">
        <v>362.51</v>
      </c>
      <c r="G60" s="214">
        <f t="shared" si="69"/>
        <v>0</v>
      </c>
      <c r="H60" s="214">
        <f t="shared" si="69"/>
        <v>0</v>
      </c>
      <c r="I60" s="214">
        <f t="shared" si="69"/>
        <v>108.753</v>
      </c>
      <c r="J60" s="214">
        <f t="shared" si="69"/>
        <v>253.75699999999998</v>
      </c>
      <c r="K60" s="214">
        <f t="shared" si="69"/>
        <v>0</v>
      </c>
      <c r="L60" s="194">
        <f>F60-SUM(G60:K60)</f>
        <v>0</v>
      </c>
      <c r="N60" s="195"/>
      <c r="O60" s="195"/>
      <c r="P60" s="195">
        <v>0.3</v>
      </c>
      <c r="Q60" s="195">
        <v>0.7</v>
      </c>
      <c r="R60" s="195"/>
      <c r="T60" s="194">
        <f t="shared" si="70"/>
        <v>0</v>
      </c>
      <c r="U60" s="194">
        <f t="shared" si="71"/>
        <v>0</v>
      </c>
      <c r="V60" s="194">
        <f t="shared" si="72"/>
        <v>1.962</v>
      </c>
      <c r="W60" s="194">
        <f t="shared" si="73"/>
        <v>4.5779999999999994</v>
      </c>
      <c r="X60" s="194">
        <f t="shared" si="74"/>
        <v>0</v>
      </c>
    </row>
    <row r="61" spans="1:24" x14ac:dyDescent="0.25">
      <c r="A61" s="191" t="s">
        <v>123</v>
      </c>
      <c r="B61" s="184" t="s">
        <v>187</v>
      </c>
      <c r="C61" s="185" t="s">
        <v>198</v>
      </c>
      <c r="D61" s="152">
        <v>73.150000000000006</v>
      </c>
      <c r="E61" s="131">
        <v>4.0200000000000005</v>
      </c>
      <c r="F61" s="126">
        <v>294.06</v>
      </c>
      <c r="G61" s="214">
        <f t="shared" si="69"/>
        <v>0</v>
      </c>
      <c r="H61" s="214">
        <f t="shared" si="69"/>
        <v>0</v>
      </c>
      <c r="I61" s="214">
        <f t="shared" si="69"/>
        <v>176.43600000000001</v>
      </c>
      <c r="J61" s="214">
        <f t="shared" si="69"/>
        <v>117.62400000000001</v>
      </c>
      <c r="K61" s="214">
        <f t="shared" si="69"/>
        <v>0</v>
      </c>
      <c r="L61" s="194">
        <f>F61-SUM(G61:K61)</f>
        <v>0</v>
      </c>
      <c r="N61" s="195"/>
      <c r="O61" s="195"/>
      <c r="P61" s="195">
        <v>0.6</v>
      </c>
      <c r="Q61" s="195">
        <v>0.4</v>
      </c>
      <c r="R61" s="195"/>
      <c r="T61" s="194">
        <f t="shared" si="70"/>
        <v>0</v>
      </c>
      <c r="U61" s="194">
        <f t="shared" si="71"/>
        <v>0</v>
      </c>
      <c r="V61" s="194">
        <f t="shared" si="72"/>
        <v>43.89</v>
      </c>
      <c r="W61" s="194">
        <f t="shared" si="73"/>
        <v>29.260000000000005</v>
      </c>
      <c r="X61" s="194">
        <f t="shared" si="74"/>
        <v>0</v>
      </c>
    </row>
    <row r="62" spans="1:24" x14ac:dyDescent="0.25">
      <c r="A62" s="190" t="s">
        <v>124</v>
      </c>
      <c r="B62" s="182" t="s">
        <v>188</v>
      </c>
      <c r="C62" s="185"/>
      <c r="D62" s="201"/>
      <c r="E62" s="51"/>
      <c r="F62" s="180"/>
      <c r="G62" s="213"/>
      <c r="H62" s="213"/>
      <c r="I62" s="213"/>
      <c r="J62" s="213"/>
      <c r="K62" s="213"/>
      <c r="L62" s="194"/>
      <c r="N62" s="195"/>
      <c r="O62" s="195"/>
      <c r="P62" s="195"/>
      <c r="Q62" s="195"/>
      <c r="R62" s="195"/>
    </row>
    <row r="63" spans="1:24" x14ac:dyDescent="0.25">
      <c r="A63" s="191" t="s">
        <v>125</v>
      </c>
      <c r="B63" s="184" t="s">
        <v>189</v>
      </c>
      <c r="C63" s="185" t="s">
        <v>62</v>
      </c>
      <c r="D63" s="152">
        <v>2.17</v>
      </c>
      <c r="E63" s="131">
        <v>294.5</v>
      </c>
      <c r="F63" s="126">
        <v>639.07000000000005</v>
      </c>
      <c r="G63" s="214">
        <f t="shared" ref="G63:K66" si="75">$F63*N63</f>
        <v>0</v>
      </c>
      <c r="H63" s="214">
        <f t="shared" si="75"/>
        <v>0</v>
      </c>
      <c r="I63" s="214">
        <f t="shared" si="75"/>
        <v>0</v>
      </c>
      <c r="J63" s="214">
        <f t="shared" si="75"/>
        <v>383.44200000000001</v>
      </c>
      <c r="K63" s="214">
        <f t="shared" si="75"/>
        <v>255.62800000000004</v>
      </c>
      <c r="L63" s="194">
        <f>F63-SUM(G63:K63)</f>
        <v>0</v>
      </c>
      <c r="N63" s="195"/>
      <c r="O63" s="195"/>
      <c r="P63" s="195"/>
      <c r="Q63" s="195">
        <v>0.6</v>
      </c>
      <c r="R63" s="195">
        <v>0.4</v>
      </c>
      <c r="T63" s="194">
        <f t="shared" ref="T63:T66" si="76">N63*$D63</f>
        <v>0</v>
      </c>
      <c r="U63" s="194">
        <f t="shared" ref="U63:U66" si="77">O63*$D63</f>
        <v>0</v>
      </c>
      <c r="V63" s="194">
        <f t="shared" ref="V63:V66" si="78">P63*$D63</f>
        <v>0</v>
      </c>
      <c r="W63" s="194">
        <f t="shared" ref="W63:W66" si="79">Q63*$D63</f>
        <v>1.3019999999999998</v>
      </c>
      <c r="X63" s="194">
        <f t="shared" ref="X63:X66" si="80">R63*$D63</f>
        <v>0.86799999999999999</v>
      </c>
    </row>
    <row r="64" spans="1:24" x14ac:dyDescent="0.25">
      <c r="A64" s="191" t="s">
        <v>126</v>
      </c>
      <c r="B64" s="184" t="s">
        <v>190</v>
      </c>
      <c r="C64" s="185" t="s">
        <v>197</v>
      </c>
      <c r="D64" s="152">
        <v>25.21</v>
      </c>
      <c r="E64" s="131">
        <v>25.75</v>
      </c>
      <c r="F64" s="126">
        <v>649.16</v>
      </c>
      <c r="G64" s="214">
        <f t="shared" si="75"/>
        <v>0</v>
      </c>
      <c r="H64" s="214">
        <f t="shared" si="75"/>
        <v>0</v>
      </c>
      <c r="I64" s="214">
        <f t="shared" si="75"/>
        <v>194.74799999999999</v>
      </c>
      <c r="J64" s="214">
        <f t="shared" si="75"/>
        <v>454.41199999999992</v>
      </c>
      <c r="K64" s="214">
        <f t="shared" si="75"/>
        <v>0</v>
      </c>
      <c r="L64" s="194">
        <f>F64-SUM(G64:K64)</f>
        <v>0</v>
      </c>
      <c r="N64" s="195"/>
      <c r="O64" s="195"/>
      <c r="P64" s="195">
        <v>0.3</v>
      </c>
      <c r="Q64" s="195">
        <v>0.7</v>
      </c>
      <c r="R64" s="195"/>
      <c r="T64" s="194">
        <f t="shared" si="76"/>
        <v>0</v>
      </c>
      <c r="U64" s="194">
        <f t="shared" si="77"/>
        <v>0</v>
      </c>
      <c r="V64" s="194">
        <f t="shared" si="78"/>
        <v>7.5629999999999997</v>
      </c>
      <c r="W64" s="194">
        <f t="shared" si="79"/>
        <v>17.646999999999998</v>
      </c>
      <c r="X64" s="194">
        <f t="shared" si="80"/>
        <v>0</v>
      </c>
    </row>
    <row r="65" spans="1:24" x14ac:dyDescent="0.25">
      <c r="A65" s="191" t="s">
        <v>127</v>
      </c>
      <c r="B65" s="184" t="s">
        <v>191</v>
      </c>
      <c r="C65" s="185" t="s">
        <v>198</v>
      </c>
      <c r="D65" s="152">
        <v>95.81</v>
      </c>
      <c r="E65" s="131">
        <v>3.4</v>
      </c>
      <c r="F65" s="126">
        <v>325.75</v>
      </c>
      <c r="G65" s="214">
        <f t="shared" si="75"/>
        <v>0</v>
      </c>
      <c r="H65" s="214">
        <f t="shared" si="75"/>
        <v>0</v>
      </c>
      <c r="I65" s="214">
        <f t="shared" si="75"/>
        <v>195.45</v>
      </c>
      <c r="J65" s="214">
        <f t="shared" si="75"/>
        <v>130.30000000000001</v>
      </c>
      <c r="K65" s="214">
        <f t="shared" si="75"/>
        <v>0</v>
      </c>
      <c r="L65" s="194">
        <f>F65-SUM(G65:K65)</f>
        <v>0</v>
      </c>
      <c r="N65" s="195"/>
      <c r="O65" s="195"/>
      <c r="P65" s="195">
        <v>0.6</v>
      </c>
      <c r="Q65" s="195">
        <v>0.4</v>
      </c>
      <c r="R65" s="195"/>
      <c r="T65" s="194">
        <f t="shared" si="76"/>
        <v>0</v>
      </c>
      <c r="U65" s="194">
        <f t="shared" si="77"/>
        <v>0</v>
      </c>
      <c r="V65" s="194">
        <f t="shared" si="78"/>
        <v>57.485999999999997</v>
      </c>
      <c r="W65" s="194">
        <f t="shared" si="79"/>
        <v>38.324000000000005</v>
      </c>
      <c r="X65" s="194">
        <f t="shared" si="80"/>
        <v>0</v>
      </c>
    </row>
    <row r="66" spans="1:24" x14ac:dyDescent="0.25">
      <c r="A66" s="191" t="s">
        <v>128</v>
      </c>
      <c r="B66" s="184" t="s">
        <v>192</v>
      </c>
      <c r="C66" s="185" t="s">
        <v>200</v>
      </c>
      <c r="D66" s="152">
        <v>210.04</v>
      </c>
      <c r="E66" s="131">
        <v>2.39</v>
      </c>
      <c r="F66" s="126">
        <v>502</v>
      </c>
      <c r="G66" s="214">
        <f t="shared" si="75"/>
        <v>0</v>
      </c>
      <c r="H66" s="214">
        <f t="shared" si="75"/>
        <v>0</v>
      </c>
      <c r="I66" s="214">
        <f t="shared" si="75"/>
        <v>150.6</v>
      </c>
      <c r="J66" s="214">
        <f t="shared" si="75"/>
        <v>351.4</v>
      </c>
      <c r="K66" s="214">
        <f t="shared" si="75"/>
        <v>0</v>
      </c>
      <c r="L66" s="194">
        <f>F66-SUM(G66:K66)</f>
        <v>0</v>
      </c>
      <c r="N66" s="195"/>
      <c r="O66" s="195"/>
      <c r="P66" s="195">
        <v>0.3</v>
      </c>
      <c r="Q66" s="195">
        <v>0.7</v>
      </c>
      <c r="R66" s="195"/>
      <c r="T66" s="194">
        <f t="shared" si="76"/>
        <v>0</v>
      </c>
      <c r="U66" s="194">
        <f t="shared" si="77"/>
        <v>0</v>
      </c>
      <c r="V66" s="194">
        <f t="shared" si="78"/>
        <v>63.011999999999993</v>
      </c>
      <c r="W66" s="194">
        <f t="shared" si="79"/>
        <v>147.02799999999999</v>
      </c>
      <c r="X66" s="194">
        <f t="shared" si="80"/>
        <v>0</v>
      </c>
    </row>
    <row r="67" spans="1:24" x14ac:dyDescent="0.25">
      <c r="A67" s="190" t="s">
        <v>129</v>
      </c>
      <c r="B67" s="182" t="s">
        <v>193</v>
      </c>
      <c r="C67" s="185"/>
      <c r="D67" s="201"/>
      <c r="E67" s="51"/>
      <c r="F67" s="180"/>
      <c r="G67" s="213"/>
      <c r="H67" s="213"/>
      <c r="I67" s="213"/>
      <c r="J67" s="213"/>
      <c r="K67" s="213"/>
      <c r="L67" s="194"/>
      <c r="N67" s="195"/>
      <c r="O67" s="195"/>
      <c r="P67" s="195"/>
      <c r="Q67" s="195"/>
      <c r="R67" s="195"/>
    </row>
    <row r="68" spans="1:24" x14ac:dyDescent="0.25">
      <c r="A68" s="191" t="s">
        <v>130</v>
      </c>
      <c r="B68" s="184" t="s">
        <v>194</v>
      </c>
      <c r="C68" s="146" t="s">
        <v>197</v>
      </c>
      <c r="D68" s="152">
        <v>12.56</v>
      </c>
      <c r="E68" s="131">
        <v>59.800000000000004</v>
      </c>
      <c r="F68" s="126">
        <v>751.09</v>
      </c>
      <c r="G68" s="214">
        <f t="shared" ref="G68:K70" si="81">$F68*N68</f>
        <v>0</v>
      </c>
      <c r="H68" s="214">
        <f t="shared" si="81"/>
        <v>0</v>
      </c>
      <c r="I68" s="214">
        <f t="shared" si="81"/>
        <v>0</v>
      </c>
      <c r="J68" s="214">
        <f t="shared" si="81"/>
        <v>450.654</v>
      </c>
      <c r="K68" s="214">
        <f t="shared" si="81"/>
        <v>300.43600000000004</v>
      </c>
      <c r="L68" s="194">
        <f>F68-SUM(G68:K68)</f>
        <v>0</v>
      </c>
      <c r="N68" s="195"/>
      <c r="O68" s="195"/>
      <c r="P68" s="195"/>
      <c r="Q68" s="195">
        <v>0.6</v>
      </c>
      <c r="R68" s="195">
        <v>0.4</v>
      </c>
      <c r="T68" s="194">
        <f t="shared" ref="T68:T70" si="82">N68*$D68</f>
        <v>0</v>
      </c>
      <c r="U68" s="194">
        <f t="shared" ref="U68:U70" si="83">O68*$D68</f>
        <v>0</v>
      </c>
      <c r="V68" s="194">
        <f t="shared" ref="V68:V70" si="84">P68*$D68</f>
        <v>0</v>
      </c>
      <c r="W68" s="194">
        <f t="shared" ref="W68:W70" si="85">Q68*$D68</f>
        <v>7.5359999999999996</v>
      </c>
      <c r="X68" s="194">
        <f t="shared" ref="X68:X70" si="86">R68*$D68</f>
        <v>5.0240000000000009</v>
      </c>
    </row>
    <row r="69" spans="1:24" x14ac:dyDescent="0.25">
      <c r="A69" s="191" t="s">
        <v>131</v>
      </c>
      <c r="B69" s="184" t="s">
        <v>195</v>
      </c>
      <c r="C69" s="146" t="s">
        <v>197</v>
      </c>
      <c r="D69" s="152">
        <v>7.1</v>
      </c>
      <c r="E69" s="131">
        <v>27.36</v>
      </c>
      <c r="F69" s="126">
        <v>194.26</v>
      </c>
      <c r="G69" s="214">
        <f t="shared" si="81"/>
        <v>0</v>
      </c>
      <c r="H69" s="214">
        <f t="shared" si="81"/>
        <v>0</v>
      </c>
      <c r="I69" s="214">
        <f t="shared" si="81"/>
        <v>58.277999999999992</v>
      </c>
      <c r="J69" s="214">
        <f t="shared" si="81"/>
        <v>135.98199999999997</v>
      </c>
      <c r="K69" s="214">
        <f t="shared" si="81"/>
        <v>0</v>
      </c>
      <c r="L69" s="194">
        <f>F69-SUM(G69:K69)</f>
        <v>0</v>
      </c>
      <c r="N69" s="195"/>
      <c r="O69" s="195"/>
      <c r="P69" s="195">
        <v>0.3</v>
      </c>
      <c r="Q69" s="195">
        <v>0.7</v>
      </c>
      <c r="R69" s="195"/>
      <c r="T69" s="194">
        <f t="shared" si="82"/>
        <v>0</v>
      </c>
      <c r="U69" s="194">
        <f t="shared" si="83"/>
        <v>0</v>
      </c>
      <c r="V69" s="194">
        <f t="shared" si="84"/>
        <v>2.13</v>
      </c>
      <c r="W69" s="194">
        <f t="shared" si="85"/>
        <v>4.97</v>
      </c>
      <c r="X69" s="194">
        <f t="shared" si="86"/>
        <v>0</v>
      </c>
    </row>
    <row r="70" spans="1:24" x14ac:dyDescent="0.25">
      <c r="A70" s="192" t="s">
        <v>132</v>
      </c>
      <c r="B70" s="186" t="s">
        <v>196</v>
      </c>
      <c r="C70" s="146" t="s">
        <v>199</v>
      </c>
      <c r="D70" s="152">
        <v>84.67</v>
      </c>
      <c r="E70" s="131">
        <v>3.4</v>
      </c>
      <c r="F70" s="132">
        <v>287.88</v>
      </c>
      <c r="G70" s="216">
        <f t="shared" si="81"/>
        <v>0</v>
      </c>
      <c r="H70" s="216">
        <f t="shared" si="81"/>
        <v>0</v>
      </c>
      <c r="I70" s="216">
        <f t="shared" si="81"/>
        <v>86.36399999999999</v>
      </c>
      <c r="J70" s="216">
        <f t="shared" si="81"/>
        <v>201.51599999999999</v>
      </c>
      <c r="K70" s="216">
        <f t="shared" si="81"/>
        <v>0</v>
      </c>
      <c r="L70" s="194">
        <f>F70-SUM(G70:K70)</f>
        <v>0</v>
      </c>
      <c r="N70" s="195"/>
      <c r="O70" s="195"/>
      <c r="P70" s="195">
        <v>0.3</v>
      </c>
      <c r="Q70" s="195">
        <v>0.7</v>
      </c>
      <c r="R70" s="195"/>
      <c r="T70" s="194">
        <f t="shared" si="82"/>
        <v>0</v>
      </c>
      <c r="U70" s="194">
        <f t="shared" si="83"/>
        <v>0</v>
      </c>
      <c r="V70" s="194">
        <f t="shared" si="84"/>
        <v>25.401</v>
      </c>
      <c r="W70" s="194">
        <f t="shared" si="85"/>
        <v>59.268999999999998</v>
      </c>
      <c r="X70" s="194">
        <f t="shared" si="86"/>
        <v>0</v>
      </c>
    </row>
    <row r="71" spans="1:24" x14ac:dyDescent="0.25">
      <c r="A71" s="25"/>
      <c r="B71" s="21" t="s">
        <v>21</v>
      </c>
      <c r="C71" s="25"/>
      <c r="D71" s="153"/>
      <c r="E71" s="7"/>
      <c r="F71" s="203">
        <f>SUM(F7:F70)</f>
        <v>696708.04999999993</v>
      </c>
      <c r="G71" s="203">
        <f>SUM(G7:G70)</f>
        <v>97671.789999999979</v>
      </c>
      <c r="H71" s="203">
        <f>SUM(H7:H70)</f>
        <v>202909.019</v>
      </c>
      <c r="I71" s="203">
        <f t="shared" ref="I71:K71" si="87">SUM(I7:I70)</f>
        <v>248427.68</v>
      </c>
      <c r="J71" s="203">
        <f t="shared" si="87"/>
        <v>134166.21300000002</v>
      </c>
      <c r="K71" s="203">
        <f t="shared" si="87"/>
        <v>13533.348000000002</v>
      </c>
      <c r="L71" s="194"/>
    </row>
    <row r="72" spans="1:24" x14ac:dyDescent="0.25">
      <c r="A72" s="78"/>
      <c r="B72" s="79" t="s">
        <v>51</v>
      </c>
      <c r="C72" s="78"/>
      <c r="D72" s="202"/>
      <c r="E72" s="40"/>
      <c r="F72" s="209">
        <f>F71*0.15</f>
        <v>104506.20749999999</v>
      </c>
      <c r="G72" s="204">
        <f t="shared" ref="G72:K72" si="88">G71*0.15</f>
        <v>14650.768499999996</v>
      </c>
      <c r="H72" s="204">
        <f t="shared" si="88"/>
        <v>30436.352849999999</v>
      </c>
      <c r="I72" s="204">
        <f t="shared" si="88"/>
        <v>37264.151999999995</v>
      </c>
      <c r="J72" s="204">
        <f t="shared" si="88"/>
        <v>20124.931950000002</v>
      </c>
      <c r="K72" s="204">
        <f t="shared" si="88"/>
        <v>2030.0022000000001</v>
      </c>
      <c r="L72" s="194"/>
    </row>
    <row r="73" spans="1:24" x14ac:dyDescent="0.25">
      <c r="A73" s="78"/>
      <c r="B73" s="79" t="s">
        <v>206</v>
      </c>
      <c r="C73" s="78"/>
      <c r="D73" s="202"/>
      <c r="E73" s="40"/>
      <c r="F73" s="209">
        <f>F71*0.05</f>
        <v>34835.402499999997</v>
      </c>
      <c r="G73" s="204">
        <f t="shared" ref="G73:K73" si="89">G71*0.05</f>
        <v>4883.5894999999991</v>
      </c>
      <c r="H73" s="204">
        <f t="shared" si="89"/>
        <v>10145.45095</v>
      </c>
      <c r="I73" s="204">
        <f t="shared" si="89"/>
        <v>12421.384</v>
      </c>
      <c r="J73" s="204">
        <f t="shared" si="89"/>
        <v>6708.3106500000013</v>
      </c>
      <c r="K73" s="204">
        <f t="shared" si="89"/>
        <v>676.66740000000016</v>
      </c>
      <c r="L73" s="194"/>
    </row>
    <row r="74" spans="1:24" x14ac:dyDescent="0.25">
      <c r="A74" s="38"/>
      <c r="B74" s="74" t="s">
        <v>53</v>
      </c>
      <c r="C74" s="38"/>
      <c r="D74" s="155"/>
      <c r="E74" s="39"/>
      <c r="F74" s="205">
        <f>SUM(F71:F73)</f>
        <v>836049.65999999992</v>
      </c>
      <c r="G74" s="205">
        <f t="shared" ref="G74:K74" si="90">SUM(G71:G73)</f>
        <v>117206.14799999997</v>
      </c>
      <c r="H74" s="205">
        <f t="shared" si="90"/>
        <v>243490.82279999999</v>
      </c>
      <c r="I74" s="205">
        <f t="shared" si="90"/>
        <v>298113.21600000001</v>
      </c>
      <c r="J74" s="205">
        <f t="shared" si="90"/>
        <v>160999.45560000002</v>
      </c>
      <c r="K74" s="205">
        <f t="shared" si="90"/>
        <v>16240.017600000003</v>
      </c>
      <c r="L74" s="194"/>
    </row>
    <row r="75" spans="1:24" x14ac:dyDescent="0.25">
      <c r="A75" s="188"/>
      <c r="B75" s="189" t="s">
        <v>22</v>
      </c>
      <c r="C75" s="188"/>
      <c r="D75" s="156"/>
      <c r="E75" s="9"/>
      <c r="F75" s="206">
        <f>ROUND(F74*0.18,2)</f>
        <v>150488.94</v>
      </c>
      <c r="G75" s="206">
        <f t="shared" ref="G75:K75" si="91">ROUND(G74*0.18,2)</f>
        <v>21097.11</v>
      </c>
      <c r="H75" s="206">
        <f t="shared" si="91"/>
        <v>43828.35</v>
      </c>
      <c r="I75" s="206">
        <f t="shared" si="91"/>
        <v>53660.38</v>
      </c>
      <c r="J75" s="206">
        <f t="shared" si="91"/>
        <v>28979.9</v>
      </c>
      <c r="K75" s="206">
        <f t="shared" si="91"/>
        <v>2923.2</v>
      </c>
      <c r="L75" s="194"/>
    </row>
    <row r="76" spans="1:24" x14ac:dyDescent="0.25">
      <c r="A76" s="28"/>
      <c r="B76" s="29" t="s">
        <v>28</v>
      </c>
      <c r="C76" s="28"/>
      <c r="D76" s="157"/>
      <c r="E76" s="31"/>
      <c r="F76" s="207">
        <f>SUM(F74:F75)</f>
        <v>986538.59999999986</v>
      </c>
      <c r="G76" s="207">
        <f t="shared" ref="G76:K76" si="92">SUM(G74:G75)</f>
        <v>138303.25799999997</v>
      </c>
      <c r="H76" s="207">
        <f t="shared" si="92"/>
        <v>287319.1728</v>
      </c>
      <c r="I76" s="207">
        <f t="shared" si="92"/>
        <v>351773.59600000002</v>
      </c>
      <c r="J76" s="207">
        <f t="shared" si="92"/>
        <v>189979.35560000001</v>
      </c>
      <c r="K76" s="207">
        <f t="shared" si="92"/>
        <v>19163.217600000004</v>
      </c>
      <c r="L76" s="194"/>
    </row>
    <row r="77" spans="1:24" x14ac:dyDescent="0.25">
      <c r="L77" s="194"/>
    </row>
    <row r="78" spans="1:24" x14ac:dyDescent="0.25">
      <c r="F78" s="194">
        <f>+F42+F46+F49+F53+F57+F61+F65+F70</f>
        <v>119425.94</v>
      </c>
      <c r="H78" s="194">
        <f>+H42+H46+H49+H53+H57+H61+H65+H70</f>
        <v>30499.328000000001</v>
      </c>
      <c r="I78" s="194">
        <f t="shared" ref="I78:J78" si="93">+I42+I46+I49+I53+I57+I61+I65+I70</f>
        <v>65243.487999999998</v>
      </c>
      <c r="J78" s="194">
        <f t="shared" si="93"/>
        <v>23683.124</v>
      </c>
    </row>
    <row r="79" spans="1:24" x14ac:dyDescent="0.25">
      <c r="H79" s="194">
        <f>+H78/F78</f>
        <v>0.25538277529990555</v>
      </c>
      <c r="I79" s="194">
        <f>+I78/F78</f>
        <v>0.54630918542487505</v>
      </c>
      <c r="J79" s="194">
        <f>+J78/F78</f>
        <v>0.19830803927521942</v>
      </c>
    </row>
  </sheetData>
  <autoFilter ref="A5:K76" xr:uid="{DBB34E5F-2F0E-4D4F-B21B-14F959E4FAF0}">
    <filterColumn colId="3" showButton="0"/>
    <filterColumn colId="4" showButton="0"/>
    <filterColumn colId="6" showButton="0"/>
    <filterColumn colId="7" showButton="0"/>
    <filterColumn colId="8" showButton="0"/>
    <filterColumn colId="9" showButton="0"/>
  </autoFilter>
  <mergeCells count="6">
    <mergeCell ref="A1:K1"/>
    <mergeCell ref="A5:A6"/>
    <mergeCell ref="B5:B6"/>
    <mergeCell ref="C5:C6"/>
    <mergeCell ref="D5:F5"/>
    <mergeCell ref="G5:K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C157-2262-4B6C-BF5B-6C50704AFFCB}">
  <dimension ref="A1:X77"/>
  <sheetViews>
    <sheetView topLeftCell="F1" zoomScale="85" zoomScaleNormal="85" workbookViewId="0">
      <selection activeCell="V45" sqref="V45"/>
    </sheetView>
  </sheetViews>
  <sheetFormatPr baseColWidth="10" defaultRowHeight="15" x14ac:dyDescent="0.25"/>
  <cols>
    <col min="1" max="1" width="11.42578125" style="83"/>
    <col min="2" max="2" width="65.5703125" style="83" customWidth="1"/>
    <col min="3" max="3" width="11.42578125" style="83"/>
    <col min="4" max="4" width="11.28515625" style="83" customWidth="1"/>
    <col min="5" max="5" width="9.140625" style="83" customWidth="1"/>
    <col min="6" max="6" width="13.140625" style="83" bestFit="1" customWidth="1"/>
    <col min="7" max="16384" width="11.42578125" style="83"/>
  </cols>
  <sheetData>
    <row r="1" spans="1:24" s="208" customFormat="1" ht="17.25" x14ac:dyDescent="0.3">
      <c r="A1" s="478" t="s">
        <v>351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</row>
    <row r="3" spans="1:24" s="2" customFormat="1" x14ac:dyDescent="0.25">
      <c r="A3" s="2" t="s">
        <v>16</v>
      </c>
      <c r="B3" s="2" t="s">
        <v>69</v>
      </c>
      <c r="N3" s="2" t="s">
        <v>427</v>
      </c>
      <c r="T3" s="2" t="s">
        <v>428</v>
      </c>
    </row>
    <row r="5" spans="1:24" ht="16.5" customHeight="1" x14ac:dyDescent="0.25">
      <c r="A5" s="441" t="s">
        <v>2</v>
      </c>
      <c r="B5" s="441" t="s">
        <v>15</v>
      </c>
      <c r="C5" s="441" t="s">
        <v>3</v>
      </c>
      <c r="D5" s="441" t="s">
        <v>13</v>
      </c>
      <c r="E5" s="441"/>
      <c r="F5" s="441"/>
      <c r="G5" s="480" t="s">
        <v>205</v>
      </c>
      <c r="H5" s="480"/>
      <c r="I5" s="480"/>
      <c r="J5" s="480"/>
      <c r="K5" s="480"/>
      <c r="L5" s="194"/>
    </row>
    <row r="6" spans="1:24" x14ac:dyDescent="0.25">
      <c r="A6" s="441"/>
      <c r="B6" s="441"/>
      <c r="C6" s="441"/>
      <c r="D6" s="179" t="s">
        <v>5</v>
      </c>
      <c r="E6" s="179" t="s">
        <v>6</v>
      </c>
      <c r="F6" s="179" t="s">
        <v>7</v>
      </c>
      <c r="G6" s="217">
        <v>45474</v>
      </c>
      <c r="H6" s="217">
        <v>45505</v>
      </c>
      <c r="I6" s="217">
        <v>45536</v>
      </c>
      <c r="J6" s="217">
        <v>45566</v>
      </c>
      <c r="K6" s="217">
        <v>45597</v>
      </c>
      <c r="L6" s="194"/>
      <c r="N6" s="217">
        <v>45474</v>
      </c>
      <c r="O6" s="217">
        <v>45505</v>
      </c>
      <c r="P6" s="217">
        <v>45536</v>
      </c>
      <c r="Q6" s="217">
        <v>45566</v>
      </c>
      <c r="R6" s="217">
        <v>45597</v>
      </c>
      <c r="T6" s="217">
        <v>45474</v>
      </c>
      <c r="U6" s="217">
        <v>45505</v>
      </c>
      <c r="V6" s="217">
        <v>45536</v>
      </c>
      <c r="W6" s="217">
        <v>45566</v>
      </c>
      <c r="X6" s="217">
        <v>45597</v>
      </c>
    </row>
    <row r="7" spans="1:24" x14ac:dyDescent="0.25">
      <c r="A7" s="196" t="s">
        <v>70</v>
      </c>
      <c r="B7" s="197" t="s">
        <v>133</v>
      </c>
      <c r="C7" s="198"/>
      <c r="D7" s="200"/>
      <c r="E7" s="74"/>
      <c r="F7" s="199"/>
      <c r="G7" s="211"/>
      <c r="H7" s="211"/>
      <c r="I7" s="211"/>
      <c r="J7" s="211"/>
      <c r="K7" s="211"/>
      <c r="L7" s="194"/>
      <c r="N7" s="195"/>
      <c r="O7" s="195"/>
      <c r="P7" s="195"/>
      <c r="Q7" s="195"/>
      <c r="R7" s="195"/>
    </row>
    <row r="8" spans="1:24" x14ac:dyDescent="0.25">
      <c r="A8" s="190" t="s">
        <v>71</v>
      </c>
      <c r="B8" s="182" t="s">
        <v>134</v>
      </c>
      <c r="C8" s="181"/>
      <c r="D8" s="119"/>
      <c r="E8" s="22"/>
      <c r="F8" s="18"/>
      <c r="G8" s="212"/>
      <c r="H8" s="212"/>
      <c r="I8" s="212"/>
      <c r="J8" s="212"/>
      <c r="K8" s="212"/>
      <c r="L8" s="194"/>
      <c r="N8" s="195"/>
      <c r="O8" s="195"/>
      <c r="P8" s="195"/>
      <c r="Q8" s="195"/>
      <c r="R8" s="195"/>
    </row>
    <row r="9" spans="1:24" x14ac:dyDescent="0.25">
      <c r="A9" s="190" t="s">
        <v>17</v>
      </c>
      <c r="B9" s="182" t="s">
        <v>135</v>
      </c>
      <c r="C9" s="183"/>
      <c r="D9" s="156"/>
      <c r="E9" s="9"/>
      <c r="F9" s="19"/>
      <c r="G9" s="213"/>
      <c r="H9" s="213"/>
      <c r="I9" s="213"/>
      <c r="J9" s="213"/>
      <c r="K9" s="213"/>
      <c r="L9" s="194"/>
      <c r="N9" s="195"/>
      <c r="O9" s="195"/>
      <c r="P9" s="195"/>
      <c r="Q9" s="195"/>
      <c r="R9" s="195"/>
    </row>
    <row r="10" spans="1:24" x14ac:dyDescent="0.25">
      <c r="A10" s="191" t="s">
        <v>72</v>
      </c>
      <c r="B10" s="184" t="s">
        <v>136</v>
      </c>
      <c r="C10" s="183" t="s">
        <v>19</v>
      </c>
      <c r="D10" s="150">
        <v>942.21</v>
      </c>
      <c r="E10" s="123">
        <v>1.33</v>
      </c>
      <c r="F10" s="126">
        <v>1253.1400000000001</v>
      </c>
      <c r="G10" s="214">
        <f t="shared" ref="G10:K11" si="0">$F10*N10</f>
        <v>626.57000000000005</v>
      </c>
      <c r="H10" s="214">
        <f t="shared" si="0"/>
        <v>626.57000000000005</v>
      </c>
      <c r="I10" s="214">
        <f t="shared" si="0"/>
        <v>0</v>
      </c>
      <c r="J10" s="214">
        <f t="shared" si="0"/>
        <v>0</v>
      </c>
      <c r="K10" s="214">
        <f t="shared" si="0"/>
        <v>0</v>
      </c>
      <c r="L10" s="194">
        <f>F10-SUM(G10:K10)</f>
        <v>0</v>
      </c>
      <c r="N10" s="195">
        <v>0.5</v>
      </c>
      <c r="O10" s="195">
        <v>0.5</v>
      </c>
      <c r="P10" s="195"/>
      <c r="Q10" s="195"/>
      <c r="R10" s="195"/>
      <c r="T10" s="194">
        <f>N10*$D10</f>
        <v>471.10500000000002</v>
      </c>
      <c r="U10" s="194">
        <f t="shared" ref="U10:X10" si="1">O10*$D10</f>
        <v>471.10500000000002</v>
      </c>
      <c r="V10" s="194">
        <f t="shared" si="1"/>
        <v>0</v>
      </c>
      <c r="W10" s="194">
        <f t="shared" si="1"/>
        <v>0</v>
      </c>
      <c r="X10" s="194">
        <f t="shared" si="1"/>
        <v>0</v>
      </c>
    </row>
    <row r="11" spans="1:24" x14ac:dyDescent="0.25">
      <c r="A11" s="191" t="s">
        <v>73</v>
      </c>
      <c r="B11" s="184" t="s">
        <v>137</v>
      </c>
      <c r="C11" s="183" t="s">
        <v>197</v>
      </c>
      <c r="D11" s="150">
        <v>942.21</v>
      </c>
      <c r="E11" s="123">
        <v>1.33</v>
      </c>
      <c r="F11" s="126">
        <v>1253.1400000000001</v>
      </c>
      <c r="G11" s="214">
        <f t="shared" si="0"/>
        <v>313.28500000000003</v>
      </c>
      <c r="H11" s="214">
        <f t="shared" si="0"/>
        <v>313.28500000000003</v>
      </c>
      <c r="I11" s="214">
        <f t="shared" si="0"/>
        <v>313.28500000000003</v>
      </c>
      <c r="J11" s="214">
        <f t="shared" si="0"/>
        <v>313.28500000000003</v>
      </c>
      <c r="K11" s="214">
        <f t="shared" si="0"/>
        <v>0</v>
      </c>
      <c r="L11" s="194">
        <f>F11-SUM(G11:K11)</f>
        <v>0</v>
      </c>
      <c r="N11" s="195">
        <v>0.25</v>
      </c>
      <c r="O11" s="195">
        <v>0.25</v>
      </c>
      <c r="P11" s="195">
        <v>0.25</v>
      </c>
      <c r="Q11" s="195">
        <v>0.25</v>
      </c>
      <c r="R11" s="195"/>
      <c r="T11" s="194">
        <f>N11*$D11</f>
        <v>235.55250000000001</v>
      </c>
      <c r="U11" s="194">
        <f t="shared" ref="U11" si="2">O11*$D11</f>
        <v>235.55250000000001</v>
      </c>
      <c r="V11" s="194">
        <f t="shared" ref="V11" si="3">P11*$D11</f>
        <v>235.55250000000001</v>
      </c>
      <c r="W11" s="194">
        <f t="shared" ref="W11" si="4">Q11*$D11</f>
        <v>235.55250000000001</v>
      </c>
      <c r="X11" s="194">
        <f t="shared" ref="X11" si="5">R11*$D11</f>
        <v>0</v>
      </c>
    </row>
    <row r="12" spans="1:24" x14ac:dyDescent="0.25">
      <c r="A12" s="190" t="s">
        <v>74</v>
      </c>
      <c r="B12" s="182" t="s">
        <v>138</v>
      </c>
      <c r="C12" s="183"/>
      <c r="D12" s="156"/>
      <c r="E12" s="9"/>
      <c r="F12" s="19"/>
      <c r="G12" s="213"/>
      <c r="H12" s="213"/>
      <c r="I12" s="213"/>
      <c r="J12" s="213"/>
      <c r="K12" s="213"/>
      <c r="L12" s="194"/>
      <c r="N12" s="195"/>
      <c r="O12" s="195"/>
      <c r="P12" s="195"/>
      <c r="Q12" s="195"/>
      <c r="R12" s="195"/>
    </row>
    <row r="13" spans="1:24" x14ac:dyDescent="0.25">
      <c r="A13" s="190" t="s">
        <v>75</v>
      </c>
      <c r="B13" s="182" t="s">
        <v>139</v>
      </c>
      <c r="C13" s="183"/>
      <c r="D13" s="156"/>
      <c r="E13" s="9"/>
      <c r="F13" s="19"/>
      <c r="G13" s="213"/>
      <c r="H13" s="213"/>
      <c r="I13" s="213"/>
      <c r="J13" s="213"/>
      <c r="K13" s="213"/>
      <c r="L13" s="194"/>
      <c r="N13" s="195"/>
      <c r="O13" s="195"/>
      <c r="P13" s="195"/>
      <c r="Q13" s="195"/>
      <c r="R13" s="195"/>
    </row>
    <row r="14" spans="1:24" x14ac:dyDescent="0.25">
      <c r="A14" s="190" t="s">
        <v>76</v>
      </c>
      <c r="B14" s="182" t="s">
        <v>140</v>
      </c>
      <c r="C14" s="183"/>
      <c r="D14" s="156"/>
      <c r="E14" s="9"/>
      <c r="F14" s="19"/>
      <c r="G14" s="213"/>
      <c r="H14" s="213"/>
      <c r="I14" s="213"/>
      <c r="J14" s="213"/>
      <c r="K14" s="213"/>
      <c r="L14" s="194"/>
      <c r="N14" s="195"/>
      <c r="O14" s="195"/>
      <c r="P14" s="195"/>
      <c r="Q14" s="195"/>
      <c r="R14" s="195"/>
    </row>
    <row r="15" spans="1:24" x14ac:dyDescent="0.25">
      <c r="A15" s="191" t="s">
        <v>77</v>
      </c>
      <c r="B15" s="184" t="s">
        <v>141</v>
      </c>
      <c r="C15" s="183" t="s">
        <v>62</v>
      </c>
      <c r="D15" s="150">
        <v>39.81</v>
      </c>
      <c r="E15" s="123">
        <v>29.22</v>
      </c>
      <c r="F15" s="126">
        <v>1163.25</v>
      </c>
      <c r="G15" s="214">
        <f t="shared" ref="G15:K16" si="6">$F15*N15</f>
        <v>814.27499999999998</v>
      </c>
      <c r="H15" s="214">
        <f t="shared" si="6"/>
        <v>348.97499999999997</v>
      </c>
      <c r="I15" s="214">
        <f t="shared" si="6"/>
        <v>0</v>
      </c>
      <c r="J15" s="214">
        <f t="shared" si="6"/>
        <v>0</v>
      </c>
      <c r="K15" s="214">
        <f t="shared" si="6"/>
        <v>0</v>
      </c>
      <c r="L15" s="194">
        <f>F15-SUM(G15:K15)</f>
        <v>0</v>
      </c>
      <c r="N15" s="195">
        <v>0.7</v>
      </c>
      <c r="O15" s="195">
        <v>0.3</v>
      </c>
      <c r="P15" s="195"/>
      <c r="Q15" s="195"/>
      <c r="R15" s="195"/>
      <c r="T15" s="194">
        <f t="shared" ref="T15:T16" si="7">N15*$D15</f>
        <v>27.867000000000001</v>
      </c>
      <c r="U15" s="194">
        <f t="shared" ref="U15:U16" si="8">O15*$D15</f>
        <v>11.943</v>
      </c>
      <c r="V15" s="194">
        <f t="shared" ref="V15:V16" si="9">P15*$D15</f>
        <v>0</v>
      </c>
      <c r="W15" s="194">
        <f t="shared" ref="W15:W16" si="10">Q15*$D15</f>
        <v>0</v>
      </c>
      <c r="X15" s="194">
        <f t="shared" ref="X15:X16" si="11">R15*$D15</f>
        <v>0</v>
      </c>
    </row>
    <row r="16" spans="1:24" x14ac:dyDescent="0.25">
      <c r="A16" s="191" t="s">
        <v>78</v>
      </c>
      <c r="B16" s="184" t="s">
        <v>142</v>
      </c>
      <c r="C16" s="183" t="s">
        <v>62</v>
      </c>
      <c r="D16" s="150">
        <v>1876.4</v>
      </c>
      <c r="E16" s="123">
        <v>33.36</v>
      </c>
      <c r="F16" s="126">
        <v>62596.7</v>
      </c>
      <c r="G16" s="214">
        <f t="shared" si="6"/>
        <v>43817.689999999995</v>
      </c>
      <c r="H16" s="214">
        <f t="shared" si="6"/>
        <v>18779.009999999998</v>
      </c>
      <c r="I16" s="214">
        <f t="shared" si="6"/>
        <v>0</v>
      </c>
      <c r="J16" s="214">
        <f t="shared" si="6"/>
        <v>0</v>
      </c>
      <c r="K16" s="214">
        <f t="shared" si="6"/>
        <v>0</v>
      </c>
      <c r="L16" s="194">
        <f>F16-SUM(G16:K16)</f>
        <v>0</v>
      </c>
      <c r="N16" s="195">
        <v>0.7</v>
      </c>
      <c r="O16" s="195">
        <v>0.3</v>
      </c>
      <c r="P16" s="195"/>
      <c r="Q16" s="195"/>
      <c r="R16" s="195"/>
      <c r="T16" s="194">
        <f t="shared" si="7"/>
        <v>1313.48</v>
      </c>
      <c r="U16" s="194">
        <f t="shared" si="8"/>
        <v>562.91999999999996</v>
      </c>
      <c r="V16" s="194">
        <f t="shared" si="9"/>
        <v>0</v>
      </c>
      <c r="W16" s="194">
        <f t="shared" si="10"/>
        <v>0</v>
      </c>
      <c r="X16" s="194">
        <f t="shared" si="11"/>
        <v>0</v>
      </c>
    </row>
    <row r="17" spans="1:24" x14ac:dyDescent="0.25">
      <c r="A17" s="190" t="s">
        <v>79</v>
      </c>
      <c r="B17" s="182" t="s">
        <v>143</v>
      </c>
      <c r="C17" s="183"/>
      <c r="D17" s="156"/>
      <c r="E17" s="9"/>
      <c r="F17" s="19"/>
      <c r="G17" s="213"/>
      <c r="H17" s="213"/>
      <c r="I17" s="213"/>
      <c r="J17" s="213"/>
      <c r="K17" s="213"/>
      <c r="L17" s="194"/>
      <c r="N17" s="195"/>
      <c r="O17" s="195"/>
      <c r="P17" s="195"/>
      <c r="Q17" s="195"/>
      <c r="R17" s="195"/>
    </row>
    <row r="18" spans="1:24" x14ac:dyDescent="0.25">
      <c r="A18" s="191" t="s">
        <v>80</v>
      </c>
      <c r="B18" s="184" t="s">
        <v>144</v>
      </c>
      <c r="C18" s="183" t="s">
        <v>62</v>
      </c>
      <c r="D18" s="150">
        <v>1138.01</v>
      </c>
      <c r="E18" s="123">
        <v>15</v>
      </c>
      <c r="F18" s="126">
        <v>17070.150000000001</v>
      </c>
      <c r="G18" s="214">
        <f>$F18*N18</f>
        <v>0</v>
      </c>
      <c r="H18" s="214">
        <f>$F18*O18</f>
        <v>5121.0450000000001</v>
      </c>
      <c r="I18" s="214">
        <f>$F18*P18</f>
        <v>11949.105</v>
      </c>
      <c r="J18" s="214">
        <f>$F18*Q18</f>
        <v>0</v>
      </c>
      <c r="K18" s="214">
        <f>$F18*R18</f>
        <v>0</v>
      </c>
      <c r="L18" s="194">
        <f>F18-SUM(G18:K18)</f>
        <v>0</v>
      </c>
      <c r="N18" s="195"/>
      <c r="O18" s="195">
        <v>0.3</v>
      </c>
      <c r="P18" s="195">
        <v>0.7</v>
      </c>
      <c r="Q18" s="195"/>
      <c r="R18" s="195"/>
      <c r="T18" s="194">
        <f>N18*$D18</f>
        <v>0</v>
      </c>
      <c r="U18" s="194">
        <f t="shared" ref="U18" si="12">O18*$D18</f>
        <v>341.40299999999996</v>
      </c>
      <c r="V18" s="194">
        <f t="shared" ref="V18" si="13">P18*$D18</f>
        <v>796.60699999999997</v>
      </c>
      <c r="W18" s="194">
        <f t="shared" ref="W18" si="14">Q18*$D18</f>
        <v>0</v>
      </c>
      <c r="X18" s="194">
        <f t="shared" ref="X18" si="15">R18*$D18</f>
        <v>0</v>
      </c>
    </row>
    <row r="19" spans="1:24" x14ac:dyDescent="0.25">
      <c r="A19" s="190" t="s">
        <v>81</v>
      </c>
      <c r="B19" s="182" t="s">
        <v>145</v>
      </c>
      <c r="C19" s="181"/>
      <c r="D19" s="149"/>
      <c r="E19" s="8"/>
      <c r="F19" s="20"/>
      <c r="G19" s="215"/>
      <c r="H19" s="215"/>
      <c r="I19" s="215"/>
      <c r="J19" s="215"/>
      <c r="K19" s="215"/>
      <c r="L19" s="194"/>
      <c r="N19" s="195"/>
      <c r="O19" s="195"/>
      <c r="P19" s="195"/>
      <c r="Q19" s="195"/>
      <c r="R19" s="195"/>
    </row>
    <row r="20" spans="1:24" x14ac:dyDescent="0.25">
      <c r="A20" s="191" t="s">
        <v>82</v>
      </c>
      <c r="B20" s="184" t="s">
        <v>146</v>
      </c>
      <c r="C20" s="183" t="s">
        <v>62</v>
      </c>
      <c r="D20" s="150">
        <v>1118.06</v>
      </c>
      <c r="E20" s="123">
        <v>18.27</v>
      </c>
      <c r="F20" s="126">
        <v>20426.96</v>
      </c>
      <c r="G20" s="214">
        <f t="shared" ref="G20:K22" si="16">$F20*N20</f>
        <v>10213.48</v>
      </c>
      <c r="H20" s="214">
        <f t="shared" si="16"/>
        <v>10213.48</v>
      </c>
      <c r="I20" s="214">
        <f t="shared" si="16"/>
        <v>0</v>
      </c>
      <c r="J20" s="214">
        <f t="shared" si="16"/>
        <v>0</v>
      </c>
      <c r="K20" s="214">
        <f t="shared" si="16"/>
        <v>0</v>
      </c>
      <c r="L20" s="194">
        <f>F20-SUM(G20:K20)</f>
        <v>0</v>
      </c>
      <c r="N20" s="195">
        <v>0.5</v>
      </c>
      <c r="O20" s="195">
        <v>0.5</v>
      </c>
      <c r="P20" s="195"/>
      <c r="Q20" s="195"/>
      <c r="R20" s="195"/>
      <c r="T20" s="194">
        <f t="shared" ref="T20:T22" si="17">N20*$D20</f>
        <v>559.03</v>
      </c>
      <c r="U20" s="194">
        <f t="shared" ref="U20:U22" si="18">O20*$D20</f>
        <v>559.03</v>
      </c>
      <c r="V20" s="194">
        <f t="shared" ref="V20:V22" si="19">P20*$D20</f>
        <v>0</v>
      </c>
      <c r="W20" s="194">
        <f t="shared" ref="W20:W22" si="20">Q20*$D20</f>
        <v>0</v>
      </c>
      <c r="X20" s="194">
        <f t="shared" ref="X20:X22" si="21">R20*$D20</f>
        <v>0</v>
      </c>
    </row>
    <row r="21" spans="1:24" x14ac:dyDescent="0.25">
      <c r="A21" s="191" t="s">
        <v>83</v>
      </c>
      <c r="B21" s="184" t="s">
        <v>147</v>
      </c>
      <c r="C21" s="183" t="s">
        <v>20</v>
      </c>
      <c r="D21" s="150"/>
      <c r="E21" s="123"/>
      <c r="F21" s="126"/>
      <c r="G21" s="214">
        <f t="shared" si="16"/>
        <v>0</v>
      </c>
      <c r="H21" s="214">
        <f t="shared" si="16"/>
        <v>0</v>
      </c>
      <c r="I21" s="214">
        <f t="shared" si="16"/>
        <v>0</v>
      </c>
      <c r="J21" s="214">
        <f t="shared" si="16"/>
        <v>0</v>
      </c>
      <c r="K21" s="214">
        <f t="shared" si="16"/>
        <v>0</v>
      </c>
      <c r="L21" s="194">
        <f>F21-SUM(G21:K21)</f>
        <v>0</v>
      </c>
      <c r="N21" s="195">
        <v>0.5</v>
      </c>
      <c r="O21" s="195">
        <v>0.5</v>
      </c>
      <c r="P21" s="195"/>
      <c r="Q21" s="195"/>
      <c r="R21" s="195"/>
      <c r="T21" s="194">
        <f t="shared" si="17"/>
        <v>0</v>
      </c>
      <c r="U21" s="194">
        <f t="shared" si="18"/>
        <v>0</v>
      </c>
      <c r="V21" s="194">
        <f t="shared" si="19"/>
        <v>0</v>
      </c>
      <c r="W21" s="194">
        <f t="shared" si="20"/>
        <v>0</v>
      </c>
      <c r="X21" s="194">
        <f t="shared" si="21"/>
        <v>0</v>
      </c>
    </row>
    <row r="22" spans="1:24" x14ac:dyDescent="0.25">
      <c r="A22" s="191" t="s">
        <v>84</v>
      </c>
      <c r="B22" s="184" t="s">
        <v>148</v>
      </c>
      <c r="C22" s="183" t="s">
        <v>62</v>
      </c>
      <c r="D22" s="150"/>
      <c r="E22" s="123"/>
      <c r="F22" s="126"/>
      <c r="G22" s="214">
        <f t="shared" si="16"/>
        <v>0</v>
      </c>
      <c r="H22" s="214">
        <f t="shared" si="16"/>
        <v>0</v>
      </c>
      <c r="I22" s="214">
        <f t="shared" si="16"/>
        <v>0</v>
      </c>
      <c r="J22" s="214">
        <f t="shared" si="16"/>
        <v>0</v>
      </c>
      <c r="K22" s="214">
        <f t="shared" si="16"/>
        <v>0</v>
      </c>
      <c r="L22" s="194">
        <f>F22-SUM(G22:K22)</f>
        <v>0</v>
      </c>
      <c r="N22" s="195">
        <v>0.5</v>
      </c>
      <c r="O22" s="195">
        <v>0.5</v>
      </c>
      <c r="P22" s="195"/>
      <c r="Q22" s="195"/>
      <c r="R22" s="195"/>
      <c r="T22" s="194">
        <f t="shared" si="17"/>
        <v>0</v>
      </c>
      <c r="U22" s="194">
        <f t="shared" si="18"/>
        <v>0</v>
      </c>
      <c r="V22" s="194">
        <f t="shared" si="19"/>
        <v>0</v>
      </c>
      <c r="W22" s="194">
        <f t="shared" si="20"/>
        <v>0</v>
      </c>
      <c r="X22" s="194">
        <f t="shared" si="21"/>
        <v>0</v>
      </c>
    </row>
    <row r="23" spans="1:24" x14ac:dyDescent="0.25">
      <c r="A23" s="190" t="s">
        <v>85</v>
      </c>
      <c r="B23" s="182" t="s">
        <v>149</v>
      </c>
      <c r="C23" s="185"/>
      <c r="D23" s="201"/>
      <c r="E23" s="51"/>
      <c r="F23" s="180"/>
      <c r="G23" s="213"/>
      <c r="H23" s="213"/>
      <c r="I23" s="213"/>
      <c r="J23" s="213"/>
      <c r="K23" s="213"/>
      <c r="L23" s="194"/>
      <c r="N23" s="195"/>
      <c r="O23" s="195"/>
      <c r="P23" s="195"/>
      <c r="Q23" s="195"/>
      <c r="R23" s="195"/>
    </row>
    <row r="24" spans="1:24" x14ac:dyDescent="0.25">
      <c r="A24" s="191" t="s">
        <v>86</v>
      </c>
      <c r="B24" s="184" t="s">
        <v>150</v>
      </c>
      <c r="C24" s="185" t="s">
        <v>197</v>
      </c>
      <c r="D24" s="152">
        <v>70.33</v>
      </c>
      <c r="E24" s="131">
        <v>4.3600000000000003</v>
      </c>
      <c r="F24" s="126">
        <v>306.64</v>
      </c>
      <c r="G24" s="214">
        <f t="shared" ref="G24:K27" si="22">$F24*N24</f>
        <v>0</v>
      </c>
      <c r="H24" s="214">
        <f t="shared" si="22"/>
        <v>0</v>
      </c>
      <c r="I24" s="214">
        <f t="shared" si="22"/>
        <v>0</v>
      </c>
      <c r="J24" s="214">
        <f t="shared" si="22"/>
        <v>153.32</v>
      </c>
      <c r="K24" s="214">
        <f t="shared" si="22"/>
        <v>153.32</v>
      </c>
      <c r="L24" s="194">
        <f>F24-SUM(G24:K24)</f>
        <v>0</v>
      </c>
      <c r="N24" s="195"/>
      <c r="O24" s="195"/>
      <c r="P24" s="195"/>
      <c r="Q24" s="195">
        <v>0.5</v>
      </c>
      <c r="R24" s="195">
        <v>0.5</v>
      </c>
      <c r="T24" s="194">
        <f>N24*$D24</f>
        <v>0</v>
      </c>
      <c r="U24" s="194">
        <f t="shared" ref="U24:U27" si="23">O24*$D24</f>
        <v>0</v>
      </c>
      <c r="V24" s="194">
        <f t="shared" ref="V24:V27" si="24">P24*$D24</f>
        <v>0</v>
      </c>
      <c r="W24" s="194">
        <f t="shared" ref="W24:W27" si="25">Q24*$D24</f>
        <v>35.164999999999999</v>
      </c>
      <c r="X24" s="194">
        <f t="shared" ref="X24:X27" si="26">R24*$D24</f>
        <v>35.164999999999999</v>
      </c>
    </row>
    <row r="25" spans="1:24" x14ac:dyDescent="0.25">
      <c r="A25" s="191" t="s">
        <v>87</v>
      </c>
      <c r="B25" s="184" t="s">
        <v>151</v>
      </c>
      <c r="C25" s="185" t="s">
        <v>197</v>
      </c>
      <c r="D25" s="152">
        <v>8.73</v>
      </c>
      <c r="E25" s="131">
        <v>7.37</v>
      </c>
      <c r="F25" s="126">
        <v>64.34</v>
      </c>
      <c r="G25" s="214">
        <f t="shared" si="22"/>
        <v>0</v>
      </c>
      <c r="H25" s="214">
        <f t="shared" si="22"/>
        <v>0</v>
      </c>
      <c r="I25" s="214">
        <f t="shared" si="22"/>
        <v>38.603999999999999</v>
      </c>
      <c r="J25" s="214">
        <f t="shared" si="22"/>
        <v>25.736000000000004</v>
      </c>
      <c r="K25" s="214">
        <f t="shared" si="22"/>
        <v>0</v>
      </c>
      <c r="L25" s="194">
        <f>F25-SUM(G25:K25)</f>
        <v>0</v>
      </c>
      <c r="N25" s="195"/>
      <c r="O25" s="195"/>
      <c r="P25" s="195">
        <v>0.6</v>
      </c>
      <c r="Q25" s="195">
        <v>0.4</v>
      </c>
      <c r="R25" s="195"/>
      <c r="T25" s="194">
        <f>N25*$D25</f>
        <v>0</v>
      </c>
      <c r="U25" s="194">
        <f t="shared" si="23"/>
        <v>0</v>
      </c>
      <c r="V25" s="194">
        <f t="shared" si="24"/>
        <v>5.2380000000000004</v>
      </c>
      <c r="W25" s="194">
        <f t="shared" si="25"/>
        <v>3.4920000000000004</v>
      </c>
      <c r="X25" s="194">
        <f t="shared" si="26"/>
        <v>0</v>
      </c>
    </row>
    <row r="26" spans="1:24" x14ac:dyDescent="0.25">
      <c r="A26" s="191" t="s">
        <v>88</v>
      </c>
      <c r="B26" s="184" t="s">
        <v>152</v>
      </c>
      <c r="C26" s="185" t="s">
        <v>197</v>
      </c>
      <c r="D26" s="152">
        <v>70.33</v>
      </c>
      <c r="E26" s="131">
        <v>11.5</v>
      </c>
      <c r="F26" s="126">
        <v>808.8</v>
      </c>
      <c r="G26" s="214">
        <f t="shared" si="22"/>
        <v>0</v>
      </c>
      <c r="H26" s="214">
        <f t="shared" si="22"/>
        <v>0</v>
      </c>
      <c r="I26" s="214">
        <f t="shared" si="22"/>
        <v>0</v>
      </c>
      <c r="J26" s="214">
        <f t="shared" si="22"/>
        <v>323.52</v>
      </c>
      <c r="K26" s="214">
        <f t="shared" si="22"/>
        <v>485.28</v>
      </c>
      <c r="L26" s="194">
        <f>F26-SUM(G26:K26)</f>
        <v>0</v>
      </c>
      <c r="N26" s="195"/>
      <c r="O26" s="195"/>
      <c r="P26" s="195"/>
      <c r="Q26" s="195">
        <v>0.4</v>
      </c>
      <c r="R26" s="195">
        <v>0.6</v>
      </c>
      <c r="T26" s="194">
        <f>N26*$D26</f>
        <v>0</v>
      </c>
      <c r="U26" s="194">
        <f t="shared" si="23"/>
        <v>0</v>
      </c>
      <c r="V26" s="194">
        <f t="shared" si="24"/>
        <v>0</v>
      </c>
      <c r="W26" s="194">
        <f t="shared" si="25"/>
        <v>28.132000000000001</v>
      </c>
      <c r="X26" s="194">
        <f t="shared" si="26"/>
        <v>42.198</v>
      </c>
    </row>
    <row r="27" spans="1:24" x14ac:dyDescent="0.25">
      <c r="A27" s="191" t="s">
        <v>89</v>
      </c>
      <c r="B27" s="184" t="s">
        <v>153</v>
      </c>
      <c r="C27" s="185" t="s">
        <v>197</v>
      </c>
      <c r="D27" s="152">
        <v>8.73</v>
      </c>
      <c r="E27" s="131">
        <v>14.5</v>
      </c>
      <c r="F27" s="126">
        <v>126.59</v>
      </c>
      <c r="G27" s="214">
        <f t="shared" si="22"/>
        <v>0</v>
      </c>
      <c r="H27" s="214">
        <f t="shared" si="22"/>
        <v>0</v>
      </c>
      <c r="I27" s="214">
        <f t="shared" si="22"/>
        <v>63.295000000000002</v>
      </c>
      <c r="J27" s="214">
        <f t="shared" si="22"/>
        <v>63.295000000000002</v>
      </c>
      <c r="K27" s="214">
        <f t="shared" si="22"/>
        <v>0</v>
      </c>
      <c r="L27" s="194">
        <f>F27-SUM(G27:K27)</f>
        <v>0</v>
      </c>
      <c r="N27" s="195"/>
      <c r="O27" s="195"/>
      <c r="P27" s="195">
        <v>0.5</v>
      </c>
      <c r="Q27" s="195">
        <v>0.5</v>
      </c>
      <c r="R27" s="195"/>
      <c r="T27" s="194">
        <f>N27*$D27</f>
        <v>0</v>
      </c>
      <c r="U27" s="194">
        <f t="shared" si="23"/>
        <v>0</v>
      </c>
      <c r="V27" s="194">
        <f t="shared" si="24"/>
        <v>4.3650000000000002</v>
      </c>
      <c r="W27" s="194">
        <f t="shared" si="25"/>
        <v>4.3650000000000002</v>
      </c>
      <c r="X27" s="194">
        <f t="shared" si="26"/>
        <v>0</v>
      </c>
    </row>
    <row r="28" spans="1:24" x14ac:dyDescent="0.25">
      <c r="A28" s="190" t="s">
        <v>90</v>
      </c>
      <c r="B28" s="182" t="s">
        <v>154</v>
      </c>
      <c r="C28" s="185"/>
      <c r="D28" s="201"/>
      <c r="E28" s="51"/>
      <c r="F28" s="180"/>
      <c r="G28" s="213"/>
      <c r="H28" s="213"/>
      <c r="I28" s="213"/>
      <c r="J28" s="213"/>
      <c r="K28" s="213"/>
      <c r="L28" s="194"/>
      <c r="N28" s="195"/>
      <c r="O28" s="195"/>
      <c r="P28" s="195"/>
      <c r="Q28" s="195"/>
      <c r="R28" s="195"/>
    </row>
    <row r="29" spans="1:24" x14ac:dyDescent="0.25">
      <c r="A29" s="190" t="s">
        <v>91</v>
      </c>
      <c r="B29" s="182" t="s">
        <v>155</v>
      </c>
      <c r="C29" s="185"/>
      <c r="D29" s="201"/>
      <c r="E29" s="51"/>
      <c r="F29" s="180"/>
      <c r="G29" s="213"/>
      <c r="H29" s="213"/>
      <c r="I29" s="213"/>
      <c r="J29" s="213"/>
      <c r="K29" s="213"/>
      <c r="L29" s="194"/>
      <c r="N29" s="195"/>
      <c r="O29" s="195"/>
      <c r="P29" s="195"/>
      <c r="Q29" s="195"/>
      <c r="R29" s="195"/>
    </row>
    <row r="30" spans="1:24" x14ac:dyDescent="0.25">
      <c r="A30" s="191" t="s">
        <v>92</v>
      </c>
      <c r="B30" s="184" t="s">
        <v>156</v>
      </c>
      <c r="C30" s="185" t="s">
        <v>62</v>
      </c>
      <c r="D30" s="152">
        <v>330.16</v>
      </c>
      <c r="E30" s="131">
        <v>184.1</v>
      </c>
      <c r="F30" s="126">
        <v>60782.46</v>
      </c>
      <c r="G30" s="214">
        <f>$F30*N30</f>
        <v>0</v>
      </c>
      <c r="H30" s="214">
        <f>$F30*O30</f>
        <v>42547.721999999994</v>
      </c>
      <c r="I30" s="214">
        <f>$F30*P30</f>
        <v>18234.737999999998</v>
      </c>
      <c r="J30" s="214">
        <f>$F30*Q30</f>
        <v>0</v>
      </c>
      <c r="K30" s="214">
        <f>$F30*R30</f>
        <v>0</v>
      </c>
      <c r="L30" s="194">
        <f>F30-SUM(G30:K30)</f>
        <v>0</v>
      </c>
      <c r="N30" s="195"/>
      <c r="O30" s="195">
        <v>0.7</v>
      </c>
      <c r="P30" s="195">
        <v>0.3</v>
      </c>
      <c r="Q30" s="195"/>
      <c r="R30" s="195"/>
      <c r="T30" s="194">
        <f>N30*$D30</f>
        <v>0</v>
      </c>
      <c r="U30" s="194">
        <f t="shared" ref="U30" si="27">O30*$D30</f>
        <v>231.11199999999999</v>
      </c>
      <c r="V30" s="194">
        <f t="shared" ref="V30" si="28">P30*$D30</f>
        <v>99.048000000000002</v>
      </c>
      <c r="W30" s="194">
        <f t="shared" ref="W30" si="29">Q30*$D30</f>
        <v>0</v>
      </c>
      <c r="X30" s="194">
        <f t="shared" ref="X30" si="30">R30*$D30</f>
        <v>0</v>
      </c>
    </row>
    <row r="31" spans="1:24" x14ac:dyDescent="0.25">
      <c r="A31" s="190" t="s">
        <v>93</v>
      </c>
      <c r="B31" s="182" t="s">
        <v>157</v>
      </c>
      <c r="C31" s="185"/>
      <c r="D31" s="201"/>
      <c r="E31" s="51"/>
      <c r="F31" s="180"/>
      <c r="G31" s="213"/>
      <c r="H31" s="213"/>
      <c r="I31" s="213"/>
      <c r="J31" s="213"/>
      <c r="K31" s="213"/>
      <c r="L31" s="194"/>
      <c r="N31" s="195"/>
      <c r="O31" s="195"/>
      <c r="P31" s="195"/>
      <c r="Q31" s="195"/>
      <c r="R31" s="195"/>
    </row>
    <row r="32" spans="1:24" x14ac:dyDescent="0.25">
      <c r="A32" s="191" t="s">
        <v>94</v>
      </c>
      <c r="B32" s="184" t="s">
        <v>158</v>
      </c>
      <c r="C32" s="185" t="s">
        <v>62</v>
      </c>
      <c r="D32" s="152">
        <v>24.24</v>
      </c>
      <c r="E32" s="131">
        <v>182.46</v>
      </c>
      <c r="F32" s="126">
        <v>4422.83</v>
      </c>
      <c r="G32" s="214">
        <f t="shared" ref="G32:K35" si="31">$F32*N32</f>
        <v>0</v>
      </c>
      <c r="H32" s="214">
        <f t="shared" si="31"/>
        <v>1326.8489999999999</v>
      </c>
      <c r="I32" s="214">
        <f t="shared" si="31"/>
        <v>3095.9809999999998</v>
      </c>
      <c r="J32" s="214">
        <f t="shared" si="31"/>
        <v>0</v>
      </c>
      <c r="K32" s="214">
        <f t="shared" si="31"/>
        <v>0</v>
      </c>
      <c r="L32" s="194">
        <f>F32-SUM(G32:K32)</f>
        <v>0</v>
      </c>
      <c r="N32" s="195"/>
      <c r="O32" s="195">
        <v>0.3</v>
      </c>
      <c r="P32" s="195">
        <v>0.7</v>
      </c>
      <c r="Q32" s="195"/>
      <c r="R32" s="195"/>
      <c r="T32" s="194">
        <f t="shared" ref="T32:T35" si="32">N32*$D32</f>
        <v>0</v>
      </c>
      <c r="U32" s="194">
        <f t="shared" ref="U32:U35" si="33">O32*$D32</f>
        <v>7.2719999999999994</v>
      </c>
      <c r="V32" s="194">
        <f t="shared" ref="V32:V35" si="34">P32*$D32</f>
        <v>16.967999999999996</v>
      </c>
      <c r="W32" s="194">
        <f t="shared" ref="W32:W35" si="35">Q32*$D32</f>
        <v>0</v>
      </c>
      <c r="X32" s="194">
        <f t="shared" ref="X32:X35" si="36">R32*$D32</f>
        <v>0</v>
      </c>
    </row>
    <row r="33" spans="1:24" x14ac:dyDescent="0.25">
      <c r="A33" s="191" t="s">
        <v>95</v>
      </c>
      <c r="B33" s="184" t="s">
        <v>159</v>
      </c>
      <c r="C33" s="185" t="s">
        <v>197</v>
      </c>
      <c r="D33" s="152">
        <v>22.63</v>
      </c>
      <c r="E33" s="131">
        <v>23.830000000000002</v>
      </c>
      <c r="F33" s="126">
        <v>539.27</v>
      </c>
      <c r="G33" s="214">
        <f t="shared" si="31"/>
        <v>0</v>
      </c>
      <c r="H33" s="214">
        <f t="shared" si="31"/>
        <v>215.708</v>
      </c>
      <c r="I33" s="214">
        <f t="shared" si="31"/>
        <v>323.56199999999995</v>
      </c>
      <c r="J33" s="214">
        <f t="shared" si="31"/>
        <v>0</v>
      </c>
      <c r="K33" s="214">
        <f t="shared" si="31"/>
        <v>0</v>
      </c>
      <c r="L33" s="194">
        <f>F33-SUM(G33:K33)</f>
        <v>0</v>
      </c>
      <c r="N33" s="195"/>
      <c r="O33" s="195">
        <v>0.4</v>
      </c>
      <c r="P33" s="195">
        <v>0.6</v>
      </c>
      <c r="Q33" s="195"/>
      <c r="R33" s="195"/>
      <c r="T33" s="194">
        <f t="shared" si="32"/>
        <v>0</v>
      </c>
      <c r="U33" s="194">
        <f t="shared" si="33"/>
        <v>9.0519999999999996</v>
      </c>
      <c r="V33" s="194">
        <f t="shared" si="34"/>
        <v>13.577999999999999</v>
      </c>
      <c r="W33" s="194">
        <f t="shared" si="35"/>
        <v>0</v>
      </c>
      <c r="X33" s="194">
        <f t="shared" si="36"/>
        <v>0</v>
      </c>
    </row>
    <row r="34" spans="1:24" x14ac:dyDescent="0.25">
      <c r="A34" s="191" t="s">
        <v>96</v>
      </c>
      <c r="B34" s="184" t="s">
        <v>160</v>
      </c>
      <c r="C34" s="185" t="s">
        <v>62</v>
      </c>
      <c r="D34" s="152">
        <v>160.54</v>
      </c>
      <c r="E34" s="131">
        <v>207.85</v>
      </c>
      <c r="F34" s="126">
        <v>33368.239999999998</v>
      </c>
      <c r="G34" s="214">
        <f t="shared" si="31"/>
        <v>33368.239999999998</v>
      </c>
      <c r="H34" s="214">
        <f t="shared" si="31"/>
        <v>0</v>
      </c>
      <c r="I34" s="214">
        <f t="shared" si="31"/>
        <v>0</v>
      </c>
      <c r="J34" s="214">
        <f t="shared" si="31"/>
        <v>0</v>
      </c>
      <c r="K34" s="214">
        <f t="shared" si="31"/>
        <v>0</v>
      </c>
      <c r="L34" s="194">
        <f>F34-SUM(G34:K34)</f>
        <v>0</v>
      </c>
      <c r="N34" s="195">
        <v>1</v>
      </c>
      <c r="O34" s="195"/>
      <c r="P34" s="195"/>
      <c r="Q34" s="195"/>
      <c r="R34" s="195"/>
      <c r="T34" s="194">
        <f t="shared" si="32"/>
        <v>160.54</v>
      </c>
      <c r="U34" s="194">
        <f t="shared" si="33"/>
        <v>0</v>
      </c>
      <c r="V34" s="194">
        <f t="shared" si="34"/>
        <v>0</v>
      </c>
      <c r="W34" s="194">
        <f t="shared" si="35"/>
        <v>0</v>
      </c>
      <c r="X34" s="194">
        <f t="shared" si="36"/>
        <v>0</v>
      </c>
    </row>
    <row r="35" spans="1:24" x14ac:dyDescent="0.25">
      <c r="A35" s="191" t="s">
        <v>97</v>
      </c>
      <c r="B35" s="184" t="s">
        <v>161</v>
      </c>
      <c r="C35" s="185" t="s">
        <v>197</v>
      </c>
      <c r="D35" s="152">
        <v>321.08</v>
      </c>
      <c r="E35" s="131">
        <v>26.53</v>
      </c>
      <c r="F35" s="126">
        <v>8518.25</v>
      </c>
      <c r="G35" s="214">
        <f t="shared" si="31"/>
        <v>8518.25</v>
      </c>
      <c r="H35" s="214">
        <f t="shared" si="31"/>
        <v>0</v>
      </c>
      <c r="I35" s="214">
        <f t="shared" si="31"/>
        <v>0</v>
      </c>
      <c r="J35" s="214">
        <f t="shared" si="31"/>
        <v>0</v>
      </c>
      <c r="K35" s="214">
        <f t="shared" si="31"/>
        <v>0</v>
      </c>
      <c r="L35" s="194">
        <f>F35-SUM(G35:K35)</f>
        <v>0</v>
      </c>
      <c r="N35" s="195">
        <v>1</v>
      </c>
      <c r="O35" s="195"/>
      <c r="P35" s="195"/>
      <c r="Q35" s="195"/>
      <c r="R35" s="195"/>
      <c r="T35" s="194">
        <f t="shared" si="32"/>
        <v>321.08</v>
      </c>
      <c r="U35" s="194">
        <f t="shared" si="33"/>
        <v>0</v>
      </c>
      <c r="V35" s="194">
        <f t="shared" si="34"/>
        <v>0</v>
      </c>
      <c r="W35" s="194">
        <f t="shared" si="35"/>
        <v>0</v>
      </c>
      <c r="X35" s="194">
        <f t="shared" si="36"/>
        <v>0</v>
      </c>
    </row>
    <row r="36" spans="1:24" x14ac:dyDescent="0.25">
      <c r="A36" s="190" t="s">
        <v>98</v>
      </c>
      <c r="B36" s="182" t="s">
        <v>162</v>
      </c>
      <c r="C36" s="185"/>
      <c r="D36" s="201"/>
      <c r="E36" s="51"/>
      <c r="F36" s="180"/>
      <c r="G36" s="213"/>
      <c r="H36" s="213"/>
      <c r="I36" s="213"/>
      <c r="J36" s="213"/>
      <c r="K36" s="213"/>
      <c r="L36" s="194"/>
      <c r="N36" s="195"/>
      <c r="O36" s="195"/>
      <c r="P36" s="195"/>
      <c r="Q36" s="195"/>
      <c r="R36" s="195"/>
    </row>
    <row r="37" spans="1:24" x14ac:dyDescent="0.25">
      <c r="A37" s="191" t="s">
        <v>99</v>
      </c>
      <c r="B37" s="184" t="s">
        <v>163</v>
      </c>
      <c r="C37" s="185" t="s">
        <v>62</v>
      </c>
      <c r="D37" s="152">
        <v>3.15</v>
      </c>
      <c r="E37" s="131">
        <v>201.22</v>
      </c>
      <c r="F37" s="126">
        <v>633.84</v>
      </c>
      <c r="G37" s="214">
        <f t="shared" ref="G37:K38" si="37">$F37*N37</f>
        <v>0</v>
      </c>
      <c r="H37" s="214">
        <f t="shared" si="37"/>
        <v>0</v>
      </c>
      <c r="I37" s="214">
        <f t="shared" si="37"/>
        <v>316.92</v>
      </c>
      <c r="J37" s="214">
        <f t="shared" si="37"/>
        <v>316.92</v>
      </c>
      <c r="K37" s="214">
        <f t="shared" si="37"/>
        <v>0</v>
      </c>
      <c r="L37" s="194">
        <f>F37-SUM(G37:K37)</f>
        <v>0</v>
      </c>
      <c r="N37" s="195"/>
      <c r="O37" s="195"/>
      <c r="P37" s="195">
        <v>0.5</v>
      </c>
      <c r="Q37" s="195">
        <v>0.5</v>
      </c>
      <c r="R37" s="195"/>
      <c r="T37" s="194">
        <f t="shared" ref="T37:T38" si="38">N37*$D37</f>
        <v>0</v>
      </c>
      <c r="U37" s="194">
        <f t="shared" ref="U37:U38" si="39">O37*$D37</f>
        <v>0</v>
      </c>
      <c r="V37" s="194">
        <f t="shared" ref="V37:V38" si="40">P37*$D37</f>
        <v>1.575</v>
      </c>
      <c r="W37" s="194">
        <f t="shared" ref="W37:W38" si="41">Q37*$D37</f>
        <v>1.575</v>
      </c>
      <c r="X37" s="194">
        <f t="shared" ref="X37:X38" si="42">R37*$D37</f>
        <v>0</v>
      </c>
    </row>
    <row r="38" spans="1:24" x14ac:dyDescent="0.25">
      <c r="A38" s="191" t="s">
        <v>100</v>
      </c>
      <c r="B38" s="184" t="s">
        <v>164</v>
      </c>
      <c r="C38" s="185" t="s">
        <v>197</v>
      </c>
      <c r="D38" s="152">
        <v>43.07</v>
      </c>
      <c r="E38" s="131">
        <v>24.18</v>
      </c>
      <c r="F38" s="126">
        <v>1041.43</v>
      </c>
      <c r="G38" s="214">
        <f t="shared" si="37"/>
        <v>0</v>
      </c>
      <c r="H38" s="214">
        <f t="shared" si="37"/>
        <v>416.57200000000006</v>
      </c>
      <c r="I38" s="214">
        <f t="shared" si="37"/>
        <v>416.57200000000006</v>
      </c>
      <c r="J38" s="214">
        <f t="shared" si="37"/>
        <v>208.28600000000003</v>
      </c>
      <c r="K38" s="214">
        <f t="shared" si="37"/>
        <v>0</v>
      </c>
      <c r="L38" s="194">
        <f>F38-SUM(G38:K38)</f>
        <v>0</v>
      </c>
      <c r="N38" s="195"/>
      <c r="O38" s="195">
        <v>0.4</v>
      </c>
      <c r="P38" s="195">
        <v>0.4</v>
      </c>
      <c r="Q38" s="195">
        <v>0.2</v>
      </c>
      <c r="R38" s="195"/>
      <c r="T38" s="194">
        <f t="shared" si="38"/>
        <v>0</v>
      </c>
      <c r="U38" s="194">
        <f t="shared" si="39"/>
        <v>17.228000000000002</v>
      </c>
      <c r="V38" s="194">
        <f t="shared" si="40"/>
        <v>17.228000000000002</v>
      </c>
      <c r="W38" s="194">
        <f t="shared" si="41"/>
        <v>8.6140000000000008</v>
      </c>
      <c r="X38" s="194">
        <f t="shared" si="42"/>
        <v>0</v>
      </c>
    </row>
    <row r="39" spans="1:24" x14ac:dyDescent="0.25">
      <c r="A39" s="190" t="s">
        <v>101</v>
      </c>
      <c r="B39" s="182" t="s">
        <v>165</v>
      </c>
      <c r="C39" s="185"/>
      <c r="D39" s="201"/>
      <c r="E39" s="51"/>
      <c r="F39" s="180"/>
      <c r="G39" s="213"/>
      <c r="H39" s="213"/>
      <c r="I39" s="213"/>
      <c r="J39" s="213"/>
      <c r="K39" s="213"/>
      <c r="L39" s="194"/>
      <c r="N39" s="195"/>
      <c r="O39" s="195"/>
      <c r="P39" s="195"/>
      <c r="Q39" s="195"/>
      <c r="R39" s="195"/>
    </row>
    <row r="40" spans="1:24" x14ac:dyDescent="0.25">
      <c r="A40" s="190" t="s">
        <v>102</v>
      </c>
      <c r="B40" s="182" t="s">
        <v>166</v>
      </c>
      <c r="C40" s="185"/>
      <c r="D40" s="201"/>
      <c r="E40" s="51"/>
      <c r="F40" s="180"/>
      <c r="G40" s="213"/>
      <c r="H40" s="213"/>
      <c r="I40" s="213"/>
      <c r="J40" s="213"/>
      <c r="K40" s="213"/>
      <c r="L40" s="194"/>
      <c r="N40" s="195"/>
      <c r="O40" s="195"/>
      <c r="P40" s="195"/>
      <c r="Q40" s="195"/>
      <c r="R40" s="195"/>
    </row>
    <row r="41" spans="1:24" x14ac:dyDescent="0.25">
      <c r="A41" s="191" t="s">
        <v>103</v>
      </c>
      <c r="B41" s="184" t="s">
        <v>167</v>
      </c>
      <c r="C41" s="185" t="s">
        <v>62</v>
      </c>
      <c r="D41" s="152">
        <v>412.62</v>
      </c>
      <c r="E41" s="131">
        <v>286.60000000000002</v>
      </c>
      <c r="F41" s="126">
        <v>118256.89</v>
      </c>
      <c r="G41" s="214">
        <f t="shared" ref="G41:K42" si="43">$F41*N41</f>
        <v>0</v>
      </c>
      <c r="H41" s="214">
        <f t="shared" si="43"/>
        <v>59128.445</v>
      </c>
      <c r="I41" s="214">
        <f t="shared" si="43"/>
        <v>59128.445</v>
      </c>
      <c r="J41" s="214">
        <f t="shared" si="43"/>
        <v>0</v>
      </c>
      <c r="K41" s="214">
        <f t="shared" si="43"/>
        <v>0</v>
      </c>
      <c r="L41" s="194">
        <f>F41-SUM(G41:K41)</f>
        <v>0</v>
      </c>
      <c r="N41" s="195"/>
      <c r="O41" s="195">
        <v>0.5</v>
      </c>
      <c r="P41" s="195">
        <v>0.5</v>
      </c>
      <c r="Q41" s="195"/>
      <c r="R41" s="195"/>
      <c r="T41" s="194">
        <f t="shared" ref="T41:T42" si="44">N41*$D41</f>
        <v>0</v>
      </c>
      <c r="U41" s="194">
        <f t="shared" ref="U41:U42" si="45">O41*$D41</f>
        <v>206.31</v>
      </c>
      <c r="V41" s="194">
        <f t="shared" ref="V41:V42" si="46">P41*$D41</f>
        <v>206.31</v>
      </c>
      <c r="W41" s="194">
        <f t="shared" ref="W41:W42" si="47">Q41*$D41</f>
        <v>0</v>
      </c>
      <c r="X41" s="194">
        <f t="shared" ref="X41:X42" si="48">R41*$D41</f>
        <v>0</v>
      </c>
    </row>
    <row r="42" spans="1:24" x14ac:dyDescent="0.25">
      <c r="A42" s="191" t="s">
        <v>104</v>
      </c>
      <c r="B42" s="184" t="s">
        <v>168</v>
      </c>
      <c r="C42" s="185" t="s">
        <v>198</v>
      </c>
      <c r="D42" s="152">
        <v>17359.560000000001</v>
      </c>
      <c r="E42" s="131">
        <v>3.4</v>
      </c>
      <c r="F42" s="126">
        <v>59022.5</v>
      </c>
      <c r="G42" s="214">
        <f t="shared" si="43"/>
        <v>0</v>
      </c>
      <c r="H42" s="214">
        <f t="shared" si="43"/>
        <v>29511.25</v>
      </c>
      <c r="I42" s="214">
        <f t="shared" si="43"/>
        <v>29511.25</v>
      </c>
      <c r="J42" s="214">
        <f t="shared" si="43"/>
        <v>0</v>
      </c>
      <c r="K42" s="214">
        <f t="shared" si="43"/>
        <v>0</v>
      </c>
      <c r="L42" s="194">
        <f>F42-SUM(G42:K42)</f>
        <v>0</v>
      </c>
      <c r="N42" s="195"/>
      <c r="O42" s="195">
        <v>0.5</v>
      </c>
      <c r="P42" s="195">
        <v>0.5</v>
      </c>
      <c r="Q42" s="195"/>
      <c r="R42" s="195"/>
      <c r="T42" s="194">
        <f t="shared" si="44"/>
        <v>0</v>
      </c>
      <c r="U42" s="194">
        <f t="shared" si="45"/>
        <v>8679.7800000000007</v>
      </c>
      <c r="V42" s="194">
        <f t="shared" si="46"/>
        <v>8679.7800000000007</v>
      </c>
      <c r="W42" s="194">
        <f t="shared" si="47"/>
        <v>0</v>
      </c>
      <c r="X42" s="194">
        <f t="shared" si="48"/>
        <v>0</v>
      </c>
    </row>
    <row r="43" spans="1:24" x14ac:dyDescent="0.25">
      <c r="A43" s="190" t="s">
        <v>105</v>
      </c>
      <c r="B43" s="182" t="s">
        <v>169</v>
      </c>
      <c r="C43" s="185"/>
      <c r="D43" s="201"/>
      <c r="E43" s="51"/>
      <c r="F43" s="180"/>
      <c r="G43" s="213"/>
      <c r="H43" s="213"/>
      <c r="I43" s="213"/>
      <c r="J43" s="213"/>
      <c r="K43" s="213"/>
      <c r="L43" s="194"/>
      <c r="N43" s="195"/>
      <c r="O43" s="195"/>
      <c r="P43" s="195"/>
      <c r="Q43" s="195"/>
      <c r="R43" s="195"/>
    </row>
    <row r="44" spans="1:24" x14ac:dyDescent="0.25">
      <c r="A44" s="191" t="s">
        <v>106</v>
      </c>
      <c r="B44" s="184" t="s">
        <v>170</v>
      </c>
      <c r="C44" s="185" t="s">
        <v>62</v>
      </c>
      <c r="D44" s="152">
        <v>6.62</v>
      </c>
      <c r="E44" s="131">
        <v>290.45</v>
      </c>
      <c r="F44" s="126">
        <v>1922.78</v>
      </c>
      <c r="G44" s="214">
        <f t="shared" ref="G44:K49" si="49">$F44*N44</f>
        <v>0</v>
      </c>
      <c r="H44" s="214">
        <f t="shared" si="49"/>
        <v>0</v>
      </c>
      <c r="I44" s="214">
        <f t="shared" si="49"/>
        <v>1153.6679999999999</v>
      </c>
      <c r="J44" s="214">
        <f t="shared" si="49"/>
        <v>769.11200000000008</v>
      </c>
      <c r="K44" s="214">
        <f t="shared" si="49"/>
        <v>0</v>
      </c>
      <c r="L44" s="194">
        <f t="shared" ref="L44:L49" si="50">F44-SUM(G44:K44)</f>
        <v>0</v>
      </c>
      <c r="N44" s="195"/>
      <c r="O44" s="195"/>
      <c r="P44" s="195">
        <v>0.6</v>
      </c>
      <c r="Q44" s="195">
        <v>0.4</v>
      </c>
      <c r="R44" s="195"/>
      <c r="T44" s="194">
        <f t="shared" ref="T44:T49" si="51">N44*$D44</f>
        <v>0</v>
      </c>
      <c r="U44" s="194">
        <f t="shared" ref="U44:U49" si="52">O44*$D44</f>
        <v>0</v>
      </c>
      <c r="V44" s="194">
        <f t="shared" ref="V44:V49" si="53">P44*$D44</f>
        <v>3.972</v>
      </c>
      <c r="W44" s="194">
        <f t="shared" ref="W44:W49" si="54">Q44*$D44</f>
        <v>2.6480000000000001</v>
      </c>
      <c r="X44" s="194">
        <f t="shared" ref="X44:X49" si="55">R44*$D44</f>
        <v>0</v>
      </c>
    </row>
    <row r="45" spans="1:24" x14ac:dyDescent="0.25">
      <c r="A45" s="191" t="s">
        <v>107</v>
      </c>
      <c r="B45" s="184" t="s">
        <v>171</v>
      </c>
      <c r="C45" s="185" t="s">
        <v>197</v>
      </c>
      <c r="D45" s="152">
        <v>73.44</v>
      </c>
      <c r="E45" s="131">
        <v>33.69</v>
      </c>
      <c r="F45" s="126">
        <v>2474.19</v>
      </c>
      <c r="G45" s="214">
        <f t="shared" si="49"/>
        <v>0</v>
      </c>
      <c r="H45" s="214">
        <f t="shared" si="49"/>
        <v>1237.095</v>
      </c>
      <c r="I45" s="214">
        <f t="shared" si="49"/>
        <v>742.25699999999995</v>
      </c>
      <c r="J45" s="214">
        <f t="shared" si="49"/>
        <v>494.83800000000002</v>
      </c>
      <c r="K45" s="214">
        <f t="shared" si="49"/>
        <v>0</v>
      </c>
      <c r="L45" s="194">
        <f t="shared" si="50"/>
        <v>0</v>
      </c>
      <c r="N45" s="195"/>
      <c r="O45" s="195">
        <v>0.5</v>
      </c>
      <c r="P45" s="195">
        <v>0.3</v>
      </c>
      <c r="Q45" s="195">
        <v>0.2</v>
      </c>
      <c r="R45" s="195"/>
      <c r="T45" s="194">
        <f t="shared" si="51"/>
        <v>0</v>
      </c>
      <c r="U45" s="194">
        <f t="shared" si="52"/>
        <v>36.72</v>
      </c>
      <c r="V45" s="194">
        <f t="shared" si="53"/>
        <v>22.032</v>
      </c>
      <c r="W45" s="194">
        <f t="shared" si="54"/>
        <v>14.688000000000001</v>
      </c>
      <c r="X45" s="194">
        <f t="shared" si="55"/>
        <v>0</v>
      </c>
    </row>
    <row r="46" spans="1:24" x14ac:dyDescent="0.25">
      <c r="A46" s="191" t="s">
        <v>108</v>
      </c>
      <c r="B46" s="184" t="s">
        <v>172</v>
      </c>
      <c r="C46" s="185" t="s">
        <v>198</v>
      </c>
      <c r="D46" s="152">
        <v>415.16</v>
      </c>
      <c r="E46" s="131">
        <v>3.4</v>
      </c>
      <c r="F46" s="126">
        <v>1411.54</v>
      </c>
      <c r="G46" s="214">
        <f t="shared" si="49"/>
        <v>0</v>
      </c>
      <c r="H46" s="214">
        <f t="shared" si="49"/>
        <v>988.07799999999986</v>
      </c>
      <c r="I46" s="214">
        <f t="shared" si="49"/>
        <v>423.46199999999999</v>
      </c>
      <c r="J46" s="214">
        <f t="shared" si="49"/>
        <v>0</v>
      </c>
      <c r="K46" s="214">
        <f t="shared" si="49"/>
        <v>0</v>
      </c>
      <c r="L46" s="194">
        <f t="shared" si="50"/>
        <v>0</v>
      </c>
      <c r="N46" s="195"/>
      <c r="O46" s="195">
        <v>0.7</v>
      </c>
      <c r="P46" s="195">
        <v>0.3</v>
      </c>
      <c r="Q46" s="195"/>
      <c r="R46" s="195"/>
      <c r="T46" s="194">
        <f t="shared" si="51"/>
        <v>0</v>
      </c>
      <c r="U46" s="194">
        <f t="shared" si="52"/>
        <v>290.61200000000002</v>
      </c>
      <c r="V46" s="194">
        <f t="shared" si="53"/>
        <v>124.548</v>
      </c>
      <c r="W46" s="194">
        <f t="shared" si="54"/>
        <v>0</v>
      </c>
      <c r="X46" s="194">
        <f t="shared" si="55"/>
        <v>0</v>
      </c>
    </row>
    <row r="47" spans="1:24" x14ac:dyDescent="0.25">
      <c r="A47" s="191" t="s">
        <v>109</v>
      </c>
      <c r="B47" s="184" t="s">
        <v>173</v>
      </c>
      <c r="C47" s="185" t="s">
        <v>62</v>
      </c>
      <c r="D47" s="152">
        <v>253.95</v>
      </c>
      <c r="E47" s="131">
        <v>328.19</v>
      </c>
      <c r="F47" s="126">
        <v>83343.850000000006</v>
      </c>
      <c r="G47" s="214">
        <f t="shared" si="49"/>
        <v>0</v>
      </c>
      <c r="H47" s="214">
        <f t="shared" si="49"/>
        <v>0</v>
      </c>
      <c r="I47" s="214">
        <f t="shared" si="49"/>
        <v>50006.310000000005</v>
      </c>
      <c r="J47" s="214">
        <f t="shared" si="49"/>
        <v>33337.54</v>
      </c>
      <c r="K47" s="214">
        <f t="shared" si="49"/>
        <v>0</v>
      </c>
      <c r="L47" s="194">
        <f t="shared" si="50"/>
        <v>0</v>
      </c>
      <c r="N47" s="195"/>
      <c r="O47" s="195"/>
      <c r="P47" s="195">
        <v>0.6</v>
      </c>
      <c r="Q47" s="195">
        <v>0.4</v>
      </c>
      <c r="R47" s="195"/>
      <c r="T47" s="194">
        <f t="shared" si="51"/>
        <v>0</v>
      </c>
      <c r="U47" s="194">
        <f t="shared" si="52"/>
        <v>0</v>
      </c>
      <c r="V47" s="194">
        <f t="shared" si="53"/>
        <v>152.36999999999998</v>
      </c>
      <c r="W47" s="194">
        <f t="shared" si="54"/>
        <v>101.58</v>
      </c>
      <c r="X47" s="194">
        <f t="shared" si="55"/>
        <v>0</v>
      </c>
    </row>
    <row r="48" spans="1:24" x14ac:dyDescent="0.25">
      <c r="A48" s="191" t="s">
        <v>110</v>
      </c>
      <c r="B48" s="184" t="s">
        <v>174</v>
      </c>
      <c r="C48" s="185" t="s">
        <v>197</v>
      </c>
      <c r="D48" s="152">
        <v>2075.23</v>
      </c>
      <c r="E48" s="131">
        <v>30.970000000000002</v>
      </c>
      <c r="F48" s="126">
        <v>64269.87</v>
      </c>
      <c r="G48" s="214">
        <f t="shared" si="49"/>
        <v>0</v>
      </c>
      <c r="H48" s="214">
        <f t="shared" si="49"/>
        <v>32134.935000000001</v>
      </c>
      <c r="I48" s="214">
        <f t="shared" si="49"/>
        <v>19280.960999999999</v>
      </c>
      <c r="J48" s="214">
        <f t="shared" si="49"/>
        <v>12853.974000000002</v>
      </c>
      <c r="K48" s="214">
        <f t="shared" si="49"/>
        <v>0</v>
      </c>
      <c r="L48" s="194">
        <f t="shared" si="50"/>
        <v>0</v>
      </c>
      <c r="N48" s="195"/>
      <c r="O48" s="195">
        <v>0.5</v>
      </c>
      <c r="P48" s="195">
        <v>0.3</v>
      </c>
      <c r="Q48" s="195">
        <v>0.2</v>
      </c>
      <c r="R48" s="195"/>
      <c r="T48" s="194">
        <f t="shared" si="51"/>
        <v>0</v>
      </c>
      <c r="U48" s="194">
        <f t="shared" si="52"/>
        <v>1037.615</v>
      </c>
      <c r="V48" s="194">
        <f t="shared" si="53"/>
        <v>622.56899999999996</v>
      </c>
      <c r="W48" s="194">
        <f t="shared" si="54"/>
        <v>415.04600000000005</v>
      </c>
      <c r="X48" s="194">
        <f t="shared" si="55"/>
        <v>0</v>
      </c>
    </row>
    <row r="49" spans="1:24" x14ac:dyDescent="0.25">
      <c r="A49" s="191" t="s">
        <v>111</v>
      </c>
      <c r="B49" s="184" t="s">
        <v>175</v>
      </c>
      <c r="C49" s="185" t="s">
        <v>199</v>
      </c>
      <c r="D49" s="152"/>
      <c r="E49" s="131"/>
      <c r="F49" s="126"/>
      <c r="G49" s="214">
        <f t="shared" si="49"/>
        <v>0</v>
      </c>
      <c r="H49" s="214">
        <f t="shared" si="49"/>
        <v>0</v>
      </c>
      <c r="I49" s="214">
        <f t="shared" si="49"/>
        <v>0</v>
      </c>
      <c r="J49" s="214">
        <f t="shared" si="49"/>
        <v>0</v>
      </c>
      <c r="K49" s="214">
        <f t="shared" si="49"/>
        <v>0</v>
      </c>
      <c r="L49" s="194">
        <f t="shared" si="50"/>
        <v>0</v>
      </c>
      <c r="N49" s="195"/>
      <c r="O49" s="195">
        <v>0.7</v>
      </c>
      <c r="P49" s="195">
        <v>0.3</v>
      </c>
      <c r="Q49" s="195"/>
      <c r="R49" s="195"/>
      <c r="T49" s="194">
        <f t="shared" si="51"/>
        <v>0</v>
      </c>
      <c r="U49" s="194">
        <f t="shared" si="52"/>
        <v>0</v>
      </c>
      <c r="V49" s="194">
        <f t="shared" si="53"/>
        <v>0</v>
      </c>
      <c r="W49" s="194">
        <f t="shared" si="54"/>
        <v>0</v>
      </c>
      <c r="X49" s="194">
        <f t="shared" si="55"/>
        <v>0</v>
      </c>
    </row>
    <row r="50" spans="1:24" x14ac:dyDescent="0.25">
      <c r="A50" s="190" t="s">
        <v>112</v>
      </c>
      <c r="B50" s="182" t="s">
        <v>176</v>
      </c>
      <c r="C50" s="185"/>
      <c r="D50" s="201"/>
      <c r="E50" s="51"/>
      <c r="F50" s="180"/>
      <c r="G50" s="213"/>
      <c r="H50" s="213"/>
      <c r="I50" s="213"/>
      <c r="J50" s="213"/>
      <c r="K50" s="213"/>
      <c r="L50" s="194"/>
      <c r="N50" s="195"/>
      <c r="O50" s="195"/>
      <c r="P50" s="195"/>
      <c r="Q50" s="195"/>
      <c r="R50" s="195"/>
    </row>
    <row r="51" spans="1:24" x14ac:dyDescent="0.25">
      <c r="A51" s="192" t="s">
        <v>113</v>
      </c>
      <c r="B51" s="186" t="s">
        <v>177</v>
      </c>
      <c r="C51" s="185" t="s">
        <v>62</v>
      </c>
      <c r="D51" s="152">
        <v>67.959999999999994</v>
      </c>
      <c r="E51" s="131">
        <v>291.23</v>
      </c>
      <c r="F51" s="126">
        <v>19791.990000000002</v>
      </c>
      <c r="G51" s="214">
        <f t="shared" ref="G51:K53" si="56">$F51*N51</f>
        <v>0</v>
      </c>
      <c r="H51" s="214">
        <f t="shared" si="56"/>
        <v>0</v>
      </c>
      <c r="I51" s="214">
        <f t="shared" si="56"/>
        <v>0</v>
      </c>
      <c r="J51" s="214">
        <f t="shared" si="56"/>
        <v>11875.194000000001</v>
      </c>
      <c r="K51" s="214">
        <f t="shared" si="56"/>
        <v>7916.7960000000012</v>
      </c>
      <c r="L51" s="194">
        <f>F51-SUM(G51:K51)</f>
        <v>0</v>
      </c>
      <c r="N51" s="195"/>
      <c r="O51" s="195"/>
      <c r="P51" s="195"/>
      <c r="Q51" s="195">
        <v>0.6</v>
      </c>
      <c r="R51" s="195">
        <v>0.4</v>
      </c>
      <c r="T51" s="194">
        <f t="shared" ref="T51:T53" si="57">N51*$D51</f>
        <v>0</v>
      </c>
      <c r="U51" s="194">
        <f t="shared" ref="U51:U53" si="58">O51*$D51</f>
        <v>0</v>
      </c>
      <c r="V51" s="194">
        <f t="shared" ref="V51:V53" si="59">P51*$D51</f>
        <v>0</v>
      </c>
      <c r="W51" s="194">
        <f t="shared" ref="W51:W53" si="60">Q51*$D51</f>
        <v>40.775999999999996</v>
      </c>
      <c r="X51" s="194">
        <f t="shared" ref="X51:X53" si="61">R51*$D51</f>
        <v>27.183999999999997</v>
      </c>
    </row>
    <row r="52" spans="1:24" x14ac:dyDescent="0.25">
      <c r="A52" s="193" t="s">
        <v>114</v>
      </c>
      <c r="B52" s="187" t="s">
        <v>178</v>
      </c>
      <c r="C52" s="185" t="s">
        <v>197</v>
      </c>
      <c r="D52" s="152">
        <v>919.41</v>
      </c>
      <c r="E52" s="131">
        <v>37.49</v>
      </c>
      <c r="F52" s="126">
        <v>34468.68</v>
      </c>
      <c r="G52" s="214">
        <f t="shared" si="56"/>
        <v>0</v>
      </c>
      <c r="H52" s="214">
        <f t="shared" si="56"/>
        <v>0</v>
      </c>
      <c r="I52" s="214">
        <f t="shared" si="56"/>
        <v>10340.603999999999</v>
      </c>
      <c r="J52" s="214">
        <f t="shared" si="56"/>
        <v>24128.075999999997</v>
      </c>
      <c r="K52" s="214">
        <f t="shared" si="56"/>
        <v>0</v>
      </c>
      <c r="L52" s="194">
        <f>F52-SUM(G52:K52)</f>
        <v>0</v>
      </c>
      <c r="N52" s="195"/>
      <c r="O52" s="195"/>
      <c r="P52" s="195">
        <v>0.3</v>
      </c>
      <c r="Q52" s="195">
        <v>0.7</v>
      </c>
      <c r="R52" s="195"/>
      <c r="T52" s="194">
        <f t="shared" si="57"/>
        <v>0</v>
      </c>
      <c r="U52" s="194">
        <f t="shared" si="58"/>
        <v>0</v>
      </c>
      <c r="V52" s="194">
        <f t="shared" si="59"/>
        <v>275.82299999999998</v>
      </c>
      <c r="W52" s="194">
        <f t="shared" si="60"/>
        <v>643.58699999999999</v>
      </c>
      <c r="X52" s="194">
        <f t="shared" si="61"/>
        <v>0</v>
      </c>
    </row>
    <row r="53" spans="1:24" x14ac:dyDescent="0.25">
      <c r="A53" s="191" t="s">
        <v>115</v>
      </c>
      <c r="B53" s="184" t="s">
        <v>179</v>
      </c>
      <c r="C53" s="185" t="s">
        <v>198</v>
      </c>
      <c r="D53" s="152">
        <v>11836.1</v>
      </c>
      <c r="E53" s="131">
        <v>3.4</v>
      </c>
      <c r="F53" s="126">
        <v>40242.74</v>
      </c>
      <c r="G53" s="214">
        <f t="shared" si="56"/>
        <v>0</v>
      </c>
      <c r="H53" s="214">
        <f t="shared" si="56"/>
        <v>0</v>
      </c>
      <c r="I53" s="214">
        <f t="shared" si="56"/>
        <v>24145.643999999997</v>
      </c>
      <c r="J53" s="214">
        <f t="shared" si="56"/>
        <v>16097.096</v>
      </c>
      <c r="K53" s="214">
        <f t="shared" si="56"/>
        <v>0</v>
      </c>
      <c r="L53" s="194">
        <f>F53-SUM(G53:K53)</f>
        <v>0</v>
      </c>
      <c r="N53" s="195"/>
      <c r="O53" s="195"/>
      <c r="P53" s="195">
        <v>0.6</v>
      </c>
      <c r="Q53" s="195">
        <v>0.4</v>
      </c>
      <c r="R53" s="195"/>
      <c r="T53" s="194">
        <f t="shared" si="57"/>
        <v>0</v>
      </c>
      <c r="U53" s="194">
        <f t="shared" si="58"/>
        <v>0</v>
      </c>
      <c r="V53" s="194">
        <f t="shared" si="59"/>
        <v>7101.66</v>
      </c>
      <c r="W53" s="194">
        <f t="shared" si="60"/>
        <v>4734.4400000000005</v>
      </c>
      <c r="X53" s="194">
        <f t="shared" si="61"/>
        <v>0</v>
      </c>
    </row>
    <row r="54" spans="1:24" x14ac:dyDescent="0.25">
      <c r="A54" s="190" t="s">
        <v>116</v>
      </c>
      <c r="B54" s="182" t="s">
        <v>180</v>
      </c>
      <c r="C54" s="185"/>
      <c r="D54" s="201"/>
      <c r="E54" s="51"/>
      <c r="F54" s="180"/>
      <c r="G54" s="213"/>
      <c r="H54" s="213"/>
      <c r="I54" s="213"/>
      <c r="J54" s="213"/>
      <c r="K54" s="213"/>
      <c r="L54" s="194"/>
      <c r="N54" s="195"/>
      <c r="O54" s="195"/>
      <c r="P54" s="195"/>
      <c r="Q54" s="195"/>
      <c r="R54" s="195"/>
    </row>
    <row r="55" spans="1:24" x14ac:dyDescent="0.25">
      <c r="A55" s="191" t="s">
        <v>117</v>
      </c>
      <c r="B55" s="184" t="s">
        <v>181</v>
      </c>
      <c r="C55" s="185" t="s">
        <v>62</v>
      </c>
      <c r="D55" s="152">
        <v>36.840000000000003</v>
      </c>
      <c r="E55" s="131">
        <v>294.5</v>
      </c>
      <c r="F55" s="126">
        <v>10849.38</v>
      </c>
      <c r="G55" s="214">
        <f t="shared" ref="G55:K57" si="62">$F55*N55</f>
        <v>0</v>
      </c>
      <c r="H55" s="214">
        <f t="shared" si="62"/>
        <v>0</v>
      </c>
      <c r="I55" s="214">
        <f t="shared" si="62"/>
        <v>0</v>
      </c>
      <c r="J55" s="214">
        <f t="shared" si="62"/>
        <v>6509.6279999999997</v>
      </c>
      <c r="K55" s="214">
        <f t="shared" si="62"/>
        <v>4339.7519999999995</v>
      </c>
      <c r="L55" s="194">
        <f>F55-SUM(G55:K55)</f>
        <v>0</v>
      </c>
      <c r="N55" s="195"/>
      <c r="O55" s="195"/>
      <c r="P55" s="195"/>
      <c r="Q55" s="195">
        <v>0.6</v>
      </c>
      <c r="R55" s="195">
        <v>0.4</v>
      </c>
      <c r="T55" s="194">
        <f t="shared" ref="T55:T57" si="63">N55*$D55</f>
        <v>0</v>
      </c>
      <c r="U55" s="194">
        <f t="shared" ref="U55:U57" si="64">O55*$D55</f>
        <v>0</v>
      </c>
      <c r="V55" s="194">
        <f t="shared" ref="V55:V57" si="65">P55*$D55</f>
        <v>0</v>
      </c>
      <c r="W55" s="194">
        <f t="shared" ref="W55:W57" si="66">Q55*$D55</f>
        <v>22.104000000000003</v>
      </c>
      <c r="X55" s="194">
        <f t="shared" ref="X55:X57" si="67">R55*$D55</f>
        <v>14.736000000000002</v>
      </c>
    </row>
    <row r="56" spans="1:24" x14ac:dyDescent="0.25">
      <c r="A56" s="191" t="s">
        <v>118</v>
      </c>
      <c r="B56" s="184" t="s">
        <v>182</v>
      </c>
      <c r="C56" s="185" t="s">
        <v>197</v>
      </c>
      <c r="D56" s="152">
        <v>556.13</v>
      </c>
      <c r="E56" s="131">
        <v>43.56</v>
      </c>
      <c r="F56" s="126">
        <v>24225.02</v>
      </c>
      <c r="G56" s="214">
        <f t="shared" si="62"/>
        <v>0</v>
      </c>
      <c r="H56" s="214">
        <f t="shared" si="62"/>
        <v>0</v>
      </c>
      <c r="I56" s="214">
        <f t="shared" si="62"/>
        <v>7267.5060000000003</v>
      </c>
      <c r="J56" s="214">
        <f t="shared" si="62"/>
        <v>16957.513999999999</v>
      </c>
      <c r="K56" s="214">
        <f t="shared" si="62"/>
        <v>0</v>
      </c>
      <c r="L56" s="194">
        <f>F56-SUM(G56:K56)</f>
        <v>0</v>
      </c>
      <c r="N56" s="195"/>
      <c r="O56" s="195"/>
      <c r="P56" s="195">
        <v>0.3</v>
      </c>
      <c r="Q56" s="195">
        <v>0.7</v>
      </c>
      <c r="R56" s="195"/>
      <c r="T56" s="194">
        <f t="shared" si="63"/>
        <v>0</v>
      </c>
      <c r="U56" s="194">
        <f t="shared" si="64"/>
        <v>0</v>
      </c>
      <c r="V56" s="194">
        <f t="shared" si="65"/>
        <v>166.839</v>
      </c>
      <c r="W56" s="194">
        <f t="shared" si="66"/>
        <v>389.291</v>
      </c>
      <c r="X56" s="194">
        <f t="shared" si="67"/>
        <v>0</v>
      </c>
    </row>
    <row r="57" spans="1:24" x14ac:dyDescent="0.25">
      <c r="A57" s="191" t="s">
        <v>119</v>
      </c>
      <c r="B57" s="184" t="s">
        <v>183</v>
      </c>
      <c r="C57" s="185" t="s">
        <v>198</v>
      </c>
      <c r="D57" s="152">
        <v>5247.49</v>
      </c>
      <c r="E57" s="131">
        <v>3.4</v>
      </c>
      <c r="F57" s="126">
        <v>17841.47</v>
      </c>
      <c r="G57" s="214">
        <f t="shared" si="62"/>
        <v>0</v>
      </c>
      <c r="H57" s="214">
        <f t="shared" si="62"/>
        <v>0</v>
      </c>
      <c r="I57" s="214">
        <f t="shared" si="62"/>
        <v>10704.882</v>
      </c>
      <c r="J57" s="214">
        <f t="shared" si="62"/>
        <v>7136.5880000000006</v>
      </c>
      <c r="K57" s="214">
        <f t="shared" si="62"/>
        <v>0</v>
      </c>
      <c r="L57" s="194">
        <f>F57-SUM(G57:K57)</f>
        <v>0</v>
      </c>
      <c r="N57" s="195"/>
      <c r="O57" s="195"/>
      <c r="P57" s="195">
        <v>0.6</v>
      </c>
      <c r="Q57" s="195">
        <v>0.4</v>
      </c>
      <c r="R57" s="195"/>
      <c r="T57" s="194">
        <f t="shared" si="63"/>
        <v>0</v>
      </c>
      <c r="U57" s="194">
        <f t="shared" si="64"/>
        <v>0</v>
      </c>
      <c r="V57" s="194">
        <f t="shared" si="65"/>
        <v>3148.4939999999997</v>
      </c>
      <c r="W57" s="194">
        <f t="shared" si="66"/>
        <v>2098.9960000000001</v>
      </c>
      <c r="X57" s="194">
        <f t="shared" si="67"/>
        <v>0</v>
      </c>
    </row>
    <row r="58" spans="1:24" x14ac:dyDescent="0.25">
      <c r="A58" s="190" t="s">
        <v>120</v>
      </c>
      <c r="B58" s="182" t="s">
        <v>184</v>
      </c>
      <c r="C58" s="185"/>
      <c r="D58" s="201"/>
      <c r="E58" s="51"/>
      <c r="F58" s="20"/>
      <c r="G58" s="213"/>
      <c r="H58" s="213"/>
      <c r="I58" s="213"/>
      <c r="J58" s="213"/>
      <c r="K58" s="213"/>
      <c r="L58" s="194"/>
      <c r="N58" s="195"/>
      <c r="O58" s="195"/>
      <c r="P58" s="195"/>
      <c r="Q58" s="195"/>
      <c r="R58" s="195"/>
    </row>
    <row r="59" spans="1:24" x14ac:dyDescent="0.25">
      <c r="A59" s="191" t="s">
        <v>121</v>
      </c>
      <c r="B59" s="184" t="s">
        <v>185</v>
      </c>
      <c r="C59" s="185" t="s">
        <v>20</v>
      </c>
      <c r="D59" s="152">
        <v>0.63</v>
      </c>
      <c r="E59" s="131">
        <v>325.93</v>
      </c>
      <c r="F59" s="126">
        <v>205.34</v>
      </c>
      <c r="G59" s="214">
        <f t="shared" ref="G59:K61" si="68">$F59*N59</f>
        <v>0</v>
      </c>
      <c r="H59" s="214">
        <f t="shared" si="68"/>
        <v>0</v>
      </c>
      <c r="I59" s="214">
        <f t="shared" si="68"/>
        <v>0</v>
      </c>
      <c r="J59" s="214">
        <f t="shared" si="68"/>
        <v>123.20399999999999</v>
      </c>
      <c r="K59" s="214">
        <f t="shared" si="68"/>
        <v>82.13600000000001</v>
      </c>
      <c r="L59" s="194">
        <f>F59-SUM(G59:K59)</f>
        <v>0</v>
      </c>
      <c r="N59" s="195"/>
      <c r="O59" s="195"/>
      <c r="P59" s="195"/>
      <c r="Q59" s="195">
        <v>0.6</v>
      </c>
      <c r="R59" s="195">
        <v>0.4</v>
      </c>
      <c r="T59" s="194">
        <f t="shared" ref="T59:T61" si="69">N59*$D59</f>
        <v>0</v>
      </c>
      <c r="U59" s="194">
        <f t="shared" ref="U59:U61" si="70">O59*$D59</f>
        <v>0</v>
      </c>
      <c r="V59" s="194">
        <f t="shared" ref="V59:V61" si="71">P59*$D59</f>
        <v>0</v>
      </c>
      <c r="W59" s="194">
        <f t="shared" ref="W59:W61" si="72">Q59*$D59</f>
        <v>0.378</v>
      </c>
      <c r="X59" s="194">
        <f t="shared" ref="X59:X61" si="73">R59*$D59</f>
        <v>0.252</v>
      </c>
    </row>
    <row r="60" spans="1:24" x14ac:dyDescent="0.25">
      <c r="A60" s="191" t="s">
        <v>122</v>
      </c>
      <c r="B60" s="184" t="s">
        <v>186</v>
      </c>
      <c r="C60" s="185" t="s">
        <v>197</v>
      </c>
      <c r="D60" s="152">
        <v>6.54</v>
      </c>
      <c r="E60" s="131">
        <v>55.43</v>
      </c>
      <c r="F60" s="126">
        <v>362.51</v>
      </c>
      <c r="G60" s="214">
        <f t="shared" si="68"/>
        <v>0</v>
      </c>
      <c r="H60" s="214">
        <f t="shared" si="68"/>
        <v>0</v>
      </c>
      <c r="I60" s="214">
        <f t="shared" si="68"/>
        <v>108.753</v>
      </c>
      <c r="J60" s="214">
        <f t="shared" si="68"/>
        <v>253.75699999999998</v>
      </c>
      <c r="K60" s="214">
        <f t="shared" si="68"/>
        <v>0</v>
      </c>
      <c r="L60" s="194">
        <f>F60-SUM(G60:K60)</f>
        <v>0</v>
      </c>
      <c r="N60" s="195"/>
      <c r="O60" s="195"/>
      <c r="P60" s="195">
        <v>0.3</v>
      </c>
      <c r="Q60" s="195">
        <v>0.7</v>
      </c>
      <c r="R60" s="195"/>
      <c r="T60" s="194">
        <f t="shared" si="69"/>
        <v>0</v>
      </c>
      <c r="U60" s="194">
        <f t="shared" si="70"/>
        <v>0</v>
      </c>
      <c r="V60" s="194">
        <f t="shared" si="71"/>
        <v>1.962</v>
      </c>
      <c r="W60" s="194">
        <f t="shared" si="72"/>
        <v>4.5779999999999994</v>
      </c>
      <c r="X60" s="194">
        <f t="shared" si="73"/>
        <v>0</v>
      </c>
    </row>
    <row r="61" spans="1:24" x14ac:dyDescent="0.25">
      <c r="A61" s="191" t="s">
        <v>123</v>
      </c>
      <c r="B61" s="184" t="s">
        <v>187</v>
      </c>
      <c r="C61" s="185" t="s">
        <v>198</v>
      </c>
      <c r="D61" s="152">
        <v>73.150000000000006</v>
      </c>
      <c r="E61" s="131">
        <v>4.0200000000000005</v>
      </c>
      <c r="F61" s="126">
        <v>294.06</v>
      </c>
      <c r="G61" s="214">
        <f t="shared" si="68"/>
        <v>0</v>
      </c>
      <c r="H61" s="214">
        <f t="shared" si="68"/>
        <v>0</v>
      </c>
      <c r="I61" s="214">
        <f t="shared" si="68"/>
        <v>176.43600000000001</v>
      </c>
      <c r="J61" s="214">
        <f t="shared" si="68"/>
        <v>117.62400000000001</v>
      </c>
      <c r="K61" s="214">
        <f t="shared" si="68"/>
        <v>0</v>
      </c>
      <c r="L61" s="194">
        <f>F61-SUM(G61:K61)</f>
        <v>0</v>
      </c>
      <c r="N61" s="195"/>
      <c r="O61" s="195"/>
      <c r="P61" s="195">
        <v>0.6</v>
      </c>
      <c r="Q61" s="195">
        <v>0.4</v>
      </c>
      <c r="R61" s="195"/>
      <c r="T61" s="194">
        <f t="shared" si="69"/>
        <v>0</v>
      </c>
      <c r="U61" s="194">
        <f t="shared" si="70"/>
        <v>0</v>
      </c>
      <c r="V61" s="194">
        <f t="shared" si="71"/>
        <v>43.89</v>
      </c>
      <c r="W61" s="194">
        <f t="shared" si="72"/>
        <v>29.260000000000005</v>
      </c>
      <c r="X61" s="194">
        <f t="shared" si="73"/>
        <v>0</v>
      </c>
    </row>
    <row r="62" spans="1:24" x14ac:dyDescent="0.25">
      <c r="A62" s="190" t="s">
        <v>124</v>
      </c>
      <c r="B62" s="182" t="s">
        <v>188</v>
      </c>
      <c r="C62" s="185"/>
      <c r="D62" s="201"/>
      <c r="E62" s="51"/>
      <c r="F62" s="180"/>
      <c r="G62" s="213"/>
      <c r="H62" s="213"/>
      <c r="I62" s="213"/>
      <c r="J62" s="213"/>
      <c r="K62" s="213"/>
      <c r="L62" s="194"/>
      <c r="N62" s="195"/>
      <c r="O62" s="195"/>
      <c r="P62" s="195"/>
      <c r="Q62" s="195"/>
      <c r="R62" s="195"/>
    </row>
    <row r="63" spans="1:24" x14ac:dyDescent="0.25">
      <c r="A63" s="191" t="s">
        <v>125</v>
      </c>
      <c r="B63" s="184" t="s">
        <v>189</v>
      </c>
      <c r="C63" s="185" t="s">
        <v>62</v>
      </c>
      <c r="D63" s="152">
        <v>2.17</v>
      </c>
      <c r="E63" s="131">
        <v>294.5</v>
      </c>
      <c r="F63" s="126">
        <v>639.07000000000005</v>
      </c>
      <c r="G63" s="214">
        <f t="shared" ref="G63:K66" si="74">$F63*N63</f>
        <v>0</v>
      </c>
      <c r="H63" s="214">
        <f t="shared" si="74"/>
        <v>0</v>
      </c>
      <c r="I63" s="214">
        <f t="shared" si="74"/>
        <v>0</v>
      </c>
      <c r="J63" s="214">
        <f t="shared" si="74"/>
        <v>383.44200000000001</v>
      </c>
      <c r="K63" s="214">
        <f t="shared" si="74"/>
        <v>255.62800000000004</v>
      </c>
      <c r="L63" s="194">
        <f>F63-SUM(G63:K63)</f>
        <v>0</v>
      </c>
      <c r="N63" s="195"/>
      <c r="O63" s="195"/>
      <c r="P63" s="195"/>
      <c r="Q63" s="195">
        <v>0.6</v>
      </c>
      <c r="R63" s="195">
        <v>0.4</v>
      </c>
      <c r="T63" s="194">
        <f t="shared" ref="T63:T66" si="75">N63*$D63</f>
        <v>0</v>
      </c>
      <c r="U63" s="194">
        <f t="shared" ref="U63:U66" si="76">O63*$D63</f>
        <v>0</v>
      </c>
      <c r="V63" s="194">
        <f t="shared" ref="V63:V66" si="77">P63*$D63</f>
        <v>0</v>
      </c>
      <c r="W63" s="194">
        <f t="shared" ref="W63:W66" si="78">Q63*$D63</f>
        <v>1.3019999999999998</v>
      </c>
      <c r="X63" s="194">
        <f t="shared" ref="X63:X66" si="79">R63*$D63</f>
        <v>0.86799999999999999</v>
      </c>
    </row>
    <row r="64" spans="1:24" x14ac:dyDescent="0.25">
      <c r="A64" s="191" t="s">
        <v>126</v>
      </c>
      <c r="B64" s="184" t="s">
        <v>190</v>
      </c>
      <c r="C64" s="185" t="s">
        <v>197</v>
      </c>
      <c r="D64" s="152">
        <v>25.21</v>
      </c>
      <c r="E64" s="131">
        <v>25.75</v>
      </c>
      <c r="F64" s="126">
        <v>649.16</v>
      </c>
      <c r="G64" s="214">
        <f t="shared" si="74"/>
        <v>0</v>
      </c>
      <c r="H64" s="214">
        <f t="shared" si="74"/>
        <v>0</v>
      </c>
      <c r="I64" s="214">
        <f t="shared" si="74"/>
        <v>194.74799999999999</v>
      </c>
      <c r="J64" s="214">
        <f t="shared" si="74"/>
        <v>454.41199999999992</v>
      </c>
      <c r="K64" s="214">
        <f t="shared" si="74"/>
        <v>0</v>
      </c>
      <c r="L64" s="194">
        <f>F64-SUM(G64:K64)</f>
        <v>0</v>
      </c>
      <c r="N64" s="195"/>
      <c r="O64" s="195"/>
      <c r="P64" s="195">
        <v>0.3</v>
      </c>
      <c r="Q64" s="195">
        <v>0.7</v>
      </c>
      <c r="R64" s="195"/>
      <c r="T64" s="194">
        <f t="shared" si="75"/>
        <v>0</v>
      </c>
      <c r="U64" s="194">
        <f t="shared" si="76"/>
        <v>0</v>
      </c>
      <c r="V64" s="194">
        <f t="shared" si="77"/>
        <v>7.5629999999999997</v>
      </c>
      <c r="W64" s="194">
        <f t="shared" si="78"/>
        <v>17.646999999999998</v>
      </c>
      <c r="X64" s="194">
        <f t="shared" si="79"/>
        <v>0</v>
      </c>
    </row>
    <row r="65" spans="1:24" x14ac:dyDescent="0.25">
      <c r="A65" s="191" t="s">
        <v>127</v>
      </c>
      <c r="B65" s="184" t="s">
        <v>191</v>
      </c>
      <c r="C65" s="185" t="s">
        <v>198</v>
      </c>
      <c r="D65" s="152">
        <v>95.81</v>
      </c>
      <c r="E65" s="131">
        <v>3.4</v>
      </c>
      <c r="F65" s="126">
        <v>325.75</v>
      </c>
      <c r="G65" s="214">
        <f t="shared" si="74"/>
        <v>0</v>
      </c>
      <c r="H65" s="214">
        <f t="shared" si="74"/>
        <v>0</v>
      </c>
      <c r="I65" s="214">
        <f t="shared" si="74"/>
        <v>195.45</v>
      </c>
      <c r="J65" s="214">
        <f t="shared" si="74"/>
        <v>130.30000000000001</v>
      </c>
      <c r="K65" s="214">
        <f t="shared" si="74"/>
        <v>0</v>
      </c>
      <c r="L65" s="194">
        <f>F65-SUM(G65:K65)</f>
        <v>0</v>
      </c>
      <c r="N65" s="195"/>
      <c r="O65" s="195"/>
      <c r="P65" s="195">
        <v>0.6</v>
      </c>
      <c r="Q65" s="195">
        <v>0.4</v>
      </c>
      <c r="R65" s="195"/>
      <c r="T65" s="194">
        <f t="shared" si="75"/>
        <v>0</v>
      </c>
      <c r="U65" s="194">
        <f t="shared" si="76"/>
        <v>0</v>
      </c>
      <c r="V65" s="194">
        <f t="shared" si="77"/>
        <v>57.485999999999997</v>
      </c>
      <c r="W65" s="194">
        <f t="shared" si="78"/>
        <v>38.324000000000005</v>
      </c>
      <c r="X65" s="194">
        <f t="shared" si="79"/>
        <v>0</v>
      </c>
    </row>
    <row r="66" spans="1:24" x14ac:dyDescent="0.25">
      <c r="A66" s="191" t="s">
        <v>128</v>
      </c>
      <c r="B66" s="184" t="s">
        <v>192</v>
      </c>
      <c r="C66" s="185" t="s">
        <v>200</v>
      </c>
      <c r="D66" s="152">
        <v>210.04</v>
      </c>
      <c r="E66" s="131">
        <v>2.39</v>
      </c>
      <c r="F66" s="126">
        <v>502</v>
      </c>
      <c r="G66" s="214">
        <f t="shared" si="74"/>
        <v>0</v>
      </c>
      <c r="H66" s="214">
        <f t="shared" si="74"/>
        <v>0</v>
      </c>
      <c r="I66" s="214">
        <f t="shared" si="74"/>
        <v>150.6</v>
      </c>
      <c r="J66" s="214">
        <f t="shared" si="74"/>
        <v>351.4</v>
      </c>
      <c r="K66" s="214">
        <f t="shared" si="74"/>
        <v>0</v>
      </c>
      <c r="L66" s="194">
        <f>F66-SUM(G66:K66)</f>
        <v>0</v>
      </c>
      <c r="N66" s="195"/>
      <c r="O66" s="195"/>
      <c r="P66" s="195">
        <v>0.3</v>
      </c>
      <c r="Q66" s="195">
        <v>0.7</v>
      </c>
      <c r="R66" s="195"/>
      <c r="T66" s="194">
        <f t="shared" si="75"/>
        <v>0</v>
      </c>
      <c r="U66" s="194">
        <f t="shared" si="76"/>
        <v>0</v>
      </c>
      <c r="V66" s="194">
        <f t="shared" si="77"/>
        <v>63.011999999999993</v>
      </c>
      <c r="W66" s="194">
        <f t="shared" si="78"/>
        <v>147.02799999999999</v>
      </c>
      <c r="X66" s="194">
        <f t="shared" si="79"/>
        <v>0</v>
      </c>
    </row>
    <row r="67" spans="1:24" x14ac:dyDescent="0.25">
      <c r="A67" s="190" t="s">
        <v>129</v>
      </c>
      <c r="B67" s="182" t="s">
        <v>193</v>
      </c>
      <c r="C67" s="185"/>
      <c r="D67" s="201"/>
      <c r="E67" s="51"/>
      <c r="F67" s="180"/>
      <c r="G67" s="213"/>
      <c r="H67" s="213"/>
      <c r="I67" s="213"/>
      <c r="J67" s="213"/>
      <c r="K67" s="213"/>
      <c r="L67" s="194"/>
      <c r="N67" s="195"/>
      <c r="O67" s="195"/>
      <c r="P67" s="195"/>
      <c r="Q67" s="195"/>
      <c r="R67" s="195"/>
    </row>
    <row r="68" spans="1:24" x14ac:dyDescent="0.25">
      <c r="A68" s="191" t="s">
        <v>130</v>
      </c>
      <c r="B68" s="184" t="s">
        <v>194</v>
      </c>
      <c r="C68" s="146" t="s">
        <v>197</v>
      </c>
      <c r="D68" s="152">
        <v>12.56</v>
      </c>
      <c r="E68" s="131">
        <v>59.800000000000004</v>
      </c>
      <c r="F68" s="126">
        <v>751.09</v>
      </c>
      <c r="G68" s="214">
        <f t="shared" ref="G68:K70" si="80">$F68*N68</f>
        <v>0</v>
      </c>
      <c r="H68" s="214">
        <f t="shared" si="80"/>
        <v>0</v>
      </c>
      <c r="I68" s="214">
        <f t="shared" si="80"/>
        <v>0</v>
      </c>
      <c r="J68" s="214">
        <f t="shared" si="80"/>
        <v>450.654</v>
      </c>
      <c r="K68" s="214">
        <f t="shared" si="80"/>
        <v>300.43600000000004</v>
      </c>
      <c r="L68" s="194">
        <f>F68-SUM(G68:K68)</f>
        <v>0</v>
      </c>
      <c r="N68" s="195"/>
      <c r="O68" s="195"/>
      <c r="P68" s="195"/>
      <c r="Q68" s="195">
        <v>0.6</v>
      </c>
      <c r="R68" s="195">
        <v>0.4</v>
      </c>
      <c r="T68" s="194">
        <f t="shared" ref="T68:T70" si="81">N68*$D68</f>
        <v>0</v>
      </c>
      <c r="U68" s="194">
        <f t="shared" ref="U68:U70" si="82">O68*$D68</f>
        <v>0</v>
      </c>
      <c r="V68" s="194">
        <f t="shared" ref="V68:V70" si="83">P68*$D68</f>
        <v>0</v>
      </c>
      <c r="W68" s="194">
        <f t="shared" ref="W68:W70" si="84">Q68*$D68</f>
        <v>7.5359999999999996</v>
      </c>
      <c r="X68" s="194">
        <f t="shared" ref="X68:X70" si="85">R68*$D68</f>
        <v>5.0240000000000009</v>
      </c>
    </row>
    <row r="69" spans="1:24" x14ac:dyDescent="0.25">
      <c r="A69" s="191" t="s">
        <v>131</v>
      </c>
      <c r="B69" s="184" t="s">
        <v>195</v>
      </c>
      <c r="C69" s="146" t="s">
        <v>197</v>
      </c>
      <c r="D69" s="152">
        <v>7.1</v>
      </c>
      <c r="E69" s="131">
        <v>27.36</v>
      </c>
      <c r="F69" s="126">
        <v>194.26</v>
      </c>
      <c r="G69" s="214">
        <f t="shared" si="80"/>
        <v>0</v>
      </c>
      <c r="H69" s="214">
        <f t="shared" si="80"/>
        <v>0</v>
      </c>
      <c r="I69" s="214">
        <f t="shared" si="80"/>
        <v>58.277999999999992</v>
      </c>
      <c r="J69" s="214">
        <f t="shared" si="80"/>
        <v>135.98199999999997</v>
      </c>
      <c r="K69" s="214">
        <f t="shared" si="80"/>
        <v>0</v>
      </c>
      <c r="L69" s="194">
        <f>F69-SUM(G69:K69)</f>
        <v>0</v>
      </c>
      <c r="N69" s="195"/>
      <c r="O69" s="195"/>
      <c r="P69" s="195">
        <v>0.3</v>
      </c>
      <c r="Q69" s="195">
        <v>0.7</v>
      </c>
      <c r="R69" s="195"/>
      <c r="T69" s="194">
        <f t="shared" si="81"/>
        <v>0</v>
      </c>
      <c r="U69" s="194">
        <f t="shared" si="82"/>
        <v>0</v>
      </c>
      <c r="V69" s="194">
        <f t="shared" si="83"/>
        <v>2.13</v>
      </c>
      <c r="W69" s="194">
        <f t="shared" si="84"/>
        <v>4.97</v>
      </c>
      <c r="X69" s="194">
        <f t="shared" si="85"/>
        <v>0</v>
      </c>
    </row>
    <row r="70" spans="1:24" x14ac:dyDescent="0.25">
      <c r="A70" s="192" t="s">
        <v>132</v>
      </c>
      <c r="B70" s="186" t="s">
        <v>196</v>
      </c>
      <c r="C70" s="146" t="s">
        <v>199</v>
      </c>
      <c r="D70" s="152">
        <v>84.67</v>
      </c>
      <c r="E70" s="131">
        <v>3.4</v>
      </c>
      <c r="F70" s="132">
        <v>287.88</v>
      </c>
      <c r="G70" s="216">
        <f t="shared" si="80"/>
        <v>0</v>
      </c>
      <c r="H70" s="216">
        <f t="shared" si="80"/>
        <v>0</v>
      </c>
      <c r="I70" s="216">
        <f t="shared" si="80"/>
        <v>86.36399999999999</v>
      </c>
      <c r="J70" s="216">
        <f t="shared" si="80"/>
        <v>201.51599999999999</v>
      </c>
      <c r="K70" s="216">
        <f t="shared" si="80"/>
        <v>0</v>
      </c>
      <c r="L70" s="194">
        <f>F70-SUM(G70:K70)</f>
        <v>0</v>
      </c>
      <c r="N70" s="195"/>
      <c r="O70" s="195"/>
      <c r="P70" s="195">
        <v>0.3</v>
      </c>
      <c r="Q70" s="195">
        <v>0.7</v>
      </c>
      <c r="R70" s="195"/>
      <c r="T70" s="194">
        <f t="shared" si="81"/>
        <v>0</v>
      </c>
      <c r="U70" s="194">
        <f t="shared" si="82"/>
        <v>0</v>
      </c>
      <c r="V70" s="194">
        <f t="shared" si="83"/>
        <v>25.401</v>
      </c>
      <c r="W70" s="194">
        <f t="shared" si="84"/>
        <v>59.268999999999998</v>
      </c>
      <c r="X70" s="194">
        <f t="shared" si="85"/>
        <v>0</v>
      </c>
    </row>
    <row r="71" spans="1:24" x14ac:dyDescent="0.25">
      <c r="A71" s="25"/>
      <c r="B71" s="21" t="s">
        <v>21</v>
      </c>
      <c r="C71" s="25"/>
      <c r="D71" s="153"/>
      <c r="E71" s="7"/>
      <c r="F71" s="203">
        <f>SUM(F7:F70)</f>
        <v>696708.04999999993</v>
      </c>
      <c r="G71" s="203">
        <f>SUM(G7:G70)</f>
        <v>97671.789999999979</v>
      </c>
      <c r="H71" s="203">
        <f>SUM(H7:H70)</f>
        <v>202909.019</v>
      </c>
      <c r="I71" s="203">
        <f t="shared" ref="I71:K71" si="86">SUM(I7:I70)</f>
        <v>248427.68</v>
      </c>
      <c r="J71" s="203">
        <f t="shared" si="86"/>
        <v>134166.21300000002</v>
      </c>
      <c r="K71" s="203">
        <f t="shared" si="86"/>
        <v>13533.348000000002</v>
      </c>
      <c r="L71" s="194"/>
    </row>
    <row r="72" spans="1:24" x14ac:dyDescent="0.25">
      <c r="A72" s="78"/>
      <c r="B72" s="79" t="s">
        <v>51</v>
      </c>
      <c r="C72" s="78"/>
      <c r="D72" s="202"/>
      <c r="E72" s="40"/>
      <c r="F72" s="209">
        <f>F71*0.15</f>
        <v>104506.20749999999</v>
      </c>
      <c r="G72" s="204">
        <f t="shared" ref="G72:K72" si="87">G71*0.15</f>
        <v>14650.768499999996</v>
      </c>
      <c r="H72" s="204">
        <f t="shared" si="87"/>
        <v>30436.352849999999</v>
      </c>
      <c r="I72" s="204">
        <f t="shared" si="87"/>
        <v>37264.151999999995</v>
      </c>
      <c r="J72" s="204">
        <f t="shared" si="87"/>
        <v>20124.931950000002</v>
      </c>
      <c r="K72" s="204">
        <f t="shared" si="87"/>
        <v>2030.0022000000001</v>
      </c>
      <c r="L72" s="194"/>
    </row>
    <row r="73" spans="1:24" x14ac:dyDescent="0.25">
      <c r="A73" s="78"/>
      <c r="B73" s="79" t="s">
        <v>206</v>
      </c>
      <c r="C73" s="78"/>
      <c r="D73" s="202"/>
      <c r="E73" s="40"/>
      <c r="F73" s="209">
        <f>F71*0.05</f>
        <v>34835.402499999997</v>
      </c>
      <c r="G73" s="204">
        <f t="shared" ref="G73:K73" si="88">G71*0.05</f>
        <v>4883.5894999999991</v>
      </c>
      <c r="H73" s="204">
        <f t="shared" si="88"/>
        <v>10145.45095</v>
      </c>
      <c r="I73" s="204">
        <f t="shared" si="88"/>
        <v>12421.384</v>
      </c>
      <c r="J73" s="204">
        <f t="shared" si="88"/>
        <v>6708.3106500000013</v>
      </c>
      <c r="K73" s="204">
        <f t="shared" si="88"/>
        <v>676.66740000000016</v>
      </c>
      <c r="L73" s="194"/>
    </row>
    <row r="74" spans="1:24" x14ac:dyDescent="0.25">
      <c r="A74" s="38"/>
      <c r="B74" s="74" t="s">
        <v>53</v>
      </c>
      <c r="C74" s="38"/>
      <c r="D74" s="155"/>
      <c r="E74" s="39"/>
      <c r="F74" s="205">
        <f>SUM(F71:F73)</f>
        <v>836049.65999999992</v>
      </c>
      <c r="G74" s="205">
        <f t="shared" ref="G74:K74" si="89">SUM(G71:G73)</f>
        <v>117206.14799999997</v>
      </c>
      <c r="H74" s="205">
        <f t="shared" si="89"/>
        <v>243490.82279999999</v>
      </c>
      <c r="I74" s="205">
        <f t="shared" si="89"/>
        <v>298113.21600000001</v>
      </c>
      <c r="J74" s="205">
        <f t="shared" si="89"/>
        <v>160999.45560000002</v>
      </c>
      <c r="K74" s="205">
        <f t="shared" si="89"/>
        <v>16240.017600000003</v>
      </c>
      <c r="L74" s="194"/>
    </row>
    <row r="75" spans="1:24" x14ac:dyDescent="0.25">
      <c r="A75" s="188"/>
      <c r="B75" s="189" t="s">
        <v>22</v>
      </c>
      <c r="C75" s="188"/>
      <c r="D75" s="156"/>
      <c r="E75" s="9"/>
      <c r="F75" s="206">
        <f>ROUND(F74*0.18,2)</f>
        <v>150488.94</v>
      </c>
      <c r="G75" s="206">
        <f t="shared" ref="G75:K75" si="90">ROUND(G74*0.18,2)</f>
        <v>21097.11</v>
      </c>
      <c r="H75" s="206">
        <f t="shared" si="90"/>
        <v>43828.35</v>
      </c>
      <c r="I75" s="206">
        <f t="shared" si="90"/>
        <v>53660.38</v>
      </c>
      <c r="J75" s="206">
        <f t="shared" si="90"/>
        <v>28979.9</v>
      </c>
      <c r="K75" s="206">
        <f t="shared" si="90"/>
        <v>2923.2</v>
      </c>
      <c r="L75" s="194"/>
    </row>
    <row r="76" spans="1:24" x14ac:dyDescent="0.25">
      <c r="A76" s="28"/>
      <c r="B76" s="29" t="s">
        <v>28</v>
      </c>
      <c r="C76" s="28"/>
      <c r="D76" s="157"/>
      <c r="E76" s="31"/>
      <c r="F76" s="207">
        <f>SUM(F74:F75)</f>
        <v>986538.59999999986</v>
      </c>
      <c r="G76" s="207">
        <f t="shared" ref="G76:K76" si="91">SUM(G74:G75)</f>
        <v>138303.25799999997</v>
      </c>
      <c r="H76" s="207">
        <f t="shared" si="91"/>
        <v>287319.1728</v>
      </c>
      <c r="I76" s="207">
        <f t="shared" si="91"/>
        <v>351773.59600000002</v>
      </c>
      <c r="J76" s="207">
        <f t="shared" si="91"/>
        <v>189979.35560000001</v>
      </c>
      <c r="K76" s="207">
        <f t="shared" si="91"/>
        <v>19163.217600000004</v>
      </c>
      <c r="L76" s="194"/>
    </row>
    <row r="77" spans="1:24" x14ac:dyDescent="0.25">
      <c r="L77" s="194"/>
    </row>
  </sheetData>
  <mergeCells count="6">
    <mergeCell ref="A1:K1"/>
    <mergeCell ref="A5:A6"/>
    <mergeCell ref="B5:B6"/>
    <mergeCell ref="C5:C6"/>
    <mergeCell ref="D5:F5"/>
    <mergeCell ref="G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ANALISIS RIESGOS</vt:lpstr>
      <vt:lpstr>PRESUPUESTOS</vt:lpstr>
      <vt:lpstr>COSTO DIRECTO</vt:lpstr>
      <vt:lpstr>COSTO INDIRECTO</vt:lpstr>
      <vt:lpstr>ANALISIS COSTOS INDIRECTOS</vt:lpstr>
      <vt:lpstr>RESUMEN - ANALISIS</vt:lpstr>
      <vt:lpstr>DIFERENCIAS</vt:lpstr>
      <vt:lpstr>COSTOS INCURRIDOS</vt:lpstr>
      <vt:lpstr>STAFF</vt:lpstr>
      <vt:lpstr>OBREROS</vt:lpstr>
      <vt:lpstr>PRODUCCION</vt:lpstr>
      <vt:lpstr>SUBCONTRATOS</vt:lpstr>
      <vt:lpstr>CAJA CHICA GG</vt:lpstr>
      <vt:lpstr>CRONOG CONT VENTA</vt:lpstr>
      <vt:lpstr>CRONOG CONT META</vt:lpstr>
      <vt:lpstr>CRONOG INTERNO VENTA</vt:lpstr>
      <vt:lpstr>CRONOG INTERNO META</vt:lpstr>
      <vt:lpstr>CRONOG COSTOS REALES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2020-10-30T16:19:31Z</dcterms:created>
  <dcterms:modified xsi:type="dcterms:W3CDTF">2024-08-21T17:13:26Z</dcterms:modified>
</cp:coreProperties>
</file>