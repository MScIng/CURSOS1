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y\Desktop\F.Castillejo\01 Programa Primavera P6 - Intermedio\05 TEDI_Primavera P6\09 Trabajo Final\"/>
    </mc:Choice>
  </mc:AlternateContent>
  <xr:revisionPtr revIDLastSave="0" documentId="13_ncr:1_{75F7BE66-8311-4E5B-8D89-D564717FAF0F}" xr6:coauthVersionLast="47" xr6:coauthVersionMax="47" xr10:uidLastSave="{00000000-0000-0000-0000-000000000000}"/>
  <bookViews>
    <workbookView xWindow="-110" yWindow="-110" windowWidth="19420" windowHeight="11500" firstSheet="2" activeTab="4" xr2:uid="{838BA11A-4DBC-4323-A566-8F1FD0C3244C}"/>
  </bookViews>
  <sheets>
    <sheet name="Plano General" sheetId="7" r:id="rId1"/>
    <sheet name="Planificación" sheetId="3" r:id="rId2"/>
    <sheet name="WBS" sheetId="4" r:id="rId3"/>
    <sheet name="BD" sheetId="8" r:id="rId4"/>
    <sheet name="Curva S" sheetId="9" r:id="rId5"/>
    <sheet name="Curva Excavación" sheetId="12" r:id="rId6"/>
    <sheet name="Curva Relleno" sheetId="10" r:id="rId7"/>
    <sheet name="Curva Concreto" sheetId="11" r:id="rId8"/>
  </sheets>
  <definedNames>
    <definedName name="_xlnm._FilterDatabase" localSheetId="1" hidden="1">Planificación!$A$7:$H$63</definedName>
    <definedName name="_xlnm.Print_Area" localSheetId="1">Planificación!$A$1:$G$50</definedName>
    <definedName name="_xlnm.Print_Titles" localSheetId="1">Planificación!$1:$7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I7" i="9"/>
  <c r="I6" i="9"/>
  <c r="F55" i="3"/>
  <c r="G54" i="3" l="1"/>
  <c r="G34" i="3"/>
  <c r="G16" i="3"/>
  <c r="G53" i="3"/>
  <c r="G33" i="3"/>
  <c r="G15" i="3" l="1"/>
  <c r="G10" i="3" l="1"/>
  <c r="G62" i="3" l="1"/>
  <c r="F57" i="3"/>
  <c r="F61" i="3"/>
  <c r="F60" i="3"/>
  <c r="F59" i="3"/>
  <c r="G50" i="3"/>
  <c r="F35" i="3"/>
  <c r="F36" i="3"/>
  <c r="F37" i="3"/>
  <c r="F39" i="3"/>
  <c r="F40" i="3"/>
  <c r="F43" i="3"/>
  <c r="F44" i="3"/>
  <c r="F46" i="3"/>
  <c r="F47" i="3"/>
  <c r="F48" i="3"/>
  <c r="F49" i="3"/>
  <c r="F42" i="3"/>
  <c r="G30" i="3"/>
  <c r="F17" i="3"/>
  <c r="F18" i="3"/>
  <c r="F20" i="3"/>
  <c r="F21" i="3"/>
  <c r="F24" i="3"/>
  <c r="F26" i="3"/>
  <c r="F27" i="3"/>
  <c r="F29" i="3"/>
  <c r="F28" i="3"/>
  <c r="F23" i="3"/>
  <c r="G12" i="3"/>
  <c r="F10" i="3"/>
  <c r="G63" i="3" l="1"/>
</calcChain>
</file>

<file path=xl/sharedStrings.xml><?xml version="1.0" encoding="utf-8"?>
<sst xmlns="http://schemas.openxmlformats.org/spreadsheetml/2006/main" count="417" uniqueCount="156">
  <si>
    <t>WBS</t>
  </si>
  <si>
    <t>M3</t>
  </si>
  <si>
    <t>Tons</t>
  </si>
  <si>
    <t>M2</t>
  </si>
  <si>
    <t>Rellenos</t>
  </si>
  <si>
    <t>Excavaciones</t>
  </si>
  <si>
    <t xml:space="preserve">Tons </t>
  </si>
  <si>
    <t>Fundaciones</t>
  </si>
  <si>
    <t>Montaje de Estructuras</t>
  </si>
  <si>
    <t>Recubrimientos</t>
  </si>
  <si>
    <t>Montaje de escalerillas metalicas</t>
  </si>
  <si>
    <t>Equipos Electricos</t>
  </si>
  <si>
    <t>Conduits y Cables</t>
  </si>
  <si>
    <t>Instrumentos</t>
  </si>
  <si>
    <t xml:space="preserve">Montaje de Estanques </t>
  </si>
  <si>
    <t>Equipos Mecánicos</t>
  </si>
  <si>
    <t>Cañerias y Valvulas</t>
  </si>
  <si>
    <t>Item Nº</t>
  </si>
  <si>
    <t>Descripción</t>
  </si>
  <si>
    <t>Unid</t>
  </si>
  <si>
    <t>Cantidad</t>
  </si>
  <si>
    <t>Rendimiento</t>
  </si>
  <si>
    <r>
      <t>S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HH</t>
    </r>
  </si>
  <si>
    <t>1</t>
  </si>
  <si>
    <t>gl</t>
  </si>
  <si>
    <t>2</t>
  </si>
  <si>
    <t>2.1</t>
  </si>
  <si>
    <t>Movimientos de tierras y Obras Civiles</t>
  </si>
  <si>
    <t>2.2</t>
  </si>
  <si>
    <t>Estructuras</t>
  </si>
  <si>
    <t>2.3</t>
  </si>
  <si>
    <t>Mecánica y Cañerías</t>
  </si>
  <si>
    <t>2.4</t>
  </si>
  <si>
    <t>Electricidad e Instrumentación</t>
  </si>
  <si>
    <t>3</t>
  </si>
  <si>
    <t>3.1</t>
  </si>
  <si>
    <t>3.2</t>
  </si>
  <si>
    <t>3.3</t>
  </si>
  <si>
    <t>3.4</t>
  </si>
  <si>
    <t>Excavaciones Masivas</t>
  </si>
  <si>
    <t>Desmovilización y restitución</t>
  </si>
  <si>
    <t>Duración Estimada</t>
  </si>
  <si>
    <t>Labor</t>
  </si>
  <si>
    <t>Excavacion de Fundaciones</t>
  </si>
  <si>
    <t>PROYECTO  NAVE INDUSTRIAL</t>
  </si>
  <si>
    <t>Concreto de Radieres y Losas</t>
  </si>
  <si>
    <t>Concreto de Muros</t>
  </si>
  <si>
    <t>RECURSOS</t>
  </si>
  <si>
    <t>Concreto</t>
  </si>
  <si>
    <t>EDIFICIO PRINCIPAL - ALMACEN</t>
  </si>
  <si>
    <t>TALLER DE MANTENIMIENTO</t>
  </si>
  <si>
    <t>OFICINAS PRINCIPALES</t>
  </si>
  <si>
    <t>Sub Total 1</t>
  </si>
  <si>
    <t>Sub Total 2</t>
  </si>
  <si>
    <t>Sub Total 3</t>
  </si>
  <si>
    <t>Sub Total 4</t>
  </si>
  <si>
    <t>Recurso Material</t>
  </si>
  <si>
    <t>Unidad</t>
  </si>
  <si>
    <t>Codigo</t>
  </si>
  <si>
    <t>RM-MTR</t>
  </si>
  <si>
    <t>RM-OCC</t>
  </si>
  <si>
    <t>RM-EM</t>
  </si>
  <si>
    <t>RM-ES</t>
  </si>
  <si>
    <t>RM-EMC</t>
  </si>
  <si>
    <t>RM-EMI</t>
  </si>
  <si>
    <t>RM-EME</t>
  </si>
  <si>
    <t>CALENDARIO 10HX7D</t>
  </si>
  <si>
    <t>HOJA DE PROGRAMACIÓN PROYECTO NAVE INDUSTRIAL</t>
  </si>
  <si>
    <t>ICC1000</t>
  </si>
  <si>
    <t>ICC1010</t>
  </si>
  <si>
    <t>ICC1020</t>
  </si>
  <si>
    <t>ICC1030</t>
  </si>
  <si>
    <t>ICC1040</t>
  </si>
  <si>
    <t>ICC1050</t>
  </si>
  <si>
    <t>ICC1060</t>
  </si>
  <si>
    <t>ICC1070</t>
  </si>
  <si>
    <t>ICC1090</t>
  </si>
  <si>
    <t>ICC1110</t>
  </si>
  <si>
    <t>ICC1120</t>
  </si>
  <si>
    <t>ICC1130</t>
  </si>
  <si>
    <t>ICC1140</t>
  </si>
  <si>
    <t>ICC1150</t>
  </si>
  <si>
    <t>ICC1160</t>
  </si>
  <si>
    <t>ICC1170</t>
  </si>
  <si>
    <t>ICC1180</t>
  </si>
  <si>
    <t>ICC1190</t>
  </si>
  <si>
    <t>ICC1200</t>
  </si>
  <si>
    <t>ICC1210</t>
  </si>
  <si>
    <t>ICC1220</t>
  </si>
  <si>
    <t>ICC1240</t>
  </si>
  <si>
    <t>ICC1250</t>
  </si>
  <si>
    <t>ICC1260</t>
  </si>
  <si>
    <t>ICC1270</t>
  </si>
  <si>
    <t>ICC1280</t>
  </si>
  <si>
    <t>ICC1290</t>
  </si>
  <si>
    <t>ICC1300</t>
  </si>
  <si>
    <t>ICC1580</t>
  </si>
  <si>
    <t>ICC1590</t>
  </si>
  <si>
    <t>ICC1600</t>
  </si>
  <si>
    <t>ICC1610</t>
  </si>
  <si>
    <t>ICC1620</t>
  </si>
  <si>
    <t>ICC1630</t>
  </si>
  <si>
    <t>ICC1595</t>
  </si>
  <si>
    <t xml:space="preserve">  ICC2023.1</t>
  </si>
  <si>
    <t xml:space="preserve">    ICC2023.3.1</t>
  </si>
  <si>
    <t xml:space="preserve">    ICC2023.3.2</t>
  </si>
  <si>
    <t xml:space="preserve">    ICC2023.3.3</t>
  </si>
  <si>
    <t xml:space="preserve">    ICC2023.3.4</t>
  </si>
  <si>
    <t xml:space="preserve">    ICC2023.4.1</t>
  </si>
  <si>
    <t xml:space="preserve">    ICC2023.4.2</t>
  </si>
  <si>
    <t xml:space="preserve">    ICC2023.4.3</t>
  </si>
  <si>
    <t>HITOS &amp; GENERAL</t>
  </si>
  <si>
    <t xml:space="preserve">    ICC2023.2.1</t>
  </si>
  <si>
    <t xml:space="preserve">    ICC2023.2.2</t>
  </si>
  <si>
    <t xml:space="preserve">    ICC2023.2.3</t>
  </si>
  <si>
    <t xml:space="preserve">    ICC2023.2.4</t>
  </si>
  <si>
    <t>4</t>
  </si>
  <si>
    <t>4.1</t>
  </si>
  <si>
    <t>4.2</t>
  </si>
  <si>
    <t>4.3</t>
  </si>
  <si>
    <t>Und.</t>
  </si>
  <si>
    <t>ML</t>
  </si>
  <si>
    <t>Movilización e Instalación de facilidades</t>
  </si>
  <si>
    <t>UND.</t>
  </si>
  <si>
    <t>ICC1650</t>
  </si>
  <si>
    <t>Activity ID</t>
  </si>
  <si>
    <t>Activity Name</t>
  </si>
  <si>
    <t>Start</t>
  </si>
  <si>
    <t>Finish</t>
  </si>
  <si>
    <t>Budgeted Units</t>
  </si>
  <si>
    <t>Actual Units</t>
  </si>
  <si>
    <t>Remaining Units</t>
  </si>
  <si>
    <t>Spreadsheet Field</t>
  </si>
  <si>
    <t>01-Aug-23</t>
  </si>
  <si>
    <t>01-Sep-23</t>
  </si>
  <si>
    <t>01-Dec-23</t>
  </si>
  <si>
    <t>01-Jan-24</t>
  </si>
  <si>
    <t>01-Apr-24</t>
  </si>
  <si>
    <t>01-Aug-24</t>
  </si>
  <si>
    <t>01-Sep-24</t>
  </si>
  <si>
    <t>01-Dec-24</t>
  </si>
  <si>
    <t>01-Jan-25</t>
  </si>
  <si>
    <t>01-Apr-25</t>
  </si>
  <si>
    <t>Project: P190623  Cronograma Nave Industrial</t>
  </si>
  <si>
    <t>---</t>
  </si>
  <si>
    <t>Cum Remaining Early Units</t>
  </si>
  <si>
    <t xml:space="preserve">  Resource Type: Labor</t>
  </si>
  <si>
    <t xml:space="preserve">  Resource Type: Material</t>
  </si>
  <si>
    <t>20-Aug-23</t>
  </si>
  <si>
    <t xml:space="preserve">    Resource ID Name: ICC1650-1  Excavaciones</t>
  </si>
  <si>
    <t xml:space="preserve">    Resource ID Name: RM-MTR-1  Rellenos</t>
  </si>
  <si>
    <t>20-Jan-24</t>
  </si>
  <si>
    <t xml:space="preserve">    Resource ID Name: RM-OCC-2  Concreto</t>
  </si>
  <si>
    <t>30-Jan-24</t>
  </si>
  <si>
    <t>% Parcial</t>
  </si>
  <si>
    <t>%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</si>
</sst>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_ ;_ @_ "/>
    <numFmt numFmtId="165" formatCode="_-* #,##0.00\ _P_t_s_-;\-* #,##0.00\ _P_t_s_-;_-* &quot;-&quot;??\ _P_t_s_-;_-@_-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9"/>
      <name val="Arial"/>
      <family val="2"/>
    </font>
    <font>
      <b/>
      <sz val="9"/>
      <name val="Symbol"/>
      <family val="1"/>
      <charset val="2"/>
    </font>
    <font>
      <sz val="9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  <xf numFmtId="43" fontId="5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1" xfId="4" applyFont="1" applyBorder="1"/>
    <xf numFmtId="0" fontId="3" fillId="0" borderId="2" xfId="4" applyFont="1" applyBorder="1" applyAlignment="1">
      <alignment horizontal="left" indent="1"/>
    </xf>
    <xf numFmtId="0" fontId="2" fillId="0" borderId="2" xfId="4" applyBorder="1" applyAlignment="1">
      <alignment horizontal="center"/>
    </xf>
    <xf numFmtId="0" fontId="2" fillId="0" borderId="2" xfId="4" applyBorder="1"/>
    <xf numFmtId="0" fontId="2" fillId="0" borderId="0" xfId="4"/>
    <xf numFmtId="0" fontId="3" fillId="0" borderId="3" xfId="4" applyFont="1" applyBorder="1"/>
    <xf numFmtId="0" fontId="2" fillId="0" borderId="0" xfId="4" applyAlignment="1">
      <alignment horizontal="center"/>
    </xf>
    <xf numFmtId="0" fontId="3" fillId="0" borderId="0" xfId="4" applyFont="1" applyAlignment="1">
      <alignment horizontal="centerContinuous"/>
    </xf>
    <xf numFmtId="0" fontId="2" fillId="0" borderId="0" xfId="4" applyAlignment="1">
      <alignment horizontal="centerContinuous"/>
    </xf>
    <xf numFmtId="49" fontId="8" fillId="2" borderId="4" xfId="4" applyNumberFormat="1" applyFont="1" applyFill="1" applyBorder="1" applyAlignment="1">
      <alignment horizontal="center"/>
    </xf>
    <xf numFmtId="0" fontId="8" fillId="2" borderId="5" xfId="4" applyFont="1" applyFill="1" applyBorder="1" applyAlignment="1">
      <alignment horizontal="center"/>
    </xf>
    <xf numFmtId="3" fontId="8" fillId="2" borderId="5" xfId="4" applyNumberFormat="1" applyFont="1" applyFill="1" applyBorder="1" applyAlignment="1">
      <alignment horizontal="center"/>
    </xf>
    <xf numFmtId="166" fontId="8" fillId="2" borderId="5" xfId="5" applyNumberFormat="1" applyFont="1" applyFill="1" applyBorder="1" applyAlignment="1">
      <alignment horizontal="center"/>
    </xf>
    <xf numFmtId="166" fontId="9" fillId="2" borderId="6" xfId="5" applyNumberFormat="1" applyFont="1" applyFill="1" applyBorder="1" applyAlignment="1">
      <alignment horizontal="center"/>
    </xf>
    <xf numFmtId="166" fontId="8" fillId="2" borderId="7" xfId="5" applyNumberFormat="1" applyFont="1" applyFill="1" applyBorder="1" applyAlignment="1">
      <alignment horizontal="center"/>
    </xf>
    <xf numFmtId="0" fontId="10" fillId="0" borderId="0" xfId="4" applyFont="1"/>
    <xf numFmtId="49" fontId="10" fillId="2" borderId="8" xfId="4" applyNumberFormat="1" applyFont="1" applyFill="1" applyBorder="1" applyAlignment="1">
      <alignment horizontal="center"/>
    </xf>
    <xf numFmtId="0" fontId="2" fillId="2" borderId="9" xfId="4" applyFill="1" applyBorder="1" applyAlignment="1">
      <alignment horizontal="left"/>
    </xf>
    <xf numFmtId="0" fontId="2" fillId="2" borderId="9" xfId="4" applyFill="1" applyBorder="1" applyAlignment="1">
      <alignment horizontal="center"/>
    </xf>
    <xf numFmtId="3" fontId="2" fillId="2" borderId="9" xfId="4" applyNumberFormat="1" applyFill="1" applyBorder="1"/>
    <xf numFmtId="49" fontId="11" fillId="3" borderId="11" xfId="4" applyNumberFormat="1" applyFont="1" applyFill="1" applyBorder="1" applyAlignment="1">
      <alignment horizontal="center"/>
    </xf>
    <xf numFmtId="0" fontId="11" fillId="3" borderId="12" xfId="4" applyFont="1" applyFill="1" applyBorder="1" applyAlignment="1">
      <alignment horizontal="left"/>
    </xf>
    <xf numFmtId="0" fontId="12" fillId="3" borderId="12" xfId="4" applyFont="1" applyFill="1" applyBorder="1" applyAlignment="1">
      <alignment horizontal="center"/>
    </xf>
    <xf numFmtId="3" fontId="12" fillId="3" borderId="12" xfId="4" applyNumberFormat="1" applyFont="1" applyFill="1" applyBorder="1"/>
    <xf numFmtId="0" fontId="12" fillId="0" borderId="0" xfId="4" applyFont="1"/>
    <xf numFmtId="49" fontId="10" fillId="2" borderId="11" xfId="4" applyNumberFormat="1" applyFont="1" applyFill="1" applyBorder="1" applyAlignment="1">
      <alignment horizontal="center"/>
    </xf>
    <xf numFmtId="0" fontId="2" fillId="2" borderId="12" xfId="4" applyFill="1" applyBorder="1" applyAlignment="1">
      <alignment horizontal="left"/>
    </xf>
    <xf numFmtId="0" fontId="2" fillId="2" borderId="12" xfId="4" applyFill="1" applyBorder="1" applyAlignment="1">
      <alignment horizontal="center"/>
    </xf>
    <xf numFmtId="3" fontId="2" fillId="2" borderId="12" xfId="4" applyNumberFormat="1" applyFill="1" applyBorder="1"/>
    <xf numFmtId="3" fontId="2" fillId="0" borderId="12" xfId="4" applyNumberFormat="1" applyBorder="1"/>
    <xf numFmtId="4" fontId="2" fillId="0" borderId="12" xfId="4" applyNumberFormat="1" applyBorder="1"/>
    <xf numFmtId="0" fontId="2" fillId="0" borderId="12" xfId="4" applyBorder="1"/>
    <xf numFmtId="0" fontId="3" fillId="2" borderId="12" xfId="4" applyFont="1" applyFill="1" applyBorder="1" applyAlignment="1">
      <alignment horizontal="right"/>
    </xf>
    <xf numFmtId="0" fontId="13" fillId="2" borderId="12" xfId="4" applyFont="1" applyFill="1" applyBorder="1" applyAlignment="1">
      <alignment horizontal="center"/>
    </xf>
    <xf numFmtId="3" fontId="3" fillId="2" borderId="12" xfId="4" applyNumberFormat="1" applyFont="1" applyFill="1" applyBorder="1"/>
    <xf numFmtId="3" fontId="3" fillId="0" borderId="12" xfId="4" applyNumberFormat="1" applyFont="1" applyBorder="1"/>
    <xf numFmtId="4" fontId="3" fillId="0" borderId="12" xfId="4" applyNumberFormat="1" applyFont="1" applyBorder="1"/>
    <xf numFmtId="4" fontId="12" fillId="3" borderId="12" xfId="4" applyNumberFormat="1" applyFont="1" applyFill="1" applyBorder="1"/>
    <xf numFmtId="49" fontId="14" fillId="4" borderId="11" xfId="4" applyNumberFormat="1" applyFont="1" applyFill="1" applyBorder="1" applyAlignment="1">
      <alignment horizontal="center"/>
    </xf>
    <xf numFmtId="0" fontId="15" fillId="4" borderId="12" xfId="4" applyFont="1" applyFill="1" applyBorder="1" applyAlignment="1">
      <alignment horizontal="left"/>
    </xf>
    <xf numFmtId="0" fontId="12" fillId="4" borderId="12" xfId="4" applyFont="1" applyFill="1" applyBorder="1" applyAlignment="1">
      <alignment horizontal="center"/>
    </xf>
    <xf numFmtId="3" fontId="12" fillId="4" borderId="12" xfId="4" applyNumberFormat="1" applyFont="1" applyFill="1" applyBorder="1"/>
    <xf numFmtId="4" fontId="12" fillId="4" borderId="12" xfId="4" applyNumberFormat="1" applyFont="1" applyFill="1" applyBorder="1"/>
    <xf numFmtId="49" fontId="2" fillId="2" borderId="11" xfId="4" applyNumberFormat="1" applyFill="1" applyBorder="1" applyAlignment="1">
      <alignment horizontal="center"/>
    </xf>
    <xf numFmtId="49" fontId="16" fillId="5" borderId="11" xfId="4" applyNumberFormat="1" applyFont="1" applyFill="1" applyBorder="1" applyAlignment="1">
      <alignment horizontal="center"/>
    </xf>
    <xf numFmtId="0" fontId="15" fillId="5" borderId="12" xfId="4" applyFont="1" applyFill="1" applyBorder="1" applyAlignment="1">
      <alignment horizontal="right"/>
    </xf>
    <xf numFmtId="3" fontId="12" fillId="5" borderId="12" xfId="4" applyNumberFormat="1" applyFont="1" applyFill="1" applyBorder="1" applyAlignment="1">
      <alignment horizontal="center"/>
    </xf>
    <xf numFmtId="3" fontId="12" fillId="5" borderId="12" xfId="4" applyNumberFormat="1" applyFont="1" applyFill="1" applyBorder="1"/>
    <xf numFmtId="3" fontId="15" fillId="5" borderId="12" xfId="4" applyNumberFormat="1" applyFont="1" applyFill="1" applyBorder="1"/>
    <xf numFmtId="164" fontId="2" fillId="0" borderId="12" xfId="1" applyFont="1" applyBorder="1"/>
    <xf numFmtId="164" fontId="12" fillId="4" borderId="12" xfId="1" applyFont="1" applyFill="1" applyBorder="1"/>
    <xf numFmtId="1" fontId="2" fillId="0" borderId="12" xfId="4" applyNumberFormat="1" applyBorder="1"/>
    <xf numFmtId="0" fontId="5" fillId="0" borderId="0" xfId="6"/>
    <xf numFmtId="0" fontId="3" fillId="0" borderId="2" xfId="4" applyFont="1" applyBorder="1"/>
    <xf numFmtId="0" fontId="3" fillId="0" borderId="0" xfId="4" applyFont="1"/>
    <xf numFmtId="49" fontId="8" fillId="2" borderId="5" xfId="4" applyNumberFormat="1" applyFont="1" applyFill="1" applyBorder="1" applyAlignment="1">
      <alignment horizontal="center"/>
    </xf>
    <xf numFmtId="49" fontId="10" fillId="2" borderId="14" xfId="4" applyNumberFormat="1" applyFont="1" applyFill="1" applyBorder="1" applyAlignment="1">
      <alignment horizontal="center"/>
    </xf>
    <xf numFmtId="49" fontId="11" fillId="3" borderId="15" xfId="4" applyNumberFormat="1" applyFont="1" applyFill="1" applyBorder="1" applyAlignment="1">
      <alignment horizontal="center"/>
    </xf>
    <xf numFmtId="49" fontId="10" fillId="2" borderId="15" xfId="4" applyNumberFormat="1" applyFont="1" applyFill="1" applyBorder="1" applyAlignment="1">
      <alignment horizontal="center"/>
    </xf>
    <xf numFmtId="49" fontId="14" fillId="4" borderId="15" xfId="4" applyNumberFormat="1" applyFont="1" applyFill="1" applyBorder="1" applyAlignment="1">
      <alignment horizontal="center"/>
    </xf>
    <xf numFmtId="49" fontId="2" fillId="2" borderId="15" xfId="4" applyNumberFormat="1" applyFill="1" applyBorder="1" applyAlignment="1">
      <alignment horizontal="center"/>
    </xf>
    <xf numFmtId="49" fontId="16" fillId="5" borderId="15" xfId="4" applyNumberFormat="1" applyFont="1" applyFill="1" applyBorder="1" applyAlignment="1">
      <alignment horizontal="center"/>
    </xf>
    <xf numFmtId="3" fontId="2" fillId="2" borderId="10" xfId="4" applyNumberFormat="1" applyFill="1" applyBorder="1" applyAlignment="1">
      <alignment horizontal="center"/>
    </xf>
    <xf numFmtId="3" fontId="12" fillId="3" borderId="13" xfId="4" applyNumberFormat="1" applyFont="1" applyFill="1" applyBorder="1" applyAlignment="1">
      <alignment horizontal="center"/>
    </xf>
    <xf numFmtId="3" fontId="2" fillId="0" borderId="13" xfId="4" applyNumberFormat="1" applyBorder="1" applyAlignment="1">
      <alignment horizontal="center"/>
    </xf>
    <xf numFmtId="3" fontId="3" fillId="0" borderId="13" xfId="4" applyNumberFormat="1" applyFont="1" applyBorder="1" applyAlignment="1">
      <alignment horizontal="center"/>
    </xf>
    <xf numFmtId="3" fontId="12" fillId="4" borderId="13" xfId="4" applyNumberFormat="1" applyFont="1" applyFill="1" applyBorder="1" applyAlignment="1">
      <alignment horizontal="center"/>
    </xf>
    <xf numFmtId="3" fontId="3" fillId="0" borderId="12" xfId="4" applyNumberFormat="1" applyFont="1" applyBorder="1" applyAlignment="1">
      <alignment horizontal="center"/>
    </xf>
    <xf numFmtId="3" fontId="15" fillId="5" borderId="12" xfId="4" applyNumberFormat="1" applyFont="1" applyFill="1" applyBorder="1" applyAlignment="1">
      <alignment horizontal="center"/>
    </xf>
    <xf numFmtId="0" fontId="17" fillId="0" borderId="0" xfId="0" applyFont="1"/>
    <xf numFmtId="0" fontId="18" fillId="6" borderId="16" xfId="0" applyFont="1" applyFill="1" applyBorder="1"/>
    <xf numFmtId="0" fontId="17" fillId="7" borderId="17" xfId="0" applyFont="1" applyFill="1" applyBorder="1"/>
    <xf numFmtId="0" fontId="17" fillId="7" borderId="17" xfId="0" applyFont="1" applyFill="1" applyBorder="1" applyAlignment="1">
      <alignment horizontal="center"/>
    </xf>
    <xf numFmtId="0" fontId="19" fillId="8" borderId="0" xfId="4" applyFont="1" applyFill="1" applyAlignment="1">
      <alignment horizontal="centerContinuous"/>
    </xf>
    <xf numFmtId="0" fontId="6" fillId="0" borderId="3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7" fillId="0" borderId="3" xfId="4" applyFont="1" applyBorder="1" applyAlignment="1">
      <alignment horizontal="center"/>
    </xf>
    <xf numFmtId="0" fontId="7" fillId="0" borderId="0" xfId="4" applyFont="1" applyAlignment="1">
      <alignment horizontal="center"/>
    </xf>
    <xf numFmtId="15" fontId="0" fillId="0" borderId="0" xfId="0" applyNumberFormat="1"/>
    <xf numFmtId="10" fontId="0" fillId="0" borderId="0" xfId="7" applyNumberFormat="1" applyFont="1"/>
  </cellXfs>
  <cellStyles count="8">
    <cellStyle name="_Prime_5_RevA" xfId="2" xr:uid="{A6C155AE-6D96-406C-89FB-4A37BB5FC87C}"/>
    <cellStyle name="Comma 2" xfId="5" xr:uid="{C97BCA07-73ED-458D-993D-A68207BB5F37}"/>
    <cellStyle name="Comma_Estimate (2)-Rev4" xfId="3" xr:uid="{9F644E8E-CEF9-4ABA-AFCF-AECDE958D202}"/>
    <cellStyle name="Millares [0]" xfId="1" builtinId="6"/>
    <cellStyle name="Normal" xfId="0" builtinId="0"/>
    <cellStyle name="Normal 2" xfId="4" xr:uid="{BEA229C2-F59B-423B-83B3-3B059CF1CA2C}"/>
    <cellStyle name="Normal 3" xfId="6" xr:uid="{24B223B4-00E5-463D-802A-6DD1157F514F}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Curva "S" Avance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S'!$H$6</c:f>
              <c:strCache>
                <c:ptCount val="1"/>
                <c:pt idx="0">
                  <c:v>% Parcial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'Curva S'!$J$5:$AI$5</c:f>
              <c:strCache>
                <c:ptCount val="25"/>
                <c:pt idx="0">
                  <c:v>1-Jul-23</c:v>
                </c:pt>
                <c:pt idx="1">
                  <c:v>01-Aug-23</c:v>
                </c:pt>
                <c:pt idx="2">
                  <c:v>01-Sep-23</c:v>
                </c:pt>
                <c:pt idx="3">
                  <c:v>1-Oct-23</c:v>
                </c:pt>
                <c:pt idx="4">
                  <c:v>1-Nov-23</c:v>
                </c:pt>
                <c:pt idx="5">
                  <c:v>01-Dec-23</c:v>
                </c:pt>
                <c:pt idx="6">
                  <c:v>01-Jan-24</c:v>
                </c:pt>
                <c:pt idx="7">
                  <c:v>1-Feb-24</c:v>
                </c:pt>
                <c:pt idx="8">
                  <c:v>1-Mar-24</c:v>
                </c:pt>
                <c:pt idx="9">
                  <c:v>01-Apr-24</c:v>
                </c:pt>
                <c:pt idx="10">
                  <c:v>1-May-24</c:v>
                </c:pt>
                <c:pt idx="11">
                  <c:v>1-Jun-24</c:v>
                </c:pt>
                <c:pt idx="12">
                  <c:v>1-Jul-24</c:v>
                </c:pt>
                <c:pt idx="13">
                  <c:v>01-Aug-24</c:v>
                </c:pt>
                <c:pt idx="14">
                  <c:v>01-Sep-24</c:v>
                </c:pt>
                <c:pt idx="15">
                  <c:v>1-Oct-24</c:v>
                </c:pt>
                <c:pt idx="16">
                  <c:v>1-Nov-24</c:v>
                </c:pt>
                <c:pt idx="17">
                  <c:v>01-Dec-24</c:v>
                </c:pt>
                <c:pt idx="18">
                  <c:v>01-Jan-25</c:v>
                </c:pt>
                <c:pt idx="19">
                  <c:v>1-Feb-25</c:v>
                </c:pt>
                <c:pt idx="20">
                  <c:v>1-Mar-25</c:v>
                </c:pt>
                <c:pt idx="21">
                  <c:v>01-Apr-25</c:v>
                </c:pt>
                <c:pt idx="22">
                  <c:v>1-May-25</c:v>
                </c:pt>
                <c:pt idx="23">
                  <c:v>1-Jun-25</c:v>
                </c:pt>
                <c:pt idx="24">
                  <c:v>1-Jul-25</c:v>
                </c:pt>
              </c:strCache>
            </c:strRef>
          </c:cat>
          <c:val>
            <c:numRef>
              <c:f>'Curva S'!$J$6:$AI$6</c:f>
              <c:numCache>
                <c:formatCode>0.00%</c:formatCode>
                <c:ptCount val="26"/>
                <c:pt idx="0">
                  <c:v>1.296804821856601E-2</c:v>
                </c:pt>
                <c:pt idx="1">
                  <c:v>1.9390984617532754E-2</c:v>
                </c:pt>
                <c:pt idx="2">
                  <c:v>3.048567638640013E-2</c:v>
                </c:pt>
                <c:pt idx="3">
                  <c:v>3.048567638640013E-2</c:v>
                </c:pt>
                <c:pt idx="4">
                  <c:v>3.048567638640013E-2</c:v>
                </c:pt>
                <c:pt idx="5">
                  <c:v>3.048567638640013E-2</c:v>
                </c:pt>
                <c:pt idx="6">
                  <c:v>2.0950175699890623E-2</c:v>
                </c:pt>
                <c:pt idx="7">
                  <c:v>5.436224430429825E-2</c:v>
                </c:pt>
                <c:pt idx="8">
                  <c:v>0.14572036955155804</c:v>
                </c:pt>
                <c:pt idx="9">
                  <c:v>0.13883782085592608</c:v>
                </c:pt>
                <c:pt idx="10">
                  <c:v>0.14270670917595588</c:v>
                </c:pt>
                <c:pt idx="11">
                  <c:v>0.13745316608875754</c:v>
                </c:pt>
                <c:pt idx="12">
                  <c:v>0.14203765330106352</c:v>
                </c:pt>
                <c:pt idx="13">
                  <c:v>8.0752135160922483E-3</c:v>
                </c:pt>
                <c:pt idx="14">
                  <c:v>3.4907263037862743E-3</c:v>
                </c:pt>
                <c:pt idx="15">
                  <c:v>3.607083847245817E-3</c:v>
                </c:pt>
                <c:pt idx="16">
                  <c:v>3.607083847245817E-3</c:v>
                </c:pt>
                <c:pt idx="17">
                  <c:v>7.214167694491634E-3</c:v>
                </c:pt>
                <c:pt idx="18">
                  <c:v>6.4578436620046078E-3</c:v>
                </c:pt>
                <c:pt idx="19">
                  <c:v>4.8288380535710133E-3</c:v>
                </c:pt>
                <c:pt idx="20">
                  <c:v>3.607083847245817E-3</c:v>
                </c:pt>
                <c:pt idx="21">
                  <c:v>3.3743687603267321E-3</c:v>
                </c:pt>
                <c:pt idx="22">
                  <c:v>1.8035419236229085E-3</c:v>
                </c:pt>
                <c:pt idx="23">
                  <c:v>2.6936771310884086E-3</c:v>
                </c:pt>
                <c:pt idx="24">
                  <c:v>1.0105652649461264E-2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E-4ED2-91DD-253F7D36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973392"/>
        <c:axId val="984976752"/>
      </c:barChart>
      <c:lineChart>
        <c:grouping val="standard"/>
        <c:varyColors val="0"/>
        <c:ser>
          <c:idx val="1"/>
          <c:order val="1"/>
          <c:tx>
            <c:strRef>
              <c:f>'Curva S'!$H$7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'Curva S'!$J$5:$AI$5</c:f>
              <c:strCache>
                <c:ptCount val="25"/>
                <c:pt idx="0">
                  <c:v>1-Jul-23</c:v>
                </c:pt>
                <c:pt idx="1">
                  <c:v>01-Aug-23</c:v>
                </c:pt>
                <c:pt idx="2">
                  <c:v>01-Sep-23</c:v>
                </c:pt>
                <c:pt idx="3">
                  <c:v>1-Oct-23</c:v>
                </c:pt>
                <c:pt idx="4">
                  <c:v>1-Nov-23</c:v>
                </c:pt>
                <c:pt idx="5">
                  <c:v>01-Dec-23</c:v>
                </c:pt>
                <c:pt idx="6">
                  <c:v>01-Jan-24</c:v>
                </c:pt>
                <c:pt idx="7">
                  <c:v>1-Feb-24</c:v>
                </c:pt>
                <c:pt idx="8">
                  <c:v>1-Mar-24</c:v>
                </c:pt>
                <c:pt idx="9">
                  <c:v>01-Apr-24</c:v>
                </c:pt>
                <c:pt idx="10">
                  <c:v>1-May-24</c:v>
                </c:pt>
                <c:pt idx="11">
                  <c:v>1-Jun-24</c:v>
                </c:pt>
                <c:pt idx="12">
                  <c:v>1-Jul-24</c:v>
                </c:pt>
                <c:pt idx="13">
                  <c:v>01-Aug-24</c:v>
                </c:pt>
                <c:pt idx="14">
                  <c:v>01-Sep-24</c:v>
                </c:pt>
                <c:pt idx="15">
                  <c:v>1-Oct-24</c:v>
                </c:pt>
                <c:pt idx="16">
                  <c:v>1-Nov-24</c:v>
                </c:pt>
                <c:pt idx="17">
                  <c:v>01-Dec-24</c:v>
                </c:pt>
                <c:pt idx="18">
                  <c:v>01-Jan-25</c:v>
                </c:pt>
                <c:pt idx="19">
                  <c:v>1-Feb-25</c:v>
                </c:pt>
                <c:pt idx="20">
                  <c:v>1-Mar-25</c:v>
                </c:pt>
                <c:pt idx="21">
                  <c:v>01-Apr-25</c:v>
                </c:pt>
                <c:pt idx="22">
                  <c:v>1-May-25</c:v>
                </c:pt>
                <c:pt idx="23">
                  <c:v>1-Jun-25</c:v>
                </c:pt>
                <c:pt idx="24">
                  <c:v>1-Jul-25</c:v>
                </c:pt>
              </c:strCache>
            </c:strRef>
          </c:cat>
          <c:val>
            <c:numRef>
              <c:f>'Curva S'!$J$7:$AI$7</c:f>
              <c:numCache>
                <c:formatCode>0.00%</c:formatCode>
                <c:ptCount val="26"/>
                <c:pt idx="0">
                  <c:v>1.7727071746061297E-2</c:v>
                </c:pt>
                <c:pt idx="1">
                  <c:v>3.7118056363594054E-2</c:v>
                </c:pt>
                <c:pt idx="2">
                  <c:v>6.7603732749994178E-2</c:v>
                </c:pt>
                <c:pt idx="3">
                  <c:v>9.8095227013567293E-2</c:v>
                </c:pt>
                <c:pt idx="4">
                  <c:v>0.12858090339996742</c:v>
                </c:pt>
                <c:pt idx="5">
                  <c:v>0.15906657978636754</c:v>
                </c:pt>
                <c:pt idx="6">
                  <c:v>0.18002257336343114</c:v>
                </c:pt>
                <c:pt idx="7">
                  <c:v>0.23438481766772939</c:v>
                </c:pt>
                <c:pt idx="8">
                  <c:v>0.38010518721928743</c:v>
                </c:pt>
                <c:pt idx="9">
                  <c:v>0.51894300807521354</c:v>
                </c:pt>
                <c:pt idx="10">
                  <c:v>0.66164971725116939</c:v>
                </c:pt>
                <c:pt idx="11">
                  <c:v>0.79910288333992696</c:v>
                </c:pt>
                <c:pt idx="12">
                  <c:v>0.9411405366409904</c:v>
                </c:pt>
                <c:pt idx="13">
                  <c:v>0.94920993227990968</c:v>
                </c:pt>
                <c:pt idx="14">
                  <c:v>0.95270065858369601</c:v>
                </c:pt>
                <c:pt idx="15">
                  <c:v>0.95630774243094174</c:v>
                </c:pt>
                <c:pt idx="16">
                  <c:v>0.95991482627818758</c:v>
                </c:pt>
                <c:pt idx="17">
                  <c:v>0.96712899397267926</c:v>
                </c:pt>
                <c:pt idx="18">
                  <c:v>0.9735868376346839</c:v>
                </c:pt>
                <c:pt idx="19">
                  <c:v>0.97841567568825483</c:v>
                </c:pt>
                <c:pt idx="20">
                  <c:v>0.98202275953550067</c:v>
                </c:pt>
                <c:pt idx="21">
                  <c:v>0.98539712829582737</c:v>
                </c:pt>
                <c:pt idx="22">
                  <c:v>0.98720067021945035</c:v>
                </c:pt>
                <c:pt idx="23">
                  <c:v>0.98989434735053872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E-4ED2-91DD-253F7D36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978672"/>
        <c:axId val="984973872"/>
      </c:lineChart>
      <c:catAx>
        <c:axId val="9849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4976752"/>
        <c:crosses val="autoZero"/>
        <c:auto val="1"/>
        <c:lblAlgn val="ctr"/>
        <c:lblOffset val="100"/>
        <c:noMultiLvlLbl val="0"/>
      </c:catAx>
      <c:valAx>
        <c:axId val="9849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4973392"/>
        <c:crosses val="autoZero"/>
        <c:crossBetween val="between"/>
      </c:valAx>
      <c:valAx>
        <c:axId val="9849738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4978672"/>
        <c:crosses val="max"/>
        <c:crossBetween val="between"/>
      </c:valAx>
      <c:catAx>
        <c:axId val="984978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49738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FD9BD52-7869-4C21-A32B-46F0945951C4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s-CL"/>
        </a:p>
      </dgm:t>
    </dgm:pt>
    <dgm:pt modelId="{ABB928CF-7B91-4F50-85F3-81F840FA8E07}">
      <dgm:prSet phldrT="[Text]"/>
      <dgm:spPr>
        <a:solidFill>
          <a:srgbClr val="FF0000"/>
        </a:solidFill>
      </dgm:spPr>
      <dgm:t>
        <a:bodyPr/>
        <a:lstStyle/>
        <a:p>
          <a:r>
            <a:rPr lang="es-CL"/>
            <a:t>PROYECTO</a:t>
          </a:r>
        </a:p>
      </dgm:t>
    </dgm:pt>
    <dgm:pt modelId="{2DC44F40-C9B6-441D-8C2E-06085B119E60}" type="parTrans" cxnId="{741B92B4-3E5C-472D-A6B1-9129303F7D2C}">
      <dgm:prSet/>
      <dgm:spPr/>
      <dgm:t>
        <a:bodyPr/>
        <a:lstStyle/>
        <a:p>
          <a:endParaRPr lang="es-CL"/>
        </a:p>
      </dgm:t>
    </dgm:pt>
    <dgm:pt modelId="{107E02AB-4E06-45E1-802C-98E9B0A508BB}" type="sibTrans" cxnId="{741B92B4-3E5C-472D-A6B1-9129303F7D2C}">
      <dgm:prSet/>
      <dgm:spPr/>
      <dgm:t>
        <a:bodyPr/>
        <a:lstStyle/>
        <a:p>
          <a:endParaRPr lang="es-CL"/>
        </a:p>
      </dgm:t>
    </dgm:pt>
    <dgm:pt modelId="{13613AC0-5521-4439-849E-437D65197C58}">
      <dgm:prSet phldrT="[Text]"/>
      <dgm:spPr>
        <a:solidFill>
          <a:srgbClr val="FF0000"/>
        </a:solidFill>
      </dgm:spPr>
      <dgm:t>
        <a:bodyPr/>
        <a:lstStyle/>
        <a:p>
          <a:r>
            <a:rPr lang="es-CL"/>
            <a:t>TALLER DE MANTENIMIENTO</a:t>
          </a:r>
        </a:p>
      </dgm:t>
    </dgm:pt>
    <dgm:pt modelId="{D0090C3E-371E-4063-AACD-094C3CB9E635}" type="parTrans" cxnId="{D60E7EA9-1A5E-4E7A-8DF7-122A1B01606A}">
      <dgm:prSet/>
      <dgm:spPr/>
      <dgm:t>
        <a:bodyPr/>
        <a:lstStyle/>
        <a:p>
          <a:endParaRPr lang="es-CL"/>
        </a:p>
      </dgm:t>
    </dgm:pt>
    <dgm:pt modelId="{12BE1E1B-FAB5-4C84-9D62-75BA3733EE5A}" type="sibTrans" cxnId="{D60E7EA9-1A5E-4E7A-8DF7-122A1B01606A}">
      <dgm:prSet/>
      <dgm:spPr/>
      <dgm:t>
        <a:bodyPr/>
        <a:lstStyle/>
        <a:p>
          <a:endParaRPr lang="es-CL"/>
        </a:p>
      </dgm:t>
    </dgm:pt>
    <dgm:pt modelId="{B43E9A62-1065-4600-AC03-4CA31E3D6744}">
      <dgm:prSet phldrT="[Text]"/>
      <dgm:spPr>
        <a:solidFill>
          <a:srgbClr val="FF0000"/>
        </a:solidFill>
      </dgm:spPr>
      <dgm:t>
        <a:bodyPr/>
        <a:lstStyle/>
        <a:p>
          <a:r>
            <a:rPr lang="es-CL"/>
            <a:t>OFICINAS PRINCIPALES</a:t>
          </a:r>
        </a:p>
      </dgm:t>
    </dgm:pt>
    <dgm:pt modelId="{E33AE1F6-921A-4D23-A911-FC801ADA3B34}" type="parTrans" cxnId="{14A85A53-91CA-485B-AD84-FA173B2581CF}">
      <dgm:prSet/>
      <dgm:spPr/>
      <dgm:t>
        <a:bodyPr/>
        <a:lstStyle/>
        <a:p>
          <a:endParaRPr lang="es-CL"/>
        </a:p>
      </dgm:t>
    </dgm:pt>
    <dgm:pt modelId="{51FF7398-63F4-480D-A221-38879D5AC4B4}" type="sibTrans" cxnId="{14A85A53-91CA-485B-AD84-FA173B2581CF}">
      <dgm:prSet/>
      <dgm:spPr/>
      <dgm:t>
        <a:bodyPr/>
        <a:lstStyle/>
        <a:p>
          <a:endParaRPr lang="es-CL"/>
        </a:p>
      </dgm:t>
    </dgm:pt>
    <dgm:pt modelId="{7DADE9A0-1062-4F46-8364-6F5124CE1DBF}">
      <dgm:prSet phldrT="[Text]"/>
      <dgm:spPr>
        <a:solidFill>
          <a:srgbClr val="FF0000"/>
        </a:solidFill>
      </dgm:spPr>
      <dgm:t>
        <a:bodyPr/>
        <a:lstStyle/>
        <a:p>
          <a:r>
            <a:rPr lang="es-CL"/>
            <a:t>EDIFICIO  PRINCIPAL</a:t>
          </a:r>
        </a:p>
      </dgm:t>
    </dgm:pt>
    <dgm:pt modelId="{BE1CD02B-6417-4409-80EE-61ED141E19B8}" type="parTrans" cxnId="{0D38571E-24D1-4605-A83B-401B9F9F919E}">
      <dgm:prSet/>
      <dgm:spPr/>
      <dgm:t>
        <a:bodyPr/>
        <a:lstStyle/>
        <a:p>
          <a:endParaRPr lang="es-CL"/>
        </a:p>
      </dgm:t>
    </dgm:pt>
    <dgm:pt modelId="{525D7F7C-C036-4122-A3D7-323EA2E622EF}" type="sibTrans" cxnId="{0D38571E-24D1-4605-A83B-401B9F9F919E}">
      <dgm:prSet/>
      <dgm:spPr/>
      <dgm:t>
        <a:bodyPr/>
        <a:lstStyle/>
        <a:p>
          <a:endParaRPr lang="es-CL"/>
        </a:p>
      </dgm:t>
    </dgm:pt>
    <dgm:pt modelId="{8B2255EF-5B85-4866-B633-C308F6F2212E}" type="pres">
      <dgm:prSet presAssocID="{6FD9BD52-7869-4C21-A32B-46F0945951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3C61A6BD-1096-4221-965E-6DCBA19C228F}" type="pres">
      <dgm:prSet presAssocID="{ABB928CF-7B91-4F50-85F3-81F840FA8E07}" presName="hierRoot1" presStyleCnt="0">
        <dgm:presLayoutVars>
          <dgm:hierBranch val="init"/>
        </dgm:presLayoutVars>
      </dgm:prSet>
      <dgm:spPr/>
    </dgm:pt>
    <dgm:pt modelId="{0FB2EC2C-3B69-4DB4-8A0D-03E529699EE8}" type="pres">
      <dgm:prSet presAssocID="{ABB928CF-7B91-4F50-85F3-81F840FA8E07}" presName="rootComposite1" presStyleCnt="0"/>
      <dgm:spPr/>
    </dgm:pt>
    <dgm:pt modelId="{D6EA0742-2828-4CE9-A129-2531A776C963}" type="pres">
      <dgm:prSet presAssocID="{ABB928CF-7B91-4F50-85F3-81F840FA8E07}" presName="rootText1" presStyleLbl="node0" presStyleIdx="0" presStyleCnt="1" custLinFactNeighborX="1425" custLinFactNeighborY="-1425">
        <dgm:presLayoutVars>
          <dgm:chPref val="3"/>
        </dgm:presLayoutVars>
      </dgm:prSet>
      <dgm:spPr/>
    </dgm:pt>
    <dgm:pt modelId="{5976364E-EBD2-443B-90F0-E2D4F7D9BB1C}" type="pres">
      <dgm:prSet presAssocID="{ABB928CF-7B91-4F50-85F3-81F840FA8E07}" presName="rootConnector1" presStyleLbl="node1" presStyleIdx="0" presStyleCnt="0"/>
      <dgm:spPr/>
    </dgm:pt>
    <dgm:pt modelId="{00492EEE-7314-4680-A4E1-9E7CE2A309A6}" type="pres">
      <dgm:prSet presAssocID="{ABB928CF-7B91-4F50-85F3-81F840FA8E07}" presName="hierChild2" presStyleCnt="0"/>
      <dgm:spPr/>
    </dgm:pt>
    <dgm:pt modelId="{3DF64BAB-566C-4A87-8EE4-96C5E1A51741}" type="pres">
      <dgm:prSet presAssocID="{BE1CD02B-6417-4409-80EE-61ED141E19B8}" presName="Name37" presStyleLbl="parChTrans1D2" presStyleIdx="0" presStyleCnt="3"/>
      <dgm:spPr/>
    </dgm:pt>
    <dgm:pt modelId="{468F5581-2A1D-49AA-8CA5-61AB007E4416}" type="pres">
      <dgm:prSet presAssocID="{7DADE9A0-1062-4F46-8364-6F5124CE1DBF}" presName="hierRoot2" presStyleCnt="0">
        <dgm:presLayoutVars>
          <dgm:hierBranch val="init"/>
        </dgm:presLayoutVars>
      </dgm:prSet>
      <dgm:spPr/>
    </dgm:pt>
    <dgm:pt modelId="{CA7F526C-2440-4CF9-AD74-CB47C226E312}" type="pres">
      <dgm:prSet presAssocID="{7DADE9A0-1062-4F46-8364-6F5124CE1DBF}" presName="rootComposite" presStyleCnt="0"/>
      <dgm:spPr/>
    </dgm:pt>
    <dgm:pt modelId="{9023548B-1923-41B9-AE27-D7F52965DE18}" type="pres">
      <dgm:prSet presAssocID="{7DADE9A0-1062-4F46-8364-6F5124CE1DBF}" presName="rootText" presStyleLbl="node2" presStyleIdx="0" presStyleCnt="3">
        <dgm:presLayoutVars>
          <dgm:chPref val="3"/>
        </dgm:presLayoutVars>
      </dgm:prSet>
      <dgm:spPr/>
    </dgm:pt>
    <dgm:pt modelId="{E75038D2-6230-42E4-93BC-B875D9D1AAF9}" type="pres">
      <dgm:prSet presAssocID="{7DADE9A0-1062-4F46-8364-6F5124CE1DBF}" presName="rootConnector" presStyleLbl="node2" presStyleIdx="0" presStyleCnt="3"/>
      <dgm:spPr/>
    </dgm:pt>
    <dgm:pt modelId="{AA5E863E-5DA3-4A1D-943B-681A2D643174}" type="pres">
      <dgm:prSet presAssocID="{7DADE9A0-1062-4F46-8364-6F5124CE1DBF}" presName="hierChild4" presStyleCnt="0"/>
      <dgm:spPr/>
    </dgm:pt>
    <dgm:pt modelId="{432B76C0-8A20-4E8A-8FFA-8C82EF155040}" type="pres">
      <dgm:prSet presAssocID="{7DADE9A0-1062-4F46-8364-6F5124CE1DBF}" presName="hierChild5" presStyleCnt="0"/>
      <dgm:spPr/>
    </dgm:pt>
    <dgm:pt modelId="{4946AC3E-6FF8-4B67-83A3-5D0FFD93FE40}" type="pres">
      <dgm:prSet presAssocID="{D0090C3E-371E-4063-AACD-094C3CB9E635}" presName="Name37" presStyleLbl="parChTrans1D2" presStyleIdx="1" presStyleCnt="3"/>
      <dgm:spPr/>
    </dgm:pt>
    <dgm:pt modelId="{8652A66A-8340-448E-A7ED-37797AC76EBC}" type="pres">
      <dgm:prSet presAssocID="{13613AC0-5521-4439-849E-437D65197C58}" presName="hierRoot2" presStyleCnt="0">
        <dgm:presLayoutVars>
          <dgm:hierBranch val="init"/>
        </dgm:presLayoutVars>
      </dgm:prSet>
      <dgm:spPr/>
    </dgm:pt>
    <dgm:pt modelId="{1EE8C7EF-CEDD-442D-BC35-575E7F73F025}" type="pres">
      <dgm:prSet presAssocID="{13613AC0-5521-4439-849E-437D65197C58}" presName="rootComposite" presStyleCnt="0"/>
      <dgm:spPr/>
    </dgm:pt>
    <dgm:pt modelId="{DFCAD206-A4DA-4A78-847E-65D58F22BBF4}" type="pres">
      <dgm:prSet presAssocID="{13613AC0-5521-4439-849E-437D65197C58}" presName="rootText" presStyleLbl="node2" presStyleIdx="1" presStyleCnt="3">
        <dgm:presLayoutVars>
          <dgm:chPref val="3"/>
        </dgm:presLayoutVars>
      </dgm:prSet>
      <dgm:spPr/>
    </dgm:pt>
    <dgm:pt modelId="{4C7992D6-83C6-4AA4-A0CF-892951EC478D}" type="pres">
      <dgm:prSet presAssocID="{13613AC0-5521-4439-849E-437D65197C58}" presName="rootConnector" presStyleLbl="node2" presStyleIdx="1" presStyleCnt="3"/>
      <dgm:spPr/>
    </dgm:pt>
    <dgm:pt modelId="{BF2A4EE5-9A88-45DD-ACC9-F4DE067F86B6}" type="pres">
      <dgm:prSet presAssocID="{13613AC0-5521-4439-849E-437D65197C58}" presName="hierChild4" presStyleCnt="0"/>
      <dgm:spPr/>
    </dgm:pt>
    <dgm:pt modelId="{09E089F4-9CEF-4281-BD06-C5A8DEBB231D}" type="pres">
      <dgm:prSet presAssocID="{13613AC0-5521-4439-849E-437D65197C58}" presName="hierChild5" presStyleCnt="0"/>
      <dgm:spPr/>
    </dgm:pt>
    <dgm:pt modelId="{C9909C21-D5A7-44D4-801A-FC11374C1C01}" type="pres">
      <dgm:prSet presAssocID="{E33AE1F6-921A-4D23-A911-FC801ADA3B34}" presName="Name37" presStyleLbl="parChTrans1D2" presStyleIdx="2" presStyleCnt="3"/>
      <dgm:spPr/>
    </dgm:pt>
    <dgm:pt modelId="{FD0C9855-7B42-4EFF-9CD0-DF032A9B1F22}" type="pres">
      <dgm:prSet presAssocID="{B43E9A62-1065-4600-AC03-4CA31E3D6744}" presName="hierRoot2" presStyleCnt="0">
        <dgm:presLayoutVars>
          <dgm:hierBranch val="init"/>
        </dgm:presLayoutVars>
      </dgm:prSet>
      <dgm:spPr/>
    </dgm:pt>
    <dgm:pt modelId="{CB4ECA0B-8D1B-4412-B855-BD35B6D8AC13}" type="pres">
      <dgm:prSet presAssocID="{B43E9A62-1065-4600-AC03-4CA31E3D6744}" presName="rootComposite" presStyleCnt="0"/>
      <dgm:spPr/>
    </dgm:pt>
    <dgm:pt modelId="{20854057-6FC9-4862-B48B-509B8ACF3BB3}" type="pres">
      <dgm:prSet presAssocID="{B43E9A62-1065-4600-AC03-4CA31E3D6744}" presName="rootText" presStyleLbl="node2" presStyleIdx="2" presStyleCnt="3">
        <dgm:presLayoutVars>
          <dgm:chPref val="3"/>
        </dgm:presLayoutVars>
      </dgm:prSet>
      <dgm:spPr/>
    </dgm:pt>
    <dgm:pt modelId="{05D289A9-976E-464C-ABC2-3F1A89335C80}" type="pres">
      <dgm:prSet presAssocID="{B43E9A62-1065-4600-AC03-4CA31E3D6744}" presName="rootConnector" presStyleLbl="node2" presStyleIdx="2" presStyleCnt="3"/>
      <dgm:spPr/>
    </dgm:pt>
    <dgm:pt modelId="{F7BAEF29-ADB6-46E9-B618-1D261B07483E}" type="pres">
      <dgm:prSet presAssocID="{B43E9A62-1065-4600-AC03-4CA31E3D6744}" presName="hierChild4" presStyleCnt="0"/>
      <dgm:spPr/>
    </dgm:pt>
    <dgm:pt modelId="{C93C4A50-CDFE-44AA-BC24-FDB22D44B0C6}" type="pres">
      <dgm:prSet presAssocID="{B43E9A62-1065-4600-AC03-4CA31E3D6744}" presName="hierChild5" presStyleCnt="0"/>
      <dgm:spPr/>
    </dgm:pt>
    <dgm:pt modelId="{4632FEE9-BC22-4181-ADF2-61EB7310A3CC}" type="pres">
      <dgm:prSet presAssocID="{ABB928CF-7B91-4F50-85F3-81F840FA8E07}" presName="hierChild3" presStyleCnt="0"/>
      <dgm:spPr/>
    </dgm:pt>
  </dgm:ptLst>
  <dgm:cxnLst>
    <dgm:cxn modelId="{CCE12115-EA6A-45CB-A7F6-08C0117F3A5A}" type="presOf" srcId="{BE1CD02B-6417-4409-80EE-61ED141E19B8}" destId="{3DF64BAB-566C-4A87-8EE4-96C5E1A51741}" srcOrd="0" destOrd="0" presId="urn:microsoft.com/office/officeart/2005/8/layout/orgChart1"/>
    <dgm:cxn modelId="{0D38571E-24D1-4605-A83B-401B9F9F919E}" srcId="{ABB928CF-7B91-4F50-85F3-81F840FA8E07}" destId="{7DADE9A0-1062-4F46-8364-6F5124CE1DBF}" srcOrd="0" destOrd="0" parTransId="{BE1CD02B-6417-4409-80EE-61ED141E19B8}" sibTransId="{525D7F7C-C036-4122-A3D7-323EA2E622EF}"/>
    <dgm:cxn modelId="{A6C60F3C-EA54-463D-ADB6-907FEBD7755D}" type="presOf" srcId="{6FD9BD52-7869-4C21-A32B-46F0945951C4}" destId="{8B2255EF-5B85-4866-B633-C308F6F2212E}" srcOrd="0" destOrd="0" presId="urn:microsoft.com/office/officeart/2005/8/layout/orgChart1"/>
    <dgm:cxn modelId="{D0392365-294D-41AB-BE9E-4B1F96BB46D8}" type="presOf" srcId="{7DADE9A0-1062-4F46-8364-6F5124CE1DBF}" destId="{9023548B-1923-41B9-AE27-D7F52965DE18}" srcOrd="0" destOrd="0" presId="urn:microsoft.com/office/officeart/2005/8/layout/orgChart1"/>
    <dgm:cxn modelId="{F2AE5267-6965-40FC-BFA9-9AB72EC558B7}" type="presOf" srcId="{13613AC0-5521-4439-849E-437D65197C58}" destId="{DFCAD206-A4DA-4A78-847E-65D58F22BBF4}" srcOrd="0" destOrd="0" presId="urn:microsoft.com/office/officeart/2005/8/layout/orgChart1"/>
    <dgm:cxn modelId="{872D624D-CEB6-4BCB-A1AB-697C1AF0A5BC}" type="presOf" srcId="{ABB928CF-7B91-4F50-85F3-81F840FA8E07}" destId="{D6EA0742-2828-4CE9-A129-2531A776C963}" srcOrd="0" destOrd="0" presId="urn:microsoft.com/office/officeart/2005/8/layout/orgChart1"/>
    <dgm:cxn modelId="{14A85A53-91CA-485B-AD84-FA173B2581CF}" srcId="{ABB928CF-7B91-4F50-85F3-81F840FA8E07}" destId="{B43E9A62-1065-4600-AC03-4CA31E3D6744}" srcOrd="2" destOrd="0" parTransId="{E33AE1F6-921A-4D23-A911-FC801ADA3B34}" sibTransId="{51FF7398-63F4-480D-A221-38879D5AC4B4}"/>
    <dgm:cxn modelId="{08EF277A-B30C-4E71-97B8-55B2C0B8E5E3}" type="presOf" srcId="{7DADE9A0-1062-4F46-8364-6F5124CE1DBF}" destId="{E75038D2-6230-42E4-93BC-B875D9D1AAF9}" srcOrd="1" destOrd="0" presId="urn:microsoft.com/office/officeart/2005/8/layout/orgChart1"/>
    <dgm:cxn modelId="{3E457D9F-7268-483C-9C7B-E818600826B7}" type="presOf" srcId="{ABB928CF-7B91-4F50-85F3-81F840FA8E07}" destId="{5976364E-EBD2-443B-90F0-E2D4F7D9BB1C}" srcOrd="1" destOrd="0" presId="urn:microsoft.com/office/officeart/2005/8/layout/orgChart1"/>
    <dgm:cxn modelId="{D60E7EA9-1A5E-4E7A-8DF7-122A1B01606A}" srcId="{ABB928CF-7B91-4F50-85F3-81F840FA8E07}" destId="{13613AC0-5521-4439-849E-437D65197C58}" srcOrd="1" destOrd="0" parTransId="{D0090C3E-371E-4063-AACD-094C3CB9E635}" sibTransId="{12BE1E1B-FAB5-4C84-9D62-75BA3733EE5A}"/>
    <dgm:cxn modelId="{AAA864B4-E2B7-4BD4-953C-8CDC372DEEC5}" type="presOf" srcId="{E33AE1F6-921A-4D23-A911-FC801ADA3B34}" destId="{C9909C21-D5A7-44D4-801A-FC11374C1C01}" srcOrd="0" destOrd="0" presId="urn:microsoft.com/office/officeart/2005/8/layout/orgChart1"/>
    <dgm:cxn modelId="{741B92B4-3E5C-472D-A6B1-9129303F7D2C}" srcId="{6FD9BD52-7869-4C21-A32B-46F0945951C4}" destId="{ABB928CF-7B91-4F50-85F3-81F840FA8E07}" srcOrd="0" destOrd="0" parTransId="{2DC44F40-C9B6-441D-8C2E-06085B119E60}" sibTransId="{107E02AB-4E06-45E1-802C-98E9B0A508BB}"/>
    <dgm:cxn modelId="{A123FAC2-1DC9-4A54-9E0A-8589821F4E0D}" type="presOf" srcId="{B43E9A62-1065-4600-AC03-4CA31E3D6744}" destId="{05D289A9-976E-464C-ABC2-3F1A89335C80}" srcOrd="1" destOrd="0" presId="urn:microsoft.com/office/officeart/2005/8/layout/orgChart1"/>
    <dgm:cxn modelId="{0621EDD5-5026-4953-B8B0-C2AB348AE7E2}" type="presOf" srcId="{B43E9A62-1065-4600-AC03-4CA31E3D6744}" destId="{20854057-6FC9-4862-B48B-509B8ACF3BB3}" srcOrd="0" destOrd="0" presId="urn:microsoft.com/office/officeart/2005/8/layout/orgChart1"/>
    <dgm:cxn modelId="{8C87C3F3-4B48-43D6-902D-A672CF16DCA2}" type="presOf" srcId="{13613AC0-5521-4439-849E-437D65197C58}" destId="{4C7992D6-83C6-4AA4-A0CF-892951EC478D}" srcOrd="1" destOrd="0" presId="urn:microsoft.com/office/officeart/2005/8/layout/orgChart1"/>
    <dgm:cxn modelId="{3566DDFC-6A6F-4692-AEAD-CAAF00760288}" type="presOf" srcId="{D0090C3E-371E-4063-AACD-094C3CB9E635}" destId="{4946AC3E-6FF8-4B67-83A3-5D0FFD93FE40}" srcOrd="0" destOrd="0" presId="urn:microsoft.com/office/officeart/2005/8/layout/orgChart1"/>
    <dgm:cxn modelId="{7C6EE36E-488C-4436-BB69-C128DB24C0E3}" type="presParOf" srcId="{8B2255EF-5B85-4866-B633-C308F6F2212E}" destId="{3C61A6BD-1096-4221-965E-6DCBA19C228F}" srcOrd="0" destOrd="0" presId="urn:microsoft.com/office/officeart/2005/8/layout/orgChart1"/>
    <dgm:cxn modelId="{CCC3547C-A527-425A-99C7-A8DB5C5644EB}" type="presParOf" srcId="{3C61A6BD-1096-4221-965E-6DCBA19C228F}" destId="{0FB2EC2C-3B69-4DB4-8A0D-03E529699EE8}" srcOrd="0" destOrd="0" presId="urn:microsoft.com/office/officeart/2005/8/layout/orgChart1"/>
    <dgm:cxn modelId="{46F2F501-973F-4CF2-9D79-51E64396B8BE}" type="presParOf" srcId="{0FB2EC2C-3B69-4DB4-8A0D-03E529699EE8}" destId="{D6EA0742-2828-4CE9-A129-2531A776C963}" srcOrd="0" destOrd="0" presId="urn:microsoft.com/office/officeart/2005/8/layout/orgChart1"/>
    <dgm:cxn modelId="{863734E2-9E06-4478-A09F-F9C87706130A}" type="presParOf" srcId="{0FB2EC2C-3B69-4DB4-8A0D-03E529699EE8}" destId="{5976364E-EBD2-443B-90F0-E2D4F7D9BB1C}" srcOrd="1" destOrd="0" presId="urn:microsoft.com/office/officeart/2005/8/layout/orgChart1"/>
    <dgm:cxn modelId="{D36BDDB3-AFAC-4696-9DB2-507841A0F773}" type="presParOf" srcId="{3C61A6BD-1096-4221-965E-6DCBA19C228F}" destId="{00492EEE-7314-4680-A4E1-9E7CE2A309A6}" srcOrd="1" destOrd="0" presId="urn:microsoft.com/office/officeart/2005/8/layout/orgChart1"/>
    <dgm:cxn modelId="{BEC92BFC-0B24-4742-8917-72F66BBABDD9}" type="presParOf" srcId="{00492EEE-7314-4680-A4E1-9E7CE2A309A6}" destId="{3DF64BAB-566C-4A87-8EE4-96C5E1A51741}" srcOrd="0" destOrd="0" presId="urn:microsoft.com/office/officeart/2005/8/layout/orgChart1"/>
    <dgm:cxn modelId="{815A66A1-176C-4E67-ABA7-FC3D20D153F5}" type="presParOf" srcId="{00492EEE-7314-4680-A4E1-9E7CE2A309A6}" destId="{468F5581-2A1D-49AA-8CA5-61AB007E4416}" srcOrd="1" destOrd="0" presId="urn:microsoft.com/office/officeart/2005/8/layout/orgChart1"/>
    <dgm:cxn modelId="{C30CBF7A-D0CE-44C1-B813-C928735DE739}" type="presParOf" srcId="{468F5581-2A1D-49AA-8CA5-61AB007E4416}" destId="{CA7F526C-2440-4CF9-AD74-CB47C226E312}" srcOrd="0" destOrd="0" presId="urn:microsoft.com/office/officeart/2005/8/layout/orgChart1"/>
    <dgm:cxn modelId="{A5BD55E6-8672-4BBD-8F6E-4FA910D89736}" type="presParOf" srcId="{CA7F526C-2440-4CF9-AD74-CB47C226E312}" destId="{9023548B-1923-41B9-AE27-D7F52965DE18}" srcOrd="0" destOrd="0" presId="urn:microsoft.com/office/officeart/2005/8/layout/orgChart1"/>
    <dgm:cxn modelId="{14393AE3-D235-429C-B65C-4BE2C055ED09}" type="presParOf" srcId="{CA7F526C-2440-4CF9-AD74-CB47C226E312}" destId="{E75038D2-6230-42E4-93BC-B875D9D1AAF9}" srcOrd="1" destOrd="0" presId="urn:microsoft.com/office/officeart/2005/8/layout/orgChart1"/>
    <dgm:cxn modelId="{00B15D6E-3558-4DB4-B1D0-829C84A60D42}" type="presParOf" srcId="{468F5581-2A1D-49AA-8CA5-61AB007E4416}" destId="{AA5E863E-5DA3-4A1D-943B-681A2D643174}" srcOrd="1" destOrd="0" presId="urn:microsoft.com/office/officeart/2005/8/layout/orgChart1"/>
    <dgm:cxn modelId="{7410A1F2-4257-426E-A9B6-9098432A8E3E}" type="presParOf" srcId="{468F5581-2A1D-49AA-8CA5-61AB007E4416}" destId="{432B76C0-8A20-4E8A-8FFA-8C82EF155040}" srcOrd="2" destOrd="0" presId="urn:microsoft.com/office/officeart/2005/8/layout/orgChart1"/>
    <dgm:cxn modelId="{4796B4C1-D189-4DA5-A438-A88E1BF1FF0D}" type="presParOf" srcId="{00492EEE-7314-4680-A4E1-9E7CE2A309A6}" destId="{4946AC3E-6FF8-4B67-83A3-5D0FFD93FE40}" srcOrd="2" destOrd="0" presId="urn:microsoft.com/office/officeart/2005/8/layout/orgChart1"/>
    <dgm:cxn modelId="{CD7E81BD-320F-4FE4-B46B-F28DF80838B5}" type="presParOf" srcId="{00492EEE-7314-4680-A4E1-9E7CE2A309A6}" destId="{8652A66A-8340-448E-A7ED-37797AC76EBC}" srcOrd="3" destOrd="0" presId="urn:microsoft.com/office/officeart/2005/8/layout/orgChart1"/>
    <dgm:cxn modelId="{F5BDF10D-7952-4AF2-83B0-FAF9C9217C07}" type="presParOf" srcId="{8652A66A-8340-448E-A7ED-37797AC76EBC}" destId="{1EE8C7EF-CEDD-442D-BC35-575E7F73F025}" srcOrd="0" destOrd="0" presId="urn:microsoft.com/office/officeart/2005/8/layout/orgChart1"/>
    <dgm:cxn modelId="{C1D31758-2037-49C9-A695-01BCA77B93DD}" type="presParOf" srcId="{1EE8C7EF-CEDD-442D-BC35-575E7F73F025}" destId="{DFCAD206-A4DA-4A78-847E-65D58F22BBF4}" srcOrd="0" destOrd="0" presId="urn:microsoft.com/office/officeart/2005/8/layout/orgChart1"/>
    <dgm:cxn modelId="{82958D4B-793F-452F-9798-A5400DC5F974}" type="presParOf" srcId="{1EE8C7EF-CEDD-442D-BC35-575E7F73F025}" destId="{4C7992D6-83C6-4AA4-A0CF-892951EC478D}" srcOrd="1" destOrd="0" presId="urn:microsoft.com/office/officeart/2005/8/layout/orgChart1"/>
    <dgm:cxn modelId="{98A52753-F051-454A-A84B-AA2498A98BE7}" type="presParOf" srcId="{8652A66A-8340-448E-A7ED-37797AC76EBC}" destId="{BF2A4EE5-9A88-45DD-ACC9-F4DE067F86B6}" srcOrd="1" destOrd="0" presId="urn:microsoft.com/office/officeart/2005/8/layout/orgChart1"/>
    <dgm:cxn modelId="{413B6C0E-FE24-4DBC-B65D-E3933AE146F3}" type="presParOf" srcId="{8652A66A-8340-448E-A7ED-37797AC76EBC}" destId="{09E089F4-9CEF-4281-BD06-C5A8DEBB231D}" srcOrd="2" destOrd="0" presId="urn:microsoft.com/office/officeart/2005/8/layout/orgChart1"/>
    <dgm:cxn modelId="{F32464E4-871D-4401-80D4-6272A302093C}" type="presParOf" srcId="{00492EEE-7314-4680-A4E1-9E7CE2A309A6}" destId="{C9909C21-D5A7-44D4-801A-FC11374C1C01}" srcOrd="4" destOrd="0" presId="urn:microsoft.com/office/officeart/2005/8/layout/orgChart1"/>
    <dgm:cxn modelId="{A6D226B3-DA8D-4794-9B70-774C2AE46CFC}" type="presParOf" srcId="{00492EEE-7314-4680-A4E1-9E7CE2A309A6}" destId="{FD0C9855-7B42-4EFF-9CD0-DF032A9B1F22}" srcOrd="5" destOrd="0" presId="urn:microsoft.com/office/officeart/2005/8/layout/orgChart1"/>
    <dgm:cxn modelId="{ACB63E11-0139-432D-ADB8-6D449274DF13}" type="presParOf" srcId="{FD0C9855-7B42-4EFF-9CD0-DF032A9B1F22}" destId="{CB4ECA0B-8D1B-4412-B855-BD35B6D8AC13}" srcOrd="0" destOrd="0" presId="urn:microsoft.com/office/officeart/2005/8/layout/orgChart1"/>
    <dgm:cxn modelId="{D0169325-9286-4F5A-A631-7C1ADC7F6F0E}" type="presParOf" srcId="{CB4ECA0B-8D1B-4412-B855-BD35B6D8AC13}" destId="{20854057-6FC9-4862-B48B-509B8ACF3BB3}" srcOrd="0" destOrd="0" presId="urn:microsoft.com/office/officeart/2005/8/layout/orgChart1"/>
    <dgm:cxn modelId="{FF5CF5BB-F7FD-41D1-97CF-D83EF93A279F}" type="presParOf" srcId="{CB4ECA0B-8D1B-4412-B855-BD35B6D8AC13}" destId="{05D289A9-976E-464C-ABC2-3F1A89335C80}" srcOrd="1" destOrd="0" presId="urn:microsoft.com/office/officeart/2005/8/layout/orgChart1"/>
    <dgm:cxn modelId="{81B555D5-871F-4B80-A05B-E0BB35BF05C5}" type="presParOf" srcId="{FD0C9855-7B42-4EFF-9CD0-DF032A9B1F22}" destId="{F7BAEF29-ADB6-46E9-B618-1D261B07483E}" srcOrd="1" destOrd="0" presId="urn:microsoft.com/office/officeart/2005/8/layout/orgChart1"/>
    <dgm:cxn modelId="{D6278E40-0362-40DC-9FDA-A764DBD5482F}" type="presParOf" srcId="{FD0C9855-7B42-4EFF-9CD0-DF032A9B1F22}" destId="{C93C4A50-CDFE-44AA-BC24-FDB22D44B0C6}" srcOrd="2" destOrd="0" presId="urn:microsoft.com/office/officeart/2005/8/layout/orgChart1"/>
    <dgm:cxn modelId="{8709AF04-12A3-487A-801E-EF40F240144A}" type="presParOf" srcId="{3C61A6BD-1096-4221-965E-6DCBA19C228F}" destId="{4632FEE9-BC22-4181-ADF2-61EB7310A3CC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6FD9BD52-7869-4C21-A32B-46F0945951C4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s-CL"/>
        </a:p>
      </dgm:t>
    </dgm:pt>
    <dgm:pt modelId="{ABB928CF-7B91-4F50-85F3-81F840FA8E07}">
      <dgm:prSet phldrT="[Text]"/>
      <dgm:spPr/>
      <dgm:t>
        <a:bodyPr/>
        <a:lstStyle/>
        <a:p>
          <a:r>
            <a:rPr lang="es-CL"/>
            <a:t>EDIFICIO PRINCIPAL</a:t>
          </a:r>
        </a:p>
      </dgm:t>
    </dgm:pt>
    <dgm:pt modelId="{2DC44F40-C9B6-441D-8C2E-06085B119E60}" type="parTrans" cxnId="{741B92B4-3E5C-472D-A6B1-9129303F7D2C}">
      <dgm:prSet/>
      <dgm:spPr/>
      <dgm:t>
        <a:bodyPr/>
        <a:lstStyle/>
        <a:p>
          <a:endParaRPr lang="es-CL"/>
        </a:p>
      </dgm:t>
    </dgm:pt>
    <dgm:pt modelId="{107E02AB-4E06-45E1-802C-98E9B0A508BB}" type="sibTrans" cxnId="{741B92B4-3E5C-472D-A6B1-9129303F7D2C}">
      <dgm:prSet/>
      <dgm:spPr/>
      <dgm:t>
        <a:bodyPr/>
        <a:lstStyle/>
        <a:p>
          <a:endParaRPr lang="es-CL"/>
        </a:p>
      </dgm:t>
    </dgm:pt>
    <dgm:pt modelId="{13613AC0-5521-4439-849E-437D65197C58}">
      <dgm:prSet phldrT="[Text]"/>
      <dgm:spPr/>
      <dgm:t>
        <a:bodyPr/>
        <a:lstStyle/>
        <a:p>
          <a:r>
            <a:rPr lang="es-CL"/>
            <a:t>Movimientos de tierras y Obras Civiles</a:t>
          </a:r>
        </a:p>
      </dgm:t>
    </dgm:pt>
    <dgm:pt modelId="{D0090C3E-371E-4063-AACD-094C3CB9E635}" type="parTrans" cxnId="{D60E7EA9-1A5E-4E7A-8DF7-122A1B01606A}">
      <dgm:prSet/>
      <dgm:spPr/>
      <dgm:t>
        <a:bodyPr/>
        <a:lstStyle/>
        <a:p>
          <a:endParaRPr lang="es-CL"/>
        </a:p>
      </dgm:t>
    </dgm:pt>
    <dgm:pt modelId="{12BE1E1B-FAB5-4C84-9D62-75BA3733EE5A}" type="sibTrans" cxnId="{D60E7EA9-1A5E-4E7A-8DF7-122A1B01606A}">
      <dgm:prSet/>
      <dgm:spPr/>
      <dgm:t>
        <a:bodyPr/>
        <a:lstStyle/>
        <a:p>
          <a:endParaRPr lang="es-CL"/>
        </a:p>
      </dgm:t>
    </dgm:pt>
    <dgm:pt modelId="{B43E9A62-1065-4600-AC03-4CA31E3D6744}">
      <dgm:prSet phldrT="[Text]"/>
      <dgm:spPr/>
      <dgm:t>
        <a:bodyPr/>
        <a:lstStyle/>
        <a:p>
          <a:r>
            <a:rPr lang="es-CL"/>
            <a:t>Estructuras </a:t>
          </a:r>
        </a:p>
      </dgm:t>
    </dgm:pt>
    <dgm:pt modelId="{E33AE1F6-921A-4D23-A911-FC801ADA3B34}" type="parTrans" cxnId="{14A85A53-91CA-485B-AD84-FA173B2581CF}">
      <dgm:prSet/>
      <dgm:spPr/>
      <dgm:t>
        <a:bodyPr/>
        <a:lstStyle/>
        <a:p>
          <a:endParaRPr lang="es-CL"/>
        </a:p>
      </dgm:t>
    </dgm:pt>
    <dgm:pt modelId="{51FF7398-63F4-480D-A221-38879D5AC4B4}" type="sibTrans" cxnId="{14A85A53-91CA-485B-AD84-FA173B2581CF}">
      <dgm:prSet/>
      <dgm:spPr/>
      <dgm:t>
        <a:bodyPr/>
        <a:lstStyle/>
        <a:p>
          <a:endParaRPr lang="es-CL"/>
        </a:p>
      </dgm:t>
    </dgm:pt>
    <dgm:pt modelId="{3F58680A-2CCF-4A3B-9350-CED6BF78F651}">
      <dgm:prSet phldrT="[Text]"/>
      <dgm:spPr/>
      <dgm:t>
        <a:bodyPr/>
        <a:lstStyle/>
        <a:p>
          <a:r>
            <a:rPr lang="es-CL"/>
            <a:t>Mecánica y Cañerias</a:t>
          </a:r>
        </a:p>
      </dgm:t>
    </dgm:pt>
    <dgm:pt modelId="{578DD9C3-7341-4F93-8E3D-DFB7A0858085}" type="parTrans" cxnId="{0AC2A381-E7E1-4ECF-9D71-8DE3F9A340EA}">
      <dgm:prSet/>
      <dgm:spPr/>
      <dgm:t>
        <a:bodyPr/>
        <a:lstStyle/>
        <a:p>
          <a:endParaRPr lang="es-CL"/>
        </a:p>
      </dgm:t>
    </dgm:pt>
    <dgm:pt modelId="{44974A32-BEE5-4F5C-9091-6A1673BC3586}" type="sibTrans" cxnId="{0AC2A381-E7E1-4ECF-9D71-8DE3F9A340EA}">
      <dgm:prSet/>
      <dgm:spPr/>
      <dgm:t>
        <a:bodyPr/>
        <a:lstStyle/>
        <a:p>
          <a:endParaRPr lang="es-CL"/>
        </a:p>
      </dgm:t>
    </dgm:pt>
    <dgm:pt modelId="{C6EDAFD1-3CCB-4691-9D51-66CB78D51DA5}">
      <dgm:prSet phldrT="[Text]"/>
      <dgm:spPr/>
      <dgm:t>
        <a:bodyPr/>
        <a:lstStyle/>
        <a:p>
          <a:r>
            <a:rPr lang="es-CL"/>
            <a:t>Electricidad e Instrumentación</a:t>
          </a:r>
        </a:p>
      </dgm:t>
    </dgm:pt>
    <dgm:pt modelId="{23B5731B-7AD9-4DF4-8674-7F38B2F58CC2}" type="parTrans" cxnId="{4A5629AF-CCCC-44BE-9E30-8D083539D7EB}">
      <dgm:prSet/>
      <dgm:spPr/>
      <dgm:t>
        <a:bodyPr/>
        <a:lstStyle/>
        <a:p>
          <a:endParaRPr lang="es-CL"/>
        </a:p>
      </dgm:t>
    </dgm:pt>
    <dgm:pt modelId="{AA67FC18-EE3A-4CA2-8222-13C6D9FB117F}" type="sibTrans" cxnId="{4A5629AF-CCCC-44BE-9E30-8D083539D7EB}">
      <dgm:prSet/>
      <dgm:spPr/>
      <dgm:t>
        <a:bodyPr/>
        <a:lstStyle/>
        <a:p>
          <a:endParaRPr lang="es-CL"/>
        </a:p>
      </dgm:t>
    </dgm:pt>
    <dgm:pt modelId="{C86CA9C2-AEF3-403A-B4BC-0F56C8FD82FB}">
      <dgm:prSet/>
      <dgm:spPr>
        <a:solidFill>
          <a:schemeClr val="accent4"/>
        </a:solidFill>
      </dgm:spPr>
      <dgm:t>
        <a:bodyPr/>
        <a:lstStyle/>
        <a:p>
          <a:r>
            <a:rPr lang="es-CL">
              <a:solidFill>
                <a:sysClr val="windowText" lastClr="000000"/>
              </a:solidFill>
            </a:rPr>
            <a:t>EST</a:t>
          </a:r>
        </a:p>
      </dgm:t>
    </dgm:pt>
    <dgm:pt modelId="{2F717B62-D367-4163-866B-2DF614BD942F}" type="parTrans" cxnId="{CF946DE9-FA3A-4345-8A78-A0BF9FDF170D}">
      <dgm:prSet/>
      <dgm:spPr/>
      <dgm:t>
        <a:bodyPr/>
        <a:lstStyle/>
        <a:p>
          <a:endParaRPr lang="es-CL"/>
        </a:p>
      </dgm:t>
    </dgm:pt>
    <dgm:pt modelId="{9359FA83-F491-46AE-B959-1C993469E1AA}" type="sibTrans" cxnId="{CF946DE9-FA3A-4345-8A78-A0BF9FDF170D}">
      <dgm:prSet/>
      <dgm:spPr/>
      <dgm:t>
        <a:bodyPr/>
        <a:lstStyle/>
        <a:p>
          <a:endParaRPr lang="es-CL"/>
        </a:p>
      </dgm:t>
    </dgm:pt>
    <dgm:pt modelId="{644B2F6B-091B-4566-8ABC-818454C5D58A}">
      <dgm:prSet/>
      <dgm:spPr>
        <a:solidFill>
          <a:schemeClr val="accent4"/>
        </a:solidFill>
      </dgm:spPr>
      <dgm:t>
        <a:bodyPr/>
        <a:lstStyle/>
        <a:p>
          <a:r>
            <a:rPr lang="es-CL">
              <a:solidFill>
                <a:sysClr val="windowText" lastClr="000000"/>
              </a:solidFill>
            </a:rPr>
            <a:t>Movimientos de Tierras</a:t>
          </a:r>
        </a:p>
      </dgm:t>
    </dgm:pt>
    <dgm:pt modelId="{F151B57D-72DA-495E-9049-8BC7190CBDF4}" type="parTrans" cxnId="{8B5D04B1-B1B7-4906-B251-012BE4E3D6B2}">
      <dgm:prSet/>
      <dgm:spPr/>
      <dgm:t>
        <a:bodyPr/>
        <a:lstStyle/>
        <a:p>
          <a:endParaRPr lang="es-CL"/>
        </a:p>
      </dgm:t>
    </dgm:pt>
    <dgm:pt modelId="{ED22DB4E-9DD8-4F35-B110-0EFA18FFDA44}" type="sibTrans" cxnId="{8B5D04B1-B1B7-4906-B251-012BE4E3D6B2}">
      <dgm:prSet/>
      <dgm:spPr/>
      <dgm:t>
        <a:bodyPr/>
        <a:lstStyle/>
        <a:p>
          <a:endParaRPr lang="es-CL"/>
        </a:p>
      </dgm:t>
    </dgm:pt>
    <dgm:pt modelId="{8CF46D1B-97CD-4EAB-A1F3-EDA48DD64A11}">
      <dgm:prSet/>
      <dgm:spPr>
        <a:solidFill>
          <a:schemeClr val="accent4"/>
        </a:solidFill>
      </dgm:spPr>
      <dgm:t>
        <a:bodyPr/>
        <a:lstStyle/>
        <a:p>
          <a:r>
            <a:rPr lang="es-CL">
              <a:solidFill>
                <a:sysClr val="windowText" lastClr="000000"/>
              </a:solidFill>
            </a:rPr>
            <a:t>MC</a:t>
          </a:r>
        </a:p>
      </dgm:t>
    </dgm:pt>
    <dgm:pt modelId="{D82F297E-34F6-47ED-9F65-2C71A04B8ECA}" type="parTrans" cxnId="{BA3846E8-F44F-4798-AD7F-D98F86CE961A}">
      <dgm:prSet/>
      <dgm:spPr/>
      <dgm:t>
        <a:bodyPr/>
        <a:lstStyle/>
        <a:p>
          <a:endParaRPr lang="es-CL"/>
        </a:p>
      </dgm:t>
    </dgm:pt>
    <dgm:pt modelId="{9FF6252A-2B10-40FD-ABA2-7BF3B15E79A9}" type="sibTrans" cxnId="{BA3846E8-F44F-4798-AD7F-D98F86CE961A}">
      <dgm:prSet/>
      <dgm:spPr/>
      <dgm:t>
        <a:bodyPr/>
        <a:lstStyle/>
        <a:p>
          <a:endParaRPr lang="es-CL"/>
        </a:p>
      </dgm:t>
    </dgm:pt>
    <dgm:pt modelId="{993C6604-4A3C-40C7-9CB0-8EFA95504BD9}">
      <dgm:prSet/>
      <dgm:spPr>
        <a:solidFill>
          <a:schemeClr val="accent4"/>
        </a:solidFill>
      </dgm:spPr>
      <dgm:t>
        <a:bodyPr/>
        <a:lstStyle/>
        <a:p>
          <a:r>
            <a:rPr lang="es-CL">
              <a:solidFill>
                <a:sysClr val="windowText" lastClr="000000"/>
              </a:solidFill>
            </a:rPr>
            <a:t>EI</a:t>
          </a:r>
        </a:p>
      </dgm:t>
    </dgm:pt>
    <dgm:pt modelId="{236161AD-A6D1-49DA-90CB-4937FEC08C65}" type="parTrans" cxnId="{914451D9-C09A-4BE7-9DB6-D8EC51EDF846}">
      <dgm:prSet/>
      <dgm:spPr/>
      <dgm:t>
        <a:bodyPr/>
        <a:lstStyle/>
        <a:p>
          <a:endParaRPr lang="es-CL"/>
        </a:p>
      </dgm:t>
    </dgm:pt>
    <dgm:pt modelId="{47DDC5D6-EA0F-407D-A55E-97B3F0B30E0D}" type="sibTrans" cxnId="{914451D9-C09A-4BE7-9DB6-D8EC51EDF846}">
      <dgm:prSet/>
      <dgm:spPr/>
      <dgm:t>
        <a:bodyPr/>
        <a:lstStyle/>
        <a:p>
          <a:endParaRPr lang="es-CL"/>
        </a:p>
      </dgm:t>
    </dgm:pt>
    <dgm:pt modelId="{80A53DA7-C782-46B8-B216-809396FCB679}" type="asst">
      <dgm:prSet/>
      <dgm:spPr>
        <a:solidFill>
          <a:schemeClr val="accent6"/>
        </a:solidFill>
      </dgm:spPr>
      <dgm:t>
        <a:bodyPr/>
        <a:lstStyle/>
        <a:p>
          <a:r>
            <a:rPr lang="es-CL"/>
            <a:t>Labor</a:t>
          </a:r>
        </a:p>
      </dgm:t>
    </dgm:pt>
    <dgm:pt modelId="{A752760D-C34A-4875-A3BF-895C7A274685}" type="parTrans" cxnId="{F983EE06-9F39-4659-8756-5AFBACE5ABE1}">
      <dgm:prSet/>
      <dgm:spPr/>
      <dgm:t>
        <a:bodyPr/>
        <a:lstStyle/>
        <a:p>
          <a:endParaRPr lang="es-CL"/>
        </a:p>
      </dgm:t>
    </dgm:pt>
    <dgm:pt modelId="{7C6D3C71-F28A-48B9-A03B-8BE2B615BF9D}" type="sibTrans" cxnId="{F983EE06-9F39-4659-8756-5AFBACE5ABE1}">
      <dgm:prSet/>
      <dgm:spPr/>
      <dgm:t>
        <a:bodyPr/>
        <a:lstStyle/>
        <a:p>
          <a:endParaRPr lang="es-CL"/>
        </a:p>
      </dgm:t>
    </dgm:pt>
    <dgm:pt modelId="{4E80DB72-2384-48FC-97F5-8A45F343CB81}" type="asst">
      <dgm:prSet/>
      <dgm:spPr>
        <a:solidFill>
          <a:schemeClr val="accent6"/>
        </a:solidFill>
      </dgm:spPr>
      <dgm:t>
        <a:bodyPr/>
        <a:lstStyle/>
        <a:p>
          <a:r>
            <a:rPr lang="es-CL"/>
            <a:t>Materiales</a:t>
          </a:r>
        </a:p>
      </dgm:t>
    </dgm:pt>
    <dgm:pt modelId="{0D018994-6584-4C33-9314-0265F2A85C35}" type="parTrans" cxnId="{C5D25D47-4678-41BC-9BD9-BC00071EF395}">
      <dgm:prSet/>
      <dgm:spPr/>
      <dgm:t>
        <a:bodyPr/>
        <a:lstStyle/>
        <a:p>
          <a:endParaRPr lang="es-CL"/>
        </a:p>
      </dgm:t>
    </dgm:pt>
    <dgm:pt modelId="{B3C65DD8-D120-4985-AC7E-6ACB7880FD35}" type="sibTrans" cxnId="{C5D25D47-4678-41BC-9BD9-BC00071EF395}">
      <dgm:prSet/>
      <dgm:spPr/>
      <dgm:t>
        <a:bodyPr/>
        <a:lstStyle/>
        <a:p>
          <a:endParaRPr lang="es-CL"/>
        </a:p>
      </dgm:t>
    </dgm:pt>
    <dgm:pt modelId="{15B30287-3D5B-431A-8D90-255E13B39260}">
      <dgm:prSet/>
      <dgm:spPr/>
      <dgm:t>
        <a:bodyPr/>
        <a:lstStyle/>
        <a:p>
          <a:r>
            <a:rPr lang="es-CL"/>
            <a:t>HH Construcción</a:t>
          </a:r>
        </a:p>
      </dgm:t>
    </dgm:pt>
    <dgm:pt modelId="{D4C3B44C-5DEC-4FBE-A20D-39D4836ADF5E}" type="parTrans" cxnId="{A6776497-5427-4D59-A4C4-6E2471EF2545}">
      <dgm:prSet/>
      <dgm:spPr/>
      <dgm:t>
        <a:bodyPr/>
        <a:lstStyle/>
        <a:p>
          <a:endParaRPr lang="es-CL"/>
        </a:p>
      </dgm:t>
    </dgm:pt>
    <dgm:pt modelId="{8BF635A9-9992-4C9E-86AD-7890DC81FFB2}" type="sibTrans" cxnId="{A6776497-5427-4D59-A4C4-6E2471EF2545}">
      <dgm:prSet/>
      <dgm:spPr/>
      <dgm:t>
        <a:bodyPr/>
        <a:lstStyle/>
        <a:p>
          <a:endParaRPr lang="es-CL"/>
        </a:p>
      </dgm:t>
    </dgm:pt>
    <dgm:pt modelId="{0F7C0021-810C-47FC-98DB-343145BC1693}">
      <dgm:prSet/>
      <dgm:spPr/>
      <dgm:t>
        <a:bodyPr/>
        <a:lstStyle/>
        <a:p>
          <a:r>
            <a:rPr lang="es-CL"/>
            <a:t>EXCAVACIÓN</a:t>
          </a:r>
        </a:p>
      </dgm:t>
    </dgm:pt>
    <dgm:pt modelId="{9B188705-4F82-4DEE-96FC-423A796FBF60}" type="parTrans" cxnId="{C4FD1472-3074-4D99-8792-BBC9ECEFC6B9}">
      <dgm:prSet/>
      <dgm:spPr/>
      <dgm:t>
        <a:bodyPr/>
        <a:lstStyle/>
        <a:p>
          <a:endParaRPr lang="es-CL"/>
        </a:p>
      </dgm:t>
    </dgm:pt>
    <dgm:pt modelId="{96544420-8D42-42BA-9DF9-1FA286E6C25B}" type="sibTrans" cxnId="{C4FD1472-3074-4D99-8792-BBC9ECEFC6B9}">
      <dgm:prSet/>
      <dgm:spPr/>
      <dgm:t>
        <a:bodyPr/>
        <a:lstStyle/>
        <a:p>
          <a:endParaRPr lang="es-CL"/>
        </a:p>
      </dgm:t>
    </dgm:pt>
    <dgm:pt modelId="{1061C6D9-13CE-4EF9-8E5F-D3F21E7EE44E}">
      <dgm:prSet/>
      <dgm:spPr/>
      <dgm:t>
        <a:bodyPr/>
        <a:lstStyle/>
        <a:p>
          <a:r>
            <a:rPr lang="es-CL"/>
            <a:t>RELLENOS</a:t>
          </a:r>
        </a:p>
      </dgm:t>
    </dgm:pt>
    <dgm:pt modelId="{8895F5CF-72E2-4A6A-9709-A3B24E49FBE7}" type="parTrans" cxnId="{456157D0-F286-4274-81EB-61B5FEA56B68}">
      <dgm:prSet/>
      <dgm:spPr/>
      <dgm:t>
        <a:bodyPr/>
        <a:lstStyle/>
        <a:p>
          <a:endParaRPr lang="es-CL"/>
        </a:p>
      </dgm:t>
    </dgm:pt>
    <dgm:pt modelId="{73C8573F-1656-4F27-8118-76DBA88AE426}" type="sibTrans" cxnId="{456157D0-F286-4274-81EB-61B5FEA56B68}">
      <dgm:prSet/>
      <dgm:spPr/>
      <dgm:t>
        <a:bodyPr/>
        <a:lstStyle/>
        <a:p>
          <a:endParaRPr lang="es-CL"/>
        </a:p>
      </dgm:t>
    </dgm:pt>
    <dgm:pt modelId="{29D43A8C-61AF-41B9-BB45-6B049D24BA28}">
      <dgm:prSet/>
      <dgm:spPr/>
      <dgm:t>
        <a:bodyPr/>
        <a:lstStyle/>
        <a:p>
          <a:r>
            <a:rPr lang="es-CL"/>
            <a:t>CONCERTO</a:t>
          </a:r>
        </a:p>
      </dgm:t>
    </dgm:pt>
    <dgm:pt modelId="{08C1326A-963F-4C8A-8AB7-1EB105A7B2B7}" type="parTrans" cxnId="{8FD59033-E248-4520-817D-117E96C4649C}">
      <dgm:prSet/>
      <dgm:spPr/>
      <dgm:t>
        <a:bodyPr/>
        <a:lstStyle/>
        <a:p>
          <a:endParaRPr lang="es-CL"/>
        </a:p>
      </dgm:t>
    </dgm:pt>
    <dgm:pt modelId="{27EF675E-9B71-43CC-8F52-5CA13E4A22E5}" type="sibTrans" cxnId="{8FD59033-E248-4520-817D-117E96C4649C}">
      <dgm:prSet/>
      <dgm:spPr/>
      <dgm:t>
        <a:bodyPr/>
        <a:lstStyle/>
        <a:p>
          <a:endParaRPr lang="es-CL"/>
        </a:p>
      </dgm:t>
    </dgm:pt>
    <dgm:pt modelId="{69484683-C92E-4225-8E2D-88F63A511FC0}">
      <dgm:prSet/>
      <dgm:spPr/>
      <dgm:t>
        <a:bodyPr/>
        <a:lstStyle/>
        <a:p>
          <a:r>
            <a:rPr lang="es-CL"/>
            <a:t>Otros Materiales</a:t>
          </a:r>
        </a:p>
      </dgm:t>
    </dgm:pt>
    <dgm:pt modelId="{4D063C3C-D433-463C-9840-403767124E7E}" type="parTrans" cxnId="{DE726875-480A-44C8-BB2C-F932C6FBCD8D}">
      <dgm:prSet/>
      <dgm:spPr/>
      <dgm:t>
        <a:bodyPr/>
        <a:lstStyle/>
        <a:p>
          <a:endParaRPr lang="es-CL"/>
        </a:p>
      </dgm:t>
    </dgm:pt>
    <dgm:pt modelId="{C4213A6F-B6E3-44B5-81F2-E1E2C78E04F5}" type="sibTrans" cxnId="{DE726875-480A-44C8-BB2C-F932C6FBCD8D}">
      <dgm:prSet/>
      <dgm:spPr/>
      <dgm:t>
        <a:bodyPr/>
        <a:lstStyle/>
        <a:p>
          <a:endParaRPr lang="es-CL"/>
        </a:p>
      </dgm:t>
    </dgm:pt>
    <dgm:pt modelId="{8B2255EF-5B85-4866-B633-C308F6F2212E}" type="pres">
      <dgm:prSet presAssocID="{6FD9BD52-7869-4C21-A32B-46F0945951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3C61A6BD-1096-4221-965E-6DCBA19C228F}" type="pres">
      <dgm:prSet presAssocID="{ABB928CF-7B91-4F50-85F3-81F840FA8E07}" presName="hierRoot1" presStyleCnt="0">
        <dgm:presLayoutVars>
          <dgm:hierBranch val="init"/>
        </dgm:presLayoutVars>
      </dgm:prSet>
      <dgm:spPr/>
    </dgm:pt>
    <dgm:pt modelId="{0FB2EC2C-3B69-4DB4-8A0D-03E529699EE8}" type="pres">
      <dgm:prSet presAssocID="{ABB928CF-7B91-4F50-85F3-81F840FA8E07}" presName="rootComposite1" presStyleCnt="0"/>
      <dgm:spPr/>
    </dgm:pt>
    <dgm:pt modelId="{D6EA0742-2828-4CE9-A129-2531A776C963}" type="pres">
      <dgm:prSet presAssocID="{ABB928CF-7B91-4F50-85F3-81F840FA8E07}" presName="rootText1" presStyleLbl="node0" presStyleIdx="0" presStyleCnt="1" custLinFactNeighborX="1425" custLinFactNeighborY="-1425">
        <dgm:presLayoutVars>
          <dgm:chPref val="3"/>
        </dgm:presLayoutVars>
      </dgm:prSet>
      <dgm:spPr/>
    </dgm:pt>
    <dgm:pt modelId="{5976364E-EBD2-443B-90F0-E2D4F7D9BB1C}" type="pres">
      <dgm:prSet presAssocID="{ABB928CF-7B91-4F50-85F3-81F840FA8E07}" presName="rootConnector1" presStyleLbl="node1" presStyleIdx="0" presStyleCnt="0"/>
      <dgm:spPr/>
    </dgm:pt>
    <dgm:pt modelId="{00492EEE-7314-4680-A4E1-9E7CE2A309A6}" type="pres">
      <dgm:prSet presAssocID="{ABB928CF-7B91-4F50-85F3-81F840FA8E07}" presName="hierChild2" presStyleCnt="0"/>
      <dgm:spPr/>
    </dgm:pt>
    <dgm:pt modelId="{4946AC3E-6FF8-4B67-83A3-5D0FFD93FE40}" type="pres">
      <dgm:prSet presAssocID="{D0090C3E-371E-4063-AACD-094C3CB9E635}" presName="Name37" presStyleLbl="parChTrans1D2" presStyleIdx="0" presStyleCnt="4"/>
      <dgm:spPr/>
    </dgm:pt>
    <dgm:pt modelId="{8652A66A-8340-448E-A7ED-37797AC76EBC}" type="pres">
      <dgm:prSet presAssocID="{13613AC0-5521-4439-849E-437D65197C58}" presName="hierRoot2" presStyleCnt="0">
        <dgm:presLayoutVars>
          <dgm:hierBranch val="init"/>
        </dgm:presLayoutVars>
      </dgm:prSet>
      <dgm:spPr/>
    </dgm:pt>
    <dgm:pt modelId="{1EE8C7EF-CEDD-442D-BC35-575E7F73F025}" type="pres">
      <dgm:prSet presAssocID="{13613AC0-5521-4439-849E-437D65197C58}" presName="rootComposite" presStyleCnt="0"/>
      <dgm:spPr/>
    </dgm:pt>
    <dgm:pt modelId="{DFCAD206-A4DA-4A78-847E-65D58F22BBF4}" type="pres">
      <dgm:prSet presAssocID="{13613AC0-5521-4439-849E-437D65197C58}" presName="rootText" presStyleLbl="node2" presStyleIdx="0" presStyleCnt="4">
        <dgm:presLayoutVars>
          <dgm:chPref val="3"/>
        </dgm:presLayoutVars>
      </dgm:prSet>
      <dgm:spPr/>
    </dgm:pt>
    <dgm:pt modelId="{4C7992D6-83C6-4AA4-A0CF-892951EC478D}" type="pres">
      <dgm:prSet presAssocID="{13613AC0-5521-4439-849E-437D65197C58}" presName="rootConnector" presStyleLbl="node2" presStyleIdx="0" presStyleCnt="4"/>
      <dgm:spPr/>
    </dgm:pt>
    <dgm:pt modelId="{BF2A4EE5-9A88-45DD-ACC9-F4DE067F86B6}" type="pres">
      <dgm:prSet presAssocID="{13613AC0-5521-4439-849E-437D65197C58}" presName="hierChild4" presStyleCnt="0"/>
      <dgm:spPr/>
    </dgm:pt>
    <dgm:pt modelId="{C8A6D74C-1FA3-4F16-952D-DD789DB8AECF}" type="pres">
      <dgm:prSet presAssocID="{F151B57D-72DA-495E-9049-8BC7190CBDF4}" presName="Name37" presStyleLbl="parChTrans1D3" presStyleIdx="0" presStyleCnt="4"/>
      <dgm:spPr/>
    </dgm:pt>
    <dgm:pt modelId="{D441B3D0-0956-4E74-9B34-2FB4BE2CBE69}" type="pres">
      <dgm:prSet presAssocID="{644B2F6B-091B-4566-8ABC-818454C5D58A}" presName="hierRoot2" presStyleCnt="0">
        <dgm:presLayoutVars>
          <dgm:hierBranch val="init"/>
        </dgm:presLayoutVars>
      </dgm:prSet>
      <dgm:spPr/>
    </dgm:pt>
    <dgm:pt modelId="{4502CB98-B54D-45B7-8754-BAC00541203C}" type="pres">
      <dgm:prSet presAssocID="{644B2F6B-091B-4566-8ABC-818454C5D58A}" presName="rootComposite" presStyleCnt="0"/>
      <dgm:spPr/>
    </dgm:pt>
    <dgm:pt modelId="{F851F948-20EE-42C1-8874-9CC86EBC782E}" type="pres">
      <dgm:prSet presAssocID="{644B2F6B-091B-4566-8ABC-818454C5D58A}" presName="rootText" presStyleLbl="node3" presStyleIdx="0" presStyleCnt="4" custLinFactNeighborY="6511">
        <dgm:presLayoutVars>
          <dgm:chPref val="3"/>
        </dgm:presLayoutVars>
      </dgm:prSet>
      <dgm:spPr/>
    </dgm:pt>
    <dgm:pt modelId="{2092AF77-4085-4A7D-8B06-AD3C2AAD7F6C}" type="pres">
      <dgm:prSet presAssocID="{644B2F6B-091B-4566-8ABC-818454C5D58A}" presName="rootConnector" presStyleLbl="node3" presStyleIdx="0" presStyleCnt="4"/>
      <dgm:spPr/>
    </dgm:pt>
    <dgm:pt modelId="{A69520D1-B52A-429E-A1A3-62F08DD4CBC0}" type="pres">
      <dgm:prSet presAssocID="{644B2F6B-091B-4566-8ABC-818454C5D58A}" presName="hierChild4" presStyleCnt="0"/>
      <dgm:spPr/>
    </dgm:pt>
    <dgm:pt modelId="{3084B56E-9823-4AD9-A806-00EBDD9B9814}" type="pres">
      <dgm:prSet presAssocID="{644B2F6B-091B-4566-8ABC-818454C5D58A}" presName="hierChild5" presStyleCnt="0"/>
      <dgm:spPr/>
    </dgm:pt>
    <dgm:pt modelId="{77D4A3BF-9053-4828-A0E5-91C540E38F05}" type="pres">
      <dgm:prSet presAssocID="{A752760D-C34A-4875-A3BF-895C7A274685}" presName="Name111" presStyleLbl="parChTrans1D4" presStyleIdx="0" presStyleCnt="7"/>
      <dgm:spPr/>
    </dgm:pt>
    <dgm:pt modelId="{9F69814E-D4DC-4444-8B87-AE4C7BB3955F}" type="pres">
      <dgm:prSet presAssocID="{80A53DA7-C782-46B8-B216-809396FCB679}" presName="hierRoot3" presStyleCnt="0">
        <dgm:presLayoutVars>
          <dgm:hierBranch val="init"/>
        </dgm:presLayoutVars>
      </dgm:prSet>
      <dgm:spPr/>
    </dgm:pt>
    <dgm:pt modelId="{CA7F8866-9611-4B36-AB5C-8A5A4E231A75}" type="pres">
      <dgm:prSet presAssocID="{80A53DA7-C782-46B8-B216-809396FCB679}" presName="rootComposite3" presStyleCnt="0"/>
      <dgm:spPr/>
    </dgm:pt>
    <dgm:pt modelId="{DBBDBC71-12CB-42EC-98B0-E920ED4248D0}" type="pres">
      <dgm:prSet presAssocID="{80A53DA7-C782-46B8-B216-809396FCB679}" presName="rootText3" presStyleLbl="asst3" presStyleIdx="0" presStyleCnt="2">
        <dgm:presLayoutVars>
          <dgm:chPref val="3"/>
        </dgm:presLayoutVars>
      </dgm:prSet>
      <dgm:spPr/>
    </dgm:pt>
    <dgm:pt modelId="{5F6188AB-B151-4E5A-9CB3-6061C2B57EDB}" type="pres">
      <dgm:prSet presAssocID="{80A53DA7-C782-46B8-B216-809396FCB679}" presName="rootConnector3" presStyleLbl="asst3" presStyleIdx="0" presStyleCnt="2"/>
      <dgm:spPr/>
    </dgm:pt>
    <dgm:pt modelId="{2D6B055F-74E2-4162-88B0-4489E4DAE32B}" type="pres">
      <dgm:prSet presAssocID="{80A53DA7-C782-46B8-B216-809396FCB679}" presName="hierChild6" presStyleCnt="0"/>
      <dgm:spPr/>
    </dgm:pt>
    <dgm:pt modelId="{5331DF68-8B6F-4897-AD59-69BED5E0E21D}" type="pres">
      <dgm:prSet presAssocID="{D4C3B44C-5DEC-4FBE-A20D-39D4836ADF5E}" presName="Name37" presStyleLbl="parChTrans1D4" presStyleIdx="1" presStyleCnt="7"/>
      <dgm:spPr/>
    </dgm:pt>
    <dgm:pt modelId="{61916A04-DF59-4BF1-B4EE-51C7ECB0250F}" type="pres">
      <dgm:prSet presAssocID="{15B30287-3D5B-431A-8D90-255E13B39260}" presName="hierRoot2" presStyleCnt="0">
        <dgm:presLayoutVars>
          <dgm:hierBranch val="init"/>
        </dgm:presLayoutVars>
      </dgm:prSet>
      <dgm:spPr/>
    </dgm:pt>
    <dgm:pt modelId="{3F822BE8-A632-4E57-8937-B60AC5A5E6EB}" type="pres">
      <dgm:prSet presAssocID="{15B30287-3D5B-431A-8D90-255E13B39260}" presName="rootComposite" presStyleCnt="0"/>
      <dgm:spPr/>
    </dgm:pt>
    <dgm:pt modelId="{42FB81F6-BF1C-4024-94EB-471F90D59F0A}" type="pres">
      <dgm:prSet presAssocID="{15B30287-3D5B-431A-8D90-255E13B39260}" presName="rootText" presStyleLbl="node4" presStyleIdx="0" presStyleCnt="5">
        <dgm:presLayoutVars>
          <dgm:chPref val="3"/>
        </dgm:presLayoutVars>
      </dgm:prSet>
      <dgm:spPr/>
    </dgm:pt>
    <dgm:pt modelId="{B6A28A87-8AE0-46A8-BF02-A553B46DBB8F}" type="pres">
      <dgm:prSet presAssocID="{15B30287-3D5B-431A-8D90-255E13B39260}" presName="rootConnector" presStyleLbl="node4" presStyleIdx="0" presStyleCnt="5"/>
      <dgm:spPr/>
    </dgm:pt>
    <dgm:pt modelId="{3445D2E6-E0A8-4491-A0FD-903D16C99B20}" type="pres">
      <dgm:prSet presAssocID="{15B30287-3D5B-431A-8D90-255E13B39260}" presName="hierChild4" presStyleCnt="0"/>
      <dgm:spPr/>
    </dgm:pt>
    <dgm:pt modelId="{B048FADF-EF6A-4B8F-A6CE-FE2E05DB38EF}" type="pres">
      <dgm:prSet presAssocID="{15B30287-3D5B-431A-8D90-255E13B39260}" presName="hierChild5" presStyleCnt="0"/>
      <dgm:spPr/>
    </dgm:pt>
    <dgm:pt modelId="{66B1EBF7-9803-40FC-AECE-09FC9DE29A7D}" type="pres">
      <dgm:prSet presAssocID="{80A53DA7-C782-46B8-B216-809396FCB679}" presName="hierChild7" presStyleCnt="0"/>
      <dgm:spPr/>
    </dgm:pt>
    <dgm:pt modelId="{EDF125A7-258C-457D-94C6-A3DE2DC8D261}" type="pres">
      <dgm:prSet presAssocID="{0D018994-6584-4C33-9314-0265F2A85C35}" presName="Name111" presStyleLbl="parChTrans1D4" presStyleIdx="2" presStyleCnt="7"/>
      <dgm:spPr/>
    </dgm:pt>
    <dgm:pt modelId="{E8D493FB-C286-4F02-8E2E-5A612565FF7A}" type="pres">
      <dgm:prSet presAssocID="{4E80DB72-2384-48FC-97F5-8A45F343CB81}" presName="hierRoot3" presStyleCnt="0">
        <dgm:presLayoutVars>
          <dgm:hierBranch val="init"/>
        </dgm:presLayoutVars>
      </dgm:prSet>
      <dgm:spPr/>
    </dgm:pt>
    <dgm:pt modelId="{B6520C52-51C6-40F0-AAAB-5121A27549F9}" type="pres">
      <dgm:prSet presAssocID="{4E80DB72-2384-48FC-97F5-8A45F343CB81}" presName="rootComposite3" presStyleCnt="0"/>
      <dgm:spPr/>
    </dgm:pt>
    <dgm:pt modelId="{0849BB84-D1F8-42D5-87B6-E56F279F8870}" type="pres">
      <dgm:prSet presAssocID="{4E80DB72-2384-48FC-97F5-8A45F343CB81}" presName="rootText3" presStyleLbl="asst3" presStyleIdx="1" presStyleCnt="2" custLinFactX="3874" custLinFactNeighborX="100000" custLinFactNeighborY="3592">
        <dgm:presLayoutVars>
          <dgm:chPref val="3"/>
        </dgm:presLayoutVars>
      </dgm:prSet>
      <dgm:spPr/>
    </dgm:pt>
    <dgm:pt modelId="{1FE9CF3F-0425-48ED-87BD-21C11F87375B}" type="pres">
      <dgm:prSet presAssocID="{4E80DB72-2384-48FC-97F5-8A45F343CB81}" presName="rootConnector3" presStyleLbl="asst3" presStyleIdx="1" presStyleCnt="2"/>
      <dgm:spPr/>
    </dgm:pt>
    <dgm:pt modelId="{13BEEAFE-D444-496A-B7AC-1DF02A1C70A5}" type="pres">
      <dgm:prSet presAssocID="{4E80DB72-2384-48FC-97F5-8A45F343CB81}" presName="hierChild6" presStyleCnt="0"/>
      <dgm:spPr/>
    </dgm:pt>
    <dgm:pt modelId="{3B9D945D-4798-4E35-9D56-384ABF99BBE8}" type="pres">
      <dgm:prSet presAssocID="{9B188705-4F82-4DEE-96FC-423A796FBF60}" presName="Name37" presStyleLbl="parChTrans1D4" presStyleIdx="3" presStyleCnt="7"/>
      <dgm:spPr/>
    </dgm:pt>
    <dgm:pt modelId="{39F72CA1-39F5-4E0A-BD31-0136EDF88A5E}" type="pres">
      <dgm:prSet presAssocID="{0F7C0021-810C-47FC-98DB-343145BC1693}" presName="hierRoot2" presStyleCnt="0">
        <dgm:presLayoutVars>
          <dgm:hierBranch val="init"/>
        </dgm:presLayoutVars>
      </dgm:prSet>
      <dgm:spPr/>
    </dgm:pt>
    <dgm:pt modelId="{4B0DA58A-3FA8-44A2-AA00-9A6DD296CDCA}" type="pres">
      <dgm:prSet presAssocID="{0F7C0021-810C-47FC-98DB-343145BC1693}" presName="rootComposite" presStyleCnt="0"/>
      <dgm:spPr/>
    </dgm:pt>
    <dgm:pt modelId="{27407A8E-6C2C-4D2C-A307-437C7D529119}" type="pres">
      <dgm:prSet presAssocID="{0F7C0021-810C-47FC-98DB-343145BC1693}" presName="rootText" presStyleLbl="node4" presStyleIdx="1" presStyleCnt="5" custLinFactX="76097" custLinFactNeighborX="100000" custLinFactNeighborY="-59003">
        <dgm:presLayoutVars>
          <dgm:chPref val="3"/>
        </dgm:presLayoutVars>
      </dgm:prSet>
      <dgm:spPr/>
    </dgm:pt>
    <dgm:pt modelId="{F02730E0-27D1-41A1-A571-BB6F66328678}" type="pres">
      <dgm:prSet presAssocID="{0F7C0021-810C-47FC-98DB-343145BC1693}" presName="rootConnector" presStyleLbl="node4" presStyleIdx="1" presStyleCnt="5"/>
      <dgm:spPr/>
    </dgm:pt>
    <dgm:pt modelId="{FFFCE7CF-668C-4646-BC83-28A9FA2EB758}" type="pres">
      <dgm:prSet presAssocID="{0F7C0021-810C-47FC-98DB-343145BC1693}" presName="hierChild4" presStyleCnt="0"/>
      <dgm:spPr/>
    </dgm:pt>
    <dgm:pt modelId="{210D1463-81C2-41FC-9B08-DCF7D6488886}" type="pres">
      <dgm:prSet presAssocID="{0F7C0021-810C-47FC-98DB-343145BC1693}" presName="hierChild5" presStyleCnt="0"/>
      <dgm:spPr/>
    </dgm:pt>
    <dgm:pt modelId="{1B896DA2-67B2-4060-B61F-0AA04B5126DE}" type="pres">
      <dgm:prSet presAssocID="{8895F5CF-72E2-4A6A-9709-A3B24E49FBE7}" presName="Name37" presStyleLbl="parChTrans1D4" presStyleIdx="4" presStyleCnt="7"/>
      <dgm:spPr/>
    </dgm:pt>
    <dgm:pt modelId="{EACE579C-C5C0-4C21-9869-A045591CC929}" type="pres">
      <dgm:prSet presAssocID="{1061C6D9-13CE-4EF9-8E5F-D3F21E7EE44E}" presName="hierRoot2" presStyleCnt="0">
        <dgm:presLayoutVars>
          <dgm:hierBranch val="init"/>
        </dgm:presLayoutVars>
      </dgm:prSet>
      <dgm:spPr/>
    </dgm:pt>
    <dgm:pt modelId="{73F79F8F-F9F4-4298-AB2B-4E9131A29A3E}" type="pres">
      <dgm:prSet presAssocID="{1061C6D9-13CE-4EF9-8E5F-D3F21E7EE44E}" presName="rootComposite" presStyleCnt="0"/>
      <dgm:spPr/>
    </dgm:pt>
    <dgm:pt modelId="{79BCFE3C-CDBA-4A53-BEEB-9D59CB93FBBD}" type="pres">
      <dgm:prSet presAssocID="{1061C6D9-13CE-4EF9-8E5F-D3F21E7EE44E}" presName="rootText" presStyleLbl="node4" presStyleIdx="2" presStyleCnt="5" custLinFactX="77777" custLinFactNeighborX="100000" custLinFactNeighborY="-56595">
        <dgm:presLayoutVars>
          <dgm:chPref val="3"/>
        </dgm:presLayoutVars>
      </dgm:prSet>
      <dgm:spPr/>
    </dgm:pt>
    <dgm:pt modelId="{37FE9F42-58E6-4318-8BA1-94E66FD05ABE}" type="pres">
      <dgm:prSet presAssocID="{1061C6D9-13CE-4EF9-8E5F-D3F21E7EE44E}" presName="rootConnector" presStyleLbl="node4" presStyleIdx="2" presStyleCnt="5"/>
      <dgm:spPr/>
    </dgm:pt>
    <dgm:pt modelId="{FE7EFD69-9533-4F51-B852-952D7C2364E6}" type="pres">
      <dgm:prSet presAssocID="{1061C6D9-13CE-4EF9-8E5F-D3F21E7EE44E}" presName="hierChild4" presStyleCnt="0"/>
      <dgm:spPr/>
    </dgm:pt>
    <dgm:pt modelId="{4099743B-654B-4CFB-A96C-38ADEE5A83D6}" type="pres">
      <dgm:prSet presAssocID="{1061C6D9-13CE-4EF9-8E5F-D3F21E7EE44E}" presName="hierChild5" presStyleCnt="0"/>
      <dgm:spPr/>
    </dgm:pt>
    <dgm:pt modelId="{161F077C-D326-48EB-9B7D-A7165486D6D4}" type="pres">
      <dgm:prSet presAssocID="{08C1326A-963F-4C8A-8AB7-1EB105A7B2B7}" presName="Name37" presStyleLbl="parChTrans1D4" presStyleIdx="5" presStyleCnt="7"/>
      <dgm:spPr/>
    </dgm:pt>
    <dgm:pt modelId="{F1BBF2E5-7414-44E2-9470-E79DA4B2BF70}" type="pres">
      <dgm:prSet presAssocID="{29D43A8C-61AF-41B9-BB45-6B049D24BA28}" presName="hierRoot2" presStyleCnt="0">
        <dgm:presLayoutVars>
          <dgm:hierBranch val="init"/>
        </dgm:presLayoutVars>
      </dgm:prSet>
      <dgm:spPr/>
    </dgm:pt>
    <dgm:pt modelId="{08F591D2-ADD5-4D02-8833-39F8A7974A12}" type="pres">
      <dgm:prSet presAssocID="{29D43A8C-61AF-41B9-BB45-6B049D24BA28}" presName="rootComposite" presStyleCnt="0"/>
      <dgm:spPr/>
    </dgm:pt>
    <dgm:pt modelId="{830061E8-2DD1-4ECC-ABA7-490B104D4EAF}" type="pres">
      <dgm:prSet presAssocID="{29D43A8C-61AF-41B9-BB45-6B049D24BA28}" presName="rootText" presStyleLbl="node4" presStyleIdx="3" presStyleCnt="5" custLinFactX="78182" custLinFactNeighborX="100000" custLinFactNeighborY="-59202">
        <dgm:presLayoutVars>
          <dgm:chPref val="3"/>
        </dgm:presLayoutVars>
      </dgm:prSet>
      <dgm:spPr/>
    </dgm:pt>
    <dgm:pt modelId="{201F8929-CD63-4F91-93D4-FBE6D8F787C9}" type="pres">
      <dgm:prSet presAssocID="{29D43A8C-61AF-41B9-BB45-6B049D24BA28}" presName="rootConnector" presStyleLbl="node4" presStyleIdx="3" presStyleCnt="5"/>
      <dgm:spPr/>
    </dgm:pt>
    <dgm:pt modelId="{04E67A98-E7AD-4AD2-BF3F-489872277DA7}" type="pres">
      <dgm:prSet presAssocID="{29D43A8C-61AF-41B9-BB45-6B049D24BA28}" presName="hierChild4" presStyleCnt="0"/>
      <dgm:spPr/>
    </dgm:pt>
    <dgm:pt modelId="{AC842783-F37B-4233-9BAA-2F2021006973}" type="pres">
      <dgm:prSet presAssocID="{29D43A8C-61AF-41B9-BB45-6B049D24BA28}" presName="hierChild5" presStyleCnt="0"/>
      <dgm:spPr/>
    </dgm:pt>
    <dgm:pt modelId="{86396832-D400-4F06-8C19-0AD6BD7A047D}" type="pres">
      <dgm:prSet presAssocID="{4D063C3C-D433-463C-9840-403767124E7E}" presName="Name37" presStyleLbl="parChTrans1D4" presStyleIdx="6" presStyleCnt="7"/>
      <dgm:spPr/>
    </dgm:pt>
    <dgm:pt modelId="{FF34B59F-5BCD-4629-9378-B8A857150C3E}" type="pres">
      <dgm:prSet presAssocID="{69484683-C92E-4225-8E2D-88F63A511FC0}" presName="hierRoot2" presStyleCnt="0">
        <dgm:presLayoutVars>
          <dgm:hierBranch val="init"/>
        </dgm:presLayoutVars>
      </dgm:prSet>
      <dgm:spPr/>
    </dgm:pt>
    <dgm:pt modelId="{B013479F-657B-415B-82DE-FAFB6567C159}" type="pres">
      <dgm:prSet presAssocID="{69484683-C92E-4225-8E2D-88F63A511FC0}" presName="rootComposite" presStyleCnt="0"/>
      <dgm:spPr/>
    </dgm:pt>
    <dgm:pt modelId="{8030E7BC-2E06-4D64-9963-CD4CD64F2EFD}" type="pres">
      <dgm:prSet presAssocID="{69484683-C92E-4225-8E2D-88F63A511FC0}" presName="rootText" presStyleLbl="node4" presStyleIdx="4" presStyleCnt="5" custLinFactX="77918" custLinFactNeighborX="100000" custLinFactNeighborY="-73111">
        <dgm:presLayoutVars>
          <dgm:chPref val="3"/>
        </dgm:presLayoutVars>
      </dgm:prSet>
      <dgm:spPr/>
    </dgm:pt>
    <dgm:pt modelId="{1EC7FA8A-34F8-4DE8-9728-D074AA0EF1B7}" type="pres">
      <dgm:prSet presAssocID="{69484683-C92E-4225-8E2D-88F63A511FC0}" presName="rootConnector" presStyleLbl="node4" presStyleIdx="4" presStyleCnt="5"/>
      <dgm:spPr/>
    </dgm:pt>
    <dgm:pt modelId="{F907157C-8D3B-4074-8463-564804A21F74}" type="pres">
      <dgm:prSet presAssocID="{69484683-C92E-4225-8E2D-88F63A511FC0}" presName="hierChild4" presStyleCnt="0"/>
      <dgm:spPr/>
    </dgm:pt>
    <dgm:pt modelId="{F5560033-E993-462A-8737-28D4C1FC4E09}" type="pres">
      <dgm:prSet presAssocID="{69484683-C92E-4225-8E2D-88F63A511FC0}" presName="hierChild5" presStyleCnt="0"/>
      <dgm:spPr/>
    </dgm:pt>
    <dgm:pt modelId="{D335A9CF-7D22-4727-9177-44503F15FDB6}" type="pres">
      <dgm:prSet presAssocID="{4E80DB72-2384-48FC-97F5-8A45F343CB81}" presName="hierChild7" presStyleCnt="0"/>
      <dgm:spPr/>
    </dgm:pt>
    <dgm:pt modelId="{09E089F4-9CEF-4281-BD06-C5A8DEBB231D}" type="pres">
      <dgm:prSet presAssocID="{13613AC0-5521-4439-849E-437D65197C58}" presName="hierChild5" presStyleCnt="0"/>
      <dgm:spPr/>
    </dgm:pt>
    <dgm:pt modelId="{C9909C21-D5A7-44D4-801A-FC11374C1C01}" type="pres">
      <dgm:prSet presAssocID="{E33AE1F6-921A-4D23-A911-FC801ADA3B34}" presName="Name37" presStyleLbl="parChTrans1D2" presStyleIdx="1" presStyleCnt="4"/>
      <dgm:spPr/>
    </dgm:pt>
    <dgm:pt modelId="{FD0C9855-7B42-4EFF-9CD0-DF032A9B1F22}" type="pres">
      <dgm:prSet presAssocID="{B43E9A62-1065-4600-AC03-4CA31E3D6744}" presName="hierRoot2" presStyleCnt="0">
        <dgm:presLayoutVars>
          <dgm:hierBranch val="init"/>
        </dgm:presLayoutVars>
      </dgm:prSet>
      <dgm:spPr/>
    </dgm:pt>
    <dgm:pt modelId="{CB4ECA0B-8D1B-4412-B855-BD35B6D8AC13}" type="pres">
      <dgm:prSet presAssocID="{B43E9A62-1065-4600-AC03-4CA31E3D6744}" presName="rootComposite" presStyleCnt="0"/>
      <dgm:spPr/>
    </dgm:pt>
    <dgm:pt modelId="{20854057-6FC9-4862-B48B-509B8ACF3BB3}" type="pres">
      <dgm:prSet presAssocID="{B43E9A62-1065-4600-AC03-4CA31E3D6744}" presName="rootText" presStyleLbl="node2" presStyleIdx="1" presStyleCnt="4">
        <dgm:presLayoutVars>
          <dgm:chPref val="3"/>
        </dgm:presLayoutVars>
      </dgm:prSet>
      <dgm:spPr/>
    </dgm:pt>
    <dgm:pt modelId="{05D289A9-976E-464C-ABC2-3F1A89335C80}" type="pres">
      <dgm:prSet presAssocID="{B43E9A62-1065-4600-AC03-4CA31E3D6744}" presName="rootConnector" presStyleLbl="node2" presStyleIdx="1" presStyleCnt="4"/>
      <dgm:spPr/>
    </dgm:pt>
    <dgm:pt modelId="{F7BAEF29-ADB6-46E9-B618-1D261B07483E}" type="pres">
      <dgm:prSet presAssocID="{B43E9A62-1065-4600-AC03-4CA31E3D6744}" presName="hierChild4" presStyleCnt="0"/>
      <dgm:spPr/>
    </dgm:pt>
    <dgm:pt modelId="{E24CA20F-F70F-4AB7-AE4C-A84126F7675A}" type="pres">
      <dgm:prSet presAssocID="{2F717B62-D367-4163-866B-2DF614BD942F}" presName="Name37" presStyleLbl="parChTrans1D3" presStyleIdx="1" presStyleCnt="4"/>
      <dgm:spPr/>
    </dgm:pt>
    <dgm:pt modelId="{152E398E-EF04-4A6C-8769-F9B2B8B4A40A}" type="pres">
      <dgm:prSet presAssocID="{C86CA9C2-AEF3-403A-B4BC-0F56C8FD82FB}" presName="hierRoot2" presStyleCnt="0">
        <dgm:presLayoutVars>
          <dgm:hierBranch val="init"/>
        </dgm:presLayoutVars>
      </dgm:prSet>
      <dgm:spPr/>
    </dgm:pt>
    <dgm:pt modelId="{994EB315-B235-4960-8536-8CDB5E580EB1}" type="pres">
      <dgm:prSet presAssocID="{C86CA9C2-AEF3-403A-B4BC-0F56C8FD82FB}" presName="rootComposite" presStyleCnt="0"/>
      <dgm:spPr/>
    </dgm:pt>
    <dgm:pt modelId="{584293A9-97F4-4DB9-8B9D-5EC7B9A99587}" type="pres">
      <dgm:prSet presAssocID="{C86CA9C2-AEF3-403A-B4BC-0F56C8FD82FB}" presName="rootText" presStyleLbl="node3" presStyleIdx="1" presStyleCnt="4">
        <dgm:presLayoutVars>
          <dgm:chPref val="3"/>
        </dgm:presLayoutVars>
      </dgm:prSet>
      <dgm:spPr/>
    </dgm:pt>
    <dgm:pt modelId="{0AD30FDA-3F63-4F8B-AD28-093992A5FBBE}" type="pres">
      <dgm:prSet presAssocID="{C86CA9C2-AEF3-403A-B4BC-0F56C8FD82FB}" presName="rootConnector" presStyleLbl="node3" presStyleIdx="1" presStyleCnt="4"/>
      <dgm:spPr/>
    </dgm:pt>
    <dgm:pt modelId="{F3B05D7B-CB2E-44FB-B4C3-AC0DC9F9A70E}" type="pres">
      <dgm:prSet presAssocID="{C86CA9C2-AEF3-403A-B4BC-0F56C8FD82FB}" presName="hierChild4" presStyleCnt="0"/>
      <dgm:spPr/>
    </dgm:pt>
    <dgm:pt modelId="{C6373A4C-69A3-409D-AA6B-F06CB19A874A}" type="pres">
      <dgm:prSet presAssocID="{C86CA9C2-AEF3-403A-B4BC-0F56C8FD82FB}" presName="hierChild5" presStyleCnt="0"/>
      <dgm:spPr/>
    </dgm:pt>
    <dgm:pt modelId="{C93C4A50-CDFE-44AA-BC24-FDB22D44B0C6}" type="pres">
      <dgm:prSet presAssocID="{B43E9A62-1065-4600-AC03-4CA31E3D6744}" presName="hierChild5" presStyleCnt="0"/>
      <dgm:spPr/>
    </dgm:pt>
    <dgm:pt modelId="{B6A1439E-CA6C-432D-832E-D7F60E46C013}" type="pres">
      <dgm:prSet presAssocID="{578DD9C3-7341-4F93-8E3D-DFB7A0858085}" presName="Name37" presStyleLbl="parChTrans1D2" presStyleIdx="2" presStyleCnt="4"/>
      <dgm:spPr/>
    </dgm:pt>
    <dgm:pt modelId="{2209AD77-0AF6-4703-B88B-BF9270988E37}" type="pres">
      <dgm:prSet presAssocID="{3F58680A-2CCF-4A3B-9350-CED6BF78F651}" presName="hierRoot2" presStyleCnt="0">
        <dgm:presLayoutVars>
          <dgm:hierBranch val="init"/>
        </dgm:presLayoutVars>
      </dgm:prSet>
      <dgm:spPr/>
    </dgm:pt>
    <dgm:pt modelId="{4E0750B2-C05F-4F00-B9FB-ACA823EF4E74}" type="pres">
      <dgm:prSet presAssocID="{3F58680A-2CCF-4A3B-9350-CED6BF78F651}" presName="rootComposite" presStyleCnt="0"/>
      <dgm:spPr/>
    </dgm:pt>
    <dgm:pt modelId="{BAE7085A-64F1-4DC6-AE29-A5BEE78A1897}" type="pres">
      <dgm:prSet presAssocID="{3F58680A-2CCF-4A3B-9350-CED6BF78F651}" presName="rootText" presStyleLbl="node2" presStyleIdx="2" presStyleCnt="4">
        <dgm:presLayoutVars>
          <dgm:chPref val="3"/>
        </dgm:presLayoutVars>
      </dgm:prSet>
      <dgm:spPr/>
    </dgm:pt>
    <dgm:pt modelId="{BF2F7384-B799-49D7-B92F-0A3B74F428F2}" type="pres">
      <dgm:prSet presAssocID="{3F58680A-2CCF-4A3B-9350-CED6BF78F651}" presName="rootConnector" presStyleLbl="node2" presStyleIdx="2" presStyleCnt="4"/>
      <dgm:spPr/>
    </dgm:pt>
    <dgm:pt modelId="{EF1DC4FF-4A6C-4FE3-BE25-02C0ECDA2770}" type="pres">
      <dgm:prSet presAssocID="{3F58680A-2CCF-4A3B-9350-CED6BF78F651}" presName="hierChild4" presStyleCnt="0"/>
      <dgm:spPr/>
    </dgm:pt>
    <dgm:pt modelId="{8A8244A3-A690-46D5-8539-574E08DC3540}" type="pres">
      <dgm:prSet presAssocID="{D82F297E-34F6-47ED-9F65-2C71A04B8ECA}" presName="Name37" presStyleLbl="parChTrans1D3" presStyleIdx="2" presStyleCnt="4"/>
      <dgm:spPr/>
    </dgm:pt>
    <dgm:pt modelId="{8D20923C-B0AB-4F47-BED7-C47BF206E753}" type="pres">
      <dgm:prSet presAssocID="{8CF46D1B-97CD-4EAB-A1F3-EDA48DD64A11}" presName="hierRoot2" presStyleCnt="0">
        <dgm:presLayoutVars>
          <dgm:hierBranch val="init"/>
        </dgm:presLayoutVars>
      </dgm:prSet>
      <dgm:spPr/>
    </dgm:pt>
    <dgm:pt modelId="{4C719146-4068-475E-9601-2A7D93F74745}" type="pres">
      <dgm:prSet presAssocID="{8CF46D1B-97CD-4EAB-A1F3-EDA48DD64A11}" presName="rootComposite" presStyleCnt="0"/>
      <dgm:spPr/>
    </dgm:pt>
    <dgm:pt modelId="{7E1B134A-A9CE-4F73-9188-75EF19059380}" type="pres">
      <dgm:prSet presAssocID="{8CF46D1B-97CD-4EAB-A1F3-EDA48DD64A11}" presName="rootText" presStyleLbl="node3" presStyleIdx="2" presStyleCnt="4">
        <dgm:presLayoutVars>
          <dgm:chPref val="3"/>
        </dgm:presLayoutVars>
      </dgm:prSet>
      <dgm:spPr/>
    </dgm:pt>
    <dgm:pt modelId="{5C832653-706B-4BB5-8DF8-04283C4E5CFA}" type="pres">
      <dgm:prSet presAssocID="{8CF46D1B-97CD-4EAB-A1F3-EDA48DD64A11}" presName="rootConnector" presStyleLbl="node3" presStyleIdx="2" presStyleCnt="4"/>
      <dgm:spPr/>
    </dgm:pt>
    <dgm:pt modelId="{0DA36221-7A9D-4DF8-B80A-5F3948315488}" type="pres">
      <dgm:prSet presAssocID="{8CF46D1B-97CD-4EAB-A1F3-EDA48DD64A11}" presName="hierChild4" presStyleCnt="0"/>
      <dgm:spPr/>
    </dgm:pt>
    <dgm:pt modelId="{739F9A2C-31D4-479F-9564-4EFDB445231E}" type="pres">
      <dgm:prSet presAssocID="{8CF46D1B-97CD-4EAB-A1F3-EDA48DD64A11}" presName="hierChild5" presStyleCnt="0"/>
      <dgm:spPr/>
    </dgm:pt>
    <dgm:pt modelId="{BCC24A23-FB00-42D7-9862-B978AB2759FC}" type="pres">
      <dgm:prSet presAssocID="{3F58680A-2CCF-4A3B-9350-CED6BF78F651}" presName="hierChild5" presStyleCnt="0"/>
      <dgm:spPr/>
    </dgm:pt>
    <dgm:pt modelId="{283352E7-FE4A-467D-9015-592841690749}" type="pres">
      <dgm:prSet presAssocID="{23B5731B-7AD9-4DF4-8674-7F38B2F58CC2}" presName="Name37" presStyleLbl="parChTrans1D2" presStyleIdx="3" presStyleCnt="4"/>
      <dgm:spPr/>
    </dgm:pt>
    <dgm:pt modelId="{696529F0-A642-432D-A95B-CE1ADA1552D3}" type="pres">
      <dgm:prSet presAssocID="{C6EDAFD1-3CCB-4691-9D51-66CB78D51DA5}" presName="hierRoot2" presStyleCnt="0">
        <dgm:presLayoutVars>
          <dgm:hierBranch val="init"/>
        </dgm:presLayoutVars>
      </dgm:prSet>
      <dgm:spPr/>
    </dgm:pt>
    <dgm:pt modelId="{D1F0C761-AC2E-45C8-B674-87DBAE1324C4}" type="pres">
      <dgm:prSet presAssocID="{C6EDAFD1-3CCB-4691-9D51-66CB78D51DA5}" presName="rootComposite" presStyleCnt="0"/>
      <dgm:spPr/>
    </dgm:pt>
    <dgm:pt modelId="{4B21EA55-72B2-48E6-B1C2-8A1D3B59CCC6}" type="pres">
      <dgm:prSet presAssocID="{C6EDAFD1-3CCB-4691-9D51-66CB78D51DA5}" presName="rootText" presStyleLbl="node2" presStyleIdx="3" presStyleCnt="4">
        <dgm:presLayoutVars>
          <dgm:chPref val="3"/>
        </dgm:presLayoutVars>
      </dgm:prSet>
      <dgm:spPr/>
    </dgm:pt>
    <dgm:pt modelId="{F72A8F3D-590E-4D42-992F-EFB669EA0D91}" type="pres">
      <dgm:prSet presAssocID="{C6EDAFD1-3CCB-4691-9D51-66CB78D51DA5}" presName="rootConnector" presStyleLbl="node2" presStyleIdx="3" presStyleCnt="4"/>
      <dgm:spPr/>
    </dgm:pt>
    <dgm:pt modelId="{336B20B2-9745-4E24-BA13-45844988A8C1}" type="pres">
      <dgm:prSet presAssocID="{C6EDAFD1-3CCB-4691-9D51-66CB78D51DA5}" presName="hierChild4" presStyleCnt="0"/>
      <dgm:spPr/>
    </dgm:pt>
    <dgm:pt modelId="{7533E292-0CC4-4D30-97CB-4D2D4259211A}" type="pres">
      <dgm:prSet presAssocID="{236161AD-A6D1-49DA-90CB-4937FEC08C65}" presName="Name37" presStyleLbl="parChTrans1D3" presStyleIdx="3" presStyleCnt="4"/>
      <dgm:spPr/>
    </dgm:pt>
    <dgm:pt modelId="{C087A4F5-5A4D-4307-8878-6F6DC9E60AEC}" type="pres">
      <dgm:prSet presAssocID="{993C6604-4A3C-40C7-9CB0-8EFA95504BD9}" presName="hierRoot2" presStyleCnt="0">
        <dgm:presLayoutVars>
          <dgm:hierBranch val="init"/>
        </dgm:presLayoutVars>
      </dgm:prSet>
      <dgm:spPr/>
    </dgm:pt>
    <dgm:pt modelId="{28D91F54-5E96-43F8-B808-349727985F12}" type="pres">
      <dgm:prSet presAssocID="{993C6604-4A3C-40C7-9CB0-8EFA95504BD9}" presName="rootComposite" presStyleCnt="0"/>
      <dgm:spPr/>
    </dgm:pt>
    <dgm:pt modelId="{1C44BA1D-172B-454B-83C4-47EC8432C922}" type="pres">
      <dgm:prSet presAssocID="{993C6604-4A3C-40C7-9CB0-8EFA95504BD9}" presName="rootText" presStyleLbl="node3" presStyleIdx="3" presStyleCnt="4">
        <dgm:presLayoutVars>
          <dgm:chPref val="3"/>
        </dgm:presLayoutVars>
      </dgm:prSet>
      <dgm:spPr/>
    </dgm:pt>
    <dgm:pt modelId="{625DE77D-C930-48B9-B516-179FD78719A5}" type="pres">
      <dgm:prSet presAssocID="{993C6604-4A3C-40C7-9CB0-8EFA95504BD9}" presName="rootConnector" presStyleLbl="node3" presStyleIdx="3" presStyleCnt="4"/>
      <dgm:spPr/>
    </dgm:pt>
    <dgm:pt modelId="{AD48296C-1C83-49BC-8D37-D50453AF1EA4}" type="pres">
      <dgm:prSet presAssocID="{993C6604-4A3C-40C7-9CB0-8EFA95504BD9}" presName="hierChild4" presStyleCnt="0"/>
      <dgm:spPr/>
    </dgm:pt>
    <dgm:pt modelId="{1F502C7E-5BFB-461D-AE46-DC0CAB87B526}" type="pres">
      <dgm:prSet presAssocID="{993C6604-4A3C-40C7-9CB0-8EFA95504BD9}" presName="hierChild5" presStyleCnt="0"/>
      <dgm:spPr/>
    </dgm:pt>
    <dgm:pt modelId="{4DB593D4-3DD0-4140-B807-B77B6EB065D8}" type="pres">
      <dgm:prSet presAssocID="{C6EDAFD1-3CCB-4691-9D51-66CB78D51DA5}" presName="hierChild5" presStyleCnt="0"/>
      <dgm:spPr/>
    </dgm:pt>
    <dgm:pt modelId="{4632FEE9-BC22-4181-ADF2-61EB7310A3CC}" type="pres">
      <dgm:prSet presAssocID="{ABB928CF-7B91-4F50-85F3-81F840FA8E07}" presName="hierChild3" presStyleCnt="0"/>
      <dgm:spPr/>
    </dgm:pt>
  </dgm:ptLst>
  <dgm:cxnLst>
    <dgm:cxn modelId="{F4E08D04-ABCB-41FE-9A63-18C943EE0374}" type="presOf" srcId="{993C6604-4A3C-40C7-9CB0-8EFA95504BD9}" destId="{625DE77D-C930-48B9-B516-179FD78719A5}" srcOrd="1" destOrd="0" presId="urn:microsoft.com/office/officeart/2005/8/layout/orgChart1"/>
    <dgm:cxn modelId="{F983EE06-9F39-4659-8756-5AFBACE5ABE1}" srcId="{644B2F6B-091B-4566-8ABC-818454C5D58A}" destId="{80A53DA7-C782-46B8-B216-809396FCB679}" srcOrd="0" destOrd="0" parTransId="{A752760D-C34A-4875-A3BF-895C7A274685}" sibTransId="{7C6D3C71-F28A-48B9-A03B-8BE2B615BF9D}"/>
    <dgm:cxn modelId="{EB237A11-7042-4CA0-8BCA-345413A02B89}" type="presOf" srcId="{80A53DA7-C782-46B8-B216-809396FCB679}" destId="{5F6188AB-B151-4E5A-9CB3-6061C2B57EDB}" srcOrd="1" destOrd="0" presId="urn:microsoft.com/office/officeart/2005/8/layout/orgChart1"/>
    <dgm:cxn modelId="{178CFE1A-0C82-489D-8686-567BC875818F}" type="presOf" srcId="{2F717B62-D367-4163-866B-2DF614BD942F}" destId="{E24CA20F-F70F-4AB7-AE4C-A84126F7675A}" srcOrd="0" destOrd="0" presId="urn:microsoft.com/office/officeart/2005/8/layout/orgChart1"/>
    <dgm:cxn modelId="{EAA1611F-1392-4FE4-BA80-710E86BE3CF3}" type="presOf" srcId="{F151B57D-72DA-495E-9049-8BC7190CBDF4}" destId="{C8A6D74C-1FA3-4F16-952D-DD789DB8AECF}" srcOrd="0" destOrd="0" presId="urn:microsoft.com/office/officeart/2005/8/layout/orgChart1"/>
    <dgm:cxn modelId="{80AE062F-0F79-42F4-971A-C7EE3E2D7651}" type="presOf" srcId="{15B30287-3D5B-431A-8D90-255E13B39260}" destId="{B6A28A87-8AE0-46A8-BF02-A553B46DBB8F}" srcOrd="1" destOrd="0" presId="urn:microsoft.com/office/officeart/2005/8/layout/orgChart1"/>
    <dgm:cxn modelId="{52A85331-CC32-455A-83ED-B0A411526006}" type="presOf" srcId="{29D43A8C-61AF-41B9-BB45-6B049D24BA28}" destId="{830061E8-2DD1-4ECC-ABA7-490B104D4EAF}" srcOrd="0" destOrd="0" presId="urn:microsoft.com/office/officeart/2005/8/layout/orgChart1"/>
    <dgm:cxn modelId="{8FD59033-E248-4520-817D-117E96C4649C}" srcId="{4E80DB72-2384-48FC-97F5-8A45F343CB81}" destId="{29D43A8C-61AF-41B9-BB45-6B049D24BA28}" srcOrd="2" destOrd="0" parTransId="{08C1326A-963F-4C8A-8AB7-1EB105A7B2B7}" sibTransId="{27EF675E-9B71-43CC-8F52-5CA13E4A22E5}"/>
    <dgm:cxn modelId="{A6C60F3C-EA54-463D-ADB6-907FEBD7755D}" type="presOf" srcId="{6FD9BD52-7869-4C21-A32B-46F0945951C4}" destId="{8B2255EF-5B85-4866-B633-C308F6F2212E}" srcOrd="0" destOrd="0" presId="urn:microsoft.com/office/officeart/2005/8/layout/orgChart1"/>
    <dgm:cxn modelId="{866B215B-6150-417A-AAEC-903E86D944CC}" type="presOf" srcId="{9B188705-4F82-4DEE-96FC-423A796FBF60}" destId="{3B9D945D-4798-4E35-9D56-384ABF99BBE8}" srcOrd="0" destOrd="0" presId="urn:microsoft.com/office/officeart/2005/8/layout/orgChart1"/>
    <dgm:cxn modelId="{65C9D963-B2C3-49C4-AC4B-57B28BE128EC}" type="presOf" srcId="{3F58680A-2CCF-4A3B-9350-CED6BF78F651}" destId="{BAE7085A-64F1-4DC6-AE29-A5BEE78A1897}" srcOrd="0" destOrd="0" presId="urn:microsoft.com/office/officeart/2005/8/layout/orgChart1"/>
    <dgm:cxn modelId="{14211F64-957A-497F-A264-1ACE06480B6C}" type="presOf" srcId="{3F58680A-2CCF-4A3B-9350-CED6BF78F651}" destId="{BF2F7384-B799-49D7-B92F-0A3B74F428F2}" srcOrd="1" destOrd="0" presId="urn:microsoft.com/office/officeart/2005/8/layout/orgChart1"/>
    <dgm:cxn modelId="{E25B8F66-4734-4284-908B-51E379707D8D}" type="presOf" srcId="{1061C6D9-13CE-4EF9-8E5F-D3F21E7EE44E}" destId="{79BCFE3C-CDBA-4A53-BEEB-9D59CB93FBBD}" srcOrd="0" destOrd="0" presId="urn:microsoft.com/office/officeart/2005/8/layout/orgChart1"/>
    <dgm:cxn modelId="{C5D25D47-4678-41BC-9BD9-BC00071EF395}" srcId="{644B2F6B-091B-4566-8ABC-818454C5D58A}" destId="{4E80DB72-2384-48FC-97F5-8A45F343CB81}" srcOrd="1" destOrd="0" parTransId="{0D018994-6584-4C33-9314-0265F2A85C35}" sibTransId="{B3C65DD8-D120-4985-AC7E-6ACB7880FD35}"/>
    <dgm:cxn modelId="{F2AE5267-6965-40FC-BFA9-9AB72EC558B7}" type="presOf" srcId="{13613AC0-5521-4439-849E-437D65197C58}" destId="{DFCAD206-A4DA-4A78-847E-65D58F22BBF4}" srcOrd="0" destOrd="0" presId="urn:microsoft.com/office/officeart/2005/8/layout/orgChart1"/>
    <dgm:cxn modelId="{872D624D-CEB6-4BCB-A1AB-697C1AF0A5BC}" type="presOf" srcId="{ABB928CF-7B91-4F50-85F3-81F840FA8E07}" destId="{D6EA0742-2828-4CE9-A129-2531A776C963}" srcOrd="0" destOrd="0" presId="urn:microsoft.com/office/officeart/2005/8/layout/orgChart1"/>
    <dgm:cxn modelId="{3FC17E4D-7D63-40B7-AA19-13AC5DC7AE72}" type="presOf" srcId="{C86CA9C2-AEF3-403A-B4BC-0F56C8FD82FB}" destId="{584293A9-97F4-4DB9-8B9D-5EC7B9A99587}" srcOrd="0" destOrd="0" presId="urn:microsoft.com/office/officeart/2005/8/layout/orgChart1"/>
    <dgm:cxn modelId="{F3CB226E-1913-438E-8CFA-C4817014DF47}" type="presOf" srcId="{C6EDAFD1-3CCB-4691-9D51-66CB78D51DA5}" destId="{4B21EA55-72B2-48E6-B1C2-8A1D3B59CCC6}" srcOrd="0" destOrd="0" presId="urn:microsoft.com/office/officeart/2005/8/layout/orgChart1"/>
    <dgm:cxn modelId="{EDE7256E-1E6E-4183-BCBB-495B73F53EA3}" type="presOf" srcId="{69484683-C92E-4225-8E2D-88F63A511FC0}" destId="{1EC7FA8A-34F8-4DE8-9728-D074AA0EF1B7}" srcOrd="1" destOrd="0" presId="urn:microsoft.com/office/officeart/2005/8/layout/orgChart1"/>
    <dgm:cxn modelId="{2DF78F4F-CB4C-484F-8174-AD5E627A3A82}" type="presOf" srcId="{A752760D-C34A-4875-A3BF-895C7A274685}" destId="{77D4A3BF-9053-4828-A0E5-91C540E38F05}" srcOrd="0" destOrd="0" presId="urn:microsoft.com/office/officeart/2005/8/layout/orgChart1"/>
    <dgm:cxn modelId="{C4FD1472-3074-4D99-8792-BBC9ECEFC6B9}" srcId="{4E80DB72-2384-48FC-97F5-8A45F343CB81}" destId="{0F7C0021-810C-47FC-98DB-343145BC1693}" srcOrd="0" destOrd="0" parTransId="{9B188705-4F82-4DEE-96FC-423A796FBF60}" sibTransId="{96544420-8D42-42BA-9DF9-1FA286E6C25B}"/>
    <dgm:cxn modelId="{14A85A53-91CA-485B-AD84-FA173B2581CF}" srcId="{ABB928CF-7B91-4F50-85F3-81F840FA8E07}" destId="{B43E9A62-1065-4600-AC03-4CA31E3D6744}" srcOrd="1" destOrd="0" parTransId="{E33AE1F6-921A-4D23-A911-FC801ADA3B34}" sibTransId="{51FF7398-63F4-480D-A221-38879D5AC4B4}"/>
    <dgm:cxn modelId="{2D3D7F74-D067-4BE3-8F6E-F5D22F73A443}" type="presOf" srcId="{4E80DB72-2384-48FC-97F5-8A45F343CB81}" destId="{0849BB84-D1F8-42D5-87B6-E56F279F8870}" srcOrd="0" destOrd="0" presId="urn:microsoft.com/office/officeart/2005/8/layout/orgChart1"/>
    <dgm:cxn modelId="{8C2E1655-37C5-444E-AB71-281A3C46C5B5}" type="presOf" srcId="{8CF46D1B-97CD-4EAB-A1F3-EDA48DD64A11}" destId="{5C832653-706B-4BB5-8DF8-04283C4E5CFA}" srcOrd="1" destOrd="0" presId="urn:microsoft.com/office/officeart/2005/8/layout/orgChart1"/>
    <dgm:cxn modelId="{BBDE6355-0D21-403F-A113-87001F69AF91}" type="presOf" srcId="{23B5731B-7AD9-4DF4-8674-7F38B2F58CC2}" destId="{283352E7-FE4A-467D-9015-592841690749}" srcOrd="0" destOrd="0" presId="urn:microsoft.com/office/officeart/2005/8/layout/orgChart1"/>
    <dgm:cxn modelId="{DE726875-480A-44C8-BB2C-F932C6FBCD8D}" srcId="{4E80DB72-2384-48FC-97F5-8A45F343CB81}" destId="{69484683-C92E-4225-8E2D-88F63A511FC0}" srcOrd="3" destOrd="0" parTransId="{4D063C3C-D433-463C-9840-403767124E7E}" sibTransId="{C4213A6F-B6E3-44B5-81F2-E1E2C78E04F5}"/>
    <dgm:cxn modelId="{96BAA358-3EF9-456D-B12F-461A46E2C21F}" type="presOf" srcId="{C6EDAFD1-3CCB-4691-9D51-66CB78D51DA5}" destId="{F72A8F3D-590E-4D42-992F-EFB669EA0D91}" srcOrd="1" destOrd="0" presId="urn:microsoft.com/office/officeart/2005/8/layout/orgChart1"/>
    <dgm:cxn modelId="{0AC2A381-E7E1-4ECF-9D71-8DE3F9A340EA}" srcId="{ABB928CF-7B91-4F50-85F3-81F840FA8E07}" destId="{3F58680A-2CCF-4A3B-9350-CED6BF78F651}" srcOrd="2" destOrd="0" parTransId="{578DD9C3-7341-4F93-8E3D-DFB7A0858085}" sibTransId="{44974A32-BEE5-4F5C-9091-6A1673BC3586}"/>
    <dgm:cxn modelId="{EFDA6886-CE99-4F9A-8290-AE0C55264B2F}" type="presOf" srcId="{4E80DB72-2384-48FC-97F5-8A45F343CB81}" destId="{1FE9CF3F-0425-48ED-87BD-21C11F87375B}" srcOrd="1" destOrd="0" presId="urn:microsoft.com/office/officeart/2005/8/layout/orgChart1"/>
    <dgm:cxn modelId="{04BD438B-537E-472C-ADCD-FFE6787F6D13}" type="presOf" srcId="{15B30287-3D5B-431A-8D90-255E13B39260}" destId="{42FB81F6-BF1C-4024-94EB-471F90D59F0A}" srcOrd="0" destOrd="0" presId="urn:microsoft.com/office/officeart/2005/8/layout/orgChart1"/>
    <dgm:cxn modelId="{72926C8E-24CB-4AC0-BED2-630874CA77C6}" type="presOf" srcId="{993C6604-4A3C-40C7-9CB0-8EFA95504BD9}" destId="{1C44BA1D-172B-454B-83C4-47EC8432C922}" srcOrd="0" destOrd="0" presId="urn:microsoft.com/office/officeart/2005/8/layout/orgChart1"/>
    <dgm:cxn modelId="{72F98C90-FBDA-4925-818F-5811028EDEFA}" type="presOf" srcId="{8895F5CF-72E2-4A6A-9709-A3B24E49FBE7}" destId="{1B896DA2-67B2-4060-B61F-0AA04B5126DE}" srcOrd="0" destOrd="0" presId="urn:microsoft.com/office/officeart/2005/8/layout/orgChart1"/>
    <dgm:cxn modelId="{89E65D95-240B-489D-9367-A1DA745EC08B}" type="presOf" srcId="{D4C3B44C-5DEC-4FBE-A20D-39D4836ADF5E}" destId="{5331DF68-8B6F-4897-AD59-69BED5E0E21D}" srcOrd="0" destOrd="0" presId="urn:microsoft.com/office/officeart/2005/8/layout/orgChart1"/>
    <dgm:cxn modelId="{8A9A7096-50EA-4568-A73E-0BDD6230939B}" type="presOf" srcId="{D82F297E-34F6-47ED-9F65-2C71A04B8ECA}" destId="{8A8244A3-A690-46D5-8539-574E08DC3540}" srcOrd="0" destOrd="0" presId="urn:microsoft.com/office/officeart/2005/8/layout/orgChart1"/>
    <dgm:cxn modelId="{A6776497-5427-4D59-A4C4-6E2471EF2545}" srcId="{80A53DA7-C782-46B8-B216-809396FCB679}" destId="{15B30287-3D5B-431A-8D90-255E13B39260}" srcOrd="0" destOrd="0" parTransId="{D4C3B44C-5DEC-4FBE-A20D-39D4836ADF5E}" sibTransId="{8BF635A9-9992-4C9E-86AD-7890DC81FFB2}"/>
    <dgm:cxn modelId="{7962349A-7A52-4815-B329-8D90AE91EAEA}" type="presOf" srcId="{578DD9C3-7341-4F93-8E3D-DFB7A0858085}" destId="{B6A1439E-CA6C-432D-832E-D7F60E46C013}" srcOrd="0" destOrd="0" presId="urn:microsoft.com/office/officeart/2005/8/layout/orgChart1"/>
    <dgm:cxn modelId="{8585769A-0252-4081-A9AE-B2291162FCC5}" type="presOf" srcId="{0D018994-6584-4C33-9314-0265F2A85C35}" destId="{EDF125A7-258C-457D-94C6-A3DE2DC8D261}" srcOrd="0" destOrd="0" presId="urn:microsoft.com/office/officeart/2005/8/layout/orgChart1"/>
    <dgm:cxn modelId="{ABBCC49B-976D-4DC5-BA49-4946F2F25317}" type="presOf" srcId="{0F7C0021-810C-47FC-98DB-343145BC1693}" destId="{F02730E0-27D1-41A1-A571-BB6F66328678}" srcOrd="1" destOrd="0" presId="urn:microsoft.com/office/officeart/2005/8/layout/orgChart1"/>
    <dgm:cxn modelId="{6059389D-7F84-44BF-813D-1114B81BCD83}" type="presOf" srcId="{0F7C0021-810C-47FC-98DB-343145BC1693}" destId="{27407A8E-6C2C-4D2C-A307-437C7D529119}" srcOrd="0" destOrd="0" presId="urn:microsoft.com/office/officeart/2005/8/layout/orgChart1"/>
    <dgm:cxn modelId="{3E457D9F-7268-483C-9C7B-E818600826B7}" type="presOf" srcId="{ABB928CF-7B91-4F50-85F3-81F840FA8E07}" destId="{5976364E-EBD2-443B-90F0-E2D4F7D9BB1C}" srcOrd="1" destOrd="0" presId="urn:microsoft.com/office/officeart/2005/8/layout/orgChart1"/>
    <dgm:cxn modelId="{401B13A2-F098-48A4-BFAD-F346ABAD9EF1}" type="presOf" srcId="{644B2F6B-091B-4566-8ABC-818454C5D58A}" destId="{F851F948-20EE-42C1-8874-9CC86EBC782E}" srcOrd="0" destOrd="0" presId="urn:microsoft.com/office/officeart/2005/8/layout/orgChart1"/>
    <dgm:cxn modelId="{BE3401A3-4BE5-47CA-9F78-F3A070852C8B}" type="presOf" srcId="{236161AD-A6D1-49DA-90CB-4937FEC08C65}" destId="{7533E292-0CC4-4D30-97CB-4D2D4259211A}" srcOrd="0" destOrd="0" presId="urn:microsoft.com/office/officeart/2005/8/layout/orgChart1"/>
    <dgm:cxn modelId="{63A42CA7-08ED-4E45-B185-CAE343679797}" type="presOf" srcId="{8CF46D1B-97CD-4EAB-A1F3-EDA48DD64A11}" destId="{7E1B134A-A9CE-4F73-9188-75EF19059380}" srcOrd="0" destOrd="0" presId="urn:microsoft.com/office/officeart/2005/8/layout/orgChart1"/>
    <dgm:cxn modelId="{D60E7EA9-1A5E-4E7A-8DF7-122A1B01606A}" srcId="{ABB928CF-7B91-4F50-85F3-81F840FA8E07}" destId="{13613AC0-5521-4439-849E-437D65197C58}" srcOrd="0" destOrd="0" parTransId="{D0090C3E-371E-4063-AACD-094C3CB9E635}" sibTransId="{12BE1E1B-FAB5-4C84-9D62-75BA3733EE5A}"/>
    <dgm:cxn modelId="{4A5629AF-CCCC-44BE-9E30-8D083539D7EB}" srcId="{ABB928CF-7B91-4F50-85F3-81F840FA8E07}" destId="{C6EDAFD1-3CCB-4691-9D51-66CB78D51DA5}" srcOrd="3" destOrd="0" parTransId="{23B5731B-7AD9-4DF4-8674-7F38B2F58CC2}" sibTransId="{AA67FC18-EE3A-4CA2-8222-13C6D9FB117F}"/>
    <dgm:cxn modelId="{8B5D04B1-B1B7-4906-B251-012BE4E3D6B2}" srcId="{13613AC0-5521-4439-849E-437D65197C58}" destId="{644B2F6B-091B-4566-8ABC-818454C5D58A}" srcOrd="0" destOrd="0" parTransId="{F151B57D-72DA-495E-9049-8BC7190CBDF4}" sibTransId="{ED22DB4E-9DD8-4F35-B110-0EFA18FFDA44}"/>
    <dgm:cxn modelId="{AAA864B4-E2B7-4BD4-953C-8CDC372DEEC5}" type="presOf" srcId="{E33AE1F6-921A-4D23-A911-FC801ADA3B34}" destId="{C9909C21-D5A7-44D4-801A-FC11374C1C01}" srcOrd="0" destOrd="0" presId="urn:microsoft.com/office/officeart/2005/8/layout/orgChart1"/>
    <dgm:cxn modelId="{741B92B4-3E5C-472D-A6B1-9129303F7D2C}" srcId="{6FD9BD52-7869-4C21-A32B-46F0945951C4}" destId="{ABB928CF-7B91-4F50-85F3-81F840FA8E07}" srcOrd="0" destOrd="0" parTransId="{2DC44F40-C9B6-441D-8C2E-06085B119E60}" sibTransId="{107E02AB-4E06-45E1-802C-98E9B0A508BB}"/>
    <dgm:cxn modelId="{B0A345BD-CC87-47E6-9C26-D7B6F6825B25}" type="presOf" srcId="{644B2F6B-091B-4566-8ABC-818454C5D58A}" destId="{2092AF77-4085-4A7D-8B06-AD3C2AAD7F6C}" srcOrd="1" destOrd="0" presId="urn:microsoft.com/office/officeart/2005/8/layout/orgChart1"/>
    <dgm:cxn modelId="{A123FAC2-1DC9-4A54-9E0A-8589821F4E0D}" type="presOf" srcId="{B43E9A62-1065-4600-AC03-4CA31E3D6744}" destId="{05D289A9-976E-464C-ABC2-3F1A89335C80}" srcOrd="1" destOrd="0" presId="urn:microsoft.com/office/officeart/2005/8/layout/orgChart1"/>
    <dgm:cxn modelId="{F182FDC5-76AE-47F6-A901-E4EAF2A7EEE0}" type="presOf" srcId="{69484683-C92E-4225-8E2D-88F63A511FC0}" destId="{8030E7BC-2E06-4D64-9963-CD4CD64F2EFD}" srcOrd="0" destOrd="0" presId="urn:microsoft.com/office/officeart/2005/8/layout/orgChart1"/>
    <dgm:cxn modelId="{21E263CB-E829-4C99-B981-B75C422D9E6B}" type="presOf" srcId="{80A53DA7-C782-46B8-B216-809396FCB679}" destId="{DBBDBC71-12CB-42EC-98B0-E920ED4248D0}" srcOrd="0" destOrd="0" presId="urn:microsoft.com/office/officeart/2005/8/layout/orgChart1"/>
    <dgm:cxn modelId="{456157D0-F286-4274-81EB-61B5FEA56B68}" srcId="{4E80DB72-2384-48FC-97F5-8A45F343CB81}" destId="{1061C6D9-13CE-4EF9-8E5F-D3F21E7EE44E}" srcOrd="1" destOrd="0" parTransId="{8895F5CF-72E2-4A6A-9709-A3B24E49FBE7}" sibTransId="{73C8573F-1656-4F27-8118-76DBA88AE426}"/>
    <dgm:cxn modelId="{D04093D0-A27E-4B24-A54C-328F2E6091ED}" type="presOf" srcId="{C86CA9C2-AEF3-403A-B4BC-0F56C8FD82FB}" destId="{0AD30FDA-3F63-4F8B-AD28-093992A5FBBE}" srcOrd="1" destOrd="0" presId="urn:microsoft.com/office/officeart/2005/8/layout/orgChart1"/>
    <dgm:cxn modelId="{0621EDD5-5026-4953-B8B0-C2AB348AE7E2}" type="presOf" srcId="{B43E9A62-1065-4600-AC03-4CA31E3D6744}" destId="{20854057-6FC9-4862-B48B-509B8ACF3BB3}" srcOrd="0" destOrd="0" presId="urn:microsoft.com/office/officeart/2005/8/layout/orgChart1"/>
    <dgm:cxn modelId="{914451D9-C09A-4BE7-9DB6-D8EC51EDF846}" srcId="{C6EDAFD1-3CCB-4691-9D51-66CB78D51DA5}" destId="{993C6604-4A3C-40C7-9CB0-8EFA95504BD9}" srcOrd="0" destOrd="0" parTransId="{236161AD-A6D1-49DA-90CB-4937FEC08C65}" sibTransId="{47DDC5D6-EA0F-407D-A55E-97B3F0B30E0D}"/>
    <dgm:cxn modelId="{15AA26E5-67EF-46CF-8697-3208FBB2CF82}" type="presOf" srcId="{1061C6D9-13CE-4EF9-8E5F-D3F21E7EE44E}" destId="{37FE9F42-58E6-4318-8BA1-94E66FD05ABE}" srcOrd="1" destOrd="0" presId="urn:microsoft.com/office/officeart/2005/8/layout/orgChart1"/>
    <dgm:cxn modelId="{BA3846E8-F44F-4798-AD7F-D98F86CE961A}" srcId="{3F58680A-2CCF-4A3B-9350-CED6BF78F651}" destId="{8CF46D1B-97CD-4EAB-A1F3-EDA48DD64A11}" srcOrd="0" destOrd="0" parTransId="{D82F297E-34F6-47ED-9F65-2C71A04B8ECA}" sibTransId="{9FF6252A-2B10-40FD-ABA2-7BF3B15E79A9}"/>
    <dgm:cxn modelId="{CF946DE9-FA3A-4345-8A78-A0BF9FDF170D}" srcId="{B43E9A62-1065-4600-AC03-4CA31E3D6744}" destId="{C86CA9C2-AEF3-403A-B4BC-0F56C8FD82FB}" srcOrd="0" destOrd="0" parTransId="{2F717B62-D367-4163-866B-2DF614BD942F}" sibTransId="{9359FA83-F491-46AE-B959-1C993469E1AA}"/>
    <dgm:cxn modelId="{C48C2DEB-B72D-4FC9-9B60-43F0D28415CE}" type="presOf" srcId="{29D43A8C-61AF-41B9-BB45-6B049D24BA28}" destId="{201F8929-CD63-4F91-93D4-FBE6D8F787C9}" srcOrd="1" destOrd="0" presId="urn:microsoft.com/office/officeart/2005/8/layout/orgChart1"/>
    <dgm:cxn modelId="{3BCB63EB-B4DA-43E0-B4D1-DB9B9DF3F20D}" type="presOf" srcId="{4D063C3C-D433-463C-9840-403767124E7E}" destId="{86396832-D400-4F06-8C19-0AD6BD7A047D}" srcOrd="0" destOrd="0" presId="urn:microsoft.com/office/officeart/2005/8/layout/orgChart1"/>
    <dgm:cxn modelId="{BC76F5F2-3FD5-4F51-8AAC-CA1C996A2468}" type="presOf" srcId="{08C1326A-963F-4C8A-8AB7-1EB105A7B2B7}" destId="{161F077C-D326-48EB-9B7D-A7165486D6D4}" srcOrd="0" destOrd="0" presId="urn:microsoft.com/office/officeart/2005/8/layout/orgChart1"/>
    <dgm:cxn modelId="{8C87C3F3-4B48-43D6-902D-A672CF16DCA2}" type="presOf" srcId="{13613AC0-5521-4439-849E-437D65197C58}" destId="{4C7992D6-83C6-4AA4-A0CF-892951EC478D}" srcOrd="1" destOrd="0" presId="urn:microsoft.com/office/officeart/2005/8/layout/orgChart1"/>
    <dgm:cxn modelId="{3566DDFC-6A6F-4692-AEAD-CAAF00760288}" type="presOf" srcId="{D0090C3E-371E-4063-AACD-094C3CB9E635}" destId="{4946AC3E-6FF8-4B67-83A3-5D0FFD93FE40}" srcOrd="0" destOrd="0" presId="urn:microsoft.com/office/officeart/2005/8/layout/orgChart1"/>
    <dgm:cxn modelId="{7C6EE36E-488C-4436-BB69-C128DB24C0E3}" type="presParOf" srcId="{8B2255EF-5B85-4866-B633-C308F6F2212E}" destId="{3C61A6BD-1096-4221-965E-6DCBA19C228F}" srcOrd="0" destOrd="0" presId="urn:microsoft.com/office/officeart/2005/8/layout/orgChart1"/>
    <dgm:cxn modelId="{CCC3547C-A527-425A-99C7-A8DB5C5644EB}" type="presParOf" srcId="{3C61A6BD-1096-4221-965E-6DCBA19C228F}" destId="{0FB2EC2C-3B69-4DB4-8A0D-03E529699EE8}" srcOrd="0" destOrd="0" presId="urn:microsoft.com/office/officeart/2005/8/layout/orgChart1"/>
    <dgm:cxn modelId="{46F2F501-973F-4CF2-9D79-51E64396B8BE}" type="presParOf" srcId="{0FB2EC2C-3B69-4DB4-8A0D-03E529699EE8}" destId="{D6EA0742-2828-4CE9-A129-2531A776C963}" srcOrd="0" destOrd="0" presId="urn:microsoft.com/office/officeart/2005/8/layout/orgChart1"/>
    <dgm:cxn modelId="{863734E2-9E06-4478-A09F-F9C87706130A}" type="presParOf" srcId="{0FB2EC2C-3B69-4DB4-8A0D-03E529699EE8}" destId="{5976364E-EBD2-443B-90F0-E2D4F7D9BB1C}" srcOrd="1" destOrd="0" presId="urn:microsoft.com/office/officeart/2005/8/layout/orgChart1"/>
    <dgm:cxn modelId="{D36BDDB3-AFAC-4696-9DB2-507841A0F773}" type="presParOf" srcId="{3C61A6BD-1096-4221-965E-6DCBA19C228F}" destId="{00492EEE-7314-4680-A4E1-9E7CE2A309A6}" srcOrd="1" destOrd="0" presId="urn:microsoft.com/office/officeart/2005/8/layout/orgChart1"/>
    <dgm:cxn modelId="{4796B4C1-D189-4DA5-A438-A88E1BF1FF0D}" type="presParOf" srcId="{00492EEE-7314-4680-A4E1-9E7CE2A309A6}" destId="{4946AC3E-6FF8-4B67-83A3-5D0FFD93FE40}" srcOrd="0" destOrd="0" presId="urn:microsoft.com/office/officeart/2005/8/layout/orgChart1"/>
    <dgm:cxn modelId="{CD7E81BD-320F-4FE4-B46B-F28DF80838B5}" type="presParOf" srcId="{00492EEE-7314-4680-A4E1-9E7CE2A309A6}" destId="{8652A66A-8340-448E-A7ED-37797AC76EBC}" srcOrd="1" destOrd="0" presId="urn:microsoft.com/office/officeart/2005/8/layout/orgChart1"/>
    <dgm:cxn modelId="{F5BDF10D-7952-4AF2-83B0-FAF9C9217C07}" type="presParOf" srcId="{8652A66A-8340-448E-A7ED-37797AC76EBC}" destId="{1EE8C7EF-CEDD-442D-BC35-575E7F73F025}" srcOrd="0" destOrd="0" presId="urn:microsoft.com/office/officeart/2005/8/layout/orgChart1"/>
    <dgm:cxn modelId="{C1D31758-2037-49C9-A695-01BCA77B93DD}" type="presParOf" srcId="{1EE8C7EF-CEDD-442D-BC35-575E7F73F025}" destId="{DFCAD206-A4DA-4A78-847E-65D58F22BBF4}" srcOrd="0" destOrd="0" presId="urn:microsoft.com/office/officeart/2005/8/layout/orgChart1"/>
    <dgm:cxn modelId="{82958D4B-793F-452F-9798-A5400DC5F974}" type="presParOf" srcId="{1EE8C7EF-CEDD-442D-BC35-575E7F73F025}" destId="{4C7992D6-83C6-4AA4-A0CF-892951EC478D}" srcOrd="1" destOrd="0" presId="urn:microsoft.com/office/officeart/2005/8/layout/orgChart1"/>
    <dgm:cxn modelId="{98A52753-F051-454A-A84B-AA2498A98BE7}" type="presParOf" srcId="{8652A66A-8340-448E-A7ED-37797AC76EBC}" destId="{BF2A4EE5-9A88-45DD-ACC9-F4DE067F86B6}" srcOrd="1" destOrd="0" presId="urn:microsoft.com/office/officeart/2005/8/layout/orgChart1"/>
    <dgm:cxn modelId="{1C0066B2-980A-42FA-BE29-F555C5CC6334}" type="presParOf" srcId="{BF2A4EE5-9A88-45DD-ACC9-F4DE067F86B6}" destId="{C8A6D74C-1FA3-4F16-952D-DD789DB8AECF}" srcOrd="0" destOrd="0" presId="urn:microsoft.com/office/officeart/2005/8/layout/orgChart1"/>
    <dgm:cxn modelId="{26B4EA52-C815-42E9-856B-08DB77ED0B52}" type="presParOf" srcId="{BF2A4EE5-9A88-45DD-ACC9-F4DE067F86B6}" destId="{D441B3D0-0956-4E74-9B34-2FB4BE2CBE69}" srcOrd="1" destOrd="0" presId="urn:microsoft.com/office/officeart/2005/8/layout/orgChart1"/>
    <dgm:cxn modelId="{E09D99E2-B9D2-4653-AF79-2CB67C531278}" type="presParOf" srcId="{D441B3D0-0956-4E74-9B34-2FB4BE2CBE69}" destId="{4502CB98-B54D-45B7-8754-BAC00541203C}" srcOrd="0" destOrd="0" presId="urn:microsoft.com/office/officeart/2005/8/layout/orgChart1"/>
    <dgm:cxn modelId="{67B2FE3C-CC89-4FB9-B382-C074DC1DD896}" type="presParOf" srcId="{4502CB98-B54D-45B7-8754-BAC00541203C}" destId="{F851F948-20EE-42C1-8874-9CC86EBC782E}" srcOrd="0" destOrd="0" presId="urn:microsoft.com/office/officeart/2005/8/layout/orgChart1"/>
    <dgm:cxn modelId="{0F430AF0-62D2-4AD5-8EFE-0CB7AB104986}" type="presParOf" srcId="{4502CB98-B54D-45B7-8754-BAC00541203C}" destId="{2092AF77-4085-4A7D-8B06-AD3C2AAD7F6C}" srcOrd="1" destOrd="0" presId="urn:microsoft.com/office/officeart/2005/8/layout/orgChart1"/>
    <dgm:cxn modelId="{D728130E-98E1-4826-B276-3F0D821A8988}" type="presParOf" srcId="{D441B3D0-0956-4E74-9B34-2FB4BE2CBE69}" destId="{A69520D1-B52A-429E-A1A3-62F08DD4CBC0}" srcOrd="1" destOrd="0" presId="urn:microsoft.com/office/officeart/2005/8/layout/orgChart1"/>
    <dgm:cxn modelId="{2325E114-2990-42E0-8850-4A4144B23D8D}" type="presParOf" srcId="{D441B3D0-0956-4E74-9B34-2FB4BE2CBE69}" destId="{3084B56E-9823-4AD9-A806-00EBDD9B9814}" srcOrd="2" destOrd="0" presId="urn:microsoft.com/office/officeart/2005/8/layout/orgChart1"/>
    <dgm:cxn modelId="{F96EFC1C-E30D-4FD9-964F-B388E0243BC5}" type="presParOf" srcId="{3084B56E-9823-4AD9-A806-00EBDD9B9814}" destId="{77D4A3BF-9053-4828-A0E5-91C540E38F05}" srcOrd="0" destOrd="0" presId="urn:microsoft.com/office/officeart/2005/8/layout/orgChart1"/>
    <dgm:cxn modelId="{41101240-B375-4B5C-8913-008DFB789B5D}" type="presParOf" srcId="{3084B56E-9823-4AD9-A806-00EBDD9B9814}" destId="{9F69814E-D4DC-4444-8B87-AE4C7BB3955F}" srcOrd="1" destOrd="0" presId="urn:microsoft.com/office/officeart/2005/8/layout/orgChart1"/>
    <dgm:cxn modelId="{B30A1677-C61F-44CA-BDE3-F915589F4904}" type="presParOf" srcId="{9F69814E-D4DC-4444-8B87-AE4C7BB3955F}" destId="{CA7F8866-9611-4B36-AB5C-8A5A4E231A75}" srcOrd="0" destOrd="0" presId="urn:microsoft.com/office/officeart/2005/8/layout/orgChart1"/>
    <dgm:cxn modelId="{D5936316-0056-4D7F-8109-C8DAF1BA9B90}" type="presParOf" srcId="{CA7F8866-9611-4B36-AB5C-8A5A4E231A75}" destId="{DBBDBC71-12CB-42EC-98B0-E920ED4248D0}" srcOrd="0" destOrd="0" presId="urn:microsoft.com/office/officeart/2005/8/layout/orgChart1"/>
    <dgm:cxn modelId="{60A70C0A-F8C3-4519-978E-E66405A2908C}" type="presParOf" srcId="{CA7F8866-9611-4B36-AB5C-8A5A4E231A75}" destId="{5F6188AB-B151-4E5A-9CB3-6061C2B57EDB}" srcOrd="1" destOrd="0" presId="urn:microsoft.com/office/officeart/2005/8/layout/orgChart1"/>
    <dgm:cxn modelId="{954FAEFD-34CD-410C-B814-EFC951C3A9B7}" type="presParOf" srcId="{9F69814E-D4DC-4444-8B87-AE4C7BB3955F}" destId="{2D6B055F-74E2-4162-88B0-4489E4DAE32B}" srcOrd="1" destOrd="0" presId="urn:microsoft.com/office/officeart/2005/8/layout/orgChart1"/>
    <dgm:cxn modelId="{065C0A56-F660-457D-844C-58876EEBD002}" type="presParOf" srcId="{2D6B055F-74E2-4162-88B0-4489E4DAE32B}" destId="{5331DF68-8B6F-4897-AD59-69BED5E0E21D}" srcOrd="0" destOrd="0" presId="urn:microsoft.com/office/officeart/2005/8/layout/orgChart1"/>
    <dgm:cxn modelId="{39162ADD-DDFA-44CD-956C-1EEE5AC0BF12}" type="presParOf" srcId="{2D6B055F-74E2-4162-88B0-4489E4DAE32B}" destId="{61916A04-DF59-4BF1-B4EE-51C7ECB0250F}" srcOrd="1" destOrd="0" presId="urn:microsoft.com/office/officeart/2005/8/layout/orgChart1"/>
    <dgm:cxn modelId="{CE87D49B-27B0-4469-AC67-76EF95840F6E}" type="presParOf" srcId="{61916A04-DF59-4BF1-B4EE-51C7ECB0250F}" destId="{3F822BE8-A632-4E57-8937-B60AC5A5E6EB}" srcOrd="0" destOrd="0" presId="urn:microsoft.com/office/officeart/2005/8/layout/orgChart1"/>
    <dgm:cxn modelId="{55E44630-2E6D-4CE7-A04F-298991181D30}" type="presParOf" srcId="{3F822BE8-A632-4E57-8937-B60AC5A5E6EB}" destId="{42FB81F6-BF1C-4024-94EB-471F90D59F0A}" srcOrd="0" destOrd="0" presId="urn:microsoft.com/office/officeart/2005/8/layout/orgChart1"/>
    <dgm:cxn modelId="{0A42DEDB-68CF-44BE-A5DE-E1EEFC6456D7}" type="presParOf" srcId="{3F822BE8-A632-4E57-8937-B60AC5A5E6EB}" destId="{B6A28A87-8AE0-46A8-BF02-A553B46DBB8F}" srcOrd="1" destOrd="0" presId="urn:microsoft.com/office/officeart/2005/8/layout/orgChart1"/>
    <dgm:cxn modelId="{823B9F92-86D7-4DFC-98C7-5E972AA26C20}" type="presParOf" srcId="{61916A04-DF59-4BF1-B4EE-51C7ECB0250F}" destId="{3445D2E6-E0A8-4491-A0FD-903D16C99B20}" srcOrd="1" destOrd="0" presId="urn:microsoft.com/office/officeart/2005/8/layout/orgChart1"/>
    <dgm:cxn modelId="{888E4E08-2908-43C9-9722-1CFD280F69E0}" type="presParOf" srcId="{61916A04-DF59-4BF1-B4EE-51C7ECB0250F}" destId="{B048FADF-EF6A-4B8F-A6CE-FE2E05DB38EF}" srcOrd="2" destOrd="0" presId="urn:microsoft.com/office/officeart/2005/8/layout/orgChart1"/>
    <dgm:cxn modelId="{BA347BF1-2040-4700-B3AA-954A6CEE4031}" type="presParOf" srcId="{9F69814E-D4DC-4444-8B87-AE4C7BB3955F}" destId="{66B1EBF7-9803-40FC-AECE-09FC9DE29A7D}" srcOrd="2" destOrd="0" presId="urn:microsoft.com/office/officeart/2005/8/layout/orgChart1"/>
    <dgm:cxn modelId="{D34C6C52-977E-4416-9CAF-AEAA281ADE25}" type="presParOf" srcId="{3084B56E-9823-4AD9-A806-00EBDD9B9814}" destId="{EDF125A7-258C-457D-94C6-A3DE2DC8D261}" srcOrd="2" destOrd="0" presId="urn:microsoft.com/office/officeart/2005/8/layout/orgChart1"/>
    <dgm:cxn modelId="{6A97228E-0653-4937-8BBF-8BEBB299C4A9}" type="presParOf" srcId="{3084B56E-9823-4AD9-A806-00EBDD9B9814}" destId="{E8D493FB-C286-4F02-8E2E-5A612565FF7A}" srcOrd="3" destOrd="0" presId="urn:microsoft.com/office/officeart/2005/8/layout/orgChart1"/>
    <dgm:cxn modelId="{64645085-151D-4761-8B5B-19CE06D73393}" type="presParOf" srcId="{E8D493FB-C286-4F02-8E2E-5A612565FF7A}" destId="{B6520C52-51C6-40F0-AAAB-5121A27549F9}" srcOrd="0" destOrd="0" presId="urn:microsoft.com/office/officeart/2005/8/layout/orgChart1"/>
    <dgm:cxn modelId="{B920A416-E304-4646-A37E-A24AFA5F7261}" type="presParOf" srcId="{B6520C52-51C6-40F0-AAAB-5121A27549F9}" destId="{0849BB84-D1F8-42D5-87B6-E56F279F8870}" srcOrd="0" destOrd="0" presId="urn:microsoft.com/office/officeart/2005/8/layout/orgChart1"/>
    <dgm:cxn modelId="{9AF5168F-15B1-4304-9B3B-71FDCD3EA1A6}" type="presParOf" srcId="{B6520C52-51C6-40F0-AAAB-5121A27549F9}" destId="{1FE9CF3F-0425-48ED-87BD-21C11F87375B}" srcOrd="1" destOrd="0" presId="urn:microsoft.com/office/officeart/2005/8/layout/orgChart1"/>
    <dgm:cxn modelId="{CEBF9829-30D4-4265-9D63-F75B1738A09B}" type="presParOf" srcId="{E8D493FB-C286-4F02-8E2E-5A612565FF7A}" destId="{13BEEAFE-D444-496A-B7AC-1DF02A1C70A5}" srcOrd="1" destOrd="0" presId="urn:microsoft.com/office/officeart/2005/8/layout/orgChart1"/>
    <dgm:cxn modelId="{5C8C8DD9-4E7C-4C26-BE25-3230D8A19329}" type="presParOf" srcId="{13BEEAFE-D444-496A-B7AC-1DF02A1C70A5}" destId="{3B9D945D-4798-4E35-9D56-384ABF99BBE8}" srcOrd="0" destOrd="0" presId="urn:microsoft.com/office/officeart/2005/8/layout/orgChart1"/>
    <dgm:cxn modelId="{4F9B18BD-C7E5-43BD-A1BF-34B240C99966}" type="presParOf" srcId="{13BEEAFE-D444-496A-B7AC-1DF02A1C70A5}" destId="{39F72CA1-39F5-4E0A-BD31-0136EDF88A5E}" srcOrd="1" destOrd="0" presId="urn:microsoft.com/office/officeart/2005/8/layout/orgChart1"/>
    <dgm:cxn modelId="{9B874B3D-F747-4EBD-A0B6-63EB39295FC4}" type="presParOf" srcId="{39F72CA1-39F5-4E0A-BD31-0136EDF88A5E}" destId="{4B0DA58A-3FA8-44A2-AA00-9A6DD296CDCA}" srcOrd="0" destOrd="0" presId="urn:microsoft.com/office/officeart/2005/8/layout/orgChart1"/>
    <dgm:cxn modelId="{59D41762-2DEC-47C0-8B89-9B3A7F788268}" type="presParOf" srcId="{4B0DA58A-3FA8-44A2-AA00-9A6DD296CDCA}" destId="{27407A8E-6C2C-4D2C-A307-437C7D529119}" srcOrd="0" destOrd="0" presId="urn:microsoft.com/office/officeart/2005/8/layout/orgChart1"/>
    <dgm:cxn modelId="{C381130E-A0DF-435A-A0C7-FE707770C765}" type="presParOf" srcId="{4B0DA58A-3FA8-44A2-AA00-9A6DD296CDCA}" destId="{F02730E0-27D1-41A1-A571-BB6F66328678}" srcOrd="1" destOrd="0" presId="urn:microsoft.com/office/officeart/2005/8/layout/orgChart1"/>
    <dgm:cxn modelId="{5545CB27-B78B-4280-8DE9-17323B786148}" type="presParOf" srcId="{39F72CA1-39F5-4E0A-BD31-0136EDF88A5E}" destId="{FFFCE7CF-668C-4646-BC83-28A9FA2EB758}" srcOrd="1" destOrd="0" presId="urn:microsoft.com/office/officeart/2005/8/layout/orgChart1"/>
    <dgm:cxn modelId="{71F916D5-3DFF-4B0F-9AFD-C2D12E0EA8CB}" type="presParOf" srcId="{39F72CA1-39F5-4E0A-BD31-0136EDF88A5E}" destId="{210D1463-81C2-41FC-9B08-DCF7D6488886}" srcOrd="2" destOrd="0" presId="urn:microsoft.com/office/officeart/2005/8/layout/orgChart1"/>
    <dgm:cxn modelId="{172AE0A7-D6A4-49AA-85C3-CAECA78DC4F2}" type="presParOf" srcId="{13BEEAFE-D444-496A-B7AC-1DF02A1C70A5}" destId="{1B896DA2-67B2-4060-B61F-0AA04B5126DE}" srcOrd="2" destOrd="0" presId="urn:microsoft.com/office/officeart/2005/8/layout/orgChart1"/>
    <dgm:cxn modelId="{ACE1C3CE-97F7-4AD3-AF9D-C325D53CD133}" type="presParOf" srcId="{13BEEAFE-D444-496A-B7AC-1DF02A1C70A5}" destId="{EACE579C-C5C0-4C21-9869-A045591CC929}" srcOrd="3" destOrd="0" presId="urn:microsoft.com/office/officeart/2005/8/layout/orgChart1"/>
    <dgm:cxn modelId="{6C232A1F-18D1-4B47-A4A2-334FB62FF959}" type="presParOf" srcId="{EACE579C-C5C0-4C21-9869-A045591CC929}" destId="{73F79F8F-F9F4-4298-AB2B-4E9131A29A3E}" srcOrd="0" destOrd="0" presId="urn:microsoft.com/office/officeart/2005/8/layout/orgChart1"/>
    <dgm:cxn modelId="{3E7EB609-E96E-485C-B49C-2C4A421A216E}" type="presParOf" srcId="{73F79F8F-F9F4-4298-AB2B-4E9131A29A3E}" destId="{79BCFE3C-CDBA-4A53-BEEB-9D59CB93FBBD}" srcOrd="0" destOrd="0" presId="urn:microsoft.com/office/officeart/2005/8/layout/orgChart1"/>
    <dgm:cxn modelId="{C7513E4D-68C3-4576-B0D4-EDA4E7DD6720}" type="presParOf" srcId="{73F79F8F-F9F4-4298-AB2B-4E9131A29A3E}" destId="{37FE9F42-58E6-4318-8BA1-94E66FD05ABE}" srcOrd="1" destOrd="0" presId="urn:microsoft.com/office/officeart/2005/8/layout/orgChart1"/>
    <dgm:cxn modelId="{121B85A1-57F8-4B60-BB60-8DFC330F9D93}" type="presParOf" srcId="{EACE579C-C5C0-4C21-9869-A045591CC929}" destId="{FE7EFD69-9533-4F51-B852-952D7C2364E6}" srcOrd="1" destOrd="0" presId="urn:microsoft.com/office/officeart/2005/8/layout/orgChart1"/>
    <dgm:cxn modelId="{ECFE637A-35E8-4418-9B5F-7F792B5E25B9}" type="presParOf" srcId="{EACE579C-C5C0-4C21-9869-A045591CC929}" destId="{4099743B-654B-4CFB-A96C-38ADEE5A83D6}" srcOrd="2" destOrd="0" presId="urn:microsoft.com/office/officeart/2005/8/layout/orgChart1"/>
    <dgm:cxn modelId="{88A2AD9F-A682-4B72-9B36-3DB1BC4D494D}" type="presParOf" srcId="{13BEEAFE-D444-496A-B7AC-1DF02A1C70A5}" destId="{161F077C-D326-48EB-9B7D-A7165486D6D4}" srcOrd="4" destOrd="0" presId="urn:microsoft.com/office/officeart/2005/8/layout/orgChart1"/>
    <dgm:cxn modelId="{5D462192-9FA8-4781-ABFE-263C9C69E2D9}" type="presParOf" srcId="{13BEEAFE-D444-496A-B7AC-1DF02A1C70A5}" destId="{F1BBF2E5-7414-44E2-9470-E79DA4B2BF70}" srcOrd="5" destOrd="0" presId="urn:microsoft.com/office/officeart/2005/8/layout/orgChart1"/>
    <dgm:cxn modelId="{A64321A9-18E5-446A-85A5-15A62DC3207D}" type="presParOf" srcId="{F1BBF2E5-7414-44E2-9470-E79DA4B2BF70}" destId="{08F591D2-ADD5-4D02-8833-39F8A7974A12}" srcOrd="0" destOrd="0" presId="urn:microsoft.com/office/officeart/2005/8/layout/orgChart1"/>
    <dgm:cxn modelId="{74669C16-7ABA-4DD1-A37B-D344900058CC}" type="presParOf" srcId="{08F591D2-ADD5-4D02-8833-39F8A7974A12}" destId="{830061E8-2DD1-4ECC-ABA7-490B104D4EAF}" srcOrd="0" destOrd="0" presId="urn:microsoft.com/office/officeart/2005/8/layout/orgChart1"/>
    <dgm:cxn modelId="{A01E596E-CA68-405E-B155-CE2DE0C59C82}" type="presParOf" srcId="{08F591D2-ADD5-4D02-8833-39F8A7974A12}" destId="{201F8929-CD63-4F91-93D4-FBE6D8F787C9}" srcOrd="1" destOrd="0" presId="urn:microsoft.com/office/officeart/2005/8/layout/orgChart1"/>
    <dgm:cxn modelId="{9E364774-C158-4AF8-B14F-65C228E8124F}" type="presParOf" srcId="{F1BBF2E5-7414-44E2-9470-E79DA4B2BF70}" destId="{04E67A98-E7AD-4AD2-BF3F-489872277DA7}" srcOrd="1" destOrd="0" presId="urn:microsoft.com/office/officeart/2005/8/layout/orgChart1"/>
    <dgm:cxn modelId="{D29734B9-3474-4AE7-8D9D-59DE52C5728B}" type="presParOf" srcId="{F1BBF2E5-7414-44E2-9470-E79DA4B2BF70}" destId="{AC842783-F37B-4233-9BAA-2F2021006973}" srcOrd="2" destOrd="0" presId="urn:microsoft.com/office/officeart/2005/8/layout/orgChart1"/>
    <dgm:cxn modelId="{9F55E6CC-9F82-4D3B-842F-49E887E5C301}" type="presParOf" srcId="{13BEEAFE-D444-496A-B7AC-1DF02A1C70A5}" destId="{86396832-D400-4F06-8C19-0AD6BD7A047D}" srcOrd="6" destOrd="0" presId="urn:microsoft.com/office/officeart/2005/8/layout/orgChart1"/>
    <dgm:cxn modelId="{F8E98F93-721B-41DF-AF5C-11668D2E7BFE}" type="presParOf" srcId="{13BEEAFE-D444-496A-B7AC-1DF02A1C70A5}" destId="{FF34B59F-5BCD-4629-9378-B8A857150C3E}" srcOrd="7" destOrd="0" presId="urn:microsoft.com/office/officeart/2005/8/layout/orgChart1"/>
    <dgm:cxn modelId="{E5C79EF9-592F-4127-AB98-C0DB7BD51776}" type="presParOf" srcId="{FF34B59F-5BCD-4629-9378-B8A857150C3E}" destId="{B013479F-657B-415B-82DE-FAFB6567C159}" srcOrd="0" destOrd="0" presId="urn:microsoft.com/office/officeart/2005/8/layout/orgChart1"/>
    <dgm:cxn modelId="{FB64A005-089F-4FBD-8A20-12EA3DB84F2E}" type="presParOf" srcId="{B013479F-657B-415B-82DE-FAFB6567C159}" destId="{8030E7BC-2E06-4D64-9963-CD4CD64F2EFD}" srcOrd="0" destOrd="0" presId="urn:microsoft.com/office/officeart/2005/8/layout/orgChart1"/>
    <dgm:cxn modelId="{2C3633EB-5B46-4339-83C6-8601D3B0DD95}" type="presParOf" srcId="{B013479F-657B-415B-82DE-FAFB6567C159}" destId="{1EC7FA8A-34F8-4DE8-9728-D074AA0EF1B7}" srcOrd="1" destOrd="0" presId="urn:microsoft.com/office/officeart/2005/8/layout/orgChart1"/>
    <dgm:cxn modelId="{BCA0031B-68A7-43B5-AEE0-81035B825D81}" type="presParOf" srcId="{FF34B59F-5BCD-4629-9378-B8A857150C3E}" destId="{F907157C-8D3B-4074-8463-564804A21F74}" srcOrd="1" destOrd="0" presId="urn:microsoft.com/office/officeart/2005/8/layout/orgChart1"/>
    <dgm:cxn modelId="{DDE9D394-5F00-4101-8E7F-CBBDA686D93B}" type="presParOf" srcId="{FF34B59F-5BCD-4629-9378-B8A857150C3E}" destId="{F5560033-E993-462A-8737-28D4C1FC4E09}" srcOrd="2" destOrd="0" presId="urn:microsoft.com/office/officeart/2005/8/layout/orgChart1"/>
    <dgm:cxn modelId="{77FE02F4-7885-464A-9D34-2A9F8C900C4E}" type="presParOf" srcId="{E8D493FB-C286-4F02-8E2E-5A612565FF7A}" destId="{D335A9CF-7D22-4727-9177-44503F15FDB6}" srcOrd="2" destOrd="0" presId="urn:microsoft.com/office/officeart/2005/8/layout/orgChart1"/>
    <dgm:cxn modelId="{413B6C0E-FE24-4DBC-B65D-E3933AE146F3}" type="presParOf" srcId="{8652A66A-8340-448E-A7ED-37797AC76EBC}" destId="{09E089F4-9CEF-4281-BD06-C5A8DEBB231D}" srcOrd="2" destOrd="0" presId="urn:microsoft.com/office/officeart/2005/8/layout/orgChart1"/>
    <dgm:cxn modelId="{F32464E4-871D-4401-80D4-6272A302093C}" type="presParOf" srcId="{00492EEE-7314-4680-A4E1-9E7CE2A309A6}" destId="{C9909C21-D5A7-44D4-801A-FC11374C1C01}" srcOrd="2" destOrd="0" presId="urn:microsoft.com/office/officeart/2005/8/layout/orgChart1"/>
    <dgm:cxn modelId="{A6D226B3-DA8D-4794-9B70-774C2AE46CFC}" type="presParOf" srcId="{00492EEE-7314-4680-A4E1-9E7CE2A309A6}" destId="{FD0C9855-7B42-4EFF-9CD0-DF032A9B1F22}" srcOrd="3" destOrd="0" presId="urn:microsoft.com/office/officeart/2005/8/layout/orgChart1"/>
    <dgm:cxn modelId="{ACB63E11-0139-432D-ADB8-6D449274DF13}" type="presParOf" srcId="{FD0C9855-7B42-4EFF-9CD0-DF032A9B1F22}" destId="{CB4ECA0B-8D1B-4412-B855-BD35B6D8AC13}" srcOrd="0" destOrd="0" presId="urn:microsoft.com/office/officeart/2005/8/layout/orgChart1"/>
    <dgm:cxn modelId="{D0169325-9286-4F5A-A631-7C1ADC7F6F0E}" type="presParOf" srcId="{CB4ECA0B-8D1B-4412-B855-BD35B6D8AC13}" destId="{20854057-6FC9-4862-B48B-509B8ACF3BB3}" srcOrd="0" destOrd="0" presId="urn:microsoft.com/office/officeart/2005/8/layout/orgChart1"/>
    <dgm:cxn modelId="{FF5CF5BB-F7FD-41D1-97CF-D83EF93A279F}" type="presParOf" srcId="{CB4ECA0B-8D1B-4412-B855-BD35B6D8AC13}" destId="{05D289A9-976E-464C-ABC2-3F1A89335C80}" srcOrd="1" destOrd="0" presId="urn:microsoft.com/office/officeart/2005/8/layout/orgChart1"/>
    <dgm:cxn modelId="{81B555D5-871F-4B80-A05B-E0BB35BF05C5}" type="presParOf" srcId="{FD0C9855-7B42-4EFF-9CD0-DF032A9B1F22}" destId="{F7BAEF29-ADB6-46E9-B618-1D261B07483E}" srcOrd="1" destOrd="0" presId="urn:microsoft.com/office/officeart/2005/8/layout/orgChart1"/>
    <dgm:cxn modelId="{C5A3FE2E-5417-4DA0-AF8D-CEF8F0E7A06B}" type="presParOf" srcId="{F7BAEF29-ADB6-46E9-B618-1D261B07483E}" destId="{E24CA20F-F70F-4AB7-AE4C-A84126F7675A}" srcOrd="0" destOrd="0" presId="urn:microsoft.com/office/officeart/2005/8/layout/orgChart1"/>
    <dgm:cxn modelId="{54B56934-4A10-4274-AF07-EF6D363587D4}" type="presParOf" srcId="{F7BAEF29-ADB6-46E9-B618-1D261B07483E}" destId="{152E398E-EF04-4A6C-8769-F9B2B8B4A40A}" srcOrd="1" destOrd="0" presId="urn:microsoft.com/office/officeart/2005/8/layout/orgChart1"/>
    <dgm:cxn modelId="{60A50C77-3796-4733-A7A4-D29235DEBCB9}" type="presParOf" srcId="{152E398E-EF04-4A6C-8769-F9B2B8B4A40A}" destId="{994EB315-B235-4960-8536-8CDB5E580EB1}" srcOrd="0" destOrd="0" presId="urn:microsoft.com/office/officeart/2005/8/layout/orgChart1"/>
    <dgm:cxn modelId="{7BAD9A00-D70D-4B80-B831-18BD33DD931F}" type="presParOf" srcId="{994EB315-B235-4960-8536-8CDB5E580EB1}" destId="{584293A9-97F4-4DB9-8B9D-5EC7B9A99587}" srcOrd="0" destOrd="0" presId="urn:microsoft.com/office/officeart/2005/8/layout/orgChart1"/>
    <dgm:cxn modelId="{7392F961-CFA7-4571-B509-2B74A1ACF192}" type="presParOf" srcId="{994EB315-B235-4960-8536-8CDB5E580EB1}" destId="{0AD30FDA-3F63-4F8B-AD28-093992A5FBBE}" srcOrd="1" destOrd="0" presId="urn:microsoft.com/office/officeart/2005/8/layout/orgChart1"/>
    <dgm:cxn modelId="{D727B733-273D-49D2-BC0A-2CAB1B3B9737}" type="presParOf" srcId="{152E398E-EF04-4A6C-8769-F9B2B8B4A40A}" destId="{F3B05D7B-CB2E-44FB-B4C3-AC0DC9F9A70E}" srcOrd="1" destOrd="0" presId="urn:microsoft.com/office/officeart/2005/8/layout/orgChart1"/>
    <dgm:cxn modelId="{9B94331B-A039-4C98-9364-6DB315915DC7}" type="presParOf" srcId="{152E398E-EF04-4A6C-8769-F9B2B8B4A40A}" destId="{C6373A4C-69A3-409D-AA6B-F06CB19A874A}" srcOrd="2" destOrd="0" presId="urn:microsoft.com/office/officeart/2005/8/layout/orgChart1"/>
    <dgm:cxn modelId="{D6278E40-0362-40DC-9FDA-A764DBD5482F}" type="presParOf" srcId="{FD0C9855-7B42-4EFF-9CD0-DF032A9B1F22}" destId="{C93C4A50-CDFE-44AA-BC24-FDB22D44B0C6}" srcOrd="2" destOrd="0" presId="urn:microsoft.com/office/officeart/2005/8/layout/orgChart1"/>
    <dgm:cxn modelId="{8B56EAA9-7530-4368-BCD6-976A266280EE}" type="presParOf" srcId="{00492EEE-7314-4680-A4E1-9E7CE2A309A6}" destId="{B6A1439E-CA6C-432D-832E-D7F60E46C013}" srcOrd="4" destOrd="0" presId="urn:microsoft.com/office/officeart/2005/8/layout/orgChart1"/>
    <dgm:cxn modelId="{F4AF7BE8-5B2B-4D81-AC06-A85A68B10066}" type="presParOf" srcId="{00492EEE-7314-4680-A4E1-9E7CE2A309A6}" destId="{2209AD77-0AF6-4703-B88B-BF9270988E37}" srcOrd="5" destOrd="0" presId="urn:microsoft.com/office/officeart/2005/8/layout/orgChart1"/>
    <dgm:cxn modelId="{4679B619-7D36-49C7-8B0B-923821DABA5D}" type="presParOf" srcId="{2209AD77-0AF6-4703-B88B-BF9270988E37}" destId="{4E0750B2-C05F-4F00-B9FB-ACA823EF4E74}" srcOrd="0" destOrd="0" presId="urn:microsoft.com/office/officeart/2005/8/layout/orgChart1"/>
    <dgm:cxn modelId="{FBE599F9-066B-4FF1-9319-B9C7F79DF3D1}" type="presParOf" srcId="{4E0750B2-C05F-4F00-B9FB-ACA823EF4E74}" destId="{BAE7085A-64F1-4DC6-AE29-A5BEE78A1897}" srcOrd="0" destOrd="0" presId="urn:microsoft.com/office/officeart/2005/8/layout/orgChart1"/>
    <dgm:cxn modelId="{12D3C6BD-7786-4EE3-A35D-B16481219BDC}" type="presParOf" srcId="{4E0750B2-C05F-4F00-B9FB-ACA823EF4E74}" destId="{BF2F7384-B799-49D7-B92F-0A3B74F428F2}" srcOrd="1" destOrd="0" presId="urn:microsoft.com/office/officeart/2005/8/layout/orgChart1"/>
    <dgm:cxn modelId="{D6D856F7-F6F1-4F9F-988E-7FDF0A147DAC}" type="presParOf" srcId="{2209AD77-0AF6-4703-B88B-BF9270988E37}" destId="{EF1DC4FF-4A6C-4FE3-BE25-02C0ECDA2770}" srcOrd="1" destOrd="0" presId="urn:microsoft.com/office/officeart/2005/8/layout/orgChart1"/>
    <dgm:cxn modelId="{15B4D369-C55F-4824-B784-7B4E79B6B5E8}" type="presParOf" srcId="{EF1DC4FF-4A6C-4FE3-BE25-02C0ECDA2770}" destId="{8A8244A3-A690-46D5-8539-574E08DC3540}" srcOrd="0" destOrd="0" presId="urn:microsoft.com/office/officeart/2005/8/layout/orgChart1"/>
    <dgm:cxn modelId="{1587B4E8-B7C2-4494-A246-F67C5405048E}" type="presParOf" srcId="{EF1DC4FF-4A6C-4FE3-BE25-02C0ECDA2770}" destId="{8D20923C-B0AB-4F47-BED7-C47BF206E753}" srcOrd="1" destOrd="0" presId="urn:microsoft.com/office/officeart/2005/8/layout/orgChart1"/>
    <dgm:cxn modelId="{3F73315B-0BD5-4BF3-8F4E-DDAE2B095664}" type="presParOf" srcId="{8D20923C-B0AB-4F47-BED7-C47BF206E753}" destId="{4C719146-4068-475E-9601-2A7D93F74745}" srcOrd="0" destOrd="0" presId="urn:microsoft.com/office/officeart/2005/8/layout/orgChart1"/>
    <dgm:cxn modelId="{0E84F536-211A-4C69-B0CF-8FC224C9A7CC}" type="presParOf" srcId="{4C719146-4068-475E-9601-2A7D93F74745}" destId="{7E1B134A-A9CE-4F73-9188-75EF19059380}" srcOrd="0" destOrd="0" presId="urn:microsoft.com/office/officeart/2005/8/layout/orgChart1"/>
    <dgm:cxn modelId="{0039EC54-ECEE-4E92-A87D-E6B149DC0FB3}" type="presParOf" srcId="{4C719146-4068-475E-9601-2A7D93F74745}" destId="{5C832653-706B-4BB5-8DF8-04283C4E5CFA}" srcOrd="1" destOrd="0" presId="urn:microsoft.com/office/officeart/2005/8/layout/orgChart1"/>
    <dgm:cxn modelId="{555C07FA-DD86-42C5-8E0A-028922D1275A}" type="presParOf" srcId="{8D20923C-B0AB-4F47-BED7-C47BF206E753}" destId="{0DA36221-7A9D-4DF8-B80A-5F3948315488}" srcOrd="1" destOrd="0" presId="urn:microsoft.com/office/officeart/2005/8/layout/orgChart1"/>
    <dgm:cxn modelId="{40C1AA9D-18DD-411F-BE9D-D91456676EC6}" type="presParOf" srcId="{8D20923C-B0AB-4F47-BED7-C47BF206E753}" destId="{739F9A2C-31D4-479F-9564-4EFDB445231E}" srcOrd="2" destOrd="0" presId="urn:microsoft.com/office/officeart/2005/8/layout/orgChart1"/>
    <dgm:cxn modelId="{B8731829-CFC2-4912-AADD-96299A3F4CE8}" type="presParOf" srcId="{2209AD77-0AF6-4703-B88B-BF9270988E37}" destId="{BCC24A23-FB00-42D7-9862-B978AB2759FC}" srcOrd="2" destOrd="0" presId="urn:microsoft.com/office/officeart/2005/8/layout/orgChart1"/>
    <dgm:cxn modelId="{874E449E-ED23-4766-B515-F0A0B831C17A}" type="presParOf" srcId="{00492EEE-7314-4680-A4E1-9E7CE2A309A6}" destId="{283352E7-FE4A-467D-9015-592841690749}" srcOrd="6" destOrd="0" presId="urn:microsoft.com/office/officeart/2005/8/layout/orgChart1"/>
    <dgm:cxn modelId="{E8EFCFBB-7960-43DF-AA47-885FBF26694B}" type="presParOf" srcId="{00492EEE-7314-4680-A4E1-9E7CE2A309A6}" destId="{696529F0-A642-432D-A95B-CE1ADA1552D3}" srcOrd="7" destOrd="0" presId="urn:microsoft.com/office/officeart/2005/8/layout/orgChart1"/>
    <dgm:cxn modelId="{4ECE8594-96ED-4737-A69F-938A7035D0FF}" type="presParOf" srcId="{696529F0-A642-432D-A95B-CE1ADA1552D3}" destId="{D1F0C761-AC2E-45C8-B674-87DBAE1324C4}" srcOrd="0" destOrd="0" presId="urn:microsoft.com/office/officeart/2005/8/layout/orgChart1"/>
    <dgm:cxn modelId="{C770B9D6-E004-4E0B-AF4A-8BC1016A7B72}" type="presParOf" srcId="{D1F0C761-AC2E-45C8-B674-87DBAE1324C4}" destId="{4B21EA55-72B2-48E6-B1C2-8A1D3B59CCC6}" srcOrd="0" destOrd="0" presId="urn:microsoft.com/office/officeart/2005/8/layout/orgChart1"/>
    <dgm:cxn modelId="{1728DB3E-9A83-423B-81CB-1F77ABE4BE00}" type="presParOf" srcId="{D1F0C761-AC2E-45C8-B674-87DBAE1324C4}" destId="{F72A8F3D-590E-4D42-992F-EFB669EA0D91}" srcOrd="1" destOrd="0" presId="urn:microsoft.com/office/officeart/2005/8/layout/orgChart1"/>
    <dgm:cxn modelId="{4B06D208-342C-46A2-9F04-7B2EA985009F}" type="presParOf" srcId="{696529F0-A642-432D-A95B-CE1ADA1552D3}" destId="{336B20B2-9745-4E24-BA13-45844988A8C1}" srcOrd="1" destOrd="0" presId="urn:microsoft.com/office/officeart/2005/8/layout/orgChart1"/>
    <dgm:cxn modelId="{A00E3CC9-ED3E-49B2-A9A0-E5CE175090F7}" type="presParOf" srcId="{336B20B2-9745-4E24-BA13-45844988A8C1}" destId="{7533E292-0CC4-4D30-97CB-4D2D4259211A}" srcOrd="0" destOrd="0" presId="urn:microsoft.com/office/officeart/2005/8/layout/orgChart1"/>
    <dgm:cxn modelId="{43791BA3-FC5C-4132-89DA-13B2D36C409F}" type="presParOf" srcId="{336B20B2-9745-4E24-BA13-45844988A8C1}" destId="{C087A4F5-5A4D-4307-8878-6F6DC9E60AEC}" srcOrd="1" destOrd="0" presId="urn:microsoft.com/office/officeart/2005/8/layout/orgChart1"/>
    <dgm:cxn modelId="{B6843826-652B-44AB-80F1-E18235A70282}" type="presParOf" srcId="{C087A4F5-5A4D-4307-8878-6F6DC9E60AEC}" destId="{28D91F54-5E96-43F8-B808-349727985F12}" srcOrd="0" destOrd="0" presId="urn:microsoft.com/office/officeart/2005/8/layout/orgChart1"/>
    <dgm:cxn modelId="{E5EBD412-3DD2-407D-B668-21B8AEB336DC}" type="presParOf" srcId="{28D91F54-5E96-43F8-B808-349727985F12}" destId="{1C44BA1D-172B-454B-83C4-47EC8432C922}" srcOrd="0" destOrd="0" presId="urn:microsoft.com/office/officeart/2005/8/layout/orgChart1"/>
    <dgm:cxn modelId="{DF8B1AB4-E7E2-4CDF-872D-EB55FA686B2E}" type="presParOf" srcId="{28D91F54-5E96-43F8-B808-349727985F12}" destId="{625DE77D-C930-48B9-B516-179FD78719A5}" srcOrd="1" destOrd="0" presId="urn:microsoft.com/office/officeart/2005/8/layout/orgChart1"/>
    <dgm:cxn modelId="{8EB838E9-4856-48F6-86AB-71ECBC355A32}" type="presParOf" srcId="{C087A4F5-5A4D-4307-8878-6F6DC9E60AEC}" destId="{AD48296C-1C83-49BC-8D37-D50453AF1EA4}" srcOrd="1" destOrd="0" presId="urn:microsoft.com/office/officeart/2005/8/layout/orgChart1"/>
    <dgm:cxn modelId="{53F53A7C-639A-4928-A5DE-58274A72BC9F}" type="presParOf" srcId="{C087A4F5-5A4D-4307-8878-6F6DC9E60AEC}" destId="{1F502C7E-5BFB-461D-AE46-DC0CAB87B526}" srcOrd="2" destOrd="0" presId="urn:microsoft.com/office/officeart/2005/8/layout/orgChart1"/>
    <dgm:cxn modelId="{65FAD3EB-C374-4864-AACB-9878FE40379E}" type="presParOf" srcId="{696529F0-A642-432D-A95B-CE1ADA1552D3}" destId="{4DB593D4-3DD0-4140-B807-B77B6EB065D8}" srcOrd="2" destOrd="0" presId="urn:microsoft.com/office/officeart/2005/8/layout/orgChart1"/>
    <dgm:cxn modelId="{8709AF04-12A3-487A-801E-EF40F240144A}" type="presParOf" srcId="{3C61A6BD-1096-4221-965E-6DCBA19C228F}" destId="{4632FEE9-BC22-4181-ADF2-61EB7310A3CC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9909C21-D5A7-44D4-801A-FC11374C1C01}">
      <dsp:nvSpPr>
        <dsp:cNvPr id="0" name=""/>
        <dsp:cNvSpPr/>
      </dsp:nvSpPr>
      <dsp:spPr>
        <a:xfrm>
          <a:off x="2921281" y="1495984"/>
          <a:ext cx="2025609" cy="3678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9940"/>
              </a:lnTo>
              <a:lnTo>
                <a:pt x="2025609" y="189940"/>
              </a:lnTo>
              <a:lnTo>
                <a:pt x="2025609" y="36781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46AC3E-6FF8-4B67-83A3-5D0FFD93FE40}">
      <dsp:nvSpPr>
        <dsp:cNvPr id="0" name=""/>
        <dsp:cNvSpPr/>
      </dsp:nvSpPr>
      <dsp:spPr>
        <a:xfrm>
          <a:off x="2851421" y="1495984"/>
          <a:ext cx="91440" cy="367811"/>
        </a:xfrm>
        <a:custGeom>
          <a:avLst/>
          <a:gdLst/>
          <a:ahLst/>
          <a:cxnLst/>
          <a:rect l="0" t="0" r="0" b="0"/>
          <a:pathLst>
            <a:path>
              <a:moveTo>
                <a:pt x="69859" y="0"/>
              </a:moveTo>
              <a:lnTo>
                <a:pt x="69859" y="189940"/>
              </a:lnTo>
              <a:lnTo>
                <a:pt x="45720" y="189940"/>
              </a:lnTo>
              <a:lnTo>
                <a:pt x="45720" y="36781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DF64BAB-566C-4A87-8EE4-96C5E1A51741}">
      <dsp:nvSpPr>
        <dsp:cNvPr id="0" name=""/>
        <dsp:cNvSpPr/>
      </dsp:nvSpPr>
      <dsp:spPr>
        <a:xfrm>
          <a:off x="847392" y="1495984"/>
          <a:ext cx="2073888" cy="367811"/>
        </a:xfrm>
        <a:custGeom>
          <a:avLst/>
          <a:gdLst/>
          <a:ahLst/>
          <a:cxnLst/>
          <a:rect l="0" t="0" r="0" b="0"/>
          <a:pathLst>
            <a:path>
              <a:moveTo>
                <a:pt x="2073888" y="0"/>
              </a:moveTo>
              <a:lnTo>
                <a:pt x="2073888" y="189940"/>
              </a:lnTo>
              <a:lnTo>
                <a:pt x="0" y="189940"/>
              </a:lnTo>
              <a:lnTo>
                <a:pt x="0" y="36781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EA0742-2828-4CE9-A129-2531A776C963}">
      <dsp:nvSpPr>
        <dsp:cNvPr id="0" name=""/>
        <dsp:cNvSpPr/>
      </dsp:nvSpPr>
      <dsp:spPr>
        <a:xfrm>
          <a:off x="2074277" y="648980"/>
          <a:ext cx="1694007" cy="847003"/>
        </a:xfrm>
        <a:prstGeom prst="rect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700" kern="1200"/>
            <a:t>PROYECTO</a:t>
          </a:r>
        </a:p>
      </dsp:txBody>
      <dsp:txXfrm>
        <a:off x="2074277" y="648980"/>
        <a:ext cx="1694007" cy="847003"/>
      </dsp:txXfrm>
    </dsp:sp>
    <dsp:sp modelId="{9023548B-1923-41B9-AE27-D7F52965DE18}">
      <dsp:nvSpPr>
        <dsp:cNvPr id="0" name=""/>
        <dsp:cNvSpPr/>
      </dsp:nvSpPr>
      <dsp:spPr>
        <a:xfrm>
          <a:off x="389" y="1863795"/>
          <a:ext cx="1694007" cy="847003"/>
        </a:xfrm>
        <a:prstGeom prst="rect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700" kern="1200"/>
            <a:t>EDIFICIO  PRINCIPAL</a:t>
          </a:r>
        </a:p>
      </dsp:txBody>
      <dsp:txXfrm>
        <a:off x="389" y="1863795"/>
        <a:ext cx="1694007" cy="847003"/>
      </dsp:txXfrm>
    </dsp:sp>
    <dsp:sp modelId="{DFCAD206-A4DA-4A78-847E-65D58F22BBF4}">
      <dsp:nvSpPr>
        <dsp:cNvPr id="0" name=""/>
        <dsp:cNvSpPr/>
      </dsp:nvSpPr>
      <dsp:spPr>
        <a:xfrm>
          <a:off x="2050137" y="1863795"/>
          <a:ext cx="1694007" cy="847003"/>
        </a:xfrm>
        <a:prstGeom prst="rect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700" kern="1200"/>
            <a:t>TALLER DE MANTENIMIENTO</a:t>
          </a:r>
        </a:p>
      </dsp:txBody>
      <dsp:txXfrm>
        <a:off x="2050137" y="1863795"/>
        <a:ext cx="1694007" cy="847003"/>
      </dsp:txXfrm>
    </dsp:sp>
    <dsp:sp modelId="{20854057-6FC9-4862-B48B-509B8ACF3BB3}">
      <dsp:nvSpPr>
        <dsp:cNvPr id="0" name=""/>
        <dsp:cNvSpPr/>
      </dsp:nvSpPr>
      <dsp:spPr>
        <a:xfrm>
          <a:off x="4099886" y="1863795"/>
          <a:ext cx="1694007" cy="847003"/>
        </a:xfrm>
        <a:prstGeom prst="rect">
          <a:avLst/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700" kern="1200"/>
            <a:t>OFICINAS PRINCIPALES</a:t>
          </a:r>
        </a:p>
      </dsp:txBody>
      <dsp:txXfrm>
        <a:off x="4099886" y="1863795"/>
        <a:ext cx="1694007" cy="84700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533E292-0CC4-4D30-97CB-4D2D4259211A}">
      <dsp:nvSpPr>
        <dsp:cNvPr id="0" name=""/>
        <dsp:cNvSpPr/>
      </dsp:nvSpPr>
      <dsp:spPr>
        <a:xfrm>
          <a:off x="5404338" y="922634"/>
          <a:ext cx="114270" cy="3504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0430"/>
              </a:lnTo>
              <a:lnTo>
                <a:pt x="114270" y="35043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3352E7-FE4A-467D-9015-592841690749}">
      <dsp:nvSpPr>
        <dsp:cNvPr id="0" name=""/>
        <dsp:cNvSpPr/>
      </dsp:nvSpPr>
      <dsp:spPr>
        <a:xfrm>
          <a:off x="4337239" y="380902"/>
          <a:ext cx="1371821" cy="16082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839"/>
              </a:lnTo>
              <a:lnTo>
                <a:pt x="1371821" y="80839"/>
              </a:lnTo>
              <a:lnTo>
                <a:pt x="1371821" y="16082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8244A3-A690-46D5-8539-574E08DC3540}">
      <dsp:nvSpPr>
        <dsp:cNvPr id="0" name=""/>
        <dsp:cNvSpPr/>
      </dsp:nvSpPr>
      <dsp:spPr>
        <a:xfrm>
          <a:off x="4482553" y="922634"/>
          <a:ext cx="114270" cy="3504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0430"/>
              </a:lnTo>
              <a:lnTo>
                <a:pt x="114270" y="35043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A1439E-CA6C-432D-832E-D7F60E46C013}">
      <dsp:nvSpPr>
        <dsp:cNvPr id="0" name=""/>
        <dsp:cNvSpPr/>
      </dsp:nvSpPr>
      <dsp:spPr>
        <a:xfrm>
          <a:off x="4337239" y="380902"/>
          <a:ext cx="450036" cy="16082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0839"/>
              </a:lnTo>
              <a:lnTo>
                <a:pt x="450036" y="80839"/>
              </a:lnTo>
              <a:lnTo>
                <a:pt x="450036" y="16082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4CA20F-F70F-4AB7-AE4C-A84126F7675A}">
      <dsp:nvSpPr>
        <dsp:cNvPr id="0" name=""/>
        <dsp:cNvSpPr/>
      </dsp:nvSpPr>
      <dsp:spPr>
        <a:xfrm>
          <a:off x="3560769" y="922634"/>
          <a:ext cx="114270" cy="3504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0430"/>
              </a:lnTo>
              <a:lnTo>
                <a:pt x="114270" y="35043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9C21-D5A7-44D4-801A-FC11374C1C01}">
      <dsp:nvSpPr>
        <dsp:cNvPr id="0" name=""/>
        <dsp:cNvSpPr/>
      </dsp:nvSpPr>
      <dsp:spPr>
        <a:xfrm>
          <a:off x="3865491" y="380902"/>
          <a:ext cx="471747" cy="160829"/>
        </a:xfrm>
        <a:custGeom>
          <a:avLst/>
          <a:gdLst/>
          <a:ahLst/>
          <a:cxnLst/>
          <a:rect l="0" t="0" r="0" b="0"/>
          <a:pathLst>
            <a:path>
              <a:moveTo>
                <a:pt x="471747" y="0"/>
              </a:moveTo>
              <a:lnTo>
                <a:pt x="471747" y="80839"/>
              </a:lnTo>
              <a:lnTo>
                <a:pt x="0" y="80839"/>
              </a:lnTo>
              <a:lnTo>
                <a:pt x="0" y="16082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396832-D400-4F06-8C19-0AD6BD7A047D}">
      <dsp:nvSpPr>
        <dsp:cNvPr id="0" name=""/>
        <dsp:cNvSpPr/>
      </dsp:nvSpPr>
      <dsp:spPr>
        <a:xfrm>
          <a:off x="4195916" y="2018080"/>
          <a:ext cx="678341" cy="16809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80912"/>
              </a:lnTo>
              <a:lnTo>
                <a:pt x="678341" y="168091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1F077C-D326-48EB-9B7D-A7165486D6D4}">
      <dsp:nvSpPr>
        <dsp:cNvPr id="0" name=""/>
        <dsp:cNvSpPr/>
      </dsp:nvSpPr>
      <dsp:spPr>
        <a:xfrm>
          <a:off x="4195916" y="2018080"/>
          <a:ext cx="680353" cy="11930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93010"/>
              </a:lnTo>
              <a:lnTo>
                <a:pt x="680353" y="119301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896DA2-67B2-4060-B61F-0AA04B5126DE}">
      <dsp:nvSpPr>
        <dsp:cNvPr id="0" name=""/>
        <dsp:cNvSpPr/>
      </dsp:nvSpPr>
      <dsp:spPr>
        <a:xfrm>
          <a:off x="4195916" y="2018080"/>
          <a:ext cx="677267" cy="6620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2058"/>
              </a:lnTo>
              <a:lnTo>
                <a:pt x="677267" y="66205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9D945D-4798-4E35-9D56-384ABF99BBE8}">
      <dsp:nvSpPr>
        <dsp:cNvPr id="0" name=""/>
        <dsp:cNvSpPr/>
      </dsp:nvSpPr>
      <dsp:spPr>
        <a:xfrm>
          <a:off x="4195916" y="2018080"/>
          <a:ext cx="664469" cy="112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004"/>
              </a:lnTo>
              <a:lnTo>
                <a:pt x="664469" y="11200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F125A7-258C-457D-94C6-A3DE2DC8D261}">
      <dsp:nvSpPr>
        <dsp:cNvPr id="0" name=""/>
        <dsp:cNvSpPr/>
      </dsp:nvSpPr>
      <dsp:spPr>
        <a:xfrm>
          <a:off x="2943706" y="1488317"/>
          <a:ext cx="871307" cy="3393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9311"/>
              </a:lnTo>
              <a:lnTo>
                <a:pt x="871307" y="33931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31DF68-8B6F-4897-AD59-69BED5E0E21D}">
      <dsp:nvSpPr>
        <dsp:cNvPr id="0" name=""/>
        <dsp:cNvSpPr/>
      </dsp:nvSpPr>
      <dsp:spPr>
        <a:xfrm>
          <a:off x="1987641" y="2004398"/>
          <a:ext cx="114270" cy="3504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0430"/>
              </a:lnTo>
              <a:lnTo>
                <a:pt x="114270" y="35043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D4A3BF-9053-4828-A0E5-91C540E38F05}">
      <dsp:nvSpPr>
        <dsp:cNvPr id="0" name=""/>
        <dsp:cNvSpPr/>
      </dsp:nvSpPr>
      <dsp:spPr>
        <a:xfrm>
          <a:off x="2368543" y="1488317"/>
          <a:ext cx="575163" cy="325629"/>
        </a:xfrm>
        <a:custGeom>
          <a:avLst/>
          <a:gdLst/>
          <a:ahLst/>
          <a:cxnLst/>
          <a:rect l="0" t="0" r="0" b="0"/>
          <a:pathLst>
            <a:path>
              <a:moveTo>
                <a:pt x="575163" y="0"/>
              </a:moveTo>
              <a:lnTo>
                <a:pt x="575163" y="325629"/>
              </a:lnTo>
              <a:lnTo>
                <a:pt x="0" y="32562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A6D74C-1FA3-4F16-952D-DD789DB8AECF}">
      <dsp:nvSpPr>
        <dsp:cNvPr id="0" name=""/>
        <dsp:cNvSpPr/>
      </dsp:nvSpPr>
      <dsp:spPr>
        <a:xfrm>
          <a:off x="2897986" y="922634"/>
          <a:ext cx="91440" cy="18477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477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46AC3E-6FF8-4B67-83A3-5D0FFD93FE40}">
      <dsp:nvSpPr>
        <dsp:cNvPr id="0" name=""/>
        <dsp:cNvSpPr/>
      </dsp:nvSpPr>
      <dsp:spPr>
        <a:xfrm>
          <a:off x="2943706" y="380902"/>
          <a:ext cx="1393532" cy="160829"/>
        </a:xfrm>
        <a:custGeom>
          <a:avLst/>
          <a:gdLst/>
          <a:ahLst/>
          <a:cxnLst/>
          <a:rect l="0" t="0" r="0" b="0"/>
          <a:pathLst>
            <a:path>
              <a:moveTo>
                <a:pt x="1393532" y="0"/>
              </a:moveTo>
              <a:lnTo>
                <a:pt x="1393532" y="80839"/>
              </a:lnTo>
              <a:lnTo>
                <a:pt x="0" y="80839"/>
              </a:lnTo>
              <a:lnTo>
                <a:pt x="0" y="16082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EA0742-2828-4CE9-A129-2531A776C963}">
      <dsp:nvSpPr>
        <dsp:cNvPr id="0" name=""/>
        <dsp:cNvSpPr/>
      </dsp:nvSpPr>
      <dsp:spPr>
        <a:xfrm>
          <a:off x="3956336" y="0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EDIFICIO PRINCIPAL</a:t>
          </a:r>
        </a:p>
      </dsp:txBody>
      <dsp:txXfrm>
        <a:off x="3956336" y="0"/>
        <a:ext cx="761805" cy="380902"/>
      </dsp:txXfrm>
    </dsp:sp>
    <dsp:sp modelId="{DFCAD206-A4DA-4A78-847E-65D58F22BBF4}">
      <dsp:nvSpPr>
        <dsp:cNvPr id="0" name=""/>
        <dsp:cNvSpPr/>
      </dsp:nvSpPr>
      <dsp:spPr>
        <a:xfrm>
          <a:off x="2562804" y="541732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Movimientos de tierras y Obras Civiles</a:t>
          </a:r>
        </a:p>
      </dsp:txBody>
      <dsp:txXfrm>
        <a:off x="2562804" y="541732"/>
        <a:ext cx="761805" cy="380902"/>
      </dsp:txXfrm>
    </dsp:sp>
    <dsp:sp modelId="{F851F948-20EE-42C1-8874-9CC86EBC782E}">
      <dsp:nvSpPr>
        <dsp:cNvPr id="0" name=""/>
        <dsp:cNvSpPr/>
      </dsp:nvSpPr>
      <dsp:spPr>
        <a:xfrm>
          <a:off x="2562804" y="1107414"/>
          <a:ext cx="761805" cy="38090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>
              <a:solidFill>
                <a:sysClr val="windowText" lastClr="000000"/>
              </a:solidFill>
            </a:rPr>
            <a:t>Movimientos de Tierras</a:t>
          </a:r>
        </a:p>
      </dsp:txBody>
      <dsp:txXfrm>
        <a:off x="2562804" y="1107414"/>
        <a:ext cx="761805" cy="380902"/>
      </dsp:txXfrm>
    </dsp:sp>
    <dsp:sp modelId="{DBBDBC71-12CB-42EC-98B0-E920ED4248D0}">
      <dsp:nvSpPr>
        <dsp:cNvPr id="0" name=""/>
        <dsp:cNvSpPr/>
      </dsp:nvSpPr>
      <dsp:spPr>
        <a:xfrm>
          <a:off x="1606738" y="1623495"/>
          <a:ext cx="761805" cy="380902"/>
        </a:xfrm>
        <a:prstGeom prst="rect">
          <a:avLst/>
        </a:prstGeom>
        <a:solidFill>
          <a:schemeClr val="accent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Labor</a:t>
          </a:r>
        </a:p>
      </dsp:txBody>
      <dsp:txXfrm>
        <a:off x="1606738" y="1623495"/>
        <a:ext cx="761805" cy="380902"/>
      </dsp:txXfrm>
    </dsp:sp>
    <dsp:sp modelId="{42FB81F6-BF1C-4024-94EB-471F90D59F0A}">
      <dsp:nvSpPr>
        <dsp:cNvPr id="0" name=""/>
        <dsp:cNvSpPr/>
      </dsp:nvSpPr>
      <dsp:spPr>
        <a:xfrm>
          <a:off x="2101911" y="2164377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HH Construcción</a:t>
          </a:r>
        </a:p>
      </dsp:txBody>
      <dsp:txXfrm>
        <a:off x="2101911" y="2164377"/>
        <a:ext cx="761805" cy="380902"/>
      </dsp:txXfrm>
    </dsp:sp>
    <dsp:sp modelId="{0849BB84-D1F8-42D5-87B6-E56F279F8870}">
      <dsp:nvSpPr>
        <dsp:cNvPr id="0" name=""/>
        <dsp:cNvSpPr/>
      </dsp:nvSpPr>
      <dsp:spPr>
        <a:xfrm>
          <a:off x="3815014" y="1637177"/>
          <a:ext cx="761805" cy="380902"/>
        </a:xfrm>
        <a:prstGeom prst="rect">
          <a:avLst/>
        </a:prstGeom>
        <a:solidFill>
          <a:schemeClr val="accent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Materiales</a:t>
          </a:r>
        </a:p>
      </dsp:txBody>
      <dsp:txXfrm>
        <a:off x="3815014" y="1637177"/>
        <a:ext cx="761805" cy="380902"/>
      </dsp:txXfrm>
    </dsp:sp>
    <dsp:sp modelId="{27407A8E-6C2C-4D2C-A307-437C7D529119}">
      <dsp:nvSpPr>
        <dsp:cNvPr id="0" name=""/>
        <dsp:cNvSpPr/>
      </dsp:nvSpPr>
      <dsp:spPr>
        <a:xfrm>
          <a:off x="4860386" y="1939633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EXCAVACIÓN</a:t>
          </a:r>
        </a:p>
      </dsp:txBody>
      <dsp:txXfrm>
        <a:off x="4860386" y="1939633"/>
        <a:ext cx="761805" cy="380902"/>
      </dsp:txXfrm>
    </dsp:sp>
    <dsp:sp modelId="{79BCFE3C-CDBA-4A53-BEEB-9D59CB93FBBD}">
      <dsp:nvSpPr>
        <dsp:cNvPr id="0" name=""/>
        <dsp:cNvSpPr/>
      </dsp:nvSpPr>
      <dsp:spPr>
        <a:xfrm>
          <a:off x="4873184" y="2489687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RELLENOS</a:t>
          </a:r>
        </a:p>
      </dsp:txBody>
      <dsp:txXfrm>
        <a:off x="4873184" y="2489687"/>
        <a:ext cx="761805" cy="380902"/>
      </dsp:txXfrm>
    </dsp:sp>
    <dsp:sp modelId="{830061E8-2DD1-4ECC-ABA7-490B104D4EAF}">
      <dsp:nvSpPr>
        <dsp:cNvPr id="0" name=""/>
        <dsp:cNvSpPr/>
      </dsp:nvSpPr>
      <dsp:spPr>
        <a:xfrm>
          <a:off x="4876270" y="3020639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CONCERTO</a:t>
          </a:r>
        </a:p>
      </dsp:txBody>
      <dsp:txXfrm>
        <a:off x="4876270" y="3020639"/>
        <a:ext cx="761805" cy="380902"/>
      </dsp:txXfrm>
    </dsp:sp>
    <dsp:sp modelId="{8030E7BC-2E06-4D64-9963-CD4CD64F2EFD}">
      <dsp:nvSpPr>
        <dsp:cNvPr id="0" name=""/>
        <dsp:cNvSpPr/>
      </dsp:nvSpPr>
      <dsp:spPr>
        <a:xfrm>
          <a:off x="4874258" y="3508541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Otros Materiales</a:t>
          </a:r>
        </a:p>
      </dsp:txBody>
      <dsp:txXfrm>
        <a:off x="4874258" y="3508541"/>
        <a:ext cx="761805" cy="380902"/>
      </dsp:txXfrm>
    </dsp:sp>
    <dsp:sp modelId="{20854057-6FC9-4862-B48B-509B8ACF3BB3}">
      <dsp:nvSpPr>
        <dsp:cNvPr id="0" name=""/>
        <dsp:cNvSpPr/>
      </dsp:nvSpPr>
      <dsp:spPr>
        <a:xfrm>
          <a:off x="3484588" y="541732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Estructuras </a:t>
          </a:r>
        </a:p>
      </dsp:txBody>
      <dsp:txXfrm>
        <a:off x="3484588" y="541732"/>
        <a:ext cx="761805" cy="380902"/>
      </dsp:txXfrm>
    </dsp:sp>
    <dsp:sp modelId="{584293A9-97F4-4DB9-8B9D-5EC7B9A99587}">
      <dsp:nvSpPr>
        <dsp:cNvPr id="0" name=""/>
        <dsp:cNvSpPr/>
      </dsp:nvSpPr>
      <dsp:spPr>
        <a:xfrm>
          <a:off x="3675040" y="1082613"/>
          <a:ext cx="761805" cy="38090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>
              <a:solidFill>
                <a:sysClr val="windowText" lastClr="000000"/>
              </a:solidFill>
            </a:rPr>
            <a:t>EST</a:t>
          </a:r>
        </a:p>
      </dsp:txBody>
      <dsp:txXfrm>
        <a:off x="3675040" y="1082613"/>
        <a:ext cx="761805" cy="380902"/>
      </dsp:txXfrm>
    </dsp:sp>
    <dsp:sp modelId="{BAE7085A-64F1-4DC6-AE29-A5BEE78A1897}">
      <dsp:nvSpPr>
        <dsp:cNvPr id="0" name=""/>
        <dsp:cNvSpPr/>
      </dsp:nvSpPr>
      <dsp:spPr>
        <a:xfrm>
          <a:off x="4406373" y="541732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Mecánica y Cañerias</a:t>
          </a:r>
        </a:p>
      </dsp:txBody>
      <dsp:txXfrm>
        <a:off x="4406373" y="541732"/>
        <a:ext cx="761805" cy="380902"/>
      </dsp:txXfrm>
    </dsp:sp>
    <dsp:sp modelId="{7E1B134A-A9CE-4F73-9188-75EF19059380}">
      <dsp:nvSpPr>
        <dsp:cNvPr id="0" name=""/>
        <dsp:cNvSpPr/>
      </dsp:nvSpPr>
      <dsp:spPr>
        <a:xfrm>
          <a:off x="4596824" y="1082613"/>
          <a:ext cx="761805" cy="38090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>
              <a:solidFill>
                <a:sysClr val="windowText" lastClr="000000"/>
              </a:solidFill>
            </a:rPr>
            <a:t>MC</a:t>
          </a:r>
        </a:p>
      </dsp:txBody>
      <dsp:txXfrm>
        <a:off x="4596824" y="1082613"/>
        <a:ext cx="761805" cy="380902"/>
      </dsp:txXfrm>
    </dsp:sp>
    <dsp:sp modelId="{4B21EA55-72B2-48E6-B1C2-8A1D3B59CCC6}">
      <dsp:nvSpPr>
        <dsp:cNvPr id="0" name=""/>
        <dsp:cNvSpPr/>
      </dsp:nvSpPr>
      <dsp:spPr>
        <a:xfrm>
          <a:off x="5328157" y="541732"/>
          <a:ext cx="761805" cy="3809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/>
            <a:t>Electricidad e Instrumentación</a:t>
          </a:r>
        </a:p>
      </dsp:txBody>
      <dsp:txXfrm>
        <a:off x="5328157" y="541732"/>
        <a:ext cx="761805" cy="380902"/>
      </dsp:txXfrm>
    </dsp:sp>
    <dsp:sp modelId="{1C44BA1D-172B-454B-83C4-47EC8432C922}">
      <dsp:nvSpPr>
        <dsp:cNvPr id="0" name=""/>
        <dsp:cNvSpPr/>
      </dsp:nvSpPr>
      <dsp:spPr>
        <a:xfrm>
          <a:off x="5518609" y="1082613"/>
          <a:ext cx="761805" cy="380902"/>
        </a:xfrm>
        <a:prstGeom prst="rect">
          <a:avLst/>
        </a:prstGeom>
        <a:solidFill>
          <a:schemeClr val="accent4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800" kern="1200">
              <a:solidFill>
                <a:sysClr val="windowText" lastClr="000000"/>
              </a:solidFill>
            </a:rPr>
            <a:t>EI</a:t>
          </a:r>
        </a:p>
      </dsp:txBody>
      <dsp:txXfrm>
        <a:off x="5518609" y="1082613"/>
        <a:ext cx="761805" cy="38090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688975</xdr:colOff>
      <xdr:row>32</xdr:row>
      <xdr:rowOff>179387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0688FA7-725F-4A7A-3D8C-433D116F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46975" cy="6072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125866</xdr:colOff>
      <xdr:row>3</xdr:row>
      <xdr:rowOff>89807</xdr:rowOff>
    </xdr:from>
    <xdr:to>
      <xdr:col>9</xdr:col>
      <xdr:colOff>417286</xdr:colOff>
      <xdr:row>29</xdr:row>
      <xdr:rowOff>145142</xdr:rowOff>
    </xdr:to>
    <xdr:sp macro="" textlink="">
      <xdr:nvSpPr>
        <xdr:cNvPr id="4" name="4 Rectángulo">
          <a:extLst>
            <a:ext uri="{FF2B5EF4-FFF2-40B4-BE49-F238E27FC236}">
              <a16:creationId xmlns:a16="http://schemas.microsoft.com/office/drawing/2014/main" id="{6461FE8C-C6EC-DF7C-C4F5-71B2DB52BEDA}"/>
            </a:ext>
          </a:extLst>
        </xdr:cNvPr>
        <xdr:cNvSpPr/>
      </xdr:nvSpPr>
      <xdr:spPr bwMode="auto">
        <a:xfrm>
          <a:off x="5459866" y="634093"/>
          <a:ext cx="1815420" cy="4772478"/>
        </a:xfrm>
        <a:prstGeom prst="rect">
          <a:avLst/>
        </a:prstGeom>
        <a:solidFill>
          <a:srgbClr val="FF0000">
            <a:alpha val="25000"/>
          </a:srgbClr>
        </a:solidFill>
        <a:ln w="38100">
          <a:solidFill>
            <a:srgbClr val="FF0000">
              <a:alpha val="75000"/>
            </a:srgb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s-PE" sz="2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Taller</a:t>
          </a:r>
          <a:r>
            <a:rPr lang="es-PE" sz="20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de Mantimiento</a:t>
          </a:r>
          <a:endParaRPr lang="es-PE" sz="20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671287</xdr:colOff>
      <xdr:row>24</xdr:row>
      <xdr:rowOff>108858</xdr:rowOff>
    </xdr:from>
    <xdr:to>
      <xdr:col>7</xdr:col>
      <xdr:colOff>95251</xdr:colOff>
      <xdr:row>30</xdr:row>
      <xdr:rowOff>9073</xdr:rowOff>
    </xdr:to>
    <xdr:sp macro="" textlink="">
      <xdr:nvSpPr>
        <xdr:cNvPr id="5" name="5 Rectángulo">
          <a:extLst>
            <a:ext uri="{FF2B5EF4-FFF2-40B4-BE49-F238E27FC236}">
              <a16:creationId xmlns:a16="http://schemas.microsoft.com/office/drawing/2014/main" id="{E9FC0869-2D85-979C-7DBB-27A8FEE1C824}"/>
            </a:ext>
          </a:extLst>
        </xdr:cNvPr>
        <xdr:cNvSpPr/>
      </xdr:nvSpPr>
      <xdr:spPr bwMode="auto">
        <a:xfrm>
          <a:off x="671287" y="4463144"/>
          <a:ext cx="4757964" cy="988786"/>
        </a:xfrm>
        <a:prstGeom prst="rect">
          <a:avLst/>
        </a:prstGeom>
        <a:solidFill>
          <a:srgbClr val="0070C0">
            <a:alpha val="25000"/>
          </a:srgbClr>
        </a:solidFill>
        <a:ln w="38100">
          <a:solidFill>
            <a:srgbClr val="002060">
              <a:alpha val="75000"/>
            </a:srgb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s-PE" sz="2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Oficinas Principales</a:t>
          </a:r>
        </a:p>
      </xdr:txBody>
    </xdr:sp>
    <xdr:clientData/>
  </xdr:twoCellAnchor>
  <xdr:twoCellAnchor>
    <xdr:from>
      <xdr:col>0</xdr:col>
      <xdr:colOff>671287</xdr:colOff>
      <xdr:row>3</xdr:row>
      <xdr:rowOff>161925</xdr:rowOff>
    </xdr:from>
    <xdr:to>
      <xdr:col>7</xdr:col>
      <xdr:colOff>95251</xdr:colOff>
      <xdr:row>24</xdr:row>
      <xdr:rowOff>80962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9626563E-274F-2D3A-1E29-C30308350E2B}"/>
            </a:ext>
          </a:extLst>
        </xdr:cNvPr>
        <xdr:cNvSpPr/>
      </xdr:nvSpPr>
      <xdr:spPr bwMode="auto">
        <a:xfrm>
          <a:off x="671287" y="706211"/>
          <a:ext cx="4757964" cy="3729037"/>
        </a:xfrm>
        <a:prstGeom prst="rect">
          <a:avLst/>
        </a:prstGeom>
        <a:solidFill>
          <a:srgbClr val="00A800">
            <a:alpha val="25000"/>
          </a:srgbClr>
        </a:solidFill>
        <a:ln w="38100">
          <a:solidFill>
            <a:srgbClr val="00A800">
              <a:alpha val="75000"/>
            </a:srgbClr>
          </a:solidFill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s-PE" sz="2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Edificio</a:t>
          </a:r>
          <a:r>
            <a:rPr lang="es-PE" sz="24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Principal</a:t>
          </a:r>
        </a:p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lang="es-PE" sz="24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Almacen</a:t>
          </a:r>
          <a:endParaRPr lang="es-PE" sz="24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10</xdr:col>
      <xdr:colOff>335643</xdr:colOff>
      <xdr:row>3</xdr:row>
      <xdr:rowOff>72333</xdr:rowOff>
    </xdr:from>
    <xdr:to>
      <xdr:col>19</xdr:col>
      <xdr:colOff>632732</xdr:colOff>
      <xdr:row>27</xdr:row>
      <xdr:rowOff>48759</xdr:rowOff>
    </xdr:to>
    <xdr:pic>
      <xdr:nvPicPr>
        <xdr:cNvPr id="7" name="14 Marcador de contenido">
          <a:extLst>
            <a:ext uri="{FF2B5EF4-FFF2-40B4-BE49-F238E27FC236}">
              <a16:creationId xmlns:a16="http://schemas.microsoft.com/office/drawing/2014/main" id="{54AB1AAE-A573-7FD4-FBC3-A8FD0E55EDD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55643" y="616619"/>
          <a:ext cx="7155089" cy="4330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453933</xdr:colOff>
      <xdr:row>23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80BB022-0A14-4AE6-A37C-AF4F01ECB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85726</xdr:colOff>
      <xdr:row>4</xdr:row>
      <xdr:rowOff>0</xdr:rowOff>
    </xdr:from>
    <xdr:to>
      <xdr:col>8</xdr:col>
      <xdr:colOff>235857</xdr:colOff>
      <xdr:row>6</xdr:row>
      <xdr:rowOff>72864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FE4BD6-38A3-42DB-85EB-B94AE5F4E5C3}"/>
            </a:ext>
          </a:extLst>
        </xdr:cNvPr>
        <xdr:cNvSpPr txBox="1"/>
      </xdr:nvSpPr>
      <xdr:spPr>
        <a:xfrm>
          <a:off x="1909083" y="653143"/>
          <a:ext cx="3189060" cy="399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400" b="1"/>
            <a:t>WBS PROYECTO NAVE INDUSTRIAL</a:t>
          </a:r>
        </a:p>
      </xdr:txBody>
    </xdr:sp>
    <xdr:clientData/>
  </xdr:twoCellAnchor>
  <xdr:twoCellAnchor>
    <xdr:from>
      <xdr:col>14</xdr:col>
      <xdr:colOff>476249</xdr:colOff>
      <xdr:row>1</xdr:row>
      <xdr:rowOff>9526</xdr:rowOff>
    </xdr:from>
    <xdr:to>
      <xdr:col>21</xdr:col>
      <xdr:colOff>61735</xdr:colOff>
      <xdr:row>4</xdr:row>
      <xdr:rowOff>17640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FBC5DC-512B-4C27-80CE-2FE7C304813B}"/>
            </a:ext>
          </a:extLst>
        </xdr:cNvPr>
        <xdr:cNvSpPr txBox="1"/>
      </xdr:nvSpPr>
      <xdr:spPr>
        <a:xfrm>
          <a:off x="9101666" y="168276"/>
          <a:ext cx="3845277" cy="4843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WBS PROYECTO NAVE INDUSTRIAL</a:t>
          </a:r>
          <a:endParaRPr lang="es-CL" sz="1800">
            <a:effectLst/>
          </a:endParaRPr>
        </a:p>
      </xdr:txBody>
    </xdr:sp>
    <xdr:clientData/>
  </xdr:twoCellAnchor>
  <xdr:twoCellAnchor>
    <xdr:from>
      <xdr:col>10</xdr:col>
      <xdr:colOff>592818</xdr:colOff>
      <xdr:row>5</xdr:row>
      <xdr:rowOff>906</xdr:rowOff>
    </xdr:from>
    <xdr:to>
      <xdr:col>23</xdr:col>
      <xdr:colOff>478971</xdr:colOff>
      <xdr:row>31</xdr:row>
      <xdr:rowOff>23132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90D75E9-5233-4D26-8867-B3E29958C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549274</xdr:colOff>
      <xdr:row>7</xdr:row>
      <xdr:rowOff>165100</xdr:rowOff>
    </xdr:from>
    <xdr:to>
      <xdr:col>34</xdr:col>
      <xdr:colOff>717549</xdr:colOff>
      <xdr:row>29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8514C7-34B3-241E-1A48-05FC8842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3994-B8B3-4876-8D39-373783BF9747}">
  <dimension ref="A1"/>
  <sheetViews>
    <sheetView showGridLines="0" zoomScale="70" zoomScaleNormal="70" workbookViewId="0">
      <selection activeCell="U12" sqref="U1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FF2A-4696-4795-9D23-A2AB5F2601BA}">
  <dimension ref="A1:H63"/>
  <sheetViews>
    <sheetView showGridLines="0" showZeros="0" topLeftCell="A46" zoomScale="80" zoomScaleNormal="80" workbookViewId="0">
      <selection activeCell="G59" sqref="G59:G61"/>
    </sheetView>
  </sheetViews>
  <sheetFormatPr baseColWidth="10" defaultColWidth="11.453125" defaultRowHeight="16" customHeight="1" x14ac:dyDescent="0.25"/>
  <cols>
    <col min="1" max="1" width="8.7265625" style="5" customWidth="1"/>
    <col min="2" max="2" width="13.1796875" style="5" bestFit="1" customWidth="1"/>
    <col min="3" max="3" width="45.1796875" style="5" customWidth="1"/>
    <col min="4" max="4" width="7.453125" style="7" customWidth="1"/>
    <col min="5" max="5" width="8.26953125" style="5" customWidth="1"/>
    <col min="6" max="6" width="10.7265625" style="5" hidden="1" customWidth="1"/>
    <col min="7" max="7" width="12.26953125" style="5" customWidth="1"/>
    <col min="8" max="8" width="17.54296875" style="7" customWidth="1"/>
    <col min="9" max="248" width="11.453125" style="5"/>
    <col min="249" max="249" width="7.7265625" style="5" customWidth="1"/>
    <col min="250" max="250" width="65.54296875" style="5" customWidth="1"/>
    <col min="251" max="251" width="7.453125" style="5" customWidth="1"/>
    <col min="252" max="252" width="8.26953125" style="5" customWidth="1"/>
    <col min="253" max="253" width="10.7265625" style="5" bestFit="1" customWidth="1"/>
    <col min="254" max="254" width="10.7265625" style="5" customWidth="1"/>
    <col min="255" max="255" width="12.26953125" style="5" customWidth="1"/>
    <col min="256" max="256" width="17.54296875" style="5" customWidth="1"/>
    <col min="257" max="257" width="17.453125" style="5" customWidth="1"/>
    <col min="258" max="504" width="11.453125" style="5"/>
    <col min="505" max="505" width="7.7265625" style="5" customWidth="1"/>
    <col min="506" max="506" width="65.54296875" style="5" customWidth="1"/>
    <col min="507" max="507" width="7.453125" style="5" customWidth="1"/>
    <col min="508" max="508" width="8.26953125" style="5" customWidth="1"/>
    <col min="509" max="509" width="10.7265625" style="5" bestFit="1" customWidth="1"/>
    <col min="510" max="510" width="10.7265625" style="5" customWidth="1"/>
    <col min="511" max="511" width="12.26953125" style="5" customWidth="1"/>
    <col min="512" max="512" width="17.54296875" style="5" customWidth="1"/>
    <col min="513" max="513" width="17.453125" style="5" customWidth="1"/>
    <col min="514" max="760" width="11.453125" style="5"/>
    <col min="761" max="761" width="7.7265625" style="5" customWidth="1"/>
    <col min="762" max="762" width="65.54296875" style="5" customWidth="1"/>
    <col min="763" max="763" width="7.453125" style="5" customWidth="1"/>
    <col min="764" max="764" width="8.26953125" style="5" customWidth="1"/>
    <col min="765" max="765" width="10.7265625" style="5" bestFit="1" customWidth="1"/>
    <col min="766" max="766" width="10.7265625" style="5" customWidth="1"/>
    <col min="767" max="767" width="12.26953125" style="5" customWidth="1"/>
    <col min="768" max="768" width="17.54296875" style="5" customWidth="1"/>
    <col min="769" max="769" width="17.453125" style="5" customWidth="1"/>
    <col min="770" max="1016" width="11.453125" style="5"/>
    <col min="1017" max="1017" width="7.7265625" style="5" customWidth="1"/>
    <col min="1018" max="1018" width="65.54296875" style="5" customWidth="1"/>
    <col min="1019" max="1019" width="7.453125" style="5" customWidth="1"/>
    <col min="1020" max="1020" width="8.26953125" style="5" customWidth="1"/>
    <col min="1021" max="1021" width="10.7265625" style="5" bestFit="1" customWidth="1"/>
    <col min="1022" max="1022" width="10.7265625" style="5" customWidth="1"/>
    <col min="1023" max="1023" width="12.26953125" style="5" customWidth="1"/>
    <col min="1024" max="1024" width="17.54296875" style="5" customWidth="1"/>
    <col min="1025" max="1025" width="17.453125" style="5" customWidth="1"/>
    <col min="1026" max="1272" width="11.453125" style="5"/>
    <col min="1273" max="1273" width="7.7265625" style="5" customWidth="1"/>
    <col min="1274" max="1274" width="65.54296875" style="5" customWidth="1"/>
    <col min="1275" max="1275" width="7.453125" style="5" customWidth="1"/>
    <col min="1276" max="1276" width="8.26953125" style="5" customWidth="1"/>
    <col min="1277" max="1277" width="10.7265625" style="5" bestFit="1" customWidth="1"/>
    <col min="1278" max="1278" width="10.7265625" style="5" customWidth="1"/>
    <col min="1279" max="1279" width="12.26953125" style="5" customWidth="1"/>
    <col min="1280" max="1280" width="17.54296875" style="5" customWidth="1"/>
    <col min="1281" max="1281" width="17.453125" style="5" customWidth="1"/>
    <col min="1282" max="1528" width="11.453125" style="5"/>
    <col min="1529" max="1529" width="7.7265625" style="5" customWidth="1"/>
    <col min="1530" max="1530" width="65.54296875" style="5" customWidth="1"/>
    <col min="1531" max="1531" width="7.453125" style="5" customWidth="1"/>
    <col min="1532" max="1532" width="8.26953125" style="5" customWidth="1"/>
    <col min="1533" max="1533" width="10.7265625" style="5" bestFit="1" customWidth="1"/>
    <col min="1534" max="1534" width="10.7265625" style="5" customWidth="1"/>
    <col min="1535" max="1535" width="12.26953125" style="5" customWidth="1"/>
    <col min="1536" max="1536" width="17.54296875" style="5" customWidth="1"/>
    <col min="1537" max="1537" width="17.453125" style="5" customWidth="1"/>
    <col min="1538" max="1784" width="11.453125" style="5"/>
    <col min="1785" max="1785" width="7.7265625" style="5" customWidth="1"/>
    <col min="1786" max="1786" width="65.54296875" style="5" customWidth="1"/>
    <col min="1787" max="1787" width="7.453125" style="5" customWidth="1"/>
    <col min="1788" max="1788" width="8.26953125" style="5" customWidth="1"/>
    <col min="1789" max="1789" width="10.7265625" style="5" bestFit="1" customWidth="1"/>
    <col min="1790" max="1790" width="10.7265625" style="5" customWidth="1"/>
    <col min="1791" max="1791" width="12.26953125" style="5" customWidth="1"/>
    <col min="1792" max="1792" width="17.54296875" style="5" customWidth="1"/>
    <col min="1793" max="1793" width="17.453125" style="5" customWidth="1"/>
    <col min="1794" max="2040" width="11.453125" style="5"/>
    <col min="2041" max="2041" width="7.7265625" style="5" customWidth="1"/>
    <col min="2042" max="2042" width="65.54296875" style="5" customWidth="1"/>
    <col min="2043" max="2043" width="7.453125" style="5" customWidth="1"/>
    <col min="2044" max="2044" width="8.26953125" style="5" customWidth="1"/>
    <col min="2045" max="2045" width="10.7265625" style="5" bestFit="1" customWidth="1"/>
    <col min="2046" max="2046" width="10.7265625" style="5" customWidth="1"/>
    <col min="2047" max="2047" width="12.26953125" style="5" customWidth="1"/>
    <col min="2048" max="2048" width="17.54296875" style="5" customWidth="1"/>
    <col min="2049" max="2049" width="17.453125" style="5" customWidth="1"/>
    <col min="2050" max="2296" width="11.453125" style="5"/>
    <col min="2297" max="2297" width="7.7265625" style="5" customWidth="1"/>
    <col min="2298" max="2298" width="65.54296875" style="5" customWidth="1"/>
    <col min="2299" max="2299" width="7.453125" style="5" customWidth="1"/>
    <col min="2300" max="2300" width="8.26953125" style="5" customWidth="1"/>
    <col min="2301" max="2301" width="10.7265625" style="5" bestFit="1" customWidth="1"/>
    <col min="2302" max="2302" width="10.7265625" style="5" customWidth="1"/>
    <col min="2303" max="2303" width="12.26953125" style="5" customWidth="1"/>
    <col min="2304" max="2304" width="17.54296875" style="5" customWidth="1"/>
    <col min="2305" max="2305" width="17.453125" style="5" customWidth="1"/>
    <col min="2306" max="2552" width="11.453125" style="5"/>
    <col min="2553" max="2553" width="7.7265625" style="5" customWidth="1"/>
    <col min="2554" max="2554" width="65.54296875" style="5" customWidth="1"/>
    <col min="2555" max="2555" width="7.453125" style="5" customWidth="1"/>
    <col min="2556" max="2556" width="8.26953125" style="5" customWidth="1"/>
    <col min="2557" max="2557" width="10.7265625" style="5" bestFit="1" customWidth="1"/>
    <col min="2558" max="2558" width="10.7265625" style="5" customWidth="1"/>
    <col min="2559" max="2559" width="12.26953125" style="5" customWidth="1"/>
    <col min="2560" max="2560" width="17.54296875" style="5" customWidth="1"/>
    <col min="2561" max="2561" width="17.453125" style="5" customWidth="1"/>
    <col min="2562" max="2808" width="11.453125" style="5"/>
    <col min="2809" max="2809" width="7.7265625" style="5" customWidth="1"/>
    <col min="2810" max="2810" width="65.54296875" style="5" customWidth="1"/>
    <col min="2811" max="2811" width="7.453125" style="5" customWidth="1"/>
    <col min="2812" max="2812" width="8.26953125" style="5" customWidth="1"/>
    <col min="2813" max="2813" width="10.7265625" style="5" bestFit="1" customWidth="1"/>
    <col min="2814" max="2814" width="10.7265625" style="5" customWidth="1"/>
    <col min="2815" max="2815" width="12.26953125" style="5" customWidth="1"/>
    <col min="2816" max="2816" width="17.54296875" style="5" customWidth="1"/>
    <col min="2817" max="2817" width="17.453125" style="5" customWidth="1"/>
    <col min="2818" max="3064" width="11.453125" style="5"/>
    <col min="3065" max="3065" width="7.7265625" style="5" customWidth="1"/>
    <col min="3066" max="3066" width="65.54296875" style="5" customWidth="1"/>
    <col min="3067" max="3067" width="7.453125" style="5" customWidth="1"/>
    <col min="3068" max="3068" width="8.26953125" style="5" customWidth="1"/>
    <col min="3069" max="3069" width="10.7265625" style="5" bestFit="1" customWidth="1"/>
    <col min="3070" max="3070" width="10.7265625" style="5" customWidth="1"/>
    <col min="3071" max="3071" width="12.26953125" style="5" customWidth="1"/>
    <col min="3072" max="3072" width="17.54296875" style="5" customWidth="1"/>
    <col min="3073" max="3073" width="17.453125" style="5" customWidth="1"/>
    <col min="3074" max="3320" width="11.453125" style="5"/>
    <col min="3321" max="3321" width="7.7265625" style="5" customWidth="1"/>
    <col min="3322" max="3322" width="65.54296875" style="5" customWidth="1"/>
    <col min="3323" max="3323" width="7.453125" style="5" customWidth="1"/>
    <col min="3324" max="3324" width="8.26953125" style="5" customWidth="1"/>
    <col min="3325" max="3325" width="10.7265625" style="5" bestFit="1" customWidth="1"/>
    <col min="3326" max="3326" width="10.7265625" style="5" customWidth="1"/>
    <col min="3327" max="3327" width="12.26953125" style="5" customWidth="1"/>
    <col min="3328" max="3328" width="17.54296875" style="5" customWidth="1"/>
    <col min="3329" max="3329" width="17.453125" style="5" customWidth="1"/>
    <col min="3330" max="3576" width="11.453125" style="5"/>
    <col min="3577" max="3577" width="7.7265625" style="5" customWidth="1"/>
    <col min="3578" max="3578" width="65.54296875" style="5" customWidth="1"/>
    <col min="3579" max="3579" width="7.453125" style="5" customWidth="1"/>
    <col min="3580" max="3580" width="8.26953125" style="5" customWidth="1"/>
    <col min="3581" max="3581" width="10.7265625" style="5" bestFit="1" customWidth="1"/>
    <col min="3582" max="3582" width="10.7265625" style="5" customWidth="1"/>
    <col min="3583" max="3583" width="12.26953125" style="5" customWidth="1"/>
    <col min="3584" max="3584" width="17.54296875" style="5" customWidth="1"/>
    <col min="3585" max="3585" width="17.453125" style="5" customWidth="1"/>
    <col min="3586" max="3832" width="11.453125" style="5"/>
    <col min="3833" max="3833" width="7.7265625" style="5" customWidth="1"/>
    <col min="3834" max="3834" width="65.54296875" style="5" customWidth="1"/>
    <col min="3835" max="3835" width="7.453125" style="5" customWidth="1"/>
    <col min="3836" max="3836" width="8.26953125" style="5" customWidth="1"/>
    <col min="3837" max="3837" width="10.7265625" style="5" bestFit="1" customWidth="1"/>
    <col min="3838" max="3838" width="10.7265625" style="5" customWidth="1"/>
    <col min="3839" max="3839" width="12.26953125" style="5" customWidth="1"/>
    <col min="3840" max="3840" width="17.54296875" style="5" customWidth="1"/>
    <col min="3841" max="3841" width="17.453125" style="5" customWidth="1"/>
    <col min="3842" max="4088" width="11.453125" style="5"/>
    <col min="4089" max="4089" width="7.7265625" style="5" customWidth="1"/>
    <col min="4090" max="4090" width="65.54296875" style="5" customWidth="1"/>
    <col min="4091" max="4091" width="7.453125" style="5" customWidth="1"/>
    <col min="4092" max="4092" width="8.26953125" style="5" customWidth="1"/>
    <col min="4093" max="4093" width="10.7265625" style="5" bestFit="1" customWidth="1"/>
    <col min="4094" max="4094" width="10.7265625" style="5" customWidth="1"/>
    <col min="4095" max="4095" width="12.26953125" style="5" customWidth="1"/>
    <col min="4096" max="4096" width="17.54296875" style="5" customWidth="1"/>
    <col min="4097" max="4097" width="17.453125" style="5" customWidth="1"/>
    <col min="4098" max="4344" width="11.453125" style="5"/>
    <col min="4345" max="4345" width="7.7265625" style="5" customWidth="1"/>
    <col min="4346" max="4346" width="65.54296875" style="5" customWidth="1"/>
    <col min="4347" max="4347" width="7.453125" style="5" customWidth="1"/>
    <col min="4348" max="4348" width="8.26953125" style="5" customWidth="1"/>
    <col min="4349" max="4349" width="10.7265625" style="5" bestFit="1" customWidth="1"/>
    <col min="4350" max="4350" width="10.7265625" style="5" customWidth="1"/>
    <col min="4351" max="4351" width="12.26953125" style="5" customWidth="1"/>
    <col min="4352" max="4352" width="17.54296875" style="5" customWidth="1"/>
    <col min="4353" max="4353" width="17.453125" style="5" customWidth="1"/>
    <col min="4354" max="4600" width="11.453125" style="5"/>
    <col min="4601" max="4601" width="7.7265625" style="5" customWidth="1"/>
    <col min="4602" max="4602" width="65.54296875" style="5" customWidth="1"/>
    <col min="4603" max="4603" width="7.453125" style="5" customWidth="1"/>
    <col min="4604" max="4604" width="8.26953125" style="5" customWidth="1"/>
    <col min="4605" max="4605" width="10.7265625" style="5" bestFit="1" customWidth="1"/>
    <col min="4606" max="4606" width="10.7265625" style="5" customWidth="1"/>
    <col min="4607" max="4607" width="12.26953125" style="5" customWidth="1"/>
    <col min="4608" max="4608" width="17.54296875" style="5" customWidth="1"/>
    <col min="4609" max="4609" width="17.453125" style="5" customWidth="1"/>
    <col min="4610" max="4856" width="11.453125" style="5"/>
    <col min="4857" max="4857" width="7.7265625" style="5" customWidth="1"/>
    <col min="4858" max="4858" width="65.54296875" style="5" customWidth="1"/>
    <col min="4859" max="4859" width="7.453125" style="5" customWidth="1"/>
    <col min="4860" max="4860" width="8.26953125" style="5" customWidth="1"/>
    <col min="4861" max="4861" width="10.7265625" style="5" bestFit="1" customWidth="1"/>
    <col min="4862" max="4862" width="10.7265625" style="5" customWidth="1"/>
    <col min="4863" max="4863" width="12.26953125" style="5" customWidth="1"/>
    <col min="4864" max="4864" width="17.54296875" style="5" customWidth="1"/>
    <col min="4865" max="4865" width="17.453125" style="5" customWidth="1"/>
    <col min="4866" max="5112" width="11.453125" style="5"/>
    <col min="5113" max="5113" width="7.7265625" style="5" customWidth="1"/>
    <col min="5114" max="5114" width="65.54296875" style="5" customWidth="1"/>
    <col min="5115" max="5115" width="7.453125" style="5" customWidth="1"/>
    <col min="5116" max="5116" width="8.26953125" style="5" customWidth="1"/>
    <col min="5117" max="5117" width="10.7265625" style="5" bestFit="1" customWidth="1"/>
    <col min="5118" max="5118" width="10.7265625" style="5" customWidth="1"/>
    <col min="5119" max="5119" width="12.26953125" style="5" customWidth="1"/>
    <col min="5120" max="5120" width="17.54296875" style="5" customWidth="1"/>
    <col min="5121" max="5121" width="17.453125" style="5" customWidth="1"/>
    <col min="5122" max="5368" width="11.453125" style="5"/>
    <col min="5369" max="5369" width="7.7265625" style="5" customWidth="1"/>
    <col min="5370" max="5370" width="65.54296875" style="5" customWidth="1"/>
    <col min="5371" max="5371" width="7.453125" style="5" customWidth="1"/>
    <col min="5372" max="5372" width="8.26953125" style="5" customWidth="1"/>
    <col min="5373" max="5373" width="10.7265625" style="5" bestFit="1" customWidth="1"/>
    <col min="5374" max="5374" width="10.7265625" style="5" customWidth="1"/>
    <col min="5375" max="5375" width="12.26953125" style="5" customWidth="1"/>
    <col min="5376" max="5376" width="17.54296875" style="5" customWidth="1"/>
    <col min="5377" max="5377" width="17.453125" style="5" customWidth="1"/>
    <col min="5378" max="5624" width="11.453125" style="5"/>
    <col min="5625" max="5625" width="7.7265625" style="5" customWidth="1"/>
    <col min="5626" max="5626" width="65.54296875" style="5" customWidth="1"/>
    <col min="5627" max="5627" width="7.453125" style="5" customWidth="1"/>
    <col min="5628" max="5628" width="8.26953125" style="5" customWidth="1"/>
    <col min="5629" max="5629" width="10.7265625" style="5" bestFit="1" customWidth="1"/>
    <col min="5630" max="5630" width="10.7265625" style="5" customWidth="1"/>
    <col min="5631" max="5631" width="12.26953125" style="5" customWidth="1"/>
    <col min="5632" max="5632" width="17.54296875" style="5" customWidth="1"/>
    <col min="5633" max="5633" width="17.453125" style="5" customWidth="1"/>
    <col min="5634" max="5880" width="11.453125" style="5"/>
    <col min="5881" max="5881" width="7.7265625" style="5" customWidth="1"/>
    <col min="5882" max="5882" width="65.54296875" style="5" customWidth="1"/>
    <col min="5883" max="5883" width="7.453125" style="5" customWidth="1"/>
    <col min="5884" max="5884" width="8.26953125" style="5" customWidth="1"/>
    <col min="5885" max="5885" width="10.7265625" style="5" bestFit="1" customWidth="1"/>
    <col min="5886" max="5886" width="10.7265625" style="5" customWidth="1"/>
    <col min="5887" max="5887" width="12.26953125" style="5" customWidth="1"/>
    <col min="5888" max="5888" width="17.54296875" style="5" customWidth="1"/>
    <col min="5889" max="5889" width="17.453125" style="5" customWidth="1"/>
    <col min="5890" max="6136" width="11.453125" style="5"/>
    <col min="6137" max="6137" width="7.7265625" style="5" customWidth="1"/>
    <col min="6138" max="6138" width="65.54296875" style="5" customWidth="1"/>
    <col min="6139" max="6139" width="7.453125" style="5" customWidth="1"/>
    <col min="6140" max="6140" width="8.26953125" style="5" customWidth="1"/>
    <col min="6141" max="6141" width="10.7265625" style="5" bestFit="1" customWidth="1"/>
    <col min="6142" max="6142" width="10.7265625" style="5" customWidth="1"/>
    <col min="6143" max="6143" width="12.26953125" style="5" customWidth="1"/>
    <col min="6144" max="6144" width="17.54296875" style="5" customWidth="1"/>
    <col min="6145" max="6145" width="17.453125" style="5" customWidth="1"/>
    <col min="6146" max="6392" width="11.453125" style="5"/>
    <col min="6393" max="6393" width="7.7265625" style="5" customWidth="1"/>
    <col min="6394" max="6394" width="65.54296875" style="5" customWidth="1"/>
    <col min="6395" max="6395" width="7.453125" style="5" customWidth="1"/>
    <col min="6396" max="6396" width="8.26953125" style="5" customWidth="1"/>
    <col min="6397" max="6397" width="10.7265625" style="5" bestFit="1" customWidth="1"/>
    <col min="6398" max="6398" width="10.7265625" style="5" customWidth="1"/>
    <col min="6399" max="6399" width="12.26953125" style="5" customWidth="1"/>
    <col min="6400" max="6400" width="17.54296875" style="5" customWidth="1"/>
    <col min="6401" max="6401" width="17.453125" style="5" customWidth="1"/>
    <col min="6402" max="6648" width="11.453125" style="5"/>
    <col min="6649" max="6649" width="7.7265625" style="5" customWidth="1"/>
    <col min="6650" max="6650" width="65.54296875" style="5" customWidth="1"/>
    <col min="6651" max="6651" width="7.453125" style="5" customWidth="1"/>
    <col min="6652" max="6652" width="8.26953125" style="5" customWidth="1"/>
    <col min="6653" max="6653" width="10.7265625" style="5" bestFit="1" customWidth="1"/>
    <col min="6654" max="6654" width="10.7265625" style="5" customWidth="1"/>
    <col min="6655" max="6655" width="12.26953125" style="5" customWidth="1"/>
    <col min="6656" max="6656" width="17.54296875" style="5" customWidth="1"/>
    <col min="6657" max="6657" width="17.453125" style="5" customWidth="1"/>
    <col min="6658" max="6904" width="11.453125" style="5"/>
    <col min="6905" max="6905" width="7.7265625" style="5" customWidth="1"/>
    <col min="6906" max="6906" width="65.54296875" style="5" customWidth="1"/>
    <col min="6907" max="6907" width="7.453125" style="5" customWidth="1"/>
    <col min="6908" max="6908" width="8.26953125" style="5" customWidth="1"/>
    <col min="6909" max="6909" width="10.7265625" style="5" bestFit="1" customWidth="1"/>
    <col min="6910" max="6910" width="10.7265625" style="5" customWidth="1"/>
    <col min="6911" max="6911" width="12.26953125" style="5" customWidth="1"/>
    <col min="6912" max="6912" width="17.54296875" style="5" customWidth="1"/>
    <col min="6913" max="6913" width="17.453125" style="5" customWidth="1"/>
    <col min="6914" max="7160" width="11.453125" style="5"/>
    <col min="7161" max="7161" width="7.7265625" style="5" customWidth="1"/>
    <col min="7162" max="7162" width="65.54296875" style="5" customWidth="1"/>
    <col min="7163" max="7163" width="7.453125" style="5" customWidth="1"/>
    <col min="7164" max="7164" width="8.26953125" style="5" customWidth="1"/>
    <col min="7165" max="7165" width="10.7265625" style="5" bestFit="1" customWidth="1"/>
    <col min="7166" max="7166" width="10.7265625" style="5" customWidth="1"/>
    <col min="7167" max="7167" width="12.26953125" style="5" customWidth="1"/>
    <col min="7168" max="7168" width="17.54296875" style="5" customWidth="1"/>
    <col min="7169" max="7169" width="17.453125" style="5" customWidth="1"/>
    <col min="7170" max="7416" width="11.453125" style="5"/>
    <col min="7417" max="7417" width="7.7265625" style="5" customWidth="1"/>
    <col min="7418" max="7418" width="65.54296875" style="5" customWidth="1"/>
    <col min="7419" max="7419" width="7.453125" style="5" customWidth="1"/>
    <col min="7420" max="7420" width="8.26953125" style="5" customWidth="1"/>
    <col min="7421" max="7421" width="10.7265625" style="5" bestFit="1" customWidth="1"/>
    <col min="7422" max="7422" width="10.7265625" style="5" customWidth="1"/>
    <col min="7423" max="7423" width="12.26953125" style="5" customWidth="1"/>
    <col min="7424" max="7424" width="17.54296875" style="5" customWidth="1"/>
    <col min="7425" max="7425" width="17.453125" style="5" customWidth="1"/>
    <col min="7426" max="7672" width="11.453125" style="5"/>
    <col min="7673" max="7673" width="7.7265625" style="5" customWidth="1"/>
    <col min="7674" max="7674" width="65.54296875" style="5" customWidth="1"/>
    <col min="7675" max="7675" width="7.453125" style="5" customWidth="1"/>
    <col min="7676" max="7676" width="8.26953125" style="5" customWidth="1"/>
    <col min="7677" max="7677" width="10.7265625" style="5" bestFit="1" customWidth="1"/>
    <col min="7678" max="7678" width="10.7265625" style="5" customWidth="1"/>
    <col min="7679" max="7679" width="12.26953125" style="5" customWidth="1"/>
    <col min="7680" max="7680" width="17.54296875" style="5" customWidth="1"/>
    <col min="7681" max="7681" width="17.453125" style="5" customWidth="1"/>
    <col min="7682" max="7928" width="11.453125" style="5"/>
    <col min="7929" max="7929" width="7.7265625" style="5" customWidth="1"/>
    <col min="7930" max="7930" width="65.54296875" style="5" customWidth="1"/>
    <col min="7931" max="7931" width="7.453125" style="5" customWidth="1"/>
    <col min="7932" max="7932" width="8.26953125" style="5" customWidth="1"/>
    <col min="7933" max="7933" width="10.7265625" style="5" bestFit="1" customWidth="1"/>
    <col min="7934" max="7934" width="10.7265625" style="5" customWidth="1"/>
    <col min="7935" max="7935" width="12.26953125" style="5" customWidth="1"/>
    <col min="7936" max="7936" width="17.54296875" style="5" customWidth="1"/>
    <col min="7937" max="7937" width="17.453125" style="5" customWidth="1"/>
    <col min="7938" max="8184" width="11.453125" style="5"/>
    <col min="8185" max="8185" width="7.7265625" style="5" customWidth="1"/>
    <col min="8186" max="8186" width="65.54296875" style="5" customWidth="1"/>
    <col min="8187" max="8187" width="7.453125" style="5" customWidth="1"/>
    <col min="8188" max="8188" width="8.26953125" style="5" customWidth="1"/>
    <col min="8189" max="8189" width="10.7265625" style="5" bestFit="1" customWidth="1"/>
    <col min="8190" max="8190" width="10.7265625" style="5" customWidth="1"/>
    <col min="8191" max="8191" width="12.26953125" style="5" customWidth="1"/>
    <col min="8192" max="8192" width="17.54296875" style="5" customWidth="1"/>
    <col min="8193" max="8193" width="17.453125" style="5" customWidth="1"/>
    <col min="8194" max="8440" width="11.453125" style="5"/>
    <col min="8441" max="8441" width="7.7265625" style="5" customWidth="1"/>
    <col min="8442" max="8442" width="65.54296875" style="5" customWidth="1"/>
    <col min="8443" max="8443" width="7.453125" style="5" customWidth="1"/>
    <col min="8444" max="8444" width="8.26953125" style="5" customWidth="1"/>
    <col min="8445" max="8445" width="10.7265625" style="5" bestFit="1" customWidth="1"/>
    <col min="8446" max="8446" width="10.7265625" style="5" customWidth="1"/>
    <col min="8447" max="8447" width="12.26953125" style="5" customWidth="1"/>
    <col min="8448" max="8448" width="17.54296875" style="5" customWidth="1"/>
    <col min="8449" max="8449" width="17.453125" style="5" customWidth="1"/>
    <col min="8450" max="8696" width="11.453125" style="5"/>
    <col min="8697" max="8697" width="7.7265625" style="5" customWidth="1"/>
    <col min="8698" max="8698" width="65.54296875" style="5" customWidth="1"/>
    <col min="8699" max="8699" width="7.453125" style="5" customWidth="1"/>
    <col min="8700" max="8700" width="8.26953125" style="5" customWidth="1"/>
    <col min="8701" max="8701" width="10.7265625" style="5" bestFit="1" customWidth="1"/>
    <col min="8702" max="8702" width="10.7265625" style="5" customWidth="1"/>
    <col min="8703" max="8703" width="12.26953125" style="5" customWidth="1"/>
    <col min="8704" max="8704" width="17.54296875" style="5" customWidth="1"/>
    <col min="8705" max="8705" width="17.453125" style="5" customWidth="1"/>
    <col min="8706" max="8952" width="11.453125" style="5"/>
    <col min="8953" max="8953" width="7.7265625" style="5" customWidth="1"/>
    <col min="8954" max="8954" width="65.54296875" style="5" customWidth="1"/>
    <col min="8955" max="8955" width="7.453125" style="5" customWidth="1"/>
    <col min="8956" max="8956" width="8.26953125" style="5" customWidth="1"/>
    <col min="8957" max="8957" width="10.7265625" style="5" bestFit="1" customWidth="1"/>
    <col min="8958" max="8958" width="10.7265625" style="5" customWidth="1"/>
    <col min="8959" max="8959" width="12.26953125" style="5" customWidth="1"/>
    <col min="8960" max="8960" width="17.54296875" style="5" customWidth="1"/>
    <col min="8961" max="8961" width="17.453125" style="5" customWidth="1"/>
    <col min="8962" max="9208" width="11.453125" style="5"/>
    <col min="9209" max="9209" width="7.7265625" style="5" customWidth="1"/>
    <col min="9210" max="9210" width="65.54296875" style="5" customWidth="1"/>
    <col min="9211" max="9211" width="7.453125" style="5" customWidth="1"/>
    <col min="9212" max="9212" width="8.26953125" style="5" customWidth="1"/>
    <col min="9213" max="9213" width="10.7265625" style="5" bestFit="1" customWidth="1"/>
    <col min="9214" max="9214" width="10.7265625" style="5" customWidth="1"/>
    <col min="9215" max="9215" width="12.26953125" style="5" customWidth="1"/>
    <col min="9216" max="9216" width="17.54296875" style="5" customWidth="1"/>
    <col min="9217" max="9217" width="17.453125" style="5" customWidth="1"/>
    <col min="9218" max="9464" width="11.453125" style="5"/>
    <col min="9465" max="9465" width="7.7265625" style="5" customWidth="1"/>
    <col min="9466" max="9466" width="65.54296875" style="5" customWidth="1"/>
    <col min="9467" max="9467" width="7.453125" style="5" customWidth="1"/>
    <col min="9468" max="9468" width="8.26953125" style="5" customWidth="1"/>
    <col min="9469" max="9469" width="10.7265625" style="5" bestFit="1" customWidth="1"/>
    <col min="9470" max="9470" width="10.7265625" style="5" customWidth="1"/>
    <col min="9471" max="9471" width="12.26953125" style="5" customWidth="1"/>
    <col min="9472" max="9472" width="17.54296875" style="5" customWidth="1"/>
    <col min="9473" max="9473" width="17.453125" style="5" customWidth="1"/>
    <col min="9474" max="9720" width="11.453125" style="5"/>
    <col min="9721" max="9721" width="7.7265625" style="5" customWidth="1"/>
    <col min="9722" max="9722" width="65.54296875" style="5" customWidth="1"/>
    <col min="9723" max="9723" width="7.453125" style="5" customWidth="1"/>
    <col min="9724" max="9724" width="8.26953125" style="5" customWidth="1"/>
    <col min="9725" max="9725" width="10.7265625" style="5" bestFit="1" customWidth="1"/>
    <col min="9726" max="9726" width="10.7265625" style="5" customWidth="1"/>
    <col min="9727" max="9727" width="12.26953125" style="5" customWidth="1"/>
    <col min="9728" max="9728" width="17.54296875" style="5" customWidth="1"/>
    <col min="9729" max="9729" width="17.453125" style="5" customWidth="1"/>
    <col min="9730" max="9976" width="11.453125" style="5"/>
    <col min="9977" max="9977" width="7.7265625" style="5" customWidth="1"/>
    <col min="9978" max="9978" width="65.54296875" style="5" customWidth="1"/>
    <col min="9979" max="9979" width="7.453125" style="5" customWidth="1"/>
    <col min="9980" max="9980" width="8.26953125" style="5" customWidth="1"/>
    <col min="9981" max="9981" width="10.7265625" style="5" bestFit="1" customWidth="1"/>
    <col min="9982" max="9982" width="10.7265625" style="5" customWidth="1"/>
    <col min="9983" max="9983" width="12.26953125" style="5" customWidth="1"/>
    <col min="9984" max="9984" width="17.54296875" style="5" customWidth="1"/>
    <col min="9985" max="9985" width="17.453125" style="5" customWidth="1"/>
    <col min="9986" max="10232" width="11.453125" style="5"/>
    <col min="10233" max="10233" width="7.7265625" style="5" customWidth="1"/>
    <col min="10234" max="10234" width="65.54296875" style="5" customWidth="1"/>
    <col min="10235" max="10235" width="7.453125" style="5" customWidth="1"/>
    <col min="10236" max="10236" width="8.26953125" style="5" customWidth="1"/>
    <col min="10237" max="10237" width="10.7265625" style="5" bestFit="1" customWidth="1"/>
    <col min="10238" max="10238" width="10.7265625" style="5" customWidth="1"/>
    <col min="10239" max="10239" width="12.26953125" style="5" customWidth="1"/>
    <col min="10240" max="10240" width="17.54296875" style="5" customWidth="1"/>
    <col min="10241" max="10241" width="17.453125" style="5" customWidth="1"/>
    <col min="10242" max="10488" width="11.453125" style="5"/>
    <col min="10489" max="10489" width="7.7265625" style="5" customWidth="1"/>
    <col min="10490" max="10490" width="65.54296875" style="5" customWidth="1"/>
    <col min="10491" max="10491" width="7.453125" style="5" customWidth="1"/>
    <col min="10492" max="10492" width="8.26953125" style="5" customWidth="1"/>
    <col min="10493" max="10493" width="10.7265625" style="5" bestFit="1" customWidth="1"/>
    <col min="10494" max="10494" width="10.7265625" style="5" customWidth="1"/>
    <col min="10495" max="10495" width="12.26953125" style="5" customWidth="1"/>
    <col min="10496" max="10496" width="17.54296875" style="5" customWidth="1"/>
    <col min="10497" max="10497" width="17.453125" style="5" customWidth="1"/>
    <col min="10498" max="10744" width="11.453125" style="5"/>
    <col min="10745" max="10745" width="7.7265625" style="5" customWidth="1"/>
    <col min="10746" max="10746" width="65.54296875" style="5" customWidth="1"/>
    <col min="10747" max="10747" width="7.453125" style="5" customWidth="1"/>
    <col min="10748" max="10748" width="8.26953125" style="5" customWidth="1"/>
    <col min="10749" max="10749" width="10.7265625" style="5" bestFit="1" customWidth="1"/>
    <col min="10750" max="10750" width="10.7265625" style="5" customWidth="1"/>
    <col min="10751" max="10751" width="12.26953125" style="5" customWidth="1"/>
    <col min="10752" max="10752" width="17.54296875" style="5" customWidth="1"/>
    <col min="10753" max="10753" width="17.453125" style="5" customWidth="1"/>
    <col min="10754" max="11000" width="11.453125" style="5"/>
    <col min="11001" max="11001" width="7.7265625" style="5" customWidth="1"/>
    <col min="11002" max="11002" width="65.54296875" style="5" customWidth="1"/>
    <col min="11003" max="11003" width="7.453125" style="5" customWidth="1"/>
    <col min="11004" max="11004" width="8.26953125" style="5" customWidth="1"/>
    <col min="11005" max="11005" width="10.7265625" style="5" bestFit="1" customWidth="1"/>
    <col min="11006" max="11006" width="10.7265625" style="5" customWidth="1"/>
    <col min="11007" max="11007" width="12.26953125" style="5" customWidth="1"/>
    <col min="11008" max="11008" width="17.54296875" style="5" customWidth="1"/>
    <col min="11009" max="11009" width="17.453125" style="5" customWidth="1"/>
    <col min="11010" max="11256" width="11.453125" style="5"/>
    <col min="11257" max="11257" width="7.7265625" style="5" customWidth="1"/>
    <col min="11258" max="11258" width="65.54296875" style="5" customWidth="1"/>
    <col min="11259" max="11259" width="7.453125" style="5" customWidth="1"/>
    <col min="11260" max="11260" width="8.26953125" style="5" customWidth="1"/>
    <col min="11261" max="11261" width="10.7265625" style="5" bestFit="1" customWidth="1"/>
    <col min="11262" max="11262" width="10.7265625" style="5" customWidth="1"/>
    <col min="11263" max="11263" width="12.26953125" style="5" customWidth="1"/>
    <col min="11264" max="11264" width="17.54296875" style="5" customWidth="1"/>
    <col min="11265" max="11265" width="17.453125" style="5" customWidth="1"/>
    <col min="11266" max="11512" width="11.453125" style="5"/>
    <col min="11513" max="11513" width="7.7265625" style="5" customWidth="1"/>
    <col min="11514" max="11514" width="65.54296875" style="5" customWidth="1"/>
    <col min="11515" max="11515" width="7.453125" style="5" customWidth="1"/>
    <col min="11516" max="11516" width="8.26953125" style="5" customWidth="1"/>
    <col min="11517" max="11517" width="10.7265625" style="5" bestFit="1" customWidth="1"/>
    <col min="11518" max="11518" width="10.7265625" style="5" customWidth="1"/>
    <col min="11519" max="11519" width="12.26953125" style="5" customWidth="1"/>
    <col min="11520" max="11520" width="17.54296875" style="5" customWidth="1"/>
    <col min="11521" max="11521" width="17.453125" style="5" customWidth="1"/>
    <col min="11522" max="11768" width="11.453125" style="5"/>
    <col min="11769" max="11769" width="7.7265625" style="5" customWidth="1"/>
    <col min="11770" max="11770" width="65.54296875" style="5" customWidth="1"/>
    <col min="11771" max="11771" width="7.453125" style="5" customWidth="1"/>
    <col min="11772" max="11772" width="8.26953125" style="5" customWidth="1"/>
    <col min="11773" max="11773" width="10.7265625" style="5" bestFit="1" customWidth="1"/>
    <col min="11774" max="11774" width="10.7265625" style="5" customWidth="1"/>
    <col min="11775" max="11775" width="12.26953125" style="5" customWidth="1"/>
    <col min="11776" max="11776" width="17.54296875" style="5" customWidth="1"/>
    <col min="11777" max="11777" width="17.453125" style="5" customWidth="1"/>
    <col min="11778" max="12024" width="11.453125" style="5"/>
    <col min="12025" max="12025" width="7.7265625" style="5" customWidth="1"/>
    <col min="12026" max="12026" width="65.54296875" style="5" customWidth="1"/>
    <col min="12027" max="12027" width="7.453125" style="5" customWidth="1"/>
    <col min="12028" max="12028" width="8.26953125" style="5" customWidth="1"/>
    <col min="12029" max="12029" width="10.7265625" style="5" bestFit="1" customWidth="1"/>
    <col min="12030" max="12030" width="10.7265625" style="5" customWidth="1"/>
    <col min="12031" max="12031" width="12.26953125" style="5" customWidth="1"/>
    <col min="12032" max="12032" width="17.54296875" style="5" customWidth="1"/>
    <col min="12033" max="12033" width="17.453125" style="5" customWidth="1"/>
    <col min="12034" max="12280" width="11.453125" style="5"/>
    <col min="12281" max="12281" width="7.7265625" style="5" customWidth="1"/>
    <col min="12282" max="12282" width="65.54296875" style="5" customWidth="1"/>
    <col min="12283" max="12283" width="7.453125" style="5" customWidth="1"/>
    <col min="12284" max="12284" width="8.26953125" style="5" customWidth="1"/>
    <col min="12285" max="12285" width="10.7265625" style="5" bestFit="1" customWidth="1"/>
    <col min="12286" max="12286" width="10.7265625" style="5" customWidth="1"/>
    <col min="12287" max="12287" width="12.26953125" style="5" customWidth="1"/>
    <col min="12288" max="12288" width="17.54296875" style="5" customWidth="1"/>
    <col min="12289" max="12289" width="17.453125" style="5" customWidth="1"/>
    <col min="12290" max="12536" width="11.453125" style="5"/>
    <col min="12537" max="12537" width="7.7265625" style="5" customWidth="1"/>
    <col min="12538" max="12538" width="65.54296875" style="5" customWidth="1"/>
    <col min="12539" max="12539" width="7.453125" style="5" customWidth="1"/>
    <col min="12540" max="12540" width="8.26953125" style="5" customWidth="1"/>
    <col min="12541" max="12541" width="10.7265625" style="5" bestFit="1" customWidth="1"/>
    <col min="12542" max="12542" width="10.7265625" style="5" customWidth="1"/>
    <col min="12543" max="12543" width="12.26953125" style="5" customWidth="1"/>
    <col min="12544" max="12544" width="17.54296875" style="5" customWidth="1"/>
    <col min="12545" max="12545" width="17.453125" style="5" customWidth="1"/>
    <col min="12546" max="12792" width="11.453125" style="5"/>
    <col min="12793" max="12793" width="7.7265625" style="5" customWidth="1"/>
    <col min="12794" max="12794" width="65.54296875" style="5" customWidth="1"/>
    <col min="12795" max="12795" width="7.453125" style="5" customWidth="1"/>
    <col min="12796" max="12796" width="8.26953125" style="5" customWidth="1"/>
    <col min="12797" max="12797" width="10.7265625" style="5" bestFit="1" customWidth="1"/>
    <col min="12798" max="12798" width="10.7265625" style="5" customWidth="1"/>
    <col min="12799" max="12799" width="12.26953125" style="5" customWidth="1"/>
    <col min="12800" max="12800" width="17.54296875" style="5" customWidth="1"/>
    <col min="12801" max="12801" width="17.453125" style="5" customWidth="1"/>
    <col min="12802" max="13048" width="11.453125" style="5"/>
    <col min="13049" max="13049" width="7.7265625" style="5" customWidth="1"/>
    <col min="13050" max="13050" width="65.54296875" style="5" customWidth="1"/>
    <col min="13051" max="13051" width="7.453125" style="5" customWidth="1"/>
    <col min="13052" max="13052" width="8.26953125" style="5" customWidth="1"/>
    <col min="13053" max="13053" width="10.7265625" style="5" bestFit="1" customWidth="1"/>
    <col min="13054" max="13054" width="10.7265625" style="5" customWidth="1"/>
    <col min="13055" max="13055" width="12.26953125" style="5" customWidth="1"/>
    <col min="13056" max="13056" width="17.54296875" style="5" customWidth="1"/>
    <col min="13057" max="13057" width="17.453125" style="5" customWidth="1"/>
    <col min="13058" max="13304" width="11.453125" style="5"/>
    <col min="13305" max="13305" width="7.7265625" style="5" customWidth="1"/>
    <col min="13306" max="13306" width="65.54296875" style="5" customWidth="1"/>
    <col min="13307" max="13307" width="7.453125" style="5" customWidth="1"/>
    <col min="13308" max="13308" width="8.26953125" style="5" customWidth="1"/>
    <col min="13309" max="13309" width="10.7265625" style="5" bestFit="1" customWidth="1"/>
    <col min="13310" max="13310" width="10.7265625" style="5" customWidth="1"/>
    <col min="13311" max="13311" width="12.26953125" style="5" customWidth="1"/>
    <col min="13312" max="13312" width="17.54296875" style="5" customWidth="1"/>
    <col min="13313" max="13313" width="17.453125" style="5" customWidth="1"/>
    <col min="13314" max="13560" width="11.453125" style="5"/>
    <col min="13561" max="13561" width="7.7265625" style="5" customWidth="1"/>
    <col min="13562" max="13562" width="65.54296875" style="5" customWidth="1"/>
    <col min="13563" max="13563" width="7.453125" style="5" customWidth="1"/>
    <col min="13564" max="13564" width="8.26953125" style="5" customWidth="1"/>
    <col min="13565" max="13565" width="10.7265625" style="5" bestFit="1" customWidth="1"/>
    <col min="13566" max="13566" width="10.7265625" style="5" customWidth="1"/>
    <col min="13567" max="13567" width="12.26953125" style="5" customWidth="1"/>
    <col min="13568" max="13568" width="17.54296875" style="5" customWidth="1"/>
    <col min="13569" max="13569" width="17.453125" style="5" customWidth="1"/>
    <col min="13570" max="13816" width="11.453125" style="5"/>
    <col min="13817" max="13817" width="7.7265625" style="5" customWidth="1"/>
    <col min="13818" max="13818" width="65.54296875" style="5" customWidth="1"/>
    <col min="13819" max="13819" width="7.453125" style="5" customWidth="1"/>
    <col min="13820" max="13820" width="8.26953125" style="5" customWidth="1"/>
    <col min="13821" max="13821" width="10.7265625" style="5" bestFit="1" customWidth="1"/>
    <col min="13822" max="13822" width="10.7265625" style="5" customWidth="1"/>
    <col min="13823" max="13823" width="12.26953125" style="5" customWidth="1"/>
    <col min="13824" max="13824" width="17.54296875" style="5" customWidth="1"/>
    <col min="13825" max="13825" width="17.453125" style="5" customWidth="1"/>
    <col min="13826" max="14072" width="11.453125" style="5"/>
    <col min="14073" max="14073" width="7.7265625" style="5" customWidth="1"/>
    <col min="14074" max="14074" width="65.54296875" style="5" customWidth="1"/>
    <col min="14075" max="14075" width="7.453125" style="5" customWidth="1"/>
    <col min="14076" max="14076" width="8.26953125" style="5" customWidth="1"/>
    <col min="14077" max="14077" width="10.7265625" style="5" bestFit="1" customWidth="1"/>
    <col min="14078" max="14078" width="10.7265625" style="5" customWidth="1"/>
    <col min="14079" max="14079" width="12.26953125" style="5" customWidth="1"/>
    <col min="14080" max="14080" width="17.54296875" style="5" customWidth="1"/>
    <col min="14081" max="14081" width="17.453125" style="5" customWidth="1"/>
    <col min="14082" max="14328" width="11.453125" style="5"/>
    <col min="14329" max="14329" width="7.7265625" style="5" customWidth="1"/>
    <col min="14330" max="14330" width="65.54296875" style="5" customWidth="1"/>
    <col min="14331" max="14331" width="7.453125" style="5" customWidth="1"/>
    <col min="14332" max="14332" width="8.26953125" style="5" customWidth="1"/>
    <col min="14333" max="14333" width="10.7265625" style="5" bestFit="1" customWidth="1"/>
    <col min="14334" max="14334" width="10.7265625" style="5" customWidth="1"/>
    <col min="14335" max="14335" width="12.26953125" style="5" customWidth="1"/>
    <col min="14336" max="14336" width="17.54296875" style="5" customWidth="1"/>
    <col min="14337" max="14337" width="17.453125" style="5" customWidth="1"/>
    <col min="14338" max="14584" width="11.453125" style="5"/>
    <col min="14585" max="14585" width="7.7265625" style="5" customWidth="1"/>
    <col min="14586" max="14586" width="65.54296875" style="5" customWidth="1"/>
    <col min="14587" max="14587" width="7.453125" style="5" customWidth="1"/>
    <col min="14588" max="14588" width="8.26953125" style="5" customWidth="1"/>
    <col min="14589" max="14589" width="10.7265625" style="5" bestFit="1" customWidth="1"/>
    <col min="14590" max="14590" width="10.7265625" style="5" customWidth="1"/>
    <col min="14591" max="14591" width="12.26953125" style="5" customWidth="1"/>
    <col min="14592" max="14592" width="17.54296875" style="5" customWidth="1"/>
    <col min="14593" max="14593" width="17.453125" style="5" customWidth="1"/>
    <col min="14594" max="14840" width="11.453125" style="5"/>
    <col min="14841" max="14841" width="7.7265625" style="5" customWidth="1"/>
    <col min="14842" max="14842" width="65.54296875" style="5" customWidth="1"/>
    <col min="14843" max="14843" width="7.453125" style="5" customWidth="1"/>
    <col min="14844" max="14844" width="8.26953125" style="5" customWidth="1"/>
    <col min="14845" max="14845" width="10.7265625" style="5" bestFit="1" customWidth="1"/>
    <col min="14846" max="14846" width="10.7265625" style="5" customWidth="1"/>
    <col min="14847" max="14847" width="12.26953125" style="5" customWidth="1"/>
    <col min="14848" max="14848" width="17.54296875" style="5" customWidth="1"/>
    <col min="14849" max="14849" width="17.453125" style="5" customWidth="1"/>
    <col min="14850" max="15096" width="11.453125" style="5"/>
    <col min="15097" max="15097" width="7.7265625" style="5" customWidth="1"/>
    <col min="15098" max="15098" width="65.54296875" style="5" customWidth="1"/>
    <col min="15099" max="15099" width="7.453125" style="5" customWidth="1"/>
    <col min="15100" max="15100" width="8.26953125" style="5" customWidth="1"/>
    <col min="15101" max="15101" width="10.7265625" style="5" bestFit="1" customWidth="1"/>
    <col min="15102" max="15102" width="10.7265625" style="5" customWidth="1"/>
    <col min="15103" max="15103" width="12.26953125" style="5" customWidth="1"/>
    <col min="15104" max="15104" width="17.54296875" style="5" customWidth="1"/>
    <col min="15105" max="15105" width="17.453125" style="5" customWidth="1"/>
    <col min="15106" max="15352" width="11.453125" style="5"/>
    <col min="15353" max="15353" width="7.7265625" style="5" customWidth="1"/>
    <col min="15354" max="15354" width="65.54296875" style="5" customWidth="1"/>
    <col min="15355" max="15355" width="7.453125" style="5" customWidth="1"/>
    <col min="15356" max="15356" width="8.26953125" style="5" customWidth="1"/>
    <col min="15357" max="15357" width="10.7265625" style="5" bestFit="1" customWidth="1"/>
    <col min="15358" max="15358" width="10.7265625" style="5" customWidth="1"/>
    <col min="15359" max="15359" width="12.26953125" style="5" customWidth="1"/>
    <col min="15360" max="15360" width="17.54296875" style="5" customWidth="1"/>
    <col min="15361" max="15361" width="17.453125" style="5" customWidth="1"/>
    <col min="15362" max="15608" width="11.453125" style="5"/>
    <col min="15609" max="15609" width="7.7265625" style="5" customWidth="1"/>
    <col min="15610" max="15610" width="65.54296875" style="5" customWidth="1"/>
    <col min="15611" max="15611" width="7.453125" style="5" customWidth="1"/>
    <col min="15612" max="15612" width="8.26953125" style="5" customWidth="1"/>
    <col min="15613" max="15613" width="10.7265625" style="5" bestFit="1" customWidth="1"/>
    <col min="15614" max="15614" width="10.7265625" style="5" customWidth="1"/>
    <col min="15615" max="15615" width="12.26953125" style="5" customWidth="1"/>
    <col min="15616" max="15616" width="17.54296875" style="5" customWidth="1"/>
    <col min="15617" max="15617" width="17.453125" style="5" customWidth="1"/>
    <col min="15618" max="15864" width="11.453125" style="5"/>
    <col min="15865" max="15865" width="7.7265625" style="5" customWidth="1"/>
    <col min="15866" max="15866" width="65.54296875" style="5" customWidth="1"/>
    <col min="15867" max="15867" width="7.453125" style="5" customWidth="1"/>
    <col min="15868" max="15868" width="8.26953125" style="5" customWidth="1"/>
    <col min="15869" max="15869" width="10.7265625" style="5" bestFit="1" customWidth="1"/>
    <col min="15870" max="15870" width="10.7265625" style="5" customWidth="1"/>
    <col min="15871" max="15871" width="12.26953125" style="5" customWidth="1"/>
    <col min="15872" max="15872" width="17.54296875" style="5" customWidth="1"/>
    <col min="15873" max="15873" width="17.453125" style="5" customWidth="1"/>
    <col min="15874" max="16120" width="11.453125" style="5"/>
    <col min="16121" max="16121" width="7.7265625" style="5" customWidth="1"/>
    <col min="16122" max="16122" width="65.54296875" style="5" customWidth="1"/>
    <col min="16123" max="16123" width="7.453125" style="5" customWidth="1"/>
    <col min="16124" max="16124" width="8.26953125" style="5" customWidth="1"/>
    <col min="16125" max="16125" width="10.7265625" style="5" bestFit="1" customWidth="1"/>
    <col min="16126" max="16126" width="10.7265625" style="5" customWidth="1"/>
    <col min="16127" max="16127" width="12.26953125" style="5" customWidth="1"/>
    <col min="16128" max="16128" width="17.54296875" style="5" customWidth="1"/>
    <col min="16129" max="16129" width="17.453125" style="5" customWidth="1"/>
    <col min="16130" max="16384" width="11.453125" style="5"/>
  </cols>
  <sheetData>
    <row r="1" spans="1:8" ht="16" customHeight="1" x14ac:dyDescent="0.3">
      <c r="A1" s="1"/>
      <c r="B1" s="54"/>
      <c r="C1" s="2"/>
      <c r="D1" s="3"/>
      <c r="E1" s="4"/>
      <c r="F1" s="4"/>
      <c r="G1" s="4"/>
      <c r="H1" s="5"/>
    </row>
    <row r="2" spans="1:8" ht="16" customHeight="1" x14ac:dyDescent="0.3">
      <c r="A2" s="6"/>
      <c r="B2" s="55"/>
      <c r="H2" s="5"/>
    </row>
    <row r="3" spans="1:8" ht="16" customHeight="1" x14ac:dyDescent="0.4">
      <c r="A3" s="75" t="s">
        <v>44</v>
      </c>
      <c r="B3" s="76"/>
      <c r="C3" s="76"/>
      <c r="D3" s="76"/>
      <c r="E3" s="76"/>
      <c r="F3" s="76"/>
      <c r="G3" s="76"/>
      <c r="H3" s="5"/>
    </row>
    <row r="4" spans="1:8" ht="13" customHeight="1" x14ac:dyDescent="0.3">
      <c r="A4" s="6"/>
      <c r="B4" s="55"/>
      <c r="H4" s="5"/>
    </row>
    <row r="5" spans="1:8" ht="18" x14ac:dyDescent="0.4">
      <c r="A5" s="77" t="s">
        <v>67</v>
      </c>
      <c r="B5" s="78"/>
      <c r="C5" s="78"/>
      <c r="D5" s="78"/>
      <c r="E5" s="78"/>
      <c r="F5" s="78"/>
      <c r="G5" s="78"/>
      <c r="H5" s="5"/>
    </row>
    <row r="6" spans="1:8" ht="13" x14ac:dyDescent="0.3">
      <c r="A6" s="6"/>
      <c r="B6" s="55"/>
      <c r="F6" s="8"/>
      <c r="G6" s="9" t="s">
        <v>42</v>
      </c>
      <c r="H6" s="74" t="s">
        <v>66</v>
      </c>
    </row>
    <row r="7" spans="1:8" s="16" customFormat="1" ht="15" customHeight="1" x14ac:dyDescent="0.3">
      <c r="A7" s="10" t="s">
        <v>17</v>
      </c>
      <c r="B7" s="56" t="s">
        <v>0</v>
      </c>
      <c r="C7" s="11" t="s">
        <v>18</v>
      </c>
      <c r="D7" s="11" t="s">
        <v>19</v>
      </c>
      <c r="E7" s="12" t="s">
        <v>20</v>
      </c>
      <c r="F7" s="13" t="s">
        <v>21</v>
      </c>
      <c r="G7" s="14" t="s">
        <v>22</v>
      </c>
      <c r="H7" s="15" t="s">
        <v>41</v>
      </c>
    </row>
    <row r="8" spans="1:8" ht="9" customHeight="1" x14ac:dyDescent="0.25">
      <c r="A8" s="17"/>
      <c r="B8" s="57"/>
      <c r="C8" s="18"/>
      <c r="D8" s="19"/>
      <c r="E8" s="20"/>
      <c r="F8" s="20"/>
      <c r="G8" s="20"/>
      <c r="H8" s="63"/>
    </row>
    <row r="9" spans="1:8" s="25" customFormat="1" ht="15" customHeight="1" x14ac:dyDescent="0.3">
      <c r="A9" s="21" t="s">
        <v>23</v>
      </c>
      <c r="B9" s="58"/>
      <c r="C9" s="22" t="s">
        <v>111</v>
      </c>
      <c r="D9" s="23"/>
      <c r="E9" s="24"/>
      <c r="F9" s="24"/>
      <c r="G9" s="24"/>
      <c r="H9" s="64"/>
    </row>
    <row r="10" spans="1:8" ht="15" customHeight="1" x14ac:dyDescent="0.25">
      <c r="A10" s="26" t="s">
        <v>68</v>
      </c>
      <c r="B10" s="26" t="s">
        <v>103</v>
      </c>
      <c r="C10" s="27" t="s">
        <v>122</v>
      </c>
      <c r="D10" s="28" t="s">
        <v>24</v>
      </c>
      <c r="E10" s="29">
        <v>1</v>
      </c>
      <c r="F10" s="31">
        <f>+G10/E10</f>
        <v>4458.2999999999993</v>
      </c>
      <c r="G10" s="32">
        <f>6369*0.7</f>
        <v>4458.2999999999993</v>
      </c>
      <c r="H10" s="65">
        <v>60</v>
      </c>
    </row>
    <row r="11" spans="1:8" ht="15" customHeight="1" x14ac:dyDescent="0.25">
      <c r="A11" s="26" t="s">
        <v>69</v>
      </c>
      <c r="B11" s="26" t="s">
        <v>103</v>
      </c>
      <c r="C11" s="27" t="s">
        <v>40</v>
      </c>
      <c r="D11" s="28" t="s">
        <v>24</v>
      </c>
      <c r="E11" s="29">
        <v>1</v>
      </c>
      <c r="F11" s="31">
        <v>1930</v>
      </c>
      <c r="G11" s="32">
        <v>1930</v>
      </c>
      <c r="H11" s="65">
        <v>30</v>
      </c>
    </row>
    <row r="12" spans="1:8" ht="15" customHeight="1" x14ac:dyDescent="0.3">
      <c r="A12" s="26"/>
      <c r="B12" s="59"/>
      <c r="C12" s="33" t="s">
        <v>52</v>
      </c>
      <c r="D12" s="34"/>
      <c r="E12" s="35"/>
      <c r="F12" s="37"/>
      <c r="G12" s="36">
        <f>SUM(G10:G11)</f>
        <v>6388.2999999999993</v>
      </c>
      <c r="H12" s="66"/>
    </row>
    <row r="13" spans="1:8" s="25" customFormat="1" ht="15" customHeight="1" x14ac:dyDescent="0.3">
      <c r="A13" s="21" t="s">
        <v>25</v>
      </c>
      <c r="B13" s="58"/>
      <c r="C13" s="22" t="s">
        <v>49</v>
      </c>
      <c r="D13" s="23"/>
      <c r="E13" s="24"/>
      <c r="F13" s="38"/>
      <c r="G13" s="24"/>
      <c r="H13" s="64"/>
    </row>
    <row r="14" spans="1:8" ht="15" customHeight="1" x14ac:dyDescent="0.3">
      <c r="A14" s="39" t="s">
        <v>26</v>
      </c>
      <c r="B14" s="60"/>
      <c r="C14" s="40" t="s">
        <v>27</v>
      </c>
      <c r="D14" s="41"/>
      <c r="E14" s="42"/>
      <c r="F14" s="43"/>
      <c r="G14" s="42"/>
      <c r="H14" s="67"/>
    </row>
    <row r="15" spans="1:8" ht="15" customHeight="1" x14ac:dyDescent="0.25">
      <c r="A15" s="26" t="s">
        <v>70</v>
      </c>
      <c r="B15" s="26" t="s">
        <v>112</v>
      </c>
      <c r="C15" s="27" t="s">
        <v>39</v>
      </c>
      <c r="D15" s="28" t="s">
        <v>1</v>
      </c>
      <c r="E15" s="30">
        <v>655060</v>
      </c>
      <c r="F15" s="31">
        <v>0.04</v>
      </c>
      <c r="G15" s="50">
        <f>+F15*E15</f>
        <v>26202.400000000001</v>
      </c>
      <c r="H15" s="65">
        <v>150</v>
      </c>
    </row>
    <row r="16" spans="1:8" ht="15" customHeight="1" x14ac:dyDescent="0.25">
      <c r="A16" s="26" t="s">
        <v>71</v>
      </c>
      <c r="B16" s="26" t="s">
        <v>112</v>
      </c>
      <c r="C16" s="27" t="s">
        <v>4</v>
      </c>
      <c r="D16" s="28" t="s">
        <v>1</v>
      </c>
      <c r="E16" s="30">
        <v>5940</v>
      </c>
      <c r="F16" s="31">
        <v>0.06</v>
      </c>
      <c r="G16" s="50">
        <f>+E16*F16</f>
        <v>356.4</v>
      </c>
      <c r="H16" s="65">
        <v>30</v>
      </c>
    </row>
    <row r="17" spans="1:8" ht="15" customHeight="1" x14ac:dyDescent="0.25">
      <c r="A17" s="26" t="s">
        <v>72</v>
      </c>
      <c r="B17" s="26" t="s">
        <v>112</v>
      </c>
      <c r="C17" s="27" t="s">
        <v>43</v>
      </c>
      <c r="D17" s="28" t="s">
        <v>1</v>
      </c>
      <c r="E17" s="30">
        <v>2070</v>
      </c>
      <c r="F17" s="31">
        <f>+G17/E17</f>
        <v>28</v>
      </c>
      <c r="G17" s="50">
        <v>57960</v>
      </c>
      <c r="H17" s="65">
        <v>75</v>
      </c>
    </row>
    <row r="18" spans="1:8" ht="15" customHeight="1" x14ac:dyDescent="0.25">
      <c r="A18" s="26" t="s">
        <v>73</v>
      </c>
      <c r="B18" s="26" t="s">
        <v>112</v>
      </c>
      <c r="C18" s="27" t="s">
        <v>45</v>
      </c>
      <c r="D18" s="28" t="s">
        <v>1</v>
      </c>
      <c r="E18" s="30">
        <v>3969</v>
      </c>
      <c r="F18" s="31">
        <f>+G18/E18</f>
        <v>17.631141345427061</v>
      </c>
      <c r="G18" s="50">
        <v>69978</v>
      </c>
      <c r="H18" s="65">
        <v>90</v>
      </c>
    </row>
    <row r="19" spans="1:8" ht="15" customHeight="1" x14ac:dyDescent="0.3">
      <c r="A19" s="39" t="s">
        <v>28</v>
      </c>
      <c r="B19" s="60"/>
      <c r="C19" s="40" t="s">
        <v>29</v>
      </c>
      <c r="D19" s="41"/>
      <c r="E19" s="42"/>
      <c r="F19" s="43"/>
      <c r="G19" s="51"/>
      <c r="H19" s="67"/>
    </row>
    <row r="20" spans="1:8" ht="15" customHeight="1" x14ac:dyDescent="0.25">
      <c r="A20" s="26" t="s">
        <v>74</v>
      </c>
      <c r="B20" s="59" t="s">
        <v>113</v>
      </c>
      <c r="C20" s="27" t="s">
        <v>8</v>
      </c>
      <c r="D20" s="28" t="s">
        <v>2</v>
      </c>
      <c r="E20" s="30">
        <v>2777.5</v>
      </c>
      <c r="F20" s="31">
        <f>+G20/E20</f>
        <v>59.741314131413141</v>
      </c>
      <c r="G20" s="50">
        <v>165931.5</v>
      </c>
      <c r="H20" s="65">
        <v>120</v>
      </c>
    </row>
    <row r="21" spans="1:8" ht="15" customHeight="1" x14ac:dyDescent="0.25">
      <c r="A21" s="44" t="s">
        <v>75</v>
      </c>
      <c r="B21" s="61" t="s">
        <v>113</v>
      </c>
      <c r="C21" s="27" t="s">
        <v>9</v>
      </c>
      <c r="D21" s="28" t="s">
        <v>3</v>
      </c>
      <c r="E21" s="30">
        <v>17600</v>
      </c>
      <c r="F21" s="31">
        <f>+G21/E21</f>
        <v>3</v>
      </c>
      <c r="G21" s="50">
        <v>52800</v>
      </c>
      <c r="H21" s="65">
        <v>90</v>
      </c>
    </row>
    <row r="22" spans="1:8" ht="15" customHeight="1" x14ac:dyDescent="0.3">
      <c r="A22" s="39" t="s">
        <v>30</v>
      </c>
      <c r="B22" s="60"/>
      <c r="C22" s="40" t="s">
        <v>31</v>
      </c>
      <c r="D22" s="41"/>
      <c r="E22" s="42"/>
      <c r="F22" s="43"/>
      <c r="G22" s="51"/>
      <c r="H22" s="67"/>
    </row>
    <row r="23" spans="1:8" ht="15" customHeight="1" x14ac:dyDescent="0.25">
      <c r="A23" s="26" t="s">
        <v>76</v>
      </c>
      <c r="B23" s="59" t="s">
        <v>114</v>
      </c>
      <c r="C23" s="27" t="s">
        <v>16</v>
      </c>
      <c r="D23" s="28" t="s">
        <v>121</v>
      </c>
      <c r="E23" s="30">
        <v>1560</v>
      </c>
      <c r="F23" s="31">
        <f>+G23/E23</f>
        <v>7.2516025641025639</v>
      </c>
      <c r="G23" s="50">
        <v>11312.5</v>
      </c>
      <c r="H23" s="65">
        <v>90</v>
      </c>
    </row>
    <row r="24" spans="1:8" ht="15" customHeight="1" x14ac:dyDescent="0.25">
      <c r="A24" s="26" t="s">
        <v>77</v>
      </c>
      <c r="B24" s="59" t="s">
        <v>114</v>
      </c>
      <c r="C24" s="27" t="s">
        <v>15</v>
      </c>
      <c r="D24" s="28" t="s">
        <v>123</v>
      </c>
      <c r="E24" s="30">
        <v>67</v>
      </c>
      <c r="F24" s="31">
        <f>+G24/E24</f>
        <v>283.50746268656718</v>
      </c>
      <c r="G24" s="50">
        <v>18995</v>
      </c>
      <c r="H24" s="65">
        <v>60</v>
      </c>
    </row>
    <row r="25" spans="1:8" ht="15" customHeight="1" x14ac:dyDescent="0.3">
      <c r="A25" s="39" t="s">
        <v>32</v>
      </c>
      <c r="B25" s="60"/>
      <c r="C25" s="40" t="s">
        <v>33</v>
      </c>
      <c r="D25" s="41"/>
      <c r="E25" s="42"/>
      <c r="F25" s="43"/>
      <c r="G25" s="51"/>
      <c r="H25" s="67"/>
    </row>
    <row r="26" spans="1:8" ht="15" customHeight="1" x14ac:dyDescent="0.25">
      <c r="A26" s="44" t="s">
        <v>78</v>
      </c>
      <c r="B26" s="61" t="s">
        <v>115</v>
      </c>
      <c r="C26" s="27" t="s">
        <v>10</v>
      </c>
      <c r="D26" s="28" t="s">
        <v>121</v>
      </c>
      <c r="E26" s="30">
        <v>2900</v>
      </c>
      <c r="F26" s="31">
        <f>+G26/E26</f>
        <v>3</v>
      </c>
      <c r="G26" s="50">
        <v>8700</v>
      </c>
      <c r="H26" s="65">
        <v>45</v>
      </c>
    </row>
    <row r="27" spans="1:8" ht="15" customHeight="1" x14ac:dyDescent="0.25">
      <c r="A27" s="26" t="s">
        <v>79</v>
      </c>
      <c r="B27" s="59" t="s">
        <v>115</v>
      </c>
      <c r="C27" s="27" t="s">
        <v>12</v>
      </c>
      <c r="D27" s="28" t="s">
        <v>121</v>
      </c>
      <c r="E27" s="30">
        <v>139835</v>
      </c>
      <c r="F27" s="31">
        <f>+G27/E27</f>
        <v>0.45875674902563734</v>
      </c>
      <c r="G27" s="50">
        <v>64150.25</v>
      </c>
      <c r="H27" s="65">
        <v>45</v>
      </c>
    </row>
    <row r="28" spans="1:8" ht="15" customHeight="1" x14ac:dyDescent="0.25">
      <c r="A28" s="26" t="s">
        <v>80</v>
      </c>
      <c r="B28" s="59" t="s">
        <v>115</v>
      </c>
      <c r="C28" s="27" t="s">
        <v>11</v>
      </c>
      <c r="D28" s="28" t="s">
        <v>123</v>
      </c>
      <c r="E28" s="30">
        <v>1673</v>
      </c>
      <c r="F28" s="31">
        <f>+G28/E28</f>
        <v>6.8870292887029292</v>
      </c>
      <c r="G28" s="50">
        <v>11522</v>
      </c>
      <c r="H28" s="65">
        <v>60</v>
      </c>
    </row>
    <row r="29" spans="1:8" ht="15" customHeight="1" x14ac:dyDescent="0.25">
      <c r="A29" s="26" t="s">
        <v>81</v>
      </c>
      <c r="B29" s="59" t="s">
        <v>115</v>
      </c>
      <c r="C29" s="27" t="s">
        <v>13</v>
      </c>
      <c r="D29" s="28" t="s">
        <v>123</v>
      </c>
      <c r="E29" s="30">
        <v>200</v>
      </c>
      <c r="F29" s="31">
        <f>+G29/E29</f>
        <v>32.200000000000003</v>
      </c>
      <c r="G29" s="50">
        <v>6440</v>
      </c>
      <c r="H29" s="65">
        <v>60</v>
      </c>
    </row>
    <row r="30" spans="1:8" ht="15" customHeight="1" x14ac:dyDescent="0.3">
      <c r="A30" s="26"/>
      <c r="B30" s="59"/>
      <c r="C30" s="33" t="s">
        <v>53</v>
      </c>
      <c r="D30" s="28"/>
      <c r="E30" s="29"/>
      <c r="F30" s="31"/>
      <c r="G30" s="36">
        <f>SUM(G15:G29)</f>
        <v>494348.05</v>
      </c>
      <c r="H30" s="66"/>
    </row>
    <row r="31" spans="1:8" s="25" customFormat="1" ht="15" customHeight="1" x14ac:dyDescent="0.3">
      <c r="A31" s="21" t="s">
        <v>34</v>
      </c>
      <c r="B31" s="58"/>
      <c r="C31" s="22" t="s">
        <v>50</v>
      </c>
      <c r="D31" s="23"/>
      <c r="E31" s="24"/>
      <c r="F31" s="38"/>
      <c r="G31" s="24"/>
      <c r="H31" s="64"/>
    </row>
    <row r="32" spans="1:8" ht="15" customHeight="1" x14ac:dyDescent="0.3">
      <c r="A32" s="39" t="s">
        <v>35</v>
      </c>
      <c r="B32" s="60"/>
      <c r="C32" s="40" t="s">
        <v>27</v>
      </c>
      <c r="D32" s="41"/>
      <c r="E32" s="42"/>
      <c r="F32" s="43"/>
      <c r="G32" s="42"/>
      <c r="H32" s="67"/>
    </row>
    <row r="33" spans="1:8" ht="15" customHeight="1" x14ac:dyDescent="0.25">
      <c r="A33" s="26" t="s">
        <v>82</v>
      </c>
      <c r="B33" s="59" t="s">
        <v>104</v>
      </c>
      <c r="C33" s="27" t="s">
        <v>39</v>
      </c>
      <c r="D33" s="28" t="s">
        <v>1</v>
      </c>
      <c r="E33" s="29">
        <v>1468</v>
      </c>
      <c r="F33" s="31">
        <v>0.04</v>
      </c>
      <c r="G33" s="32">
        <f>+E33*F33</f>
        <v>58.72</v>
      </c>
      <c r="H33" s="65">
        <v>5</v>
      </c>
    </row>
    <row r="34" spans="1:8" ht="15" customHeight="1" x14ac:dyDescent="0.25">
      <c r="A34" s="26" t="s">
        <v>83</v>
      </c>
      <c r="B34" s="59" t="s">
        <v>104</v>
      </c>
      <c r="C34" s="27" t="s">
        <v>4</v>
      </c>
      <c r="D34" s="28" t="s">
        <v>1</v>
      </c>
      <c r="E34" s="30">
        <v>440</v>
      </c>
      <c r="F34" s="31">
        <v>0.06</v>
      </c>
      <c r="G34" s="50">
        <f>+E34*F34</f>
        <v>26.4</v>
      </c>
      <c r="H34" s="65">
        <v>5</v>
      </c>
    </row>
    <row r="35" spans="1:8" ht="15" customHeight="1" x14ac:dyDescent="0.25">
      <c r="A35" s="26" t="s">
        <v>84</v>
      </c>
      <c r="B35" s="59" t="s">
        <v>104</v>
      </c>
      <c r="C35" s="27" t="s">
        <v>7</v>
      </c>
      <c r="D35" s="28" t="s">
        <v>1</v>
      </c>
      <c r="E35" s="30">
        <v>112</v>
      </c>
      <c r="F35" s="31">
        <f>+G35/E35</f>
        <v>28</v>
      </c>
      <c r="G35" s="32">
        <v>3136</v>
      </c>
      <c r="H35" s="65">
        <v>10</v>
      </c>
    </row>
    <row r="36" spans="1:8" ht="15" customHeight="1" x14ac:dyDescent="0.25">
      <c r="A36" s="26" t="s">
        <v>85</v>
      </c>
      <c r="B36" s="59" t="s">
        <v>104</v>
      </c>
      <c r="C36" s="27" t="s">
        <v>45</v>
      </c>
      <c r="D36" s="28" t="s">
        <v>1</v>
      </c>
      <c r="E36" s="30">
        <v>678</v>
      </c>
      <c r="F36" s="31">
        <f>+G36/E36</f>
        <v>17.300884955752213</v>
      </c>
      <c r="G36" s="32">
        <v>11730</v>
      </c>
      <c r="H36" s="65">
        <v>15</v>
      </c>
    </row>
    <row r="37" spans="1:8" ht="15" customHeight="1" x14ac:dyDescent="0.25">
      <c r="A37" s="26" t="s">
        <v>86</v>
      </c>
      <c r="B37" s="59" t="s">
        <v>104</v>
      </c>
      <c r="C37" s="27" t="s">
        <v>46</v>
      </c>
      <c r="D37" s="28" t="s">
        <v>1</v>
      </c>
      <c r="E37" s="30">
        <v>225</v>
      </c>
      <c r="F37" s="31">
        <f>+G37/E37</f>
        <v>23.555555555555557</v>
      </c>
      <c r="G37" s="32">
        <v>5300</v>
      </c>
      <c r="H37" s="65">
        <v>5</v>
      </c>
    </row>
    <row r="38" spans="1:8" ht="15" customHeight="1" x14ac:dyDescent="0.3">
      <c r="A38" s="39" t="s">
        <v>36</v>
      </c>
      <c r="B38" s="60"/>
      <c r="C38" s="40" t="s">
        <v>29</v>
      </c>
      <c r="D38" s="41"/>
      <c r="E38" s="42"/>
      <c r="F38" s="43"/>
      <c r="G38" s="42"/>
      <c r="H38" s="67"/>
    </row>
    <row r="39" spans="1:8" ht="15" customHeight="1" x14ac:dyDescent="0.25">
      <c r="A39" s="26" t="s">
        <v>87</v>
      </c>
      <c r="B39" s="59" t="s">
        <v>105</v>
      </c>
      <c r="C39" s="27" t="s">
        <v>8</v>
      </c>
      <c r="D39" s="28" t="s">
        <v>2</v>
      </c>
      <c r="E39" s="30">
        <v>207.5</v>
      </c>
      <c r="F39" s="31">
        <f>+G39/E39</f>
        <v>70.380722891566265</v>
      </c>
      <c r="G39" s="32">
        <v>14604</v>
      </c>
      <c r="H39" s="65">
        <v>20</v>
      </c>
    </row>
    <row r="40" spans="1:8" ht="15" customHeight="1" x14ac:dyDescent="0.25">
      <c r="A40" s="26" t="s">
        <v>88</v>
      </c>
      <c r="B40" s="59" t="s">
        <v>105</v>
      </c>
      <c r="C40" s="27" t="s">
        <v>9</v>
      </c>
      <c r="D40" s="28" t="s">
        <v>3</v>
      </c>
      <c r="E40" s="30">
        <v>3750</v>
      </c>
      <c r="F40" s="31">
        <f>+G40/E40</f>
        <v>3</v>
      </c>
      <c r="G40" s="32">
        <v>11250</v>
      </c>
      <c r="H40" s="65">
        <v>20</v>
      </c>
    </row>
    <row r="41" spans="1:8" ht="15" customHeight="1" x14ac:dyDescent="0.3">
      <c r="A41" s="39" t="s">
        <v>37</v>
      </c>
      <c r="B41" s="60"/>
      <c r="C41" s="40" t="s">
        <v>31</v>
      </c>
      <c r="D41" s="41"/>
      <c r="E41" s="42"/>
      <c r="F41" s="43"/>
      <c r="G41" s="42"/>
      <c r="H41" s="67"/>
    </row>
    <row r="42" spans="1:8" ht="15" customHeight="1" x14ac:dyDescent="0.25">
      <c r="A42" s="26" t="s">
        <v>89</v>
      </c>
      <c r="B42" s="59" t="s">
        <v>106</v>
      </c>
      <c r="C42" s="27" t="s">
        <v>16</v>
      </c>
      <c r="D42" s="28" t="s">
        <v>121</v>
      </c>
      <c r="E42" s="30">
        <v>559</v>
      </c>
      <c r="F42" s="31">
        <f>+G42/E42</f>
        <v>5.2289803220035775</v>
      </c>
      <c r="G42" s="32">
        <v>2923</v>
      </c>
      <c r="H42" s="65">
        <v>40</v>
      </c>
    </row>
    <row r="43" spans="1:8" ht="15" customHeight="1" x14ac:dyDescent="0.25">
      <c r="A43" s="26" t="s">
        <v>90</v>
      </c>
      <c r="B43" s="59" t="s">
        <v>106</v>
      </c>
      <c r="C43" s="27" t="s">
        <v>14</v>
      </c>
      <c r="D43" s="28" t="s">
        <v>6</v>
      </c>
      <c r="E43" s="30">
        <v>72</v>
      </c>
      <c r="F43" s="31">
        <f>+G43/E43</f>
        <v>140</v>
      </c>
      <c r="G43" s="32">
        <v>10080</v>
      </c>
      <c r="H43" s="65">
        <v>120</v>
      </c>
    </row>
    <row r="44" spans="1:8" ht="15" customHeight="1" x14ac:dyDescent="0.25">
      <c r="A44" s="26" t="s">
        <v>91</v>
      </c>
      <c r="B44" s="59" t="s">
        <v>106</v>
      </c>
      <c r="C44" s="27" t="s">
        <v>15</v>
      </c>
      <c r="D44" s="28" t="s">
        <v>123</v>
      </c>
      <c r="E44" s="30">
        <v>77</v>
      </c>
      <c r="F44" s="31">
        <f>+G44/E44</f>
        <v>50.064935064935064</v>
      </c>
      <c r="G44" s="32">
        <v>3855</v>
      </c>
      <c r="H44" s="65">
        <v>120</v>
      </c>
    </row>
    <row r="45" spans="1:8" ht="15" customHeight="1" x14ac:dyDescent="0.3">
      <c r="A45" s="39" t="s">
        <v>38</v>
      </c>
      <c r="B45" s="60"/>
      <c r="C45" s="40" t="s">
        <v>33</v>
      </c>
      <c r="D45" s="41"/>
      <c r="E45" s="42"/>
      <c r="F45" s="43"/>
      <c r="G45" s="42"/>
      <c r="H45" s="67"/>
    </row>
    <row r="46" spans="1:8" ht="15" customHeight="1" x14ac:dyDescent="0.25">
      <c r="A46" s="26" t="s">
        <v>92</v>
      </c>
      <c r="B46" s="59" t="s">
        <v>107</v>
      </c>
      <c r="C46" s="27" t="s">
        <v>10</v>
      </c>
      <c r="D46" s="28" t="s">
        <v>121</v>
      </c>
      <c r="E46" s="30">
        <v>530</v>
      </c>
      <c r="F46" s="31">
        <f>+G46/E46</f>
        <v>3</v>
      </c>
      <c r="G46" s="32">
        <v>1590</v>
      </c>
      <c r="H46" s="65">
        <v>20</v>
      </c>
    </row>
    <row r="47" spans="1:8" ht="15" customHeight="1" x14ac:dyDescent="0.25">
      <c r="A47" s="26" t="s">
        <v>93</v>
      </c>
      <c r="B47" s="59" t="s">
        <v>107</v>
      </c>
      <c r="C47" s="27" t="s">
        <v>12</v>
      </c>
      <c r="D47" s="28" t="s">
        <v>121</v>
      </c>
      <c r="E47" s="30">
        <v>14100</v>
      </c>
      <c r="F47" s="31">
        <f>+G47/E47</f>
        <v>0.4068617021276596</v>
      </c>
      <c r="G47" s="32">
        <v>5736.75</v>
      </c>
      <c r="H47" s="65">
        <v>15</v>
      </c>
    </row>
    <row r="48" spans="1:8" ht="15" customHeight="1" x14ac:dyDescent="0.25">
      <c r="A48" s="26" t="s">
        <v>94</v>
      </c>
      <c r="B48" s="59" t="s">
        <v>107</v>
      </c>
      <c r="C48" s="27" t="s">
        <v>13</v>
      </c>
      <c r="D48" s="28" t="s">
        <v>123</v>
      </c>
      <c r="E48" s="30">
        <v>49</v>
      </c>
      <c r="F48" s="31">
        <f>+G48/E48</f>
        <v>27.673469387755102</v>
      </c>
      <c r="G48" s="32">
        <v>1356</v>
      </c>
      <c r="H48" s="65">
        <v>15</v>
      </c>
    </row>
    <row r="49" spans="1:8" ht="15" customHeight="1" x14ac:dyDescent="0.25">
      <c r="A49" s="26" t="s">
        <v>95</v>
      </c>
      <c r="B49" s="59" t="s">
        <v>107</v>
      </c>
      <c r="C49" s="27" t="s">
        <v>11</v>
      </c>
      <c r="D49" s="28" t="s">
        <v>123</v>
      </c>
      <c r="E49" s="30">
        <v>120</v>
      </c>
      <c r="F49" s="31">
        <f>+G49/E49</f>
        <v>12.55</v>
      </c>
      <c r="G49" s="32">
        <v>1506</v>
      </c>
      <c r="H49" s="65">
        <v>25</v>
      </c>
    </row>
    <row r="50" spans="1:8" ht="15" customHeight="1" x14ac:dyDescent="0.3">
      <c r="A50" s="26"/>
      <c r="B50" s="59"/>
      <c r="C50" s="33" t="s">
        <v>54</v>
      </c>
      <c r="D50" s="28"/>
      <c r="E50" s="29"/>
      <c r="F50" s="31"/>
      <c r="G50" s="36">
        <f>SUM(G33:G49)</f>
        <v>73151.87</v>
      </c>
      <c r="H50" s="68"/>
    </row>
    <row r="51" spans="1:8" s="25" customFormat="1" ht="15" customHeight="1" x14ac:dyDescent="0.3">
      <c r="A51" s="21" t="s">
        <v>116</v>
      </c>
      <c r="B51" s="58"/>
      <c r="C51" s="22" t="s">
        <v>51</v>
      </c>
      <c r="D51" s="23"/>
      <c r="E51" s="24"/>
      <c r="F51" s="38"/>
      <c r="G51" s="24"/>
      <c r="H51" s="64"/>
    </row>
    <row r="52" spans="1:8" ht="15" customHeight="1" x14ac:dyDescent="0.3">
      <c r="A52" s="39" t="s">
        <v>117</v>
      </c>
      <c r="B52" s="60"/>
      <c r="C52" s="40" t="s">
        <v>27</v>
      </c>
      <c r="D52" s="41"/>
      <c r="E52" s="42"/>
      <c r="F52" s="43"/>
      <c r="G52" s="42"/>
      <c r="H52" s="67"/>
    </row>
    <row r="53" spans="1:8" ht="15" customHeight="1" x14ac:dyDescent="0.25">
      <c r="A53" s="26" t="s">
        <v>96</v>
      </c>
      <c r="B53" s="59" t="s">
        <v>108</v>
      </c>
      <c r="C53" s="27" t="s">
        <v>39</v>
      </c>
      <c r="D53" s="28" t="s">
        <v>1</v>
      </c>
      <c r="E53" s="30">
        <v>13069</v>
      </c>
      <c r="F53" s="31">
        <v>0.04</v>
      </c>
      <c r="G53" s="32">
        <f>+E53*F53</f>
        <v>522.76</v>
      </c>
      <c r="H53" s="65">
        <v>10</v>
      </c>
    </row>
    <row r="54" spans="1:8" ht="15" customHeight="1" x14ac:dyDescent="0.25">
      <c r="A54" s="26" t="s">
        <v>97</v>
      </c>
      <c r="B54" s="59" t="s">
        <v>108</v>
      </c>
      <c r="C54" s="27" t="s">
        <v>4</v>
      </c>
      <c r="D54" s="28" t="s">
        <v>1</v>
      </c>
      <c r="E54" s="30">
        <v>60000</v>
      </c>
      <c r="F54" s="31">
        <v>0.06</v>
      </c>
      <c r="G54" s="50">
        <f>+E54*F54</f>
        <v>3600</v>
      </c>
      <c r="H54" s="65">
        <v>5</v>
      </c>
    </row>
    <row r="55" spans="1:8" ht="15" customHeight="1" x14ac:dyDescent="0.25">
      <c r="A55" s="26" t="s">
        <v>102</v>
      </c>
      <c r="B55" s="59" t="s">
        <v>108</v>
      </c>
      <c r="C55" s="27" t="s">
        <v>45</v>
      </c>
      <c r="D55" s="28" t="s">
        <v>1</v>
      </c>
      <c r="E55" s="30">
        <v>678</v>
      </c>
      <c r="F55" s="31">
        <f>+G55/E55</f>
        <v>17.300884955752213</v>
      </c>
      <c r="G55" s="32">
        <v>11730</v>
      </c>
      <c r="H55" s="65">
        <v>15</v>
      </c>
    </row>
    <row r="56" spans="1:8" ht="15" customHeight="1" x14ac:dyDescent="0.3">
      <c r="A56" s="39" t="s">
        <v>118</v>
      </c>
      <c r="B56" s="60"/>
      <c r="C56" s="40" t="s">
        <v>31</v>
      </c>
      <c r="D56" s="41"/>
      <c r="E56" s="42"/>
      <c r="F56" s="43"/>
      <c r="G56" s="42"/>
      <c r="H56" s="67"/>
    </row>
    <row r="57" spans="1:8" ht="15" customHeight="1" x14ac:dyDescent="0.25">
      <c r="A57" s="26" t="s">
        <v>98</v>
      </c>
      <c r="B57" s="59" t="s">
        <v>109</v>
      </c>
      <c r="C57" s="27" t="s">
        <v>16</v>
      </c>
      <c r="D57" s="28" t="s">
        <v>121</v>
      </c>
      <c r="E57" s="30">
        <v>194</v>
      </c>
      <c r="F57" s="31">
        <f>+G57/E57</f>
        <v>16.34922680412371</v>
      </c>
      <c r="G57" s="52">
        <v>3171.75</v>
      </c>
      <c r="H57" s="65">
        <v>15</v>
      </c>
    </row>
    <row r="58" spans="1:8" ht="15" customHeight="1" x14ac:dyDescent="0.3">
      <c r="A58" s="39" t="s">
        <v>119</v>
      </c>
      <c r="B58" s="60"/>
      <c r="C58" s="40" t="s">
        <v>33</v>
      </c>
      <c r="D58" s="41"/>
      <c r="E58" s="42"/>
      <c r="F58" s="43"/>
      <c r="G58" s="42"/>
      <c r="H58" s="67"/>
    </row>
    <row r="59" spans="1:8" ht="15" customHeight="1" x14ac:dyDescent="0.25">
      <c r="A59" s="26" t="s">
        <v>99</v>
      </c>
      <c r="B59" s="59" t="s">
        <v>110</v>
      </c>
      <c r="C59" s="27" t="s">
        <v>12</v>
      </c>
      <c r="D59" s="28" t="s">
        <v>121</v>
      </c>
      <c r="E59" s="30">
        <v>12100</v>
      </c>
      <c r="F59" s="31">
        <f>+G59/E59</f>
        <v>0.30752066115702481</v>
      </c>
      <c r="G59" s="52">
        <v>3721</v>
      </c>
      <c r="H59" s="65">
        <v>15</v>
      </c>
    </row>
    <row r="60" spans="1:8" ht="15" customHeight="1" x14ac:dyDescent="0.25">
      <c r="A60" s="26" t="s">
        <v>100</v>
      </c>
      <c r="B60" s="59" t="s">
        <v>110</v>
      </c>
      <c r="C60" s="27" t="s">
        <v>13</v>
      </c>
      <c r="D60" s="28" t="s">
        <v>123</v>
      </c>
      <c r="E60" s="30">
        <v>8</v>
      </c>
      <c r="F60" s="31">
        <f>+G60/E60</f>
        <v>30.3125</v>
      </c>
      <c r="G60" s="52">
        <v>242.5</v>
      </c>
      <c r="H60" s="65">
        <v>15</v>
      </c>
    </row>
    <row r="61" spans="1:8" ht="15" customHeight="1" x14ac:dyDescent="0.25">
      <c r="A61" s="26" t="s">
        <v>101</v>
      </c>
      <c r="B61" s="59" t="s">
        <v>110</v>
      </c>
      <c r="C61" s="27" t="s">
        <v>11</v>
      </c>
      <c r="D61" s="28" t="s">
        <v>123</v>
      </c>
      <c r="E61" s="30">
        <v>147</v>
      </c>
      <c r="F61" s="31">
        <f>+G61/E61</f>
        <v>5.8571428571428568</v>
      </c>
      <c r="G61" s="52">
        <v>861</v>
      </c>
      <c r="H61" s="65">
        <v>30</v>
      </c>
    </row>
    <row r="62" spans="1:8" ht="15" customHeight="1" x14ac:dyDescent="0.3">
      <c r="A62" s="26"/>
      <c r="B62" s="59"/>
      <c r="C62" s="33" t="s">
        <v>55</v>
      </c>
      <c r="D62" s="28"/>
      <c r="E62" s="29"/>
      <c r="F62" s="31"/>
      <c r="G62" s="36">
        <f>SUM(G53:G61)</f>
        <v>23849.010000000002</v>
      </c>
      <c r="H62" s="68"/>
    </row>
    <row r="63" spans="1:8" ht="16.5" customHeight="1" x14ac:dyDescent="0.3">
      <c r="A63" s="45"/>
      <c r="B63" s="62"/>
      <c r="C63" s="46"/>
      <c r="D63" s="47"/>
      <c r="E63" s="48"/>
      <c r="F63" s="48"/>
      <c r="G63" s="49">
        <f>+G50+G30+G12+G62</f>
        <v>597737.23</v>
      </c>
      <c r="H63" s="69"/>
    </row>
  </sheetData>
  <autoFilter ref="A7:H63" xr:uid="{B6662631-B46C-4EB0-A192-25144A072028}"/>
  <mergeCells count="2">
    <mergeCell ref="A3:G3"/>
    <mergeCell ref="A5:G5"/>
  </mergeCells>
  <phoneticPr fontId="20" type="noConversion"/>
  <printOptions horizontalCentered="1"/>
  <pageMargins left="0.27" right="0.25" top="0.47" bottom="0.36" header="0.44" footer="0.17"/>
  <pageSetup scale="78" fitToHeight="0" orientation="portrait" r:id="rId1"/>
  <headerFooter alignWithMargins="0">
    <oddFooter>&amp;L&amp;8&amp;F / &amp;A&amp;C&amp;8Pag &amp;P de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13D2-751D-4754-8107-9C35A1D84DAD}">
  <dimension ref="D29:F38"/>
  <sheetViews>
    <sheetView showGridLines="0" topLeftCell="A10" zoomScale="72" zoomScaleNormal="70" workbookViewId="0">
      <selection activeCell="D31" sqref="D31:F33"/>
    </sheetView>
  </sheetViews>
  <sheetFormatPr baseColWidth="10" defaultColWidth="8.7265625" defaultRowHeight="12.5" x14ac:dyDescent="0.25"/>
  <cols>
    <col min="1" max="4" width="8.7265625" style="53"/>
    <col min="5" max="5" width="15.36328125" style="53" bestFit="1" customWidth="1"/>
    <col min="6" max="9" width="8.7265625" style="53"/>
    <col min="10" max="12" width="9.26953125" style="53" customWidth="1"/>
    <col min="13" max="25" width="8.7265625" style="53"/>
    <col min="26" max="26" width="19.90625" style="53" bestFit="1" customWidth="1"/>
    <col min="27" max="16384" width="8.7265625" style="53"/>
  </cols>
  <sheetData>
    <row r="29" spans="4:6" ht="13" x14ac:dyDescent="0.3">
      <c r="D29" s="70" t="s">
        <v>47</v>
      </c>
      <c r="E29" s="70"/>
      <c r="F29" s="70"/>
    </row>
    <row r="30" spans="4:6" ht="13" x14ac:dyDescent="0.3">
      <c r="D30" s="71" t="s">
        <v>58</v>
      </c>
      <c r="E30" s="71" t="s">
        <v>56</v>
      </c>
      <c r="F30" s="71" t="s">
        <v>57</v>
      </c>
    </row>
    <row r="31" spans="4:6" ht="13" x14ac:dyDescent="0.3">
      <c r="D31" s="72" t="s">
        <v>124</v>
      </c>
      <c r="E31" s="72" t="s">
        <v>5</v>
      </c>
      <c r="F31" s="73" t="s">
        <v>1</v>
      </c>
    </row>
    <row r="32" spans="4:6" ht="13" x14ac:dyDescent="0.3">
      <c r="D32" s="72" t="s">
        <v>59</v>
      </c>
      <c r="E32" s="72" t="s">
        <v>4</v>
      </c>
      <c r="F32" s="73" t="s">
        <v>1</v>
      </c>
    </row>
    <row r="33" spans="4:6" ht="13" x14ac:dyDescent="0.3">
      <c r="D33" s="72" t="s">
        <v>60</v>
      </c>
      <c r="E33" s="72" t="s">
        <v>48</v>
      </c>
      <c r="F33" s="73" t="s">
        <v>1</v>
      </c>
    </row>
    <row r="34" spans="4:6" ht="13" x14ac:dyDescent="0.3">
      <c r="D34" s="72" t="s">
        <v>61</v>
      </c>
      <c r="E34" s="72" t="s">
        <v>15</v>
      </c>
      <c r="F34" s="73" t="s">
        <v>120</v>
      </c>
    </row>
    <row r="35" spans="4:6" ht="13" x14ac:dyDescent="0.3">
      <c r="D35" s="72" t="s">
        <v>62</v>
      </c>
      <c r="E35" s="72" t="s">
        <v>29</v>
      </c>
      <c r="F35" s="73" t="s">
        <v>2</v>
      </c>
    </row>
    <row r="36" spans="4:6" ht="13" x14ac:dyDescent="0.3">
      <c r="D36" s="72" t="s">
        <v>63</v>
      </c>
      <c r="E36" s="72" t="s">
        <v>12</v>
      </c>
      <c r="F36" s="73" t="s">
        <v>121</v>
      </c>
    </row>
    <row r="37" spans="4:6" ht="13" x14ac:dyDescent="0.3">
      <c r="D37" s="72" t="s">
        <v>64</v>
      </c>
      <c r="E37" s="72" t="s">
        <v>13</v>
      </c>
      <c r="F37" s="73" t="s">
        <v>120</v>
      </c>
    </row>
    <row r="38" spans="4:6" ht="13" x14ac:dyDescent="0.3">
      <c r="D38" s="72" t="s">
        <v>65</v>
      </c>
      <c r="E38" s="72" t="s">
        <v>11</v>
      </c>
      <c r="F38" s="73" t="s">
        <v>120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1BE4-B343-4639-9787-92E72D2C36A0}">
  <dimension ref="A1:AH13"/>
  <sheetViews>
    <sheetView topLeftCell="T1" workbookViewId="0">
      <selection activeCell="A8" sqref="A8:AH9"/>
    </sheetView>
  </sheetViews>
  <sheetFormatPr baseColWidth="10" defaultRowHeight="14.5" x14ac:dyDescent="0.35"/>
  <cols>
    <col min="2" max="2" width="45.7265625" customWidth="1"/>
  </cols>
  <sheetData>
    <row r="1" spans="1:34" x14ac:dyDescent="0.3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s="79">
        <v>45078</v>
      </c>
      <c r="J1" s="79">
        <v>45108</v>
      </c>
      <c r="K1" t="s">
        <v>133</v>
      </c>
      <c r="L1" t="s">
        <v>134</v>
      </c>
      <c r="M1" s="79">
        <v>45200</v>
      </c>
      <c r="N1" s="79">
        <v>45231</v>
      </c>
      <c r="O1" t="s">
        <v>135</v>
      </c>
      <c r="P1" t="s">
        <v>136</v>
      </c>
      <c r="Q1" s="79">
        <v>45323</v>
      </c>
      <c r="R1" s="79">
        <v>45352</v>
      </c>
      <c r="S1" t="s">
        <v>137</v>
      </c>
      <c r="T1" s="79">
        <v>45413</v>
      </c>
      <c r="U1" s="79">
        <v>45444</v>
      </c>
      <c r="V1" s="79">
        <v>45474</v>
      </c>
      <c r="W1" t="s">
        <v>138</v>
      </c>
      <c r="X1" t="s">
        <v>139</v>
      </c>
      <c r="Y1" s="79">
        <v>45566</v>
      </c>
      <c r="Z1" s="79">
        <v>45597</v>
      </c>
      <c r="AA1" t="s">
        <v>140</v>
      </c>
      <c r="AB1" t="s">
        <v>141</v>
      </c>
      <c r="AC1" s="79">
        <v>45689</v>
      </c>
      <c r="AD1" s="79">
        <v>45717</v>
      </c>
      <c r="AE1" t="s">
        <v>142</v>
      </c>
      <c r="AF1" s="79">
        <v>45778</v>
      </c>
      <c r="AG1" s="79">
        <v>45809</v>
      </c>
      <c r="AH1" s="79">
        <v>45839</v>
      </c>
    </row>
    <row r="2" spans="1:34" x14ac:dyDescent="0.35">
      <c r="A2" t="s">
        <v>143</v>
      </c>
      <c r="C2" s="79">
        <v>45096</v>
      </c>
      <c r="D2" s="79">
        <v>45865</v>
      </c>
      <c r="E2" t="s">
        <v>144</v>
      </c>
      <c r="F2" t="s">
        <v>144</v>
      </c>
      <c r="G2" t="s">
        <v>144</v>
      </c>
      <c r="H2" t="s">
        <v>131</v>
      </c>
      <c r="I2" t="s">
        <v>144</v>
      </c>
      <c r="J2" t="s">
        <v>144</v>
      </c>
      <c r="K2" t="s">
        <v>144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144</v>
      </c>
      <c r="Z2" t="s">
        <v>144</v>
      </c>
      <c r="AA2" t="s">
        <v>144</v>
      </c>
      <c r="AB2" t="s">
        <v>144</v>
      </c>
      <c r="AC2" t="s">
        <v>144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</row>
    <row r="3" spans="1:34" x14ac:dyDescent="0.35">
      <c r="A3" t="s">
        <v>143</v>
      </c>
      <c r="C3" s="79">
        <v>45096</v>
      </c>
      <c r="D3" s="79">
        <v>45865</v>
      </c>
      <c r="E3" t="s">
        <v>144</v>
      </c>
      <c r="F3" t="s">
        <v>144</v>
      </c>
      <c r="G3" t="s">
        <v>144</v>
      </c>
      <c r="H3" t="s">
        <v>145</v>
      </c>
      <c r="I3" t="s">
        <v>144</v>
      </c>
      <c r="J3" t="s">
        <v>144</v>
      </c>
      <c r="K3" t="s">
        <v>144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144</v>
      </c>
      <c r="Z3" t="s">
        <v>144</v>
      </c>
      <c r="AA3" t="s">
        <v>144</v>
      </c>
      <c r="AB3" t="s">
        <v>144</v>
      </c>
      <c r="AC3" t="s">
        <v>144</v>
      </c>
      <c r="AD3" t="s">
        <v>144</v>
      </c>
      <c r="AE3" t="s">
        <v>144</v>
      </c>
      <c r="AF3" t="s">
        <v>144</v>
      </c>
      <c r="AG3" t="s">
        <v>144</v>
      </c>
      <c r="AH3" t="s">
        <v>144</v>
      </c>
    </row>
    <row r="4" spans="1:34" x14ac:dyDescent="0.35">
      <c r="A4" t="s">
        <v>146</v>
      </c>
      <c r="C4" s="79">
        <v>45096</v>
      </c>
      <c r="D4" s="79">
        <v>45865</v>
      </c>
      <c r="E4">
        <v>171884</v>
      </c>
      <c r="F4">
        <v>0</v>
      </c>
      <c r="G4">
        <v>171884</v>
      </c>
      <c r="H4" t="s">
        <v>131</v>
      </c>
      <c r="I4">
        <v>817</v>
      </c>
      <c r="J4">
        <v>2229</v>
      </c>
      <c r="K4">
        <v>3333</v>
      </c>
      <c r="L4">
        <v>5240</v>
      </c>
      <c r="M4">
        <v>5240</v>
      </c>
      <c r="N4">
        <v>5240</v>
      </c>
      <c r="O4">
        <v>5240</v>
      </c>
      <c r="P4">
        <v>3601</v>
      </c>
      <c r="Q4">
        <v>9344</v>
      </c>
      <c r="R4">
        <v>25047</v>
      </c>
      <c r="S4">
        <v>23864</v>
      </c>
      <c r="T4">
        <v>24529</v>
      </c>
      <c r="U4">
        <v>23626</v>
      </c>
      <c r="V4">
        <v>24414</v>
      </c>
      <c r="W4">
        <v>1388</v>
      </c>
      <c r="X4">
        <v>600</v>
      </c>
      <c r="Y4">
        <v>620</v>
      </c>
      <c r="Z4">
        <v>620</v>
      </c>
      <c r="AA4">
        <v>1240</v>
      </c>
      <c r="AB4">
        <v>1110</v>
      </c>
      <c r="AC4">
        <v>830</v>
      </c>
      <c r="AD4">
        <v>620</v>
      </c>
      <c r="AE4">
        <v>580</v>
      </c>
      <c r="AF4">
        <v>310</v>
      </c>
      <c r="AG4">
        <v>463</v>
      </c>
      <c r="AH4">
        <v>1737</v>
      </c>
    </row>
    <row r="5" spans="1:34" x14ac:dyDescent="0.35">
      <c r="A5" t="s">
        <v>146</v>
      </c>
      <c r="C5" s="79">
        <v>45096</v>
      </c>
      <c r="D5" s="79">
        <v>45865</v>
      </c>
      <c r="E5">
        <v>171884</v>
      </c>
      <c r="F5">
        <v>0</v>
      </c>
      <c r="G5">
        <v>171884</v>
      </c>
      <c r="H5" t="s">
        <v>145</v>
      </c>
      <c r="I5">
        <v>817</v>
      </c>
      <c r="J5">
        <v>3047</v>
      </c>
      <c r="K5">
        <v>6380</v>
      </c>
      <c r="L5">
        <v>11620</v>
      </c>
      <c r="M5">
        <v>16861</v>
      </c>
      <c r="N5">
        <v>22101</v>
      </c>
      <c r="O5">
        <v>27341</v>
      </c>
      <c r="P5">
        <v>30943</v>
      </c>
      <c r="Q5">
        <v>40287</v>
      </c>
      <c r="R5">
        <v>65334</v>
      </c>
      <c r="S5">
        <v>89198</v>
      </c>
      <c r="T5">
        <v>113727</v>
      </c>
      <c r="U5">
        <v>137353</v>
      </c>
      <c r="V5">
        <v>161767</v>
      </c>
      <c r="W5">
        <v>163154</v>
      </c>
      <c r="X5">
        <v>163754</v>
      </c>
      <c r="Y5">
        <v>164374</v>
      </c>
      <c r="Z5">
        <v>164994</v>
      </c>
      <c r="AA5">
        <v>166234</v>
      </c>
      <c r="AB5">
        <v>167344</v>
      </c>
      <c r="AC5">
        <v>168174</v>
      </c>
      <c r="AD5">
        <v>168794</v>
      </c>
      <c r="AE5">
        <v>169374</v>
      </c>
      <c r="AF5">
        <v>169684</v>
      </c>
      <c r="AG5">
        <v>170147</v>
      </c>
      <c r="AH5">
        <v>171884</v>
      </c>
    </row>
    <row r="6" spans="1:34" x14ac:dyDescent="0.35">
      <c r="A6" t="s">
        <v>147</v>
      </c>
      <c r="C6" t="s">
        <v>148</v>
      </c>
      <c r="D6" t="s">
        <v>138</v>
      </c>
      <c r="E6" t="s">
        <v>144</v>
      </c>
      <c r="F6" t="s">
        <v>144</v>
      </c>
      <c r="G6" t="s">
        <v>144</v>
      </c>
      <c r="H6" t="s">
        <v>131</v>
      </c>
      <c r="K6" t="s">
        <v>144</v>
      </c>
      <c r="L6" t="s">
        <v>144</v>
      </c>
      <c r="M6" t="s">
        <v>144</v>
      </c>
      <c r="N6" t="s">
        <v>144</v>
      </c>
      <c r="O6" t="s">
        <v>144</v>
      </c>
      <c r="P6" t="s">
        <v>144</v>
      </c>
      <c r="Q6" t="s">
        <v>144</v>
      </c>
      <c r="T6" t="s">
        <v>144</v>
      </c>
      <c r="U6" t="s">
        <v>144</v>
      </c>
      <c r="V6" t="s">
        <v>144</v>
      </c>
      <c r="W6" t="s">
        <v>144</v>
      </c>
    </row>
    <row r="7" spans="1:34" x14ac:dyDescent="0.35">
      <c r="A7" t="s">
        <v>147</v>
      </c>
      <c r="C7" t="s">
        <v>148</v>
      </c>
      <c r="D7" t="s">
        <v>138</v>
      </c>
      <c r="E7" t="s">
        <v>144</v>
      </c>
      <c r="F7" t="s">
        <v>144</v>
      </c>
      <c r="G7" t="s">
        <v>144</v>
      </c>
      <c r="H7" t="s">
        <v>145</v>
      </c>
      <c r="K7" t="s">
        <v>144</v>
      </c>
      <c r="L7" t="s">
        <v>144</v>
      </c>
      <c r="M7" t="s">
        <v>144</v>
      </c>
      <c r="N7" t="s">
        <v>144</v>
      </c>
      <c r="O7" t="s">
        <v>144</v>
      </c>
      <c r="P7" t="s">
        <v>144</v>
      </c>
      <c r="Q7" t="s">
        <v>144</v>
      </c>
      <c r="R7" t="s">
        <v>144</v>
      </c>
      <c r="S7" t="s">
        <v>144</v>
      </c>
      <c r="T7" t="s">
        <v>144</v>
      </c>
      <c r="U7" t="s">
        <v>144</v>
      </c>
      <c r="V7" t="s">
        <v>144</v>
      </c>
      <c r="W7" t="s">
        <v>144</v>
      </c>
      <c r="X7" t="s">
        <v>144</v>
      </c>
      <c r="Y7" t="s">
        <v>144</v>
      </c>
      <c r="Z7" t="s">
        <v>144</v>
      </c>
      <c r="AA7" t="s">
        <v>144</v>
      </c>
      <c r="AB7" t="s">
        <v>144</v>
      </c>
      <c r="AC7" t="s">
        <v>144</v>
      </c>
      <c r="AD7" t="s">
        <v>144</v>
      </c>
      <c r="AE7" t="s">
        <v>144</v>
      </c>
      <c r="AF7" t="s">
        <v>144</v>
      </c>
      <c r="AG7" t="s">
        <v>144</v>
      </c>
      <c r="AH7" t="s">
        <v>144</v>
      </c>
    </row>
    <row r="8" spans="1:34" x14ac:dyDescent="0.35">
      <c r="A8" t="s">
        <v>149</v>
      </c>
      <c r="C8" t="s">
        <v>148</v>
      </c>
      <c r="D8" s="79">
        <v>45330</v>
      </c>
      <c r="E8">
        <v>3200</v>
      </c>
      <c r="F8">
        <v>0</v>
      </c>
      <c r="G8">
        <v>3200</v>
      </c>
      <c r="H8" t="s">
        <v>131</v>
      </c>
      <c r="K8">
        <v>220</v>
      </c>
      <c r="L8">
        <v>600</v>
      </c>
      <c r="M8">
        <v>600</v>
      </c>
      <c r="N8">
        <v>600</v>
      </c>
      <c r="O8">
        <v>600</v>
      </c>
      <c r="P8">
        <v>500</v>
      </c>
      <c r="Q8">
        <v>80</v>
      </c>
    </row>
    <row r="9" spans="1:34" x14ac:dyDescent="0.35">
      <c r="A9" t="s">
        <v>149</v>
      </c>
      <c r="C9" t="s">
        <v>148</v>
      </c>
      <c r="D9" s="79">
        <v>45330</v>
      </c>
      <c r="E9">
        <v>3200</v>
      </c>
      <c r="F9">
        <v>0</v>
      </c>
      <c r="G9">
        <v>3200</v>
      </c>
      <c r="H9" t="s">
        <v>145</v>
      </c>
      <c r="K9">
        <v>220</v>
      </c>
      <c r="L9">
        <v>820</v>
      </c>
      <c r="M9">
        <v>1420</v>
      </c>
      <c r="N9">
        <v>2020</v>
      </c>
      <c r="O9">
        <v>2620</v>
      </c>
      <c r="P9">
        <v>3120</v>
      </c>
      <c r="Q9">
        <v>3200</v>
      </c>
      <c r="R9">
        <v>3200</v>
      </c>
      <c r="S9">
        <v>3200</v>
      </c>
      <c r="T9">
        <v>3200</v>
      </c>
      <c r="U9">
        <v>3200</v>
      </c>
      <c r="V9">
        <v>3200</v>
      </c>
      <c r="W9">
        <v>3200</v>
      </c>
      <c r="X9">
        <v>3200</v>
      </c>
      <c r="Y9">
        <v>3200</v>
      </c>
      <c r="Z9">
        <v>3200</v>
      </c>
      <c r="AA9">
        <v>3200</v>
      </c>
      <c r="AB9">
        <v>3200</v>
      </c>
      <c r="AC9">
        <v>3200</v>
      </c>
      <c r="AD9">
        <v>3200</v>
      </c>
      <c r="AE9">
        <v>3200</v>
      </c>
      <c r="AF9">
        <v>3200</v>
      </c>
      <c r="AG9">
        <v>3200</v>
      </c>
      <c r="AH9">
        <v>3200</v>
      </c>
    </row>
    <row r="10" spans="1:34" x14ac:dyDescent="0.35">
      <c r="A10" t="s">
        <v>150</v>
      </c>
      <c r="C10" t="s">
        <v>151</v>
      </c>
      <c r="D10" s="79">
        <v>45340</v>
      </c>
      <c r="E10">
        <v>350</v>
      </c>
      <c r="F10">
        <v>0</v>
      </c>
      <c r="G10">
        <v>350</v>
      </c>
      <c r="H10" t="s">
        <v>131</v>
      </c>
      <c r="P10">
        <v>120</v>
      </c>
      <c r="Q10">
        <v>230</v>
      </c>
    </row>
    <row r="11" spans="1:34" x14ac:dyDescent="0.35">
      <c r="A11" t="s">
        <v>150</v>
      </c>
      <c r="C11" t="s">
        <v>151</v>
      </c>
      <c r="D11" s="79">
        <v>45340</v>
      </c>
      <c r="E11">
        <v>350</v>
      </c>
      <c r="F11">
        <v>0</v>
      </c>
      <c r="G11">
        <v>350</v>
      </c>
      <c r="H11" t="s">
        <v>145</v>
      </c>
      <c r="P11">
        <v>120</v>
      </c>
      <c r="Q11">
        <v>350</v>
      </c>
      <c r="R11">
        <v>350</v>
      </c>
      <c r="S11">
        <v>350</v>
      </c>
      <c r="T11">
        <v>350</v>
      </c>
      <c r="U11">
        <v>350</v>
      </c>
      <c r="V11">
        <v>350</v>
      </c>
      <c r="W11">
        <v>350</v>
      </c>
      <c r="X11">
        <v>350</v>
      </c>
      <c r="Y11">
        <v>350</v>
      </c>
      <c r="Z11">
        <v>350</v>
      </c>
      <c r="AA11">
        <v>350</v>
      </c>
      <c r="AB11">
        <v>350</v>
      </c>
      <c r="AC11">
        <v>350</v>
      </c>
      <c r="AD11">
        <v>350</v>
      </c>
      <c r="AE11">
        <v>350</v>
      </c>
      <c r="AF11">
        <v>350</v>
      </c>
      <c r="AG11">
        <v>350</v>
      </c>
      <c r="AH11">
        <v>350</v>
      </c>
    </row>
    <row r="12" spans="1:34" x14ac:dyDescent="0.35">
      <c r="A12" t="s">
        <v>152</v>
      </c>
      <c r="C12" t="s">
        <v>153</v>
      </c>
      <c r="D12" t="s">
        <v>138</v>
      </c>
      <c r="E12">
        <v>1250</v>
      </c>
      <c r="F12">
        <v>0</v>
      </c>
      <c r="G12">
        <v>1250</v>
      </c>
      <c r="H12" t="s">
        <v>131</v>
      </c>
      <c r="P12">
        <v>20</v>
      </c>
      <c r="Q12">
        <v>330</v>
      </c>
      <c r="T12">
        <v>280</v>
      </c>
      <c r="U12">
        <v>300</v>
      </c>
      <c r="V12">
        <v>310</v>
      </c>
      <c r="W12">
        <v>10</v>
      </c>
    </row>
    <row r="13" spans="1:34" x14ac:dyDescent="0.35">
      <c r="A13" t="s">
        <v>152</v>
      </c>
      <c r="C13" t="s">
        <v>153</v>
      </c>
      <c r="D13" t="s">
        <v>138</v>
      </c>
      <c r="E13">
        <v>1250</v>
      </c>
      <c r="F13">
        <v>0</v>
      </c>
      <c r="G13">
        <v>1250</v>
      </c>
      <c r="H13" t="s">
        <v>145</v>
      </c>
      <c r="P13">
        <v>20</v>
      </c>
      <c r="Q13">
        <v>350</v>
      </c>
      <c r="R13">
        <v>350</v>
      </c>
      <c r="S13">
        <v>350</v>
      </c>
      <c r="T13">
        <v>630</v>
      </c>
      <c r="U13">
        <v>930</v>
      </c>
      <c r="V13">
        <v>1240</v>
      </c>
      <c r="W13">
        <v>1250</v>
      </c>
      <c r="X13">
        <v>1250</v>
      </c>
      <c r="Y13">
        <v>1250</v>
      </c>
      <c r="Z13">
        <v>1250</v>
      </c>
      <c r="AA13">
        <v>1250</v>
      </c>
      <c r="AB13">
        <v>1250</v>
      </c>
      <c r="AC13">
        <v>1250</v>
      </c>
      <c r="AD13">
        <v>1250</v>
      </c>
      <c r="AE13">
        <v>1250</v>
      </c>
      <c r="AF13">
        <v>1250</v>
      </c>
      <c r="AG13">
        <v>1250</v>
      </c>
      <c r="AH13">
        <v>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8B19-7215-49FB-8757-F8D6EBC2671B}">
  <dimension ref="A1:AH7"/>
  <sheetViews>
    <sheetView tabSelected="1" topLeftCell="X4" workbookViewId="0">
      <selection activeCell="X5" sqref="A5:XFD5"/>
    </sheetView>
  </sheetViews>
  <sheetFormatPr baseColWidth="10" defaultRowHeight="14.5" x14ac:dyDescent="0.35"/>
  <sheetData>
    <row r="1" spans="1:34" x14ac:dyDescent="0.3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s="79">
        <v>45078</v>
      </c>
      <c r="J1" s="79">
        <v>45108</v>
      </c>
      <c r="K1" t="s">
        <v>133</v>
      </c>
      <c r="L1" t="s">
        <v>134</v>
      </c>
      <c r="M1" s="79">
        <v>45200</v>
      </c>
      <c r="N1" s="79">
        <v>45231</v>
      </c>
      <c r="O1" t="s">
        <v>135</v>
      </c>
      <c r="P1" t="s">
        <v>136</v>
      </c>
      <c r="Q1" s="79">
        <v>45323</v>
      </c>
      <c r="R1" s="79">
        <v>45352</v>
      </c>
      <c r="S1" t="s">
        <v>137</v>
      </c>
      <c r="T1" s="79">
        <v>45413</v>
      </c>
      <c r="U1" s="79">
        <v>45444</v>
      </c>
      <c r="V1" s="79">
        <v>45474</v>
      </c>
      <c r="W1" t="s">
        <v>138</v>
      </c>
      <c r="X1" t="s">
        <v>139</v>
      </c>
      <c r="Y1" s="79">
        <v>45566</v>
      </c>
      <c r="Z1" s="79">
        <v>45597</v>
      </c>
      <c r="AA1" t="s">
        <v>140</v>
      </c>
      <c r="AB1" t="s">
        <v>141</v>
      </c>
      <c r="AC1" s="79">
        <v>45689</v>
      </c>
      <c r="AD1" s="79">
        <v>45717</v>
      </c>
      <c r="AE1" t="s">
        <v>142</v>
      </c>
      <c r="AF1" s="79">
        <v>45778</v>
      </c>
      <c r="AG1" s="79">
        <v>45809</v>
      </c>
      <c r="AH1" s="79">
        <v>45839</v>
      </c>
    </row>
    <row r="2" spans="1:34" x14ac:dyDescent="0.35">
      <c r="A2" t="s">
        <v>146</v>
      </c>
      <c r="C2" s="79">
        <v>45096</v>
      </c>
      <c r="D2" s="79">
        <v>45865</v>
      </c>
      <c r="E2">
        <v>171884</v>
      </c>
      <c r="F2">
        <v>0</v>
      </c>
      <c r="G2">
        <v>171884</v>
      </c>
      <c r="H2" t="s">
        <v>131</v>
      </c>
      <c r="I2">
        <v>817</v>
      </c>
      <c r="J2">
        <v>2229</v>
      </c>
      <c r="K2">
        <v>3333</v>
      </c>
      <c r="L2">
        <v>5240</v>
      </c>
      <c r="M2">
        <v>5240</v>
      </c>
      <c r="N2">
        <v>5240</v>
      </c>
      <c r="O2">
        <v>5240</v>
      </c>
      <c r="P2">
        <v>3601</v>
      </c>
      <c r="Q2">
        <v>9344</v>
      </c>
      <c r="R2">
        <v>25047</v>
      </c>
      <c r="S2">
        <v>23864</v>
      </c>
      <c r="T2">
        <v>24529</v>
      </c>
      <c r="U2">
        <v>23626</v>
      </c>
      <c r="V2">
        <v>24414</v>
      </c>
      <c r="W2">
        <v>1388</v>
      </c>
      <c r="X2">
        <v>600</v>
      </c>
      <c r="Y2">
        <v>620</v>
      </c>
      <c r="Z2">
        <v>620</v>
      </c>
      <c r="AA2">
        <v>1240</v>
      </c>
      <c r="AB2">
        <v>1110</v>
      </c>
      <c r="AC2">
        <v>830</v>
      </c>
      <c r="AD2">
        <v>620</v>
      </c>
      <c r="AE2">
        <v>580</v>
      </c>
      <c r="AF2">
        <v>310</v>
      </c>
      <c r="AG2">
        <v>463</v>
      </c>
      <c r="AH2">
        <v>1737</v>
      </c>
    </row>
    <row r="3" spans="1:34" x14ac:dyDescent="0.35">
      <c r="A3" t="s">
        <v>146</v>
      </c>
      <c r="C3" s="79">
        <v>45096</v>
      </c>
      <c r="D3" s="79">
        <v>45865</v>
      </c>
      <c r="E3">
        <v>171884</v>
      </c>
      <c r="F3">
        <v>0</v>
      </c>
      <c r="G3">
        <v>171884</v>
      </c>
      <c r="H3" t="s">
        <v>145</v>
      </c>
      <c r="I3">
        <v>817</v>
      </c>
      <c r="J3">
        <v>3047</v>
      </c>
      <c r="K3">
        <v>6380</v>
      </c>
      <c r="L3">
        <v>11620</v>
      </c>
      <c r="M3">
        <v>16861</v>
      </c>
      <c r="N3">
        <v>22101</v>
      </c>
      <c r="O3">
        <v>27341</v>
      </c>
      <c r="P3">
        <v>30943</v>
      </c>
      <c r="Q3">
        <v>40287</v>
      </c>
      <c r="R3">
        <v>65334</v>
      </c>
      <c r="S3">
        <v>89198</v>
      </c>
      <c r="T3">
        <v>113727</v>
      </c>
      <c r="U3">
        <v>137353</v>
      </c>
      <c r="V3">
        <v>161767</v>
      </c>
      <c r="W3">
        <v>163154</v>
      </c>
      <c r="X3">
        <v>163754</v>
      </c>
      <c r="Y3">
        <v>164374</v>
      </c>
      <c r="Z3">
        <v>164994</v>
      </c>
      <c r="AA3">
        <v>166234</v>
      </c>
      <c r="AB3">
        <v>167344</v>
      </c>
      <c r="AC3">
        <v>168174</v>
      </c>
      <c r="AD3">
        <v>168794</v>
      </c>
      <c r="AE3">
        <v>169374</v>
      </c>
      <c r="AF3">
        <v>169684</v>
      </c>
      <c r="AG3">
        <v>170147</v>
      </c>
      <c r="AH3">
        <v>171884</v>
      </c>
    </row>
    <row r="5" spans="1:34" x14ac:dyDescent="0.35">
      <c r="I5" s="79">
        <v>45078</v>
      </c>
      <c r="J5" s="79">
        <v>45108</v>
      </c>
      <c r="K5" t="s">
        <v>133</v>
      </c>
      <c r="L5" t="s">
        <v>134</v>
      </c>
      <c r="M5" s="79">
        <v>45200</v>
      </c>
      <c r="N5" s="79">
        <v>45231</v>
      </c>
      <c r="O5" t="s">
        <v>135</v>
      </c>
      <c r="P5" t="s">
        <v>136</v>
      </c>
      <c r="Q5" s="79">
        <v>45323</v>
      </c>
      <c r="R5" s="79">
        <v>45352</v>
      </c>
      <c r="S5" t="s">
        <v>137</v>
      </c>
      <c r="T5" s="79">
        <v>45413</v>
      </c>
      <c r="U5" s="79">
        <v>45444</v>
      </c>
      <c r="V5" s="79">
        <v>45474</v>
      </c>
      <c r="W5" t="s">
        <v>138</v>
      </c>
      <c r="X5" t="s">
        <v>139</v>
      </c>
      <c r="Y5" s="79">
        <v>45566</v>
      </c>
      <c r="Z5" s="79">
        <v>45597</v>
      </c>
      <c r="AA5" t="s">
        <v>140</v>
      </c>
      <c r="AB5" t="s">
        <v>141</v>
      </c>
      <c r="AC5" s="79">
        <v>45689</v>
      </c>
      <c r="AD5" s="79">
        <v>45717</v>
      </c>
      <c r="AE5" t="s">
        <v>142</v>
      </c>
      <c r="AF5" s="79">
        <v>45778</v>
      </c>
      <c r="AG5" s="79">
        <v>45809</v>
      </c>
      <c r="AH5" s="79">
        <v>45839</v>
      </c>
    </row>
    <row r="6" spans="1:34" x14ac:dyDescent="0.35">
      <c r="H6" t="s">
        <v>154</v>
      </c>
      <c r="I6" s="80">
        <f>+I2/$AH$3</f>
        <v>4.7532056503223107E-3</v>
      </c>
      <c r="J6" s="80">
        <f t="shared" ref="J6:AH6" si="0">+J2/$AH$3</f>
        <v>1.296804821856601E-2</v>
      </c>
      <c r="K6" s="80">
        <f t="shared" si="0"/>
        <v>1.9390984617532754E-2</v>
      </c>
      <c r="L6" s="80">
        <f t="shared" si="0"/>
        <v>3.048567638640013E-2</v>
      </c>
      <c r="M6" s="80">
        <f t="shared" si="0"/>
        <v>3.048567638640013E-2</v>
      </c>
      <c r="N6" s="80">
        <f t="shared" si="0"/>
        <v>3.048567638640013E-2</v>
      </c>
      <c r="O6" s="80">
        <f t="shared" si="0"/>
        <v>3.048567638640013E-2</v>
      </c>
      <c r="P6" s="80">
        <f t="shared" si="0"/>
        <v>2.0950175699890623E-2</v>
      </c>
      <c r="Q6" s="80">
        <f t="shared" si="0"/>
        <v>5.436224430429825E-2</v>
      </c>
      <c r="R6" s="80">
        <f t="shared" si="0"/>
        <v>0.14572036955155804</v>
      </c>
      <c r="S6" s="80">
        <f t="shared" si="0"/>
        <v>0.13883782085592608</v>
      </c>
      <c r="T6" s="80">
        <f t="shared" si="0"/>
        <v>0.14270670917595588</v>
      </c>
      <c r="U6" s="80">
        <f t="shared" si="0"/>
        <v>0.13745316608875754</v>
      </c>
      <c r="V6" s="80">
        <f t="shared" si="0"/>
        <v>0.14203765330106352</v>
      </c>
      <c r="W6" s="80">
        <f t="shared" si="0"/>
        <v>8.0752135160922483E-3</v>
      </c>
      <c r="X6" s="80">
        <f t="shared" si="0"/>
        <v>3.4907263037862743E-3</v>
      </c>
      <c r="Y6" s="80">
        <f t="shared" si="0"/>
        <v>3.607083847245817E-3</v>
      </c>
      <c r="Z6" s="80">
        <f t="shared" si="0"/>
        <v>3.607083847245817E-3</v>
      </c>
      <c r="AA6" s="80">
        <f t="shared" si="0"/>
        <v>7.214167694491634E-3</v>
      </c>
      <c r="AB6" s="80">
        <f t="shared" si="0"/>
        <v>6.4578436620046078E-3</v>
      </c>
      <c r="AC6" s="80">
        <f t="shared" si="0"/>
        <v>4.8288380535710133E-3</v>
      </c>
      <c r="AD6" s="80">
        <f t="shared" si="0"/>
        <v>3.607083847245817E-3</v>
      </c>
      <c r="AE6" s="80">
        <f t="shared" si="0"/>
        <v>3.3743687603267321E-3</v>
      </c>
      <c r="AF6" s="80">
        <f t="shared" si="0"/>
        <v>1.8035419236229085E-3</v>
      </c>
      <c r="AG6" s="80">
        <f t="shared" si="0"/>
        <v>2.6936771310884086E-3</v>
      </c>
      <c r="AH6" s="80">
        <f t="shared" si="0"/>
        <v>1.0105652649461264E-2</v>
      </c>
    </row>
    <row r="7" spans="1:34" x14ac:dyDescent="0.35">
      <c r="H7" t="s">
        <v>155</v>
      </c>
      <c r="I7" s="80">
        <f>+I3/$AH$3</f>
        <v>4.7532056503223107E-3</v>
      </c>
      <c r="J7" s="80">
        <f t="shared" ref="J7:AH7" si="1">+J3/$AH$3</f>
        <v>1.7727071746061297E-2</v>
      </c>
      <c r="K7" s="80">
        <f t="shared" si="1"/>
        <v>3.7118056363594054E-2</v>
      </c>
      <c r="L7" s="80">
        <f t="shared" si="1"/>
        <v>6.7603732749994178E-2</v>
      </c>
      <c r="M7" s="80">
        <f t="shared" si="1"/>
        <v>9.8095227013567293E-2</v>
      </c>
      <c r="N7" s="80">
        <f t="shared" si="1"/>
        <v>0.12858090339996742</v>
      </c>
      <c r="O7" s="80">
        <f t="shared" si="1"/>
        <v>0.15906657978636754</v>
      </c>
      <c r="P7" s="80">
        <f t="shared" si="1"/>
        <v>0.18002257336343114</v>
      </c>
      <c r="Q7" s="80">
        <f t="shared" si="1"/>
        <v>0.23438481766772939</v>
      </c>
      <c r="R7" s="80">
        <f t="shared" si="1"/>
        <v>0.38010518721928743</v>
      </c>
      <c r="S7" s="80">
        <f t="shared" si="1"/>
        <v>0.51894300807521354</v>
      </c>
      <c r="T7" s="80">
        <f t="shared" si="1"/>
        <v>0.66164971725116939</v>
      </c>
      <c r="U7" s="80">
        <f t="shared" si="1"/>
        <v>0.79910288333992696</v>
      </c>
      <c r="V7" s="80">
        <f t="shared" si="1"/>
        <v>0.9411405366409904</v>
      </c>
      <c r="W7" s="80">
        <f t="shared" si="1"/>
        <v>0.94920993227990968</v>
      </c>
      <c r="X7" s="80">
        <f t="shared" si="1"/>
        <v>0.95270065858369601</v>
      </c>
      <c r="Y7" s="80">
        <f t="shared" si="1"/>
        <v>0.95630774243094174</v>
      </c>
      <c r="Z7" s="80">
        <f t="shared" si="1"/>
        <v>0.95991482627818758</v>
      </c>
      <c r="AA7" s="80">
        <f t="shared" si="1"/>
        <v>0.96712899397267926</v>
      </c>
      <c r="AB7" s="80">
        <f t="shared" si="1"/>
        <v>0.9735868376346839</v>
      </c>
      <c r="AC7" s="80">
        <f t="shared" si="1"/>
        <v>0.97841567568825483</v>
      </c>
      <c r="AD7" s="80">
        <f t="shared" si="1"/>
        <v>0.98202275953550067</v>
      </c>
      <c r="AE7" s="80">
        <f t="shared" si="1"/>
        <v>0.98539712829582737</v>
      </c>
      <c r="AF7" s="80">
        <f t="shared" si="1"/>
        <v>0.98720067021945035</v>
      </c>
      <c r="AG7" s="80">
        <f t="shared" si="1"/>
        <v>0.98989434735053872</v>
      </c>
      <c r="AH7" s="80">
        <f t="shared" si="1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58D1-61F8-4DFE-9272-BA0B71CABDF7}">
  <dimension ref="A1:AH3"/>
  <sheetViews>
    <sheetView workbookViewId="0">
      <selection sqref="A1:XFD1"/>
    </sheetView>
  </sheetViews>
  <sheetFormatPr baseColWidth="10" defaultRowHeight="14.5" x14ac:dyDescent="0.35"/>
  <sheetData>
    <row r="1" spans="1:34" x14ac:dyDescent="0.35">
      <c r="I1" s="79">
        <v>45078</v>
      </c>
      <c r="J1" s="79">
        <v>45108</v>
      </c>
      <c r="K1" t="s">
        <v>133</v>
      </c>
      <c r="L1" t="s">
        <v>134</v>
      </c>
      <c r="M1" s="79">
        <v>45200</v>
      </c>
      <c r="N1" s="79">
        <v>45231</v>
      </c>
      <c r="O1" t="s">
        <v>135</v>
      </c>
      <c r="P1" t="s">
        <v>136</v>
      </c>
      <c r="Q1" s="79">
        <v>45323</v>
      </c>
      <c r="R1" s="79">
        <v>45352</v>
      </c>
      <c r="S1" t="s">
        <v>137</v>
      </c>
      <c r="T1" s="79">
        <v>45413</v>
      </c>
      <c r="U1" s="79">
        <v>45444</v>
      </c>
      <c r="V1" s="79">
        <v>45474</v>
      </c>
      <c r="W1" t="s">
        <v>138</v>
      </c>
      <c r="X1" t="s">
        <v>139</v>
      </c>
      <c r="Y1" s="79">
        <v>45566</v>
      </c>
      <c r="Z1" s="79">
        <v>45597</v>
      </c>
      <c r="AA1" t="s">
        <v>140</v>
      </c>
      <c r="AB1" t="s">
        <v>141</v>
      </c>
      <c r="AC1" s="79">
        <v>45689</v>
      </c>
      <c r="AD1" s="79">
        <v>45717</v>
      </c>
      <c r="AE1" t="s">
        <v>142</v>
      </c>
      <c r="AF1" s="79">
        <v>45778</v>
      </c>
      <c r="AG1" s="79">
        <v>45809</v>
      </c>
      <c r="AH1" s="79">
        <v>45839</v>
      </c>
    </row>
    <row r="2" spans="1:34" x14ac:dyDescent="0.35">
      <c r="A2" t="s">
        <v>149</v>
      </c>
      <c r="C2" t="s">
        <v>148</v>
      </c>
      <c r="D2" s="79">
        <v>45330</v>
      </c>
      <c r="E2">
        <v>3200</v>
      </c>
      <c r="F2">
        <v>0</v>
      </c>
      <c r="G2">
        <v>3200</v>
      </c>
      <c r="H2" t="s">
        <v>131</v>
      </c>
      <c r="K2">
        <v>220</v>
      </c>
      <c r="L2">
        <v>600</v>
      </c>
      <c r="M2">
        <v>600</v>
      </c>
      <c r="N2">
        <v>600</v>
      </c>
      <c r="O2">
        <v>600</v>
      </c>
      <c r="P2">
        <v>500</v>
      </c>
      <c r="Q2">
        <v>80</v>
      </c>
    </row>
    <row r="3" spans="1:34" x14ac:dyDescent="0.35">
      <c r="A3" t="s">
        <v>149</v>
      </c>
      <c r="C3" t="s">
        <v>148</v>
      </c>
      <c r="D3" s="79">
        <v>45330</v>
      </c>
      <c r="E3">
        <v>3200</v>
      </c>
      <c r="F3">
        <v>0</v>
      </c>
      <c r="G3">
        <v>3200</v>
      </c>
      <c r="H3" t="s">
        <v>145</v>
      </c>
      <c r="K3">
        <v>220</v>
      </c>
      <c r="L3">
        <v>820</v>
      </c>
      <c r="M3">
        <v>1420</v>
      </c>
      <c r="N3">
        <v>2020</v>
      </c>
      <c r="O3">
        <v>2620</v>
      </c>
      <c r="P3">
        <v>3120</v>
      </c>
      <c r="Q3">
        <v>3200</v>
      </c>
      <c r="R3">
        <v>3200</v>
      </c>
      <c r="S3">
        <v>3200</v>
      </c>
      <c r="T3">
        <v>3200</v>
      </c>
      <c r="U3">
        <v>3200</v>
      </c>
      <c r="V3">
        <v>3200</v>
      </c>
      <c r="W3">
        <v>3200</v>
      </c>
      <c r="X3">
        <v>3200</v>
      </c>
      <c r="Y3">
        <v>3200</v>
      </c>
      <c r="Z3">
        <v>3200</v>
      </c>
      <c r="AA3">
        <v>3200</v>
      </c>
      <c r="AB3">
        <v>3200</v>
      </c>
      <c r="AC3">
        <v>3200</v>
      </c>
      <c r="AD3">
        <v>3200</v>
      </c>
      <c r="AE3">
        <v>3200</v>
      </c>
      <c r="AF3">
        <v>3200</v>
      </c>
      <c r="AG3">
        <v>3200</v>
      </c>
      <c r="AH3">
        <v>3200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5111-B3DE-43C9-B34B-C33D6C236D7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552A-9A69-42EB-80C0-6FD7DD5A4AD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Plano General</vt:lpstr>
      <vt:lpstr>Planificación</vt:lpstr>
      <vt:lpstr>WBS</vt:lpstr>
      <vt:lpstr>BD</vt:lpstr>
      <vt:lpstr>Curva S</vt:lpstr>
      <vt:lpstr>Curva Excavación</vt:lpstr>
      <vt:lpstr>Curva Relleno</vt:lpstr>
      <vt:lpstr>Curva Concreto</vt:lpstr>
      <vt:lpstr>Planificación!Área_de_impresión</vt:lpstr>
      <vt:lpstr>Planificación!Títulos_a_imprimir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Raul    SANTIAGO-QB2</dc:creator>
  <cp:lastModifiedBy>Freddy</cp:lastModifiedBy>
  <dcterms:created xsi:type="dcterms:W3CDTF">2020-08-18T16:24:13Z</dcterms:created>
  <dcterms:modified xsi:type="dcterms:W3CDTF">2023-06-20T04:00:23Z</dcterms:modified>
</cp:coreProperties>
</file>