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dante\Desktop\C&amp;P CGC 2021\TEDY\CURSO LEAN CONSTRUCTION TEDI\EXCELES COMPROMETIDOS - PLUS DEL EXPOSITOR\"/>
    </mc:Choice>
  </mc:AlternateContent>
  <xr:revisionPtr revIDLastSave="0" documentId="13_ncr:1_{9BD94097-CAA6-498A-8A8B-1C2E292E3FF5}" xr6:coauthVersionLast="47" xr6:coauthVersionMax="47" xr10:uidLastSave="{00000000-0000-0000-0000-000000000000}"/>
  <bookViews>
    <workbookView xWindow="-108" yWindow="-108" windowWidth="23256" windowHeight="12576" tabRatio="542" activeTab="1" xr2:uid="{00000000-000D-0000-FFFF-FFFF00000000}"/>
  </bookViews>
  <sheets>
    <sheet name="MASTER CLIENTE" sheetId="5" r:id="rId1"/>
    <sheet name="MASTER OBRA" sheetId="4" r:id="rId2"/>
  </sheets>
  <definedNames>
    <definedName name="_xlnm._FilterDatabase" localSheetId="0" hidden="1">'MASTER CLIENTE'!$B$7:$C$80</definedName>
    <definedName name="_xlnm._FilterDatabase" localSheetId="1" hidden="1">'MASTER OBRA'!$B$7:$C$80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39" i="5" l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96" i="5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74" i="5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51" i="5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36" i="5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K11" i="5"/>
  <c r="J11" i="5"/>
  <c r="I11" i="5"/>
  <c r="H11" i="5"/>
  <c r="G11" i="5"/>
  <c r="F11" i="5"/>
  <c r="L10" i="5"/>
  <c r="L11" i="5" s="1"/>
  <c r="K9" i="5"/>
  <c r="J9" i="5"/>
  <c r="I9" i="5"/>
  <c r="H9" i="5"/>
  <c r="G9" i="5"/>
  <c r="F9" i="5"/>
  <c r="CS8" i="5"/>
  <c r="CT8" i="5" s="1"/>
  <c r="CU8" i="5" s="1"/>
  <c r="CV8" i="5" s="1"/>
  <c r="CW8" i="5" s="1"/>
  <c r="CX8" i="5" s="1"/>
  <c r="CY8" i="5" s="1"/>
  <c r="CZ8" i="5" s="1"/>
  <c r="DA8" i="5" s="1"/>
  <c r="DB8" i="5" s="1"/>
  <c r="DC8" i="5" s="1"/>
  <c r="DD8" i="5" s="1"/>
  <c r="DE8" i="5" s="1"/>
  <c r="DF8" i="5" s="1"/>
  <c r="DG8" i="5" s="1"/>
  <c r="DH8" i="5" s="1"/>
  <c r="DI8" i="5" s="1"/>
  <c r="DJ8" i="5" s="1"/>
  <c r="DK8" i="5" s="1"/>
  <c r="DL8" i="5" s="1"/>
  <c r="DM8" i="5" s="1"/>
  <c r="DN8" i="5" s="1"/>
  <c r="DO8" i="5" s="1"/>
  <c r="DP8" i="5" s="1"/>
  <c r="DQ8" i="5" s="1"/>
  <c r="DR8" i="5" s="1"/>
  <c r="DS8" i="5" s="1"/>
  <c r="DT8" i="5" s="1"/>
  <c r="DU8" i="5" s="1"/>
  <c r="DV8" i="5" s="1"/>
  <c r="DW8" i="5" s="1"/>
  <c r="DX8" i="5" s="1"/>
  <c r="DY8" i="5" s="1"/>
  <c r="DZ8" i="5" s="1"/>
  <c r="EA8" i="5" s="1"/>
  <c r="EB8" i="5" s="1"/>
  <c r="EC8" i="5" s="1"/>
  <c r="ED8" i="5" s="1"/>
  <c r="EE8" i="5" s="1"/>
  <c r="EF8" i="5" s="1"/>
  <c r="EG8" i="5" s="1"/>
  <c r="EH8" i="5" s="1"/>
  <c r="EI8" i="5" s="1"/>
  <c r="EJ8" i="5" s="1"/>
  <c r="EK8" i="5" s="1"/>
  <c r="EL8" i="5" s="1"/>
  <c r="EM8" i="5" s="1"/>
  <c r="EN8" i="5" s="1"/>
  <c r="EO8" i="5" s="1"/>
  <c r="EP8" i="5" s="1"/>
  <c r="EQ8" i="5" s="1"/>
  <c r="ER8" i="5" s="1"/>
  <c r="ES8" i="5" s="1"/>
  <c r="ET8" i="5" s="1"/>
  <c r="EU8" i="5" s="1"/>
  <c r="EV8" i="5" s="1"/>
  <c r="EW8" i="5" s="1"/>
  <c r="EX8" i="5" s="1"/>
  <c r="EY8" i="5" s="1"/>
  <c r="EZ8" i="5" s="1"/>
  <c r="FA8" i="5" s="1"/>
  <c r="FB8" i="5" s="1"/>
  <c r="FC8" i="5" s="1"/>
  <c r="FD8" i="5" s="1"/>
  <c r="FE8" i="5" s="1"/>
  <c r="FF8" i="5" s="1"/>
  <c r="FG8" i="5" s="1"/>
  <c r="FH8" i="5" s="1"/>
  <c r="FI8" i="5" s="1"/>
  <c r="FJ8" i="5" s="1"/>
  <c r="FK8" i="5" s="1"/>
  <c r="FL8" i="5" s="1"/>
  <c r="FM8" i="5" s="1"/>
  <c r="FN8" i="5" s="1"/>
  <c r="FO8" i="5" s="1"/>
  <c r="FP8" i="5" s="1"/>
  <c r="FQ8" i="5" s="1"/>
  <c r="FR8" i="5" s="1"/>
  <c r="FS8" i="5" s="1"/>
  <c r="FT8" i="5" s="1"/>
  <c r="FU8" i="5" s="1"/>
  <c r="FV8" i="5" s="1"/>
  <c r="FW8" i="5" s="1"/>
  <c r="FX8" i="5" s="1"/>
  <c r="FY8" i="5" s="1"/>
  <c r="FZ8" i="5" s="1"/>
  <c r="GA8" i="5" s="1"/>
  <c r="GB8" i="5" s="1"/>
  <c r="GC8" i="5" s="1"/>
  <c r="GD8" i="5" s="1"/>
  <c r="GE8" i="5" s="1"/>
  <c r="GF8" i="5" s="1"/>
  <c r="GG8" i="5" s="1"/>
  <c r="GH8" i="5" s="1"/>
  <c r="GI8" i="5" s="1"/>
  <c r="GJ8" i="5" s="1"/>
  <c r="GK8" i="5" s="1"/>
  <c r="GL8" i="5" s="1"/>
  <c r="GM8" i="5" s="1"/>
  <c r="GN8" i="5" s="1"/>
  <c r="GO8" i="5" s="1"/>
  <c r="GP8" i="5" s="1"/>
  <c r="GQ8" i="5" s="1"/>
  <c r="GR8" i="5" s="1"/>
  <c r="GS8" i="5" s="1"/>
  <c r="GT8" i="5" s="1"/>
  <c r="GU8" i="5" s="1"/>
  <c r="GV8" i="5" s="1"/>
  <c r="GW8" i="5" s="1"/>
  <c r="GX8" i="5" s="1"/>
  <c r="GY8" i="5" s="1"/>
  <c r="GZ8" i="5" s="1"/>
  <c r="HA8" i="5" s="1"/>
  <c r="HB8" i="5" s="1"/>
  <c r="HC8" i="5" s="1"/>
  <c r="HD8" i="5" s="1"/>
  <c r="HE8" i="5" s="1"/>
  <c r="HF8" i="5" s="1"/>
  <c r="HG8" i="5" s="1"/>
  <c r="HH8" i="5" s="1"/>
  <c r="HI8" i="5" s="1"/>
  <c r="HJ8" i="5" s="1"/>
  <c r="HK8" i="5" s="1"/>
  <c r="HL8" i="5" s="1"/>
  <c r="HM8" i="5" s="1"/>
  <c r="HN8" i="5" s="1"/>
  <c r="HO8" i="5" s="1"/>
  <c r="HP8" i="5" s="1"/>
  <c r="HQ8" i="5" s="1"/>
  <c r="HR8" i="5" s="1"/>
  <c r="HS8" i="5" s="1"/>
  <c r="HT8" i="5" s="1"/>
  <c r="HU8" i="5" s="1"/>
  <c r="HV8" i="5" s="1"/>
  <c r="HW8" i="5" s="1"/>
  <c r="HX8" i="5" s="1"/>
  <c r="HY8" i="5" s="1"/>
  <c r="HZ8" i="5" s="1"/>
  <c r="IA8" i="5" s="1"/>
  <c r="IB8" i="5" s="1"/>
  <c r="IC8" i="5" s="1"/>
  <c r="ID8" i="5" s="1"/>
  <c r="IE8" i="5" s="1"/>
  <c r="IF8" i="5" s="1"/>
  <c r="IG8" i="5" s="1"/>
  <c r="IH8" i="5" s="1"/>
  <c r="II8" i="5" s="1"/>
  <c r="IJ8" i="5" s="1"/>
  <c r="IK8" i="5" s="1"/>
  <c r="IL8" i="5" s="1"/>
  <c r="IM8" i="5" s="1"/>
  <c r="IN8" i="5" s="1"/>
  <c r="IO8" i="5" s="1"/>
  <c r="IP8" i="5" s="1"/>
  <c r="IQ8" i="5" s="1"/>
  <c r="IR8" i="5" s="1"/>
  <c r="IS8" i="5" s="1"/>
  <c r="IT8" i="5" s="1"/>
  <c r="IU8" i="5" s="1"/>
  <c r="IV8" i="5" s="1"/>
  <c r="IW8" i="5" s="1"/>
  <c r="G8" i="5"/>
  <c r="H8" i="5" s="1"/>
  <c r="I8" i="5" s="1"/>
  <c r="J8" i="5" s="1"/>
  <c r="K8" i="5" s="1"/>
  <c r="L8" i="5" s="1"/>
  <c r="M8" i="5" s="1"/>
  <c r="N8" i="5" s="1"/>
  <c r="O8" i="5" s="1"/>
  <c r="P8" i="5" s="1"/>
  <c r="Q8" i="5" s="1"/>
  <c r="R8" i="5" s="1"/>
  <c r="S8" i="5" s="1"/>
  <c r="T8" i="5" s="1"/>
  <c r="U8" i="5" s="1"/>
  <c r="V8" i="5" s="1"/>
  <c r="W8" i="5" s="1"/>
  <c r="X8" i="5" s="1"/>
  <c r="Y8" i="5" s="1"/>
  <c r="Z8" i="5" s="1"/>
  <c r="AA8" i="5" s="1"/>
  <c r="AB8" i="5" s="1"/>
  <c r="AC8" i="5" s="1"/>
  <c r="AD8" i="5" s="1"/>
  <c r="AE8" i="5" s="1"/>
  <c r="AF8" i="5" s="1"/>
  <c r="AG8" i="5" s="1"/>
  <c r="AH8" i="5" s="1"/>
  <c r="AI8" i="5" s="1"/>
  <c r="AJ8" i="5" s="1"/>
  <c r="AK8" i="5" s="1"/>
  <c r="AL8" i="5" s="1"/>
  <c r="AM8" i="5" s="1"/>
  <c r="AN8" i="5" s="1"/>
  <c r="AO8" i="5" s="1"/>
  <c r="AP8" i="5" s="1"/>
  <c r="AQ8" i="5" s="1"/>
  <c r="AR8" i="5" s="1"/>
  <c r="AS8" i="5" s="1"/>
  <c r="AT8" i="5" s="1"/>
  <c r="AU8" i="5" s="1"/>
  <c r="AV8" i="5" s="1"/>
  <c r="AW8" i="5" s="1"/>
  <c r="AX8" i="5" s="1"/>
  <c r="AY8" i="5" s="1"/>
  <c r="AZ8" i="5" s="1"/>
  <c r="BA8" i="5" s="1"/>
  <c r="BB8" i="5" s="1"/>
  <c r="BC8" i="5" s="1"/>
  <c r="BD8" i="5" s="1"/>
  <c r="BE8" i="5" s="1"/>
  <c r="BF8" i="5" s="1"/>
  <c r="BG8" i="5" s="1"/>
  <c r="L9" i="5" l="1"/>
  <c r="M10" i="5"/>
  <c r="N10" i="5" s="1"/>
  <c r="M11" i="5" l="1"/>
  <c r="M9" i="5"/>
  <c r="N11" i="5"/>
  <c r="O10" i="5"/>
  <c r="N9" i="5"/>
  <c r="O11" i="5" l="1"/>
  <c r="P10" i="5"/>
  <c r="O9" i="5"/>
  <c r="P11" i="5" l="1"/>
  <c r="Q10" i="5"/>
  <c r="P9" i="5"/>
  <c r="R10" i="5" l="1"/>
  <c r="Q9" i="5"/>
  <c r="Q11" i="5"/>
  <c r="R11" i="5" l="1"/>
  <c r="S10" i="5"/>
  <c r="R9" i="5"/>
  <c r="S11" i="5" l="1"/>
  <c r="T10" i="5"/>
  <c r="S9" i="5"/>
  <c r="U10" i="5" l="1"/>
  <c r="T9" i="5"/>
  <c r="T11" i="5"/>
  <c r="CS8" i="4"/>
  <c r="CT8" i="4" s="1"/>
  <c r="CU8" i="4" s="1"/>
  <c r="CV8" i="4" s="1"/>
  <c r="CW8" i="4" s="1"/>
  <c r="B139" i="4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96" i="4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74" i="4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51" i="4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36" i="4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K11" i="4"/>
  <c r="J11" i="4"/>
  <c r="I11" i="4"/>
  <c r="H11" i="4"/>
  <c r="G11" i="4"/>
  <c r="F11" i="4"/>
  <c r="L10" i="4"/>
  <c r="L11" i="4" s="1"/>
  <c r="K9" i="4"/>
  <c r="J9" i="4"/>
  <c r="I9" i="4"/>
  <c r="H9" i="4"/>
  <c r="G9" i="4"/>
  <c r="F9" i="4"/>
  <c r="G8" i="4"/>
  <c r="H8" i="4" s="1"/>
  <c r="I8" i="4" s="1"/>
  <c r="J8" i="4" s="1"/>
  <c r="K8" i="4" s="1"/>
  <c r="L8" i="4" s="1"/>
  <c r="M8" i="4" s="1"/>
  <c r="N8" i="4" s="1"/>
  <c r="O8" i="4" s="1"/>
  <c r="P8" i="4" s="1"/>
  <c r="Q8" i="4" s="1"/>
  <c r="R8" i="4" s="1"/>
  <c r="S8" i="4" s="1"/>
  <c r="T8" i="4" s="1"/>
  <c r="U8" i="4" s="1"/>
  <c r="V8" i="4" s="1"/>
  <c r="W8" i="4" s="1"/>
  <c r="X8" i="4" s="1"/>
  <c r="Y8" i="4" s="1"/>
  <c r="Z8" i="4" s="1"/>
  <c r="AA8" i="4" s="1"/>
  <c r="AB8" i="4" s="1"/>
  <c r="AC8" i="4" s="1"/>
  <c r="AD8" i="4" s="1"/>
  <c r="AE8" i="4" s="1"/>
  <c r="AF8" i="4" s="1"/>
  <c r="AG8" i="4" s="1"/>
  <c r="AH8" i="4" s="1"/>
  <c r="AI8" i="4" s="1"/>
  <c r="AJ8" i="4" s="1"/>
  <c r="AK8" i="4" s="1"/>
  <c r="AL8" i="4" s="1"/>
  <c r="AM8" i="4" s="1"/>
  <c r="AN8" i="4" s="1"/>
  <c r="AO8" i="4" s="1"/>
  <c r="AP8" i="4" s="1"/>
  <c r="AQ8" i="4" s="1"/>
  <c r="AR8" i="4" s="1"/>
  <c r="AS8" i="4" s="1"/>
  <c r="AT8" i="4" s="1"/>
  <c r="AU8" i="4" s="1"/>
  <c r="AV8" i="4" s="1"/>
  <c r="AW8" i="4" s="1"/>
  <c r="AX8" i="4" s="1"/>
  <c r="AY8" i="4" s="1"/>
  <c r="AZ8" i="4" s="1"/>
  <c r="BA8" i="4" s="1"/>
  <c r="BB8" i="4" s="1"/>
  <c r="BC8" i="4" s="1"/>
  <c r="BD8" i="4" s="1"/>
  <c r="BE8" i="4" s="1"/>
  <c r="BF8" i="4" s="1"/>
  <c r="BG8" i="4" s="1"/>
  <c r="U11" i="5" l="1"/>
  <c r="V10" i="5"/>
  <c r="U9" i="5"/>
  <c r="CX8" i="4"/>
  <c r="CY8" i="4" s="1"/>
  <c r="CZ8" i="4" s="1"/>
  <c r="DA8" i="4" s="1"/>
  <c r="DB8" i="4" s="1"/>
  <c r="DC8" i="4" s="1"/>
  <c r="DD8" i="4" s="1"/>
  <c r="DE8" i="4" s="1"/>
  <c r="DF8" i="4" s="1"/>
  <c r="DG8" i="4" s="1"/>
  <c r="DH8" i="4" s="1"/>
  <c r="DI8" i="4" s="1"/>
  <c r="DJ8" i="4" s="1"/>
  <c r="DK8" i="4" s="1"/>
  <c r="DL8" i="4" s="1"/>
  <c r="DM8" i="4" s="1"/>
  <c r="DN8" i="4" s="1"/>
  <c r="DO8" i="4" s="1"/>
  <c r="DP8" i="4" s="1"/>
  <c r="DQ8" i="4" s="1"/>
  <c r="DR8" i="4" s="1"/>
  <c r="DS8" i="4" s="1"/>
  <c r="DT8" i="4" s="1"/>
  <c r="DU8" i="4" s="1"/>
  <c r="DV8" i="4" s="1"/>
  <c r="DW8" i="4" s="1"/>
  <c r="DX8" i="4" s="1"/>
  <c r="DY8" i="4" s="1"/>
  <c r="DZ8" i="4" s="1"/>
  <c r="EA8" i="4" s="1"/>
  <c r="EB8" i="4" s="1"/>
  <c r="EC8" i="4" s="1"/>
  <c r="ED8" i="4" s="1"/>
  <c r="EE8" i="4" s="1"/>
  <c r="EF8" i="4" s="1"/>
  <c r="EG8" i="4" s="1"/>
  <c r="EH8" i="4" s="1"/>
  <c r="EI8" i="4" s="1"/>
  <c r="EJ8" i="4" s="1"/>
  <c r="EK8" i="4" s="1"/>
  <c r="EL8" i="4" s="1"/>
  <c r="EM8" i="4" s="1"/>
  <c r="EN8" i="4" s="1"/>
  <c r="EO8" i="4" s="1"/>
  <c r="EP8" i="4" s="1"/>
  <c r="EQ8" i="4" s="1"/>
  <c r="ER8" i="4" s="1"/>
  <c r="ES8" i="4" s="1"/>
  <c r="ET8" i="4" s="1"/>
  <c r="EU8" i="4" s="1"/>
  <c r="EV8" i="4" s="1"/>
  <c r="EW8" i="4" s="1"/>
  <c r="EX8" i="4" s="1"/>
  <c r="EY8" i="4" s="1"/>
  <c r="EZ8" i="4" s="1"/>
  <c r="FA8" i="4" s="1"/>
  <c r="FB8" i="4" s="1"/>
  <c r="FC8" i="4" s="1"/>
  <c r="FD8" i="4" s="1"/>
  <c r="FE8" i="4" s="1"/>
  <c r="FF8" i="4" s="1"/>
  <c r="FG8" i="4" s="1"/>
  <c r="FH8" i="4" s="1"/>
  <c r="FI8" i="4" s="1"/>
  <c r="FJ8" i="4" s="1"/>
  <c r="FK8" i="4" s="1"/>
  <c r="FL8" i="4" s="1"/>
  <c r="FM8" i="4" s="1"/>
  <c r="FN8" i="4" s="1"/>
  <c r="FO8" i="4" s="1"/>
  <c r="FP8" i="4" s="1"/>
  <c r="FQ8" i="4" s="1"/>
  <c r="FR8" i="4" s="1"/>
  <c r="FS8" i="4" s="1"/>
  <c r="FT8" i="4" s="1"/>
  <c r="FU8" i="4" s="1"/>
  <c r="FV8" i="4" s="1"/>
  <c r="FW8" i="4" s="1"/>
  <c r="FX8" i="4" s="1"/>
  <c r="FY8" i="4" s="1"/>
  <c r="FZ8" i="4" s="1"/>
  <c r="GA8" i="4" s="1"/>
  <c r="GB8" i="4" s="1"/>
  <c r="GC8" i="4" s="1"/>
  <c r="GD8" i="4" s="1"/>
  <c r="GE8" i="4" s="1"/>
  <c r="GF8" i="4" s="1"/>
  <c r="GG8" i="4" s="1"/>
  <c r="GH8" i="4" s="1"/>
  <c r="GI8" i="4" s="1"/>
  <c r="GJ8" i="4" s="1"/>
  <c r="GK8" i="4" s="1"/>
  <c r="GL8" i="4" s="1"/>
  <c r="GM8" i="4" s="1"/>
  <c r="GN8" i="4" s="1"/>
  <c r="GO8" i="4" s="1"/>
  <c r="GP8" i="4" s="1"/>
  <c r="GQ8" i="4" s="1"/>
  <c r="GR8" i="4" s="1"/>
  <c r="GS8" i="4" s="1"/>
  <c r="GT8" i="4" s="1"/>
  <c r="GU8" i="4" s="1"/>
  <c r="GV8" i="4" s="1"/>
  <c r="GW8" i="4" s="1"/>
  <c r="GX8" i="4" s="1"/>
  <c r="GY8" i="4" s="1"/>
  <c r="GZ8" i="4" s="1"/>
  <c r="HA8" i="4" s="1"/>
  <c r="HB8" i="4" s="1"/>
  <c r="HC8" i="4" s="1"/>
  <c r="HD8" i="4" s="1"/>
  <c r="HE8" i="4" s="1"/>
  <c r="HF8" i="4" s="1"/>
  <c r="HG8" i="4" s="1"/>
  <c r="HH8" i="4" s="1"/>
  <c r="HI8" i="4" s="1"/>
  <c r="HJ8" i="4" s="1"/>
  <c r="HK8" i="4" s="1"/>
  <c r="HL8" i="4" s="1"/>
  <c r="HM8" i="4" s="1"/>
  <c r="HN8" i="4" s="1"/>
  <c r="HO8" i="4" s="1"/>
  <c r="HP8" i="4" s="1"/>
  <c r="HQ8" i="4" s="1"/>
  <c r="HR8" i="4" s="1"/>
  <c r="HS8" i="4" s="1"/>
  <c r="HT8" i="4" s="1"/>
  <c r="HU8" i="4" s="1"/>
  <c r="HV8" i="4" s="1"/>
  <c r="HW8" i="4" s="1"/>
  <c r="HX8" i="4" s="1"/>
  <c r="HY8" i="4" s="1"/>
  <c r="HZ8" i="4" s="1"/>
  <c r="IA8" i="4" s="1"/>
  <c r="IB8" i="4" s="1"/>
  <c r="IC8" i="4" s="1"/>
  <c r="ID8" i="4" s="1"/>
  <c r="IE8" i="4" s="1"/>
  <c r="IF8" i="4" s="1"/>
  <c r="IG8" i="4" s="1"/>
  <c r="IH8" i="4" s="1"/>
  <c r="II8" i="4" s="1"/>
  <c r="IJ8" i="4" s="1"/>
  <c r="IK8" i="4" s="1"/>
  <c r="IL8" i="4" s="1"/>
  <c r="IM8" i="4" s="1"/>
  <c r="IN8" i="4" s="1"/>
  <c r="IO8" i="4" s="1"/>
  <c r="IP8" i="4" s="1"/>
  <c r="IQ8" i="4" s="1"/>
  <c r="IR8" i="4" s="1"/>
  <c r="IS8" i="4" s="1"/>
  <c r="IT8" i="4" s="1"/>
  <c r="IU8" i="4" s="1"/>
  <c r="IV8" i="4" s="1"/>
  <c r="IW8" i="4" s="1"/>
  <c r="M10" i="4"/>
  <c r="M9" i="4" s="1"/>
  <c r="L9" i="4"/>
  <c r="V11" i="5" l="1"/>
  <c r="W10" i="5"/>
  <c r="V9" i="5"/>
  <c r="M11" i="4"/>
  <c r="N10" i="4"/>
  <c r="N9" i="4" s="1"/>
  <c r="O10" i="4" l="1"/>
  <c r="O9" i="4" s="1"/>
  <c r="W11" i="5"/>
  <c r="X10" i="5"/>
  <c r="W9" i="5"/>
  <c r="N11" i="4"/>
  <c r="O11" i="4" l="1"/>
  <c r="P10" i="4"/>
  <c r="X11" i="5"/>
  <c r="Y10" i="5"/>
  <c r="X9" i="5"/>
  <c r="P11" i="4"/>
  <c r="P9" i="4"/>
  <c r="Q10" i="4"/>
  <c r="Z10" i="5" l="1"/>
  <c r="Y9" i="5"/>
  <c r="Y11" i="5"/>
  <c r="Q9" i="4"/>
  <c r="Q11" i="4"/>
  <c r="R10" i="4"/>
  <c r="Z11" i="5" l="1"/>
  <c r="AA10" i="5"/>
  <c r="Z9" i="5"/>
  <c r="R9" i="4"/>
  <c r="S10" i="4"/>
  <c r="R11" i="4"/>
  <c r="AA11" i="5" l="1"/>
  <c r="AB10" i="5"/>
  <c r="AA9" i="5"/>
  <c r="T10" i="4"/>
  <c r="S11" i="4"/>
  <c r="S9" i="4"/>
  <c r="AB9" i="5" l="1"/>
  <c r="AB11" i="5"/>
  <c r="AC10" i="5"/>
  <c r="T11" i="4"/>
  <c r="U10" i="4"/>
  <c r="T9" i="4"/>
  <c r="AC11" i="5" l="1"/>
  <c r="AC9" i="5"/>
  <c r="AD10" i="5"/>
  <c r="U11" i="4"/>
  <c r="U9" i="4"/>
  <c r="V10" i="4"/>
  <c r="AD11" i="5" l="1"/>
  <c r="AE10" i="5"/>
  <c r="AD9" i="5"/>
  <c r="V9" i="4"/>
  <c r="V11" i="4"/>
  <c r="W10" i="4"/>
  <c r="AE11" i="5" l="1"/>
  <c r="AE9" i="5"/>
  <c r="AF10" i="5"/>
  <c r="W11" i="4"/>
  <c r="X10" i="4"/>
  <c r="W9" i="4"/>
  <c r="AF11" i="5" l="1"/>
  <c r="AG10" i="5"/>
  <c r="AF9" i="5"/>
  <c r="X11" i="4"/>
  <c r="X9" i="4"/>
  <c r="Y10" i="4"/>
  <c r="AH10" i="5" l="1"/>
  <c r="AG9" i="5"/>
  <c r="AG11" i="5"/>
  <c r="Y9" i="4"/>
  <c r="Y11" i="4"/>
  <c r="Z10" i="4"/>
  <c r="AH11" i="5" l="1"/>
  <c r="AH9" i="5"/>
  <c r="AI10" i="5"/>
  <c r="Z9" i="4"/>
  <c r="AA10" i="4"/>
  <c r="Z11" i="4"/>
  <c r="AJ10" i="5" l="1"/>
  <c r="AI11" i="5"/>
  <c r="AI9" i="5"/>
  <c r="AB10" i="4"/>
  <c r="AA9" i="4"/>
  <c r="AA11" i="4"/>
  <c r="AK10" i="5" l="1"/>
  <c r="AJ9" i="5"/>
  <c r="AJ11" i="5"/>
  <c r="AB11" i="4"/>
  <c r="AC10" i="4"/>
  <c r="AB9" i="4"/>
  <c r="AK11" i="5" l="1"/>
  <c r="AL10" i="5"/>
  <c r="AK9" i="5"/>
  <c r="AC11" i="4"/>
  <c r="AC9" i="4"/>
  <c r="AD10" i="4"/>
  <c r="AL11" i="5" l="1"/>
  <c r="AM10" i="5"/>
  <c r="AL9" i="5"/>
  <c r="AD9" i="4"/>
  <c r="AD11" i="4"/>
  <c r="AE10" i="4"/>
  <c r="AM11" i="5" l="1"/>
  <c r="AM9" i="5"/>
  <c r="AN10" i="5"/>
  <c r="AE11" i="4"/>
  <c r="AF10" i="4"/>
  <c r="AE9" i="4"/>
  <c r="AN11" i="5" l="1"/>
  <c r="AO10" i="5"/>
  <c r="AN9" i="5"/>
  <c r="AF11" i="4"/>
  <c r="AG10" i="4"/>
  <c r="AF9" i="4"/>
  <c r="AP10" i="5" l="1"/>
  <c r="AO9" i="5"/>
  <c r="AO11" i="5"/>
  <c r="AG9" i="4"/>
  <c r="AH10" i="4"/>
  <c r="AG11" i="4"/>
  <c r="AP11" i="5" l="1"/>
  <c r="AQ10" i="5"/>
  <c r="AP9" i="5"/>
  <c r="AH9" i="4"/>
  <c r="AI10" i="4"/>
  <c r="AH11" i="4"/>
  <c r="AQ11" i="5" l="1"/>
  <c r="AR10" i="5"/>
  <c r="AQ9" i="5"/>
  <c r="AJ10" i="4"/>
  <c r="AI11" i="4"/>
  <c r="AI9" i="4"/>
  <c r="AR9" i="5" l="1"/>
  <c r="AR11" i="5"/>
  <c r="AS10" i="5"/>
  <c r="AJ11" i="4"/>
  <c r="AJ9" i="4"/>
  <c r="AK10" i="4"/>
  <c r="AS11" i="5" l="1"/>
  <c r="AT10" i="5"/>
  <c r="AS9" i="5"/>
  <c r="AK11" i="4"/>
  <c r="AK9" i="4"/>
  <c r="AL10" i="4"/>
  <c r="AT11" i="5" l="1"/>
  <c r="AU10" i="5"/>
  <c r="AT9" i="5"/>
  <c r="AL9" i="4"/>
  <c r="AL11" i="4"/>
  <c r="AM10" i="4"/>
  <c r="AU11" i="5" l="1"/>
  <c r="AV10" i="5"/>
  <c r="AU9" i="5"/>
  <c r="AM11" i="4"/>
  <c r="AN10" i="4"/>
  <c r="AM9" i="4"/>
  <c r="AV11" i="5" l="1"/>
  <c r="AW10" i="5"/>
  <c r="AV9" i="5"/>
  <c r="AN11" i="4"/>
  <c r="AO10" i="4"/>
  <c r="AN9" i="4"/>
  <c r="AX10" i="5" l="1"/>
  <c r="AW9" i="5"/>
  <c r="AW11" i="5"/>
  <c r="AO9" i="4"/>
  <c r="AP10" i="4"/>
  <c r="AO11" i="4"/>
  <c r="AX11" i="5" l="1"/>
  <c r="AY10" i="5"/>
  <c r="AX9" i="5"/>
  <c r="AP9" i="4"/>
  <c r="AQ10" i="4"/>
  <c r="AP11" i="4"/>
  <c r="AY11" i="5" l="1"/>
  <c r="AZ10" i="5"/>
  <c r="AY9" i="5"/>
  <c r="AR10" i="4"/>
  <c r="AQ9" i="4"/>
  <c r="AQ11" i="4"/>
  <c r="BA10" i="5" l="1"/>
  <c r="AZ9" i="5"/>
  <c r="AZ11" i="5"/>
  <c r="AR11" i="4"/>
  <c r="AS10" i="4"/>
  <c r="AR9" i="4"/>
  <c r="BA11" i="5" l="1"/>
  <c r="BB10" i="5"/>
  <c r="BA9" i="5"/>
  <c r="AT10" i="4"/>
  <c r="AS11" i="4"/>
  <c r="AS9" i="4"/>
  <c r="BB11" i="5" l="1"/>
  <c r="BB9" i="5"/>
  <c r="BC10" i="5"/>
  <c r="AT9" i="4"/>
  <c r="AU10" i="4"/>
  <c r="AT11" i="4"/>
  <c r="BC11" i="5" l="1"/>
  <c r="BD10" i="5"/>
  <c r="BC9" i="5"/>
  <c r="AU11" i="4"/>
  <c r="AV10" i="4"/>
  <c r="AU9" i="4"/>
  <c r="BD11" i="5" l="1"/>
  <c r="BE10" i="5"/>
  <c r="BD9" i="5"/>
  <c r="AV11" i="4"/>
  <c r="AV9" i="4"/>
  <c r="AW10" i="4"/>
  <c r="BF10" i="5" l="1"/>
  <c r="BE9" i="5"/>
  <c r="BE11" i="5"/>
  <c r="AW9" i="4"/>
  <c r="AW11" i="4"/>
  <c r="AX10" i="4"/>
  <c r="BF11" i="5" l="1"/>
  <c r="BG10" i="5"/>
  <c r="BF9" i="5"/>
  <c r="AX9" i="4"/>
  <c r="AY10" i="4"/>
  <c r="AX11" i="4"/>
  <c r="BG11" i="5" l="1"/>
  <c r="BH10" i="5"/>
  <c r="BG9" i="5"/>
  <c r="AZ10" i="4"/>
  <c r="AY11" i="4"/>
  <c r="AY9" i="4"/>
  <c r="BH9" i="5" l="1"/>
  <c r="BH11" i="5"/>
  <c r="BI10" i="5"/>
  <c r="AZ11" i="4"/>
  <c r="AZ9" i="4"/>
  <c r="BA10" i="4"/>
  <c r="BI11" i="5" l="1"/>
  <c r="BI9" i="5"/>
  <c r="BJ10" i="5"/>
  <c r="BB10" i="4"/>
  <c r="BA11" i="4"/>
  <c r="BA9" i="4"/>
  <c r="BJ11" i="5" l="1"/>
  <c r="BK10" i="5"/>
  <c r="BJ9" i="5"/>
  <c r="BB9" i="4"/>
  <c r="BB11" i="4"/>
  <c r="BC10" i="4"/>
  <c r="BK11" i="5" l="1"/>
  <c r="BK9" i="5"/>
  <c r="BL10" i="5"/>
  <c r="BC11" i="4"/>
  <c r="BD10" i="4"/>
  <c r="BC9" i="4"/>
  <c r="BL11" i="5" l="1"/>
  <c r="BM10" i="5"/>
  <c r="BL9" i="5"/>
  <c r="BD11" i="4"/>
  <c r="BE10" i="4"/>
  <c r="BD9" i="4"/>
  <c r="BN10" i="5" l="1"/>
  <c r="BM9" i="5"/>
  <c r="BM11" i="5"/>
  <c r="BE9" i="4"/>
  <c r="BF10" i="4"/>
  <c r="BE11" i="4"/>
  <c r="BN11" i="5" l="1"/>
  <c r="BN9" i="5"/>
  <c r="BO10" i="5"/>
  <c r="BF9" i="4"/>
  <c r="BG10" i="4"/>
  <c r="BF11" i="4"/>
  <c r="BP10" i="5" l="1"/>
  <c r="BO11" i="5"/>
  <c r="BO9" i="5"/>
  <c r="BH10" i="4"/>
  <c r="BG9" i="4"/>
  <c r="BG11" i="4"/>
  <c r="BQ10" i="5" l="1"/>
  <c r="BP9" i="5"/>
  <c r="BP11" i="5"/>
  <c r="BH11" i="4"/>
  <c r="BI10" i="4"/>
  <c r="BH9" i="4"/>
  <c r="BQ11" i="5" l="1"/>
  <c r="BR10" i="5"/>
  <c r="BQ9" i="5"/>
  <c r="BI11" i="4"/>
  <c r="BI9" i="4"/>
  <c r="BJ10" i="4"/>
  <c r="BR11" i="5" l="1"/>
  <c r="BS10" i="5"/>
  <c r="BR9" i="5"/>
  <c r="BJ9" i="4"/>
  <c r="BJ11" i="4"/>
  <c r="BK10" i="4"/>
  <c r="BS11" i="5" l="1"/>
  <c r="BS9" i="5"/>
  <c r="BT10" i="5"/>
  <c r="BK11" i="4"/>
  <c r="BL10" i="4"/>
  <c r="BK9" i="4"/>
  <c r="BT11" i="5" l="1"/>
  <c r="BU10" i="5"/>
  <c r="BT9" i="5"/>
  <c r="BL11" i="4"/>
  <c r="BL9" i="4"/>
  <c r="BM10" i="4"/>
  <c r="BV10" i="5" l="1"/>
  <c r="BU9" i="5"/>
  <c r="BU11" i="5"/>
  <c r="BM9" i="4"/>
  <c r="BM11" i="4"/>
  <c r="BN10" i="4"/>
  <c r="BV11" i="5" l="1"/>
  <c r="BW10" i="5"/>
  <c r="BV9" i="5"/>
  <c r="BN9" i="4"/>
  <c r="BO10" i="4"/>
  <c r="BN11" i="4"/>
  <c r="BW11" i="5" l="1"/>
  <c r="BX10" i="5"/>
  <c r="BW9" i="5"/>
  <c r="BP10" i="4"/>
  <c r="BO11" i="4"/>
  <c r="BO9" i="4"/>
  <c r="BX9" i="5" l="1"/>
  <c r="BX11" i="5"/>
  <c r="BY10" i="5"/>
  <c r="BP11" i="4"/>
  <c r="BP9" i="4"/>
  <c r="BQ10" i="4"/>
  <c r="BY11" i="5" l="1"/>
  <c r="BZ10" i="5"/>
  <c r="BY9" i="5"/>
  <c r="BQ11" i="4"/>
  <c r="BR10" i="4"/>
  <c r="BQ9" i="4"/>
  <c r="BZ11" i="5" l="1"/>
  <c r="CA10" i="5"/>
  <c r="BZ9" i="5"/>
  <c r="BR9" i="4"/>
  <c r="BS10" i="4"/>
  <c r="BR11" i="4"/>
  <c r="CA11" i="5" l="1"/>
  <c r="CB10" i="5"/>
  <c r="CA9" i="5"/>
  <c r="BS11" i="4"/>
  <c r="BT10" i="4"/>
  <c r="BS9" i="4"/>
  <c r="CB11" i="5" l="1"/>
  <c r="CC10" i="5"/>
  <c r="CB9" i="5"/>
  <c r="BT11" i="4"/>
  <c r="BT9" i="4"/>
  <c r="BU10" i="4"/>
  <c r="CD10" i="5" l="1"/>
  <c r="CC9" i="5"/>
  <c r="CC11" i="5"/>
  <c r="BU9" i="4"/>
  <c r="BU11" i="4"/>
  <c r="BV10" i="4"/>
  <c r="CD11" i="5" l="1"/>
  <c r="CE10" i="5"/>
  <c r="CD9" i="5"/>
  <c r="BV9" i="4"/>
  <c r="BW10" i="4"/>
  <c r="BV11" i="4"/>
  <c r="CE11" i="5" l="1"/>
  <c r="CF10" i="5"/>
  <c r="CE9" i="5"/>
  <c r="BX10" i="4"/>
  <c r="BW11" i="4"/>
  <c r="BW9" i="4"/>
  <c r="CG10" i="5" l="1"/>
  <c r="CF9" i="5"/>
  <c r="CF11" i="5"/>
  <c r="BX11" i="4"/>
  <c r="BX9" i="4"/>
  <c r="BY10" i="4"/>
  <c r="CG11" i="5" l="1"/>
  <c r="CH10" i="5"/>
  <c r="CG9" i="5"/>
  <c r="BY11" i="4"/>
  <c r="BY9" i="4"/>
  <c r="BZ10" i="4"/>
  <c r="CH11" i="5" l="1"/>
  <c r="CI10" i="5"/>
  <c r="CH9" i="5"/>
  <c r="BZ9" i="4"/>
  <c r="CA10" i="4"/>
  <c r="BZ11" i="4"/>
  <c r="CI11" i="5" l="1"/>
  <c r="CJ10" i="5"/>
  <c r="CI9" i="5"/>
  <c r="CA11" i="4"/>
  <c r="CB10" i="4"/>
  <c r="CA9" i="4"/>
  <c r="CJ11" i="5" l="1"/>
  <c r="CK10" i="5"/>
  <c r="CJ9" i="5"/>
  <c r="CB11" i="4"/>
  <c r="CB9" i="4"/>
  <c r="CC10" i="4"/>
  <c r="CL10" i="5" l="1"/>
  <c r="CK9" i="5"/>
  <c r="CK11" i="5"/>
  <c r="CC9" i="4"/>
  <c r="CC11" i="4"/>
  <c r="CD10" i="4"/>
  <c r="CL11" i="5" l="1"/>
  <c r="CM10" i="5"/>
  <c r="CL9" i="5"/>
  <c r="CD9" i="4"/>
  <c r="CE10" i="4"/>
  <c r="CD11" i="4"/>
  <c r="CM11" i="5" l="1"/>
  <c r="CN10" i="5"/>
  <c r="CM9" i="5"/>
  <c r="CF10" i="4"/>
  <c r="CE11" i="4"/>
  <c r="CE9" i="4"/>
  <c r="CN9" i="5" l="1"/>
  <c r="CN11" i="5"/>
  <c r="CO10" i="5"/>
  <c r="CF11" i="4"/>
  <c r="CG10" i="4"/>
  <c r="CF9" i="4"/>
  <c r="CO11" i="5" l="1"/>
  <c r="CO9" i="5"/>
  <c r="CP10" i="5"/>
  <c r="CG11" i="4"/>
  <c r="CH10" i="4"/>
  <c r="CG9" i="4"/>
  <c r="CP11" i="5" l="1"/>
  <c r="CQ10" i="5"/>
  <c r="CP9" i="5"/>
  <c r="CH9" i="4"/>
  <c r="CH11" i="4"/>
  <c r="CI10" i="4"/>
  <c r="CQ11" i="5" l="1"/>
  <c r="CQ9" i="5"/>
  <c r="CR10" i="5"/>
  <c r="CI11" i="4"/>
  <c r="CJ10" i="4"/>
  <c r="CI9" i="4"/>
  <c r="CR11" i="5" l="1"/>
  <c r="CS10" i="5"/>
  <c r="CR9" i="5"/>
  <c r="CJ11" i="4"/>
  <c r="CK10" i="4"/>
  <c r="CJ9" i="4"/>
  <c r="CT10" i="5" l="1"/>
  <c r="CS9" i="5"/>
  <c r="CS11" i="5"/>
  <c r="CK9" i="4"/>
  <c r="CK11" i="4"/>
  <c r="CL10" i="4"/>
  <c r="CT11" i="5" l="1"/>
  <c r="CT9" i="5"/>
  <c r="CU10" i="5"/>
  <c r="CL9" i="4"/>
  <c r="CM10" i="4"/>
  <c r="CL11" i="4"/>
  <c r="CV10" i="5" l="1"/>
  <c r="CU11" i="5"/>
  <c r="CU9" i="5"/>
  <c r="CN10" i="4"/>
  <c r="CM11" i="4"/>
  <c r="CM9" i="4"/>
  <c r="CW10" i="5" l="1"/>
  <c r="CV9" i="5"/>
  <c r="CV11" i="5"/>
  <c r="CN11" i="4"/>
  <c r="CO10" i="4"/>
  <c r="CN9" i="4"/>
  <c r="CW11" i="5" l="1"/>
  <c r="CX10" i="5"/>
  <c r="CW9" i="5"/>
  <c r="CO11" i="4"/>
  <c r="CO9" i="4"/>
  <c r="CP10" i="4"/>
  <c r="CX11" i="5" l="1"/>
  <c r="CY10" i="5"/>
  <c r="CX9" i="5"/>
  <c r="CP9" i="4"/>
  <c r="CQ10" i="4"/>
  <c r="CP11" i="4"/>
  <c r="CY11" i="5" l="1"/>
  <c r="CY9" i="5"/>
  <c r="CZ10" i="5"/>
  <c r="CQ11" i="4"/>
  <c r="CR10" i="4"/>
  <c r="CQ9" i="4"/>
  <c r="CZ11" i="5" l="1"/>
  <c r="DA10" i="5"/>
  <c r="CZ9" i="5"/>
  <c r="CR11" i="4"/>
  <c r="CS10" i="4"/>
  <c r="CR9" i="4"/>
  <c r="DB10" i="5" l="1"/>
  <c r="DA9" i="5"/>
  <c r="DA11" i="5"/>
  <c r="CS9" i="4"/>
  <c r="CT10" i="4"/>
  <c r="CS11" i="4"/>
  <c r="DB11" i="5" l="1"/>
  <c r="DC10" i="5"/>
  <c r="DB9" i="5"/>
  <c r="CT9" i="4"/>
  <c r="CU10" i="4"/>
  <c r="CT11" i="4"/>
  <c r="DC11" i="5" l="1"/>
  <c r="DD10" i="5"/>
  <c r="DC9" i="5"/>
  <c r="CV10" i="4"/>
  <c r="CU11" i="4"/>
  <c r="CU9" i="4"/>
  <c r="DD9" i="5" l="1"/>
  <c r="DD11" i="5"/>
  <c r="DE10" i="5"/>
  <c r="CV11" i="4"/>
  <c r="CV9" i="4"/>
  <c r="CW10" i="4"/>
  <c r="DE11" i="5" l="1"/>
  <c r="DF10" i="5"/>
  <c r="DE9" i="5"/>
  <c r="CW11" i="4"/>
  <c r="CX10" i="4"/>
  <c r="CW9" i="4"/>
  <c r="DF11" i="5" l="1"/>
  <c r="DG10" i="5"/>
  <c r="DF9" i="5"/>
  <c r="CX9" i="4"/>
  <c r="CX11" i="4"/>
  <c r="CY10" i="4"/>
  <c r="DG11" i="5" l="1"/>
  <c r="DH10" i="5"/>
  <c r="DG9" i="5"/>
  <c r="CY11" i="4"/>
  <c r="CZ10" i="4"/>
  <c r="CY9" i="4"/>
  <c r="DH11" i="5" l="1"/>
  <c r="DI10" i="5"/>
  <c r="DH9" i="5"/>
  <c r="CZ11" i="4"/>
  <c r="DA10" i="4"/>
  <c r="CZ9" i="4"/>
  <c r="DJ10" i="5" l="1"/>
  <c r="DI9" i="5"/>
  <c r="DI11" i="5"/>
  <c r="DA9" i="4"/>
  <c r="DA11" i="4"/>
  <c r="DB10" i="4"/>
  <c r="DJ11" i="5" l="1"/>
  <c r="DK10" i="5"/>
  <c r="DJ9" i="5"/>
  <c r="DB9" i="4"/>
  <c r="DC10" i="4"/>
  <c r="DB11" i="4"/>
  <c r="DK11" i="5" l="1"/>
  <c r="DL10" i="5"/>
  <c r="DK9" i="5"/>
  <c r="DD10" i="4"/>
  <c r="DC9" i="4"/>
  <c r="DC11" i="4"/>
  <c r="DM10" i="5" l="1"/>
  <c r="DL9" i="5"/>
  <c r="DL11" i="5"/>
  <c r="DD11" i="4"/>
  <c r="DD9" i="4"/>
  <c r="DE10" i="4"/>
  <c r="DM11" i="5" l="1"/>
  <c r="DN10" i="5"/>
  <c r="DM9" i="5"/>
  <c r="DF10" i="4"/>
  <c r="DE11" i="4"/>
  <c r="DE9" i="4"/>
  <c r="DN11" i="5" l="1"/>
  <c r="DO10" i="5"/>
  <c r="DN9" i="5"/>
  <c r="DF9" i="4"/>
  <c r="DF11" i="4"/>
  <c r="DG10" i="4"/>
  <c r="DO11" i="5" l="1"/>
  <c r="DP10" i="5"/>
  <c r="DO9" i="5"/>
  <c r="DG11" i="4"/>
  <c r="DH10" i="4"/>
  <c r="DG9" i="4"/>
  <c r="DP11" i="5" l="1"/>
  <c r="DQ10" i="5"/>
  <c r="DP9" i="5"/>
  <c r="DH11" i="4"/>
  <c r="DH9" i="4"/>
  <c r="DI10" i="4"/>
  <c r="DR10" i="5" l="1"/>
  <c r="DQ9" i="5"/>
  <c r="DQ11" i="5"/>
  <c r="DI9" i="4"/>
  <c r="DI11" i="4"/>
  <c r="DJ10" i="4"/>
  <c r="DR11" i="5" l="1"/>
  <c r="DS10" i="5"/>
  <c r="DR9" i="5"/>
  <c r="DJ9" i="4"/>
  <c r="DK10" i="4"/>
  <c r="DJ11" i="4"/>
  <c r="DS11" i="5" l="1"/>
  <c r="DT10" i="5"/>
  <c r="DS9" i="5"/>
  <c r="DL10" i="4"/>
  <c r="DK11" i="4"/>
  <c r="DK9" i="4"/>
  <c r="DT9" i="5" l="1"/>
  <c r="DT11" i="5"/>
  <c r="DU10" i="5"/>
  <c r="DL11" i="4"/>
  <c r="DL9" i="4"/>
  <c r="DM10" i="4"/>
  <c r="DU11" i="5" l="1"/>
  <c r="DU9" i="5"/>
  <c r="DV10" i="5"/>
  <c r="DM11" i="4"/>
  <c r="DN10" i="4"/>
  <c r="DM9" i="4"/>
  <c r="DV11" i="5" l="1"/>
  <c r="DW10" i="5"/>
  <c r="DV9" i="5"/>
  <c r="DN9" i="4"/>
  <c r="DN11" i="4"/>
  <c r="DO10" i="4"/>
  <c r="DW11" i="5" l="1"/>
  <c r="DW9" i="5"/>
  <c r="DX10" i="5"/>
  <c r="DO11" i="4"/>
  <c r="DP10" i="4"/>
  <c r="DO9" i="4"/>
  <c r="DX11" i="5" l="1"/>
  <c r="DY10" i="5"/>
  <c r="DX9" i="5"/>
  <c r="DP11" i="4"/>
  <c r="DQ10" i="4"/>
  <c r="DP9" i="4"/>
  <c r="DZ10" i="5" l="1"/>
  <c r="DY9" i="5"/>
  <c r="DY11" i="5"/>
  <c r="DQ9" i="4"/>
  <c r="DR10" i="4"/>
  <c r="DQ11" i="4"/>
  <c r="DZ11" i="5" l="1"/>
  <c r="DZ9" i="5"/>
  <c r="EA10" i="5"/>
  <c r="DR9" i="4"/>
  <c r="DS10" i="4"/>
  <c r="DR11" i="4"/>
  <c r="EB10" i="5" l="1"/>
  <c r="EA11" i="5"/>
  <c r="EA9" i="5"/>
  <c r="DT10" i="4"/>
  <c r="DS11" i="4"/>
  <c r="DS9" i="4"/>
  <c r="EC10" i="5" l="1"/>
  <c r="EB9" i="5"/>
  <c r="EB11" i="5"/>
  <c r="DT11" i="4"/>
  <c r="DT9" i="4"/>
  <c r="DU10" i="4"/>
  <c r="EC11" i="5" l="1"/>
  <c r="ED10" i="5"/>
  <c r="EC9" i="5"/>
  <c r="DU11" i="4"/>
  <c r="DU9" i="4"/>
  <c r="DV10" i="4"/>
  <c r="ED11" i="5" l="1"/>
  <c r="EE10" i="5"/>
  <c r="ED9" i="5"/>
  <c r="DV9" i="4"/>
  <c r="DV11" i="4"/>
  <c r="DW10" i="4"/>
  <c r="EE11" i="5" l="1"/>
  <c r="EE9" i="5"/>
  <c r="EF10" i="5"/>
  <c r="DW11" i="4"/>
  <c r="DX10" i="4"/>
  <c r="DW9" i="4"/>
  <c r="EF11" i="5" l="1"/>
  <c r="EG10" i="5"/>
  <c r="EF9" i="5"/>
  <c r="DX11" i="4"/>
  <c r="DX9" i="4"/>
  <c r="DY10" i="4"/>
  <c r="EH10" i="5" l="1"/>
  <c r="EG9" i="5"/>
  <c r="EG11" i="5"/>
  <c r="DY9" i="4"/>
  <c r="DY11" i="4"/>
  <c r="DZ10" i="4"/>
  <c r="EH11" i="5" l="1"/>
  <c r="EH9" i="5"/>
  <c r="EI10" i="5"/>
  <c r="DZ9" i="4"/>
  <c r="EA10" i="4"/>
  <c r="DZ11" i="4"/>
  <c r="EJ10" i="5" l="1"/>
  <c r="EI11" i="5"/>
  <c r="EI9" i="5"/>
  <c r="EB10" i="4"/>
  <c r="EA11" i="4"/>
  <c r="EA9" i="4"/>
  <c r="EK10" i="5" l="1"/>
  <c r="EJ9" i="5"/>
  <c r="EJ11" i="5"/>
  <c r="EB11" i="4"/>
  <c r="EB9" i="4"/>
  <c r="EC10" i="4"/>
  <c r="EK11" i="5" l="1"/>
  <c r="EL10" i="5"/>
  <c r="EK9" i="5"/>
  <c r="EC11" i="4"/>
  <c r="ED10" i="4"/>
  <c r="EC9" i="4"/>
  <c r="EL11" i="5" l="1"/>
  <c r="EL9" i="5"/>
  <c r="EM10" i="5"/>
  <c r="ED9" i="4"/>
  <c r="EE10" i="4"/>
  <c r="ED11" i="4"/>
  <c r="EM11" i="5" l="1"/>
  <c r="EN10" i="5"/>
  <c r="EM9" i="5"/>
  <c r="EE11" i="4"/>
  <c r="EF10" i="4"/>
  <c r="EE9" i="4"/>
  <c r="EN11" i="5" l="1"/>
  <c r="EO10" i="5"/>
  <c r="EN9" i="5"/>
  <c r="EF11" i="4"/>
  <c r="EG10" i="4"/>
  <c r="EF9" i="4"/>
  <c r="EP10" i="5" l="1"/>
  <c r="EO9" i="5"/>
  <c r="EO11" i="5"/>
  <c r="EG9" i="4"/>
  <c r="EG11" i="4"/>
  <c r="EH10" i="4"/>
  <c r="EQ10" i="5" l="1"/>
  <c r="EP11" i="5"/>
  <c r="EP9" i="5"/>
  <c r="EH9" i="4"/>
  <c r="EI10" i="4"/>
  <c r="EH11" i="4"/>
  <c r="ER10" i="5" l="1"/>
  <c r="EQ11" i="5"/>
  <c r="EQ9" i="5"/>
  <c r="EJ10" i="4"/>
  <c r="EI11" i="4"/>
  <c r="EI9" i="4"/>
  <c r="ES10" i="5" l="1"/>
  <c r="ER9" i="5"/>
  <c r="ER11" i="5"/>
  <c r="EJ11" i="4"/>
  <c r="EJ9" i="4"/>
  <c r="EK10" i="4"/>
  <c r="ES11" i="5" l="1"/>
  <c r="ES9" i="5"/>
  <c r="ET10" i="5"/>
  <c r="EK11" i="4"/>
  <c r="EK9" i="4"/>
  <c r="EL10" i="4"/>
  <c r="ET11" i="5" l="1"/>
  <c r="EU10" i="5"/>
  <c r="ET9" i="5"/>
  <c r="EL9" i="4"/>
  <c r="EL11" i="4"/>
  <c r="EM10" i="4"/>
  <c r="EU11" i="5" l="1"/>
  <c r="EU9" i="5"/>
  <c r="EV10" i="5"/>
  <c r="EM11" i="4"/>
  <c r="EN10" i="4"/>
  <c r="EM9" i="4"/>
  <c r="EV11" i="5" l="1"/>
  <c r="EW10" i="5"/>
  <c r="EV9" i="5"/>
  <c r="EN11" i="4"/>
  <c r="EN9" i="4"/>
  <c r="EO10" i="4"/>
  <c r="EX10" i="5" l="1"/>
  <c r="EW9" i="5"/>
  <c r="EW11" i="5"/>
  <c r="EO9" i="4"/>
  <c r="EO11" i="4"/>
  <c r="EP10" i="4"/>
  <c r="EX11" i="5" l="1"/>
  <c r="EY10" i="5"/>
  <c r="EX9" i="5"/>
  <c r="EP9" i="4"/>
  <c r="EQ10" i="4"/>
  <c r="EP11" i="4"/>
  <c r="EZ10" i="5" l="1"/>
  <c r="EY11" i="5"/>
  <c r="EY9" i="5"/>
  <c r="ER10" i="4"/>
  <c r="EQ9" i="4"/>
  <c r="EQ11" i="4"/>
  <c r="EZ9" i="5" l="1"/>
  <c r="EZ11" i="5"/>
  <c r="FA10" i="5"/>
  <c r="ER11" i="4"/>
  <c r="ES10" i="4"/>
  <c r="ER9" i="4"/>
  <c r="FA11" i="5" l="1"/>
  <c r="FB10" i="5"/>
  <c r="FA9" i="5"/>
  <c r="ES11" i="4"/>
  <c r="ET10" i="4"/>
  <c r="ES9" i="4"/>
  <c r="FB11" i="5" l="1"/>
  <c r="FC10" i="5"/>
  <c r="FB9" i="5"/>
  <c r="ET9" i="4"/>
  <c r="ET11" i="4"/>
  <c r="EU10" i="4"/>
  <c r="FC11" i="5" l="1"/>
  <c r="FD10" i="5"/>
  <c r="FC9" i="5"/>
  <c r="EU11" i="4"/>
  <c r="EV10" i="4"/>
  <c r="EU9" i="4"/>
  <c r="FD11" i="5" l="1"/>
  <c r="FE10" i="5"/>
  <c r="FD9" i="5"/>
  <c r="EV11" i="4"/>
  <c r="EV9" i="4"/>
  <c r="EW10" i="4"/>
  <c r="FF10" i="5" l="1"/>
  <c r="FE9" i="5"/>
  <c r="FE11" i="5"/>
  <c r="EW9" i="4"/>
  <c r="EW11" i="4"/>
  <c r="EX10" i="4"/>
  <c r="FF11" i="5" l="1"/>
  <c r="FG10" i="5"/>
  <c r="FF9" i="5"/>
  <c r="EX9" i="4"/>
  <c r="EY10" i="4"/>
  <c r="EX11" i="4"/>
  <c r="FH10" i="5" l="1"/>
  <c r="FG11" i="5"/>
  <c r="FG9" i="5"/>
  <c r="EZ10" i="4"/>
  <c r="EY11" i="4"/>
  <c r="EY9" i="4"/>
  <c r="FH9" i="5" l="1"/>
  <c r="FH11" i="5"/>
  <c r="FI10" i="5"/>
  <c r="EZ11" i="4"/>
  <c r="FA10" i="4"/>
  <c r="EZ9" i="4"/>
  <c r="FI11" i="5" l="1"/>
  <c r="FI9" i="5"/>
  <c r="FJ10" i="5"/>
  <c r="FA11" i="4"/>
  <c r="FA9" i="4"/>
  <c r="FB10" i="4"/>
  <c r="FJ11" i="5" l="1"/>
  <c r="FK10" i="5"/>
  <c r="FJ9" i="5"/>
  <c r="FB9" i="4"/>
  <c r="FB11" i="4"/>
  <c r="FC10" i="4"/>
  <c r="FK11" i="5" l="1"/>
  <c r="FK9" i="5"/>
  <c r="FL10" i="5"/>
  <c r="FC11" i="4"/>
  <c r="FD10" i="4"/>
  <c r="FC9" i="4"/>
  <c r="FL11" i="5" l="1"/>
  <c r="FM10" i="5"/>
  <c r="FL9" i="5"/>
  <c r="FD11" i="4"/>
  <c r="FE10" i="4"/>
  <c r="FD9" i="4"/>
  <c r="FN10" i="5" l="1"/>
  <c r="FM9" i="5"/>
  <c r="FM11" i="5"/>
  <c r="FE9" i="4"/>
  <c r="FE11" i="4"/>
  <c r="FF10" i="4"/>
  <c r="FN11" i="5" l="1"/>
  <c r="FO10" i="5"/>
  <c r="FN9" i="5"/>
  <c r="FF9" i="4"/>
  <c r="FG10" i="4"/>
  <c r="FF11" i="4"/>
  <c r="FP10" i="5" l="1"/>
  <c r="FO11" i="5"/>
  <c r="FO9" i="5"/>
  <c r="FH10" i="4"/>
  <c r="FG11" i="4"/>
  <c r="FG9" i="4"/>
  <c r="FQ10" i="5" l="1"/>
  <c r="FP9" i="5"/>
  <c r="FP11" i="5"/>
  <c r="FH11" i="4"/>
  <c r="FH9" i="4"/>
  <c r="FI10" i="4"/>
  <c r="FQ11" i="5" l="1"/>
  <c r="FR10" i="5"/>
  <c r="FQ9" i="5"/>
  <c r="FI11" i="4"/>
  <c r="FI9" i="4"/>
  <c r="FJ10" i="4"/>
  <c r="FR11" i="5" l="1"/>
  <c r="FS10" i="5"/>
  <c r="FR9" i="5"/>
  <c r="FJ9" i="4"/>
  <c r="FJ11" i="4"/>
  <c r="FK10" i="4"/>
  <c r="FS11" i="5" l="1"/>
  <c r="FS9" i="5"/>
  <c r="FT10" i="5"/>
  <c r="FK11" i="4"/>
  <c r="FL10" i="4"/>
  <c r="FK9" i="4"/>
  <c r="FT11" i="5" l="1"/>
  <c r="FT9" i="5"/>
  <c r="FU10" i="5"/>
  <c r="FL11" i="4"/>
  <c r="FM10" i="4"/>
  <c r="FL9" i="4"/>
  <c r="FV10" i="5" l="1"/>
  <c r="FU9" i="5"/>
  <c r="FU11" i="5"/>
  <c r="FM9" i="4"/>
  <c r="FM11" i="4"/>
  <c r="FN10" i="4"/>
  <c r="FV9" i="5" l="1"/>
  <c r="FV11" i="5"/>
  <c r="FW10" i="5"/>
  <c r="FN9" i="4"/>
  <c r="FO10" i="4"/>
  <c r="FN11" i="4"/>
  <c r="FX10" i="5" l="1"/>
  <c r="FW11" i="5"/>
  <c r="FW9" i="5"/>
  <c r="FP10" i="4"/>
  <c r="FO9" i="4"/>
  <c r="FO11" i="4"/>
  <c r="FY10" i="5" l="1"/>
  <c r="FX11" i="5"/>
  <c r="FX9" i="5"/>
  <c r="FP11" i="4"/>
  <c r="FQ10" i="4"/>
  <c r="FP9" i="4"/>
  <c r="FY11" i="5" l="1"/>
  <c r="FY9" i="5"/>
  <c r="FZ10" i="5"/>
  <c r="FR10" i="4"/>
  <c r="FQ9" i="4"/>
  <c r="FQ11" i="4"/>
  <c r="FZ11" i="5" l="1"/>
  <c r="GA10" i="5"/>
  <c r="FZ9" i="5"/>
  <c r="FR9" i="4"/>
  <c r="FR11" i="4"/>
  <c r="FS10" i="4"/>
  <c r="GA11" i="5" l="1"/>
  <c r="GA9" i="5"/>
  <c r="GB10" i="5"/>
  <c r="FS11" i="4"/>
  <c r="FT10" i="4"/>
  <c r="FS9" i="4"/>
  <c r="GB11" i="5" l="1"/>
  <c r="GB9" i="5"/>
  <c r="GC10" i="5"/>
  <c r="FT11" i="4"/>
  <c r="FT9" i="4"/>
  <c r="FU10" i="4"/>
  <c r="GD10" i="5" l="1"/>
  <c r="GC11" i="5"/>
  <c r="GC9" i="5"/>
  <c r="FU9" i="4"/>
  <c r="FU11" i="4"/>
  <c r="FV10" i="4"/>
  <c r="GE10" i="5" l="1"/>
  <c r="GD11" i="5"/>
  <c r="GD9" i="5"/>
  <c r="FV9" i="4"/>
  <c r="FW10" i="4"/>
  <c r="FV11" i="4"/>
  <c r="GF10" i="5" l="1"/>
  <c r="GE11" i="5"/>
  <c r="GE9" i="5"/>
  <c r="FX10" i="4"/>
  <c r="FW11" i="4"/>
  <c r="FW9" i="4"/>
  <c r="GF9" i="5" l="1"/>
  <c r="GF11" i="5"/>
  <c r="GG10" i="5"/>
  <c r="FX11" i="4"/>
  <c r="FX9" i="4"/>
  <c r="FY10" i="4"/>
  <c r="GG11" i="5" l="1"/>
  <c r="GG9" i="5"/>
  <c r="GH10" i="5"/>
  <c r="FY11" i="4"/>
  <c r="FZ10" i="4"/>
  <c r="FY9" i="4"/>
  <c r="GH11" i="5" l="1"/>
  <c r="GI10" i="5"/>
  <c r="GH9" i="5"/>
  <c r="FZ9" i="4"/>
  <c r="FZ11" i="4"/>
  <c r="GA10" i="4"/>
  <c r="GI11" i="5" l="1"/>
  <c r="GI9" i="5"/>
  <c r="GJ10" i="5"/>
  <c r="GA11" i="4"/>
  <c r="GB10" i="4"/>
  <c r="GA9" i="4"/>
  <c r="GJ11" i="5" l="1"/>
  <c r="GJ9" i="5"/>
  <c r="GK10" i="5"/>
  <c r="GB11" i="4"/>
  <c r="GC10" i="4"/>
  <c r="GD10" i="4" s="1"/>
  <c r="GB9" i="4"/>
  <c r="GL10" i="5" l="1"/>
  <c r="GK9" i="5"/>
  <c r="GK11" i="5"/>
  <c r="GD11" i="4"/>
  <c r="GE10" i="4"/>
  <c r="GD9" i="4"/>
  <c r="GC9" i="4"/>
  <c r="GC11" i="4"/>
  <c r="GL9" i="5" l="1"/>
  <c r="GL11" i="5"/>
  <c r="GM10" i="5"/>
  <c r="GE11" i="4"/>
  <c r="GE9" i="4"/>
  <c r="GF10" i="4"/>
  <c r="GN10" i="5" l="1"/>
  <c r="GM11" i="5"/>
  <c r="GM9" i="5"/>
  <c r="GG10" i="4"/>
  <c r="GF11" i="4"/>
  <c r="GF9" i="4"/>
  <c r="GO10" i="5" l="1"/>
  <c r="GN9" i="5"/>
  <c r="GN11" i="5"/>
  <c r="GG11" i="4"/>
  <c r="GG9" i="4"/>
  <c r="GH10" i="4"/>
  <c r="GO11" i="5" l="1"/>
  <c r="GP10" i="5"/>
  <c r="GO9" i="5"/>
  <c r="GH9" i="4"/>
  <c r="GI10" i="4"/>
  <c r="GH11" i="4"/>
  <c r="GP11" i="5" l="1"/>
  <c r="GQ10" i="5"/>
  <c r="GP9" i="5"/>
  <c r="GJ10" i="4"/>
  <c r="GI11" i="4"/>
  <c r="GI9" i="4"/>
  <c r="GQ11" i="5" l="1"/>
  <c r="GQ9" i="5"/>
  <c r="GR10" i="5"/>
  <c r="GK10" i="4"/>
  <c r="GJ11" i="4"/>
  <c r="GJ9" i="4"/>
  <c r="GR11" i="5" l="1"/>
  <c r="GR9" i="5"/>
  <c r="GS10" i="5"/>
  <c r="GK11" i="4"/>
  <c r="GL10" i="4"/>
  <c r="GK9" i="4"/>
  <c r="GT10" i="5" l="1"/>
  <c r="GS11" i="5"/>
  <c r="GS9" i="5"/>
  <c r="GM10" i="4"/>
  <c r="GL11" i="4"/>
  <c r="GL9" i="4"/>
  <c r="GT11" i="5" l="1"/>
  <c r="GT9" i="5"/>
  <c r="GU10" i="5"/>
  <c r="GN10" i="4"/>
  <c r="GM9" i="4"/>
  <c r="GM11" i="4"/>
  <c r="GV10" i="5" l="1"/>
  <c r="GU11" i="5"/>
  <c r="GU9" i="5"/>
  <c r="GN11" i="4"/>
  <c r="GO10" i="4"/>
  <c r="GN9" i="4"/>
  <c r="GV9" i="5" l="1"/>
  <c r="GW10" i="5"/>
  <c r="GV11" i="5"/>
  <c r="GO11" i="4"/>
  <c r="GO9" i="4"/>
  <c r="GP10" i="4"/>
  <c r="GW11" i="5" l="1"/>
  <c r="GX10" i="5"/>
  <c r="GW9" i="5"/>
  <c r="GP9" i="4"/>
  <c r="GP11" i="4"/>
  <c r="GQ10" i="4"/>
  <c r="GX11" i="5" l="1"/>
  <c r="GX9" i="5"/>
  <c r="GY10" i="5"/>
  <c r="GR10" i="4"/>
  <c r="GQ9" i="4"/>
  <c r="GQ11" i="4"/>
  <c r="GY11" i="5" l="1"/>
  <c r="GY9" i="5"/>
  <c r="GZ10" i="5"/>
  <c r="GS10" i="4"/>
  <c r="GR9" i="4"/>
  <c r="GR11" i="4"/>
  <c r="GZ11" i="5" l="1"/>
  <c r="GZ9" i="5"/>
  <c r="HA10" i="5"/>
  <c r="GT10" i="4"/>
  <c r="GS11" i="4"/>
  <c r="GS9" i="4"/>
  <c r="HB10" i="5" l="1"/>
  <c r="HA9" i="5"/>
  <c r="HA11" i="5"/>
  <c r="GT9" i="4"/>
  <c r="GT11" i="4"/>
  <c r="GU10" i="4"/>
  <c r="HB9" i="5" l="1"/>
  <c r="HC10" i="5"/>
  <c r="HB11" i="5"/>
  <c r="GV10" i="4"/>
  <c r="GU9" i="4"/>
  <c r="GU11" i="4"/>
  <c r="HD10" i="5" l="1"/>
  <c r="HC11" i="5"/>
  <c r="HC9" i="5"/>
  <c r="GV11" i="4"/>
  <c r="GW10" i="4"/>
  <c r="GV9" i="4"/>
  <c r="HE10" i="5" l="1"/>
  <c r="HD9" i="5"/>
  <c r="HD11" i="5"/>
  <c r="GX10" i="4"/>
  <c r="GW11" i="4"/>
  <c r="GW9" i="4"/>
  <c r="HE11" i="5" l="1"/>
  <c r="HE9" i="5"/>
  <c r="HF10" i="5"/>
  <c r="GX9" i="4"/>
  <c r="GY10" i="4"/>
  <c r="GX11" i="4"/>
  <c r="HF11" i="5" l="1"/>
  <c r="HF9" i="5"/>
  <c r="HG10" i="5"/>
  <c r="GZ10" i="4"/>
  <c r="GY11" i="4"/>
  <c r="GY9" i="4"/>
  <c r="HG11" i="5" l="1"/>
  <c r="HG9" i="5"/>
  <c r="HH10" i="5"/>
  <c r="HA10" i="4"/>
  <c r="GZ11" i="4"/>
  <c r="GZ9" i="4"/>
  <c r="HH11" i="5" l="1"/>
  <c r="HH9" i="5"/>
  <c r="HI10" i="5"/>
  <c r="HB10" i="4"/>
  <c r="HA11" i="4"/>
  <c r="HA9" i="4"/>
  <c r="HJ10" i="5" l="1"/>
  <c r="HI11" i="5"/>
  <c r="HI9" i="5"/>
  <c r="HB11" i="4"/>
  <c r="HC10" i="4"/>
  <c r="HB9" i="4"/>
  <c r="HJ11" i="5" l="1"/>
  <c r="HJ9" i="5"/>
  <c r="HK10" i="5"/>
  <c r="HC11" i="4"/>
  <c r="HC9" i="4"/>
  <c r="HD10" i="4"/>
  <c r="HL10" i="5" l="1"/>
  <c r="HK11" i="5"/>
  <c r="HK9" i="5"/>
  <c r="HD11" i="4"/>
  <c r="HD9" i="4"/>
  <c r="HE10" i="4"/>
  <c r="HL9" i="5" l="1"/>
  <c r="HL11" i="5"/>
  <c r="HM10" i="5"/>
  <c r="HF10" i="4"/>
  <c r="HE9" i="4"/>
  <c r="HE11" i="4"/>
  <c r="HM11" i="5" l="1"/>
  <c r="HN10" i="5"/>
  <c r="HM9" i="5"/>
  <c r="HF11" i="4"/>
  <c r="HG10" i="4"/>
  <c r="HF9" i="4"/>
  <c r="HN11" i="5" l="1"/>
  <c r="HO10" i="5"/>
  <c r="HN9" i="5"/>
  <c r="HH10" i="4"/>
  <c r="HG11" i="4"/>
  <c r="HG9" i="4"/>
  <c r="HO11" i="5" l="1"/>
  <c r="HO9" i="5"/>
  <c r="HP10" i="5"/>
  <c r="HH11" i="4"/>
  <c r="HI10" i="4"/>
  <c r="HH9" i="4"/>
  <c r="HP11" i="5" l="1"/>
  <c r="HP9" i="5"/>
  <c r="HQ10" i="5"/>
  <c r="HI11" i="4"/>
  <c r="HJ10" i="4"/>
  <c r="HI9" i="4"/>
  <c r="HR10" i="5" l="1"/>
  <c r="HQ9" i="5"/>
  <c r="HQ11" i="5"/>
  <c r="HJ11" i="4"/>
  <c r="HJ9" i="4"/>
  <c r="HK10" i="4"/>
  <c r="HR9" i="5" l="1"/>
  <c r="HR11" i="5"/>
  <c r="HS10" i="5"/>
  <c r="HK9" i="4"/>
  <c r="HL10" i="4"/>
  <c r="HK11" i="4"/>
  <c r="HT10" i="5" l="1"/>
  <c r="HS11" i="5"/>
  <c r="HS9" i="5"/>
  <c r="HL11" i="4"/>
  <c r="HL9" i="4"/>
  <c r="HM10" i="4"/>
  <c r="HT9" i="5" l="1"/>
  <c r="HU10" i="5"/>
  <c r="HT11" i="5"/>
  <c r="HN10" i="4"/>
  <c r="HM11" i="4"/>
  <c r="HM9" i="4"/>
  <c r="HU11" i="5" l="1"/>
  <c r="HU9" i="5"/>
  <c r="HV10" i="5"/>
  <c r="HO10" i="4"/>
  <c r="HN9" i="4"/>
  <c r="HN11" i="4"/>
  <c r="HV11" i="5" l="1"/>
  <c r="HV9" i="5"/>
  <c r="HW10" i="5"/>
  <c r="HO11" i="4"/>
  <c r="HO9" i="4"/>
  <c r="HP10" i="4"/>
  <c r="HW11" i="5" l="1"/>
  <c r="HW9" i="5"/>
  <c r="HX10" i="5"/>
  <c r="HP9" i="4"/>
  <c r="HQ10" i="4"/>
  <c r="HP11" i="4"/>
  <c r="HX11" i="5" l="1"/>
  <c r="HX9" i="5"/>
  <c r="HY10" i="5"/>
  <c r="HR10" i="4"/>
  <c r="HQ9" i="4"/>
  <c r="HQ11" i="4"/>
  <c r="HZ10" i="5" l="1"/>
  <c r="HY11" i="5"/>
  <c r="HY9" i="5"/>
  <c r="HR9" i="4"/>
  <c r="HR11" i="4"/>
  <c r="HS10" i="4"/>
  <c r="HZ11" i="5" l="1"/>
  <c r="IA10" i="5"/>
  <c r="HZ9" i="5"/>
  <c r="HS9" i="4"/>
  <c r="HS11" i="4"/>
  <c r="HT10" i="4"/>
  <c r="IB10" i="5" l="1"/>
  <c r="IA11" i="5"/>
  <c r="IA9" i="5"/>
  <c r="HT9" i="4"/>
  <c r="HT11" i="4"/>
  <c r="HU10" i="4"/>
  <c r="IB11" i="5" l="1"/>
  <c r="IC10" i="5"/>
  <c r="IB9" i="5"/>
  <c r="HU11" i="4"/>
  <c r="HV10" i="4"/>
  <c r="HU9" i="4"/>
  <c r="IC11" i="5" l="1"/>
  <c r="ID10" i="5"/>
  <c r="IC9" i="5"/>
  <c r="HV9" i="4"/>
  <c r="HW10" i="4"/>
  <c r="HV11" i="4"/>
  <c r="ID11" i="5" l="1"/>
  <c r="ID9" i="5"/>
  <c r="IE10" i="5"/>
  <c r="HW9" i="4"/>
  <c r="HX10" i="4"/>
  <c r="HW11" i="4"/>
  <c r="IE11" i="5" l="1"/>
  <c r="IE9" i="5"/>
  <c r="IF10" i="5"/>
  <c r="HY10" i="4"/>
  <c r="HX9" i="4"/>
  <c r="HX11" i="4"/>
  <c r="IF11" i="5" l="1"/>
  <c r="IF9" i="5"/>
  <c r="IG10" i="5"/>
  <c r="HZ10" i="4"/>
  <c r="HY9" i="4"/>
  <c r="HY11" i="4"/>
  <c r="IH10" i="5" l="1"/>
  <c r="IG9" i="5"/>
  <c r="IG11" i="5"/>
  <c r="IA10" i="4"/>
  <c r="HZ9" i="4"/>
  <c r="HZ11" i="4"/>
  <c r="IH11" i="5" l="1"/>
  <c r="II10" i="5"/>
  <c r="IH9" i="5"/>
  <c r="IA9" i="4"/>
  <c r="IB10" i="4"/>
  <c r="IA11" i="4"/>
  <c r="IJ10" i="5" l="1"/>
  <c r="II9" i="5"/>
  <c r="II11" i="5"/>
  <c r="IC10" i="4"/>
  <c r="IB9" i="4"/>
  <c r="IB11" i="4"/>
  <c r="IJ11" i="5" l="1"/>
  <c r="IK10" i="5"/>
  <c r="IJ9" i="5"/>
  <c r="IC9" i="4"/>
  <c r="ID10" i="4"/>
  <c r="IC11" i="4"/>
  <c r="IK11" i="5" l="1"/>
  <c r="IL10" i="5"/>
  <c r="IK9" i="5"/>
  <c r="ID9" i="4"/>
  <c r="IE10" i="4"/>
  <c r="ID11" i="4"/>
  <c r="IL11" i="5" l="1"/>
  <c r="IL9" i="5"/>
  <c r="IM10" i="5"/>
  <c r="IE9" i="4"/>
  <c r="IE11" i="4"/>
  <c r="IF10" i="4"/>
  <c r="IM11" i="5" l="1"/>
  <c r="IM9" i="5"/>
  <c r="IN10" i="5"/>
  <c r="IG10" i="4"/>
  <c r="IF9" i="4"/>
  <c r="IF11" i="4"/>
  <c r="IN11" i="5" l="1"/>
  <c r="IN9" i="5"/>
  <c r="IO10" i="5"/>
  <c r="IH10" i="4"/>
  <c r="IG11" i="4"/>
  <c r="IG9" i="4"/>
  <c r="IP10" i="5" l="1"/>
  <c r="IO11" i="5"/>
  <c r="IO9" i="5"/>
  <c r="II10" i="4"/>
  <c r="IH9" i="4"/>
  <c r="IH11" i="4"/>
  <c r="IP11" i="5" l="1"/>
  <c r="IQ10" i="5"/>
  <c r="IP9" i="5"/>
  <c r="IJ10" i="4"/>
  <c r="II9" i="4"/>
  <c r="II11" i="4"/>
  <c r="IR10" i="5" l="1"/>
  <c r="IQ9" i="5"/>
  <c r="IQ11" i="5"/>
  <c r="IJ9" i="4"/>
  <c r="IJ11" i="4"/>
  <c r="IK10" i="4"/>
  <c r="IR9" i="5" l="1"/>
  <c r="IS10" i="5"/>
  <c r="IR11" i="5"/>
  <c r="IK9" i="4"/>
  <c r="IL10" i="4"/>
  <c r="IK11" i="4"/>
  <c r="IS11" i="5" l="1"/>
  <c r="IT10" i="5"/>
  <c r="IS9" i="5"/>
  <c r="IM10" i="4"/>
  <c r="IL9" i="4"/>
  <c r="IL11" i="4"/>
  <c r="IT11" i="5" l="1"/>
  <c r="IU10" i="5"/>
  <c r="IT9" i="5"/>
  <c r="IM9" i="4"/>
  <c r="IM11" i="4"/>
  <c r="IN10" i="4"/>
  <c r="IU11" i="5" l="1"/>
  <c r="IU9" i="5"/>
  <c r="IV10" i="5"/>
  <c r="IN11" i="4"/>
  <c r="IO10" i="4"/>
  <c r="IN9" i="4"/>
  <c r="IV11" i="5" l="1"/>
  <c r="IV9" i="5"/>
  <c r="IW10" i="5"/>
  <c r="IP10" i="4"/>
  <c r="IO9" i="4"/>
  <c r="IO11" i="4"/>
  <c r="IW11" i="5" l="1"/>
  <c r="IW9" i="5"/>
  <c r="IQ10" i="4"/>
  <c r="IR10" i="4" s="1"/>
  <c r="IP11" i="4"/>
  <c r="IP9" i="4"/>
  <c r="IS10" i="4" l="1"/>
  <c r="IR11" i="4"/>
  <c r="IR9" i="4"/>
  <c r="IQ9" i="4"/>
  <c r="IQ11" i="4"/>
  <c r="IS11" i="4" l="1"/>
  <c r="IT10" i="4"/>
  <c r="IS9" i="4"/>
  <c r="IT11" i="4" l="1"/>
  <c r="IT9" i="4"/>
  <c r="IU10" i="4"/>
  <c r="IU11" i="4" l="1"/>
  <c r="IV10" i="4"/>
  <c r="IU9" i="4"/>
  <c r="IV9" i="4" l="1"/>
  <c r="IW10" i="4"/>
  <c r="IV11" i="4"/>
  <c r="IW9" i="4" l="1"/>
  <c r="IW11" i="4"/>
</calcChain>
</file>

<file path=xl/sharedStrings.xml><?xml version="1.0" encoding="utf-8"?>
<sst xmlns="http://schemas.openxmlformats.org/spreadsheetml/2006/main" count="6549" uniqueCount="227">
  <si>
    <t>OBRA</t>
  </si>
  <si>
    <t>NRO</t>
  </si>
  <si>
    <t># SEM</t>
  </si>
  <si>
    <t># DIA</t>
  </si>
  <si>
    <t>MES</t>
  </si>
  <si>
    <t>DIA</t>
  </si>
  <si>
    <t>FECHA</t>
  </si>
  <si>
    <t>ACTIVIDADES</t>
  </si>
  <si>
    <t>DURAC</t>
  </si>
  <si>
    <t>ELABORADO</t>
  </si>
  <si>
    <t>CLIENTE</t>
  </si>
  <si>
    <t>OBRAS PRELIMINARES</t>
  </si>
  <si>
    <t xml:space="preserve">TREN SUBESTRUCTURA EDIFICIO </t>
  </si>
  <si>
    <t>Limpieza, trazo y replanteo</t>
  </si>
  <si>
    <t>Corte y nivelacion de Platea</t>
  </si>
  <si>
    <t xml:space="preserve">Relleno y compactacion de Platea </t>
  </si>
  <si>
    <t>Excavación de uñas, Pitt y limpieza de plateas</t>
  </si>
  <si>
    <t>Excavación para instalaciones enterradas</t>
  </si>
  <si>
    <t>Perfilado y limpieza de uñas</t>
  </si>
  <si>
    <t>Excavacion  y colocacion de tuberia ACI</t>
  </si>
  <si>
    <t xml:space="preserve"> Acero en Vigas de borde  </t>
  </si>
  <si>
    <t>Encofrado de Uñas</t>
  </si>
  <si>
    <t xml:space="preserve">Colocar Acero Inferior de platea </t>
  </si>
  <si>
    <t xml:space="preserve">Colocar Acero Superior de platea </t>
  </si>
  <si>
    <t>Parado de columnas</t>
  </si>
  <si>
    <t>Acero de muros</t>
  </si>
  <si>
    <t xml:space="preserve">Arranque de Instalaciones </t>
  </si>
  <si>
    <t>Vaciar Platea y vigas de borde</t>
  </si>
  <si>
    <t>TREN ESTRUCTURA</t>
  </si>
  <si>
    <t>Trazar muros</t>
  </si>
  <si>
    <t>E12P1S2</t>
  </si>
  <si>
    <t>E12P1S3</t>
  </si>
  <si>
    <t>E12P1S4</t>
  </si>
  <si>
    <t>E12P5S1</t>
  </si>
  <si>
    <t>E12P5S2</t>
  </si>
  <si>
    <t>E12P5S3</t>
  </si>
  <si>
    <t>E12P5S4</t>
  </si>
  <si>
    <t>Colocar acero vertical</t>
  </si>
  <si>
    <t>Instalaciones en muros - IISS</t>
  </si>
  <si>
    <t>Instalaciones en muros - IIEE</t>
  </si>
  <si>
    <t>Encofrado de muros</t>
  </si>
  <si>
    <t>Vaciado de muros</t>
  </si>
  <si>
    <t>Desencofrado de muros (inc limpieza)</t>
  </si>
  <si>
    <t>Curado y resane de muros</t>
  </si>
  <si>
    <t>Encofrado de losa (inc friso)</t>
  </si>
  <si>
    <t>Acero de losa</t>
  </si>
  <si>
    <t>Armado de baterìas de desague e inicio de pruebas</t>
  </si>
  <si>
    <t>Instalaciones en losa - IISS</t>
  </si>
  <si>
    <t>Instalaciones en losa - IIEE</t>
  </si>
  <si>
    <t>Vaciado de losa</t>
  </si>
  <si>
    <t>Solaqueo de muros exteriores (desde andamio)</t>
  </si>
  <si>
    <t>Desencofrado de losa y frisos(inc limpieza y apuntalamiento)</t>
  </si>
  <si>
    <t>Curado de losa</t>
  </si>
  <si>
    <t>Acero de alfeizar - mallas (8 und/sector)</t>
  </si>
  <si>
    <t>Encofrado de alfeizar (8 und)</t>
  </si>
  <si>
    <t>Vaciado de alfeizar</t>
  </si>
  <si>
    <t>Desencofrado de alfeizar (inc limpieza)</t>
  </si>
  <si>
    <t>TREN ARQUITECTURA (Acabados humedos)</t>
  </si>
  <si>
    <t>Lijado y desbaste de placas</t>
  </si>
  <si>
    <t>Entrega de picado de muros y techo</t>
  </si>
  <si>
    <t>Entrega de pruebas de presiòn de IISS y winchado de IIEE</t>
  </si>
  <si>
    <t>Solaqueo de muros interiores y retiro de apuntalamiento</t>
  </si>
  <si>
    <t>Tarrajeo de derrames</t>
  </si>
  <si>
    <t>Trazo para tabiques</t>
  </si>
  <si>
    <t>Colocar instalaciones en futuros tabiques - IISS</t>
  </si>
  <si>
    <t>Colocar instalaciones en futuros tabiques - IIEE</t>
  </si>
  <si>
    <t>Tarrajeo derrames (inc. Tabiques)</t>
  </si>
  <si>
    <t>Solaqueo de tabiques</t>
  </si>
  <si>
    <t>Rectificación de cajas de válvulas</t>
  </si>
  <si>
    <t>Hacer sardinel de ducha</t>
  </si>
  <si>
    <t>Colocar zócalo  de cerámica en baños y cocinas</t>
  </si>
  <si>
    <t xml:space="preserve">Enchapar piso cerámico baño y cocina </t>
  </si>
  <si>
    <t xml:space="preserve">Enchapar contrazócalo cerámico baño y cocina </t>
  </si>
  <si>
    <t>Instalaciòn de baranda metàlica en terraza</t>
  </si>
  <si>
    <t>Enchape de terrazas</t>
  </si>
  <si>
    <t>Fraguar zócalos y pisos de cerámico en cocinas y baños</t>
  </si>
  <si>
    <t>Desapuntalamiento de losa y resane de pisos</t>
  </si>
  <si>
    <t xml:space="preserve">TREN ARQUITECTURA(Acabados secos) </t>
  </si>
  <si>
    <t>Imprimación y empaste de muros interiores Colomural</t>
  </si>
  <si>
    <t>Empaste grueso techos+cocinas+baños</t>
  </si>
  <si>
    <t xml:space="preserve">Empastar fino 1ra mano  - techo cocinas + baños </t>
  </si>
  <si>
    <t xml:space="preserve">Empastar fino 2da mano - techo cocinas + baños </t>
  </si>
  <si>
    <t>Preparación de techos</t>
  </si>
  <si>
    <t>Escarchado de techos</t>
  </si>
  <si>
    <t>Lijado y sellado cocinas + baños</t>
  </si>
  <si>
    <t>Pintura 1era. Mano cocinas + baños</t>
  </si>
  <si>
    <t>Colocar marcos sellados y empastados</t>
  </si>
  <si>
    <t xml:space="preserve">Presentar puertas + hueco en chapa </t>
  </si>
  <si>
    <t>Presentación de jambas</t>
  </si>
  <si>
    <t>Masillar y Lijar Marcos</t>
  </si>
  <si>
    <t>Pintura 1era. Mano EN MARCOS</t>
  </si>
  <si>
    <t xml:space="preserve">Remacillado de marcos   </t>
  </si>
  <si>
    <t>Lijado del Masillado de Marcos</t>
  </si>
  <si>
    <t xml:space="preserve">Pintar 2º  mano marcos y hojas de puerta </t>
  </si>
  <si>
    <t>Colgado de puertas (principal con chapa + tope)</t>
  </si>
  <si>
    <t xml:space="preserve">   Limpieza general de departamento</t>
  </si>
  <si>
    <t>Revisión general de acabados</t>
  </si>
  <si>
    <t>Instalación de kits de accesorios para baños</t>
  </si>
  <si>
    <t>Rectificación de muros, cajas de valvula</t>
  </si>
  <si>
    <t>Remacillado de muros y techos (solo cocinas y baños)</t>
  </si>
  <si>
    <t>Lijado de muros y techos de todo el dpto</t>
  </si>
  <si>
    <t>Amolado de chichones de todom el dpto</t>
  </si>
  <si>
    <t>Limpieza gruesa de departamentos / empaste chichones</t>
  </si>
  <si>
    <t>Instalacion de mamparas</t>
  </si>
  <si>
    <t>Instalacion de marcos y ventanas / Colgado de puertas interiores</t>
  </si>
  <si>
    <t>Sellado para Colowall / Instalacion de aparatos sanitarios (incluye perforación para registros y rejillas)</t>
  </si>
  <si>
    <t>Colocacion de colowall</t>
  </si>
  <si>
    <t>Recorte de colowall / Limpieza de departamentos para lev de observaciones</t>
  </si>
  <si>
    <t>Revision y cambio de ceramicos</t>
  </si>
  <si>
    <t>Instalacion de placas electricas/ Preparar dpto para instalaciòn de laminado</t>
  </si>
  <si>
    <t>Colocacion de laminado</t>
  </si>
  <si>
    <t xml:space="preserve">Forrado de laminado / Colocacion de alfombra </t>
  </si>
  <si>
    <t>Colocacion de contrazocalo / Instalacion chapas interiores + topes</t>
  </si>
  <si>
    <t>Acabado de contrazocalo / tapajuntas</t>
  </si>
  <si>
    <t xml:space="preserve">Rectificacion de derrames y balcones / Forrado de alfombra </t>
  </si>
  <si>
    <t xml:space="preserve"> Pintar 2º mano en muros  (Inc derrames y balcones)</t>
  </si>
  <si>
    <t>Limpieza de vidrios y marcos</t>
  </si>
  <si>
    <t>CHECK LIST FINAL - OBRA</t>
  </si>
  <si>
    <t>Revision general de acabados (no incluye pisos) - Obra</t>
  </si>
  <si>
    <t>Levantamiento de observaciones dia 1 (Sellos y guias en ventanas)</t>
  </si>
  <si>
    <t>Instalacion de muebles de Cocina por piso</t>
  </si>
  <si>
    <t>Levantamiento de observaciones dia 2 (Pruebas de agua, Instalación de lavaplatos, fraguado, colocación de registros)</t>
  </si>
  <si>
    <r>
      <t xml:space="preserve">Levantamiento de observaciones dia 3 (Remasillado de muros por observacionesde </t>
    </r>
    <r>
      <rPr>
        <b/>
        <sz val="11"/>
        <color theme="1"/>
        <rFont val="Calibri"/>
        <family val="2"/>
        <scheme val="minor"/>
      </rPr>
      <t>Pintura</t>
    </r>
    <r>
      <rPr>
        <sz val="11"/>
        <color theme="1"/>
        <rFont val="Calibri"/>
        <family val="2"/>
        <scheme val="minor"/>
      </rPr>
      <t>)</t>
    </r>
  </si>
  <si>
    <r>
      <t xml:space="preserve">Levantamiento de observaciones dia 4 (Retoques y desmanches de </t>
    </r>
    <r>
      <rPr>
        <b/>
        <sz val="11"/>
        <color theme="1"/>
        <rFont val="Calibri"/>
        <family val="2"/>
        <scheme val="minor"/>
      </rPr>
      <t>Pintura</t>
    </r>
    <r>
      <rPr>
        <sz val="11"/>
        <color theme="1"/>
        <rFont val="Calibri"/>
        <family val="2"/>
        <scheme val="minor"/>
      </rPr>
      <t>)</t>
    </r>
  </si>
  <si>
    <r>
      <t xml:space="preserve">Levantamiento de observaciones dia 5 (Remasillado y Retoques de pintura de </t>
    </r>
    <r>
      <rPr>
        <b/>
        <sz val="11"/>
        <color theme="1"/>
        <rFont val="Calibri"/>
        <family val="2"/>
        <scheme val="minor"/>
      </rPr>
      <t>Puertas</t>
    </r>
    <r>
      <rPr>
        <sz val="11"/>
        <color theme="1"/>
        <rFont val="Calibri"/>
        <family val="2"/>
        <scheme val="minor"/>
      </rPr>
      <t>)</t>
    </r>
  </si>
  <si>
    <t>Levantar proteccion de pisos / Limpieza general</t>
  </si>
  <si>
    <t>Revision de pisos / Colocar tapas de asiento / Siliconear / Retoque de papel</t>
  </si>
  <si>
    <t>Instalación de Muebles Adicionales</t>
  </si>
  <si>
    <t>Revisión General de Acabados / Lev de observaciones</t>
  </si>
  <si>
    <t>Limpieza fina para entrega / Retoque final / Placas electricas</t>
  </si>
  <si>
    <t>Revision de inmobiliaria  - Observaciones</t>
  </si>
  <si>
    <t>Levantamiento de observaciones</t>
  </si>
  <si>
    <t>Retoques y limpieza para entrega de llaves</t>
  </si>
  <si>
    <t>Entrega de llaves</t>
  </si>
  <si>
    <t>Identificación de Interferencias</t>
  </si>
  <si>
    <t>Instalación de Cerco Interior</t>
  </si>
  <si>
    <t>Instalación de Cerco Exterior</t>
  </si>
  <si>
    <t>Excavación de interferencias</t>
  </si>
  <si>
    <t>Intervención de interferencias en tuberias</t>
  </si>
  <si>
    <t>Rehubicación de buzones</t>
  </si>
  <si>
    <t>Habilitación punto de desague</t>
  </si>
  <si>
    <t>Habilitación punto de agua</t>
  </si>
  <si>
    <t>Habilitación punto de Energía</t>
  </si>
  <si>
    <t>Inspección en Departamientos</t>
  </si>
  <si>
    <t>Limpieza, nivelación para campamento y sshh</t>
  </si>
  <si>
    <t>Instalación de Conteiner</t>
  </si>
  <si>
    <t>Trazo y Construcción de Losas</t>
  </si>
  <si>
    <t>SSHH obreros</t>
  </si>
  <si>
    <t>Vestuarios</t>
  </si>
  <si>
    <t>Comedor</t>
  </si>
  <si>
    <t>Almacén</t>
  </si>
  <si>
    <t>Equipamiento e instalaciones</t>
  </si>
  <si>
    <t>Desbroce, limpieza nivelación para Via de bomba</t>
  </si>
  <si>
    <t>Relleno y compactación con afirmado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</si>
  <si>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</si>
  <si>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</si>
  <si>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</si>
  <si>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</si>
  <si>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</si>
  <si>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</si>
  <si>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</si>
  <si>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</si>
  <si>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</si>
  <si>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</si>
  <si>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</si>
  <si>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</si>
  <si>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</si>
  <si>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</si>
  <si>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</si>
  <si>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</si>
  <si>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</si>
  <si>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</si>
  <si>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</si>
  <si>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</si>
  <si>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</si>
  <si>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</si>
  <si>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SEMANA 23</t>
  </si>
  <si>
    <t>SEMANA 24</t>
  </si>
  <si>
    <t>SEMANA 25</t>
  </si>
  <si>
    <t>SEMANA 26</t>
  </si>
  <si>
    <t>SEMANA 27</t>
  </si>
  <si>
    <t>SEMANA 28</t>
  </si>
  <si>
    <t>SEMANA 29</t>
  </si>
  <si>
    <t>S1</t>
  </si>
  <si>
    <t>S2</t>
  </si>
  <si>
    <t>S3</t>
  </si>
  <si>
    <t>S4</t>
  </si>
  <si>
    <t>E34P1S1</t>
  </si>
  <si>
    <t>E34P2S1</t>
  </si>
  <si>
    <t>E34P2S2</t>
  </si>
  <si>
    <t>E34P2S3</t>
  </si>
  <si>
    <t>E34P2S4</t>
  </si>
  <si>
    <t>E34P3S1</t>
  </si>
  <si>
    <t>E34P3S2</t>
  </si>
  <si>
    <t>E34P3S3</t>
  </si>
  <si>
    <t>E34P3S4</t>
  </si>
  <si>
    <t>E34P4S1</t>
  </si>
  <si>
    <t>E34P4S2</t>
  </si>
  <si>
    <t>E34P4S3</t>
  </si>
  <si>
    <t>E34P4S4</t>
  </si>
  <si>
    <t>E34P6S1</t>
  </si>
  <si>
    <t>E34P6S2</t>
  </si>
  <si>
    <t>E34P6S3</t>
  </si>
  <si>
    <t>E34P6S4</t>
  </si>
  <si>
    <t>SEMANA 30</t>
  </si>
  <si>
    <t>SEMANA 31</t>
  </si>
  <si>
    <t>SEMANA 32</t>
  </si>
  <si>
    <t>SEMANA 33</t>
  </si>
  <si>
    <t>SEMANA 34</t>
  </si>
  <si>
    <t>SEMANA 35</t>
  </si>
  <si>
    <t>SEMANA 36</t>
  </si>
  <si>
    <t>SEMANA 37</t>
  </si>
  <si>
    <t>SEMANA 38</t>
  </si>
  <si>
    <t>SEMANA 39</t>
  </si>
  <si>
    <t>SEMANA 40</t>
  </si>
  <si>
    <t>SEMANA 41</t>
  </si>
  <si>
    <t>Anclajes y emplantillado para tabiques</t>
  </si>
  <si>
    <t xml:space="preserve">Levantar tabiques </t>
  </si>
  <si>
    <t>Cableado eléctrico interior</t>
  </si>
  <si>
    <t>E34P4S5</t>
  </si>
  <si>
    <t>SEMANA 42</t>
  </si>
  <si>
    <t>Instalación de Ascensor</t>
  </si>
  <si>
    <t>Asc</t>
  </si>
  <si>
    <t>Actividades post-ascensor</t>
  </si>
  <si>
    <t>Post</t>
  </si>
  <si>
    <t>E34P1S2</t>
  </si>
  <si>
    <t>E34P2S5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</si>
</sst>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ddd"/>
    <numFmt numFmtId="167" formatCode="&quot;D &quot;###"/>
    <numFmt numFmtId="168" formatCode="mmm"/>
    <numFmt numFmtId="169" formatCode="dd"/>
    <numFmt numFmtId="170" formatCode="_([$€]\ * #,##0.00_);_([$€]\ * \(#,##0.00\);_([$€]\ * &quot;-&quot;??_);_(@_)"/>
    <numFmt numFmtId="171" formatCode="_(&quot;$&quot;* #,##0_);_(&quot;$&quot;* \(#,##0\);_(&quot;$&quot;* &quot;-&quot;_);_(@_)"/>
    <numFmt numFmtId="172" formatCode="_([$€-2]\ * #,##0.00_);_([$€-2]\ * \(#,##0.00\);_([$€-2]\ * &quot;-&quot;??_)"/>
    <numFmt numFmtId="173" formatCode="#.##000"/>
    <numFmt numFmtId="174" formatCode="#,##0.0"/>
    <numFmt numFmtId="175" formatCode="###,###,###,##0.0000"/>
    <numFmt numFmtId="176" formatCode="#,##0\ &quot;€&quot;;[Red]\-#,##0\ &quot;€&quot;"/>
    <numFmt numFmtId="177" formatCode="_(&quot;$&quot;* #,##0.00_);_(&quot;$&quot;* \(#,##0.00\);_(&quot;$&quot;* &quot;-&quot;??_);_(@_)"/>
    <numFmt numFmtId="178" formatCode="_(&quot;S.&quot;\ * #,##0.00_);_(&quot;S.&quot;\ * \(#,##0.00\);_(&quot;S.&quot;\ * &quot;-&quot;??_);_(@_)"/>
    <numFmt numFmtId="179" formatCode="###,###,###,##0.00"/>
    <numFmt numFmtId="180" formatCode="&quot;$&quot;#,##0_);\(&quot;$&quot;#,##0\)"/>
    <numFmt numFmtId="181" formatCode="\$#,#00"/>
    <numFmt numFmtId="182" formatCode="0.0000000000"/>
    <numFmt numFmtId="183" formatCode="&quot;SEMANA &quot;##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9"/>
      <color indexed="10"/>
      <name val="Geneva"/>
    </font>
    <font>
      <sz val="9"/>
      <color indexed="10"/>
      <name val="Genev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Courier"/>
      <family val="3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BERNHARD"/>
    </font>
    <font>
      <sz val="10"/>
      <name val="Helv"/>
    </font>
    <font>
      <sz val="12"/>
      <name val="Arial"/>
      <family val="2"/>
    </font>
    <font>
      <sz val="1"/>
      <color indexed="8"/>
      <name val="Courier"/>
      <family val="3"/>
    </font>
    <font>
      <b/>
      <sz val="10"/>
      <color indexed="8"/>
      <name val="Arial"/>
      <family val="2"/>
    </font>
    <font>
      <b/>
      <sz val="1"/>
      <color indexed="8"/>
      <name val="Courier"/>
      <family val="3"/>
    </font>
    <font>
      <b/>
      <sz val="18"/>
      <name val="Arial"/>
      <family val="2"/>
    </font>
    <font>
      <b/>
      <sz val="12"/>
      <name val="Arial"/>
      <family val="2"/>
    </font>
    <font>
      <i/>
      <sz val="11"/>
      <color indexed="23"/>
      <name val="Calibri"/>
      <family val="2"/>
    </font>
    <font>
      <u/>
      <sz val="10"/>
      <color indexed="14"/>
      <name val="MS Sans Serif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MS Sans Serif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1"/>
      <color indexed="63"/>
      <name val="Calibri"/>
      <family val="2"/>
    </font>
    <font>
      <sz val="8"/>
      <name val="Helv"/>
    </font>
    <font>
      <b/>
      <sz val="18"/>
      <color indexed="8"/>
      <name val="Cambria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solid">
        <fgColor indexed="26"/>
      </patternFill>
    </fill>
    <fill>
      <patternFill patternType="solid">
        <fgColor rgb="FFFFFF9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706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</fills>
  <borders count="45">
    <border>
      <left/>
      <right/>
      <top/>
      <bottom/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44">
    <xf numFmtId="0" fontId="0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8" fillId="0" borderId="3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9" fillId="4" borderId="0" applyNumberFormat="0" applyBorder="0" applyAlignment="0" applyProtection="0"/>
    <xf numFmtId="0" fontId="10" fillId="21" borderId="4" applyNumberForma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22" borderId="5" applyNumberFormat="0" applyAlignment="0" applyProtection="0"/>
    <xf numFmtId="1" fontId="5" fillId="0" borderId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12" fillId="0" borderId="0"/>
    <xf numFmtId="0" fontId="13" fillId="0" borderId="0"/>
    <xf numFmtId="170" fontId="5" fillId="0" borderId="0">
      <protection locked="0"/>
    </xf>
    <xf numFmtId="171" fontId="5" fillId="0" borderId="0" applyFont="0" applyFill="0" applyBorder="0" applyAlignment="0" applyProtection="0"/>
    <xf numFmtId="170" fontId="5" fillId="0" borderId="0">
      <protection locked="0"/>
    </xf>
    <xf numFmtId="0" fontId="14" fillId="0" borderId="0" applyFill="0" applyBorder="0" applyAlignment="0" applyProtection="0"/>
    <xf numFmtId="0" fontId="15" fillId="0" borderId="0">
      <protection locked="0"/>
    </xf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7" fillId="0" borderId="0">
      <protection locked="0"/>
    </xf>
    <xf numFmtId="0" fontId="17" fillId="0" borderId="0">
      <protection locked="0"/>
    </xf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" fillId="0" borderId="0"/>
    <xf numFmtId="172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173" fontId="15" fillId="0" borderId="0">
      <protection locked="0"/>
    </xf>
    <xf numFmtId="2" fontId="14" fillId="0" borderId="0" applyFill="0" applyBorder="0" applyAlignment="0" applyProtection="0"/>
    <xf numFmtId="0" fontId="21" fillId="0" borderId="0" applyNumberFormat="0" applyFill="0" applyBorder="0" applyAlignment="0" applyProtection="0"/>
    <xf numFmtId="0" fontId="22" fillId="5" borderId="0" applyNumberFormat="0" applyBorder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5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8" borderId="4" applyNumberFormat="0" applyAlignment="0" applyProtection="0"/>
    <xf numFmtId="0" fontId="28" fillId="0" borderId="6" applyNumberFormat="0" applyFill="0" applyAlignment="0" applyProtection="0"/>
    <xf numFmtId="174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5" fontId="5" fillId="0" borderId="0" applyFont="0" applyFill="0" applyBorder="0" applyAlignment="0" applyProtection="0">
      <alignment vertical="center"/>
    </xf>
    <xf numFmtId="165" fontId="5" fillId="0" borderId="0" applyFont="0" applyFill="0" applyBorder="0" applyAlignment="0" applyProtection="0"/>
    <xf numFmtId="175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1" fontId="15" fillId="0" borderId="0">
      <protection locked="0"/>
    </xf>
    <xf numFmtId="0" fontId="8" fillId="0" borderId="0"/>
    <xf numFmtId="0" fontId="29" fillId="0" borderId="0">
      <alignment vertical="center"/>
    </xf>
    <xf numFmtId="0" fontId="29" fillId="0" borderId="0">
      <alignment vertical="center"/>
    </xf>
    <xf numFmtId="0" fontId="5" fillId="0" borderId="0"/>
    <xf numFmtId="0" fontId="5" fillId="0" borderId="0"/>
    <xf numFmtId="0" fontId="30" fillId="0" borderId="0">
      <alignment vertical="top"/>
    </xf>
    <xf numFmtId="0" fontId="6" fillId="0" borderId="0"/>
    <xf numFmtId="0" fontId="5" fillId="0" borderId="0"/>
    <xf numFmtId="0" fontId="30" fillId="0" borderId="0">
      <alignment vertical="top"/>
    </xf>
    <xf numFmtId="0" fontId="30" fillId="0" borderId="0">
      <alignment vertical="top"/>
    </xf>
    <xf numFmtId="0" fontId="5" fillId="0" borderId="0"/>
    <xf numFmtId="0" fontId="30" fillId="0" borderId="0">
      <alignment vertical="top"/>
    </xf>
    <xf numFmtId="0" fontId="6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5" fillId="25" borderId="10" applyNumberFormat="0" applyFont="0" applyAlignment="0" applyProtection="0"/>
    <xf numFmtId="0" fontId="31" fillId="21" borderId="11" applyNumberFormat="0" applyAlignment="0" applyProtection="0"/>
    <xf numFmtId="182" fontId="5" fillId="0" borderId="0">
      <protection locked="0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38" fontId="32" fillId="0" borderId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/>
    <xf numFmtId="9" fontId="5" fillId="0" borderId="0" applyFont="0" applyFill="0" applyBorder="0" applyAlignment="0" applyProtection="0"/>
    <xf numFmtId="0" fontId="36" fillId="0" borderId="0"/>
    <xf numFmtId="172" fontId="5" fillId="0" borderId="0" applyFont="0" applyFill="0" applyBorder="0" applyAlignment="0" applyProtection="0"/>
  </cellStyleXfs>
  <cellXfs count="105">
    <xf numFmtId="0" fontId="0" fillId="0" borderId="0" xfId="0"/>
    <xf numFmtId="0" fontId="37" fillId="0" borderId="0" xfId="0" applyFont="1" applyAlignment="1">
      <alignment vertical="center"/>
    </xf>
    <xf numFmtId="0" fontId="37" fillId="0" borderId="0" xfId="0" applyFont="1"/>
    <xf numFmtId="0" fontId="37" fillId="0" borderId="2" xfId="0" applyFont="1" applyFill="1" applyBorder="1" applyAlignment="1">
      <alignment horizontal="right"/>
    </xf>
    <xf numFmtId="0" fontId="37" fillId="0" borderId="0" xfId="0" applyFont="1" applyBorder="1" applyAlignment="1">
      <alignment horizontal="center"/>
    </xf>
    <xf numFmtId="0" fontId="38" fillId="2" borderId="12" xfId="0" applyFont="1" applyFill="1" applyBorder="1" applyAlignment="1"/>
    <xf numFmtId="0" fontId="37" fillId="2" borderId="0" xfId="0" applyFont="1" applyFill="1"/>
    <xf numFmtId="0" fontId="38" fillId="2" borderId="19" xfId="0" applyFont="1" applyFill="1" applyBorder="1" applyAlignment="1"/>
    <xf numFmtId="0" fontId="37" fillId="0" borderId="20" xfId="0" applyFont="1" applyFill="1" applyBorder="1" applyAlignment="1">
      <alignment horizontal="center" vertical="center"/>
    </xf>
    <xf numFmtId="0" fontId="38" fillId="2" borderId="12" xfId="0" applyFont="1" applyFill="1" applyBorder="1" applyAlignment="1">
      <alignment horizontal="center" vertical="center"/>
    </xf>
    <xf numFmtId="0" fontId="38" fillId="2" borderId="13" xfId="0" applyFont="1" applyFill="1" applyBorder="1" applyAlignment="1">
      <alignment horizontal="center" vertical="center"/>
    </xf>
    <xf numFmtId="0" fontId="37" fillId="2" borderId="13" xfId="0" applyFont="1" applyFill="1" applyBorder="1" applyAlignment="1">
      <alignment horizontal="center" vertical="center"/>
    </xf>
    <xf numFmtId="14" fontId="37" fillId="2" borderId="13" xfId="0" applyNumberFormat="1" applyFont="1" applyFill="1" applyBorder="1" applyAlignment="1">
      <alignment horizontal="center"/>
    </xf>
    <xf numFmtId="0" fontId="37" fillId="2" borderId="13" xfId="0" applyFont="1" applyFill="1" applyBorder="1"/>
    <xf numFmtId="0" fontId="37" fillId="2" borderId="0" xfId="0" applyFont="1" applyFill="1" applyBorder="1"/>
    <xf numFmtId="0" fontId="37" fillId="0" borderId="0" xfId="0" applyFont="1" applyFill="1"/>
    <xf numFmtId="0" fontId="37" fillId="0" borderId="0" xfId="0" applyFont="1" applyAlignment="1">
      <alignment horizontal="center"/>
    </xf>
    <xf numFmtId="0" fontId="37" fillId="0" borderId="0" xfId="0" applyFont="1" applyFill="1" applyAlignment="1">
      <alignment horizontal="right"/>
    </xf>
    <xf numFmtId="167" fontId="37" fillId="0" borderId="14" xfId="0" applyNumberFormat="1" applyFont="1" applyBorder="1" applyAlignment="1">
      <alignment horizontal="center"/>
    </xf>
    <xf numFmtId="168" fontId="37" fillId="0" borderId="14" xfId="0" applyNumberFormat="1" applyFont="1" applyBorder="1" applyAlignment="1">
      <alignment horizontal="center"/>
    </xf>
    <xf numFmtId="169" fontId="37" fillId="2" borderId="14" xfId="0" applyNumberFormat="1" applyFont="1" applyFill="1" applyBorder="1" applyAlignment="1">
      <alignment horizontal="center"/>
    </xf>
    <xf numFmtId="0" fontId="37" fillId="2" borderId="0" xfId="0" applyFont="1" applyFill="1" applyAlignment="1">
      <alignment horizontal="center"/>
    </xf>
    <xf numFmtId="0" fontId="37" fillId="2" borderId="0" xfId="0" applyFont="1" applyFill="1" applyAlignment="1">
      <alignment horizontal="right"/>
    </xf>
    <xf numFmtId="0" fontId="37" fillId="2" borderId="1" xfId="0" applyFont="1" applyFill="1" applyBorder="1" applyAlignment="1">
      <alignment horizontal="center"/>
    </xf>
    <xf numFmtId="0" fontId="37" fillId="2" borderId="0" xfId="0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69" fontId="37" fillId="0" borderId="14" xfId="0" applyNumberFormat="1" applyFont="1" applyFill="1" applyBorder="1" applyAlignment="1">
      <alignment horizontal="center"/>
    </xf>
    <xf numFmtId="0" fontId="40" fillId="0" borderId="0" xfId="0" applyFont="1" applyFill="1"/>
    <xf numFmtId="0" fontId="39" fillId="0" borderId="0" xfId="0" applyFont="1" applyFill="1"/>
    <xf numFmtId="167" fontId="37" fillId="0" borderId="14" xfId="0" applyNumberFormat="1" applyFont="1" applyFill="1" applyBorder="1" applyAlignment="1">
      <alignment horizontal="center"/>
    </xf>
    <xf numFmtId="0" fontId="38" fillId="2" borderId="21" xfId="0" applyFont="1" applyFill="1" applyBorder="1" applyAlignment="1">
      <alignment horizontal="center" vertical="center"/>
    </xf>
    <xf numFmtId="0" fontId="37" fillId="2" borderId="22" xfId="0" applyFont="1" applyFill="1" applyBorder="1" applyAlignment="1">
      <alignment horizontal="center" vertical="center"/>
    </xf>
    <xf numFmtId="14" fontId="37" fillId="2" borderId="22" xfId="0" applyNumberFormat="1" applyFont="1" applyFill="1" applyBorder="1" applyAlignment="1">
      <alignment horizontal="center"/>
    </xf>
    <xf numFmtId="0" fontId="41" fillId="0" borderId="24" xfId="0" applyFont="1" applyBorder="1"/>
    <xf numFmtId="0" fontId="0" fillId="0" borderId="23" xfId="0" applyBorder="1"/>
    <xf numFmtId="0" fontId="0" fillId="0" borderId="23" xfId="0" applyFill="1" applyBorder="1"/>
    <xf numFmtId="0" fontId="42" fillId="0" borderId="23" xfId="0" applyFont="1" applyFill="1" applyBorder="1"/>
    <xf numFmtId="0" fontId="0" fillId="0" borderId="25" xfId="0" applyBorder="1" applyAlignment="1">
      <alignment horizontal="left" indent="1"/>
    </xf>
    <xf numFmtId="0" fontId="0" fillId="0" borderId="26" xfId="0" applyBorder="1" applyAlignment="1">
      <alignment horizontal="left" indent="1"/>
    </xf>
    <xf numFmtId="0" fontId="0" fillId="0" borderId="27" xfId="0" applyBorder="1" applyAlignment="1">
      <alignment horizontal="left" indent="1"/>
    </xf>
    <xf numFmtId="0" fontId="0" fillId="2" borderId="23" xfId="0" applyFill="1" applyBorder="1"/>
    <xf numFmtId="0" fontId="0" fillId="27" borderId="23" xfId="0" applyFill="1" applyBorder="1"/>
    <xf numFmtId="0" fontId="0" fillId="28" borderId="23" xfId="0" applyFill="1" applyBorder="1"/>
    <xf numFmtId="0" fontId="0" fillId="0" borderId="26" xfId="0" applyBorder="1"/>
    <xf numFmtId="0" fontId="0" fillId="0" borderId="26" xfId="0" applyFill="1" applyBorder="1" applyAlignment="1">
      <alignment horizontal="left" indent="1"/>
    </xf>
    <xf numFmtId="0" fontId="0" fillId="0" borderId="27" xfId="0" applyFill="1" applyBorder="1" applyAlignment="1">
      <alignment horizontal="left" indent="1"/>
    </xf>
    <xf numFmtId="0" fontId="41" fillId="0" borderId="24" xfId="0" applyFont="1" applyFill="1" applyBorder="1" applyAlignment="1">
      <alignment horizontal="left" indent="1"/>
    </xf>
    <xf numFmtId="0" fontId="43" fillId="0" borderId="23" xfId="0" applyFont="1" applyFill="1" applyBorder="1"/>
    <xf numFmtId="0" fontId="14" fillId="30" borderId="23" xfId="114" applyFont="1" applyFill="1" applyBorder="1"/>
    <xf numFmtId="0" fontId="14" fillId="0" borderId="23" xfId="114" applyFont="1" applyBorder="1"/>
    <xf numFmtId="168" fontId="37" fillId="0" borderId="14" xfId="0" applyNumberFormat="1" applyFont="1" applyFill="1" applyBorder="1" applyAlignment="1">
      <alignment horizontal="center"/>
    </xf>
    <xf numFmtId="14" fontId="37" fillId="0" borderId="13" xfId="0" applyNumberFormat="1" applyFont="1" applyFill="1" applyBorder="1" applyAlignment="1">
      <alignment horizontal="center"/>
    </xf>
    <xf numFmtId="166" fontId="37" fillId="32" borderId="15" xfId="0" applyNumberFormat="1" applyFont="1" applyFill="1" applyBorder="1" applyAlignment="1">
      <alignment horizontal="center"/>
    </xf>
    <xf numFmtId="166" fontId="37" fillId="34" borderId="15" xfId="0" applyNumberFormat="1" applyFont="1" applyFill="1" applyBorder="1" applyAlignment="1">
      <alignment horizontal="center"/>
    </xf>
    <xf numFmtId="0" fontId="0" fillId="31" borderId="23" xfId="0" applyFill="1" applyBorder="1"/>
    <xf numFmtId="0" fontId="0" fillId="37" borderId="23" xfId="0" applyFill="1" applyBorder="1"/>
    <xf numFmtId="0" fontId="0" fillId="38" borderId="23" xfId="0" applyFill="1" applyBorder="1"/>
    <xf numFmtId="0" fontId="0" fillId="35" borderId="23" xfId="0" applyFill="1" applyBorder="1"/>
    <xf numFmtId="0" fontId="0" fillId="34" borderId="23" xfId="0" applyFill="1" applyBorder="1"/>
    <xf numFmtId="0" fontId="0" fillId="33" borderId="23" xfId="0" applyFill="1" applyBorder="1"/>
    <xf numFmtId="0" fontId="37" fillId="0" borderId="13" xfId="0" applyFont="1" applyFill="1" applyBorder="1"/>
    <xf numFmtId="169" fontId="37" fillId="39" borderId="14" xfId="0" applyNumberFormat="1" applyFont="1" applyFill="1" applyBorder="1" applyAlignment="1">
      <alignment horizontal="center"/>
    </xf>
    <xf numFmtId="0" fontId="37" fillId="0" borderId="0" xfId="0" applyFont="1" applyFill="1" applyBorder="1" applyAlignment="1">
      <alignment horizontal="right"/>
    </xf>
    <xf numFmtId="0" fontId="37" fillId="0" borderId="18" xfId="0" applyFont="1" applyFill="1" applyBorder="1" applyAlignment="1">
      <alignment horizontal="center" vertical="center"/>
    </xf>
    <xf numFmtId="0" fontId="37" fillId="0" borderId="29" xfId="0" applyFont="1" applyFill="1" applyBorder="1" applyAlignment="1">
      <alignment horizontal="center" vertical="center"/>
    </xf>
    <xf numFmtId="0" fontId="38" fillId="2" borderId="30" xfId="0" applyFont="1" applyFill="1" applyBorder="1" applyAlignment="1">
      <alignment vertical="center"/>
    </xf>
    <xf numFmtId="0" fontId="38" fillId="2" borderId="31" xfId="0" applyFont="1" applyFill="1" applyBorder="1" applyAlignment="1">
      <alignment vertical="center"/>
    </xf>
    <xf numFmtId="0" fontId="38" fillId="2" borderId="32" xfId="0" applyFont="1" applyFill="1" applyBorder="1" applyAlignment="1">
      <alignment vertical="center"/>
    </xf>
    <xf numFmtId="0" fontId="38" fillId="26" borderId="33" xfId="0" applyFont="1" applyFill="1" applyBorder="1" applyAlignment="1">
      <alignment horizontal="left" vertical="center" indent="1"/>
    </xf>
    <xf numFmtId="0" fontId="38" fillId="2" borderId="34" xfId="0" applyFont="1" applyFill="1" applyBorder="1" applyAlignment="1"/>
    <xf numFmtId="0" fontId="38" fillId="2" borderId="35" xfId="0" applyFont="1" applyFill="1" applyBorder="1" applyAlignment="1"/>
    <xf numFmtId="0" fontId="38" fillId="26" borderId="36" xfId="0" applyFont="1" applyFill="1" applyBorder="1" applyAlignment="1">
      <alignment horizontal="left" vertical="center" indent="1"/>
    </xf>
    <xf numFmtId="169" fontId="37" fillId="29" borderId="14" xfId="0" applyNumberFormat="1" applyFont="1" applyFill="1" applyBorder="1" applyAlignment="1">
      <alignment horizontal="center"/>
    </xf>
    <xf numFmtId="0" fontId="37" fillId="37" borderId="23" xfId="0" applyFont="1" applyFill="1" applyBorder="1"/>
    <xf numFmtId="0" fontId="37" fillId="38" borderId="23" xfId="0" applyFont="1" applyFill="1" applyBorder="1"/>
    <xf numFmtId="0" fontId="37" fillId="35" borderId="23" xfId="0" applyFont="1" applyFill="1" applyBorder="1"/>
    <xf numFmtId="0" fontId="37" fillId="34" borderId="23" xfId="0" applyFont="1" applyFill="1" applyBorder="1"/>
    <xf numFmtId="0" fontId="37" fillId="28" borderId="23" xfId="0" applyFont="1" applyFill="1" applyBorder="1"/>
    <xf numFmtId="0" fontId="37" fillId="33" borderId="23" xfId="0" applyFont="1" applyFill="1" applyBorder="1"/>
    <xf numFmtId="0" fontId="37" fillId="0" borderId="23" xfId="0" applyFont="1" applyFill="1" applyBorder="1"/>
    <xf numFmtId="0" fontId="37" fillId="0" borderId="23" xfId="0" applyFont="1" applyBorder="1" applyAlignment="1">
      <alignment horizontal="center" vertical="center"/>
    </xf>
    <xf numFmtId="0" fontId="37" fillId="37" borderId="23" xfId="0" applyFont="1" applyFill="1" applyBorder="1" applyAlignment="1">
      <alignment horizontal="center" vertical="center"/>
    </xf>
    <xf numFmtId="0" fontId="37" fillId="0" borderId="23" xfId="0" applyFont="1" applyBorder="1"/>
    <xf numFmtId="0" fontId="40" fillId="0" borderId="23" xfId="0" applyFont="1" applyFill="1" applyBorder="1"/>
    <xf numFmtId="0" fontId="39" fillId="0" borderId="23" xfId="0" applyFont="1" applyFill="1" applyBorder="1"/>
    <xf numFmtId="169" fontId="37" fillId="30" borderId="14" xfId="0" applyNumberFormat="1" applyFont="1" applyFill="1" applyBorder="1" applyAlignment="1">
      <alignment horizontal="center"/>
    </xf>
    <xf numFmtId="166" fontId="37" fillId="32" borderId="43" xfId="0" applyNumberFormat="1" applyFont="1" applyFill="1" applyBorder="1" applyAlignment="1">
      <alignment horizontal="center"/>
    </xf>
    <xf numFmtId="0" fontId="37" fillId="2" borderId="23" xfId="0" applyFont="1" applyFill="1" applyBorder="1"/>
    <xf numFmtId="14" fontId="37" fillId="2" borderId="23" xfId="0" applyNumberFormat="1" applyFont="1" applyFill="1" applyBorder="1" applyAlignment="1">
      <alignment horizontal="center"/>
    </xf>
    <xf numFmtId="14" fontId="37" fillId="0" borderId="23" xfId="0" applyNumberFormat="1" applyFont="1" applyFill="1" applyBorder="1" applyAlignment="1">
      <alignment horizontal="center"/>
    </xf>
    <xf numFmtId="169" fontId="37" fillId="40" borderId="14" xfId="0" applyNumberFormat="1" applyFont="1" applyFill="1" applyBorder="1" applyAlignment="1">
      <alignment horizontal="center"/>
    </xf>
    <xf numFmtId="0" fontId="0" fillId="2" borderId="25" xfId="0" applyFill="1" applyBorder="1" applyAlignment="1">
      <alignment horizontal="left" indent="1"/>
    </xf>
    <xf numFmtId="0" fontId="41" fillId="0" borderId="28" xfId="0" applyFont="1" applyFill="1" applyBorder="1" applyAlignment="1">
      <alignment horizontal="left" indent="1"/>
    </xf>
    <xf numFmtId="0" fontId="0" fillId="0" borderId="44" xfId="0" applyFill="1" applyBorder="1" applyAlignment="1">
      <alignment horizontal="left" indent="1"/>
    </xf>
    <xf numFmtId="0" fontId="0" fillId="0" borderId="43" xfId="0" applyFill="1" applyBorder="1"/>
    <xf numFmtId="0" fontId="40" fillId="0" borderId="43" xfId="0" applyFont="1" applyFill="1" applyBorder="1"/>
    <xf numFmtId="183" fontId="37" fillId="36" borderId="16" xfId="0" applyNumberFormat="1" applyFont="1" applyFill="1" applyBorder="1" applyAlignment="1">
      <alignment horizontal="center" vertical="center"/>
    </xf>
    <xf numFmtId="183" fontId="37" fillId="36" borderId="17" xfId="0" applyNumberFormat="1" applyFont="1" applyFill="1" applyBorder="1" applyAlignment="1">
      <alignment horizontal="center" vertical="center"/>
    </xf>
    <xf numFmtId="183" fontId="37" fillId="36" borderId="18" xfId="0" applyNumberFormat="1" applyFont="1" applyFill="1" applyBorder="1" applyAlignment="1">
      <alignment horizontal="center" vertical="center"/>
    </xf>
    <xf numFmtId="0" fontId="44" fillId="2" borderId="37" xfId="0" applyFont="1" applyFill="1" applyBorder="1" applyAlignment="1">
      <alignment horizontal="left"/>
    </xf>
    <xf numFmtId="0" fontId="44" fillId="2" borderId="38" xfId="0" applyFont="1" applyFill="1" applyBorder="1" applyAlignment="1">
      <alignment horizontal="left"/>
    </xf>
    <xf numFmtId="0" fontId="44" fillId="2" borderId="39" xfId="0" applyFont="1" applyFill="1" applyBorder="1" applyAlignment="1">
      <alignment horizontal="left"/>
    </xf>
    <xf numFmtId="0" fontId="44" fillId="2" borderId="40" xfId="0" applyFont="1" applyFill="1" applyBorder="1" applyAlignment="1">
      <alignment horizontal="left"/>
    </xf>
    <xf numFmtId="0" fontId="44" fillId="2" borderId="41" xfId="0" applyFont="1" applyFill="1" applyBorder="1" applyAlignment="1">
      <alignment horizontal="left"/>
    </xf>
    <xf numFmtId="0" fontId="44" fillId="2" borderId="42" xfId="0" applyFont="1" applyFill="1" applyBorder="1" applyAlignment="1">
      <alignment horizontal="left"/>
    </xf>
  </cellXfs>
  <cellStyles count="144">
    <cellStyle name="_5. Formato Propuesta Tottus Naciones Unidas-comerc.Rev.1" xfId="5" xr:uid="{00000000-0005-0000-0000-000000000000}"/>
    <cellStyle name="_5. Formato Propuesta Tottus Naciones Unidas-comerc.Rev.1_IISS - Piura" xfId="6" xr:uid="{00000000-0005-0000-0000-000001000000}"/>
    <cellStyle name="_5. Formato Propuesta Tottus Naciones Unidas-comerc.Rev.1_Itemizado Open Plaza Piura IIEE" xfId="7" xr:uid="{00000000-0005-0000-0000-000002000000}"/>
    <cellStyle name="_5. Formato Propuesta Tottus Naciones Unidas-comerc.Rev.1_VS oferta al 02.12.10_Rev2" xfId="8" xr:uid="{00000000-0005-0000-0000-000003000000}"/>
    <cellStyle name="_APU AQ" xfId="9" xr:uid="{00000000-0005-0000-0000-000004000000}"/>
    <cellStyle name="_APU ES" xfId="10" xr:uid="{00000000-0005-0000-0000-000005000000}"/>
    <cellStyle name="_PPTO ARQ" xfId="11" xr:uid="{00000000-0005-0000-0000-000006000000}"/>
    <cellStyle name="_x0004_¥" xfId="12" xr:uid="{00000000-0005-0000-0000-000007000000}"/>
    <cellStyle name="20% - Accent1" xfId="13" xr:uid="{00000000-0005-0000-0000-000008000000}"/>
    <cellStyle name="20% - Accent2" xfId="14" xr:uid="{00000000-0005-0000-0000-000009000000}"/>
    <cellStyle name="20% - Accent3" xfId="15" xr:uid="{00000000-0005-0000-0000-00000A000000}"/>
    <cellStyle name="20% - Accent4" xfId="16" xr:uid="{00000000-0005-0000-0000-00000B000000}"/>
    <cellStyle name="20% - Accent5" xfId="17" xr:uid="{00000000-0005-0000-0000-00000C000000}"/>
    <cellStyle name="20% - Accent6" xfId="18" xr:uid="{00000000-0005-0000-0000-00000D000000}"/>
    <cellStyle name="40% - Accent1" xfId="19" xr:uid="{00000000-0005-0000-0000-00000E000000}"/>
    <cellStyle name="40% - Accent2" xfId="20" xr:uid="{00000000-0005-0000-0000-00000F000000}"/>
    <cellStyle name="40% - Accent3" xfId="21" xr:uid="{00000000-0005-0000-0000-000010000000}"/>
    <cellStyle name="40% - Accent4" xfId="22" xr:uid="{00000000-0005-0000-0000-000011000000}"/>
    <cellStyle name="40% - Accent5" xfId="23" xr:uid="{00000000-0005-0000-0000-000012000000}"/>
    <cellStyle name="40% - Accent6" xfId="24" xr:uid="{00000000-0005-0000-0000-000013000000}"/>
    <cellStyle name="60% - Accent1" xfId="25" xr:uid="{00000000-0005-0000-0000-000014000000}"/>
    <cellStyle name="60% - Accent2" xfId="26" xr:uid="{00000000-0005-0000-0000-000015000000}"/>
    <cellStyle name="60% - Accent3" xfId="27" xr:uid="{00000000-0005-0000-0000-000016000000}"/>
    <cellStyle name="60% - Accent4" xfId="28" xr:uid="{00000000-0005-0000-0000-000017000000}"/>
    <cellStyle name="60% - Accent5" xfId="29" xr:uid="{00000000-0005-0000-0000-000018000000}"/>
    <cellStyle name="60% - Accent6" xfId="30" xr:uid="{00000000-0005-0000-0000-000019000000}"/>
    <cellStyle name="A3 297 x 420 mm" xfId="31" xr:uid="{00000000-0005-0000-0000-00001A000000}"/>
    <cellStyle name="Accent1" xfId="32" xr:uid="{00000000-0005-0000-0000-00001B000000}"/>
    <cellStyle name="Accent2" xfId="33" xr:uid="{00000000-0005-0000-0000-00001C000000}"/>
    <cellStyle name="Accent3" xfId="34" xr:uid="{00000000-0005-0000-0000-00001D000000}"/>
    <cellStyle name="Accent4" xfId="35" xr:uid="{00000000-0005-0000-0000-00001E000000}"/>
    <cellStyle name="Accent5" xfId="36" xr:uid="{00000000-0005-0000-0000-00001F000000}"/>
    <cellStyle name="Accent6" xfId="37" xr:uid="{00000000-0005-0000-0000-000020000000}"/>
    <cellStyle name="Bad" xfId="38" xr:uid="{00000000-0005-0000-0000-000021000000}"/>
    <cellStyle name="Calculation" xfId="39" xr:uid="{00000000-0005-0000-0000-000022000000}"/>
    <cellStyle name="Cancel" xfId="40" xr:uid="{00000000-0005-0000-0000-000023000000}"/>
    <cellStyle name="Cancel 2" xfId="41" xr:uid="{00000000-0005-0000-0000-000024000000}"/>
    <cellStyle name="Cancel 3" xfId="42" xr:uid="{00000000-0005-0000-0000-000025000000}"/>
    <cellStyle name="Cancel 4" xfId="43" xr:uid="{00000000-0005-0000-0000-000026000000}"/>
    <cellStyle name="Cancel_Arquit. Deta" xfId="44" xr:uid="{00000000-0005-0000-0000-000027000000}"/>
    <cellStyle name="Check Cell" xfId="45" xr:uid="{00000000-0005-0000-0000-000028000000}"/>
    <cellStyle name="Comma" xfId="46" xr:uid="{00000000-0005-0000-0000-000029000000}"/>
    <cellStyle name="Comma [0]_8-a, perstat-nov" xfId="47" xr:uid="{00000000-0005-0000-0000-00002A000000}"/>
    <cellStyle name="Comma_8-a, perstat-nov" xfId="48" xr:uid="{00000000-0005-0000-0000-00002B000000}"/>
    <cellStyle name="Comma0 - Modelo1" xfId="49" xr:uid="{00000000-0005-0000-0000-00002C000000}"/>
    <cellStyle name="Comma0 - Style1" xfId="50" xr:uid="{00000000-0005-0000-0000-00002D000000}"/>
    <cellStyle name="Comma1 - Modelo2" xfId="51" xr:uid="{00000000-0005-0000-0000-00002E000000}"/>
    <cellStyle name="Comma1 - Style2" xfId="52" xr:uid="{00000000-0005-0000-0000-00002F000000}"/>
    <cellStyle name="Currency" xfId="53" xr:uid="{00000000-0005-0000-0000-000030000000}"/>
    <cellStyle name="Currency [0]_8-a, perstat-nov" xfId="54" xr:uid="{00000000-0005-0000-0000-000031000000}"/>
    <cellStyle name="Currency_12 PISOS AGO 09" xfId="55" xr:uid="{00000000-0005-0000-0000-000032000000}"/>
    <cellStyle name="Date" xfId="56" xr:uid="{00000000-0005-0000-0000-000033000000}"/>
    <cellStyle name="Dia" xfId="57" xr:uid="{00000000-0005-0000-0000-000034000000}"/>
    <cellStyle name="Emphasis 1" xfId="58" xr:uid="{00000000-0005-0000-0000-000035000000}"/>
    <cellStyle name="Emphasis 2" xfId="59" xr:uid="{00000000-0005-0000-0000-000036000000}"/>
    <cellStyle name="Emphasis 3" xfId="60" xr:uid="{00000000-0005-0000-0000-000037000000}"/>
    <cellStyle name="Encabez1" xfId="61" xr:uid="{00000000-0005-0000-0000-000038000000}"/>
    <cellStyle name="Encabez2" xfId="62" xr:uid="{00000000-0005-0000-0000-000039000000}"/>
    <cellStyle name="Encabezado 1 2" xfId="63" xr:uid="{00000000-0005-0000-0000-00003A000000}"/>
    <cellStyle name="Encabezado 2" xfId="64" xr:uid="{00000000-0005-0000-0000-00003B000000}"/>
    <cellStyle name="Estilo 1" xfId="65" xr:uid="{00000000-0005-0000-0000-00003C000000}"/>
    <cellStyle name="Euro" xfId="66" xr:uid="{00000000-0005-0000-0000-00003D000000}"/>
    <cellStyle name="Euro 2" xfId="143" xr:uid="{00000000-0005-0000-0000-00003E000000}"/>
    <cellStyle name="Explanatory Text" xfId="67" xr:uid="{00000000-0005-0000-0000-00003F000000}"/>
    <cellStyle name="F2" xfId="68" xr:uid="{00000000-0005-0000-0000-000040000000}"/>
    <cellStyle name="F3" xfId="69" xr:uid="{00000000-0005-0000-0000-000041000000}"/>
    <cellStyle name="F4" xfId="70" xr:uid="{00000000-0005-0000-0000-000042000000}"/>
    <cellStyle name="F5" xfId="71" xr:uid="{00000000-0005-0000-0000-000043000000}"/>
    <cellStyle name="F6" xfId="72" xr:uid="{00000000-0005-0000-0000-000044000000}"/>
    <cellStyle name="F7" xfId="73" xr:uid="{00000000-0005-0000-0000-000045000000}"/>
    <cellStyle name="F8" xfId="74" xr:uid="{00000000-0005-0000-0000-000046000000}"/>
    <cellStyle name="Fecha" xfId="75" xr:uid="{00000000-0005-0000-0000-000047000000}"/>
    <cellStyle name="Fijo" xfId="76" xr:uid="{00000000-0005-0000-0000-000048000000}"/>
    <cellStyle name="Financiero" xfId="77" xr:uid="{00000000-0005-0000-0000-000049000000}"/>
    <cellStyle name="Fixed" xfId="78" xr:uid="{00000000-0005-0000-0000-00004A000000}"/>
    <cellStyle name="Followed Hyperlink" xfId="79" xr:uid="{00000000-0005-0000-0000-00004B000000}"/>
    <cellStyle name="Good" xfId="80" xr:uid="{00000000-0005-0000-0000-00004C000000}"/>
    <cellStyle name="Heading 1" xfId="81" xr:uid="{00000000-0005-0000-0000-00004D000000}"/>
    <cellStyle name="Heading 2" xfId="82" xr:uid="{00000000-0005-0000-0000-00004E000000}"/>
    <cellStyle name="Heading 3" xfId="83" xr:uid="{00000000-0005-0000-0000-00004F000000}"/>
    <cellStyle name="Heading 4" xfId="84" xr:uid="{00000000-0005-0000-0000-000050000000}"/>
    <cellStyle name="HEADING1" xfId="85" xr:uid="{00000000-0005-0000-0000-000051000000}"/>
    <cellStyle name="HEADING2" xfId="86" xr:uid="{00000000-0005-0000-0000-000052000000}"/>
    <cellStyle name="Hyperlink" xfId="87" xr:uid="{00000000-0005-0000-0000-000053000000}"/>
    <cellStyle name="Input" xfId="88" xr:uid="{00000000-0005-0000-0000-000054000000}"/>
    <cellStyle name="Linked Cell" xfId="89" xr:uid="{00000000-0005-0000-0000-000055000000}"/>
    <cellStyle name="Millares 10" xfId="90" xr:uid="{00000000-0005-0000-0000-000056000000}"/>
    <cellStyle name="Millares 11" xfId="91" xr:uid="{00000000-0005-0000-0000-000057000000}"/>
    <cellStyle name="Millares 2" xfId="92" xr:uid="{00000000-0005-0000-0000-000058000000}"/>
    <cellStyle name="Millares 2 2" xfId="93" xr:uid="{00000000-0005-0000-0000-000059000000}"/>
    <cellStyle name="Millares 3" xfId="94" xr:uid="{00000000-0005-0000-0000-00005A000000}"/>
    <cellStyle name="Millares 4" xfId="95" xr:uid="{00000000-0005-0000-0000-00005B000000}"/>
    <cellStyle name="Millares 5" xfId="96" xr:uid="{00000000-0005-0000-0000-00005C000000}"/>
    <cellStyle name="Millares 6" xfId="97" xr:uid="{00000000-0005-0000-0000-00005D000000}"/>
    <cellStyle name="Millares 7" xfId="98" xr:uid="{00000000-0005-0000-0000-00005E000000}"/>
    <cellStyle name="Millares 8" xfId="99" xr:uid="{00000000-0005-0000-0000-00005F000000}"/>
    <cellStyle name="Millares 9" xfId="100" xr:uid="{00000000-0005-0000-0000-000060000000}"/>
    <cellStyle name="Moneda 2" xfId="101" xr:uid="{00000000-0005-0000-0000-000061000000}"/>
    <cellStyle name="Moneda 3" xfId="102" xr:uid="{00000000-0005-0000-0000-000062000000}"/>
    <cellStyle name="Moneda 4" xfId="103" xr:uid="{00000000-0005-0000-0000-000063000000}"/>
    <cellStyle name="Moneda 5" xfId="104" xr:uid="{00000000-0005-0000-0000-000064000000}"/>
    <cellStyle name="Moneda0" xfId="105" xr:uid="{00000000-0005-0000-0000-000065000000}"/>
    <cellStyle name="Monetario" xfId="106" xr:uid="{00000000-0005-0000-0000-000066000000}"/>
    <cellStyle name="No-definido" xfId="107" xr:uid="{00000000-0005-0000-0000-000067000000}"/>
    <cellStyle name="Normal" xfId="0" builtinId="0"/>
    <cellStyle name="Normal 10" xfId="1" xr:uid="{00000000-0005-0000-0000-000069000000}"/>
    <cellStyle name="Normal 10 2" xfId="2" xr:uid="{00000000-0005-0000-0000-00006A000000}"/>
    <cellStyle name="Normal 11" xfId="140" xr:uid="{00000000-0005-0000-0000-00006B000000}"/>
    <cellStyle name="Normal 12" xfId="142" xr:uid="{00000000-0005-0000-0000-00006C000000}"/>
    <cellStyle name="Normal 18" xfId="108" xr:uid="{00000000-0005-0000-0000-00006D000000}"/>
    <cellStyle name="Normal 18 2" xfId="109" xr:uid="{00000000-0005-0000-0000-00006E000000}"/>
    <cellStyle name="Normal 2" xfId="3" xr:uid="{00000000-0005-0000-0000-00006F000000}"/>
    <cellStyle name="Normal 2 2" xfId="111" xr:uid="{00000000-0005-0000-0000-000070000000}"/>
    <cellStyle name="Normal 2 3" xfId="112" xr:uid="{00000000-0005-0000-0000-000071000000}"/>
    <cellStyle name="Normal 2 4" xfId="110" xr:uid="{00000000-0005-0000-0000-000072000000}"/>
    <cellStyle name="Normal 2_10.03.01 Estructura Presupuesto - OP PIURA Rev. 0" xfId="113" xr:uid="{00000000-0005-0000-0000-000073000000}"/>
    <cellStyle name="Normal 3" xfId="114" xr:uid="{00000000-0005-0000-0000-000074000000}"/>
    <cellStyle name="Normal 3 2" xfId="115" xr:uid="{00000000-0005-0000-0000-000075000000}"/>
    <cellStyle name="Normal 3 3" xfId="116" xr:uid="{00000000-0005-0000-0000-000076000000}"/>
    <cellStyle name="Normal 3_Costo de personal" xfId="117" xr:uid="{00000000-0005-0000-0000-000077000000}"/>
    <cellStyle name="Normal 4" xfId="118" xr:uid="{00000000-0005-0000-0000-000078000000}"/>
    <cellStyle name="Normal 5" xfId="119" xr:uid="{00000000-0005-0000-0000-000079000000}"/>
    <cellStyle name="Normal 6" xfId="120" xr:uid="{00000000-0005-0000-0000-00007A000000}"/>
    <cellStyle name="Normal 6 2" xfId="121" xr:uid="{00000000-0005-0000-0000-00007B000000}"/>
    <cellStyle name="Normal 7" xfId="122" xr:uid="{00000000-0005-0000-0000-00007C000000}"/>
    <cellStyle name="Normal 7 2" xfId="123" xr:uid="{00000000-0005-0000-0000-00007D000000}"/>
    <cellStyle name="Normal 8" xfId="124" xr:uid="{00000000-0005-0000-0000-00007E000000}"/>
    <cellStyle name="Normal 8 2" xfId="125" xr:uid="{00000000-0005-0000-0000-00007F000000}"/>
    <cellStyle name="Normal 9" xfId="4" xr:uid="{00000000-0005-0000-0000-000080000000}"/>
    <cellStyle name="Note" xfId="126" xr:uid="{00000000-0005-0000-0000-000081000000}"/>
    <cellStyle name="Output" xfId="127" xr:uid="{00000000-0005-0000-0000-000082000000}"/>
    <cellStyle name="Percent" xfId="128" xr:uid="{00000000-0005-0000-0000-000083000000}"/>
    <cellStyle name="Porcentual 2" xfId="129" xr:uid="{00000000-0005-0000-0000-000084000000}"/>
    <cellStyle name="Porcentual 2 2" xfId="141" xr:uid="{00000000-0005-0000-0000-000085000000}"/>
    <cellStyle name="Porcentual 3" xfId="130" xr:uid="{00000000-0005-0000-0000-000086000000}"/>
    <cellStyle name="Porcentual 3 2" xfId="131" xr:uid="{00000000-0005-0000-0000-000087000000}"/>
    <cellStyle name="Porcentual 4" xfId="132" xr:uid="{00000000-0005-0000-0000-000088000000}"/>
    <cellStyle name="Porcentual 5" xfId="133" xr:uid="{00000000-0005-0000-0000-000089000000}"/>
    <cellStyle name="Porcentual 6" xfId="134" xr:uid="{00000000-0005-0000-0000-00008A000000}"/>
    <cellStyle name="Punto0" xfId="135" xr:uid="{00000000-0005-0000-0000-00008B000000}"/>
    <cellStyle name="RM" xfId="136" xr:uid="{00000000-0005-0000-0000-00008C000000}"/>
    <cellStyle name="Sheet Title" xfId="137" xr:uid="{00000000-0005-0000-0000-00008D000000}"/>
    <cellStyle name="Title" xfId="138" xr:uid="{00000000-0005-0000-0000-00008E000000}"/>
    <cellStyle name="Warning Text" xfId="139" xr:uid="{00000000-0005-0000-0000-00008F000000}"/>
  </cellStyles>
  <dxfs count="0"/>
  <tableStyles count="0" defaultTableStyle="TableStyleMedium2" defaultPivotStyle="PivotStyleLight16"/>
  <colors>
    <mruColors>
      <color rgb="FFFF00FF"/>
      <color rgb="FFFF7065"/>
      <color rgb="FFCC99FF"/>
      <color rgb="FF0000FF"/>
      <color rgb="FFFFFF99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130</xdr:col>
      <xdr:colOff>3786</xdr:colOff>
      <xdr:row>7</xdr:row>
      <xdr:rowOff>136036</xdr:rowOff>
    </xdr:from>
    <xdr:to>
      <xdr:col>130</xdr:col>
      <xdr:colOff>3786</xdr:colOff>
      <xdr:row>154</xdr:row>
      <xdr:rowOff>63706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688ABDB7-5433-4812-ACBD-EA0158EC6FCC}"/>
            </a:ext>
          </a:extLst>
        </xdr:cNvPr>
        <xdr:cNvCxnSpPr/>
      </xdr:nvCxnSpPr>
      <xdr:spPr>
        <a:xfrm>
          <a:off x="61773411" y="326536"/>
          <a:ext cx="0" cy="27907358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17391</xdr:colOff>
      <xdr:row>6</xdr:row>
      <xdr:rowOff>179951</xdr:rowOff>
    </xdr:from>
    <xdr:to>
      <xdr:col>59</xdr:col>
      <xdr:colOff>17391</xdr:colOff>
      <xdr:row>153</xdr:row>
      <xdr:rowOff>121228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11BA20AD-68F9-45E5-B1A1-95148A322E19}"/>
            </a:ext>
          </a:extLst>
        </xdr:cNvPr>
        <xdr:cNvCxnSpPr/>
      </xdr:nvCxnSpPr>
      <xdr:spPr>
        <a:xfrm>
          <a:off x="28192341" y="179951"/>
          <a:ext cx="0" cy="28211477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161</xdr:col>
      <xdr:colOff>383</xdr:colOff>
      <xdr:row>6</xdr:row>
      <xdr:rowOff>163250</xdr:rowOff>
    </xdr:from>
    <xdr:to>
      <xdr:col>161</xdr:col>
      <xdr:colOff>383</xdr:colOff>
      <xdr:row>153</xdr:row>
      <xdr:rowOff>104527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DCBE58EC-816A-4EFA-B7AE-E9A5E23885A6}"/>
            </a:ext>
          </a:extLst>
        </xdr:cNvPr>
        <xdr:cNvCxnSpPr/>
      </xdr:nvCxnSpPr>
      <xdr:spPr>
        <a:xfrm>
          <a:off x="75771758" y="163250"/>
          <a:ext cx="0" cy="27920965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161</xdr:col>
      <xdr:colOff>175348</xdr:colOff>
      <xdr:row>53</xdr:row>
      <xdr:rowOff>43295</xdr:rowOff>
    </xdr:from>
    <xdr:to>
      <xdr:col>164</xdr:col>
      <xdr:colOff>339870</xdr:colOff>
      <xdr:row>57</xdr:row>
      <xdr:rowOff>158337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14F04A49-24D0-4E5F-8656-EAD013A52FBE}"/>
            </a:ext>
          </a:extLst>
        </xdr:cNvPr>
        <xdr:cNvSpPr txBox="1"/>
      </xdr:nvSpPr>
      <xdr:spPr>
        <a:xfrm>
          <a:off x="76496575" y="9377795"/>
          <a:ext cx="1515340" cy="8770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/>
            <a:t>Fecha de Recupero 11 de Julio</a:t>
          </a:r>
        </a:p>
      </xdr:txBody>
    </xdr:sp>
    <xdr:clientData/>
  </xdr:twoCellAnchor>
  <xdr:twoCellAnchor>
    <xdr:from>
      <xdr:col>160</xdr:col>
      <xdr:colOff>409143</xdr:colOff>
      <xdr:row>57</xdr:row>
      <xdr:rowOff>158337</xdr:rowOff>
    </xdr:from>
    <xdr:to>
      <xdr:col>163</xdr:col>
      <xdr:colOff>32474</xdr:colOff>
      <xdr:row>61</xdr:row>
      <xdr:rowOff>147204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2853D930-232A-4E9D-8ADA-D7C3BD0977A1}"/>
            </a:ext>
          </a:extLst>
        </xdr:cNvPr>
        <xdr:cNvCxnSpPr>
          <a:stCxn id="7" idx="2"/>
        </xdr:cNvCxnSpPr>
      </xdr:nvCxnSpPr>
      <xdr:spPr>
        <a:xfrm flipH="1">
          <a:off x="76280098" y="10254837"/>
          <a:ext cx="974149" cy="75086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249</xdr:col>
      <xdr:colOff>7185</xdr:colOff>
      <xdr:row>7</xdr:row>
      <xdr:rowOff>87483</xdr:rowOff>
    </xdr:from>
    <xdr:to>
      <xdr:col>249</xdr:col>
      <xdr:colOff>7185</xdr:colOff>
      <xdr:row>154</xdr:row>
      <xdr:rowOff>28760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E07B1A64-B3C9-47DA-AB29-0932A997FD02}"/>
            </a:ext>
          </a:extLst>
        </xdr:cNvPr>
        <xdr:cNvCxnSpPr/>
      </xdr:nvCxnSpPr>
      <xdr:spPr>
        <a:xfrm>
          <a:off x="115952412" y="277983"/>
          <a:ext cx="0" cy="28464322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268432</xdr:colOff>
      <xdr:row>42</xdr:row>
      <xdr:rowOff>146275</xdr:rowOff>
    </xdr:from>
    <xdr:to>
      <xdr:col>99</xdr:col>
      <xdr:colOff>217714</xdr:colOff>
      <xdr:row>45</xdr:row>
      <xdr:rowOff>112878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F0A2C29C-96EA-4399-8D4F-DDEC0120707C}"/>
            </a:ext>
          </a:extLst>
        </xdr:cNvPr>
        <xdr:cNvSpPr txBox="1"/>
      </xdr:nvSpPr>
      <xdr:spPr>
        <a:xfrm>
          <a:off x="46788532" y="7185250"/>
          <a:ext cx="1587582" cy="5381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/>
            <a:t>Fecha de reinicio 27 de Abril</a:t>
          </a:r>
        </a:p>
      </xdr:txBody>
    </xdr:sp>
    <xdr:clientData/>
  </xdr:twoCellAnchor>
  <xdr:twoCellAnchor>
    <xdr:from>
      <xdr:col>95</xdr:col>
      <xdr:colOff>13609</xdr:colOff>
      <xdr:row>45</xdr:row>
      <xdr:rowOff>112878</xdr:rowOff>
    </xdr:from>
    <xdr:to>
      <xdr:col>97</xdr:col>
      <xdr:colOff>243074</xdr:colOff>
      <xdr:row>49</xdr:row>
      <xdr:rowOff>37419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B06DD01D-42D2-4104-85D4-2ABD5D30290E}"/>
            </a:ext>
          </a:extLst>
        </xdr:cNvPr>
        <xdr:cNvCxnSpPr>
          <a:stCxn id="17" idx="2"/>
        </xdr:cNvCxnSpPr>
      </xdr:nvCxnSpPr>
      <xdr:spPr>
        <a:xfrm flipH="1">
          <a:off x="46533709" y="7723353"/>
          <a:ext cx="1048615" cy="69606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270481</xdr:colOff>
      <xdr:row>41</xdr:row>
      <xdr:rowOff>93360</xdr:rowOff>
    </xdr:from>
    <xdr:to>
      <xdr:col>62</xdr:col>
      <xdr:colOff>167809</xdr:colOff>
      <xdr:row>44</xdr:row>
      <xdr:rowOff>58724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2289ABC9-263C-4920-903F-22700F1E205D}"/>
            </a:ext>
          </a:extLst>
        </xdr:cNvPr>
        <xdr:cNvSpPr txBox="1"/>
      </xdr:nvSpPr>
      <xdr:spPr>
        <a:xfrm>
          <a:off x="28445431" y="6941835"/>
          <a:ext cx="1640403" cy="5368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/>
            <a:t>Fecha de corte 14 de Marzo</a:t>
          </a:r>
        </a:p>
      </xdr:txBody>
    </xdr:sp>
    <xdr:clientData/>
  </xdr:twoCellAnchor>
  <xdr:twoCellAnchor>
    <xdr:from>
      <xdr:col>59</xdr:col>
      <xdr:colOff>15659</xdr:colOff>
      <xdr:row>44</xdr:row>
      <xdr:rowOff>58724</xdr:rowOff>
    </xdr:from>
    <xdr:to>
      <xdr:col>60</xdr:col>
      <xdr:colOff>513555</xdr:colOff>
      <xdr:row>48</xdr:row>
      <xdr:rowOff>1821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86F4B268-CFB9-4564-982C-01C5F13DC5A3}"/>
            </a:ext>
          </a:extLst>
        </xdr:cNvPr>
        <xdr:cNvCxnSpPr>
          <a:stCxn id="19" idx="2"/>
        </xdr:cNvCxnSpPr>
      </xdr:nvCxnSpPr>
      <xdr:spPr>
        <a:xfrm flipH="1">
          <a:off x="28190609" y="7478699"/>
          <a:ext cx="1078921" cy="70509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15659</xdr:colOff>
      <xdr:row>27</xdr:row>
      <xdr:rowOff>179952</xdr:rowOff>
    </xdr:from>
    <xdr:to>
      <xdr:col>9</xdr:col>
      <xdr:colOff>340373</xdr:colOff>
      <xdr:row>31</xdr:row>
      <xdr:rowOff>53776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980D5BE3-043A-4C5C-92E9-121B6DDE536E}"/>
            </a:ext>
          </a:extLst>
        </xdr:cNvPr>
        <xdr:cNvCxnSpPr>
          <a:cxnSpLocks/>
        </xdr:cNvCxnSpPr>
      </xdr:nvCxnSpPr>
      <xdr:spPr>
        <a:xfrm flipH="1">
          <a:off x="6978434" y="4285227"/>
          <a:ext cx="1086714" cy="6739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73</xdr:colOff>
      <xdr:row>7</xdr:row>
      <xdr:rowOff>162633</xdr:rowOff>
    </xdr:from>
    <xdr:to>
      <xdr:col>7</xdr:col>
      <xdr:colOff>73</xdr:colOff>
      <xdr:row>154</xdr:row>
      <xdr:rowOff>86592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4C9EA2A2-7CC3-44D1-972A-75BDE0F4AEF3}"/>
            </a:ext>
          </a:extLst>
        </xdr:cNvPr>
        <xdr:cNvCxnSpPr/>
      </xdr:nvCxnSpPr>
      <xdr:spPr>
        <a:xfrm>
          <a:off x="6962848" y="353133"/>
          <a:ext cx="0" cy="28203684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223</xdr:col>
      <xdr:colOff>24504</xdr:colOff>
      <xdr:row>7</xdr:row>
      <xdr:rowOff>66453</xdr:rowOff>
    </xdr:from>
    <xdr:to>
      <xdr:col>223</xdr:col>
      <xdr:colOff>24504</xdr:colOff>
      <xdr:row>154</xdr:row>
      <xdr:rowOff>7730</xdr:rowOff>
    </xdr:to>
    <xdr:cxnSp macro="">
      <xdr:nvCxnSpPr>
        <xdr:cNvPr id="27" name="Conector recto de flecha 26">
          <a:extLst>
            <a:ext uri="{FF2B5EF4-FFF2-40B4-BE49-F238E27FC236}">
              <a16:creationId xmlns:a16="http://schemas.microsoft.com/office/drawing/2014/main" id="{48E59A3A-3218-495A-A285-0AE489079981}"/>
            </a:ext>
          </a:extLst>
        </xdr:cNvPr>
        <xdr:cNvCxnSpPr/>
      </xdr:nvCxnSpPr>
      <xdr:spPr>
        <a:xfrm>
          <a:off x="104262640" y="256953"/>
          <a:ext cx="0" cy="28464322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249</xdr:col>
      <xdr:colOff>249188</xdr:colOff>
      <xdr:row>124</xdr:row>
      <xdr:rowOff>0</xdr:rowOff>
    </xdr:from>
    <xdr:to>
      <xdr:col>253</xdr:col>
      <xdr:colOff>27019</xdr:colOff>
      <xdr:row>129</xdr:row>
      <xdr:rowOff>94419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67957C6B-D36F-4414-8DA0-E24C7498F203}"/>
            </a:ext>
          </a:extLst>
        </xdr:cNvPr>
        <xdr:cNvSpPr txBox="1"/>
      </xdr:nvSpPr>
      <xdr:spPr>
        <a:xfrm>
          <a:off x="116194415" y="22929273"/>
          <a:ext cx="1578922" cy="1046919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/>
            <a:t>Hito 8 (240 dias): Fecha  de plazo Contractual, 22 de Octubre.</a:t>
          </a:r>
        </a:p>
      </xdr:txBody>
    </xdr:sp>
    <xdr:clientData/>
  </xdr:twoCellAnchor>
  <xdr:twoCellAnchor>
    <xdr:from>
      <xdr:col>248</xdr:col>
      <xdr:colOff>427505</xdr:colOff>
      <xdr:row>129</xdr:row>
      <xdr:rowOff>94419</xdr:rowOff>
    </xdr:from>
    <xdr:to>
      <xdr:col>251</xdr:col>
      <xdr:colOff>138103</xdr:colOff>
      <xdr:row>133</xdr:row>
      <xdr:rowOff>18960</xdr:rowOff>
    </xdr:to>
    <xdr:cxnSp macro="">
      <xdr:nvCxnSpPr>
        <xdr:cNvPr id="31" name="Conector recto de flecha 30">
          <a:extLst>
            <a:ext uri="{FF2B5EF4-FFF2-40B4-BE49-F238E27FC236}">
              <a16:creationId xmlns:a16="http://schemas.microsoft.com/office/drawing/2014/main" id="{9EBD0CAB-FC39-4562-8B05-E763BE762BC9}"/>
            </a:ext>
          </a:extLst>
        </xdr:cNvPr>
        <xdr:cNvCxnSpPr>
          <a:stCxn id="30" idx="2"/>
        </xdr:cNvCxnSpPr>
      </xdr:nvCxnSpPr>
      <xdr:spPr>
        <a:xfrm flipH="1">
          <a:off x="115922460" y="23976192"/>
          <a:ext cx="1061416" cy="686541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47626</xdr:colOff>
      <xdr:row>25</xdr:row>
      <xdr:rowOff>71437</xdr:rowOff>
    </xdr:from>
    <xdr:to>
      <xdr:col>12</xdr:col>
      <xdr:colOff>187409</xdr:colOff>
      <xdr:row>28</xdr:row>
      <xdr:rowOff>2165</xdr:rowOff>
    </xdr:to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442B3E64-94D6-48D3-A7A2-63309054AEBC}"/>
            </a:ext>
          </a:extLst>
        </xdr:cNvPr>
        <xdr:cNvSpPr txBox="1"/>
      </xdr:nvSpPr>
      <xdr:spPr>
        <a:xfrm>
          <a:off x="7381876" y="3643312"/>
          <a:ext cx="1663783" cy="502228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/>
            <a:t>Hito 1: Fecha de inicio 15</a:t>
          </a:r>
          <a:r>
            <a:rPr lang="es-PE" sz="1400" baseline="0"/>
            <a:t> </a:t>
          </a:r>
          <a:r>
            <a:rPr lang="es-PE" sz="1400"/>
            <a:t>de Enero</a:t>
          </a:r>
        </a:p>
      </xdr:txBody>
    </xdr:sp>
    <xdr:clientData/>
  </xdr:twoCellAnchor>
  <xdr:twoCellAnchor>
    <xdr:from>
      <xdr:col>223</xdr:col>
      <xdr:colOff>250303</xdr:colOff>
      <xdr:row>109</xdr:row>
      <xdr:rowOff>0</xdr:rowOff>
    </xdr:from>
    <xdr:to>
      <xdr:col>227</xdr:col>
      <xdr:colOff>28135</xdr:colOff>
      <xdr:row>114</xdr:row>
      <xdr:rowOff>141425</xdr:rowOff>
    </xdr:to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2C4CA228-1250-41F9-9E11-77581ADCDC24}"/>
            </a:ext>
          </a:extLst>
        </xdr:cNvPr>
        <xdr:cNvSpPr txBox="1"/>
      </xdr:nvSpPr>
      <xdr:spPr>
        <a:xfrm>
          <a:off x="105773696" y="19975286"/>
          <a:ext cx="1628403" cy="10939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/>
            <a:t>Hito 6 (210</a:t>
          </a:r>
          <a:r>
            <a:rPr lang="es-PE" sz="1400" baseline="0"/>
            <a:t> dias)</a:t>
          </a:r>
          <a:r>
            <a:rPr lang="es-PE" sz="1400"/>
            <a:t>: Fin</a:t>
          </a:r>
          <a:r>
            <a:rPr lang="es-PE" sz="1400" baseline="0"/>
            <a:t> de Ejecución de Obra, 22 de setiembre.</a:t>
          </a:r>
          <a:endParaRPr lang="es-PE" sz="1400"/>
        </a:p>
      </xdr:txBody>
    </xdr:sp>
    <xdr:clientData/>
  </xdr:twoCellAnchor>
  <xdr:twoCellAnchor>
    <xdr:from>
      <xdr:col>222</xdr:col>
      <xdr:colOff>437714</xdr:colOff>
      <xdr:row>114</xdr:row>
      <xdr:rowOff>141425</xdr:rowOff>
    </xdr:from>
    <xdr:to>
      <xdr:col>225</xdr:col>
      <xdr:colOff>139219</xdr:colOff>
      <xdr:row>118</xdr:row>
      <xdr:rowOff>65966</xdr:rowOff>
    </xdr:to>
    <xdr:cxnSp macro="">
      <xdr:nvCxnSpPr>
        <xdr:cNvPr id="34" name="Conector recto de flecha 33">
          <a:extLst>
            <a:ext uri="{FF2B5EF4-FFF2-40B4-BE49-F238E27FC236}">
              <a16:creationId xmlns:a16="http://schemas.microsoft.com/office/drawing/2014/main" id="{DA39EE29-A7A7-4C44-B243-7B6C23E6991C}"/>
            </a:ext>
          </a:extLst>
        </xdr:cNvPr>
        <xdr:cNvCxnSpPr>
          <a:stCxn id="33" idx="2"/>
        </xdr:cNvCxnSpPr>
      </xdr:nvCxnSpPr>
      <xdr:spPr>
        <a:xfrm flipH="1">
          <a:off x="105498464" y="21069211"/>
          <a:ext cx="1089434" cy="68654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248632</xdr:colOff>
      <xdr:row>41</xdr:row>
      <xdr:rowOff>50813</xdr:rowOff>
    </xdr:from>
    <xdr:to>
      <xdr:col>134</xdr:col>
      <xdr:colOff>78419</xdr:colOff>
      <xdr:row>46</xdr:row>
      <xdr:rowOff>120085</xdr:rowOff>
    </xdr:to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F004DA52-5008-4090-A2D9-1E75041DE229}"/>
            </a:ext>
          </a:extLst>
        </xdr:cNvPr>
        <xdr:cNvSpPr txBox="1"/>
      </xdr:nvSpPr>
      <xdr:spPr>
        <a:xfrm>
          <a:off x="62018257" y="6694501"/>
          <a:ext cx="1639537" cy="1021772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/>
            <a:t>Hito 2 (100 dias): Entrega de Departamento Piloto, 04 de Junio</a:t>
          </a:r>
        </a:p>
      </xdr:txBody>
    </xdr:sp>
    <xdr:clientData/>
  </xdr:twoCellAnchor>
  <xdr:twoCellAnchor>
    <xdr:from>
      <xdr:col>129</xdr:col>
      <xdr:colOff>446249</xdr:colOff>
      <xdr:row>46</xdr:row>
      <xdr:rowOff>120085</xdr:rowOff>
    </xdr:from>
    <xdr:to>
      <xdr:col>132</xdr:col>
      <xdr:colOff>163526</xdr:colOff>
      <xdr:row>49</xdr:row>
      <xdr:rowOff>18959</xdr:rowOff>
    </xdr:to>
    <xdr:cxnSp macro="">
      <xdr:nvCxnSpPr>
        <xdr:cNvPr id="36" name="Conector recto de flecha 35">
          <a:extLst>
            <a:ext uri="{FF2B5EF4-FFF2-40B4-BE49-F238E27FC236}">
              <a16:creationId xmlns:a16="http://schemas.microsoft.com/office/drawing/2014/main" id="{F3771328-D499-4C27-BC15-981770E4058F}"/>
            </a:ext>
          </a:extLst>
        </xdr:cNvPr>
        <xdr:cNvCxnSpPr>
          <a:stCxn id="35" idx="2"/>
        </xdr:cNvCxnSpPr>
      </xdr:nvCxnSpPr>
      <xdr:spPr>
        <a:xfrm flipH="1">
          <a:off x="61763437" y="7716273"/>
          <a:ext cx="1074589" cy="4703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172</xdr:col>
      <xdr:colOff>239976</xdr:colOff>
      <xdr:row>79</xdr:row>
      <xdr:rowOff>122251</xdr:rowOff>
    </xdr:from>
    <xdr:to>
      <xdr:col>175</xdr:col>
      <xdr:colOff>418786</xdr:colOff>
      <xdr:row>84</xdr:row>
      <xdr:rowOff>150702</xdr:rowOff>
    </xdr:to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C31729B9-1E97-401E-869E-B4F69DD0013E}"/>
            </a:ext>
          </a:extLst>
        </xdr:cNvPr>
        <xdr:cNvSpPr txBox="1"/>
      </xdr:nvSpPr>
      <xdr:spPr>
        <a:xfrm>
          <a:off x="80988164" y="14004939"/>
          <a:ext cx="1536122" cy="980951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/>
            <a:t>Hito 3 (150 dias): Entrega de Fachada ambas torres, 24 de Julio</a:t>
          </a:r>
        </a:p>
      </xdr:txBody>
    </xdr:sp>
    <xdr:clientData/>
  </xdr:twoCellAnchor>
  <xdr:twoCellAnchor>
    <xdr:from>
      <xdr:col>172</xdr:col>
      <xdr:colOff>16571</xdr:colOff>
      <xdr:row>84</xdr:row>
      <xdr:rowOff>150702</xdr:rowOff>
    </xdr:from>
    <xdr:to>
      <xdr:col>174</xdr:col>
      <xdr:colOff>100440</xdr:colOff>
      <xdr:row>88</xdr:row>
      <xdr:rowOff>139568</xdr:rowOff>
    </xdr:to>
    <xdr:cxnSp macro="">
      <xdr:nvCxnSpPr>
        <xdr:cNvPr id="38" name="Conector recto de flecha 37">
          <a:extLst>
            <a:ext uri="{FF2B5EF4-FFF2-40B4-BE49-F238E27FC236}">
              <a16:creationId xmlns:a16="http://schemas.microsoft.com/office/drawing/2014/main" id="{1D44F8B1-E277-4617-8C62-318EC6667C8D}"/>
            </a:ext>
          </a:extLst>
        </xdr:cNvPr>
        <xdr:cNvCxnSpPr>
          <a:stCxn id="37" idx="2"/>
        </xdr:cNvCxnSpPr>
      </xdr:nvCxnSpPr>
      <xdr:spPr>
        <a:xfrm flipH="1">
          <a:off x="80764759" y="14985890"/>
          <a:ext cx="988744" cy="75086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197</xdr:col>
      <xdr:colOff>265641</xdr:colOff>
      <xdr:row>94</xdr:row>
      <xdr:rowOff>140806</xdr:rowOff>
    </xdr:from>
    <xdr:to>
      <xdr:col>201</xdr:col>
      <xdr:colOff>172432</xdr:colOff>
      <xdr:row>99</xdr:row>
      <xdr:rowOff>84213</xdr:rowOff>
    </xdr:to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C21D3E56-08BF-49BB-8E64-A518C06E4A56}"/>
            </a:ext>
          </a:extLst>
        </xdr:cNvPr>
        <xdr:cNvSpPr txBox="1"/>
      </xdr:nvSpPr>
      <xdr:spPr>
        <a:xfrm>
          <a:off x="92324766" y="16880994"/>
          <a:ext cx="1716541" cy="895907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/>
            <a:t>Hito 5 (180 dias): Entrega de Obras civiles - 22 de Agosto</a:t>
          </a:r>
        </a:p>
      </xdr:txBody>
    </xdr:sp>
    <xdr:clientData/>
  </xdr:twoCellAnchor>
  <xdr:twoCellAnchor>
    <xdr:from>
      <xdr:col>197</xdr:col>
      <xdr:colOff>615</xdr:colOff>
      <xdr:row>99</xdr:row>
      <xdr:rowOff>84213</xdr:rowOff>
    </xdr:from>
    <xdr:to>
      <xdr:col>199</xdr:col>
      <xdr:colOff>219036</xdr:colOff>
      <xdr:row>103</xdr:row>
      <xdr:rowOff>8754</xdr:rowOff>
    </xdr:to>
    <xdr:cxnSp macro="">
      <xdr:nvCxnSpPr>
        <xdr:cNvPr id="40" name="Conector recto de flecha 39">
          <a:extLst>
            <a:ext uri="{FF2B5EF4-FFF2-40B4-BE49-F238E27FC236}">
              <a16:creationId xmlns:a16="http://schemas.microsoft.com/office/drawing/2014/main" id="{0742A6E8-2798-49F5-886F-F06643FD51AD}"/>
            </a:ext>
          </a:extLst>
        </xdr:cNvPr>
        <xdr:cNvCxnSpPr>
          <a:stCxn id="39" idx="2"/>
        </xdr:cNvCxnSpPr>
      </xdr:nvCxnSpPr>
      <xdr:spPr>
        <a:xfrm flipH="1">
          <a:off x="92059740" y="17776901"/>
          <a:ext cx="1123296" cy="68654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197</xdr:col>
      <xdr:colOff>231006</xdr:colOff>
      <xdr:row>83</xdr:row>
      <xdr:rowOff>56284</xdr:rowOff>
    </xdr:from>
    <xdr:to>
      <xdr:col>201</xdr:col>
      <xdr:colOff>4074</xdr:colOff>
      <xdr:row>87</xdr:row>
      <xdr:rowOff>178843</xdr:rowOff>
    </xdr:to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404D1FC8-AEE0-49A7-9D29-CDC4A681AEC8}"/>
            </a:ext>
          </a:extLst>
        </xdr:cNvPr>
        <xdr:cNvSpPr txBox="1"/>
      </xdr:nvSpPr>
      <xdr:spPr>
        <a:xfrm>
          <a:off x="92290131" y="14700972"/>
          <a:ext cx="1582818" cy="884559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/>
            <a:t>Hito 4 (180 dias): Entrega de ascensor </a:t>
          </a:r>
        </a:p>
      </xdr:txBody>
    </xdr:sp>
    <xdr:clientData/>
  </xdr:twoCellAnchor>
  <xdr:twoCellAnchor>
    <xdr:from>
      <xdr:col>196</xdr:col>
      <xdr:colOff>413657</xdr:colOff>
      <xdr:row>87</xdr:row>
      <xdr:rowOff>178843</xdr:rowOff>
    </xdr:from>
    <xdr:to>
      <xdr:col>199</xdr:col>
      <xdr:colOff>117540</xdr:colOff>
      <xdr:row>91</xdr:row>
      <xdr:rowOff>71533</xdr:rowOff>
    </xdr:to>
    <xdr:cxnSp macro="">
      <xdr:nvCxnSpPr>
        <xdr:cNvPr id="42" name="Conector recto de flecha 41">
          <a:extLst>
            <a:ext uri="{FF2B5EF4-FFF2-40B4-BE49-F238E27FC236}">
              <a16:creationId xmlns:a16="http://schemas.microsoft.com/office/drawing/2014/main" id="{A51C16D4-6268-4E7F-87C5-50A3B09285F8}"/>
            </a:ext>
          </a:extLst>
        </xdr:cNvPr>
        <xdr:cNvCxnSpPr>
          <a:stCxn id="41" idx="2"/>
        </xdr:cNvCxnSpPr>
      </xdr:nvCxnSpPr>
      <xdr:spPr>
        <a:xfrm flipH="1">
          <a:off x="92020345" y="15585531"/>
          <a:ext cx="1061195" cy="6546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223</xdr:col>
      <xdr:colOff>267621</xdr:colOff>
      <xdr:row>119</xdr:row>
      <xdr:rowOff>7518</xdr:rowOff>
    </xdr:from>
    <xdr:to>
      <xdr:col>227</xdr:col>
      <xdr:colOff>45453</xdr:colOff>
      <xdr:row>123</xdr:row>
      <xdr:rowOff>141425</xdr:rowOff>
    </xdr:to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C4651744-9ECE-4BDE-9D1C-4BF98BE92D8C}"/>
            </a:ext>
          </a:extLst>
        </xdr:cNvPr>
        <xdr:cNvSpPr txBox="1"/>
      </xdr:nvSpPr>
      <xdr:spPr>
        <a:xfrm>
          <a:off x="105791014" y="21887804"/>
          <a:ext cx="1628403" cy="895907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/>
            <a:t>Hito 7 </a:t>
          </a:r>
          <a:r>
            <a:rPr lang="es-PE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(210</a:t>
          </a:r>
          <a:r>
            <a:rPr lang="es-PE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dias)</a:t>
          </a:r>
          <a:r>
            <a:rPr lang="es-PE" sz="1400"/>
            <a:t>: Entrega de Dossier y planos as built.</a:t>
          </a:r>
        </a:p>
      </xdr:txBody>
    </xdr:sp>
    <xdr:clientData/>
  </xdr:twoCellAnchor>
  <xdr:twoCellAnchor>
    <xdr:from>
      <xdr:col>223</xdr:col>
      <xdr:colOff>2594</xdr:colOff>
      <xdr:row>123</xdr:row>
      <xdr:rowOff>141425</xdr:rowOff>
    </xdr:from>
    <xdr:to>
      <xdr:col>225</xdr:col>
      <xdr:colOff>156535</xdr:colOff>
      <xdr:row>127</xdr:row>
      <xdr:rowOff>62255</xdr:rowOff>
    </xdr:to>
    <xdr:cxnSp macro="">
      <xdr:nvCxnSpPr>
        <xdr:cNvPr id="44" name="Conector recto de flecha 43">
          <a:extLst>
            <a:ext uri="{FF2B5EF4-FFF2-40B4-BE49-F238E27FC236}">
              <a16:creationId xmlns:a16="http://schemas.microsoft.com/office/drawing/2014/main" id="{DF9E255E-4766-4DD2-82EC-C7EE625DDFE7}"/>
            </a:ext>
          </a:extLst>
        </xdr:cNvPr>
        <xdr:cNvCxnSpPr>
          <a:stCxn id="43" idx="2"/>
        </xdr:cNvCxnSpPr>
      </xdr:nvCxnSpPr>
      <xdr:spPr>
        <a:xfrm flipH="1">
          <a:off x="105525987" y="22783711"/>
          <a:ext cx="1079227" cy="6828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172</xdr:col>
      <xdr:colOff>17702</xdr:colOff>
      <xdr:row>7</xdr:row>
      <xdr:rowOff>106966</xdr:rowOff>
    </xdr:from>
    <xdr:to>
      <xdr:col>172</xdr:col>
      <xdr:colOff>17702</xdr:colOff>
      <xdr:row>154</xdr:row>
      <xdr:rowOff>30925</xdr:rowOff>
    </xdr:to>
    <xdr:cxnSp macro="">
      <xdr:nvCxnSpPr>
        <xdr:cNvPr id="45" name="Conector recto de flecha 44">
          <a:extLst>
            <a:ext uri="{FF2B5EF4-FFF2-40B4-BE49-F238E27FC236}">
              <a16:creationId xmlns:a16="http://schemas.microsoft.com/office/drawing/2014/main" id="{16CFCB57-EAFF-48D5-B8A9-8280FAFB4106}"/>
            </a:ext>
          </a:extLst>
        </xdr:cNvPr>
        <xdr:cNvCxnSpPr/>
      </xdr:nvCxnSpPr>
      <xdr:spPr>
        <a:xfrm>
          <a:off x="81291929" y="297466"/>
          <a:ext cx="0" cy="28447004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197</xdr:col>
      <xdr:colOff>17703</xdr:colOff>
      <xdr:row>7</xdr:row>
      <xdr:rowOff>89648</xdr:rowOff>
    </xdr:from>
    <xdr:to>
      <xdr:col>197</xdr:col>
      <xdr:colOff>17703</xdr:colOff>
      <xdr:row>154</xdr:row>
      <xdr:rowOff>13607</xdr:rowOff>
    </xdr:to>
    <xdr:cxnSp macro="">
      <xdr:nvCxnSpPr>
        <xdr:cNvPr id="46" name="Conector recto de flecha 45">
          <a:extLst>
            <a:ext uri="{FF2B5EF4-FFF2-40B4-BE49-F238E27FC236}">
              <a16:creationId xmlns:a16="http://schemas.microsoft.com/office/drawing/2014/main" id="{B2787459-83D1-4D61-B56E-6CF75A9B1EA8}"/>
            </a:ext>
          </a:extLst>
        </xdr:cNvPr>
        <xdr:cNvCxnSpPr/>
      </xdr:nvCxnSpPr>
      <xdr:spPr>
        <a:xfrm>
          <a:off x="92548748" y="280148"/>
          <a:ext cx="0" cy="28447004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398392</xdr:colOff>
      <xdr:row>7</xdr:row>
      <xdr:rowOff>132326</xdr:rowOff>
    </xdr:from>
    <xdr:to>
      <xdr:col>94</xdr:col>
      <xdr:colOff>398392</xdr:colOff>
      <xdr:row>154</xdr:row>
      <xdr:rowOff>73603</xdr:rowOff>
    </xdr:to>
    <xdr:cxnSp macro="">
      <xdr:nvCxnSpPr>
        <xdr:cNvPr id="47" name="Conector recto de flecha 46">
          <a:extLst>
            <a:ext uri="{FF2B5EF4-FFF2-40B4-BE49-F238E27FC236}">
              <a16:creationId xmlns:a16="http://schemas.microsoft.com/office/drawing/2014/main" id="{46E2CE86-0590-4E37-8B70-BE2283D7616A}"/>
            </a:ext>
          </a:extLst>
        </xdr:cNvPr>
        <xdr:cNvCxnSpPr/>
      </xdr:nvCxnSpPr>
      <xdr:spPr>
        <a:xfrm>
          <a:off x="46166017" y="322826"/>
          <a:ext cx="0" cy="27920965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95</xdr:col>
      <xdr:colOff>3785</xdr:colOff>
      <xdr:row>7</xdr:row>
      <xdr:rowOff>88411</xdr:rowOff>
    </xdr:from>
    <xdr:to>
      <xdr:col>95</xdr:col>
      <xdr:colOff>3785</xdr:colOff>
      <xdr:row>154</xdr:row>
      <xdr:rowOff>16081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A151DC98-F472-4E8D-BB64-B38F82CD30B8}"/>
            </a:ext>
          </a:extLst>
        </xdr:cNvPr>
        <xdr:cNvCxnSpPr/>
      </xdr:nvCxnSpPr>
      <xdr:spPr>
        <a:xfrm>
          <a:off x="46621856" y="278911"/>
          <a:ext cx="0" cy="27958384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17391</xdr:colOff>
      <xdr:row>6</xdr:row>
      <xdr:rowOff>179951</xdr:rowOff>
    </xdr:from>
    <xdr:to>
      <xdr:col>59</xdr:col>
      <xdr:colOff>17391</xdr:colOff>
      <xdr:row>153</xdr:row>
      <xdr:rowOff>121228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ACC2B8F2-CB8A-4A95-85AC-C26DE36C5293}"/>
            </a:ext>
          </a:extLst>
        </xdr:cNvPr>
        <xdr:cNvCxnSpPr/>
      </xdr:nvCxnSpPr>
      <xdr:spPr>
        <a:xfrm>
          <a:off x="28192341" y="179951"/>
          <a:ext cx="0" cy="27830477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452820</xdr:colOff>
      <xdr:row>7</xdr:row>
      <xdr:rowOff>20375</xdr:rowOff>
    </xdr:from>
    <xdr:to>
      <xdr:col>142</xdr:col>
      <xdr:colOff>452820</xdr:colOff>
      <xdr:row>153</xdr:row>
      <xdr:rowOff>152152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C8F8941C-1543-405F-8CB9-FA0E22B0658B}"/>
            </a:ext>
          </a:extLst>
        </xdr:cNvPr>
        <xdr:cNvCxnSpPr/>
      </xdr:nvCxnSpPr>
      <xdr:spPr>
        <a:xfrm>
          <a:off x="68542963" y="210875"/>
          <a:ext cx="0" cy="27958384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143</xdr:col>
      <xdr:colOff>199159</xdr:colOff>
      <xdr:row>65</xdr:row>
      <xdr:rowOff>34636</xdr:rowOff>
    </xdr:from>
    <xdr:to>
      <xdr:col>146</xdr:col>
      <xdr:colOff>363682</xdr:colOff>
      <xdr:row>69</xdr:row>
      <xdr:rowOff>132360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39627146-A24D-4290-8E09-C68515DEAAAF}"/>
            </a:ext>
          </a:extLst>
        </xdr:cNvPr>
        <xdr:cNvSpPr txBox="1"/>
      </xdr:nvSpPr>
      <xdr:spPr>
        <a:xfrm>
          <a:off x="68450114" y="11655136"/>
          <a:ext cx="1515341" cy="8597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/>
            <a:t>Fecha de Recupero 20 de Junio</a:t>
          </a:r>
        </a:p>
      </xdr:txBody>
    </xdr:sp>
    <xdr:clientData/>
  </xdr:twoCellAnchor>
  <xdr:twoCellAnchor>
    <xdr:from>
      <xdr:col>142</xdr:col>
      <xdr:colOff>432955</xdr:colOff>
      <xdr:row>69</xdr:row>
      <xdr:rowOff>132360</xdr:rowOff>
    </xdr:from>
    <xdr:to>
      <xdr:col>145</xdr:col>
      <xdr:colOff>56285</xdr:colOff>
      <xdr:row>73</xdr:row>
      <xdr:rowOff>103909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A560D627-5043-4CD2-B85C-A1AE3241569B}"/>
            </a:ext>
          </a:extLst>
        </xdr:cNvPr>
        <xdr:cNvCxnSpPr>
          <a:stCxn id="8" idx="2"/>
        </xdr:cNvCxnSpPr>
      </xdr:nvCxnSpPr>
      <xdr:spPr>
        <a:xfrm flipH="1">
          <a:off x="68233637" y="12514860"/>
          <a:ext cx="974148" cy="7681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249</xdr:col>
      <xdr:colOff>24503</xdr:colOff>
      <xdr:row>7</xdr:row>
      <xdr:rowOff>70164</xdr:rowOff>
    </xdr:from>
    <xdr:to>
      <xdr:col>249</xdr:col>
      <xdr:colOff>24503</xdr:colOff>
      <xdr:row>154</xdr:row>
      <xdr:rowOff>11441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A28BA355-03FA-4C0A-AC3A-08BFFB916782}"/>
            </a:ext>
          </a:extLst>
        </xdr:cNvPr>
        <xdr:cNvCxnSpPr/>
      </xdr:nvCxnSpPr>
      <xdr:spPr>
        <a:xfrm>
          <a:off x="115969730" y="260664"/>
          <a:ext cx="0" cy="28464322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249</xdr:col>
      <xdr:colOff>250804</xdr:colOff>
      <xdr:row>133</xdr:row>
      <xdr:rowOff>155864</xdr:rowOff>
    </xdr:from>
    <xdr:to>
      <xdr:col>253</xdr:col>
      <xdr:colOff>9585</xdr:colOff>
      <xdr:row>138</xdr:row>
      <xdr:rowOff>147516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B9F824D6-5E62-47A5-8366-6CD7613204F5}"/>
            </a:ext>
          </a:extLst>
        </xdr:cNvPr>
        <xdr:cNvSpPr txBox="1"/>
      </xdr:nvSpPr>
      <xdr:spPr>
        <a:xfrm>
          <a:off x="116196031" y="24799637"/>
          <a:ext cx="1559872" cy="978788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/>
            <a:t>Hito 8 (240 dias): Fecha  de plazo Contractual 22 de Octubre</a:t>
          </a:r>
        </a:p>
      </xdr:txBody>
    </xdr:sp>
    <xdr:clientData/>
  </xdr:twoCellAnchor>
  <xdr:twoCellAnchor>
    <xdr:from>
      <xdr:col>248</xdr:col>
      <xdr:colOff>436050</xdr:colOff>
      <xdr:row>138</xdr:row>
      <xdr:rowOff>147516</xdr:rowOff>
    </xdr:from>
    <xdr:to>
      <xdr:col>251</xdr:col>
      <xdr:colOff>130194</xdr:colOff>
      <xdr:row>142</xdr:row>
      <xdr:rowOff>72056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8FD8569F-B83D-42BD-AEA0-0B26B59316B7}"/>
            </a:ext>
          </a:extLst>
        </xdr:cNvPr>
        <xdr:cNvCxnSpPr>
          <a:stCxn id="20" idx="2"/>
        </xdr:cNvCxnSpPr>
      </xdr:nvCxnSpPr>
      <xdr:spPr>
        <a:xfrm flipH="1">
          <a:off x="115931005" y="25778425"/>
          <a:ext cx="1044962" cy="68654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268432</xdr:colOff>
      <xdr:row>42</xdr:row>
      <xdr:rowOff>146275</xdr:rowOff>
    </xdr:from>
    <xdr:to>
      <xdr:col>99</xdr:col>
      <xdr:colOff>217714</xdr:colOff>
      <xdr:row>45</xdr:row>
      <xdr:rowOff>112878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0F2E1806-D348-4D96-BF1E-14E30451704D}"/>
            </a:ext>
          </a:extLst>
        </xdr:cNvPr>
        <xdr:cNvSpPr txBox="1"/>
      </xdr:nvSpPr>
      <xdr:spPr>
        <a:xfrm>
          <a:off x="46440870" y="6980463"/>
          <a:ext cx="1568532" cy="5381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/>
            <a:t>Fecha de reinicio 27 de Abril</a:t>
          </a:r>
        </a:p>
      </xdr:txBody>
    </xdr:sp>
    <xdr:clientData/>
  </xdr:twoCellAnchor>
  <xdr:twoCellAnchor>
    <xdr:from>
      <xdr:col>95</xdr:col>
      <xdr:colOff>13609</xdr:colOff>
      <xdr:row>45</xdr:row>
      <xdr:rowOff>112878</xdr:rowOff>
    </xdr:from>
    <xdr:to>
      <xdr:col>97</xdr:col>
      <xdr:colOff>243074</xdr:colOff>
      <xdr:row>49</xdr:row>
      <xdr:rowOff>37419</xdr:rowOff>
    </xdr:to>
    <xdr:cxnSp macro="">
      <xdr:nvCxnSpPr>
        <xdr:cNvPr id="25" name="Conector recto de flecha 24">
          <a:extLst>
            <a:ext uri="{FF2B5EF4-FFF2-40B4-BE49-F238E27FC236}">
              <a16:creationId xmlns:a16="http://schemas.microsoft.com/office/drawing/2014/main" id="{FEF218BC-311E-44DE-A64E-157C84DE2093}"/>
            </a:ext>
          </a:extLst>
        </xdr:cNvPr>
        <xdr:cNvCxnSpPr>
          <a:stCxn id="24" idx="2"/>
        </xdr:cNvCxnSpPr>
      </xdr:nvCxnSpPr>
      <xdr:spPr>
        <a:xfrm flipH="1">
          <a:off x="46186047" y="7518566"/>
          <a:ext cx="1039090" cy="68654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270481</xdr:colOff>
      <xdr:row>41</xdr:row>
      <xdr:rowOff>93360</xdr:rowOff>
    </xdr:from>
    <xdr:to>
      <xdr:col>62</xdr:col>
      <xdr:colOff>167809</xdr:colOff>
      <xdr:row>44</xdr:row>
      <xdr:rowOff>58724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4ED8E2F7-DD8F-47F6-9331-B1B16F899F87}"/>
            </a:ext>
          </a:extLst>
        </xdr:cNvPr>
        <xdr:cNvSpPr txBox="1"/>
      </xdr:nvSpPr>
      <xdr:spPr>
        <a:xfrm>
          <a:off x="28481799" y="7107224"/>
          <a:ext cx="1663783" cy="5368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/>
            <a:t>Fecha de corte 14 de Marzo</a:t>
          </a:r>
        </a:p>
      </xdr:txBody>
    </xdr:sp>
    <xdr:clientData/>
  </xdr:twoCellAnchor>
  <xdr:twoCellAnchor>
    <xdr:from>
      <xdr:col>59</xdr:col>
      <xdr:colOff>15659</xdr:colOff>
      <xdr:row>44</xdr:row>
      <xdr:rowOff>58724</xdr:rowOff>
    </xdr:from>
    <xdr:to>
      <xdr:col>60</xdr:col>
      <xdr:colOff>513555</xdr:colOff>
      <xdr:row>48</xdr:row>
      <xdr:rowOff>1821</xdr:rowOff>
    </xdr:to>
    <xdr:cxnSp macro="">
      <xdr:nvCxnSpPr>
        <xdr:cNvPr id="27" name="Conector recto de flecha 26">
          <a:extLst>
            <a:ext uri="{FF2B5EF4-FFF2-40B4-BE49-F238E27FC236}">
              <a16:creationId xmlns:a16="http://schemas.microsoft.com/office/drawing/2014/main" id="{EA7A31E0-134A-4B3A-B77C-290C4F9B0711}"/>
            </a:ext>
          </a:extLst>
        </xdr:cNvPr>
        <xdr:cNvCxnSpPr>
          <a:stCxn id="26" idx="2"/>
        </xdr:cNvCxnSpPr>
      </xdr:nvCxnSpPr>
      <xdr:spPr>
        <a:xfrm flipH="1">
          <a:off x="28226977" y="7644088"/>
          <a:ext cx="1086714" cy="70509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216052</xdr:colOff>
      <xdr:row>18</xdr:row>
      <xdr:rowOff>181189</xdr:rowOff>
    </xdr:from>
    <xdr:to>
      <xdr:col>11</xdr:col>
      <xdr:colOff>355835</xdr:colOff>
      <xdr:row>21</xdr:row>
      <xdr:rowOff>98310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329E9675-1370-4B23-8D07-1C99F2C711BA}"/>
            </a:ext>
          </a:extLst>
        </xdr:cNvPr>
        <xdr:cNvSpPr txBox="1"/>
      </xdr:nvSpPr>
      <xdr:spPr>
        <a:xfrm>
          <a:off x="7182909" y="2521618"/>
          <a:ext cx="1663783" cy="529442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/>
            <a:t>Hito 1: Fecha de inicio, 15</a:t>
          </a:r>
          <a:r>
            <a:rPr lang="es-PE" sz="1400" baseline="0"/>
            <a:t> </a:t>
          </a:r>
          <a:r>
            <a:rPr lang="es-PE" sz="1400"/>
            <a:t>de Enero</a:t>
          </a:r>
        </a:p>
      </xdr:txBody>
    </xdr:sp>
    <xdr:clientData/>
  </xdr:twoCellAnchor>
  <xdr:twoCellAnchor>
    <xdr:from>
      <xdr:col>6</xdr:col>
      <xdr:colOff>342230</xdr:colOff>
      <xdr:row>21</xdr:row>
      <xdr:rowOff>98310</xdr:rowOff>
    </xdr:from>
    <xdr:to>
      <xdr:col>9</xdr:col>
      <xdr:colOff>285944</xdr:colOff>
      <xdr:row>24</xdr:row>
      <xdr:rowOff>176241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BF1364C7-079B-4124-80F5-8C6B23846801}"/>
            </a:ext>
          </a:extLst>
        </xdr:cNvPr>
        <xdr:cNvCxnSpPr>
          <a:stCxn id="28" idx="2"/>
        </xdr:cNvCxnSpPr>
      </xdr:nvCxnSpPr>
      <xdr:spPr>
        <a:xfrm flipH="1">
          <a:off x="6928087" y="3051060"/>
          <a:ext cx="1086714" cy="69025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73</xdr:colOff>
      <xdr:row>7</xdr:row>
      <xdr:rowOff>162633</xdr:rowOff>
    </xdr:from>
    <xdr:to>
      <xdr:col>7</xdr:col>
      <xdr:colOff>73</xdr:colOff>
      <xdr:row>154</xdr:row>
      <xdr:rowOff>86592</xdr:rowOff>
    </xdr:to>
    <xdr:cxnSp macro="">
      <xdr:nvCxnSpPr>
        <xdr:cNvPr id="30" name="Conector recto de flecha 29">
          <a:extLst>
            <a:ext uri="{FF2B5EF4-FFF2-40B4-BE49-F238E27FC236}">
              <a16:creationId xmlns:a16="http://schemas.microsoft.com/office/drawing/2014/main" id="{AB00C988-FFD1-495F-87D8-90F49A2318D0}"/>
            </a:ext>
          </a:extLst>
        </xdr:cNvPr>
        <xdr:cNvCxnSpPr/>
      </xdr:nvCxnSpPr>
      <xdr:spPr>
        <a:xfrm>
          <a:off x="6944664" y="353133"/>
          <a:ext cx="0" cy="28066004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223</xdr:col>
      <xdr:colOff>27288</xdr:colOff>
      <xdr:row>7</xdr:row>
      <xdr:rowOff>115625</xdr:rowOff>
    </xdr:from>
    <xdr:to>
      <xdr:col>223</xdr:col>
      <xdr:colOff>27288</xdr:colOff>
      <xdr:row>154</xdr:row>
      <xdr:rowOff>35873</xdr:rowOff>
    </xdr:to>
    <xdr:cxnSp macro="">
      <xdr:nvCxnSpPr>
        <xdr:cNvPr id="35" name="Conector recto de flecha 34">
          <a:extLst>
            <a:ext uri="{FF2B5EF4-FFF2-40B4-BE49-F238E27FC236}">
              <a16:creationId xmlns:a16="http://schemas.microsoft.com/office/drawing/2014/main" id="{ABAA60C4-7AF0-4470-9CF3-16CF142F1FA2}"/>
            </a:ext>
          </a:extLst>
        </xdr:cNvPr>
        <xdr:cNvCxnSpPr/>
      </xdr:nvCxnSpPr>
      <xdr:spPr>
        <a:xfrm>
          <a:off x="104265424" y="306125"/>
          <a:ext cx="0" cy="28443293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223</xdr:col>
      <xdr:colOff>320078</xdr:colOff>
      <xdr:row>120</xdr:row>
      <xdr:rowOff>79169</xdr:rowOff>
    </xdr:from>
    <xdr:to>
      <xdr:col>227</xdr:col>
      <xdr:colOff>78860</xdr:colOff>
      <xdr:row>125</xdr:row>
      <xdr:rowOff>138545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74EA37FA-7868-4443-BC35-BA884C78334B}"/>
            </a:ext>
          </a:extLst>
        </xdr:cNvPr>
        <xdr:cNvSpPr txBox="1"/>
      </xdr:nvSpPr>
      <xdr:spPr>
        <a:xfrm>
          <a:off x="104558214" y="22246442"/>
          <a:ext cx="1559873" cy="10118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/>
            <a:t>Hito 6 (210</a:t>
          </a:r>
          <a:r>
            <a:rPr lang="es-PE" sz="1400" baseline="0"/>
            <a:t> dias)</a:t>
          </a:r>
          <a:r>
            <a:rPr lang="es-PE" sz="1400"/>
            <a:t>: Fin de ejecución de Obra, 22 de Setiembre</a:t>
          </a:r>
        </a:p>
      </xdr:txBody>
    </xdr:sp>
    <xdr:clientData/>
  </xdr:twoCellAnchor>
  <xdr:twoCellAnchor>
    <xdr:from>
      <xdr:col>223</xdr:col>
      <xdr:colOff>55053</xdr:colOff>
      <xdr:row>125</xdr:row>
      <xdr:rowOff>138545</xdr:rowOff>
    </xdr:from>
    <xdr:to>
      <xdr:col>225</xdr:col>
      <xdr:colOff>199469</xdr:colOff>
      <xdr:row>128</xdr:row>
      <xdr:rowOff>137617</xdr:rowOff>
    </xdr:to>
    <xdr:cxnSp macro="">
      <xdr:nvCxnSpPr>
        <xdr:cNvPr id="37" name="Conector recto de flecha 36">
          <a:extLst>
            <a:ext uri="{FF2B5EF4-FFF2-40B4-BE49-F238E27FC236}">
              <a16:creationId xmlns:a16="http://schemas.microsoft.com/office/drawing/2014/main" id="{408F0CD4-D249-470A-A689-84F198C57D1C}"/>
            </a:ext>
          </a:extLst>
        </xdr:cNvPr>
        <xdr:cNvCxnSpPr>
          <a:stCxn id="36" idx="2"/>
        </xdr:cNvCxnSpPr>
      </xdr:nvCxnSpPr>
      <xdr:spPr>
        <a:xfrm flipH="1">
          <a:off x="104293189" y="23258318"/>
          <a:ext cx="1044962" cy="57057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228</xdr:col>
      <xdr:colOff>44606</xdr:colOff>
      <xdr:row>7</xdr:row>
      <xdr:rowOff>80988</xdr:rowOff>
    </xdr:from>
    <xdr:to>
      <xdr:col>228</xdr:col>
      <xdr:colOff>44606</xdr:colOff>
      <xdr:row>154</xdr:row>
      <xdr:rowOff>1236</xdr:rowOff>
    </xdr:to>
    <xdr:cxnSp macro="">
      <xdr:nvCxnSpPr>
        <xdr:cNvPr id="40" name="Conector recto de flecha 39">
          <a:extLst>
            <a:ext uri="{FF2B5EF4-FFF2-40B4-BE49-F238E27FC236}">
              <a16:creationId xmlns:a16="http://schemas.microsoft.com/office/drawing/2014/main" id="{9383906F-B8A3-4DF6-A715-E2606A517A80}"/>
            </a:ext>
          </a:extLst>
        </xdr:cNvPr>
        <xdr:cNvCxnSpPr/>
      </xdr:nvCxnSpPr>
      <xdr:spPr>
        <a:xfrm>
          <a:off x="106534106" y="271488"/>
          <a:ext cx="0" cy="28443293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228</xdr:col>
      <xdr:colOff>320078</xdr:colOff>
      <xdr:row>135</xdr:row>
      <xdr:rowOff>113804</xdr:rowOff>
    </xdr:from>
    <xdr:to>
      <xdr:col>232</xdr:col>
      <xdr:colOff>78860</xdr:colOff>
      <xdr:row>140</xdr:row>
      <xdr:rowOff>22575</xdr:rowOff>
    </xdr:to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E512F8CD-D724-4A3E-B1A5-FE2D29346C60}"/>
            </a:ext>
          </a:extLst>
        </xdr:cNvPr>
        <xdr:cNvSpPr txBox="1"/>
      </xdr:nvSpPr>
      <xdr:spPr>
        <a:xfrm>
          <a:off x="106809578" y="25138577"/>
          <a:ext cx="1559873" cy="8959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/>
            <a:t>Entrega de</a:t>
          </a:r>
          <a:r>
            <a:rPr lang="es-PE" sz="1400" baseline="0"/>
            <a:t> Proyecto</a:t>
          </a:r>
          <a:r>
            <a:rPr lang="es-PE" sz="1400"/>
            <a:t> 28 de Setiembre</a:t>
          </a:r>
        </a:p>
      </xdr:txBody>
    </xdr:sp>
    <xdr:clientData/>
  </xdr:twoCellAnchor>
  <xdr:twoCellAnchor>
    <xdr:from>
      <xdr:col>228</xdr:col>
      <xdr:colOff>55051</xdr:colOff>
      <xdr:row>140</xdr:row>
      <xdr:rowOff>22575</xdr:rowOff>
    </xdr:from>
    <xdr:to>
      <xdr:col>230</xdr:col>
      <xdr:colOff>199469</xdr:colOff>
      <xdr:row>143</xdr:row>
      <xdr:rowOff>137616</xdr:rowOff>
    </xdr:to>
    <xdr:cxnSp macro="">
      <xdr:nvCxnSpPr>
        <xdr:cNvPr id="42" name="Conector recto de flecha 41">
          <a:extLst>
            <a:ext uri="{FF2B5EF4-FFF2-40B4-BE49-F238E27FC236}">
              <a16:creationId xmlns:a16="http://schemas.microsoft.com/office/drawing/2014/main" id="{348690BF-0785-4AF4-9DEC-924403825D38}"/>
            </a:ext>
          </a:extLst>
        </xdr:cNvPr>
        <xdr:cNvCxnSpPr>
          <a:stCxn id="41" idx="2"/>
        </xdr:cNvCxnSpPr>
      </xdr:nvCxnSpPr>
      <xdr:spPr>
        <a:xfrm flipH="1">
          <a:off x="106544551" y="26034484"/>
          <a:ext cx="1044963" cy="68654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129</xdr:col>
      <xdr:colOff>21103</xdr:colOff>
      <xdr:row>7</xdr:row>
      <xdr:rowOff>1820</xdr:rowOff>
    </xdr:from>
    <xdr:to>
      <xdr:col>129</xdr:col>
      <xdr:colOff>21103</xdr:colOff>
      <xdr:row>153</xdr:row>
      <xdr:rowOff>137308</xdr:rowOff>
    </xdr:to>
    <xdr:cxnSp macro="">
      <xdr:nvCxnSpPr>
        <xdr:cNvPr id="44" name="Conector recto de flecha 43">
          <a:extLst>
            <a:ext uri="{FF2B5EF4-FFF2-40B4-BE49-F238E27FC236}">
              <a16:creationId xmlns:a16="http://schemas.microsoft.com/office/drawing/2014/main" id="{B7802B43-76B7-492B-A973-071D65AD7D73}"/>
            </a:ext>
          </a:extLst>
        </xdr:cNvPr>
        <xdr:cNvCxnSpPr/>
      </xdr:nvCxnSpPr>
      <xdr:spPr>
        <a:xfrm>
          <a:off x="61968239" y="192320"/>
          <a:ext cx="0" cy="28450715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129</xdr:col>
      <xdr:colOff>285750</xdr:colOff>
      <xdr:row>41</xdr:row>
      <xdr:rowOff>0</xdr:rowOff>
    </xdr:from>
    <xdr:to>
      <xdr:col>133</xdr:col>
      <xdr:colOff>96487</xdr:colOff>
      <xdr:row>46</xdr:row>
      <xdr:rowOff>69272</xdr:rowOff>
    </xdr:to>
    <xdr:sp macro="" textlink="">
      <xdr:nvSpPr>
        <xdr:cNvPr id="45" name="CuadroTexto 44">
          <a:extLst>
            <a:ext uri="{FF2B5EF4-FFF2-40B4-BE49-F238E27FC236}">
              <a16:creationId xmlns:a16="http://schemas.microsoft.com/office/drawing/2014/main" id="{AC8CCE59-38BB-45DB-90C6-58BD3F3D2393}"/>
            </a:ext>
          </a:extLst>
        </xdr:cNvPr>
        <xdr:cNvSpPr txBox="1"/>
      </xdr:nvSpPr>
      <xdr:spPr>
        <a:xfrm>
          <a:off x="62361536" y="6939643"/>
          <a:ext cx="1661308" cy="1021772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/>
            <a:t>Hito 2 (100 dias): Entrega de Departamento Piloto, 04 de Junio</a:t>
          </a:r>
        </a:p>
      </xdr:txBody>
    </xdr:sp>
    <xdr:clientData/>
  </xdr:twoCellAnchor>
  <xdr:twoCellAnchor>
    <xdr:from>
      <xdr:col>129</xdr:col>
      <xdr:colOff>30930</xdr:colOff>
      <xdr:row>46</xdr:row>
      <xdr:rowOff>69272</xdr:rowOff>
    </xdr:from>
    <xdr:to>
      <xdr:col>131</xdr:col>
      <xdr:colOff>191119</xdr:colOff>
      <xdr:row>48</xdr:row>
      <xdr:rowOff>158646</xdr:rowOff>
    </xdr:to>
    <xdr:cxnSp macro="">
      <xdr:nvCxnSpPr>
        <xdr:cNvPr id="46" name="Conector recto de flecha 45">
          <a:extLst>
            <a:ext uri="{FF2B5EF4-FFF2-40B4-BE49-F238E27FC236}">
              <a16:creationId xmlns:a16="http://schemas.microsoft.com/office/drawing/2014/main" id="{CBA052B5-8BBA-4B08-A248-CD8BA863E4B7}"/>
            </a:ext>
          </a:extLst>
        </xdr:cNvPr>
        <xdr:cNvCxnSpPr>
          <a:stCxn id="45" idx="2"/>
        </xdr:cNvCxnSpPr>
      </xdr:nvCxnSpPr>
      <xdr:spPr>
        <a:xfrm flipH="1">
          <a:off x="62106716" y="7961415"/>
          <a:ext cx="1085474" cy="4703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172</xdr:col>
      <xdr:colOff>2548</xdr:colOff>
      <xdr:row>7</xdr:row>
      <xdr:rowOff>3057</xdr:rowOff>
    </xdr:from>
    <xdr:to>
      <xdr:col>172</xdr:col>
      <xdr:colOff>2548</xdr:colOff>
      <xdr:row>153</xdr:row>
      <xdr:rowOff>134834</xdr:rowOff>
    </xdr:to>
    <xdr:cxnSp macro="">
      <xdr:nvCxnSpPr>
        <xdr:cNvPr id="48" name="Conector recto de flecha 47">
          <a:extLst>
            <a:ext uri="{FF2B5EF4-FFF2-40B4-BE49-F238E27FC236}">
              <a16:creationId xmlns:a16="http://schemas.microsoft.com/office/drawing/2014/main" id="{015E464B-2CEA-4680-AFB8-ED3653C7829C}"/>
            </a:ext>
          </a:extLst>
        </xdr:cNvPr>
        <xdr:cNvCxnSpPr/>
      </xdr:nvCxnSpPr>
      <xdr:spPr>
        <a:xfrm>
          <a:off x="81276775" y="193557"/>
          <a:ext cx="0" cy="28447004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172</xdr:col>
      <xdr:colOff>181842</xdr:colOff>
      <xdr:row>85</xdr:row>
      <xdr:rowOff>0</xdr:rowOff>
    </xdr:from>
    <xdr:to>
      <xdr:col>175</xdr:col>
      <xdr:colOff>346365</xdr:colOff>
      <xdr:row>90</xdr:row>
      <xdr:rowOff>28451</xdr:rowOff>
    </xdr:to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98985DFC-B1E0-4552-BB70-EE5D83B6DF1D}"/>
            </a:ext>
          </a:extLst>
        </xdr:cNvPr>
        <xdr:cNvSpPr txBox="1"/>
      </xdr:nvSpPr>
      <xdr:spPr>
        <a:xfrm>
          <a:off x="82110449" y="15376071"/>
          <a:ext cx="1552452" cy="980951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/>
            <a:t>Hito 3 (150 dias): Entrega de Fachada ambas torres, 24 de Julio</a:t>
          </a:r>
        </a:p>
      </xdr:txBody>
    </xdr:sp>
    <xdr:clientData/>
  </xdr:twoCellAnchor>
  <xdr:twoCellAnchor>
    <xdr:from>
      <xdr:col>171</xdr:col>
      <xdr:colOff>415639</xdr:colOff>
      <xdr:row>90</xdr:row>
      <xdr:rowOff>28451</xdr:rowOff>
    </xdr:from>
    <xdr:to>
      <xdr:col>174</xdr:col>
      <xdr:colOff>32782</xdr:colOff>
      <xdr:row>94</xdr:row>
      <xdr:rowOff>17317</xdr:rowOff>
    </xdr:to>
    <xdr:cxnSp macro="">
      <xdr:nvCxnSpPr>
        <xdr:cNvPr id="50" name="Conector recto de flecha 49">
          <a:extLst>
            <a:ext uri="{FF2B5EF4-FFF2-40B4-BE49-F238E27FC236}">
              <a16:creationId xmlns:a16="http://schemas.microsoft.com/office/drawing/2014/main" id="{80E9A41E-6217-42B1-908C-BE718F08A52E}"/>
            </a:ext>
          </a:extLst>
        </xdr:cNvPr>
        <xdr:cNvCxnSpPr>
          <a:stCxn id="49" idx="2"/>
        </xdr:cNvCxnSpPr>
      </xdr:nvCxnSpPr>
      <xdr:spPr>
        <a:xfrm flipH="1">
          <a:off x="81881603" y="16357022"/>
          <a:ext cx="1005072" cy="7644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197</xdr:col>
      <xdr:colOff>9969</xdr:colOff>
      <xdr:row>7</xdr:row>
      <xdr:rowOff>150262</xdr:rowOff>
    </xdr:from>
    <xdr:to>
      <xdr:col>197</xdr:col>
      <xdr:colOff>9969</xdr:colOff>
      <xdr:row>154</xdr:row>
      <xdr:rowOff>70510</xdr:rowOff>
    </xdr:to>
    <xdr:cxnSp macro="">
      <xdr:nvCxnSpPr>
        <xdr:cNvPr id="51" name="Conector recto de flecha 50">
          <a:extLst>
            <a:ext uri="{FF2B5EF4-FFF2-40B4-BE49-F238E27FC236}">
              <a16:creationId xmlns:a16="http://schemas.microsoft.com/office/drawing/2014/main" id="{63F5CCC0-DBD1-424E-9634-A3EF54127AC8}"/>
            </a:ext>
          </a:extLst>
        </xdr:cNvPr>
        <xdr:cNvCxnSpPr/>
      </xdr:nvCxnSpPr>
      <xdr:spPr>
        <a:xfrm>
          <a:off x="92541014" y="340762"/>
          <a:ext cx="0" cy="28443293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197</xdr:col>
      <xdr:colOff>302759</xdr:colOff>
      <xdr:row>119</xdr:row>
      <xdr:rowOff>138546</xdr:rowOff>
    </xdr:from>
    <xdr:to>
      <xdr:col>201</xdr:col>
      <xdr:colOff>190500</xdr:colOff>
      <xdr:row>125</xdr:row>
      <xdr:rowOff>57214</xdr:rowOff>
    </xdr:to>
    <xdr:sp macro="" textlink="">
      <xdr:nvSpPr>
        <xdr:cNvPr id="52" name="CuadroTexto 51">
          <a:extLst>
            <a:ext uri="{FF2B5EF4-FFF2-40B4-BE49-F238E27FC236}">
              <a16:creationId xmlns:a16="http://schemas.microsoft.com/office/drawing/2014/main" id="{8E4B5F56-2EF4-4526-9133-7714E8B5125B}"/>
            </a:ext>
          </a:extLst>
        </xdr:cNvPr>
        <xdr:cNvSpPr txBox="1"/>
      </xdr:nvSpPr>
      <xdr:spPr>
        <a:xfrm>
          <a:off x="92833804" y="22115319"/>
          <a:ext cx="1688832" cy="1061668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/>
            <a:t>Hito 5 (180 dias): Entrega de Obras civiles - 22 de Agosto</a:t>
          </a:r>
        </a:p>
      </xdr:txBody>
    </xdr:sp>
    <xdr:clientData/>
  </xdr:twoCellAnchor>
  <xdr:twoCellAnchor>
    <xdr:from>
      <xdr:col>197</xdr:col>
      <xdr:colOff>37733</xdr:colOff>
      <xdr:row>125</xdr:row>
      <xdr:rowOff>57214</xdr:rowOff>
    </xdr:from>
    <xdr:to>
      <xdr:col>199</xdr:col>
      <xdr:colOff>246629</xdr:colOff>
      <xdr:row>128</xdr:row>
      <xdr:rowOff>172254</xdr:rowOff>
    </xdr:to>
    <xdr:cxnSp macro="">
      <xdr:nvCxnSpPr>
        <xdr:cNvPr id="53" name="Conector recto de flecha 52">
          <a:extLst>
            <a:ext uri="{FF2B5EF4-FFF2-40B4-BE49-F238E27FC236}">
              <a16:creationId xmlns:a16="http://schemas.microsoft.com/office/drawing/2014/main" id="{1B231339-565D-4DA0-B40F-6AADF6CE62CC}"/>
            </a:ext>
          </a:extLst>
        </xdr:cNvPr>
        <xdr:cNvCxnSpPr>
          <a:stCxn id="52" idx="2"/>
        </xdr:cNvCxnSpPr>
      </xdr:nvCxnSpPr>
      <xdr:spPr>
        <a:xfrm flipH="1">
          <a:off x="92568778" y="23176987"/>
          <a:ext cx="1109442" cy="6865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197</xdr:col>
      <xdr:colOff>233487</xdr:colOff>
      <xdr:row>99</xdr:row>
      <xdr:rowOff>34635</xdr:rowOff>
    </xdr:from>
    <xdr:to>
      <xdr:col>200</xdr:col>
      <xdr:colOff>442541</xdr:colOff>
      <xdr:row>103</xdr:row>
      <xdr:rowOff>54428</xdr:rowOff>
    </xdr:to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id="{08E93B8B-30BE-4139-9760-866F7A336465}"/>
            </a:ext>
          </a:extLst>
        </xdr:cNvPr>
        <xdr:cNvSpPr txBox="1"/>
      </xdr:nvSpPr>
      <xdr:spPr>
        <a:xfrm>
          <a:off x="92764532" y="18201408"/>
          <a:ext cx="1559873" cy="78179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/>
            <a:t>Hito 4 (180 dias): Entrega de ascensor.</a:t>
          </a:r>
        </a:p>
      </xdr:txBody>
    </xdr:sp>
    <xdr:clientData/>
  </xdr:twoCellAnchor>
  <xdr:twoCellAnchor>
    <xdr:from>
      <xdr:col>196</xdr:col>
      <xdr:colOff>418736</xdr:colOff>
      <xdr:row>103</xdr:row>
      <xdr:rowOff>54428</xdr:rowOff>
    </xdr:from>
    <xdr:to>
      <xdr:col>199</xdr:col>
      <xdr:colOff>112878</xdr:colOff>
      <xdr:row>106</xdr:row>
      <xdr:rowOff>137618</xdr:rowOff>
    </xdr:to>
    <xdr:cxnSp macro="">
      <xdr:nvCxnSpPr>
        <xdr:cNvPr id="55" name="Conector recto de flecha 54">
          <a:extLst>
            <a:ext uri="{FF2B5EF4-FFF2-40B4-BE49-F238E27FC236}">
              <a16:creationId xmlns:a16="http://schemas.microsoft.com/office/drawing/2014/main" id="{E4731EE8-31E4-4413-AE19-6DFFF4DCFD40}"/>
            </a:ext>
          </a:extLst>
        </xdr:cNvPr>
        <xdr:cNvCxnSpPr>
          <a:stCxn id="54" idx="2"/>
        </xdr:cNvCxnSpPr>
      </xdr:nvCxnSpPr>
      <xdr:spPr>
        <a:xfrm flipH="1">
          <a:off x="92499509" y="18983201"/>
          <a:ext cx="1044960" cy="6546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223</xdr:col>
      <xdr:colOff>337396</xdr:colOff>
      <xdr:row>129</xdr:row>
      <xdr:rowOff>79169</xdr:rowOff>
    </xdr:from>
    <xdr:to>
      <xdr:col>227</xdr:col>
      <xdr:colOff>96178</xdr:colOff>
      <xdr:row>134</xdr:row>
      <xdr:rowOff>22576</xdr:rowOff>
    </xdr:to>
    <xdr:sp macro="" textlink="">
      <xdr:nvSpPr>
        <xdr:cNvPr id="56" name="CuadroTexto 55">
          <a:extLst>
            <a:ext uri="{FF2B5EF4-FFF2-40B4-BE49-F238E27FC236}">
              <a16:creationId xmlns:a16="http://schemas.microsoft.com/office/drawing/2014/main" id="{2431D15D-EF4B-4C66-BFF7-1F70FD55FE32}"/>
            </a:ext>
          </a:extLst>
        </xdr:cNvPr>
        <xdr:cNvSpPr txBox="1"/>
      </xdr:nvSpPr>
      <xdr:spPr>
        <a:xfrm>
          <a:off x="104575532" y="23960942"/>
          <a:ext cx="1559873" cy="895907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/>
            <a:t>Hito 7 </a:t>
          </a:r>
          <a:r>
            <a:rPr lang="es-PE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(210</a:t>
          </a:r>
          <a:r>
            <a:rPr lang="es-PE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dias)</a:t>
          </a:r>
          <a:r>
            <a:rPr lang="es-PE" sz="1400"/>
            <a:t>: Entrega de Dossier y planos as built</a:t>
          </a:r>
        </a:p>
      </xdr:txBody>
    </xdr:sp>
    <xdr:clientData/>
  </xdr:twoCellAnchor>
  <xdr:twoCellAnchor>
    <xdr:from>
      <xdr:col>223</xdr:col>
      <xdr:colOff>72369</xdr:colOff>
      <xdr:row>134</xdr:row>
      <xdr:rowOff>22576</xdr:rowOff>
    </xdr:from>
    <xdr:to>
      <xdr:col>225</xdr:col>
      <xdr:colOff>216786</xdr:colOff>
      <xdr:row>137</xdr:row>
      <xdr:rowOff>120299</xdr:rowOff>
    </xdr:to>
    <xdr:cxnSp macro="">
      <xdr:nvCxnSpPr>
        <xdr:cNvPr id="57" name="Conector recto de flecha 56">
          <a:extLst>
            <a:ext uri="{FF2B5EF4-FFF2-40B4-BE49-F238E27FC236}">
              <a16:creationId xmlns:a16="http://schemas.microsoft.com/office/drawing/2014/main" id="{39A9330C-FC0F-4347-87A2-DCBF47100596}"/>
            </a:ext>
          </a:extLst>
        </xdr:cNvPr>
        <xdr:cNvCxnSpPr>
          <a:stCxn id="56" idx="2"/>
        </xdr:cNvCxnSpPr>
      </xdr:nvCxnSpPr>
      <xdr:spPr>
        <a:xfrm flipH="1">
          <a:off x="104310505" y="24856849"/>
          <a:ext cx="1044963" cy="68654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W1007"/>
  <sheetViews>
    <sheetView showGridLines="0" showZeros="0" zoomScale="91" zoomScaleNormal="91" zoomScaleSheetLayoutView="10" workbookViewId="0">
      <pane xSplit="4" ySplit="11" topLeftCell="E12" activePane="bottomRight" state="frozen"/>
      <selection pane="topRight" activeCell="E1" sqref="E1"/>
      <selection pane="bottomLeft" activeCell="A12" sqref="A12"/>
      <selection pane="bottomRight" activeCell="B3" sqref="B3:C6"/>
    </sheetView>
  </sheetViews>
  <sheetFormatPr baseColWidth="10" defaultColWidth="11.44140625" defaultRowHeight="13.8"/>
  <cols>
    <col min="1" max="1" width="0.88671875" style="2" customWidth="1"/>
    <col min="2" max="2" width="9.6640625" style="16" customWidth="1"/>
    <col min="3" max="3" width="67.5546875" style="2" customWidth="1"/>
    <col min="4" max="4" width="13.88671875" style="17" bestFit="1" customWidth="1"/>
    <col min="5" max="5" width="1" style="25" customWidth="1"/>
    <col min="6" max="37" width="5.6640625" style="4" customWidth="1"/>
    <col min="38" max="43" width="5.6640625" style="2" customWidth="1"/>
    <col min="44" max="47" width="5.6640625" style="4" customWidth="1"/>
    <col min="48" max="49" width="5.6640625" style="4" bestFit="1" customWidth="1"/>
    <col min="50" max="52" width="5.6640625" style="2" bestFit="1" customWidth="1"/>
    <col min="53" max="55" width="8.6640625" style="2" customWidth="1"/>
    <col min="56" max="61" width="8.6640625" style="4" customWidth="1"/>
    <col min="62" max="67" width="8.6640625" style="2" customWidth="1"/>
    <col min="68" max="71" width="8.6640625" style="4" customWidth="1"/>
    <col min="72" max="77" width="8.6640625" style="2" customWidth="1"/>
    <col min="78" max="80" width="8.6640625" style="4" customWidth="1"/>
    <col min="81" max="82" width="6.109375" style="4" bestFit="1" customWidth="1"/>
    <col min="83" max="99" width="6.109375" style="2" bestFit="1" customWidth="1"/>
    <col min="100" max="100" width="6.109375" style="2" customWidth="1"/>
    <col min="101" max="152" width="6.88671875" style="2" bestFit="1" customWidth="1"/>
    <col min="153" max="153" width="6.33203125" style="2" customWidth="1"/>
    <col min="154" max="176" width="6.88671875" style="2" bestFit="1" customWidth="1"/>
    <col min="177" max="177" width="6.88671875" style="2" customWidth="1"/>
    <col min="178" max="179" width="6.88671875" style="2" bestFit="1" customWidth="1"/>
    <col min="180" max="836" width="6.88671875" style="2" customWidth="1"/>
    <col min="837" max="16384" width="11.44140625" style="2"/>
  </cols>
  <sheetData>
    <row r="1" spans="1:257" ht="14.4" hidden="1" thickBot="1">
      <c r="E1" s="4"/>
    </row>
    <row r="2" spans="1:257" ht="14.4" hidden="1" thickBot="1">
      <c r="E2" s="4"/>
    </row>
    <row r="3" spans="1:257" ht="15" hidden="1" customHeight="1">
      <c r="B3" s="99"/>
      <c r="C3" s="100"/>
      <c r="D3" s="3"/>
      <c r="E3" s="4"/>
    </row>
    <row r="4" spans="1:257" ht="15" hidden="1" customHeight="1">
      <c r="B4" s="101"/>
      <c r="C4" s="102"/>
      <c r="D4" s="62"/>
      <c r="E4" s="4"/>
    </row>
    <row r="5" spans="1:257" ht="32.4" customHeight="1">
      <c r="B5" s="101"/>
      <c r="C5" s="102"/>
      <c r="D5" s="62"/>
      <c r="E5" s="4"/>
    </row>
    <row r="6" spans="1:257" ht="57" customHeight="1" thickBot="1">
      <c r="B6" s="103"/>
      <c r="C6" s="104"/>
      <c r="D6" s="62"/>
      <c r="E6" s="4"/>
    </row>
    <row r="7" spans="1:257" s="1" customFormat="1" ht="15" customHeight="1">
      <c r="A7" s="2"/>
      <c r="B7" s="5"/>
      <c r="C7" s="67"/>
      <c r="D7" s="63" t="s">
        <v>2</v>
      </c>
      <c r="F7" s="96" t="s">
        <v>154</v>
      </c>
      <c r="G7" s="97"/>
      <c r="H7" s="97"/>
      <c r="I7" s="97"/>
      <c r="J7" s="97"/>
      <c r="K7" s="98"/>
      <c r="L7" s="96" t="s">
        <v>155</v>
      </c>
      <c r="M7" s="97"/>
      <c r="N7" s="97"/>
      <c r="O7" s="97"/>
      <c r="P7" s="97"/>
      <c r="Q7" s="98"/>
      <c r="R7" s="96" t="s">
        <v>156</v>
      </c>
      <c r="S7" s="97"/>
      <c r="T7" s="97"/>
      <c r="U7" s="97"/>
      <c r="V7" s="97"/>
      <c r="W7" s="98"/>
      <c r="X7" s="96" t="s">
        <v>157</v>
      </c>
      <c r="Y7" s="97"/>
      <c r="Z7" s="97"/>
      <c r="AA7" s="97"/>
      <c r="AB7" s="97"/>
      <c r="AC7" s="98"/>
      <c r="AD7" s="96" t="s">
        <v>158</v>
      </c>
      <c r="AE7" s="97"/>
      <c r="AF7" s="97"/>
      <c r="AG7" s="97"/>
      <c r="AH7" s="97"/>
      <c r="AI7" s="98"/>
      <c r="AJ7" s="96" t="s">
        <v>159</v>
      </c>
      <c r="AK7" s="97"/>
      <c r="AL7" s="97"/>
      <c r="AM7" s="97"/>
      <c r="AN7" s="97"/>
      <c r="AO7" s="98"/>
      <c r="AP7" s="96" t="s">
        <v>160</v>
      </c>
      <c r="AQ7" s="97"/>
      <c r="AR7" s="97"/>
      <c r="AS7" s="97"/>
      <c r="AT7" s="97"/>
      <c r="AU7" s="98"/>
      <c r="AV7" s="96" t="s">
        <v>161</v>
      </c>
      <c r="AW7" s="97"/>
      <c r="AX7" s="97"/>
      <c r="AY7" s="97"/>
      <c r="AZ7" s="97"/>
      <c r="BA7" s="98"/>
      <c r="BB7" s="96" t="s">
        <v>162</v>
      </c>
      <c r="BC7" s="97"/>
      <c r="BD7" s="97"/>
      <c r="BE7" s="97"/>
      <c r="BF7" s="97"/>
      <c r="BG7" s="98"/>
      <c r="BH7" s="96" t="s">
        <v>163</v>
      </c>
      <c r="BI7" s="97"/>
      <c r="BJ7" s="97"/>
      <c r="BK7" s="97"/>
      <c r="BL7" s="97"/>
      <c r="BM7" s="98"/>
      <c r="BN7" s="96" t="s">
        <v>164</v>
      </c>
      <c r="BO7" s="97"/>
      <c r="BP7" s="97"/>
      <c r="BQ7" s="97"/>
      <c r="BR7" s="97"/>
      <c r="BS7" s="98"/>
      <c r="BT7" s="96" t="s">
        <v>165</v>
      </c>
      <c r="BU7" s="97"/>
      <c r="BV7" s="97"/>
      <c r="BW7" s="97"/>
      <c r="BX7" s="97"/>
      <c r="BY7" s="98"/>
      <c r="BZ7" s="96" t="s">
        <v>166</v>
      </c>
      <c r="CA7" s="97"/>
      <c r="CB7" s="97"/>
      <c r="CC7" s="97"/>
      <c r="CD7" s="97"/>
      <c r="CE7" s="98"/>
      <c r="CF7" s="96" t="s">
        <v>167</v>
      </c>
      <c r="CG7" s="97"/>
      <c r="CH7" s="97"/>
      <c r="CI7" s="97"/>
      <c r="CJ7" s="97"/>
      <c r="CK7" s="98"/>
      <c r="CL7" s="96" t="s">
        <v>168</v>
      </c>
      <c r="CM7" s="97"/>
      <c r="CN7" s="97"/>
      <c r="CO7" s="97"/>
      <c r="CP7" s="97"/>
      <c r="CQ7" s="98"/>
      <c r="CR7" s="96" t="s">
        <v>169</v>
      </c>
      <c r="CS7" s="97"/>
      <c r="CT7" s="97"/>
      <c r="CU7" s="97"/>
      <c r="CV7" s="97"/>
      <c r="CW7" s="98"/>
      <c r="CX7" s="96" t="s">
        <v>170</v>
      </c>
      <c r="CY7" s="97"/>
      <c r="CZ7" s="97"/>
      <c r="DA7" s="97"/>
      <c r="DB7" s="97"/>
      <c r="DC7" s="98"/>
      <c r="DD7" s="96" t="s">
        <v>171</v>
      </c>
      <c r="DE7" s="97"/>
      <c r="DF7" s="97"/>
      <c r="DG7" s="97"/>
      <c r="DH7" s="97"/>
      <c r="DI7" s="98"/>
      <c r="DJ7" s="96" t="s">
        <v>172</v>
      </c>
      <c r="DK7" s="97"/>
      <c r="DL7" s="97"/>
      <c r="DM7" s="97"/>
      <c r="DN7" s="97"/>
      <c r="DO7" s="98"/>
      <c r="DP7" s="96" t="s">
        <v>173</v>
      </c>
      <c r="DQ7" s="97"/>
      <c r="DR7" s="97"/>
      <c r="DS7" s="97"/>
      <c r="DT7" s="97"/>
      <c r="DU7" s="98"/>
      <c r="DV7" s="96" t="s">
        <v>174</v>
      </c>
      <c r="DW7" s="97"/>
      <c r="DX7" s="97"/>
      <c r="DY7" s="97"/>
      <c r="DZ7" s="97"/>
      <c r="EA7" s="98"/>
      <c r="EB7" s="96" t="s">
        <v>175</v>
      </c>
      <c r="EC7" s="97"/>
      <c r="ED7" s="97"/>
      <c r="EE7" s="97"/>
      <c r="EF7" s="97"/>
      <c r="EG7" s="98"/>
      <c r="EH7" s="96" t="s">
        <v>176</v>
      </c>
      <c r="EI7" s="97"/>
      <c r="EJ7" s="97"/>
      <c r="EK7" s="97"/>
      <c r="EL7" s="97"/>
      <c r="EM7" s="98"/>
      <c r="EN7" s="96" t="s">
        <v>177</v>
      </c>
      <c r="EO7" s="97"/>
      <c r="EP7" s="97"/>
      <c r="EQ7" s="97"/>
      <c r="ER7" s="97"/>
      <c r="ES7" s="98"/>
      <c r="ET7" s="96" t="s">
        <v>178</v>
      </c>
      <c r="EU7" s="97"/>
      <c r="EV7" s="97"/>
      <c r="EW7" s="97"/>
      <c r="EX7" s="97"/>
      <c r="EY7" s="98"/>
      <c r="EZ7" s="96" t="s">
        <v>179</v>
      </c>
      <c r="FA7" s="97"/>
      <c r="FB7" s="97"/>
      <c r="FC7" s="97"/>
      <c r="FD7" s="97"/>
      <c r="FE7" s="98"/>
      <c r="FF7" s="96" t="s">
        <v>180</v>
      </c>
      <c r="FG7" s="97"/>
      <c r="FH7" s="97"/>
      <c r="FI7" s="97"/>
      <c r="FJ7" s="97"/>
      <c r="FK7" s="98"/>
      <c r="FL7" s="96" t="s">
        <v>181</v>
      </c>
      <c r="FM7" s="97"/>
      <c r="FN7" s="97"/>
      <c r="FO7" s="97"/>
      <c r="FP7" s="97"/>
      <c r="FQ7" s="98"/>
      <c r="FR7" s="96" t="s">
        <v>182</v>
      </c>
      <c r="FS7" s="97"/>
      <c r="FT7" s="97"/>
      <c r="FU7" s="97"/>
      <c r="FV7" s="97"/>
      <c r="FW7" s="98"/>
      <c r="FX7" s="96" t="s">
        <v>204</v>
      </c>
      <c r="FY7" s="97"/>
      <c r="FZ7" s="97"/>
      <c r="GA7" s="97"/>
      <c r="GB7" s="97"/>
      <c r="GC7" s="98"/>
      <c r="GD7" s="96" t="s">
        <v>205</v>
      </c>
      <c r="GE7" s="97"/>
      <c r="GF7" s="97"/>
      <c r="GG7" s="97"/>
      <c r="GH7" s="97"/>
      <c r="GI7" s="98"/>
      <c r="GJ7" s="96" t="s">
        <v>206</v>
      </c>
      <c r="GK7" s="97"/>
      <c r="GL7" s="97"/>
      <c r="GM7" s="97"/>
      <c r="GN7" s="97"/>
      <c r="GO7" s="98"/>
      <c r="GP7" s="96" t="s">
        <v>207</v>
      </c>
      <c r="GQ7" s="97"/>
      <c r="GR7" s="97"/>
      <c r="GS7" s="97"/>
      <c r="GT7" s="97"/>
      <c r="GU7" s="98"/>
      <c r="GV7" s="96" t="s">
        <v>208</v>
      </c>
      <c r="GW7" s="97"/>
      <c r="GX7" s="97"/>
      <c r="GY7" s="97"/>
      <c r="GZ7" s="97"/>
      <c r="HA7" s="98"/>
      <c r="HB7" s="96" t="s">
        <v>209</v>
      </c>
      <c r="HC7" s="97"/>
      <c r="HD7" s="97"/>
      <c r="HE7" s="97"/>
      <c r="HF7" s="97"/>
      <c r="HG7" s="98"/>
      <c r="HH7" s="96" t="s">
        <v>210</v>
      </c>
      <c r="HI7" s="97"/>
      <c r="HJ7" s="97"/>
      <c r="HK7" s="97"/>
      <c r="HL7" s="97"/>
      <c r="HM7" s="98"/>
      <c r="HN7" s="96" t="s">
        <v>211</v>
      </c>
      <c r="HO7" s="97"/>
      <c r="HP7" s="97"/>
      <c r="HQ7" s="97"/>
      <c r="HR7" s="97"/>
      <c r="HS7" s="98"/>
      <c r="HT7" s="96" t="s">
        <v>212</v>
      </c>
      <c r="HU7" s="97"/>
      <c r="HV7" s="97"/>
      <c r="HW7" s="97"/>
      <c r="HX7" s="97"/>
      <c r="HY7" s="98"/>
      <c r="HZ7" s="96" t="s">
        <v>213</v>
      </c>
      <c r="IA7" s="97"/>
      <c r="IB7" s="97"/>
      <c r="IC7" s="97"/>
      <c r="ID7" s="97"/>
      <c r="IE7" s="98"/>
      <c r="IF7" s="96" t="s">
        <v>214</v>
      </c>
      <c r="IG7" s="97"/>
      <c r="IH7" s="97"/>
      <c r="II7" s="97"/>
      <c r="IJ7" s="97"/>
      <c r="IK7" s="98"/>
      <c r="IL7" s="96" t="s">
        <v>215</v>
      </c>
      <c r="IM7" s="97"/>
      <c r="IN7" s="97"/>
      <c r="IO7" s="97"/>
      <c r="IP7" s="97"/>
      <c r="IQ7" s="98"/>
      <c r="IR7" s="96" t="s">
        <v>220</v>
      </c>
      <c r="IS7" s="97"/>
      <c r="IT7" s="97"/>
      <c r="IU7" s="97"/>
      <c r="IV7" s="97"/>
      <c r="IW7" s="98"/>
    </row>
    <row r="8" spans="1:257" ht="15" customHeight="1">
      <c r="B8" s="7" t="s">
        <v>0</v>
      </c>
      <c r="C8" s="68"/>
      <c r="D8" s="64" t="s">
        <v>3</v>
      </c>
      <c r="F8" s="18">
        <v>0</v>
      </c>
      <c r="G8" s="18">
        <f>+F8</f>
        <v>0</v>
      </c>
      <c r="H8" s="18">
        <f t="shared" ref="H8:AC8" si="0">+G8+1</f>
        <v>1</v>
      </c>
      <c r="I8" s="18">
        <f t="shared" si="0"/>
        <v>2</v>
      </c>
      <c r="J8" s="18">
        <f t="shared" si="0"/>
        <v>3</v>
      </c>
      <c r="K8" s="18">
        <f>+J8+1</f>
        <v>4</v>
      </c>
      <c r="L8" s="18">
        <f>+K8+2</f>
        <v>6</v>
      </c>
      <c r="M8" s="18">
        <f t="shared" si="0"/>
        <v>7</v>
      </c>
      <c r="N8" s="18">
        <f t="shared" si="0"/>
        <v>8</v>
      </c>
      <c r="O8" s="18">
        <f t="shared" si="0"/>
        <v>9</v>
      </c>
      <c r="P8" s="18">
        <f t="shared" si="0"/>
        <v>10</v>
      </c>
      <c r="Q8" s="18">
        <f t="shared" si="0"/>
        <v>11</v>
      </c>
      <c r="R8" s="18">
        <f>+Q8+2</f>
        <v>13</v>
      </c>
      <c r="S8" s="18">
        <f t="shared" si="0"/>
        <v>14</v>
      </c>
      <c r="T8" s="29">
        <f t="shared" si="0"/>
        <v>15</v>
      </c>
      <c r="U8" s="18">
        <f t="shared" si="0"/>
        <v>16</v>
      </c>
      <c r="V8" s="18">
        <f t="shared" si="0"/>
        <v>17</v>
      </c>
      <c r="W8" s="18">
        <f t="shared" si="0"/>
        <v>18</v>
      </c>
      <c r="X8" s="18">
        <f>+W8+2</f>
        <v>20</v>
      </c>
      <c r="Y8" s="18">
        <f t="shared" si="0"/>
        <v>21</v>
      </c>
      <c r="Z8" s="18">
        <f t="shared" si="0"/>
        <v>22</v>
      </c>
      <c r="AA8" s="18">
        <f t="shared" si="0"/>
        <v>23</v>
      </c>
      <c r="AB8" s="18">
        <f t="shared" si="0"/>
        <v>24</v>
      </c>
      <c r="AC8" s="18">
        <f t="shared" si="0"/>
        <v>25</v>
      </c>
      <c r="AD8" s="18">
        <f>+AC8+2</f>
        <v>27</v>
      </c>
      <c r="AE8" s="18">
        <f t="shared" ref="AE8:AI8" si="1">+AD8+1</f>
        <v>28</v>
      </c>
      <c r="AF8" s="18">
        <f t="shared" si="1"/>
        <v>29</v>
      </c>
      <c r="AG8" s="18">
        <f t="shared" si="1"/>
        <v>30</v>
      </c>
      <c r="AH8" s="18">
        <f t="shared" si="1"/>
        <v>31</v>
      </c>
      <c r="AI8" s="18">
        <f t="shared" si="1"/>
        <v>32</v>
      </c>
      <c r="AJ8" s="18">
        <f t="shared" ref="AJ8" si="2">+AI8+2</f>
        <v>34</v>
      </c>
      <c r="AK8" s="18">
        <f t="shared" ref="AK8:AO8" si="3">+AJ8+1</f>
        <v>35</v>
      </c>
      <c r="AL8" s="18">
        <f t="shared" si="3"/>
        <v>36</v>
      </c>
      <c r="AM8" s="18">
        <f t="shared" si="3"/>
        <v>37</v>
      </c>
      <c r="AN8" s="18">
        <f t="shared" si="3"/>
        <v>38</v>
      </c>
      <c r="AO8" s="18">
        <f t="shared" si="3"/>
        <v>39</v>
      </c>
      <c r="AP8" s="18">
        <f t="shared" ref="AP8" si="4">+AO8+2</f>
        <v>41</v>
      </c>
      <c r="AQ8" s="18">
        <f t="shared" ref="AQ8:AU8" si="5">+AP8+1</f>
        <v>42</v>
      </c>
      <c r="AR8" s="18">
        <f t="shared" si="5"/>
        <v>43</v>
      </c>
      <c r="AS8" s="18">
        <f t="shared" si="5"/>
        <v>44</v>
      </c>
      <c r="AT8" s="18">
        <f t="shared" si="5"/>
        <v>45</v>
      </c>
      <c r="AU8" s="18">
        <f t="shared" si="5"/>
        <v>46</v>
      </c>
      <c r="AV8" s="18">
        <f t="shared" ref="AV8" si="6">+AU8+2</f>
        <v>48</v>
      </c>
      <c r="AW8" s="18">
        <f t="shared" ref="AW8:BA8" si="7">+AV8+1</f>
        <v>49</v>
      </c>
      <c r="AX8" s="18">
        <f t="shared" si="7"/>
        <v>50</v>
      </c>
      <c r="AY8" s="18">
        <f t="shared" si="7"/>
        <v>51</v>
      </c>
      <c r="AZ8" s="18">
        <f t="shared" si="7"/>
        <v>52</v>
      </c>
      <c r="BA8" s="18">
        <f t="shared" si="7"/>
        <v>53</v>
      </c>
      <c r="BB8" s="18">
        <f t="shared" ref="BB8" si="8">+BA8+2</f>
        <v>55</v>
      </c>
      <c r="BC8" s="18">
        <f t="shared" ref="BC8:BG8" si="9">+BB8+1</f>
        <v>56</v>
      </c>
      <c r="BD8" s="18">
        <f t="shared" si="9"/>
        <v>57</v>
      </c>
      <c r="BE8" s="18">
        <f t="shared" si="9"/>
        <v>58</v>
      </c>
      <c r="BF8" s="18">
        <f t="shared" si="9"/>
        <v>59</v>
      </c>
      <c r="BG8" s="18">
        <f t="shared" si="9"/>
        <v>60</v>
      </c>
      <c r="BH8" s="18">
        <v>60</v>
      </c>
      <c r="BI8" s="18">
        <v>60</v>
      </c>
      <c r="BJ8" s="18">
        <v>60</v>
      </c>
      <c r="BK8" s="18">
        <v>60</v>
      </c>
      <c r="BL8" s="18">
        <v>60</v>
      </c>
      <c r="BM8" s="18">
        <v>60</v>
      </c>
      <c r="BN8" s="18">
        <v>60</v>
      </c>
      <c r="BO8" s="18">
        <v>60</v>
      </c>
      <c r="BP8" s="18">
        <v>60</v>
      </c>
      <c r="BQ8" s="18">
        <v>60</v>
      </c>
      <c r="BR8" s="18">
        <v>60</v>
      </c>
      <c r="BS8" s="18">
        <v>60</v>
      </c>
      <c r="BT8" s="18">
        <v>60</v>
      </c>
      <c r="BU8" s="18">
        <v>60</v>
      </c>
      <c r="BV8" s="18">
        <v>60</v>
      </c>
      <c r="BW8" s="18">
        <v>60</v>
      </c>
      <c r="BX8" s="18">
        <v>60</v>
      </c>
      <c r="BY8" s="18">
        <v>60</v>
      </c>
      <c r="BZ8" s="18">
        <v>60</v>
      </c>
      <c r="CA8" s="18">
        <v>60</v>
      </c>
      <c r="CB8" s="18">
        <v>60</v>
      </c>
      <c r="CC8" s="18">
        <v>60</v>
      </c>
      <c r="CD8" s="18">
        <v>60</v>
      </c>
      <c r="CE8" s="18">
        <v>60</v>
      </c>
      <c r="CF8" s="18">
        <v>60</v>
      </c>
      <c r="CG8" s="18">
        <v>60</v>
      </c>
      <c r="CH8" s="18">
        <v>60</v>
      </c>
      <c r="CI8" s="18">
        <v>60</v>
      </c>
      <c r="CJ8" s="18">
        <v>60</v>
      </c>
      <c r="CK8" s="18">
        <v>60</v>
      </c>
      <c r="CL8" s="18">
        <v>60</v>
      </c>
      <c r="CM8" s="18">
        <v>60</v>
      </c>
      <c r="CN8" s="18">
        <v>60</v>
      </c>
      <c r="CO8" s="18">
        <v>60</v>
      </c>
      <c r="CP8" s="18">
        <v>60</v>
      </c>
      <c r="CQ8" s="18">
        <v>60</v>
      </c>
      <c r="CR8" s="18">
        <v>62</v>
      </c>
      <c r="CS8" s="18">
        <f t="shared" ref="CS8:CW8" si="10">+CR8+1</f>
        <v>63</v>
      </c>
      <c r="CT8" s="18">
        <f t="shared" si="10"/>
        <v>64</v>
      </c>
      <c r="CU8" s="18">
        <f t="shared" si="10"/>
        <v>65</v>
      </c>
      <c r="CV8" s="18">
        <f t="shared" si="10"/>
        <v>66</v>
      </c>
      <c r="CW8" s="18">
        <f t="shared" si="10"/>
        <v>67</v>
      </c>
      <c r="CX8" s="18">
        <f t="shared" ref="CX8" si="11">+CW8+2</f>
        <v>69</v>
      </c>
      <c r="CY8" s="18">
        <f t="shared" ref="CY8:DC8" si="12">+CX8+1</f>
        <v>70</v>
      </c>
      <c r="CZ8" s="18">
        <f t="shared" si="12"/>
        <v>71</v>
      </c>
      <c r="DA8" s="18">
        <f t="shared" si="12"/>
        <v>72</v>
      </c>
      <c r="DB8" s="18">
        <f t="shared" si="12"/>
        <v>73</v>
      </c>
      <c r="DC8" s="18">
        <f t="shared" si="12"/>
        <v>74</v>
      </c>
      <c r="DD8" s="18">
        <f t="shared" ref="DD8" si="13">+DC8+2</f>
        <v>76</v>
      </c>
      <c r="DE8" s="18">
        <f t="shared" ref="DE8:DI8" si="14">+DD8+1</f>
        <v>77</v>
      </c>
      <c r="DF8" s="18">
        <f t="shared" si="14"/>
        <v>78</v>
      </c>
      <c r="DG8" s="18">
        <f t="shared" si="14"/>
        <v>79</v>
      </c>
      <c r="DH8" s="18">
        <f t="shared" si="14"/>
        <v>80</v>
      </c>
      <c r="DI8" s="18">
        <f t="shared" si="14"/>
        <v>81</v>
      </c>
      <c r="DJ8" s="18">
        <f t="shared" ref="DJ8" si="15">+DI8+2</f>
        <v>83</v>
      </c>
      <c r="DK8" s="18">
        <f t="shared" ref="DK8:DO8" si="16">+DJ8+1</f>
        <v>84</v>
      </c>
      <c r="DL8" s="18">
        <f t="shared" si="16"/>
        <v>85</v>
      </c>
      <c r="DM8" s="18">
        <f t="shared" si="16"/>
        <v>86</v>
      </c>
      <c r="DN8" s="18">
        <f t="shared" si="16"/>
        <v>87</v>
      </c>
      <c r="DO8" s="18">
        <f t="shared" si="16"/>
        <v>88</v>
      </c>
      <c r="DP8" s="18">
        <f t="shared" ref="DP8" si="17">+DO8+2</f>
        <v>90</v>
      </c>
      <c r="DQ8" s="18">
        <f t="shared" ref="DQ8:DU8" si="18">+DP8+1</f>
        <v>91</v>
      </c>
      <c r="DR8" s="18">
        <f t="shared" si="18"/>
        <v>92</v>
      </c>
      <c r="DS8" s="18">
        <f t="shared" si="18"/>
        <v>93</v>
      </c>
      <c r="DT8" s="18">
        <f t="shared" si="18"/>
        <v>94</v>
      </c>
      <c r="DU8" s="18">
        <f t="shared" si="18"/>
        <v>95</v>
      </c>
      <c r="DV8" s="18">
        <f t="shared" ref="DV8" si="19">+DU8+2</f>
        <v>97</v>
      </c>
      <c r="DW8" s="18">
        <f t="shared" ref="DW8:EA8" si="20">+DV8+1</f>
        <v>98</v>
      </c>
      <c r="DX8" s="18">
        <f t="shared" si="20"/>
        <v>99</v>
      </c>
      <c r="DY8" s="18">
        <f t="shared" si="20"/>
        <v>100</v>
      </c>
      <c r="DZ8" s="18">
        <f t="shared" si="20"/>
        <v>101</v>
      </c>
      <c r="EA8" s="18">
        <f t="shared" si="20"/>
        <v>102</v>
      </c>
      <c r="EB8" s="18">
        <f t="shared" ref="EB8" si="21">+EA8+2</f>
        <v>104</v>
      </c>
      <c r="EC8" s="18">
        <f t="shared" ref="EC8:EG8" si="22">+EB8+1</f>
        <v>105</v>
      </c>
      <c r="ED8" s="18">
        <f t="shared" si="22"/>
        <v>106</v>
      </c>
      <c r="EE8" s="18">
        <f t="shared" si="22"/>
        <v>107</v>
      </c>
      <c r="EF8" s="18">
        <f t="shared" si="22"/>
        <v>108</v>
      </c>
      <c r="EG8" s="18">
        <f t="shared" si="22"/>
        <v>109</v>
      </c>
      <c r="EH8" s="18">
        <f t="shared" ref="EH8" si="23">+EG8+2</f>
        <v>111</v>
      </c>
      <c r="EI8" s="18">
        <f t="shared" ref="EI8:EM8" si="24">+EH8+1</f>
        <v>112</v>
      </c>
      <c r="EJ8" s="18">
        <f t="shared" si="24"/>
        <v>113</v>
      </c>
      <c r="EK8" s="18">
        <f t="shared" si="24"/>
        <v>114</v>
      </c>
      <c r="EL8" s="18">
        <f t="shared" si="24"/>
        <v>115</v>
      </c>
      <c r="EM8" s="18">
        <f t="shared" si="24"/>
        <v>116</v>
      </c>
      <c r="EN8" s="18">
        <f t="shared" ref="EN8" si="25">+EM8+2</f>
        <v>118</v>
      </c>
      <c r="EO8" s="18">
        <f t="shared" ref="EO8:ES8" si="26">+EN8+1</f>
        <v>119</v>
      </c>
      <c r="EP8" s="18">
        <f t="shared" si="26"/>
        <v>120</v>
      </c>
      <c r="EQ8" s="18">
        <f t="shared" si="26"/>
        <v>121</v>
      </c>
      <c r="ER8" s="18">
        <f t="shared" si="26"/>
        <v>122</v>
      </c>
      <c r="ES8" s="18">
        <f t="shared" si="26"/>
        <v>123</v>
      </c>
      <c r="ET8" s="18">
        <f t="shared" ref="ET8" si="27">+ES8+2</f>
        <v>125</v>
      </c>
      <c r="EU8" s="18">
        <f t="shared" ref="EU8:EY8" si="28">+ET8+1</f>
        <v>126</v>
      </c>
      <c r="EV8" s="18">
        <f t="shared" si="28"/>
        <v>127</v>
      </c>
      <c r="EW8" s="18">
        <f t="shared" si="28"/>
        <v>128</v>
      </c>
      <c r="EX8" s="18">
        <f t="shared" si="28"/>
        <v>129</v>
      </c>
      <c r="EY8" s="18">
        <f t="shared" si="28"/>
        <v>130</v>
      </c>
      <c r="EZ8" s="18">
        <f t="shared" ref="EZ8" si="29">+EY8+2</f>
        <v>132</v>
      </c>
      <c r="FA8" s="18">
        <f t="shared" ref="FA8:FE8" si="30">+EZ8+1</f>
        <v>133</v>
      </c>
      <c r="FB8" s="18">
        <f t="shared" si="30"/>
        <v>134</v>
      </c>
      <c r="FC8" s="18">
        <f t="shared" si="30"/>
        <v>135</v>
      </c>
      <c r="FD8" s="18">
        <f t="shared" si="30"/>
        <v>136</v>
      </c>
      <c r="FE8" s="18">
        <f t="shared" si="30"/>
        <v>137</v>
      </c>
      <c r="FF8" s="18">
        <f t="shared" ref="FF8" si="31">+FE8+2</f>
        <v>139</v>
      </c>
      <c r="FG8" s="18">
        <f t="shared" ref="FG8:FK8" si="32">+FF8+1</f>
        <v>140</v>
      </c>
      <c r="FH8" s="18">
        <f t="shared" si="32"/>
        <v>141</v>
      </c>
      <c r="FI8" s="18">
        <f t="shared" si="32"/>
        <v>142</v>
      </c>
      <c r="FJ8" s="18">
        <f t="shared" si="32"/>
        <v>143</v>
      </c>
      <c r="FK8" s="18">
        <f t="shared" si="32"/>
        <v>144</v>
      </c>
      <c r="FL8" s="18">
        <f t="shared" ref="FL8" si="33">+FK8+2</f>
        <v>146</v>
      </c>
      <c r="FM8" s="18">
        <f t="shared" ref="FM8:FQ8" si="34">+FL8+1</f>
        <v>147</v>
      </c>
      <c r="FN8" s="18">
        <f t="shared" si="34"/>
        <v>148</v>
      </c>
      <c r="FO8" s="18">
        <f t="shared" si="34"/>
        <v>149</v>
      </c>
      <c r="FP8" s="18">
        <f t="shared" si="34"/>
        <v>150</v>
      </c>
      <c r="FQ8" s="18">
        <f t="shared" si="34"/>
        <v>151</v>
      </c>
      <c r="FR8" s="18">
        <f t="shared" ref="FR8" si="35">+FQ8+2</f>
        <v>153</v>
      </c>
      <c r="FS8" s="18">
        <f t="shared" ref="FS8:FW8" si="36">+FR8+1</f>
        <v>154</v>
      </c>
      <c r="FT8" s="18">
        <f t="shared" si="36"/>
        <v>155</v>
      </c>
      <c r="FU8" s="18">
        <f t="shared" si="36"/>
        <v>156</v>
      </c>
      <c r="FV8" s="18">
        <f t="shared" si="36"/>
        <v>157</v>
      </c>
      <c r="FW8" s="18">
        <f t="shared" si="36"/>
        <v>158</v>
      </c>
      <c r="FX8" s="18">
        <f>+FW8+2</f>
        <v>160</v>
      </c>
      <c r="FY8" s="18">
        <f t="shared" ref="FY8:GC8" si="37">+FX8+1</f>
        <v>161</v>
      </c>
      <c r="FZ8" s="18">
        <f t="shared" si="37"/>
        <v>162</v>
      </c>
      <c r="GA8" s="18">
        <f t="shared" si="37"/>
        <v>163</v>
      </c>
      <c r="GB8" s="18">
        <f t="shared" si="37"/>
        <v>164</v>
      </c>
      <c r="GC8" s="18">
        <f t="shared" si="37"/>
        <v>165</v>
      </c>
      <c r="GD8" s="18">
        <f>+GC8+2</f>
        <v>167</v>
      </c>
      <c r="GE8" s="18">
        <f t="shared" ref="GE8:GI8" si="38">+GD8+1</f>
        <v>168</v>
      </c>
      <c r="GF8" s="18">
        <f t="shared" si="38"/>
        <v>169</v>
      </c>
      <c r="GG8" s="18">
        <f t="shared" si="38"/>
        <v>170</v>
      </c>
      <c r="GH8" s="18">
        <f t="shared" si="38"/>
        <v>171</v>
      </c>
      <c r="GI8" s="18">
        <f t="shared" si="38"/>
        <v>172</v>
      </c>
      <c r="GJ8" s="18">
        <f>+GI8+2</f>
        <v>174</v>
      </c>
      <c r="GK8" s="18">
        <f t="shared" ref="GK8:GO8" si="39">+GJ8+1</f>
        <v>175</v>
      </c>
      <c r="GL8" s="18">
        <f t="shared" si="39"/>
        <v>176</v>
      </c>
      <c r="GM8" s="18">
        <f t="shared" si="39"/>
        <v>177</v>
      </c>
      <c r="GN8" s="18">
        <f t="shared" si="39"/>
        <v>178</v>
      </c>
      <c r="GO8" s="18">
        <f t="shared" si="39"/>
        <v>179</v>
      </c>
      <c r="GP8" s="18">
        <f>+GO8+2</f>
        <v>181</v>
      </c>
      <c r="GQ8" s="18">
        <f t="shared" ref="GQ8:GU8" si="40">+GP8+1</f>
        <v>182</v>
      </c>
      <c r="GR8" s="18">
        <f t="shared" si="40"/>
        <v>183</v>
      </c>
      <c r="GS8" s="18">
        <f t="shared" si="40"/>
        <v>184</v>
      </c>
      <c r="GT8" s="18">
        <f t="shared" si="40"/>
        <v>185</v>
      </c>
      <c r="GU8" s="18">
        <f t="shared" si="40"/>
        <v>186</v>
      </c>
      <c r="GV8" s="18">
        <f t="shared" ref="GV8" si="41">+GU8+2</f>
        <v>188</v>
      </c>
      <c r="GW8" s="18">
        <f t="shared" ref="GW8:HA8" si="42">+GV8+1</f>
        <v>189</v>
      </c>
      <c r="GX8" s="18">
        <f t="shared" si="42"/>
        <v>190</v>
      </c>
      <c r="GY8" s="18">
        <f t="shared" si="42"/>
        <v>191</v>
      </c>
      <c r="GZ8" s="18">
        <f t="shared" si="42"/>
        <v>192</v>
      </c>
      <c r="HA8" s="18">
        <f t="shared" si="42"/>
        <v>193</v>
      </c>
      <c r="HB8" s="18">
        <f t="shared" ref="HB8" si="43">+HA8+2</f>
        <v>195</v>
      </c>
      <c r="HC8" s="18">
        <f t="shared" ref="HC8:HG8" si="44">+HB8+1</f>
        <v>196</v>
      </c>
      <c r="HD8" s="18">
        <f t="shared" si="44"/>
        <v>197</v>
      </c>
      <c r="HE8" s="18">
        <f t="shared" si="44"/>
        <v>198</v>
      </c>
      <c r="HF8" s="18">
        <f t="shared" si="44"/>
        <v>199</v>
      </c>
      <c r="HG8" s="18">
        <f t="shared" si="44"/>
        <v>200</v>
      </c>
      <c r="HH8" s="18">
        <f t="shared" ref="HH8" si="45">+HG8+2</f>
        <v>202</v>
      </c>
      <c r="HI8" s="18">
        <f t="shared" ref="HI8:HM8" si="46">+HH8+1</f>
        <v>203</v>
      </c>
      <c r="HJ8" s="18">
        <f t="shared" si="46"/>
        <v>204</v>
      </c>
      <c r="HK8" s="18">
        <f t="shared" si="46"/>
        <v>205</v>
      </c>
      <c r="HL8" s="18">
        <f t="shared" si="46"/>
        <v>206</v>
      </c>
      <c r="HM8" s="18">
        <f t="shared" si="46"/>
        <v>207</v>
      </c>
      <c r="HN8" s="18">
        <f t="shared" ref="HN8" si="47">+HM8+2</f>
        <v>209</v>
      </c>
      <c r="HO8" s="18">
        <f t="shared" ref="HO8:HS8" si="48">+HN8+1</f>
        <v>210</v>
      </c>
      <c r="HP8" s="18">
        <f t="shared" si="48"/>
        <v>211</v>
      </c>
      <c r="HQ8" s="18">
        <f t="shared" si="48"/>
        <v>212</v>
      </c>
      <c r="HR8" s="18">
        <f t="shared" si="48"/>
        <v>213</v>
      </c>
      <c r="HS8" s="18">
        <f t="shared" si="48"/>
        <v>214</v>
      </c>
      <c r="HT8" s="18">
        <f t="shared" ref="HT8" si="49">+HS8+2</f>
        <v>216</v>
      </c>
      <c r="HU8" s="18">
        <f t="shared" ref="HU8:HY8" si="50">+HT8+1</f>
        <v>217</v>
      </c>
      <c r="HV8" s="18">
        <f t="shared" si="50"/>
        <v>218</v>
      </c>
      <c r="HW8" s="18">
        <f t="shared" si="50"/>
        <v>219</v>
      </c>
      <c r="HX8" s="18">
        <f t="shared" si="50"/>
        <v>220</v>
      </c>
      <c r="HY8" s="18">
        <f t="shared" si="50"/>
        <v>221</v>
      </c>
      <c r="HZ8" s="18">
        <f t="shared" ref="HZ8" si="51">+HY8+2</f>
        <v>223</v>
      </c>
      <c r="IA8" s="18">
        <f t="shared" ref="IA8:IE8" si="52">+HZ8+1</f>
        <v>224</v>
      </c>
      <c r="IB8" s="18">
        <f t="shared" si="52"/>
        <v>225</v>
      </c>
      <c r="IC8" s="18">
        <f t="shared" si="52"/>
        <v>226</v>
      </c>
      <c r="ID8" s="18">
        <f t="shared" si="52"/>
        <v>227</v>
      </c>
      <c r="IE8" s="18">
        <f t="shared" si="52"/>
        <v>228</v>
      </c>
      <c r="IF8" s="18">
        <f t="shared" ref="IF8" si="53">+IE8+2</f>
        <v>230</v>
      </c>
      <c r="IG8" s="18">
        <f t="shared" ref="IG8:IK8" si="54">+IF8+1</f>
        <v>231</v>
      </c>
      <c r="IH8" s="18">
        <f t="shared" si="54"/>
        <v>232</v>
      </c>
      <c r="II8" s="18">
        <f t="shared" si="54"/>
        <v>233</v>
      </c>
      <c r="IJ8" s="18">
        <f t="shared" si="54"/>
        <v>234</v>
      </c>
      <c r="IK8" s="18">
        <f t="shared" si="54"/>
        <v>235</v>
      </c>
      <c r="IL8" s="18">
        <f t="shared" ref="IL8" si="55">+IK8+2</f>
        <v>237</v>
      </c>
      <c r="IM8" s="18">
        <f t="shared" ref="IM8:IQ8" si="56">+IL8+1</f>
        <v>238</v>
      </c>
      <c r="IN8" s="18">
        <f t="shared" si="56"/>
        <v>239</v>
      </c>
      <c r="IO8" s="18">
        <f t="shared" si="56"/>
        <v>240</v>
      </c>
      <c r="IP8" s="18">
        <f t="shared" si="56"/>
        <v>241</v>
      </c>
      <c r="IQ8" s="18">
        <f t="shared" si="56"/>
        <v>242</v>
      </c>
      <c r="IR8" s="18">
        <f t="shared" ref="IR8" si="57">+IQ8+2</f>
        <v>244</v>
      </c>
      <c r="IS8" s="18">
        <f t="shared" ref="IS8:IW8" si="58">+IR8+1</f>
        <v>245</v>
      </c>
      <c r="IT8" s="18">
        <f t="shared" si="58"/>
        <v>246</v>
      </c>
      <c r="IU8" s="18">
        <f t="shared" si="58"/>
        <v>247</v>
      </c>
      <c r="IV8" s="18">
        <f t="shared" si="58"/>
        <v>248</v>
      </c>
      <c r="IW8" s="18">
        <f t="shared" si="58"/>
        <v>249</v>
      </c>
    </row>
    <row r="9" spans="1:257" ht="15" customHeight="1">
      <c r="B9" s="69" t="s">
        <v>10</v>
      </c>
      <c r="C9" s="68"/>
      <c r="D9" s="64" t="s">
        <v>4</v>
      </c>
      <c r="F9" s="19">
        <f t="shared" ref="F9:BQ9" si="59">F10</f>
        <v>43843</v>
      </c>
      <c r="G9" s="19">
        <f t="shared" si="59"/>
        <v>43844</v>
      </c>
      <c r="H9" s="19">
        <f t="shared" si="59"/>
        <v>43845</v>
      </c>
      <c r="I9" s="19">
        <f t="shared" si="59"/>
        <v>43846</v>
      </c>
      <c r="J9" s="19">
        <f t="shared" si="59"/>
        <v>43847</v>
      </c>
      <c r="K9" s="19">
        <f t="shared" si="59"/>
        <v>43848</v>
      </c>
      <c r="L9" s="19">
        <f t="shared" si="59"/>
        <v>43850</v>
      </c>
      <c r="M9" s="19">
        <f t="shared" si="59"/>
        <v>43851</v>
      </c>
      <c r="N9" s="19">
        <f t="shared" si="59"/>
        <v>43852</v>
      </c>
      <c r="O9" s="19">
        <f t="shared" si="59"/>
        <v>43853</v>
      </c>
      <c r="P9" s="19">
        <f t="shared" si="59"/>
        <v>43854</v>
      </c>
      <c r="Q9" s="19">
        <f t="shared" si="59"/>
        <v>43855</v>
      </c>
      <c r="R9" s="19">
        <f t="shared" si="59"/>
        <v>43857</v>
      </c>
      <c r="S9" s="19">
        <f t="shared" si="59"/>
        <v>43858</v>
      </c>
      <c r="T9" s="50">
        <f t="shared" si="59"/>
        <v>43859</v>
      </c>
      <c r="U9" s="19">
        <f t="shared" si="59"/>
        <v>43860</v>
      </c>
      <c r="V9" s="19">
        <f t="shared" si="59"/>
        <v>43861</v>
      </c>
      <c r="W9" s="19">
        <f t="shared" si="59"/>
        <v>43862</v>
      </c>
      <c r="X9" s="19">
        <f t="shared" si="59"/>
        <v>43864</v>
      </c>
      <c r="Y9" s="19">
        <f t="shared" si="59"/>
        <v>43865</v>
      </c>
      <c r="Z9" s="19">
        <f t="shared" si="59"/>
        <v>43866</v>
      </c>
      <c r="AA9" s="19">
        <f t="shared" si="59"/>
        <v>43867</v>
      </c>
      <c r="AB9" s="19">
        <f t="shared" si="59"/>
        <v>43868</v>
      </c>
      <c r="AC9" s="19">
        <f t="shared" si="59"/>
        <v>43869</v>
      </c>
      <c r="AD9" s="19">
        <f t="shared" si="59"/>
        <v>43871</v>
      </c>
      <c r="AE9" s="19">
        <f t="shared" si="59"/>
        <v>43872</v>
      </c>
      <c r="AF9" s="19">
        <f t="shared" si="59"/>
        <v>43873</v>
      </c>
      <c r="AG9" s="19">
        <f t="shared" si="59"/>
        <v>43874</v>
      </c>
      <c r="AH9" s="19">
        <f t="shared" si="59"/>
        <v>43875</v>
      </c>
      <c r="AI9" s="19">
        <f t="shared" si="59"/>
        <v>43876</v>
      </c>
      <c r="AJ9" s="19">
        <f t="shared" si="59"/>
        <v>43878</v>
      </c>
      <c r="AK9" s="19">
        <f t="shared" si="59"/>
        <v>43879</v>
      </c>
      <c r="AL9" s="19">
        <f t="shared" si="59"/>
        <v>43880</v>
      </c>
      <c r="AM9" s="19">
        <f t="shared" si="59"/>
        <v>43881</v>
      </c>
      <c r="AN9" s="19">
        <f t="shared" si="59"/>
        <v>43882</v>
      </c>
      <c r="AO9" s="19">
        <f t="shared" si="59"/>
        <v>43883</v>
      </c>
      <c r="AP9" s="19">
        <f t="shared" si="59"/>
        <v>43885</v>
      </c>
      <c r="AQ9" s="19">
        <f t="shared" si="59"/>
        <v>43886</v>
      </c>
      <c r="AR9" s="19">
        <f t="shared" si="59"/>
        <v>43887</v>
      </c>
      <c r="AS9" s="19">
        <f t="shared" si="59"/>
        <v>43888</v>
      </c>
      <c r="AT9" s="19">
        <f t="shared" si="59"/>
        <v>43889</v>
      </c>
      <c r="AU9" s="19">
        <f t="shared" si="59"/>
        <v>43890</v>
      </c>
      <c r="AV9" s="19">
        <f t="shared" si="59"/>
        <v>43892</v>
      </c>
      <c r="AW9" s="19">
        <f t="shared" si="59"/>
        <v>43893</v>
      </c>
      <c r="AX9" s="19">
        <f t="shared" si="59"/>
        <v>43894</v>
      </c>
      <c r="AY9" s="19">
        <f t="shared" si="59"/>
        <v>43895</v>
      </c>
      <c r="AZ9" s="19">
        <f t="shared" si="59"/>
        <v>43896</v>
      </c>
      <c r="BA9" s="19">
        <f t="shared" si="59"/>
        <v>43897</v>
      </c>
      <c r="BB9" s="19">
        <f t="shared" si="59"/>
        <v>43899</v>
      </c>
      <c r="BC9" s="19">
        <f t="shared" si="59"/>
        <v>43900</v>
      </c>
      <c r="BD9" s="19">
        <f t="shared" si="59"/>
        <v>43901</v>
      </c>
      <c r="BE9" s="19">
        <f t="shared" si="59"/>
        <v>43902</v>
      </c>
      <c r="BF9" s="19">
        <f t="shared" si="59"/>
        <v>43903</v>
      </c>
      <c r="BG9" s="19">
        <f t="shared" si="59"/>
        <v>43904</v>
      </c>
      <c r="BH9" s="19">
        <f t="shared" si="59"/>
        <v>43906</v>
      </c>
      <c r="BI9" s="19">
        <f t="shared" si="59"/>
        <v>43907</v>
      </c>
      <c r="BJ9" s="19">
        <f t="shared" si="59"/>
        <v>43908</v>
      </c>
      <c r="BK9" s="19">
        <f t="shared" si="59"/>
        <v>43909</v>
      </c>
      <c r="BL9" s="19">
        <f t="shared" si="59"/>
        <v>43910</v>
      </c>
      <c r="BM9" s="19">
        <f t="shared" si="59"/>
        <v>43911</v>
      </c>
      <c r="BN9" s="19">
        <f t="shared" si="59"/>
        <v>43913</v>
      </c>
      <c r="BO9" s="19">
        <f t="shared" si="59"/>
        <v>43914</v>
      </c>
      <c r="BP9" s="19">
        <f t="shared" si="59"/>
        <v>43915</v>
      </c>
      <c r="BQ9" s="19">
        <f t="shared" si="59"/>
        <v>43916</v>
      </c>
      <c r="BR9" s="19">
        <f t="shared" ref="BR9:EC9" si="60">BR10</f>
        <v>43917</v>
      </c>
      <c r="BS9" s="19">
        <f t="shared" si="60"/>
        <v>43918</v>
      </c>
      <c r="BT9" s="19">
        <f t="shared" si="60"/>
        <v>43920</v>
      </c>
      <c r="BU9" s="19">
        <f t="shared" si="60"/>
        <v>43921</v>
      </c>
      <c r="BV9" s="19">
        <f t="shared" si="60"/>
        <v>43922</v>
      </c>
      <c r="BW9" s="19">
        <f t="shared" si="60"/>
        <v>43923</v>
      </c>
      <c r="BX9" s="19">
        <f t="shared" si="60"/>
        <v>43924</v>
      </c>
      <c r="BY9" s="19">
        <f t="shared" si="60"/>
        <v>43925</v>
      </c>
      <c r="BZ9" s="19">
        <f t="shared" si="60"/>
        <v>43927</v>
      </c>
      <c r="CA9" s="19">
        <f t="shared" si="60"/>
        <v>43928</v>
      </c>
      <c r="CB9" s="19">
        <f t="shared" si="60"/>
        <v>43929</v>
      </c>
      <c r="CC9" s="19">
        <f t="shared" si="60"/>
        <v>43930</v>
      </c>
      <c r="CD9" s="19">
        <f t="shared" si="60"/>
        <v>43931</v>
      </c>
      <c r="CE9" s="19">
        <f t="shared" si="60"/>
        <v>43932</v>
      </c>
      <c r="CF9" s="19">
        <f t="shared" si="60"/>
        <v>43934</v>
      </c>
      <c r="CG9" s="19">
        <f t="shared" si="60"/>
        <v>43935</v>
      </c>
      <c r="CH9" s="19">
        <f t="shared" si="60"/>
        <v>43936</v>
      </c>
      <c r="CI9" s="19">
        <f t="shared" si="60"/>
        <v>43937</v>
      </c>
      <c r="CJ9" s="19">
        <f t="shared" si="60"/>
        <v>43938</v>
      </c>
      <c r="CK9" s="19">
        <f t="shared" si="60"/>
        <v>43939</v>
      </c>
      <c r="CL9" s="19">
        <f t="shared" si="60"/>
        <v>43941</v>
      </c>
      <c r="CM9" s="19">
        <f t="shared" si="60"/>
        <v>43942</v>
      </c>
      <c r="CN9" s="19">
        <f t="shared" si="60"/>
        <v>43943</v>
      </c>
      <c r="CO9" s="19">
        <f t="shared" si="60"/>
        <v>43944</v>
      </c>
      <c r="CP9" s="19">
        <f t="shared" si="60"/>
        <v>43945</v>
      </c>
      <c r="CQ9" s="19">
        <f t="shared" si="60"/>
        <v>43946</v>
      </c>
      <c r="CR9" s="19">
        <f t="shared" si="60"/>
        <v>43948</v>
      </c>
      <c r="CS9" s="19">
        <f t="shared" si="60"/>
        <v>43949</v>
      </c>
      <c r="CT9" s="19">
        <f t="shared" si="60"/>
        <v>43950</v>
      </c>
      <c r="CU9" s="19">
        <f t="shared" si="60"/>
        <v>43951</v>
      </c>
      <c r="CV9" s="19">
        <f t="shared" si="60"/>
        <v>43952</v>
      </c>
      <c r="CW9" s="19">
        <f t="shared" si="60"/>
        <v>43953</v>
      </c>
      <c r="CX9" s="19">
        <f t="shared" si="60"/>
        <v>43955</v>
      </c>
      <c r="CY9" s="19">
        <f t="shared" si="60"/>
        <v>43956</v>
      </c>
      <c r="CZ9" s="19">
        <f t="shared" si="60"/>
        <v>43957</v>
      </c>
      <c r="DA9" s="19">
        <f t="shared" si="60"/>
        <v>43958</v>
      </c>
      <c r="DB9" s="19">
        <f t="shared" si="60"/>
        <v>43959</v>
      </c>
      <c r="DC9" s="19">
        <f t="shared" si="60"/>
        <v>43960</v>
      </c>
      <c r="DD9" s="19">
        <f t="shared" si="60"/>
        <v>43962</v>
      </c>
      <c r="DE9" s="19">
        <f t="shared" si="60"/>
        <v>43963</v>
      </c>
      <c r="DF9" s="19">
        <f t="shared" si="60"/>
        <v>43964</v>
      </c>
      <c r="DG9" s="19">
        <f t="shared" si="60"/>
        <v>43965</v>
      </c>
      <c r="DH9" s="19">
        <f t="shared" si="60"/>
        <v>43966</v>
      </c>
      <c r="DI9" s="19">
        <f t="shared" si="60"/>
        <v>43967</v>
      </c>
      <c r="DJ9" s="19">
        <f t="shared" si="60"/>
        <v>43969</v>
      </c>
      <c r="DK9" s="19">
        <f t="shared" si="60"/>
        <v>43970</v>
      </c>
      <c r="DL9" s="19">
        <f t="shared" si="60"/>
        <v>43971</v>
      </c>
      <c r="DM9" s="19">
        <f t="shared" si="60"/>
        <v>43972</v>
      </c>
      <c r="DN9" s="19">
        <f t="shared" si="60"/>
        <v>43973</v>
      </c>
      <c r="DO9" s="19">
        <f t="shared" si="60"/>
        <v>43974</v>
      </c>
      <c r="DP9" s="19">
        <f t="shared" si="60"/>
        <v>43976</v>
      </c>
      <c r="DQ9" s="19">
        <f t="shared" si="60"/>
        <v>43977</v>
      </c>
      <c r="DR9" s="19">
        <f t="shared" si="60"/>
        <v>43978</v>
      </c>
      <c r="DS9" s="19">
        <f t="shared" si="60"/>
        <v>43979</v>
      </c>
      <c r="DT9" s="19">
        <f t="shared" si="60"/>
        <v>43980</v>
      </c>
      <c r="DU9" s="19">
        <f t="shared" si="60"/>
        <v>43981</v>
      </c>
      <c r="DV9" s="19">
        <f t="shared" si="60"/>
        <v>43983</v>
      </c>
      <c r="DW9" s="19">
        <f t="shared" si="60"/>
        <v>43984</v>
      </c>
      <c r="DX9" s="19">
        <f t="shared" si="60"/>
        <v>43985</v>
      </c>
      <c r="DY9" s="19">
        <f t="shared" si="60"/>
        <v>43986</v>
      </c>
      <c r="DZ9" s="19">
        <f t="shared" si="60"/>
        <v>43987</v>
      </c>
      <c r="EA9" s="19">
        <f t="shared" si="60"/>
        <v>43988</v>
      </c>
      <c r="EB9" s="19">
        <f t="shared" si="60"/>
        <v>43990</v>
      </c>
      <c r="EC9" s="19">
        <f t="shared" si="60"/>
        <v>43991</v>
      </c>
      <c r="ED9" s="19">
        <f t="shared" ref="ED9:GO9" si="61">ED10</f>
        <v>43992</v>
      </c>
      <c r="EE9" s="19">
        <f t="shared" si="61"/>
        <v>43993</v>
      </c>
      <c r="EF9" s="19">
        <f t="shared" si="61"/>
        <v>43994</v>
      </c>
      <c r="EG9" s="19">
        <f t="shared" si="61"/>
        <v>43995</v>
      </c>
      <c r="EH9" s="19">
        <f t="shared" si="61"/>
        <v>43997</v>
      </c>
      <c r="EI9" s="19">
        <f t="shared" si="61"/>
        <v>43998</v>
      </c>
      <c r="EJ9" s="19">
        <f t="shared" si="61"/>
        <v>43999</v>
      </c>
      <c r="EK9" s="19">
        <f t="shared" si="61"/>
        <v>44000</v>
      </c>
      <c r="EL9" s="19">
        <f t="shared" si="61"/>
        <v>44001</v>
      </c>
      <c r="EM9" s="19">
        <f t="shared" si="61"/>
        <v>44002</v>
      </c>
      <c r="EN9" s="19">
        <f t="shared" si="61"/>
        <v>44004</v>
      </c>
      <c r="EO9" s="19">
        <f t="shared" si="61"/>
        <v>44005</v>
      </c>
      <c r="EP9" s="19">
        <f t="shared" si="61"/>
        <v>44006</v>
      </c>
      <c r="EQ9" s="19">
        <f t="shared" si="61"/>
        <v>44007</v>
      </c>
      <c r="ER9" s="19">
        <f t="shared" si="61"/>
        <v>44008</v>
      </c>
      <c r="ES9" s="19">
        <f t="shared" si="61"/>
        <v>44009</v>
      </c>
      <c r="ET9" s="19">
        <f t="shared" si="61"/>
        <v>44011</v>
      </c>
      <c r="EU9" s="19">
        <f t="shared" si="61"/>
        <v>44012</v>
      </c>
      <c r="EV9" s="19">
        <f t="shared" si="61"/>
        <v>44013</v>
      </c>
      <c r="EW9" s="19">
        <f t="shared" si="61"/>
        <v>44014</v>
      </c>
      <c r="EX9" s="19">
        <f t="shared" si="61"/>
        <v>44015</v>
      </c>
      <c r="EY9" s="19">
        <f t="shared" si="61"/>
        <v>44016</v>
      </c>
      <c r="EZ9" s="19">
        <f t="shared" si="61"/>
        <v>44018</v>
      </c>
      <c r="FA9" s="19">
        <f t="shared" si="61"/>
        <v>44019</v>
      </c>
      <c r="FB9" s="19">
        <f t="shared" si="61"/>
        <v>44020</v>
      </c>
      <c r="FC9" s="19">
        <f t="shared" si="61"/>
        <v>44021</v>
      </c>
      <c r="FD9" s="19">
        <f t="shared" si="61"/>
        <v>44022</v>
      </c>
      <c r="FE9" s="19">
        <f t="shared" si="61"/>
        <v>44023</v>
      </c>
      <c r="FF9" s="19">
        <f t="shared" si="61"/>
        <v>44025</v>
      </c>
      <c r="FG9" s="19">
        <f t="shared" si="61"/>
        <v>44026</v>
      </c>
      <c r="FH9" s="19">
        <f t="shared" si="61"/>
        <v>44027</v>
      </c>
      <c r="FI9" s="19">
        <f t="shared" si="61"/>
        <v>44028</v>
      </c>
      <c r="FJ9" s="19">
        <f t="shared" si="61"/>
        <v>44029</v>
      </c>
      <c r="FK9" s="19">
        <f t="shared" si="61"/>
        <v>44030</v>
      </c>
      <c r="FL9" s="19">
        <f t="shared" si="61"/>
        <v>44032</v>
      </c>
      <c r="FM9" s="19">
        <f t="shared" si="61"/>
        <v>44033</v>
      </c>
      <c r="FN9" s="19">
        <f t="shared" si="61"/>
        <v>44034</v>
      </c>
      <c r="FO9" s="19">
        <f t="shared" si="61"/>
        <v>44035</v>
      </c>
      <c r="FP9" s="19">
        <f t="shared" si="61"/>
        <v>44036</v>
      </c>
      <c r="FQ9" s="19">
        <f t="shared" si="61"/>
        <v>44037</v>
      </c>
      <c r="FR9" s="19">
        <f t="shared" si="61"/>
        <v>44039</v>
      </c>
      <c r="FS9" s="19">
        <f t="shared" si="61"/>
        <v>44040</v>
      </c>
      <c r="FT9" s="19">
        <f t="shared" si="61"/>
        <v>44041</v>
      </c>
      <c r="FU9" s="19">
        <f t="shared" si="61"/>
        <v>44042</v>
      </c>
      <c r="FV9" s="19">
        <f t="shared" si="61"/>
        <v>44043</v>
      </c>
      <c r="FW9" s="19">
        <f t="shared" si="61"/>
        <v>44044</v>
      </c>
      <c r="FX9" s="19">
        <f t="shared" si="61"/>
        <v>44046</v>
      </c>
      <c r="FY9" s="19">
        <f t="shared" si="61"/>
        <v>44047</v>
      </c>
      <c r="FZ9" s="19">
        <f t="shared" si="61"/>
        <v>44048</v>
      </c>
      <c r="GA9" s="19">
        <f t="shared" si="61"/>
        <v>44049</v>
      </c>
      <c r="GB9" s="19">
        <f t="shared" si="61"/>
        <v>44050</v>
      </c>
      <c r="GC9" s="19">
        <f t="shared" si="61"/>
        <v>44051</v>
      </c>
      <c r="GD9" s="19">
        <f t="shared" si="61"/>
        <v>44053</v>
      </c>
      <c r="GE9" s="19">
        <f t="shared" si="61"/>
        <v>44054</v>
      </c>
      <c r="GF9" s="19">
        <f t="shared" si="61"/>
        <v>44055</v>
      </c>
      <c r="GG9" s="19">
        <f t="shared" si="61"/>
        <v>44056</v>
      </c>
      <c r="GH9" s="19">
        <f t="shared" si="61"/>
        <v>44057</v>
      </c>
      <c r="GI9" s="19">
        <f t="shared" si="61"/>
        <v>44058</v>
      </c>
      <c r="GJ9" s="19">
        <f t="shared" si="61"/>
        <v>44060</v>
      </c>
      <c r="GK9" s="19">
        <f t="shared" si="61"/>
        <v>44061</v>
      </c>
      <c r="GL9" s="19">
        <f t="shared" si="61"/>
        <v>44062</v>
      </c>
      <c r="GM9" s="19">
        <f t="shared" si="61"/>
        <v>44063</v>
      </c>
      <c r="GN9" s="19">
        <f t="shared" si="61"/>
        <v>44064</v>
      </c>
      <c r="GO9" s="19">
        <f t="shared" si="61"/>
        <v>44065</v>
      </c>
      <c r="GP9" s="19">
        <f t="shared" ref="GP9:IW9" si="62">GP10</f>
        <v>44067</v>
      </c>
      <c r="GQ9" s="19">
        <f t="shared" si="62"/>
        <v>44068</v>
      </c>
      <c r="GR9" s="19">
        <f t="shared" si="62"/>
        <v>44069</v>
      </c>
      <c r="GS9" s="19">
        <f t="shared" si="62"/>
        <v>44070</v>
      </c>
      <c r="GT9" s="19">
        <f t="shared" si="62"/>
        <v>44071</v>
      </c>
      <c r="GU9" s="19">
        <f t="shared" si="62"/>
        <v>44072</v>
      </c>
      <c r="GV9" s="19">
        <f t="shared" si="62"/>
        <v>44074</v>
      </c>
      <c r="GW9" s="19">
        <f t="shared" si="62"/>
        <v>44075</v>
      </c>
      <c r="GX9" s="19">
        <f t="shared" si="62"/>
        <v>44076</v>
      </c>
      <c r="GY9" s="19">
        <f t="shared" si="62"/>
        <v>44077</v>
      </c>
      <c r="GZ9" s="19">
        <f t="shared" si="62"/>
        <v>44078</v>
      </c>
      <c r="HA9" s="19">
        <f t="shared" si="62"/>
        <v>44079</v>
      </c>
      <c r="HB9" s="19">
        <f t="shared" si="62"/>
        <v>44081</v>
      </c>
      <c r="HC9" s="19">
        <f t="shared" si="62"/>
        <v>44082</v>
      </c>
      <c r="HD9" s="19">
        <f t="shared" si="62"/>
        <v>44083</v>
      </c>
      <c r="HE9" s="19">
        <f t="shared" si="62"/>
        <v>44084</v>
      </c>
      <c r="HF9" s="19">
        <f t="shared" si="62"/>
        <v>44085</v>
      </c>
      <c r="HG9" s="19">
        <f t="shared" si="62"/>
        <v>44086</v>
      </c>
      <c r="HH9" s="19">
        <f t="shared" si="62"/>
        <v>44088</v>
      </c>
      <c r="HI9" s="19">
        <f t="shared" si="62"/>
        <v>44089</v>
      </c>
      <c r="HJ9" s="19">
        <f t="shared" si="62"/>
        <v>44090</v>
      </c>
      <c r="HK9" s="19">
        <f t="shared" si="62"/>
        <v>44091</v>
      </c>
      <c r="HL9" s="19">
        <f t="shared" si="62"/>
        <v>44092</v>
      </c>
      <c r="HM9" s="19">
        <f t="shared" si="62"/>
        <v>44093</v>
      </c>
      <c r="HN9" s="19">
        <f t="shared" si="62"/>
        <v>44095</v>
      </c>
      <c r="HO9" s="19">
        <f t="shared" si="62"/>
        <v>44096</v>
      </c>
      <c r="HP9" s="19">
        <f t="shared" si="62"/>
        <v>44097</v>
      </c>
      <c r="HQ9" s="19">
        <f t="shared" si="62"/>
        <v>44098</v>
      </c>
      <c r="HR9" s="19">
        <f t="shared" si="62"/>
        <v>44099</v>
      </c>
      <c r="HS9" s="19">
        <f t="shared" si="62"/>
        <v>44100</v>
      </c>
      <c r="HT9" s="19">
        <f t="shared" si="62"/>
        <v>44102</v>
      </c>
      <c r="HU9" s="19">
        <f t="shared" si="62"/>
        <v>44103</v>
      </c>
      <c r="HV9" s="19">
        <f t="shared" si="62"/>
        <v>44104</v>
      </c>
      <c r="HW9" s="19">
        <f t="shared" si="62"/>
        <v>44105</v>
      </c>
      <c r="HX9" s="19">
        <f t="shared" si="62"/>
        <v>44106</v>
      </c>
      <c r="HY9" s="19">
        <f t="shared" si="62"/>
        <v>44107</v>
      </c>
      <c r="HZ9" s="19">
        <f t="shared" si="62"/>
        <v>44109</v>
      </c>
      <c r="IA9" s="19">
        <f t="shared" si="62"/>
        <v>44110</v>
      </c>
      <c r="IB9" s="19">
        <f t="shared" si="62"/>
        <v>44111</v>
      </c>
      <c r="IC9" s="19">
        <f t="shared" si="62"/>
        <v>44112</v>
      </c>
      <c r="ID9" s="19">
        <f t="shared" si="62"/>
        <v>44113</v>
      </c>
      <c r="IE9" s="19">
        <f t="shared" si="62"/>
        <v>44114</v>
      </c>
      <c r="IF9" s="19">
        <f t="shared" si="62"/>
        <v>44116</v>
      </c>
      <c r="IG9" s="19">
        <f t="shared" si="62"/>
        <v>44117</v>
      </c>
      <c r="IH9" s="19">
        <f t="shared" si="62"/>
        <v>44118</v>
      </c>
      <c r="II9" s="19">
        <f t="shared" si="62"/>
        <v>44119</v>
      </c>
      <c r="IJ9" s="19">
        <f t="shared" si="62"/>
        <v>44120</v>
      </c>
      <c r="IK9" s="19">
        <f t="shared" si="62"/>
        <v>44121</v>
      </c>
      <c r="IL9" s="19">
        <f t="shared" si="62"/>
        <v>44123</v>
      </c>
      <c r="IM9" s="19">
        <f t="shared" si="62"/>
        <v>44124</v>
      </c>
      <c r="IN9" s="19">
        <f t="shared" si="62"/>
        <v>44125</v>
      </c>
      <c r="IO9" s="19">
        <f t="shared" si="62"/>
        <v>44126</v>
      </c>
      <c r="IP9" s="19">
        <f t="shared" si="62"/>
        <v>44127</v>
      </c>
      <c r="IQ9" s="19">
        <f t="shared" si="62"/>
        <v>44128</v>
      </c>
      <c r="IR9" s="19">
        <f t="shared" si="62"/>
        <v>44130</v>
      </c>
      <c r="IS9" s="19">
        <f t="shared" si="62"/>
        <v>44131</v>
      </c>
      <c r="IT9" s="19">
        <f t="shared" si="62"/>
        <v>44132</v>
      </c>
      <c r="IU9" s="19">
        <f t="shared" si="62"/>
        <v>44133</v>
      </c>
      <c r="IV9" s="19">
        <f t="shared" si="62"/>
        <v>44134</v>
      </c>
      <c r="IW9" s="19">
        <f t="shared" si="62"/>
        <v>44135</v>
      </c>
    </row>
    <row r="10" spans="1:257" s="14" customFormat="1" ht="15" customHeight="1" thickBot="1">
      <c r="B10" s="70" t="s">
        <v>9</v>
      </c>
      <c r="C10" s="71"/>
      <c r="D10" s="64" t="s">
        <v>6</v>
      </c>
      <c r="F10" s="26">
        <v>43843</v>
      </c>
      <c r="G10" s="26">
        <v>43844</v>
      </c>
      <c r="H10" s="26">
        <v>43845</v>
      </c>
      <c r="I10" s="26">
        <v>43846</v>
      </c>
      <c r="J10" s="26">
        <v>43847</v>
      </c>
      <c r="K10" s="26">
        <v>43848</v>
      </c>
      <c r="L10" s="20">
        <f>+K10+2</f>
        <v>43850</v>
      </c>
      <c r="M10" s="20">
        <f>+L10+1</f>
        <v>43851</v>
      </c>
      <c r="N10" s="20">
        <f t="shared" ref="N10:BY10" si="63">+M10+1</f>
        <v>43852</v>
      </c>
      <c r="O10" s="20">
        <f t="shared" si="63"/>
        <v>43853</v>
      </c>
      <c r="P10" s="20">
        <f t="shared" si="63"/>
        <v>43854</v>
      </c>
      <c r="Q10" s="20">
        <f t="shared" si="63"/>
        <v>43855</v>
      </c>
      <c r="R10" s="20">
        <f t="shared" ref="R10" si="64">+Q10+2</f>
        <v>43857</v>
      </c>
      <c r="S10" s="20">
        <f t="shared" ref="S10" si="65">+R10+1</f>
        <v>43858</v>
      </c>
      <c r="T10" s="26">
        <f t="shared" si="63"/>
        <v>43859</v>
      </c>
      <c r="U10" s="20">
        <f t="shared" si="63"/>
        <v>43860</v>
      </c>
      <c r="V10" s="20">
        <f t="shared" si="63"/>
        <v>43861</v>
      </c>
      <c r="W10" s="20">
        <f t="shared" si="63"/>
        <v>43862</v>
      </c>
      <c r="X10" s="20">
        <f t="shared" ref="X10" si="66">+W10+2</f>
        <v>43864</v>
      </c>
      <c r="Y10" s="20">
        <f t="shared" ref="Y10" si="67">+X10+1</f>
        <v>43865</v>
      </c>
      <c r="Z10" s="20">
        <f t="shared" si="63"/>
        <v>43866</v>
      </c>
      <c r="AA10" s="20">
        <f t="shared" si="63"/>
        <v>43867</v>
      </c>
      <c r="AB10" s="20">
        <f t="shared" si="63"/>
        <v>43868</v>
      </c>
      <c r="AC10" s="20">
        <f t="shared" si="63"/>
        <v>43869</v>
      </c>
      <c r="AD10" s="20">
        <f t="shared" ref="AD10" si="68">+AC10+2</f>
        <v>43871</v>
      </c>
      <c r="AE10" s="20">
        <f t="shared" ref="AE10" si="69">+AD10+1</f>
        <v>43872</v>
      </c>
      <c r="AF10" s="20">
        <f t="shared" si="63"/>
        <v>43873</v>
      </c>
      <c r="AG10" s="20">
        <f t="shared" si="63"/>
        <v>43874</v>
      </c>
      <c r="AH10" s="20">
        <f t="shared" si="63"/>
        <v>43875</v>
      </c>
      <c r="AI10" s="20">
        <f t="shared" si="63"/>
        <v>43876</v>
      </c>
      <c r="AJ10" s="20">
        <f t="shared" ref="AJ10" si="70">+AI10+2</f>
        <v>43878</v>
      </c>
      <c r="AK10" s="20">
        <f t="shared" ref="AK10" si="71">+AJ10+1</f>
        <v>43879</v>
      </c>
      <c r="AL10" s="20">
        <f t="shared" si="63"/>
        <v>43880</v>
      </c>
      <c r="AM10" s="20">
        <f t="shared" si="63"/>
        <v>43881</v>
      </c>
      <c r="AN10" s="20">
        <f t="shared" si="63"/>
        <v>43882</v>
      </c>
      <c r="AO10" s="20">
        <f t="shared" si="63"/>
        <v>43883</v>
      </c>
      <c r="AP10" s="20">
        <f t="shared" ref="AP10" si="72">+AO10+2</f>
        <v>43885</v>
      </c>
      <c r="AQ10" s="20">
        <f t="shared" ref="AQ10" si="73">+AP10+1</f>
        <v>43886</v>
      </c>
      <c r="AR10" s="20">
        <f t="shared" si="63"/>
        <v>43887</v>
      </c>
      <c r="AS10" s="20">
        <f t="shared" si="63"/>
        <v>43888</v>
      </c>
      <c r="AT10" s="20">
        <f t="shared" si="63"/>
        <v>43889</v>
      </c>
      <c r="AU10" s="20">
        <f t="shared" si="63"/>
        <v>43890</v>
      </c>
      <c r="AV10" s="20">
        <f t="shared" ref="AV10" si="74">+AU10+2</f>
        <v>43892</v>
      </c>
      <c r="AW10" s="20">
        <f t="shared" ref="AW10" si="75">+AV10+1</f>
        <v>43893</v>
      </c>
      <c r="AX10" s="20">
        <f t="shared" si="63"/>
        <v>43894</v>
      </c>
      <c r="AY10" s="20">
        <f t="shared" si="63"/>
        <v>43895</v>
      </c>
      <c r="AZ10" s="20">
        <f t="shared" si="63"/>
        <v>43896</v>
      </c>
      <c r="BA10" s="20">
        <f t="shared" si="63"/>
        <v>43897</v>
      </c>
      <c r="BB10" s="20">
        <f t="shared" ref="BB10" si="76">+BA10+2</f>
        <v>43899</v>
      </c>
      <c r="BC10" s="20">
        <f t="shared" ref="BC10" si="77">+BB10+1</f>
        <v>43900</v>
      </c>
      <c r="BD10" s="20">
        <f t="shared" si="63"/>
        <v>43901</v>
      </c>
      <c r="BE10" s="20">
        <f t="shared" si="63"/>
        <v>43902</v>
      </c>
      <c r="BF10" s="20">
        <f t="shared" si="63"/>
        <v>43903</v>
      </c>
      <c r="BG10" s="20">
        <f t="shared" si="63"/>
        <v>43904</v>
      </c>
      <c r="BH10" s="20">
        <f t="shared" ref="BH10" si="78">+BG10+2</f>
        <v>43906</v>
      </c>
      <c r="BI10" s="20">
        <f t="shared" ref="BI10" si="79">+BH10+1</f>
        <v>43907</v>
      </c>
      <c r="BJ10" s="20">
        <f t="shared" si="63"/>
        <v>43908</v>
      </c>
      <c r="BK10" s="20">
        <f t="shared" si="63"/>
        <v>43909</v>
      </c>
      <c r="BL10" s="20">
        <f t="shared" si="63"/>
        <v>43910</v>
      </c>
      <c r="BM10" s="20">
        <f t="shared" si="63"/>
        <v>43911</v>
      </c>
      <c r="BN10" s="20">
        <f t="shared" ref="BN10" si="80">+BM10+2</f>
        <v>43913</v>
      </c>
      <c r="BO10" s="20">
        <f t="shared" ref="BO10" si="81">+BN10+1</f>
        <v>43914</v>
      </c>
      <c r="BP10" s="20">
        <f t="shared" si="63"/>
        <v>43915</v>
      </c>
      <c r="BQ10" s="20">
        <f t="shared" si="63"/>
        <v>43916</v>
      </c>
      <c r="BR10" s="20">
        <f t="shared" si="63"/>
        <v>43917</v>
      </c>
      <c r="BS10" s="20">
        <f t="shared" si="63"/>
        <v>43918</v>
      </c>
      <c r="BT10" s="20">
        <f t="shared" ref="BT10" si="82">+BS10+2</f>
        <v>43920</v>
      </c>
      <c r="BU10" s="20">
        <f t="shared" ref="BU10" si="83">+BT10+1</f>
        <v>43921</v>
      </c>
      <c r="BV10" s="20">
        <f t="shared" si="63"/>
        <v>43922</v>
      </c>
      <c r="BW10" s="20">
        <f t="shared" si="63"/>
        <v>43923</v>
      </c>
      <c r="BX10" s="20">
        <f t="shared" si="63"/>
        <v>43924</v>
      </c>
      <c r="BY10" s="20">
        <f t="shared" si="63"/>
        <v>43925</v>
      </c>
      <c r="BZ10" s="20">
        <f t="shared" ref="BZ10" si="84">+BY10+2</f>
        <v>43927</v>
      </c>
      <c r="CA10" s="20">
        <f t="shared" ref="CA10:EL10" si="85">+BZ10+1</f>
        <v>43928</v>
      </c>
      <c r="CB10" s="20">
        <f t="shared" si="85"/>
        <v>43929</v>
      </c>
      <c r="CC10" s="20">
        <f t="shared" si="85"/>
        <v>43930</v>
      </c>
      <c r="CD10" s="20">
        <f t="shared" si="85"/>
        <v>43931</v>
      </c>
      <c r="CE10" s="20">
        <f t="shared" si="85"/>
        <v>43932</v>
      </c>
      <c r="CF10" s="72">
        <f t="shared" ref="CF10" si="86">+CE10+2</f>
        <v>43934</v>
      </c>
      <c r="CG10" s="20">
        <f t="shared" ref="CG10" si="87">+CF10+1</f>
        <v>43935</v>
      </c>
      <c r="CH10" s="20">
        <f t="shared" si="85"/>
        <v>43936</v>
      </c>
      <c r="CI10" s="20">
        <f t="shared" si="85"/>
        <v>43937</v>
      </c>
      <c r="CJ10" s="20">
        <f t="shared" si="85"/>
        <v>43938</v>
      </c>
      <c r="CK10" s="20">
        <f t="shared" si="85"/>
        <v>43939</v>
      </c>
      <c r="CL10" s="85">
        <f t="shared" ref="CL10" si="88">+CK10+2</f>
        <v>43941</v>
      </c>
      <c r="CM10" s="20">
        <f t="shared" ref="CM10" si="89">+CL10+1</f>
        <v>43942</v>
      </c>
      <c r="CN10" s="20">
        <f t="shared" si="85"/>
        <v>43943</v>
      </c>
      <c r="CO10" s="20">
        <f t="shared" si="85"/>
        <v>43944</v>
      </c>
      <c r="CP10" s="20">
        <f t="shared" si="85"/>
        <v>43945</v>
      </c>
      <c r="CQ10" s="20">
        <f t="shared" si="85"/>
        <v>43946</v>
      </c>
      <c r="CR10" s="20">
        <f t="shared" ref="CR10" si="90">+CQ10+2</f>
        <v>43948</v>
      </c>
      <c r="CS10" s="20">
        <f t="shared" ref="CS10" si="91">+CR10+1</f>
        <v>43949</v>
      </c>
      <c r="CT10" s="20">
        <f t="shared" si="85"/>
        <v>43950</v>
      </c>
      <c r="CU10" s="20">
        <f t="shared" si="85"/>
        <v>43951</v>
      </c>
      <c r="CV10" s="61">
        <f t="shared" si="85"/>
        <v>43952</v>
      </c>
      <c r="CW10" s="20">
        <f t="shared" si="85"/>
        <v>43953</v>
      </c>
      <c r="CX10" s="20">
        <f t="shared" ref="CX10" si="92">+CW10+2</f>
        <v>43955</v>
      </c>
      <c r="CY10" s="20">
        <f t="shared" ref="CY10" si="93">+CX10+1</f>
        <v>43956</v>
      </c>
      <c r="CZ10" s="20">
        <f t="shared" si="85"/>
        <v>43957</v>
      </c>
      <c r="DA10" s="20">
        <f t="shared" si="85"/>
        <v>43958</v>
      </c>
      <c r="DB10" s="20">
        <f t="shared" si="85"/>
        <v>43959</v>
      </c>
      <c r="DC10" s="20">
        <f t="shared" si="85"/>
        <v>43960</v>
      </c>
      <c r="DD10" s="20">
        <f t="shared" ref="DD10" si="94">+DC10+2</f>
        <v>43962</v>
      </c>
      <c r="DE10" s="20">
        <f t="shared" ref="DE10" si="95">+DD10+1</f>
        <v>43963</v>
      </c>
      <c r="DF10" s="20">
        <f t="shared" si="85"/>
        <v>43964</v>
      </c>
      <c r="DG10" s="20">
        <f t="shared" si="85"/>
        <v>43965</v>
      </c>
      <c r="DH10" s="20">
        <f t="shared" si="85"/>
        <v>43966</v>
      </c>
      <c r="DI10" s="20">
        <f t="shared" si="85"/>
        <v>43967</v>
      </c>
      <c r="DJ10" s="20">
        <f t="shared" ref="DJ10" si="96">+DI10+2</f>
        <v>43969</v>
      </c>
      <c r="DK10" s="20">
        <f t="shared" ref="DK10" si="97">+DJ10+1</f>
        <v>43970</v>
      </c>
      <c r="DL10" s="20">
        <f t="shared" si="85"/>
        <v>43971</v>
      </c>
      <c r="DM10" s="20">
        <f t="shared" si="85"/>
        <v>43972</v>
      </c>
      <c r="DN10" s="20">
        <f t="shared" si="85"/>
        <v>43973</v>
      </c>
      <c r="DO10" s="20">
        <f t="shared" si="85"/>
        <v>43974</v>
      </c>
      <c r="DP10" s="20">
        <f t="shared" ref="DP10" si="98">+DO10+2</f>
        <v>43976</v>
      </c>
      <c r="DQ10" s="20">
        <f t="shared" ref="DQ10" si="99">+DP10+1</f>
        <v>43977</v>
      </c>
      <c r="DR10" s="20">
        <f t="shared" si="85"/>
        <v>43978</v>
      </c>
      <c r="DS10" s="20">
        <f t="shared" si="85"/>
        <v>43979</v>
      </c>
      <c r="DT10" s="20">
        <f t="shared" si="85"/>
        <v>43980</v>
      </c>
      <c r="DU10" s="20">
        <f t="shared" si="85"/>
        <v>43981</v>
      </c>
      <c r="DV10" s="20">
        <f t="shared" ref="DV10" si="100">+DU10+2</f>
        <v>43983</v>
      </c>
      <c r="DW10" s="20">
        <f t="shared" ref="DW10" si="101">+DV10+1</f>
        <v>43984</v>
      </c>
      <c r="DX10" s="20">
        <f t="shared" si="85"/>
        <v>43985</v>
      </c>
      <c r="DY10" s="20">
        <f t="shared" si="85"/>
        <v>43986</v>
      </c>
      <c r="DZ10" s="20">
        <f t="shared" si="85"/>
        <v>43987</v>
      </c>
      <c r="EA10" s="20">
        <f t="shared" si="85"/>
        <v>43988</v>
      </c>
      <c r="EB10" s="20">
        <f t="shared" ref="EB10" si="102">+EA10+2</f>
        <v>43990</v>
      </c>
      <c r="EC10" s="20">
        <f t="shared" ref="EC10" si="103">+EB10+1</f>
        <v>43991</v>
      </c>
      <c r="ED10" s="20">
        <f t="shared" si="85"/>
        <v>43992</v>
      </c>
      <c r="EE10" s="20">
        <f t="shared" si="85"/>
        <v>43993</v>
      </c>
      <c r="EF10" s="20">
        <f t="shared" si="85"/>
        <v>43994</v>
      </c>
      <c r="EG10" s="20">
        <f t="shared" si="85"/>
        <v>43995</v>
      </c>
      <c r="EH10" s="20">
        <f t="shared" ref="EH10" si="104">+EG10+2</f>
        <v>43997</v>
      </c>
      <c r="EI10" s="20">
        <f t="shared" ref="EI10" si="105">+EH10+1</f>
        <v>43998</v>
      </c>
      <c r="EJ10" s="20">
        <f t="shared" si="85"/>
        <v>43999</v>
      </c>
      <c r="EK10" s="20">
        <f t="shared" si="85"/>
        <v>44000</v>
      </c>
      <c r="EL10" s="20">
        <f t="shared" si="85"/>
        <v>44001</v>
      </c>
      <c r="EM10" s="20">
        <f t="shared" ref="EM10:FW10" si="106">+EL10+1</f>
        <v>44002</v>
      </c>
      <c r="EN10" s="20">
        <f t="shared" ref="EN10" si="107">+EM10+2</f>
        <v>44004</v>
      </c>
      <c r="EO10" s="20">
        <f t="shared" ref="EO10" si="108">+EN10+1</f>
        <v>44005</v>
      </c>
      <c r="EP10" s="20">
        <f t="shared" si="106"/>
        <v>44006</v>
      </c>
      <c r="EQ10" s="20">
        <f t="shared" si="106"/>
        <v>44007</v>
      </c>
      <c r="ER10" s="20">
        <f t="shared" si="106"/>
        <v>44008</v>
      </c>
      <c r="ES10" s="20">
        <f t="shared" si="106"/>
        <v>44009</v>
      </c>
      <c r="ET10" s="61">
        <f t="shared" ref="ET10" si="109">+ES10+2</f>
        <v>44011</v>
      </c>
      <c r="EU10" s="20">
        <f t="shared" ref="EU10" si="110">+ET10+1</f>
        <v>44012</v>
      </c>
      <c r="EV10" s="20">
        <f t="shared" si="106"/>
        <v>44013</v>
      </c>
      <c r="EW10" s="20">
        <f t="shared" si="106"/>
        <v>44014</v>
      </c>
      <c r="EX10" s="20">
        <f t="shared" si="106"/>
        <v>44015</v>
      </c>
      <c r="EY10" s="20">
        <f t="shared" si="106"/>
        <v>44016</v>
      </c>
      <c r="EZ10" s="20">
        <f t="shared" ref="EZ10" si="111">+EY10+2</f>
        <v>44018</v>
      </c>
      <c r="FA10" s="20">
        <f t="shared" ref="FA10" si="112">+EZ10+1</f>
        <v>44019</v>
      </c>
      <c r="FB10" s="20">
        <f t="shared" si="106"/>
        <v>44020</v>
      </c>
      <c r="FC10" s="20">
        <f t="shared" si="106"/>
        <v>44021</v>
      </c>
      <c r="FD10" s="20">
        <f t="shared" si="106"/>
        <v>44022</v>
      </c>
      <c r="FE10" s="20">
        <f t="shared" si="106"/>
        <v>44023</v>
      </c>
      <c r="FF10" s="20">
        <f t="shared" ref="FF10" si="113">+FE10+2</f>
        <v>44025</v>
      </c>
      <c r="FG10" s="20">
        <f t="shared" ref="FG10" si="114">+FF10+1</f>
        <v>44026</v>
      </c>
      <c r="FH10" s="20">
        <f t="shared" si="106"/>
        <v>44027</v>
      </c>
      <c r="FI10" s="20">
        <f t="shared" si="106"/>
        <v>44028</v>
      </c>
      <c r="FJ10" s="20">
        <f t="shared" si="106"/>
        <v>44029</v>
      </c>
      <c r="FK10" s="20">
        <f t="shared" si="106"/>
        <v>44030</v>
      </c>
      <c r="FL10" s="20">
        <f t="shared" ref="FL10" si="115">+FK10+2</f>
        <v>44032</v>
      </c>
      <c r="FM10" s="20">
        <f t="shared" ref="FM10" si="116">+FL10+1</f>
        <v>44033</v>
      </c>
      <c r="FN10" s="20">
        <f t="shared" si="106"/>
        <v>44034</v>
      </c>
      <c r="FO10" s="20">
        <f t="shared" si="106"/>
        <v>44035</v>
      </c>
      <c r="FP10" s="20">
        <f t="shared" si="106"/>
        <v>44036</v>
      </c>
      <c r="FQ10" s="20">
        <f t="shared" si="106"/>
        <v>44037</v>
      </c>
      <c r="FR10" s="20">
        <f t="shared" ref="FR10" si="117">+FQ10+2</f>
        <v>44039</v>
      </c>
      <c r="FS10" s="61">
        <f t="shared" ref="FS10" si="118">+FR10+1</f>
        <v>44040</v>
      </c>
      <c r="FT10" s="61">
        <f t="shared" si="106"/>
        <v>44041</v>
      </c>
      <c r="FU10" s="20">
        <f t="shared" si="106"/>
        <v>44042</v>
      </c>
      <c r="FV10" s="20">
        <f t="shared" si="106"/>
        <v>44043</v>
      </c>
      <c r="FW10" s="20">
        <f t="shared" si="106"/>
        <v>44044</v>
      </c>
      <c r="FX10" s="20">
        <f t="shared" ref="FX10" si="119">+FW10+2</f>
        <v>44046</v>
      </c>
      <c r="FY10" s="20">
        <f t="shared" ref="FY10:GC10" si="120">+FX10+1</f>
        <v>44047</v>
      </c>
      <c r="FZ10" s="20">
        <f t="shared" si="120"/>
        <v>44048</v>
      </c>
      <c r="GA10" s="20">
        <f t="shared" si="120"/>
        <v>44049</v>
      </c>
      <c r="GB10" s="20">
        <f t="shared" si="120"/>
        <v>44050</v>
      </c>
      <c r="GC10" s="20">
        <f t="shared" si="120"/>
        <v>44051</v>
      </c>
      <c r="GD10" s="20">
        <f t="shared" ref="GD10" si="121">+GC10+2</f>
        <v>44053</v>
      </c>
      <c r="GE10" s="20">
        <f t="shared" ref="GE10:GI10" si="122">+GD10+1</f>
        <v>44054</v>
      </c>
      <c r="GF10" s="20">
        <f t="shared" si="122"/>
        <v>44055</v>
      </c>
      <c r="GG10" s="20">
        <f t="shared" si="122"/>
        <v>44056</v>
      </c>
      <c r="GH10" s="20">
        <f t="shared" si="122"/>
        <v>44057</v>
      </c>
      <c r="GI10" s="20">
        <f t="shared" si="122"/>
        <v>44058</v>
      </c>
      <c r="GJ10" s="20">
        <f t="shared" ref="GJ10" si="123">+GI10+2</f>
        <v>44060</v>
      </c>
      <c r="GK10" s="20">
        <f t="shared" ref="GK10:GO10" si="124">+GJ10+1</f>
        <v>44061</v>
      </c>
      <c r="GL10" s="20">
        <f t="shared" si="124"/>
        <v>44062</v>
      </c>
      <c r="GM10" s="20">
        <f t="shared" si="124"/>
        <v>44063</v>
      </c>
      <c r="GN10" s="20">
        <f t="shared" si="124"/>
        <v>44064</v>
      </c>
      <c r="GO10" s="20">
        <f t="shared" si="124"/>
        <v>44065</v>
      </c>
      <c r="GP10" s="20">
        <f t="shared" ref="GP10" si="125">+GO10+2</f>
        <v>44067</v>
      </c>
      <c r="GQ10" s="20">
        <f t="shared" ref="GQ10:GU10" si="126">+GP10+1</f>
        <v>44068</v>
      </c>
      <c r="GR10" s="20">
        <f t="shared" si="126"/>
        <v>44069</v>
      </c>
      <c r="GS10" s="20">
        <f t="shared" si="126"/>
        <v>44070</v>
      </c>
      <c r="GT10" s="20">
        <f t="shared" si="126"/>
        <v>44071</v>
      </c>
      <c r="GU10" s="20">
        <f t="shared" si="126"/>
        <v>44072</v>
      </c>
      <c r="GV10" s="20">
        <f t="shared" ref="GV10" si="127">+GU10+2</f>
        <v>44074</v>
      </c>
      <c r="GW10" s="20">
        <f t="shared" ref="GW10:HA10" si="128">+GV10+1</f>
        <v>44075</v>
      </c>
      <c r="GX10" s="20">
        <f t="shared" si="128"/>
        <v>44076</v>
      </c>
      <c r="GY10" s="20">
        <f t="shared" si="128"/>
        <v>44077</v>
      </c>
      <c r="GZ10" s="20">
        <f t="shared" si="128"/>
        <v>44078</v>
      </c>
      <c r="HA10" s="20">
        <f t="shared" si="128"/>
        <v>44079</v>
      </c>
      <c r="HB10" s="20">
        <f t="shared" ref="HB10" si="129">+HA10+2</f>
        <v>44081</v>
      </c>
      <c r="HC10" s="20">
        <f t="shared" ref="HC10:HG10" si="130">+HB10+1</f>
        <v>44082</v>
      </c>
      <c r="HD10" s="20">
        <f t="shared" si="130"/>
        <v>44083</v>
      </c>
      <c r="HE10" s="20">
        <f t="shared" si="130"/>
        <v>44084</v>
      </c>
      <c r="HF10" s="20">
        <f t="shared" si="130"/>
        <v>44085</v>
      </c>
      <c r="HG10" s="20">
        <f t="shared" si="130"/>
        <v>44086</v>
      </c>
      <c r="HH10" s="20">
        <f t="shared" ref="HH10" si="131">+HG10+2</f>
        <v>44088</v>
      </c>
      <c r="HI10" s="20">
        <f t="shared" ref="HI10:HM10" si="132">+HH10+1</f>
        <v>44089</v>
      </c>
      <c r="HJ10" s="20">
        <f t="shared" si="132"/>
        <v>44090</v>
      </c>
      <c r="HK10" s="20">
        <f t="shared" si="132"/>
        <v>44091</v>
      </c>
      <c r="HL10" s="20">
        <f t="shared" si="132"/>
        <v>44092</v>
      </c>
      <c r="HM10" s="20">
        <f t="shared" si="132"/>
        <v>44093</v>
      </c>
      <c r="HN10" s="20">
        <f t="shared" ref="HN10" si="133">+HM10+2</f>
        <v>44095</v>
      </c>
      <c r="HO10" s="20">
        <f t="shared" ref="HO10:HS10" si="134">+HN10+1</f>
        <v>44096</v>
      </c>
      <c r="HP10" s="20">
        <f t="shared" si="134"/>
        <v>44097</v>
      </c>
      <c r="HQ10" s="20">
        <f t="shared" si="134"/>
        <v>44098</v>
      </c>
      <c r="HR10" s="20">
        <f t="shared" si="134"/>
        <v>44099</v>
      </c>
      <c r="HS10" s="20">
        <f t="shared" si="134"/>
        <v>44100</v>
      </c>
      <c r="HT10" s="20">
        <f t="shared" ref="HT10" si="135">+HS10+2</f>
        <v>44102</v>
      </c>
      <c r="HU10" s="20">
        <f t="shared" ref="HU10:HY10" si="136">+HT10+1</f>
        <v>44103</v>
      </c>
      <c r="HV10" s="20">
        <f t="shared" si="136"/>
        <v>44104</v>
      </c>
      <c r="HW10" s="20">
        <f t="shared" si="136"/>
        <v>44105</v>
      </c>
      <c r="HX10" s="20">
        <f t="shared" si="136"/>
        <v>44106</v>
      </c>
      <c r="HY10" s="20">
        <f t="shared" si="136"/>
        <v>44107</v>
      </c>
      <c r="HZ10" s="20">
        <f t="shared" ref="HZ10" si="137">+HY10+2</f>
        <v>44109</v>
      </c>
      <c r="IA10" s="20">
        <f t="shared" ref="IA10:IE10" si="138">+HZ10+1</f>
        <v>44110</v>
      </c>
      <c r="IB10" s="90">
        <f t="shared" si="138"/>
        <v>44111</v>
      </c>
      <c r="IC10" s="61">
        <f t="shared" si="138"/>
        <v>44112</v>
      </c>
      <c r="ID10" s="20">
        <f t="shared" si="138"/>
        <v>44113</v>
      </c>
      <c r="IE10" s="20">
        <f t="shared" si="138"/>
        <v>44114</v>
      </c>
      <c r="IF10" s="20">
        <f t="shared" ref="IF10" si="139">+IE10+2</f>
        <v>44116</v>
      </c>
      <c r="IG10" s="20">
        <f t="shared" ref="IG10:IK10" si="140">+IF10+1</f>
        <v>44117</v>
      </c>
      <c r="IH10" s="20">
        <f t="shared" si="140"/>
        <v>44118</v>
      </c>
      <c r="II10" s="20">
        <f t="shared" si="140"/>
        <v>44119</v>
      </c>
      <c r="IJ10" s="20">
        <f t="shared" si="140"/>
        <v>44120</v>
      </c>
      <c r="IK10" s="20">
        <f t="shared" si="140"/>
        <v>44121</v>
      </c>
      <c r="IL10" s="20">
        <f t="shared" ref="IL10" si="141">+IK10+2</f>
        <v>44123</v>
      </c>
      <c r="IM10" s="20">
        <f t="shared" ref="IM10:IQ10" si="142">+IL10+1</f>
        <v>44124</v>
      </c>
      <c r="IN10" s="20">
        <f t="shared" si="142"/>
        <v>44125</v>
      </c>
      <c r="IO10" s="20">
        <f t="shared" si="142"/>
        <v>44126</v>
      </c>
      <c r="IP10" s="20">
        <f t="shared" si="142"/>
        <v>44127</v>
      </c>
      <c r="IQ10" s="20">
        <f t="shared" si="142"/>
        <v>44128</v>
      </c>
      <c r="IR10" s="20">
        <f t="shared" ref="IR10" si="143">+IQ10+2</f>
        <v>44130</v>
      </c>
      <c r="IS10" s="20">
        <f t="shared" ref="IS10:IW10" si="144">+IR10+1</f>
        <v>44131</v>
      </c>
      <c r="IT10" s="20">
        <f t="shared" si="144"/>
        <v>44132</v>
      </c>
      <c r="IU10" s="20">
        <f t="shared" si="144"/>
        <v>44133</v>
      </c>
      <c r="IV10" s="20">
        <f t="shared" si="144"/>
        <v>44134</v>
      </c>
      <c r="IW10" s="20">
        <f t="shared" si="144"/>
        <v>44135</v>
      </c>
    </row>
    <row r="11" spans="1:257" ht="14.4" thickBot="1">
      <c r="B11" s="65"/>
      <c r="C11" s="66"/>
      <c r="D11" s="8" t="s">
        <v>5</v>
      </c>
      <c r="F11" s="53">
        <f t="shared" ref="F11:BQ11" si="145">F10</f>
        <v>43843</v>
      </c>
      <c r="G11" s="53">
        <f t="shared" si="145"/>
        <v>43844</v>
      </c>
      <c r="H11" s="53">
        <f t="shared" si="145"/>
        <v>43845</v>
      </c>
      <c r="I11" s="53">
        <f t="shared" si="145"/>
        <v>43846</v>
      </c>
      <c r="J11" s="53">
        <f t="shared" si="145"/>
        <v>43847</v>
      </c>
      <c r="K11" s="53">
        <f t="shared" si="145"/>
        <v>43848</v>
      </c>
      <c r="L11" s="52">
        <f t="shared" si="145"/>
        <v>43850</v>
      </c>
      <c r="M11" s="52">
        <f t="shared" si="145"/>
        <v>43851</v>
      </c>
      <c r="N11" s="52">
        <f t="shared" si="145"/>
        <v>43852</v>
      </c>
      <c r="O11" s="52">
        <f t="shared" si="145"/>
        <v>43853</v>
      </c>
      <c r="P11" s="52">
        <f t="shared" si="145"/>
        <v>43854</v>
      </c>
      <c r="Q11" s="52">
        <f t="shared" si="145"/>
        <v>43855</v>
      </c>
      <c r="R11" s="53">
        <f t="shared" si="145"/>
        <v>43857</v>
      </c>
      <c r="S11" s="53">
        <f t="shared" si="145"/>
        <v>43858</v>
      </c>
      <c r="T11" s="53">
        <f t="shared" si="145"/>
        <v>43859</v>
      </c>
      <c r="U11" s="53">
        <f t="shared" si="145"/>
        <v>43860</v>
      </c>
      <c r="V11" s="53">
        <f t="shared" si="145"/>
        <v>43861</v>
      </c>
      <c r="W11" s="53">
        <f t="shared" si="145"/>
        <v>43862</v>
      </c>
      <c r="X11" s="52">
        <f t="shared" si="145"/>
        <v>43864</v>
      </c>
      <c r="Y11" s="52">
        <f t="shared" si="145"/>
        <v>43865</v>
      </c>
      <c r="Z11" s="52">
        <f t="shared" si="145"/>
        <v>43866</v>
      </c>
      <c r="AA11" s="52">
        <f t="shared" si="145"/>
        <v>43867</v>
      </c>
      <c r="AB11" s="52">
        <f t="shared" si="145"/>
        <v>43868</v>
      </c>
      <c r="AC11" s="52">
        <f t="shared" si="145"/>
        <v>43869</v>
      </c>
      <c r="AD11" s="53">
        <f t="shared" si="145"/>
        <v>43871</v>
      </c>
      <c r="AE11" s="53">
        <f t="shared" si="145"/>
        <v>43872</v>
      </c>
      <c r="AF11" s="53">
        <f t="shared" si="145"/>
        <v>43873</v>
      </c>
      <c r="AG11" s="53">
        <f t="shared" si="145"/>
        <v>43874</v>
      </c>
      <c r="AH11" s="53">
        <f t="shared" si="145"/>
        <v>43875</v>
      </c>
      <c r="AI11" s="53">
        <f t="shared" si="145"/>
        <v>43876</v>
      </c>
      <c r="AJ11" s="52">
        <f t="shared" si="145"/>
        <v>43878</v>
      </c>
      <c r="AK11" s="52">
        <f t="shared" si="145"/>
        <v>43879</v>
      </c>
      <c r="AL11" s="52">
        <f t="shared" si="145"/>
        <v>43880</v>
      </c>
      <c r="AM11" s="52">
        <f t="shared" si="145"/>
        <v>43881</v>
      </c>
      <c r="AN11" s="52">
        <f t="shared" si="145"/>
        <v>43882</v>
      </c>
      <c r="AO11" s="52">
        <f t="shared" si="145"/>
        <v>43883</v>
      </c>
      <c r="AP11" s="53">
        <f t="shared" si="145"/>
        <v>43885</v>
      </c>
      <c r="AQ11" s="53">
        <f t="shared" si="145"/>
        <v>43886</v>
      </c>
      <c r="AR11" s="53">
        <f t="shared" si="145"/>
        <v>43887</v>
      </c>
      <c r="AS11" s="53">
        <f t="shared" si="145"/>
        <v>43888</v>
      </c>
      <c r="AT11" s="53">
        <f t="shared" si="145"/>
        <v>43889</v>
      </c>
      <c r="AU11" s="53">
        <f t="shared" si="145"/>
        <v>43890</v>
      </c>
      <c r="AV11" s="52">
        <f t="shared" si="145"/>
        <v>43892</v>
      </c>
      <c r="AW11" s="52">
        <f t="shared" si="145"/>
        <v>43893</v>
      </c>
      <c r="AX11" s="52">
        <f t="shared" si="145"/>
        <v>43894</v>
      </c>
      <c r="AY11" s="52">
        <f t="shared" si="145"/>
        <v>43895</v>
      </c>
      <c r="AZ11" s="52">
        <f t="shared" si="145"/>
        <v>43896</v>
      </c>
      <c r="BA11" s="52">
        <f t="shared" si="145"/>
        <v>43897</v>
      </c>
      <c r="BB11" s="53">
        <f t="shared" si="145"/>
        <v>43899</v>
      </c>
      <c r="BC11" s="53">
        <f t="shared" si="145"/>
        <v>43900</v>
      </c>
      <c r="BD11" s="53">
        <f t="shared" si="145"/>
        <v>43901</v>
      </c>
      <c r="BE11" s="53">
        <f t="shared" si="145"/>
        <v>43902</v>
      </c>
      <c r="BF11" s="53">
        <f t="shared" si="145"/>
        <v>43903</v>
      </c>
      <c r="BG11" s="53">
        <f t="shared" si="145"/>
        <v>43904</v>
      </c>
      <c r="BH11" s="52">
        <f t="shared" si="145"/>
        <v>43906</v>
      </c>
      <c r="BI11" s="52">
        <f t="shared" si="145"/>
        <v>43907</v>
      </c>
      <c r="BJ11" s="52">
        <f t="shared" si="145"/>
        <v>43908</v>
      </c>
      <c r="BK11" s="52">
        <f t="shared" si="145"/>
        <v>43909</v>
      </c>
      <c r="BL11" s="52">
        <f t="shared" si="145"/>
        <v>43910</v>
      </c>
      <c r="BM11" s="52">
        <f t="shared" si="145"/>
        <v>43911</v>
      </c>
      <c r="BN11" s="53">
        <f t="shared" si="145"/>
        <v>43913</v>
      </c>
      <c r="BO11" s="53">
        <f t="shared" si="145"/>
        <v>43914</v>
      </c>
      <c r="BP11" s="53">
        <f t="shared" si="145"/>
        <v>43915</v>
      </c>
      <c r="BQ11" s="53">
        <f t="shared" si="145"/>
        <v>43916</v>
      </c>
      <c r="BR11" s="53">
        <f t="shared" ref="BR11:EC11" si="146">BR10</f>
        <v>43917</v>
      </c>
      <c r="BS11" s="53">
        <f t="shared" si="146"/>
        <v>43918</v>
      </c>
      <c r="BT11" s="52">
        <f t="shared" si="146"/>
        <v>43920</v>
      </c>
      <c r="BU11" s="52">
        <f t="shared" si="146"/>
        <v>43921</v>
      </c>
      <c r="BV11" s="52">
        <f t="shared" si="146"/>
        <v>43922</v>
      </c>
      <c r="BW11" s="52">
        <f t="shared" si="146"/>
        <v>43923</v>
      </c>
      <c r="BX11" s="52">
        <f t="shared" si="146"/>
        <v>43924</v>
      </c>
      <c r="BY11" s="52">
        <f t="shared" si="146"/>
        <v>43925</v>
      </c>
      <c r="BZ11" s="53">
        <f t="shared" si="146"/>
        <v>43927</v>
      </c>
      <c r="CA11" s="53">
        <f t="shared" si="146"/>
        <v>43928</v>
      </c>
      <c r="CB11" s="53">
        <f t="shared" si="146"/>
        <v>43929</v>
      </c>
      <c r="CC11" s="53">
        <f t="shared" si="146"/>
        <v>43930</v>
      </c>
      <c r="CD11" s="53">
        <f t="shared" si="146"/>
        <v>43931</v>
      </c>
      <c r="CE11" s="53">
        <f t="shared" si="146"/>
        <v>43932</v>
      </c>
      <c r="CF11" s="52">
        <f t="shared" si="146"/>
        <v>43934</v>
      </c>
      <c r="CG11" s="52">
        <f t="shared" si="146"/>
        <v>43935</v>
      </c>
      <c r="CH11" s="52">
        <f t="shared" si="146"/>
        <v>43936</v>
      </c>
      <c r="CI11" s="52">
        <f t="shared" si="146"/>
        <v>43937</v>
      </c>
      <c r="CJ11" s="52">
        <f t="shared" si="146"/>
        <v>43938</v>
      </c>
      <c r="CK11" s="52">
        <f t="shared" si="146"/>
        <v>43939</v>
      </c>
      <c r="CL11" s="53">
        <f t="shared" si="146"/>
        <v>43941</v>
      </c>
      <c r="CM11" s="53">
        <f t="shared" si="146"/>
        <v>43942</v>
      </c>
      <c r="CN11" s="53">
        <f t="shared" si="146"/>
        <v>43943</v>
      </c>
      <c r="CO11" s="53">
        <f t="shared" si="146"/>
        <v>43944</v>
      </c>
      <c r="CP11" s="53">
        <f t="shared" si="146"/>
        <v>43945</v>
      </c>
      <c r="CQ11" s="53">
        <f t="shared" si="146"/>
        <v>43946</v>
      </c>
      <c r="CR11" s="52">
        <f t="shared" si="146"/>
        <v>43948</v>
      </c>
      <c r="CS11" s="52">
        <f t="shared" si="146"/>
        <v>43949</v>
      </c>
      <c r="CT11" s="52">
        <f t="shared" si="146"/>
        <v>43950</v>
      </c>
      <c r="CU11" s="52">
        <f t="shared" si="146"/>
        <v>43951</v>
      </c>
      <c r="CV11" s="52">
        <f t="shared" si="146"/>
        <v>43952</v>
      </c>
      <c r="CW11" s="52">
        <f t="shared" si="146"/>
        <v>43953</v>
      </c>
      <c r="CX11" s="53">
        <f t="shared" si="146"/>
        <v>43955</v>
      </c>
      <c r="CY11" s="53">
        <f t="shared" si="146"/>
        <v>43956</v>
      </c>
      <c r="CZ11" s="53">
        <f t="shared" si="146"/>
        <v>43957</v>
      </c>
      <c r="DA11" s="53">
        <f t="shared" si="146"/>
        <v>43958</v>
      </c>
      <c r="DB11" s="53">
        <f t="shared" si="146"/>
        <v>43959</v>
      </c>
      <c r="DC11" s="53">
        <f t="shared" si="146"/>
        <v>43960</v>
      </c>
      <c r="DD11" s="52">
        <f t="shared" si="146"/>
        <v>43962</v>
      </c>
      <c r="DE11" s="52">
        <f t="shared" si="146"/>
        <v>43963</v>
      </c>
      <c r="DF11" s="52">
        <f t="shared" si="146"/>
        <v>43964</v>
      </c>
      <c r="DG11" s="52">
        <f t="shared" si="146"/>
        <v>43965</v>
      </c>
      <c r="DH11" s="52">
        <f t="shared" si="146"/>
        <v>43966</v>
      </c>
      <c r="DI11" s="52">
        <f t="shared" si="146"/>
        <v>43967</v>
      </c>
      <c r="DJ11" s="53">
        <f t="shared" si="146"/>
        <v>43969</v>
      </c>
      <c r="DK11" s="53">
        <f t="shared" si="146"/>
        <v>43970</v>
      </c>
      <c r="DL11" s="53">
        <f t="shared" si="146"/>
        <v>43971</v>
      </c>
      <c r="DM11" s="53">
        <f t="shared" si="146"/>
        <v>43972</v>
      </c>
      <c r="DN11" s="53">
        <f t="shared" si="146"/>
        <v>43973</v>
      </c>
      <c r="DO11" s="53">
        <f t="shared" si="146"/>
        <v>43974</v>
      </c>
      <c r="DP11" s="52">
        <f t="shared" si="146"/>
        <v>43976</v>
      </c>
      <c r="DQ11" s="52">
        <f t="shared" si="146"/>
        <v>43977</v>
      </c>
      <c r="DR11" s="52">
        <f t="shared" si="146"/>
        <v>43978</v>
      </c>
      <c r="DS11" s="52">
        <f t="shared" si="146"/>
        <v>43979</v>
      </c>
      <c r="DT11" s="52">
        <f t="shared" si="146"/>
        <v>43980</v>
      </c>
      <c r="DU11" s="52">
        <f t="shared" si="146"/>
        <v>43981</v>
      </c>
      <c r="DV11" s="53">
        <f t="shared" si="146"/>
        <v>43983</v>
      </c>
      <c r="DW11" s="53">
        <f t="shared" si="146"/>
        <v>43984</v>
      </c>
      <c r="DX11" s="53">
        <f t="shared" si="146"/>
        <v>43985</v>
      </c>
      <c r="DY11" s="53">
        <f t="shared" si="146"/>
        <v>43986</v>
      </c>
      <c r="DZ11" s="53">
        <f t="shared" si="146"/>
        <v>43987</v>
      </c>
      <c r="EA11" s="53">
        <f t="shared" si="146"/>
        <v>43988</v>
      </c>
      <c r="EB11" s="52">
        <f t="shared" si="146"/>
        <v>43990</v>
      </c>
      <c r="EC11" s="52">
        <f t="shared" si="146"/>
        <v>43991</v>
      </c>
      <c r="ED11" s="52">
        <f t="shared" ref="ED11:GO11" si="147">ED10</f>
        <v>43992</v>
      </c>
      <c r="EE11" s="52">
        <f t="shared" si="147"/>
        <v>43993</v>
      </c>
      <c r="EF11" s="52">
        <f t="shared" si="147"/>
        <v>43994</v>
      </c>
      <c r="EG11" s="52">
        <f t="shared" si="147"/>
        <v>43995</v>
      </c>
      <c r="EH11" s="53">
        <f t="shared" si="147"/>
        <v>43997</v>
      </c>
      <c r="EI11" s="53">
        <f t="shared" si="147"/>
        <v>43998</v>
      </c>
      <c r="EJ11" s="53">
        <f t="shared" si="147"/>
        <v>43999</v>
      </c>
      <c r="EK11" s="53">
        <f t="shared" si="147"/>
        <v>44000</v>
      </c>
      <c r="EL11" s="53">
        <f t="shared" si="147"/>
        <v>44001</v>
      </c>
      <c r="EM11" s="53">
        <f t="shared" si="147"/>
        <v>44002</v>
      </c>
      <c r="EN11" s="52">
        <f t="shared" si="147"/>
        <v>44004</v>
      </c>
      <c r="EO11" s="52">
        <f t="shared" si="147"/>
        <v>44005</v>
      </c>
      <c r="EP11" s="52">
        <f t="shared" si="147"/>
        <v>44006</v>
      </c>
      <c r="EQ11" s="52">
        <f t="shared" si="147"/>
        <v>44007</v>
      </c>
      <c r="ER11" s="52">
        <f t="shared" si="147"/>
        <v>44008</v>
      </c>
      <c r="ES11" s="52">
        <f t="shared" si="147"/>
        <v>44009</v>
      </c>
      <c r="ET11" s="53">
        <f t="shared" si="147"/>
        <v>44011</v>
      </c>
      <c r="EU11" s="53">
        <f t="shared" si="147"/>
        <v>44012</v>
      </c>
      <c r="EV11" s="53">
        <f t="shared" si="147"/>
        <v>44013</v>
      </c>
      <c r="EW11" s="53">
        <f t="shared" si="147"/>
        <v>44014</v>
      </c>
      <c r="EX11" s="53">
        <f t="shared" si="147"/>
        <v>44015</v>
      </c>
      <c r="EY11" s="53">
        <f t="shared" si="147"/>
        <v>44016</v>
      </c>
      <c r="EZ11" s="52">
        <f t="shared" si="147"/>
        <v>44018</v>
      </c>
      <c r="FA11" s="52">
        <f t="shared" si="147"/>
        <v>44019</v>
      </c>
      <c r="FB11" s="52">
        <f t="shared" si="147"/>
        <v>44020</v>
      </c>
      <c r="FC11" s="52">
        <f t="shared" si="147"/>
        <v>44021</v>
      </c>
      <c r="FD11" s="52">
        <f t="shared" si="147"/>
        <v>44022</v>
      </c>
      <c r="FE11" s="52">
        <f t="shared" si="147"/>
        <v>44023</v>
      </c>
      <c r="FF11" s="53">
        <f t="shared" si="147"/>
        <v>44025</v>
      </c>
      <c r="FG11" s="53">
        <f t="shared" si="147"/>
        <v>44026</v>
      </c>
      <c r="FH11" s="53">
        <f t="shared" si="147"/>
        <v>44027</v>
      </c>
      <c r="FI11" s="53">
        <f t="shared" si="147"/>
        <v>44028</v>
      </c>
      <c r="FJ11" s="53">
        <f t="shared" si="147"/>
        <v>44029</v>
      </c>
      <c r="FK11" s="53">
        <f t="shared" si="147"/>
        <v>44030</v>
      </c>
      <c r="FL11" s="52">
        <f t="shared" si="147"/>
        <v>44032</v>
      </c>
      <c r="FM11" s="52">
        <f t="shared" si="147"/>
        <v>44033</v>
      </c>
      <c r="FN11" s="52">
        <f t="shared" si="147"/>
        <v>44034</v>
      </c>
      <c r="FO11" s="52">
        <f t="shared" si="147"/>
        <v>44035</v>
      </c>
      <c r="FP11" s="52">
        <f t="shared" si="147"/>
        <v>44036</v>
      </c>
      <c r="FQ11" s="52">
        <f t="shared" si="147"/>
        <v>44037</v>
      </c>
      <c r="FR11" s="53">
        <f t="shared" si="147"/>
        <v>44039</v>
      </c>
      <c r="FS11" s="53">
        <f t="shared" si="147"/>
        <v>44040</v>
      </c>
      <c r="FT11" s="53">
        <f t="shared" si="147"/>
        <v>44041</v>
      </c>
      <c r="FU11" s="53">
        <f t="shared" si="147"/>
        <v>44042</v>
      </c>
      <c r="FV11" s="53">
        <f t="shared" si="147"/>
        <v>44043</v>
      </c>
      <c r="FW11" s="53">
        <f t="shared" si="147"/>
        <v>44044</v>
      </c>
      <c r="FX11" s="86">
        <f t="shared" si="147"/>
        <v>44046</v>
      </c>
      <c r="FY11" s="86">
        <f t="shared" si="147"/>
        <v>44047</v>
      </c>
      <c r="FZ11" s="86">
        <f t="shared" si="147"/>
        <v>44048</v>
      </c>
      <c r="GA11" s="86">
        <f t="shared" si="147"/>
        <v>44049</v>
      </c>
      <c r="GB11" s="86">
        <f t="shared" si="147"/>
        <v>44050</v>
      </c>
      <c r="GC11" s="86">
        <f t="shared" si="147"/>
        <v>44051</v>
      </c>
      <c r="GD11" s="86">
        <f t="shared" si="147"/>
        <v>44053</v>
      </c>
      <c r="GE11" s="86">
        <f t="shared" si="147"/>
        <v>44054</v>
      </c>
      <c r="GF11" s="86">
        <f t="shared" si="147"/>
        <v>44055</v>
      </c>
      <c r="GG11" s="86">
        <f t="shared" si="147"/>
        <v>44056</v>
      </c>
      <c r="GH11" s="86">
        <f t="shared" si="147"/>
        <v>44057</v>
      </c>
      <c r="GI11" s="86">
        <f t="shared" si="147"/>
        <v>44058</v>
      </c>
      <c r="GJ11" s="86">
        <f t="shared" si="147"/>
        <v>44060</v>
      </c>
      <c r="GK11" s="86">
        <f t="shared" si="147"/>
        <v>44061</v>
      </c>
      <c r="GL11" s="86">
        <f t="shared" si="147"/>
        <v>44062</v>
      </c>
      <c r="GM11" s="86">
        <f t="shared" si="147"/>
        <v>44063</v>
      </c>
      <c r="GN11" s="86">
        <f t="shared" si="147"/>
        <v>44064</v>
      </c>
      <c r="GO11" s="86">
        <f t="shared" si="147"/>
        <v>44065</v>
      </c>
      <c r="GP11" s="86">
        <f t="shared" ref="GP11:IW11" si="148">GP10</f>
        <v>44067</v>
      </c>
      <c r="GQ11" s="86">
        <f t="shared" si="148"/>
        <v>44068</v>
      </c>
      <c r="GR11" s="86">
        <f t="shared" si="148"/>
        <v>44069</v>
      </c>
      <c r="GS11" s="86">
        <f t="shared" si="148"/>
        <v>44070</v>
      </c>
      <c r="GT11" s="86">
        <f t="shared" si="148"/>
        <v>44071</v>
      </c>
      <c r="GU11" s="86">
        <f t="shared" si="148"/>
        <v>44072</v>
      </c>
      <c r="GV11" s="86">
        <f t="shared" si="148"/>
        <v>44074</v>
      </c>
      <c r="GW11" s="86">
        <f t="shared" si="148"/>
        <v>44075</v>
      </c>
      <c r="GX11" s="86">
        <f t="shared" si="148"/>
        <v>44076</v>
      </c>
      <c r="GY11" s="86">
        <f t="shared" si="148"/>
        <v>44077</v>
      </c>
      <c r="GZ11" s="86">
        <f t="shared" si="148"/>
        <v>44078</v>
      </c>
      <c r="HA11" s="86">
        <f t="shared" si="148"/>
        <v>44079</v>
      </c>
      <c r="HB11" s="86">
        <f t="shared" si="148"/>
        <v>44081</v>
      </c>
      <c r="HC11" s="86">
        <f t="shared" si="148"/>
        <v>44082</v>
      </c>
      <c r="HD11" s="86">
        <f t="shared" si="148"/>
        <v>44083</v>
      </c>
      <c r="HE11" s="86">
        <f t="shared" si="148"/>
        <v>44084</v>
      </c>
      <c r="HF11" s="86">
        <f t="shared" si="148"/>
        <v>44085</v>
      </c>
      <c r="HG11" s="86">
        <f t="shared" si="148"/>
        <v>44086</v>
      </c>
      <c r="HH11" s="86">
        <f t="shared" si="148"/>
        <v>44088</v>
      </c>
      <c r="HI11" s="86">
        <f t="shared" si="148"/>
        <v>44089</v>
      </c>
      <c r="HJ11" s="86">
        <f t="shared" si="148"/>
        <v>44090</v>
      </c>
      <c r="HK11" s="86">
        <f t="shared" si="148"/>
        <v>44091</v>
      </c>
      <c r="HL11" s="86">
        <f t="shared" si="148"/>
        <v>44092</v>
      </c>
      <c r="HM11" s="86">
        <f t="shared" si="148"/>
        <v>44093</v>
      </c>
      <c r="HN11" s="86">
        <f t="shared" si="148"/>
        <v>44095</v>
      </c>
      <c r="HO11" s="86">
        <f t="shared" si="148"/>
        <v>44096</v>
      </c>
      <c r="HP11" s="86">
        <f t="shared" si="148"/>
        <v>44097</v>
      </c>
      <c r="HQ11" s="86">
        <f t="shared" si="148"/>
        <v>44098</v>
      </c>
      <c r="HR11" s="86">
        <f t="shared" si="148"/>
        <v>44099</v>
      </c>
      <c r="HS11" s="86">
        <f t="shared" si="148"/>
        <v>44100</v>
      </c>
      <c r="HT11" s="86">
        <f t="shared" si="148"/>
        <v>44102</v>
      </c>
      <c r="HU11" s="86">
        <f t="shared" si="148"/>
        <v>44103</v>
      </c>
      <c r="HV11" s="86">
        <f t="shared" si="148"/>
        <v>44104</v>
      </c>
      <c r="HW11" s="86">
        <f t="shared" si="148"/>
        <v>44105</v>
      </c>
      <c r="HX11" s="86">
        <f t="shared" si="148"/>
        <v>44106</v>
      </c>
      <c r="HY11" s="86">
        <f t="shared" si="148"/>
        <v>44107</v>
      </c>
      <c r="HZ11" s="86">
        <f t="shared" si="148"/>
        <v>44109</v>
      </c>
      <c r="IA11" s="86">
        <f t="shared" si="148"/>
        <v>44110</v>
      </c>
      <c r="IB11" s="86">
        <f t="shared" si="148"/>
        <v>44111</v>
      </c>
      <c r="IC11" s="86">
        <f t="shared" si="148"/>
        <v>44112</v>
      </c>
      <c r="ID11" s="86">
        <f t="shared" si="148"/>
        <v>44113</v>
      </c>
      <c r="IE11" s="86">
        <f t="shared" si="148"/>
        <v>44114</v>
      </c>
      <c r="IF11" s="86">
        <f t="shared" si="148"/>
        <v>44116</v>
      </c>
      <c r="IG11" s="86">
        <f t="shared" si="148"/>
        <v>44117</v>
      </c>
      <c r="IH11" s="86">
        <f t="shared" si="148"/>
        <v>44118</v>
      </c>
      <c r="II11" s="86">
        <f t="shared" si="148"/>
        <v>44119</v>
      </c>
      <c r="IJ11" s="86">
        <f t="shared" si="148"/>
        <v>44120</v>
      </c>
      <c r="IK11" s="86">
        <f t="shared" si="148"/>
        <v>44121</v>
      </c>
      <c r="IL11" s="86">
        <f t="shared" si="148"/>
        <v>44123</v>
      </c>
      <c r="IM11" s="86">
        <f t="shared" si="148"/>
        <v>44124</v>
      </c>
      <c r="IN11" s="86">
        <f t="shared" si="148"/>
        <v>44125</v>
      </c>
      <c r="IO11" s="86">
        <f t="shared" si="148"/>
        <v>44126</v>
      </c>
      <c r="IP11" s="86">
        <f t="shared" si="148"/>
        <v>44127</v>
      </c>
      <c r="IQ11" s="86">
        <f t="shared" si="148"/>
        <v>44128</v>
      </c>
      <c r="IR11" s="86">
        <f t="shared" si="148"/>
        <v>44130</v>
      </c>
      <c r="IS11" s="86">
        <f t="shared" si="148"/>
        <v>44131</v>
      </c>
      <c r="IT11" s="86">
        <f t="shared" si="148"/>
        <v>44132</v>
      </c>
      <c r="IU11" s="86">
        <f t="shared" si="148"/>
        <v>44133</v>
      </c>
      <c r="IV11" s="86">
        <f t="shared" si="148"/>
        <v>44134</v>
      </c>
      <c r="IW11" s="86">
        <f t="shared" si="148"/>
        <v>44135</v>
      </c>
    </row>
    <row r="12" spans="1:257" s="14" customFormat="1" ht="14.4" thickBot="1">
      <c r="B12" s="9" t="s">
        <v>1</v>
      </c>
      <c r="C12" s="10" t="s">
        <v>7</v>
      </c>
      <c r="D12" s="11" t="s">
        <v>8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51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60"/>
      <c r="CD12" s="60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60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87"/>
      <c r="FY12" s="87"/>
      <c r="FZ12" s="87"/>
      <c r="GA12" s="87"/>
      <c r="GB12" s="87"/>
      <c r="GC12" s="87"/>
      <c r="GD12" s="87"/>
      <c r="GE12" s="87"/>
      <c r="GF12" s="87"/>
      <c r="GG12" s="87"/>
      <c r="GH12" s="87"/>
      <c r="GI12" s="87"/>
      <c r="GJ12" s="87"/>
      <c r="GK12" s="87"/>
      <c r="GL12" s="87"/>
      <c r="GM12" s="87"/>
      <c r="GN12" s="87"/>
      <c r="GO12" s="87"/>
      <c r="GP12" s="87"/>
      <c r="GQ12" s="87"/>
      <c r="GR12" s="87"/>
      <c r="GS12" s="87"/>
      <c r="GT12" s="87"/>
      <c r="GU12" s="87"/>
      <c r="GV12" s="87"/>
      <c r="GW12" s="87"/>
      <c r="GX12" s="87"/>
      <c r="GY12" s="87"/>
      <c r="GZ12" s="87"/>
      <c r="HA12" s="87"/>
      <c r="HB12" s="87"/>
      <c r="HC12" s="87"/>
      <c r="HD12" s="87"/>
      <c r="HE12" s="87"/>
      <c r="HF12" s="87"/>
      <c r="HG12" s="87"/>
      <c r="HH12" s="87"/>
      <c r="HI12" s="87"/>
      <c r="HJ12" s="87"/>
      <c r="HK12" s="87"/>
      <c r="HL12" s="87"/>
      <c r="HM12" s="87"/>
      <c r="HN12" s="87"/>
      <c r="HO12" s="87"/>
      <c r="HP12" s="87"/>
      <c r="HQ12" s="87"/>
      <c r="HR12" s="87"/>
      <c r="HS12" s="87"/>
      <c r="HT12" s="87"/>
      <c r="HU12" s="87"/>
      <c r="HV12" s="87"/>
      <c r="HW12" s="87"/>
      <c r="HX12" s="87"/>
      <c r="HY12" s="87"/>
      <c r="HZ12" s="87"/>
      <c r="IA12" s="87"/>
      <c r="IB12" s="87"/>
      <c r="IC12" s="87"/>
      <c r="ID12" s="87"/>
      <c r="IE12" s="87"/>
      <c r="IF12" s="87"/>
      <c r="IG12" s="87"/>
      <c r="IH12" s="87"/>
      <c r="II12" s="87"/>
      <c r="IJ12" s="87"/>
      <c r="IK12" s="87"/>
      <c r="IL12" s="87"/>
      <c r="IM12" s="87"/>
      <c r="IN12" s="87"/>
      <c r="IO12" s="87"/>
      <c r="IP12" s="87"/>
      <c r="IQ12" s="87"/>
      <c r="IR12" s="87"/>
      <c r="IS12" s="87"/>
      <c r="IT12" s="87"/>
      <c r="IU12" s="87"/>
      <c r="IV12" s="87"/>
      <c r="IW12" s="87"/>
    </row>
    <row r="13" spans="1:257" s="14" customFormat="1" ht="15" thickBot="1">
      <c r="B13" s="30">
        <v>1</v>
      </c>
      <c r="C13" s="33" t="s">
        <v>11</v>
      </c>
      <c r="D13" s="31"/>
      <c r="E13" s="32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9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87"/>
      <c r="BF13" s="87"/>
      <c r="BG13" s="87"/>
      <c r="BH13" s="87"/>
      <c r="BI13" s="87"/>
      <c r="BJ13" s="87"/>
      <c r="BK13" s="87"/>
      <c r="BL13" s="87"/>
      <c r="BM13" s="87"/>
      <c r="BN13" s="87"/>
      <c r="BO13" s="87"/>
      <c r="BP13" s="87"/>
      <c r="BQ13" s="87"/>
      <c r="BR13" s="87"/>
      <c r="BS13" s="87"/>
      <c r="BT13" s="87"/>
      <c r="BU13" s="87"/>
      <c r="BV13" s="87"/>
      <c r="BW13" s="87"/>
      <c r="BX13" s="87"/>
      <c r="BY13" s="87"/>
      <c r="BZ13" s="87"/>
      <c r="CA13" s="87"/>
      <c r="CB13" s="87"/>
      <c r="CC13" s="79"/>
      <c r="CD13" s="79"/>
      <c r="CE13" s="87"/>
      <c r="CF13" s="87"/>
      <c r="CG13" s="87"/>
      <c r="CH13" s="87"/>
      <c r="CI13" s="87"/>
      <c r="CJ13" s="87"/>
      <c r="CK13" s="87"/>
      <c r="CL13" s="87"/>
      <c r="CM13" s="87"/>
      <c r="CN13" s="87"/>
      <c r="CO13" s="87"/>
      <c r="CP13" s="87"/>
      <c r="CQ13" s="87"/>
      <c r="CR13" s="87"/>
      <c r="CS13" s="87"/>
      <c r="CT13" s="87"/>
      <c r="CU13" s="87"/>
      <c r="CV13" s="87"/>
      <c r="CW13" s="87"/>
      <c r="CX13" s="87"/>
      <c r="CY13" s="87"/>
      <c r="CZ13" s="87"/>
      <c r="DA13" s="87"/>
      <c r="DB13" s="87"/>
      <c r="DC13" s="87"/>
      <c r="DD13" s="87"/>
      <c r="DE13" s="87"/>
      <c r="DF13" s="87"/>
      <c r="DG13" s="87"/>
      <c r="DH13" s="87"/>
      <c r="DI13" s="87"/>
      <c r="DJ13" s="87"/>
      <c r="DK13" s="87"/>
      <c r="DL13" s="87"/>
      <c r="DM13" s="87"/>
      <c r="DN13" s="87"/>
      <c r="DO13" s="87"/>
      <c r="DP13" s="87"/>
      <c r="DQ13" s="87"/>
      <c r="DR13" s="87"/>
      <c r="DS13" s="87"/>
      <c r="DT13" s="87"/>
      <c r="DU13" s="87"/>
      <c r="DV13" s="87"/>
      <c r="DW13" s="87"/>
      <c r="DX13" s="87"/>
      <c r="DY13" s="87"/>
      <c r="DZ13" s="87"/>
      <c r="EA13" s="87"/>
      <c r="EB13" s="87"/>
      <c r="EC13" s="87"/>
      <c r="ED13" s="87"/>
      <c r="EE13" s="87"/>
      <c r="EF13" s="87"/>
      <c r="EG13" s="87"/>
      <c r="EH13" s="87"/>
      <c r="EI13" s="87"/>
      <c r="EJ13" s="87"/>
      <c r="EK13" s="87"/>
      <c r="EL13" s="87"/>
      <c r="EM13" s="87"/>
      <c r="EN13" s="87"/>
      <c r="EO13" s="87"/>
      <c r="EP13" s="87"/>
      <c r="EQ13" s="87"/>
      <c r="ER13" s="87"/>
      <c r="ES13" s="87"/>
      <c r="ET13" s="79"/>
      <c r="EU13" s="87"/>
      <c r="EV13" s="87"/>
      <c r="EW13" s="87"/>
      <c r="EX13" s="87"/>
      <c r="EY13" s="87"/>
      <c r="EZ13" s="87"/>
      <c r="FA13" s="87"/>
      <c r="FB13" s="87"/>
      <c r="FC13" s="87"/>
      <c r="FD13" s="87"/>
      <c r="FE13" s="87"/>
      <c r="FF13" s="87"/>
      <c r="FG13" s="87"/>
      <c r="FH13" s="87"/>
      <c r="FI13" s="87"/>
      <c r="FJ13" s="87"/>
      <c r="FK13" s="87"/>
      <c r="FL13" s="87"/>
      <c r="FM13" s="87"/>
      <c r="FN13" s="87"/>
      <c r="FO13" s="87"/>
      <c r="FP13" s="87"/>
      <c r="FQ13" s="87"/>
      <c r="FR13" s="87"/>
      <c r="FS13" s="87"/>
      <c r="FT13" s="87"/>
      <c r="FU13" s="87"/>
      <c r="FV13" s="87"/>
      <c r="FW13" s="87"/>
      <c r="FX13" s="87"/>
      <c r="FY13" s="87"/>
      <c r="FZ13" s="87"/>
      <c r="GA13" s="87"/>
      <c r="GB13" s="87"/>
      <c r="GC13" s="87"/>
      <c r="GD13" s="87"/>
      <c r="GE13" s="87"/>
      <c r="GF13" s="87"/>
      <c r="GG13" s="87"/>
      <c r="GH13" s="87"/>
      <c r="GI13" s="87"/>
      <c r="GJ13" s="87"/>
      <c r="GK13" s="87"/>
      <c r="GL13" s="87"/>
      <c r="GM13" s="87"/>
      <c r="GN13" s="87"/>
      <c r="GO13" s="87"/>
      <c r="GP13" s="87"/>
      <c r="GQ13" s="87"/>
      <c r="GR13" s="87"/>
      <c r="GS13" s="87"/>
      <c r="GT13" s="87"/>
      <c r="GU13" s="87"/>
      <c r="GV13" s="87"/>
      <c r="GW13" s="87"/>
      <c r="GX13" s="87"/>
      <c r="GY13" s="87"/>
      <c r="GZ13" s="87"/>
      <c r="HA13" s="87"/>
      <c r="HB13" s="87"/>
      <c r="HC13" s="87"/>
      <c r="HD13" s="87"/>
      <c r="HE13" s="87"/>
      <c r="HF13" s="87"/>
      <c r="HG13" s="87"/>
      <c r="HH13" s="87"/>
      <c r="HI13" s="87"/>
      <c r="HJ13" s="87"/>
      <c r="HK13" s="87"/>
      <c r="HL13" s="87"/>
      <c r="HM13" s="87"/>
      <c r="HN13" s="87"/>
      <c r="HO13" s="87"/>
      <c r="HP13" s="87"/>
      <c r="HQ13" s="87"/>
      <c r="HR13" s="87"/>
      <c r="HS13" s="87"/>
      <c r="HT13" s="87"/>
      <c r="HU13" s="87"/>
      <c r="HV13" s="87"/>
      <c r="HW13" s="87"/>
      <c r="HX13" s="87"/>
      <c r="HY13" s="87"/>
      <c r="HZ13" s="87"/>
      <c r="IA13" s="87"/>
      <c r="IB13" s="87"/>
      <c r="IC13" s="87"/>
      <c r="ID13" s="87"/>
      <c r="IE13" s="87"/>
      <c r="IF13" s="87"/>
      <c r="IG13" s="87"/>
      <c r="IH13" s="87"/>
      <c r="II13" s="87"/>
      <c r="IJ13" s="87"/>
      <c r="IK13" s="87"/>
      <c r="IL13" s="87"/>
      <c r="IM13" s="87"/>
      <c r="IN13" s="87"/>
      <c r="IO13" s="87"/>
      <c r="IP13" s="87"/>
      <c r="IQ13" s="87"/>
      <c r="IR13" s="87"/>
      <c r="IS13" s="87"/>
      <c r="IT13" s="87"/>
      <c r="IU13" s="87"/>
      <c r="IV13" s="87"/>
      <c r="IW13" s="87"/>
    </row>
    <row r="14" spans="1:257" s="14" customFormat="1" ht="15.6">
      <c r="B14" s="30">
        <v>1.01</v>
      </c>
      <c r="C14" s="38" t="s">
        <v>134</v>
      </c>
      <c r="D14" s="31"/>
      <c r="E14" s="32"/>
      <c r="F14" s="88"/>
      <c r="G14" s="88"/>
      <c r="H14" s="48"/>
      <c r="I14" s="48"/>
      <c r="J14" s="48"/>
      <c r="K14" s="48"/>
      <c r="L14" s="48"/>
      <c r="M14" s="48"/>
      <c r="N14" s="48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88"/>
      <c r="AH14" s="88"/>
      <c r="AI14" s="88"/>
      <c r="AJ14" s="88"/>
      <c r="AK14" s="88"/>
      <c r="AL14" s="88"/>
      <c r="AM14" s="88"/>
      <c r="AN14" s="88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87"/>
      <c r="BK14" s="87"/>
      <c r="BL14" s="87"/>
      <c r="BM14" s="87"/>
      <c r="BN14" s="87"/>
      <c r="BO14" s="87"/>
      <c r="BP14" s="87"/>
      <c r="BQ14" s="87"/>
      <c r="BR14" s="87"/>
      <c r="BS14" s="87"/>
      <c r="BT14" s="87"/>
      <c r="BU14" s="87"/>
      <c r="BV14" s="87"/>
      <c r="BW14" s="87"/>
      <c r="BX14" s="87"/>
      <c r="BY14" s="87"/>
      <c r="BZ14" s="87"/>
      <c r="CA14" s="87"/>
      <c r="CB14" s="87"/>
      <c r="CC14" s="79"/>
      <c r="CD14" s="79"/>
      <c r="CE14" s="87"/>
      <c r="CF14" s="87"/>
      <c r="CG14" s="87"/>
      <c r="CH14" s="87"/>
      <c r="CI14" s="87"/>
      <c r="CJ14" s="87"/>
      <c r="CK14" s="87"/>
      <c r="CL14" s="87"/>
      <c r="CM14" s="87"/>
      <c r="CN14" s="87"/>
      <c r="CO14" s="87"/>
      <c r="CP14" s="87"/>
      <c r="CQ14" s="87"/>
      <c r="CR14" s="87"/>
      <c r="CS14" s="87"/>
      <c r="CT14" s="87"/>
      <c r="CU14" s="87"/>
      <c r="CV14" s="87"/>
      <c r="CW14" s="87"/>
      <c r="CX14" s="87"/>
      <c r="CY14" s="87"/>
      <c r="CZ14" s="87"/>
      <c r="DA14" s="87"/>
      <c r="DB14" s="87"/>
      <c r="DC14" s="87"/>
      <c r="DD14" s="87"/>
      <c r="DE14" s="87"/>
      <c r="DF14" s="87"/>
      <c r="DG14" s="87"/>
      <c r="DH14" s="87"/>
      <c r="DI14" s="87"/>
      <c r="DJ14" s="87"/>
      <c r="DK14" s="87"/>
      <c r="DL14" s="87"/>
      <c r="DM14" s="87"/>
      <c r="DN14" s="87"/>
      <c r="DO14" s="87"/>
      <c r="DP14" s="87"/>
      <c r="DQ14" s="87"/>
      <c r="DR14" s="87"/>
      <c r="DS14" s="87"/>
      <c r="DT14" s="87"/>
      <c r="DU14" s="87"/>
      <c r="DV14" s="87"/>
      <c r="DW14" s="87"/>
      <c r="DX14" s="87"/>
      <c r="DY14" s="87"/>
      <c r="DZ14" s="87"/>
      <c r="EA14" s="87"/>
      <c r="EB14" s="87"/>
      <c r="EC14" s="87"/>
      <c r="ED14" s="87"/>
      <c r="EE14" s="87"/>
      <c r="EF14" s="87"/>
      <c r="EG14" s="87"/>
      <c r="EH14" s="87"/>
      <c r="EI14" s="87"/>
      <c r="EJ14" s="87"/>
      <c r="EK14" s="87"/>
      <c r="EL14" s="87"/>
      <c r="EM14" s="87"/>
      <c r="EN14" s="87"/>
      <c r="EO14" s="87"/>
      <c r="EP14" s="87"/>
      <c r="EQ14" s="87"/>
      <c r="ER14" s="87"/>
      <c r="ES14" s="87"/>
      <c r="ET14" s="79"/>
      <c r="EU14" s="87"/>
      <c r="EV14" s="87"/>
      <c r="EW14" s="87"/>
      <c r="EX14" s="87"/>
      <c r="EY14" s="87"/>
      <c r="EZ14" s="87"/>
      <c r="FA14" s="87"/>
      <c r="FB14" s="87"/>
      <c r="FC14" s="87"/>
      <c r="FD14" s="87"/>
      <c r="FE14" s="87"/>
      <c r="FF14" s="87"/>
      <c r="FG14" s="87"/>
      <c r="FH14" s="87"/>
      <c r="FI14" s="87"/>
      <c r="FJ14" s="87"/>
      <c r="FK14" s="87"/>
      <c r="FL14" s="87"/>
      <c r="FM14" s="87"/>
      <c r="FN14" s="87"/>
      <c r="FO14" s="87"/>
      <c r="FP14" s="87"/>
      <c r="FQ14" s="87"/>
      <c r="FR14" s="87"/>
      <c r="FS14" s="87"/>
      <c r="FT14" s="87"/>
      <c r="FU14" s="87"/>
      <c r="FV14" s="87"/>
      <c r="FW14" s="87"/>
      <c r="FX14" s="87"/>
      <c r="FY14" s="87"/>
      <c r="FZ14" s="87"/>
      <c r="GA14" s="87"/>
      <c r="GB14" s="87"/>
      <c r="GC14" s="87"/>
      <c r="GD14" s="87"/>
      <c r="GE14" s="87"/>
      <c r="GF14" s="87"/>
      <c r="GG14" s="87"/>
      <c r="GH14" s="87"/>
      <c r="GI14" s="87"/>
      <c r="GJ14" s="87"/>
      <c r="GK14" s="87"/>
      <c r="GL14" s="87"/>
      <c r="GM14" s="87"/>
      <c r="GN14" s="87"/>
      <c r="GO14" s="87"/>
      <c r="GP14" s="87"/>
      <c r="GQ14" s="87"/>
      <c r="GR14" s="87"/>
      <c r="GS14" s="87"/>
      <c r="GT14" s="87"/>
      <c r="GU14" s="87"/>
      <c r="GV14" s="87"/>
      <c r="GW14" s="87"/>
      <c r="GX14" s="87"/>
      <c r="GY14" s="87"/>
      <c r="GZ14" s="87"/>
      <c r="HA14" s="87"/>
      <c r="HB14" s="87"/>
      <c r="HC14" s="87"/>
      <c r="HD14" s="87"/>
      <c r="HE14" s="87"/>
      <c r="HF14" s="87"/>
      <c r="HG14" s="87"/>
      <c r="HH14" s="87"/>
      <c r="HI14" s="87"/>
      <c r="HJ14" s="87"/>
      <c r="HK14" s="87"/>
      <c r="HL14" s="87"/>
      <c r="HM14" s="87"/>
      <c r="HN14" s="87"/>
      <c r="HO14" s="87"/>
      <c r="HP14" s="87"/>
      <c r="HQ14" s="87"/>
      <c r="HR14" s="87"/>
      <c r="HS14" s="87"/>
      <c r="HT14" s="87"/>
      <c r="HU14" s="87"/>
      <c r="HV14" s="87"/>
      <c r="HW14" s="87"/>
      <c r="HX14" s="87"/>
      <c r="HY14" s="87"/>
      <c r="HZ14" s="87"/>
      <c r="IA14" s="87"/>
      <c r="IB14" s="87"/>
      <c r="IC14" s="87"/>
      <c r="ID14" s="87"/>
      <c r="IE14" s="87"/>
      <c r="IF14" s="87"/>
      <c r="IG14" s="87"/>
      <c r="IH14" s="87"/>
      <c r="II14" s="87"/>
      <c r="IJ14" s="87"/>
      <c r="IK14" s="87"/>
      <c r="IL14" s="87"/>
      <c r="IM14" s="87"/>
      <c r="IN14" s="87"/>
      <c r="IO14" s="87"/>
      <c r="IP14" s="87"/>
      <c r="IQ14" s="87"/>
      <c r="IR14" s="87"/>
      <c r="IS14" s="87"/>
      <c r="IT14" s="87"/>
      <c r="IU14" s="87"/>
      <c r="IV14" s="87"/>
      <c r="IW14" s="87"/>
    </row>
    <row r="15" spans="1:257" s="14" customFormat="1" ht="15.6">
      <c r="B15" s="30">
        <v>1.01</v>
      </c>
      <c r="C15" s="38" t="s">
        <v>135</v>
      </c>
      <c r="D15" s="31"/>
      <c r="E15" s="32"/>
      <c r="F15" s="88"/>
      <c r="G15" s="88"/>
      <c r="H15" s="88"/>
      <c r="I15" s="49"/>
      <c r="J15" s="49"/>
      <c r="K15" s="49"/>
      <c r="L15" s="49"/>
      <c r="M15" s="49"/>
      <c r="N15" s="49"/>
      <c r="O15" s="48"/>
      <c r="P15" s="48"/>
      <c r="Q15" s="48"/>
      <c r="R15" s="48"/>
      <c r="S15" s="48"/>
      <c r="T15" s="48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88"/>
      <c r="AH15" s="88"/>
      <c r="AI15" s="88"/>
      <c r="AJ15" s="88"/>
      <c r="AK15" s="88"/>
      <c r="AL15" s="88"/>
      <c r="AM15" s="88"/>
      <c r="AN15" s="88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87"/>
      <c r="BK15" s="87"/>
      <c r="BL15" s="87"/>
      <c r="BM15" s="87"/>
      <c r="BN15" s="87"/>
      <c r="BO15" s="87"/>
      <c r="BP15" s="87"/>
      <c r="BQ15" s="87"/>
      <c r="BR15" s="87"/>
      <c r="BS15" s="87"/>
      <c r="BT15" s="87"/>
      <c r="BU15" s="87"/>
      <c r="BV15" s="87"/>
      <c r="BW15" s="87"/>
      <c r="BX15" s="87"/>
      <c r="BY15" s="87"/>
      <c r="BZ15" s="87"/>
      <c r="CA15" s="87"/>
      <c r="CB15" s="87"/>
      <c r="CC15" s="79"/>
      <c r="CD15" s="79"/>
      <c r="CE15" s="87"/>
      <c r="CF15" s="87"/>
      <c r="CG15" s="87"/>
      <c r="CH15" s="87"/>
      <c r="CI15" s="87"/>
      <c r="CJ15" s="87"/>
      <c r="CK15" s="87"/>
      <c r="CL15" s="87"/>
      <c r="CM15" s="87"/>
      <c r="CN15" s="87"/>
      <c r="CO15" s="87"/>
      <c r="CP15" s="87"/>
      <c r="CQ15" s="87"/>
      <c r="CR15" s="87"/>
      <c r="CS15" s="87"/>
      <c r="CT15" s="87"/>
      <c r="CU15" s="87"/>
      <c r="CV15" s="87"/>
      <c r="CW15" s="87"/>
      <c r="CX15" s="87"/>
      <c r="CY15" s="87"/>
      <c r="CZ15" s="87"/>
      <c r="DA15" s="87"/>
      <c r="DB15" s="87"/>
      <c r="DC15" s="87"/>
      <c r="DD15" s="87"/>
      <c r="DE15" s="87"/>
      <c r="DF15" s="87"/>
      <c r="DG15" s="87"/>
      <c r="DH15" s="87"/>
      <c r="DI15" s="87"/>
      <c r="DJ15" s="87"/>
      <c r="DK15" s="87"/>
      <c r="DL15" s="87"/>
      <c r="DM15" s="87"/>
      <c r="DN15" s="87"/>
      <c r="DO15" s="87"/>
      <c r="DP15" s="87"/>
      <c r="DQ15" s="87"/>
      <c r="DR15" s="87"/>
      <c r="DS15" s="87"/>
      <c r="DT15" s="87"/>
      <c r="DU15" s="87"/>
      <c r="DV15" s="87"/>
      <c r="DW15" s="87"/>
      <c r="DX15" s="87"/>
      <c r="DY15" s="87"/>
      <c r="DZ15" s="87"/>
      <c r="EA15" s="87"/>
      <c r="EB15" s="87"/>
      <c r="EC15" s="87"/>
      <c r="ED15" s="87"/>
      <c r="EE15" s="87"/>
      <c r="EF15" s="87"/>
      <c r="EG15" s="87"/>
      <c r="EH15" s="87"/>
      <c r="EI15" s="87"/>
      <c r="EJ15" s="87"/>
      <c r="EK15" s="87"/>
      <c r="EL15" s="87"/>
      <c r="EM15" s="87"/>
      <c r="EN15" s="87"/>
      <c r="EO15" s="87"/>
      <c r="EP15" s="87"/>
      <c r="EQ15" s="87"/>
      <c r="ER15" s="87"/>
      <c r="ES15" s="87"/>
      <c r="ET15" s="79"/>
      <c r="EU15" s="87"/>
      <c r="EV15" s="87"/>
      <c r="EW15" s="87"/>
      <c r="EX15" s="87"/>
      <c r="EY15" s="87"/>
      <c r="EZ15" s="87"/>
      <c r="FA15" s="87"/>
      <c r="FB15" s="87"/>
      <c r="FC15" s="87"/>
      <c r="FD15" s="87"/>
      <c r="FE15" s="87"/>
      <c r="FF15" s="87"/>
      <c r="FG15" s="87"/>
      <c r="FH15" s="87"/>
      <c r="FI15" s="87"/>
      <c r="FJ15" s="87"/>
      <c r="FK15" s="87"/>
      <c r="FL15" s="87"/>
      <c r="FM15" s="87"/>
      <c r="FN15" s="87"/>
      <c r="FO15" s="87"/>
      <c r="FP15" s="87"/>
      <c r="FQ15" s="87"/>
      <c r="FR15" s="87"/>
      <c r="FS15" s="87"/>
      <c r="FT15" s="87"/>
      <c r="FU15" s="87"/>
      <c r="FV15" s="87"/>
      <c r="FW15" s="87"/>
      <c r="FX15" s="87"/>
      <c r="FY15" s="87"/>
      <c r="FZ15" s="87"/>
      <c r="GA15" s="87"/>
      <c r="GB15" s="87"/>
      <c r="GC15" s="87"/>
      <c r="GD15" s="87"/>
      <c r="GE15" s="87"/>
      <c r="GF15" s="87"/>
      <c r="GG15" s="87"/>
      <c r="GH15" s="87"/>
      <c r="GI15" s="87"/>
      <c r="GJ15" s="87"/>
      <c r="GK15" s="87"/>
      <c r="GL15" s="87"/>
      <c r="GM15" s="87"/>
      <c r="GN15" s="87"/>
      <c r="GO15" s="87"/>
      <c r="GP15" s="87"/>
      <c r="GQ15" s="87"/>
      <c r="GR15" s="87"/>
      <c r="GS15" s="87"/>
      <c r="GT15" s="87"/>
      <c r="GU15" s="87"/>
      <c r="GV15" s="87"/>
      <c r="GW15" s="87"/>
      <c r="GX15" s="87"/>
      <c r="GY15" s="87"/>
      <c r="GZ15" s="87"/>
      <c r="HA15" s="87"/>
      <c r="HB15" s="87"/>
      <c r="HC15" s="87"/>
      <c r="HD15" s="87"/>
      <c r="HE15" s="87"/>
      <c r="HF15" s="87"/>
      <c r="HG15" s="87"/>
      <c r="HH15" s="87"/>
      <c r="HI15" s="87"/>
      <c r="HJ15" s="87"/>
      <c r="HK15" s="87"/>
      <c r="HL15" s="87"/>
      <c r="HM15" s="87"/>
      <c r="HN15" s="87"/>
      <c r="HO15" s="87"/>
      <c r="HP15" s="87"/>
      <c r="HQ15" s="87"/>
      <c r="HR15" s="87"/>
      <c r="HS15" s="87"/>
      <c r="HT15" s="87"/>
      <c r="HU15" s="87"/>
      <c r="HV15" s="87"/>
      <c r="HW15" s="87"/>
      <c r="HX15" s="87"/>
      <c r="HY15" s="87"/>
      <c r="HZ15" s="87"/>
      <c r="IA15" s="87"/>
      <c r="IB15" s="87"/>
      <c r="IC15" s="87"/>
      <c r="ID15" s="87"/>
      <c r="IE15" s="87"/>
      <c r="IF15" s="87"/>
      <c r="IG15" s="87"/>
      <c r="IH15" s="87"/>
      <c r="II15" s="87"/>
      <c r="IJ15" s="87"/>
      <c r="IK15" s="87"/>
      <c r="IL15" s="87"/>
      <c r="IM15" s="87"/>
      <c r="IN15" s="87"/>
      <c r="IO15" s="87"/>
      <c r="IP15" s="87"/>
      <c r="IQ15" s="87"/>
      <c r="IR15" s="87"/>
      <c r="IS15" s="87"/>
      <c r="IT15" s="87"/>
      <c r="IU15" s="87"/>
      <c r="IV15" s="87"/>
      <c r="IW15" s="87"/>
    </row>
    <row r="16" spans="1:257" s="14" customFormat="1" ht="15.6">
      <c r="B16" s="30">
        <v>1.01</v>
      </c>
      <c r="C16" s="38" t="s">
        <v>136</v>
      </c>
      <c r="D16" s="31"/>
      <c r="E16" s="32"/>
      <c r="F16" s="88"/>
      <c r="G16" s="88"/>
      <c r="H16" s="88"/>
      <c r="I16" s="49"/>
      <c r="J16" s="49"/>
      <c r="K16" s="49"/>
      <c r="L16" s="49"/>
      <c r="M16" s="49"/>
      <c r="N16" s="49"/>
      <c r="O16" s="49"/>
      <c r="P16" s="49"/>
      <c r="Q16" s="48"/>
      <c r="R16" s="48"/>
      <c r="S16" s="48"/>
      <c r="T16" s="48"/>
      <c r="U16" s="48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88"/>
      <c r="AH16" s="88"/>
      <c r="AI16" s="88"/>
      <c r="AJ16" s="88"/>
      <c r="AK16" s="88"/>
      <c r="AL16" s="88"/>
      <c r="AM16" s="88"/>
      <c r="AN16" s="88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87"/>
      <c r="BK16" s="87"/>
      <c r="BL16" s="87"/>
      <c r="BM16" s="87"/>
      <c r="BN16" s="87"/>
      <c r="BO16" s="87"/>
      <c r="BP16" s="87"/>
      <c r="BQ16" s="87"/>
      <c r="BR16" s="87"/>
      <c r="BS16" s="87"/>
      <c r="BT16" s="87"/>
      <c r="BU16" s="87"/>
      <c r="BV16" s="87"/>
      <c r="BW16" s="87"/>
      <c r="BX16" s="87"/>
      <c r="BY16" s="87"/>
      <c r="BZ16" s="87"/>
      <c r="CA16" s="87"/>
      <c r="CB16" s="87"/>
      <c r="CC16" s="79"/>
      <c r="CD16" s="79"/>
      <c r="CE16" s="87"/>
      <c r="CF16" s="87"/>
      <c r="CG16" s="87"/>
      <c r="CH16" s="87"/>
      <c r="CI16" s="87"/>
      <c r="CJ16" s="87"/>
      <c r="CK16" s="87"/>
      <c r="CL16" s="87"/>
      <c r="CM16" s="87"/>
      <c r="CN16" s="87"/>
      <c r="CO16" s="87"/>
      <c r="CP16" s="87"/>
      <c r="CQ16" s="87"/>
      <c r="CR16" s="87"/>
      <c r="CS16" s="87"/>
      <c r="CT16" s="87"/>
      <c r="CU16" s="87"/>
      <c r="CV16" s="87"/>
      <c r="CW16" s="87"/>
      <c r="CX16" s="87"/>
      <c r="CY16" s="87"/>
      <c r="CZ16" s="87"/>
      <c r="DA16" s="87"/>
      <c r="DB16" s="87"/>
      <c r="DC16" s="87"/>
      <c r="DD16" s="87"/>
      <c r="DE16" s="87"/>
      <c r="DF16" s="87"/>
      <c r="DG16" s="87"/>
      <c r="DH16" s="87"/>
      <c r="DI16" s="87"/>
      <c r="DJ16" s="87"/>
      <c r="DK16" s="87"/>
      <c r="DL16" s="87"/>
      <c r="DM16" s="87"/>
      <c r="DN16" s="87"/>
      <c r="DO16" s="87"/>
      <c r="DP16" s="87"/>
      <c r="DQ16" s="87"/>
      <c r="DR16" s="87"/>
      <c r="DS16" s="87"/>
      <c r="DT16" s="87"/>
      <c r="DU16" s="87"/>
      <c r="DV16" s="87"/>
      <c r="DW16" s="87"/>
      <c r="DX16" s="87"/>
      <c r="DY16" s="87"/>
      <c r="DZ16" s="87"/>
      <c r="EA16" s="87"/>
      <c r="EB16" s="87"/>
      <c r="EC16" s="87"/>
      <c r="ED16" s="87"/>
      <c r="EE16" s="87"/>
      <c r="EF16" s="87"/>
      <c r="EG16" s="87"/>
      <c r="EH16" s="87"/>
      <c r="EI16" s="87"/>
      <c r="EJ16" s="87"/>
      <c r="EK16" s="87"/>
      <c r="EL16" s="87"/>
      <c r="EM16" s="87"/>
      <c r="EN16" s="87"/>
      <c r="EO16" s="87"/>
      <c r="EP16" s="87"/>
      <c r="EQ16" s="87"/>
      <c r="ER16" s="87"/>
      <c r="ES16" s="87"/>
      <c r="ET16" s="79"/>
      <c r="EU16" s="87"/>
      <c r="EV16" s="87"/>
      <c r="EW16" s="87"/>
      <c r="EX16" s="87"/>
      <c r="EY16" s="87"/>
      <c r="EZ16" s="87"/>
      <c r="FA16" s="87"/>
      <c r="FB16" s="87"/>
      <c r="FC16" s="87"/>
      <c r="FD16" s="87"/>
      <c r="FE16" s="87"/>
      <c r="FF16" s="87"/>
      <c r="FG16" s="87"/>
      <c r="FH16" s="87"/>
      <c r="FI16" s="87"/>
      <c r="FJ16" s="87"/>
      <c r="FK16" s="87"/>
      <c r="FL16" s="87"/>
      <c r="FM16" s="87"/>
      <c r="FN16" s="87"/>
      <c r="FO16" s="87"/>
      <c r="FP16" s="87"/>
      <c r="FQ16" s="87"/>
      <c r="FR16" s="87"/>
      <c r="FS16" s="87"/>
      <c r="FT16" s="87"/>
      <c r="FU16" s="87"/>
      <c r="FV16" s="87"/>
      <c r="FW16" s="87"/>
      <c r="FX16" s="87"/>
      <c r="FY16" s="87"/>
      <c r="FZ16" s="87"/>
      <c r="GA16" s="87"/>
      <c r="GB16" s="87"/>
      <c r="GC16" s="87"/>
      <c r="GD16" s="87"/>
      <c r="GE16" s="87"/>
      <c r="GF16" s="87"/>
      <c r="GG16" s="87"/>
      <c r="GH16" s="87"/>
      <c r="GI16" s="87"/>
      <c r="GJ16" s="87"/>
      <c r="GK16" s="87"/>
      <c r="GL16" s="87"/>
      <c r="GM16" s="87"/>
      <c r="GN16" s="87"/>
      <c r="GO16" s="87"/>
      <c r="GP16" s="87"/>
      <c r="GQ16" s="87"/>
      <c r="GR16" s="87"/>
      <c r="GS16" s="87"/>
      <c r="GT16" s="87"/>
      <c r="GU16" s="87"/>
      <c r="GV16" s="87"/>
      <c r="GW16" s="87"/>
      <c r="GX16" s="87"/>
      <c r="GY16" s="87"/>
      <c r="GZ16" s="87"/>
      <c r="HA16" s="87"/>
      <c r="HB16" s="87"/>
      <c r="HC16" s="87"/>
      <c r="HD16" s="87"/>
      <c r="HE16" s="87"/>
      <c r="HF16" s="87"/>
      <c r="HG16" s="87"/>
      <c r="HH16" s="87"/>
      <c r="HI16" s="87"/>
      <c r="HJ16" s="87"/>
      <c r="HK16" s="87"/>
      <c r="HL16" s="87"/>
      <c r="HM16" s="87"/>
      <c r="HN16" s="87"/>
      <c r="HO16" s="87"/>
      <c r="HP16" s="87"/>
      <c r="HQ16" s="87"/>
      <c r="HR16" s="87"/>
      <c r="HS16" s="87"/>
      <c r="HT16" s="87"/>
      <c r="HU16" s="87"/>
      <c r="HV16" s="87"/>
      <c r="HW16" s="87"/>
      <c r="HX16" s="87"/>
      <c r="HY16" s="87"/>
      <c r="HZ16" s="87"/>
      <c r="IA16" s="87"/>
      <c r="IB16" s="87"/>
      <c r="IC16" s="87"/>
      <c r="ID16" s="87"/>
      <c r="IE16" s="87"/>
      <c r="IF16" s="87"/>
      <c r="IG16" s="87"/>
      <c r="IH16" s="87"/>
      <c r="II16" s="87"/>
      <c r="IJ16" s="87"/>
      <c r="IK16" s="87"/>
      <c r="IL16" s="87"/>
      <c r="IM16" s="87"/>
      <c r="IN16" s="87"/>
      <c r="IO16" s="87"/>
      <c r="IP16" s="87"/>
      <c r="IQ16" s="87"/>
      <c r="IR16" s="87"/>
      <c r="IS16" s="87"/>
      <c r="IT16" s="87"/>
      <c r="IU16" s="87"/>
      <c r="IV16" s="87"/>
      <c r="IW16" s="87"/>
    </row>
    <row r="17" spans="2:257" s="14" customFormat="1" ht="15.6">
      <c r="B17" s="30">
        <v>1.01</v>
      </c>
      <c r="C17" s="38" t="s">
        <v>137</v>
      </c>
      <c r="D17" s="31"/>
      <c r="E17" s="32"/>
      <c r="F17" s="88"/>
      <c r="G17" s="88"/>
      <c r="H17" s="88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8"/>
      <c r="U17" s="48"/>
      <c r="V17" s="48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88"/>
      <c r="AH17" s="88"/>
      <c r="AI17" s="88"/>
      <c r="AJ17" s="88"/>
      <c r="AK17" s="88"/>
      <c r="AL17" s="88"/>
      <c r="AM17" s="88"/>
      <c r="AN17" s="88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87"/>
      <c r="BK17" s="87"/>
      <c r="BL17" s="87"/>
      <c r="BM17" s="87"/>
      <c r="BN17" s="87"/>
      <c r="BO17" s="87"/>
      <c r="BP17" s="87"/>
      <c r="BQ17" s="87"/>
      <c r="BR17" s="87"/>
      <c r="BS17" s="87"/>
      <c r="BT17" s="87"/>
      <c r="BU17" s="87"/>
      <c r="BV17" s="87"/>
      <c r="BW17" s="87"/>
      <c r="BX17" s="87"/>
      <c r="BY17" s="87"/>
      <c r="BZ17" s="87"/>
      <c r="CA17" s="87"/>
      <c r="CB17" s="87"/>
      <c r="CC17" s="79"/>
      <c r="CD17" s="79"/>
      <c r="CE17" s="87"/>
      <c r="CF17" s="87"/>
      <c r="CG17" s="87"/>
      <c r="CH17" s="87"/>
      <c r="CI17" s="87"/>
      <c r="CJ17" s="87"/>
      <c r="CK17" s="87"/>
      <c r="CL17" s="87"/>
      <c r="CM17" s="87"/>
      <c r="CN17" s="87"/>
      <c r="CO17" s="87"/>
      <c r="CP17" s="87"/>
      <c r="CQ17" s="87"/>
      <c r="CR17" s="87"/>
      <c r="CS17" s="87"/>
      <c r="CT17" s="87"/>
      <c r="CU17" s="87"/>
      <c r="CV17" s="87"/>
      <c r="CW17" s="87"/>
      <c r="CX17" s="87"/>
      <c r="CY17" s="87"/>
      <c r="CZ17" s="87"/>
      <c r="DA17" s="87"/>
      <c r="DB17" s="87"/>
      <c r="DC17" s="87"/>
      <c r="DD17" s="87"/>
      <c r="DE17" s="87"/>
      <c r="DF17" s="87"/>
      <c r="DG17" s="87"/>
      <c r="DH17" s="87"/>
      <c r="DI17" s="87"/>
      <c r="DJ17" s="87"/>
      <c r="DK17" s="87"/>
      <c r="DL17" s="87"/>
      <c r="DM17" s="87"/>
      <c r="DN17" s="87"/>
      <c r="DO17" s="87"/>
      <c r="DP17" s="87"/>
      <c r="DQ17" s="87"/>
      <c r="DR17" s="87"/>
      <c r="DS17" s="87"/>
      <c r="DT17" s="87"/>
      <c r="DU17" s="87"/>
      <c r="DV17" s="87"/>
      <c r="DW17" s="87"/>
      <c r="DX17" s="87"/>
      <c r="DY17" s="87"/>
      <c r="DZ17" s="87"/>
      <c r="EA17" s="87"/>
      <c r="EB17" s="87"/>
      <c r="EC17" s="87"/>
      <c r="ED17" s="87"/>
      <c r="EE17" s="87"/>
      <c r="EF17" s="87"/>
      <c r="EG17" s="87"/>
      <c r="EH17" s="87"/>
      <c r="EI17" s="87"/>
      <c r="EJ17" s="87"/>
      <c r="EK17" s="87"/>
      <c r="EL17" s="87"/>
      <c r="EM17" s="87"/>
      <c r="EN17" s="87"/>
      <c r="EO17" s="87"/>
      <c r="EP17" s="87"/>
      <c r="EQ17" s="87"/>
      <c r="ER17" s="87"/>
      <c r="ES17" s="87"/>
      <c r="ET17" s="79"/>
      <c r="EU17" s="87"/>
      <c r="EV17" s="87"/>
      <c r="EW17" s="87"/>
      <c r="EX17" s="87"/>
      <c r="EY17" s="87"/>
      <c r="EZ17" s="87"/>
      <c r="FA17" s="87"/>
      <c r="FB17" s="87"/>
      <c r="FC17" s="87"/>
      <c r="FD17" s="87"/>
      <c r="FE17" s="87"/>
      <c r="FF17" s="87"/>
      <c r="FG17" s="87"/>
      <c r="FH17" s="87"/>
      <c r="FI17" s="87"/>
      <c r="FJ17" s="87"/>
      <c r="FK17" s="87"/>
      <c r="FL17" s="87"/>
      <c r="FM17" s="87"/>
      <c r="FN17" s="87"/>
      <c r="FO17" s="87"/>
      <c r="FP17" s="87"/>
      <c r="FQ17" s="87"/>
      <c r="FR17" s="87"/>
      <c r="FS17" s="87"/>
      <c r="FT17" s="87"/>
      <c r="FU17" s="87"/>
      <c r="FV17" s="87"/>
      <c r="FW17" s="87"/>
      <c r="FX17" s="87"/>
      <c r="FY17" s="87"/>
      <c r="FZ17" s="87"/>
      <c r="GA17" s="87"/>
      <c r="GB17" s="87"/>
      <c r="GC17" s="87"/>
      <c r="GD17" s="87"/>
      <c r="GE17" s="87"/>
      <c r="GF17" s="87"/>
      <c r="GG17" s="87"/>
      <c r="GH17" s="87"/>
      <c r="GI17" s="87"/>
      <c r="GJ17" s="87"/>
      <c r="GK17" s="87"/>
      <c r="GL17" s="87"/>
      <c r="GM17" s="87"/>
      <c r="GN17" s="87"/>
      <c r="GO17" s="87"/>
      <c r="GP17" s="87"/>
      <c r="GQ17" s="87"/>
      <c r="GR17" s="87"/>
      <c r="GS17" s="87"/>
      <c r="GT17" s="87"/>
      <c r="GU17" s="87"/>
      <c r="GV17" s="87"/>
      <c r="GW17" s="87"/>
      <c r="GX17" s="87"/>
      <c r="GY17" s="87"/>
      <c r="GZ17" s="87"/>
      <c r="HA17" s="87"/>
      <c r="HB17" s="87"/>
      <c r="HC17" s="87"/>
      <c r="HD17" s="87"/>
      <c r="HE17" s="87"/>
      <c r="HF17" s="87"/>
      <c r="HG17" s="87"/>
      <c r="HH17" s="87"/>
      <c r="HI17" s="87"/>
      <c r="HJ17" s="87"/>
      <c r="HK17" s="87"/>
      <c r="HL17" s="87"/>
      <c r="HM17" s="87"/>
      <c r="HN17" s="87"/>
      <c r="HO17" s="87"/>
      <c r="HP17" s="87"/>
      <c r="HQ17" s="87"/>
      <c r="HR17" s="87"/>
      <c r="HS17" s="87"/>
      <c r="HT17" s="87"/>
      <c r="HU17" s="87"/>
      <c r="HV17" s="87"/>
      <c r="HW17" s="87"/>
      <c r="HX17" s="87"/>
      <c r="HY17" s="87"/>
      <c r="HZ17" s="87"/>
      <c r="IA17" s="87"/>
      <c r="IB17" s="87"/>
      <c r="IC17" s="87"/>
      <c r="ID17" s="87"/>
      <c r="IE17" s="87"/>
      <c r="IF17" s="87"/>
      <c r="IG17" s="87"/>
      <c r="IH17" s="87"/>
      <c r="II17" s="87"/>
      <c r="IJ17" s="87"/>
      <c r="IK17" s="87"/>
      <c r="IL17" s="87"/>
      <c r="IM17" s="87"/>
      <c r="IN17" s="87"/>
      <c r="IO17" s="87"/>
      <c r="IP17" s="87"/>
      <c r="IQ17" s="87"/>
      <c r="IR17" s="87"/>
      <c r="IS17" s="87"/>
      <c r="IT17" s="87"/>
      <c r="IU17" s="87"/>
      <c r="IV17" s="87"/>
      <c r="IW17" s="87"/>
    </row>
    <row r="18" spans="2:257" s="14" customFormat="1" ht="15.6">
      <c r="B18" s="30">
        <v>1.01</v>
      </c>
      <c r="C18" s="38" t="s">
        <v>138</v>
      </c>
      <c r="D18" s="31"/>
      <c r="E18" s="32"/>
      <c r="F18" s="88"/>
      <c r="G18" s="88"/>
      <c r="H18" s="88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8"/>
      <c r="V18" s="48"/>
      <c r="W18" s="48"/>
      <c r="X18" s="48"/>
      <c r="Y18" s="48"/>
      <c r="Z18" s="48"/>
      <c r="AA18" s="48"/>
      <c r="AB18" s="48"/>
      <c r="AC18" s="49"/>
      <c r="AD18" s="49"/>
      <c r="AE18" s="49"/>
      <c r="AF18" s="49"/>
      <c r="AG18" s="88"/>
      <c r="AH18" s="88"/>
      <c r="AI18" s="88"/>
      <c r="AJ18" s="88"/>
      <c r="AK18" s="88"/>
      <c r="AL18" s="88"/>
      <c r="AM18" s="88"/>
      <c r="AN18" s="88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87"/>
      <c r="BK18" s="87"/>
      <c r="BL18" s="87"/>
      <c r="BM18" s="87"/>
      <c r="BN18" s="87"/>
      <c r="BO18" s="87"/>
      <c r="BP18" s="87"/>
      <c r="BQ18" s="87"/>
      <c r="BR18" s="87"/>
      <c r="BS18" s="87"/>
      <c r="BT18" s="87"/>
      <c r="BU18" s="87"/>
      <c r="BV18" s="87"/>
      <c r="BW18" s="87"/>
      <c r="BX18" s="87"/>
      <c r="BY18" s="87"/>
      <c r="BZ18" s="87"/>
      <c r="CA18" s="87"/>
      <c r="CB18" s="87"/>
      <c r="CC18" s="79"/>
      <c r="CD18" s="79"/>
      <c r="CE18" s="87"/>
      <c r="CF18" s="87"/>
      <c r="CG18" s="87"/>
      <c r="CH18" s="87"/>
      <c r="CI18" s="87"/>
      <c r="CJ18" s="87"/>
      <c r="CK18" s="87"/>
      <c r="CL18" s="87"/>
      <c r="CM18" s="87"/>
      <c r="CN18" s="87"/>
      <c r="CO18" s="87"/>
      <c r="CP18" s="87"/>
      <c r="CQ18" s="87"/>
      <c r="CR18" s="87"/>
      <c r="CS18" s="87"/>
      <c r="CT18" s="87"/>
      <c r="CU18" s="87"/>
      <c r="CV18" s="87"/>
      <c r="CW18" s="87"/>
      <c r="CX18" s="87"/>
      <c r="CY18" s="87"/>
      <c r="CZ18" s="87"/>
      <c r="DA18" s="87"/>
      <c r="DB18" s="87"/>
      <c r="DC18" s="87"/>
      <c r="DD18" s="87"/>
      <c r="DE18" s="87"/>
      <c r="DF18" s="87"/>
      <c r="DG18" s="87"/>
      <c r="DH18" s="87"/>
      <c r="DI18" s="87"/>
      <c r="DJ18" s="87"/>
      <c r="DK18" s="87"/>
      <c r="DL18" s="87"/>
      <c r="DM18" s="87"/>
      <c r="DN18" s="87"/>
      <c r="DO18" s="87"/>
      <c r="DP18" s="87"/>
      <c r="DQ18" s="87"/>
      <c r="DR18" s="87"/>
      <c r="DS18" s="87"/>
      <c r="DT18" s="87"/>
      <c r="DU18" s="87"/>
      <c r="DV18" s="87"/>
      <c r="DW18" s="87"/>
      <c r="DX18" s="87"/>
      <c r="DY18" s="87"/>
      <c r="DZ18" s="87"/>
      <c r="EA18" s="87"/>
      <c r="EB18" s="87"/>
      <c r="EC18" s="87"/>
      <c r="ED18" s="87"/>
      <c r="EE18" s="87"/>
      <c r="EF18" s="87"/>
      <c r="EG18" s="87"/>
      <c r="EH18" s="87"/>
      <c r="EI18" s="87"/>
      <c r="EJ18" s="87"/>
      <c r="EK18" s="87"/>
      <c r="EL18" s="87"/>
      <c r="EM18" s="87"/>
      <c r="EN18" s="87"/>
      <c r="EO18" s="87"/>
      <c r="EP18" s="87"/>
      <c r="EQ18" s="87"/>
      <c r="ER18" s="87"/>
      <c r="ES18" s="87"/>
      <c r="ET18" s="79"/>
      <c r="EU18" s="87"/>
      <c r="EV18" s="87"/>
      <c r="EW18" s="87"/>
      <c r="EX18" s="87"/>
      <c r="EY18" s="87"/>
      <c r="EZ18" s="87"/>
      <c r="FA18" s="87"/>
      <c r="FB18" s="87"/>
      <c r="FC18" s="87"/>
      <c r="FD18" s="87"/>
      <c r="FE18" s="87"/>
      <c r="FF18" s="87"/>
      <c r="FG18" s="87"/>
      <c r="FH18" s="87"/>
      <c r="FI18" s="87"/>
      <c r="FJ18" s="87"/>
      <c r="FK18" s="87"/>
      <c r="FL18" s="87"/>
      <c r="FM18" s="87"/>
      <c r="FN18" s="87"/>
      <c r="FO18" s="87"/>
      <c r="FP18" s="87"/>
      <c r="FQ18" s="87"/>
      <c r="FR18" s="87"/>
      <c r="FS18" s="87"/>
      <c r="FT18" s="87"/>
      <c r="FU18" s="87"/>
      <c r="FV18" s="87"/>
      <c r="FW18" s="87"/>
      <c r="FX18" s="87"/>
      <c r="FY18" s="87"/>
      <c r="FZ18" s="87"/>
      <c r="GA18" s="87"/>
      <c r="GB18" s="87"/>
      <c r="GC18" s="87"/>
      <c r="GD18" s="87"/>
      <c r="GE18" s="87"/>
      <c r="GF18" s="87"/>
      <c r="GG18" s="87"/>
      <c r="GH18" s="87"/>
      <c r="GI18" s="87"/>
      <c r="GJ18" s="87"/>
      <c r="GK18" s="87"/>
      <c r="GL18" s="87"/>
      <c r="GM18" s="87"/>
      <c r="GN18" s="87"/>
      <c r="GO18" s="87"/>
      <c r="GP18" s="87"/>
      <c r="GQ18" s="87"/>
      <c r="GR18" s="87"/>
      <c r="GS18" s="87"/>
      <c r="GT18" s="87"/>
      <c r="GU18" s="87"/>
      <c r="GV18" s="87"/>
      <c r="GW18" s="87"/>
      <c r="GX18" s="87"/>
      <c r="GY18" s="87"/>
      <c r="GZ18" s="87"/>
      <c r="HA18" s="87"/>
      <c r="HB18" s="87"/>
      <c r="HC18" s="87"/>
      <c r="HD18" s="87"/>
      <c r="HE18" s="87"/>
      <c r="HF18" s="87"/>
      <c r="HG18" s="87"/>
      <c r="HH18" s="87"/>
      <c r="HI18" s="87"/>
      <c r="HJ18" s="87"/>
      <c r="HK18" s="87"/>
      <c r="HL18" s="87"/>
      <c r="HM18" s="87"/>
      <c r="HN18" s="87"/>
      <c r="HO18" s="87"/>
      <c r="HP18" s="87"/>
      <c r="HQ18" s="87"/>
      <c r="HR18" s="87"/>
      <c r="HS18" s="87"/>
      <c r="HT18" s="87"/>
      <c r="HU18" s="87"/>
      <c r="HV18" s="87"/>
      <c r="HW18" s="87"/>
      <c r="HX18" s="87"/>
      <c r="HY18" s="87"/>
      <c r="HZ18" s="87"/>
      <c r="IA18" s="87"/>
      <c r="IB18" s="87"/>
      <c r="IC18" s="87"/>
      <c r="ID18" s="87"/>
      <c r="IE18" s="87"/>
      <c r="IF18" s="87"/>
      <c r="IG18" s="87"/>
      <c r="IH18" s="87"/>
      <c r="II18" s="87"/>
      <c r="IJ18" s="87"/>
      <c r="IK18" s="87"/>
      <c r="IL18" s="87"/>
      <c r="IM18" s="87"/>
      <c r="IN18" s="87"/>
      <c r="IO18" s="87"/>
      <c r="IP18" s="87"/>
      <c r="IQ18" s="87"/>
      <c r="IR18" s="87"/>
      <c r="IS18" s="87"/>
      <c r="IT18" s="87"/>
      <c r="IU18" s="87"/>
      <c r="IV18" s="87"/>
      <c r="IW18" s="87"/>
    </row>
    <row r="19" spans="2:257" s="14" customFormat="1" ht="15.6">
      <c r="B19" s="30">
        <v>1.01</v>
      </c>
      <c r="C19" s="38" t="s">
        <v>139</v>
      </c>
      <c r="D19" s="31"/>
      <c r="E19" s="32"/>
      <c r="F19" s="88"/>
      <c r="G19" s="88"/>
      <c r="H19" s="88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8"/>
      <c r="V19" s="48"/>
      <c r="W19" s="48"/>
      <c r="X19" s="48"/>
      <c r="Y19" s="48"/>
      <c r="Z19" s="48"/>
      <c r="AA19" s="49"/>
      <c r="AB19" s="49"/>
      <c r="AC19" s="49"/>
      <c r="AD19" s="49"/>
      <c r="AE19" s="49"/>
      <c r="AF19" s="49"/>
      <c r="AG19" s="88"/>
      <c r="AH19" s="88"/>
      <c r="AI19" s="88"/>
      <c r="AJ19" s="88"/>
      <c r="AK19" s="88"/>
      <c r="AL19" s="88"/>
      <c r="AM19" s="88"/>
      <c r="AN19" s="88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87"/>
      <c r="BL19" s="87"/>
      <c r="BM19" s="87"/>
      <c r="BN19" s="87"/>
      <c r="BO19" s="87"/>
      <c r="BP19" s="87"/>
      <c r="BQ19" s="87"/>
      <c r="BR19" s="87"/>
      <c r="BS19" s="87"/>
      <c r="BT19" s="87"/>
      <c r="BU19" s="87"/>
      <c r="BV19" s="87"/>
      <c r="BW19" s="87"/>
      <c r="BX19" s="87"/>
      <c r="BY19" s="87"/>
      <c r="BZ19" s="87"/>
      <c r="CA19" s="87"/>
      <c r="CB19" s="87"/>
      <c r="CC19" s="79"/>
      <c r="CD19" s="79"/>
      <c r="CE19" s="87"/>
      <c r="CF19" s="87"/>
      <c r="CG19" s="87"/>
      <c r="CH19" s="87"/>
      <c r="CI19" s="87"/>
      <c r="CJ19" s="87"/>
      <c r="CK19" s="87"/>
      <c r="CL19" s="87"/>
      <c r="CM19" s="87"/>
      <c r="CN19" s="87"/>
      <c r="CO19" s="87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87"/>
      <c r="DA19" s="87"/>
      <c r="DB19" s="87"/>
      <c r="DC19" s="87"/>
      <c r="DD19" s="87"/>
      <c r="DE19" s="87"/>
      <c r="DF19" s="87"/>
      <c r="DG19" s="87"/>
      <c r="DH19" s="87"/>
      <c r="DI19" s="87"/>
      <c r="DJ19" s="87"/>
      <c r="DK19" s="87"/>
      <c r="DL19" s="87"/>
      <c r="DM19" s="87"/>
      <c r="DN19" s="87"/>
      <c r="DO19" s="87"/>
      <c r="DP19" s="87"/>
      <c r="DQ19" s="87"/>
      <c r="DR19" s="87"/>
      <c r="DS19" s="87"/>
      <c r="DT19" s="87"/>
      <c r="DU19" s="87"/>
      <c r="DV19" s="87"/>
      <c r="DW19" s="87"/>
      <c r="DX19" s="87"/>
      <c r="DY19" s="87"/>
      <c r="DZ19" s="87"/>
      <c r="EA19" s="87"/>
      <c r="EB19" s="87"/>
      <c r="EC19" s="87"/>
      <c r="ED19" s="87"/>
      <c r="EE19" s="87"/>
      <c r="EF19" s="87"/>
      <c r="EG19" s="87"/>
      <c r="EH19" s="87"/>
      <c r="EI19" s="87"/>
      <c r="EJ19" s="87"/>
      <c r="EK19" s="87"/>
      <c r="EL19" s="87"/>
      <c r="EM19" s="87"/>
      <c r="EN19" s="87"/>
      <c r="EO19" s="87"/>
      <c r="EP19" s="87"/>
      <c r="EQ19" s="87"/>
      <c r="ER19" s="87"/>
      <c r="ES19" s="87"/>
      <c r="ET19" s="79"/>
      <c r="EU19" s="87"/>
      <c r="EV19" s="87"/>
      <c r="EW19" s="87"/>
      <c r="EX19" s="87"/>
      <c r="EY19" s="87"/>
      <c r="EZ19" s="87"/>
      <c r="FA19" s="87"/>
      <c r="FB19" s="87"/>
      <c r="FC19" s="87"/>
      <c r="FD19" s="87"/>
      <c r="FE19" s="87"/>
      <c r="FF19" s="87"/>
      <c r="FG19" s="87"/>
      <c r="FH19" s="87"/>
      <c r="FI19" s="87"/>
      <c r="FJ19" s="87"/>
      <c r="FK19" s="87"/>
      <c r="FL19" s="87"/>
      <c r="FM19" s="87"/>
      <c r="FN19" s="87"/>
      <c r="FO19" s="87"/>
      <c r="FP19" s="87"/>
      <c r="FQ19" s="87"/>
      <c r="FR19" s="87"/>
      <c r="FS19" s="87"/>
      <c r="FT19" s="87"/>
      <c r="FU19" s="87"/>
      <c r="FV19" s="87"/>
      <c r="FW19" s="87"/>
      <c r="FX19" s="87"/>
      <c r="FY19" s="87"/>
      <c r="FZ19" s="87"/>
      <c r="GA19" s="87"/>
      <c r="GB19" s="87"/>
      <c r="GC19" s="87"/>
      <c r="GD19" s="87"/>
      <c r="GE19" s="87"/>
      <c r="GF19" s="87"/>
      <c r="GG19" s="87"/>
      <c r="GH19" s="87"/>
      <c r="GI19" s="87"/>
      <c r="GJ19" s="87"/>
      <c r="GK19" s="87"/>
      <c r="GL19" s="87"/>
      <c r="GM19" s="87"/>
      <c r="GN19" s="87"/>
      <c r="GO19" s="87"/>
      <c r="GP19" s="87"/>
      <c r="GQ19" s="87"/>
      <c r="GR19" s="87"/>
      <c r="GS19" s="87"/>
      <c r="GT19" s="87"/>
      <c r="GU19" s="87"/>
      <c r="GV19" s="87"/>
      <c r="GW19" s="87"/>
      <c r="GX19" s="87"/>
      <c r="GY19" s="87"/>
      <c r="GZ19" s="87"/>
      <c r="HA19" s="87"/>
      <c r="HB19" s="87"/>
      <c r="HC19" s="87"/>
      <c r="HD19" s="87"/>
      <c r="HE19" s="87"/>
      <c r="HF19" s="87"/>
      <c r="HG19" s="87"/>
      <c r="HH19" s="87"/>
      <c r="HI19" s="87"/>
      <c r="HJ19" s="87"/>
      <c r="HK19" s="87"/>
      <c r="HL19" s="87"/>
      <c r="HM19" s="87"/>
      <c r="HN19" s="87"/>
      <c r="HO19" s="87"/>
      <c r="HP19" s="87"/>
      <c r="HQ19" s="87"/>
      <c r="HR19" s="87"/>
      <c r="HS19" s="87"/>
      <c r="HT19" s="87"/>
      <c r="HU19" s="87"/>
      <c r="HV19" s="87"/>
      <c r="HW19" s="87"/>
      <c r="HX19" s="87"/>
      <c r="HY19" s="87"/>
      <c r="HZ19" s="87"/>
      <c r="IA19" s="87"/>
      <c r="IB19" s="87"/>
      <c r="IC19" s="87"/>
      <c r="ID19" s="87"/>
      <c r="IE19" s="87"/>
      <c r="IF19" s="87"/>
      <c r="IG19" s="87"/>
      <c r="IH19" s="87"/>
      <c r="II19" s="87"/>
      <c r="IJ19" s="87"/>
      <c r="IK19" s="87"/>
      <c r="IL19" s="87"/>
      <c r="IM19" s="87"/>
      <c r="IN19" s="87"/>
      <c r="IO19" s="87"/>
      <c r="IP19" s="87"/>
      <c r="IQ19" s="87"/>
      <c r="IR19" s="87"/>
      <c r="IS19" s="87"/>
      <c r="IT19" s="87"/>
      <c r="IU19" s="87"/>
      <c r="IV19" s="87"/>
      <c r="IW19" s="87"/>
    </row>
    <row r="20" spans="2:257" s="14" customFormat="1" ht="15.6">
      <c r="B20" s="30">
        <v>1.01</v>
      </c>
      <c r="C20" s="38" t="s">
        <v>140</v>
      </c>
      <c r="D20" s="31"/>
      <c r="E20" s="32"/>
      <c r="F20" s="88"/>
      <c r="G20" s="88"/>
      <c r="H20" s="88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34"/>
      <c r="V20" s="34"/>
      <c r="W20" s="49"/>
      <c r="X20" s="48"/>
      <c r="Y20" s="48"/>
      <c r="Z20" s="48"/>
      <c r="AA20" s="34"/>
      <c r="AB20" s="34"/>
      <c r="AC20" s="49"/>
      <c r="AD20" s="49"/>
      <c r="AE20" s="49"/>
      <c r="AF20" s="49"/>
      <c r="AG20" s="88"/>
      <c r="AH20" s="88"/>
      <c r="AI20" s="88"/>
      <c r="AJ20" s="88"/>
      <c r="AK20" s="88"/>
      <c r="AL20" s="88"/>
      <c r="AM20" s="88"/>
      <c r="AN20" s="88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87"/>
      <c r="BK20" s="87"/>
      <c r="BL20" s="87"/>
      <c r="BM20" s="87"/>
      <c r="BN20" s="87"/>
      <c r="BO20" s="87"/>
      <c r="BP20" s="87"/>
      <c r="BQ20" s="87"/>
      <c r="BR20" s="87"/>
      <c r="BS20" s="87"/>
      <c r="BT20" s="87"/>
      <c r="BU20" s="87"/>
      <c r="BV20" s="87"/>
      <c r="BW20" s="87"/>
      <c r="BX20" s="87"/>
      <c r="BY20" s="87"/>
      <c r="BZ20" s="87"/>
      <c r="CA20" s="87"/>
      <c r="CB20" s="87"/>
      <c r="CC20" s="79"/>
      <c r="CD20" s="79"/>
      <c r="CE20" s="87"/>
      <c r="CF20" s="87"/>
      <c r="CG20" s="87"/>
      <c r="CH20" s="87"/>
      <c r="CI20" s="87"/>
      <c r="CJ20" s="87"/>
      <c r="CK20" s="87"/>
      <c r="CL20" s="87"/>
      <c r="CM20" s="87"/>
      <c r="CN20" s="87"/>
      <c r="CO20" s="87"/>
      <c r="CP20" s="87"/>
      <c r="CQ20" s="87"/>
      <c r="CR20" s="87"/>
      <c r="CS20" s="87"/>
      <c r="CT20" s="87"/>
      <c r="CU20" s="87"/>
      <c r="CV20" s="79"/>
      <c r="CW20" s="87"/>
      <c r="CX20" s="87"/>
      <c r="CY20" s="87"/>
      <c r="CZ20" s="87"/>
      <c r="DA20" s="87"/>
      <c r="DB20" s="87"/>
      <c r="DC20" s="87"/>
      <c r="DD20" s="87"/>
      <c r="DE20" s="87"/>
      <c r="DF20" s="87"/>
      <c r="DG20" s="87"/>
      <c r="DH20" s="87"/>
      <c r="DI20" s="87"/>
      <c r="DJ20" s="87"/>
      <c r="DK20" s="87"/>
      <c r="DL20" s="87"/>
      <c r="DM20" s="87"/>
      <c r="DN20" s="87"/>
      <c r="DO20" s="87"/>
      <c r="DP20" s="87"/>
      <c r="DQ20" s="87"/>
      <c r="DR20" s="87"/>
      <c r="DS20" s="87"/>
      <c r="DT20" s="87"/>
      <c r="DU20" s="87"/>
      <c r="DV20" s="87"/>
      <c r="DW20" s="87"/>
      <c r="DX20" s="87"/>
      <c r="DY20" s="87"/>
      <c r="DZ20" s="87"/>
      <c r="EA20" s="87"/>
      <c r="EB20" s="87"/>
      <c r="EC20" s="87"/>
      <c r="ED20" s="87"/>
      <c r="EE20" s="87"/>
      <c r="EF20" s="87"/>
      <c r="EG20" s="87"/>
      <c r="EH20" s="87"/>
      <c r="EI20" s="87"/>
      <c r="EJ20" s="87"/>
      <c r="EK20" s="87"/>
      <c r="EL20" s="87"/>
      <c r="EM20" s="87"/>
      <c r="EN20" s="87"/>
      <c r="EO20" s="87"/>
      <c r="EP20" s="87"/>
      <c r="EQ20" s="87"/>
      <c r="ER20" s="87"/>
      <c r="ES20" s="87"/>
      <c r="ET20" s="79"/>
      <c r="EU20" s="87"/>
      <c r="EV20" s="87"/>
      <c r="EW20" s="87"/>
      <c r="EX20" s="87"/>
      <c r="EY20" s="87"/>
      <c r="EZ20" s="87"/>
      <c r="FA20" s="87"/>
      <c r="FB20" s="87"/>
      <c r="FC20" s="87"/>
      <c r="FD20" s="87"/>
      <c r="FE20" s="87"/>
      <c r="FF20" s="87"/>
      <c r="FG20" s="87"/>
      <c r="FH20" s="87"/>
      <c r="FI20" s="87"/>
      <c r="FJ20" s="87"/>
      <c r="FK20" s="87"/>
      <c r="FL20" s="87"/>
      <c r="FM20" s="87"/>
      <c r="FN20" s="87"/>
      <c r="FO20" s="87"/>
      <c r="FP20" s="87"/>
      <c r="FQ20" s="87"/>
      <c r="FR20" s="87"/>
      <c r="FS20" s="87"/>
      <c r="FT20" s="87"/>
      <c r="FU20" s="87"/>
      <c r="FV20" s="87"/>
      <c r="FW20" s="87"/>
      <c r="FX20" s="87"/>
      <c r="FY20" s="87"/>
      <c r="FZ20" s="87"/>
      <c r="GA20" s="87"/>
      <c r="GB20" s="87"/>
      <c r="GC20" s="87"/>
      <c r="GD20" s="87"/>
      <c r="GE20" s="87"/>
      <c r="GF20" s="87"/>
      <c r="GG20" s="87"/>
      <c r="GH20" s="87"/>
      <c r="GI20" s="87"/>
      <c r="GJ20" s="87"/>
      <c r="GK20" s="87"/>
      <c r="GL20" s="87"/>
      <c r="GM20" s="87"/>
      <c r="GN20" s="87"/>
      <c r="GO20" s="87"/>
      <c r="GP20" s="87"/>
      <c r="GQ20" s="87"/>
      <c r="GR20" s="87"/>
      <c r="GS20" s="87"/>
      <c r="GT20" s="87"/>
      <c r="GU20" s="87"/>
      <c r="GV20" s="87"/>
      <c r="GW20" s="87"/>
      <c r="GX20" s="87"/>
      <c r="GY20" s="87"/>
      <c r="GZ20" s="87"/>
      <c r="HA20" s="87"/>
      <c r="HB20" s="87"/>
      <c r="HC20" s="87"/>
      <c r="HD20" s="87"/>
      <c r="HE20" s="87"/>
      <c r="HF20" s="87"/>
      <c r="HG20" s="87"/>
      <c r="HH20" s="87"/>
      <c r="HI20" s="87"/>
      <c r="HJ20" s="87"/>
      <c r="HK20" s="87"/>
      <c r="HL20" s="87"/>
      <c r="HM20" s="87"/>
      <c r="HN20" s="87"/>
      <c r="HO20" s="87"/>
      <c r="HP20" s="87"/>
      <c r="HQ20" s="87"/>
      <c r="HR20" s="87"/>
      <c r="HS20" s="87"/>
      <c r="HT20" s="87"/>
      <c r="HU20" s="87"/>
      <c r="HV20" s="87"/>
      <c r="HW20" s="87"/>
      <c r="HX20" s="87"/>
      <c r="HY20" s="87"/>
      <c r="HZ20" s="87"/>
      <c r="IA20" s="87"/>
      <c r="IB20" s="87"/>
      <c r="IC20" s="87"/>
      <c r="ID20" s="87"/>
      <c r="IE20" s="87"/>
      <c r="IF20" s="87"/>
      <c r="IG20" s="87"/>
      <c r="IH20" s="87"/>
      <c r="II20" s="87"/>
      <c r="IJ20" s="87"/>
      <c r="IK20" s="87"/>
      <c r="IL20" s="87"/>
      <c r="IM20" s="87"/>
      <c r="IN20" s="87"/>
      <c r="IO20" s="87"/>
      <c r="IP20" s="87"/>
      <c r="IQ20" s="87"/>
      <c r="IR20" s="87"/>
      <c r="IS20" s="87"/>
      <c r="IT20" s="87"/>
      <c r="IU20" s="87"/>
      <c r="IV20" s="87"/>
      <c r="IW20" s="87"/>
    </row>
    <row r="21" spans="2:257" s="14" customFormat="1" ht="15.6">
      <c r="B21" s="30">
        <v>1.01</v>
      </c>
      <c r="C21" s="38" t="s">
        <v>141</v>
      </c>
      <c r="D21" s="31"/>
      <c r="E21" s="32"/>
      <c r="F21" s="88"/>
      <c r="G21" s="88"/>
      <c r="H21" s="88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34"/>
      <c r="V21" s="34"/>
      <c r="W21" s="49"/>
      <c r="X21" s="48"/>
      <c r="Y21" s="48"/>
      <c r="Z21" s="48"/>
      <c r="AA21" s="34"/>
      <c r="AB21" s="34"/>
      <c r="AC21" s="49"/>
      <c r="AD21" s="49"/>
      <c r="AE21" s="49"/>
      <c r="AF21" s="49"/>
      <c r="AG21" s="88"/>
      <c r="AH21" s="88"/>
      <c r="AI21" s="88"/>
      <c r="AJ21" s="88"/>
      <c r="AK21" s="88"/>
      <c r="AL21" s="88"/>
      <c r="AM21" s="88"/>
      <c r="AN21" s="88"/>
      <c r="AO21" s="87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87"/>
      <c r="BK21" s="87"/>
      <c r="BL21" s="87"/>
      <c r="BM21" s="87"/>
      <c r="BN21" s="87"/>
      <c r="BO21" s="87"/>
      <c r="BP21" s="87"/>
      <c r="BQ21" s="87"/>
      <c r="BR21" s="87"/>
      <c r="BS21" s="87"/>
      <c r="BT21" s="87"/>
      <c r="BU21" s="87"/>
      <c r="BV21" s="87"/>
      <c r="BW21" s="87"/>
      <c r="BX21" s="87"/>
      <c r="BY21" s="87"/>
      <c r="BZ21" s="87"/>
      <c r="CA21" s="87"/>
      <c r="CB21" s="87"/>
      <c r="CC21" s="79"/>
      <c r="CD21" s="79"/>
      <c r="CE21" s="87"/>
      <c r="CF21" s="87"/>
      <c r="CG21" s="87"/>
      <c r="CH21" s="87"/>
      <c r="CI21" s="87"/>
      <c r="CJ21" s="87"/>
      <c r="CK21" s="87"/>
      <c r="CL21" s="87"/>
      <c r="CM21" s="87"/>
      <c r="CN21" s="87"/>
      <c r="CO21" s="87"/>
      <c r="CP21" s="87"/>
      <c r="CQ21" s="87"/>
      <c r="CR21" s="87"/>
      <c r="CS21" s="87"/>
      <c r="CT21" s="87"/>
      <c r="CU21" s="87"/>
      <c r="CV21" s="79"/>
      <c r="CW21" s="87"/>
      <c r="CX21" s="87"/>
      <c r="CY21" s="87"/>
      <c r="CZ21" s="87"/>
      <c r="DA21" s="87"/>
      <c r="DB21" s="87"/>
      <c r="DC21" s="87"/>
      <c r="DD21" s="87"/>
      <c r="DE21" s="87"/>
      <c r="DF21" s="87"/>
      <c r="DG21" s="87"/>
      <c r="DH21" s="87"/>
      <c r="DI21" s="87"/>
      <c r="DJ21" s="87"/>
      <c r="DK21" s="87"/>
      <c r="DL21" s="87"/>
      <c r="DM21" s="87"/>
      <c r="DN21" s="87"/>
      <c r="DO21" s="87"/>
      <c r="DP21" s="87"/>
      <c r="DQ21" s="87"/>
      <c r="DR21" s="87"/>
      <c r="DS21" s="87"/>
      <c r="DT21" s="87"/>
      <c r="DU21" s="87"/>
      <c r="DV21" s="87"/>
      <c r="DW21" s="87"/>
      <c r="DX21" s="87"/>
      <c r="DY21" s="87"/>
      <c r="DZ21" s="87"/>
      <c r="EA21" s="87"/>
      <c r="EB21" s="87"/>
      <c r="EC21" s="87"/>
      <c r="ED21" s="87"/>
      <c r="EE21" s="87"/>
      <c r="EF21" s="87"/>
      <c r="EG21" s="87"/>
      <c r="EH21" s="87"/>
      <c r="EI21" s="87"/>
      <c r="EJ21" s="87"/>
      <c r="EK21" s="87"/>
      <c r="EL21" s="87"/>
      <c r="EM21" s="87"/>
      <c r="EN21" s="87"/>
      <c r="EO21" s="87"/>
      <c r="EP21" s="87"/>
      <c r="EQ21" s="87"/>
      <c r="ER21" s="87"/>
      <c r="ES21" s="87"/>
      <c r="ET21" s="79"/>
      <c r="EU21" s="87"/>
      <c r="EV21" s="87"/>
      <c r="EW21" s="87"/>
      <c r="EX21" s="87"/>
      <c r="EY21" s="87"/>
      <c r="EZ21" s="87"/>
      <c r="FA21" s="87"/>
      <c r="FB21" s="87"/>
      <c r="FC21" s="87"/>
      <c r="FD21" s="87"/>
      <c r="FE21" s="87"/>
      <c r="FF21" s="87"/>
      <c r="FG21" s="87"/>
      <c r="FH21" s="87"/>
      <c r="FI21" s="87"/>
      <c r="FJ21" s="87"/>
      <c r="FK21" s="87"/>
      <c r="FL21" s="87"/>
      <c r="FM21" s="87"/>
      <c r="FN21" s="87"/>
      <c r="FO21" s="87"/>
      <c r="FP21" s="87"/>
      <c r="FQ21" s="87"/>
      <c r="FR21" s="87"/>
      <c r="FS21" s="87"/>
      <c r="FT21" s="87"/>
      <c r="FU21" s="87"/>
      <c r="FV21" s="87"/>
      <c r="FW21" s="87"/>
      <c r="FX21" s="87"/>
      <c r="FY21" s="87"/>
      <c r="FZ21" s="87"/>
      <c r="GA21" s="87"/>
      <c r="GB21" s="87"/>
      <c r="GC21" s="87"/>
      <c r="GD21" s="87"/>
      <c r="GE21" s="87"/>
      <c r="GF21" s="87"/>
      <c r="GG21" s="87"/>
      <c r="GH21" s="87"/>
      <c r="GI21" s="87"/>
      <c r="GJ21" s="87"/>
      <c r="GK21" s="87"/>
      <c r="GL21" s="87"/>
      <c r="GM21" s="87"/>
      <c r="GN21" s="87"/>
      <c r="GO21" s="87"/>
      <c r="GP21" s="87"/>
      <c r="GQ21" s="87"/>
      <c r="GR21" s="87"/>
      <c r="GS21" s="87"/>
      <c r="GT21" s="87"/>
      <c r="GU21" s="87"/>
      <c r="GV21" s="87"/>
      <c r="GW21" s="87"/>
      <c r="GX21" s="87"/>
      <c r="GY21" s="87"/>
      <c r="GZ21" s="87"/>
      <c r="HA21" s="87"/>
      <c r="HB21" s="87"/>
      <c r="HC21" s="87"/>
      <c r="HD21" s="87"/>
      <c r="HE21" s="87"/>
      <c r="HF21" s="87"/>
      <c r="HG21" s="87"/>
      <c r="HH21" s="87"/>
      <c r="HI21" s="87"/>
      <c r="HJ21" s="87"/>
      <c r="HK21" s="87"/>
      <c r="HL21" s="87"/>
      <c r="HM21" s="87"/>
      <c r="HN21" s="87"/>
      <c r="HO21" s="87"/>
      <c r="HP21" s="87"/>
      <c r="HQ21" s="87"/>
      <c r="HR21" s="87"/>
      <c r="HS21" s="87"/>
      <c r="HT21" s="87"/>
      <c r="HU21" s="87"/>
      <c r="HV21" s="87"/>
      <c r="HW21" s="87"/>
      <c r="HX21" s="87"/>
      <c r="HY21" s="87"/>
      <c r="HZ21" s="87"/>
      <c r="IA21" s="87"/>
      <c r="IB21" s="87"/>
      <c r="IC21" s="87"/>
      <c r="ID21" s="87"/>
      <c r="IE21" s="87"/>
      <c r="IF21" s="87"/>
      <c r="IG21" s="87"/>
      <c r="IH21" s="87"/>
      <c r="II21" s="87"/>
      <c r="IJ21" s="87"/>
      <c r="IK21" s="87"/>
      <c r="IL21" s="87"/>
      <c r="IM21" s="87"/>
      <c r="IN21" s="87"/>
      <c r="IO21" s="87"/>
      <c r="IP21" s="87"/>
      <c r="IQ21" s="87"/>
      <c r="IR21" s="87"/>
      <c r="IS21" s="87"/>
      <c r="IT21" s="87"/>
      <c r="IU21" s="87"/>
      <c r="IV21" s="87"/>
      <c r="IW21" s="87"/>
    </row>
    <row r="22" spans="2:257" s="14" customFormat="1" ht="15.6">
      <c r="B22" s="30">
        <v>1.01</v>
      </c>
      <c r="C22" s="38" t="s">
        <v>142</v>
      </c>
      <c r="D22" s="31"/>
      <c r="E22" s="32"/>
      <c r="F22" s="88"/>
      <c r="G22" s="88"/>
      <c r="H22" s="88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34"/>
      <c r="V22" s="34"/>
      <c r="W22" s="49"/>
      <c r="X22" s="48"/>
      <c r="Y22" s="48"/>
      <c r="Z22" s="48"/>
      <c r="AA22" s="34"/>
      <c r="AB22" s="34"/>
      <c r="AC22" s="49"/>
      <c r="AD22" s="49"/>
      <c r="AE22" s="49"/>
      <c r="AF22" s="49"/>
      <c r="AG22" s="88"/>
      <c r="AH22" s="88"/>
      <c r="AI22" s="88"/>
      <c r="AJ22" s="88"/>
      <c r="AK22" s="88"/>
      <c r="AL22" s="88"/>
      <c r="AM22" s="88"/>
      <c r="AN22" s="88"/>
      <c r="AO22" s="87"/>
      <c r="AP22" s="87"/>
      <c r="AQ22" s="87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87"/>
      <c r="BF22" s="87"/>
      <c r="BG22" s="87"/>
      <c r="BH22" s="87"/>
      <c r="BI22" s="87"/>
      <c r="BJ22" s="87"/>
      <c r="BK22" s="87"/>
      <c r="BL22" s="87"/>
      <c r="BM22" s="87"/>
      <c r="BN22" s="87"/>
      <c r="BO22" s="87"/>
      <c r="BP22" s="87"/>
      <c r="BQ22" s="87"/>
      <c r="BR22" s="87"/>
      <c r="BS22" s="87"/>
      <c r="BT22" s="87"/>
      <c r="BU22" s="87"/>
      <c r="BV22" s="87"/>
      <c r="BW22" s="87"/>
      <c r="BX22" s="87"/>
      <c r="BY22" s="87"/>
      <c r="BZ22" s="87"/>
      <c r="CA22" s="87"/>
      <c r="CB22" s="87"/>
      <c r="CC22" s="79"/>
      <c r="CD22" s="79"/>
      <c r="CE22" s="87"/>
      <c r="CF22" s="87"/>
      <c r="CG22" s="87"/>
      <c r="CH22" s="87"/>
      <c r="CI22" s="87"/>
      <c r="CJ22" s="87"/>
      <c r="CK22" s="87"/>
      <c r="CL22" s="87"/>
      <c r="CM22" s="87"/>
      <c r="CN22" s="87"/>
      <c r="CO22" s="87"/>
      <c r="CP22" s="87"/>
      <c r="CQ22" s="87"/>
      <c r="CR22" s="87"/>
      <c r="CS22" s="87"/>
      <c r="CT22" s="87"/>
      <c r="CU22" s="87"/>
      <c r="CV22" s="79"/>
      <c r="CW22" s="87"/>
      <c r="CX22" s="87"/>
      <c r="CY22" s="87"/>
      <c r="CZ22" s="87"/>
      <c r="DA22" s="87"/>
      <c r="DB22" s="87"/>
      <c r="DC22" s="87"/>
      <c r="DD22" s="87"/>
      <c r="DE22" s="87"/>
      <c r="DF22" s="87"/>
      <c r="DG22" s="87"/>
      <c r="DH22" s="87"/>
      <c r="DI22" s="87"/>
      <c r="DJ22" s="87"/>
      <c r="DK22" s="87"/>
      <c r="DL22" s="87"/>
      <c r="DM22" s="87"/>
      <c r="DN22" s="87"/>
      <c r="DO22" s="87"/>
      <c r="DP22" s="87"/>
      <c r="DQ22" s="87"/>
      <c r="DR22" s="87"/>
      <c r="DS22" s="87"/>
      <c r="DT22" s="87"/>
      <c r="DU22" s="87"/>
      <c r="DV22" s="87"/>
      <c r="DW22" s="87"/>
      <c r="DX22" s="87"/>
      <c r="DY22" s="87"/>
      <c r="DZ22" s="87"/>
      <c r="EA22" s="87"/>
      <c r="EB22" s="87"/>
      <c r="EC22" s="87"/>
      <c r="ED22" s="87"/>
      <c r="EE22" s="87"/>
      <c r="EF22" s="87"/>
      <c r="EG22" s="87"/>
      <c r="EH22" s="87"/>
      <c r="EI22" s="87"/>
      <c r="EJ22" s="87"/>
      <c r="EK22" s="87"/>
      <c r="EL22" s="87"/>
      <c r="EM22" s="87"/>
      <c r="EN22" s="87"/>
      <c r="EO22" s="87"/>
      <c r="EP22" s="87"/>
      <c r="EQ22" s="87"/>
      <c r="ER22" s="87"/>
      <c r="ES22" s="87"/>
      <c r="ET22" s="79"/>
      <c r="EU22" s="87"/>
      <c r="EV22" s="87"/>
      <c r="EW22" s="87"/>
      <c r="EX22" s="87"/>
      <c r="EY22" s="87"/>
      <c r="EZ22" s="87"/>
      <c r="FA22" s="87"/>
      <c r="FB22" s="87"/>
      <c r="FC22" s="87"/>
      <c r="FD22" s="87"/>
      <c r="FE22" s="87"/>
      <c r="FF22" s="87"/>
      <c r="FG22" s="87"/>
      <c r="FH22" s="87"/>
      <c r="FI22" s="87"/>
      <c r="FJ22" s="87"/>
      <c r="FK22" s="87"/>
      <c r="FL22" s="87"/>
      <c r="FM22" s="87"/>
      <c r="FN22" s="87"/>
      <c r="FO22" s="87"/>
      <c r="FP22" s="87"/>
      <c r="FQ22" s="87"/>
      <c r="FR22" s="87"/>
      <c r="FS22" s="87"/>
      <c r="FT22" s="87"/>
      <c r="FU22" s="87"/>
      <c r="FV22" s="87"/>
      <c r="FW22" s="87"/>
      <c r="FX22" s="87"/>
      <c r="FY22" s="87"/>
      <c r="FZ22" s="87"/>
      <c r="GA22" s="87"/>
      <c r="GB22" s="87"/>
      <c r="GC22" s="87"/>
      <c r="GD22" s="87"/>
      <c r="GE22" s="87"/>
      <c r="GF22" s="87"/>
      <c r="GG22" s="87"/>
      <c r="GH22" s="87"/>
      <c r="GI22" s="87"/>
      <c r="GJ22" s="87"/>
      <c r="GK22" s="87"/>
      <c r="GL22" s="87"/>
      <c r="GM22" s="87"/>
      <c r="GN22" s="87"/>
      <c r="GO22" s="87"/>
      <c r="GP22" s="87"/>
      <c r="GQ22" s="87"/>
      <c r="GR22" s="87"/>
      <c r="GS22" s="87"/>
      <c r="GT22" s="87"/>
      <c r="GU22" s="87"/>
      <c r="GV22" s="87"/>
      <c r="GW22" s="87"/>
      <c r="GX22" s="87"/>
      <c r="GY22" s="87"/>
      <c r="GZ22" s="87"/>
      <c r="HA22" s="87"/>
      <c r="HB22" s="87"/>
      <c r="HC22" s="87"/>
      <c r="HD22" s="87"/>
      <c r="HE22" s="87"/>
      <c r="HF22" s="87"/>
      <c r="HG22" s="87"/>
      <c r="HH22" s="87"/>
      <c r="HI22" s="87"/>
      <c r="HJ22" s="87"/>
      <c r="HK22" s="87"/>
      <c r="HL22" s="87"/>
      <c r="HM22" s="87"/>
      <c r="HN22" s="87"/>
      <c r="HO22" s="87"/>
      <c r="HP22" s="87"/>
      <c r="HQ22" s="87"/>
      <c r="HR22" s="87"/>
      <c r="HS22" s="87"/>
      <c r="HT22" s="87"/>
      <c r="HU22" s="87"/>
      <c r="HV22" s="87"/>
      <c r="HW22" s="87"/>
      <c r="HX22" s="87"/>
      <c r="HY22" s="87"/>
      <c r="HZ22" s="87"/>
      <c r="IA22" s="87"/>
      <c r="IB22" s="87"/>
      <c r="IC22" s="87"/>
      <c r="ID22" s="87"/>
      <c r="IE22" s="87"/>
      <c r="IF22" s="87"/>
      <c r="IG22" s="87"/>
      <c r="IH22" s="87"/>
      <c r="II22" s="87"/>
      <c r="IJ22" s="87"/>
      <c r="IK22" s="87"/>
      <c r="IL22" s="87"/>
      <c r="IM22" s="87"/>
      <c r="IN22" s="87"/>
      <c r="IO22" s="87"/>
      <c r="IP22" s="87"/>
      <c r="IQ22" s="87"/>
      <c r="IR22" s="87"/>
      <c r="IS22" s="87"/>
      <c r="IT22" s="87"/>
      <c r="IU22" s="87"/>
      <c r="IV22" s="87"/>
      <c r="IW22" s="87"/>
    </row>
    <row r="23" spans="2:257" s="14" customFormat="1" ht="15.6">
      <c r="B23" s="30">
        <v>1.01</v>
      </c>
      <c r="C23" s="38" t="s">
        <v>143</v>
      </c>
      <c r="D23" s="31"/>
      <c r="E23" s="32"/>
      <c r="F23" s="88"/>
      <c r="G23" s="88"/>
      <c r="H23" s="88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34"/>
      <c r="V23" s="34"/>
      <c r="W23" s="49"/>
      <c r="X23" s="48"/>
      <c r="Y23" s="48"/>
      <c r="Z23" s="34"/>
      <c r="AA23" s="34"/>
      <c r="AB23" s="34"/>
      <c r="AC23" s="49"/>
      <c r="AD23" s="49"/>
      <c r="AE23" s="49"/>
      <c r="AF23" s="49"/>
      <c r="AG23" s="88"/>
      <c r="AH23" s="88"/>
      <c r="AI23" s="88"/>
      <c r="AJ23" s="88"/>
      <c r="AK23" s="88"/>
      <c r="AL23" s="88"/>
      <c r="AM23" s="88"/>
      <c r="AN23" s="88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7"/>
      <c r="BF23" s="87"/>
      <c r="BG23" s="87"/>
      <c r="BH23" s="87"/>
      <c r="BI23" s="87"/>
      <c r="BJ23" s="87"/>
      <c r="BK23" s="87"/>
      <c r="BL23" s="87"/>
      <c r="BM23" s="87"/>
      <c r="BN23" s="87"/>
      <c r="BO23" s="87"/>
      <c r="BP23" s="87"/>
      <c r="BQ23" s="87"/>
      <c r="BR23" s="87"/>
      <c r="BS23" s="87"/>
      <c r="BT23" s="87"/>
      <c r="BU23" s="87"/>
      <c r="BV23" s="87"/>
      <c r="BW23" s="87"/>
      <c r="BX23" s="87"/>
      <c r="BY23" s="87"/>
      <c r="BZ23" s="87"/>
      <c r="CA23" s="87"/>
      <c r="CB23" s="87"/>
      <c r="CC23" s="79"/>
      <c r="CD23" s="79"/>
      <c r="CE23" s="87"/>
      <c r="CF23" s="87"/>
      <c r="CG23" s="87"/>
      <c r="CH23" s="87"/>
      <c r="CI23" s="87"/>
      <c r="CJ23" s="87"/>
      <c r="CK23" s="87"/>
      <c r="CL23" s="87"/>
      <c r="CM23" s="87"/>
      <c r="CN23" s="87"/>
      <c r="CO23" s="87"/>
      <c r="CP23" s="87"/>
      <c r="CQ23" s="87"/>
      <c r="CR23" s="87"/>
      <c r="CS23" s="87"/>
      <c r="CT23" s="87"/>
      <c r="CU23" s="87"/>
      <c r="CV23" s="79"/>
      <c r="CW23" s="87"/>
      <c r="CX23" s="87"/>
      <c r="CY23" s="87"/>
      <c r="CZ23" s="87"/>
      <c r="DA23" s="87"/>
      <c r="DB23" s="87"/>
      <c r="DC23" s="87"/>
      <c r="DD23" s="87"/>
      <c r="DE23" s="87"/>
      <c r="DF23" s="87"/>
      <c r="DG23" s="87"/>
      <c r="DH23" s="87"/>
      <c r="DI23" s="87"/>
      <c r="DJ23" s="87"/>
      <c r="DK23" s="87"/>
      <c r="DL23" s="87"/>
      <c r="DM23" s="87"/>
      <c r="DN23" s="87"/>
      <c r="DO23" s="87"/>
      <c r="DP23" s="87"/>
      <c r="DQ23" s="87"/>
      <c r="DR23" s="87"/>
      <c r="DS23" s="87"/>
      <c r="DT23" s="87"/>
      <c r="DU23" s="87"/>
      <c r="DV23" s="87"/>
      <c r="DW23" s="87"/>
      <c r="DX23" s="87"/>
      <c r="DY23" s="87"/>
      <c r="DZ23" s="87"/>
      <c r="EA23" s="87"/>
      <c r="EB23" s="87"/>
      <c r="EC23" s="87"/>
      <c r="ED23" s="87"/>
      <c r="EE23" s="87"/>
      <c r="EF23" s="87"/>
      <c r="EG23" s="87"/>
      <c r="EH23" s="87"/>
      <c r="EI23" s="87"/>
      <c r="EJ23" s="87"/>
      <c r="EK23" s="87"/>
      <c r="EL23" s="87"/>
      <c r="EM23" s="87"/>
      <c r="EN23" s="87"/>
      <c r="EO23" s="87"/>
      <c r="EP23" s="87"/>
      <c r="EQ23" s="87"/>
      <c r="ER23" s="87"/>
      <c r="ES23" s="87"/>
      <c r="ET23" s="79"/>
      <c r="EU23" s="87"/>
      <c r="EV23" s="87"/>
      <c r="EW23" s="87"/>
      <c r="EX23" s="87"/>
      <c r="EY23" s="87"/>
      <c r="EZ23" s="87"/>
      <c r="FA23" s="87"/>
      <c r="FB23" s="87"/>
      <c r="FC23" s="87"/>
      <c r="FD23" s="87"/>
      <c r="FE23" s="87"/>
      <c r="FF23" s="87"/>
      <c r="FG23" s="87"/>
      <c r="FH23" s="87"/>
      <c r="FI23" s="87"/>
      <c r="FJ23" s="87"/>
      <c r="FK23" s="87"/>
      <c r="FL23" s="87"/>
      <c r="FM23" s="87"/>
      <c r="FN23" s="87"/>
      <c r="FO23" s="87"/>
      <c r="FP23" s="87"/>
      <c r="FQ23" s="87"/>
      <c r="FR23" s="87"/>
      <c r="FS23" s="87"/>
      <c r="FT23" s="87"/>
      <c r="FU23" s="87"/>
      <c r="FV23" s="87"/>
      <c r="FW23" s="87"/>
      <c r="FX23" s="87"/>
      <c r="FY23" s="87"/>
      <c r="FZ23" s="87"/>
      <c r="GA23" s="87"/>
      <c r="GB23" s="87"/>
      <c r="GC23" s="87"/>
      <c r="GD23" s="87"/>
      <c r="GE23" s="87"/>
      <c r="GF23" s="87"/>
      <c r="GG23" s="87"/>
      <c r="GH23" s="87"/>
      <c r="GI23" s="87"/>
      <c r="GJ23" s="87"/>
      <c r="GK23" s="87"/>
      <c r="GL23" s="87"/>
      <c r="GM23" s="87"/>
      <c r="GN23" s="87"/>
      <c r="GO23" s="87"/>
      <c r="GP23" s="87"/>
      <c r="GQ23" s="87"/>
      <c r="GR23" s="87"/>
      <c r="GS23" s="87"/>
      <c r="GT23" s="87"/>
      <c r="GU23" s="87"/>
      <c r="GV23" s="87"/>
      <c r="GW23" s="87"/>
      <c r="GX23" s="87"/>
      <c r="GY23" s="87"/>
      <c r="GZ23" s="87"/>
      <c r="HA23" s="87"/>
      <c r="HB23" s="87"/>
      <c r="HC23" s="87"/>
      <c r="HD23" s="87"/>
      <c r="HE23" s="87"/>
      <c r="HF23" s="87"/>
      <c r="HG23" s="87"/>
      <c r="HH23" s="87"/>
      <c r="HI23" s="87"/>
      <c r="HJ23" s="87"/>
      <c r="HK23" s="87"/>
      <c r="HL23" s="87"/>
      <c r="HM23" s="87"/>
      <c r="HN23" s="87"/>
      <c r="HO23" s="87"/>
      <c r="HP23" s="87"/>
      <c r="HQ23" s="87"/>
      <c r="HR23" s="87"/>
      <c r="HS23" s="87"/>
      <c r="HT23" s="87"/>
      <c r="HU23" s="87"/>
      <c r="HV23" s="87"/>
      <c r="HW23" s="87"/>
      <c r="HX23" s="87"/>
      <c r="HY23" s="87"/>
      <c r="HZ23" s="87"/>
      <c r="IA23" s="87"/>
      <c r="IB23" s="87"/>
      <c r="IC23" s="87"/>
      <c r="ID23" s="87"/>
      <c r="IE23" s="87"/>
      <c r="IF23" s="87"/>
      <c r="IG23" s="87"/>
      <c r="IH23" s="87"/>
      <c r="II23" s="87"/>
      <c r="IJ23" s="87"/>
      <c r="IK23" s="87"/>
      <c r="IL23" s="87"/>
      <c r="IM23" s="87"/>
      <c r="IN23" s="87"/>
      <c r="IO23" s="87"/>
      <c r="IP23" s="87"/>
      <c r="IQ23" s="87"/>
      <c r="IR23" s="87"/>
      <c r="IS23" s="87"/>
      <c r="IT23" s="87"/>
      <c r="IU23" s="87"/>
      <c r="IV23" s="87"/>
      <c r="IW23" s="87"/>
    </row>
    <row r="24" spans="2:257" s="14" customFormat="1" ht="15.6">
      <c r="B24" s="30">
        <v>1.01</v>
      </c>
      <c r="C24" s="38" t="s">
        <v>144</v>
      </c>
      <c r="D24" s="31"/>
      <c r="E24" s="32"/>
      <c r="F24" s="88"/>
      <c r="G24" s="88"/>
      <c r="H24" s="88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8"/>
      <c r="W24" s="48"/>
      <c r="X24" s="49"/>
      <c r="Y24" s="49"/>
      <c r="Z24" s="49"/>
      <c r="AA24" s="34"/>
      <c r="AB24" s="34"/>
      <c r="AC24" s="49"/>
      <c r="AD24" s="49"/>
      <c r="AE24" s="49"/>
      <c r="AF24" s="49"/>
      <c r="AG24" s="88"/>
      <c r="AH24" s="88"/>
      <c r="AI24" s="88"/>
      <c r="AJ24" s="88"/>
      <c r="AK24" s="88"/>
      <c r="AL24" s="88"/>
      <c r="AM24" s="88"/>
      <c r="AN24" s="88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87"/>
      <c r="BK24" s="87"/>
      <c r="BL24" s="87"/>
      <c r="BM24" s="87"/>
      <c r="BN24" s="87"/>
      <c r="BO24" s="87"/>
      <c r="BP24" s="87"/>
      <c r="BQ24" s="87"/>
      <c r="BR24" s="87"/>
      <c r="BS24" s="87"/>
      <c r="BT24" s="87"/>
      <c r="BU24" s="87"/>
      <c r="BV24" s="87"/>
      <c r="BW24" s="87"/>
      <c r="BX24" s="87"/>
      <c r="BY24" s="87"/>
      <c r="BZ24" s="87"/>
      <c r="CA24" s="87"/>
      <c r="CB24" s="87"/>
      <c r="CC24" s="79"/>
      <c r="CD24" s="79"/>
      <c r="CE24" s="87"/>
      <c r="CF24" s="87"/>
      <c r="CG24" s="87"/>
      <c r="CH24" s="87"/>
      <c r="CI24" s="87"/>
      <c r="CJ24" s="87"/>
      <c r="CK24" s="87"/>
      <c r="CL24" s="87"/>
      <c r="CM24" s="87"/>
      <c r="CN24" s="87"/>
      <c r="CO24" s="87"/>
      <c r="CP24" s="87"/>
      <c r="CQ24" s="87"/>
      <c r="CR24" s="87"/>
      <c r="CS24" s="87"/>
      <c r="CT24" s="87"/>
      <c r="CU24" s="87"/>
      <c r="CV24" s="79"/>
      <c r="CW24" s="87"/>
      <c r="CX24" s="87"/>
      <c r="CY24" s="87"/>
      <c r="CZ24" s="87"/>
      <c r="DA24" s="87"/>
      <c r="DB24" s="87"/>
      <c r="DC24" s="87"/>
      <c r="DD24" s="87"/>
      <c r="DE24" s="87"/>
      <c r="DF24" s="87"/>
      <c r="DG24" s="87"/>
      <c r="DH24" s="87"/>
      <c r="DI24" s="87"/>
      <c r="DJ24" s="87"/>
      <c r="DK24" s="87"/>
      <c r="DL24" s="87"/>
      <c r="DM24" s="87"/>
      <c r="DN24" s="87"/>
      <c r="DO24" s="87"/>
      <c r="DP24" s="87"/>
      <c r="DQ24" s="87"/>
      <c r="DR24" s="87"/>
      <c r="DS24" s="87"/>
      <c r="DT24" s="87"/>
      <c r="DU24" s="87"/>
      <c r="DV24" s="87"/>
      <c r="DW24" s="87"/>
      <c r="DX24" s="87"/>
      <c r="DY24" s="87"/>
      <c r="DZ24" s="87"/>
      <c r="EA24" s="87"/>
      <c r="EB24" s="87"/>
      <c r="EC24" s="87"/>
      <c r="ED24" s="87"/>
      <c r="EE24" s="87"/>
      <c r="EF24" s="87"/>
      <c r="EG24" s="87"/>
      <c r="EH24" s="87"/>
      <c r="EI24" s="87"/>
      <c r="EJ24" s="87"/>
      <c r="EK24" s="87"/>
      <c r="EL24" s="87"/>
      <c r="EM24" s="87"/>
      <c r="EN24" s="87"/>
      <c r="EO24" s="87"/>
      <c r="EP24" s="87"/>
      <c r="EQ24" s="87"/>
      <c r="ER24" s="87"/>
      <c r="ES24" s="87"/>
      <c r="ET24" s="79"/>
      <c r="EU24" s="87"/>
      <c r="EV24" s="87"/>
      <c r="EW24" s="87"/>
      <c r="EX24" s="87"/>
      <c r="EY24" s="87"/>
      <c r="EZ24" s="87"/>
      <c r="FA24" s="87"/>
      <c r="FB24" s="87"/>
      <c r="FC24" s="87"/>
      <c r="FD24" s="87"/>
      <c r="FE24" s="87"/>
      <c r="FF24" s="87"/>
      <c r="FG24" s="87"/>
      <c r="FH24" s="87"/>
      <c r="FI24" s="87"/>
      <c r="FJ24" s="87"/>
      <c r="FK24" s="87"/>
      <c r="FL24" s="87"/>
      <c r="FM24" s="87"/>
      <c r="FN24" s="87"/>
      <c r="FO24" s="87"/>
      <c r="FP24" s="87"/>
      <c r="FQ24" s="87"/>
      <c r="FR24" s="87"/>
      <c r="FS24" s="87"/>
      <c r="FT24" s="87"/>
      <c r="FU24" s="87"/>
      <c r="FV24" s="87"/>
      <c r="FW24" s="87"/>
      <c r="FX24" s="87"/>
      <c r="FY24" s="87"/>
      <c r="FZ24" s="87"/>
      <c r="GA24" s="87"/>
      <c r="GB24" s="87"/>
      <c r="GC24" s="87"/>
      <c r="GD24" s="87"/>
      <c r="GE24" s="87"/>
      <c r="GF24" s="87"/>
      <c r="GG24" s="87"/>
      <c r="GH24" s="87"/>
      <c r="GI24" s="87"/>
      <c r="GJ24" s="87"/>
      <c r="GK24" s="87"/>
      <c r="GL24" s="87"/>
      <c r="GM24" s="87"/>
      <c r="GN24" s="87"/>
      <c r="GO24" s="87"/>
      <c r="GP24" s="87"/>
      <c r="GQ24" s="87"/>
      <c r="GR24" s="87"/>
      <c r="GS24" s="87"/>
      <c r="GT24" s="87"/>
      <c r="GU24" s="87"/>
      <c r="GV24" s="87"/>
      <c r="GW24" s="87"/>
      <c r="GX24" s="87"/>
      <c r="GY24" s="87"/>
      <c r="GZ24" s="87"/>
      <c r="HA24" s="87"/>
      <c r="HB24" s="87"/>
      <c r="HC24" s="87"/>
      <c r="HD24" s="87"/>
      <c r="HE24" s="87"/>
      <c r="HF24" s="87"/>
      <c r="HG24" s="87"/>
      <c r="HH24" s="87"/>
      <c r="HI24" s="87"/>
      <c r="HJ24" s="87"/>
      <c r="HK24" s="87"/>
      <c r="HL24" s="87"/>
      <c r="HM24" s="87"/>
      <c r="HN24" s="87"/>
      <c r="HO24" s="87"/>
      <c r="HP24" s="87"/>
      <c r="HQ24" s="87"/>
      <c r="HR24" s="87"/>
      <c r="HS24" s="87"/>
      <c r="HT24" s="87"/>
      <c r="HU24" s="87"/>
      <c r="HV24" s="87"/>
      <c r="HW24" s="87"/>
      <c r="HX24" s="87"/>
      <c r="HY24" s="87"/>
      <c r="HZ24" s="87"/>
      <c r="IA24" s="87"/>
      <c r="IB24" s="87"/>
      <c r="IC24" s="87"/>
      <c r="ID24" s="87"/>
      <c r="IE24" s="87"/>
      <c r="IF24" s="87"/>
      <c r="IG24" s="87"/>
      <c r="IH24" s="87"/>
      <c r="II24" s="87"/>
      <c r="IJ24" s="87"/>
      <c r="IK24" s="87"/>
      <c r="IL24" s="87"/>
      <c r="IM24" s="87"/>
      <c r="IN24" s="87"/>
      <c r="IO24" s="87"/>
      <c r="IP24" s="87"/>
      <c r="IQ24" s="87"/>
      <c r="IR24" s="87"/>
      <c r="IS24" s="87"/>
      <c r="IT24" s="87"/>
      <c r="IU24" s="87"/>
      <c r="IV24" s="87"/>
      <c r="IW24" s="87"/>
    </row>
    <row r="25" spans="2:257" s="14" customFormat="1" ht="15.6">
      <c r="B25" s="30">
        <v>1.01</v>
      </c>
      <c r="C25" s="38" t="s">
        <v>145</v>
      </c>
      <c r="D25" s="31"/>
      <c r="E25" s="32"/>
      <c r="F25" s="88"/>
      <c r="G25" s="88"/>
      <c r="H25" s="88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8"/>
      <c r="W25" s="49"/>
      <c r="X25" s="49"/>
      <c r="Y25" s="49"/>
      <c r="Z25" s="49"/>
      <c r="AA25" s="34"/>
      <c r="AB25" s="34"/>
      <c r="AC25" s="49"/>
      <c r="AD25" s="49"/>
      <c r="AE25" s="49"/>
      <c r="AF25" s="49"/>
      <c r="AG25" s="88"/>
      <c r="AH25" s="88"/>
      <c r="AI25" s="88"/>
      <c r="AJ25" s="88"/>
      <c r="AK25" s="88"/>
      <c r="AL25" s="88"/>
      <c r="AM25" s="88"/>
      <c r="AN25" s="88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87"/>
      <c r="BF25" s="87"/>
      <c r="BG25" s="87"/>
      <c r="BH25" s="87"/>
      <c r="BI25" s="87"/>
      <c r="BJ25" s="87"/>
      <c r="BK25" s="87"/>
      <c r="BL25" s="87"/>
      <c r="BM25" s="87"/>
      <c r="BN25" s="87"/>
      <c r="BO25" s="87"/>
      <c r="BP25" s="87"/>
      <c r="BQ25" s="87"/>
      <c r="BR25" s="87"/>
      <c r="BS25" s="87"/>
      <c r="BT25" s="87"/>
      <c r="BU25" s="87"/>
      <c r="BV25" s="87"/>
      <c r="BW25" s="87"/>
      <c r="BX25" s="87"/>
      <c r="BY25" s="87"/>
      <c r="BZ25" s="87"/>
      <c r="CA25" s="87"/>
      <c r="CB25" s="87"/>
      <c r="CC25" s="79"/>
      <c r="CD25" s="79"/>
      <c r="CE25" s="87"/>
      <c r="CF25" s="87"/>
      <c r="CG25" s="87"/>
      <c r="CH25" s="87"/>
      <c r="CI25" s="87"/>
      <c r="CJ25" s="87"/>
      <c r="CK25" s="87"/>
      <c r="CL25" s="87"/>
      <c r="CM25" s="87"/>
      <c r="CN25" s="87"/>
      <c r="CO25" s="87"/>
      <c r="CP25" s="87"/>
      <c r="CQ25" s="87"/>
      <c r="CR25" s="87"/>
      <c r="CS25" s="87"/>
      <c r="CT25" s="87"/>
      <c r="CU25" s="87"/>
      <c r="CV25" s="79"/>
      <c r="CW25" s="87"/>
      <c r="CX25" s="87"/>
      <c r="CY25" s="87"/>
      <c r="CZ25" s="87"/>
      <c r="DA25" s="87"/>
      <c r="DB25" s="87"/>
      <c r="DC25" s="87"/>
      <c r="DD25" s="87"/>
      <c r="DE25" s="87"/>
      <c r="DF25" s="87"/>
      <c r="DG25" s="87"/>
      <c r="DH25" s="87"/>
      <c r="DI25" s="87"/>
      <c r="DJ25" s="87"/>
      <c r="DK25" s="87"/>
      <c r="DL25" s="87"/>
      <c r="DM25" s="87"/>
      <c r="DN25" s="87"/>
      <c r="DO25" s="87"/>
      <c r="DP25" s="87"/>
      <c r="DQ25" s="87"/>
      <c r="DR25" s="87"/>
      <c r="DS25" s="87"/>
      <c r="DT25" s="87"/>
      <c r="DU25" s="87"/>
      <c r="DV25" s="87"/>
      <c r="DW25" s="87"/>
      <c r="DX25" s="87"/>
      <c r="DY25" s="87"/>
      <c r="DZ25" s="87"/>
      <c r="EA25" s="87"/>
      <c r="EB25" s="87"/>
      <c r="EC25" s="87"/>
      <c r="ED25" s="87"/>
      <c r="EE25" s="87"/>
      <c r="EF25" s="87"/>
      <c r="EG25" s="87"/>
      <c r="EH25" s="87"/>
      <c r="EI25" s="87"/>
      <c r="EJ25" s="87"/>
      <c r="EK25" s="87"/>
      <c r="EL25" s="87"/>
      <c r="EM25" s="87"/>
      <c r="EN25" s="87"/>
      <c r="EO25" s="87"/>
      <c r="EP25" s="87"/>
      <c r="EQ25" s="87"/>
      <c r="ER25" s="87"/>
      <c r="ES25" s="87"/>
      <c r="ET25" s="79"/>
      <c r="EU25" s="87"/>
      <c r="EV25" s="87"/>
      <c r="EW25" s="87"/>
      <c r="EX25" s="87"/>
      <c r="EY25" s="87"/>
      <c r="EZ25" s="87"/>
      <c r="FA25" s="87"/>
      <c r="FB25" s="87"/>
      <c r="FC25" s="87"/>
      <c r="FD25" s="87"/>
      <c r="FE25" s="87"/>
      <c r="FF25" s="87"/>
      <c r="FG25" s="87"/>
      <c r="FH25" s="87"/>
      <c r="FI25" s="87"/>
      <c r="FJ25" s="87"/>
      <c r="FK25" s="87"/>
      <c r="FL25" s="87"/>
      <c r="FM25" s="87"/>
      <c r="FN25" s="87"/>
      <c r="FO25" s="87"/>
      <c r="FP25" s="87"/>
      <c r="FQ25" s="87"/>
      <c r="FR25" s="87"/>
      <c r="FS25" s="87"/>
      <c r="FT25" s="87"/>
      <c r="FU25" s="87"/>
      <c r="FV25" s="87"/>
      <c r="FW25" s="87"/>
      <c r="FX25" s="87"/>
      <c r="FY25" s="87"/>
      <c r="FZ25" s="87"/>
      <c r="GA25" s="87"/>
      <c r="GB25" s="87"/>
      <c r="GC25" s="87"/>
      <c r="GD25" s="87"/>
      <c r="GE25" s="87"/>
      <c r="GF25" s="87"/>
      <c r="GG25" s="87"/>
      <c r="GH25" s="87"/>
      <c r="GI25" s="87"/>
      <c r="GJ25" s="87"/>
      <c r="GK25" s="87"/>
      <c r="GL25" s="87"/>
      <c r="GM25" s="87"/>
      <c r="GN25" s="87"/>
      <c r="GO25" s="87"/>
      <c r="GP25" s="87"/>
      <c r="GQ25" s="87"/>
      <c r="GR25" s="87"/>
      <c r="GS25" s="87"/>
      <c r="GT25" s="87"/>
      <c r="GU25" s="87"/>
      <c r="GV25" s="87"/>
      <c r="GW25" s="87"/>
      <c r="GX25" s="87"/>
      <c r="GY25" s="87"/>
      <c r="GZ25" s="87"/>
      <c r="HA25" s="87"/>
      <c r="HB25" s="87"/>
      <c r="HC25" s="87"/>
      <c r="HD25" s="87"/>
      <c r="HE25" s="87"/>
      <c r="HF25" s="87"/>
      <c r="HG25" s="87"/>
      <c r="HH25" s="87"/>
      <c r="HI25" s="87"/>
      <c r="HJ25" s="87"/>
      <c r="HK25" s="87"/>
      <c r="HL25" s="87"/>
      <c r="HM25" s="87"/>
      <c r="HN25" s="87"/>
      <c r="HO25" s="87"/>
      <c r="HP25" s="87"/>
      <c r="HQ25" s="87"/>
      <c r="HR25" s="87"/>
      <c r="HS25" s="87"/>
      <c r="HT25" s="87"/>
      <c r="HU25" s="87"/>
      <c r="HV25" s="87"/>
      <c r="HW25" s="87"/>
      <c r="HX25" s="87"/>
      <c r="HY25" s="87"/>
      <c r="HZ25" s="87"/>
      <c r="IA25" s="87"/>
      <c r="IB25" s="87"/>
      <c r="IC25" s="87"/>
      <c r="ID25" s="87"/>
      <c r="IE25" s="87"/>
      <c r="IF25" s="87"/>
      <c r="IG25" s="87"/>
      <c r="IH25" s="87"/>
      <c r="II25" s="87"/>
      <c r="IJ25" s="87"/>
      <c r="IK25" s="87"/>
      <c r="IL25" s="87"/>
      <c r="IM25" s="87"/>
      <c r="IN25" s="87"/>
      <c r="IO25" s="87"/>
      <c r="IP25" s="87"/>
      <c r="IQ25" s="87"/>
      <c r="IR25" s="87"/>
      <c r="IS25" s="87"/>
      <c r="IT25" s="87"/>
      <c r="IU25" s="87"/>
      <c r="IV25" s="87"/>
      <c r="IW25" s="87"/>
    </row>
    <row r="26" spans="2:257" s="14" customFormat="1" ht="15.6">
      <c r="B26" s="30">
        <v>1.01</v>
      </c>
      <c r="C26" s="38" t="s">
        <v>146</v>
      </c>
      <c r="D26" s="31"/>
      <c r="E26" s="32"/>
      <c r="F26" s="88"/>
      <c r="G26" s="88"/>
      <c r="H26" s="88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34"/>
      <c r="W26" s="48"/>
      <c r="X26" s="48"/>
      <c r="Y26" s="48"/>
      <c r="Z26" s="49"/>
      <c r="AA26" s="49"/>
      <c r="AB26" s="49"/>
      <c r="AC26" s="49"/>
      <c r="AD26" s="49"/>
      <c r="AE26" s="49"/>
      <c r="AF26" s="49"/>
      <c r="AG26" s="88"/>
      <c r="AH26" s="88"/>
      <c r="AI26" s="88"/>
      <c r="AJ26" s="88"/>
      <c r="AK26" s="88"/>
      <c r="AL26" s="88"/>
      <c r="AM26" s="88"/>
      <c r="AN26" s="88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87"/>
      <c r="BK26" s="87"/>
      <c r="BL26" s="87"/>
      <c r="BM26" s="87"/>
      <c r="BN26" s="87"/>
      <c r="BO26" s="87"/>
      <c r="BP26" s="87"/>
      <c r="BQ26" s="87"/>
      <c r="BR26" s="87"/>
      <c r="BS26" s="87"/>
      <c r="BT26" s="87"/>
      <c r="BU26" s="87"/>
      <c r="BV26" s="87"/>
      <c r="BW26" s="87"/>
      <c r="BX26" s="87"/>
      <c r="BY26" s="87"/>
      <c r="BZ26" s="87"/>
      <c r="CA26" s="87"/>
      <c r="CB26" s="87"/>
      <c r="CC26" s="79"/>
      <c r="CD26" s="79"/>
      <c r="CE26" s="87"/>
      <c r="CF26" s="87"/>
      <c r="CG26" s="87"/>
      <c r="CH26" s="87"/>
      <c r="CI26" s="87"/>
      <c r="CJ26" s="87"/>
      <c r="CK26" s="87"/>
      <c r="CL26" s="87"/>
      <c r="CM26" s="87"/>
      <c r="CN26" s="87"/>
      <c r="CO26" s="87"/>
      <c r="CP26" s="87"/>
      <c r="CQ26" s="87"/>
      <c r="CR26" s="87"/>
      <c r="CS26" s="87"/>
      <c r="CT26" s="87"/>
      <c r="CU26" s="87"/>
      <c r="CV26" s="79"/>
      <c r="CW26" s="87"/>
      <c r="CX26" s="87"/>
      <c r="CY26" s="87"/>
      <c r="CZ26" s="87"/>
      <c r="DA26" s="87"/>
      <c r="DB26" s="87"/>
      <c r="DC26" s="87"/>
      <c r="DD26" s="87"/>
      <c r="DE26" s="87"/>
      <c r="DF26" s="87"/>
      <c r="DG26" s="87"/>
      <c r="DH26" s="87"/>
      <c r="DI26" s="87"/>
      <c r="DJ26" s="87"/>
      <c r="DK26" s="87"/>
      <c r="DL26" s="87"/>
      <c r="DM26" s="87"/>
      <c r="DN26" s="87"/>
      <c r="DO26" s="87"/>
      <c r="DP26" s="87"/>
      <c r="DQ26" s="87"/>
      <c r="DR26" s="87"/>
      <c r="DS26" s="87"/>
      <c r="DT26" s="87"/>
      <c r="DU26" s="87"/>
      <c r="DV26" s="87"/>
      <c r="DW26" s="87"/>
      <c r="DX26" s="87"/>
      <c r="DY26" s="87"/>
      <c r="DZ26" s="87"/>
      <c r="EA26" s="87"/>
      <c r="EB26" s="87"/>
      <c r="EC26" s="87"/>
      <c r="ED26" s="87"/>
      <c r="EE26" s="87"/>
      <c r="EF26" s="87"/>
      <c r="EG26" s="87"/>
      <c r="EH26" s="87"/>
      <c r="EI26" s="87"/>
      <c r="EJ26" s="87"/>
      <c r="EK26" s="87"/>
      <c r="EL26" s="87"/>
      <c r="EM26" s="87"/>
      <c r="EN26" s="87"/>
      <c r="EO26" s="87"/>
      <c r="EP26" s="87"/>
      <c r="EQ26" s="87"/>
      <c r="ER26" s="87"/>
      <c r="ES26" s="87"/>
      <c r="ET26" s="79"/>
      <c r="EU26" s="87"/>
      <c r="EV26" s="87"/>
      <c r="EW26" s="87"/>
      <c r="EX26" s="87"/>
      <c r="EY26" s="87"/>
      <c r="EZ26" s="87"/>
      <c r="FA26" s="87"/>
      <c r="FB26" s="87"/>
      <c r="FC26" s="87"/>
      <c r="FD26" s="87"/>
      <c r="FE26" s="87"/>
      <c r="FF26" s="87"/>
      <c r="FG26" s="87"/>
      <c r="FH26" s="87"/>
      <c r="FI26" s="87"/>
      <c r="FJ26" s="87"/>
      <c r="FK26" s="87"/>
      <c r="FL26" s="87"/>
      <c r="FM26" s="87"/>
      <c r="FN26" s="87"/>
      <c r="FO26" s="87"/>
      <c r="FP26" s="87"/>
      <c r="FQ26" s="87"/>
      <c r="FR26" s="87"/>
      <c r="FS26" s="87"/>
      <c r="FT26" s="87"/>
      <c r="FU26" s="87"/>
      <c r="FV26" s="87"/>
      <c r="FW26" s="87"/>
      <c r="FX26" s="87"/>
      <c r="FY26" s="87"/>
      <c r="FZ26" s="87"/>
      <c r="GA26" s="87"/>
      <c r="GB26" s="87"/>
      <c r="GC26" s="87"/>
      <c r="GD26" s="87"/>
      <c r="GE26" s="87"/>
      <c r="GF26" s="87"/>
      <c r="GG26" s="87"/>
      <c r="GH26" s="87"/>
      <c r="GI26" s="87"/>
      <c r="GJ26" s="87"/>
      <c r="GK26" s="87"/>
      <c r="GL26" s="87"/>
      <c r="GM26" s="87"/>
      <c r="GN26" s="87"/>
      <c r="GO26" s="87"/>
      <c r="GP26" s="87"/>
      <c r="GQ26" s="87"/>
      <c r="GR26" s="87"/>
      <c r="GS26" s="87"/>
      <c r="GT26" s="87"/>
      <c r="GU26" s="87"/>
      <c r="GV26" s="87"/>
      <c r="GW26" s="87"/>
      <c r="GX26" s="87"/>
      <c r="GY26" s="87"/>
      <c r="GZ26" s="87"/>
      <c r="HA26" s="87"/>
      <c r="HB26" s="87"/>
      <c r="HC26" s="87"/>
      <c r="HD26" s="87"/>
      <c r="HE26" s="87"/>
      <c r="HF26" s="87"/>
      <c r="HG26" s="87"/>
      <c r="HH26" s="87"/>
      <c r="HI26" s="87"/>
      <c r="HJ26" s="87"/>
      <c r="HK26" s="87"/>
      <c r="HL26" s="87"/>
      <c r="HM26" s="87"/>
      <c r="HN26" s="87"/>
      <c r="HO26" s="87"/>
      <c r="HP26" s="87"/>
      <c r="HQ26" s="87"/>
      <c r="HR26" s="87"/>
      <c r="HS26" s="87"/>
      <c r="HT26" s="87"/>
      <c r="HU26" s="87"/>
      <c r="HV26" s="87"/>
      <c r="HW26" s="87"/>
      <c r="HX26" s="87"/>
      <c r="HY26" s="87"/>
      <c r="HZ26" s="87"/>
      <c r="IA26" s="87"/>
      <c r="IB26" s="87"/>
      <c r="IC26" s="87"/>
      <c r="ID26" s="87"/>
      <c r="IE26" s="87"/>
      <c r="IF26" s="87"/>
      <c r="IG26" s="87"/>
      <c r="IH26" s="87"/>
      <c r="II26" s="87"/>
      <c r="IJ26" s="87"/>
      <c r="IK26" s="87"/>
      <c r="IL26" s="87"/>
      <c r="IM26" s="87"/>
      <c r="IN26" s="87"/>
      <c r="IO26" s="87"/>
      <c r="IP26" s="87"/>
      <c r="IQ26" s="87"/>
      <c r="IR26" s="87"/>
      <c r="IS26" s="87"/>
      <c r="IT26" s="87"/>
      <c r="IU26" s="87"/>
      <c r="IV26" s="87"/>
      <c r="IW26" s="87"/>
    </row>
    <row r="27" spans="2:257" s="14" customFormat="1" ht="15.6">
      <c r="B27" s="30">
        <v>1.01</v>
      </c>
      <c r="C27" s="38" t="s">
        <v>147</v>
      </c>
      <c r="D27" s="31"/>
      <c r="E27" s="32"/>
      <c r="F27" s="88"/>
      <c r="G27" s="88"/>
      <c r="H27" s="88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34"/>
      <c r="X27" s="34"/>
      <c r="Y27" s="34"/>
      <c r="Z27" s="48"/>
      <c r="AA27" s="48"/>
      <c r="AB27" s="48"/>
      <c r="AC27" s="48"/>
      <c r="AD27" s="48"/>
      <c r="AE27" s="48"/>
      <c r="AF27" s="34"/>
      <c r="AG27" s="88"/>
      <c r="AH27" s="88"/>
      <c r="AI27" s="88"/>
      <c r="AJ27" s="88"/>
      <c r="AK27" s="88"/>
      <c r="AL27" s="88"/>
      <c r="AM27" s="88"/>
      <c r="AN27" s="88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87"/>
      <c r="BK27" s="87"/>
      <c r="BL27" s="87"/>
      <c r="BM27" s="87"/>
      <c r="BN27" s="87"/>
      <c r="BO27" s="87"/>
      <c r="BP27" s="87"/>
      <c r="BQ27" s="87"/>
      <c r="BR27" s="87"/>
      <c r="BS27" s="87"/>
      <c r="BT27" s="87"/>
      <c r="BU27" s="87"/>
      <c r="BV27" s="87"/>
      <c r="BW27" s="87"/>
      <c r="BX27" s="87"/>
      <c r="BY27" s="87"/>
      <c r="BZ27" s="87"/>
      <c r="CA27" s="87"/>
      <c r="CB27" s="87"/>
      <c r="CC27" s="79"/>
      <c r="CD27" s="79"/>
      <c r="CE27" s="87"/>
      <c r="CF27" s="87"/>
      <c r="CG27" s="87"/>
      <c r="CH27" s="87"/>
      <c r="CI27" s="87"/>
      <c r="CJ27" s="87"/>
      <c r="CK27" s="87"/>
      <c r="CL27" s="87"/>
      <c r="CM27" s="87"/>
      <c r="CN27" s="87"/>
      <c r="CO27" s="87"/>
      <c r="CP27" s="87"/>
      <c r="CQ27" s="87"/>
      <c r="CR27" s="87"/>
      <c r="CS27" s="87"/>
      <c r="CT27" s="87"/>
      <c r="CU27" s="87"/>
      <c r="CV27" s="79"/>
      <c r="CW27" s="87"/>
      <c r="CX27" s="87"/>
      <c r="CY27" s="87"/>
      <c r="CZ27" s="87"/>
      <c r="DA27" s="87"/>
      <c r="DB27" s="87"/>
      <c r="DC27" s="87"/>
      <c r="DD27" s="87"/>
      <c r="DE27" s="87"/>
      <c r="DF27" s="87"/>
      <c r="DG27" s="87"/>
      <c r="DH27" s="87"/>
      <c r="DI27" s="87"/>
      <c r="DJ27" s="87"/>
      <c r="DK27" s="87"/>
      <c r="DL27" s="87"/>
      <c r="DM27" s="87"/>
      <c r="DN27" s="87"/>
      <c r="DO27" s="87"/>
      <c r="DP27" s="87"/>
      <c r="DQ27" s="87"/>
      <c r="DR27" s="87"/>
      <c r="DS27" s="87"/>
      <c r="DT27" s="87"/>
      <c r="DU27" s="87"/>
      <c r="DV27" s="87"/>
      <c r="DW27" s="87"/>
      <c r="DX27" s="87"/>
      <c r="DY27" s="87"/>
      <c r="DZ27" s="87"/>
      <c r="EA27" s="87"/>
      <c r="EB27" s="87"/>
      <c r="EC27" s="87"/>
      <c r="ED27" s="87"/>
      <c r="EE27" s="87"/>
      <c r="EF27" s="87"/>
      <c r="EG27" s="87"/>
      <c r="EH27" s="87"/>
      <c r="EI27" s="87"/>
      <c r="EJ27" s="87"/>
      <c r="EK27" s="87"/>
      <c r="EL27" s="87"/>
      <c r="EM27" s="87"/>
      <c r="EN27" s="87"/>
      <c r="EO27" s="87"/>
      <c r="EP27" s="87"/>
      <c r="EQ27" s="87"/>
      <c r="ER27" s="87"/>
      <c r="ES27" s="87"/>
      <c r="ET27" s="79"/>
      <c r="EU27" s="87"/>
      <c r="EV27" s="87"/>
      <c r="EW27" s="87"/>
      <c r="EX27" s="87"/>
      <c r="EY27" s="87"/>
      <c r="EZ27" s="87"/>
      <c r="FA27" s="87"/>
      <c r="FB27" s="87"/>
      <c r="FC27" s="87"/>
      <c r="FD27" s="87"/>
      <c r="FE27" s="87"/>
      <c r="FF27" s="87"/>
      <c r="FG27" s="87"/>
      <c r="FH27" s="87"/>
      <c r="FI27" s="87"/>
      <c r="FJ27" s="87"/>
      <c r="FK27" s="87"/>
      <c r="FL27" s="87"/>
      <c r="FM27" s="87"/>
      <c r="FN27" s="87"/>
      <c r="FO27" s="87"/>
      <c r="FP27" s="87"/>
      <c r="FQ27" s="87"/>
      <c r="FR27" s="87"/>
      <c r="FS27" s="87"/>
      <c r="FT27" s="87"/>
      <c r="FU27" s="87"/>
      <c r="FV27" s="87"/>
      <c r="FW27" s="87"/>
      <c r="FX27" s="87"/>
      <c r="FY27" s="87"/>
      <c r="FZ27" s="87"/>
      <c r="GA27" s="87"/>
      <c r="GB27" s="87"/>
      <c r="GC27" s="87"/>
      <c r="GD27" s="87"/>
      <c r="GE27" s="87"/>
      <c r="GF27" s="87"/>
      <c r="GG27" s="87"/>
      <c r="GH27" s="87"/>
      <c r="GI27" s="87"/>
      <c r="GJ27" s="87"/>
      <c r="GK27" s="87"/>
      <c r="GL27" s="87"/>
      <c r="GM27" s="87"/>
      <c r="GN27" s="87"/>
      <c r="GO27" s="87"/>
      <c r="GP27" s="87"/>
      <c r="GQ27" s="87"/>
      <c r="GR27" s="87"/>
      <c r="GS27" s="87"/>
      <c r="GT27" s="87"/>
      <c r="GU27" s="87"/>
      <c r="GV27" s="87"/>
      <c r="GW27" s="87"/>
      <c r="GX27" s="87"/>
      <c r="GY27" s="87"/>
      <c r="GZ27" s="87"/>
      <c r="HA27" s="87"/>
      <c r="HB27" s="87"/>
      <c r="HC27" s="87"/>
      <c r="HD27" s="87"/>
      <c r="HE27" s="87"/>
      <c r="HF27" s="87"/>
      <c r="HG27" s="87"/>
      <c r="HH27" s="87"/>
      <c r="HI27" s="87"/>
      <c r="HJ27" s="87"/>
      <c r="HK27" s="87"/>
      <c r="HL27" s="87"/>
      <c r="HM27" s="87"/>
      <c r="HN27" s="87"/>
      <c r="HO27" s="87"/>
      <c r="HP27" s="87"/>
      <c r="HQ27" s="87"/>
      <c r="HR27" s="87"/>
      <c r="HS27" s="87"/>
      <c r="HT27" s="87"/>
      <c r="HU27" s="87"/>
      <c r="HV27" s="87"/>
      <c r="HW27" s="87"/>
      <c r="HX27" s="87"/>
      <c r="HY27" s="87"/>
      <c r="HZ27" s="87"/>
      <c r="IA27" s="87"/>
      <c r="IB27" s="87"/>
      <c r="IC27" s="87"/>
      <c r="ID27" s="87"/>
      <c r="IE27" s="87"/>
      <c r="IF27" s="87"/>
      <c r="IG27" s="87"/>
      <c r="IH27" s="87"/>
      <c r="II27" s="87"/>
      <c r="IJ27" s="87"/>
      <c r="IK27" s="87"/>
      <c r="IL27" s="87"/>
      <c r="IM27" s="87"/>
      <c r="IN27" s="87"/>
      <c r="IO27" s="87"/>
      <c r="IP27" s="87"/>
      <c r="IQ27" s="87"/>
      <c r="IR27" s="87"/>
      <c r="IS27" s="87"/>
      <c r="IT27" s="87"/>
      <c r="IU27" s="87"/>
      <c r="IV27" s="87"/>
      <c r="IW27" s="87"/>
    </row>
    <row r="28" spans="2:257" s="14" customFormat="1" ht="15.6">
      <c r="B28" s="30">
        <v>1.01</v>
      </c>
      <c r="C28" s="38" t="s">
        <v>148</v>
      </c>
      <c r="D28" s="31"/>
      <c r="E28" s="32"/>
      <c r="F28" s="88"/>
      <c r="G28" s="88"/>
      <c r="H28" s="88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34"/>
      <c r="X28" s="34"/>
      <c r="Y28" s="34"/>
      <c r="Z28" s="48"/>
      <c r="AA28" s="48"/>
      <c r="AB28" s="48"/>
      <c r="AC28" s="48"/>
      <c r="AD28" s="48"/>
      <c r="AE28" s="48"/>
      <c r="AF28" s="34"/>
      <c r="AG28" s="88"/>
      <c r="AH28" s="88"/>
      <c r="AI28" s="88"/>
      <c r="AJ28" s="88"/>
      <c r="AK28" s="88"/>
      <c r="AL28" s="88"/>
      <c r="AM28" s="88"/>
      <c r="AN28" s="88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87"/>
      <c r="BK28" s="87"/>
      <c r="BL28" s="87"/>
      <c r="BM28" s="87"/>
      <c r="BN28" s="87"/>
      <c r="BO28" s="87"/>
      <c r="BP28" s="87"/>
      <c r="BQ28" s="87"/>
      <c r="BR28" s="87"/>
      <c r="BS28" s="87"/>
      <c r="BT28" s="87"/>
      <c r="BU28" s="87"/>
      <c r="BV28" s="87"/>
      <c r="BW28" s="87"/>
      <c r="BX28" s="87"/>
      <c r="BY28" s="87"/>
      <c r="BZ28" s="87"/>
      <c r="CA28" s="87"/>
      <c r="CB28" s="87"/>
      <c r="CC28" s="79"/>
      <c r="CD28" s="79"/>
      <c r="CE28" s="87"/>
      <c r="CF28" s="87"/>
      <c r="CG28" s="87"/>
      <c r="CH28" s="87"/>
      <c r="CI28" s="87"/>
      <c r="CJ28" s="87"/>
      <c r="CK28" s="87"/>
      <c r="CL28" s="87"/>
      <c r="CM28" s="87"/>
      <c r="CN28" s="87"/>
      <c r="CO28" s="87"/>
      <c r="CP28" s="87"/>
      <c r="CQ28" s="87"/>
      <c r="CR28" s="87"/>
      <c r="CS28" s="87"/>
      <c r="CT28" s="87"/>
      <c r="CU28" s="87"/>
      <c r="CV28" s="79"/>
      <c r="CW28" s="87"/>
      <c r="CX28" s="87"/>
      <c r="CY28" s="87"/>
      <c r="CZ28" s="87"/>
      <c r="DA28" s="87"/>
      <c r="DB28" s="87"/>
      <c r="DC28" s="87"/>
      <c r="DD28" s="87"/>
      <c r="DE28" s="87"/>
      <c r="DF28" s="87"/>
      <c r="DG28" s="87"/>
      <c r="DH28" s="87"/>
      <c r="DI28" s="87"/>
      <c r="DJ28" s="87"/>
      <c r="DK28" s="87"/>
      <c r="DL28" s="87"/>
      <c r="DM28" s="87"/>
      <c r="DN28" s="87"/>
      <c r="DO28" s="87"/>
      <c r="DP28" s="87"/>
      <c r="DQ28" s="87"/>
      <c r="DR28" s="87"/>
      <c r="DS28" s="87"/>
      <c r="DT28" s="87"/>
      <c r="DU28" s="87"/>
      <c r="DV28" s="87"/>
      <c r="DW28" s="87"/>
      <c r="DX28" s="87"/>
      <c r="DY28" s="87"/>
      <c r="DZ28" s="87"/>
      <c r="EA28" s="87"/>
      <c r="EB28" s="87"/>
      <c r="EC28" s="87"/>
      <c r="ED28" s="87"/>
      <c r="EE28" s="87"/>
      <c r="EF28" s="87"/>
      <c r="EG28" s="87"/>
      <c r="EH28" s="87"/>
      <c r="EI28" s="87"/>
      <c r="EJ28" s="87"/>
      <c r="EK28" s="87"/>
      <c r="EL28" s="87"/>
      <c r="EM28" s="87"/>
      <c r="EN28" s="87"/>
      <c r="EO28" s="87"/>
      <c r="EP28" s="87"/>
      <c r="EQ28" s="87"/>
      <c r="ER28" s="87"/>
      <c r="ES28" s="87"/>
      <c r="ET28" s="79"/>
      <c r="EU28" s="87"/>
      <c r="EV28" s="87"/>
      <c r="EW28" s="87"/>
      <c r="EX28" s="87"/>
      <c r="EY28" s="87"/>
      <c r="EZ28" s="87"/>
      <c r="FA28" s="87"/>
      <c r="FB28" s="87"/>
      <c r="FC28" s="87"/>
      <c r="FD28" s="87"/>
      <c r="FE28" s="87"/>
      <c r="FF28" s="87"/>
      <c r="FG28" s="87"/>
      <c r="FH28" s="87"/>
      <c r="FI28" s="87"/>
      <c r="FJ28" s="87"/>
      <c r="FK28" s="87"/>
      <c r="FL28" s="87"/>
      <c r="FM28" s="87"/>
      <c r="FN28" s="87"/>
      <c r="FO28" s="87"/>
      <c r="FP28" s="87"/>
      <c r="FQ28" s="87"/>
      <c r="FR28" s="87"/>
      <c r="FS28" s="87"/>
      <c r="FT28" s="87"/>
      <c r="FU28" s="87"/>
      <c r="FV28" s="87"/>
      <c r="FW28" s="87"/>
      <c r="FX28" s="87"/>
      <c r="FY28" s="87"/>
      <c r="FZ28" s="87"/>
      <c r="GA28" s="87"/>
      <c r="GB28" s="87"/>
      <c r="GC28" s="87"/>
      <c r="GD28" s="87"/>
      <c r="GE28" s="87"/>
      <c r="GF28" s="87"/>
      <c r="GG28" s="87"/>
      <c r="GH28" s="87"/>
      <c r="GI28" s="87"/>
      <c r="GJ28" s="87"/>
      <c r="GK28" s="87"/>
      <c r="GL28" s="87"/>
      <c r="GM28" s="87"/>
      <c r="GN28" s="87"/>
      <c r="GO28" s="87"/>
      <c r="GP28" s="87"/>
      <c r="GQ28" s="87"/>
      <c r="GR28" s="87"/>
      <c r="GS28" s="87"/>
      <c r="GT28" s="87"/>
      <c r="GU28" s="87"/>
      <c r="GV28" s="87"/>
      <c r="GW28" s="87"/>
      <c r="GX28" s="87"/>
      <c r="GY28" s="87"/>
      <c r="GZ28" s="87"/>
      <c r="HA28" s="87"/>
      <c r="HB28" s="87"/>
      <c r="HC28" s="87"/>
      <c r="HD28" s="87"/>
      <c r="HE28" s="87"/>
      <c r="HF28" s="87"/>
      <c r="HG28" s="87"/>
      <c r="HH28" s="87"/>
      <c r="HI28" s="87"/>
      <c r="HJ28" s="87"/>
      <c r="HK28" s="87"/>
      <c r="HL28" s="87"/>
      <c r="HM28" s="87"/>
      <c r="HN28" s="87"/>
      <c r="HO28" s="87"/>
      <c r="HP28" s="87"/>
      <c r="HQ28" s="87"/>
      <c r="HR28" s="87"/>
      <c r="HS28" s="87"/>
      <c r="HT28" s="87"/>
      <c r="HU28" s="87"/>
      <c r="HV28" s="87"/>
      <c r="HW28" s="87"/>
      <c r="HX28" s="87"/>
      <c r="HY28" s="87"/>
      <c r="HZ28" s="87"/>
      <c r="IA28" s="87"/>
      <c r="IB28" s="87"/>
      <c r="IC28" s="87"/>
      <c r="ID28" s="87"/>
      <c r="IE28" s="87"/>
      <c r="IF28" s="87"/>
      <c r="IG28" s="87"/>
      <c r="IH28" s="87"/>
      <c r="II28" s="87"/>
      <c r="IJ28" s="87"/>
      <c r="IK28" s="87"/>
      <c r="IL28" s="87"/>
      <c r="IM28" s="87"/>
      <c r="IN28" s="87"/>
      <c r="IO28" s="87"/>
      <c r="IP28" s="87"/>
      <c r="IQ28" s="87"/>
      <c r="IR28" s="87"/>
      <c r="IS28" s="87"/>
      <c r="IT28" s="87"/>
      <c r="IU28" s="87"/>
      <c r="IV28" s="87"/>
      <c r="IW28" s="87"/>
    </row>
    <row r="29" spans="2:257" s="14" customFormat="1" ht="15.6">
      <c r="B29" s="30">
        <v>1.01</v>
      </c>
      <c r="C29" s="38" t="s">
        <v>149</v>
      </c>
      <c r="D29" s="31"/>
      <c r="E29" s="32"/>
      <c r="F29" s="88"/>
      <c r="G29" s="88"/>
      <c r="H29" s="88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34"/>
      <c r="X29" s="34"/>
      <c r="Y29" s="34"/>
      <c r="Z29" s="49"/>
      <c r="AA29" s="48"/>
      <c r="AB29" s="48"/>
      <c r="AC29" s="48"/>
      <c r="AD29" s="48"/>
      <c r="AE29" s="48"/>
      <c r="AF29" s="34"/>
      <c r="AG29" s="88"/>
      <c r="AH29" s="88"/>
      <c r="AI29" s="88"/>
      <c r="AJ29" s="88"/>
      <c r="AK29" s="88"/>
      <c r="AL29" s="88"/>
      <c r="AM29" s="88"/>
      <c r="AN29" s="88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87"/>
      <c r="BK29" s="87"/>
      <c r="BL29" s="87"/>
      <c r="BM29" s="87"/>
      <c r="BN29" s="87"/>
      <c r="BO29" s="87"/>
      <c r="BP29" s="87"/>
      <c r="BQ29" s="87"/>
      <c r="BR29" s="87"/>
      <c r="BS29" s="87"/>
      <c r="BT29" s="87"/>
      <c r="BU29" s="87"/>
      <c r="BV29" s="87"/>
      <c r="BW29" s="87"/>
      <c r="BX29" s="87"/>
      <c r="BY29" s="87"/>
      <c r="BZ29" s="87"/>
      <c r="CA29" s="87"/>
      <c r="CB29" s="87"/>
      <c r="CC29" s="79"/>
      <c r="CD29" s="79"/>
      <c r="CE29" s="87"/>
      <c r="CF29" s="87"/>
      <c r="CG29" s="87"/>
      <c r="CH29" s="87"/>
      <c r="CI29" s="87"/>
      <c r="CJ29" s="87"/>
      <c r="CK29" s="87"/>
      <c r="CL29" s="87"/>
      <c r="CM29" s="87"/>
      <c r="CN29" s="87"/>
      <c r="CO29" s="87"/>
      <c r="CP29" s="87"/>
      <c r="CQ29" s="87"/>
      <c r="CR29" s="87"/>
      <c r="CS29" s="87"/>
      <c r="CT29" s="87"/>
      <c r="CU29" s="87"/>
      <c r="CV29" s="79"/>
      <c r="CW29" s="87"/>
      <c r="CX29" s="87"/>
      <c r="CY29" s="87"/>
      <c r="CZ29" s="87"/>
      <c r="DA29" s="87"/>
      <c r="DB29" s="87"/>
      <c r="DC29" s="87"/>
      <c r="DD29" s="87"/>
      <c r="DE29" s="87"/>
      <c r="DF29" s="87"/>
      <c r="DG29" s="87"/>
      <c r="DH29" s="87"/>
      <c r="DI29" s="87"/>
      <c r="DJ29" s="87"/>
      <c r="DK29" s="87"/>
      <c r="DL29" s="87"/>
      <c r="DM29" s="87"/>
      <c r="DN29" s="87"/>
      <c r="DO29" s="87"/>
      <c r="DP29" s="87"/>
      <c r="DQ29" s="87"/>
      <c r="DR29" s="87"/>
      <c r="DS29" s="87"/>
      <c r="DT29" s="87"/>
      <c r="DU29" s="87"/>
      <c r="DV29" s="87"/>
      <c r="DW29" s="87"/>
      <c r="DX29" s="87"/>
      <c r="DY29" s="87"/>
      <c r="DZ29" s="87"/>
      <c r="EA29" s="87"/>
      <c r="EB29" s="87"/>
      <c r="EC29" s="87"/>
      <c r="ED29" s="87"/>
      <c r="EE29" s="87"/>
      <c r="EF29" s="87"/>
      <c r="EG29" s="87"/>
      <c r="EH29" s="87"/>
      <c r="EI29" s="87"/>
      <c r="EJ29" s="87"/>
      <c r="EK29" s="87"/>
      <c r="EL29" s="87"/>
      <c r="EM29" s="87"/>
      <c r="EN29" s="87"/>
      <c r="EO29" s="87"/>
      <c r="EP29" s="87"/>
      <c r="EQ29" s="87"/>
      <c r="ER29" s="87"/>
      <c r="ES29" s="87"/>
      <c r="ET29" s="79"/>
      <c r="EU29" s="87"/>
      <c r="EV29" s="87"/>
      <c r="EW29" s="87"/>
      <c r="EX29" s="87"/>
      <c r="EY29" s="87"/>
      <c r="EZ29" s="87"/>
      <c r="FA29" s="87"/>
      <c r="FB29" s="87"/>
      <c r="FC29" s="87"/>
      <c r="FD29" s="87"/>
      <c r="FE29" s="87"/>
      <c r="FF29" s="87"/>
      <c r="FG29" s="87"/>
      <c r="FH29" s="87"/>
      <c r="FI29" s="87"/>
      <c r="FJ29" s="87"/>
      <c r="FK29" s="87"/>
      <c r="FL29" s="87"/>
      <c r="FM29" s="87"/>
      <c r="FN29" s="87"/>
      <c r="FO29" s="87"/>
      <c r="FP29" s="87"/>
      <c r="FQ29" s="87"/>
      <c r="FR29" s="87"/>
      <c r="FS29" s="87"/>
      <c r="FT29" s="87"/>
      <c r="FU29" s="87"/>
      <c r="FV29" s="87"/>
      <c r="FW29" s="87"/>
      <c r="FX29" s="87"/>
      <c r="FY29" s="87"/>
      <c r="FZ29" s="87"/>
      <c r="GA29" s="87"/>
      <c r="GB29" s="87"/>
      <c r="GC29" s="87"/>
      <c r="GD29" s="87"/>
      <c r="GE29" s="87"/>
      <c r="GF29" s="87"/>
      <c r="GG29" s="87"/>
      <c r="GH29" s="87"/>
      <c r="GI29" s="87"/>
      <c r="GJ29" s="87"/>
      <c r="GK29" s="87"/>
      <c r="GL29" s="87"/>
      <c r="GM29" s="87"/>
      <c r="GN29" s="87"/>
      <c r="GO29" s="87"/>
      <c r="GP29" s="87"/>
      <c r="GQ29" s="87"/>
      <c r="GR29" s="87"/>
      <c r="GS29" s="87"/>
      <c r="GT29" s="87"/>
      <c r="GU29" s="87"/>
      <c r="GV29" s="87"/>
      <c r="GW29" s="87"/>
      <c r="GX29" s="87"/>
      <c r="GY29" s="87"/>
      <c r="GZ29" s="87"/>
      <c r="HA29" s="87"/>
      <c r="HB29" s="87"/>
      <c r="HC29" s="87"/>
      <c r="HD29" s="87"/>
      <c r="HE29" s="87"/>
      <c r="HF29" s="87"/>
      <c r="HG29" s="87"/>
      <c r="HH29" s="87"/>
      <c r="HI29" s="87"/>
      <c r="HJ29" s="87"/>
      <c r="HK29" s="87"/>
      <c r="HL29" s="87"/>
      <c r="HM29" s="87"/>
      <c r="HN29" s="87"/>
      <c r="HO29" s="87"/>
      <c r="HP29" s="87"/>
      <c r="HQ29" s="87"/>
      <c r="HR29" s="87"/>
      <c r="HS29" s="87"/>
      <c r="HT29" s="87"/>
      <c r="HU29" s="87"/>
      <c r="HV29" s="87"/>
      <c r="HW29" s="87"/>
      <c r="HX29" s="87"/>
      <c r="HY29" s="87"/>
      <c r="HZ29" s="87"/>
      <c r="IA29" s="87"/>
      <c r="IB29" s="87"/>
      <c r="IC29" s="87"/>
      <c r="ID29" s="87"/>
      <c r="IE29" s="87"/>
      <c r="IF29" s="87"/>
      <c r="IG29" s="87"/>
      <c r="IH29" s="87"/>
      <c r="II29" s="87"/>
      <c r="IJ29" s="87"/>
      <c r="IK29" s="87"/>
      <c r="IL29" s="87"/>
      <c r="IM29" s="87"/>
      <c r="IN29" s="87"/>
      <c r="IO29" s="87"/>
      <c r="IP29" s="87"/>
      <c r="IQ29" s="87"/>
      <c r="IR29" s="87"/>
      <c r="IS29" s="87"/>
      <c r="IT29" s="87"/>
      <c r="IU29" s="87"/>
      <c r="IV29" s="87"/>
      <c r="IW29" s="87"/>
    </row>
    <row r="30" spans="2:257" s="14" customFormat="1" ht="15.6">
      <c r="B30" s="30">
        <v>1.01</v>
      </c>
      <c r="C30" s="38" t="s">
        <v>150</v>
      </c>
      <c r="D30" s="31"/>
      <c r="E30" s="32"/>
      <c r="F30" s="88"/>
      <c r="G30" s="88"/>
      <c r="H30" s="88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34"/>
      <c r="X30" s="34"/>
      <c r="Y30" s="34"/>
      <c r="Z30" s="49"/>
      <c r="AA30" s="48"/>
      <c r="AB30" s="48"/>
      <c r="AC30" s="48"/>
      <c r="AD30" s="48"/>
      <c r="AE30" s="48"/>
      <c r="AF30" s="34"/>
      <c r="AG30" s="88"/>
      <c r="AH30" s="88"/>
      <c r="AI30" s="88"/>
      <c r="AJ30" s="88"/>
      <c r="AK30" s="88"/>
      <c r="AL30" s="88"/>
      <c r="AM30" s="88"/>
      <c r="AN30" s="88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87"/>
      <c r="BK30" s="87"/>
      <c r="BL30" s="87"/>
      <c r="BM30" s="87"/>
      <c r="BN30" s="87"/>
      <c r="BO30" s="87"/>
      <c r="BP30" s="87"/>
      <c r="BQ30" s="87"/>
      <c r="BR30" s="87"/>
      <c r="BS30" s="87"/>
      <c r="BT30" s="87"/>
      <c r="BU30" s="87"/>
      <c r="BV30" s="87"/>
      <c r="BW30" s="87"/>
      <c r="BX30" s="87"/>
      <c r="BY30" s="87"/>
      <c r="BZ30" s="87"/>
      <c r="CA30" s="87"/>
      <c r="CB30" s="87"/>
      <c r="CC30" s="79"/>
      <c r="CD30" s="79"/>
      <c r="CE30" s="87"/>
      <c r="CF30" s="87"/>
      <c r="CG30" s="87"/>
      <c r="CH30" s="87"/>
      <c r="CI30" s="87"/>
      <c r="CJ30" s="87"/>
      <c r="CK30" s="87"/>
      <c r="CL30" s="87"/>
      <c r="CM30" s="87"/>
      <c r="CN30" s="87"/>
      <c r="CO30" s="87"/>
      <c r="CP30" s="87"/>
      <c r="CQ30" s="87"/>
      <c r="CR30" s="87"/>
      <c r="CS30" s="87"/>
      <c r="CT30" s="87"/>
      <c r="CU30" s="87"/>
      <c r="CV30" s="79"/>
      <c r="CW30" s="87"/>
      <c r="CX30" s="87"/>
      <c r="CY30" s="87"/>
      <c r="CZ30" s="87"/>
      <c r="DA30" s="87"/>
      <c r="DB30" s="87"/>
      <c r="DC30" s="87"/>
      <c r="DD30" s="87"/>
      <c r="DE30" s="87"/>
      <c r="DF30" s="87"/>
      <c r="DG30" s="87"/>
      <c r="DH30" s="87"/>
      <c r="DI30" s="87"/>
      <c r="DJ30" s="87"/>
      <c r="DK30" s="87"/>
      <c r="DL30" s="87"/>
      <c r="DM30" s="87"/>
      <c r="DN30" s="87"/>
      <c r="DO30" s="87"/>
      <c r="DP30" s="87"/>
      <c r="DQ30" s="87"/>
      <c r="DR30" s="87"/>
      <c r="DS30" s="87"/>
      <c r="DT30" s="87"/>
      <c r="DU30" s="87"/>
      <c r="DV30" s="87"/>
      <c r="DW30" s="87"/>
      <c r="DX30" s="87"/>
      <c r="DY30" s="87"/>
      <c r="DZ30" s="87"/>
      <c r="EA30" s="87"/>
      <c r="EB30" s="87"/>
      <c r="EC30" s="87"/>
      <c r="ED30" s="87"/>
      <c r="EE30" s="87"/>
      <c r="EF30" s="87"/>
      <c r="EG30" s="87"/>
      <c r="EH30" s="87"/>
      <c r="EI30" s="87"/>
      <c r="EJ30" s="87"/>
      <c r="EK30" s="87"/>
      <c r="EL30" s="87"/>
      <c r="EM30" s="87"/>
      <c r="EN30" s="87"/>
      <c r="EO30" s="87"/>
      <c r="EP30" s="87"/>
      <c r="EQ30" s="87"/>
      <c r="ER30" s="87"/>
      <c r="ES30" s="87"/>
      <c r="ET30" s="79"/>
      <c r="EU30" s="87"/>
      <c r="EV30" s="87"/>
      <c r="EW30" s="87"/>
      <c r="EX30" s="87"/>
      <c r="EY30" s="87"/>
      <c r="EZ30" s="87"/>
      <c r="FA30" s="87"/>
      <c r="FB30" s="87"/>
      <c r="FC30" s="87"/>
      <c r="FD30" s="87"/>
      <c r="FE30" s="87"/>
      <c r="FF30" s="87"/>
      <c r="FG30" s="87"/>
      <c r="FH30" s="87"/>
      <c r="FI30" s="87"/>
      <c r="FJ30" s="87"/>
      <c r="FK30" s="87"/>
      <c r="FL30" s="87"/>
      <c r="FM30" s="87"/>
      <c r="FN30" s="87"/>
      <c r="FO30" s="87"/>
      <c r="FP30" s="87"/>
      <c r="FQ30" s="87"/>
      <c r="FR30" s="87"/>
      <c r="FS30" s="87"/>
      <c r="FT30" s="87"/>
      <c r="FU30" s="87"/>
      <c r="FV30" s="87"/>
      <c r="FW30" s="87"/>
      <c r="FX30" s="87"/>
      <c r="FY30" s="87"/>
      <c r="FZ30" s="87"/>
      <c r="GA30" s="87"/>
      <c r="GB30" s="87"/>
      <c r="GC30" s="87"/>
      <c r="GD30" s="87"/>
      <c r="GE30" s="87"/>
      <c r="GF30" s="87"/>
      <c r="GG30" s="87"/>
      <c r="GH30" s="87"/>
      <c r="GI30" s="87"/>
      <c r="GJ30" s="87"/>
      <c r="GK30" s="87"/>
      <c r="GL30" s="87"/>
      <c r="GM30" s="87"/>
      <c r="GN30" s="87"/>
      <c r="GO30" s="87"/>
      <c r="GP30" s="87"/>
      <c r="GQ30" s="87"/>
      <c r="GR30" s="87"/>
      <c r="GS30" s="87"/>
      <c r="GT30" s="87"/>
      <c r="GU30" s="87"/>
      <c r="GV30" s="87"/>
      <c r="GW30" s="87"/>
      <c r="GX30" s="87"/>
      <c r="GY30" s="87"/>
      <c r="GZ30" s="87"/>
      <c r="HA30" s="87"/>
      <c r="HB30" s="87"/>
      <c r="HC30" s="87"/>
      <c r="HD30" s="87"/>
      <c r="HE30" s="87"/>
      <c r="HF30" s="87"/>
      <c r="HG30" s="87"/>
      <c r="HH30" s="87"/>
      <c r="HI30" s="87"/>
      <c r="HJ30" s="87"/>
      <c r="HK30" s="87"/>
      <c r="HL30" s="87"/>
      <c r="HM30" s="87"/>
      <c r="HN30" s="87"/>
      <c r="HO30" s="87"/>
      <c r="HP30" s="87"/>
      <c r="HQ30" s="87"/>
      <c r="HR30" s="87"/>
      <c r="HS30" s="87"/>
      <c r="HT30" s="87"/>
      <c r="HU30" s="87"/>
      <c r="HV30" s="87"/>
      <c r="HW30" s="87"/>
      <c r="HX30" s="87"/>
      <c r="HY30" s="87"/>
      <c r="HZ30" s="87"/>
      <c r="IA30" s="87"/>
      <c r="IB30" s="87"/>
      <c r="IC30" s="87"/>
      <c r="ID30" s="87"/>
      <c r="IE30" s="87"/>
      <c r="IF30" s="87"/>
      <c r="IG30" s="87"/>
      <c r="IH30" s="87"/>
      <c r="II30" s="87"/>
      <c r="IJ30" s="87"/>
      <c r="IK30" s="87"/>
      <c r="IL30" s="87"/>
      <c r="IM30" s="87"/>
      <c r="IN30" s="87"/>
      <c r="IO30" s="87"/>
      <c r="IP30" s="87"/>
      <c r="IQ30" s="87"/>
      <c r="IR30" s="87"/>
      <c r="IS30" s="87"/>
      <c r="IT30" s="87"/>
      <c r="IU30" s="87"/>
      <c r="IV30" s="87"/>
      <c r="IW30" s="87"/>
    </row>
    <row r="31" spans="2:257" s="14" customFormat="1" ht="15.6">
      <c r="B31" s="30">
        <v>1.01</v>
      </c>
      <c r="C31" s="38" t="s">
        <v>151</v>
      </c>
      <c r="D31" s="31"/>
      <c r="E31" s="32"/>
      <c r="F31" s="88"/>
      <c r="G31" s="88"/>
      <c r="H31" s="88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34"/>
      <c r="X31" s="34"/>
      <c r="Y31" s="34"/>
      <c r="Z31" s="49"/>
      <c r="AA31" s="49"/>
      <c r="AB31" s="49"/>
      <c r="AC31" s="48"/>
      <c r="AD31" s="48"/>
      <c r="AE31" s="48"/>
      <c r="AF31" s="34"/>
      <c r="AG31" s="88"/>
      <c r="AH31" s="88"/>
      <c r="AI31" s="88"/>
      <c r="AJ31" s="88"/>
      <c r="AK31" s="88"/>
      <c r="AL31" s="88"/>
      <c r="AM31" s="88"/>
      <c r="AN31" s="88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87"/>
      <c r="BK31" s="87"/>
      <c r="BL31" s="87"/>
      <c r="BM31" s="87"/>
      <c r="BN31" s="87"/>
      <c r="BO31" s="87"/>
      <c r="BP31" s="87"/>
      <c r="BQ31" s="87"/>
      <c r="BR31" s="87"/>
      <c r="BS31" s="87"/>
      <c r="BT31" s="87"/>
      <c r="BU31" s="87"/>
      <c r="BV31" s="87"/>
      <c r="BW31" s="87"/>
      <c r="BX31" s="87"/>
      <c r="BY31" s="87"/>
      <c r="BZ31" s="87"/>
      <c r="CA31" s="87"/>
      <c r="CB31" s="87"/>
      <c r="CC31" s="79"/>
      <c r="CD31" s="79"/>
      <c r="CE31" s="87"/>
      <c r="CF31" s="87"/>
      <c r="CG31" s="87"/>
      <c r="CH31" s="87"/>
      <c r="CI31" s="87"/>
      <c r="CJ31" s="87"/>
      <c r="CK31" s="87"/>
      <c r="CL31" s="87"/>
      <c r="CM31" s="87"/>
      <c r="CN31" s="87"/>
      <c r="CO31" s="87"/>
      <c r="CP31" s="87"/>
      <c r="CQ31" s="87"/>
      <c r="CR31" s="87"/>
      <c r="CS31" s="87"/>
      <c r="CT31" s="87"/>
      <c r="CU31" s="87"/>
      <c r="CV31" s="79"/>
      <c r="CW31" s="87"/>
      <c r="CX31" s="87"/>
      <c r="CY31" s="87"/>
      <c r="CZ31" s="87"/>
      <c r="DA31" s="87"/>
      <c r="DB31" s="87"/>
      <c r="DC31" s="87"/>
      <c r="DD31" s="87"/>
      <c r="DE31" s="87"/>
      <c r="DF31" s="87"/>
      <c r="DG31" s="87"/>
      <c r="DH31" s="87"/>
      <c r="DI31" s="87"/>
      <c r="DJ31" s="87"/>
      <c r="DK31" s="87"/>
      <c r="DL31" s="87"/>
      <c r="DM31" s="87"/>
      <c r="DN31" s="87"/>
      <c r="DO31" s="87"/>
      <c r="DP31" s="87"/>
      <c r="DQ31" s="87"/>
      <c r="DR31" s="87"/>
      <c r="DS31" s="87"/>
      <c r="DT31" s="87"/>
      <c r="DU31" s="87"/>
      <c r="DV31" s="87"/>
      <c r="DW31" s="87"/>
      <c r="DX31" s="87"/>
      <c r="DY31" s="87"/>
      <c r="DZ31" s="87"/>
      <c r="EA31" s="87"/>
      <c r="EB31" s="87"/>
      <c r="EC31" s="87"/>
      <c r="ED31" s="87"/>
      <c r="EE31" s="87"/>
      <c r="EF31" s="87"/>
      <c r="EG31" s="87"/>
      <c r="EH31" s="87"/>
      <c r="EI31" s="87"/>
      <c r="EJ31" s="87"/>
      <c r="EK31" s="87"/>
      <c r="EL31" s="87"/>
      <c r="EM31" s="87"/>
      <c r="EN31" s="87"/>
      <c r="EO31" s="87"/>
      <c r="EP31" s="87"/>
      <c r="EQ31" s="87"/>
      <c r="ER31" s="87"/>
      <c r="ES31" s="87"/>
      <c r="ET31" s="79"/>
      <c r="EU31" s="87"/>
      <c r="EV31" s="87"/>
      <c r="EW31" s="87"/>
      <c r="EX31" s="87"/>
      <c r="EY31" s="87"/>
      <c r="EZ31" s="87"/>
      <c r="FA31" s="87"/>
      <c r="FB31" s="87"/>
      <c r="FC31" s="87"/>
      <c r="FD31" s="87"/>
      <c r="FE31" s="87"/>
      <c r="FF31" s="87"/>
      <c r="FG31" s="87"/>
      <c r="FH31" s="87"/>
      <c r="FI31" s="87"/>
      <c r="FJ31" s="87"/>
      <c r="FK31" s="87"/>
      <c r="FL31" s="87"/>
      <c r="FM31" s="87"/>
      <c r="FN31" s="87"/>
      <c r="FO31" s="87"/>
      <c r="FP31" s="87"/>
      <c r="FQ31" s="87"/>
      <c r="FR31" s="87"/>
      <c r="FS31" s="87"/>
      <c r="FT31" s="87"/>
      <c r="FU31" s="87"/>
      <c r="FV31" s="87"/>
      <c r="FW31" s="87"/>
      <c r="FX31" s="87"/>
      <c r="FY31" s="87"/>
      <c r="FZ31" s="87"/>
      <c r="GA31" s="87"/>
      <c r="GB31" s="87"/>
      <c r="GC31" s="87"/>
      <c r="GD31" s="87"/>
      <c r="GE31" s="87"/>
      <c r="GF31" s="87"/>
      <c r="GG31" s="87"/>
      <c r="GH31" s="87"/>
      <c r="GI31" s="87"/>
      <c r="GJ31" s="87"/>
      <c r="GK31" s="87"/>
      <c r="GL31" s="87"/>
      <c r="GM31" s="87"/>
      <c r="GN31" s="87"/>
      <c r="GO31" s="87"/>
      <c r="GP31" s="87"/>
      <c r="GQ31" s="87"/>
      <c r="GR31" s="87"/>
      <c r="GS31" s="87"/>
      <c r="GT31" s="87"/>
      <c r="GU31" s="87"/>
      <c r="GV31" s="87"/>
      <c r="GW31" s="87"/>
      <c r="GX31" s="87"/>
      <c r="GY31" s="87"/>
      <c r="GZ31" s="87"/>
      <c r="HA31" s="87"/>
      <c r="HB31" s="87"/>
      <c r="HC31" s="87"/>
      <c r="HD31" s="87"/>
      <c r="HE31" s="87"/>
      <c r="HF31" s="87"/>
      <c r="HG31" s="87"/>
      <c r="HH31" s="87"/>
      <c r="HI31" s="87"/>
      <c r="HJ31" s="87"/>
      <c r="HK31" s="87"/>
      <c r="HL31" s="87"/>
      <c r="HM31" s="87"/>
      <c r="HN31" s="87"/>
      <c r="HO31" s="87"/>
      <c r="HP31" s="87"/>
      <c r="HQ31" s="87"/>
      <c r="HR31" s="87"/>
      <c r="HS31" s="87"/>
      <c r="HT31" s="87"/>
      <c r="HU31" s="87"/>
      <c r="HV31" s="87"/>
      <c r="HW31" s="87"/>
      <c r="HX31" s="87"/>
      <c r="HY31" s="87"/>
      <c r="HZ31" s="87"/>
      <c r="IA31" s="87"/>
      <c r="IB31" s="87"/>
      <c r="IC31" s="87"/>
      <c r="ID31" s="87"/>
      <c r="IE31" s="87"/>
      <c r="IF31" s="87"/>
      <c r="IG31" s="87"/>
      <c r="IH31" s="87"/>
      <c r="II31" s="87"/>
      <c r="IJ31" s="87"/>
      <c r="IK31" s="87"/>
      <c r="IL31" s="87"/>
      <c r="IM31" s="87"/>
      <c r="IN31" s="87"/>
      <c r="IO31" s="87"/>
      <c r="IP31" s="87"/>
      <c r="IQ31" s="87"/>
      <c r="IR31" s="87"/>
      <c r="IS31" s="87"/>
      <c r="IT31" s="87"/>
      <c r="IU31" s="87"/>
      <c r="IV31" s="87"/>
      <c r="IW31" s="87"/>
    </row>
    <row r="32" spans="2:257" s="14" customFormat="1" ht="15.6">
      <c r="B32" s="30">
        <v>1.01</v>
      </c>
      <c r="C32" s="38" t="s">
        <v>152</v>
      </c>
      <c r="D32" s="31"/>
      <c r="E32" s="32"/>
      <c r="F32" s="88"/>
      <c r="G32" s="88"/>
      <c r="H32" s="88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8"/>
      <c r="AF32" s="48"/>
      <c r="AG32" s="88"/>
      <c r="AH32" s="88"/>
      <c r="AI32" s="88"/>
      <c r="AJ32" s="88"/>
      <c r="AK32" s="88"/>
      <c r="AL32" s="88"/>
      <c r="AM32" s="88"/>
      <c r="AN32" s="88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87"/>
      <c r="BK32" s="87"/>
      <c r="BL32" s="87"/>
      <c r="BM32" s="87"/>
      <c r="BN32" s="87"/>
      <c r="BO32" s="87"/>
      <c r="BP32" s="87"/>
      <c r="BQ32" s="87"/>
      <c r="BR32" s="87"/>
      <c r="BS32" s="87"/>
      <c r="BT32" s="87"/>
      <c r="BU32" s="87"/>
      <c r="BV32" s="87"/>
      <c r="BW32" s="87"/>
      <c r="BX32" s="87"/>
      <c r="BY32" s="87"/>
      <c r="BZ32" s="87"/>
      <c r="CA32" s="87"/>
      <c r="CB32" s="87"/>
      <c r="CC32" s="79"/>
      <c r="CD32" s="79"/>
      <c r="CE32" s="87"/>
      <c r="CF32" s="87"/>
      <c r="CG32" s="87"/>
      <c r="CH32" s="87"/>
      <c r="CI32" s="87"/>
      <c r="CJ32" s="87"/>
      <c r="CK32" s="87"/>
      <c r="CL32" s="87"/>
      <c r="CM32" s="87"/>
      <c r="CN32" s="87"/>
      <c r="CO32" s="87"/>
      <c r="CP32" s="87"/>
      <c r="CQ32" s="87"/>
      <c r="CR32" s="87"/>
      <c r="CS32" s="87"/>
      <c r="CT32" s="87"/>
      <c r="CU32" s="87"/>
      <c r="CV32" s="79"/>
      <c r="CW32" s="87"/>
      <c r="CX32" s="87"/>
      <c r="CY32" s="87"/>
      <c r="CZ32" s="87"/>
      <c r="DA32" s="87"/>
      <c r="DB32" s="87"/>
      <c r="DC32" s="87"/>
      <c r="DD32" s="87"/>
      <c r="DE32" s="87"/>
      <c r="DF32" s="87"/>
      <c r="DG32" s="87"/>
      <c r="DH32" s="87"/>
      <c r="DI32" s="87"/>
      <c r="DJ32" s="87"/>
      <c r="DK32" s="87"/>
      <c r="DL32" s="87"/>
      <c r="DM32" s="87"/>
      <c r="DN32" s="87"/>
      <c r="DO32" s="87"/>
      <c r="DP32" s="87"/>
      <c r="DQ32" s="87"/>
      <c r="DR32" s="87"/>
      <c r="DS32" s="87"/>
      <c r="DT32" s="87"/>
      <c r="DU32" s="87"/>
      <c r="DV32" s="87"/>
      <c r="DW32" s="87"/>
      <c r="DX32" s="87"/>
      <c r="DY32" s="87"/>
      <c r="DZ32" s="87"/>
      <c r="EA32" s="87"/>
      <c r="EB32" s="87"/>
      <c r="EC32" s="87"/>
      <c r="ED32" s="87"/>
      <c r="EE32" s="87"/>
      <c r="EF32" s="87"/>
      <c r="EG32" s="87"/>
      <c r="EH32" s="87"/>
      <c r="EI32" s="87"/>
      <c r="EJ32" s="87"/>
      <c r="EK32" s="87"/>
      <c r="EL32" s="87"/>
      <c r="EM32" s="87"/>
      <c r="EN32" s="87"/>
      <c r="EO32" s="87"/>
      <c r="EP32" s="87"/>
      <c r="EQ32" s="87"/>
      <c r="ER32" s="87"/>
      <c r="ES32" s="87"/>
      <c r="ET32" s="79"/>
      <c r="EU32" s="87"/>
      <c r="EV32" s="87"/>
      <c r="EW32" s="87"/>
      <c r="EX32" s="87"/>
      <c r="EY32" s="87"/>
      <c r="EZ32" s="87"/>
      <c r="FA32" s="87"/>
      <c r="FB32" s="87"/>
      <c r="FC32" s="87"/>
      <c r="FD32" s="87"/>
      <c r="FE32" s="87"/>
      <c r="FF32" s="87"/>
      <c r="FG32" s="87"/>
      <c r="FH32" s="87"/>
      <c r="FI32" s="87"/>
      <c r="FJ32" s="87"/>
      <c r="FK32" s="87"/>
      <c r="FL32" s="87"/>
      <c r="FM32" s="87"/>
      <c r="FN32" s="87"/>
      <c r="FO32" s="87"/>
      <c r="FP32" s="87"/>
      <c r="FQ32" s="87"/>
      <c r="FR32" s="87"/>
      <c r="FS32" s="87"/>
      <c r="FT32" s="87"/>
      <c r="FU32" s="87"/>
      <c r="FV32" s="87"/>
      <c r="FW32" s="87"/>
      <c r="FX32" s="87"/>
      <c r="FY32" s="87"/>
      <c r="FZ32" s="87"/>
      <c r="GA32" s="87"/>
      <c r="GB32" s="87"/>
      <c r="GC32" s="87"/>
      <c r="GD32" s="87"/>
      <c r="GE32" s="87"/>
      <c r="GF32" s="87"/>
      <c r="GG32" s="87"/>
      <c r="GH32" s="87"/>
      <c r="GI32" s="87"/>
      <c r="GJ32" s="87"/>
      <c r="GK32" s="87"/>
      <c r="GL32" s="87"/>
      <c r="GM32" s="87"/>
      <c r="GN32" s="87"/>
      <c r="GO32" s="87"/>
      <c r="GP32" s="87"/>
      <c r="GQ32" s="87"/>
      <c r="GR32" s="87"/>
      <c r="GS32" s="87"/>
      <c r="GT32" s="87"/>
      <c r="GU32" s="87"/>
      <c r="GV32" s="87"/>
      <c r="GW32" s="87"/>
      <c r="GX32" s="87"/>
      <c r="GY32" s="87"/>
      <c r="GZ32" s="87"/>
      <c r="HA32" s="87"/>
      <c r="HB32" s="87"/>
      <c r="HC32" s="87"/>
      <c r="HD32" s="87"/>
      <c r="HE32" s="87"/>
      <c r="HF32" s="87"/>
      <c r="HG32" s="87"/>
      <c r="HH32" s="87"/>
      <c r="HI32" s="87"/>
      <c r="HJ32" s="87"/>
      <c r="HK32" s="87"/>
      <c r="HL32" s="87"/>
      <c r="HM32" s="87"/>
      <c r="HN32" s="87"/>
      <c r="HO32" s="87"/>
      <c r="HP32" s="87"/>
      <c r="HQ32" s="87"/>
      <c r="HR32" s="87"/>
      <c r="HS32" s="87"/>
      <c r="HT32" s="87"/>
      <c r="HU32" s="87"/>
      <c r="HV32" s="87"/>
      <c r="HW32" s="87"/>
      <c r="HX32" s="87"/>
      <c r="HY32" s="87"/>
      <c r="HZ32" s="87"/>
      <c r="IA32" s="87"/>
      <c r="IB32" s="87"/>
      <c r="IC32" s="87"/>
      <c r="ID32" s="87"/>
      <c r="IE32" s="87"/>
      <c r="IF32" s="87"/>
      <c r="IG32" s="87"/>
      <c r="IH32" s="87"/>
      <c r="II32" s="87"/>
      <c r="IJ32" s="87"/>
      <c r="IK32" s="87"/>
      <c r="IL32" s="87"/>
      <c r="IM32" s="87"/>
      <c r="IN32" s="87"/>
      <c r="IO32" s="87"/>
      <c r="IP32" s="87"/>
      <c r="IQ32" s="87"/>
      <c r="IR32" s="87"/>
      <c r="IS32" s="87"/>
      <c r="IT32" s="87"/>
      <c r="IU32" s="87"/>
      <c r="IV32" s="87"/>
      <c r="IW32" s="87"/>
    </row>
    <row r="33" spans="2:257" s="14" customFormat="1" ht="16.2" thickBot="1">
      <c r="B33" s="30">
        <v>1.01</v>
      </c>
      <c r="C33" s="38" t="s">
        <v>153</v>
      </c>
      <c r="D33" s="31"/>
      <c r="E33" s="32"/>
      <c r="F33" s="88"/>
      <c r="G33" s="88"/>
      <c r="H33" s="88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8"/>
      <c r="AF33" s="48"/>
      <c r="AG33" s="88"/>
      <c r="AH33" s="88"/>
      <c r="AI33" s="88"/>
      <c r="AJ33" s="88"/>
      <c r="AK33" s="88"/>
      <c r="AL33" s="88"/>
      <c r="AM33" s="88"/>
      <c r="AN33" s="88"/>
      <c r="AO33" s="87"/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7"/>
      <c r="BF33" s="87"/>
      <c r="BG33" s="87"/>
      <c r="BH33" s="87"/>
      <c r="BI33" s="87"/>
      <c r="BJ33" s="87"/>
      <c r="BK33" s="87"/>
      <c r="BL33" s="87"/>
      <c r="BM33" s="87"/>
      <c r="BN33" s="87"/>
      <c r="BO33" s="87"/>
      <c r="BP33" s="87"/>
      <c r="BQ33" s="87"/>
      <c r="BR33" s="87"/>
      <c r="BS33" s="87"/>
      <c r="BT33" s="87"/>
      <c r="BU33" s="87"/>
      <c r="BV33" s="87"/>
      <c r="BW33" s="87"/>
      <c r="BX33" s="87"/>
      <c r="BY33" s="87"/>
      <c r="BZ33" s="87"/>
      <c r="CA33" s="87"/>
      <c r="CB33" s="87"/>
      <c r="CC33" s="79"/>
      <c r="CD33" s="79"/>
      <c r="CE33" s="87"/>
      <c r="CF33" s="87"/>
      <c r="CG33" s="87"/>
      <c r="CH33" s="87"/>
      <c r="CI33" s="87"/>
      <c r="CJ33" s="87"/>
      <c r="CK33" s="87"/>
      <c r="CL33" s="87"/>
      <c r="CM33" s="87"/>
      <c r="CN33" s="87"/>
      <c r="CO33" s="87"/>
      <c r="CP33" s="87"/>
      <c r="CQ33" s="87"/>
      <c r="CR33" s="87"/>
      <c r="CS33" s="87"/>
      <c r="CT33" s="87"/>
      <c r="CU33" s="87"/>
      <c r="CV33" s="79"/>
      <c r="CW33" s="87"/>
      <c r="CX33" s="87"/>
      <c r="CY33" s="87"/>
      <c r="CZ33" s="87"/>
      <c r="DA33" s="87"/>
      <c r="DB33" s="87"/>
      <c r="DC33" s="87"/>
      <c r="DD33" s="87"/>
      <c r="DE33" s="87"/>
      <c r="DF33" s="87"/>
      <c r="DG33" s="87"/>
      <c r="DH33" s="87"/>
      <c r="DI33" s="87"/>
      <c r="DJ33" s="87"/>
      <c r="DK33" s="87"/>
      <c r="DL33" s="87"/>
      <c r="DM33" s="87"/>
      <c r="DN33" s="87"/>
      <c r="DO33" s="87"/>
      <c r="DP33" s="87"/>
      <c r="DQ33" s="87"/>
      <c r="DR33" s="87"/>
      <c r="DS33" s="87"/>
      <c r="DT33" s="87"/>
      <c r="DU33" s="87"/>
      <c r="DV33" s="87"/>
      <c r="DW33" s="87"/>
      <c r="DX33" s="87"/>
      <c r="DY33" s="87"/>
      <c r="DZ33" s="87"/>
      <c r="EA33" s="87"/>
      <c r="EB33" s="87"/>
      <c r="EC33" s="87"/>
      <c r="ED33" s="87"/>
      <c r="EE33" s="87"/>
      <c r="EF33" s="87"/>
      <c r="EG33" s="87"/>
      <c r="EH33" s="87"/>
      <c r="EI33" s="87"/>
      <c r="EJ33" s="87"/>
      <c r="EK33" s="87"/>
      <c r="EL33" s="87"/>
      <c r="EM33" s="87"/>
      <c r="EN33" s="87"/>
      <c r="EO33" s="87"/>
      <c r="EP33" s="87"/>
      <c r="EQ33" s="87"/>
      <c r="ER33" s="87"/>
      <c r="ES33" s="87"/>
      <c r="ET33" s="79"/>
      <c r="EU33" s="87"/>
      <c r="EV33" s="87"/>
      <c r="EW33" s="87"/>
      <c r="EX33" s="87"/>
      <c r="EY33" s="87"/>
      <c r="EZ33" s="87"/>
      <c r="FA33" s="87"/>
      <c r="FB33" s="87"/>
      <c r="FC33" s="87"/>
      <c r="FD33" s="87"/>
      <c r="FE33" s="87"/>
      <c r="FF33" s="87"/>
      <c r="FG33" s="87"/>
      <c r="FH33" s="87"/>
      <c r="FI33" s="87"/>
      <c r="FJ33" s="87"/>
      <c r="FK33" s="87"/>
      <c r="FL33" s="87"/>
      <c r="FM33" s="87"/>
      <c r="FN33" s="87"/>
      <c r="FO33" s="87"/>
      <c r="FP33" s="87"/>
      <c r="FQ33" s="87"/>
      <c r="FR33" s="87"/>
      <c r="FS33" s="87"/>
      <c r="FT33" s="87"/>
      <c r="FU33" s="87"/>
      <c r="FV33" s="87"/>
      <c r="FW33" s="87"/>
      <c r="FX33" s="87"/>
      <c r="FY33" s="87"/>
      <c r="FZ33" s="87"/>
      <c r="GA33" s="87"/>
      <c r="GB33" s="87"/>
      <c r="GC33" s="87"/>
      <c r="GD33" s="87"/>
      <c r="GE33" s="87"/>
      <c r="GF33" s="87"/>
      <c r="GG33" s="87"/>
      <c r="GH33" s="87"/>
      <c r="GI33" s="87"/>
      <c r="GJ33" s="87"/>
      <c r="GK33" s="87"/>
      <c r="GL33" s="87"/>
      <c r="GM33" s="87"/>
      <c r="GN33" s="87"/>
      <c r="GO33" s="87"/>
      <c r="GP33" s="87"/>
      <c r="GQ33" s="87"/>
      <c r="GR33" s="87"/>
      <c r="GS33" s="87"/>
      <c r="GT33" s="87"/>
      <c r="GU33" s="87"/>
      <c r="GV33" s="87"/>
      <c r="GW33" s="87"/>
      <c r="GX33" s="87"/>
      <c r="GY33" s="87"/>
      <c r="GZ33" s="87"/>
      <c r="HA33" s="87"/>
      <c r="HB33" s="87"/>
      <c r="HC33" s="87"/>
      <c r="HD33" s="87"/>
      <c r="HE33" s="87"/>
      <c r="HF33" s="87"/>
      <c r="HG33" s="87"/>
      <c r="HH33" s="87"/>
      <c r="HI33" s="87"/>
      <c r="HJ33" s="87"/>
      <c r="HK33" s="87"/>
      <c r="HL33" s="87"/>
      <c r="HM33" s="87"/>
      <c r="HN33" s="87"/>
      <c r="HO33" s="87"/>
      <c r="HP33" s="87"/>
      <c r="HQ33" s="87"/>
      <c r="HR33" s="87"/>
      <c r="HS33" s="87"/>
      <c r="HT33" s="87"/>
      <c r="HU33" s="87"/>
      <c r="HV33" s="87"/>
      <c r="HW33" s="87"/>
      <c r="HX33" s="87"/>
      <c r="HY33" s="87"/>
      <c r="HZ33" s="87"/>
      <c r="IA33" s="87"/>
      <c r="IB33" s="87"/>
      <c r="IC33" s="87"/>
      <c r="ID33" s="87"/>
      <c r="IE33" s="87"/>
      <c r="IF33" s="87"/>
      <c r="IG33" s="87"/>
      <c r="IH33" s="87"/>
      <c r="II33" s="87"/>
      <c r="IJ33" s="87"/>
      <c r="IK33" s="87"/>
      <c r="IL33" s="87"/>
      <c r="IM33" s="87"/>
      <c r="IN33" s="87"/>
      <c r="IO33" s="87"/>
      <c r="IP33" s="87"/>
      <c r="IQ33" s="87"/>
      <c r="IR33" s="87"/>
      <c r="IS33" s="87"/>
      <c r="IT33" s="87"/>
      <c r="IU33" s="87"/>
      <c r="IV33" s="87"/>
      <c r="IW33" s="87"/>
    </row>
    <row r="34" spans="2:257" s="14" customFormat="1" ht="15" thickBot="1">
      <c r="B34" s="30">
        <v>2</v>
      </c>
      <c r="C34" s="33" t="s">
        <v>12</v>
      </c>
      <c r="D34" s="34"/>
      <c r="E34" s="34"/>
      <c r="F34" s="34"/>
      <c r="G34" s="34"/>
      <c r="H34" s="34"/>
      <c r="I34" s="34"/>
      <c r="J34" s="34"/>
      <c r="K34" s="34"/>
      <c r="L34" s="35"/>
      <c r="M34" s="34"/>
      <c r="N34" s="34"/>
      <c r="O34" s="34"/>
      <c r="P34" s="34"/>
      <c r="Q34" s="34"/>
      <c r="R34" s="36"/>
      <c r="S34" s="34"/>
      <c r="T34" s="34"/>
      <c r="U34" s="34"/>
      <c r="V34" s="34"/>
      <c r="W34" s="34"/>
      <c r="X34" s="36"/>
      <c r="Y34" s="35"/>
      <c r="Z34" s="35"/>
      <c r="AA34" s="35"/>
      <c r="AB34" s="35"/>
      <c r="AC34" s="35"/>
      <c r="AD34" s="36"/>
      <c r="AE34" s="36"/>
      <c r="AF34" s="35"/>
      <c r="AG34" s="36"/>
      <c r="AH34" s="35"/>
      <c r="AI34" s="35"/>
      <c r="AJ34" s="36"/>
      <c r="AK34" s="35"/>
      <c r="AL34" s="35"/>
      <c r="AM34" s="35"/>
      <c r="AN34" s="35"/>
      <c r="AO34" s="35"/>
      <c r="AP34" s="36"/>
      <c r="AQ34" s="35"/>
      <c r="AR34" s="35"/>
      <c r="AS34" s="35"/>
      <c r="AT34" s="35"/>
      <c r="AU34" s="35"/>
      <c r="AV34" s="36"/>
      <c r="AW34" s="35"/>
      <c r="AX34" s="35"/>
      <c r="AY34" s="35"/>
      <c r="AZ34" s="35"/>
      <c r="BA34" s="35"/>
      <c r="BB34" s="36"/>
      <c r="BC34" s="35"/>
      <c r="BD34" s="35"/>
      <c r="BE34" s="35"/>
      <c r="BF34" s="35"/>
      <c r="BG34" s="35"/>
      <c r="BH34" s="36"/>
      <c r="BI34" s="35"/>
      <c r="BJ34" s="35"/>
      <c r="BK34" s="35"/>
      <c r="BL34" s="35"/>
      <c r="BM34" s="35"/>
      <c r="BN34" s="36"/>
      <c r="BO34" s="35"/>
      <c r="BP34" s="35"/>
      <c r="BQ34" s="35"/>
      <c r="BR34" s="35"/>
      <c r="BS34" s="35"/>
      <c r="BT34" s="36"/>
      <c r="BU34" s="35"/>
      <c r="BV34" s="34"/>
      <c r="BW34" s="34"/>
      <c r="BX34" s="35"/>
      <c r="BY34" s="34"/>
      <c r="BZ34" s="34"/>
      <c r="CA34" s="34"/>
      <c r="CB34" s="34"/>
      <c r="CC34" s="35"/>
      <c r="CD34" s="35"/>
      <c r="CE34" s="34"/>
      <c r="CF34" s="35"/>
      <c r="CG34" s="34"/>
      <c r="CH34" s="34"/>
      <c r="CI34" s="34"/>
      <c r="CJ34" s="34"/>
      <c r="CK34" s="34"/>
      <c r="CL34" s="34"/>
      <c r="CM34" s="34"/>
      <c r="CN34" s="34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  <c r="EY34" s="35"/>
      <c r="EZ34" s="35"/>
      <c r="FA34" s="35"/>
      <c r="FB34" s="35"/>
      <c r="FC34" s="35"/>
      <c r="FD34" s="35"/>
      <c r="FE34" s="35"/>
      <c r="FF34" s="35"/>
      <c r="FG34" s="35"/>
      <c r="FH34" s="35"/>
      <c r="FI34" s="35"/>
      <c r="FJ34" s="35"/>
      <c r="FK34" s="35"/>
      <c r="FL34" s="35"/>
      <c r="FM34" s="35"/>
      <c r="FN34" s="35"/>
      <c r="FO34" s="35"/>
      <c r="FP34" s="35"/>
      <c r="FQ34" s="35"/>
      <c r="FR34" s="35"/>
      <c r="FS34" s="35"/>
      <c r="FT34" s="35"/>
      <c r="FU34" s="35"/>
      <c r="FV34" s="35"/>
      <c r="FW34" s="35"/>
      <c r="FX34" s="87"/>
      <c r="FY34" s="87"/>
      <c r="FZ34" s="87"/>
      <c r="GA34" s="87"/>
      <c r="GB34" s="87"/>
      <c r="GC34" s="87"/>
      <c r="GD34" s="87"/>
      <c r="GE34" s="87"/>
      <c r="GF34" s="87"/>
      <c r="GG34" s="87"/>
      <c r="GH34" s="87"/>
      <c r="GI34" s="87"/>
      <c r="GJ34" s="87"/>
      <c r="GK34" s="87"/>
      <c r="GL34" s="87"/>
      <c r="GM34" s="87"/>
      <c r="GN34" s="87"/>
      <c r="GO34" s="87"/>
      <c r="GP34" s="87"/>
      <c r="GQ34" s="87"/>
      <c r="GR34" s="87"/>
      <c r="GS34" s="87"/>
      <c r="GT34" s="87"/>
      <c r="GU34" s="87"/>
      <c r="GV34" s="87"/>
      <c r="GW34" s="87"/>
      <c r="GX34" s="87"/>
      <c r="GY34" s="87"/>
      <c r="GZ34" s="87"/>
      <c r="HA34" s="87"/>
      <c r="HB34" s="87"/>
      <c r="HC34" s="87"/>
      <c r="HD34" s="87"/>
      <c r="HE34" s="87"/>
      <c r="HF34" s="87"/>
      <c r="HG34" s="87"/>
      <c r="HH34" s="87"/>
      <c r="HI34" s="87"/>
      <c r="HJ34" s="87"/>
      <c r="HK34" s="87"/>
      <c r="HL34" s="87"/>
      <c r="HM34" s="87"/>
      <c r="HN34" s="87"/>
      <c r="HO34" s="87"/>
      <c r="HP34" s="87"/>
      <c r="HQ34" s="87"/>
      <c r="HR34" s="87"/>
      <c r="HS34" s="87"/>
      <c r="HT34" s="87"/>
      <c r="HU34" s="87"/>
      <c r="HV34" s="87"/>
      <c r="HW34" s="87"/>
      <c r="HX34" s="87"/>
      <c r="HY34" s="87"/>
      <c r="HZ34" s="87"/>
      <c r="IA34" s="87"/>
      <c r="IB34" s="87"/>
      <c r="IC34" s="87"/>
      <c r="ID34" s="87"/>
      <c r="IE34" s="87"/>
      <c r="IF34" s="87"/>
      <c r="IG34" s="87"/>
      <c r="IH34" s="87"/>
      <c r="II34" s="87"/>
      <c r="IJ34" s="87"/>
      <c r="IK34" s="87"/>
      <c r="IL34" s="87"/>
      <c r="IM34" s="87"/>
      <c r="IN34" s="87"/>
      <c r="IO34" s="87"/>
      <c r="IP34" s="87"/>
      <c r="IQ34" s="87"/>
      <c r="IR34" s="87"/>
      <c r="IS34" s="87"/>
      <c r="IT34" s="87"/>
      <c r="IU34" s="87"/>
      <c r="IV34" s="87"/>
      <c r="IW34" s="87"/>
    </row>
    <row r="35" spans="2:257" s="15" customFormat="1" ht="14.4">
      <c r="B35" s="30">
        <v>2.0099999999999998</v>
      </c>
      <c r="C35" s="37" t="s">
        <v>13</v>
      </c>
      <c r="D35" s="34"/>
      <c r="E35" s="34"/>
      <c r="F35" s="34"/>
      <c r="G35" s="34"/>
      <c r="H35" s="34"/>
      <c r="I35" s="34"/>
      <c r="J35" s="34"/>
      <c r="K35" s="34"/>
      <c r="L35" s="35"/>
      <c r="M35" s="34"/>
      <c r="N35" s="34"/>
      <c r="O35" s="34"/>
      <c r="P35" s="34"/>
      <c r="Q35" s="34"/>
      <c r="R35" s="36"/>
      <c r="S35" s="34"/>
      <c r="T35" s="34"/>
      <c r="U35" s="34"/>
      <c r="V35" s="34"/>
      <c r="W35" s="34"/>
      <c r="X35" s="36"/>
      <c r="Y35" s="35"/>
      <c r="Z35" s="35"/>
      <c r="AA35" s="35"/>
      <c r="AB35" s="35"/>
      <c r="AC35" s="35"/>
      <c r="AD35" s="36"/>
      <c r="AE35" s="36"/>
      <c r="AF35" s="35"/>
      <c r="AG35" s="41"/>
      <c r="AH35" s="41"/>
      <c r="AI35" s="35"/>
      <c r="AJ35" s="35"/>
      <c r="AK35" s="35"/>
      <c r="AL35" s="35"/>
      <c r="AM35" s="35"/>
      <c r="AN35" s="35"/>
      <c r="AO35" s="35"/>
      <c r="AP35" s="36"/>
      <c r="AQ35" s="35"/>
      <c r="AR35" s="35"/>
      <c r="AS35" s="35"/>
      <c r="AT35" s="35"/>
      <c r="AU35" s="35"/>
      <c r="AV35" s="36"/>
      <c r="AW35" s="35"/>
      <c r="AX35" s="35"/>
      <c r="AY35" s="35"/>
      <c r="AZ35" s="35"/>
      <c r="BA35" s="35"/>
      <c r="BB35" s="36"/>
      <c r="BC35" s="35"/>
      <c r="BD35" s="35"/>
      <c r="BE35" s="35"/>
      <c r="BF35" s="35"/>
      <c r="BG35" s="35"/>
      <c r="BH35" s="36"/>
      <c r="BI35" s="35"/>
      <c r="BJ35" s="35"/>
      <c r="BK35" s="35"/>
      <c r="BL35" s="35"/>
      <c r="BM35" s="35"/>
      <c r="BN35" s="36"/>
      <c r="BO35" s="35"/>
      <c r="BP35" s="35"/>
      <c r="BQ35" s="35"/>
      <c r="BR35" s="35"/>
      <c r="BS35" s="35"/>
      <c r="BT35" s="36"/>
      <c r="BU35" s="35"/>
      <c r="BV35" s="34"/>
      <c r="BW35" s="34"/>
      <c r="BX35" s="35"/>
      <c r="BY35" s="34"/>
      <c r="BZ35" s="34"/>
      <c r="CA35" s="34"/>
      <c r="CB35" s="34"/>
      <c r="CC35" s="35"/>
      <c r="CD35" s="35"/>
      <c r="CE35" s="34"/>
      <c r="CF35" s="35"/>
      <c r="CG35" s="34"/>
      <c r="CH35" s="34"/>
      <c r="CI35" s="34"/>
      <c r="CJ35" s="34"/>
      <c r="CK35" s="34"/>
      <c r="CL35" s="34"/>
      <c r="CM35" s="34"/>
      <c r="CN35" s="34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79"/>
      <c r="FY35" s="79"/>
      <c r="FZ35" s="79"/>
      <c r="GA35" s="79"/>
      <c r="GB35" s="79"/>
      <c r="GC35" s="79"/>
      <c r="GD35" s="79"/>
      <c r="GE35" s="79"/>
      <c r="GF35" s="79"/>
      <c r="GG35" s="79"/>
      <c r="GH35" s="79"/>
      <c r="GI35" s="79"/>
      <c r="GJ35" s="79"/>
      <c r="GK35" s="79"/>
      <c r="GL35" s="79"/>
      <c r="GM35" s="79"/>
      <c r="GN35" s="79"/>
      <c r="GO35" s="79"/>
      <c r="GP35" s="79"/>
      <c r="GQ35" s="79"/>
      <c r="GR35" s="79"/>
      <c r="GS35" s="79"/>
      <c r="GT35" s="79"/>
      <c r="GU35" s="79"/>
      <c r="GV35" s="79"/>
      <c r="GW35" s="79"/>
      <c r="GX35" s="79"/>
      <c r="GY35" s="79"/>
      <c r="GZ35" s="79"/>
      <c r="HA35" s="79"/>
      <c r="HB35" s="79"/>
      <c r="HC35" s="79"/>
      <c r="HD35" s="79"/>
      <c r="HE35" s="79"/>
      <c r="HF35" s="79"/>
      <c r="HG35" s="79"/>
      <c r="HH35" s="79"/>
      <c r="HI35" s="79"/>
      <c r="HJ35" s="79"/>
      <c r="HK35" s="79"/>
      <c r="HL35" s="79"/>
      <c r="HM35" s="79"/>
      <c r="HN35" s="79"/>
      <c r="HO35" s="79"/>
      <c r="HP35" s="79"/>
      <c r="HQ35" s="79"/>
      <c r="HR35" s="79"/>
      <c r="HS35" s="79"/>
      <c r="HT35" s="79"/>
      <c r="HU35" s="79"/>
      <c r="HV35" s="79"/>
      <c r="HW35" s="79"/>
      <c r="HX35" s="79"/>
      <c r="HY35" s="79"/>
      <c r="HZ35" s="79"/>
      <c r="IA35" s="79"/>
      <c r="IB35" s="79"/>
      <c r="IC35" s="79"/>
      <c r="ID35" s="79"/>
      <c r="IE35" s="79"/>
      <c r="IF35" s="79"/>
      <c r="IG35" s="79"/>
      <c r="IH35" s="79"/>
      <c r="II35" s="79"/>
      <c r="IJ35" s="79"/>
      <c r="IK35" s="79"/>
      <c r="IL35" s="79"/>
      <c r="IM35" s="79"/>
      <c r="IN35" s="79"/>
      <c r="IO35" s="79"/>
      <c r="IP35" s="79"/>
      <c r="IQ35" s="79"/>
      <c r="IR35" s="79"/>
      <c r="IS35" s="79"/>
      <c r="IT35" s="79"/>
      <c r="IU35" s="79"/>
      <c r="IV35" s="79"/>
      <c r="IW35" s="79"/>
    </row>
    <row r="36" spans="2:257" s="15" customFormat="1" ht="14.4">
      <c r="B36" s="30">
        <f>+B35+0.01</f>
        <v>2.0199999999999996</v>
      </c>
      <c r="C36" s="38" t="s">
        <v>14</v>
      </c>
      <c r="D36" s="34"/>
      <c r="E36" s="34"/>
      <c r="F36" s="34"/>
      <c r="G36" s="34"/>
      <c r="H36" s="34"/>
      <c r="I36" s="34"/>
      <c r="J36" s="34"/>
      <c r="K36" s="34"/>
      <c r="L36" s="35"/>
      <c r="M36" s="34"/>
      <c r="N36" s="34"/>
      <c r="O36" s="34"/>
      <c r="P36" s="34"/>
      <c r="Q36" s="34"/>
      <c r="R36" s="36"/>
      <c r="S36" s="34"/>
      <c r="T36" s="34"/>
      <c r="U36" s="34"/>
      <c r="V36" s="34"/>
      <c r="W36" s="34"/>
      <c r="X36" s="36"/>
      <c r="Y36" s="34"/>
      <c r="Z36" s="34"/>
      <c r="AA36" s="34"/>
      <c r="AB36" s="34"/>
      <c r="AC36" s="34"/>
      <c r="AD36" s="36"/>
      <c r="AE36" s="36"/>
      <c r="AF36" s="34"/>
      <c r="AG36" s="36"/>
      <c r="AH36" s="41"/>
      <c r="AI36" s="41"/>
      <c r="AJ36" s="41"/>
      <c r="AK36" s="34"/>
      <c r="AL36" s="34"/>
      <c r="AM36" s="34"/>
      <c r="AN36" s="34"/>
      <c r="AO36" s="34"/>
      <c r="AP36" s="36"/>
      <c r="AQ36" s="34"/>
      <c r="AR36" s="34"/>
      <c r="AS36" s="34"/>
      <c r="AT36" s="34"/>
      <c r="AU36" s="34"/>
      <c r="AV36" s="36"/>
      <c r="AW36" s="34"/>
      <c r="AX36" s="34"/>
      <c r="AY36" s="34"/>
      <c r="AZ36" s="34"/>
      <c r="BA36" s="34"/>
      <c r="BB36" s="36"/>
      <c r="BC36" s="34"/>
      <c r="BD36" s="34"/>
      <c r="BE36" s="34"/>
      <c r="BF36" s="34"/>
      <c r="BG36" s="34"/>
      <c r="BH36" s="36"/>
      <c r="BI36" s="34"/>
      <c r="BJ36" s="34"/>
      <c r="BK36" s="34"/>
      <c r="BL36" s="34"/>
      <c r="BM36" s="34"/>
      <c r="BN36" s="36"/>
      <c r="BO36" s="34"/>
      <c r="BP36" s="34"/>
      <c r="BQ36" s="34"/>
      <c r="BR36" s="34"/>
      <c r="BS36" s="34"/>
      <c r="BT36" s="36"/>
      <c r="BU36" s="35"/>
      <c r="BV36" s="34"/>
      <c r="BW36" s="34"/>
      <c r="BX36" s="35"/>
      <c r="BY36" s="34"/>
      <c r="BZ36" s="34"/>
      <c r="CA36" s="34"/>
      <c r="CB36" s="34"/>
      <c r="CC36" s="35"/>
      <c r="CD36" s="35"/>
      <c r="CE36" s="34"/>
      <c r="CF36" s="35"/>
      <c r="CG36" s="34"/>
      <c r="CH36" s="34"/>
      <c r="CI36" s="34"/>
      <c r="CJ36" s="34"/>
      <c r="CK36" s="34"/>
      <c r="CL36" s="34"/>
      <c r="CM36" s="34"/>
      <c r="CN36" s="34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  <c r="FN36" s="35"/>
      <c r="FO36" s="35"/>
      <c r="FP36" s="35"/>
      <c r="FQ36" s="35"/>
      <c r="FR36" s="35"/>
      <c r="FS36" s="35"/>
      <c r="FT36" s="35"/>
      <c r="FU36" s="35"/>
      <c r="FV36" s="35"/>
      <c r="FW36" s="35"/>
      <c r="FX36" s="79"/>
      <c r="FY36" s="79"/>
      <c r="FZ36" s="79"/>
      <c r="GA36" s="79"/>
      <c r="GB36" s="79"/>
      <c r="GC36" s="79"/>
      <c r="GD36" s="79"/>
      <c r="GE36" s="79"/>
      <c r="GF36" s="79"/>
      <c r="GG36" s="79"/>
      <c r="GH36" s="79"/>
      <c r="GI36" s="79"/>
      <c r="GJ36" s="79"/>
      <c r="GK36" s="79"/>
      <c r="GL36" s="79"/>
      <c r="GM36" s="79"/>
      <c r="GN36" s="79"/>
      <c r="GO36" s="79"/>
      <c r="GP36" s="79"/>
      <c r="GQ36" s="79"/>
      <c r="GR36" s="79"/>
      <c r="GS36" s="79"/>
      <c r="GT36" s="79"/>
      <c r="GU36" s="79"/>
      <c r="GV36" s="79"/>
      <c r="GW36" s="79"/>
      <c r="GX36" s="79"/>
      <c r="GY36" s="79"/>
      <c r="GZ36" s="79"/>
      <c r="HA36" s="79"/>
      <c r="HB36" s="79"/>
      <c r="HC36" s="79"/>
      <c r="HD36" s="79"/>
      <c r="HE36" s="79"/>
      <c r="HF36" s="79"/>
      <c r="HG36" s="79"/>
      <c r="HH36" s="79"/>
      <c r="HI36" s="79"/>
      <c r="HJ36" s="79"/>
      <c r="HK36" s="79"/>
      <c r="HL36" s="79"/>
      <c r="HM36" s="79"/>
      <c r="HN36" s="79"/>
      <c r="HO36" s="79"/>
      <c r="HP36" s="79"/>
      <c r="HQ36" s="79"/>
      <c r="HR36" s="79"/>
      <c r="HS36" s="79"/>
      <c r="HT36" s="79"/>
      <c r="HU36" s="79"/>
      <c r="HV36" s="79"/>
      <c r="HW36" s="79"/>
      <c r="HX36" s="79"/>
      <c r="HY36" s="79"/>
      <c r="HZ36" s="79"/>
      <c r="IA36" s="79"/>
      <c r="IB36" s="79"/>
      <c r="IC36" s="79"/>
      <c r="ID36" s="79"/>
      <c r="IE36" s="79"/>
      <c r="IF36" s="79"/>
      <c r="IG36" s="79"/>
      <c r="IH36" s="79"/>
      <c r="II36" s="79"/>
      <c r="IJ36" s="79"/>
      <c r="IK36" s="79"/>
      <c r="IL36" s="79"/>
      <c r="IM36" s="79"/>
      <c r="IN36" s="79"/>
      <c r="IO36" s="79"/>
      <c r="IP36" s="79"/>
      <c r="IQ36" s="79"/>
      <c r="IR36" s="79"/>
      <c r="IS36" s="79"/>
      <c r="IT36" s="79"/>
      <c r="IU36" s="79"/>
      <c r="IV36" s="79"/>
      <c r="IW36" s="79"/>
    </row>
    <row r="37" spans="2:257" s="15" customFormat="1" ht="14.4">
      <c r="B37" s="30">
        <f t="shared" ref="B37:B100" si="149">+B36+0.01</f>
        <v>2.0299999999999994</v>
      </c>
      <c r="C37" s="38" t="s">
        <v>15</v>
      </c>
      <c r="D37" s="34"/>
      <c r="E37" s="34"/>
      <c r="F37" s="34"/>
      <c r="G37" s="34"/>
      <c r="H37" s="34"/>
      <c r="I37" s="34"/>
      <c r="J37" s="34"/>
      <c r="K37" s="34"/>
      <c r="L37" s="35"/>
      <c r="M37" s="34"/>
      <c r="N37" s="34"/>
      <c r="O37" s="34"/>
      <c r="P37" s="34"/>
      <c r="Q37" s="34"/>
      <c r="R37" s="36"/>
      <c r="S37" s="34"/>
      <c r="T37" s="34"/>
      <c r="U37" s="34"/>
      <c r="V37" s="34"/>
      <c r="W37" s="34"/>
      <c r="X37" s="36"/>
      <c r="Y37" s="34"/>
      <c r="Z37" s="34"/>
      <c r="AA37" s="34"/>
      <c r="AB37" s="34"/>
      <c r="AC37" s="34"/>
      <c r="AD37" s="36"/>
      <c r="AE37" s="36"/>
      <c r="AF37" s="34"/>
      <c r="AG37" s="36"/>
      <c r="AH37" s="34"/>
      <c r="AI37" s="54"/>
      <c r="AJ37" s="54"/>
      <c r="AK37" s="54"/>
      <c r="AL37" s="34"/>
      <c r="AM37" s="34"/>
      <c r="AN37" s="34"/>
      <c r="AO37" s="34"/>
      <c r="AP37" s="36"/>
      <c r="AQ37" s="34"/>
      <c r="AR37" s="34"/>
      <c r="AS37" s="34"/>
      <c r="AT37" s="34"/>
      <c r="AU37" s="34"/>
      <c r="AV37" s="36"/>
      <c r="AW37" s="34"/>
      <c r="AX37" s="34"/>
      <c r="AY37" s="34"/>
      <c r="AZ37" s="34"/>
      <c r="BA37" s="34"/>
      <c r="BB37" s="36"/>
      <c r="BC37" s="34"/>
      <c r="BD37" s="34"/>
      <c r="BE37" s="34"/>
      <c r="BF37" s="34"/>
      <c r="BG37" s="34"/>
      <c r="BH37" s="36"/>
      <c r="BI37" s="34"/>
      <c r="BJ37" s="34"/>
      <c r="BK37" s="34"/>
      <c r="BL37" s="34"/>
      <c r="BM37" s="34"/>
      <c r="BN37" s="36"/>
      <c r="BO37" s="34"/>
      <c r="BP37" s="34"/>
      <c r="BQ37" s="34"/>
      <c r="BR37" s="34"/>
      <c r="BS37" s="34"/>
      <c r="BT37" s="36"/>
      <c r="BU37" s="35"/>
      <c r="BV37" s="34"/>
      <c r="BW37" s="34"/>
      <c r="BX37" s="35"/>
      <c r="BY37" s="34"/>
      <c r="BZ37" s="34"/>
      <c r="CA37" s="34"/>
      <c r="CB37" s="34"/>
      <c r="CC37" s="35"/>
      <c r="CD37" s="35"/>
      <c r="CE37" s="34"/>
      <c r="CF37" s="35"/>
      <c r="CG37" s="34"/>
      <c r="CH37" s="34"/>
      <c r="CI37" s="34"/>
      <c r="CJ37" s="34"/>
      <c r="CK37" s="34"/>
      <c r="CL37" s="34"/>
      <c r="CM37" s="34"/>
      <c r="CN37" s="34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  <c r="EY37" s="35"/>
      <c r="EZ37" s="35"/>
      <c r="FA37" s="35"/>
      <c r="FB37" s="35"/>
      <c r="FC37" s="35"/>
      <c r="FD37" s="35"/>
      <c r="FE37" s="35"/>
      <c r="FF37" s="35"/>
      <c r="FG37" s="35"/>
      <c r="FH37" s="35"/>
      <c r="FI37" s="35"/>
      <c r="FJ37" s="35"/>
      <c r="FK37" s="35"/>
      <c r="FL37" s="35"/>
      <c r="FM37" s="35"/>
      <c r="FN37" s="35"/>
      <c r="FO37" s="35"/>
      <c r="FP37" s="35"/>
      <c r="FQ37" s="35"/>
      <c r="FR37" s="35"/>
      <c r="FS37" s="35"/>
      <c r="FT37" s="35"/>
      <c r="FU37" s="35"/>
      <c r="FV37" s="35"/>
      <c r="FW37" s="35"/>
      <c r="FX37" s="79"/>
      <c r="FY37" s="79"/>
      <c r="FZ37" s="79"/>
      <c r="GA37" s="79"/>
      <c r="GB37" s="79"/>
      <c r="GC37" s="79"/>
      <c r="GD37" s="79"/>
      <c r="GE37" s="79"/>
      <c r="GF37" s="79"/>
      <c r="GG37" s="79"/>
      <c r="GH37" s="79"/>
      <c r="GI37" s="79"/>
      <c r="GJ37" s="79"/>
      <c r="GK37" s="79"/>
      <c r="GL37" s="79"/>
      <c r="GM37" s="79"/>
      <c r="GN37" s="79"/>
      <c r="GO37" s="79"/>
      <c r="GP37" s="79"/>
      <c r="GQ37" s="79"/>
      <c r="GR37" s="79"/>
      <c r="GS37" s="79"/>
      <c r="GT37" s="79"/>
      <c r="GU37" s="79"/>
      <c r="GV37" s="79"/>
      <c r="GW37" s="79"/>
      <c r="GX37" s="79"/>
      <c r="GY37" s="79"/>
      <c r="GZ37" s="79"/>
      <c r="HA37" s="79"/>
      <c r="HB37" s="79"/>
      <c r="HC37" s="79"/>
      <c r="HD37" s="79"/>
      <c r="HE37" s="79"/>
      <c r="HF37" s="79"/>
      <c r="HG37" s="79"/>
      <c r="HH37" s="79"/>
      <c r="HI37" s="79"/>
      <c r="HJ37" s="79"/>
      <c r="HK37" s="79"/>
      <c r="HL37" s="79"/>
      <c r="HM37" s="79"/>
      <c r="HN37" s="79"/>
      <c r="HO37" s="79"/>
      <c r="HP37" s="79"/>
      <c r="HQ37" s="79"/>
      <c r="HR37" s="79"/>
      <c r="HS37" s="79"/>
      <c r="HT37" s="79"/>
      <c r="HU37" s="79"/>
      <c r="HV37" s="79"/>
      <c r="HW37" s="79"/>
      <c r="HX37" s="79"/>
      <c r="HY37" s="79"/>
      <c r="HZ37" s="79"/>
      <c r="IA37" s="79"/>
      <c r="IB37" s="79"/>
      <c r="IC37" s="79"/>
      <c r="ID37" s="79"/>
      <c r="IE37" s="79"/>
      <c r="IF37" s="79"/>
      <c r="IG37" s="79"/>
      <c r="IH37" s="79"/>
      <c r="II37" s="79"/>
      <c r="IJ37" s="79"/>
      <c r="IK37" s="79"/>
      <c r="IL37" s="79"/>
      <c r="IM37" s="79"/>
      <c r="IN37" s="79"/>
      <c r="IO37" s="79"/>
      <c r="IP37" s="79"/>
      <c r="IQ37" s="79"/>
      <c r="IR37" s="79"/>
      <c r="IS37" s="79"/>
      <c r="IT37" s="79"/>
      <c r="IU37" s="79"/>
      <c r="IV37" s="79"/>
      <c r="IW37" s="79"/>
    </row>
    <row r="38" spans="2:257" s="15" customFormat="1" ht="14.4">
      <c r="B38" s="30">
        <f t="shared" si="149"/>
        <v>2.0399999999999991</v>
      </c>
      <c r="C38" s="38" t="s">
        <v>16</v>
      </c>
      <c r="D38" s="34"/>
      <c r="E38" s="34"/>
      <c r="F38" s="34"/>
      <c r="G38" s="34"/>
      <c r="H38" s="34"/>
      <c r="I38" s="34"/>
      <c r="J38" s="34"/>
      <c r="K38" s="34"/>
      <c r="L38" s="35"/>
      <c r="M38" s="34"/>
      <c r="N38" s="34"/>
      <c r="O38" s="34"/>
      <c r="P38" s="34"/>
      <c r="Q38" s="34"/>
      <c r="R38" s="36"/>
      <c r="S38" s="34"/>
      <c r="T38" s="34"/>
      <c r="U38" s="34"/>
      <c r="V38" s="34"/>
      <c r="W38" s="34"/>
      <c r="X38" s="36"/>
      <c r="Y38" s="34"/>
      <c r="Z38" s="34"/>
      <c r="AA38" s="34"/>
      <c r="AB38" s="34"/>
      <c r="AC38" s="34"/>
      <c r="AD38" s="36"/>
      <c r="AE38" s="36"/>
      <c r="AF38" s="34"/>
      <c r="AG38" s="36"/>
      <c r="AH38" s="34"/>
      <c r="AI38" s="34"/>
      <c r="AJ38" s="41" t="s">
        <v>183</v>
      </c>
      <c r="AK38" s="41" t="s">
        <v>184</v>
      </c>
      <c r="AL38" s="41" t="s">
        <v>185</v>
      </c>
      <c r="AM38" s="41" t="s">
        <v>186</v>
      </c>
      <c r="AN38" s="34"/>
      <c r="AO38" s="34"/>
      <c r="AP38" s="36"/>
      <c r="AQ38" s="34"/>
      <c r="AR38" s="34"/>
      <c r="AS38" s="34"/>
      <c r="AT38" s="34"/>
      <c r="AU38" s="34"/>
      <c r="AV38" s="36"/>
      <c r="AW38" s="34"/>
      <c r="AX38" s="34"/>
      <c r="AY38" s="34"/>
      <c r="AZ38" s="34"/>
      <c r="BA38" s="34"/>
      <c r="BB38" s="36"/>
      <c r="BC38" s="34"/>
      <c r="BD38" s="34"/>
      <c r="BE38" s="34"/>
      <c r="BF38" s="34"/>
      <c r="BG38" s="34"/>
      <c r="BH38" s="36"/>
      <c r="BI38" s="34"/>
      <c r="BJ38" s="34"/>
      <c r="BK38" s="34"/>
      <c r="BL38" s="34"/>
      <c r="BM38" s="34"/>
      <c r="BN38" s="36"/>
      <c r="BO38" s="34"/>
      <c r="BP38" s="34"/>
      <c r="BQ38" s="34"/>
      <c r="BR38" s="34"/>
      <c r="BS38" s="34"/>
      <c r="BT38" s="36"/>
      <c r="BU38" s="35"/>
      <c r="BV38" s="34"/>
      <c r="BW38" s="34"/>
      <c r="BX38" s="35"/>
      <c r="BY38" s="34"/>
      <c r="BZ38" s="34"/>
      <c r="CA38" s="34"/>
      <c r="CB38" s="34"/>
      <c r="CC38" s="35"/>
      <c r="CD38" s="35"/>
      <c r="CE38" s="34"/>
      <c r="CF38" s="35"/>
      <c r="CG38" s="34"/>
      <c r="CH38" s="34"/>
      <c r="CI38" s="34"/>
      <c r="CJ38" s="34"/>
      <c r="CK38" s="34"/>
      <c r="CL38" s="34"/>
      <c r="CM38" s="34"/>
      <c r="CN38" s="34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I38" s="35"/>
      <c r="FJ38" s="35"/>
      <c r="FK38" s="35"/>
      <c r="FL38" s="35"/>
      <c r="FM38" s="35"/>
      <c r="FN38" s="35"/>
      <c r="FO38" s="35"/>
      <c r="FP38" s="35"/>
      <c r="FQ38" s="35"/>
      <c r="FR38" s="35"/>
      <c r="FS38" s="35"/>
      <c r="FT38" s="35"/>
      <c r="FU38" s="35"/>
      <c r="FV38" s="35"/>
      <c r="FW38" s="35"/>
      <c r="FX38" s="79"/>
      <c r="FY38" s="79"/>
      <c r="FZ38" s="79"/>
      <c r="GA38" s="79"/>
      <c r="GB38" s="79"/>
      <c r="GC38" s="79"/>
      <c r="GD38" s="79"/>
      <c r="GE38" s="79"/>
      <c r="GF38" s="79"/>
      <c r="GG38" s="79"/>
      <c r="GH38" s="79"/>
      <c r="GI38" s="79"/>
      <c r="GJ38" s="79"/>
      <c r="GK38" s="79"/>
      <c r="GL38" s="79"/>
      <c r="GM38" s="79"/>
      <c r="GN38" s="79"/>
      <c r="GO38" s="79"/>
      <c r="GP38" s="79"/>
      <c r="GQ38" s="79"/>
      <c r="GR38" s="79"/>
      <c r="GS38" s="79"/>
      <c r="GT38" s="79"/>
      <c r="GU38" s="79"/>
      <c r="GV38" s="79"/>
      <c r="GW38" s="79"/>
      <c r="GX38" s="79"/>
      <c r="GY38" s="79"/>
      <c r="GZ38" s="79"/>
      <c r="HA38" s="79"/>
      <c r="HB38" s="79"/>
      <c r="HC38" s="79"/>
      <c r="HD38" s="79"/>
      <c r="HE38" s="79"/>
      <c r="HF38" s="79"/>
      <c r="HG38" s="79"/>
      <c r="HH38" s="79"/>
      <c r="HI38" s="79"/>
      <c r="HJ38" s="79"/>
      <c r="HK38" s="79"/>
      <c r="HL38" s="79"/>
      <c r="HM38" s="79"/>
      <c r="HN38" s="79"/>
      <c r="HO38" s="79"/>
      <c r="HP38" s="79"/>
      <c r="HQ38" s="79"/>
      <c r="HR38" s="79"/>
      <c r="HS38" s="79"/>
      <c r="HT38" s="79"/>
      <c r="HU38" s="79"/>
      <c r="HV38" s="79"/>
      <c r="HW38" s="79"/>
      <c r="HX38" s="79"/>
      <c r="HY38" s="79"/>
      <c r="HZ38" s="79"/>
      <c r="IA38" s="79"/>
      <c r="IB38" s="79"/>
      <c r="IC38" s="79"/>
      <c r="ID38" s="79"/>
      <c r="IE38" s="79"/>
      <c r="IF38" s="79"/>
      <c r="IG38" s="79"/>
      <c r="IH38" s="79"/>
      <c r="II38" s="79"/>
      <c r="IJ38" s="79"/>
      <c r="IK38" s="79"/>
      <c r="IL38" s="79"/>
      <c r="IM38" s="79"/>
      <c r="IN38" s="79"/>
      <c r="IO38" s="79"/>
      <c r="IP38" s="79"/>
      <c r="IQ38" s="79"/>
      <c r="IR38" s="79"/>
      <c r="IS38" s="79"/>
      <c r="IT38" s="79"/>
      <c r="IU38" s="79"/>
      <c r="IV38" s="79"/>
      <c r="IW38" s="79"/>
    </row>
    <row r="39" spans="2:257" s="15" customFormat="1" ht="14.4">
      <c r="B39" s="30">
        <f t="shared" si="149"/>
        <v>2.0499999999999989</v>
      </c>
      <c r="C39" s="38" t="s">
        <v>17</v>
      </c>
      <c r="D39" s="34"/>
      <c r="E39" s="34"/>
      <c r="F39" s="34"/>
      <c r="G39" s="34"/>
      <c r="H39" s="34"/>
      <c r="I39" s="34"/>
      <c r="J39" s="34"/>
      <c r="K39" s="34"/>
      <c r="L39" s="35"/>
      <c r="M39" s="34"/>
      <c r="N39" s="34"/>
      <c r="O39" s="34"/>
      <c r="P39" s="34"/>
      <c r="Q39" s="34"/>
      <c r="R39" s="36"/>
      <c r="S39" s="34"/>
      <c r="T39" s="34"/>
      <c r="U39" s="34"/>
      <c r="V39" s="34"/>
      <c r="W39" s="34"/>
      <c r="X39" s="36"/>
      <c r="Y39" s="34"/>
      <c r="Z39" s="34"/>
      <c r="AA39" s="34"/>
      <c r="AB39" s="34"/>
      <c r="AC39" s="34"/>
      <c r="AD39" s="36"/>
      <c r="AE39" s="36"/>
      <c r="AF39" s="34"/>
      <c r="AG39" s="36"/>
      <c r="AH39" s="34"/>
      <c r="AI39" s="34"/>
      <c r="AJ39" s="36"/>
      <c r="AK39" s="41" t="s">
        <v>183</v>
      </c>
      <c r="AL39" s="41" t="s">
        <v>184</v>
      </c>
      <c r="AM39" s="41" t="s">
        <v>185</v>
      </c>
      <c r="AN39" s="41" t="s">
        <v>186</v>
      </c>
      <c r="AO39" s="34"/>
      <c r="AP39" s="36"/>
      <c r="AQ39" s="34"/>
      <c r="AR39" s="34"/>
      <c r="AS39" s="34"/>
      <c r="AT39" s="34"/>
      <c r="AU39" s="34"/>
      <c r="AV39" s="36"/>
      <c r="AW39" s="34"/>
      <c r="AX39" s="34"/>
      <c r="AY39" s="34"/>
      <c r="AZ39" s="34"/>
      <c r="BA39" s="34"/>
      <c r="BB39" s="36"/>
      <c r="BC39" s="34"/>
      <c r="BD39" s="34"/>
      <c r="BE39" s="34"/>
      <c r="BF39" s="34"/>
      <c r="BG39" s="34"/>
      <c r="BH39" s="36"/>
      <c r="BI39" s="34"/>
      <c r="BJ39" s="34"/>
      <c r="BK39" s="34"/>
      <c r="BL39" s="34"/>
      <c r="BM39" s="34"/>
      <c r="BN39" s="36"/>
      <c r="BO39" s="34"/>
      <c r="BP39" s="34"/>
      <c r="BQ39" s="34"/>
      <c r="BR39" s="34"/>
      <c r="BS39" s="34"/>
      <c r="BT39" s="36"/>
      <c r="BU39" s="35"/>
      <c r="BV39" s="34"/>
      <c r="BW39" s="34"/>
      <c r="BX39" s="35"/>
      <c r="BY39" s="34"/>
      <c r="BZ39" s="34"/>
      <c r="CA39" s="34"/>
      <c r="CB39" s="34"/>
      <c r="CC39" s="35"/>
      <c r="CD39" s="35"/>
      <c r="CE39" s="34"/>
      <c r="CF39" s="35"/>
      <c r="CG39" s="34"/>
      <c r="CH39" s="34"/>
      <c r="CI39" s="34"/>
      <c r="CJ39" s="34"/>
      <c r="CK39" s="34"/>
      <c r="CL39" s="34"/>
      <c r="CM39" s="34"/>
      <c r="CN39" s="34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5"/>
      <c r="FQ39" s="35"/>
      <c r="FR39" s="35"/>
      <c r="FS39" s="35"/>
      <c r="FT39" s="35"/>
      <c r="FU39" s="35"/>
      <c r="FV39" s="35"/>
      <c r="FW39" s="35"/>
      <c r="FX39" s="79"/>
      <c r="FY39" s="79"/>
      <c r="FZ39" s="79"/>
      <c r="GA39" s="79"/>
      <c r="GB39" s="79"/>
      <c r="GC39" s="79"/>
      <c r="GD39" s="79"/>
      <c r="GE39" s="79"/>
      <c r="GF39" s="79"/>
      <c r="GG39" s="79"/>
      <c r="GH39" s="79"/>
      <c r="GI39" s="79"/>
      <c r="GJ39" s="79"/>
      <c r="GK39" s="79"/>
      <c r="GL39" s="79"/>
      <c r="GM39" s="79"/>
      <c r="GN39" s="79"/>
      <c r="GO39" s="79"/>
      <c r="GP39" s="79"/>
      <c r="GQ39" s="79"/>
      <c r="GR39" s="79"/>
      <c r="GS39" s="79"/>
      <c r="GT39" s="79"/>
      <c r="GU39" s="79"/>
      <c r="GV39" s="79"/>
      <c r="GW39" s="79"/>
      <c r="GX39" s="79"/>
      <c r="GY39" s="79"/>
      <c r="GZ39" s="79"/>
      <c r="HA39" s="79"/>
      <c r="HB39" s="79"/>
      <c r="HC39" s="79"/>
      <c r="HD39" s="79"/>
      <c r="HE39" s="79"/>
      <c r="HF39" s="79"/>
      <c r="HG39" s="79"/>
      <c r="HH39" s="79"/>
      <c r="HI39" s="79"/>
      <c r="HJ39" s="79"/>
      <c r="HK39" s="79"/>
      <c r="HL39" s="79"/>
      <c r="HM39" s="79"/>
      <c r="HN39" s="79"/>
      <c r="HO39" s="79"/>
      <c r="HP39" s="79"/>
      <c r="HQ39" s="79"/>
      <c r="HR39" s="79"/>
      <c r="HS39" s="79"/>
      <c r="HT39" s="79"/>
      <c r="HU39" s="79"/>
      <c r="HV39" s="79"/>
      <c r="HW39" s="79"/>
      <c r="HX39" s="79"/>
      <c r="HY39" s="79"/>
      <c r="HZ39" s="79"/>
      <c r="IA39" s="79"/>
      <c r="IB39" s="79"/>
      <c r="IC39" s="79"/>
      <c r="ID39" s="79"/>
      <c r="IE39" s="79"/>
      <c r="IF39" s="79"/>
      <c r="IG39" s="79"/>
      <c r="IH39" s="79"/>
      <c r="II39" s="79"/>
      <c r="IJ39" s="79"/>
      <c r="IK39" s="79"/>
      <c r="IL39" s="79"/>
      <c r="IM39" s="79"/>
      <c r="IN39" s="79"/>
      <c r="IO39" s="79"/>
      <c r="IP39" s="79"/>
      <c r="IQ39" s="79"/>
      <c r="IR39" s="79"/>
      <c r="IS39" s="79"/>
      <c r="IT39" s="79"/>
      <c r="IU39" s="79"/>
      <c r="IV39" s="79"/>
      <c r="IW39" s="79"/>
    </row>
    <row r="40" spans="2:257" s="15" customFormat="1" ht="14.4">
      <c r="B40" s="30">
        <f t="shared" si="149"/>
        <v>2.0599999999999987</v>
      </c>
      <c r="C40" s="38" t="s">
        <v>18</v>
      </c>
      <c r="D40" s="34"/>
      <c r="E40" s="34"/>
      <c r="F40" s="34"/>
      <c r="G40" s="34"/>
      <c r="H40" s="34"/>
      <c r="I40" s="34"/>
      <c r="J40" s="34"/>
      <c r="K40" s="34"/>
      <c r="L40" s="35"/>
      <c r="M40" s="34"/>
      <c r="N40" s="34"/>
      <c r="O40" s="34"/>
      <c r="P40" s="34"/>
      <c r="Q40" s="34"/>
      <c r="R40" s="36"/>
      <c r="S40" s="34"/>
      <c r="T40" s="34"/>
      <c r="U40" s="34"/>
      <c r="V40" s="34"/>
      <c r="W40" s="34"/>
      <c r="X40" s="36"/>
      <c r="Y40" s="34"/>
      <c r="Z40" s="34"/>
      <c r="AA40" s="34"/>
      <c r="AB40" s="34"/>
      <c r="AC40" s="34"/>
      <c r="AD40" s="36"/>
      <c r="AE40" s="36"/>
      <c r="AF40" s="34"/>
      <c r="AG40" s="36"/>
      <c r="AH40" s="34"/>
      <c r="AI40" s="34"/>
      <c r="AJ40" s="36"/>
      <c r="AK40" s="34"/>
      <c r="AL40" s="41" t="s">
        <v>183</v>
      </c>
      <c r="AM40" s="41" t="s">
        <v>184</v>
      </c>
      <c r="AN40" s="41" t="s">
        <v>185</v>
      </c>
      <c r="AO40" s="41" t="s">
        <v>186</v>
      </c>
      <c r="AP40" s="36"/>
      <c r="AQ40" s="34"/>
      <c r="AR40" s="34"/>
      <c r="AS40" s="34"/>
      <c r="AT40" s="34"/>
      <c r="AU40" s="34"/>
      <c r="AV40" s="36"/>
      <c r="AW40" s="34"/>
      <c r="AX40" s="34"/>
      <c r="AY40" s="34"/>
      <c r="AZ40" s="34"/>
      <c r="BA40" s="34"/>
      <c r="BB40" s="36"/>
      <c r="BC40" s="34"/>
      <c r="BD40" s="34"/>
      <c r="BE40" s="34"/>
      <c r="BF40" s="34"/>
      <c r="BG40" s="34"/>
      <c r="BH40" s="36"/>
      <c r="BI40" s="34"/>
      <c r="BJ40" s="34"/>
      <c r="BK40" s="34"/>
      <c r="BL40" s="34"/>
      <c r="BM40" s="34"/>
      <c r="BN40" s="36"/>
      <c r="BO40" s="34"/>
      <c r="BP40" s="34"/>
      <c r="BQ40" s="34"/>
      <c r="BR40" s="34"/>
      <c r="BS40" s="34"/>
      <c r="BT40" s="36"/>
      <c r="BU40" s="35"/>
      <c r="BV40" s="34"/>
      <c r="BW40" s="34"/>
      <c r="BX40" s="35"/>
      <c r="BY40" s="34"/>
      <c r="BZ40" s="34"/>
      <c r="CA40" s="34"/>
      <c r="CB40" s="34"/>
      <c r="CC40" s="35"/>
      <c r="CD40" s="35"/>
      <c r="CE40" s="34"/>
      <c r="CF40" s="35"/>
      <c r="CG40" s="34"/>
      <c r="CH40" s="34"/>
      <c r="CI40" s="34"/>
      <c r="CJ40" s="34"/>
      <c r="CK40" s="34"/>
      <c r="CL40" s="34"/>
      <c r="CM40" s="34"/>
      <c r="CN40" s="34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  <c r="EY40" s="35"/>
      <c r="EZ40" s="35"/>
      <c r="FA40" s="35"/>
      <c r="FB40" s="35"/>
      <c r="FC40" s="35"/>
      <c r="FD40" s="35"/>
      <c r="FE40" s="35"/>
      <c r="FF40" s="35"/>
      <c r="FG40" s="35"/>
      <c r="FH40" s="35"/>
      <c r="FI40" s="35"/>
      <c r="FJ40" s="35"/>
      <c r="FK40" s="35"/>
      <c r="FL40" s="35"/>
      <c r="FM40" s="35"/>
      <c r="FN40" s="35"/>
      <c r="FO40" s="35"/>
      <c r="FP40" s="35"/>
      <c r="FQ40" s="35"/>
      <c r="FR40" s="35"/>
      <c r="FS40" s="35"/>
      <c r="FT40" s="35"/>
      <c r="FU40" s="35"/>
      <c r="FV40" s="35"/>
      <c r="FW40" s="35"/>
      <c r="FX40" s="79"/>
      <c r="FY40" s="79"/>
      <c r="FZ40" s="79"/>
      <c r="GA40" s="79"/>
      <c r="GB40" s="79"/>
      <c r="GC40" s="79"/>
      <c r="GD40" s="79"/>
      <c r="GE40" s="79"/>
      <c r="GF40" s="79"/>
      <c r="GG40" s="79"/>
      <c r="GH40" s="79"/>
      <c r="GI40" s="79"/>
      <c r="GJ40" s="79"/>
      <c r="GK40" s="79"/>
      <c r="GL40" s="79"/>
      <c r="GM40" s="79"/>
      <c r="GN40" s="79"/>
      <c r="GO40" s="79"/>
      <c r="GP40" s="79"/>
      <c r="GQ40" s="79"/>
      <c r="GR40" s="79"/>
      <c r="GS40" s="79"/>
      <c r="GT40" s="79"/>
      <c r="GU40" s="79"/>
      <c r="GV40" s="79"/>
      <c r="GW40" s="79"/>
      <c r="GX40" s="79"/>
      <c r="GY40" s="79"/>
      <c r="GZ40" s="79"/>
      <c r="HA40" s="79"/>
      <c r="HB40" s="79"/>
      <c r="HC40" s="79"/>
      <c r="HD40" s="79"/>
      <c r="HE40" s="79"/>
      <c r="HF40" s="79"/>
      <c r="HG40" s="79"/>
      <c r="HH40" s="79"/>
      <c r="HI40" s="79"/>
      <c r="HJ40" s="79"/>
      <c r="HK40" s="79"/>
      <c r="HL40" s="79"/>
      <c r="HM40" s="79"/>
      <c r="HN40" s="79"/>
      <c r="HO40" s="79"/>
      <c r="HP40" s="79"/>
      <c r="HQ40" s="79"/>
      <c r="HR40" s="79"/>
      <c r="HS40" s="79"/>
      <c r="HT40" s="79"/>
      <c r="HU40" s="79"/>
      <c r="HV40" s="79"/>
      <c r="HW40" s="79"/>
      <c r="HX40" s="79"/>
      <c r="HY40" s="79"/>
      <c r="HZ40" s="79"/>
      <c r="IA40" s="79"/>
      <c r="IB40" s="79"/>
      <c r="IC40" s="79"/>
      <c r="ID40" s="79"/>
      <c r="IE40" s="79"/>
      <c r="IF40" s="79"/>
      <c r="IG40" s="79"/>
      <c r="IH40" s="79"/>
      <c r="II40" s="79"/>
      <c r="IJ40" s="79"/>
      <c r="IK40" s="79"/>
      <c r="IL40" s="79"/>
      <c r="IM40" s="79"/>
      <c r="IN40" s="79"/>
      <c r="IO40" s="79"/>
      <c r="IP40" s="79"/>
      <c r="IQ40" s="79"/>
      <c r="IR40" s="79"/>
      <c r="IS40" s="79"/>
      <c r="IT40" s="79"/>
      <c r="IU40" s="79"/>
      <c r="IV40" s="79"/>
      <c r="IW40" s="79"/>
    </row>
    <row r="41" spans="2:257" s="15" customFormat="1" ht="14.4">
      <c r="B41" s="30">
        <f t="shared" si="149"/>
        <v>2.0699999999999985</v>
      </c>
      <c r="C41" s="38" t="s">
        <v>19</v>
      </c>
      <c r="D41" s="34"/>
      <c r="E41" s="34"/>
      <c r="F41" s="34"/>
      <c r="G41" s="34"/>
      <c r="H41" s="34"/>
      <c r="I41" s="34"/>
      <c r="J41" s="34"/>
      <c r="K41" s="34"/>
      <c r="L41" s="35"/>
      <c r="M41" s="34"/>
      <c r="N41" s="34"/>
      <c r="O41" s="34"/>
      <c r="P41" s="34"/>
      <c r="Q41" s="34"/>
      <c r="R41" s="36"/>
      <c r="S41" s="34"/>
      <c r="T41" s="34"/>
      <c r="U41" s="34"/>
      <c r="V41" s="34"/>
      <c r="W41" s="34"/>
      <c r="X41" s="36"/>
      <c r="Y41" s="34"/>
      <c r="Z41" s="34"/>
      <c r="AA41" s="34"/>
      <c r="AB41" s="34"/>
      <c r="AC41" s="34"/>
      <c r="AD41" s="36"/>
      <c r="AE41" s="36"/>
      <c r="AF41" s="34"/>
      <c r="AG41" s="36"/>
      <c r="AH41" s="34"/>
      <c r="AI41" s="34"/>
      <c r="AJ41" s="36"/>
      <c r="AK41" s="34"/>
      <c r="AL41" s="34"/>
      <c r="AM41" s="34"/>
      <c r="AN41" s="41" t="s">
        <v>183</v>
      </c>
      <c r="AO41" s="41" t="s">
        <v>184</v>
      </c>
      <c r="AP41" s="41" t="s">
        <v>185</v>
      </c>
      <c r="AQ41" s="41" t="s">
        <v>186</v>
      </c>
      <c r="AR41" s="34"/>
      <c r="AS41" s="34"/>
      <c r="AT41" s="34"/>
      <c r="AU41" s="34"/>
      <c r="AV41" s="34"/>
      <c r="AW41" s="36"/>
      <c r="AX41" s="34"/>
      <c r="AY41" s="34"/>
      <c r="AZ41" s="34"/>
      <c r="BA41" s="34"/>
      <c r="BB41" s="36"/>
      <c r="BC41" s="34"/>
      <c r="BD41" s="34"/>
      <c r="BE41" s="34"/>
      <c r="BF41" s="34"/>
      <c r="BG41" s="34"/>
      <c r="BH41" s="36"/>
      <c r="BI41" s="34"/>
      <c r="BJ41" s="34"/>
      <c r="BK41" s="34"/>
      <c r="BL41" s="34"/>
      <c r="BM41" s="34"/>
      <c r="BN41" s="36"/>
      <c r="BO41" s="34"/>
      <c r="BP41" s="34"/>
      <c r="BQ41" s="34"/>
      <c r="BR41" s="34"/>
      <c r="BS41" s="34"/>
      <c r="BT41" s="36"/>
      <c r="BU41" s="35"/>
      <c r="BV41" s="34"/>
      <c r="BW41" s="34"/>
      <c r="BX41" s="35"/>
      <c r="BY41" s="34"/>
      <c r="BZ41" s="34"/>
      <c r="CA41" s="34"/>
      <c r="CB41" s="34"/>
      <c r="CC41" s="35"/>
      <c r="CD41" s="35"/>
      <c r="CE41" s="34"/>
      <c r="CF41" s="35"/>
      <c r="CG41" s="34"/>
      <c r="CH41" s="34"/>
      <c r="CI41" s="34"/>
      <c r="CJ41" s="34"/>
      <c r="CK41" s="34"/>
      <c r="CL41" s="34"/>
      <c r="CM41" s="34"/>
      <c r="CN41" s="34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  <c r="FS41" s="35"/>
      <c r="FT41" s="35"/>
      <c r="FU41" s="35"/>
      <c r="FV41" s="35"/>
      <c r="FW41" s="35"/>
      <c r="FX41" s="79"/>
      <c r="FY41" s="79"/>
      <c r="FZ41" s="79"/>
      <c r="GA41" s="79"/>
      <c r="GB41" s="79"/>
      <c r="GC41" s="79"/>
      <c r="GD41" s="79"/>
      <c r="GE41" s="79"/>
      <c r="GF41" s="79"/>
      <c r="GG41" s="79"/>
      <c r="GH41" s="79"/>
      <c r="GI41" s="79"/>
      <c r="GJ41" s="79"/>
      <c r="GK41" s="79"/>
      <c r="GL41" s="79"/>
      <c r="GM41" s="79"/>
      <c r="GN41" s="79"/>
      <c r="GO41" s="79"/>
      <c r="GP41" s="79"/>
      <c r="GQ41" s="79"/>
      <c r="GR41" s="79"/>
      <c r="GS41" s="79"/>
      <c r="GT41" s="79"/>
      <c r="GU41" s="79"/>
      <c r="GV41" s="79"/>
      <c r="GW41" s="79"/>
      <c r="GX41" s="79"/>
      <c r="GY41" s="79"/>
      <c r="GZ41" s="79"/>
      <c r="HA41" s="79"/>
      <c r="HB41" s="79"/>
      <c r="HC41" s="79"/>
      <c r="HD41" s="79"/>
      <c r="HE41" s="79"/>
      <c r="HF41" s="79"/>
      <c r="HG41" s="79"/>
      <c r="HH41" s="79"/>
      <c r="HI41" s="79"/>
      <c r="HJ41" s="79"/>
      <c r="HK41" s="79"/>
      <c r="HL41" s="79"/>
      <c r="HM41" s="79"/>
      <c r="HN41" s="79"/>
      <c r="HO41" s="79"/>
      <c r="HP41" s="79"/>
      <c r="HQ41" s="79"/>
      <c r="HR41" s="79"/>
      <c r="HS41" s="79"/>
      <c r="HT41" s="79"/>
      <c r="HU41" s="79"/>
      <c r="HV41" s="79"/>
      <c r="HW41" s="79"/>
      <c r="HX41" s="79"/>
      <c r="HY41" s="79"/>
      <c r="HZ41" s="79"/>
      <c r="IA41" s="79"/>
      <c r="IB41" s="79"/>
      <c r="IC41" s="79"/>
      <c r="ID41" s="79"/>
      <c r="IE41" s="79"/>
      <c r="IF41" s="79"/>
      <c r="IG41" s="79"/>
      <c r="IH41" s="79"/>
      <c r="II41" s="79"/>
      <c r="IJ41" s="79"/>
      <c r="IK41" s="79"/>
      <c r="IL41" s="79"/>
      <c r="IM41" s="79"/>
      <c r="IN41" s="79"/>
      <c r="IO41" s="79"/>
      <c r="IP41" s="79"/>
      <c r="IQ41" s="79"/>
      <c r="IR41" s="79"/>
      <c r="IS41" s="79"/>
      <c r="IT41" s="79"/>
      <c r="IU41" s="79"/>
      <c r="IV41" s="79"/>
      <c r="IW41" s="79"/>
    </row>
    <row r="42" spans="2:257" s="15" customFormat="1" ht="14.4">
      <c r="B42" s="30">
        <f t="shared" si="149"/>
        <v>2.0799999999999983</v>
      </c>
      <c r="C42" s="38" t="s">
        <v>20</v>
      </c>
      <c r="D42" s="34"/>
      <c r="E42" s="34"/>
      <c r="F42" s="34"/>
      <c r="G42" s="34"/>
      <c r="H42" s="34"/>
      <c r="I42" s="34"/>
      <c r="J42" s="34"/>
      <c r="K42" s="34"/>
      <c r="L42" s="35"/>
      <c r="M42" s="34"/>
      <c r="N42" s="34"/>
      <c r="O42" s="34"/>
      <c r="P42" s="34"/>
      <c r="Q42" s="34"/>
      <c r="R42" s="36"/>
      <c r="S42" s="34"/>
      <c r="T42" s="34"/>
      <c r="U42" s="34"/>
      <c r="V42" s="34"/>
      <c r="W42" s="34"/>
      <c r="X42" s="36"/>
      <c r="Y42" s="34"/>
      <c r="Z42" s="34"/>
      <c r="AA42" s="34"/>
      <c r="AB42" s="34"/>
      <c r="AC42" s="34"/>
      <c r="AD42" s="36"/>
      <c r="AE42" s="36"/>
      <c r="AF42" s="34"/>
      <c r="AG42" s="36"/>
      <c r="AH42" s="34"/>
      <c r="AI42" s="34"/>
      <c r="AJ42" s="36"/>
      <c r="AK42" s="34"/>
      <c r="AL42" s="34"/>
      <c r="AM42" s="34"/>
      <c r="AN42" s="34"/>
      <c r="AO42" s="41" t="s">
        <v>183</v>
      </c>
      <c r="AP42" s="41" t="s">
        <v>184</v>
      </c>
      <c r="AQ42" s="41" t="s">
        <v>185</v>
      </c>
      <c r="AR42" s="41" t="s">
        <v>186</v>
      </c>
      <c r="AS42" s="34"/>
      <c r="AT42" s="34"/>
      <c r="AU42" s="34"/>
      <c r="AV42" s="34"/>
      <c r="AW42" s="36"/>
      <c r="AX42" s="34"/>
      <c r="AY42" s="34"/>
      <c r="AZ42" s="34"/>
      <c r="BA42" s="34"/>
      <c r="BB42" s="36"/>
      <c r="BC42" s="34"/>
      <c r="BD42" s="34"/>
      <c r="BE42" s="34"/>
      <c r="BF42" s="34"/>
      <c r="BG42" s="34"/>
      <c r="BH42" s="36"/>
      <c r="BI42" s="34"/>
      <c r="BJ42" s="34"/>
      <c r="BK42" s="34"/>
      <c r="BL42" s="34"/>
      <c r="BM42" s="34"/>
      <c r="BN42" s="36"/>
      <c r="BO42" s="34"/>
      <c r="BP42" s="34"/>
      <c r="BQ42" s="34"/>
      <c r="BR42" s="34"/>
      <c r="BS42" s="34"/>
      <c r="BT42" s="36"/>
      <c r="BU42" s="35"/>
      <c r="BV42" s="34"/>
      <c r="BW42" s="34"/>
      <c r="BX42" s="35"/>
      <c r="BY42" s="34"/>
      <c r="BZ42" s="34"/>
      <c r="CA42" s="34"/>
      <c r="CB42" s="34"/>
      <c r="CC42" s="35"/>
      <c r="CD42" s="35"/>
      <c r="CE42" s="34"/>
      <c r="CF42" s="35"/>
      <c r="CG42" s="34"/>
      <c r="CH42" s="34"/>
      <c r="CI42" s="34"/>
      <c r="CJ42" s="34"/>
      <c r="CK42" s="34"/>
      <c r="CL42" s="34"/>
      <c r="CM42" s="34"/>
      <c r="CN42" s="34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35"/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5"/>
      <c r="FQ42" s="35"/>
      <c r="FR42" s="35"/>
      <c r="FS42" s="35"/>
      <c r="FT42" s="35"/>
      <c r="FU42" s="35"/>
      <c r="FV42" s="35"/>
      <c r="FW42" s="35"/>
      <c r="FX42" s="79"/>
      <c r="FY42" s="79"/>
      <c r="FZ42" s="79"/>
      <c r="GA42" s="79"/>
      <c r="GB42" s="79"/>
      <c r="GC42" s="79"/>
      <c r="GD42" s="79"/>
      <c r="GE42" s="79"/>
      <c r="GF42" s="79"/>
      <c r="GG42" s="79"/>
      <c r="GH42" s="79"/>
      <c r="GI42" s="79"/>
      <c r="GJ42" s="79"/>
      <c r="GK42" s="79"/>
      <c r="GL42" s="79"/>
      <c r="GM42" s="79"/>
      <c r="GN42" s="79"/>
      <c r="GO42" s="79"/>
      <c r="GP42" s="79"/>
      <c r="GQ42" s="79"/>
      <c r="GR42" s="79"/>
      <c r="GS42" s="79"/>
      <c r="GT42" s="79"/>
      <c r="GU42" s="79"/>
      <c r="GV42" s="79"/>
      <c r="GW42" s="79"/>
      <c r="GX42" s="79"/>
      <c r="GY42" s="79"/>
      <c r="GZ42" s="79"/>
      <c r="HA42" s="79"/>
      <c r="HB42" s="79"/>
      <c r="HC42" s="79"/>
      <c r="HD42" s="79"/>
      <c r="HE42" s="79"/>
      <c r="HF42" s="79"/>
      <c r="HG42" s="79"/>
      <c r="HH42" s="79"/>
      <c r="HI42" s="79"/>
      <c r="HJ42" s="79"/>
      <c r="HK42" s="79"/>
      <c r="HL42" s="79"/>
      <c r="HM42" s="79"/>
      <c r="HN42" s="79"/>
      <c r="HO42" s="79"/>
      <c r="HP42" s="79"/>
      <c r="HQ42" s="79"/>
      <c r="HR42" s="79"/>
      <c r="HS42" s="79"/>
      <c r="HT42" s="79"/>
      <c r="HU42" s="79"/>
      <c r="HV42" s="79"/>
      <c r="HW42" s="79"/>
      <c r="HX42" s="79"/>
      <c r="HY42" s="79"/>
      <c r="HZ42" s="79"/>
      <c r="IA42" s="79"/>
      <c r="IB42" s="79"/>
      <c r="IC42" s="79"/>
      <c r="ID42" s="79"/>
      <c r="IE42" s="79"/>
      <c r="IF42" s="79"/>
      <c r="IG42" s="79"/>
      <c r="IH42" s="79"/>
      <c r="II42" s="79"/>
      <c r="IJ42" s="79"/>
      <c r="IK42" s="79"/>
      <c r="IL42" s="79"/>
      <c r="IM42" s="79"/>
      <c r="IN42" s="79"/>
      <c r="IO42" s="79"/>
      <c r="IP42" s="79"/>
      <c r="IQ42" s="79"/>
      <c r="IR42" s="79"/>
      <c r="IS42" s="79"/>
      <c r="IT42" s="79"/>
      <c r="IU42" s="79"/>
      <c r="IV42" s="79"/>
      <c r="IW42" s="79"/>
    </row>
    <row r="43" spans="2:257" s="15" customFormat="1" ht="14.4">
      <c r="B43" s="30">
        <f t="shared" si="149"/>
        <v>2.0899999999999981</v>
      </c>
      <c r="C43" s="38" t="s">
        <v>21</v>
      </c>
      <c r="D43" s="34"/>
      <c r="E43" s="34"/>
      <c r="F43" s="34"/>
      <c r="G43" s="34"/>
      <c r="H43" s="34"/>
      <c r="I43" s="34"/>
      <c r="J43" s="34"/>
      <c r="K43" s="34"/>
      <c r="L43" s="35"/>
      <c r="M43" s="34"/>
      <c r="N43" s="34"/>
      <c r="O43" s="34"/>
      <c r="P43" s="34"/>
      <c r="Q43" s="34"/>
      <c r="R43" s="36"/>
      <c r="S43" s="34"/>
      <c r="T43" s="34"/>
      <c r="U43" s="34"/>
      <c r="V43" s="34"/>
      <c r="W43" s="34"/>
      <c r="X43" s="36"/>
      <c r="Y43" s="34"/>
      <c r="Z43" s="34"/>
      <c r="AA43" s="34"/>
      <c r="AB43" s="34"/>
      <c r="AC43" s="34"/>
      <c r="AD43" s="36"/>
      <c r="AE43" s="36"/>
      <c r="AF43" s="34"/>
      <c r="AG43" s="36"/>
      <c r="AH43" s="34"/>
      <c r="AI43" s="34"/>
      <c r="AJ43" s="36"/>
      <c r="AK43" s="34"/>
      <c r="AL43" s="34"/>
      <c r="AM43" s="34"/>
      <c r="AN43" s="34"/>
      <c r="AO43" s="34"/>
      <c r="AP43" s="41" t="s">
        <v>183</v>
      </c>
      <c r="AQ43" s="41" t="s">
        <v>184</v>
      </c>
      <c r="AR43" s="41" t="s">
        <v>185</v>
      </c>
      <c r="AS43" s="41" t="s">
        <v>186</v>
      </c>
      <c r="AT43" s="34"/>
      <c r="AU43" s="34"/>
      <c r="AV43" s="34"/>
      <c r="AW43" s="36"/>
      <c r="AX43" s="34"/>
      <c r="AY43" s="34"/>
      <c r="AZ43" s="34"/>
      <c r="BA43" s="34"/>
      <c r="BB43" s="36"/>
      <c r="BC43" s="34"/>
      <c r="BD43" s="34"/>
      <c r="BE43" s="34"/>
      <c r="BF43" s="34"/>
      <c r="BG43" s="34"/>
      <c r="BH43" s="36"/>
      <c r="BI43" s="34"/>
      <c r="BJ43" s="34"/>
      <c r="BK43" s="34"/>
      <c r="BL43" s="34"/>
      <c r="BM43" s="34"/>
      <c r="BN43" s="36"/>
      <c r="BO43" s="34"/>
      <c r="BP43" s="34"/>
      <c r="BQ43" s="34"/>
      <c r="BR43" s="34"/>
      <c r="BS43" s="34"/>
      <c r="BT43" s="36"/>
      <c r="BU43" s="35"/>
      <c r="BV43" s="34"/>
      <c r="BW43" s="34"/>
      <c r="BX43" s="35"/>
      <c r="BY43" s="34"/>
      <c r="BZ43" s="34"/>
      <c r="CA43" s="34"/>
      <c r="CB43" s="34"/>
      <c r="CC43" s="35"/>
      <c r="CD43" s="35"/>
      <c r="CE43" s="34"/>
      <c r="CF43" s="35"/>
      <c r="CG43" s="34"/>
      <c r="CH43" s="34"/>
      <c r="CI43" s="34"/>
      <c r="CJ43" s="34"/>
      <c r="CK43" s="34"/>
      <c r="CL43" s="34"/>
      <c r="CM43" s="34"/>
      <c r="CN43" s="34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  <c r="EY43" s="35"/>
      <c r="EZ43" s="35"/>
      <c r="FA43" s="35"/>
      <c r="FB43" s="35"/>
      <c r="FC43" s="35"/>
      <c r="FD43" s="35"/>
      <c r="FE43" s="35"/>
      <c r="FF43" s="35"/>
      <c r="FG43" s="35"/>
      <c r="FH43" s="35"/>
      <c r="FI43" s="35"/>
      <c r="FJ43" s="35"/>
      <c r="FK43" s="35"/>
      <c r="FL43" s="35"/>
      <c r="FM43" s="35"/>
      <c r="FN43" s="35"/>
      <c r="FO43" s="35"/>
      <c r="FP43" s="35"/>
      <c r="FQ43" s="35"/>
      <c r="FR43" s="35"/>
      <c r="FS43" s="35"/>
      <c r="FT43" s="35"/>
      <c r="FU43" s="35"/>
      <c r="FV43" s="35"/>
      <c r="FW43" s="35"/>
      <c r="FX43" s="79"/>
      <c r="FY43" s="79"/>
      <c r="FZ43" s="79"/>
      <c r="GA43" s="79"/>
      <c r="GB43" s="79"/>
      <c r="GC43" s="79"/>
      <c r="GD43" s="79"/>
      <c r="GE43" s="79"/>
      <c r="GF43" s="79"/>
      <c r="GG43" s="79"/>
      <c r="GH43" s="79"/>
      <c r="GI43" s="79"/>
      <c r="GJ43" s="79"/>
      <c r="GK43" s="79"/>
      <c r="GL43" s="79"/>
      <c r="GM43" s="79"/>
      <c r="GN43" s="79"/>
      <c r="GO43" s="79"/>
      <c r="GP43" s="79"/>
      <c r="GQ43" s="79"/>
      <c r="GR43" s="79"/>
      <c r="GS43" s="79"/>
      <c r="GT43" s="79"/>
      <c r="GU43" s="79"/>
      <c r="GV43" s="79"/>
      <c r="GW43" s="79"/>
      <c r="GX43" s="79"/>
      <c r="GY43" s="79"/>
      <c r="GZ43" s="79"/>
      <c r="HA43" s="79"/>
      <c r="HB43" s="79"/>
      <c r="HC43" s="79"/>
      <c r="HD43" s="79"/>
      <c r="HE43" s="79"/>
      <c r="HF43" s="79"/>
      <c r="HG43" s="79"/>
      <c r="HH43" s="79"/>
      <c r="HI43" s="79"/>
      <c r="HJ43" s="79"/>
      <c r="HK43" s="79"/>
      <c r="HL43" s="79"/>
      <c r="HM43" s="79"/>
      <c r="HN43" s="79"/>
      <c r="HO43" s="79"/>
      <c r="HP43" s="79"/>
      <c r="HQ43" s="79"/>
      <c r="HR43" s="79"/>
      <c r="HS43" s="79"/>
      <c r="HT43" s="79"/>
      <c r="HU43" s="79"/>
      <c r="HV43" s="79"/>
      <c r="HW43" s="79"/>
      <c r="HX43" s="79"/>
      <c r="HY43" s="79"/>
      <c r="HZ43" s="79"/>
      <c r="IA43" s="79"/>
      <c r="IB43" s="79"/>
      <c r="IC43" s="79"/>
      <c r="ID43" s="79"/>
      <c r="IE43" s="79"/>
      <c r="IF43" s="79"/>
      <c r="IG43" s="79"/>
      <c r="IH43" s="79"/>
      <c r="II43" s="79"/>
      <c r="IJ43" s="79"/>
      <c r="IK43" s="79"/>
      <c r="IL43" s="79"/>
      <c r="IM43" s="79"/>
      <c r="IN43" s="79"/>
      <c r="IO43" s="79"/>
      <c r="IP43" s="79"/>
      <c r="IQ43" s="79"/>
      <c r="IR43" s="79"/>
      <c r="IS43" s="79"/>
      <c r="IT43" s="79"/>
      <c r="IU43" s="79"/>
      <c r="IV43" s="79"/>
      <c r="IW43" s="79"/>
    </row>
    <row r="44" spans="2:257" s="15" customFormat="1" ht="14.4">
      <c r="B44" s="30">
        <f t="shared" si="149"/>
        <v>2.0999999999999979</v>
      </c>
      <c r="C44" s="38" t="s">
        <v>22</v>
      </c>
      <c r="D44" s="34"/>
      <c r="E44" s="34"/>
      <c r="F44" s="34"/>
      <c r="G44" s="34"/>
      <c r="H44" s="34"/>
      <c r="I44" s="34"/>
      <c r="J44" s="34"/>
      <c r="K44" s="34"/>
      <c r="L44" s="35"/>
      <c r="M44" s="34"/>
      <c r="N44" s="34"/>
      <c r="O44" s="34"/>
      <c r="P44" s="34"/>
      <c r="Q44" s="34"/>
      <c r="R44" s="36"/>
      <c r="S44" s="34"/>
      <c r="T44" s="34"/>
      <c r="U44" s="34"/>
      <c r="V44" s="34"/>
      <c r="W44" s="34"/>
      <c r="X44" s="36"/>
      <c r="Y44" s="34"/>
      <c r="Z44" s="34"/>
      <c r="AA44" s="34"/>
      <c r="AB44" s="34"/>
      <c r="AC44" s="34"/>
      <c r="AD44" s="36"/>
      <c r="AE44" s="36"/>
      <c r="AF44" s="34"/>
      <c r="AG44" s="36"/>
      <c r="AH44" s="34"/>
      <c r="AI44" s="34"/>
      <c r="AJ44" s="36"/>
      <c r="AK44" s="34"/>
      <c r="AL44" s="34"/>
      <c r="AM44" s="34"/>
      <c r="AN44" s="34"/>
      <c r="AO44" s="34"/>
      <c r="AP44" s="34"/>
      <c r="AQ44" s="41" t="s">
        <v>183</v>
      </c>
      <c r="AR44" s="41" t="s">
        <v>184</v>
      </c>
      <c r="AS44" s="41" t="s">
        <v>185</v>
      </c>
      <c r="AT44" s="41" t="s">
        <v>186</v>
      </c>
      <c r="AU44" s="34"/>
      <c r="AV44" s="34"/>
      <c r="AW44" s="36"/>
      <c r="AX44" s="34"/>
      <c r="AY44" s="34"/>
      <c r="AZ44" s="34"/>
      <c r="BA44" s="34"/>
      <c r="BB44" s="36"/>
      <c r="BC44" s="34"/>
      <c r="BD44" s="34"/>
      <c r="BE44" s="34"/>
      <c r="BF44" s="34"/>
      <c r="BG44" s="34"/>
      <c r="BH44" s="36"/>
      <c r="BI44" s="34"/>
      <c r="BJ44" s="34"/>
      <c r="BK44" s="34"/>
      <c r="BL44" s="34"/>
      <c r="BM44" s="34"/>
      <c r="BN44" s="36"/>
      <c r="BO44" s="34"/>
      <c r="BP44" s="34"/>
      <c r="BQ44" s="34"/>
      <c r="BR44" s="34"/>
      <c r="BS44" s="34"/>
      <c r="BT44" s="36"/>
      <c r="BU44" s="35"/>
      <c r="BV44" s="34"/>
      <c r="BW44" s="34"/>
      <c r="BX44" s="35"/>
      <c r="BY44" s="34"/>
      <c r="BZ44" s="34"/>
      <c r="CA44" s="34"/>
      <c r="CB44" s="34"/>
      <c r="CC44" s="35"/>
      <c r="CD44" s="35"/>
      <c r="CE44" s="34"/>
      <c r="CF44" s="35"/>
      <c r="CG44" s="34"/>
      <c r="CH44" s="34"/>
      <c r="CI44" s="34"/>
      <c r="CJ44" s="34"/>
      <c r="CK44" s="34"/>
      <c r="CL44" s="34"/>
      <c r="CM44" s="34"/>
      <c r="CN44" s="34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  <c r="EY44" s="35"/>
      <c r="EZ44" s="35"/>
      <c r="FA44" s="35"/>
      <c r="FB44" s="35"/>
      <c r="FC44" s="35"/>
      <c r="FD44" s="35"/>
      <c r="FE44" s="35"/>
      <c r="FF44" s="35"/>
      <c r="FG44" s="35"/>
      <c r="FH44" s="35"/>
      <c r="FI44" s="35"/>
      <c r="FJ44" s="35"/>
      <c r="FK44" s="35"/>
      <c r="FL44" s="35"/>
      <c r="FM44" s="35"/>
      <c r="FN44" s="35"/>
      <c r="FO44" s="35"/>
      <c r="FP44" s="35"/>
      <c r="FQ44" s="35"/>
      <c r="FR44" s="35"/>
      <c r="FS44" s="35"/>
      <c r="FT44" s="35"/>
      <c r="FU44" s="35"/>
      <c r="FV44" s="35"/>
      <c r="FW44" s="35"/>
      <c r="FX44" s="79"/>
      <c r="FY44" s="79"/>
      <c r="FZ44" s="79"/>
      <c r="GA44" s="79"/>
      <c r="GB44" s="79"/>
      <c r="GC44" s="79"/>
      <c r="GD44" s="79"/>
      <c r="GE44" s="79"/>
      <c r="GF44" s="79"/>
      <c r="GG44" s="79"/>
      <c r="GH44" s="79"/>
      <c r="GI44" s="79"/>
      <c r="GJ44" s="79"/>
      <c r="GK44" s="79"/>
      <c r="GL44" s="79"/>
      <c r="GM44" s="79"/>
      <c r="GN44" s="79"/>
      <c r="GO44" s="79"/>
      <c r="GP44" s="79"/>
      <c r="GQ44" s="79"/>
      <c r="GR44" s="79"/>
      <c r="GS44" s="79"/>
      <c r="GT44" s="79"/>
      <c r="GU44" s="79"/>
      <c r="GV44" s="79"/>
      <c r="GW44" s="79"/>
      <c r="GX44" s="79"/>
      <c r="GY44" s="79"/>
      <c r="GZ44" s="79"/>
      <c r="HA44" s="79"/>
      <c r="HB44" s="79"/>
      <c r="HC44" s="79"/>
      <c r="HD44" s="79"/>
      <c r="HE44" s="79"/>
      <c r="HF44" s="79"/>
      <c r="HG44" s="79"/>
      <c r="HH44" s="79"/>
      <c r="HI44" s="79"/>
      <c r="HJ44" s="79"/>
      <c r="HK44" s="79"/>
      <c r="HL44" s="79"/>
      <c r="HM44" s="79"/>
      <c r="HN44" s="79"/>
      <c r="HO44" s="79"/>
      <c r="HP44" s="79"/>
      <c r="HQ44" s="79"/>
      <c r="HR44" s="79"/>
      <c r="HS44" s="79"/>
      <c r="HT44" s="79"/>
      <c r="HU44" s="79"/>
      <c r="HV44" s="79"/>
      <c r="HW44" s="79"/>
      <c r="HX44" s="79"/>
      <c r="HY44" s="79"/>
      <c r="HZ44" s="79"/>
      <c r="IA44" s="79"/>
      <c r="IB44" s="79"/>
      <c r="IC44" s="79"/>
      <c r="ID44" s="79"/>
      <c r="IE44" s="79"/>
      <c r="IF44" s="79"/>
      <c r="IG44" s="79"/>
      <c r="IH44" s="79"/>
      <c r="II44" s="79"/>
      <c r="IJ44" s="79"/>
      <c r="IK44" s="79"/>
      <c r="IL44" s="79"/>
      <c r="IM44" s="79"/>
      <c r="IN44" s="79"/>
      <c r="IO44" s="79"/>
      <c r="IP44" s="79"/>
      <c r="IQ44" s="79"/>
      <c r="IR44" s="79"/>
      <c r="IS44" s="79"/>
      <c r="IT44" s="79"/>
      <c r="IU44" s="79"/>
      <c r="IV44" s="79"/>
      <c r="IW44" s="79"/>
    </row>
    <row r="45" spans="2:257" s="15" customFormat="1" ht="14.4">
      <c r="B45" s="30">
        <f t="shared" si="149"/>
        <v>2.1099999999999977</v>
      </c>
      <c r="C45" s="38" t="s">
        <v>23</v>
      </c>
      <c r="D45" s="34"/>
      <c r="E45" s="34"/>
      <c r="F45" s="34"/>
      <c r="G45" s="34"/>
      <c r="H45" s="34"/>
      <c r="I45" s="34"/>
      <c r="J45" s="34"/>
      <c r="K45" s="34"/>
      <c r="L45" s="35"/>
      <c r="M45" s="34"/>
      <c r="N45" s="34"/>
      <c r="O45" s="34"/>
      <c r="P45" s="34"/>
      <c r="Q45" s="34"/>
      <c r="R45" s="36"/>
      <c r="S45" s="34"/>
      <c r="T45" s="34"/>
      <c r="U45" s="34"/>
      <c r="V45" s="34"/>
      <c r="W45" s="34"/>
      <c r="X45" s="36"/>
      <c r="Y45" s="34"/>
      <c r="Z45" s="34"/>
      <c r="AA45" s="34"/>
      <c r="AB45" s="34"/>
      <c r="AC45" s="34"/>
      <c r="AD45" s="36"/>
      <c r="AE45" s="36"/>
      <c r="AF45" s="34"/>
      <c r="AG45" s="36"/>
      <c r="AH45" s="34"/>
      <c r="AI45" s="34"/>
      <c r="AJ45" s="36"/>
      <c r="AK45" s="34"/>
      <c r="AL45" s="34"/>
      <c r="AM45" s="34"/>
      <c r="AN45" s="34"/>
      <c r="AO45" s="34"/>
      <c r="AP45" s="34"/>
      <c r="AQ45" s="36"/>
      <c r="AR45" s="41" t="s">
        <v>183</v>
      </c>
      <c r="AS45" s="41" t="s">
        <v>184</v>
      </c>
      <c r="AT45" s="41" t="s">
        <v>185</v>
      </c>
      <c r="AU45" s="41" t="s">
        <v>186</v>
      </c>
      <c r="AV45" s="34"/>
      <c r="AW45" s="36"/>
      <c r="AX45" s="34"/>
      <c r="AY45" s="34"/>
      <c r="AZ45" s="34"/>
      <c r="BA45" s="34"/>
      <c r="BB45" s="36"/>
      <c r="BC45" s="34"/>
      <c r="BD45" s="34"/>
      <c r="BE45" s="34"/>
      <c r="BF45" s="34"/>
      <c r="BG45" s="34"/>
      <c r="BH45" s="36"/>
      <c r="BI45" s="34"/>
      <c r="BJ45" s="34"/>
      <c r="BK45" s="34"/>
      <c r="BL45" s="34"/>
      <c r="BM45" s="34"/>
      <c r="BN45" s="36"/>
      <c r="BO45" s="34"/>
      <c r="BP45" s="34"/>
      <c r="BQ45" s="34"/>
      <c r="BR45" s="34"/>
      <c r="BS45" s="34"/>
      <c r="BT45" s="36"/>
      <c r="BU45" s="35"/>
      <c r="BV45" s="34"/>
      <c r="BW45" s="34"/>
      <c r="BX45" s="35"/>
      <c r="BY45" s="34"/>
      <c r="BZ45" s="34"/>
      <c r="CA45" s="34"/>
      <c r="CB45" s="34"/>
      <c r="CC45" s="35"/>
      <c r="CD45" s="35"/>
      <c r="CE45" s="34"/>
      <c r="CF45" s="35"/>
      <c r="CG45" s="34"/>
      <c r="CH45" s="34"/>
      <c r="CI45" s="34"/>
      <c r="CJ45" s="34"/>
      <c r="CK45" s="34"/>
      <c r="CL45" s="34"/>
      <c r="CM45" s="34"/>
      <c r="CN45" s="34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35"/>
      <c r="FK45" s="35"/>
      <c r="FL45" s="35"/>
      <c r="FM45" s="35"/>
      <c r="FN45" s="35"/>
      <c r="FO45" s="35"/>
      <c r="FP45" s="35"/>
      <c r="FQ45" s="35"/>
      <c r="FR45" s="35"/>
      <c r="FS45" s="35"/>
      <c r="FT45" s="35"/>
      <c r="FU45" s="35"/>
      <c r="FV45" s="35"/>
      <c r="FW45" s="35"/>
      <c r="FX45" s="79"/>
      <c r="FY45" s="79"/>
      <c r="FZ45" s="79"/>
      <c r="GA45" s="79"/>
      <c r="GB45" s="79"/>
      <c r="GC45" s="79"/>
      <c r="GD45" s="79"/>
      <c r="GE45" s="79"/>
      <c r="GF45" s="79"/>
      <c r="GG45" s="79"/>
      <c r="GH45" s="79"/>
      <c r="GI45" s="79"/>
      <c r="GJ45" s="79"/>
      <c r="GK45" s="79"/>
      <c r="GL45" s="79"/>
      <c r="GM45" s="79"/>
      <c r="GN45" s="79"/>
      <c r="GO45" s="79"/>
      <c r="GP45" s="79"/>
      <c r="GQ45" s="79"/>
      <c r="GR45" s="79"/>
      <c r="GS45" s="79"/>
      <c r="GT45" s="79"/>
      <c r="GU45" s="79"/>
      <c r="GV45" s="79"/>
      <c r="GW45" s="79"/>
      <c r="GX45" s="79"/>
      <c r="GY45" s="79"/>
      <c r="GZ45" s="79"/>
      <c r="HA45" s="79"/>
      <c r="HB45" s="79"/>
      <c r="HC45" s="79"/>
      <c r="HD45" s="79"/>
      <c r="HE45" s="79"/>
      <c r="HF45" s="79"/>
      <c r="HG45" s="79"/>
      <c r="HH45" s="79"/>
      <c r="HI45" s="79"/>
      <c r="HJ45" s="79"/>
      <c r="HK45" s="79"/>
      <c r="HL45" s="79"/>
      <c r="HM45" s="79"/>
      <c r="HN45" s="79"/>
      <c r="HO45" s="79"/>
      <c r="HP45" s="79"/>
      <c r="HQ45" s="79"/>
      <c r="HR45" s="79"/>
      <c r="HS45" s="79"/>
      <c r="HT45" s="79"/>
      <c r="HU45" s="79"/>
      <c r="HV45" s="79"/>
      <c r="HW45" s="79"/>
      <c r="HX45" s="79"/>
      <c r="HY45" s="79"/>
      <c r="HZ45" s="79"/>
      <c r="IA45" s="79"/>
      <c r="IB45" s="79"/>
      <c r="IC45" s="79"/>
      <c r="ID45" s="79"/>
      <c r="IE45" s="79"/>
      <c r="IF45" s="79"/>
      <c r="IG45" s="79"/>
      <c r="IH45" s="79"/>
      <c r="II45" s="79"/>
      <c r="IJ45" s="79"/>
      <c r="IK45" s="79"/>
      <c r="IL45" s="79"/>
      <c r="IM45" s="79"/>
      <c r="IN45" s="79"/>
      <c r="IO45" s="79"/>
      <c r="IP45" s="79"/>
      <c r="IQ45" s="79"/>
      <c r="IR45" s="79"/>
      <c r="IS45" s="79"/>
      <c r="IT45" s="79"/>
      <c r="IU45" s="79"/>
      <c r="IV45" s="79"/>
      <c r="IW45" s="79"/>
    </row>
    <row r="46" spans="2:257" s="15" customFormat="1" ht="14.4">
      <c r="B46" s="30">
        <f t="shared" si="149"/>
        <v>2.1199999999999974</v>
      </c>
      <c r="C46" s="38" t="s">
        <v>24</v>
      </c>
      <c r="D46" s="34"/>
      <c r="E46" s="34"/>
      <c r="F46" s="34"/>
      <c r="G46" s="34"/>
      <c r="H46" s="34"/>
      <c r="I46" s="34"/>
      <c r="J46" s="34"/>
      <c r="K46" s="34"/>
      <c r="L46" s="35"/>
      <c r="M46" s="34"/>
      <c r="N46" s="34"/>
      <c r="O46" s="34"/>
      <c r="P46" s="34"/>
      <c r="Q46" s="34"/>
      <c r="R46" s="36"/>
      <c r="S46" s="34"/>
      <c r="T46" s="34"/>
      <c r="U46" s="34"/>
      <c r="V46" s="34"/>
      <c r="W46" s="34"/>
      <c r="X46" s="36"/>
      <c r="Y46" s="34"/>
      <c r="Z46" s="34"/>
      <c r="AA46" s="34"/>
      <c r="AB46" s="34"/>
      <c r="AC46" s="34"/>
      <c r="AD46" s="36"/>
      <c r="AE46" s="36"/>
      <c r="AF46" s="34"/>
      <c r="AG46" s="36"/>
      <c r="AH46" s="34"/>
      <c r="AI46" s="34"/>
      <c r="AJ46" s="36"/>
      <c r="AK46" s="34"/>
      <c r="AL46" s="34"/>
      <c r="AM46" s="34"/>
      <c r="AN46" s="34"/>
      <c r="AO46" s="34"/>
      <c r="AP46" s="34"/>
      <c r="AQ46" s="36"/>
      <c r="AR46" s="34"/>
      <c r="AS46" s="41" t="s">
        <v>183</v>
      </c>
      <c r="AT46" s="41" t="s">
        <v>184</v>
      </c>
      <c r="AU46" s="41" t="s">
        <v>185</v>
      </c>
      <c r="AV46" s="41" t="s">
        <v>186</v>
      </c>
      <c r="AW46" s="36"/>
      <c r="AX46" s="34"/>
      <c r="AY46" s="34"/>
      <c r="AZ46" s="34"/>
      <c r="BA46" s="34"/>
      <c r="BB46" s="36"/>
      <c r="BC46" s="34"/>
      <c r="BD46" s="34"/>
      <c r="BE46" s="34"/>
      <c r="BF46" s="34"/>
      <c r="BG46" s="34"/>
      <c r="BH46" s="36"/>
      <c r="BI46" s="34"/>
      <c r="BJ46" s="34"/>
      <c r="BK46" s="34"/>
      <c r="BL46" s="34"/>
      <c r="BM46" s="34"/>
      <c r="BN46" s="36"/>
      <c r="BO46" s="34"/>
      <c r="BP46" s="34"/>
      <c r="BQ46" s="34"/>
      <c r="BR46" s="34"/>
      <c r="BS46" s="34"/>
      <c r="BT46" s="36"/>
      <c r="BU46" s="35"/>
      <c r="BV46" s="34"/>
      <c r="BW46" s="34"/>
      <c r="BX46" s="35"/>
      <c r="BY46" s="34"/>
      <c r="BZ46" s="34"/>
      <c r="CA46" s="34"/>
      <c r="CB46" s="34"/>
      <c r="CC46" s="35"/>
      <c r="CD46" s="35"/>
      <c r="CE46" s="34"/>
      <c r="CF46" s="35"/>
      <c r="CG46" s="34"/>
      <c r="CH46" s="34"/>
      <c r="CI46" s="34"/>
      <c r="CJ46" s="34"/>
      <c r="CK46" s="34"/>
      <c r="CL46" s="34"/>
      <c r="CM46" s="34"/>
      <c r="CN46" s="34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N46" s="35"/>
      <c r="FO46" s="35"/>
      <c r="FP46" s="35"/>
      <c r="FQ46" s="35"/>
      <c r="FR46" s="35"/>
      <c r="FS46" s="35"/>
      <c r="FT46" s="35"/>
      <c r="FU46" s="35"/>
      <c r="FV46" s="35"/>
      <c r="FW46" s="35"/>
      <c r="FX46" s="79"/>
      <c r="FY46" s="79"/>
      <c r="FZ46" s="79"/>
      <c r="GA46" s="79"/>
      <c r="GB46" s="79"/>
      <c r="GC46" s="79"/>
      <c r="GD46" s="79"/>
      <c r="GE46" s="79"/>
      <c r="GF46" s="79"/>
      <c r="GG46" s="79"/>
      <c r="GH46" s="79"/>
      <c r="GI46" s="79"/>
      <c r="GJ46" s="79"/>
      <c r="GK46" s="79"/>
      <c r="GL46" s="79"/>
      <c r="GM46" s="79"/>
      <c r="GN46" s="79"/>
      <c r="GO46" s="79"/>
      <c r="GP46" s="79"/>
      <c r="GQ46" s="79"/>
      <c r="GR46" s="79"/>
      <c r="GS46" s="79"/>
      <c r="GT46" s="79"/>
      <c r="GU46" s="79"/>
      <c r="GV46" s="79"/>
      <c r="GW46" s="79"/>
      <c r="GX46" s="79"/>
      <c r="GY46" s="79"/>
      <c r="GZ46" s="79"/>
      <c r="HA46" s="79"/>
      <c r="HB46" s="79"/>
      <c r="HC46" s="79"/>
      <c r="HD46" s="79"/>
      <c r="HE46" s="79"/>
      <c r="HF46" s="79"/>
      <c r="HG46" s="79"/>
      <c r="HH46" s="79"/>
      <c r="HI46" s="79"/>
      <c r="HJ46" s="79"/>
      <c r="HK46" s="79"/>
      <c r="HL46" s="79"/>
      <c r="HM46" s="79"/>
      <c r="HN46" s="79"/>
      <c r="HO46" s="79"/>
      <c r="HP46" s="79"/>
      <c r="HQ46" s="79"/>
      <c r="HR46" s="79"/>
      <c r="HS46" s="79"/>
      <c r="HT46" s="79"/>
      <c r="HU46" s="79"/>
      <c r="HV46" s="79"/>
      <c r="HW46" s="79"/>
      <c r="HX46" s="79"/>
      <c r="HY46" s="79"/>
      <c r="HZ46" s="79"/>
      <c r="IA46" s="79"/>
      <c r="IB46" s="79"/>
      <c r="IC46" s="79"/>
      <c r="ID46" s="79"/>
      <c r="IE46" s="79"/>
      <c r="IF46" s="79"/>
      <c r="IG46" s="79"/>
      <c r="IH46" s="79"/>
      <c r="II46" s="79"/>
      <c r="IJ46" s="79"/>
      <c r="IK46" s="79"/>
      <c r="IL46" s="79"/>
      <c r="IM46" s="79"/>
      <c r="IN46" s="79"/>
      <c r="IO46" s="79"/>
      <c r="IP46" s="79"/>
      <c r="IQ46" s="79"/>
      <c r="IR46" s="79"/>
      <c r="IS46" s="79"/>
      <c r="IT46" s="79"/>
      <c r="IU46" s="79"/>
      <c r="IV46" s="79"/>
      <c r="IW46" s="79"/>
    </row>
    <row r="47" spans="2:257" s="14" customFormat="1" ht="14.4">
      <c r="B47" s="30">
        <f t="shared" si="149"/>
        <v>2.1299999999999972</v>
      </c>
      <c r="C47" s="39" t="s">
        <v>25</v>
      </c>
      <c r="D47" s="34"/>
      <c r="E47" s="34"/>
      <c r="F47" s="34"/>
      <c r="G47" s="34"/>
      <c r="H47" s="34"/>
      <c r="I47" s="34"/>
      <c r="J47" s="34"/>
      <c r="K47" s="34"/>
      <c r="L47" s="35"/>
      <c r="M47" s="34"/>
      <c r="N47" s="34"/>
      <c r="O47" s="34"/>
      <c r="P47" s="34"/>
      <c r="Q47" s="34"/>
      <c r="R47" s="36"/>
      <c r="S47" s="34"/>
      <c r="T47" s="34"/>
      <c r="U47" s="34"/>
      <c r="V47" s="34"/>
      <c r="W47" s="34"/>
      <c r="X47" s="36"/>
      <c r="Y47" s="34"/>
      <c r="Z47" s="34"/>
      <c r="AA47" s="34"/>
      <c r="AB47" s="34"/>
      <c r="AC47" s="34"/>
      <c r="AD47" s="36"/>
      <c r="AE47" s="36"/>
      <c r="AF47" s="34"/>
      <c r="AG47" s="36"/>
      <c r="AH47" s="34"/>
      <c r="AI47" s="34"/>
      <c r="AJ47" s="36"/>
      <c r="AK47" s="34"/>
      <c r="AL47" s="34"/>
      <c r="AM47" s="34"/>
      <c r="AN47" s="34"/>
      <c r="AO47" s="34"/>
      <c r="AP47" s="34"/>
      <c r="AQ47" s="36"/>
      <c r="AR47" s="34"/>
      <c r="AS47" s="34"/>
      <c r="AT47" s="41" t="s">
        <v>183</v>
      </c>
      <c r="AU47" s="41" t="s">
        <v>184</v>
      </c>
      <c r="AV47" s="41" t="s">
        <v>185</v>
      </c>
      <c r="AW47" s="41" t="s">
        <v>186</v>
      </c>
      <c r="AX47" s="34"/>
      <c r="AY47" s="34"/>
      <c r="AZ47" s="34"/>
      <c r="BA47" s="34"/>
      <c r="BB47" s="36"/>
      <c r="BC47" s="34"/>
      <c r="BD47" s="34"/>
      <c r="BE47" s="34"/>
      <c r="BF47" s="34"/>
      <c r="BG47" s="34"/>
      <c r="BH47" s="36"/>
      <c r="BI47" s="34"/>
      <c r="BJ47" s="34"/>
      <c r="BK47" s="34"/>
      <c r="BL47" s="34"/>
      <c r="BM47" s="34"/>
      <c r="BN47" s="36"/>
      <c r="BO47" s="34"/>
      <c r="BP47" s="34"/>
      <c r="BQ47" s="34"/>
      <c r="BR47" s="34"/>
      <c r="BS47" s="34"/>
      <c r="BT47" s="36"/>
      <c r="BU47" s="35"/>
      <c r="BV47" s="34"/>
      <c r="BW47" s="34"/>
      <c r="BX47" s="35"/>
      <c r="BY47" s="34"/>
      <c r="BZ47" s="34"/>
      <c r="CA47" s="34"/>
      <c r="CB47" s="34"/>
      <c r="CC47" s="35"/>
      <c r="CD47" s="35"/>
      <c r="CE47" s="34"/>
      <c r="CF47" s="35"/>
      <c r="CG47" s="34"/>
      <c r="CH47" s="34"/>
      <c r="CI47" s="34"/>
      <c r="CJ47" s="34"/>
      <c r="CK47" s="34"/>
      <c r="CL47" s="34"/>
      <c r="CM47" s="34"/>
      <c r="CN47" s="34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  <c r="EF47" s="35"/>
      <c r="EG47" s="35"/>
      <c r="EH47" s="35"/>
      <c r="EI47" s="35"/>
      <c r="EJ47" s="35"/>
      <c r="EK47" s="35"/>
      <c r="EL47" s="35"/>
      <c r="EM47" s="35"/>
      <c r="EN47" s="35"/>
      <c r="EO47" s="35"/>
      <c r="EP47" s="35"/>
      <c r="EQ47" s="35"/>
      <c r="ER47" s="35"/>
      <c r="ES47" s="35"/>
      <c r="ET47" s="35"/>
      <c r="EU47" s="35"/>
      <c r="EV47" s="35"/>
      <c r="EW47" s="35"/>
      <c r="EX47" s="35"/>
      <c r="EY47" s="35"/>
      <c r="EZ47" s="35"/>
      <c r="FA47" s="35"/>
      <c r="FB47" s="35"/>
      <c r="FC47" s="35"/>
      <c r="FD47" s="35"/>
      <c r="FE47" s="35"/>
      <c r="FF47" s="35"/>
      <c r="FG47" s="35"/>
      <c r="FH47" s="35"/>
      <c r="FI47" s="35"/>
      <c r="FJ47" s="35"/>
      <c r="FK47" s="35"/>
      <c r="FL47" s="35"/>
      <c r="FM47" s="35"/>
      <c r="FN47" s="35"/>
      <c r="FO47" s="35"/>
      <c r="FP47" s="35"/>
      <c r="FQ47" s="35"/>
      <c r="FR47" s="35"/>
      <c r="FS47" s="35"/>
      <c r="FT47" s="35"/>
      <c r="FU47" s="35"/>
      <c r="FV47" s="35"/>
      <c r="FW47" s="35"/>
      <c r="FX47" s="87"/>
      <c r="FY47" s="87"/>
      <c r="FZ47" s="87"/>
      <c r="GA47" s="87"/>
      <c r="GB47" s="87"/>
      <c r="GC47" s="87"/>
      <c r="GD47" s="87"/>
      <c r="GE47" s="87"/>
      <c r="GF47" s="87"/>
      <c r="GG47" s="87"/>
      <c r="GH47" s="87"/>
      <c r="GI47" s="87"/>
      <c r="GJ47" s="87"/>
      <c r="GK47" s="87"/>
      <c r="GL47" s="87"/>
      <c r="GM47" s="87"/>
      <c r="GN47" s="87"/>
      <c r="GO47" s="87"/>
      <c r="GP47" s="87"/>
      <c r="GQ47" s="87"/>
      <c r="GR47" s="87"/>
      <c r="GS47" s="87"/>
      <c r="GT47" s="87"/>
      <c r="GU47" s="87"/>
      <c r="GV47" s="87"/>
      <c r="GW47" s="87"/>
      <c r="GX47" s="87"/>
      <c r="GY47" s="87"/>
      <c r="GZ47" s="87"/>
      <c r="HA47" s="87"/>
      <c r="HB47" s="87"/>
      <c r="HC47" s="87"/>
      <c r="HD47" s="87"/>
      <c r="HE47" s="87"/>
      <c r="HF47" s="87"/>
      <c r="HG47" s="87"/>
      <c r="HH47" s="87"/>
      <c r="HI47" s="87"/>
      <c r="HJ47" s="87"/>
      <c r="HK47" s="87"/>
      <c r="HL47" s="87"/>
      <c r="HM47" s="87"/>
      <c r="HN47" s="87"/>
      <c r="HO47" s="87"/>
      <c r="HP47" s="87"/>
      <c r="HQ47" s="87"/>
      <c r="HR47" s="87"/>
      <c r="HS47" s="87"/>
      <c r="HT47" s="87"/>
      <c r="HU47" s="87"/>
      <c r="HV47" s="87"/>
      <c r="HW47" s="87"/>
      <c r="HX47" s="87"/>
      <c r="HY47" s="87"/>
      <c r="HZ47" s="87"/>
      <c r="IA47" s="87"/>
      <c r="IB47" s="87"/>
      <c r="IC47" s="87"/>
      <c r="ID47" s="87"/>
      <c r="IE47" s="87"/>
      <c r="IF47" s="87"/>
      <c r="IG47" s="87"/>
      <c r="IH47" s="87"/>
      <c r="II47" s="87"/>
      <c r="IJ47" s="87"/>
      <c r="IK47" s="87"/>
      <c r="IL47" s="87"/>
      <c r="IM47" s="87"/>
      <c r="IN47" s="87"/>
      <c r="IO47" s="87"/>
      <c r="IP47" s="87"/>
      <c r="IQ47" s="87"/>
      <c r="IR47" s="87"/>
      <c r="IS47" s="87"/>
      <c r="IT47" s="87"/>
      <c r="IU47" s="87"/>
      <c r="IV47" s="87"/>
      <c r="IW47" s="87"/>
    </row>
    <row r="48" spans="2:257" s="15" customFormat="1" ht="14.4">
      <c r="B48" s="30">
        <f t="shared" si="149"/>
        <v>2.139999999999997</v>
      </c>
      <c r="C48" s="39" t="s">
        <v>26</v>
      </c>
      <c r="D48" s="34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6"/>
      <c r="S48" s="35"/>
      <c r="T48" s="35"/>
      <c r="U48" s="35"/>
      <c r="V48" s="35"/>
      <c r="W48" s="35"/>
      <c r="X48" s="36"/>
      <c r="Y48" s="35"/>
      <c r="Z48" s="35"/>
      <c r="AA48" s="35"/>
      <c r="AB48" s="35"/>
      <c r="AC48" s="35"/>
      <c r="AD48" s="36"/>
      <c r="AE48" s="36"/>
      <c r="AF48" s="35"/>
      <c r="AG48" s="36"/>
      <c r="AH48" s="35"/>
      <c r="AI48" s="35"/>
      <c r="AJ48" s="36"/>
      <c r="AK48" s="35"/>
      <c r="AL48" s="35"/>
      <c r="AM48" s="35"/>
      <c r="AN48" s="35"/>
      <c r="AO48" s="35"/>
      <c r="AP48" s="35"/>
      <c r="AQ48" s="36"/>
      <c r="AR48" s="35"/>
      <c r="AS48" s="35"/>
      <c r="AT48" s="35"/>
      <c r="AU48" s="41" t="s">
        <v>183</v>
      </c>
      <c r="AV48" s="41" t="s">
        <v>184</v>
      </c>
      <c r="AW48" s="41" t="s">
        <v>185</v>
      </c>
      <c r="AX48" s="41" t="s">
        <v>186</v>
      </c>
      <c r="AY48" s="35"/>
      <c r="AZ48" s="35"/>
      <c r="BA48" s="35"/>
      <c r="BB48" s="36"/>
      <c r="BC48" s="35"/>
      <c r="BD48" s="35"/>
      <c r="BE48" s="35"/>
      <c r="BF48" s="35"/>
      <c r="BG48" s="35"/>
      <c r="BH48" s="36"/>
      <c r="BI48" s="35"/>
      <c r="BJ48" s="35"/>
      <c r="BK48" s="35"/>
      <c r="BL48" s="35"/>
      <c r="BM48" s="35"/>
      <c r="BN48" s="36"/>
      <c r="BO48" s="35"/>
      <c r="BP48" s="35"/>
      <c r="BQ48" s="35"/>
      <c r="BR48" s="35"/>
      <c r="BS48" s="35"/>
      <c r="BT48" s="36"/>
      <c r="BU48" s="35"/>
      <c r="BV48" s="35"/>
      <c r="BW48" s="35"/>
      <c r="BX48" s="35"/>
      <c r="BY48" s="34"/>
      <c r="BZ48" s="34"/>
      <c r="CA48" s="34"/>
      <c r="CB48" s="34"/>
      <c r="CC48" s="35"/>
      <c r="CD48" s="35"/>
      <c r="CE48" s="34"/>
      <c r="CF48" s="35"/>
      <c r="CG48" s="34"/>
      <c r="CH48" s="34"/>
      <c r="CI48" s="34"/>
      <c r="CJ48" s="34"/>
      <c r="CK48" s="34"/>
      <c r="CL48" s="34"/>
      <c r="CM48" s="34"/>
      <c r="CN48" s="34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  <c r="DL48" s="35"/>
      <c r="DM48" s="35"/>
      <c r="DN48" s="35"/>
      <c r="DO48" s="35"/>
      <c r="DP48" s="35"/>
      <c r="DQ48" s="35"/>
      <c r="DR48" s="35"/>
      <c r="DS48" s="35"/>
      <c r="DT48" s="35"/>
      <c r="DU48" s="35"/>
      <c r="DV48" s="35"/>
      <c r="DW48" s="35"/>
      <c r="DX48" s="35"/>
      <c r="DY48" s="35"/>
      <c r="DZ48" s="35"/>
      <c r="EA48" s="35"/>
      <c r="EB48" s="35"/>
      <c r="EC48" s="35"/>
      <c r="ED48" s="35"/>
      <c r="EE48" s="35"/>
      <c r="EF48" s="35"/>
      <c r="EG48" s="35"/>
      <c r="EH48" s="35"/>
      <c r="EI48" s="35"/>
      <c r="EJ48" s="35"/>
      <c r="EK48" s="35"/>
      <c r="EL48" s="35"/>
      <c r="EM48" s="35"/>
      <c r="EN48" s="35"/>
      <c r="EO48" s="35"/>
      <c r="EP48" s="35"/>
      <c r="EQ48" s="35"/>
      <c r="ER48" s="35"/>
      <c r="ES48" s="35"/>
      <c r="ET48" s="35"/>
      <c r="EU48" s="35"/>
      <c r="EV48" s="35"/>
      <c r="EW48" s="35"/>
      <c r="EX48" s="35"/>
      <c r="EY48" s="35"/>
      <c r="EZ48" s="35"/>
      <c r="FA48" s="35"/>
      <c r="FB48" s="35"/>
      <c r="FC48" s="35"/>
      <c r="FD48" s="35"/>
      <c r="FE48" s="35"/>
      <c r="FF48" s="35"/>
      <c r="FG48" s="35"/>
      <c r="FH48" s="35"/>
      <c r="FI48" s="35"/>
      <c r="FJ48" s="35"/>
      <c r="FK48" s="35"/>
      <c r="FL48" s="35"/>
      <c r="FM48" s="35"/>
      <c r="FN48" s="35"/>
      <c r="FO48" s="35"/>
      <c r="FP48" s="35"/>
      <c r="FQ48" s="35"/>
      <c r="FR48" s="35"/>
      <c r="FS48" s="35"/>
      <c r="FT48" s="35"/>
      <c r="FU48" s="35"/>
      <c r="FV48" s="35"/>
      <c r="FW48" s="35"/>
      <c r="FX48" s="79"/>
      <c r="FY48" s="79"/>
      <c r="FZ48" s="79"/>
      <c r="GA48" s="79"/>
      <c r="GB48" s="79"/>
      <c r="GC48" s="79"/>
      <c r="GD48" s="79"/>
      <c r="GE48" s="79"/>
      <c r="GF48" s="79"/>
      <c r="GG48" s="79"/>
      <c r="GH48" s="79"/>
      <c r="GI48" s="79"/>
      <c r="GJ48" s="79"/>
      <c r="GK48" s="79"/>
      <c r="GL48" s="79"/>
      <c r="GM48" s="79"/>
      <c r="GN48" s="79"/>
      <c r="GO48" s="79"/>
      <c r="GP48" s="79"/>
      <c r="GQ48" s="79"/>
      <c r="GR48" s="79"/>
      <c r="GS48" s="79"/>
      <c r="GT48" s="79"/>
      <c r="GU48" s="79"/>
      <c r="GV48" s="79"/>
      <c r="GW48" s="79"/>
      <c r="GX48" s="79"/>
      <c r="GY48" s="79"/>
      <c r="GZ48" s="79"/>
      <c r="HA48" s="79"/>
      <c r="HB48" s="79"/>
      <c r="HC48" s="79"/>
      <c r="HD48" s="79"/>
      <c r="HE48" s="79"/>
      <c r="HF48" s="79"/>
      <c r="HG48" s="79"/>
      <c r="HH48" s="79"/>
      <c r="HI48" s="79"/>
      <c r="HJ48" s="79"/>
      <c r="HK48" s="79"/>
      <c r="HL48" s="79"/>
      <c r="HM48" s="79"/>
      <c r="HN48" s="79"/>
      <c r="HO48" s="79"/>
      <c r="HP48" s="79"/>
      <c r="HQ48" s="79"/>
      <c r="HR48" s="79"/>
      <c r="HS48" s="79"/>
      <c r="HT48" s="79"/>
      <c r="HU48" s="79"/>
      <c r="HV48" s="79"/>
      <c r="HW48" s="79"/>
      <c r="HX48" s="79"/>
      <c r="HY48" s="79"/>
      <c r="HZ48" s="79"/>
      <c r="IA48" s="79"/>
      <c r="IB48" s="79"/>
      <c r="IC48" s="79"/>
      <c r="ID48" s="79"/>
      <c r="IE48" s="79"/>
      <c r="IF48" s="79"/>
      <c r="IG48" s="79"/>
      <c r="IH48" s="79"/>
      <c r="II48" s="79"/>
      <c r="IJ48" s="79"/>
      <c r="IK48" s="79"/>
      <c r="IL48" s="79"/>
      <c r="IM48" s="79"/>
      <c r="IN48" s="79"/>
      <c r="IO48" s="79"/>
      <c r="IP48" s="79"/>
      <c r="IQ48" s="79"/>
      <c r="IR48" s="79"/>
      <c r="IS48" s="79"/>
      <c r="IT48" s="79"/>
      <c r="IU48" s="79"/>
      <c r="IV48" s="79"/>
      <c r="IW48" s="79"/>
    </row>
    <row r="49" spans="2:257" s="15" customFormat="1" ht="15" thickBot="1">
      <c r="B49" s="30">
        <f t="shared" si="149"/>
        <v>2.1499999999999968</v>
      </c>
      <c r="C49" s="39" t="s">
        <v>27</v>
      </c>
      <c r="D49" s="34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6"/>
      <c r="S49" s="35"/>
      <c r="T49" s="35"/>
      <c r="U49" s="35"/>
      <c r="V49" s="35"/>
      <c r="W49" s="35"/>
      <c r="X49" s="36"/>
      <c r="Y49" s="35"/>
      <c r="Z49" s="35"/>
      <c r="AA49" s="35"/>
      <c r="AB49" s="35"/>
      <c r="AC49" s="35"/>
      <c r="AD49" s="36"/>
      <c r="AE49" s="36"/>
      <c r="AF49" s="35"/>
      <c r="AG49" s="36"/>
      <c r="AH49" s="35"/>
      <c r="AI49" s="35"/>
      <c r="AJ49" s="36"/>
      <c r="AK49" s="35"/>
      <c r="AL49" s="35"/>
      <c r="AM49" s="35"/>
      <c r="AN49" s="35"/>
      <c r="AO49" s="35"/>
      <c r="AP49" s="35"/>
      <c r="AQ49" s="36"/>
      <c r="AR49" s="35"/>
      <c r="AS49" s="35"/>
      <c r="AT49" s="35"/>
      <c r="AU49" s="35"/>
      <c r="AV49" s="41" t="s">
        <v>183</v>
      </c>
      <c r="AW49" s="41" t="s">
        <v>184</v>
      </c>
      <c r="AX49" s="41" t="s">
        <v>185</v>
      </c>
      <c r="AY49" s="41" t="s">
        <v>186</v>
      </c>
      <c r="AZ49" s="41" t="s">
        <v>186</v>
      </c>
      <c r="BA49" s="35"/>
      <c r="BB49" s="36"/>
      <c r="BC49" s="35"/>
      <c r="BD49" s="35"/>
      <c r="BE49" s="35"/>
      <c r="BF49" s="35"/>
      <c r="BG49" s="35"/>
      <c r="BH49" s="36"/>
      <c r="BI49" s="35"/>
      <c r="BJ49" s="35"/>
      <c r="BK49" s="35"/>
      <c r="BL49" s="35"/>
      <c r="BM49" s="35"/>
      <c r="BN49" s="36"/>
      <c r="BO49" s="35"/>
      <c r="BP49" s="35"/>
      <c r="BQ49" s="35"/>
      <c r="BR49" s="35"/>
      <c r="BS49" s="35"/>
      <c r="BT49" s="36"/>
      <c r="BU49" s="35"/>
      <c r="BV49" s="35"/>
      <c r="BW49" s="35"/>
      <c r="BX49" s="35"/>
      <c r="BY49" s="34"/>
      <c r="BZ49" s="34"/>
      <c r="CA49" s="34"/>
      <c r="CB49" s="34"/>
      <c r="CC49" s="35"/>
      <c r="CD49" s="35"/>
      <c r="CE49" s="34"/>
      <c r="CF49" s="35"/>
      <c r="CG49" s="34"/>
      <c r="CH49" s="34"/>
      <c r="CI49" s="34"/>
      <c r="CJ49" s="34"/>
      <c r="CK49" s="34"/>
      <c r="CL49" s="34"/>
      <c r="CM49" s="34"/>
      <c r="CN49" s="34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35"/>
      <c r="DP49" s="35"/>
      <c r="DQ49" s="35"/>
      <c r="DR49" s="35"/>
      <c r="DS49" s="35"/>
      <c r="DT49" s="35"/>
      <c r="DU49" s="35"/>
      <c r="DV49" s="35"/>
      <c r="DW49" s="35"/>
      <c r="DX49" s="35"/>
      <c r="DY49" s="35"/>
      <c r="DZ49" s="35"/>
      <c r="EA49" s="35"/>
      <c r="EB49" s="35"/>
      <c r="EC49" s="35"/>
      <c r="ED49" s="35"/>
      <c r="EE49" s="35"/>
      <c r="EF49" s="35"/>
      <c r="EG49" s="35"/>
      <c r="EH49" s="35"/>
      <c r="EI49" s="35"/>
      <c r="EJ49" s="35"/>
      <c r="EK49" s="35"/>
      <c r="EL49" s="35"/>
      <c r="EM49" s="35"/>
      <c r="EN49" s="35"/>
      <c r="EO49" s="35"/>
      <c r="EP49" s="35"/>
      <c r="EQ49" s="35"/>
      <c r="ER49" s="35"/>
      <c r="ES49" s="35"/>
      <c r="ET49" s="35"/>
      <c r="EU49" s="35"/>
      <c r="EV49" s="35"/>
      <c r="EW49" s="35"/>
      <c r="EX49" s="35"/>
      <c r="EY49" s="35"/>
      <c r="EZ49" s="35"/>
      <c r="FA49" s="35"/>
      <c r="FB49" s="35"/>
      <c r="FC49" s="35"/>
      <c r="FD49" s="35"/>
      <c r="FE49" s="35"/>
      <c r="FF49" s="35"/>
      <c r="FG49" s="35"/>
      <c r="FH49" s="35"/>
      <c r="FI49" s="35"/>
      <c r="FJ49" s="35"/>
      <c r="FK49" s="35"/>
      <c r="FL49" s="35"/>
      <c r="FM49" s="35"/>
      <c r="FN49" s="35"/>
      <c r="FO49" s="35"/>
      <c r="FP49" s="35"/>
      <c r="FQ49" s="35"/>
      <c r="FR49" s="35"/>
      <c r="FS49" s="35"/>
      <c r="FT49" s="35"/>
      <c r="FU49" s="35"/>
      <c r="FV49" s="35"/>
      <c r="FW49" s="35"/>
      <c r="FX49" s="79"/>
      <c r="FY49" s="79"/>
      <c r="FZ49" s="79"/>
      <c r="GA49" s="79"/>
      <c r="GB49" s="79"/>
      <c r="GC49" s="79"/>
      <c r="GD49" s="79"/>
      <c r="GE49" s="79"/>
      <c r="GF49" s="79"/>
      <c r="GG49" s="79"/>
      <c r="GH49" s="79"/>
      <c r="GI49" s="79"/>
      <c r="GJ49" s="79"/>
      <c r="GK49" s="79"/>
      <c r="GL49" s="79"/>
      <c r="GM49" s="79"/>
      <c r="GN49" s="79"/>
      <c r="GO49" s="79"/>
      <c r="GP49" s="79"/>
      <c r="GQ49" s="79"/>
      <c r="GR49" s="79"/>
      <c r="GS49" s="79"/>
      <c r="GT49" s="79"/>
      <c r="GU49" s="79"/>
      <c r="GV49" s="79"/>
      <c r="GW49" s="79"/>
      <c r="GX49" s="79"/>
      <c r="GY49" s="79"/>
      <c r="GZ49" s="79"/>
      <c r="HA49" s="79"/>
      <c r="HB49" s="79"/>
      <c r="HC49" s="79"/>
      <c r="HD49" s="79"/>
      <c r="HE49" s="79"/>
      <c r="HF49" s="79"/>
      <c r="HG49" s="79"/>
      <c r="HH49" s="79"/>
      <c r="HI49" s="79"/>
      <c r="HJ49" s="79"/>
      <c r="HK49" s="79"/>
      <c r="HL49" s="79"/>
      <c r="HM49" s="79"/>
      <c r="HN49" s="79"/>
      <c r="HO49" s="79"/>
      <c r="HP49" s="79"/>
      <c r="HQ49" s="79"/>
      <c r="HR49" s="79"/>
      <c r="HS49" s="79"/>
      <c r="HT49" s="79"/>
      <c r="HU49" s="79"/>
      <c r="HV49" s="79"/>
      <c r="HW49" s="79"/>
      <c r="HX49" s="79"/>
      <c r="HY49" s="79"/>
      <c r="HZ49" s="79"/>
      <c r="IA49" s="79"/>
      <c r="IB49" s="79"/>
      <c r="IC49" s="79"/>
      <c r="ID49" s="79"/>
      <c r="IE49" s="79"/>
      <c r="IF49" s="79"/>
      <c r="IG49" s="79"/>
      <c r="IH49" s="79"/>
      <c r="II49" s="79"/>
      <c r="IJ49" s="79"/>
      <c r="IK49" s="79"/>
      <c r="IL49" s="79"/>
      <c r="IM49" s="79"/>
      <c r="IN49" s="79"/>
      <c r="IO49" s="79"/>
      <c r="IP49" s="79"/>
      <c r="IQ49" s="79"/>
      <c r="IR49" s="79"/>
      <c r="IS49" s="79"/>
      <c r="IT49" s="79"/>
      <c r="IU49" s="79"/>
      <c r="IV49" s="79"/>
      <c r="IW49" s="79"/>
    </row>
    <row r="50" spans="2:257" s="15" customFormat="1" ht="15" thickBot="1">
      <c r="B50" s="30">
        <v>3</v>
      </c>
      <c r="C50" s="33" t="s">
        <v>28</v>
      </c>
      <c r="D50" s="40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6"/>
      <c r="S50" s="35"/>
      <c r="T50" s="35"/>
      <c r="U50" s="35"/>
      <c r="V50" s="35"/>
      <c r="W50" s="35"/>
      <c r="X50" s="36"/>
      <c r="Y50" s="35"/>
      <c r="Z50" s="35"/>
      <c r="AA50" s="35"/>
      <c r="AB50" s="35"/>
      <c r="AC50" s="35"/>
      <c r="AD50" s="36"/>
      <c r="AE50" s="36"/>
      <c r="AF50" s="35"/>
      <c r="AG50" s="36"/>
      <c r="AH50" s="35"/>
      <c r="AI50" s="35"/>
      <c r="AJ50" s="36"/>
      <c r="AK50" s="35"/>
      <c r="AL50" s="35"/>
      <c r="AM50" s="35"/>
      <c r="AN50" s="35"/>
      <c r="AO50" s="35"/>
      <c r="AP50" s="36"/>
      <c r="AQ50" s="35"/>
      <c r="AR50" s="35"/>
      <c r="AS50" s="35"/>
      <c r="AT50" s="35"/>
      <c r="AU50" s="35"/>
      <c r="AV50" s="36"/>
      <c r="AW50" s="35"/>
      <c r="AX50" s="35"/>
      <c r="AY50" s="35"/>
      <c r="AZ50" s="35"/>
      <c r="BA50" s="35"/>
      <c r="BB50" s="36"/>
      <c r="BC50" s="35"/>
      <c r="BD50" s="35"/>
      <c r="BE50" s="35"/>
      <c r="BF50" s="35"/>
      <c r="BG50" s="35"/>
      <c r="BH50" s="36"/>
      <c r="BI50" s="35"/>
      <c r="BJ50" s="35"/>
      <c r="BK50" s="35"/>
      <c r="BL50" s="35"/>
      <c r="BM50" s="35"/>
      <c r="BN50" s="36"/>
      <c r="BO50" s="35"/>
      <c r="BP50" s="35"/>
      <c r="BQ50" s="35"/>
      <c r="BR50" s="35"/>
      <c r="BS50" s="35"/>
      <c r="BT50" s="36"/>
      <c r="BU50" s="35"/>
      <c r="BV50" s="35"/>
      <c r="BW50" s="35"/>
      <c r="BX50" s="35"/>
      <c r="BY50" s="34"/>
      <c r="BZ50" s="34"/>
      <c r="CA50" s="34"/>
      <c r="CB50" s="34"/>
      <c r="CC50" s="35"/>
      <c r="CD50" s="35"/>
      <c r="CE50" s="34"/>
      <c r="CF50" s="35"/>
      <c r="CG50" s="34"/>
      <c r="CH50" s="34"/>
      <c r="CI50" s="34"/>
      <c r="CJ50" s="34"/>
      <c r="CK50" s="34"/>
      <c r="CL50" s="34"/>
      <c r="CM50" s="34"/>
      <c r="CN50" s="34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  <c r="FS50" s="35"/>
      <c r="FT50" s="35"/>
      <c r="FU50" s="35"/>
      <c r="FV50" s="35"/>
      <c r="FW50" s="35"/>
      <c r="FX50" s="79"/>
      <c r="FY50" s="79"/>
      <c r="FZ50" s="79"/>
      <c r="GA50" s="79"/>
      <c r="GB50" s="79"/>
      <c r="GC50" s="79"/>
      <c r="GD50" s="79"/>
      <c r="GE50" s="79"/>
      <c r="GF50" s="79"/>
      <c r="GG50" s="79"/>
      <c r="GH50" s="79"/>
      <c r="GI50" s="79"/>
      <c r="GJ50" s="79"/>
      <c r="GK50" s="79"/>
      <c r="GL50" s="79"/>
      <c r="GM50" s="79"/>
      <c r="GN50" s="79"/>
      <c r="GO50" s="79"/>
      <c r="GP50" s="79"/>
      <c r="GQ50" s="79"/>
      <c r="GR50" s="79"/>
      <c r="GS50" s="79"/>
      <c r="GT50" s="79"/>
      <c r="GU50" s="79"/>
      <c r="GV50" s="79"/>
      <c r="GW50" s="79"/>
      <c r="GX50" s="79"/>
      <c r="GY50" s="79"/>
      <c r="GZ50" s="79"/>
      <c r="HA50" s="79"/>
      <c r="HB50" s="79"/>
      <c r="HC50" s="79"/>
      <c r="HD50" s="79"/>
      <c r="HE50" s="79"/>
      <c r="HF50" s="79"/>
      <c r="HG50" s="79"/>
      <c r="HH50" s="79"/>
      <c r="HI50" s="79"/>
      <c r="HJ50" s="79"/>
      <c r="HK50" s="79"/>
      <c r="HL50" s="79"/>
      <c r="HM50" s="79"/>
      <c r="HN50" s="79"/>
      <c r="HO50" s="79"/>
      <c r="HP50" s="79"/>
      <c r="HQ50" s="79"/>
      <c r="HR50" s="79"/>
      <c r="HS50" s="79"/>
      <c r="HT50" s="79"/>
      <c r="HU50" s="79"/>
      <c r="HV50" s="79"/>
      <c r="HW50" s="79"/>
      <c r="HX50" s="79"/>
      <c r="HY50" s="79"/>
      <c r="HZ50" s="79"/>
      <c r="IA50" s="79"/>
      <c r="IB50" s="79"/>
      <c r="IC50" s="79"/>
      <c r="ID50" s="79"/>
      <c r="IE50" s="79"/>
      <c r="IF50" s="79"/>
      <c r="IG50" s="79"/>
      <c r="IH50" s="79"/>
      <c r="II50" s="79"/>
      <c r="IJ50" s="79"/>
      <c r="IK50" s="79"/>
      <c r="IL50" s="79"/>
      <c r="IM50" s="79"/>
      <c r="IN50" s="79"/>
      <c r="IO50" s="79"/>
      <c r="IP50" s="79"/>
      <c r="IQ50" s="79"/>
      <c r="IR50" s="79"/>
      <c r="IS50" s="79"/>
      <c r="IT50" s="79"/>
      <c r="IU50" s="79"/>
      <c r="IV50" s="79"/>
      <c r="IW50" s="79"/>
    </row>
    <row r="51" spans="2:257" s="15" customFormat="1" ht="14.4">
      <c r="B51" s="30">
        <f t="shared" si="149"/>
        <v>3.01</v>
      </c>
      <c r="C51" s="37" t="s">
        <v>29</v>
      </c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73" t="s">
        <v>187</v>
      </c>
      <c r="BB51" s="73" t="s">
        <v>187</v>
      </c>
      <c r="BC51" s="73" t="s">
        <v>30</v>
      </c>
      <c r="BD51" s="73"/>
      <c r="BE51" s="73" t="s">
        <v>31</v>
      </c>
      <c r="BF51" s="73"/>
      <c r="BG51" s="73" t="s">
        <v>32</v>
      </c>
      <c r="BH51" s="79"/>
      <c r="BI51" s="79"/>
      <c r="BJ51" s="79"/>
      <c r="BK51" s="79"/>
      <c r="BL51" s="79"/>
      <c r="BM51" s="79"/>
      <c r="BN51" s="79"/>
      <c r="BO51" s="79"/>
      <c r="BP51" s="79"/>
      <c r="BQ51" s="79"/>
      <c r="BR51" s="79"/>
      <c r="BS51" s="79"/>
      <c r="BT51" s="79"/>
      <c r="BU51" s="79"/>
      <c r="BV51" s="79"/>
      <c r="BW51" s="79"/>
      <c r="BX51" s="79"/>
      <c r="BY51" s="79"/>
      <c r="BZ51" s="79"/>
      <c r="CA51" s="79"/>
      <c r="CB51" s="79"/>
      <c r="CC51" s="79"/>
      <c r="CD51" s="79"/>
      <c r="CE51" s="79"/>
      <c r="CF51" s="35"/>
      <c r="CG51" s="34"/>
      <c r="CH51" s="34"/>
      <c r="CI51" s="34"/>
      <c r="CJ51" s="34"/>
      <c r="CK51" s="34"/>
      <c r="CL51" s="34"/>
      <c r="CM51" s="34"/>
      <c r="CN51" s="34"/>
      <c r="CO51" s="35"/>
      <c r="CP51" s="35"/>
      <c r="CQ51" s="35"/>
      <c r="CR51" s="73" t="s">
        <v>32</v>
      </c>
      <c r="CS51" s="73" t="s">
        <v>32</v>
      </c>
      <c r="CT51" s="73" t="s">
        <v>32</v>
      </c>
      <c r="CU51" s="73" t="s">
        <v>32</v>
      </c>
      <c r="CV51" s="74" t="s">
        <v>188</v>
      </c>
      <c r="CW51" s="74" t="s">
        <v>188</v>
      </c>
      <c r="CX51" s="74" t="s">
        <v>188</v>
      </c>
      <c r="CY51" s="74" t="s">
        <v>188</v>
      </c>
      <c r="CZ51" s="74" t="s">
        <v>188</v>
      </c>
      <c r="DA51" s="74" t="s">
        <v>189</v>
      </c>
      <c r="DB51" s="74" t="s">
        <v>189</v>
      </c>
      <c r="DC51" s="74" t="s">
        <v>189</v>
      </c>
      <c r="DD51" s="74" t="s">
        <v>189</v>
      </c>
      <c r="DE51" s="74" t="s">
        <v>189</v>
      </c>
      <c r="DF51" s="74" t="s">
        <v>190</v>
      </c>
      <c r="DG51" s="74" t="s">
        <v>190</v>
      </c>
      <c r="DH51" s="74" t="s">
        <v>191</v>
      </c>
      <c r="DI51" s="74" t="s">
        <v>191</v>
      </c>
      <c r="DJ51" s="75" t="s">
        <v>192</v>
      </c>
      <c r="DK51" s="75" t="s">
        <v>192</v>
      </c>
      <c r="DL51" s="75" t="s">
        <v>193</v>
      </c>
      <c r="DM51" s="75" t="s">
        <v>193</v>
      </c>
      <c r="DN51" s="75" t="s">
        <v>194</v>
      </c>
      <c r="DO51" s="75" t="s">
        <v>194</v>
      </c>
      <c r="DP51" s="75" t="s">
        <v>195</v>
      </c>
      <c r="DQ51" s="75" t="s">
        <v>195</v>
      </c>
      <c r="DR51" s="76" t="s">
        <v>196</v>
      </c>
      <c r="DS51" s="76" t="s">
        <v>196</v>
      </c>
      <c r="DT51" s="76" t="s">
        <v>197</v>
      </c>
      <c r="DU51" s="76" t="s">
        <v>197</v>
      </c>
      <c r="DV51" s="76" t="s">
        <v>198</v>
      </c>
      <c r="DW51" s="76" t="s">
        <v>199</v>
      </c>
      <c r="DX51" s="77" t="s">
        <v>33</v>
      </c>
      <c r="DY51" s="77" t="s">
        <v>33</v>
      </c>
      <c r="DZ51" s="77" t="s">
        <v>34</v>
      </c>
      <c r="EA51" s="77" t="s">
        <v>34</v>
      </c>
      <c r="EB51" s="77" t="s">
        <v>35</v>
      </c>
      <c r="EC51" s="77" t="s">
        <v>36</v>
      </c>
      <c r="ED51" s="78" t="s">
        <v>200</v>
      </c>
      <c r="EE51" s="78" t="s">
        <v>201</v>
      </c>
      <c r="EF51" s="78" t="s">
        <v>202</v>
      </c>
      <c r="EG51" s="78" t="s">
        <v>202</v>
      </c>
      <c r="EH51" s="78" t="s">
        <v>203</v>
      </c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79"/>
      <c r="GV51" s="79"/>
      <c r="GW51" s="79"/>
      <c r="GX51" s="79"/>
      <c r="GY51" s="79"/>
      <c r="GZ51" s="79"/>
      <c r="HA51" s="79"/>
      <c r="HB51" s="79"/>
      <c r="HC51" s="79"/>
      <c r="HD51" s="79"/>
      <c r="HE51" s="79"/>
      <c r="HF51" s="79"/>
      <c r="HG51" s="79"/>
      <c r="HH51" s="79"/>
      <c r="HI51" s="79"/>
      <c r="HJ51" s="79"/>
      <c r="HK51" s="79"/>
      <c r="HL51" s="79"/>
      <c r="HM51" s="79"/>
      <c r="HN51" s="79"/>
      <c r="HO51" s="79"/>
      <c r="HP51" s="79"/>
      <c r="HQ51" s="79"/>
      <c r="HR51" s="79"/>
      <c r="HS51" s="79"/>
      <c r="HT51" s="79"/>
      <c r="HU51" s="79"/>
      <c r="HV51" s="79"/>
      <c r="HW51" s="79"/>
      <c r="HX51" s="79"/>
      <c r="HY51" s="79"/>
      <c r="HZ51" s="79"/>
      <c r="IA51" s="79"/>
      <c r="IB51" s="79"/>
      <c r="IC51" s="79"/>
      <c r="ID51" s="79"/>
      <c r="IE51" s="79"/>
      <c r="IF51" s="79"/>
      <c r="IG51" s="79"/>
      <c r="IH51" s="79"/>
      <c r="II51" s="79"/>
      <c r="IJ51" s="79"/>
      <c r="IK51" s="79"/>
      <c r="IL51" s="79"/>
      <c r="IM51" s="79"/>
      <c r="IN51" s="79"/>
      <c r="IO51" s="79"/>
      <c r="IP51" s="79"/>
      <c r="IQ51" s="79"/>
      <c r="IR51" s="79"/>
      <c r="IS51" s="79"/>
      <c r="IT51" s="79"/>
      <c r="IU51" s="79"/>
      <c r="IV51" s="79"/>
      <c r="IW51" s="79"/>
    </row>
    <row r="52" spans="2:257" s="15" customFormat="1" ht="14.4">
      <c r="B52" s="30">
        <f t="shared" si="149"/>
        <v>3.0199999999999996</v>
      </c>
      <c r="C52" s="38" t="s">
        <v>37</v>
      </c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73" t="s">
        <v>187</v>
      </c>
      <c r="BC52" s="73" t="s">
        <v>30</v>
      </c>
      <c r="BD52" s="73"/>
      <c r="BE52" s="73" t="s">
        <v>31</v>
      </c>
      <c r="BF52" s="73"/>
      <c r="BG52" s="73" t="s">
        <v>32</v>
      </c>
      <c r="BH52" s="79"/>
      <c r="BI52" s="79"/>
      <c r="BJ52" s="79"/>
      <c r="BK52" s="79"/>
      <c r="BL52" s="79"/>
      <c r="BM52" s="79"/>
      <c r="BN52" s="79"/>
      <c r="BO52" s="79"/>
      <c r="BP52" s="79"/>
      <c r="BQ52" s="79"/>
      <c r="BR52" s="79"/>
      <c r="BS52" s="79"/>
      <c r="BT52" s="79"/>
      <c r="BU52" s="79"/>
      <c r="BV52" s="79"/>
      <c r="BW52" s="79"/>
      <c r="BX52" s="79"/>
      <c r="BY52" s="79"/>
      <c r="BZ52" s="79"/>
      <c r="CA52" s="79"/>
      <c r="CB52" s="79"/>
      <c r="CC52" s="79"/>
      <c r="CD52" s="79"/>
      <c r="CE52" s="79"/>
      <c r="CF52" s="35"/>
      <c r="CG52" s="34"/>
      <c r="CH52" s="34"/>
      <c r="CI52" s="34"/>
      <c r="CJ52" s="34"/>
      <c r="CK52" s="34"/>
      <c r="CL52" s="34"/>
      <c r="CM52" s="34"/>
      <c r="CN52" s="34"/>
      <c r="CO52" s="35"/>
      <c r="CP52" s="35"/>
      <c r="CQ52" s="35"/>
      <c r="CR52" s="73" t="s">
        <v>32</v>
      </c>
      <c r="CS52" s="73" t="s">
        <v>32</v>
      </c>
      <c r="CT52" s="73" t="s">
        <v>32</v>
      </c>
      <c r="CU52" s="73" t="s">
        <v>32</v>
      </c>
      <c r="CV52" s="74" t="s">
        <v>188</v>
      </c>
      <c r="CW52" s="74" t="s">
        <v>188</v>
      </c>
      <c r="CX52" s="74" t="s">
        <v>188</v>
      </c>
      <c r="CY52" s="74" t="s">
        <v>188</v>
      </c>
      <c r="CZ52" s="74" t="s">
        <v>188</v>
      </c>
      <c r="DA52" s="74" t="s">
        <v>189</v>
      </c>
      <c r="DB52" s="74" t="s">
        <v>189</v>
      </c>
      <c r="DC52" s="74" t="s">
        <v>189</v>
      </c>
      <c r="DD52" s="74" t="s">
        <v>189</v>
      </c>
      <c r="DE52" s="74" t="s">
        <v>189</v>
      </c>
      <c r="DF52" s="74" t="s">
        <v>190</v>
      </c>
      <c r="DG52" s="74" t="s">
        <v>190</v>
      </c>
      <c r="DH52" s="74" t="s">
        <v>191</v>
      </c>
      <c r="DI52" s="74" t="s">
        <v>191</v>
      </c>
      <c r="DJ52" s="75" t="s">
        <v>192</v>
      </c>
      <c r="DK52" s="75" t="s">
        <v>192</v>
      </c>
      <c r="DL52" s="75" t="s">
        <v>193</v>
      </c>
      <c r="DM52" s="75" t="s">
        <v>193</v>
      </c>
      <c r="DN52" s="75" t="s">
        <v>194</v>
      </c>
      <c r="DO52" s="75" t="s">
        <v>194</v>
      </c>
      <c r="DP52" s="75" t="s">
        <v>195</v>
      </c>
      <c r="DQ52" s="75" t="s">
        <v>195</v>
      </c>
      <c r="DR52" s="76" t="s">
        <v>196</v>
      </c>
      <c r="DS52" s="76" t="s">
        <v>196</v>
      </c>
      <c r="DT52" s="76" t="s">
        <v>197</v>
      </c>
      <c r="DU52" s="76" t="s">
        <v>197</v>
      </c>
      <c r="DV52" s="76" t="s">
        <v>198</v>
      </c>
      <c r="DW52" s="76" t="s">
        <v>199</v>
      </c>
      <c r="DX52" s="77" t="s">
        <v>33</v>
      </c>
      <c r="DY52" s="77" t="s">
        <v>33</v>
      </c>
      <c r="DZ52" s="77" t="s">
        <v>34</v>
      </c>
      <c r="EA52" s="77" t="s">
        <v>34</v>
      </c>
      <c r="EB52" s="77" t="s">
        <v>35</v>
      </c>
      <c r="EC52" s="77" t="s">
        <v>36</v>
      </c>
      <c r="ED52" s="78" t="s">
        <v>200</v>
      </c>
      <c r="EE52" s="78" t="s">
        <v>201</v>
      </c>
      <c r="EF52" s="78" t="s">
        <v>202</v>
      </c>
      <c r="EG52" s="78" t="s">
        <v>202</v>
      </c>
      <c r="EH52" s="78" t="s">
        <v>203</v>
      </c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79"/>
      <c r="GV52" s="79"/>
      <c r="GW52" s="79"/>
      <c r="GX52" s="79"/>
      <c r="GY52" s="79"/>
      <c r="GZ52" s="79"/>
      <c r="HA52" s="79"/>
      <c r="HB52" s="79"/>
      <c r="HC52" s="79"/>
      <c r="HD52" s="79"/>
      <c r="HE52" s="79"/>
      <c r="HF52" s="79"/>
      <c r="HG52" s="79"/>
      <c r="HH52" s="79"/>
      <c r="HI52" s="79"/>
      <c r="HJ52" s="79"/>
      <c r="HK52" s="79"/>
      <c r="HL52" s="79"/>
      <c r="HM52" s="79"/>
      <c r="HN52" s="79"/>
      <c r="HO52" s="79"/>
      <c r="HP52" s="79"/>
      <c r="HQ52" s="79"/>
      <c r="HR52" s="79"/>
      <c r="HS52" s="79"/>
      <c r="HT52" s="79"/>
      <c r="HU52" s="79"/>
      <c r="HV52" s="79"/>
      <c r="HW52" s="79"/>
      <c r="HX52" s="79"/>
      <c r="HY52" s="79"/>
      <c r="HZ52" s="79"/>
      <c r="IA52" s="79"/>
      <c r="IB52" s="79"/>
      <c r="IC52" s="79"/>
      <c r="ID52" s="79"/>
      <c r="IE52" s="79"/>
      <c r="IF52" s="79"/>
      <c r="IG52" s="79"/>
      <c r="IH52" s="79"/>
      <c r="II52" s="79"/>
      <c r="IJ52" s="79"/>
      <c r="IK52" s="79"/>
      <c r="IL52" s="79"/>
      <c r="IM52" s="79"/>
      <c r="IN52" s="79"/>
      <c r="IO52" s="79"/>
      <c r="IP52" s="79"/>
      <c r="IQ52" s="79"/>
      <c r="IR52" s="79"/>
      <c r="IS52" s="79"/>
      <c r="IT52" s="79"/>
      <c r="IU52" s="79"/>
      <c r="IV52" s="79"/>
      <c r="IW52" s="79"/>
    </row>
    <row r="53" spans="2:257" s="15" customFormat="1" ht="14.4">
      <c r="B53" s="30">
        <f t="shared" si="149"/>
        <v>3.0299999999999994</v>
      </c>
      <c r="C53" s="38" t="s">
        <v>38</v>
      </c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73" t="s">
        <v>187</v>
      </c>
      <c r="BC53" s="73" t="s">
        <v>30</v>
      </c>
      <c r="BD53" s="73"/>
      <c r="BE53" s="73" t="s">
        <v>31</v>
      </c>
      <c r="BF53" s="73"/>
      <c r="BG53" s="73" t="s">
        <v>32</v>
      </c>
      <c r="BH53" s="79"/>
      <c r="BI53" s="79"/>
      <c r="BJ53" s="79"/>
      <c r="BK53" s="79"/>
      <c r="BL53" s="79"/>
      <c r="BM53" s="79"/>
      <c r="BN53" s="79"/>
      <c r="BO53" s="79"/>
      <c r="BP53" s="79"/>
      <c r="BQ53" s="79"/>
      <c r="BR53" s="79"/>
      <c r="BS53" s="79"/>
      <c r="BT53" s="79"/>
      <c r="BU53" s="79"/>
      <c r="BV53" s="79"/>
      <c r="BW53" s="79"/>
      <c r="BX53" s="79"/>
      <c r="BY53" s="79"/>
      <c r="BZ53" s="79"/>
      <c r="CA53" s="79"/>
      <c r="CB53" s="79"/>
      <c r="CC53" s="79"/>
      <c r="CD53" s="79"/>
      <c r="CE53" s="79"/>
      <c r="CF53" s="35"/>
      <c r="CG53" s="34"/>
      <c r="CH53" s="34"/>
      <c r="CI53" s="34"/>
      <c r="CJ53" s="34"/>
      <c r="CK53" s="34"/>
      <c r="CL53" s="34"/>
      <c r="CM53" s="34"/>
      <c r="CN53" s="34"/>
      <c r="CO53" s="35"/>
      <c r="CP53" s="35"/>
      <c r="CQ53" s="35"/>
      <c r="CR53" s="73" t="s">
        <v>32</v>
      </c>
      <c r="CS53" s="73" t="s">
        <v>32</v>
      </c>
      <c r="CT53" s="73" t="s">
        <v>32</v>
      </c>
      <c r="CU53" s="73" t="s">
        <v>32</v>
      </c>
      <c r="CV53" s="74" t="s">
        <v>188</v>
      </c>
      <c r="CW53" s="74" t="s">
        <v>188</v>
      </c>
      <c r="CX53" s="74" t="s">
        <v>188</v>
      </c>
      <c r="CY53" s="74" t="s">
        <v>188</v>
      </c>
      <c r="CZ53" s="74" t="s">
        <v>188</v>
      </c>
      <c r="DA53" s="74" t="s">
        <v>189</v>
      </c>
      <c r="DB53" s="74" t="s">
        <v>189</v>
      </c>
      <c r="DC53" s="74" t="s">
        <v>189</v>
      </c>
      <c r="DD53" s="74" t="s">
        <v>189</v>
      </c>
      <c r="DE53" s="74" t="s">
        <v>189</v>
      </c>
      <c r="DF53" s="74" t="s">
        <v>190</v>
      </c>
      <c r="DG53" s="74" t="s">
        <v>190</v>
      </c>
      <c r="DH53" s="74" t="s">
        <v>191</v>
      </c>
      <c r="DI53" s="74" t="s">
        <v>191</v>
      </c>
      <c r="DJ53" s="75" t="s">
        <v>192</v>
      </c>
      <c r="DK53" s="75" t="s">
        <v>192</v>
      </c>
      <c r="DL53" s="75" t="s">
        <v>193</v>
      </c>
      <c r="DM53" s="75" t="s">
        <v>193</v>
      </c>
      <c r="DN53" s="75" t="s">
        <v>194</v>
      </c>
      <c r="DO53" s="75" t="s">
        <v>194</v>
      </c>
      <c r="DP53" s="75" t="s">
        <v>195</v>
      </c>
      <c r="DQ53" s="75" t="s">
        <v>195</v>
      </c>
      <c r="DR53" s="76" t="s">
        <v>196</v>
      </c>
      <c r="DS53" s="76" t="s">
        <v>196</v>
      </c>
      <c r="DT53" s="76" t="s">
        <v>197</v>
      </c>
      <c r="DU53" s="76" t="s">
        <v>197</v>
      </c>
      <c r="DV53" s="76" t="s">
        <v>198</v>
      </c>
      <c r="DW53" s="76" t="s">
        <v>199</v>
      </c>
      <c r="DX53" s="77" t="s">
        <v>33</v>
      </c>
      <c r="DY53" s="77" t="s">
        <v>33</v>
      </c>
      <c r="DZ53" s="77" t="s">
        <v>34</v>
      </c>
      <c r="EA53" s="77" t="s">
        <v>34</v>
      </c>
      <c r="EB53" s="77" t="s">
        <v>35</v>
      </c>
      <c r="EC53" s="77" t="s">
        <v>36</v>
      </c>
      <c r="ED53" s="78" t="s">
        <v>200</v>
      </c>
      <c r="EE53" s="78" t="s">
        <v>201</v>
      </c>
      <c r="EF53" s="78" t="s">
        <v>202</v>
      </c>
      <c r="EG53" s="78" t="s">
        <v>202</v>
      </c>
      <c r="EH53" s="78" t="s">
        <v>203</v>
      </c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79"/>
      <c r="GV53" s="79"/>
      <c r="GW53" s="79"/>
      <c r="GX53" s="79"/>
      <c r="GY53" s="79"/>
      <c r="GZ53" s="79"/>
      <c r="HA53" s="79"/>
      <c r="HB53" s="79"/>
      <c r="HC53" s="79"/>
      <c r="HD53" s="79"/>
      <c r="HE53" s="79"/>
      <c r="HF53" s="79"/>
      <c r="HG53" s="79"/>
      <c r="HH53" s="79"/>
      <c r="HI53" s="79"/>
      <c r="HJ53" s="79"/>
      <c r="HK53" s="79"/>
      <c r="HL53" s="79"/>
      <c r="HM53" s="79"/>
      <c r="HN53" s="79"/>
      <c r="HO53" s="79"/>
      <c r="HP53" s="79"/>
      <c r="HQ53" s="79"/>
      <c r="HR53" s="79"/>
      <c r="HS53" s="79"/>
      <c r="HT53" s="79"/>
      <c r="HU53" s="79"/>
      <c r="HV53" s="79"/>
      <c r="HW53" s="79"/>
      <c r="HX53" s="79"/>
      <c r="HY53" s="79"/>
      <c r="HZ53" s="79"/>
      <c r="IA53" s="79"/>
      <c r="IB53" s="79"/>
      <c r="IC53" s="79"/>
      <c r="ID53" s="79"/>
      <c r="IE53" s="79"/>
      <c r="IF53" s="79"/>
      <c r="IG53" s="79"/>
      <c r="IH53" s="79"/>
      <c r="II53" s="79"/>
      <c r="IJ53" s="79"/>
      <c r="IK53" s="79"/>
      <c r="IL53" s="79"/>
      <c r="IM53" s="79"/>
      <c r="IN53" s="79"/>
      <c r="IO53" s="79"/>
      <c r="IP53" s="79"/>
      <c r="IQ53" s="79"/>
      <c r="IR53" s="79"/>
      <c r="IS53" s="79"/>
      <c r="IT53" s="79"/>
      <c r="IU53" s="79"/>
      <c r="IV53" s="79"/>
      <c r="IW53" s="79"/>
    </row>
    <row r="54" spans="2:257" s="15" customFormat="1" ht="14.4">
      <c r="B54" s="30">
        <f t="shared" si="149"/>
        <v>3.0399999999999991</v>
      </c>
      <c r="C54" s="38" t="s">
        <v>39</v>
      </c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73" t="s">
        <v>187</v>
      </c>
      <c r="BC54" s="73" t="s">
        <v>30</v>
      </c>
      <c r="BD54" s="73"/>
      <c r="BE54" s="73" t="s">
        <v>31</v>
      </c>
      <c r="BF54" s="73"/>
      <c r="BG54" s="73" t="s">
        <v>32</v>
      </c>
      <c r="BH54" s="79"/>
      <c r="BI54" s="79"/>
      <c r="BJ54" s="79"/>
      <c r="BK54" s="79"/>
      <c r="BL54" s="79"/>
      <c r="BM54" s="79"/>
      <c r="BN54" s="79"/>
      <c r="BO54" s="79"/>
      <c r="BP54" s="79"/>
      <c r="BQ54" s="79"/>
      <c r="BR54" s="79"/>
      <c r="BS54" s="79"/>
      <c r="BT54" s="79"/>
      <c r="BU54" s="79"/>
      <c r="BV54" s="79"/>
      <c r="BW54" s="79"/>
      <c r="BX54" s="79"/>
      <c r="BY54" s="79"/>
      <c r="BZ54" s="79"/>
      <c r="CA54" s="79"/>
      <c r="CB54" s="79"/>
      <c r="CC54" s="79"/>
      <c r="CD54" s="79"/>
      <c r="CE54" s="79"/>
      <c r="CF54" s="35"/>
      <c r="CG54" s="34"/>
      <c r="CH54" s="34"/>
      <c r="CI54" s="34"/>
      <c r="CJ54" s="34"/>
      <c r="CK54" s="34"/>
      <c r="CL54" s="34"/>
      <c r="CM54" s="34"/>
      <c r="CN54" s="34"/>
      <c r="CO54" s="35"/>
      <c r="CP54" s="35"/>
      <c r="CQ54" s="35"/>
      <c r="CR54" s="73" t="s">
        <v>32</v>
      </c>
      <c r="CS54" s="73" t="s">
        <v>32</v>
      </c>
      <c r="CT54" s="73" t="s">
        <v>32</v>
      </c>
      <c r="CU54" s="73" t="s">
        <v>32</v>
      </c>
      <c r="CV54" s="74" t="s">
        <v>188</v>
      </c>
      <c r="CW54" s="74" t="s">
        <v>188</v>
      </c>
      <c r="CX54" s="74" t="s">
        <v>188</v>
      </c>
      <c r="CY54" s="74" t="s">
        <v>188</v>
      </c>
      <c r="CZ54" s="74" t="s">
        <v>188</v>
      </c>
      <c r="DA54" s="74" t="s">
        <v>189</v>
      </c>
      <c r="DB54" s="74" t="s">
        <v>189</v>
      </c>
      <c r="DC54" s="74" t="s">
        <v>189</v>
      </c>
      <c r="DD54" s="74" t="s">
        <v>189</v>
      </c>
      <c r="DE54" s="74" t="s">
        <v>189</v>
      </c>
      <c r="DF54" s="74" t="s">
        <v>190</v>
      </c>
      <c r="DG54" s="74" t="s">
        <v>190</v>
      </c>
      <c r="DH54" s="74" t="s">
        <v>191</v>
      </c>
      <c r="DI54" s="74" t="s">
        <v>191</v>
      </c>
      <c r="DJ54" s="75" t="s">
        <v>192</v>
      </c>
      <c r="DK54" s="75" t="s">
        <v>192</v>
      </c>
      <c r="DL54" s="75" t="s">
        <v>193</v>
      </c>
      <c r="DM54" s="75" t="s">
        <v>193</v>
      </c>
      <c r="DN54" s="75" t="s">
        <v>194</v>
      </c>
      <c r="DO54" s="75" t="s">
        <v>194</v>
      </c>
      <c r="DP54" s="75" t="s">
        <v>195</v>
      </c>
      <c r="DQ54" s="75" t="s">
        <v>195</v>
      </c>
      <c r="DR54" s="76" t="s">
        <v>196</v>
      </c>
      <c r="DS54" s="76" t="s">
        <v>196</v>
      </c>
      <c r="DT54" s="76" t="s">
        <v>197</v>
      </c>
      <c r="DU54" s="76" t="s">
        <v>197</v>
      </c>
      <c r="DV54" s="76" t="s">
        <v>198</v>
      </c>
      <c r="DW54" s="76" t="s">
        <v>199</v>
      </c>
      <c r="DX54" s="77" t="s">
        <v>33</v>
      </c>
      <c r="DY54" s="77" t="s">
        <v>33</v>
      </c>
      <c r="DZ54" s="77" t="s">
        <v>34</v>
      </c>
      <c r="EA54" s="77" t="s">
        <v>34</v>
      </c>
      <c r="EB54" s="77" t="s">
        <v>35</v>
      </c>
      <c r="EC54" s="77" t="s">
        <v>36</v>
      </c>
      <c r="ED54" s="78" t="s">
        <v>200</v>
      </c>
      <c r="EE54" s="78" t="s">
        <v>201</v>
      </c>
      <c r="EF54" s="78" t="s">
        <v>202</v>
      </c>
      <c r="EG54" s="78" t="s">
        <v>202</v>
      </c>
      <c r="EH54" s="78" t="s">
        <v>203</v>
      </c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79"/>
      <c r="GV54" s="79"/>
      <c r="GW54" s="79"/>
      <c r="GX54" s="79"/>
      <c r="GY54" s="79"/>
      <c r="GZ54" s="79"/>
      <c r="HA54" s="79"/>
      <c r="HB54" s="79"/>
      <c r="HC54" s="79"/>
      <c r="HD54" s="79"/>
      <c r="HE54" s="79"/>
      <c r="HF54" s="79"/>
      <c r="HG54" s="79"/>
      <c r="HH54" s="79"/>
      <c r="HI54" s="79"/>
      <c r="HJ54" s="79"/>
      <c r="HK54" s="79"/>
      <c r="HL54" s="79"/>
      <c r="HM54" s="79"/>
      <c r="HN54" s="79"/>
      <c r="HO54" s="79"/>
      <c r="HP54" s="79"/>
      <c r="HQ54" s="79"/>
      <c r="HR54" s="79"/>
      <c r="HS54" s="79"/>
      <c r="HT54" s="79"/>
      <c r="HU54" s="79"/>
      <c r="HV54" s="79"/>
      <c r="HW54" s="79"/>
      <c r="HX54" s="79"/>
      <c r="HY54" s="79"/>
      <c r="HZ54" s="79"/>
      <c r="IA54" s="79"/>
      <c r="IB54" s="79"/>
      <c r="IC54" s="79"/>
      <c r="ID54" s="79"/>
      <c r="IE54" s="79"/>
      <c r="IF54" s="79"/>
      <c r="IG54" s="79"/>
      <c r="IH54" s="79"/>
      <c r="II54" s="79"/>
      <c r="IJ54" s="79"/>
      <c r="IK54" s="79"/>
      <c r="IL54" s="79"/>
      <c r="IM54" s="79"/>
      <c r="IN54" s="79"/>
      <c r="IO54" s="79"/>
      <c r="IP54" s="79"/>
      <c r="IQ54" s="79"/>
      <c r="IR54" s="79"/>
      <c r="IS54" s="79"/>
      <c r="IT54" s="79"/>
      <c r="IU54" s="79"/>
      <c r="IV54" s="79"/>
      <c r="IW54" s="79"/>
    </row>
    <row r="55" spans="2:257" s="15" customFormat="1" ht="14.4">
      <c r="B55" s="30">
        <f t="shared" si="149"/>
        <v>3.0499999999999989</v>
      </c>
      <c r="C55" s="38" t="s">
        <v>40</v>
      </c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6"/>
      <c r="BC55" s="81" t="s">
        <v>187</v>
      </c>
      <c r="BD55" s="81"/>
      <c r="BE55" s="81" t="s">
        <v>30</v>
      </c>
      <c r="BF55" s="81"/>
      <c r="BG55" s="81" t="s">
        <v>31</v>
      </c>
      <c r="BH55" s="79"/>
      <c r="BI55" s="79"/>
      <c r="BJ55" s="79"/>
      <c r="BK55" s="79"/>
      <c r="BL55" s="79"/>
      <c r="BM55" s="79"/>
      <c r="BN55" s="79"/>
      <c r="BO55" s="79"/>
      <c r="BP55" s="79"/>
      <c r="BQ55" s="79"/>
      <c r="BR55" s="79"/>
      <c r="BS55" s="79"/>
      <c r="BT55" s="79"/>
      <c r="BU55" s="79"/>
      <c r="BV55" s="79"/>
      <c r="BW55" s="79"/>
      <c r="BX55" s="79"/>
      <c r="BY55" s="79"/>
      <c r="BZ55" s="79"/>
      <c r="CA55" s="79"/>
      <c r="CB55" s="79"/>
      <c r="CC55" s="79"/>
      <c r="CD55" s="79"/>
      <c r="CE55" s="79"/>
      <c r="CF55" s="35"/>
      <c r="CG55" s="34"/>
      <c r="CH55" s="34"/>
      <c r="CI55" s="34"/>
      <c r="CJ55" s="34"/>
      <c r="CK55" s="34"/>
      <c r="CL55" s="34"/>
      <c r="CM55" s="34"/>
      <c r="CN55" s="34"/>
      <c r="CO55" s="35"/>
      <c r="CP55" s="35"/>
      <c r="CQ55" s="35"/>
      <c r="CR55" s="80"/>
      <c r="CS55" s="80"/>
      <c r="CT55" s="80"/>
      <c r="CU55" s="80"/>
      <c r="CV55" s="81" t="s">
        <v>32</v>
      </c>
      <c r="CW55" s="81" t="s">
        <v>32</v>
      </c>
      <c r="CX55" s="74"/>
      <c r="CY55" s="74"/>
      <c r="CZ55" s="74"/>
      <c r="DA55" s="74" t="s">
        <v>188</v>
      </c>
      <c r="DB55" s="74" t="s">
        <v>188</v>
      </c>
      <c r="DC55" s="74" t="s">
        <v>188</v>
      </c>
      <c r="DD55" s="74" t="s">
        <v>188</v>
      </c>
      <c r="DE55" s="74" t="s">
        <v>188</v>
      </c>
      <c r="DF55" s="74" t="s">
        <v>189</v>
      </c>
      <c r="DG55" s="74" t="s">
        <v>189</v>
      </c>
      <c r="DH55" s="74" t="s">
        <v>190</v>
      </c>
      <c r="DI55" s="74" t="s">
        <v>190</v>
      </c>
      <c r="DJ55" s="74" t="s">
        <v>191</v>
      </c>
      <c r="DK55" s="74" t="s">
        <v>191</v>
      </c>
      <c r="DL55" s="75" t="s">
        <v>192</v>
      </c>
      <c r="DM55" s="75" t="s">
        <v>192</v>
      </c>
      <c r="DN55" s="75" t="s">
        <v>193</v>
      </c>
      <c r="DO55" s="75" t="s">
        <v>193</v>
      </c>
      <c r="DP55" s="75" t="s">
        <v>194</v>
      </c>
      <c r="DQ55" s="75" t="s">
        <v>194</v>
      </c>
      <c r="DR55" s="75" t="s">
        <v>195</v>
      </c>
      <c r="DS55" s="75" t="s">
        <v>195</v>
      </c>
      <c r="DT55" s="76" t="s">
        <v>196</v>
      </c>
      <c r="DU55" s="76" t="s">
        <v>196</v>
      </c>
      <c r="DV55" s="76" t="s">
        <v>197</v>
      </c>
      <c r="DW55" s="76" t="s">
        <v>198</v>
      </c>
      <c r="DX55" s="76" t="s">
        <v>199</v>
      </c>
      <c r="DY55" s="76" t="s">
        <v>199</v>
      </c>
      <c r="DZ55" s="77" t="s">
        <v>33</v>
      </c>
      <c r="EA55" s="77" t="s">
        <v>33</v>
      </c>
      <c r="EB55" s="77" t="s">
        <v>34</v>
      </c>
      <c r="EC55" s="77" t="s">
        <v>35</v>
      </c>
      <c r="ED55" s="77" t="s">
        <v>36</v>
      </c>
      <c r="EE55" s="78" t="s">
        <v>200</v>
      </c>
      <c r="EF55" s="78" t="s">
        <v>201</v>
      </c>
      <c r="EG55" s="78" t="s">
        <v>201</v>
      </c>
      <c r="EH55" s="78" t="s">
        <v>202</v>
      </c>
      <c r="EI55" s="78" t="s">
        <v>203</v>
      </c>
      <c r="EJ55" s="79"/>
      <c r="EK55" s="79"/>
      <c r="EL55" s="79"/>
      <c r="EM55" s="79"/>
      <c r="EN55" s="79"/>
      <c r="EO55" s="79"/>
      <c r="EP55" s="79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79"/>
      <c r="GV55" s="79"/>
      <c r="GW55" s="79"/>
      <c r="GX55" s="79"/>
      <c r="GY55" s="79"/>
      <c r="GZ55" s="79"/>
      <c r="HA55" s="79"/>
      <c r="HB55" s="79"/>
      <c r="HC55" s="79"/>
      <c r="HD55" s="79"/>
      <c r="HE55" s="79"/>
      <c r="HF55" s="79"/>
      <c r="HG55" s="79"/>
      <c r="HH55" s="79"/>
      <c r="HI55" s="79"/>
      <c r="HJ55" s="79"/>
      <c r="HK55" s="79"/>
      <c r="HL55" s="79"/>
      <c r="HM55" s="79"/>
      <c r="HN55" s="79"/>
      <c r="HO55" s="79"/>
      <c r="HP55" s="79"/>
      <c r="HQ55" s="79"/>
      <c r="HR55" s="79"/>
      <c r="HS55" s="79"/>
      <c r="HT55" s="79"/>
      <c r="HU55" s="79"/>
      <c r="HV55" s="79"/>
      <c r="HW55" s="79"/>
      <c r="HX55" s="79"/>
      <c r="HY55" s="79"/>
      <c r="HZ55" s="79"/>
      <c r="IA55" s="79"/>
      <c r="IB55" s="79"/>
      <c r="IC55" s="79"/>
      <c r="ID55" s="79"/>
      <c r="IE55" s="79"/>
      <c r="IF55" s="79"/>
      <c r="IG55" s="79"/>
      <c r="IH55" s="79"/>
      <c r="II55" s="79"/>
      <c r="IJ55" s="79"/>
      <c r="IK55" s="79"/>
      <c r="IL55" s="79"/>
      <c r="IM55" s="79"/>
      <c r="IN55" s="79"/>
      <c r="IO55" s="79"/>
      <c r="IP55" s="79"/>
      <c r="IQ55" s="79"/>
      <c r="IR55" s="79"/>
      <c r="IS55" s="79"/>
      <c r="IT55" s="79"/>
      <c r="IU55" s="79"/>
      <c r="IV55" s="79"/>
      <c r="IW55" s="79"/>
    </row>
    <row r="56" spans="2:257" s="15" customFormat="1" ht="14.4">
      <c r="B56" s="30">
        <f t="shared" si="149"/>
        <v>3.0599999999999987</v>
      </c>
      <c r="C56" s="38" t="s">
        <v>41</v>
      </c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6"/>
      <c r="BC56" s="73" t="s">
        <v>187</v>
      </c>
      <c r="BD56" s="73"/>
      <c r="BE56" s="73" t="s">
        <v>30</v>
      </c>
      <c r="BF56" s="73"/>
      <c r="BG56" s="73" t="s">
        <v>31</v>
      </c>
      <c r="BH56" s="79"/>
      <c r="BI56" s="79"/>
      <c r="BJ56" s="79"/>
      <c r="BK56" s="79"/>
      <c r="BL56" s="79"/>
      <c r="BM56" s="79"/>
      <c r="BN56" s="79"/>
      <c r="BO56" s="79"/>
      <c r="BP56" s="79"/>
      <c r="BQ56" s="79"/>
      <c r="BR56" s="79"/>
      <c r="BS56" s="79"/>
      <c r="BT56" s="79"/>
      <c r="BU56" s="79"/>
      <c r="BV56" s="79"/>
      <c r="BW56" s="79"/>
      <c r="BX56" s="79"/>
      <c r="BY56" s="79"/>
      <c r="BZ56" s="79"/>
      <c r="CA56" s="79"/>
      <c r="CB56" s="79"/>
      <c r="CC56" s="79"/>
      <c r="CD56" s="79"/>
      <c r="CE56" s="79"/>
      <c r="CF56" s="35"/>
      <c r="CG56" s="34"/>
      <c r="CH56" s="34"/>
      <c r="CI56" s="34"/>
      <c r="CJ56" s="34"/>
      <c r="CK56" s="34"/>
      <c r="CL56" s="34"/>
      <c r="CM56" s="34"/>
      <c r="CN56" s="34"/>
      <c r="CO56" s="35"/>
      <c r="CP56" s="35"/>
      <c r="CQ56" s="35"/>
      <c r="CR56" s="82"/>
      <c r="CS56" s="82"/>
      <c r="CT56" s="82"/>
      <c r="CU56" s="82"/>
      <c r="CV56" s="73" t="s">
        <v>32</v>
      </c>
      <c r="CW56" s="73" t="s">
        <v>32</v>
      </c>
      <c r="CX56" s="74"/>
      <c r="CY56" s="74"/>
      <c r="CZ56" s="74"/>
      <c r="DA56" s="74" t="s">
        <v>188</v>
      </c>
      <c r="DB56" s="74" t="s">
        <v>188</v>
      </c>
      <c r="DC56" s="74" t="s">
        <v>188</v>
      </c>
      <c r="DD56" s="74" t="s">
        <v>188</v>
      </c>
      <c r="DE56" s="74" t="s">
        <v>188</v>
      </c>
      <c r="DF56" s="74" t="s">
        <v>189</v>
      </c>
      <c r="DG56" s="74" t="s">
        <v>189</v>
      </c>
      <c r="DH56" s="74" t="s">
        <v>190</v>
      </c>
      <c r="DI56" s="74" t="s">
        <v>190</v>
      </c>
      <c r="DJ56" s="74" t="s">
        <v>191</v>
      </c>
      <c r="DK56" s="74" t="s">
        <v>191</v>
      </c>
      <c r="DL56" s="74" t="s">
        <v>192</v>
      </c>
      <c r="DM56" s="74" t="s">
        <v>192</v>
      </c>
      <c r="DN56" s="75" t="s">
        <v>193</v>
      </c>
      <c r="DO56" s="75" t="s">
        <v>193</v>
      </c>
      <c r="DP56" s="75" t="s">
        <v>194</v>
      </c>
      <c r="DQ56" s="75" t="s">
        <v>194</v>
      </c>
      <c r="DR56" s="75" t="s">
        <v>195</v>
      </c>
      <c r="DS56" s="75" t="s">
        <v>195</v>
      </c>
      <c r="DT56" s="76" t="s">
        <v>196</v>
      </c>
      <c r="DU56" s="76" t="s">
        <v>196</v>
      </c>
      <c r="DV56" s="76" t="s">
        <v>197</v>
      </c>
      <c r="DW56" s="76" t="s">
        <v>198</v>
      </c>
      <c r="DX56" s="76" t="s">
        <v>219</v>
      </c>
      <c r="DY56" s="76" t="s">
        <v>219</v>
      </c>
      <c r="DZ56" s="77" t="s">
        <v>33</v>
      </c>
      <c r="EA56" s="77" t="s">
        <v>33</v>
      </c>
      <c r="EB56" s="77" t="s">
        <v>34</v>
      </c>
      <c r="EC56" s="77" t="s">
        <v>35</v>
      </c>
      <c r="ED56" s="77" t="s">
        <v>36</v>
      </c>
      <c r="EE56" s="78" t="s">
        <v>200</v>
      </c>
      <c r="EF56" s="78" t="s">
        <v>201</v>
      </c>
      <c r="EG56" s="78" t="s">
        <v>201</v>
      </c>
      <c r="EH56" s="78" t="s">
        <v>202</v>
      </c>
      <c r="EI56" s="78" t="s">
        <v>203</v>
      </c>
      <c r="EJ56" s="79"/>
      <c r="EK56" s="79"/>
      <c r="EL56" s="79"/>
      <c r="EM56" s="79"/>
      <c r="EN56" s="79"/>
      <c r="EO56" s="79"/>
      <c r="EP56" s="79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79"/>
      <c r="GV56" s="79"/>
      <c r="GW56" s="79"/>
      <c r="GX56" s="79"/>
      <c r="GY56" s="79"/>
      <c r="GZ56" s="79"/>
      <c r="HA56" s="79"/>
      <c r="HB56" s="79"/>
      <c r="HC56" s="79"/>
      <c r="HD56" s="79"/>
      <c r="HE56" s="79"/>
      <c r="HF56" s="79"/>
      <c r="HG56" s="79"/>
      <c r="HH56" s="79"/>
      <c r="HI56" s="79"/>
      <c r="HJ56" s="79"/>
      <c r="HK56" s="79"/>
      <c r="HL56" s="79"/>
      <c r="HM56" s="79"/>
      <c r="HN56" s="79"/>
      <c r="HO56" s="79"/>
      <c r="HP56" s="79"/>
      <c r="HQ56" s="79"/>
      <c r="HR56" s="79"/>
      <c r="HS56" s="79"/>
      <c r="HT56" s="79"/>
      <c r="HU56" s="79"/>
      <c r="HV56" s="79"/>
      <c r="HW56" s="79"/>
      <c r="HX56" s="79"/>
      <c r="HY56" s="79"/>
      <c r="HZ56" s="79"/>
      <c r="IA56" s="79"/>
      <c r="IB56" s="79"/>
      <c r="IC56" s="79"/>
      <c r="ID56" s="79"/>
      <c r="IE56" s="79"/>
      <c r="IF56" s="79"/>
      <c r="IG56" s="79"/>
      <c r="IH56" s="79"/>
      <c r="II56" s="79"/>
      <c r="IJ56" s="79"/>
      <c r="IK56" s="79"/>
      <c r="IL56" s="79"/>
      <c r="IM56" s="79"/>
      <c r="IN56" s="79"/>
      <c r="IO56" s="79"/>
      <c r="IP56" s="79"/>
      <c r="IQ56" s="79"/>
      <c r="IR56" s="79"/>
      <c r="IS56" s="79"/>
      <c r="IT56" s="79"/>
      <c r="IU56" s="79"/>
      <c r="IV56" s="79"/>
      <c r="IW56" s="79"/>
    </row>
    <row r="57" spans="2:257" s="15" customFormat="1" ht="14.4">
      <c r="B57" s="30">
        <f t="shared" si="149"/>
        <v>3.0699999999999985</v>
      </c>
      <c r="C57" s="38" t="s">
        <v>42</v>
      </c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79"/>
      <c r="BA57" s="79"/>
      <c r="BB57" s="36"/>
      <c r="BC57" s="35"/>
      <c r="BD57" s="79"/>
      <c r="BE57" s="73" t="s">
        <v>187</v>
      </c>
      <c r="BF57" s="73"/>
      <c r="BG57" s="81" t="s">
        <v>30</v>
      </c>
      <c r="BH57" s="79"/>
      <c r="BI57" s="79"/>
      <c r="BJ57" s="79"/>
      <c r="BK57" s="79"/>
      <c r="BL57" s="79"/>
      <c r="BM57" s="79"/>
      <c r="BN57" s="79"/>
      <c r="BO57" s="79"/>
      <c r="BP57" s="79"/>
      <c r="BQ57" s="79"/>
      <c r="BR57" s="79"/>
      <c r="BS57" s="79"/>
      <c r="BT57" s="79"/>
      <c r="BU57" s="79"/>
      <c r="BV57" s="79"/>
      <c r="BW57" s="79"/>
      <c r="BX57" s="79"/>
      <c r="BY57" s="79"/>
      <c r="BZ57" s="79"/>
      <c r="CA57" s="79"/>
      <c r="CB57" s="79"/>
      <c r="CC57" s="79"/>
      <c r="CD57" s="79"/>
      <c r="CE57" s="79"/>
      <c r="CF57" s="35"/>
      <c r="CG57" s="34"/>
      <c r="CH57" s="34"/>
      <c r="CI57" s="34"/>
      <c r="CJ57" s="34"/>
      <c r="CK57" s="34"/>
      <c r="CL57" s="34"/>
      <c r="CM57" s="34"/>
      <c r="CN57" s="34"/>
      <c r="CO57" s="35"/>
      <c r="CP57" s="35"/>
      <c r="CQ57" s="35"/>
      <c r="CR57" s="82"/>
      <c r="CS57" s="82"/>
      <c r="CT57" s="82"/>
      <c r="CU57" s="82"/>
      <c r="CV57" s="82"/>
      <c r="CW57" s="82"/>
      <c r="CX57" s="73"/>
      <c r="CY57" s="73"/>
      <c r="CZ57" s="73"/>
      <c r="DA57" s="74"/>
      <c r="DB57" s="74"/>
      <c r="DC57" s="74"/>
      <c r="DD57" s="74"/>
      <c r="DE57" s="74"/>
      <c r="DF57" s="74" t="s">
        <v>188</v>
      </c>
      <c r="DG57" s="74" t="s">
        <v>188</v>
      </c>
      <c r="DH57" s="74" t="s">
        <v>189</v>
      </c>
      <c r="DI57" s="74" t="s">
        <v>189</v>
      </c>
      <c r="DJ57" s="74" t="s">
        <v>190</v>
      </c>
      <c r="DK57" s="74" t="s">
        <v>190</v>
      </c>
      <c r="DL57" s="74" t="s">
        <v>191</v>
      </c>
      <c r="DM57" s="74" t="s">
        <v>191</v>
      </c>
      <c r="DN57" s="75" t="s">
        <v>192</v>
      </c>
      <c r="DO57" s="75" t="s">
        <v>192</v>
      </c>
      <c r="DP57" s="75" t="s">
        <v>193</v>
      </c>
      <c r="DQ57" s="75" t="s">
        <v>193</v>
      </c>
      <c r="DR57" s="75" t="s">
        <v>194</v>
      </c>
      <c r="DS57" s="75" t="s">
        <v>194</v>
      </c>
      <c r="DT57" s="75" t="s">
        <v>195</v>
      </c>
      <c r="DU57" s="75" t="s">
        <v>195</v>
      </c>
      <c r="DV57" s="76" t="s">
        <v>196</v>
      </c>
      <c r="DW57" s="76" t="s">
        <v>197</v>
      </c>
      <c r="DX57" s="76" t="s">
        <v>198</v>
      </c>
      <c r="DY57" s="76" t="s">
        <v>198</v>
      </c>
      <c r="DZ57" s="76" t="s">
        <v>199</v>
      </c>
      <c r="EA57" s="76" t="s">
        <v>199</v>
      </c>
      <c r="EB57" s="77" t="s">
        <v>33</v>
      </c>
      <c r="EC57" s="77" t="s">
        <v>34</v>
      </c>
      <c r="ED57" s="77" t="s">
        <v>35</v>
      </c>
      <c r="EE57" s="77" t="s">
        <v>36</v>
      </c>
      <c r="EF57" s="78" t="s">
        <v>200</v>
      </c>
      <c r="EG57" s="78" t="s">
        <v>200</v>
      </c>
      <c r="EH57" s="78" t="s">
        <v>201</v>
      </c>
      <c r="EI57" s="78" t="s">
        <v>202</v>
      </c>
      <c r="EJ57" s="78" t="s">
        <v>203</v>
      </c>
      <c r="EK57" s="78" t="s">
        <v>203</v>
      </c>
      <c r="EL57" s="79"/>
      <c r="EM57" s="79"/>
      <c r="EN57" s="79"/>
      <c r="EO57" s="79"/>
      <c r="EP57" s="79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79"/>
      <c r="GV57" s="79"/>
      <c r="GW57" s="79"/>
      <c r="GX57" s="79"/>
      <c r="GY57" s="79"/>
      <c r="GZ57" s="79"/>
      <c r="HA57" s="79"/>
      <c r="HB57" s="79"/>
      <c r="HC57" s="79"/>
      <c r="HD57" s="79"/>
      <c r="HE57" s="79"/>
      <c r="HF57" s="79"/>
      <c r="HG57" s="79"/>
      <c r="HH57" s="79"/>
      <c r="HI57" s="79"/>
      <c r="HJ57" s="79"/>
      <c r="HK57" s="79"/>
      <c r="HL57" s="79"/>
      <c r="HM57" s="79"/>
      <c r="HN57" s="79"/>
      <c r="HO57" s="79"/>
      <c r="HP57" s="79"/>
      <c r="HQ57" s="79"/>
      <c r="HR57" s="79"/>
      <c r="HS57" s="79"/>
      <c r="HT57" s="79"/>
      <c r="HU57" s="79"/>
      <c r="HV57" s="79"/>
      <c r="HW57" s="79"/>
      <c r="HX57" s="79"/>
      <c r="HY57" s="79"/>
      <c r="HZ57" s="79"/>
      <c r="IA57" s="79"/>
      <c r="IB57" s="79"/>
      <c r="IC57" s="79"/>
      <c r="ID57" s="79"/>
      <c r="IE57" s="79"/>
      <c r="IF57" s="79"/>
      <c r="IG57" s="79"/>
      <c r="IH57" s="79"/>
      <c r="II57" s="79"/>
      <c r="IJ57" s="79"/>
      <c r="IK57" s="79"/>
      <c r="IL57" s="79"/>
      <c r="IM57" s="79"/>
      <c r="IN57" s="79"/>
      <c r="IO57" s="79"/>
      <c r="IP57" s="79"/>
      <c r="IQ57" s="79"/>
      <c r="IR57" s="79"/>
      <c r="IS57" s="79"/>
      <c r="IT57" s="79"/>
      <c r="IU57" s="79"/>
      <c r="IV57" s="79"/>
      <c r="IW57" s="79"/>
    </row>
    <row r="58" spans="2:257" s="15" customFormat="1" ht="14.4">
      <c r="B58" s="30">
        <f t="shared" si="149"/>
        <v>3.0799999999999983</v>
      </c>
      <c r="C58" s="38" t="s">
        <v>43</v>
      </c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79"/>
      <c r="BA58" s="79"/>
      <c r="BB58" s="36"/>
      <c r="BC58" s="35"/>
      <c r="BD58" s="79"/>
      <c r="BE58" s="73" t="s">
        <v>187</v>
      </c>
      <c r="BF58" s="73"/>
      <c r="BG58" s="73" t="s">
        <v>30</v>
      </c>
      <c r="BH58" s="79"/>
      <c r="BI58" s="79"/>
      <c r="BJ58" s="79"/>
      <c r="BK58" s="79"/>
      <c r="BL58" s="79"/>
      <c r="BM58" s="79"/>
      <c r="BN58" s="79"/>
      <c r="BO58" s="79"/>
      <c r="BP58" s="79"/>
      <c r="BQ58" s="79"/>
      <c r="BR58" s="79"/>
      <c r="BS58" s="79"/>
      <c r="BT58" s="79"/>
      <c r="BU58" s="79"/>
      <c r="BV58" s="79"/>
      <c r="BW58" s="79"/>
      <c r="BX58" s="79"/>
      <c r="BY58" s="79"/>
      <c r="BZ58" s="79"/>
      <c r="CA58" s="79"/>
      <c r="CB58" s="79"/>
      <c r="CC58" s="79"/>
      <c r="CD58" s="79"/>
      <c r="CE58" s="79"/>
      <c r="CF58" s="35"/>
      <c r="CG58" s="34"/>
      <c r="CH58" s="34"/>
      <c r="CI58" s="34"/>
      <c r="CJ58" s="34"/>
      <c r="CK58" s="34"/>
      <c r="CL58" s="34"/>
      <c r="CM58" s="34"/>
      <c r="CN58" s="34"/>
      <c r="CO58" s="35"/>
      <c r="CP58" s="35"/>
      <c r="CQ58" s="35"/>
      <c r="CR58" s="82"/>
      <c r="CS58" s="82"/>
      <c r="CT58" s="82"/>
      <c r="CU58" s="82"/>
      <c r="CV58" s="82"/>
      <c r="CW58" s="82"/>
      <c r="CX58" s="73"/>
      <c r="CY58" s="73"/>
      <c r="CZ58" s="73"/>
      <c r="DA58" s="74"/>
      <c r="DB58" s="74"/>
      <c r="DC58" s="74"/>
      <c r="DD58" s="74"/>
      <c r="DE58" s="74"/>
      <c r="DF58" s="74" t="s">
        <v>188</v>
      </c>
      <c r="DG58" s="74" t="s">
        <v>188</v>
      </c>
      <c r="DH58" s="74" t="s">
        <v>189</v>
      </c>
      <c r="DI58" s="74" t="s">
        <v>189</v>
      </c>
      <c r="DJ58" s="74" t="s">
        <v>190</v>
      </c>
      <c r="DK58" s="74" t="s">
        <v>190</v>
      </c>
      <c r="DL58" s="74" t="s">
        <v>191</v>
      </c>
      <c r="DM58" s="74" t="s">
        <v>191</v>
      </c>
      <c r="DN58" s="75" t="s">
        <v>192</v>
      </c>
      <c r="DO58" s="75" t="s">
        <v>192</v>
      </c>
      <c r="DP58" s="75" t="s">
        <v>193</v>
      </c>
      <c r="DQ58" s="75" t="s">
        <v>193</v>
      </c>
      <c r="DR58" s="75" t="s">
        <v>194</v>
      </c>
      <c r="DS58" s="75" t="s">
        <v>194</v>
      </c>
      <c r="DT58" s="75" t="s">
        <v>195</v>
      </c>
      <c r="DU58" s="75" t="s">
        <v>195</v>
      </c>
      <c r="DV58" s="76" t="s">
        <v>196</v>
      </c>
      <c r="DW58" s="76" t="s">
        <v>197</v>
      </c>
      <c r="DX58" s="76" t="s">
        <v>198</v>
      </c>
      <c r="DY58" s="76" t="s">
        <v>198</v>
      </c>
      <c r="DZ58" s="76" t="s">
        <v>199</v>
      </c>
      <c r="EA58" s="76" t="s">
        <v>199</v>
      </c>
      <c r="EB58" s="77" t="s">
        <v>33</v>
      </c>
      <c r="EC58" s="77" t="s">
        <v>34</v>
      </c>
      <c r="ED58" s="77" t="s">
        <v>35</v>
      </c>
      <c r="EE58" s="77" t="s">
        <v>36</v>
      </c>
      <c r="EF58" s="78" t="s">
        <v>200</v>
      </c>
      <c r="EG58" s="78" t="s">
        <v>200</v>
      </c>
      <c r="EH58" s="78" t="s">
        <v>201</v>
      </c>
      <c r="EI58" s="78" t="s">
        <v>202</v>
      </c>
      <c r="EJ58" s="78" t="s">
        <v>203</v>
      </c>
      <c r="EK58" s="78" t="s">
        <v>203</v>
      </c>
      <c r="EL58" s="79"/>
      <c r="EM58" s="79"/>
      <c r="EN58" s="79"/>
      <c r="EO58" s="79"/>
      <c r="EP58" s="79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79"/>
      <c r="GV58" s="79"/>
      <c r="GW58" s="79"/>
      <c r="GX58" s="79"/>
      <c r="GY58" s="79"/>
      <c r="GZ58" s="79"/>
      <c r="HA58" s="79"/>
      <c r="HB58" s="79"/>
      <c r="HC58" s="79"/>
      <c r="HD58" s="79"/>
      <c r="HE58" s="79"/>
      <c r="HF58" s="79"/>
      <c r="HG58" s="79"/>
      <c r="HH58" s="79"/>
      <c r="HI58" s="79"/>
      <c r="HJ58" s="79"/>
      <c r="HK58" s="79"/>
      <c r="HL58" s="79"/>
      <c r="HM58" s="79"/>
      <c r="HN58" s="79"/>
      <c r="HO58" s="79"/>
      <c r="HP58" s="79"/>
      <c r="HQ58" s="79"/>
      <c r="HR58" s="79"/>
      <c r="HS58" s="79"/>
      <c r="HT58" s="79"/>
      <c r="HU58" s="79"/>
      <c r="HV58" s="79"/>
      <c r="HW58" s="79"/>
      <c r="HX58" s="79"/>
      <c r="HY58" s="79"/>
      <c r="HZ58" s="79"/>
      <c r="IA58" s="79"/>
      <c r="IB58" s="79"/>
      <c r="IC58" s="79"/>
      <c r="ID58" s="79"/>
      <c r="IE58" s="79"/>
      <c r="IF58" s="79"/>
      <c r="IG58" s="79"/>
      <c r="IH58" s="79"/>
      <c r="II58" s="79"/>
      <c r="IJ58" s="79"/>
      <c r="IK58" s="79"/>
      <c r="IL58" s="79"/>
      <c r="IM58" s="79"/>
      <c r="IN58" s="79"/>
      <c r="IO58" s="79"/>
      <c r="IP58" s="79"/>
      <c r="IQ58" s="79"/>
      <c r="IR58" s="79"/>
      <c r="IS58" s="79"/>
      <c r="IT58" s="79"/>
      <c r="IU58" s="79"/>
      <c r="IV58" s="79"/>
      <c r="IW58" s="79"/>
    </row>
    <row r="59" spans="2:257" s="15" customFormat="1" ht="14.4">
      <c r="B59" s="30">
        <f t="shared" si="149"/>
        <v>3.0899999999999981</v>
      </c>
      <c r="C59" s="38" t="s">
        <v>44</v>
      </c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79"/>
      <c r="BA59" s="79"/>
      <c r="BB59" s="36"/>
      <c r="BC59" s="35"/>
      <c r="BD59" s="79"/>
      <c r="BE59" s="79"/>
      <c r="BF59" s="79"/>
      <c r="BG59" s="73" t="s">
        <v>187</v>
      </c>
      <c r="BH59" s="79"/>
      <c r="BI59" s="79"/>
      <c r="BJ59" s="79"/>
      <c r="BK59" s="79"/>
      <c r="BL59" s="79"/>
      <c r="BM59" s="79"/>
      <c r="BN59" s="79"/>
      <c r="BO59" s="79"/>
      <c r="BP59" s="79"/>
      <c r="BQ59" s="79"/>
      <c r="BR59" s="79"/>
      <c r="BS59" s="79"/>
      <c r="BT59" s="79"/>
      <c r="BU59" s="79"/>
      <c r="BV59" s="79"/>
      <c r="BW59" s="79"/>
      <c r="BX59" s="79"/>
      <c r="BY59" s="79"/>
      <c r="BZ59" s="79"/>
      <c r="CA59" s="79"/>
      <c r="CB59" s="79"/>
      <c r="CC59" s="79"/>
      <c r="CD59" s="79"/>
      <c r="CE59" s="79"/>
      <c r="CF59" s="35"/>
      <c r="CG59" s="34"/>
      <c r="CH59" s="34"/>
      <c r="CI59" s="34"/>
      <c r="CJ59" s="34"/>
      <c r="CK59" s="34"/>
      <c r="CL59" s="34"/>
      <c r="CM59" s="34"/>
      <c r="CN59" s="34"/>
      <c r="CO59" s="35"/>
      <c r="CP59" s="35"/>
      <c r="CQ59" s="35"/>
      <c r="CR59" s="73" t="s">
        <v>187</v>
      </c>
      <c r="CS59" s="73" t="s">
        <v>187</v>
      </c>
      <c r="CT59" s="73" t="s">
        <v>187</v>
      </c>
      <c r="CU59" s="73" t="s">
        <v>187</v>
      </c>
      <c r="CV59" s="73" t="s">
        <v>30</v>
      </c>
      <c r="CW59" s="73" t="s">
        <v>30</v>
      </c>
      <c r="CX59" s="73" t="s">
        <v>30</v>
      </c>
      <c r="CY59" s="73" t="s">
        <v>30</v>
      </c>
      <c r="CZ59" s="73" t="s">
        <v>30</v>
      </c>
      <c r="DA59" s="73" t="s">
        <v>31</v>
      </c>
      <c r="DB59" s="73" t="s">
        <v>31</v>
      </c>
      <c r="DC59" s="73" t="s">
        <v>31</v>
      </c>
      <c r="DD59" s="73" t="s">
        <v>32</v>
      </c>
      <c r="DE59" s="73" t="s">
        <v>32</v>
      </c>
      <c r="DF59" s="74" t="s">
        <v>188</v>
      </c>
      <c r="DG59" s="74" t="s">
        <v>188</v>
      </c>
      <c r="DH59" s="74" t="s">
        <v>189</v>
      </c>
      <c r="DI59" s="74" t="s">
        <v>189</v>
      </c>
      <c r="DJ59" s="74" t="s">
        <v>190</v>
      </c>
      <c r="DK59" s="74" t="s">
        <v>190</v>
      </c>
      <c r="DL59" s="74" t="s">
        <v>191</v>
      </c>
      <c r="DM59" s="74" t="s">
        <v>191</v>
      </c>
      <c r="DN59" s="75" t="s">
        <v>192</v>
      </c>
      <c r="DO59" s="75" t="s">
        <v>192</v>
      </c>
      <c r="DP59" s="75" t="s">
        <v>193</v>
      </c>
      <c r="DQ59" s="75" t="s">
        <v>193</v>
      </c>
      <c r="DR59" s="75" t="s">
        <v>194</v>
      </c>
      <c r="DS59" s="75" t="s">
        <v>194</v>
      </c>
      <c r="DT59" s="75" t="s">
        <v>195</v>
      </c>
      <c r="DU59" s="75" t="s">
        <v>195</v>
      </c>
      <c r="DV59" s="76" t="s">
        <v>196</v>
      </c>
      <c r="DW59" s="76" t="s">
        <v>197</v>
      </c>
      <c r="DX59" s="76" t="s">
        <v>198</v>
      </c>
      <c r="DY59" s="76" t="s">
        <v>198</v>
      </c>
      <c r="DZ59" s="76" t="s">
        <v>199</v>
      </c>
      <c r="EA59" s="76" t="s">
        <v>199</v>
      </c>
      <c r="EB59" s="77" t="s">
        <v>33</v>
      </c>
      <c r="EC59" s="77" t="s">
        <v>34</v>
      </c>
      <c r="ED59" s="77" t="s">
        <v>35</v>
      </c>
      <c r="EE59" s="77" t="s">
        <v>36</v>
      </c>
      <c r="EF59" s="78" t="s">
        <v>200</v>
      </c>
      <c r="EG59" s="78" t="s">
        <v>200</v>
      </c>
      <c r="EH59" s="78" t="s">
        <v>201</v>
      </c>
      <c r="EI59" s="78" t="s">
        <v>202</v>
      </c>
      <c r="EJ59" s="78" t="s">
        <v>203</v>
      </c>
      <c r="EK59" s="78" t="s">
        <v>203</v>
      </c>
      <c r="EL59" s="79"/>
      <c r="EM59" s="79"/>
      <c r="EN59" s="79"/>
      <c r="EO59" s="79"/>
      <c r="EP59" s="79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79"/>
      <c r="GV59" s="79"/>
      <c r="GW59" s="79"/>
      <c r="GX59" s="79"/>
      <c r="GY59" s="79"/>
      <c r="GZ59" s="79"/>
      <c r="HA59" s="79"/>
      <c r="HB59" s="79"/>
      <c r="HC59" s="79"/>
      <c r="HD59" s="79"/>
      <c r="HE59" s="79"/>
      <c r="HF59" s="79"/>
      <c r="HG59" s="79"/>
      <c r="HH59" s="79"/>
      <c r="HI59" s="79"/>
      <c r="HJ59" s="79"/>
      <c r="HK59" s="79"/>
      <c r="HL59" s="79"/>
      <c r="HM59" s="79"/>
      <c r="HN59" s="79"/>
      <c r="HO59" s="79"/>
      <c r="HP59" s="79"/>
      <c r="HQ59" s="79"/>
      <c r="HR59" s="79"/>
      <c r="HS59" s="79"/>
      <c r="HT59" s="79"/>
      <c r="HU59" s="79"/>
      <c r="HV59" s="79"/>
      <c r="HW59" s="79"/>
      <c r="HX59" s="79"/>
      <c r="HY59" s="79"/>
      <c r="HZ59" s="79"/>
      <c r="IA59" s="79"/>
      <c r="IB59" s="79"/>
      <c r="IC59" s="79"/>
      <c r="ID59" s="79"/>
      <c r="IE59" s="79"/>
      <c r="IF59" s="79"/>
      <c r="IG59" s="79"/>
      <c r="IH59" s="79"/>
      <c r="II59" s="79"/>
      <c r="IJ59" s="79"/>
      <c r="IK59" s="79"/>
      <c r="IL59" s="79"/>
      <c r="IM59" s="79"/>
      <c r="IN59" s="79"/>
      <c r="IO59" s="79"/>
      <c r="IP59" s="79"/>
      <c r="IQ59" s="79"/>
      <c r="IR59" s="79"/>
      <c r="IS59" s="79"/>
      <c r="IT59" s="79"/>
      <c r="IU59" s="79"/>
      <c r="IV59" s="79"/>
      <c r="IW59" s="79"/>
    </row>
    <row r="60" spans="2:257" s="15" customFormat="1" ht="14.4">
      <c r="B60" s="30">
        <f t="shared" si="149"/>
        <v>3.0999999999999979</v>
      </c>
      <c r="C60" s="38" t="s">
        <v>45</v>
      </c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79"/>
      <c r="BA60" s="79"/>
      <c r="BB60" s="36"/>
      <c r="BC60" s="35"/>
      <c r="BD60" s="79"/>
      <c r="BE60" s="79"/>
      <c r="BF60" s="79"/>
      <c r="BG60" s="73" t="s">
        <v>187</v>
      </c>
      <c r="BH60" s="79"/>
      <c r="BI60" s="79"/>
      <c r="BJ60" s="79"/>
      <c r="BK60" s="79"/>
      <c r="BL60" s="79"/>
      <c r="BM60" s="79"/>
      <c r="BN60" s="79"/>
      <c r="BO60" s="79"/>
      <c r="BP60" s="79"/>
      <c r="BQ60" s="79"/>
      <c r="BR60" s="79"/>
      <c r="BS60" s="79"/>
      <c r="BT60" s="79"/>
      <c r="BU60" s="79"/>
      <c r="BV60" s="79"/>
      <c r="BW60" s="79"/>
      <c r="BX60" s="79"/>
      <c r="BY60" s="79"/>
      <c r="BZ60" s="79"/>
      <c r="CA60" s="79"/>
      <c r="CB60" s="79"/>
      <c r="CC60" s="79"/>
      <c r="CD60" s="79"/>
      <c r="CE60" s="79"/>
      <c r="CF60" s="35"/>
      <c r="CG60" s="34"/>
      <c r="CH60" s="34"/>
      <c r="CI60" s="34"/>
      <c r="CJ60" s="34"/>
      <c r="CK60" s="34"/>
      <c r="CL60" s="34"/>
      <c r="CM60" s="34"/>
      <c r="CN60" s="34"/>
      <c r="CO60" s="35"/>
      <c r="CP60" s="35"/>
      <c r="CQ60" s="35"/>
      <c r="CR60" s="73" t="s">
        <v>187</v>
      </c>
      <c r="CS60" s="73" t="s">
        <v>187</v>
      </c>
      <c r="CT60" s="73" t="s">
        <v>187</v>
      </c>
      <c r="CU60" s="73" t="s">
        <v>187</v>
      </c>
      <c r="CV60" s="73" t="s">
        <v>30</v>
      </c>
      <c r="CW60" s="73" t="s">
        <v>30</v>
      </c>
      <c r="CX60" s="73" t="s">
        <v>30</v>
      </c>
      <c r="CY60" s="73" t="s">
        <v>30</v>
      </c>
      <c r="CZ60" s="73" t="s">
        <v>30</v>
      </c>
      <c r="DA60" s="73" t="s">
        <v>31</v>
      </c>
      <c r="DB60" s="73" t="s">
        <v>31</v>
      </c>
      <c r="DC60" s="73" t="s">
        <v>31</v>
      </c>
      <c r="DD60" s="73" t="s">
        <v>32</v>
      </c>
      <c r="DE60" s="73" t="s">
        <v>32</v>
      </c>
      <c r="DF60" s="74" t="s">
        <v>188</v>
      </c>
      <c r="DG60" s="74" t="s">
        <v>188</v>
      </c>
      <c r="DH60" s="74" t="s">
        <v>189</v>
      </c>
      <c r="DI60" s="74" t="s">
        <v>189</v>
      </c>
      <c r="DJ60" s="74" t="s">
        <v>190</v>
      </c>
      <c r="DK60" s="74" t="s">
        <v>190</v>
      </c>
      <c r="DL60" s="74" t="s">
        <v>191</v>
      </c>
      <c r="DM60" s="74" t="s">
        <v>191</v>
      </c>
      <c r="DN60" s="75" t="s">
        <v>192</v>
      </c>
      <c r="DO60" s="75" t="s">
        <v>192</v>
      </c>
      <c r="DP60" s="75" t="s">
        <v>193</v>
      </c>
      <c r="DQ60" s="75" t="s">
        <v>193</v>
      </c>
      <c r="DR60" s="75" t="s">
        <v>194</v>
      </c>
      <c r="DS60" s="75" t="s">
        <v>194</v>
      </c>
      <c r="DT60" s="75" t="s">
        <v>195</v>
      </c>
      <c r="DU60" s="75" t="s">
        <v>195</v>
      </c>
      <c r="DV60" s="76" t="s">
        <v>196</v>
      </c>
      <c r="DW60" s="76" t="s">
        <v>197</v>
      </c>
      <c r="DX60" s="76" t="s">
        <v>198</v>
      </c>
      <c r="DY60" s="76" t="s">
        <v>198</v>
      </c>
      <c r="DZ60" s="76" t="s">
        <v>199</v>
      </c>
      <c r="EA60" s="76" t="s">
        <v>199</v>
      </c>
      <c r="EB60" s="77" t="s">
        <v>33</v>
      </c>
      <c r="EC60" s="77" t="s">
        <v>34</v>
      </c>
      <c r="ED60" s="77" t="s">
        <v>35</v>
      </c>
      <c r="EE60" s="77" t="s">
        <v>36</v>
      </c>
      <c r="EF60" s="78" t="s">
        <v>200</v>
      </c>
      <c r="EG60" s="78" t="s">
        <v>200</v>
      </c>
      <c r="EH60" s="78" t="s">
        <v>201</v>
      </c>
      <c r="EI60" s="78" t="s">
        <v>202</v>
      </c>
      <c r="EJ60" s="78" t="s">
        <v>203</v>
      </c>
      <c r="EK60" s="78" t="s">
        <v>203</v>
      </c>
      <c r="EL60" s="79"/>
      <c r="EM60" s="79"/>
      <c r="EN60" s="79"/>
      <c r="EO60" s="79"/>
      <c r="EP60" s="79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79"/>
      <c r="GV60" s="79"/>
      <c r="GW60" s="79"/>
      <c r="GX60" s="79"/>
      <c r="GY60" s="79"/>
      <c r="GZ60" s="79"/>
      <c r="HA60" s="79"/>
      <c r="HB60" s="79"/>
      <c r="HC60" s="79"/>
      <c r="HD60" s="79"/>
      <c r="HE60" s="79"/>
      <c r="HF60" s="79"/>
      <c r="HG60" s="79"/>
      <c r="HH60" s="79"/>
      <c r="HI60" s="79"/>
      <c r="HJ60" s="79"/>
      <c r="HK60" s="79"/>
      <c r="HL60" s="79"/>
      <c r="HM60" s="79"/>
      <c r="HN60" s="79"/>
      <c r="HO60" s="79"/>
      <c r="HP60" s="79"/>
      <c r="HQ60" s="79"/>
      <c r="HR60" s="79"/>
      <c r="HS60" s="79"/>
      <c r="HT60" s="79"/>
      <c r="HU60" s="79"/>
      <c r="HV60" s="79"/>
      <c r="HW60" s="79"/>
      <c r="HX60" s="79"/>
      <c r="HY60" s="79"/>
      <c r="HZ60" s="79"/>
      <c r="IA60" s="79"/>
      <c r="IB60" s="79"/>
      <c r="IC60" s="79"/>
      <c r="ID60" s="79"/>
      <c r="IE60" s="79"/>
      <c r="IF60" s="79"/>
      <c r="IG60" s="79"/>
      <c r="IH60" s="79"/>
      <c r="II60" s="79"/>
      <c r="IJ60" s="79"/>
      <c r="IK60" s="79"/>
      <c r="IL60" s="79"/>
      <c r="IM60" s="79"/>
      <c r="IN60" s="79"/>
      <c r="IO60" s="79"/>
      <c r="IP60" s="79"/>
      <c r="IQ60" s="79"/>
      <c r="IR60" s="79"/>
      <c r="IS60" s="79"/>
      <c r="IT60" s="79"/>
      <c r="IU60" s="79"/>
      <c r="IV60" s="79"/>
      <c r="IW60" s="79"/>
    </row>
    <row r="61" spans="2:257" s="15" customFormat="1" ht="14.4">
      <c r="B61" s="30">
        <f t="shared" si="149"/>
        <v>3.1099999999999977</v>
      </c>
      <c r="C61" s="38" t="s">
        <v>46</v>
      </c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79"/>
      <c r="BA61" s="79"/>
      <c r="BB61" s="36"/>
      <c r="BC61" s="35"/>
      <c r="BD61" s="79"/>
      <c r="BE61" s="79"/>
      <c r="BF61" s="79"/>
      <c r="BG61" s="73" t="s">
        <v>187</v>
      </c>
      <c r="BH61" s="79"/>
      <c r="BI61" s="79"/>
      <c r="BJ61" s="79"/>
      <c r="BK61" s="79"/>
      <c r="BL61" s="79"/>
      <c r="BM61" s="79"/>
      <c r="BN61" s="79"/>
      <c r="BO61" s="79"/>
      <c r="BP61" s="79"/>
      <c r="BQ61" s="79"/>
      <c r="BR61" s="79"/>
      <c r="BS61" s="79"/>
      <c r="BT61" s="79"/>
      <c r="BU61" s="79"/>
      <c r="BV61" s="79"/>
      <c r="BW61" s="79"/>
      <c r="BX61" s="79"/>
      <c r="BY61" s="79"/>
      <c r="BZ61" s="79"/>
      <c r="CA61" s="79"/>
      <c r="CB61" s="79"/>
      <c r="CC61" s="79"/>
      <c r="CD61" s="79"/>
      <c r="CE61" s="79"/>
      <c r="CF61" s="35"/>
      <c r="CG61" s="34"/>
      <c r="CH61" s="34"/>
      <c r="CI61" s="34"/>
      <c r="CJ61" s="34"/>
      <c r="CK61" s="34"/>
      <c r="CL61" s="34"/>
      <c r="CM61" s="34"/>
      <c r="CN61" s="34"/>
      <c r="CO61" s="35"/>
      <c r="CP61" s="35"/>
      <c r="CQ61" s="35"/>
      <c r="CR61" s="73" t="s">
        <v>187</v>
      </c>
      <c r="CS61" s="73" t="s">
        <v>187</v>
      </c>
      <c r="CT61" s="73" t="s">
        <v>187</v>
      </c>
      <c r="CU61" s="73" t="s">
        <v>187</v>
      </c>
      <c r="CV61" s="73" t="s">
        <v>30</v>
      </c>
      <c r="CW61" s="73" t="s">
        <v>30</v>
      </c>
      <c r="CX61" s="73" t="s">
        <v>30</v>
      </c>
      <c r="CY61" s="73" t="s">
        <v>30</v>
      </c>
      <c r="CZ61" s="73" t="s">
        <v>30</v>
      </c>
      <c r="DA61" s="73" t="s">
        <v>31</v>
      </c>
      <c r="DB61" s="73" t="s">
        <v>31</v>
      </c>
      <c r="DC61" s="73" t="s">
        <v>31</v>
      </c>
      <c r="DD61" s="73" t="s">
        <v>32</v>
      </c>
      <c r="DE61" s="73" t="s">
        <v>32</v>
      </c>
      <c r="DF61" s="74" t="s">
        <v>188</v>
      </c>
      <c r="DG61" s="74" t="s">
        <v>188</v>
      </c>
      <c r="DH61" s="74" t="s">
        <v>189</v>
      </c>
      <c r="DI61" s="74" t="s">
        <v>189</v>
      </c>
      <c r="DJ61" s="74" t="s">
        <v>190</v>
      </c>
      <c r="DK61" s="74" t="s">
        <v>190</v>
      </c>
      <c r="DL61" s="74" t="s">
        <v>191</v>
      </c>
      <c r="DM61" s="74" t="s">
        <v>191</v>
      </c>
      <c r="DN61" s="75" t="s">
        <v>192</v>
      </c>
      <c r="DO61" s="75" t="s">
        <v>192</v>
      </c>
      <c r="DP61" s="75" t="s">
        <v>193</v>
      </c>
      <c r="DQ61" s="75" t="s">
        <v>193</v>
      </c>
      <c r="DR61" s="75" t="s">
        <v>194</v>
      </c>
      <c r="DS61" s="75" t="s">
        <v>194</v>
      </c>
      <c r="DT61" s="75" t="s">
        <v>195</v>
      </c>
      <c r="DU61" s="75" t="s">
        <v>195</v>
      </c>
      <c r="DV61" s="76" t="s">
        <v>196</v>
      </c>
      <c r="DW61" s="76" t="s">
        <v>197</v>
      </c>
      <c r="DX61" s="76" t="s">
        <v>198</v>
      </c>
      <c r="DY61" s="76" t="s">
        <v>198</v>
      </c>
      <c r="DZ61" s="76" t="s">
        <v>199</v>
      </c>
      <c r="EA61" s="76" t="s">
        <v>199</v>
      </c>
      <c r="EB61" s="77" t="s">
        <v>33</v>
      </c>
      <c r="EC61" s="77" t="s">
        <v>34</v>
      </c>
      <c r="ED61" s="77" t="s">
        <v>35</v>
      </c>
      <c r="EE61" s="77" t="s">
        <v>36</v>
      </c>
      <c r="EF61" s="78" t="s">
        <v>200</v>
      </c>
      <c r="EG61" s="78" t="s">
        <v>200</v>
      </c>
      <c r="EH61" s="78" t="s">
        <v>201</v>
      </c>
      <c r="EI61" s="78" t="s">
        <v>202</v>
      </c>
      <c r="EJ61" s="78" t="s">
        <v>203</v>
      </c>
      <c r="EK61" s="78" t="s">
        <v>203</v>
      </c>
      <c r="EL61" s="79"/>
      <c r="EM61" s="79"/>
      <c r="EN61" s="79"/>
      <c r="EO61" s="79"/>
      <c r="EP61" s="79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79"/>
      <c r="GV61" s="79"/>
      <c r="GW61" s="79"/>
      <c r="GX61" s="79"/>
      <c r="GY61" s="79"/>
      <c r="GZ61" s="79"/>
      <c r="HA61" s="79"/>
      <c r="HB61" s="79"/>
      <c r="HC61" s="79"/>
      <c r="HD61" s="79"/>
      <c r="HE61" s="79"/>
      <c r="HF61" s="79"/>
      <c r="HG61" s="79"/>
      <c r="HH61" s="79"/>
      <c r="HI61" s="79"/>
      <c r="HJ61" s="79"/>
      <c r="HK61" s="79"/>
      <c r="HL61" s="79"/>
      <c r="HM61" s="79"/>
      <c r="HN61" s="79"/>
      <c r="HO61" s="79"/>
      <c r="HP61" s="79"/>
      <c r="HQ61" s="79"/>
      <c r="HR61" s="79"/>
      <c r="HS61" s="79"/>
      <c r="HT61" s="79"/>
      <c r="HU61" s="79"/>
      <c r="HV61" s="79"/>
      <c r="HW61" s="79"/>
      <c r="HX61" s="79"/>
      <c r="HY61" s="79"/>
      <c r="HZ61" s="79"/>
      <c r="IA61" s="79"/>
      <c r="IB61" s="79"/>
      <c r="IC61" s="79"/>
      <c r="ID61" s="79"/>
      <c r="IE61" s="79"/>
      <c r="IF61" s="79"/>
      <c r="IG61" s="79"/>
      <c r="IH61" s="79"/>
      <c r="II61" s="79"/>
      <c r="IJ61" s="79"/>
      <c r="IK61" s="79"/>
      <c r="IL61" s="79"/>
      <c r="IM61" s="79"/>
      <c r="IN61" s="79"/>
      <c r="IO61" s="79"/>
      <c r="IP61" s="79"/>
      <c r="IQ61" s="79"/>
      <c r="IR61" s="79"/>
      <c r="IS61" s="79"/>
      <c r="IT61" s="79"/>
      <c r="IU61" s="79"/>
      <c r="IV61" s="79"/>
      <c r="IW61" s="79"/>
    </row>
    <row r="62" spans="2:257" s="15" customFormat="1" ht="14.4">
      <c r="B62" s="30">
        <f t="shared" si="149"/>
        <v>3.1199999999999974</v>
      </c>
      <c r="C62" s="38" t="s">
        <v>47</v>
      </c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79"/>
      <c r="BA62" s="79"/>
      <c r="BB62" s="79"/>
      <c r="BC62" s="79"/>
      <c r="BD62" s="79"/>
      <c r="BE62" s="79"/>
      <c r="BF62" s="79"/>
      <c r="BG62" s="79"/>
      <c r="BH62" s="79"/>
      <c r="BI62" s="79"/>
      <c r="BJ62" s="79"/>
      <c r="BK62" s="79"/>
      <c r="BL62" s="79"/>
      <c r="BM62" s="79"/>
      <c r="BN62" s="79"/>
      <c r="BO62" s="79"/>
      <c r="BP62" s="79"/>
      <c r="BQ62" s="79"/>
      <c r="BR62" s="79"/>
      <c r="BS62" s="79"/>
      <c r="BT62" s="79"/>
      <c r="BU62" s="79"/>
      <c r="BV62" s="79"/>
      <c r="BW62" s="79"/>
      <c r="BX62" s="79"/>
      <c r="BY62" s="79"/>
      <c r="BZ62" s="79"/>
      <c r="CA62" s="79"/>
      <c r="CB62" s="79"/>
      <c r="CC62" s="79"/>
      <c r="CD62" s="79"/>
      <c r="CE62" s="79"/>
      <c r="CF62" s="35"/>
      <c r="CG62" s="34"/>
      <c r="CH62" s="34"/>
      <c r="CI62" s="34"/>
      <c r="CJ62" s="34"/>
      <c r="CK62" s="34"/>
      <c r="CL62" s="34"/>
      <c r="CM62" s="34"/>
      <c r="CN62" s="34"/>
      <c r="CO62" s="35"/>
      <c r="CP62" s="35"/>
      <c r="CQ62" s="35"/>
      <c r="CR62" s="79"/>
      <c r="CS62" s="82"/>
      <c r="CT62" s="82"/>
      <c r="CU62" s="79"/>
      <c r="CV62" s="73" t="s">
        <v>187</v>
      </c>
      <c r="CW62" s="73" t="s">
        <v>187</v>
      </c>
      <c r="CX62" s="73" t="s">
        <v>187</v>
      </c>
      <c r="CY62" s="73" t="s">
        <v>187</v>
      </c>
      <c r="CZ62" s="73" t="s">
        <v>187</v>
      </c>
      <c r="DA62" s="73" t="s">
        <v>30</v>
      </c>
      <c r="DB62" s="73" t="s">
        <v>30</v>
      </c>
      <c r="DC62" s="73" t="s">
        <v>30</v>
      </c>
      <c r="DD62" s="73" t="s">
        <v>31</v>
      </c>
      <c r="DE62" s="73" t="s">
        <v>31</v>
      </c>
      <c r="DF62" s="73" t="s">
        <v>32</v>
      </c>
      <c r="DG62" s="73" t="s">
        <v>32</v>
      </c>
      <c r="DH62" s="74" t="s">
        <v>188</v>
      </c>
      <c r="DI62" s="74" t="s">
        <v>188</v>
      </c>
      <c r="DJ62" s="74" t="s">
        <v>189</v>
      </c>
      <c r="DK62" s="74" t="s">
        <v>189</v>
      </c>
      <c r="DL62" s="74" t="s">
        <v>190</v>
      </c>
      <c r="DM62" s="74" t="s">
        <v>190</v>
      </c>
      <c r="DN62" s="74" t="s">
        <v>191</v>
      </c>
      <c r="DO62" s="74" t="s">
        <v>191</v>
      </c>
      <c r="DP62" s="75" t="s">
        <v>192</v>
      </c>
      <c r="DQ62" s="75" t="s">
        <v>192</v>
      </c>
      <c r="DR62" s="75" t="s">
        <v>193</v>
      </c>
      <c r="DS62" s="75" t="s">
        <v>193</v>
      </c>
      <c r="DT62" s="75" t="s">
        <v>194</v>
      </c>
      <c r="DU62" s="75" t="s">
        <v>194</v>
      </c>
      <c r="DV62" s="75" t="s">
        <v>195</v>
      </c>
      <c r="DW62" s="76" t="s">
        <v>196</v>
      </c>
      <c r="DX62" s="76" t="s">
        <v>197</v>
      </c>
      <c r="DY62" s="76" t="s">
        <v>197</v>
      </c>
      <c r="DZ62" s="76" t="s">
        <v>198</v>
      </c>
      <c r="EA62" s="76" t="s">
        <v>198</v>
      </c>
      <c r="EB62" s="76" t="s">
        <v>199</v>
      </c>
      <c r="EC62" s="77" t="s">
        <v>33</v>
      </c>
      <c r="ED62" s="77" t="s">
        <v>34</v>
      </c>
      <c r="EE62" s="77" t="s">
        <v>35</v>
      </c>
      <c r="EF62" s="77" t="s">
        <v>36</v>
      </c>
      <c r="EG62" s="77" t="s">
        <v>36</v>
      </c>
      <c r="EH62" s="78" t="s">
        <v>200</v>
      </c>
      <c r="EI62" s="78" t="s">
        <v>201</v>
      </c>
      <c r="EJ62" s="78" t="s">
        <v>202</v>
      </c>
      <c r="EK62" s="78" t="s">
        <v>202</v>
      </c>
      <c r="EL62" s="78" t="s">
        <v>203</v>
      </c>
      <c r="EM62" s="78" t="s">
        <v>203</v>
      </c>
      <c r="EN62" s="79"/>
      <c r="EO62" s="79"/>
      <c r="EP62" s="79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79"/>
      <c r="GV62" s="79"/>
      <c r="GW62" s="79"/>
      <c r="GX62" s="79"/>
      <c r="GY62" s="79"/>
      <c r="GZ62" s="79"/>
      <c r="HA62" s="79"/>
      <c r="HB62" s="79"/>
      <c r="HC62" s="79"/>
      <c r="HD62" s="79"/>
      <c r="HE62" s="79"/>
      <c r="HF62" s="79"/>
      <c r="HG62" s="79"/>
      <c r="HH62" s="79"/>
      <c r="HI62" s="79"/>
      <c r="HJ62" s="79"/>
      <c r="HK62" s="79"/>
      <c r="HL62" s="79"/>
      <c r="HM62" s="79"/>
      <c r="HN62" s="79"/>
      <c r="HO62" s="79"/>
      <c r="HP62" s="79"/>
      <c r="HQ62" s="79"/>
      <c r="HR62" s="79"/>
      <c r="HS62" s="79"/>
      <c r="HT62" s="79"/>
      <c r="HU62" s="79"/>
      <c r="HV62" s="79"/>
      <c r="HW62" s="79"/>
      <c r="HX62" s="79"/>
      <c r="HY62" s="79"/>
      <c r="HZ62" s="79"/>
      <c r="IA62" s="79"/>
      <c r="IB62" s="79"/>
      <c r="IC62" s="79"/>
      <c r="ID62" s="79"/>
      <c r="IE62" s="79"/>
      <c r="IF62" s="79"/>
      <c r="IG62" s="79"/>
      <c r="IH62" s="79"/>
      <c r="II62" s="79"/>
      <c r="IJ62" s="79"/>
      <c r="IK62" s="79"/>
      <c r="IL62" s="79"/>
      <c r="IM62" s="79"/>
      <c r="IN62" s="79"/>
      <c r="IO62" s="79"/>
      <c r="IP62" s="79"/>
      <c r="IQ62" s="79"/>
      <c r="IR62" s="79"/>
      <c r="IS62" s="79"/>
      <c r="IT62" s="79"/>
      <c r="IU62" s="79"/>
      <c r="IV62" s="79"/>
      <c r="IW62" s="79"/>
    </row>
    <row r="63" spans="2:257" s="15" customFormat="1" ht="14.4">
      <c r="B63" s="30">
        <f t="shared" si="149"/>
        <v>3.1299999999999972</v>
      </c>
      <c r="C63" s="38" t="s">
        <v>48</v>
      </c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79"/>
      <c r="BA63" s="79"/>
      <c r="BB63" s="79"/>
      <c r="BC63" s="79"/>
      <c r="BD63" s="79"/>
      <c r="BE63" s="79"/>
      <c r="BF63" s="79"/>
      <c r="BG63" s="79"/>
      <c r="BH63" s="79"/>
      <c r="BI63" s="79"/>
      <c r="BJ63" s="79"/>
      <c r="BK63" s="79"/>
      <c r="BL63" s="79"/>
      <c r="BM63" s="79"/>
      <c r="BN63" s="79"/>
      <c r="BO63" s="79"/>
      <c r="BP63" s="79"/>
      <c r="BQ63" s="79"/>
      <c r="BR63" s="79"/>
      <c r="BS63" s="79"/>
      <c r="BT63" s="79"/>
      <c r="BU63" s="79"/>
      <c r="BV63" s="79"/>
      <c r="BW63" s="79"/>
      <c r="BX63" s="79"/>
      <c r="BY63" s="79"/>
      <c r="BZ63" s="79"/>
      <c r="CA63" s="79"/>
      <c r="CB63" s="79"/>
      <c r="CC63" s="79"/>
      <c r="CD63" s="79"/>
      <c r="CE63" s="79"/>
      <c r="CF63" s="35"/>
      <c r="CG63" s="34"/>
      <c r="CH63" s="34"/>
      <c r="CI63" s="34"/>
      <c r="CJ63" s="34"/>
      <c r="CK63" s="34"/>
      <c r="CL63" s="34"/>
      <c r="CM63" s="34"/>
      <c r="CN63" s="34"/>
      <c r="CO63" s="35"/>
      <c r="CP63" s="35"/>
      <c r="CQ63" s="35"/>
      <c r="CR63" s="79"/>
      <c r="CS63" s="82"/>
      <c r="CT63" s="82"/>
      <c r="CU63" s="79"/>
      <c r="CV63" s="73" t="s">
        <v>187</v>
      </c>
      <c r="CW63" s="73" t="s">
        <v>187</v>
      </c>
      <c r="CX63" s="73" t="s">
        <v>187</v>
      </c>
      <c r="CY63" s="73" t="s">
        <v>187</v>
      </c>
      <c r="CZ63" s="73" t="s">
        <v>187</v>
      </c>
      <c r="DA63" s="73" t="s">
        <v>30</v>
      </c>
      <c r="DB63" s="73" t="s">
        <v>30</v>
      </c>
      <c r="DC63" s="73" t="s">
        <v>30</v>
      </c>
      <c r="DD63" s="73" t="s">
        <v>31</v>
      </c>
      <c r="DE63" s="73" t="s">
        <v>31</v>
      </c>
      <c r="DF63" s="73" t="s">
        <v>32</v>
      </c>
      <c r="DG63" s="73" t="s">
        <v>32</v>
      </c>
      <c r="DH63" s="74" t="s">
        <v>188</v>
      </c>
      <c r="DI63" s="74" t="s">
        <v>188</v>
      </c>
      <c r="DJ63" s="74" t="s">
        <v>189</v>
      </c>
      <c r="DK63" s="74" t="s">
        <v>189</v>
      </c>
      <c r="DL63" s="74" t="s">
        <v>190</v>
      </c>
      <c r="DM63" s="74" t="s">
        <v>190</v>
      </c>
      <c r="DN63" s="74" t="s">
        <v>191</v>
      </c>
      <c r="DO63" s="74" t="s">
        <v>191</v>
      </c>
      <c r="DP63" s="75" t="s">
        <v>192</v>
      </c>
      <c r="DQ63" s="75" t="s">
        <v>192</v>
      </c>
      <c r="DR63" s="75" t="s">
        <v>193</v>
      </c>
      <c r="DS63" s="75" t="s">
        <v>193</v>
      </c>
      <c r="DT63" s="75" t="s">
        <v>194</v>
      </c>
      <c r="DU63" s="75" t="s">
        <v>194</v>
      </c>
      <c r="DV63" s="75" t="s">
        <v>195</v>
      </c>
      <c r="DW63" s="76" t="s">
        <v>196</v>
      </c>
      <c r="DX63" s="76" t="s">
        <v>197</v>
      </c>
      <c r="DY63" s="76" t="s">
        <v>197</v>
      </c>
      <c r="DZ63" s="76" t="s">
        <v>198</v>
      </c>
      <c r="EA63" s="76" t="s">
        <v>198</v>
      </c>
      <c r="EB63" s="76" t="s">
        <v>199</v>
      </c>
      <c r="EC63" s="77" t="s">
        <v>33</v>
      </c>
      <c r="ED63" s="77" t="s">
        <v>34</v>
      </c>
      <c r="EE63" s="77" t="s">
        <v>35</v>
      </c>
      <c r="EF63" s="77" t="s">
        <v>36</v>
      </c>
      <c r="EG63" s="77" t="s">
        <v>36</v>
      </c>
      <c r="EH63" s="78" t="s">
        <v>200</v>
      </c>
      <c r="EI63" s="78" t="s">
        <v>201</v>
      </c>
      <c r="EJ63" s="78" t="s">
        <v>202</v>
      </c>
      <c r="EK63" s="78" t="s">
        <v>202</v>
      </c>
      <c r="EL63" s="78" t="s">
        <v>203</v>
      </c>
      <c r="EM63" s="78" t="s">
        <v>203</v>
      </c>
      <c r="EN63" s="79"/>
      <c r="EO63" s="79"/>
      <c r="EP63" s="79"/>
      <c r="EQ63" s="35"/>
      <c r="ER63" s="35"/>
      <c r="ES63" s="35"/>
      <c r="ET63" s="35"/>
      <c r="EU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K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  <c r="GB63" s="35"/>
      <c r="GC63" s="35"/>
      <c r="GD63" s="35"/>
      <c r="GE63" s="35"/>
      <c r="GF63" s="35"/>
      <c r="GG63" s="35"/>
      <c r="GH63" s="35"/>
      <c r="GI63" s="35"/>
      <c r="GJ63" s="35"/>
      <c r="GK63" s="35"/>
      <c r="GL63" s="35"/>
      <c r="GM63" s="35"/>
      <c r="GN63" s="35"/>
      <c r="GO63" s="35"/>
      <c r="GP63" s="35"/>
      <c r="GQ63" s="35"/>
      <c r="GR63" s="35"/>
      <c r="GS63" s="35"/>
      <c r="GT63" s="35"/>
      <c r="GU63" s="79"/>
      <c r="GV63" s="79"/>
      <c r="GW63" s="79"/>
      <c r="GX63" s="79"/>
      <c r="GY63" s="79"/>
      <c r="GZ63" s="79"/>
      <c r="HA63" s="79"/>
      <c r="HB63" s="79"/>
      <c r="HC63" s="79"/>
      <c r="HD63" s="79"/>
      <c r="HE63" s="79"/>
      <c r="HF63" s="79"/>
      <c r="HG63" s="79"/>
      <c r="HH63" s="79"/>
      <c r="HI63" s="79"/>
      <c r="HJ63" s="79"/>
      <c r="HK63" s="79"/>
      <c r="HL63" s="79"/>
      <c r="HM63" s="79"/>
      <c r="HN63" s="79"/>
      <c r="HO63" s="79"/>
      <c r="HP63" s="79"/>
      <c r="HQ63" s="79"/>
      <c r="HR63" s="79"/>
      <c r="HS63" s="79"/>
      <c r="HT63" s="79"/>
      <c r="HU63" s="79"/>
      <c r="HV63" s="79"/>
      <c r="HW63" s="79"/>
      <c r="HX63" s="79"/>
      <c r="HY63" s="79"/>
      <c r="HZ63" s="79"/>
      <c r="IA63" s="79"/>
      <c r="IB63" s="79"/>
      <c r="IC63" s="79"/>
      <c r="ID63" s="79"/>
      <c r="IE63" s="79"/>
      <c r="IF63" s="79"/>
      <c r="IG63" s="79"/>
      <c r="IH63" s="79"/>
      <c r="II63" s="79"/>
      <c r="IJ63" s="79"/>
      <c r="IK63" s="79"/>
      <c r="IL63" s="79"/>
      <c r="IM63" s="79"/>
      <c r="IN63" s="79"/>
      <c r="IO63" s="79"/>
      <c r="IP63" s="79"/>
      <c r="IQ63" s="79"/>
      <c r="IR63" s="79"/>
      <c r="IS63" s="79"/>
      <c r="IT63" s="79"/>
      <c r="IU63" s="79"/>
      <c r="IV63" s="79"/>
      <c r="IW63" s="79"/>
    </row>
    <row r="64" spans="2:257" s="15" customFormat="1" ht="14.4">
      <c r="B64" s="30">
        <f t="shared" si="149"/>
        <v>3.139999999999997</v>
      </c>
      <c r="C64" s="38" t="s">
        <v>49</v>
      </c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79"/>
      <c r="BA64" s="79"/>
      <c r="BB64" s="79"/>
      <c r="BC64" s="79"/>
      <c r="BD64" s="79"/>
      <c r="BE64" s="79"/>
      <c r="BF64" s="79"/>
      <c r="BG64" s="79"/>
      <c r="BH64" s="79"/>
      <c r="BI64" s="79"/>
      <c r="BJ64" s="79"/>
      <c r="BK64" s="79"/>
      <c r="BL64" s="79"/>
      <c r="BM64" s="79"/>
      <c r="BN64" s="79"/>
      <c r="BO64" s="79"/>
      <c r="BP64" s="79"/>
      <c r="BQ64" s="79"/>
      <c r="BR64" s="79"/>
      <c r="BS64" s="79"/>
      <c r="BT64" s="79"/>
      <c r="BU64" s="79"/>
      <c r="BV64" s="79"/>
      <c r="BW64" s="79"/>
      <c r="BX64" s="79"/>
      <c r="BY64" s="79"/>
      <c r="BZ64" s="79"/>
      <c r="CA64" s="79"/>
      <c r="CB64" s="79"/>
      <c r="CC64" s="79"/>
      <c r="CD64" s="79"/>
      <c r="CE64" s="79"/>
      <c r="CF64" s="35"/>
      <c r="CG64" s="34"/>
      <c r="CH64" s="34"/>
      <c r="CI64" s="34"/>
      <c r="CJ64" s="34"/>
      <c r="CK64" s="34"/>
      <c r="CL64" s="34"/>
      <c r="CM64" s="34"/>
      <c r="CN64" s="34"/>
      <c r="CO64" s="35"/>
      <c r="CP64" s="35"/>
      <c r="CQ64" s="35"/>
      <c r="CR64" s="79"/>
      <c r="CS64" s="82"/>
      <c r="CT64" s="82"/>
      <c r="CU64" s="79"/>
      <c r="CV64" s="73" t="s">
        <v>187</v>
      </c>
      <c r="CW64" s="73" t="s">
        <v>187</v>
      </c>
      <c r="CX64" s="73" t="s">
        <v>187</v>
      </c>
      <c r="CY64" s="73" t="s">
        <v>187</v>
      </c>
      <c r="CZ64" s="73" t="s">
        <v>187</v>
      </c>
      <c r="DA64" s="73" t="s">
        <v>30</v>
      </c>
      <c r="DB64" s="73" t="s">
        <v>30</v>
      </c>
      <c r="DC64" s="73" t="s">
        <v>30</v>
      </c>
      <c r="DD64" s="73" t="s">
        <v>31</v>
      </c>
      <c r="DE64" s="73" t="s">
        <v>31</v>
      </c>
      <c r="DF64" s="73" t="s">
        <v>32</v>
      </c>
      <c r="DG64" s="73" t="s">
        <v>32</v>
      </c>
      <c r="DH64" s="74" t="s">
        <v>188</v>
      </c>
      <c r="DI64" s="74" t="s">
        <v>188</v>
      </c>
      <c r="DJ64" s="74" t="s">
        <v>189</v>
      </c>
      <c r="DK64" s="74" t="s">
        <v>189</v>
      </c>
      <c r="DL64" s="74" t="s">
        <v>190</v>
      </c>
      <c r="DM64" s="74" t="s">
        <v>190</v>
      </c>
      <c r="DN64" s="74" t="s">
        <v>191</v>
      </c>
      <c r="DO64" s="74" t="s">
        <v>191</v>
      </c>
      <c r="DP64" s="75" t="s">
        <v>192</v>
      </c>
      <c r="DQ64" s="75" t="s">
        <v>192</v>
      </c>
      <c r="DR64" s="75" t="s">
        <v>193</v>
      </c>
      <c r="DS64" s="75" t="s">
        <v>193</v>
      </c>
      <c r="DT64" s="75" t="s">
        <v>194</v>
      </c>
      <c r="DU64" s="75" t="s">
        <v>194</v>
      </c>
      <c r="DV64" s="75" t="s">
        <v>193</v>
      </c>
      <c r="DW64" s="76" t="s">
        <v>196</v>
      </c>
      <c r="DX64" s="76" t="s">
        <v>197</v>
      </c>
      <c r="DY64" s="76" t="s">
        <v>197</v>
      </c>
      <c r="DZ64" s="76" t="s">
        <v>198</v>
      </c>
      <c r="EA64" s="76" t="s">
        <v>198</v>
      </c>
      <c r="EB64" s="76" t="s">
        <v>199</v>
      </c>
      <c r="EC64" s="77" t="s">
        <v>33</v>
      </c>
      <c r="ED64" s="77" t="s">
        <v>34</v>
      </c>
      <c r="EE64" s="77" t="s">
        <v>35</v>
      </c>
      <c r="EF64" s="77" t="s">
        <v>36</v>
      </c>
      <c r="EG64" s="77" t="s">
        <v>36</v>
      </c>
      <c r="EH64" s="78" t="s">
        <v>200</v>
      </c>
      <c r="EI64" s="78" t="s">
        <v>201</v>
      </c>
      <c r="EJ64" s="78" t="s">
        <v>202</v>
      </c>
      <c r="EK64" s="78" t="s">
        <v>202</v>
      </c>
      <c r="EL64" s="78" t="s">
        <v>203</v>
      </c>
      <c r="EM64" s="78" t="s">
        <v>203</v>
      </c>
      <c r="EN64" s="79"/>
      <c r="EO64" s="79"/>
      <c r="EP64" s="79"/>
      <c r="EQ64" s="35"/>
      <c r="ER64" s="35"/>
      <c r="ES64" s="35"/>
      <c r="ET64" s="35"/>
      <c r="EU64" s="35"/>
      <c r="EV64" s="35"/>
      <c r="EW64" s="35"/>
      <c r="EX64" s="35"/>
      <c r="EY64" s="35"/>
      <c r="EZ64" s="35"/>
      <c r="FA64" s="35"/>
      <c r="FB64" s="35"/>
      <c r="FC64" s="35"/>
      <c r="FD64" s="35"/>
      <c r="FE64" s="35"/>
      <c r="FF64" s="35"/>
      <c r="FG64" s="35"/>
      <c r="FH64" s="35"/>
      <c r="FI64" s="35"/>
      <c r="FJ64" s="35"/>
      <c r="FK64" s="35"/>
      <c r="FL64" s="35"/>
      <c r="FM64" s="35"/>
      <c r="FN64" s="35"/>
      <c r="FO64" s="35"/>
      <c r="FP64" s="35"/>
      <c r="FQ64" s="35"/>
      <c r="FR64" s="35"/>
      <c r="FS64" s="35"/>
      <c r="FT64" s="35"/>
      <c r="FU64" s="35"/>
      <c r="FV64" s="35"/>
      <c r="FW64" s="35"/>
      <c r="FX64" s="35"/>
      <c r="FY64" s="35"/>
      <c r="FZ64" s="35"/>
      <c r="GA64" s="35"/>
      <c r="GB64" s="35"/>
      <c r="GC64" s="35"/>
      <c r="GD64" s="35"/>
      <c r="GE64" s="35"/>
      <c r="GF64" s="35"/>
      <c r="GG64" s="35"/>
      <c r="GH64" s="35"/>
      <c r="GI64" s="35"/>
      <c r="GJ64" s="35"/>
      <c r="GK64" s="35"/>
      <c r="GL64" s="35"/>
      <c r="GM64" s="35"/>
      <c r="GN64" s="35"/>
      <c r="GO64" s="35"/>
      <c r="GP64" s="35"/>
      <c r="GQ64" s="35"/>
      <c r="GR64" s="35"/>
      <c r="GS64" s="35"/>
      <c r="GT64" s="35"/>
      <c r="GU64" s="79"/>
      <c r="GV64" s="79"/>
      <c r="GW64" s="79"/>
      <c r="GX64" s="79"/>
      <c r="GY64" s="79"/>
      <c r="GZ64" s="79"/>
      <c r="HA64" s="79"/>
      <c r="HB64" s="79"/>
      <c r="HC64" s="79"/>
      <c r="HD64" s="79"/>
      <c r="HE64" s="79"/>
      <c r="HF64" s="79"/>
      <c r="HG64" s="79"/>
      <c r="HH64" s="79"/>
      <c r="HI64" s="79"/>
      <c r="HJ64" s="79"/>
      <c r="HK64" s="79"/>
      <c r="HL64" s="79"/>
      <c r="HM64" s="79"/>
      <c r="HN64" s="79"/>
      <c r="HO64" s="79"/>
      <c r="HP64" s="79"/>
      <c r="HQ64" s="79"/>
      <c r="HR64" s="79"/>
      <c r="HS64" s="79"/>
      <c r="HT64" s="79"/>
      <c r="HU64" s="79"/>
      <c r="HV64" s="79"/>
      <c r="HW64" s="79"/>
      <c r="HX64" s="79"/>
      <c r="HY64" s="79"/>
      <c r="HZ64" s="79"/>
      <c r="IA64" s="79"/>
      <c r="IB64" s="79"/>
      <c r="IC64" s="79"/>
      <c r="ID64" s="79"/>
      <c r="IE64" s="79"/>
      <c r="IF64" s="79"/>
      <c r="IG64" s="79"/>
      <c r="IH64" s="79"/>
      <c r="II64" s="79"/>
      <c r="IJ64" s="79"/>
      <c r="IK64" s="79"/>
      <c r="IL64" s="79"/>
      <c r="IM64" s="79"/>
      <c r="IN64" s="79"/>
      <c r="IO64" s="79"/>
      <c r="IP64" s="79"/>
      <c r="IQ64" s="79"/>
      <c r="IR64" s="79"/>
      <c r="IS64" s="79"/>
      <c r="IT64" s="79"/>
      <c r="IU64" s="79"/>
      <c r="IV64" s="79"/>
      <c r="IW64" s="79"/>
    </row>
    <row r="65" spans="2:257" s="15" customFormat="1" ht="14.4">
      <c r="B65" s="30">
        <f t="shared" si="149"/>
        <v>3.1499999999999968</v>
      </c>
      <c r="C65" s="38" t="s">
        <v>50</v>
      </c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79"/>
      <c r="BA65" s="79"/>
      <c r="BB65" s="79"/>
      <c r="BC65" s="79"/>
      <c r="BD65" s="79"/>
      <c r="BE65" s="79"/>
      <c r="BF65" s="79"/>
      <c r="BG65" s="79"/>
      <c r="BH65" s="79"/>
      <c r="BI65" s="79"/>
      <c r="BJ65" s="79"/>
      <c r="BK65" s="79"/>
      <c r="BL65" s="79"/>
      <c r="BM65" s="79"/>
      <c r="BN65" s="79"/>
      <c r="BO65" s="79"/>
      <c r="BP65" s="79"/>
      <c r="BQ65" s="79"/>
      <c r="BR65" s="79"/>
      <c r="BS65" s="79"/>
      <c r="BT65" s="79"/>
      <c r="BU65" s="79"/>
      <c r="BV65" s="79"/>
      <c r="BW65" s="79"/>
      <c r="BX65" s="79"/>
      <c r="BY65" s="79"/>
      <c r="BZ65" s="79"/>
      <c r="CA65" s="79"/>
      <c r="CB65" s="79"/>
      <c r="CC65" s="79"/>
      <c r="CD65" s="79"/>
      <c r="CE65" s="79"/>
      <c r="CF65" s="35"/>
      <c r="CG65" s="34"/>
      <c r="CH65" s="34"/>
      <c r="CI65" s="34"/>
      <c r="CJ65" s="34"/>
      <c r="CK65" s="34"/>
      <c r="CL65" s="34"/>
      <c r="CM65" s="34"/>
      <c r="CN65" s="34"/>
      <c r="CO65" s="35"/>
      <c r="CP65" s="35"/>
      <c r="CQ65" s="35"/>
      <c r="CR65" s="79"/>
      <c r="CS65" s="79"/>
      <c r="CT65" s="79"/>
      <c r="CU65" s="79"/>
      <c r="CV65" s="79"/>
      <c r="CW65" s="79"/>
      <c r="CX65" s="35"/>
      <c r="CY65" s="79"/>
      <c r="CZ65" s="79"/>
      <c r="DA65" s="73" t="s">
        <v>187</v>
      </c>
      <c r="DB65" s="73" t="s">
        <v>187</v>
      </c>
      <c r="DC65" s="73" t="s">
        <v>187</v>
      </c>
      <c r="DD65" s="73" t="s">
        <v>30</v>
      </c>
      <c r="DE65" s="73" t="s">
        <v>30</v>
      </c>
      <c r="DF65" s="73" t="s">
        <v>31</v>
      </c>
      <c r="DG65" s="73" t="s">
        <v>31</v>
      </c>
      <c r="DH65" s="73" t="s">
        <v>32</v>
      </c>
      <c r="DI65" s="73" t="s">
        <v>32</v>
      </c>
      <c r="DJ65" s="74" t="s">
        <v>188</v>
      </c>
      <c r="DK65" s="74" t="s">
        <v>188</v>
      </c>
      <c r="DL65" s="74" t="s">
        <v>189</v>
      </c>
      <c r="DM65" s="74" t="s">
        <v>189</v>
      </c>
      <c r="DN65" s="74" t="s">
        <v>190</v>
      </c>
      <c r="DO65" s="74" t="s">
        <v>190</v>
      </c>
      <c r="DP65" s="74" t="s">
        <v>191</v>
      </c>
      <c r="DQ65" s="74" t="s">
        <v>191</v>
      </c>
      <c r="DR65" s="75" t="s">
        <v>192</v>
      </c>
      <c r="DS65" s="75" t="s">
        <v>192</v>
      </c>
      <c r="DT65" s="75" t="s">
        <v>193</v>
      </c>
      <c r="DU65" s="75" t="s">
        <v>193</v>
      </c>
      <c r="DV65" s="75" t="s">
        <v>194</v>
      </c>
      <c r="DW65" s="75" t="s">
        <v>195</v>
      </c>
      <c r="DX65" s="76" t="s">
        <v>196</v>
      </c>
      <c r="DY65" s="76" t="s">
        <v>196</v>
      </c>
      <c r="DZ65" s="76" t="s">
        <v>197</v>
      </c>
      <c r="EA65" s="76" t="s">
        <v>197</v>
      </c>
      <c r="EB65" s="76" t="s">
        <v>198</v>
      </c>
      <c r="EC65" s="76" t="s">
        <v>199</v>
      </c>
      <c r="ED65" s="77" t="s">
        <v>33</v>
      </c>
      <c r="EE65" s="77" t="s">
        <v>34</v>
      </c>
      <c r="EF65" s="77" t="s">
        <v>35</v>
      </c>
      <c r="EG65" s="77" t="s">
        <v>35</v>
      </c>
      <c r="EH65" s="77" t="s">
        <v>36</v>
      </c>
      <c r="EI65" s="78" t="s">
        <v>200</v>
      </c>
      <c r="EJ65" s="78" t="s">
        <v>201</v>
      </c>
      <c r="EK65" s="78" t="s">
        <v>201</v>
      </c>
      <c r="EL65" s="78" t="s">
        <v>202</v>
      </c>
      <c r="EM65" s="78" t="s">
        <v>202</v>
      </c>
      <c r="EN65" s="78" t="s">
        <v>203</v>
      </c>
      <c r="EO65" s="78" t="s">
        <v>203</v>
      </c>
      <c r="EP65" s="79"/>
      <c r="EQ65" s="35"/>
      <c r="ER65" s="35"/>
      <c r="ES65" s="35"/>
      <c r="ET65" s="35"/>
      <c r="EU65" s="35"/>
      <c r="EV65" s="35"/>
      <c r="EW65" s="35"/>
      <c r="EX65" s="35"/>
      <c r="EY65" s="35"/>
      <c r="EZ65" s="35"/>
      <c r="FA65" s="35"/>
      <c r="FB65" s="35"/>
      <c r="FC65" s="35"/>
      <c r="FD65" s="35"/>
      <c r="FE65" s="35"/>
      <c r="FF65" s="35"/>
      <c r="FG65" s="35"/>
      <c r="FH65" s="35"/>
      <c r="FI65" s="35"/>
      <c r="FJ65" s="35"/>
      <c r="FK65" s="35"/>
      <c r="FL65" s="35"/>
      <c r="FM65" s="35"/>
      <c r="FN65" s="35"/>
      <c r="FO65" s="35"/>
      <c r="FP65" s="35"/>
      <c r="FQ65" s="35"/>
      <c r="FR65" s="35"/>
      <c r="FS65" s="35"/>
      <c r="FT65" s="35"/>
      <c r="FU65" s="35"/>
      <c r="FV65" s="35"/>
      <c r="FW65" s="35"/>
      <c r="FX65" s="35"/>
      <c r="FY65" s="35"/>
      <c r="FZ65" s="35"/>
      <c r="GA65" s="35"/>
      <c r="GB65" s="35"/>
      <c r="GC65" s="35"/>
      <c r="GD65" s="35"/>
      <c r="GE65" s="35"/>
      <c r="GF65" s="35"/>
      <c r="GG65" s="35"/>
      <c r="GH65" s="35"/>
      <c r="GI65" s="35"/>
      <c r="GJ65" s="35"/>
      <c r="GK65" s="35"/>
      <c r="GL65" s="35"/>
      <c r="GM65" s="35"/>
      <c r="GN65" s="35"/>
      <c r="GO65" s="35"/>
      <c r="GP65" s="35"/>
      <c r="GQ65" s="35"/>
      <c r="GR65" s="35"/>
      <c r="GS65" s="35"/>
      <c r="GT65" s="35"/>
      <c r="GU65" s="79"/>
      <c r="GV65" s="79"/>
      <c r="GW65" s="79"/>
      <c r="GX65" s="79"/>
      <c r="GY65" s="79"/>
      <c r="GZ65" s="79"/>
      <c r="HA65" s="79"/>
      <c r="HB65" s="79"/>
      <c r="HC65" s="79"/>
      <c r="HD65" s="79"/>
      <c r="HE65" s="79"/>
      <c r="HF65" s="79"/>
      <c r="HG65" s="79"/>
      <c r="HH65" s="79"/>
      <c r="HI65" s="79"/>
      <c r="HJ65" s="79"/>
      <c r="HK65" s="79"/>
      <c r="HL65" s="79"/>
      <c r="HM65" s="79"/>
      <c r="HN65" s="79"/>
      <c r="HO65" s="79"/>
      <c r="HP65" s="79"/>
      <c r="HQ65" s="79"/>
      <c r="HR65" s="79"/>
      <c r="HS65" s="79"/>
      <c r="HT65" s="79"/>
      <c r="HU65" s="79"/>
      <c r="HV65" s="79"/>
      <c r="HW65" s="79"/>
      <c r="HX65" s="79"/>
      <c r="HY65" s="79"/>
      <c r="HZ65" s="79"/>
      <c r="IA65" s="79"/>
      <c r="IB65" s="79"/>
      <c r="IC65" s="79"/>
      <c r="ID65" s="79"/>
      <c r="IE65" s="79"/>
      <c r="IF65" s="79"/>
      <c r="IG65" s="79"/>
      <c r="IH65" s="79"/>
      <c r="II65" s="79"/>
      <c r="IJ65" s="79"/>
      <c r="IK65" s="79"/>
      <c r="IL65" s="79"/>
      <c r="IM65" s="79"/>
      <c r="IN65" s="79"/>
      <c r="IO65" s="79"/>
      <c r="IP65" s="79"/>
      <c r="IQ65" s="79"/>
      <c r="IR65" s="79"/>
      <c r="IS65" s="79"/>
      <c r="IT65" s="79"/>
      <c r="IU65" s="79"/>
      <c r="IV65" s="79"/>
      <c r="IW65" s="79"/>
    </row>
    <row r="66" spans="2:257" s="15" customFormat="1" ht="14.4">
      <c r="B66" s="30">
        <f t="shared" si="149"/>
        <v>3.1599999999999966</v>
      </c>
      <c r="C66" s="38" t="s">
        <v>51</v>
      </c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79"/>
      <c r="BA66" s="79"/>
      <c r="BB66" s="79"/>
      <c r="BC66" s="79"/>
      <c r="BD66" s="79"/>
      <c r="BE66" s="79"/>
      <c r="BF66" s="79"/>
      <c r="BG66" s="79"/>
      <c r="BH66" s="79"/>
      <c r="BI66" s="79"/>
      <c r="BJ66" s="79"/>
      <c r="BK66" s="79"/>
      <c r="BL66" s="79"/>
      <c r="BM66" s="79"/>
      <c r="BN66" s="79"/>
      <c r="BO66" s="79"/>
      <c r="BP66" s="79"/>
      <c r="BQ66" s="79"/>
      <c r="BR66" s="79"/>
      <c r="BS66" s="79"/>
      <c r="BT66" s="79"/>
      <c r="BU66" s="79"/>
      <c r="BV66" s="79"/>
      <c r="BW66" s="79"/>
      <c r="BX66" s="79"/>
      <c r="BY66" s="79"/>
      <c r="BZ66" s="79"/>
      <c r="CA66" s="79"/>
      <c r="CB66" s="79"/>
      <c r="CC66" s="79"/>
      <c r="CD66" s="79"/>
      <c r="CE66" s="79"/>
      <c r="CF66" s="35"/>
      <c r="CG66" s="34"/>
      <c r="CH66" s="34"/>
      <c r="CI66" s="34"/>
      <c r="CJ66" s="34"/>
      <c r="CK66" s="34"/>
      <c r="CL66" s="34"/>
      <c r="CM66" s="34"/>
      <c r="CN66" s="34"/>
      <c r="CO66" s="35"/>
      <c r="CP66" s="35"/>
      <c r="CQ66" s="35"/>
      <c r="CR66" s="79"/>
      <c r="CS66" s="79"/>
      <c r="CT66" s="79"/>
      <c r="CU66" s="79"/>
      <c r="CV66" s="79"/>
      <c r="CW66" s="79"/>
      <c r="CX66" s="35"/>
      <c r="CY66" s="79"/>
      <c r="CZ66" s="79"/>
      <c r="DA66" s="73" t="s">
        <v>187</v>
      </c>
      <c r="DB66" s="73" t="s">
        <v>187</v>
      </c>
      <c r="DC66" s="73" t="s">
        <v>187</v>
      </c>
      <c r="DD66" s="73" t="s">
        <v>30</v>
      </c>
      <c r="DE66" s="73" t="s">
        <v>30</v>
      </c>
      <c r="DF66" s="73" t="s">
        <v>31</v>
      </c>
      <c r="DG66" s="73" t="s">
        <v>31</v>
      </c>
      <c r="DH66" s="73" t="s">
        <v>32</v>
      </c>
      <c r="DI66" s="73" t="s">
        <v>32</v>
      </c>
      <c r="DJ66" s="74" t="s">
        <v>188</v>
      </c>
      <c r="DK66" s="74" t="s">
        <v>188</v>
      </c>
      <c r="DL66" s="74" t="s">
        <v>189</v>
      </c>
      <c r="DM66" s="74" t="s">
        <v>189</v>
      </c>
      <c r="DN66" s="74" t="s">
        <v>190</v>
      </c>
      <c r="DO66" s="74" t="s">
        <v>190</v>
      </c>
      <c r="DP66" s="74" t="s">
        <v>191</v>
      </c>
      <c r="DQ66" s="74" t="s">
        <v>191</v>
      </c>
      <c r="DR66" s="75" t="s">
        <v>192</v>
      </c>
      <c r="DS66" s="75" t="s">
        <v>192</v>
      </c>
      <c r="DT66" s="75" t="s">
        <v>193</v>
      </c>
      <c r="DU66" s="75" t="s">
        <v>193</v>
      </c>
      <c r="DV66" s="75" t="s">
        <v>194</v>
      </c>
      <c r="DW66" s="75" t="s">
        <v>195</v>
      </c>
      <c r="DX66" s="76" t="s">
        <v>196</v>
      </c>
      <c r="DY66" s="76" t="s">
        <v>196</v>
      </c>
      <c r="DZ66" s="76" t="s">
        <v>197</v>
      </c>
      <c r="EA66" s="76" t="s">
        <v>197</v>
      </c>
      <c r="EB66" s="76" t="s">
        <v>198</v>
      </c>
      <c r="EC66" s="76" t="s">
        <v>199</v>
      </c>
      <c r="ED66" s="77" t="s">
        <v>33</v>
      </c>
      <c r="EE66" s="77" t="s">
        <v>34</v>
      </c>
      <c r="EF66" s="77" t="s">
        <v>35</v>
      </c>
      <c r="EG66" s="77" t="s">
        <v>35</v>
      </c>
      <c r="EH66" s="77" t="s">
        <v>36</v>
      </c>
      <c r="EI66" s="78" t="s">
        <v>200</v>
      </c>
      <c r="EJ66" s="78" t="s">
        <v>201</v>
      </c>
      <c r="EK66" s="78" t="s">
        <v>201</v>
      </c>
      <c r="EL66" s="78" t="s">
        <v>202</v>
      </c>
      <c r="EM66" s="78" t="s">
        <v>202</v>
      </c>
      <c r="EN66" s="78" t="s">
        <v>203</v>
      </c>
      <c r="EO66" s="78" t="s">
        <v>203</v>
      </c>
      <c r="EP66" s="79"/>
      <c r="EQ66" s="35"/>
      <c r="ER66" s="35"/>
      <c r="ES66" s="35"/>
      <c r="ET66" s="35"/>
      <c r="EU66" s="35"/>
      <c r="EV66" s="35"/>
      <c r="EW66" s="35"/>
      <c r="EX66" s="35"/>
      <c r="EY66" s="35"/>
      <c r="EZ66" s="35"/>
      <c r="FA66" s="35"/>
      <c r="FB66" s="35"/>
      <c r="FC66" s="35"/>
      <c r="FD66" s="35"/>
      <c r="FE66" s="35"/>
      <c r="FF66" s="35"/>
      <c r="FG66" s="35"/>
      <c r="FH66" s="35"/>
      <c r="FI66" s="35"/>
      <c r="FJ66" s="35"/>
      <c r="FK66" s="35"/>
      <c r="FL66" s="35"/>
      <c r="FM66" s="35"/>
      <c r="FN66" s="35"/>
      <c r="FO66" s="35"/>
      <c r="FP66" s="35"/>
      <c r="FQ66" s="35"/>
      <c r="FR66" s="35"/>
      <c r="FS66" s="35"/>
      <c r="FT66" s="35"/>
      <c r="FU66" s="35"/>
      <c r="FV66" s="35"/>
      <c r="FW66" s="35"/>
      <c r="FX66" s="35"/>
      <c r="FY66" s="35"/>
      <c r="FZ66" s="35"/>
      <c r="GA66" s="35"/>
      <c r="GB66" s="35"/>
      <c r="GC66" s="35"/>
      <c r="GD66" s="35"/>
      <c r="GE66" s="35"/>
      <c r="GF66" s="35"/>
      <c r="GG66" s="35"/>
      <c r="GH66" s="35"/>
      <c r="GI66" s="35"/>
      <c r="GJ66" s="35"/>
      <c r="GK66" s="35"/>
      <c r="GL66" s="35"/>
      <c r="GM66" s="35"/>
      <c r="GN66" s="35"/>
      <c r="GO66" s="35"/>
      <c r="GP66" s="35"/>
      <c r="GQ66" s="35"/>
      <c r="GR66" s="35"/>
      <c r="GS66" s="35"/>
      <c r="GT66" s="35"/>
      <c r="GU66" s="79"/>
      <c r="GV66" s="79"/>
      <c r="GW66" s="79"/>
      <c r="GX66" s="79"/>
      <c r="GY66" s="79"/>
      <c r="GZ66" s="79"/>
      <c r="HA66" s="79"/>
      <c r="HB66" s="79"/>
      <c r="HC66" s="79"/>
      <c r="HD66" s="79"/>
      <c r="HE66" s="79"/>
      <c r="HF66" s="79"/>
      <c r="HG66" s="79"/>
      <c r="HH66" s="79"/>
      <c r="HI66" s="79"/>
      <c r="HJ66" s="79"/>
      <c r="HK66" s="79"/>
      <c r="HL66" s="79"/>
      <c r="HM66" s="79"/>
      <c r="HN66" s="79"/>
      <c r="HO66" s="79"/>
      <c r="HP66" s="79"/>
      <c r="HQ66" s="79"/>
      <c r="HR66" s="79"/>
      <c r="HS66" s="79"/>
      <c r="HT66" s="79"/>
      <c r="HU66" s="79"/>
      <c r="HV66" s="79"/>
      <c r="HW66" s="79"/>
      <c r="HX66" s="79"/>
      <c r="HY66" s="79"/>
      <c r="HZ66" s="79"/>
      <c r="IA66" s="79"/>
      <c r="IB66" s="79"/>
      <c r="IC66" s="79"/>
      <c r="ID66" s="79"/>
      <c r="IE66" s="79"/>
      <c r="IF66" s="79"/>
      <c r="IG66" s="79"/>
      <c r="IH66" s="79"/>
      <c r="II66" s="79"/>
      <c r="IJ66" s="79"/>
      <c r="IK66" s="79"/>
      <c r="IL66" s="79"/>
      <c r="IM66" s="79"/>
      <c r="IN66" s="79"/>
      <c r="IO66" s="79"/>
      <c r="IP66" s="79"/>
      <c r="IQ66" s="79"/>
      <c r="IR66" s="79"/>
      <c r="IS66" s="79"/>
      <c r="IT66" s="79"/>
      <c r="IU66" s="79"/>
      <c r="IV66" s="79"/>
      <c r="IW66" s="79"/>
    </row>
    <row r="67" spans="2:257" s="15" customFormat="1" ht="14.4">
      <c r="B67" s="30">
        <f t="shared" si="149"/>
        <v>3.1699999999999964</v>
      </c>
      <c r="C67" s="38" t="s">
        <v>52</v>
      </c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79"/>
      <c r="BA67" s="79"/>
      <c r="BB67" s="79"/>
      <c r="BC67" s="79"/>
      <c r="BD67" s="79"/>
      <c r="BE67" s="79"/>
      <c r="BF67" s="79"/>
      <c r="BG67" s="79"/>
      <c r="BH67" s="79"/>
      <c r="BI67" s="79"/>
      <c r="BJ67" s="79"/>
      <c r="BK67" s="79"/>
      <c r="BL67" s="79"/>
      <c r="BM67" s="79"/>
      <c r="BN67" s="79"/>
      <c r="BO67" s="79"/>
      <c r="BP67" s="79"/>
      <c r="BQ67" s="79"/>
      <c r="BR67" s="79"/>
      <c r="BS67" s="79"/>
      <c r="BT67" s="79"/>
      <c r="BU67" s="79"/>
      <c r="BV67" s="79"/>
      <c r="BW67" s="79"/>
      <c r="BX67" s="79"/>
      <c r="BY67" s="79"/>
      <c r="BZ67" s="79"/>
      <c r="CA67" s="79"/>
      <c r="CB67" s="79"/>
      <c r="CC67" s="79"/>
      <c r="CD67" s="79"/>
      <c r="CE67" s="79"/>
      <c r="CF67" s="35"/>
      <c r="CG67" s="34"/>
      <c r="CH67" s="34"/>
      <c r="CI67" s="34"/>
      <c r="CJ67" s="34"/>
      <c r="CK67" s="34"/>
      <c r="CL67" s="34"/>
      <c r="CM67" s="34"/>
      <c r="CN67" s="34"/>
      <c r="CO67" s="35"/>
      <c r="CP67" s="35"/>
      <c r="CQ67" s="35"/>
      <c r="CR67" s="79"/>
      <c r="CS67" s="79"/>
      <c r="CT67" s="79"/>
      <c r="CU67" s="79"/>
      <c r="CV67" s="79"/>
      <c r="CW67" s="79"/>
      <c r="CX67" s="35"/>
      <c r="CY67" s="79"/>
      <c r="CZ67" s="79"/>
      <c r="DA67" s="73" t="s">
        <v>187</v>
      </c>
      <c r="DB67" s="73" t="s">
        <v>187</v>
      </c>
      <c r="DC67" s="73" t="s">
        <v>187</v>
      </c>
      <c r="DD67" s="73" t="s">
        <v>30</v>
      </c>
      <c r="DE67" s="73" t="s">
        <v>30</v>
      </c>
      <c r="DF67" s="73" t="s">
        <v>31</v>
      </c>
      <c r="DG67" s="73" t="s">
        <v>31</v>
      </c>
      <c r="DH67" s="73" t="s">
        <v>32</v>
      </c>
      <c r="DI67" s="73" t="s">
        <v>32</v>
      </c>
      <c r="DJ67" s="74" t="s">
        <v>188</v>
      </c>
      <c r="DK67" s="74" t="s">
        <v>188</v>
      </c>
      <c r="DL67" s="74" t="s">
        <v>189</v>
      </c>
      <c r="DM67" s="74" t="s">
        <v>189</v>
      </c>
      <c r="DN67" s="74" t="s">
        <v>190</v>
      </c>
      <c r="DO67" s="74" t="s">
        <v>190</v>
      </c>
      <c r="DP67" s="74" t="s">
        <v>191</v>
      </c>
      <c r="DQ67" s="74" t="s">
        <v>191</v>
      </c>
      <c r="DR67" s="75" t="s">
        <v>192</v>
      </c>
      <c r="DS67" s="75" t="s">
        <v>192</v>
      </c>
      <c r="DT67" s="75" t="s">
        <v>193</v>
      </c>
      <c r="DU67" s="75" t="s">
        <v>193</v>
      </c>
      <c r="DV67" s="75" t="s">
        <v>194</v>
      </c>
      <c r="DW67" s="75" t="s">
        <v>195</v>
      </c>
      <c r="DX67" s="76" t="s">
        <v>196</v>
      </c>
      <c r="DY67" s="76" t="s">
        <v>196</v>
      </c>
      <c r="DZ67" s="76" t="s">
        <v>197</v>
      </c>
      <c r="EA67" s="76" t="s">
        <v>197</v>
      </c>
      <c r="EB67" s="76" t="s">
        <v>198</v>
      </c>
      <c r="EC67" s="76" t="s">
        <v>199</v>
      </c>
      <c r="ED67" s="77" t="s">
        <v>33</v>
      </c>
      <c r="EE67" s="77" t="s">
        <v>34</v>
      </c>
      <c r="EF67" s="77" t="s">
        <v>35</v>
      </c>
      <c r="EG67" s="77" t="s">
        <v>35</v>
      </c>
      <c r="EH67" s="77" t="s">
        <v>36</v>
      </c>
      <c r="EI67" s="78" t="s">
        <v>200</v>
      </c>
      <c r="EJ67" s="78" t="s">
        <v>201</v>
      </c>
      <c r="EK67" s="78" t="s">
        <v>201</v>
      </c>
      <c r="EL67" s="78" t="s">
        <v>202</v>
      </c>
      <c r="EM67" s="78" t="s">
        <v>202</v>
      </c>
      <c r="EN67" s="78" t="s">
        <v>203</v>
      </c>
      <c r="EO67" s="78" t="s">
        <v>203</v>
      </c>
      <c r="EP67" s="79"/>
      <c r="EQ67" s="35"/>
      <c r="ER67" s="35"/>
      <c r="ES67" s="35"/>
      <c r="ET67" s="35"/>
      <c r="EU67" s="35"/>
      <c r="EV67" s="35"/>
      <c r="EW67" s="35"/>
      <c r="EX67" s="35"/>
      <c r="EY67" s="35"/>
      <c r="EZ67" s="35"/>
      <c r="FA67" s="35"/>
      <c r="FB67" s="35"/>
      <c r="FC67" s="35"/>
      <c r="FD67" s="35"/>
      <c r="FE67" s="35"/>
      <c r="FF67" s="35"/>
      <c r="FG67" s="35"/>
      <c r="FH67" s="35"/>
      <c r="FI67" s="35"/>
      <c r="FJ67" s="35"/>
      <c r="FK67" s="35"/>
      <c r="FL67" s="35"/>
      <c r="FM67" s="35"/>
      <c r="FN67" s="35"/>
      <c r="FO67" s="35"/>
      <c r="FP67" s="35"/>
      <c r="FQ67" s="35"/>
      <c r="FR67" s="35"/>
      <c r="FS67" s="35"/>
      <c r="FT67" s="35"/>
      <c r="FU67" s="35"/>
      <c r="FV67" s="35"/>
      <c r="FW67" s="35"/>
      <c r="FX67" s="35"/>
      <c r="FY67" s="35"/>
      <c r="FZ67" s="35"/>
      <c r="GA67" s="35"/>
      <c r="GB67" s="35"/>
      <c r="GC67" s="35"/>
      <c r="GD67" s="35"/>
      <c r="GE67" s="35"/>
      <c r="GF67" s="35"/>
      <c r="GG67" s="35"/>
      <c r="GH67" s="35"/>
      <c r="GI67" s="35"/>
      <c r="GJ67" s="35"/>
      <c r="GK67" s="35"/>
      <c r="GL67" s="35"/>
      <c r="GM67" s="35"/>
      <c r="GN67" s="35"/>
      <c r="GO67" s="35"/>
      <c r="GP67" s="35"/>
      <c r="GQ67" s="35"/>
      <c r="GR67" s="35"/>
      <c r="GS67" s="35"/>
      <c r="GT67" s="35"/>
      <c r="GU67" s="79"/>
      <c r="GV67" s="79"/>
      <c r="GW67" s="79"/>
      <c r="GX67" s="79"/>
      <c r="GY67" s="79"/>
      <c r="GZ67" s="79"/>
      <c r="HA67" s="79"/>
      <c r="HB67" s="79"/>
      <c r="HC67" s="79"/>
      <c r="HD67" s="79"/>
      <c r="HE67" s="79"/>
      <c r="HF67" s="79"/>
      <c r="HG67" s="79"/>
      <c r="HH67" s="79"/>
      <c r="HI67" s="79"/>
      <c r="HJ67" s="79"/>
      <c r="HK67" s="79"/>
      <c r="HL67" s="79"/>
      <c r="HM67" s="79"/>
      <c r="HN67" s="79"/>
      <c r="HO67" s="79"/>
      <c r="HP67" s="79"/>
      <c r="HQ67" s="79"/>
      <c r="HR67" s="79"/>
      <c r="HS67" s="79"/>
      <c r="HT67" s="79"/>
      <c r="HU67" s="79"/>
      <c r="HV67" s="79"/>
      <c r="HW67" s="79"/>
      <c r="HX67" s="79"/>
      <c r="HY67" s="79"/>
      <c r="HZ67" s="79"/>
      <c r="IA67" s="79"/>
      <c r="IB67" s="79"/>
      <c r="IC67" s="79"/>
      <c r="ID67" s="79"/>
      <c r="IE67" s="79"/>
      <c r="IF67" s="79"/>
      <c r="IG67" s="79"/>
      <c r="IH67" s="79"/>
      <c r="II67" s="79"/>
      <c r="IJ67" s="79"/>
      <c r="IK67" s="79"/>
      <c r="IL67" s="79"/>
      <c r="IM67" s="79"/>
      <c r="IN67" s="79"/>
      <c r="IO67" s="79"/>
      <c r="IP67" s="79"/>
      <c r="IQ67" s="79"/>
      <c r="IR67" s="79"/>
      <c r="IS67" s="79"/>
      <c r="IT67" s="79"/>
      <c r="IU67" s="79"/>
      <c r="IV67" s="79"/>
      <c r="IW67" s="79"/>
    </row>
    <row r="68" spans="2:257" s="27" customFormat="1" ht="14.4">
      <c r="B68" s="30">
        <f t="shared" si="149"/>
        <v>3.1799999999999962</v>
      </c>
      <c r="C68" s="38" t="s">
        <v>53</v>
      </c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79"/>
      <c r="BA68" s="79"/>
      <c r="BB68" s="79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35"/>
      <c r="CG68" s="34"/>
      <c r="CH68" s="34"/>
      <c r="CI68" s="34"/>
      <c r="CJ68" s="34"/>
      <c r="CK68" s="34"/>
      <c r="CL68" s="34"/>
      <c r="CM68" s="34"/>
      <c r="CN68" s="34"/>
      <c r="CO68" s="35"/>
      <c r="CP68" s="35"/>
      <c r="CQ68" s="35"/>
      <c r="CR68" s="83"/>
      <c r="CS68" s="83"/>
      <c r="CT68" s="83"/>
      <c r="CU68" s="83"/>
      <c r="CV68" s="79"/>
      <c r="CW68" s="83"/>
      <c r="CX68" s="35"/>
      <c r="CY68" s="83"/>
      <c r="CZ68" s="83"/>
      <c r="DA68" s="73" t="s">
        <v>187</v>
      </c>
      <c r="DB68" s="73" t="s">
        <v>187</v>
      </c>
      <c r="DC68" s="73" t="s">
        <v>187</v>
      </c>
      <c r="DD68" s="73" t="s">
        <v>30</v>
      </c>
      <c r="DE68" s="73" t="s">
        <v>30</v>
      </c>
      <c r="DF68" s="73" t="s">
        <v>31</v>
      </c>
      <c r="DG68" s="73" t="s">
        <v>31</v>
      </c>
      <c r="DH68" s="73" t="s">
        <v>32</v>
      </c>
      <c r="DI68" s="73" t="s">
        <v>32</v>
      </c>
      <c r="DJ68" s="74" t="s">
        <v>188</v>
      </c>
      <c r="DK68" s="74" t="s">
        <v>188</v>
      </c>
      <c r="DL68" s="74" t="s">
        <v>189</v>
      </c>
      <c r="DM68" s="74" t="s">
        <v>189</v>
      </c>
      <c r="DN68" s="74" t="s">
        <v>190</v>
      </c>
      <c r="DO68" s="74" t="s">
        <v>190</v>
      </c>
      <c r="DP68" s="74" t="s">
        <v>191</v>
      </c>
      <c r="DQ68" s="74" t="s">
        <v>191</v>
      </c>
      <c r="DR68" s="75" t="s">
        <v>192</v>
      </c>
      <c r="DS68" s="75" t="s">
        <v>192</v>
      </c>
      <c r="DT68" s="75" t="s">
        <v>193</v>
      </c>
      <c r="DU68" s="75" t="s">
        <v>193</v>
      </c>
      <c r="DV68" s="75" t="s">
        <v>194</v>
      </c>
      <c r="DW68" s="75" t="s">
        <v>195</v>
      </c>
      <c r="DX68" s="76" t="s">
        <v>196</v>
      </c>
      <c r="DY68" s="76" t="s">
        <v>196</v>
      </c>
      <c r="DZ68" s="76" t="s">
        <v>197</v>
      </c>
      <c r="EA68" s="76" t="s">
        <v>197</v>
      </c>
      <c r="EB68" s="76" t="s">
        <v>198</v>
      </c>
      <c r="EC68" s="76" t="s">
        <v>199</v>
      </c>
      <c r="ED68" s="77" t="s">
        <v>33</v>
      </c>
      <c r="EE68" s="77" t="s">
        <v>34</v>
      </c>
      <c r="EF68" s="77" t="s">
        <v>35</v>
      </c>
      <c r="EG68" s="77" t="s">
        <v>35</v>
      </c>
      <c r="EH68" s="77" t="s">
        <v>36</v>
      </c>
      <c r="EI68" s="78" t="s">
        <v>200</v>
      </c>
      <c r="EJ68" s="78" t="s">
        <v>201</v>
      </c>
      <c r="EK68" s="78" t="s">
        <v>201</v>
      </c>
      <c r="EL68" s="78" t="s">
        <v>202</v>
      </c>
      <c r="EM68" s="78" t="s">
        <v>202</v>
      </c>
      <c r="EN68" s="78" t="s">
        <v>203</v>
      </c>
      <c r="EO68" s="78" t="s">
        <v>203</v>
      </c>
      <c r="EP68" s="79"/>
      <c r="EQ68" s="35"/>
      <c r="ER68" s="35"/>
      <c r="ES68" s="35"/>
      <c r="ET68" s="35"/>
      <c r="EU68" s="35"/>
      <c r="EV68" s="35"/>
      <c r="EW68" s="35"/>
      <c r="EX68" s="35"/>
      <c r="EY68" s="35"/>
      <c r="EZ68" s="35"/>
      <c r="FA68" s="35"/>
      <c r="FB68" s="35"/>
      <c r="FC68" s="35"/>
      <c r="FD68" s="35"/>
      <c r="FE68" s="35"/>
      <c r="FF68" s="35"/>
      <c r="FG68" s="35"/>
      <c r="FH68" s="35"/>
      <c r="FI68" s="35"/>
      <c r="FJ68" s="35"/>
      <c r="FK68" s="35"/>
      <c r="FL68" s="35"/>
      <c r="FM68" s="35"/>
      <c r="FN68" s="35"/>
      <c r="FO68" s="35"/>
      <c r="FP68" s="35"/>
      <c r="FQ68" s="35"/>
      <c r="FR68" s="35"/>
      <c r="FS68" s="35"/>
      <c r="FT68" s="35"/>
      <c r="FU68" s="35"/>
      <c r="FV68" s="35"/>
      <c r="FW68" s="35"/>
      <c r="FX68" s="35"/>
      <c r="FY68" s="35"/>
      <c r="FZ68" s="35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  <c r="GL68" s="35"/>
      <c r="GM68" s="35"/>
      <c r="GN68" s="35"/>
      <c r="GO68" s="35"/>
      <c r="GP68" s="35"/>
      <c r="GQ68" s="35"/>
      <c r="GR68" s="35"/>
      <c r="GS68" s="35"/>
      <c r="GT68" s="35"/>
      <c r="GU68" s="83"/>
      <c r="GV68" s="83"/>
      <c r="GW68" s="83"/>
      <c r="GX68" s="83"/>
      <c r="GY68" s="83"/>
      <c r="GZ68" s="83"/>
      <c r="HA68" s="83"/>
      <c r="HB68" s="83"/>
      <c r="HC68" s="83"/>
      <c r="HD68" s="83"/>
      <c r="HE68" s="83"/>
      <c r="HF68" s="83"/>
      <c r="HG68" s="83"/>
      <c r="HH68" s="83"/>
      <c r="HI68" s="83"/>
      <c r="HJ68" s="83"/>
      <c r="HK68" s="83"/>
      <c r="HL68" s="83"/>
      <c r="HM68" s="83"/>
      <c r="HN68" s="83"/>
      <c r="HO68" s="83"/>
      <c r="HP68" s="83"/>
      <c r="HQ68" s="83"/>
      <c r="HR68" s="83"/>
      <c r="HS68" s="83"/>
      <c r="HT68" s="83"/>
      <c r="HU68" s="83"/>
      <c r="HV68" s="83"/>
      <c r="HW68" s="83"/>
      <c r="HX68" s="83"/>
      <c r="HY68" s="83"/>
      <c r="HZ68" s="83"/>
      <c r="IA68" s="83"/>
      <c r="IB68" s="83"/>
      <c r="IC68" s="83"/>
      <c r="ID68" s="83"/>
      <c r="IE68" s="83"/>
      <c r="IF68" s="83"/>
      <c r="IG68" s="83"/>
      <c r="IH68" s="83"/>
      <c r="II68" s="83"/>
      <c r="IJ68" s="83"/>
      <c r="IK68" s="83"/>
      <c r="IL68" s="83"/>
      <c r="IM68" s="83"/>
      <c r="IN68" s="83"/>
      <c r="IO68" s="83"/>
      <c r="IP68" s="83"/>
      <c r="IQ68" s="83"/>
      <c r="IR68" s="83"/>
      <c r="IS68" s="83"/>
      <c r="IT68" s="83"/>
      <c r="IU68" s="83"/>
      <c r="IV68" s="83"/>
      <c r="IW68" s="83"/>
    </row>
    <row r="69" spans="2:257" s="15" customFormat="1" ht="14.4">
      <c r="B69" s="30">
        <f t="shared" si="149"/>
        <v>3.1899999999999959</v>
      </c>
      <c r="C69" s="38" t="s">
        <v>54</v>
      </c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79"/>
      <c r="BA69" s="79"/>
      <c r="BB69" s="79"/>
      <c r="BC69" s="79"/>
      <c r="BD69" s="79"/>
      <c r="BE69" s="79"/>
      <c r="BF69" s="79"/>
      <c r="BG69" s="79"/>
      <c r="BH69" s="79"/>
      <c r="BI69" s="79"/>
      <c r="BJ69" s="79"/>
      <c r="BK69" s="79"/>
      <c r="BL69" s="79"/>
      <c r="BM69" s="79"/>
      <c r="BN69" s="79"/>
      <c r="BO69" s="79"/>
      <c r="BP69" s="79"/>
      <c r="BQ69" s="79"/>
      <c r="BR69" s="79"/>
      <c r="BS69" s="79"/>
      <c r="BT69" s="79"/>
      <c r="BU69" s="79"/>
      <c r="BV69" s="79"/>
      <c r="BW69" s="79"/>
      <c r="BX69" s="79"/>
      <c r="BY69" s="79"/>
      <c r="BZ69" s="79"/>
      <c r="CA69" s="79"/>
      <c r="CB69" s="79"/>
      <c r="CC69" s="79"/>
      <c r="CD69" s="79"/>
      <c r="CE69" s="79"/>
      <c r="CF69" s="35"/>
      <c r="CG69" s="34"/>
      <c r="CH69" s="34"/>
      <c r="CI69" s="34"/>
      <c r="CJ69" s="34"/>
      <c r="CK69" s="34"/>
      <c r="CL69" s="34"/>
      <c r="CM69" s="34"/>
      <c r="CN69" s="34"/>
      <c r="CO69" s="35"/>
      <c r="CP69" s="35"/>
      <c r="CQ69" s="35"/>
      <c r="CR69" s="79"/>
      <c r="CS69" s="79"/>
      <c r="CT69" s="79"/>
      <c r="CU69" s="79"/>
      <c r="CV69" s="79"/>
      <c r="CW69" s="79"/>
      <c r="CX69" s="35"/>
      <c r="CY69" s="79"/>
      <c r="CZ69" s="79"/>
      <c r="DA69" s="73" t="s">
        <v>187</v>
      </c>
      <c r="DB69" s="73" t="s">
        <v>187</v>
      </c>
      <c r="DC69" s="73" t="s">
        <v>187</v>
      </c>
      <c r="DD69" s="73" t="s">
        <v>30</v>
      </c>
      <c r="DE69" s="73" t="s">
        <v>30</v>
      </c>
      <c r="DF69" s="73" t="s">
        <v>31</v>
      </c>
      <c r="DG69" s="73" t="s">
        <v>31</v>
      </c>
      <c r="DH69" s="73" t="s">
        <v>32</v>
      </c>
      <c r="DI69" s="73" t="s">
        <v>32</v>
      </c>
      <c r="DJ69" s="74" t="s">
        <v>188</v>
      </c>
      <c r="DK69" s="74" t="s">
        <v>188</v>
      </c>
      <c r="DL69" s="74" t="s">
        <v>189</v>
      </c>
      <c r="DM69" s="74" t="s">
        <v>189</v>
      </c>
      <c r="DN69" s="74" t="s">
        <v>190</v>
      </c>
      <c r="DO69" s="74" t="s">
        <v>190</v>
      </c>
      <c r="DP69" s="74" t="s">
        <v>191</v>
      </c>
      <c r="DQ69" s="74" t="s">
        <v>191</v>
      </c>
      <c r="DR69" s="75" t="s">
        <v>192</v>
      </c>
      <c r="DS69" s="75" t="s">
        <v>192</v>
      </c>
      <c r="DT69" s="75" t="s">
        <v>193</v>
      </c>
      <c r="DU69" s="75" t="s">
        <v>193</v>
      </c>
      <c r="DV69" s="75" t="s">
        <v>194</v>
      </c>
      <c r="DW69" s="75" t="s">
        <v>195</v>
      </c>
      <c r="DX69" s="76" t="s">
        <v>196</v>
      </c>
      <c r="DY69" s="76" t="s">
        <v>196</v>
      </c>
      <c r="DZ69" s="76" t="s">
        <v>197</v>
      </c>
      <c r="EA69" s="76" t="s">
        <v>197</v>
      </c>
      <c r="EB69" s="76" t="s">
        <v>198</v>
      </c>
      <c r="EC69" s="76" t="s">
        <v>199</v>
      </c>
      <c r="ED69" s="77" t="s">
        <v>33</v>
      </c>
      <c r="EE69" s="77" t="s">
        <v>34</v>
      </c>
      <c r="EF69" s="77" t="s">
        <v>35</v>
      </c>
      <c r="EG69" s="77" t="s">
        <v>35</v>
      </c>
      <c r="EH69" s="77" t="s">
        <v>36</v>
      </c>
      <c r="EI69" s="78" t="s">
        <v>200</v>
      </c>
      <c r="EJ69" s="78" t="s">
        <v>201</v>
      </c>
      <c r="EK69" s="78" t="s">
        <v>201</v>
      </c>
      <c r="EL69" s="78" t="s">
        <v>202</v>
      </c>
      <c r="EM69" s="78" t="s">
        <v>202</v>
      </c>
      <c r="EN69" s="78" t="s">
        <v>203</v>
      </c>
      <c r="EO69" s="78" t="s">
        <v>203</v>
      </c>
      <c r="EP69" s="79"/>
      <c r="EQ69" s="35"/>
      <c r="ER69" s="35"/>
      <c r="ES69" s="35"/>
      <c r="ET69" s="35"/>
      <c r="EU69" s="35"/>
      <c r="EV69" s="35"/>
      <c r="EW69" s="35"/>
      <c r="EX69" s="35"/>
      <c r="EY69" s="35"/>
      <c r="EZ69" s="35"/>
      <c r="FA69" s="35"/>
      <c r="FB69" s="35"/>
      <c r="FC69" s="35"/>
      <c r="FD69" s="35"/>
      <c r="FE69" s="35"/>
      <c r="FF69" s="35"/>
      <c r="FG69" s="35"/>
      <c r="FH69" s="35"/>
      <c r="FI69" s="35"/>
      <c r="FJ69" s="35"/>
      <c r="FK69" s="35"/>
      <c r="FL69" s="35"/>
      <c r="FM69" s="35"/>
      <c r="FN69" s="35"/>
      <c r="FO69" s="35"/>
      <c r="FP69" s="35"/>
      <c r="FQ69" s="35"/>
      <c r="FR69" s="35"/>
      <c r="FS69" s="35"/>
      <c r="FT69" s="35"/>
      <c r="FU69" s="35"/>
      <c r="FV69" s="35"/>
      <c r="FW69" s="35"/>
      <c r="FX69" s="35"/>
      <c r="FY69" s="35"/>
      <c r="FZ69" s="35"/>
      <c r="GA69" s="35"/>
      <c r="GB69" s="35"/>
      <c r="GC69" s="35"/>
      <c r="GD69" s="35"/>
      <c r="GE69" s="35"/>
      <c r="GF69" s="35"/>
      <c r="GG69" s="35"/>
      <c r="GH69" s="35"/>
      <c r="GI69" s="35"/>
      <c r="GJ69" s="35"/>
      <c r="GK69" s="35"/>
      <c r="GL69" s="35"/>
      <c r="GM69" s="35"/>
      <c r="GN69" s="35"/>
      <c r="GO69" s="35"/>
      <c r="GP69" s="35"/>
      <c r="GQ69" s="35"/>
      <c r="GR69" s="35"/>
      <c r="GS69" s="35"/>
      <c r="GT69" s="35"/>
      <c r="GU69" s="79"/>
      <c r="GV69" s="79"/>
      <c r="GW69" s="79"/>
      <c r="GX69" s="79"/>
      <c r="GY69" s="79"/>
      <c r="GZ69" s="79"/>
      <c r="HA69" s="79"/>
      <c r="HB69" s="79"/>
      <c r="HC69" s="79"/>
      <c r="HD69" s="79"/>
      <c r="HE69" s="79"/>
      <c r="HF69" s="79"/>
      <c r="HG69" s="79"/>
      <c r="HH69" s="79"/>
      <c r="HI69" s="79"/>
      <c r="HJ69" s="79"/>
      <c r="HK69" s="79"/>
      <c r="HL69" s="79"/>
      <c r="HM69" s="79"/>
      <c r="HN69" s="79"/>
      <c r="HO69" s="79"/>
      <c r="HP69" s="79"/>
      <c r="HQ69" s="79"/>
      <c r="HR69" s="79"/>
      <c r="HS69" s="79"/>
      <c r="HT69" s="79"/>
      <c r="HU69" s="79"/>
      <c r="HV69" s="79"/>
      <c r="HW69" s="79"/>
      <c r="HX69" s="79"/>
      <c r="HY69" s="79"/>
      <c r="HZ69" s="79"/>
      <c r="IA69" s="79"/>
      <c r="IB69" s="79"/>
      <c r="IC69" s="79"/>
      <c r="ID69" s="79"/>
      <c r="IE69" s="79"/>
      <c r="IF69" s="79"/>
      <c r="IG69" s="79"/>
      <c r="IH69" s="79"/>
      <c r="II69" s="79"/>
      <c r="IJ69" s="79"/>
      <c r="IK69" s="79"/>
      <c r="IL69" s="79"/>
      <c r="IM69" s="79"/>
      <c r="IN69" s="79"/>
      <c r="IO69" s="79"/>
      <c r="IP69" s="79"/>
      <c r="IQ69" s="79"/>
      <c r="IR69" s="79"/>
      <c r="IS69" s="79"/>
      <c r="IT69" s="79"/>
      <c r="IU69" s="79"/>
      <c r="IV69" s="79"/>
      <c r="IW69" s="79"/>
    </row>
    <row r="70" spans="2:257" s="27" customFormat="1" ht="14.4">
      <c r="B70" s="30">
        <f t="shared" si="149"/>
        <v>3.1999999999999957</v>
      </c>
      <c r="C70" s="38" t="s">
        <v>55</v>
      </c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79"/>
      <c r="BA70" s="79"/>
      <c r="BB70" s="79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83"/>
      <c r="BT70" s="83"/>
      <c r="BU70" s="83"/>
      <c r="BV70" s="83"/>
      <c r="BW70" s="83"/>
      <c r="BX70" s="83"/>
      <c r="BY70" s="83"/>
      <c r="BZ70" s="83"/>
      <c r="CA70" s="83"/>
      <c r="CB70" s="83"/>
      <c r="CC70" s="83"/>
      <c r="CD70" s="83"/>
      <c r="CE70" s="83"/>
      <c r="CF70" s="35"/>
      <c r="CG70" s="34"/>
      <c r="CH70" s="34"/>
      <c r="CI70" s="34"/>
      <c r="CJ70" s="34"/>
      <c r="CK70" s="34"/>
      <c r="CL70" s="34"/>
      <c r="CM70" s="34"/>
      <c r="CN70" s="34"/>
      <c r="CO70" s="35"/>
      <c r="CP70" s="35"/>
      <c r="CQ70" s="35"/>
      <c r="CR70" s="83"/>
      <c r="CS70" s="83"/>
      <c r="CT70" s="83"/>
      <c r="CU70" s="83"/>
      <c r="CV70" s="79"/>
      <c r="CW70" s="83"/>
      <c r="CX70" s="35"/>
      <c r="CY70" s="83"/>
      <c r="CZ70" s="83"/>
      <c r="DA70" s="83"/>
      <c r="DB70" s="83"/>
      <c r="DC70" s="83"/>
      <c r="DD70" s="73" t="s">
        <v>187</v>
      </c>
      <c r="DE70" s="73" t="s">
        <v>187</v>
      </c>
      <c r="DF70" s="73" t="s">
        <v>30</v>
      </c>
      <c r="DG70" s="73" t="s">
        <v>30</v>
      </c>
      <c r="DH70" s="73" t="s">
        <v>31</v>
      </c>
      <c r="DI70" s="73" t="s">
        <v>31</v>
      </c>
      <c r="DJ70" s="73" t="s">
        <v>32</v>
      </c>
      <c r="DK70" s="73" t="s">
        <v>32</v>
      </c>
      <c r="DL70" s="74" t="s">
        <v>188</v>
      </c>
      <c r="DM70" s="74" t="s">
        <v>188</v>
      </c>
      <c r="DN70" s="74" t="s">
        <v>189</v>
      </c>
      <c r="DO70" s="74" t="s">
        <v>189</v>
      </c>
      <c r="DP70" s="74" t="s">
        <v>190</v>
      </c>
      <c r="DQ70" s="74" t="s">
        <v>190</v>
      </c>
      <c r="DR70" s="74" t="s">
        <v>191</v>
      </c>
      <c r="DS70" s="74" t="s">
        <v>191</v>
      </c>
      <c r="DT70" s="75" t="s">
        <v>192</v>
      </c>
      <c r="DU70" s="75" t="s">
        <v>192</v>
      </c>
      <c r="DV70" s="75" t="s">
        <v>193</v>
      </c>
      <c r="DW70" s="75" t="s">
        <v>194</v>
      </c>
      <c r="DX70" s="75" t="s">
        <v>195</v>
      </c>
      <c r="DY70" s="75" t="s">
        <v>195</v>
      </c>
      <c r="DZ70" s="76" t="s">
        <v>196</v>
      </c>
      <c r="EA70" s="76" t="s">
        <v>196</v>
      </c>
      <c r="EB70" s="76" t="s">
        <v>197</v>
      </c>
      <c r="EC70" s="76" t="s">
        <v>198</v>
      </c>
      <c r="ED70" s="76" t="s">
        <v>199</v>
      </c>
      <c r="EE70" s="77" t="s">
        <v>33</v>
      </c>
      <c r="EF70" s="77" t="s">
        <v>34</v>
      </c>
      <c r="EG70" s="77" t="s">
        <v>34</v>
      </c>
      <c r="EH70" s="77" t="s">
        <v>35</v>
      </c>
      <c r="EI70" s="77" t="s">
        <v>36</v>
      </c>
      <c r="EJ70" s="78" t="s">
        <v>200</v>
      </c>
      <c r="EK70" s="78" t="s">
        <v>200</v>
      </c>
      <c r="EL70" s="78" t="s">
        <v>201</v>
      </c>
      <c r="EM70" s="78" t="s">
        <v>201</v>
      </c>
      <c r="EN70" s="78" t="s">
        <v>202</v>
      </c>
      <c r="EO70" s="78" t="s">
        <v>203</v>
      </c>
      <c r="EP70" s="78" t="s">
        <v>203</v>
      </c>
      <c r="EQ70" s="35"/>
      <c r="ER70" s="35"/>
      <c r="ES70" s="35"/>
      <c r="ET70" s="35"/>
      <c r="EU70" s="35"/>
      <c r="EV70" s="35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  <c r="FN70" s="35"/>
      <c r="FO70" s="35"/>
      <c r="FP70" s="35"/>
      <c r="FQ70" s="35"/>
      <c r="FR70" s="35"/>
      <c r="FS70" s="35"/>
      <c r="FT70" s="35"/>
      <c r="FU70" s="35"/>
      <c r="FV70" s="35"/>
      <c r="FW70" s="35"/>
      <c r="FX70" s="35"/>
      <c r="FY70" s="35"/>
      <c r="FZ70" s="35"/>
      <c r="GA70" s="35"/>
      <c r="GB70" s="35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83"/>
      <c r="GV70" s="83"/>
      <c r="GW70" s="83"/>
      <c r="GX70" s="83"/>
      <c r="GY70" s="83"/>
      <c r="GZ70" s="83"/>
      <c r="HA70" s="83"/>
      <c r="HB70" s="83"/>
      <c r="HC70" s="83"/>
      <c r="HD70" s="83"/>
      <c r="HE70" s="83"/>
      <c r="HF70" s="83"/>
      <c r="HG70" s="83"/>
      <c r="HH70" s="83"/>
      <c r="HI70" s="83"/>
      <c r="HJ70" s="83"/>
      <c r="HK70" s="83"/>
      <c r="HL70" s="83"/>
      <c r="HM70" s="83"/>
      <c r="HN70" s="83"/>
      <c r="HO70" s="83"/>
      <c r="HP70" s="83"/>
      <c r="HQ70" s="83"/>
      <c r="HR70" s="83"/>
      <c r="HS70" s="83"/>
      <c r="HT70" s="83"/>
      <c r="HU70" s="83"/>
      <c r="HV70" s="83"/>
      <c r="HW70" s="83"/>
      <c r="HX70" s="83"/>
      <c r="HY70" s="83"/>
      <c r="HZ70" s="83"/>
      <c r="IA70" s="83"/>
      <c r="IB70" s="83"/>
      <c r="IC70" s="83"/>
      <c r="ID70" s="83"/>
      <c r="IE70" s="83"/>
      <c r="IF70" s="83"/>
      <c r="IG70" s="83"/>
      <c r="IH70" s="83"/>
      <c r="II70" s="83"/>
      <c r="IJ70" s="83"/>
      <c r="IK70" s="83"/>
      <c r="IL70" s="83"/>
      <c r="IM70" s="83"/>
      <c r="IN70" s="83"/>
      <c r="IO70" s="83"/>
      <c r="IP70" s="83"/>
      <c r="IQ70" s="83"/>
      <c r="IR70" s="83"/>
      <c r="IS70" s="83"/>
      <c r="IT70" s="83"/>
      <c r="IU70" s="83"/>
      <c r="IV70" s="83"/>
      <c r="IW70" s="83"/>
    </row>
    <row r="71" spans="2:257" s="15" customFormat="1" ht="14.4">
      <c r="B71" s="30">
        <f t="shared" si="149"/>
        <v>3.2099999999999955</v>
      </c>
      <c r="C71" s="38" t="s">
        <v>56</v>
      </c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79"/>
      <c r="BA71" s="79"/>
      <c r="BB71" s="79"/>
      <c r="BC71" s="79"/>
      <c r="BD71" s="79"/>
      <c r="BE71" s="79"/>
      <c r="BF71" s="79"/>
      <c r="BG71" s="79"/>
      <c r="BH71" s="79"/>
      <c r="BI71" s="79"/>
      <c r="BJ71" s="79"/>
      <c r="BK71" s="79"/>
      <c r="BL71" s="79"/>
      <c r="BM71" s="79"/>
      <c r="BN71" s="79"/>
      <c r="BO71" s="79"/>
      <c r="BP71" s="79"/>
      <c r="BQ71" s="79"/>
      <c r="BR71" s="79"/>
      <c r="BS71" s="79"/>
      <c r="BT71" s="79"/>
      <c r="BU71" s="79"/>
      <c r="BV71" s="79"/>
      <c r="BW71" s="79"/>
      <c r="BX71" s="79"/>
      <c r="BY71" s="79"/>
      <c r="BZ71" s="79"/>
      <c r="CA71" s="79"/>
      <c r="CB71" s="79"/>
      <c r="CC71" s="79"/>
      <c r="CD71" s="79"/>
      <c r="CE71" s="79"/>
      <c r="CF71" s="35"/>
      <c r="CG71" s="34"/>
      <c r="CH71" s="34"/>
      <c r="CI71" s="34"/>
      <c r="CJ71" s="34"/>
      <c r="CK71" s="34"/>
      <c r="CL71" s="34"/>
      <c r="CM71" s="34"/>
      <c r="CN71" s="34"/>
      <c r="CO71" s="35"/>
      <c r="CP71" s="35"/>
      <c r="CQ71" s="35"/>
      <c r="CR71" s="79"/>
      <c r="CS71" s="79"/>
      <c r="CT71" s="79"/>
      <c r="CU71" s="79"/>
      <c r="CV71" s="79"/>
      <c r="CW71" s="79"/>
      <c r="CX71" s="35"/>
      <c r="CY71" s="79"/>
      <c r="CZ71" s="79"/>
      <c r="DA71" s="79"/>
      <c r="DB71" s="79"/>
      <c r="DC71" s="79"/>
      <c r="DD71" s="79"/>
      <c r="DE71" s="79"/>
      <c r="DF71" s="73" t="s">
        <v>187</v>
      </c>
      <c r="DG71" s="73" t="s">
        <v>187</v>
      </c>
      <c r="DH71" s="73" t="s">
        <v>30</v>
      </c>
      <c r="DI71" s="73" t="s">
        <v>30</v>
      </c>
      <c r="DJ71" s="73" t="s">
        <v>31</v>
      </c>
      <c r="DK71" s="73" t="s">
        <v>31</v>
      </c>
      <c r="DL71" s="73" t="s">
        <v>32</v>
      </c>
      <c r="DM71" s="73" t="s">
        <v>32</v>
      </c>
      <c r="DN71" s="74" t="s">
        <v>188</v>
      </c>
      <c r="DO71" s="74" t="s">
        <v>188</v>
      </c>
      <c r="DP71" s="74" t="s">
        <v>189</v>
      </c>
      <c r="DQ71" s="74" t="s">
        <v>189</v>
      </c>
      <c r="DR71" s="74" t="s">
        <v>190</v>
      </c>
      <c r="DS71" s="74" t="s">
        <v>190</v>
      </c>
      <c r="DT71" s="74" t="s">
        <v>191</v>
      </c>
      <c r="DU71" s="74" t="s">
        <v>191</v>
      </c>
      <c r="DV71" s="75" t="s">
        <v>192</v>
      </c>
      <c r="DW71" s="75" t="s">
        <v>193</v>
      </c>
      <c r="DX71" s="75" t="s">
        <v>194</v>
      </c>
      <c r="DY71" s="75" t="s">
        <v>194</v>
      </c>
      <c r="DZ71" s="75" t="s">
        <v>195</v>
      </c>
      <c r="EA71" s="75" t="s">
        <v>195</v>
      </c>
      <c r="EB71" s="76" t="s">
        <v>196</v>
      </c>
      <c r="EC71" s="76" t="s">
        <v>197</v>
      </c>
      <c r="ED71" s="76" t="s">
        <v>198</v>
      </c>
      <c r="EE71" s="76" t="s">
        <v>199</v>
      </c>
      <c r="EF71" s="77" t="s">
        <v>33</v>
      </c>
      <c r="EG71" s="77" t="s">
        <v>33</v>
      </c>
      <c r="EH71" s="77" t="s">
        <v>34</v>
      </c>
      <c r="EI71" s="77" t="s">
        <v>35</v>
      </c>
      <c r="EJ71" s="77" t="s">
        <v>36</v>
      </c>
      <c r="EK71" s="77" t="s">
        <v>36</v>
      </c>
      <c r="EL71" s="78" t="s">
        <v>200</v>
      </c>
      <c r="EM71" s="78" t="s">
        <v>200</v>
      </c>
      <c r="EN71" s="78" t="s">
        <v>201</v>
      </c>
      <c r="EO71" s="78" t="s">
        <v>202</v>
      </c>
      <c r="EP71" s="78" t="s">
        <v>202</v>
      </c>
      <c r="EQ71" s="59" t="s">
        <v>203</v>
      </c>
      <c r="ER71" s="35"/>
      <c r="ES71" s="79"/>
      <c r="ET71" s="35"/>
      <c r="EU71" s="35"/>
      <c r="EV71" s="35"/>
      <c r="EW71" s="35"/>
      <c r="EX71" s="35"/>
      <c r="EY71" s="35"/>
      <c r="EZ71" s="35"/>
      <c r="FA71" s="35"/>
      <c r="FB71" s="35"/>
      <c r="FC71" s="35"/>
      <c r="FD71" s="35"/>
      <c r="FE71" s="35"/>
      <c r="FF71" s="35"/>
      <c r="FG71" s="35"/>
      <c r="FH71" s="35"/>
      <c r="FI71" s="35"/>
      <c r="FJ71" s="35"/>
      <c r="FK71" s="35"/>
      <c r="FL71" s="35"/>
      <c r="FM71" s="35"/>
      <c r="FN71" s="35"/>
      <c r="FO71" s="35"/>
      <c r="FP71" s="35"/>
      <c r="FQ71" s="35"/>
      <c r="FR71" s="35"/>
      <c r="FS71" s="35"/>
      <c r="FT71" s="35"/>
      <c r="FU71" s="35"/>
      <c r="FV71" s="35"/>
      <c r="FW71" s="35"/>
      <c r="FX71" s="35"/>
      <c r="FY71" s="35"/>
      <c r="FZ71" s="35"/>
      <c r="GA71" s="35"/>
      <c r="GB71" s="35"/>
      <c r="GC71" s="35"/>
      <c r="GD71" s="35"/>
      <c r="GE71" s="35"/>
      <c r="GF71" s="35"/>
      <c r="GG71" s="35"/>
      <c r="GH71" s="35"/>
      <c r="GI71" s="35"/>
      <c r="GJ71" s="35"/>
      <c r="GK71" s="35"/>
      <c r="GL71" s="35"/>
      <c r="GM71" s="35"/>
      <c r="GN71" s="35"/>
      <c r="GO71" s="35"/>
      <c r="GP71" s="35"/>
      <c r="GQ71" s="35"/>
      <c r="GR71" s="35"/>
      <c r="GS71" s="35"/>
      <c r="GT71" s="79"/>
      <c r="GU71" s="79"/>
      <c r="GV71" s="79"/>
      <c r="GW71" s="79"/>
      <c r="GX71" s="79"/>
      <c r="GY71" s="79"/>
      <c r="GZ71" s="79"/>
      <c r="HA71" s="79"/>
      <c r="HB71" s="79"/>
      <c r="HC71" s="79"/>
      <c r="HD71" s="79"/>
      <c r="HE71" s="79"/>
      <c r="HF71" s="79"/>
      <c r="HG71" s="79"/>
      <c r="HH71" s="79"/>
      <c r="HI71" s="79"/>
      <c r="HJ71" s="79"/>
      <c r="HK71" s="79"/>
      <c r="HL71" s="79"/>
      <c r="HM71" s="79"/>
      <c r="HN71" s="79"/>
      <c r="HO71" s="79"/>
      <c r="HP71" s="79"/>
      <c r="HQ71" s="79"/>
      <c r="HR71" s="79"/>
      <c r="HS71" s="79"/>
      <c r="HT71" s="79"/>
      <c r="HU71" s="79"/>
      <c r="HV71" s="79"/>
      <c r="HW71" s="79"/>
      <c r="HX71" s="79"/>
      <c r="HY71" s="79"/>
      <c r="HZ71" s="79"/>
      <c r="IA71" s="79"/>
      <c r="IB71" s="79"/>
      <c r="IC71" s="79"/>
      <c r="ID71" s="79"/>
      <c r="IE71" s="79"/>
      <c r="IF71" s="79"/>
      <c r="IG71" s="79"/>
      <c r="IH71" s="79"/>
      <c r="II71" s="79"/>
      <c r="IJ71" s="79"/>
      <c r="IK71" s="79"/>
      <c r="IL71" s="79"/>
      <c r="IM71" s="79"/>
      <c r="IN71" s="79"/>
      <c r="IO71" s="79"/>
      <c r="IP71" s="79"/>
      <c r="IQ71" s="79"/>
      <c r="IR71" s="79"/>
      <c r="IS71" s="79"/>
      <c r="IT71" s="79"/>
      <c r="IU71" s="79"/>
      <c r="IV71" s="79"/>
      <c r="IW71" s="79"/>
    </row>
    <row r="72" spans="2:257" s="15" customFormat="1" ht="15" thickBot="1">
      <c r="B72" s="30">
        <f t="shared" si="149"/>
        <v>3.2199999999999953</v>
      </c>
      <c r="C72" s="39" t="s">
        <v>50</v>
      </c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79"/>
      <c r="BA72" s="79"/>
      <c r="BB72" s="79"/>
      <c r="BC72" s="79"/>
      <c r="BD72" s="79"/>
      <c r="BE72" s="79"/>
      <c r="BF72" s="79"/>
      <c r="BG72" s="79"/>
      <c r="BH72" s="79"/>
      <c r="BI72" s="79"/>
      <c r="BJ72" s="79"/>
      <c r="BK72" s="79"/>
      <c r="BL72" s="79"/>
      <c r="BM72" s="79"/>
      <c r="BN72" s="79"/>
      <c r="BO72" s="79"/>
      <c r="BP72" s="79"/>
      <c r="BQ72" s="79"/>
      <c r="BR72" s="79"/>
      <c r="BS72" s="79"/>
      <c r="BT72" s="79"/>
      <c r="BU72" s="79"/>
      <c r="BV72" s="79"/>
      <c r="BW72" s="79"/>
      <c r="BX72" s="79"/>
      <c r="BY72" s="79"/>
      <c r="BZ72" s="79"/>
      <c r="CA72" s="79"/>
      <c r="CB72" s="79"/>
      <c r="CC72" s="79"/>
      <c r="CD72" s="79"/>
      <c r="CE72" s="79"/>
      <c r="CF72" s="35"/>
      <c r="CG72" s="34"/>
      <c r="CH72" s="34"/>
      <c r="CI72" s="34"/>
      <c r="CJ72" s="34"/>
      <c r="CK72" s="34"/>
      <c r="CL72" s="34"/>
      <c r="CM72" s="34"/>
      <c r="CN72" s="34"/>
      <c r="CO72" s="35"/>
      <c r="CP72" s="35"/>
      <c r="CQ72" s="35"/>
      <c r="CR72" s="79"/>
      <c r="CS72" s="79"/>
      <c r="CT72" s="79"/>
      <c r="CU72" s="79"/>
      <c r="CV72" s="79"/>
      <c r="CW72" s="79"/>
      <c r="CX72" s="35"/>
      <c r="CY72" s="79"/>
      <c r="CZ72" s="79"/>
      <c r="DA72" s="79"/>
      <c r="DB72" s="79"/>
      <c r="DC72" s="79"/>
      <c r="DD72" s="79"/>
      <c r="DE72" s="79"/>
      <c r="DF72" s="73" t="s">
        <v>187</v>
      </c>
      <c r="DG72" s="73" t="s">
        <v>187</v>
      </c>
      <c r="DH72" s="73" t="s">
        <v>30</v>
      </c>
      <c r="DI72" s="73" t="s">
        <v>30</v>
      </c>
      <c r="DJ72" s="73" t="s">
        <v>31</v>
      </c>
      <c r="DK72" s="73" t="s">
        <v>31</v>
      </c>
      <c r="DL72" s="73" t="s">
        <v>32</v>
      </c>
      <c r="DM72" s="73" t="s">
        <v>32</v>
      </c>
      <c r="DN72" s="74" t="s">
        <v>188</v>
      </c>
      <c r="DO72" s="74" t="s">
        <v>188</v>
      </c>
      <c r="DP72" s="74" t="s">
        <v>189</v>
      </c>
      <c r="DQ72" s="74" t="s">
        <v>189</v>
      </c>
      <c r="DR72" s="74" t="s">
        <v>190</v>
      </c>
      <c r="DS72" s="74" t="s">
        <v>190</v>
      </c>
      <c r="DT72" s="74" t="s">
        <v>191</v>
      </c>
      <c r="DU72" s="74" t="s">
        <v>191</v>
      </c>
      <c r="DV72" s="75" t="s">
        <v>192</v>
      </c>
      <c r="DW72" s="75" t="s">
        <v>193</v>
      </c>
      <c r="DX72" s="75" t="s">
        <v>194</v>
      </c>
      <c r="DY72" s="75" t="s">
        <v>194</v>
      </c>
      <c r="DZ72" s="75" t="s">
        <v>195</v>
      </c>
      <c r="EA72" s="75" t="s">
        <v>195</v>
      </c>
      <c r="EB72" s="76" t="s">
        <v>196</v>
      </c>
      <c r="EC72" s="76" t="s">
        <v>197</v>
      </c>
      <c r="ED72" s="76" t="s">
        <v>198</v>
      </c>
      <c r="EE72" s="76" t="s">
        <v>199</v>
      </c>
      <c r="EF72" s="77" t="s">
        <v>33</v>
      </c>
      <c r="EG72" s="77" t="s">
        <v>33</v>
      </c>
      <c r="EH72" s="77" t="s">
        <v>34</v>
      </c>
      <c r="EI72" s="77" t="s">
        <v>35</v>
      </c>
      <c r="EJ72" s="77" t="s">
        <v>36</v>
      </c>
      <c r="EK72" s="77" t="s">
        <v>36</v>
      </c>
      <c r="EL72" s="78" t="s">
        <v>200</v>
      </c>
      <c r="EM72" s="78" t="s">
        <v>200</v>
      </c>
      <c r="EN72" s="78" t="s">
        <v>201</v>
      </c>
      <c r="EO72" s="78" t="s">
        <v>202</v>
      </c>
      <c r="EP72" s="78" t="s">
        <v>202</v>
      </c>
      <c r="EQ72" s="59" t="s">
        <v>203</v>
      </c>
      <c r="ER72" s="35"/>
      <c r="ES72" s="79"/>
      <c r="ET72" s="35"/>
      <c r="EU72" s="35"/>
      <c r="EV72" s="35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  <c r="FN72" s="35"/>
      <c r="FO72" s="35"/>
      <c r="FP72" s="35"/>
      <c r="FQ72" s="35"/>
      <c r="FR72" s="35"/>
      <c r="FS72" s="35"/>
      <c r="FT72" s="35"/>
      <c r="FU72" s="35"/>
      <c r="FV72" s="35"/>
      <c r="FW72" s="35"/>
      <c r="FX72" s="35"/>
      <c r="FY72" s="35"/>
      <c r="FZ72" s="35"/>
      <c r="GA72" s="35"/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  <c r="GT72" s="79"/>
      <c r="GU72" s="79"/>
      <c r="GV72" s="79"/>
      <c r="GW72" s="79"/>
      <c r="GX72" s="79"/>
      <c r="GY72" s="79"/>
      <c r="GZ72" s="79"/>
      <c r="HA72" s="79"/>
      <c r="HB72" s="79"/>
      <c r="HC72" s="79"/>
      <c r="HD72" s="79"/>
      <c r="HE72" s="79"/>
      <c r="HF72" s="79"/>
      <c r="HG72" s="79"/>
      <c r="HH72" s="79"/>
      <c r="HI72" s="79"/>
      <c r="HJ72" s="79"/>
      <c r="HK72" s="79"/>
      <c r="HL72" s="79"/>
      <c r="HM72" s="79"/>
      <c r="HN72" s="79"/>
      <c r="HO72" s="79"/>
      <c r="HP72" s="79"/>
      <c r="HQ72" s="79"/>
      <c r="HR72" s="79"/>
      <c r="HS72" s="79"/>
      <c r="HT72" s="79"/>
      <c r="HU72" s="79"/>
      <c r="HV72" s="79"/>
      <c r="HW72" s="79"/>
      <c r="HX72" s="79"/>
      <c r="HY72" s="79"/>
      <c r="HZ72" s="79"/>
      <c r="IA72" s="79"/>
      <c r="IB72" s="79"/>
      <c r="IC72" s="79"/>
      <c r="ID72" s="79"/>
      <c r="IE72" s="79"/>
      <c r="IF72" s="79"/>
      <c r="IG72" s="79"/>
      <c r="IH72" s="79"/>
      <c r="II72" s="79"/>
      <c r="IJ72" s="79"/>
      <c r="IK72" s="79"/>
      <c r="IL72" s="79"/>
      <c r="IM72" s="79"/>
      <c r="IN72" s="79"/>
      <c r="IO72" s="79"/>
      <c r="IP72" s="79"/>
      <c r="IQ72" s="79"/>
      <c r="IR72" s="79"/>
      <c r="IS72" s="79"/>
      <c r="IT72" s="79"/>
      <c r="IU72" s="79"/>
      <c r="IV72" s="79"/>
      <c r="IW72" s="79"/>
    </row>
    <row r="73" spans="2:257" s="15" customFormat="1" ht="15" thickBot="1">
      <c r="B73" s="30">
        <v>4</v>
      </c>
      <c r="C73" s="33" t="s">
        <v>57</v>
      </c>
      <c r="D73" s="34"/>
      <c r="E73" s="34"/>
      <c r="F73" s="34"/>
      <c r="G73" s="34"/>
      <c r="H73" s="34"/>
      <c r="I73" s="34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79"/>
      <c r="BD73" s="79"/>
      <c r="BE73" s="79"/>
      <c r="BF73" s="79"/>
      <c r="BG73" s="79"/>
      <c r="BH73" s="79"/>
      <c r="BI73" s="79"/>
      <c r="BJ73" s="79"/>
      <c r="BK73" s="79"/>
      <c r="BL73" s="79"/>
      <c r="BM73" s="79"/>
      <c r="BN73" s="79"/>
      <c r="BO73" s="79"/>
      <c r="BP73" s="79"/>
      <c r="BQ73" s="79"/>
      <c r="BR73" s="79"/>
      <c r="BS73" s="79"/>
      <c r="BT73" s="79"/>
      <c r="BU73" s="79"/>
      <c r="BV73" s="79"/>
      <c r="BW73" s="79"/>
      <c r="BX73" s="79"/>
      <c r="BY73" s="79"/>
      <c r="BZ73" s="79"/>
      <c r="CA73" s="79"/>
      <c r="CB73" s="79"/>
      <c r="CC73" s="79"/>
      <c r="CD73" s="79"/>
      <c r="CE73" s="79"/>
      <c r="CF73" s="35"/>
      <c r="CG73" s="34"/>
      <c r="CH73" s="34"/>
      <c r="CI73" s="34"/>
      <c r="CJ73" s="34"/>
      <c r="CK73" s="34"/>
      <c r="CL73" s="34"/>
      <c r="CM73" s="34"/>
      <c r="CN73" s="34"/>
      <c r="CO73" s="35"/>
      <c r="CP73" s="35"/>
      <c r="CQ73" s="35"/>
      <c r="CR73" s="79"/>
      <c r="CS73" s="79"/>
      <c r="CT73" s="79"/>
      <c r="CU73" s="79"/>
      <c r="CV73" s="35"/>
      <c r="CW73" s="35"/>
      <c r="CX73" s="35"/>
      <c r="CY73" s="35"/>
      <c r="CZ73" s="35"/>
      <c r="DA73" s="35"/>
      <c r="DB73" s="35"/>
      <c r="DC73" s="79"/>
      <c r="DD73" s="79"/>
      <c r="DE73" s="79"/>
      <c r="DF73" s="79"/>
      <c r="DG73" s="79"/>
      <c r="DH73" s="79"/>
      <c r="DI73" s="79"/>
      <c r="DJ73" s="79"/>
      <c r="DK73" s="79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  <c r="ER73" s="35"/>
      <c r="ES73" s="79"/>
      <c r="ET73" s="35"/>
      <c r="EU73" s="35"/>
      <c r="EV73" s="35"/>
      <c r="EW73" s="35"/>
      <c r="EX73" s="35"/>
      <c r="EY73" s="35"/>
      <c r="EZ73" s="35"/>
      <c r="FA73" s="35"/>
      <c r="FB73" s="35"/>
      <c r="FC73" s="35"/>
      <c r="FD73" s="35"/>
      <c r="FE73" s="35"/>
      <c r="FF73" s="35"/>
      <c r="FG73" s="35"/>
      <c r="FH73" s="35"/>
      <c r="FI73" s="35"/>
      <c r="FJ73" s="35"/>
      <c r="FK73" s="35"/>
      <c r="FL73" s="35"/>
      <c r="FM73" s="35"/>
      <c r="FN73" s="35"/>
      <c r="FO73" s="35"/>
      <c r="FP73" s="35"/>
      <c r="FQ73" s="35"/>
      <c r="FR73" s="35"/>
      <c r="FS73" s="35"/>
      <c r="FT73" s="35"/>
      <c r="FU73" s="35"/>
      <c r="FV73" s="35"/>
      <c r="FW73" s="35"/>
      <c r="FX73" s="35"/>
      <c r="FY73" s="35"/>
      <c r="FZ73" s="35"/>
      <c r="GA73" s="35"/>
      <c r="GB73" s="35"/>
      <c r="GC73" s="35"/>
      <c r="GD73" s="35"/>
      <c r="GE73" s="35"/>
      <c r="GF73" s="35"/>
      <c r="GG73" s="35"/>
      <c r="GH73" s="35"/>
      <c r="GI73" s="35"/>
      <c r="GJ73" s="35"/>
      <c r="GK73" s="35"/>
      <c r="GL73" s="35"/>
      <c r="GM73" s="35"/>
      <c r="GN73" s="35"/>
      <c r="GO73" s="35"/>
      <c r="GP73" s="35"/>
      <c r="GQ73" s="35"/>
      <c r="GR73" s="35"/>
      <c r="GS73" s="35"/>
      <c r="GT73" s="79"/>
      <c r="GU73" s="79"/>
      <c r="GV73" s="79"/>
      <c r="GW73" s="79"/>
      <c r="GX73" s="79"/>
      <c r="GY73" s="79"/>
      <c r="GZ73" s="79"/>
      <c r="HA73" s="79"/>
      <c r="HB73" s="79"/>
      <c r="HC73" s="79"/>
      <c r="HD73" s="79"/>
      <c r="HE73" s="79"/>
      <c r="HF73" s="79"/>
      <c r="HG73" s="79"/>
      <c r="HH73" s="79"/>
      <c r="HI73" s="79"/>
      <c r="HJ73" s="79"/>
      <c r="HK73" s="79"/>
      <c r="HL73" s="79"/>
      <c r="HM73" s="79"/>
      <c r="HN73" s="79"/>
      <c r="HO73" s="79"/>
      <c r="HP73" s="79"/>
      <c r="HQ73" s="79"/>
      <c r="HR73" s="79"/>
      <c r="HS73" s="79"/>
      <c r="HT73" s="79"/>
      <c r="HU73" s="79"/>
      <c r="HV73" s="79"/>
      <c r="HW73" s="79"/>
      <c r="HX73" s="79"/>
      <c r="HY73" s="79"/>
      <c r="HZ73" s="79"/>
      <c r="IA73" s="79"/>
      <c r="IB73" s="79"/>
      <c r="IC73" s="79"/>
      <c r="ID73" s="79"/>
      <c r="IE73" s="79"/>
      <c r="IF73" s="79"/>
      <c r="IG73" s="79"/>
      <c r="IH73" s="79"/>
      <c r="II73" s="79"/>
      <c r="IJ73" s="79"/>
      <c r="IK73" s="79"/>
      <c r="IL73" s="79"/>
      <c r="IM73" s="79"/>
      <c r="IN73" s="79"/>
      <c r="IO73" s="79"/>
      <c r="IP73" s="79"/>
      <c r="IQ73" s="79"/>
      <c r="IR73" s="79"/>
      <c r="IS73" s="79"/>
      <c r="IT73" s="79"/>
      <c r="IU73" s="79"/>
      <c r="IV73" s="79"/>
      <c r="IW73" s="79"/>
    </row>
    <row r="74" spans="2:257" s="15" customFormat="1" ht="14.4">
      <c r="B74" s="30">
        <f t="shared" si="149"/>
        <v>4.01</v>
      </c>
      <c r="C74" s="37" t="s">
        <v>58</v>
      </c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79"/>
      <c r="BD74" s="79"/>
      <c r="BE74" s="79"/>
      <c r="BF74" s="79"/>
      <c r="BG74" s="79"/>
      <c r="BH74" s="79"/>
      <c r="BI74" s="79"/>
      <c r="BJ74" s="79"/>
      <c r="BK74" s="79"/>
      <c r="BL74" s="79"/>
      <c r="BM74" s="79"/>
      <c r="BN74" s="79"/>
      <c r="BO74" s="79"/>
      <c r="BP74" s="79"/>
      <c r="BQ74" s="79"/>
      <c r="BR74" s="79"/>
      <c r="BS74" s="79"/>
      <c r="BT74" s="79"/>
      <c r="BU74" s="79"/>
      <c r="BV74" s="79"/>
      <c r="BW74" s="79"/>
      <c r="BX74" s="79"/>
      <c r="BY74" s="79"/>
      <c r="BZ74" s="79"/>
      <c r="CA74" s="79"/>
      <c r="CB74" s="79"/>
      <c r="CC74" s="79"/>
      <c r="CD74" s="79"/>
      <c r="CE74" s="79"/>
      <c r="CF74" s="35"/>
      <c r="CG74" s="34"/>
      <c r="CH74" s="34"/>
      <c r="CI74" s="34"/>
      <c r="CJ74" s="34"/>
      <c r="CK74" s="34"/>
      <c r="CL74" s="34"/>
      <c r="CM74" s="34"/>
      <c r="CN74" s="34"/>
      <c r="CO74" s="35"/>
      <c r="CP74" s="35"/>
      <c r="CQ74" s="35"/>
      <c r="CR74" s="79"/>
      <c r="CS74" s="79"/>
      <c r="CT74" s="79"/>
      <c r="CU74" s="79"/>
      <c r="CV74" s="35"/>
      <c r="CW74" s="35"/>
      <c r="CX74" s="35"/>
      <c r="CY74" s="35"/>
      <c r="CZ74" s="35"/>
      <c r="DA74" s="35"/>
      <c r="DB74" s="35"/>
      <c r="DC74" s="79"/>
      <c r="DD74" s="79"/>
      <c r="DE74" s="79"/>
      <c r="DF74" s="79"/>
      <c r="DG74" s="79"/>
      <c r="DH74" s="79"/>
      <c r="DI74" s="79"/>
      <c r="DJ74" s="79"/>
      <c r="DK74" s="79"/>
      <c r="DL74" s="55" t="s">
        <v>187</v>
      </c>
      <c r="DM74" s="55" t="s">
        <v>187</v>
      </c>
      <c r="DN74" s="55" t="s">
        <v>30</v>
      </c>
      <c r="DO74" s="55" t="s">
        <v>30</v>
      </c>
      <c r="DP74" s="55" t="s">
        <v>31</v>
      </c>
      <c r="DQ74" s="55" t="s">
        <v>31</v>
      </c>
      <c r="DR74" s="55" t="s">
        <v>32</v>
      </c>
      <c r="DS74" s="55" t="s">
        <v>32</v>
      </c>
      <c r="DT74" s="56" t="s">
        <v>188</v>
      </c>
      <c r="DU74" s="56" t="s">
        <v>188</v>
      </c>
      <c r="DV74" s="56" t="s">
        <v>189</v>
      </c>
      <c r="DW74" s="56" t="s">
        <v>190</v>
      </c>
      <c r="DX74" s="56" t="s">
        <v>191</v>
      </c>
      <c r="DY74" s="56" t="s">
        <v>191</v>
      </c>
      <c r="DZ74" s="57" t="s">
        <v>192</v>
      </c>
      <c r="EA74" s="57" t="s">
        <v>192</v>
      </c>
      <c r="EB74" s="57" t="s">
        <v>193</v>
      </c>
      <c r="EC74" s="57" t="s">
        <v>194</v>
      </c>
      <c r="ED74" s="57" t="s">
        <v>195</v>
      </c>
      <c r="EE74" s="58" t="s">
        <v>196</v>
      </c>
      <c r="EF74" s="58" t="s">
        <v>197</v>
      </c>
      <c r="EG74" s="58" t="s">
        <v>197</v>
      </c>
      <c r="EH74" s="58" t="s">
        <v>198</v>
      </c>
      <c r="EI74" s="58" t="s">
        <v>199</v>
      </c>
      <c r="EJ74" s="42" t="s">
        <v>33</v>
      </c>
      <c r="EK74" s="42" t="s">
        <v>33</v>
      </c>
      <c r="EL74" s="42" t="s">
        <v>34</v>
      </c>
      <c r="EM74" s="42" t="s">
        <v>34</v>
      </c>
      <c r="EN74" s="42" t="s">
        <v>35</v>
      </c>
      <c r="EO74" s="42" t="s">
        <v>36</v>
      </c>
      <c r="EP74" s="42" t="s">
        <v>36</v>
      </c>
      <c r="EQ74" s="59" t="s">
        <v>200</v>
      </c>
      <c r="ER74" s="59" t="s">
        <v>201</v>
      </c>
      <c r="ES74" s="59" t="s">
        <v>201</v>
      </c>
      <c r="ET74" s="35"/>
      <c r="EU74" s="59" t="s">
        <v>202</v>
      </c>
      <c r="EV74" s="59" t="s">
        <v>203</v>
      </c>
      <c r="EW74" s="59" t="s">
        <v>203</v>
      </c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  <c r="FS74" s="3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79"/>
      <c r="GU74" s="79"/>
      <c r="GV74" s="79"/>
      <c r="GW74" s="79"/>
      <c r="GX74" s="79"/>
      <c r="GY74" s="79"/>
      <c r="GZ74" s="79"/>
      <c r="HA74" s="79"/>
      <c r="HB74" s="79"/>
      <c r="HC74" s="79"/>
      <c r="HD74" s="79"/>
      <c r="HE74" s="79"/>
      <c r="HF74" s="79"/>
      <c r="HG74" s="79"/>
      <c r="HH74" s="79"/>
      <c r="HI74" s="79"/>
      <c r="HJ74" s="79"/>
      <c r="HK74" s="79"/>
      <c r="HL74" s="79"/>
      <c r="HM74" s="79"/>
      <c r="HN74" s="79"/>
      <c r="HO74" s="79"/>
      <c r="HP74" s="79"/>
      <c r="HQ74" s="79"/>
      <c r="HR74" s="79"/>
      <c r="HS74" s="79"/>
      <c r="HT74" s="79"/>
      <c r="HU74" s="79"/>
      <c r="HV74" s="79"/>
      <c r="HW74" s="79"/>
      <c r="HX74" s="79"/>
      <c r="HY74" s="79"/>
      <c r="HZ74" s="79"/>
      <c r="IA74" s="79"/>
      <c r="IB74" s="79"/>
      <c r="IC74" s="79"/>
      <c r="ID74" s="79"/>
      <c r="IE74" s="79"/>
      <c r="IF74" s="79"/>
      <c r="IG74" s="79"/>
      <c r="IH74" s="79"/>
      <c r="II74" s="79"/>
      <c r="IJ74" s="79"/>
      <c r="IK74" s="79"/>
      <c r="IL74" s="79"/>
      <c r="IM74" s="79"/>
      <c r="IN74" s="79"/>
      <c r="IO74" s="79"/>
      <c r="IP74" s="79"/>
      <c r="IQ74" s="79"/>
      <c r="IR74" s="79"/>
      <c r="IS74" s="79"/>
      <c r="IT74" s="79"/>
      <c r="IU74" s="79"/>
      <c r="IV74" s="79"/>
      <c r="IW74" s="79"/>
    </row>
    <row r="75" spans="2:257" s="15" customFormat="1" ht="14.4">
      <c r="B75" s="30">
        <f t="shared" si="149"/>
        <v>4.0199999999999996</v>
      </c>
      <c r="C75" s="38" t="s">
        <v>59</v>
      </c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79"/>
      <c r="BD75" s="79"/>
      <c r="BE75" s="79"/>
      <c r="BF75" s="79"/>
      <c r="BG75" s="79"/>
      <c r="BH75" s="79"/>
      <c r="BI75" s="79"/>
      <c r="BJ75" s="79"/>
      <c r="BK75" s="79"/>
      <c r="BL75" s="79"/>
      <c r="BM75" s="79"/>
      <c r="BN75" s="79"/>
      <c r="BO75" s="79"/>
      <c r="BP75" s="79"/>
      <c r="BQ75" s="79"/>
      <c r="BR75" s="79"/>
      <c r="BS75" s="79"/>
      <c r="BT75" s="79"/>
      <c r="BU75" s="79"/>
      <c r="BV75" s="79"/>
      <c r="BW75" s="79"/>
      <c r="BX75" s="79"/>
      <c r="BY75" s="79"/>
      <c r="BZ75" s="79"/>
      <c r="CA75" s="79"/>
      <c r="CB75" s="79"/>
      <c r="CC75" s="79"/>
      <c r="CD75" s="79"/>
      <c r="CE75" s="79"/>
      <c r="CF75" s="35"/>
      <c r="CG75" s="34"/>
      <c r="CH75" s="34"/>
      <c r="CI75" s="34"/>
      <c r="CJ75" s="34"/>
      <c r="CK75" s="34"/>
      <c r="CL75" s="34"/>
      <c r="CM75" s="34"/>
      <c r="CN75" s="34"/>
      <c r="CO75" s="35"/>
      <c r="CP75" s="35"/>
      <c r="CQ75" s="35"/>
      <c r="CR75" s="79"/>
      <c r="CS75" s="79"/>
      <c r="CT75" s="79"/>
      <c r="CU75" s="79"/>
      <c r="CV75" s="35"/>
      <c r="CW75" s="35"/>
      <c r="CX75" s="35"/>
      <c r="CY75" s="35"/>
      <c r="CZ75" s="35"/>
      <c r="DA75" s="35"/>
      <c r="DB75" s="35"/>
      <c r="DC75" s="79"/>
      <c r="DD75" s="79"/>
      <c r="DE75" s="79"/>
      <c r="DF75" s="79"/>
      <c r="DG75" s="79"/>
      <c r="DH75" s="79"/>
      <c r="DI75" s="79"/>
      <c r="DJ75" s="79"/>
      <c r="DK75" s="79"/>
      <c r="DL75" s="55" t="s">
        <v>187</v>
      </c>
      <c r="DM75" s="55" t="s">
        <v>187</v>
      </c>
      <c r="DN75" s="55" t="s">
        <v>30</v>
      </c>
      <c r="DO75" s="55" t="s">
        <v>30</v>
      </c>
      <c r="DP75" s="55" t="s">
        <v>31</v>
      </c>
      <c r="DQ75" s="55" t="s">
        <v>31</v>
      </c>
      <c r="DR75" s="55" t="s">
        <v>32</v>
      </c>
      <c r="DS75" s="55" t="s">
        <v>32</v>
      </c>
      <c r="DT75" s="56" t="s">
        <v>188</v>
      </c>
      <c r="DU75" s="56" t="s">
        <v>188</v>
      </c>
      <c r="DV75" s="56" t="s">
        <v>189</v>
      </c>
      <c r="DW75" s="56" t="s">
        <v>190</v>
      </c>
      <c r="DX75" s="56" t="s">
        <v>191</v>
      </c>
      <c r="DY75" s="56" t="s">
        <v>191</v>
      </c>
      <c r="DZ75" s="57" t="s">
        <v>192</v>
      </c>
      <c r="EA75" s="57" t="s">
        <v>192</v>
      </c>
      <c r="EB75" s="57" t="s">
        <v>193</v>
      </c>
      <c r="EC75" s="57" t="s">
        <v>194</v>
      </c>
      <c r="ED75" s="57" t="s">
        <v>195</v>
      </c>
      <c r="EE75" s="58" t="s">
        <v>196</v>
      </c>
      <c r="EF75" s="58" t="s">
        <v>197</v>
      </c>
      <c r="EG75" s="58" t="s">
        <v>197</v>
      </c>
      <c r="EH75" s="58" t="s">
        <v>198</v>
      </c>
      <c r="EI75" s="58" t="s">
        <v>199</v>
      </c>
      <c r="EJ75" s="42" t="s">
        <v>33</v>
      </c>
      <c r="EK75" s="42" t="s">
        <v>33</v>
      </c>
      <c r="EL75" s="42" t="s">
        <v>34</v>
      </c>
      <c r="EM75" s="42" t="s">
        <v>34</v>
      </c>
      <c r="EN75" s="42" t="s">
        <v>35</v>
      </c>
      <c r="EO75" s="42" t="s">
        <v>36</v>
      </c>
      <c r="EP75" s="42" t="s">
        <v>36</v>
      </c>
      <c r="EQ75" s="59" t="s">
        <v>200</v>
      </c>
      <c r="ER75" s="59" t="s">
        <v>201</v>
      </c>
      <c r="ES75" s="59" t="s">
        <v>201</v>
      </c>
      <c r="ET75" s="35"/>
      <c r="EU75" s="59" t="s">
        <v>202</v>
      </c>
      <c r="EV75" s="59" t="s">
        <v>203</v>
      </c>
      <c r="EW75" s="59" t="s">
        <v>203</v>
      </c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  <c r="FS75" s="3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79"/>
      <c r="GU75" s="79"/>
      <c r="GV75" s="79"/>
      <c r="GW75" s="79"/>
      <c r="GX75" s="79"/>
      <c r="GY75" s="79"/>
      <c r="GZ75" s="79"/>
      <c r="HA75" s="79"/>
      <c r="HB75" s="79"/>
      <c r="HC75" s="79"/>
      <c r="HD75" s="79"/>
      <c r="HE75" s="79"/>
      <c r="HF75" s="79"/>
      <c r="HG75" s="79"/>
      <c r="HH75" s="79"/>
      <c r="HI75" s="79"/>
      <c r="HJ75" s="79"/>
      <c r="HK75" s="79"/>
      <c r="HL75" s="79"/>
      <c r="HM75" s="79"/>
      <c r="HN75" s="79"/>
      <c r="HO75" s="79"/>
      <c r="HP75" s="79"/>
      <c r="HQ75" s="79"/>
      <c r="HR75" s="79"/>
      <c r="HS75" s="79"/>
      <c r="HT75" s="79"/>
      <c r="HU75" s="79"/>
      <c r="HV75" s="79"/>
      <c r="HW75" s="79"/>
      <c r="HX75" s="79"/>
      <c r="HY75" s="79"/>
      <c r="HZ75" s="79"/>
      <c r="IA75" s="79"/>
      <c r="IB75" s="79"/>
      <c r="IC75" s="79"/>
      <c r="ID75" s="79"/>
      <c r="IE75" s="79"/>
      <c r="IF75" s="79"/>
      <c r="IG75" s="79"/>
      <c r="IH75" s="79"/>
      <c r="II75" s="79"/>
      <c r="IJ75" s="79"/>
      <c r="IK75" s="79"/>
      <c r="IL75" s="79"/>
      <c r="IM75" s="79"/>
      <c r="IN75" s="79"/>
      <c r="IO75" s="79"/>
      <c r="IP75" s="79"/>
      <c r="IQ75" s="79"/>
      <c r="IR75" s="79"/>
      <c r="IS75" s="79"/>
      <c r="IT75" s="79"/>
      <c r="IU75" s="79"/>
      <c r="IV75" s="79"/>
      <c r="IW75" s="79"/>
    </row>
    <row r="76" spans="2:257" s="15" customFormat="1" ht="14.4">
      <c r="B76" s="30">
        <f t="shared" si="149"/>
        <v>4.0299999999999994</v>
      </c>
      <c r="C76" s="37" t="s">
        <v>60</v>
      </c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79"/>
      <c r="BD76" s="79"/>
      <c r="BE76" s="79"/>
      <c r="BF76" s="79"/>
      <c r="BG76" s="79"/>
      <c r="BH76" s="79"/>
      <c r="BI76" s="79"/>
      <c r="BJ76" s="79"/>
      <c r="BK76" s="79"/>
      <c r="BL76" s="79"/>
      <c r="BM76" s="79"/>
      <c r="BN76" s="79"/>
      <c r="BO76" s="79"/>
      <c r="BP76" s="79"/>
      <c r="BQ76" s="79"/>
      <c r="BR76" s="79"/>
      <c r="BS76" s="79"/>
      <c r="BT76" s="79"/>
      <c r="BU76" s="79"/>
      <c r="BV76" s="79"/>
      <c r="BW76" s="79"/>
      <c r="BX76" s="79"/>
      <c r="BY76" s="79"/>
      <c r="BZ76" s="79"/>
      <c r="CA76" s="79"/>
      <c r="CB76" s="79"/>
      <c r="CC76" s="79"/>
      <c r="CD76" s="79"/>
      <c r="CE76" s="79"/>
      <c r="CF76" s="35"/>
      <c r="CG76" s="34"/>
      <c r="CH76" s="34"/>
      <c r="CI76" s="34"/>
      <c r="CJ76" s="34"/>
      <c r="CK76" s="34"/>
      <c r="CL76" s="34"/>
      <c r="CM76" s="34"/>
      <c r="CN76" s="34"/>
      <c r="CO76" s="35"/>
      <c r="CP76" s="35"/>
      <c r="CQ76" s="35"/>
      <c r="CR76" s="79"/>
      <c r="CS76" s="79"/>
      <c r="CT76" s="79"/>
      <c r="CU76" s="79"/>
      <c r="CV76" s="35"/>
      <c r="CW76" s="35"/>
      <c r="CX76" s="35"/>
      <c r="CY76" s="35"/>
      <c r="CZ76" s="35"/>
      <c r="DA76" s="35"/>
      <c r="DB76" s="35"/>
      <c r="DC76" s="79"/>
      <c r="DD76" s="79"/>
      <c r="DE76" s="79"/>
      <c r="DF76" s="79"/>
      <c r="DG76" s="79"/>
      <c r="DH76" s="79"/>
      <c r="DI76" s="79"/>
      <c r="DJ76" s="79"/>
      <c r="DK76" s="79"/>
      <c r="DL76" s="55" t="s">
        <v>187</v>
      </c>
      <c r="DM76" s="55" t="s">
        <v>187</v>
      </c>
      <c r="DN76" s="55" t="s">
        <v>30</v>
      </c>
      <c r="DO76" s="55" t="s">
        <v>30</v>
      </c>
      <c r="DP76" s="55" t="s">
        <v>31</v>
      </c>
      <c r="DQ76" s="55" t="s">
        <v>31</v>
      </c>
      <c r="DR76" s="55" t="s">
        <v>32</v>
      </c>
      <c r="DS76" s="55" t="s">
        <v>32</v>
      </c>
      <c r="DT76" s="56" t="s">
        <v>188</v>
      </c>
      <c r="DU76" s="56" t="s">
        <v>188</v>
      </c>
      <c r="DV76" s="56" t="s">
        <v>189</v>
      </c>
      <c r="DW76" s="56" t="s">
        <v>190</v>
      </c>
      <c r="DX76" s="56" t="s">
        <v>191</v>
      </c>
      <c r="DY76" s="56" t="s">
        <v>191</v>
      </c>
      <c r="DZ76" s="57" t="s">
        <v>192</v>
      </c>
      <c r="EA76" s="57" t="s">
        <v>192</v>
      </c>
      <c r="EB76" s="57" t="s">
        <v>193</v>
      </c>
      <c r="EC76" s="57" t="s">
        <v>194</v>
      </c>
      <c r="ED76" s="57" t="s">
        <v>195</v>
      </c>
      <c r="EE76" s="58" t="s">
        <v>196</v>
      </c>
      <c r="EF76" s="58" t="s">
        <v>197</v>
      </c>
      <c r="EG76" s="58" t="s">
        <v>197</v>
      </c>
      <c r="EH76" s="58" t="s">
        <v>198</v>
      </c>
      <c r="EI76" s="58" t="s">
        <v>199</v>
      </c>
      <c r="EJ76" s="42" t="s">
        <v>33</v>
      </c>
      <c r="EK76" s="42" t="s">
        <v>33</v>
      </c>
      <c r="EL76" s="42" t="s">
        <v>34</v>
      </c>
      <c r="EM76" s="42" t="s">
        <v>34</v>
      </c>
      <c r="EN76" s="42" t="s">
        <v>35</v>
      </c>
      <c r="EO76" s="42" t="s">
        <v>36</v>
      </c>
      <c r="EP76" s="42" t="s">
        <v>36</v>
      </c>
      <c r="EQ76" s="59" t="s">
        <v>200</v>
      </c>
      <c r="ER76" s="59" t="s">
        <v>201</v>
      </c>
      <c r="ES76" s="59" t="s">
        <v>201</v>
      </c>
      <c r="ET76" s="35"/>
      <c r="EU76" s="59" t="s">
        <v>202</v>
      </c>
      <c r="EV76" s="59" t="s">
        <v>203</v>
      </c>
      <c r="EW76" s="59" t="s">
        <v>203</v>
      </c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  <c r="FS76" s="3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79"/>
      <c r="GU76" s="79"/>
      <c r="GV76" s="79"/>
      <c r="GW76" s="79"/>
      <c r="GX76" s="79"/>
      <c r="GY76" s="79"/>
      <c r="GZ76" s="79"/>
      <c r="HA76" s="79"/>
      <c r="HB76" s="79"/>
      <c r="HC76" s="79"/>
      <c r="HD76" s="79"/>
      <c r="HE76" s="79"/>
      <c r="HF76" s="79"/>
      <c r="HG76" s="79"/>
      <c r="HH76" s="79"/>
      <c r="HI76" s="79"/>
      <c r="HJ76" s="79"/>
      <c r="HK76" s="79"/>
      <c r="HL76" s="79"/>
      <c r="HM76" s="79"/>
      <c r="HN76" s="79"/>
      <c r="HO76" s="79"/>
      <c r="HP76" s="79"/>
      <c r="HQ76" s="79"/>
      <c r="HR76" s="79"/>
      <c r="HS76" s="79"/>
      <c r="HT76" s="79"/>
      <c r="HU76" s="79"/>
      <c r="HV76" s="79"/>
      <c r="HW76" s="79"/>
      <c r="HX76" s="79"/>
      <c r="HY76" s="79"/>
      <c r="HZ76" s="79"/>
      <c r="IA76" s="79"/>
      <c r="IB76" s="79"/>
      <c r="IC76" s="79"/>
      <c r="ID76" s="79"/>
      <c r="IE76" s="79"/>
      <c r="IF76" s="79"/>
      <c r="IG76" s="79"/>
      <c r="IH76" s="79"/>
      <c r="II76" s="79"/>
      <c r="IJ76" s="79"/>
      <c r="IK76" s="79"/>
      <c r="IL76" s="79"/>
      <c r="IM76" s="79"/>
      <c r="IN76" s="79"/>
      <c r="IO76" s="79"/>
      <c r="IP76" s="79"/>
      <c r="IQ76" s="79"/>
      <c r="IR76" s="79"/>
      <c r="IS76" s="79"/>
      <c r="IT76" s="79"/>
      <c r="IU76" s="79"/>
      <c r="IV76" s="79"/>
      <c r="IW76" s="79"/>
    </row>
    <row r="77" spans="2:257" s="15" customFormat="1" ht="14.4">
      <c r="B77" s="30">
        <f t="shared" si="149"/>
        <v>4.0399999999999991</v>
      </c>
      <c r="C77" s="37" t="s">
        <v>61</v>
      </c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79"/>
      <c r="BD77" s="79"/>
      <c r="BE77" s="79"/>
      <c r="BF77" s="79"/>
      <c r="BG77" s="79"/>
      <c r="BH77" s="79"/>
      <c r="BI77" s="79"/>
      <c r="BJ77" s="79"/>
      <c r="BK77" s="79"/>
      <c r="BL77" s="79"/>
      <c r="BM77" s="79"/>
      <c r="BN77" s="79"/>
      <c r="BO77" s="79"/>
      <c r="BP77" s="79"/>
      <c r="BQ77" s="79"/>
      <c r="BR77" s="79"/>
      <c r="BS77" s="79"/>
      <c r="BT77" s="79"/>
      <c r="BU77" s="79"/>
      <c r="BV77" s="79"/>
      <c r="BW77" s="79"/>
      <c r="BX77" s="79"/>
      <c r="BY77" s="79"/>
      <c r="BZ77" s="79"/>
      <c r="CA77" s="79"/>
      <c r="CB77" s="79"/>
      <c r="CC77" s="79"/>
      <c r="CD77" s="79"/>
      <c r="CE77" s="79"/>
      <c r="CF77" s="35"/>
      <c r="CG77" s="34"/>
      <c r="CH77" s="34"/>
      <c r="CI77" s="34"/>
      <c r="CJ77" s="34"/>
      <c r="CK77" s="34"/>
      <c r="CL77" s="34"/>
      <c r="CM77" s="34"/>
      <c r="CN77" s="34"/>
      <c r="CO77" s="35"/>
      <c r="CP77" s="35"/>
      <c r="CQ77" s="35"/>
      <c r="CR77" s="79"/>
      <c r="CS77" s="79"/>
      <c r="CT77" s="79"/>
      <c r="CU77" s="79"/>
      <c r="CV77" s="35"/>
      <c r="CW77" s="35"/>
      <c r="CX77" s="35"/>
      <c r="CY77" s="35"/>
      <c r="CZ77" s="35"/>
      <c r="DA77" s="35"/>
      <c r="DB77" s="35"/>
      <c r="DC77" s="79"/>
      <c r="DD77" s="79"/>
      <c r="DE77" s="79"/>
      <c r="DF77" s="79"/>
      <c r="DG77" s="79"/>
      <c r="DH77" s="79"/>
      <c r="DI77" s="79"/>
      <c r="DJ77" s="79"/>
      <c r="DK77" s="79"/>
      <c r="DL77" s="35"/>
      <c r="DM77" s="79"/>
      <c r="DN77" s="55" t="s">
        <v>187</v>
      </c>
      <c r="DO77" s="55" t="s">
        <v>187</v>
      </c>
      <c r="DP77" s="55" t="s">
        <v>30</v>
      </c>
      <c r="DQ77" s="55" t="s">
        <v>30</v>
      </c>
      <c r="DR77" s="55" t="s">
        <v>31</v>
      </c>
      <c r="DS77" s="55" t="s">
        <v>31</v>
      </c>
      <c r="DT77" s="55" t="s">
        <v>32</v>
      </c>
      <c r="DU77" s="55" t="s">
        <v>32</v>
      </c>
      <c r="DV77" s="56" t="s">
        <v>188</v>
      </c>
      <c r="DW77" s="56" t="s">
        <v>189</v>
      </c>
      <c r="DX77" s="56" t="s">
        <v>190</v>
      </c>
      <c r="DY77" s="56" t="s">
        <v>190</v>
      </c>
      <c r="DZ77" s="56" t="s">
        <v>191</v>
      </c>
      <c r="EA77" s="56" t="s">
        <v>191</v>
      </c>
      <c r="EB77" s="57" t="s">
        <v>192</v>
      </c>
      <c r="EC77" s="57" t="s">
        <v>193</v>
      </c>
      <c r="ED77" s="57" t="s">
        <v>194</v>
      </c>
      <c r="EE77" s="57" t="s">
        <v>195</v>
      </c>
      <c r="EF77" s="58" t="s">
        <v>196</v>
      </c>
      <c r="EG77" s="58" t="s">
        <v>196</v>
      </c>
      <c r="EH77" s="58" t="s">
        <v>197</v>
      </c>
      <c r="EI77" s="58" t="s">
        <v>198</v>
      </c>
      <c r="EJ77" s="58" t="s">
        <v>199</v>
      </c>
      <c r="EK77" s="58" t="s">
        <v>199</v>
      </c>
      <c r="EL77" s="42" t="s">
        <v>33</v>
      </c>
      <c r="EM77" s="42" t="s">
        <v>33</v>
      </c>
      <c r="EN77" s="42" t="s">
        <v>34</v>
      </c>
      <c r="EO77" s="42" t="s">
        <v>35</v>
      </c>
      <c r="EP77" s="42" t="s">
        <v>35</v>
      </c>
      <c r="EQ77" s="42" t="s">
        <v>36</v>
      </c>
      <c r="ER77" s="59" t="s">
        <v>200</v>
      </c>
      <c r="ES77" s="59" t="s">
        <v>200</v>
      </c>
      <c r="ET77" s="35"/>
      <c r="EU77" s="59" t="s">
        <v>201</v>
      </c>
      <c r="EV77" s="59" t="s">
        <v>202</v>
      </c>
      <c r="EW77" s="59" t="s">
        <v>202</v>
      </c>
      <c r="EX77" s="59" t="s">
        <v>203</v>
      </c>
      <c r="EY77" s="59" t="s">
        <v>203</v>
      </c>
      <c r="EZ77" s="35"/>
      <c r="FA77" s="35"/>
      <c r="FB77" s="35"/>
      <c r="FC77" s="35"/>
      <c r="FD77" s="35"/>
      <c r="FE77" s="35"/>
      <c r="FF77" s="35"/>
      <c r="FG77" s="35"/>
      <c r="FH77" s="35"/>
      <c r="FI77" s="35"/>
      <c r="FJ77" s="35"/>
      <c r="FK77" s="35"/>
      <c r="FL77" s="35"/>
      <c r="FM77" s="35"/>
      <c r="FN77" s="35"/>
      <c r="FO77" s="35"/>
      <c r="FP77" s="35"/>
      <c r="FQ77" s="35"/>
      <c r="FR77" s="35"/>
      <c r="FS77" s="35"/>
      <c r="FT77" s="35"/>
      <c r="FU77" s="35"/>
      <c r="FV77" s="35"/>
      <c r="FW77" s="35"/>
      <c r="FX77" s="35"/>
      <c r="FY77" s="35"/>
      <c r="FZ77" s="35"/>
      <c r="GA77" s="35"/>
      <c r="GB77" s="35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  <c r="GT77" s="35"/>
      <c r="GU77" s="79"/>
      <c r="GV77" s="79"/>
      <c r="GW77" s="79"/>
      <c r="GX77" s="79"/>
      <c r="GY77" s="79"/>
      <c r="GZ77" s="79"/>
      <c r="HA77" s="79"/>
      <c r="HB77" s="79"/>
      <c r="HC77" s="79"/>
      <c r="HD77" s="79"/>
      <c r="HE77" s="79"/>
      <c r="HF77" s="79"/>
      <c r="HG77" s="79"/>
      <c r="HH77" s="79"/>
      <c r="HI77" s="79"/>
      <c r="HJ77" s="79"/>
      <c r="HK77" s="79"/>
      <c r="HL77" s="79"/>
      <c r="HM77" s="79"/>
      <c r="HN77" s="79"/>
      <c r="HO77" s="79"/>
      <c r="HP77" s="79"/>
      <c r="HQ77" s="79"/>
      <c r="HR77" s="79"/>
      <c r="HS77" s="79"/>
      <c r="HT77" s="79"/>
      <c r="HU77" s="79"/>
      <c r="HV77" s="79"/>
      <c r="HW77" s="79"/>
      <c r="HX77" s="79"/>
      <c r="HY77" s="79"/>
      <c r="HZ77" s="79"/>
      <c r="IA77" s="79"/>
      <c r="IB77" s="79"/>
      <c r="IC77" s="79"/>
      <c r="ID77" s="79"/>
      <c r="IE77" s="79"/>
      <c r="IF77" s="79"/>
      <c r="IG77" s="79"/>
      <c r="IH77" s="79"/>
      <c r="II77" s="79"/>
      <c r="IJ77" s="79"/>
      <c r="IK77" s="79"/>
      <c r="IL77" s="79"/>
      <c r="IM77" s="79"/>
      <c r="IN77" s="79"/>
      <c r="IO77" s="79"/>
      <c r="IP77" s="79"/>
      <c r="IQ77" s="79"/>
      <c r="IR77" s="79"/>
      <c r="IS77" s="79"/>
      <c r="IT77" s="79"/>
      <c r="IU77" s="79"/>
      <c r="IV77" s="79"/>
      <c r="IW77" s="79"/>
    </row>
    <row r="78" spans="2:257" s="15" customFormat="1" ht="14.4">
      <c r="B78" s="30">
        <f t="shared" si="149"/>
        <v>4.0499999999999989</v>
      </c>
      <c r="C78" s="37" t="s">
        <v>62</v>
      </c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79"/>
      <c r="BD78" s="79"/>
      <c r="BE78" s="79"/>
      <c r="BF78" s="79"/>
      <c r="BG78" s="79"/>
      <c r="BH78" s="79"/>
      <c r="BI78" s="79"/>
      <c r="BJ78" s="79"/>
      <c r="BK78" s="79"/>
      <c r="BL78" s="79"/>
      <c r="BM78" s="79"/>
      <c r="BN78" s="79"/>
      <c r="BO78" s="79"/>
      <c r="BP78" s="79"/>
      <c r="BQ78" s="79"/>
      <c r="BR78" s="79"/>
      <c r="BS78" s="79"/>
      <c r="BT78" s="79"/>
      <c r="BU78" s="79"/>
      <c r="BV78" s="79"/>
      <c r="BW78" s="79"/>
      <c r="BX78" s="79"/>
      <c r="BY78" s="79"/>
      <c r="BZ78" s="79"/>
      <c r="CA78" s="79"/>
      <c r="CB78" s="79"/>
      <c r="CC78" s="79"/>
      <c r="CD78" s="79"/>
      <c r="CE78" s="79"/>
      <c r="CF78" s="35"/>
      <c r="CG78" s="34"/>
      <c r="CH78" s="34"/>
      <c r="CI78" s="34"/>
      <c r="CJ78" s="34"/>
      <c r="CK78" s="34"/>
      <c r="CL78" s="34"/>
      <c r="CM78" s="34"/>
      <c r="CN78" s="34"/>
      <c r="CO78" s="35"/>
      <c r="CP78" s="35"/>
      <c r="CQ78" s="35"/>
      <c r="CR78" s="79"/>
      <c r="CS78" s="79"/>
      <c r="CT78" s="79"/>
      <c r="CU78" s="79"/>
      <c r="CV78" s="35"/>
      <c r="CW78" s="35"/>
      <c r="CX78" s="35"/>
      <c r="CY78" s="35"/>
      <c r="CZ78" s="35"/>
      <c r="DA78" s="35"/>
      <c r="DB78" s="35"/>
      <c r="DC78" s="79"/>
      <c r="DD78" s="79"/>
      <c r="DE78" s="79"/>
      <c r="DF78" s="79"/>
      <c r="DG78" s="79"/>
      <c r="DH78" s="79"/>
      <c r="DI78" s="79"/>
      <c r="DJ78" s="79"/>
      <c r="DK78" s="79"/>
      <c r="DL78" s="35"/>
      <c r="DM78" s="79"/>
      <c r="DN78" s="35"/>
      <c r="DO78" s="79"/>
      <c r="DP78" s="55" t="s">
        <v>187</v>
      </c>
      <c r="DQ78" s="55" t="s">
        <v>187</v>
      </c>
      <c r="DR78" s="55" t="s">
        <v>30</v>
      </c>
      <c r="DS78" s="55" t="s">
        <v>30</v>
      </c>
      <c r="DT78" s="55" t="s">
        <v>31</v>
      </c>
      <c r="DU78" s="55" t="s">
        <v>31</v>
      </c>
      <c r="DV78" s="55" t="s">
        <v>32</v>
      </c>
      <c r="DW78" s="56" t="s">
        <v>188</v>
      </c>
      <c r="DX78" s="56" t="s">
        <v>189</v>
      </c>
      <c r="DY78" s="56" t="s">
        <v>189</v>
      </c>
      <c r="DZ78" s="56" t="s">
        <v>190</v>
      </c>
      <c r="EA78" s="56" t="s">
        <v>190</v>
      </c>
      <c r="EB78" s="56" t="s">
        <v>191</v>
      </c>
      <c r="EC78" s="57" t="s">
        <v>192</v>
      </c>
      <c r="ED78" s="57" t="s">
        <v>193</v>
      </c>
      <c r="EE78" s="57" t="s">
        <v>194</v>
      </c>
      <c r="EF78" s="57" t="s">
        <v>195</v>
      </c>
      <c r="EG78" s="57" t="s">
        <v>195</v>
      </c>
      <c r="EH78" s="58" t="s">
        <v>196</v>
      </c>
      <c r="EI78" s="58" t="s">
        <v>197</v>
      </c>
      <c r="EJ78" s="58" t="s">
        <v>198</v>
      </c>
      <c r="EK78" s="58" t="s">
        <v>198</v>
      </c>
      <c r="EL78" s="58" t="s">
        <v>199</v>
      </c>
      <c r="EM78" s="58" t="s">
        <v>199</v>
      </c>
      <c r="EN78" s="42" t="s">
        <v>33</v>
      </c>
      <c r="EO78" s="42" t="s">
        <v>34</v>
      </c>
      <c r="EP78" s="42" t="s">
        <v>34</v>
      </c>
      <c r="EQ78" s="42" t="s">
        <v>35</v>
      </c>
      <c r="ER78" s="42" t="s">
        <v>36</v>
      </c>
      <c r="ES78" s="42" t="s">
        <v>36</v>
      </c>
      <c r="ET78" s="35"/>
      <c r="EU78" s="59" t="s">
        <v>200</v>
      </c>
      <c r="EV78" s="59" t="s">
        <v>201</v>
      </c>
      <c r="EW78" s="59" t="s">
        <v>201</v>
      </c>
      <c r="EX78" s="59" t="s">
        <v>202</v>
      </c>
      <c r="EY78" s="59" t="s">
        <v>202</v>
      </c>
      <c r="EZ78" s="59" t="s">
        <v>203</v>
      </c>
      <c r="FA78" s="35"/>
      <c r="FB78" s="35"/>
      <c r="FC78" s="35"/>
      <c r="FD78" s="35"/>
      <c r="FE78" s="35"/>
      <c r="FF78" s="35"/>
      <c r="FG78" s="35"/>
      <c r="FH78" s="35"/>
      <c r="FI78" s="35"/>
      <c r="FJ78" s="35"/>
      <c r="FK78" s="35"/>
      <c r="FL78" s="35"/>
      <c r="FM78" s="35"/>
      <c r="FN78" s="35"/>
      <c r="FO78" s="35"/>
      <c r="FP78" s="35"/>
      <c r="FQ78" s="35"/>
      <c r="FR78" s="35"/>
      <c r="FS78" s="35"/>
      <c r="FT78" s="35"/>
      <c r="FU78" s="35"/>
      <c r="FV78" s="35"/>
      <c r="FW78" s="35"/>
      <c r="FX78" s="35"/>
      <c r="FY78" s="35"/>
      <c r="FZ78" s="35"/>
      <c r="GA78" s="35"/>
      <c r="GB78" s="35"/>
      <c r="GC78" s="35"/>
      <c r="GD78" s="35"/>
      <c r="GE78" s="35"/>
      <c r="GF78" s="35"/>
      <c r="GG78" s="35"/>
      <c r="GH78" s="35"/>
      <c r="GI78" s="35"/>
      <c r="GJ78" s="35"/>
      <c r="GK78" s="35"/>
      <c r="GL78" s="35"/>
      <c r="GM78" s="35"/>
      <c r="GN78" s="35"/>
      <c r="GO78" s="35"/>
      <c r="GP78" s="35"/>
      <c r="GQ78" s="35"/>
      <c r="GR78" s="35"/>
      <c r="GS78" s="35"/>
      <c r="GT78" s="35"/>
      <c r="GU78" s="79"/>
      <c r="GV78" s="79"/>
      <c r="GW78" s="79"/>
      <c r="GX78" s="79"/>
      <c r="GY78" s="79"/>
      <c r="GZ78" s="79"/>
      <c r="HA78" s="79"/>
      <c r="HB78" s="79"/>
      <c r="HC78" s="79"/>
      <c r="HD78" s="79"/>
      <c r="HE78" s="79"/>
      <c r="HF78" s="79"/>
      <c r="HG78" s="79"/>
      <c r="HH78" s="79"/>
      <c r="HI78" s="79"/>
      <c r="HJ78" s="79"/>
      <c r="HK78" s="79"/>
      <c r="HL78" s="79"/>
      <c r="HM78" s="79"/>
      <c r="HN78" s="79"/>
      <c r="HO78" s="79"/>
      <c r="HP78" s="79"/>
      <c r="HQ78" s="79"/>
      <c r="HR78" s="79"/>
      <c r="HS78" s="79"/>
      <c r="HT78" s="79"/>
      <c r="HU78" s="79"/>
      <c r="HV78" s="79"/>
      <c r="HW78" s="79"/>
      <c r="HX78" s="79"/>
      <c r="HY78" s="79"/>
      <c r="HZ78" s="79"/>
      <c r="IA78" s="79"/>
      <c r="IB78" s="79"/>
      <c r="IC78" s="79"/>
      <c r="ID78" s="79"/>
      <c r="IE78" s="79"/>
      <c r="IF78" s="79"/>
      <c r="IG78" s="79"/>
      <c r="IH78" s="79"/>
      <c r="II78" s="79"/>
      <c r="IJ78" s="79"/>
      <c r="IK78" s="79"/>
      <c r="IL78" s="79"/>
      <c r="IM78" s="79"/>
      <c r="IN78" s="79"/>
      <c r="IO78" s="79"/>
      <c r="IP78" s="79"/>
      <c r="IQ78" s="79"/>
      <c r="IR78" s="79"/>
      <c r="IS78" s="79"/>
      <c r="IT78" s="79"/>
      <c r="IU78" s="79"/>
      <c r="IV78" s="79"/>
      <c r="IW78" s="79"/>
    </row>
    <row r="79" spans="2:257" s="15" customFormat="1" ht="14.4">
      <c r="B79" s="30">
        <f t="shared" si="149"/>
        <v>4.0599999999999987</v>
      </c>
      <c r="C79" s="37" t="s">
        <v>63</v>
      </c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79"/>
      <c r="BD79" s="79"/>
      <c r="BE79" s="79"/>
      <c r="BF79" s="79"/>
      <c r="BG79" s="79"/>
      <c r="BH79" s="79"/>
      <c r="BI79" s="79"/>
      <c r="BJ79" s="79"/>
      <c r="BK79" s="79"/>
      <c r="BL79" s="79"/>
      <c r="BM79" s="79"/>
      <c r="BN79" s="79"/>
      <c r="BO79" s="79"/>
      <c r="BP79" s="79"/>
      <c r="BQ79" s="79"/>
      <c r="BR79" s="79"/>
      <c r="BS79" s="79"/>
      <c r="BT79" s="79"/>
      <c r="BU79" s="79"/>
      <c r="BV79" s="79"/>
      <c r="BW79" s="79"/>
      <c r="BX79" s="79"/>
      <c r="BY79" s="79"/>
      <c r="BZ79" s="79"/>
      <c r="CA79" s="79"/>
      <c r="CB79" s="79"/>
      <c r="CC79" s="79"/>
      <c r="CD79" s="79"/>
      <c r="CE79" s="79"/>
      <c r="CF79" s="35"/>
      <c r="CG79" s="34"/>
      <c r="CH79" s="34"/>
      <c r="CI79" s="34"/>
      <c r="CJ79" s="34"/>
      <c r="CK79" s="34"/>
      <c r="CL79" s="34"/>
      <c r="CM79" s="34"/>
      <c r="CN79" s="34"/>
      <c r="CO79" s="35"/>
      <c r="CP79" s="35"/>
      <c r="CQ79" s="35"/>
      <c r="CR79" s="79"/>
      <c r="CS79" s="79"/>
      <c r="CT79" s="79"/>
      <c r="CU79" s="79"/>
      <c r="CV79" s="35"/>
      <c r="CW79" s="35"/>
      <c r="CX79" s="35"/>
      <c r="CY79" s="35"/>
      <c r="CZ79" s="35"/>
      <c r="DA79" s="35"/>
      <c r="DB79" s="79"/>
      <c r="DC79" s="35"/>
      <c r="DD79" s="35"/>
      <c r="DE79" s="35"/>
      <c r="DF79" s="35"/>
      <c r="DG79" s="35"/>
      <c r="DH79" s="79"/>
      <c r="DI79" s="35"/>
      <c r="DJ79" s="79"/>
      <c r="DK79" s="79"/>
      <c r="DL79" s="79"/>
      <c r="DM79" s="79"/>
      <c r="DN79" s="79"/>
      <c r="DO79" s="79"/>
      <c r="DP79" s="79"/>
      <c r="DQ79" s="79"/>
      <c r="DR79" s="79"/>
      <c r="DS79" s="79"/>
      <c r="DT79" s="79"/>
      <c r="DU79" s="79"/>
      <c r="DV79" s="35"/>
      <c r="DW79" s="55" t="s">
        <v>187</v>
      </c>
      <c r="DX79" s="55" t="s">
        <v>30</v>
      </c>
      <c r="DY79" s="55" t="s">
        <v>30</v>
      </c>
      <c r="DZ79" s="55" t="s">
        <v>31</v>
      </c>
      <c r="EA79" s="55" t="s">
        <v>31</v>
      </c>
      <c r="EB79" s="55" t="s">
        <v>32</v>
      </c>
      <c r="EC79" s="56" t="s">
        <v>188</v>
      </c>
      <c r="ED79" s="56" t="s">
        <v>189</v>
      </c>
      <c r="EE79" s="56" t="s">
        <v>190</v>
      </c>
      <c r="EF79" s="56" t="s">
        <v>191</v>
      </c>
      <c r="EG79" s="56" t="s">
        <v>191</v>
      </c>
      <c r="EH79" s="57" t="s">
        <v>192</v>
      </c>
      <c r="EI79" s="57" t="s">
        <v>193</v>
      </c>
      <c r="EJ79" s="57" t="s">
        <v>194</v>
      </c>
      <c r="EK79" s="57" t="s">
        <v>194</v>
      </c>
      <c r="EL79" s="57" t="s">
        <v>195</v>
      </c>
      <c r="EM79" s="57" t="s">
        <v>195</v>
      </c>
      <c r="EN79" s="58" t="s">
        <v>196</v>
      </c>
      <c r="EO79" s="58" t="s">
        <v>197</v>
      </c>
      <c r="EP79" s="58" t="s">
        <v>197</v>
      </c>
      <c r="EQ79" s="58" t="s">
        <v>198</v>
      </c>
      <c r="ER79" s="58" t="s">
        <v>199</v>
      </c>
      <c r="ES79" s="58" t="s">
        <v>199</v>
      </c>
      <c r="ET79" s="35"/>
      <c r="EU79" s="42" t="s">
        <v>33</v>
      </c>
      <c r="EV79" s="42" t="s">
        <v>34</v>
      </c>
      <c r="EW79" s="42" t="s">
        <v>34</v>
      </c>
      <c r="EX79" s="42" t="s">
        <v>35</v>
      </c>
      <c r="EY79" s="42" t="s">
        <v>35</v>
      </c>
      <c r="EZ79" s="42" t="s">
        <v>36</v>
      </c>
      <c r="FA79" s="59" t="s">
        <v>200</v>
      </c>
      <c r="FB79" s="59" t="s">
        <v>201</v>
      </c>
      <c r="FC79" s="59" t="s">
        <v>202</v>
      </c>
      <c r="FD79" s="59" t="s">
        <v>203</v>
      </c>
      <c r="FE79" s="59" t="s">
        <v>203</v>
      </c>
      <c r="FF79" s="35"/>
      <c r="FG79" s="35"/>
      <c r="FH79" s="35"/>
      <c r="FI79" s="35"/>
      <c r="FJ79" s="35"/>
      <c r="FK79" s="35"/>
      <c r="FL79" s="35"/>
      <c r="FM79" s="35"/>
      <c r="FN79" s="35"/>
      <c r="FO79" s="35"/>
      <c r="FP79" s="35"/>
      <c r="FQ79" s="35"/>
      <c r="FR79" s="35"/>
      <c r="FS79" s="35"/>
      <c r="FT79" s="35"/>
      <c r="FU79" s="35"/>
      <c r="FV79" s="35"/>
      <c r="FW79" s="35"/>
      <c r="FX79" s="35"/>
      <c r="FY79" s="35"/>
      <c r="FZ79" s="35"/>
      <c r="GA79" s="35"/>
      <c r="GB79" s="35"/>
      <c r="GC79" s="35"/>
      <c r="GD79" s="35"/>
      <c r="GE79" s="35"/>
      <c r="GF79" s="35"/>
      <c r="GG79" s="35"/>
      <c r="GH79" s="35"/>
      <c r="GI79" s="35"/>
      <c r="GJ79" s="35"/>
      <c r="GK79" s="35"/>
      <c r="GL79" s="35"/>
      <c r="GM79" s="35"/>
      <c r="GN79" s="35"/>
      <c r="GO79" s="35"/>
      <c r="GP79" s="35"/>
      <c r="GQ79" s="35"/>
      <c r="GR79" s="35"/>
      <c r="GS79" s="35"/>
      <c r="GT79" s="35"/>
      <c r="GU79" s="35"/>
      <c r="GV79" s="79"/>
      <c r="GW79" s="79"/>
      <c r="GX79" s="79"/>
      <c r="GY79" s="79"/>
      <c r="GZ79" s="79"/>
      <c r="HA79" s="79"/>
      <c r="HB79" s="79"/>
      <c r="HC79" s="79"/>
      <c r="HD79" s="79"/>
      <c r="HE79" s="79"/>
      <c r="HF79" s="79"/>
      <c r="HG79" s="79"/>
      <c r="HH79" s="79"/>
      <c r="HI79" s="79"/>
      <c r="HJ79" s="79"/>
      <c r="HK79" s="79"/>
      <c r="HL79" s="79"/>
      <c r="HM79" s="79"/>
      <c r="HN79" s="79"/>
      <c r="HO79" s="79"/>
      <c r="HP79" s="79"/>
      <c r="HQ79" s="79"/>
      <c r="HR79" s="79"/>
      <c r="HS79" s="79"/>
      <c r="HT79" s="79"/>
      <c r="HU79" s="79"/>
      <c r="HV79" s="79"/>
      <c r="HW79" s="79"/>
      <c r="HX79" s="79"/>
      <c r="HY79" s="79"/>
      <c r="HZ79" s="79"/>
      <c r="IA79" s="79"/>
      <c r="IB79" s="79"/>
      <c r="IC79" s="79"/>
      <c r="ID79" s="79"/>
      <c r="IE79" s="79"/>
      <c r="IF79" s="79"/>
      <c r="IG79" s="79"/>
      <c r="IH79" s="79"/>
      <c r="II79" s="79"/>
      <c r="IJ79" s="79"/>
      <c r="IK79" s="79"/>
      <c r="IL79" s="79"/>
      <c r="IM79" s="79"/>
      <c r="IN79" s="79"/>
      <c r="IO79" s="79"/>
      <c r="IP79" s="79"/>
      <c r="IQ79" s="79"/>
      <c r="IR79" s="79"/>
      <c r="IS79" s="79"/>
      <c r="IT79" s="79"/>
      <c r="IU79" s="79"/>
      <c r="IV79" s="79"/>
      <c r="IW79" s="79"/>
    </row>
    <row r="80" spans="2:257" s="15" customFormat="1" ht="14.4">
      <c r="B80" s="30">
        <f t="shared" si="149"/>
        <v>4.0699999999999985</v>
      </c>
      <c r="C80" s="37" t="s">
        <v>64</v>
      </c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79"/>
      <c r="BD80" s="79"/>
      <c r="BE80" s="79"/>
      <c r="BF80" s="79"/>
      <c r="BG80" s="79"/>
      <c r="BH80" s="79"/>
      <c r="BI80" s="79"/>
      <c r="BJ80" s="79"/>
      <c r="BK80" s="79"/>
      <c r="BL80" s="79"/>
      <c r="BM80" s="79"/>
      <c r="BN80" s="79"/>
      <c r="BO80" s="79"/>
      <c r="BP80" s="79"/>
      <c r="BQ80" s="79"/>
      <c r="BR80" s="79"/>
      <c r="BS80" s="79"/>
      <c r="BT80" s="79"/>
      <c r="BU80" s="79"/>
      <c r="BV80" s="79"/>
      <c r="BW80" s="79"/>
      <c r="BX80" s="79"/>
      <c r="BY80" s="79"/>
      <c r="BZ80" s="79"/>
      <c r="CA80" s="79"/>
      <c r="CB80" s="79"/>
      <c r="CC80" s="79"/>
      <c r="CD80" s="79"/>
      <c r="CE80" s="79"/>
      <c r="CF80" s="35"/>
      <c r="CG80" s="34"/>
      <c r="CH80" s="34"/>
      <c r="CI80" s="34"/>
      <c r="CJ80" s="34"/>
      <c r="CK80" s="34"/>
      <c r="CL80" s="34"/>
      <c r="CM80" s="34"/>
      <c r="CN80" s="34"/>
      <c r="CO80" s="35"/>
      <c r="CP80" s="35"/>
      <c r="CQ80" s="35"/>
      <c r="CR80" s="79"/>
      <c r="CS80" s="79"/>
      <c r="CT80" s="79"/>
      <c r="CU80" s="79"/>
      <c r="CV80" s="35"/>
      <c r="CW80" s="35"/>
      <c r="CX80" s="35"/>
      <c r="CY80" s="35"/>
      <c r="CZ80" s="35"/>
      <c r="DA80" s="35"/>
      <c r="DB80" s="79"/>
      <c r="DC80" s="35"/>
      <c r="DD80" s="35"/>
      <c r="DE80" s="35"/>
      <c r="DF80" s="35"/>
      <c r="DG80" s="35"/>
      <c r="DH80" s="79"/>
      <c r="DI80" s="35"/>
      <c r="DJ80" s="79"/>
      <c r="DK80" s="79"/>
      <c r="DL80" s="79"/>
      <c r="DM80" s="79"/>
      <c r="DN80" s="79"/>
      <c r="DO80" s="79"/>
      <c r="DP80" s="79"/>
      <c r="DQ80" s="79"/>
      <c r="DR80" s="79"/>
      <c r="DS80" s="79"/>
      <c r="DT80" s="79"/>
      <c r="DU80" s="79"/>
      <c r="DV80" s="35"/>
      <c r="DW80" s="55" t="s">
        <v>187</v>
      </c>
      <c r="DX80" s="55" t="s">
        <v>30</v>
      </c>
      <c r="DY80" s="55" t="s">
        <v>30</v>
      </c>
      <c r="DZ80" s="55" t="s">
        <v>31</v>
      </c>
      <c r="EA80" s="55" t="s">
        <v>31</v>
      </c>
      <c r="EB80" s="55" t="s">
        <v>32</v>
      </c>
      <c r="EC80" s="56" t="s">
        <v>188</v>
      </c>
      <c r="ED80" s="56" t="s">
        <v>189</v>
      </c>
      <c r="EE80" s="56" t="s">
        <v>190</v>
      </c>
      <c r="EF80" s="56" t="s">
        <v>191</v>
      </c>
      <c r="EG80" s="56" t="s">
        <v>191</v>
      </c>
      <c r="EH80" s="57" t="s">
        <v>192</v>
      </c>
      <c r="EI80" s="57" t="s">
        <v>193</v>
      </c>
      <c r="EJ80" s="57" t="s">
        <v>194</v>
      </c>
      <c r="EK80" s="57" t="s">
        <v>194</v>
      </c>
      <c r="EL80" s="57" t="s">
        <v>195</v>
      </c>
      <c r="EM80" s="57" t="s">
        <v>195</v>
      </c>
      <c r="EN80" s="58" t="s">
        <v>196</v>
      </c>
      <c r="EO80" s="58" t="s">
        <v>197</v>
      </c>
      <c r="EP80" s="58" t="s">
        <v>197</v>
      </c>
      <c r="EQ80" s="58" t="s">
        <v>198</v>
      </c>
      <c r="ER80" s="58" t="s">
        <v>199</v>
      </c>
      <c r="ES80" s="58" t="s">
        <v>199</v>
      </c>
      <c r="ET80" s="35"/>
      <c r="EU80" s="42" t="s">
        <v>33</v>
      </c>
      <c r="EV80" s="42" t="s">
        <v>34</v>
      </c>
      <c r="EW80" s="42" t="s">
        <v>34</v>
      </c>
      <c r="EX80" s="42" t="s">
        <v>35</v>
      </c>
      <c r="EY80" s="42" t="s">
        <v>35</v>
      </c>
      <c r="EZ80" s="42" t="s">
        <v>36</v>
      </c>
      <c r="FA80" s="59" t="s">
        <v>200</v>
      </c>
      <c r="FB80" s="59" t="s">
        <v>201</v>
      </c>
      <c r="FC80" s="59" t="s">
        <v>202</v>
      </c>
      <c r="FD80" s="59" t="s">
        <v>203</v>
      </c>
      <c r="FE80" s="59" t="s">
        <v>203</v>
      </c>
      <c r="FF80" s="35"/>
      <c r="FG80" s="35"/>
      <c r="FH80" s="35"/>
      <c r="FI80" s="35"/>
      <c r="FJ80" s="35"/>
      <c r="FK80" s="35"/>
      <c r="FL80" s="35"/>
      <c r="FM80" s="35"/>
      <c r="FN80" s="35"/>
      <c r="FO80" s="35"/>
      <c r="FP80" s="35"/>
      <c r="FQ80" s="35"/>
      <c r="FR80" s="35"/>
      <c r="FS80" s="35"/>
      <c r="FT80" s="35"/>
      <c r="FU80" s="35"/>
      <c r="FV80" s="35"/>
      <c r="FW80" s="35"/>
      <c r="FX80" s="35"/>
      <c r="FY80" s="35"/>
      <c r="FZ80" s="35"/>
      <c r="GA80" s="35"/>
      <c r="GB80" s="35"/>
      <c r="GC80" s="35"/>
      <c r="GD80" s="35"/>
      <c r="GE80" s="35"/>
      <c r="GF80" s="35"/>
      <c r="GG80" s="35"/>
      <c r="GH80" s="35"/>
      <c r="GI80" s="35"/>
      <c r="GJ80" s="35"/>
      <c r="GK80" s="35"/>
      <c r="GL80" s="35"/>
      <c r="GM80" s="35"/>
      <c r="GN80" s="35"/>
      <c r="GO80" s="35"/>
      <c r="GP80" s="35"/>
      <c r="GQ80" s="35"/>
      <c r="GR80" s="35"/>
      <c r="GS80" s="35"/>
      <c r="GT80" s="35"/>
      <c r="GU80" s="35"/>
      <c r="GV80" s="79"/>
      <c r="GW80" s="79"/>
      <c r="GX80" s="79"/>
      <c r="GY80" s="79"/>
      <c r="GZ80" s="79"/>
      <c r="HA80" s="79"/>
      <c r="HB80" s="79"/>
      <c r="HC80" s="79"/>
      <c r="HD80" s="79"/>
      <c r="HE80" s="79"/>
      <c r="HF80" s="79"/>
      <c r="HG80" s="79"/>
      <c r="HH80" s="79"/>
      <c r="HI80" s="79"/>
      <c r="HJ80" s="79"/>
      <c r="HK80" s="79"/>
      <c r="HL80" s="79"/>
      <c r="HM80" s="79"/>
      <c r="HN80" s="79"/>
      <c r="HO80" s="79"/>
      <c r="HP80" s="79"/>
      <c r="HQ80" s="79"/>
      <c r="HR80" s="79"/>
      <c r="HS80" s="79"/>
      <c r="HT80" s="79"/>
      <c r="HU80" s="79"/>
      <c r="HV80" s="79"/>
      <c r="HW80" s="79"/>
      <c r="HX80" s="79"/>
      <c r="HY80" s="79"/>
      <c r="HZ80" s="79"/>
      <c r="IA80" s="79"/>
      <c r="IB80" s="79"/>
      <c r="IC80" s="79"/>
      <c r="ID80" s="79"/>
      <c r="IE80" s="79"/>
      <c r="IF80" s="79"/>
      <c r="IG80" s="79"/>
      <c r="IH80" s="79"/>
      <c r="II80" s="79"/>
      <c r="IJ80" s="79"/>
      <c r="IK80" s="79"/>
      <c r="IL80" s="79"/>
      <c r="IM80" s="79"/>
      <c r="IN80" s="79"/>
      <c r="IO80" s="79"/>
      <c r="IP80" s="79"/>
      <c r="IQ80" s="79"/>
      <c r="IR80" s="79"/>
      <c r="IS80" s="79"/>
      <c r="IT80" s="79"/>
      <c r="IU80" s="79"/>
      <c r="IV80" s="79"/>
      <c r="IW80" s="79"/>
    </row>
    <row r="81" spans="2:257" s="15" customFormat="1" ht="14.4">
      <c r="B81" s="30">
        <f t="shared" si="149"/>
        <v>4.0799999999999983</v>
      </c>
      <c r="C81" s="37" t="s">
        <v>65</v>
      </c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79"/>
      <c r="BD81" s="79"/>
      <c r="BE81" s="79"/>
      <c r="BF81" s="79"/>
      <c r="BG81" s="79"/>
      <c r="BH81" s="79"/>
      <c r="BI81" s="79"/>
      <c r="BJ81" s="79"/>
      <c r="BK81" s="79"/>
      <c r="BL81" s="79"/>
      <c r="BM81" s="79"/>
      <c r="BN81" s="79"/>
      <c r="BO81" s="79"/>
      <c r="BP81" s="79"/>
      <c r="BQ81" s="79"/>
      <c r="BR81" s="79"/>
      <c r="BS81" s="79"/>
      <c r="BT81" s="79"/>
      <c r="BU81" s="79"/>
      <c r="BV81" s="79"/>
      <c r="BW81" s="79"/>
      <c r="BX81" s="79"/>
      <c r="BY81" s="79"/>
      <c r="BZ81" s="79"/>
      <c r="CA81" s="79"/>
      <c r="CB81" s="79"/>
      <c r="CC81" s="79"/>
      <c r="CD81" s="79"/>
      <c r="CE81" s="79"/>
      <c r="CF81" s="35"/>
      <c r="CG81" s="34"/>
      <c r="CH81" s="34"/>
      <c r="CI81" s="34"/>
      <c r="CJ81" s="34"/>
      <c r="CK81" s="34"/>
      <c r="CL81" s="34"/>
      <c r="CM81" s="34"/>
      <c r="CN81" s="34"/>
      <c r="CO81" s="35"/>
      <c r="CP81" s="35"/>
      <c r="CQ81" s="35"/>
      <c r="CR81" s="79"/>
      <c r="CS81" s="79"/>
      <c r="CT81" s="79"/>
      <c r="CU81" s="79"/>
      <c r="CV81" s="35"/>
      <c r="CW81" s="35"/>
      <c r="CX81" s="35"/>
      <c r="CY81" s="35"/>
      <c r="CZ81" s="35"/>
      <c r="DA81" s="35"/>
      <c r="DB81" s="79"/>
      <c r="DC81" s="35"/>
      <c r="DD81" s="35"/>
      <c r="DE81" s="35"/>
      <c r="DF81" s="35"/>
      <c r="DG81" s="35"/>
      <c r="DH81" s="79"/>
      <c r="DI81" s="35"/>
      <c r="DJ81" s="79"/>
      <c r="DK81" s="79"/>
      <c r="DL81" s="79"/>
      <c r="DM81" s="79"/>
      <c r="DN81" s="79"/>
      <c r="DO81" s="79"/>
      <c r="DP81" s="79"/>
      <c r="DQ81" s="79"/>
      <c r="DR81" s="79"/>
      <c r="DS81" s="79"/>
      <c r="DT81" s="79"/>
      <c r="DU81" s="79"/>
      <c r="DV81" s="35"/>
      <c r="DW81" s="55" t="s">
        <v>187</v>
      </c>
      <c r="DX81" s="55" t="s">
        <v>30</v>
      </c>
      <c r="DY81" s="55" t="s">
        <v>30</v>
      </c>
      <c r="DZ81" s="55" t="s">
        <v>31</v>
      </c>
      <c r="EA81" s="55" t="s">
        <v>31</v>
      </c>
      <c r="EB81" s="55" t="s">
        <v>32</v>
      </c>
      <c r="EC81" s="56" t="s">
        <v>188</v>
      </c>
      <c r="ED81" s="56" t="s">
        <v>189</v>
      </c>
      <c r="EE81" s="56" t="s">
        <v>190</v>
      </c>
      <c r="EF81" s="56" t="s">
        <v>191</v>
      </c>
      <c r="EG81" s="56" t="s">
        <v>191</v>
      </c>
      <c r="EH81" s="57" t="s">
        <v>192</v>
      </c>
      <c r="EI81" s="57" t="s">
        <v>193</v>
      </c>
      <c r="EJ81" s="57" t="s">
        <v>194</v>
      </c>
      <c r="EK81" s="57" t="s">
        <v>194</v>
      </c>
      <c r="EL81" s="57" t="s">
        <v>195</v>
      </c>
      <c r="EM81" s="57" t="s">
        <v>195</v>
      </c>
      <c r="EN81" s="58" t="s">
        <v>196</v>
      </c>
      <c r="EO81" s="58" t="s">
        <v>197</v>
      </c>
      <c r="EP81" s="58" t="s">
        <v>197</v>
      </c>
      <c r="EQ81" s="58" t="s">
        <v>198</v>
      </c>
      <c r="ER81" s="58" t="s">
        <v>199</v>
      </c>
      <c r="ES81" s="58" t="s">
        <v>199</v>
      </c>
      <c r="ET81" s="35"/>
      <c r="EU81" s="42" t="s">
        <v>33</v>
      </c>
      <c r="EV81" s="42" t="s">
        <v>34</v>
      </c>
      <c r="EW81" s="42" t="s">
        <v>34</v>
      </c>
      <c r="EX81" s="42" t="s">
        <v>35</v>
      </c>
      <c r="EY81" s="42" t="s">
        <v>35</v>
      </c>
      <c r="EZ81" s="42" t="s">
        <v>36</v>
      </c>
      <c r="FA81" s="59" t="s">
        <v>200</v>
      </c>
      <c r="FB81" s="59" t="s">
        <v>201</v>
      </c>
      <c r="FC81" s="59" t="s">
        <v>202</v>
      </c>
      <c r="FD81" s="59" t="s">
        <v>203</v>
      </c>
      <c r="FE81" s="59" t="s">
        <v>203</v>
      </c>
      <c r="FF81" s="35"/>
      <c r="FG81" s="35"/>
      <c r="FH81" s="35"/>
      <c r="FI81" s="35"/>
      <c r="FJ81" s="35"/>
      <c r="FK81" s="35"/>
      <c r="FL81" s="35"/>
      <c r="FM81" s="35"/>
      <c r="FN81" s="35"/>
      <c r="FO81" s="35"/>
      <c r="FP81" s="35"/>
      <c r="FQ81" s="35"/>
      <c r="FR81" s="35"/>
      <c r="FS81" s="35"/>
      <c r="FT81" s="35"/>
      <c r="FU81" s="35"/>
      <c r="FV81" s="35"/>
      <c r="FW81" s="35"/>
      <c r="FX81" s="35"/>
      <c r="FY81" s="35"/>
      <c r="FZ81" s="35"/>
      <c r="GA81" s="35"/>
      <c r="GB81" s="35"/>
      <c r="GC81" s="35"/>
      <c r="GD81" s="35"/>
      <c r="GE81" s="35"/>
      <c r="GF81" s="35"/>
      <c r="GG81" s="35"/>
      <c r="GH81" s="35"/>
      <c r="GI81" s="35"/>
      <c r="GJ81" s="35"/>
      <c r="GK81" s="35"/>
      <c r="GL81" s="35"/>
      <c r="GM81" s="35"/>
      <c r="GN81" s="35"/>
      <c r="GO81" s="35"/>
      <c r="GP81" s="35"/>
      <c r="GQ81" s="35"/>
      <c r="GR81" s="35"/>
      <c r="GS81" s="35"/>
      <c r="GT81" s="35"/>
      <c r="GU81" s="35"/>
      <c r="GV81" s="79"/>
      <c r="GW81" s="79"/>
      <c r="GX81" s="79"/>
      <c r="GY81" s="79"/>
      <c r="GZ81" s="79"/>
      <c r="HA81" s="79"/>
      <c r="HB81" s="79"/>
      <c r="HC81" s="79"/>
      <c r="HD81" s="79"/>
      <c r="HE81" s="79"/>
      <c r="HF81" s="79"/>
      <c r="HG81" s="79"/>
      <c r="HH81" s="79"/>
      <c r="HI81" s="79"/>
      <c r="HJ81" s="79"/>
      <c r="HK81" s="79"/>
      <c r="HL81" s="79"/>
      <c r="HM81" s="79"/>
      <c r="HN81" s="79"/>
      <c r="HO81" s="79"/>
      <c r="HP81" s="79"/>
      <c r="HQ81" s="79"/>
      <c r="HR81" s="79"/>
      <c r="HS81" s="79"/>
      <c r="HT81" s="79"/>
      <c r="HU81" s="79"/>
      <c r="HV81" s="79"/>
      <c r="HW81" s="79"/>
      <c r="HX81" s="79"/>
      <c r="HY81" s="79"/>
      <c r="HZ81" s="79"/>
      <c r="IA81" s="79"/>
      <c r="IB81" s="79"/>
      <c r="IC81" s="79"/>
      <c r="ID81" s="79"/>
      <c r="IE81" s="79"/>
      <c r="IF81" s="79"/>
      <c r="IG81" s="79"/>
      <c r="IH81" s="79"/>
      <c r="II81" s="79"/>
      <c r="IJ81" s="79"/>
      <c r="IK81" s="79"/>
      <c r="IL81" s="79"/>
      <c r="IM81" s="79"/>
      <c r="IN81" s="79"/>
      <c r="IO81" s="79"/>
      <c r="IP81" s="79"/>
      <c r="IQ81" s="79"/>
      <c r="IR81" s="79"/>
      <c r="IS81" s="79"/>
      <c r="IT81" s="79"/>
      <c r="IU81" s="79"/>
      <c r="IV81" s="79"/>
      <c r="IW81" s="79"/>
    </row>
    <row r="82" spans="2:257" s="15" customFormat="1" ht="14.4">
      <c r="B82" s="30">
        <f t="shared" si="149"/>
        <v>4.0899999999999981</v>
      </c>
      <c r="C82" s="37" t="s">
        <v>216</v>
      </c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79"/>
      <c r="BD82" s="79"/>
      <c r="BE82" s="79"/>
      <c r="BF82" s="79"/>
      <c r="BG82" s="79"/>
      <c r="BH82" s="79"/>
      <c r="BI82" s="79"/>
      <c r="BJ82" s="79"/>
      <c r="BK82" s="79"/>
      <c r="BL82" s="79"/>
      <c r="BM82" s="79"/>
      <c r="BN82" s="79"/>
      <c r="BO82" s="79"/>
      <c r="BP82" s="79"/>
      <c r="BQ82" s="79"/>
      <c r="BR82" s="79"/>
      <c r="BS82" s="79"/>
      <c r="BT82" s="79"/>
      <c r="BU82" s="79"/>
      <c r="BV82" s="79"/>
      <c r="BW82" s="79"/>
      <c r="BX82" s="79"/>
      <c r="BY82" s="79"/>
      <c r="BZ82" s="79"/>
      <c r="CA82" s="79"/>
      <c r="CB82" s="79"/>
      <c r="CC82" s="79"/>
      <c r="CD82" s="79"/>
      <c r="CE82" s="79"/>
      <c r="CF82" s="35"/>
      <c r="CG82" s="34"/>
      <c r="CH82" s="34"/>
      <c r="CI82" s="34"/>
      <c r="CJ82" s="34"/>
      <c r="CK82" s="34"/>
      <c r="CL82" s="34"/>
      <c r="CM82" s="34"/>
      <c r="CN82" s="34"/>
      <c r="CO82" s="35"/>
      <c r="CP82" s="35"/>
      <c r="CQ82" s="35"/>
      <c r="CR82" s="79"/>
      <c r="CS82" s="79"/>
      <c r="CT82" s="79"/>
      <c r="CU82" s="79"/>
      <c r="CV82" s="35"/>
      <c r="CW82" s="35"/>
      <c r="CX82" s="35"/>
      <c r="CY82" s="35"/>
      <c r="CZ82" s="35"/>
      <c r="DA82" s="35"/>
      <c r="DB82" s="79"/>
      <c r="DC82" s="35"/>
      <c r="DD82" s="35"/>
      <c r="DE82" s="35"/>
      <c r="DF82" s="35"/>
      <c r="DG82" s="35"/>
      <c r="DH82" s="79"/>
      <c r="DI82" s="35"/>
      <c r="DJ82" s="79"/>
      <c r="DK82" s="79"/>
      <c r="DL82" s="79"/>
      <c r="DM82" s="79"/>
      <c r="DN82" s="79"/>
      <c r="DO82" s="79"/>
      <c r="DP82" s="79"/>
      <c r="DQ82" s="79"/>
      <c r="DR82" s="79"/>
      <c r="DS82" s="79"/>
      <c r="DT82" s="79"/>
      <c r="DU82" s="79"/>
      <c r="DV82" s="35"/>
      <c r="DW82" s="55" t="s">
        <v>187</v>
      </c>
      <c r="DX82" s="55" t="s">
        <v>30</v>
      </c>
      <c r="DY82" s="55" t="s">
        <v>30</v>
      </c>
      <c r="DZ82" s="55" t="s">
        <v>31</v>
      </c>
      <c r="EA82" s="55" t="s">
        <v>31</v>
      </c>
      <c r="EB82" s="55" t="s">
        <v>32</v>
      </c>
      <c r="EC82" s="56" t="s">
        <v>188</v>
      </c>
      <c r="ED82" s="56" t="s">
        <v>189</v>
      </c>
      <c r="EE82" s="56" t="s">
        <v>190</v>
      </c>
      <c r="EF82" s="56" t="s">
        <v>191</v>
      </c>
      <c r="EG82" s="56" t="s">
        <v>191</v>
      </c>
      <c r="EH82" s="57" t="s">
        <v>192</v>
      </c>
      <c r="EI82" s="57" t="s">
        <v>193</v>
      </c>
      <c r="EJ82" s="57" t="s">
        <v>194</v>
      </c>
      <c r="EK82" s="57" t="s">
        <v>194</v>
      </c>
      <c r="EL82" s="57" t="s">
        <v>195</v>
      </c>
      <c r="EM82" s="57" t="s">
        <v>195</v>
      </c>
      <c r="EN82" s="58" t="s">
        <v>196</v>
      </c>
      <c r="EO82" s="58" t="s">
        <v>197</v>
      </c>
      <c r="EP82" s="58" t="s">
        <v>197</v>
      </c>
      <c r="EQ82" s="58" t="s">
        <v>198</v>
      </c>
      <c r="ER82" s="58" t="s">
        <v>199</v>
      </c>
      <c r="ES82" s="58" t="s">
        <v>199</v>
      </c>
      <c r="ET82" s="35"/>
      <c r="EU82" s="42" t="s">
        <v>33</v>
      </c>
      <c r="EV82" s="42" t="s">
        <v>34</v>
      </c>
      <c r="EW82" s="42" t="s">
        <v>34</v>
      </c>
      <c r="EX82" s="42" t="s">
        <v>35</v>
      </c>
      <c r="EY82" s="42" t="s">
        <v>35</v>
      </c>
      <c r="EZ82" s="42" t="s">
        <v>36</v>
      </c>
      <c r="FA82" s="59" t="s">
        <v>200</v>
      </c>
      <c r="FB82" s="59" t="s">
        <v>201</v>
      </c>
      <c r="FC82" s="59" t="s">
        <v>202</v>
      </c>
      <c r="FD82" s="59" t="s">
        <v>203</v>
      </c>
      <c r="FE82" s="59" t="s">
        <v>203</v>
      </c>
      <c r="FF82" s="35"/>
      <c r="FG82" s="35"/>
      <c r="FH82" s="35"/>
      <c r="FI82" s="35"/>
      <c r="FJ82" s="35"/>
      <c r="FK82" s="35"/>
      <c r="FL82" s="35"/>
      <c r="FM82" s="35"/>
      <c r="FN82" s="35"/>
      <c r="FO82" s="35"/>
      <c r="FP82" s="35"/>
      <c r="FQ82" s="35"/>
      <c r="FR82" s="35"/>
      <c r="FS82" s="35"/>
      <c r="FT82" s="35"/>
      <c r="FU82" s="35"/>
      <c r="FV82" s="35"/>
      <c r="FW82" s="35"/>
      <c r="FX82" s="35"/>
      <c r="FY82" s="35"/>
      <c r="FZ82" s="35"/>
      <c r="GA82" s="35"/>
      <c r="GB82" s="35"/>
      <c r="GC82" s="35"/>
      <c r="GD82" s="35"/>
      <c r="GE82" s="35"/>
      <c r="GF82" s="35"/>
      <c r="GG82" s="35"/>
      <c r="GH82" s="35"/>
      <c r="GI82" s="35"/>
      <c r="GJ82" s="35"/>
      <c r="GK82" s="35"/>
      <c r="GL82" s="35"/>
      <c r="GM82" s="35"/>
      <c r="GN82" s="35"/>
      <c r="GO82" s="35"/>
      <c r="GP82" s="35"/>
      <c r="GQ82" s="35"/>
      <c r="GR82" s="35"/>
      <c r="GS82" s="35"/>
      <c r="GT82" s="35"/>
      <c r="GU82" s="35"/>
      <c r="GV82" s="79"/>
      <c r="GW82" s="79"/>
      <c r="GX82" s="79"/>
      <c r="GY82" s="79"/>
      <c r="GZ82" s="79"/>
      <c r="HA82" s="79"/>
      <c r="HB82" s="79"/>
      <c r="HC82" s="79"/>
      <c r="HD82" s="79"/>
      <c r="HE82" s="79"/>
      <c r="HF82" s="79"/>
      <c r="HG82" s="79"/>
      <c r="HH82" s="79"/>
      <c r="HI82" s="79"/>
      <c r="HJ82" s="79"/>
      <c r="HK82" s="79"/>
      <c r="HL82" s="79"/>
      <c r="HM82" s="79"/>
      <c r="HN82" s="79"/>
      <c r="HO82" s="79"/>
      <c r="HP82" s="79"/>
      <c r="HQ82" s="79"/>
      <c r="HR82" s="79"/>
      <c r="HS82" s="79"/>
      <c r="HT82" s="79"/>
      <c r="HU82" s="79"/>
      <c r="HV82" s="79"/>
      <c r="HW82" s="79"/>
      <c r="HX82" s="79"/>
      <c r="HY82" s="79"/>
      <c r="HZ82" s="79"/>
      <c r="IA82" s="79"/>
      <c r="IB82" s="79"/>
      <c r="IC82" s="79"/>
      <c r="ID82" s="79"/>
      <c r="IE82" s="79"/>
      <c r="IF82" s="79"/>
      <c r="IG82" s="79"/>
      <c r="IH82" s="79"/>
      <c r="II82" s="79"/>
      <c r="IJ82" s="79"/>
      <c r="IK82" s="79"/>
      <c r="IL82" s="79"/>
      <c r="IM82" s="79"/>
      <c r="IN82" s="79"/>
      <c r="IO82" s="79"/>
      <c r="IP82" s="79"/>
      <c r="IQ82" s="79"/>
      <c r="IR82" s="79"/>
      <c r="IS82" s="79"/>
      <c r="IT82" s="79"/>
      <c r="IU82" s="79"/>
      <c r="IV82" s="79"/>
      <c r="IW82" s="79"/>
    </row>
    <row r="83" spans="2:257" s="15" customFormat="1" ht="14.4">
      <c r="B83" s="30">
        <f t="shared" si="149"/>
        <v>4.0999999999999979</v>
      </c>
      <c r="C83" s="37" t="s">
        <v>217</v>
      </c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79"/>
      <c r="BD83" s="79"/>
      <c r="BE83" s="79"/>
      <c r="BF83" s="79"/>
      <c r="BG83" s="79"/>
      <c r="BH83" s="79"/>
      <c r="BI83" s="79"/>
      <c r="BJ83" s="79"/>
      <c r="BK83" s="79"/>
      <c r="BL83" s="79"/>
      <c r="BM83" s="79"/>
      <c r="BN83" s="79"/>
      <c r="BO83" s="79"/>
      <c r="BP83" s="79"/>
      <c r="BQ83" s="79"/>
      <c r="BR83" s="79"/>
      <c r="BS83" s="79"/>
      <c r="BT83" s="79"/>
      <c r="BU83" s="79"/>
      <c r="BV83" s="79"/>
      <c r="BW83" s="79"/>
      <c r="BX83" s="79"/>
      <c r="BY83" s="79"/>
      <c r="BZ83" s="79"/>
      <c r="CA83" s="79"/>
      <c r="CB83" s="79"/>
      <c r="CC83" s="79"/>
      <c r="CD83" s="79"/>
      <c r="CE83" s="79"/>
      <c r="CF83" s="35"/>
      <c r="CG83" s="34"/>
      <c r="CH83" s="34"/>
      <c r="CI83" s="34"/>
      <c r="CJ83" s="34"/>
      <c r="CK83" s="34"/>
      <c r="CL83" s="34"/>
      <c r="CM83" s="34"/>
      <c r="CN83" s="34"/>
      <c r="CO83" s="35"/>
      <c r="CP83" s="35"/>
      <c r="CQ83" s="35"/>
      <c r="CR83" s="79"/>
      <c r="CS83" s="79"/>
      <c r="CT83" s="79"/>
      <c r="CU83" s="79"/>
      <c r="CV83" s="35"/>
      <c r="CW83" s="35"/>
      <c r="CX83" s="35"/>
      <c r="CY83" s="35"/>
      <c r="CZ83" s="35"/>
      <c r="DA83" s="35"/>
      <c r="DB83" s="79"/>
      <c r="DC83" s="35"/>
      <c r="DD83" s="35"/>
      <c r="DE83" s="35"/>
      <c r="DF83" s="35"/>
      <c r="DG83" s="35"/>
      <c r="DH83" s="79"/>
      <c r="DI83" s="35"/>
      <c r="DJ83" s="79"/>
      <c r="DK83" s="79"/>
      <c r="DL83" s="79"/>
      <c r="DM83" s="79"/>
      <c r="DN83" s="79"/>
      <c r="DO83" s="79"/>
      <c r="DP83" s="79"/>
      <c r="DQ83" s="79"/>
      <c r="DR83" s="79"/>
      <c r="DS83" s="79"/>
      <c r="DT83" s="79"/>
      <c r="DU83" s="79"/>
      <c r="DV83" s="35"/>
      <c r="DW83" s="35"/>
      <c r="DX83" s="55" t="s">
        <v>187</v>
      </c>
      <c r="DY83" s="55" t="s">
        <v>187</v>
      </c>
      <c r="DZ83" s="55" t="s">
        <v>30</v>
      </c>
      <c r="EA83" s="55" t="s">
        <v>30</v>
      </c>
      <c r="EB83" s="55" t="s">
        <v>31</v>
      </c>
      <c r="EC83" s="55" t="s">
        <v>32</v>
      </c>
      <c r="ED83" s="56" t="s">
        <v>188</v>
      </c>
      <c r="EE83" s="56" t="s">
        <v>189</v>
      </c>
      <c r="EF83" s="56" t="s">
        <v>190</v>
      </c>
      <c r="EG83" s="56" t="s">
        <v>190</v>
      </c>
      <c r="EH83" s="56" t="s">
        <v>191</v>
      </c>
      <c r="EI83" s="57" t="s">
        <v>192</v>
      </c>
      <c r="EJ83" s="57" t="s">
        <v>193</v>
      </c>
      <c r="EK83" s="57" t="s">
        <v>193</v>
      </c>
      <c r="EL83" s="57" t="s">
        <v>194</v>
      </c>
      <c r="EM83" s="57" t="s">
        <v>194</v>
      </c>
      <c r="EN83" s="57" t="s">
        <v>195</v>
      </c>
      <c r="EO83" s="58" t="s">
        <v>196</v>
      </c>
      <c r="EP83" s="58" t="s">
        <v>196</v>
      </c>
      <c r="EQ83" s="58" t="s">
        <v>197</v>
      </c>
      <c r="ER83" s="58" t="s">
        <v>198</v>
      </c>
      <c r="ES83" s="58" t="s">
        <v>198</v>
      </c>
      <c r="ET83" s="35"/>
      <c r="EU83" s="58" t="s">
        <v>199</v>
      </c>
      <c r="EV83" s="42" t="s">
        <v>33</v>
      </c>
      <c r="EW83" s="42" t="s">
        <v>33</v>
      </c>
      <c r="EX83" s="42" t="s">
        <v>34</v>
      </c>
      <c r="EY83" s="42" t="s">
        <v>34</v>
      </c>
      <c r="EZ83" s="42" t="s">
        <v>35</v>
      </c>
      <c r="FA83" s="42" t="s">
        <v>36</v>
      </c>
      <c r="FB83" s="59" t="s">
        <v>200</v>
      </c>
      <c r="FC83" s="59" t="s">
        <v>201</v>
      </c>
      <c r="FD83" s="59" t="s">
        <v>202</v>
      </c>
      <c r="FE83" s="59" t="s">
        <v>202</v>
      </c>
      <c r="FF83" s="59" t="s">
        <v>203</v>
      </c>
      <c r="FG83" s="35"/>
      <c r="FH83" s="35"/>
      <c r="FI83" s="35"/>
      <c r="FJ83" s="35"/>
      <c r="FK83" s="35"/>
      <c r="FL83" s="79"/>
      <c r="FM83" s="35"/>
      <c r="FN83" s="35"/>
      <c r="FO83" s="35"/>
      <c r="FP83" s="35"/>
      <c r="FQ83" s="35"/>
      <c r="FR83" s="35"/>
      <c r="FS83" s="35"/>
      <c r="FT83" s="35"/>
      <c r="FU83" s="35"/>
      <c r="FV83" s="35"/>
      <c r="FW83" s="35"/>
      <c r="FX83" s="35"/>
      <c r="FY83" s="35"/>
      <c r="FZ83" s="35"/>
      <c r="GA83" s="35"/>
      <c r="GB83" s="35"/>
      <c r="GC83" s="35"/>
      <c r="GD83" s="35"/>
      <c r="GE83" s="35"/>
      <c r="GF83" s="35"/>
      <c r="GG83" s="35"/>
      <c r="GH83" s="35"/>
      <c r="GI83" s="35"/>
      <c r="GJ83" s="35"/>
      <c r="GK83" s="35"/>
      <c r="GL83" s="35"/>
      <c r="GM83" s="35"/>
      <c r="GN83" s="35"/>
      <c r="GO83" s="35"/>
      <c r="GP83" s="35"/>
      <c r="GQ83" s="35"/>
      <c r="GR83" s="35"/>
      <c r="GS83" s="35"/>
      <c r="GT83" s="35"/>
      <c r="GU83" s="35"/>
      <c r="GV83" s="79"/>
      <c r="GW83" s="79"/>
      <c r="GX83" s="79"/>
      <c r="GY83" s="79"/>
      <c r="GZ83" s="79"/>
      <c r="HA83" s="79"/>
      <c r="HB83" s="79"/>
      <c r="HC83" s="79"/>
      <c r="HD83" s="79"/>
      <c r="HE83" s="79"/>
      <c r="HF83" s="79"/>
      <c r="HG83" s="79"/>
      <c r="HH83" s="79"/>
      <c r="HI83" s="79"/>
      <c r="HJ83" s="79"/>
      <c r="HK83" s="79"/>
      <c r="HL83" s="79"/>
      <c r="HM83" s="79"/>
      <c r="HN83" s="79"/>
      <c r="HO83" s="79"/>
      <c r="HP83" s="79"/>
      <c r="HQ83" s="79"/>
      <c r="HR83" s="79"/>
      <c r="HS83" s="79"/>
      <c r="HT83" s="79"/>
      <c r="HU83" s="79"/>
      <c r="HV83" s="79"/>
      <c r="HW83" s="79"/>
      <c r="HX83" s="79"/>
      <c r="HY83" s="79"/>
      <c r="HZ83" s="79"/>
      <c r="IA83" s="79"/>
      <c r="IB83" s="79"/>
      <c r="IC83" s="79"/>
      <c r="ID83" s="79"/>
      <c r="IE83" s="79"/>
      <c r="IF83" s="79"/>
      <c r="IG83" s="79"/>
      <c r="IH83" s="79"/>
      <c r="II83" s="79"/>
      <c r="IJ83" s="79"/>
      <c r="IK83" s="79"/>
      <c r="IL83" s="79"/>
      <c r="IM83" s="79"/>
      <c r="IN83" s="79"/>
      <c r="IO83" s="79"/>
      <c r="IP83" s="79"/>
      <c r="IQ83" s="79"/>
      <c r="IR83" s="79"/>
      <c r="IS83" s="79"/>
      <c r="IT83" s="79"/>
      <c r="IU83" s="79"/>
      <c r="IV83" s="79"/>
      <c r="IW83" s="79"/>
    </row>
    <row r="84" spans="2:257" s="15" customFormat="1" ht="14.4">
      <c r="B84" s="30">
        <f t="shared" si="149"/>
        <v>4.1099999999999977</v>
      </c>
      <c r="C84" s="37" t="s">
        <v>66</v>
      </c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79"/>
      <c r="BD84" s="79"/>
      <c r="BE84" s="79"/>
      <c r="BF84" s="79"/>
      <c r="BG84" s="79"/>
      <c r="BH84" s="79"/>
      <c r="BI84" s="79"/>
      <c r="BJ84" s="79"/>
      <c r="BK84" s="79"/>
      <c r="BL84" s="79"/>
      <c r="BM84" s="79"/>
      <c r="BN84" s="79"/>
      <c r="BO84" s="79"/>
      <c r="BP84" s="79"/>
      <c r="BQ84" s="79"/>
      <c r="BR84" s="79"/>
      <c r="BS84" s="79"/>
      <c r="BT84" s="79"/>
      <c r="BU84" s="79"/>
      <c r="BV84" s="79"/>
      <c r="BW84" s="79"/>
      <c r="BX84" s="79"/>
      <c r="BY84" s="79"/>
      <c r="BZ84" s="79"/>
      <c r="CA84" s="79"/>
      <c r="CB84" s="79"/>
      <c r="CC84" s="79"/>
      <c r="CD84" s="79"/>
      <c r="CE84" s="79"/>
      <c r="CF84" s="35"/>
      <c r="CG84" s="34"/>
      <c r="CH84" s="34"/>
      <c r="CI84" s="34"/>
      <c r="CJ84" s="34"/>
      <c r="CK84" s="34"/>
      <c r="CL84" s="34"/>
      <c r="CM84" s="34"/>
      <c r="CN84" s="34"/>
      <c r="CO84" s="35"/>
      <c r="CP84" s="35"/>
      <c r="CQ84" s="35"/>
      <c r="CR84" s="79"/>
      <c r="CS84" s="79"/>
      <c r="CT84" s="79"/>
      <c r="CU84" s="79"/>
      <c r="CV84" s="35"/>
      <c r="CW84" s="35"/>
      <c r="CX84" s="35"/>
      <c r="CY84" s="35"/>
      <c r="CZ84" s="35"/>
      <c r="DA84" s="35"/>
      <c r="DB84" s="79"/>
      <c r="DC84" s="35"/>
      <c r="DD84" s="35"/>
      <c r="DE84" s="35"/>
      <c r="DF84" s="35"/>
      <c r="DG84" s="35"/>
      <c r="DH84" s="79"/>
      <c r="DI84" s="35"/>
      <c r="DJ84" s="79"/>
      <c r="DK84" s="79"/>
      <c r="DL84" s="79"/>
      <c r="DM84" s="79"/>
      <c r="DN84" s="79"/>
      <c r="DO84" s="79"/>
      <c r="DP84" s="79"/>
      <c r="DQ84" s="79"/>
      <c r="DR84" s="79"/>
      <c r="DS84" s="79"/>
      <c r="DT84" s="79"/>
      <c r="DU84" s="79"/>
      <c r="DV84" s="35"/>
      <c r="DW84" s="35"/>
      <c r="DX84" s="55" t="s">
        <v>187</v>
      </c>
      <c r="DY84" s="55" t="s">
        <v>187</v>
      </c>
      <c r="DZ84" s="55" t="s">
        <v>30</v>
      </c>
      <c r="EA84" s="55" t="s">
        <v>30</v>
      </c>
      <c r="EB84" s="55" t="s">
        <v>31</v>
      </c>
      <c r="EC84" s="55" t="s">
        <v>32</v>
      </c>
      <c r="ED84" s="56" t="s">
        <v>188</v>
      </c>
      <c r="EE84" s="56" t="s">
        <v>189</v>
      </c>
      <c r="EF84" s="56" t="s">
        <v>190</v>
      </c>
      <c r="EG84" s="56" t="s">
        <v>190</v>
      </c>
      <c r="EH84" s="56" t="s">
        <v>191</v>
      </c>
      <c r="EI84" s="57" t="s">
        <v>192</v>
      </c>
      <c r="EJ84" s="57" t="s">
        <v>193</v>
      </c>
      <c r="EK84" s="57" t="s">
        <v>193</v>
      </c>
      <c r="EL84" s="57" t="s">
        <v>194</v>
      </c>
      <c r="EM84" s="57" t="s">
        <v>194</v>
      </c>
      <c r="EN84" s="57" t="s">
        <v>195</v>
      </c>
      <c r="EO84" s="58" t="s">
        <v>196</v>
      </c>
      <c r="EP84" s="58" t="s">
        <v>196</v>
      </c>
      <c r="EQ84" s="58" t="s">
        <v>197</v>
      </c>
      <c r="ER84" s="58" t="s">
        <v>198</v>
      </c>
      <c r="ES84" s="58" t="s">
        <v>198</v>
      </c>
      <c r="ET84" s="35"/>
      <c r="EU84" s="58" t="s">
        <v>199</v>
      </c>
      <c r="EV84" s="42" t="s">
        <v>33</v>
      </c>
      <c r="EW84" s="42" t="s">
        <v>33</v>
      </c>
      <c r="EX84" s="42" t="s">
        <v>34</v>
      </c>
      <c r="EY84" s="42" t="s">
        <v>34</v>
      </c>
      <c r="EZ84" s="42" t="s">
        <v>35</v>
      </c>
      <c r="FA84" s="42" t="s">
        <v>36</v>
      </c>
      <c r="FB84" s="59" t="s">
        <v>200</v>
      </c>
      <c r="FC84" s="59" t="s">
        <v>201</v>
      </c>
      <c r="FD84" s="59" t="s">
        <v>202</v>
      </c>
      <c r="FE84" s="59" t="s">
        <v>202</v>
      </c>
      <c r="FF84" s="59" t="s">
        <v>203</v>
      </c>
      <c r="FG84" s="35"/>
      <c r="FH84" s="35"/>
      <c r="FI84" s="35"/>
      <c r="FJ84" s="35"/>
      <c r="FK84" s="35"/>
      <c r="FL84" s="79"/>
      <c r="FM84" s="35"/>
      <c r="FN84" s="35"/>
      <c r="FO84" s="35"/>
      <c r="FP84" s="35"/>
      <c r="FQ84" s="35"/>
      <c r="FR84" s="35"/>
      <c r="FS84" s="35"/>
      <c r="FT84" s="35"/>
      <c r="FU84" s="35"/>
      <c r="FV84" s="35"/>
      <c r="FW84" s="35"/>
      <c r="FX84" s="35"/>
      <c r="FY84" s="35"/>
      <c r="FZ84" s="35"/>
      <c r="GA84" s="35"/>
      <c r="GB84" s="35"/>
      <c r="GC84" s="35"/>
      <c r="GD84" s="35"/>
      <c r="GE84" s="35"/>
      <c r="GF84" s="35"/>
      <c r="GG84" s="35"/>
      <c r="GH84" s="35"/>
      <c r="GI84" s="35"/>
      <c r="GJ84" s="35"/>
      <c r="GK84" s="35"/>
      <c r="GL84" s="35"/>
      <c r="GM84" s="35"/>
      <c r="GN84" s="35"/>
      <c r="GO84" s="35"/>
      <c r="GP84" s="35"/>
      <c r="GQ84" s="35"/>
      <c r="GR84" s="35"/>
      <c r="GS84" s="35"/>
      <c r="GT84" s="35"/>
      <c r="GU84" s="35"/>
      <c r="GV84" s="79"/>
      <c r="GW84" s="79"/>
      <c r="GX84" s="79"/>
      <c r="GY84" s="79"/>
      <c r="GZ84" s="79"/>
      <c r="HA84" s="79"/>
      <c r="HB84" s="79"/>
      <c r="HC84" s="79"/>
      <c r="HD84" s="79"/>
      <c r="HE84" s="79"/>
      <c r="HF84" s="79"/>
      <c r="HG84" s="79"/>
      <c r="HH84" s="79"/>
      <c r="HI84" s="79"/>
      <c r="HJ84" s="79"/>
      <c r="HK84" s="79"/>
      <c r="HL84" s="79"/>
      <c r="HM84" s="79"/>
      <c r="HN84" s="79"/>
      <c r="HO84" s="79"/>
      <c r="HP84" s="79"/>
      <c r="HQ84" s="79"/>
      <c r="HR84" s="79"/>
      <c r="HS84" s="79"/>
      <c r="HT84" s="79"/>
      <c r="HU84" s="79"/>
      <c r="HV84" s="79"/>
      <c r="HW84" s="79"/>
      <c r="HX84" s="79"/>
      <c r="HY84" s="79"/>
      <c r="HZ84" s="79"/>
      <c r="IA84" s="79"/>
      <c r="IB84" s="79"/>
      <c r="IC84" s="79"/>
      <c r="ID84" s="79"/>
      <c r="IE84" s="79"/>
      <c r="IF84" s="79"/>
      <c r="IG84" s="79"/>
      <c r="IH84" s="79"/>
      <c r="II84" s="79"/>
      <c r="IJ84" s="79"/>
      <c r="IK84" s="79"/>
      <c r="IL84" s="79"/>
      <c r="IM84" s="79"/>
      <c r="IN84" s="79"/>
      <c r="IO84" s="79"/>
      <c r="IP84" s="79"/>
      <c r="IQ84" s="79"/>
      <c r="IR84" s="79"/>
      <c r="IS84" s="79"/>
      <c r="IT84" s="79"/>
      <c r="IU84" s="79"/>
      <c r="IV84" s="79"/>
      <c r="IW84" s="79"/>
    </row>
    <row r="85" spans="2:257" s="15" customFormat="1" ht="14.4">
      <c r="B85" s="30">
        <f t="shared" si="149"/>
        <v>4.1199999999999974</v>
      </c>
      <c r="C85" s="37" t="s">
        <v>67</v>
      </c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79"/>
      <c r="BD85" s="79"/>
      <c r="BE85" s="79"/>
      <c r="BF85" s="79"/>
      <c r="BG85" s="79"/>
      <c r="BH85" s="79"/>
      <c r="BI85" s="79"/>
      <c r="BJ85" s="79"/>
      <c r="BK85" s="79"/>
      <c r="BL85" s="79"/>
      <c r="BM85" s="79"/>
      <c r="BN85" s="79"/>
      <c r="BO85" s="79"/>
      <c r="BP85" s="79"/>
      <c r="BQ85" s="79"/>
      <c r="BR85" s="79"/>
      <c r="BS85" s="79"/>
      <c r="BT85" s="79"/>
      <c r="BU85" s="79"/>
      <c r="BV85" s="79"/>
      <c r="BW85" s="79"/>
      <c r="BX85" s="79"/>
      <c r="BY85" s="79"/>
      <c r="BZ85" s="79"/>
      <c r="CA85" s="79"/>
      <c r="CB85" s="79"/>
      <c r="CC85" s="79"/>
      <c r="CD85" s="79"/>
      <c r="CE85" s="79"/>
      <c r="CF85" s="35"/>
      <c r="CG85" s="34"/>
      <c r="CH85" s="34"/>
      <c r="CI85" s="34"/>
      <c r="CJ85" s="34"/>
      <c r="CK85" s="34"/>
      <c r="CL85" s="34"/>
      <c r="CM85" s="34"/>
      <c r="CN85" s="34"/>
      <c r="CO85" s="35"/>
      <c r="CP85" s="35"/>
      <c r="CQ85" s="35"/>
      <c r="CR85" s="79"/>
      <c r="CS85" s="79"/>
      <c r="CT85" s="79"/>
      <c r="CU85" s="79"/>
      <c r="CV85" s="35"/>
      <c r="CW85" s="35"/>
      <c r="CX85" s="35"/>
      <c r="CY85" s="35"/>
      <c r="CZ85" s="35"/>
      <c r="DA85" s="35"/>
      <c r="DB85" s="79"/>
      <c r="DC85" s="35"/>
      <c r="DD85" s="35"/>
      <c r="DE85" s="35"/>
      <c r="DF85" s="35"/>
      <c r="DG85" s="35"/>
      <c r="DH85" s="79"/>
      <c r="DI85" s="35"/>
      <c r="DJ85" s="79"/>
      <c r="DK85" s="79"/>
      <c r="DL85" s="79"/>
      <c r="DM85" s="79"/>
      <c r="DN85" s="79"/>
      <c r="DO85" s="79"/>
      <c r="DP85" s="79"/>
      <c r="DQ85" s="79"/>
      <c r="DR85" s="79"/>
      <c r="DS85" s="79"/>
      <c r="DT85" s="79"/>
      <c r="DU85" s="79"/>
      <c r="DV85" s="35"/>
      <c r="DW85" s="35"/>
      <c r="DX85" s="55" t="s">
        <v>187</v>
      </c>
      <c r="DY85" s="55" t="s">
        <v>187</v>
      </c>
      <c r="DZ85" s="55" t="s">
        <v>30</v>
      </c>
      <c r="EA85" s="55" t="s">
        <v>30</v>
      </c>
      <c r="EB85" s="55" t="s">
        <v>31</v>
      </c>
      <c r="EC85" s="55" t="s">
        <v>32</v>
      </c>
      <c r="ED85" s="56" t="s">
        <v>188</v>
      </c>
      <c r="EE85" s="56" t="s">
        <v>189</v>
      </c>
      <c r="EF85" s="56" t="s">
        <v>190</v>
      </c>
      <c r="EG85" s="56" t="s">
        <v>190</v>
      </c>
      <c r="EH85" s="56" t="s">
        <v>191</v>
      </c>
      <c r="EI85" s="57" t="s">
        <v>192</v>
      </c>
      <c r="EJ85" s="57" t="s">
        <v>193</v>
      </c>
      <c r="EK85" s="57" t="s">
        <v>193</v>
      </c>
      <c r="EL85" s="57" t="s">
        <v>194</v>
      </c>
      <c r="EM85" s="57" t="s">
        <v>194</v>
      </c>
      <c r="EN85" s="57" t="s">
        <v>195</v>
      </c>
      <c r="EO85" s="58" t="s">
        <v>196</v>
      </c>
      <c r="EP85" s="58" t="s">
        <v>196</v>
      </c>
      <c r="EQ85" s="58" t="s">
        <v>197</v>
      </c>
      <c r="ER85" s="58" t="s">
        <v>198</v>
      </c>
      <c r="ES85" s="58" t="s">
        <v>198</v>
      </c>
      <c r="ET85" s="35"/>
      <c r="EU85" s="58" t="s">
        <v>199</v>
      </c>
      <c r="EV85" s="42" t="s">
        <v>33</v>
      </c>
      <c r="EW85" s="42" t="s">
        <v>33</v>
      </c>
      <c r="EX85" s="42" t="s">
        <v>34</v>
      </c>
      <c r="EY85" s="42" t="s">
        <v>34</v>
      </c>
      <c r="EZ85" s="42" t="s">
        <v>35</v>
      </c>
      <c r="FA85" s="42" t="s">
        <v>36</v>
      </c>
      <c r="FB85" s="59" t="s">
        <v>200</v>
      </c>
      <c r="FC85" s="59" t="s">
        <v>201</v>
      </c>
      <c r="FD85" s="59" t="s">
        <v>202</v>
      </c>
      <c r="FE85" s="59" t="s">
        <v>202</v>
      </c>
      <c r="FF85" s="59" t="s">
        <v>203</v>
      </c>
      <c r="FG85" s="35"/>
      <c r="FH85" s="35"/>
      <c r="FI85" s="35"/>
      <c r="FJ85" s="35"/>
      <c r="FK85" s="35"/>
      <c r="FL85" s="79"/>
      <c r="FM85" s="35"/>
      <c r="FN85" s="35"/>
      <c r="FO85" s="35"/>
      <c r="FP85" s="35"/>
      <c r="FQ85" s="35"/>
      <c r="FR85" s="35"/>
      <c r="FS85" s="35"/>
      <c r="FT85" s="35"/>
      <c r="FU85" s="35"/>
      <c r="FV85" s="35"/>
      <c r="FW85" s="35"/>
      <c r="FX85" s="35"/>
      <c r="FY85" s="35"/>
      <c r="FZ85" s="35"/>
      <c r="GA85" s="35"/>
      <c r="GB85" s="35"/>
      <c r="GC85" s="35"/>
      <c r="GD85" s="35"/>
      <c r="GE85" s="35"/>
      <c r="GF85" s="35"/>
      <c r="GG85" s="35"/>
      <c r="GH85" s="35"/>
      <c r="GI85" s="35"/>
      <c r="GJ85" s="35"/>
      <c r="GK85" s="35"/>
      <c r="GL85" s="35"/>
      <c r="GM85" s="35"/>
      <c r="GN85" s="35"/>
      <c r="GO85" s="35"/>
      <c r="GP85" s="35"/>
      <c r="GQ85" s="35"/>
      <c r="GR85" s="35"/>
      <c r="GS85" s="35"/>
      <c r="GT85" s="35"/>
      <c r="GU85" s="35"/>
      <c r="GV85" s="79"/>
      <c r="GW85" s="79"/>
      <c r="GX85" s="79"/>
      <c r="GY85" s="79"/>
      <c r="GZ85" s="79"/>
      <c r="HA85" s="79"/>
      <c r="HB85" s="79"/>
      <c r="HC85" s="79"/>
      <c r="HD85" s="79"/>
      <c r="HE85" s="79"/>
      <c r="HF85" s="79"/>
      <c r="HG85" s="79"/>
      <c r="HH85" s="79"/>
      <c r="HI85" s="79"/>
      <c r="HJ85" s="79"/>
      <c r="HK85" s="79"/>
      <c r="HL85" s="79"/>
      <c r="HM85" s="79"/>
      <c r="HN85" s="79"/>
      <c r="HO85" s="79"/>
      <c r="HP85" s="79"/>
      <c r="HQ85" s="79"/>
      <c r="HR85" s="79"/>
      <c r="HS85" s="79"/>
      <c r="HT85" s="79"/>
      <c r="HU85" s="79"/>
      <c r="HV85" s="79"/>
      <c r="HW85" s="79"/>
      <c r="HX85" s="79"/>
      <c r="HY85" s="79"/>
      <c r="HZ85" s="79"/>
      <c r="IA85" s="79"/>
      <c r="IB85" s="79"/>
      <c r="IC85" s="79"/>
      <c r="ID85" s="79"/>
      <c r="IE85" s="79"/>
      <c r="IF85" s="79"/>
      <c r="IG85" s="79"/>
      <c r="IH85" s="79"/>
      <c r="II85" s="79"/>
      <c r="IJ85" s="79"/>
      <c r="IK85" s="79"/>
      <c r="IL85" s="79"/>
      <c r="IM85" s="79"/>
      <c r="IN85" s="79"/>
      <c r="IO85" s="79"/>
      <c r="IP85" s="79"/>
      <c r="IQ85" s="79"/>
      <c r="IR85" s="79"/>
      <c r="IS85" s="79"/>
      <c r="IT85" s="79"/>
      <c r="IU85" s="79"/>
      <c r="IV85" s="79"/>
      <c r="IW85" s="79"/>
    </row>
    <row r="86" spans="2:257" s="15" customFormat="1" ht="14.4">
      <c r="B86" s="30">
        <f t="shared" si="149"/>
        <v>4.1299999999999972</v>
      </c>
      <c r="C86" s="37" t="s">
        <v>68</v>
      </c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79"/>
      <c r="BD86" s="79"/>
      <c r="BE86" s="79"/>
      <c r="BF86" s="79"/>
      <c r="BG86" s="79"/>
      <c r="BH86" s="79"/>
      <c r="BI86" s="79"/>
      <c r="BJ86" s="79"/>
      <c r="BK86" s="79"/>
      <c r="BL86" s="79"/>
      <c r="BM86" s="79"/>
      <c r="BN86" s="79"/>
      <c r="BO86" s="79"/>
      <c r="BP86" s="79"/>
      <c r="BQ86" s="79"/>
      <c r="BR86" s="79"/>
      <c r="BS86" s="79"/>
      <c r="BT86" s="79"/>
      <c r="BU86" s="79"/>
      <c r="BV86" s="79"/>
      <c r="BW86" s="79"/>
      <c r="BX86" s="79"/>
      <c r="BY86" s="79"/>
      <c r="BZ86" s="79"/>
      <c r="CA86" s="79"/>
      <c r="CB86" s="79"/>
      <c r="CC86" s="79"/>
      <c r="CD86" s="79"/>
      <c r="CE86" s="79"/>
      <c r="CF86" s="35"/>
      <c r="CG86" s="34"/>
      <c r="CH86" s="34"/>
      <c r="CI86" s="34"/>
      <c r="CJ86" s="34"/>
      <c r="CK86" s="34"/>
      <c r="CL86" s="34"/>
      <c r="CM86" s="34"/>
      <c r="CN86" s="34"/>
      <c r="CO86" s="35"/>
      <c r="CP86" s="35"/>
      <c r="CQ86" s="35"/>
      <c r="CR86" s="79"/>
      <c r="CS86" s="79"/>
      <c r="CT86" s="79"/>
      <c r="CU86" s="79"/>
      <c r="CV86" s="35"/>
      <c r="CW86" s="35"/>
      <c r="CX86" s="35"/>
      <c r="CY86" s="35"/>
      <c r="CZ86" s="35"/>
      <c r="DA86" s="35"/>
      <c r="DB86" s="79"/>
      <c r="DC86" s="35"/>
      <c r="DD86" s="35"/>
      <c r="DE86" s="35"/>
      <c r="DF86" s="35"/>
      <c r="DG86" s="35"/>
      <c r="DH86" s="79"/>
      <c r="DI86" s="35"/>
      <c r="DJ86" s="79"/>
      <c r="DK86" s="79"/>
      <c r="DL86" s="79"/>
      <c r="DM86" s="79"/>
      <c r="DN86" s="79"/>
      <c r="DO86" s="79"/>
      <c r="DP86" s="79"/>
      <c r="DQ86" s="79"/>
      <c r="DR86" s="79"/>
      <c r="DS86" s="79"/>
      <c r="DT86" s="79"/>
      <c r="DU86" s="79"/>
      <c r="DV86" s="35"/>
      <c r="DW86" s="35"/>
      <c r="DX86" s="55" t="s">
        <v>187</v>
      </c>
      <c r="DY86" s="55" t="s">
        <v>187</v>
      </c>
      <c r="DZ86" s="55" t="s">
        <v>30</v>
      </c>
      <c r="EA86" s="55" t="s">
        <v>30</v>
      </c>
      <c r="EB86" s="55" t="s">
        <v>31</v>
      </c>
      <c r="EC86" s="55" t="s">
        <v>32</v>
      </c>
      <c r="ED86" s="56" t="s">
        <v>188</v>
      </c>
      <c r="EE86" s="56" t="s">
        <v>189</v>
      </c>
      <c r="EF86" s="56" t="s">
        <v>190</v>
      </c>
      <c r="EG86" s="56" t="s">
        <v>190</v>
      </c>
      <c r="EH86" s="56" t="s">
        <v>191</v>
      </c>
      <c r="EI86" s="57" t="s">
        <v>192</v>
      </c>
      <c r="EJ86" s="57" t="s">
        <v>193</v>
      </c>
      <c r="EK86" s="57" t="s">
        <v>193</v>
      </c>
      <c r="EL86" s="57" t="s">
        <v>194</v>
      </c>
      <c r="EM86" s="57" t="s">
        <v>194</v>
      </c>
      <c r="EN86" s="57" t="s">
        <v>195</v>
      </c>
      <c r="EO86" s="58" t="s">
        <v>196</v>
      </c>
      <c r="EP86" s="58" t="s">
        <v>196</v>
      </c>
      <c r="EQ86" s="58" t="s">
        <v>197</v>
      </c>
      <c r="ER86" s="58" t="s">
        <v>198</v>
      </c>
      <c r="ES86" s="58" t="s">
        <v>198</v>
      </c>
      <c r="ET86" s="35"/>
      <c r="EU86" s="58" t="s">
        <v>199</v>
      </c>
      <c r="EV86" s="42" t="s">
        <v>33</v>
      </c>
      <c r="EW86" s="42" t="s">
        <v>33</v>
      </c>
      <c r="EX86" s="42" t="s">
        <v>34</v>
      </c>
      <c r="EY86" s="42" t="s">
        <v>34</v>
      </c>
      <c r="EZ86" s="42" t="s">
        <v>35</v>
      </c>
      <c r="FA86" s="42" t="s">
        <v>36</v>
      </c>
      <c r="FB86" s="59" t="s">
        <v>200</v>
      </c>
      <c r="FC86" s="59" t="s">
        <v>201</v>
      </c>
      <c r="FD86" s="59" t="s">
        <v>202</v>
      </c>
      <c r="FE86" s="59" t="s">
        <v>202</v>
      </c>
      <c r="FF86" s="59" t="s">
        <v>203</v>
      </c>
      <c r="FG86" s="35"/>
      <c r="FH86" s="35"/>
      <c r="FI86" s="35"/>
      <c r="FJ86" s="35"/>
      <c r="FK86" s="35"/>
      <c r="FL86" s="79"/>
      <c r="FM86" s="35"/>
      <c r="FN86" s="35"/>
      <c r="FO86" s="35"/>
      <c r="FP86" s="35"/>
      <c r="FQ86" s="35"/>
      <c r="FR86" s="35"/>
      <c r="FS86" s="35"/>
      <c r="FT86" s="35"/>
      <c r="FU86" s="35"/>
      <c r="FV86" s="35"/>
      <c r="FW86" s="35"/>
      <c r="FX86" s="35"/>
      <c r="FY86" s="35"/>
      <c r="FZ86" s="35"/>
      <c r="GA86" s="35"/>
      <c r="GB86" s="35"/>
      <c r="GC86" s="35"/>
      <c r="GD86" s="35"/>
      <c r="GE86" s="35"/>
      <c r="GF86" s="35"/>
      <c r="GG86" s="35"/>
      <c r="GH86" s="35"/>
      <c r="GI86" s="35"/>
      <c r="GJ86" s="35"/>
      <c r="GK86" s="35"/>
      <c r="GL86" s="35"/>
      <c r="GM86" s="35"/>
      <c r="GN86" s="35"/>
      <c r="GO86" s="35"/>
      <c r="GP86" s="35"/>
      <c r="GQ86" s="35"/>
      <c r="GR86" s="35"/>
      <c r="GS86" s="35"/>
      <c r="GT86" s="35"/>
      <c r="GU86" s="35"/>
      <c r="GV86" s="79"/>
      <c r="GW86" s="79"/>
      <c r="GX86" s="79"/>
      <c r="GY86" s="79"/>
      <c r="GZ86" s="79"/>
      <c r="HA86" s="79"/>
      <c r="HB86" s="79"/>
      <c r="HC86" s="79"/>
      <c r="HD86" s="79"/>
      <c r="HE86" s="79"/>
      <c r="HF86" s="79"/>
      <c r="HG86" s="79"/>
      <c r="HH86" s="79"/>
      <c r="HI86" s="79"/>
      <c r="HJ86" s="79"/>
      <c r="HK86" s="79"/>
      <c r="HL86" s="79"/>
      <c r="HM86" s="79"/>
      <c r="HN86" s="79"/>
      <c r="HO86" s="79"/>
      <c r="HP86" s="79"/>
      <c r="HQ86" s="79"/>
      <c r="HR86" s="79"/>
      <c r="HS86" s="79"/>
      <c r="HT86" s="79"/>
      <c r="HU86" s="79"/>
      <c r="HV86" s="79"/>
      <c r="HW86" s="79"/>
      <c r="HX86" s="79"/>
      <c r="HY86" s="79"/>
      <c r="HZ86" s="79"/>
      <c r="IA86" s="79"/>
      <c r="IB86" s="79"/>
      <c r="IC86" s="79"/>
      <c r="ID86" s="79"/>
      <c r="IE86" s="79"/>
      <c r="IF86" s="79"/>
      <c r="IG86" s="79"/>
      <c r="IH86" s="79"/>
      <c r="II86" s="79"/>
      <c r="IJ86" s="79"/>
      <c r="IK86" s="79"/>
      <c r="IL86" s="79"/>
      <c r="IM86" s="79"/>
      <c r="IN86" s="79"/>
      <c r="IO86" s="79"/>
      <c r="IP86" s="79"/>
      <c r="IQ86" s="79"/>
      <c r="IR86" s="79"/>
      <c r="IS86" s="79"/>
      <c r="IT86" s="79"/>
      <c r="IU86" s="79"/>
      <c r="IV86" s="79"/>
      <c r="IW86" s="79"/>
    </row>
    <row r="87" spans="2:257" s="15" customFormat="1" ht="14.4">
      <c r="B87" s="30">
        <f t="shared" si="149"/>
        <v>4.139999999999997</v>
      </c>
      <c r="C87" s="37" t="s">
        <v>69</v>
      </c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79"/>
      <c r="BD87" s="79"/>
      <c r="BE87" s="79"/>
      <c r="BF87" s="79"/>
      <c r="BG87" s="79"/>
      <c r="BH87" s="79"/>
      <c r="BI87" s="79"/>
      <c r="BJ87" s="79"/>
      <c r="BK87" s="79"/>
      <c r="BL87" s="79"/>
      <c r="BM87" s="79"/>
      <c r="BN87" s="79"/>
      <c r="BO87" s="79"/>
      <c r="BP87" s="79"/>
      <c r="BQ87" s="79"/>
      <c r="BR87" s="79"/>
      <c r="BS87" s="79"/>
      <c r="BT87" s="79"/>
      <c r="BU87" s="79"/>
      <c r="BV87" s="79"/>
      <c r="BW87" s="79"/>
      <c r="BX87" s="79"/>
      <c r="BY87" s="79"/>
      <c r="BZ87" s="79"/>
      <c r="CA87" s="79"/>
      <c r="CB87" s="79"/>
      <c r="CC87" s="79"/>
      <c r="CD87" s="79"/>
      <c r="CE87" s="79"/>
      <c r="CF87" s="35"/>
      <c r="CG87" s="34"/>
      <c r="CH87" s="34"/>
      <c r="CI87" s="34"/>
      <c r="CJ87" s="34"/>
      <c r="CK87" s="34"/>
      <c r="CL87" s="34"/>
      <c r="CM87" s="34"/>
      <c r="CN87" s="34"/>
      <c r="CO87" s="35"/>
      <c r="CP87" s="35"/>
      <c r="CQ87" s="35"/>
      <c r="CR87" s="79"/>
      <c r="CS87" s="79"/>
      <c r="CT87" s="79"/>
      <c r="CU87" s="79"/>
      <c r="CV87" s="35"/>
      <c r="CW87" s="35"/>
      <c r="CX87" s="35"/>
      <c r="CY87" s="35"/>
      <c r="CZ87" s="35"/>
      <c r="DA87" s="35"/>
      <c r="DB87" s="79"/>
      <c r="DC87" s="35"/>
      <c r="DD87" s="35"/>
      <c r="DE87" s="35"/>
      <c r="DF87" s="35"/>
      <c r="DG87" s="35"/>
      <c r="DH87" s="79"/>
      <c r="DI87" s="35"/>
      <c r="DJ87" s="79"/>
      <c r="DK87" s="79"/>
      <c r="DL87" s="79"/>
      <c r="DM87" s="79"/>
      <c r="DN87" s="79"/>
      <c r="DO87" s="79"/>
      <c r="DP87" s="79"/>
      <c r="DQ87" s="79"/>
      <c r="DR87" s="79"/>
      <c r="DS87" s="79"/>
      <c r="DT87" s="79"/>
      <c r="DU87" s="79"/>
      <c r="DV87" s="35"/>
      <c r="DW87" s="35"/>
      <c r="DX87" s="35"/>
      <c r="DY87" s="79"/>
      <c r="DZ87" s="55" t="s">
        <v>187</v>
      </c>
      <c r="EA87" s="55" t="s">
        <v>225</v>
      </c>
      <c r="EB87" s="55" t="s">
        <v>30</v>
      </c>
      <c r="EC87" s="55" t="s">
        <v>31</v>
      </c>
      <c r="ED87" s="55" t="s">
        <v>32</v>
      </c>
      <c r="EE87" s="56" t="s">
        <v>188</v>
      </c>
      <c r="EF87" s="56" t="s">
        <v>189</v>
      </c>
      <c r="EG87" s="56" t="s">
        <v>189</v>
      </c>
      <c r="EH87" s="56" t="s">
        <v>190</v>
      </c>
      <c r="EI87" s="56" t="s">
        <v>191</v>
      </c>
      <c r="EJ87" s="57" t="s">
        <v>192</v>
      </c>
      <c r="EK87" s="57" t="s">
        <v>192</v>
      </c>
      <c r="EL87" s="57" t="s">
        <v>193</v>
      </c>
      <c r="EM87" s="57" t="s">
        <v>193</v>
      </c>
      <c r="EN87" s="57" t="s">
        <v>194</v>
      </c>
      <c r="EO87" s="57" t="s">
        <v>195</v>
      </c>
      <c r="EP87" s="57" t="s">
        <v>195</v>
      </c>
      <c r="EQ87" s="58" t="s">
        <v>196</v>
      </c>
      <c r="ER87" s="58" t="s">
        <v>197</v>
      </c>
      <c r="ES87" s="58" t="s">
        <v>197</v>
      </c>
      <c r="ET87" s="35"/>
      <c r="EU87" s="58" t="s">
        <v>198</v>
      </c>
      <c r="EV87" s="58" t="s">
        <v>199</v>
      </c>
      <c r="EW87" s="58" t="s">
        <v>199</v>
      </c>
      <c r="EX87" s="42" t="s">
        <v>33</v>
      </c>
      <c r="EY87" s="42" t="s">
        <v>33</v>
      </c>
      <c r="EZ87" s="42" t="s">
        <v>34</v>
      </c>
      <c r="FA87" s="42" t="s">
        <v>35</v>
      </c>
      <c r="FB87" s="42" t="s">
        <v>36</v>
      </c>
      <c r="FC87" s="59" t="s">
        <v>200</v>
      </c>
      <c r="FD87" s="59" t="s">
        <v>201</v>
      </c>
      <c r="FE87" s="59" t="s">
        <v>201</v>
      </c>
      <c r="FF87" s="59" t="s">
        <v>202</v>
      </c>
      <c r="FG87" s="59" t="s">
        <v>203</v>
      </c>
      <c r="FH87" s="35"/>
      <c r="FI87" s="35"/>
      <c r="FJ87" s="35"/>
      <c r="FK87" s="35"/>
      <c r="FL87" s="79"/>
      <c r="FM87" s="35"/>
      <c r="FN87" s="35"/>
      <c r="FO87" s="35"/>
      <c r="FP87" s="35"/>
      <c r="FQ87" s="35"/>
      <c r="FR87" s="35"/>
      <c r="FS87" s="35"/>
      <c r="FT87" s="35"/>
      <c r="FU87" s="35"/>
      <c r="FV87" s="35"/>
      <c r="FW87" s="35"/>
      <c r="FX87" s="35"/>
      <c r="FY87" s="35"/>
      <c r="FZ87" s="35"/>
      <c r="GA87" s="35"/>
      <c r="GB87" s="35"/>
      <c r="GC87" s="35"/>
      <c r="GD87" s="35"/>
      <c r="GE87" s="35"/>
      <c r="GF87" s="35"/>
      <c r="GG87" s="35"/>
      <c r="GH87" s="35"/>
      <c r="GI87" s="35"/>
      <c r="GJ87" s="35"/>
      <c r="GK87" s="35"/>
      <c r="GL87" s="35"/>
      <c r="GM87" s="35"/>
      <c r="GN87" s="35"/>
      <c r="GO87" s="35"/>
      <c r="GP87" s="35"/>
      <c r="GQ87" s="35"/>
      <c r="GR87" s="35"/>
      <c r="GS87" s="35"/>
      <c r="GT87" s="35"/>
      <c r="GU87" s="35"/>
      <c r="GV87" s="79"/>
      <c r="GW87" s="79"/>
      <c r="GX87" s="79"/>
      <c r="GY87" s="79"/>
      <c r="GZ87" s="79"/>
      <c r="HA87" s="79"/>
      <c r="HB87" s="79"/>
      <c r="HC87" s="79"/>
      <c r="HD87" s="79"/>
      <c r="HE87" s="79"/>
      <c r="HF87" s="79"/>
      <c r="HG87" s="79"/>
      <c r="HH87" s="79"/>
      <c r="HI87" s="79"/>
      <c r="HJ87" s="79"/>
      <c r="HK87" s="79"/>
      <c r="HL87" s="79"/>
      <c r="HM87" s="79"/>
      <c r="HN87" s="79"/>
      <c r="HO87" s="79"/>
      <c r="HP87" s="79"/>
      <c r="HQ87" s="79"/>
      <c r="HR87" s="79"/>
      <c r="HS87" s="79"/>
      <c r="HT87" s="79"/>
      <c r="HU87" s="79"/>
      <c r="HV87" s="79"/>
      <c r="HW87" s="79"/>
      <c r="HX87" s="79"/>
      <c r="HY87" s="79"/>
      <c r="HZ87" s="79"/>
      <c r="IA87" s="79"/>
      <c r="IB87" s="79"/>
      <c r="IC87" s="79"/>
      <c r="ID87" s="79"/>
      <c r="IE87" s="79"/>
      <c r="IF87" s="79"/>
      <c r="IG87" s="79"/>
      <c r="IH87" s="79"/>
      <c r="II87" s="79"/>
      <c r="IJ87" s="79"/>
      <c r="IK87" s="79"/>
      <c r="IL87" s="79"/>
      <c r="IM87" s="79"/>
      <c r="IN87" s="79"/>
      <c r="IO87" s="79"/>
      <c r="IP87" s="79"/>
      <c r="IQ87" s="79"/>
      <c r="IR87" s="79"/>
      <c r="IS87" s="79"/>
      <c r="IT87" s="79"/>
      <c r="IU87" s="79"/>
      <c r="IV87" s="79"/>
      <c r="IW87" s="79"/>
    </row>
    <row r="88" spans="2:257" s="15" customFormat="1" ht="14.4">
      <c r="B88" s="30">
        <f t="shared" si="149"/>
        <v>4.1499999999999968</v>
      </c>
      <c r="C88" s="37" t="s">
        <v>70</v>
      </c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79"/>
      <c r="BD88" s="79"/>
      <c r="BE88" s="79"/>
      <c r="BF88" s="79"/>
      <c r="BG88" s="79"/>
      <c r="BH88" s="79"/>
      <c r="BI88" s="79"/>
      <c r="BJ88" s="79"/>
      <c r="BK88" s="79"/>
      <c r="BL88" s="79"/>
      <c r="BM88" s="79"/>
      <c r="BN88" s="79"/>
      <c r="BO88" s="79"/>
      <c r="BP88" s="79"/>
      <c r="BQ88" s="79"/>
      <c r="BR88" s="79"/>
      <c r="BS88" s="79"/>
      <c r="BT88" s="79"/>
      <c r="BU88" s="79"/>
      <c r="BV88" s="79"/>
      <c r="BW88" s="79"/>
      <c r="BX88" s="79"/>
      <c r="BY88" s="79"/>
      <c r="BZ88" s="79"/>
      <c r="CA88" s="79"/>
      <c r="CB88" s="79"/>
      <c r="CC88" s="79"/>
      <c r="CD88" s="79"/>
      <c r="CE88" s="79"/>
      <c r="CF88" s="35"/>
      <c r="CG88" s="34"/>
      <c r="CH88" s="34"/>
      <c r="CI88" s="34"/>
      <c r="CJ88" s="34"/>
      <c r="CK88" s="34"/>
      <c r="CL88" s="34"/>
      <c r="CM88" s="34"/>
      <c r="CN88" s="34"/>
      <c r="CO88" s="35"/>
      <c r="CP88" s="35"/>
      <c r="CQ88" s="35"/>
      <c r="CR88" s="79"/>
      <c r="CS88" s="79"/>
      <c r="CT88" s="79"/>
      <c r="CU88" s="79"/>
      <c r="CV88" s="35"/>
      <c r="CW88" s="35"/>
      <c r="CX88" s="35"/>
      <c r="CY88" s="35"/>
      <c r="CZ88" s="35"/>
      <c r="DA88" s="35"/>
      <c r="DB88" s="79"/>
      <c r="DC88" s="35"/>
      <c r="DD88" s="35"/>
      <c r="DE88" s="35"/>
      <c r="DF88" s="35"/>
      <c r="DG88" s="35"/>
      <c r="DH88" s="79"/>
      <c r="DI88" s="35"/>
      <c r="DJ88" s="79"/>
      <c r="DK88" s="79"/>
      <c r="DL88" s="79"/>
      <c r="DM88" s="79"/>
      <c r="DN88" s="79"/>
      <c r="DO88" s="79"/>
      <c r="DP88" s="79"/>
      <c r="DQ88" s="79"/>
      <c r="DR88" s="79"/>
      <c r="DS88" s="79"/>
      <c r="DT88" s="79"/>
      <c r="DU88" s="79"/>
      <c r="DV88" s="35"/>
      <c r="DW88" s="35"/>
      <c r="DX88" s="35"/>
      <c r="DY88" s="35"/>
      <c r="DZ88" s="79"/>
      <c r="EA88" s="79"/>
      <c r="EB88" s="55" t="s">
        <v>187</v>
      </c>
      <c r="EC88" s="55" t="s">
        <v>30</v>
      </c>
      <c r="ED88" s="55" t="s">
        <v>31</v>
      </c>
      <c r="EE88" s="55" t="s">
        <v>32</v>
      </c>
      <c r="EF88" s="56" t="s">
        <v>188</v>
      </c>
      <c r="EG88" s="56" t="s">
        <v>188</v>
      </c>
      <c r="EH88" s="56" t="s">
        <v>189</v>
      </c>
      <c r="EI88" s="56" t="s">
        <v>190</v>
      </c>
      <c r="EJ88" s="56" t="s">
        <v>191</v>
      </c>
      <c r="EK88" s="56" t="s">
        <v>191</v>
      </c>
      <c r="EL88" s="57" t="s">
        <v>192</v>
      </c>
      <c r="EM88" s="57" t="s">
        <v>192</v>
      </c>
      <c r="EN88" s="57" t="s">
        <v>193</v>
      </c>
      <c r="EO88" s="57" t="s">
        <v>194</v>
      </c>
      <c r="EP88" s="57" t="s">
        <v>194</v>
      </c>
      <c r="EQ88" s="57" t="s">
        <v>195</v>
      </c>
      <c r="ER88" s="58" t="s">
        <v>196</v>
      </c>
      <c r="ES88" s="58" t="s">
        <v>196</v>
      </c>
      <c r="ET88" s="35"/>
      <c r="EU88" s="58" t="s">
        <v>197</v>
      </c>
      <c r="EV88" s="58" t="s">
        <v>198</v>
      </c>
      <c r="EW88" s="58" t="s">
        <v>198</v>
      </c>
      <c r="EX88" s="58" t="s">
        <v>199</v>
      </c>
      <c r="EY88" s="58" t="s">
        <v>199</v>
      </c>
      <c r="EZ88" s="42" t="s">
        <v>33</v>
      </c>
      <c r="FA88" s="42" t="s">
        <v>34</v>
      </c>
      <c r="FB88" s="42" t="s">
        <v>35</v>
      </c>
      <c r="FC88" s="42" t="s">
        <v>36</v>
      </c>
      <c r="FD88" s="59" t="s">
        <v>200</v>
      </c>
      <c r="FE88" s="59" t="s">
        <v>200</v>
      </c>
      <c r="FF88" s="59" t="s">
        <v>201</v>
      </c>
      <c r="FG88" s="59" t="s">
        <v>202</v>
      </c>
      <c r="FH88" s="59" t="s">
        <v>203</v>
      </c>
      <c r="FI88" s="59" t="s">
        <v>203</v>
      </c>
      <c r="FJ88" s="35"/>
      <c r="FK88" s="35"/>
      <c r="FL88" s="79"/>
      <c r="FM88" s="35"/>
      <c r="FN88" s="35"/>
      <c r="FO88" s="35"/>
      <c r="FP88" s="35"/>
      <c r="FQ88" s="35"/>
      <c r="FR88" s="35"/>
      <c r="FS88" s="35"/>
      <c r="FT88" s="35"/>
      <c r="FU88" s="35"/>
      <c r="FV88" s="35"/>
      <c r="FW88" s="35"/>
      <c r="FX88" s="35"/>
      <c r="FY88" s="35"/>
      <c r="FZ88" s="35"/>
      <c r="GA88" s="35"/>
      <c r="GB88" s="35"/>
      <c r="GC88" s="35"/>
      <c r="GD88" s="35"/>
      <c r="GE88" s="35"/>
      <c r="GF88" s="35"/>
      <c r="GG88" s="35"/>
      <c r="GH88" s="35"/>
      <c r="GI88" s="35"/>
      <c r="GJ88" s="35"/>
      <c r="GK88" s="35"/>
      <c r="GL88" s="35"/>
      <c r="GM88" s="35"/>
      <c r="GN88" s="35"/>
      <c r="GO88" s="35"/>
      <c r="GP88" s="35"/>
      <c r="GQ88" s="35"/>
      <c r="GR88" s="35"/>
      <c r="GS88" s="35"/>
      <c r="GT88" s="35"/>
      <c r="GU88" s="35"/>
      <c r="GV88" s="79"/>
      <c r="GW88" s="79"/>
      <c r="GX88" s="79"/>
      <c r="GY88" s="79"/>
      <c r="GZ88" s="79"/>
      <c r="HA88" s="79"/>
      <c r="HB88" s="79"/>
      <c r="HC88" s="79"/>
      <c r="HD88" s="79"/>
      <c r="HE88" s="79"/>
      <c r="HF88" s="79"/>
      <c r="HG88" s="79"/>
      <c r="HH88" s="79"/>
      <c r="HI88" s="79"/>
      <c r="HJ88" s="79"/>
      <c r="HK88" s="79"/>
      <c r="HL88" s="79"/>
      <c r="HM88" s="79"/>
      <c r="HN88" s="79"/>
      <c r="HO88" s="79"/>
      <c r="HP88" s="79"/>
      <c r="HQ88" s="79"/>
      <c r="HR88" s="79"/>
      <c r="HS88" s="79"/>
      <c r="HT88" s="79"/>
      <c r="HU88" s="79"/>
      <c r="HV88" s="79"/>
      <c r="HW88" s="79"/>
      <c r="HX88" s="79"/>
      <c r="HY88" s="79"/>
      <c r="HZ88" s="79"/>
      <c r="IA88" s="79"/>
      <c r="IB88" s="79"/>
      <c r="IC88" s="79"/>
      <c r="ID88" s="79"/>
      <c r="IE88" s="79"/>
      <c r="IF88" s="79"/>
      <c r="IG88" s="79"/>
      <c r="IH88" s="79"/>
      <c r="II88" s="79"/>
      <c r="IJ88" s="79"/>
      <c r="IK88" s="79"/>
      <c r="IL88" s="79"/>
      <c r="IM88" s="79"/>
      <c r="IN88" s="79"/>
      <c r="IO88" s="79"/>
      <c r="IP88" s="79"/>
      <c r="IQ88" s="79"/>
      <c r="IR88" s="79"/>
      <c r="IS88" s="79"/>
      <c r="IT88" s="79"/>
      <c r="IU88" s="79"/>
      <c r="IV88" s="79"/>
      <c r="IW88" s="79"/>
    </row>
    <row r="89" spans="2:257" s="15" customFormat="1" ht="14.4">
      <c r="B89" s="30">
        <f t="shared" si="149"/>
        <v>4.1599999999999966</v>
      </c>
      <c r="C89" s="91" t="s">
        <v>71</v>
      </c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79"/>
      <c r="BD89" s="79"/>
      <c r="BE89" s="79"/>
      <c r="BF89" s="79"/>
      <c r="BG89" s="79"/>
      <c r="BH89" s="79"/>
      <c r="BI89" s="79"/>
      <c r="BJ89" s="79"/>
      <c r="BK89" s="79"/>
      <c r="BL89" s="79"/>
      <c r="BM89" s="79"/>
      <c r="BN89" s="79"/>
      <c r="BO89" s="79"/>
      <c r="BP89" s="79"/>
      <c r="BQ89" s="79"/>
      <c r="BR89" s="79"/>
      <c r="BS89" s="79"/>
      <c r="BT89" s="79"/>
      <c r="BU89" s="79"/>
      <c r="BV89" s="79"/>
      <c r="BW89" s="79"/>
      <c r="BX89" s="79"/>
      <c r="BY89" s="79"/>
      <c r="BZ89" s="79"/>
      <c r="CA89" s="79"/>
      <c r="CB89" s="79"/>
      <c r="CC89" s="79"/>
      <c r="CD89" s="79"/>
      <c r="CE89" s="79"/>
      <c r="CF89" s="35"/>
      <c r="CG89" s="34"/>
      <c r="CH89" s="34"/>
      <c r="CI89" s="34"/>
      <c r="CJ89" s="34"/>
      <c r="CK89" s="34"/>
      <c r="CL89" s="34"/>
      <c r="CM89" s="34"/>
      <c r="CN89" s="34"/>
      <c r="CO89" s="35"/>
      <c r="CP89" s="35"/>
      <c r="CQ89" s="35"/>
      <c r="CR89" s="79"/>
      <c r="CS89" s="79"/>
      <c r="CT89" s="79"/>
      <c r="CU89" s="79"/>
      <c r="CV89" s="35"/>
      <c r="CW89" s="35"/>
      <c r="CX89" s="35"/>
      <c r="CY89" s="35"/>
      <c r="CZ89" s="35"/>
      <c r="DA89" s="35"/>
      <c r="DB89" s="79"/>
      <c r="DC89" s="35"/>
      <c r="DD89" s="35"/>
      <c r="DE89" s="35"/>
      <c r="DF89" s="35"/>
      <c r="DG89" s="35"/>
      <c r="DH89" s="79"/>
      <c r="DI89" s="35"/>
      <c r="DJ89" s="79"/>
      <c r="DK89" s="79"/>
      <c r="DL89" s="79"/>
      <c r="DM89" s="79"/>
      <c r="DN89" s="79"/>
      <c r="DO89" s="79"/>
      <c r="DP89" s="79"/>
      <c r="DQ89" s="79"/>
      <c r="DR89" s="79"/>
      <c r="DS89" s="79"/>
      <c r="DT89" s="79"/>
      <c r="DU89" s="79"/>
      <c r="DV89" s="35"/>
      <c r="DW89" s="35"/>
      <c r="DX89" s="35"/>
      <c r="DY89" s="35"/>
      <c r="DZ89" s="79"/>
      <c r="EA89" s="79"/>
      <c r="EB89" s="55" t="s">
        <v>187</v>
      </c>
      <c r="EC89" s="55" t="s">
        <v>30</v>
      </c>
      <c r="ED89" s="55" t="s">
        <v>31</v>
      </c>
      <c r="EE89" s="55" t="s">
        <v>32</v>
      </c>
      <c r="EF89" s="56" t="s">
        <v>188</v>
      </c>
      <c r="EG89" s="56" t="s">
        <v>188</v>
      </c>
      <c r="EH89" s="56" t="s">
        <v>189</v>
      </c>
      <c r="EI89" s="56" t="s">
        <v>190</v>
      </c>
      <c r="EJ89" s="56" t="s">
        <v>191</v>
      </c>
      <c r="EK89" s="56" t="s">
        <v>191</v>
      </c>
      <c r="EL89" s="57" t="s">
        <v>192</v>
      </c>
      <c r="EM89" s="57" t="s">
        <v>192</v>
      </c>
      <c r="EN89" s="57" t="s">
        <v>193</v>
      </c>
      <c r="EO89" s="57" t="s">
        <v>194</v>
      </c>
      <c r="EP89" s="57" t="s">
        <v>194</v>
      </c>
      <c r="EQ89" s="57" t="s">
        <v>195</v>
      </c>
      <c r="ER89" s="58" t="s">
        <v>196</v>
      </c>
      <c r="ES89" s="58" t="s">
        <v>196</v>
      </c>
      <c r="ET89" s="35"/>
      <c r="EU89" s="58" t="s">
        <v>197</v>
      </c>
      <c r="EV89" s="58" t="s">
        <v>198</v>
      </c>
      <c r="EW89" s="58" t="s">
        <v>198</v>
      </c>
      <c r="EX89" s="58" t="s">
        <v>199</v>
      </c>
      <c r="EY89" s="58" t="s">
        <v>199</v>
      </c>
      <c r="EZ89" s="42" t="s">
        <v>33</v>
      </c>
      <c r="FA89" s="42" t="s">
        <v>34</v>
      </c>
      <c r="FB89" s="42" t="s">
        <v>35</v>
      </c>
      <c r="FC89" s="42" t="s">
        <v>36</v>
      </c>
      <c r="FD89" s="59" t="s">
        <v>200</v>
      </c>
      <c r="FE89" s="59" t="s">
        <v>200</v>
      </c>
      <c r="FF89" s="59" t="s">
        <v>201</v>
      </c>
      <c r="FG89" s="59" t="s">
        <v>202</v>
      </c>
      <c r="FH89" s="59" t="s">
        <v>203</v>
      </c>
      <c r="FI89" s="59" t="s">
        <v>203</v>
      </c>
      <c r="FJ89" s="35"/>
      <c r="FK89" s="35"/>
      <c r="FL89" s="79"/>
      <c r="FM89" s="35"/>
      <c r="FN89" s="35"/>
      <c r="FO89" s="35"/>
      <c r="FP89" s="35"/>
      <c r="FQ89" s="35"/>
      <c r="FR89" s="35"/>
      <c r="FS89" s="35"/>
      <c r="FT89" s="35"/>
      <c r="FU89" s="35"/>
      <c r="FV89" s="35"/>
      <c r="FW89" s="35"/>
      <c r="FX89" s="35"/>
      <c r="FY89" s="35"/>
      <c r="FZ89" s="35"/>
      <c r="GA89" s="35"/>
      <c r="GB89" s="35"/>
      <c r="GC89" s="35"/>
      <c r="GD89" s="35"/>
      <c r="GE89" s="35"/>
      <c r="GF89" s="35"/>
      <c r="GG89" s="35"/>
      <c r="GH89" s="35"/>
      <c r="GI89" s="35"/>
      <c r="GJ89" s="35"/>
      <c r="GK89" s="35"/>
      <c r="GL89" s="35"/>
      <c r="GM89" s="35"/>
      <c r="GN89" s="35"/>
      <c r="GO89" s="35"/>
      <c r="GP89" s="35"/>
      <c r="GQ89" s="35"/>
      <c r="GR89" s="35"/>
      <c r="GS89" s="35"/>
      <c r="GT89" s="35"/>
      <c r="GU89" s="35"/>
      <c r="GV89" s="79"/>
      <c r="GW89" s="79"/>
      <c r="GX89" s="79"/>
      <c r="GY89" s="79"/>
      <c r="GZ89" s="79"/>
      <c r="HA89" s="79"/>
      <c r="HB89" s="79"/>
      <c r="HC89" s="79"/>
      <c r="HD89" s="79"/>
      <c r="HE89" s="79"/>
      <c r="HF89" s="79"/>
      <c r="HG89" s="79"/>
      <c r="HH89" s="79"/>
      <c r="HI89" s="79"/>
      <c r="HJ89" s="79"/>
      <c r="HK89" s="79"/>
      <c r="HL89" s="79"/>
      <c r="HM89" s="79"/>
      <c r="HN89" s="79"/>
      <c r="HO89" s="79"/>
      <c r="HP89" s="79"/>
      <c r="HQ89" s="79"/>
      <c r="HR89" s="79"/>
      <c r="HS89" s="79"/>
      <c r="HT89" s="79"/>
      <c r="HU89" s="79"/>
      <c r="HV89" s="79"/>
      <c r="HW89" s="79"/>
      <c r="HX89" s="79"/>
      <c r="HY89" s="79"/>
      <c r="HZ89" s="79"/>
      <c r="IA89" s="79"/>
      <c r="IB89" s="79"/>
      <c r="IC89" s="79"/>
      <c r="ID89" s="79"/>
      <c r="IE89" s="79"/>
      <c r="IF89" s="79"/>
      <c r="IG89" s="79"/>
      <c r="IH89" s="79"/>
      <c r="II89" s="79"/>
      <c r="IJ89" s="79"/>
      <c r="IK89" s="79"/>
      <c r="IL89" s="79"/>
      <c r="IM89" s="79"/>
      <c r="IN89" s="79"/>
      <c r="IO89" s="79"/>
      <c r="IP89" s="79"/>
      <c r="IQ89" s="79"/>
      <c r="IR89" s="79"/>
      <c r="IS89" s="79"/>
      <c r="IT89" s="79"/>
      <c r="IU89" s="79"/>
      <c r="IV89" s="79"/>
      <c r="IW89" s="79"/>
    </row>
    <row r="90" spans="2:257" s="15" customFormat="1" ht="14.4">
      <c r="B90" s="30">
        <f t="shared" si="149"/>
        <v>4.1699999999999964</v>
      </c>
      <c r="C90" s="37" t="s">
        <v>72</v>
      </c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79"/>
      <c r="BD90" s="79"/>
      <c r="BE90" s="79"/>
      <c r="BF90" s="79"/>
      <c r="BG90" s="79"/>
      <c r="BH90" s="79"/>
      <c r="BI90" s="79"/>
      <c r="BJ90" s="79"/>
      <c r="BK90" s="79"/>
      <c r="BL90" s="79"/>
      <c r="BM90" s="79"/>
      <c r="BN90" s="79"/>
      <c r="BO90" s="79"/>
      <c r="BP90" s="79"/>
      <c r="BQ90" s="79"/>
      <c r="BR90" s="79"/>
      <c r="BS90" s="79"/>
      <c r="BT90" s="79"/>
      <c r="BU90" s="79"/>
      <c r="BV90" s="79"/>
      <c r="BW90" s="79"/>
      <c r="BX90" s="79"/>
      <c r="BY90" s="79"/>
      <c r="BZ90" s="79"/>
      <c r="CA90" s="79"/>
      <c r="CB90" s="79"/>
      <c r="CC90" s="79"/>
      <c r="CD90" s="79"/>
      <c r="CE90" s="79"/>
      <c r="CF90" s="35"/>
      <c r="CG90" s="34"/>
      <c r="CH90" s="34"/>
      <c r="CI90" s="34"/>
      <c r="CJ90" s="34"/>
      <c r="CK90" s="34"/>
      <c r="CL90" s="34"/>
      <c r="CM90" s="34"/>
      <c r="CN90" s="34"/>
      <c r="CO90" s="35"/>
      <c r="CP90" s="35"/>
      <c r="CQ90" s="35"/>
      <c r="CR90" s="79"/>
      <c r="CS90" s="79"/>
      <c r="CT90" s="79"/>
      <c r="CU90" s="79"/>
      <c r="CV90" s="35"/>
      <c r="CW90" s="35"/>
      <c r="CX90" s="35"/>
      <c r="CY90" s="35"/>
      <c r="CZ90" s="35"/>
      <c r="DA90" s="35"/>
      <c r="DB90" s="79"/>
      <c r="DC90" s="35"/>
      <c r="DD90" s="35"/>
      <c r="DE90" s="35"/>
      <c r="DF90" s="35"/>
      <c r="DG90" s="35"/>
      <c r="DH90" s="79"/>
      <c r="DI90" s="35"/>
      <c r="DJ90" s="35"/>
      <c r="DK90" s="35"/>
      <c r="DL90" s="35"/>
      <c r="DM90" s="35"/>
      <c r="DN90" s="79"/>
      <c r="DO90" s="35"/>
      <c r="DP90" s="79"/>
      <c r="DQ90" s="79"/>
      <c r="DR90" s="79"/>
      <c r="DS90" s="79"/>
      <c r="DT90" s="79"/>
      <c r="DU90" s="79"/>
      <c r="DV90" s="79"/>
      <c r="DW90" s="79"/>
      <c r="DX90" s="79"/>
      <c r="DY90" s="79"/>
      <c r="DZ90" s="79"/>
      <c r="EA90" s="79"/>
      <c r="EB90" s="79"/>
      <c r="EC90" s="55" t="s">
        <v>187</v>
      </c>
      <c r="ED90" s="55" t="s">
        <v>30</v>
      </c>
      <c r="EE90" s="55" t="s">
        <v>31</v>
      </c>
      <c r="EF90" s="55" t="s">
        <v>32</v>
      </c>
      <c r="EG90" s="55" t="s">
        <v>32</v>
      </c>
      <c r="EH90" s="56" t="s">
        <v>188</v>
      </c>
      <c r="EI90" s="56" t="s">
        <v>189</v>
      </c>
      <c r="EJ90" s="56" t="s">
        <v>190</v>
      </c>
      <c r="EK90" s="56" t="s">
        <v>190</v>
      </c>
      <c r="EL90" s="56" t="s">
        <v>191</v>
      </c>
      <c r="EM90" s="56" t="s">
        <v>191</v>
      </c>
      <c r="EN90" s="57" t="s">
        <v>192</v>
      </c>
      <c r="EO90" s="57" t="s">
        <v>193</v>
      </c>
      <c r="EP90" s="57" t="s">
        <v>193</v>
      </c>
      <c r="EQ90" s="57" t="s">
        <v>194</v>
      </c>
      <c r="ER90" s="57" t="s">
        <v>195</v>
      </c>
      <c r="ES90" s="57" t="s">
        <v>195</v>
      </c>
      <c r="ET90" s="35"/>
      <c r="EU90" s="58" t="s">
        <v>196</v>
      </c>
      <c r="EV90" s="58" t="s">
        <v>197</v>
      </c>
      <c r="EW90" s="58" t="s">
        <v>197</v>
      </c>
      <c r="EX90" s="58" t="s">
        <v>198</v>
      </c>
      <c r="EY90" s="58" t="s">
        <v>198</v>
      </c>
      <c r="EZ90" s="58" t="s">
        <v>199</v>
      </c>
      <c r="FA90" s="42" t="s">
        <v>33</v>
      </c>
      <c r="FB90" s="42" t="s">
        <v>34</v>
      </c>
      <c r="FC90" s="42" t="s">
        <v>35</v>
      </c>
      <c r="FD90" s="42" t="s">
        <v>36</v>
      </c>
      <c r="FE90" s="42" t="s">
        <v>36</v>
      </c>
      <c r="FF90" s="59" t="s">
        <v>200</v>
      </c>
      <c r="FG90" s="59" t="s">
        <v>201</v>
      </c>
      <c r="FH90" s="59" t="s">
        <v>202</v>
      </c>
      <c r="FI90" s="59" t="s">
        <v>202</v>
      </c>
      <c r="FJ90" s="59" t="s">
        <v>203</v>
      </c>
      <c r="FK90" s="59" t="s">
        <v>203</v>
      </c>
      <c r="FL90" s="79"/>
      <c r="FM90" s="35"/>
      <c r="FN90" s="35"/>
      <c r="FO90" s="35"/>
      <c r="FP90" s="35"/>
      <c r="FQ90" s="35"/>
      <c r="FR90" s="35"/>
      <c r="FS90" s="35"/>
      <c r="FT90" s="35"/>
      <c r="FU90" s="35"/>
      <c r="FV90" s="35"/>
      <c r="FW90" s="35"/>
      <c r="FX90" s="35"/>
      <c r="FY90" s="35"/>
      <c r="FZ90" s="35"/>
      <c r="GA90" s="35"/>
      <c r="GB90" s="35"/>
      <c r="GC90" s="35"/>
      <c r="GD90" s="35"/>
      <c r="GE90" s="35"/>
      <c r="GF90" s="35"/>
      <c r="GG90" s="35"/>
      <c r="GH90" s="35"/>
      <c r="GI90" s="35"/>
      <c r="GJ90" s="35"/>
      <c r="GK90" s="35"/>
      <c r="GL90" s="35"/>
      <c r="GM90" s="35"/>
      <c r="GN90" s="35"/>
      <c r="GO90" s="35"/>
      <c r="GP90" s="35"/>
      <c r="GQ90" s="35"/>
      <c r="GR90" s="35"/>
      <c r="GS90" s="35"/>
      <c r="GT90" s="35"/>
      <c r="GU90" s="35"/>
      <c r="GV90" s="79"/>
      <c r="GW90" s="79"/>
      <c r="GX90" s="79"/>
      <c r="GY90" s="79"/>
      <c r="GZ90" s="79"/>
      <c r="HA90" s="79"/>
      <c r="HB90" s="79"/>
      <c r="HC90" s="79"/>
      <c r="HD90" s="79"/>
      <c r="HE90" s="79"/>
      <c r="HF90" s="79"/>
      <c r="HG90" s="79"/>
      <c r="HH90" s="79"/>
      <c r="HI90" s="79"/>
      <c r="HJ90" s="79"/>
      <c r="HK90" s="79"/>
      <c r="HL90" s="79"/>
      <c r="HM90" s="79"/>
      <c r="HN90" s="79"/>
      <c r="HO90" s="79"/>
      <c r="HP90" s="79"/>
      <c r="HQ90" s="79"/>
      <c r="HR90" s="79"/>
      <c r="HS90" s="79"/>
      <c r="HT90" s="79"/>
      <c r="HU90" s="79"/>
      <c r="HV90" s="79"/>
      <c r="HW90" s="79"/>
      <c r="HX90" s="79"/>
      <c r="HY90" s="79"/>
      <c r="HZ90" s="79"/>
      <c r="IA90" s="79"/>
      <c r="IB90" s="79"/>
      <c r="IC90" s="79"/>
      <c r="ID90" s="79"/>
      <c r="IE90" s="79"/>
      <c r="IF90" s="79"/>
      <c r="IG90" s="79"/>
      <c r="IH90" s="79"/>
      <c r="II90" s="79"/>
      <c r="IJ90" s="79"/>
      <c r="IK90" s="79"/>
      <c r="IL90" s="79"/>
      <c r="IM90" s="79"/>
      <c r="IN90" s="79"/>
      <c r="IO90" s="79"/>
      <c r="IP90" s="79"/>
      <c r="IQ90" s="79"/>
      <c r="IR90" s="79"/>
      <c r="IS90" s="79"/>
      <c r="IT90" s="79"/>
      <c r="IU90" s="79"/>
      <c r="IV90" s="79"/>
      <c r="IW90" s="79"/>
    </row>
    <row r="91" spans="2:257" s="15" customFormat="1" ht="14.4">
      <c r="B91" s="30">
        <f t="shared" si="149"/>
        <v>4.1799999999999962</v>
      </c>
      <c r="C91" s="37" t="s">
        <v>73</v>
      </c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79"/>
      <c r="BD91" s="79"/>
      <c r="BE91" s="79"/>
      <c r="BF91" s="79"/>
      <c r="BG91" s="79"/>
      <c r="BH91" s="79"/>
      <c r="BI91" s="79"/>
      <c r="BJ91" s="79"/>
      <c r="BK91" s="79"/>
      <c r="BL91" s="79"/>
      <c r="BM91" s="79"/>
      <c r="BN91" s="79"/>
      <c r="BO91" s="79"/>
      <c r="BP91" s="79"/>
      <c r="BQ91" s="79"/>
      <c r="BR91" s="79"/>
      <c r="BS91" s="79"/>
      <c r="BT91" s="79"/>
      <c r="BU91" s="79"/>
      <c r="BV91" s="79"/>
      <c r="BW91" s="79"/>
      <c r="BX91" s="79"/>
      <c r="BY91" s="79"/>
      <c r="BZ91" s="79"/>
      <c r="CA91" s="79"/>
      <c r="CB91" s="79"/>
      <c r="CC91" s="79"/>
      <c r="CD91" s="79"/>
      <c r="CE91" s="79"/>
      <c r="CF91" s="35"/>
      <c r="CG91" s="34"/>
      <c r="CH91" s="34"/>
      <c r="CI91" s="34"/>
      <c r="CJ91" s="34"/>
      <c r="CK91" s="34"/>
      <c r="CL91" s="34"/>
      <c r="CM91" s="34"/>
      <c r="CN91" s="34"/>
      <c r="CO91" s="35"/>
      <c r="CP91" s="35"/>
      <c r="CQ91" s="35"/>
      <c r="CR91" s="79"/>
      <c r="CS91" s="79"/>
      <c r="CT91" s="79"/>
      <c r="CU91" s="79"/>
      <c r="CV91" s="35"/>
      <c r="CW91" s="35"/>
      <c r="CX91" s="35"/>
      <c r="CY91" s="35"/>
      <c r="CZ91" s="35"/>
      <c r="DA91" s="35"/>
      <c r="DB91" s="79"/>
      <c r="DC91" s="35"/>
      <c r="DD91" s="35"/>
      <c r="DE91" s="35"/>
      <c r="DF91" s="35"/>
      <c r="DG91" s="35"/>
      <c r="DH91" s="79"/>
      <c r="DI91" s="35"/>
      <c r="DJ91" s="35"/>
      <c r="DK91" s="35"/>
      <c r="DL91" s="35"/>
      <c r="DM91" s="35"/>
      <c r="DN91" s="79"/>
      <c r="DO91" s="35"/>
      <c r="DP91" s="79"/>
      <c r="DQ91" s="79"/>
      <c r="DR91" s="79"/>
      <c r="DS91" s="79"/>
      <c r="DT91" s="79"/>
      <c r="DU91" s="79"/>
      <c r="DV91" s="79"/>
      <c r="DW91" s="79"/>
      <c r="DX91" s="79"/>
      <c r="DY91" s="79"/>
      <c r="DZ91" s="79"/>
      <c r="EA91" s="79"/>
      <c r="EB91" s="79"/>
      <c r="EC91" s="55" t="s">
        <v>187</v>
      </c>
      <c r="ED91" s="55" t="s">
        <v>30</v>
      </c>
      <c r="EE91" s="55" t="s">
        <v>31</v>
      </c>
      <c r="EF91" s="55" t="s">
        <v>32</v>
      </c>
      <c r="EG91" s="55" t="s">
        <v>32</v>
      </c>
      <c r="EH91" s="56" t="s">
        <v>188</v>
      </c>
      <c r="EI91" s="56" t="s">
        <v>189</v>
      </c>
      <c r="EJ91" s="56" t="s">
        <v>190</v>
      </c>
      <c r="EK91" s="56" t="s">
        <v>190</v>
      </c>
      <c r="EL91" s="56" t="s">
        <v>191</v>
      </c>
      <c r="EM91" s="56" t="s">
        <v>191</v>
      </c>
      <c r="EN91" s="57" t="s">
        <v>192</v>
      </c>
      <c r="EO91" s="57" t="s">
        <v>193</v>
      </c>
      <c r="EP91" s="57" t="s">
        <v>193</v>
      </c>
      <c r="EQ91" s="57" t="s">
        <v>194</v>
      </c>
      <c r="ER91" s="57" t="s">
        <v>195</v>
      </c>
      <c r="ES91" s="57" t="s">
        <v>195</v>
      </c>
      <c r="ET91" s="35"/>
      <c r="EU91" s="58" t="s">
        <v>196</v>
      </c>
      <c r="EV91" s="58" t="s">
        <v>197</v>
      </c>
      <c r="EW91" s="58" t="s">
        <v>197</v>
      </c>
      <c r="EX91" s="58" t="s">
        <v>198</v>
      </c>
      <c r="EY91" s="58" t="s">
        <v>198</v>
      </c>
      <c r="EZ91" s="58" t="s">
        <v>199</v>
      </c>
      <c r="FA91" s="42" t="s">
        <v>33</v>
      </c>
      <c r="FB91" s="42" t="s">
        <v>34</v>
      </c>
      <c r="FC91" s="42" t="s">
        <v>35</v>
      </c>
      <c r="FD91" s="42" t="s">
        <v>36</v>
      </c>
      <c r="FE91" s="42" t="s">
        <v>36</v>
      </c>
      <c r="FF91" s="59" t="s">
        <v>200</v>
      </c>
      <c r="FG91" s="59" t="s">
        <v>201</v>
      </c>
      <c r="FH91" s="59" t="s">
        <v>202</v>
      </c>
      <c r="FI91" s="59" t="s">
        <v>202</v>
      </c>
      <c r="FJ91" s="59" t="s">
        <v>203</v>
      </c>
      <c r="FK91" s="59" t="s">
        <v>203</v>
      </c>
      <c r="FL91" s="79"/>
      <c r="FM91" s="35"/>
      <c r="FN91" s="35"/>
      <c r="FO91" s="35"/>
      <c r="FP91" s="35"/>
      <c r="FQ91" s="35"/>
      <c r="FR91" s="35"/>
      <c r="FS91" s="35"/>
      <c r="FT91" s="35"/>
      <c r="FU91" s="35"/>
      <c r="FV91" s="35"/>
      <c r="FW91" s="35"/>
      <c r="FX91" s="35"/>
      <c r="FY91" s="35"/>
      <c r="FZ91" s="35"/>
      <c r="GA91" s="35"/>
      <c r="GB91" s="35"/>
      <c r="GC91" s="35"/>
      <c r="GD91" s="35"/>
      <c r="GE91" s="35"/>
      <c r="GF91" s="35"/>
      <c r="GG91" s="35"/>
      <c r="GH91" s="35"/>
      <c r="GI91" s="35"/>
      <c r="GJ91" s="35"/>
      <c r="GK91" s="35"/>
      <c r="GL91" s="35"/>
      <c r="GM91" s="35"/>
      <c r="GN91" s="35"/>
      <c r="GO91" s="35"/>
      <c r="GP91" s="35"/>
      <c r="GQ91" s="35"/>
      <c r="GR91" s="35"/>
      <c r="GS91" s="35"/>
      <c r="GT91" s="35"/>
      <c r="GU91" s="35"/>
      <c r="GV91" s="79"/>
      <c r="GW91" s="79"/>
      <c r="GX91" s="79"/>
      <c r="GY91" s="79"/>
      <c r="GZ91" s="79"/>
      <c r="HA91" s="79"/>
      <c r="HB91" s="79"/>
      <c r="HC91" s="79"/>
      <c r="HD91" s="79"/>
      <c r="HE91" s="79"/>
      <c r="HF91" s="79"/>
      <c r="HG91" s="79"/>
      <c r="HH91" s="79"/>
      <c r="HI91" s="79"/>
      <c r="HJ91" s="79"/>
      <c r="HK91" s="79"/>
      <c r="HL91" s="79"/>
      <c r="HM91" s="79"/>
      <c r="HN91" s="79"/>
      <c r="HO91" s="79"/>
      <c r="HP91" s="79"/>
      <c r="HQ91" s="79"/>
      <c r="HR91" s="79"/>
      <c r="HS91" s="79"/>
      <c r="HT91" s="79"/>
      <c r="HU91" s="79"/>
      <c r="HV91" s="79"/>
      <c r="HW91" s="79"/>
      <c r="HX91" s="79"/>
      <c r="HY91" s="79"/>
      <c r="HZ91" s="79"/>
      <c r="IA91" s="79"/>
      <c r="IB91" s="79"/>
      <c r="IC91" s="79"/>
      <c r="ID91" s="79"/>
      <c r="IE91" s="79"/>
      <c r="IF91" s="79"/>
      <c r="IG91" s="79"/>
      <c r="IH91" s="79"/>
      <c r="II91" s="79"/>
      <c r="IJ91" s="79"/>
      <c r="IK91" s="79"/>
      <c r="IL91" s="79"/>
      <c r="IM91" s="79"/>
      <c r="IN91" s="79"/>
      <c r="IO91" s="79"/>
      <c r="IP91" s="79"/>
      <c r="IQ91" s="79"/>
      <c r="IR91" s="79"/>
      <c r="IS91" s="79"/>
      <c r="IT91" s="79"/>
      <c r="IU91" s="79"/>
      <c r="IV91" s="79"/>
      <c r="IW91" s="79"/>
    </row>
    <row r="92" spans="2:257" s="15" customFormat="1" ht="14.4">
      <c r="B92" s="30">
        <f t="shared" si="149"/>
        <v>4.1899999999999959</v>
      </c>
      <c r="C92" s="37" t="s">
        <v>74</v>
      </c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79"/>
      <c r="BD92" s="79"/>
      <c r="BE92" s="79"/>
      <c r="BF92" s="79"/>
      <c r="BG92" s="79"/>
      <c r="BH92" s="79"/>
      <c r="BI92" s="79"/>
      <c r="BJ92" s="79"/>
      <c r="BK92" s="79"/>
      <c r="BL92" s="79"/>
      <c r="BM92" s="79"/>
      <c r="BN92" s="79"/>
      <c r="BO92" s="79"/>
      <c r="BP92" s="79"/>
      <c r="BQ92" s="79"/>
      <c r="BR92" s="79"/>
      <c r="BS92" s="79"/>
      <c r="BT92" s="79"/>
      <c r="BU92" s="79"/>
      <c r="BV92" s="79"/>
      <c r="BW92" s="79"/>
      <c r="BX92" s="79"/>
      <c r="BY92" s="79"/>
      <c r="BZ92" s="79"/>
      <c r="CA92" s="79"/>
      <c r="CB92" s="79"/>
      <c r="CC92" s="79"/>
      <c r="CD92" s="79"/>
      <c r="CE92" s="79"/>
      <c r="CF92" s="35"/>
      <c r="CG92" s="34"/>
      <c r="CH92" s="34"/>
      <c r="CI92" s="34"/>
      <c r="CJ92" s="34"/>
      <c r="CK92" s="34"/>
      <c r="CL92" s="34"/>
      <c r="CM92" s="34"/>
      <c r="CN92" s="34"/>
      <c r="CO92" s="35"/>
      <c r="CP92" s="35"/>
      <c r="CQ92" s="35"/>
      <c r="CR92" s="79"/>
      <c r="CS92" s="79"/>
      <c r="CT92" s="79"/>
      <c r="CU92" s="79"/>
      <c r="CV92" s="35"/>
      <c r="CW92" s="35"/>
      <c r="CX92" s="35"/>
      <c r="CY92" s="35"/>
      <c r="CZ92" s="35"/>
      <c r="DA92" s="35"/>
      <c r="DB92" s="79"/>
      <c r="DC92" s="35"/>
      <c r="DD92" s="35"/>
      <c r="DE92" s="35"/>
      <c r="DF92" s="35"/>
      <c r="DG92" s="35"/>
      <c r="DH92" s="79"/>
      <c r="DI92" s="35"/>
      <c r="DJ92" s="35"/>
      <c r="DK92" s="35"/>
      <c r="DL92" s="35"/>
      <c r="DM92" s="35"/>
      <c r="DN92" s="79"/>
      <c r="DO92" s="35"/>
      <c r="DP92" s="79"/>
      <c r="DQ92" s="79"/>
      <c r="DR92" s="79"/>
      <c r="DS92" s="79"/>
      <c r="DT92" s="79"/>
      <c r="DU92" s="79"/>
      <c r="DV92" s="79"/>
      <c r="DW92" s="79"/>
      <c r="DX92" s="79"/>
      <c r="DY92" s="79"/>
      <c r="DZ92" s="79"/>
      <c r="EA92" s="79"/>
      <c r="EB92" s="79"/>
      <c r="EC92" s="35"/>
      <c r="ED92" s="55" t="s">
        <v>187</v>
      </c>
      <c r="EE92" s="55" t="s">
        <v>30</v>
      </c>
      <c r="EF92" s="55" t="s">
        <v>31</v>
      </c>
      <c r="EG92" s="55" t="s">
        <v>31</v>
      </c>
      <c r="EH92" s="55" t="s">
        <v>32</v>
      </c>
      <c r="EI92" s="56" t="s">
        <v>188</v>
      </c>
      <c r="EJ92" s="56" t="s">
        <v>189</v>
      </c>
      <c r="EK92" s="56" t="s">
        <v>189</v>
      </c>
      <c r="EL92" s="56" t="s">
        <v>190</v>
      </c>
      <c r="EM92" s="56" t="s">
        <v>190</v>
      </c>
      <c r="EN92" s="56" t="s">
        <v>191</v>
      </c>
      <c r="EO92" s="57" t="s">
        <v>192</v>
      </c>
      <c r="EP92" s="57" t="s">
        <v>192</v>
      </c>
      <c r="EQ92" s="57" t="s">
        <v>193</v>
      </c>
      <c r="ER92" s="57" t="s">
        <v>194</v>
      </c>
      <c r="ES92" s="57" t="s">
        <v>194</v>
      </c>
      <c r="ET92" s="35"/>
      <c r="EU92" s="57" t="s">
        <v>195</v>
      </c>
      <c r="EV92" s="58" t="s">
        <v>196</v>
      </c>
      <c r="EW92" s="58" t="s">
        <v>196</v>
      </c>
      <c r="EX92" s="58" t="s">
        <v>197</v>
      </c>
      <c r="EY92" s="58" t="s">
        <v>197</v>
      </c>
      <c r="EZ92" s="58" t="s">
        <v>198</v>
      </c>
      <c r="FA92" s="58" t="s">
        <v>199</v>
      </c>
      <c r="FB92" s="42" t="s">
        <v>33</v>
      </c>
      <c r="FC92" s="42" t="s">
        <v>34</v>
      </c>
      <c r="FD92" s="42" t="s">
        <v>35</v>
      </c>
      <c r="FE92" s="42" t="s">
        <v>35</v>
      </c>
      <c r="FF92" s="42" t="s">
        <v>36</v>
      </c>
      <c r="FG92" s="59" t="s">
        <v>200</v>
      </c>
      <c r="FH92" s="59" t="s">
        <v>201</v>
      </c>
      <c r="FI92" s="59" t="s">
        <v>201</v>
      </c>
      <c r="FJ92" s="59" t="s">
        <v>202</v>
      </c>
      <c r="FK92" s="59" t="s">
        <v>202</v>
      </c>
      <c r="FL92" s="59" t="s">
        <v>203</v>
      </c>
      <c r="FM92" s="35"/>
      <c r="FN92" s="35"/>
      <c r="FO92" s="35"/>
      <c r="FP92" s="35"/>
      <c r="FQ92" s="35"/>
      <c r="FR92" s="35"/>
      <c r="FS92" s="35"/>
      <c r="FT92" s="35"/>
      <c r="FU92" s="35"/>
      <c r="FV92" s="35"/>
      <c r="FW92" s="35"/>
      <c r="FX92" s="35"/>
      <c r="FY92" s="35"/>
      <c r="FZ92" s="35"/>
      <c r="GA92" s="35"/>
      <c r="GB92" s="35"/>
      <c r="GC92" s="35"/>
      <c r="GD92" s="35"/>
      <c r="GE92" s="35"/>
      <c r="GF92" s="35"/>
      <c r="GG92" s="35"/>
      <c r="GH92" s="35"/>
      <c r="GI92" s="35"/>
      <c r="GJ92" s="35"/>
      <c r="GK92" s="35"/>
      <c r="GL92" s="35"/>
      <c r="GM92" s="35"/>
      <c r="GN92" s="35"/>
      <c r="GO92" s="35"/>
      <c r="GP92" s="35"/>
      <c r="GQ92" s="35"/>
      <c r="GR92" s="35"/>
      <c r="GS92" s="35"/>
      <c r="GT92" s="35"/>
      <c r="GU92" s="35"/>
      <c r="GV92" s="35"/>
      <c r="GW92" s="79"/>
      <c r="GX92" s="79"/>
      <c r="GY92" s="79"/>
      <c r="GZ92" s="79"/>
      <c r="HA92" s="79"/>
      <c r="HB92" s="79"/>
      <c r="HC92" s="79"/>
      <c r="HD92" s="79"/>
      <c r="HE92" s="79"/>
      <c r="HF92" s="79"/>
      <c r="HG92" s="79"/>
      <c r="HH92" s="79"/>
      <c r="HI92" s="79"/>
      <c r="HJ92" s="79"/>
      <c r="HK92" s="79"/>
      <c r="HL92" s="79"/>
      <c r="HM92" s="79"/>
      <c r="HN92" s="79"/>
      <c r="HO92" s="79"/>
      <c r="HP92" s="79"/>
      <c r="HQ92" s="79"/>
      <c r="HR92" s="79"/>
      <c r="HS92" s="79"/>
      <c r="HT92" s="79"/>
      <c r="HU92" s="79"/>
      <c r="HV92" s="79"/>
      <c r="HW92" s="79"/>
      <c r="HX92" s="79"/>
      <c r="HY92" s="79"/>
      <c r="HZ92" s="79"/>
      <c r="IA92" s="79"/>
      <c r="IB92" s="79"/>
      <c r="IC92" s="79"/>
      <c r="ID92" s="79"/>
      <c r="IE92" s="79"/>
      <c r="IF92" s="79"/>
      <c r="IG92" s="79"/>
      <c r="IH92" s="79"/>
      <c r="II92" s="79"/>
      <c r="IJ92" s="79"/>
      <c r="IK92" s="79"/>
      <c r="IL92" s="79"/>
      <c r="IM92" s="79"/>
      <c r="IN92" s="79"/>
      <c r="IO92" s="79"/>
      <c r="IP92" s="79"/>
      <c r="IQ92" s="79"/>
      <c r="IR92" s="79"/>
      <c r="IS92" s="79"/>
      <c r="IT92" s="79"/>
      <c r="IU92" s="79"/>
      <c r="IV92" s="79"/>
      <c r="IW92" s="79"/>
    </row>
    <row r="93" spans="2:257" s="15" customFormat="1" ht="14.4">
      <c r="B93" s="30">
        <f t="shared" si="149"/>
        <v>4.1999999999999957</v>
      </c>
      <c r="C93" s="37" t="s">
        <v>75</v>
      </c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79"/>
      <c r="BD93" s="79"/>
      <c r="BE93" s="79"/>
      <c r="BF93" s="79"/>
      <c r="BG93" s="79"/>
      <c r="BH93" s="79"/>
      <c r="BI93" s="79"/>
      <c r="BJ93" s="79"/>
      <c r="BK93" s="79"/>
      <c r="BL93" s="79"/>
      <c r="BM93" s="79"/>
      <c r="BN93" s="79"/>
      <c r="BO93" s="79"/>
      <c r="BP93" s="79"/>
      <c r="BQ93" s="79"/>
      <c r="BR93" s="79"/>
      <c r="BS93" s="79"/>
      <c r="BT93" s="79"/>
      <c r="BU93" s="79"/>
      <c r="BV93" s="79"/>
      <c r="BW93" s="79"/>
      <c r="BX93" s="79"/>
      <c r="BY93" s="79"/>
      <c r="BZ93" s="79"/>
      <c r="CA93" s="79"/>
      <c r="CB93" s="79"/>
      <c r="CC93" s="79"/>
      <c r="CD93" s="79"/>
      <c r="CE93" s="79"/>
      <c r="CF93" s="35"/>
      <c r="CG93" s="34"/>
      <c r="CH93" s="34"/>
      <c r="CI93" s="34"/>
      <c r="CJ93" s="34"/>
      <c r="CK93" s="34"/>
      <c r="CL93" s="34"/>
      <c r="CM93" s="34"/>
      <c r="CN93" s="34"/>
      <c r="CO93" s="35"/>
      <c r="CP93" s="35"/>
      <c r="CQ93" s="35"/>
      <c r="CR93" s="79"/>
      <c r="CS93" s="79"/>
      <c r="CT93" s="79"/>
      <c r="CU93" s="79"/>
      <c r="CV93" s="35"/>
      <c r="CW93" s="35"/>
      <c r="CX93" s="35"/>
      <c r="CY93" s="35"/>
      <c r="CZ93" s="35"/>
      <c r="DA93" s="35"/>
      <c r="DB93" s="79"/>
      <c r="DC93" s="35"/>
      <c r="DD93" s="35"/>
      <c r="DE93" s="35"/>
      <c r="DF93" s="35"/>
      <c r="DG93" s="35"/>
      <c r="DH93" s="79"/>
      <c r="DI93" s="35"/>
      <c r="DJ93" s="35"/>
      <c r="DK93" s="35"/>
      <c r="DL93" s="35"/>
      <c r="DM93" s="35"/>
      <c r="DN93" s="79"/>
      <c r="DO93" s="35"/>
      <c r="DP93" s="79"/>
      <c r="DQ93" s="79"/>
      <c r="DR93" s="79"/>
      <c r="DS93" s="79"/>
      <c r="DT93" s="79"/>
      <c r="DU93" s="79"/>
      <c r="DV93" s="79"/>
      <c r="DW93" s="79"/>
      <c r="DX93" s="79"/>
      <c r="DY93" s="79"/>
      <c r="DZ93" s="79"/>
      <c r="EA93" s="79"/>
      <c r="EB93" s="79"/>
      <c r="EC93" s="35"/>
      <c r="ED93" s="35"/>
      <c r="EE93" s="55" t="s">
        <v>187</v>
      </c>
      <c r="EF93" s="55" t="s">
        <v>30</v>
      </c>
      <c r="EG93" s="55" t="s">
        <v>30</v>
      </c>
      <c r="EH93" s="55" t="s">
        <v>31</v>
      </c>
      <c r="EI93" s="55" t="s">
        <v>32</v>
      </c>
      <c r="EJ93" s="56" t="s">
        <v>188</v>
      </c>
      <c r="EK93" s="56" t="s">
        <v>188</v>
      </c>
      <c r="EL93" s="56" t="s">
        <v>189</v>
      </c>
      <c r="EM93" s="56" t="s">
        <v>189</v>
      </c>
      <c r="EN93" s="56" t="s">
        <v>190</v>
      </c>
      <c r="EO93" s="56" t="s">
        <v>191</v>
      </c>
      <c r="EP93" s="56" t="s">
        <v>191</v>
      </c>
      <c r="EQ93" s="57" t="s">
        <v>192</v>
      </c>
      <c r="ER93" s="57" t="s">
        <v>193</v>
      </c>
      <c r="ES93" s="57" t="s">
        <v>193</v>
      </c>
      <c r="ET93" s="35"/>
      <c r="EU93" s="57" t="s">
        <v>194</v>
      </c>
      <c r="EV93" s="57" t="s">
        <v>195</v>
      </c>
      <c r="EW93" s="57" t="s">
        <v>195</v>
      </c>
      <c r="EX93" s="58" t="s">
        <v>196</v>
      </c>
      <c r="EY93" s="58" t="s">
        <v>196</v>
      </c>
      <c r="EZ93" s="58" t="s">
        <v>197</v>
      </c>
      <c r="FA93" s="58" t="s">
        <v>198</v>
      </c>
      <c r="FB93" s="58" t="s">
        <v>199</v>
      </c>
      <c r="FC93" s="42" t="s">
        <v>33</v>
      </c>
      <c r="FD93" s="42" t="s">
        <v>34</v>
      </c>
      <c r="FE93" s="42" t="s">
        <v>34</v>
      </c>
      <c r="FF93" s="42" t="s">
        <v>35</v>
      </c>
      <c r="FG93" s="42" t="s">
        <v>36</v>
      </c>
      <c r="FH93" s="59" t="s">
        <v>200</v>
      </c>
      <c r="FI93" s="59" t="s">
        <v>200</v>
      </c>
      <c r="FJ93" s="59" t="s">
        <v>201</v>
      </c>
      <c r="FK93" s="59" t="s">
        <v>201</v>
      </c>
      <c r="FL93" s="59" t="s">
        <v>202</v>
      </c>
      <c r="FM93" s="59" t="s">
        <v>203</v>
      </c>
      <c r="FN93" s="35"/>
      <c r="FO93" s="35"/>
      <c r="FP93" s="35"/>
      <c r="FQ93" s="35"/>
      <c r="FR93" s="79"/>
      <c r="FS93" s="35"/>
      <c r="FT93" s="35"/>
      <c r="FU93" s="35"/>
      <c r="FV93" s="35"/>
      <c r="FW93" s="35"/>
      <c r="FX93" s="35"/>
      <c r="FY93" s="35"/>
      <c r="FZ93" s="35"/>
      <c r="GA93" s="35"/>
      <c r="GB93" s="35"/>
      <c r="GC93" s="35"/>
      <c r="GD93" s="35"/>
      <c r="GE93" s="35"/>
      <c r="GF93" s="35"/>
      <c r="GG93" s="35"/>
      <c r="GH93" s="35"/>
      <c r="GI93" s="35"/>
      <c r="GJ93" s="35"/>
      <c r="GK93" s="35"/>
      <c r="GL93" s="35"/>
      <c r="GM93" s="35"/>
      <c r="GN93" s="35"/>
      <c r="GO93" s="35"/>
      <c r="GP93" s="35"/>
      <c r="GQ93" s="35"/>
      <c r="GR93" s="35"/>
      <c r="GS93" s="35"/>
      <c r="GT93" s="35"/>
      <c r="GU93" s="35"/>
      <c r="GV93" s="35"/>
      <c r="GW93" s="79"/>
      <c r="GX93" s="79"/>
      <c r="GY93" s="79"/>
      <c r="GZ93" s="79"/>
      <c r="HA93" s="79"/>
      <c r="HB93" s="79"/>
      <c r="HC93" s="79"/>
      <c r="HD93" s="79"/>
      <c r="HE93" s="79"/>
      <c r="HF93" s="79"/>
      <c r="HG93" s="79"/>
      <c r="HH93" s="79"/>
      <c r="HI93" s="79"/>
      <c r="HJ93" s="79"/>
      <c r="HK93" s="79"/>
      <c r="HL93" s="79"/>
      <c r="HM93" s="79"/>
      <c r="HN93" s="79"/>
      <c r="HO93" s="79"/>
      <c r="HP93" s="79"/>
      <c r="HQ93" s="79"/>
      <c r="HR93" s="79"/>
      <c r="HS93" s="79"/>
      <c r="HT93" s="79"/>
      <c r="HU93" s="79"/>
      <c r="HV93" s="79"/>
      <c r="HW93" s="79"/>
      <c r="HX93" s="79"/>
      <c r="HY93" s="79"/>
      <c r="HZ93" s="79"/>
      <c r="IA93" s="79"/>
      <c r="IB93" s="79"/>
      <c r="IC93" s="79"/>
      <c r="ID93" s="79"/>
      <c r="IE93" s="79"/>
      <c r="IF93" s="79"/>
      <c r="IG93" s="79"/>
      <c r="IH93" s="79"/>
      <c r="II93" s="79"/>
      <c r="IJ93" s="79"/>
      <c r="IK93" s="79"/>
      <c r="IL93" s="79"/>
      <c r="IM93" s="79"/>
      <c r="IN93" s="79"/>
      <c r="IO93" s="79"/>
      <c r="IP93" s="79"/>
      <c r="IQ93" s="79"/>
      <c r="IR93" s="79"/>
      <c r="IS93" s="79"/>
      <c r="IT93" s="79"/>
      <c r="IU93" s="79"/>
      <c r="IV93" s="79"/>
      <c r="IW93" s="79"/>
    </row>
    <row r="94" spans="2:257" s="15" customFormat="1" ht="15" thickBot="1">
      <c r="B94" s="30">
        <f t="shared" si="149"/>
        <v>4.2099999999999955</v>
      </c>
      <c r="C94" s="39" t="s">
        <v>76</v>
      </c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79"/>
      <c r="BD94" s="79"/>
      <c r="BE94" s="79"/>
      <c r="BF94" s="79"/>
      <c r="BG94" s="79"/>
      <c r="BH94" s="79"/>
      <c r="BI94" s="79"/>
      <c r="BJ94" s="79"/>
      <c r="BK94" s="79"/>
      <c r="BL94" s="79"/>
      <c r="BM94" s="79"/>
      <c r="BN94" s="79"/>
      <c r="BO94" s="79"/>
      <c r="BP94" s="79"/>
      <c r="BQ94" s="79"/>
      <c r="BR94" s="79"/>
      <c r="BS94" s="79"/>
      <c r="BT94" s="79"/>
      <c r="BU94" s="79"/>
      <c r="BV94" s="79"/>
      <c r="BW94" s="79"/>
      <c r="BX94" s="79"/>
      <c r="BY94" s="79"/>
      <c r="BZ94" s="79"/>
      <c r="CA94" s="79"/>
      <c r="CB94" s="79"/>
      <c r="CC94" s="79"/>
      <c r="CD94" s="79"/>
      <c r="CE94" s="79"/>
      <c r="CF94" s="35"/>
      <c r="CG94" s="34"/>
      <c r="CH94" s="34"/>
      <c r="CI94" s="34"/>
      <c r="CJ94" s="34"/>
      <c r="CK94" s="34"/>
      <c r="CL94" s="34"/>
      <c r="CM94" s="34"/>
      <c r="CN94" s="34"/>
      <c r="CO94" s="35"/>
      <c r="CP94" s="35"/>
      <c r="CQ94" s="35"/>
      <c r="CR94" s="79"/>
      <c r="CS94" s="79"/>
      <c r="CT94" s="79"/>
      <c r="CU94" s="79"/>
      <c r="CV94" s="35"/>
      <c r="CW94" s="35"/>
      <c r="CX94" s="35"/>
      <c r="CY94" s="35"/>
      <c r="CZ94" s="35"/>
      <c r="DA94" s="35"/>
      <c r="DB94" s="79"/>
      <c r="DC94" s="35"/>
      <c r="DD94" s="35"/>
      <c r="DE94" s="35"/>
      <c r="DF94" s="35"/>
      <c r="DG94" s="35"/>
      <c r="DH94" s="79"/>
      <c r="DI94" s="35"/>
      <c r="DJ94" s="35"/>
      <c r="DK94" s="35"/>
      <c r="DL94" s="35"/>
      <c r="DM94" s="35"/>
      <c r="DN94" s="79"/>
      <c r="DO94" s="35"/>
      <c r="DP94" s="79"/>
      <c r="DQ94" s="79"/>
      <c r="DR94" s="79"/>
      <c r="DS94" s="79"/>
      <c r="DT94" s="79"/>
      <c r="DU94" s="79"/>
      <c r="DV94" s="79"/>
      <c r="DW94" s="79"/>
      <c r="DX94" s="79"/>
      <c r="DY94" s="79"/>
      <c r="DZ94" s="79"/>
      <c r="EA94" s="79"/>
      <c r="EB94" s="79"/>
      <c r="EC94" s="35"/>
      <c r="ED94" s="35"/>
      <c r="EE94" s="35"/>
      <c r="EF94" s="55" t="s">
        <v>187</v>
      </c>
      <c r="EG94" s="55" t="s">
        <v>187</v>
      </c>
      <c r="EH94" s="55" t="s">
        <v>30</v>
      </c>
      <c r="EI94" s="55" t="s">
        <v>31</v>
      </c>
      <c r="EJ94" s="55" t="s">
        <v>32</v>
      </c>
      <c r="EK94" s="55" t="s">
        <v>32</v>
      </c>
      <c r="EL94" s="56" t="s">
        <v>188</v>
      </c>
      <c r="EM94" s="56" t="s">
        <v>188</v>
      </c>
      <c r="EN94" s="56" t="s">
        <v>189</v>
      </c>
      <c r="EO94" s="56" t="s">
        <v>190</v>
      </c>
      <c r="EP94" s="56" t="s">
        <v>190</v>
      </c>
      <c r="EQ94" s="56" t="s">
        <v>191</v>
      </c>
      <c r="ER94" s="57" t="s">
        <v>192</v>
      </c>
      <c r="ES94" s="57" t="s">
        <v>192</v>
      </c>
      <c r="ET94" s="35"/>
      <c r="EU94" s="57" t="s">
        <v>193</v>
      </c>
      <c r="EV94" s="57" t="s">
        <v>194</v>
      </c>
      <c r="EW94" s="57" t="s">
        <v>194</v>
      </c>
      <c r="EX94" s="57" t="s">
        <v>195</v>
      </c>
      <c r="EY94" s="57" t="s">
        <v>195</v>
      </c>
      <c r="EZ94" s="58" t="s">
        <v>196</v>
      </c>
      <c r="FA94" s="58" t="s">
        <v>197</v>
      </c>
      <c r="FB94" s="58" t="s">
        <v>198</v>
      </c>
      <c r="FC94" s="58" t="s">
        <v>199</v>
      </c>
      <c r="FD94" s="42" t="s">
        <v>33</v>
      </c>
      <c r="FE94" s="42" t="s">
        <v>33</v>
      </c>
      <c r="FF94" s="42" t="s">
        <v>34</v>
      </c>
      <c r="FG94" s="42" t="s">
        <v>35</v>
      </c>
      <c r="FH94" s="42" t="s">
        <v>36</v>
      </c>
      <c r="FI94" s="42" t="s">
        <v>36</v>
      </c>
      <c r="FJ94" s="59" t="s">
        <v>200</v>
      </c>
      <c r="FK94" s="59" t="s">
        <v>200</v>
      </c>
      <c r="FL94" s="59" t="s">
        <v>201</v>
      </c>
      <c r="FM94" s="59" t="s">
        <v>202</v>
      </c>
      <c r="FN94" s="59" t="s">
        <v>203</v>
      </c>
      <c r="FO94" s="59" t="s">
        <v>203</v>
      </c>
      <c r="FP94" s="35"/>
      <c r="FQ94" s="35"/>
      <c r="FR94" s="79"/>
      <c r="FS94" s="35"/>
      <c r="FT94" s="35"/>
      <c r="FU94" s="35"/>
      <c r="FV94" s="35"/>
      <c r="FW94" s="35"/>
      <c r="FX94" s="35"/>
      <c r="FY94" s="35"/>
      <c r="FZ94" s="35"/>
      <c r="GA94" s="35"/>
      <c r="GB94" s="35"/>
      <c r="GC94" s="35"/>
      <c r="GD94" s="35"/>
      <c r="GE94" s="35"/>
      <c r="GF94" s="35"/>
      <c r="GG94" s="35"/>
      <c r="GH94" s="35"/>
      <c r="GI94" s="35"/>
      <c r="GJ94" s="35"/>
      <c r="GK94" s="35"/>
      <c r="GL94" s="35"/>
      <c r="GM94" s="35"/>
      <c r="GN94" s="35"/>
      <c r="GO94" s="35"/>
      <c r="GP94" s="35"/>
      <c r="GQ94" s="35"/>
      <c r="GR94" s="35"/>
      <c r="GS94" s="35"/>
      <c r="GT94" s="35"/>
      <c r="GU94" s="35"/>
      <c r="GV94" s="35"/>
      <c r="GW94" s="79"/>
      <c r="GX94" s="79"/>
      <c r="GY94" s="79"/>
      <c r="GZ94" s="79"/>
      <c r="HA94" s="79"/>
      <c r="HB94" s="79"/>
      <c r="HC94" s="79"/>
      <c r="HD94" s="79"/>
      <c r="HE94" s="79"/>
      <c r="HF94" s="79"/>
      <c r="HG94" s="79"/>
      <c r="HH94" s="79"/>
      <c r="HI94" s="79"/>
      <c r="HJ94" s="79"/>
      <c r="HK94" s="79"/>
      <c r="HL94" s="79"/>
      <c r="HM94" s="79"/>
      <c r="HN94" s="79"/>
      <c r="HO94" s="79"/>
      <c r="HP94" s="79"/>
      <c r="HQ94" s="79"/>
      <c r="HR94" s="79"/>
      <c r="HS94" s="79"/>
      <c r="HT94" s="79"/>
      <c r="HU94" s="79"/>
      <c r="HV94" s="79"/>
      <c r="HW94" s="79"/>
      <c r="HX94" s="79"/>
      <c r="HY94" s="79"/>
      <c r="HZ94" s="79"/>
      <c r="IA94" s="79"/>
      <c r="IB94" s="79"/>
      <c r="IC94" s="79"/>
      <c r="ID94" s="79"/>
      <c r="IE94" s="79"/>
      <c r="IF94" s="79"/>
      <c r="IG94" s="79"/>
      <c r="IH94" s="79"/>
      <c r="II94" s="79"/>
      <c r="IJ94" s="79"/>
      <c r="IK94" s="79"/>
      <c r="IL94" s="79"/>
      <c r="IM94" s="79"/>
      <c r="IN94" s="79"/>
      <c r="IO94" s="79"/>
      <c r="IP94" s="79"/>
      <c r="IQ94" s="79"/>
      <c r="IR94" s="79"/>
      <c r="IS94" s="79"/>
      <c r="IT94" s="79"/>
      <c r="IU94" s="79"/>
      <c r="IV94" s="79"/>
      <c r="IW94" s="79"/>
    </row>
    <row r="95" spans="2:257" s="15" customFormat="1" ht="15" thickBot="1">
      <c r="B95" s="30">
        <v>5</v>
      </c>
      <c r="C95" s="33" t="s">
        <v>77</v>
      </c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79"/>
      <c r="BD95" s="79"/>
      <c r="BE95" s="79"/>
      <c r="BF95" s="79"/>
      <c r="BG95" s="79"/>
      <c r="BH95" s="79"/>
      <c r="BI95" s="79"/>
      <c r="BJ95" s="79"/>
      <c r="BK95" s="79"/>
      <c r="BL95" s="79"/>
      <c r="BM95" s="79"/>
      <c r="BN95" s="79"/>
      <c r="BO95" s="79"/>
      <c r="BP95" s="79"/>
      <c r="BQ95" s="79"/>
      <c r="BR95" s="79"/>
      <c r="BS95" s="79"/>
      <c r="BT95" s="79"/>
      <c r="BU95" s="79"/>
      <c r="BV95" s="79"/>
      <c r="BW95" s="79"/>
      <c r="BX95" s="79"/>
      <c r="BY95" s="79"/>
      <c r="BZ95" s="79"/>
      <c r="CA95" s="79"/>
      <c r="CB95" s="79"/>
      <c r="CC95" s="79"/>
      <c r="CD95" s="79"/>
      <c r="CE95" s="79"/>
      <c r="CF95" s="35"/>
      <c r="CG95" s="34"/>
      <c r="CH95" s="34"/>
      <c r="CI95" s="34"/>
      <c r="CJ95" s="34"/>
      <c r="CK95" s="34"/>
      <c r="CL95" s="34"/>
      <c r="CM95" s="34"/>
      <c r="CN95" s="34"/>
      <c r="CO95" s="35"/>
      <c r="CP95" s="35"/>
      <c r="CQ95" s="35"/>
      <c r="CR95" s="79"/>
      <c r="CS95" s="79"/>
      <c r="CT95" s="79"/>
      <c r="CU95" s="79"/>
      <c r="CV95" s="35"/>
      <c r="CW95" s="35"/>
      <c r="CX95" s="35"/>
      <c r="CY95" s="35"/>
      <c r="CZ95" s="35"/>
      <c r="DA95" s="35"/>
      <c r="DB95" s="79"/>
      <c r="DC95" s="35"/>
      <c r="DD95" s="35"/>
      <c r="DE95" s="35"/>
      <c r="DF95" s="35"/>
      <c r="DG95" s="35"/>
      <c r="DH95" s="79"/>
      <c r="DI95" s="35"/>
      <c r="DJ95" s="35"/>
      <c r="DK95" s="35"/>
      <c r="DL95" s="35"/>
      <c r="DM95" s="35"/>
      <c r="DN95" s="79"/>
      <c r="DO95" s="35"/>
      <c r="DP95" s="35"/>
      <c r="DQ95" s="35"/>
      <c r="DR95" s="35"/>
      <c r="DS95" s="35"/>
      <c r="DT95" s="79"/>
      <c r="DU95" s="35"/>
      <c r="DV95" s="79"/>
      <c r="DW95" s="79"/>
      <c r="DX95" s="79"/>
      <c r="DY95" s="79"/>
      <c r="DZ95" s="79"/>
      <c r="EA95" s="79"/>
      <c r="EB95" s="79"/>
      <c r="EC95" s="79"/>
      <c r="ED95" s="79"/>
      <c r="EE95" s="79"/>
      <c r="EF95" s="79"/>
      <c r="EG95" s="79"/>
      <c r="EH95" s="79"/>
      <c r="EI95" s="79"/>
      <c r="EJ95" s="79"/>
      <c r="EK95" s="35"/>
      <c r="EL95" s="35"/>
      <c r="EM95" s="35"/>
      <c r="EN95" s="35"/>
      <c r="EO95" s="79"/>
      <c r="EP95" s="79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  <c r="FK95" s="35"/>
      <c r="FL95" s="35"/>
      <c r="FM95" s="35"/>
      <c r="FN95" s="35"/>
      <c r="FO95" s="35"/>
      <c r="FP95" s="35"/>
      <c r="FQ95" s="35"/>
      <c r="FR95" s="79"/>
      <c r="FS95" s="35"/>
      <c r="FT95" s="35"/>
      <c r="FU95" s="35"/>
      <c r="FV95" s="35"/>
      <c r="FW95" s="35"/>
      <c r="FX95" s="35"/>
      <c r="FY95" s="35"/>
      <c r="FZ95" s="35"/>
      <c r="GA95" s="35"/>
      <c r="GB95" s="35"/>
      <c r="GC95" s="35"/>
      <c r="GD95" s="35"/>
      <c r="GE95" s="35"/>
      <c r="GF95" s="35"/>
      <c r="GG95" s="35"/>
      <c r="GH95" s="35"/>
      <c r="GI95" s="35"/>
      <c r="GJ95" s="35"/>
      <c r="GK95" s="35"/>
      <c r="GL95" s="35"/>
      <c r="GM95" s="35"/>
      <c r="GN95" s="35"/>
      <c r="GO95" s="35"/>
      <c r="GP95" s="35"/>
      <c r="GQ95" s="35"/>
      <c r="GR95" s="35"/>
      <c r="GS95" s="35"/>
      <c r="GT95" s="35"/>
      <c r="GU95" s="35"/>
      <c r="GV95" s="35"/>
      <c r="GW95" s="79"/>
      <c r="GX95" s="79"/>
      <c r="GY95" s="79"/>
      <c r="GZ95" s="79"/>
      <c r="HA95" s="79"/>
      <c r="HB95" s="79"/>
      <c r="HC95" s="79"/>
      <c r="HD95" s="79"/>
      <c r="HE95" s="79"/>
      <c r="HF95" s="79"/>
      <c r="HG95" s="79"/>
      <c r="HH95" s="79"/>
      <c r="HI95" s="79"/>
      <c r="HJ95" s="79"/>
      <c r="HK95" s="79"/>
      <c r="HL95" s="79"/>
      <c r="HM95" s="79"/>
      <c r="HN95" s="79"/>
      <c r="HO95" s="79"/>
      <c r="HP95" s="79"/>
      <c r="HQ95" s="79"/>
      <c r="HR95" s="79"/>
      <c r="HS95" s="79"/>
      <c r="HT95" s="79"/>
      <c r="HU95" s="79"/>
      <c r="HV95" s="79"/>
      <c r="HW95" s="79"/>
      <c r="HX95" s="79"/>
      <c r="HY95" s="79"/>
      <c r="HZ95" s="79"/>
      <c r="IA95" s="79"/>
      <c r="IB95" s="79"/>
      <c r="IC95" s="79"/>
      <c r="ID95" s="79"/>
      <c r="IE95" s="79"/>
      <c r="IF95" s="79"/>
      <c r="IG95" s="79"/>
      <c r="IH95" s="79"/>
      <c r="II95" s="79"/>
      <c r="IJ95" s="79"/>
      <c r="IK95" s="79"/>
      <c r="IL95" s="79"/>
      <c r="IM95" s="79"/>
      <c r="IN95" s="79"/>
      <c r="IO95" s="79"/>
      <c r="IP95" s="79"/>
      <c r="IQ95" s="79"/>
      <c r="IR95" s="79"/>
      <c r="IS95" s="79"/>
      <c r="IT95" s="79"/>
      <c r="IU95" s="79"/>
      <c r="IV95" s="79"/>
      <c r="IW95" s="79"/>
    </row>
    <row r="96" spans="2:257" s="27" customFormat="1" ht="14.4">
      <c r="B96" s="30">
        <f t="shared" si="149"/>
        <v>5.01</v>
      </c>
      <c r="C96" s="37" t="s">
        <v>218</v>
      </c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83"/>
      <c r="BD96" s="83"/>
      <c r="BE96" s="83"/>
      <c r="BF96" s="83"/>
      <c r="BG96" s="83"/>
      <c r="BH96" s="83"/>
      <c r="BI96" s="83"/>
      <c r="BJ96" s="83"/>
      <c r="BK96" s="83"/>
      <c r="BL96" s="83"/>
      <c r="BM96" s="83"/>
      <c r="BN96" s="83"/>
      <c r="BO96" s="83"/>
      <c r="BP96" s="83"/>
      <c r="BQ96" s="83"/>
      <c r="BR96" s="83"/>
      <c r="BS96" s="83"/>
      <c r="BT96" s="83"/>
      <c r="BU96" s="83"/>
      <c r="BV96" s="83"/>
      <c r="BW96" s="83"/>
      <c r="BX96" s="83"/>
      <c r="BY96" s="83"/>
      <c r="BZ96" s="83"/>
      <c r="CA96" s="83"/>
      <c r="CB96" s="83"/>
      <c r="CC96" s="83"/>
      <c r="CD96" s="83"/>
      <c r="CE96" s="83"/>
      <c r="CF96" s="35"/>
      <c r="CG96" s="34"/>
      <c r="CH96" s="34"/>
      <c r="CI96" s="34"/>
      <c r="CJ96" s="34"/>
      <c r="CK96" s="34"/>
      <c r="CL96" s="34"/>
      <c r="CM96" s="34"/>
      <c r="CN96" s="34"/>
      <c r="CO96" s="35"/>
      <c r="CP96" s="35"/>
      <c r="CQ96" s="35"/>
      <c r="CR96" s="83"/>
      <c r="CS96" s="83"/>
      <c r="CT96" s="83"/>
      <c r="CU96" s="83"/>
      <c r="CV96" s="35"/>
      <c r="CW96" s="35"/>
      <c r="CX96" s="35"/>
      <c r="CY96" s="35"/>
      <c r="CZ96" s="35"/>
      <c r="DA96" s="35"/>
      <c r="DB96" s="83"/>
      <c r="DC96" s="35"/>
      <c r="DD96" s="35"/>
      <c r="DE96" s="35"/>
      <c r="DF96" s="35"/>
      <c r="DG96" s="35"/>
      <c r="DH96" s="83"/>
      <c r="DI96" s="35"/>
      <c r="DJ96" s="35"/>
      <c r="DK96" s="35"/>
      <c r="DL96" s="35"/>
      <c r="DM96" s="35"/>
      <c r="DN96" s="83"/>
      <c r="DO96" s="35"/>
      <c r="DP96" s="35"/>
      <c r="DQ96" s="35"/>
      <c r="DR96" s="35"/>
      <c r="DS96" s="35"/>
      <c r="DT96" s="83"/>
      <c r="DU96" s="35"/>
      <c r="DV96" s="83"/>
      <c r="DW96" s="83"/>
      <c r="DX96" s="83"/>
      <c r="DY96" s="83"/>
      <c r="DZ96" s="83"/>
      <c r="EA96" s="83"/>
      <c r="EB96" s="83"/>
      <c r="EC96" s="83"/>
      <c r="ED96" s="83"/>
      <c r="EE96" s="83"/>
      <c r="EF96" s="83"/>
      <c r="EG96" s="83"/>
      <c r="EH96" s="83"/>
      <c r="EI96" s="83"/>
      <c r="EJ96" s="83"/>
      <c r="EK96" s="35"/>
      <c r="EL96" s="35"/>
      <c r="EM96" s="35"/>
      <c r="EN96" s="35"/>
      <c r="EO96" s="55" t="s">
        <v>187</v>
      </c>
      <c r="EP96" s="55" t="s">
        <v>187</v>
      </c>
      <c r="EQ96" s="55" t="s">
        <v>30</v>
      </c>
      <c r="ER96" s="55" t="s">
        <v>31</v>
      </c>
      <c r="ES96" s="55" t="s">
        <v>31</v>
      </c>
      <c r="ET96" s="35"/>
      <c r="EU96" s="55" t="s">
        <v>32</v>
      </c>
      <c r="EV96" s="56" t="s">
        <v>188</v>
      </c>
      <c r="EW96" s="56" t="s">
        <v>188</v>
      </c>
      <c r="EX96" s="56" t="s">
        <v>189</v>
      </c>
      <c r="EY96" s="56" t="s">
        <v>189</v>
      </c>
      <c r="EZ96" s="56" t="s">
        <v>190</v>
      </c>
      <c r="FA96" s="56" t="s">
        <v>191</v>
      </c>
      <c r="FB96" s="57" t="s">
        <v>192</v>
      </c>
      <c r="FC96" s="57" t="s">
        <v>193</v>
      </c>
      <c r="FD96" s="57" t="s">
        <v>194</v>
      </c>
      <c r="FE96" s="57" t="s">
        <v>194</v>
      </c>
      <c r="FF96" s="57" t="s">
        <v>195</v>
      </c>
      <c r="FG96" s="58" t="s">
        <v>196</v>
      </c>
      <c r="FH96" s="58" t="s">
        <v>197</v>
      </c>
      <c r="FI96" s="58" t="s">
        <v>197</v>
      </c>
      <c r="FJ96" s="58" t="s">
        <v>198</v>
      </c>
      <c r="FK96" s="58" t="s">
        <v>198</v>
      </c>
      <c r="FL96" s="58" t="s">
        <v>199</v>
      </c>
      <c r="FM96" s="42" t="s">
        <v>33</v>
      </c>
      <c r="FN96" s="42" t="s">
        <v>34</v>
      </c>
      <c r="FO96" s="42" t="s">
        <v>34</v>
      </c>
      <c r="FP96" s="42" t="s">
        <v>35</v>
      </c>
      <c r="FQ96" s="42" t="s">
        <v>35</v>
      </c>
      <c r="FR96" s="42" t="s">
        <v>36</v>
      </c>
      <c r="FS96" s="35"/>
      <c r="FT96" s="35"/>
      <c r="FU96" s="59" t="s">
        <v>200</v>
      </c>
      <c r="FV96" s="59" t="s">
        <v>201</v>
      </c>
      <c r="FW96" s="59" t="s">
        <v>201</v>
      </c>
      <c r="FX96" s="59" t="s">
        <v>202</v>
      </c>
      <c r="FY96" s="59" t="s">
        <v>203</v>
      </c>
      <c r="FZ96" s="35"/>
      <c r="GA96" s="35"/>
      <c r="GB96" s="35"/>
      <c r="GC96" s="35"/>
      <c r="GD96" s="35"/>
      <c r="GE96" s="35"/>
      <c r="GF96" s="35"/>
      <c r="GG96" s="35"/>
      <c r="GH96" s="35"/>
      <c r="GI96" s="35"/>
      <c r="GJ96" s="35"/>
      <c r="GK96" s="35"/>
      <c r="GL96" s="35"/>
      <c r="GM96" s="35"/>
      <c r="GN96" s="35"/>
      <c r="GO96" s="35"/>
      <c r="GP96" s="35"/>
      <c r="GQ96" s="35"/>
      <c r="GR96" s="35"/>
      <c r="GS96" s="35"/>
      <c r="GT96" s="35"/>
      <c r="GU96" s="35"/>
      <c r="GV96" s="35"/>
      <c r="GW96" s="35"/>
      <c r="GX96" s="83"/>
      <c r="GY96" s="83"/>
      <c r="GZ96" s="83"/>
      <c r="HA96" s="83"/>
      <c r="HB96" s="83"/>
      <c r="HC96" s="83"/>
      <c r="HD96" s="83"/>
      <c r="HE96" s="83"/>
      <c r="HF96" s="83"/>
      <c r="HG96" s="83"/>
      <c r="HH96" s="83"/>
      <c r="HI96" s="83"/>
      <c r="HJ96" s="83"/>
      <c r="HK96" s="83"/>
      <c r="HL96" s="83"/>
      <c r="HM96" s="83"/>
      <c r="HN96" s="83"/>
      <c r="HO96" s="83"/>
      <c r="HP96" s="83"/>
      <c r="HQ96" s="83"/>
      <c r="HR96" s="83"/>
      <c r="HS96" s="83"/>
      <c r="HT96" s="83"/>
      <c r="HU96" s="83"/>
      <c r="HV96" s="83"/>
      <c r="HW96" s="83"/>
      <c r="HX96" s="83"/>
      <c r="HY96" s="83"/>
      <c r="HZ96" s="83"/>
      <c r="IA96" s="83"/>
      <c r="IB96" s="83"/>
      <c r="IC96" s="83"/>
      <c r="ID96" s="83"/>
      <c r="IE96" s="83"/>
      <c r="IF96" s="83"/>
      <c r="IG96" s="83"/>
      <c r="IH96" s="83"/>
      <c r="II96" s="83"/>
      <c r="IJ96" s="83"/>
      <c r="IK96" s="83"/>
      <c r="IL96" s="83"/>
      <c r="IM96" s="83"/>
      <c r="IN96" s="83"/>
      <c r="IO96" s="83"/>
      <c r="IP96" s="83"/>
      <c r="IQ96" s="83"/>
      <c r="IR96" s="83"/>
      <c r="IS96" s="83"/>
      <c r="IT96" s="83"/>
      <c r="IU96" s="83"/>
      <c r="IV96" s="83"/>
      <c r="IW96" s="83"/>
    </row>
    <row r="97" spans="2:257" s="15" customFormat="1" ht="14.4">
      <c r="B97" s="30">
        <f t="shared" si="149"/>
        <v>5.0199999999999996</v>
      </c>
      <c r="C97" s="38" t="s">
        <v>78</v>
      </c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79"/>
      <c r="BD97" s="79"/>
      <c r="BE97" s="79"/>
      <c r="BF97" s="79"/>
      <c r="BG97" s="79"/>
      <c r="BH97" s="79"/>
      <c r="BI97" s="79"/>
      <c r="BJ97" s="79"/>
      <c r="BK97" s="79"/>
      <c r="BL97" s="79"/>
      <c r="BM97" s="79"/>
      <c r="BN97" s="79"/>
      <c r="BO97" s="79"/>
      <c r="BP97" s="79"/>
      <c r="BQ97" s="79"/>
      <c r="BR97" s="79"/>
      <c r="BS97" s="79"/>
      <c r="BT97" s="79"/>
      <c r="BU97" s="79"/>
      <c r="BV97" s="79"/>
      <c r="BW97" s="79"/>
      <c r="BX97" s="79"/>
      <c r="BY97" s="79"/>
      <c r="BZ97" s="79"/>
      <c r="CA97" s="79"/>
      <c r="CB97" s="79"/>
      <c r="CC97" s="79"/>
      <c r="CD97" s="79"/>
      <c r="CE97" s="79"/>
      <c r="CF97" s="35"/>
      <c r="CG97" s="34"/>
      <c r="CH97" s="34"/>
      <c r="CI97" s="34"/>
      <c r="CJ97" s="34"/>
      <c r="CK97" s="34"/>
      <c r="CL97" s="34"/>
      <c r="CM97" s="34"/>
      <c r="CN97" s="34"/>
      <c r="CO97" s="35"/>
      <c r="CP97" s="35"/>
      <c r="CQ97" s="35"/>
      <c r="CR97" s="79"/>
      <c r="CS97" s="79"/>
      <c r="CT97" s="79"/>
      <c r="CU97" s="79"/>
      <c r="CV97" s="35"/>
      <c r="CW97" s="35"/>
      <c r="CX97" s="35"/>
      <c r="CY97" s="35"/>
      <c r="CZ97" s="35"/>
      <c r="DA97" s="35"/>
      <c r="DB97" s="79"/>
      <c r="DC97" s="35"/>
      <c r="DD97" s="35"/>
      <c r="DE97" s="35"/>
      <c r="DF97" s="35"/>
      <c r="DG97" s="35"/>
      <c r="DH97" s="79"/>
      <c r="DI97" s="35"/>
      <c r="DJ97" s="35"/>
      <c r="DK97" s="35"/>
      <c r="DL97" s="35"/>
      <c r="DM97" s="35"/>
      <c r="DN97" s="79"/>
      <c r="DO97" s="35"/>
      <c r="DP97" s="35"/>
      <c r="DQ97" s="35"/>
      <c r="DR97" s="35"/>
      <c r="DS97" s="35"/>
      <c r="DT97" s="79"/>
      <c r="DU97" s="35"/>
      <c r="DV97" s="79"/>
      <c r="DW97" s="79"/>
      <c r="DX97" s="79"/>
      <c r="DY97" s="79"/>
      <c r="DZ97" s="79"/>
      <c r="EA97" s="79"/>
      <c r="EB97" s="79"/>
      <c r="EC97" s="79"/>
      <c r="ED97" s="79"/>
      <c r="EE97" s="79"/>
      <c r="EF97" s="79"/>
      <c r="EG97" s="79"/>
      <c r="EH97" s="79"/>
      <c r="EI97" s="79"/>
      <c r="EJ97" s="79"/>
      <c r="EK97" s="35"/>
      <c r="EL97" s="35"/>
      <c r="EM97" s="35"/>
      <c r="EN97" s="35"/>
      <c r="EO97" s="55" t="s">
        <v>187</v>
      </c>
      <c r="EP97" s="55" t="s">
        <v>187</v>
      </c>
      <c r="EQ97" s="55" t="s">
        <v>30</v>
      </c>
      <c r="ER97" s="55" t="s">
        <v>31</v>
      </c>
      <c r="ES97" s="55" t="s">
        <v>31</v>
      </c>
      <c r="ET97" s="35"/>
      <c r="EU97" s="55" t="s">
        <v>32</v>
      </c>
      <c r="EV97" s="56" t="s">
        <v>188</v>
      </c>
      <c r="EW97" s="56" t="s">
        <v>188</v>
      </c>
      <c r="EX97" s="56" t="s">
        <v>189</v>
      </c>
      <c r="EY97" s="56" t="s">
        <v>189</v>
      </c>
      <c r="EZ97" s="56" t="s">
        <v>190</v>
      </c>
      <c r="FA97" s="56" t="s">
        <v>191</v>
      </c>
      <c r="FB97" s="57" t="s">
        <v>192</v>
      </c>
      <c r="FC97" s="57" t="s">
        <v>193</v>
      </c>
      <c r="FD97" s="57" t="s">
        <v>194</v>
      </c>
      <c r="FE97" s="57" t="s">
        <v>194</v>
      </c>
      <c r="FF97" s="57" t="s">
        <v>195</v>
      </c>
      <c r="FG97" s="58" t="s">
        <v>196</v>
      </c>
      <c r="FH97" s="58" t="s">
        <v>197</v>
      </c>
      <c r="FI97" s="58" t="s">
        <v>197</v>
      </c>
      <c r="FJ97" s="58" t="s">
        <v>198</v>
      </c>
      <c r="FK97" s="58" t="s">
        <v>198</v>
      </c>
      <c r="FL97" s="58" t="s">
        <v>199</v>
      </c>
      <c r="FM97" s="42" t="s">
        <v>33</v>
      </c>
      <c r="FN97" s="42" t="s">
        <v>34</v>
      </c>
      <c r="FO97" s="42" t="s">
        <v>34</v>
      </c>
      <c r="FP97" s="42" t="s">
        <v>35</v>
      </c>
      <c r="FQ97" s="42" t="s">
        <v>35</v>
      </c>
      <c r="FR97" s="42" t="s">
        <v>36</v>
      </c>
      <c r="FS97" s="35"/>
      <c r="FT97" s="35"/>
      <c r="FU97" s="59" t="s">
        <v>200</v>
      </c>
      <c r="FV97" s="59" t="s">
        <v>201</v>
      </c>
      <c r="FW97" s="59" t="s">
        <v>201</v>
      </c>
      <c r="FX97" s="59" t="s">
        <v>202</v>
      </c>
      <c r="FY97" s="59" t="s">
        <v>203</v>
      </c>
      <c r="FZ97" s="35"/>
      <c r="GA97" s="35"/>
      <c r="GB97" s="35"/>
      <c r="GC97" s="35"/>
      <c r="GD97" s="35"/>
      <c r="GE97" s="35"/>
      <c r="GF97" s="35"/>
      <c r="GG97" s="35"/>
      <c r="GH97" s="35"/>
      <c r="GI97" s="35"/>
      <c r="GJ97" s="35"/>
      <c r="GK97" s="35"/>
      <c r="GL97" s="35"/>
      <c r="GM97" s="35"/>
      <c r="GN97" s="35"/>
      <c r="GO97" s="35"/>
      <c r="GP97" s="35"/>
      <c r="GQ97" s="35"/>
      <c r="GR97" s="35"/>
      <c r="GS97" s="35"/>
      <c r="GT97" s="35"/>
      <c r="GU97" s="35"/>
      <c r="GV97" s="35"/>
      <c r="GW97" s="35"/>
      <c r="GX97" s="79"/>
      <c r="GY97" s="79"/>
      <c r="GZ97" s="79"/>
      <c r="HA97" s="79"/>
      <c r="HB97" s="79"/>
      <c r="HC97" s="79"/>
      <c r="HD97" s="79"/>
      <c r="HE97" s="79"/>
      <c r="HF97" s="79"/>
      <c r="HG97" s="79"/>
      <c r="HH97" s="79"/>
      <c r="HI97" s="79"/>
      <c r="HJ97" s="79"/>
      <c r="HK97" s="79"/>
      <c r="HL97" s="79"/>
      <c r="HM97" s="79"/>
      <c r="HN97" s="79"/>
      <c r="HO97" s="79"/>
      <c r="HP97" s="79"/>
      <c r="HQ97" s="79"/>
      <c r="HR97" s="79"/>
      <c r="HS97" s="79"/>
      <c r="HT97" s="79"/>
      <c r="HU97" s="79"/>
      <c r="HV97" s="79"/>
      <c r="HW97" s="79"/>
      <c r="HX97" s="79"/>
      <c r="HY97" s="79"/>
      <c r="HZ97" s="79"/>
      <c r="IA97" s="79"/>
      <c r="IB97" s="79"/>
      <c r="IC97" s="79"/>
      <c r="ID97" s="79"/>
      <c r="IE97" s="79"/>
      <c r="IF97" s="79"/>
      <c r="IG97" s="79"/>
      <c r="IH97" s="79"/>
      <c r="II97" s="79"/>
      <c r="IJ97" s="79"/>
      <c r="IK97" s="79"/>
      <c r="IL97" s="79"/>
      <c r="IM97" s="79"/>
      <c r="IN97" s="79"/>
      <c r="IO97" s="79"/>
      <c r="IP97" s="79"/>
      <c r="IQ97" s="79"/>
      <c r="IR97" s="79"/>
      <c r="IS97" s="79"/>
      <c r="IT97" s="79"/>
      <c r="IU97" s="79"/>
      <c r="IV97" s="79"/>
      <c r="IW97" s="79"/>
    </row>
    <row r="98" spans="2:257" s="27" customFormat="1" ht="14.4">
      <c r="B98" s="30">
        <f t="shared" si="149"/>
        <v>5.0299999999999994</v>
      </c>
      <c r="C98" s="38" t="s">
        <v>79</v>
      </c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83"/>
      <c r="BD98" s="83"/>
      <c r="BE98" s="83"/>
      <c r="BF98" s="83"/>
      <c r="BG98" s="83"/>
      <c r="BH98" s="83"/>
      <c r="BI98" s="83"/>
      <c r="BJ98" s="83"/>
      <c r="BK98" s="83"/>
      <c r="BL98" s="83"/>
      <c r="BM98" s="83"/>
      <c r="BN98" s="83"/>
      <c r="BO98" s="83"/>
      <c r="BP98" s="83"/>
      <c r="BQ98" s="83"/>
      <c r="BR98" s="83"/>
      <c r="BS98" s="83"/>
      <c r="BT98" s="83"/>
      <c r="BU98" s="83"/>
      <c r="BV98" s="83"/>
      <c r="BW98" s="83"/>
      <c r="BX98" s="83"/>
      <c r="BY98" s="83"/>
      <c r="BZ98" s="83"/>
      <c r="CA98" s="83"/>
      <c r="CB98" s="83"/>
      <c r="CC98" s="83"/>
      <c r="CD98" s="83"/>
      <c r="CE98" s="83"/>
      <c r="CF98" s="35"/>
      <c r="CG98" s="34"/>
      <c r="CH98" s="34"/>
      <c r="CI98" s="34"/>
      <c r="CJ98" s="34"/>
      <c r="CK98" s="34"/>
      <c r="CL98" s="34"/>
      <c r="CM98" s="34"/>
      <c r="CN98" s="34"/>
      <c r="CO98" s="35"/>
      <c r="CP98" s="35"/>
      <c r="CQ98" s="35"/>
      <c r="CR98" s="83"/>
      <c r="CS98" s="83"/>
      <c r="CT98" s="83"/>
      <c r="CU98" s="83"/>
      <c r="CV98" s="35"/>
      <c r="CW98" s="35"/>
      <c r="CX98" s="35"/>
      <c r="CY98" s="35"/>
      <c r="CZ98" s="35"/>
      <c r="DA98" s="35"/>
      <c r="DB98" s="83"/>
      <c r="DC98" s="35"/>
      <c r="DD98" s="35"/>
      <c r="DE98" s="35"/>
      <c r="DF98" s="35"/>
      <c r="DG98" s="35"/>
      <c r="DH98" s="83"/>
      <c r="DI98" s="35"/>
      <c r="DJ98" s="35"/>
      <c r="DK98" s="35"/>
      <c r="DL98" s="35"/>
      <c r="DM98" s="35"/>
      <c r="DN98" s="83"/>
      <c r="DO98" s="35"/>
      <c r="DP98" s="35"/>
      <c r="DQ98" s="35"/>
      <c r="DR98" s="35"/>
      <c r="DS98" s="35"/>
      <c r="DT98" s="83"/>
      <c r="DU98" s="35"/>
      <c r="DV98" s="35"/>
      <c r="DW98" s="35"/>
      <c r="DX98" s="35"/>
      <c r="DY98" s="35"/>
      <c r="DZ98" s="83"/>
      <c r="EA98" s="35"/>
      <c r="EB98" s="83"/>
      <c r="EC98" s="83"/>
      <c r="ED98" s="83"/>
      <c r="EE98" s="83"/>
      <c r="EF98" s="83"/>
      <c r="EG98" s="83"/>
      <c r="EH98" s="83"/>
      <c r="EI98" s="83"/>
      <c r="EJ98" s="83"/>
      <c r="EK98" s="83"/>
      <c r="EL98" s="83"/>
      <c r="EM98" s="83"/>
      <c r="EN98" s="83"/>
      <c r="EO98" s="83"/>
      <c r="EP98" s="83"/>
      <c r="EQ98" s="55" t="s">
        <v>187</v>
      </c>
      <c r="ER98" s="55" t="s">
        <v>30</v>
      </c>
      <c r="ES98" s="55" t="s">
        <v>30</v>
      </c>
      <c r="ET98" s="35"/>
      <c r="EU98" s="55" t="s">
        <v>31</v>
      </c>
      <c r="EV98" s="55" t="s">
        <v>32</v>
      </c>
      <c r="EW98" s="55" t="s">
        <v>32</v>
      </c>
      <c r="EX98" s="56" t="s">
        <v>188</v>
      </c>
      <c r="EY98" s="56" t="s">
        <v>188</v>
      </c>
      <c r="EZ98" s="56" t="s">
        <v>189</v>
      </c>
      <c r="FA98" s="56" t="s">
        <v>190</v>
      </c>
      <c r="FB98" s="56" t="s">
        <v>191</v>
      </c>
      <c r="FC98" s="57" t="s">
        <v>192</v>
      </c>
      <c r="FD98" s="57" t="s">
        <v>193</v>
      </c>
      <c r="FE98" s="57" t="s">
        <v>193</v>
      </c>
      <c r="FF98" s="57" t="s">
        <v>194</v>
      </c>
      <c r="FG98" s="57" t="s">
        <v>195</v>
      </c>
      <c r="FH98" s="58" t="s">
        <v>196</v>
      </c>
      <c r="FI98" s="58" t="s">
        <v>196</v>
      </c>
      <c r="FJ98" s="58" t="s">
        <v>197</v>
      </c>
      <c r="FK98" s="58" t="s">
        <v>197</v>
      </c>
      <c r="FL98" s="58" t="s">
        <v>198</v>
      </c>
      <c r="FM98" s="58" t="s">
        <v>199</v>
      </c>
      <c r="FN98" s="42" t="s">
        <v>33</v>
      </c>
      <c r="FO98" s="42" t="s">
        <v>33</v>
      </c>
      <c r="FP98" s="42" t="s">
        <v>34</v>
      </c>
      <c r="FQ98" s="42" t="s">
        <v>34</v>
      </c>
      <c r="FR98" s="42" t="s">
        <v>35</v>
      </c>
      <c r="FS98" s="35"/>
      <c r="FT98" s="35"/>
      <c r="FU98" s="42" t="s">
        <v>36</v>
      </c>
      <c r="FV98" s="59" t="s">
        <v>200</v>
      </c>
      <c r="FW98" s="59" t="s">
        <v>200</v>
      </c>
      <c r="FX98" s="59" t="s">
        <v>201</v>
      </c>
      <c r="FY98" s="59" t="s">
        <v>202</v>
      </c>
      <c r="FZ98" s="59" t="s">
        <v>203</v>
      </c>
      <c r="GA98" s="59" t="s">
        <v>203</v>
      </c>
      <c r="GB98" s="35"/>
      <c r="GC98" s="35"/>
      <c r="GD98" s="35"/>
      <c r="GE98" s="35"/>
      <c r="GF98" s="35"/>
      <c r="GG98" s="35"/>
      <c r="GH98" s="35"/>
      <c r="GI98" s="35"/>
      <c r="GJ98" s="35"/>
      <c r="GK98" s="35"/>
      <c r="GL98" s="35"/>
      <c r="GM98" s="35"/>
      <c r="GN98" s="35"/>
      <c r="GO98" s="35"/>
      <c r="GP98" s="35"/>
      <c r="GQ98" s="35"/>
      <c r="GR98" s="35"/>
      <c r="GS98" s="35"/>
      <c r="GT98" s="35"/>
      <c r="GU98" s="35"/>
      <c r="GV98" s="35"/>
      <c r="GW98" s="35"/>
      <c r="GX98" s="83"/>
      <c r="GY98" s="83"/>
      <c r="GZ98" s="83"/>
      <c r="HA98" s="83"/>
      <c r="HB98" s="83"/>
      <c r="HC98" s="83"/>
      <c r="HD98" s="83"/>
      <c r="HE98" s="83"/>
      <c r="HF98" s="83"/>
      <c r="HG98" s="83"/>
      <c r="HH98" s="83"/>
      <c r="HI98" s="83"/>
      <c r="HJ98" s="83"/>
      <c r="HK98" s="83"/>
      <c r="HL98" s="83"/>
      <c r="HM98" s="83"/>
      <c r="HN98" s="83"/>
      <c r="HO98" s="83"/>
      <c r="HP98" s="83"/>
      <c r="HQ98" s="83"/>
      <c r="HR98" s="83"/>
      <c r="HS98" s="83"/>
      <c r="HT98" s="83"/>
      <c r="HU98" s="83"/>
      <c r="HV98" s="83"/>
      <c r="HW98" s="83"/>
      <c r="HX98" s="83"/>
      <c r="HY98" s="83"/>
      <c r="HZ98" s="83"/>
      <c r="IA98" s="83"/>
      <c r="IB98" s="83"/>
      <c r="IC98" s="83"/>
      <c r="ID98" s="83"/>
      <c r="IE98" s="83"/>
      <c r="IF98" s="83"/>
      <c r="IG98" s="83"/>
      <c r="IH98" s="83"/>
      <c r="II98" s="83"/>
      <c r="IJ98" s="83"/>
      <c r="IK98" s="83"/>
      <c r="IL98" s="83"/>
      <c r="IM98" s="83"/>
      <c r="IN98" s="83"/>
      <c r="IO98" s="83"/>
      <c r="IP98" s="83"/>
      <c r="IQ98" s="83"/>
      <c r="IR98" s="83"/>
      <c r="IS98" s="83"/>
      <c r="IT98" s="83"/>
      <c r="IU98" s="83"/>
      <c r="IV98" s="83"/>
      <c r="IW98" s="83"/>
    </row>
    <row r="99" spans="2:257" s="28" customFormat="1" ht="14.4">
      <c r="B99" s="30">
        <f t="shared" si="149"/>
        <v>5.0399999999999991</v>
      </c>
      <c r="C99" s="38" t="s">
        <v>80</v>
      </c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84"/>
      <c r="BD99" s="84"/>
      <c r="BE99" s="84"/>
      <c r="BF99" s="84"/>
      <c r="BG99" s="84"/>
      <c r="BH99" s="84"/>
      <c r="BI99" s="84"/>
      <c r="BJ99" s="84"/>
      <c r="BK99" s="84"/>
      <c r="BL99" s="84"/>
      <c r="BM99" s="84"/>
      <c r="BN99" s="84"/>
      <c r="BO99" s="84"/>
      <c r="BP99" s="84"/>
      <c r="BQ99" s="84"/>
      <c r="BR99" s="84"/>
      <c r="BS99" s="84"/>
      <c r="BT99" s="84"/>
      <c r="BU99" s="84"/>
      <c r="BV99" s="84"/>
      <c r="BW99" s="84"/>
      <c r="BX99" s="84"/>
      <c r="BY99" s="84"/>
      <c r="BZ99" s="84"/>
      <c r="CA99" s="84"/>
      <c r="CB99" s="84"/>
      <c r="CC99" s="84"/>
      <c r="CD99" s="84"/>
      <c r="CE99" s="84"/>
      <c r="CF99" s="35"/>
      <c r="CG99" s="34"/>
      <c r="CH99" s="34"/>
      <c r="CI99" s="34"/>
      <c r="CJ99" s="34"/>
      <c r="CK99" s="34"/>
      <c r="CL99" s="34"/>
      <c r="CM99" s="34"/>
      <c r="CN99" s="34"/>
      <c r="CO99" s="35"/>
      <c r="CP99" s="35"/>
      <c r="CQ99" s="35"/>
      <c r="CR99" s="84"/>
      <c r="CS99" s="84"/>
      <c r="CT99" s="84"/>
      <c r="CU99" s="84"/>
      <c r="CV99" s="35"/>
      <c r="CW99" s="35"/>
      <c r="CX99" s="35"/>
      <c r="CY99" s="35"/>
      <c r="CZ99" s="35"/>
      <c r="DA99" s="35"/>
      <c r="DB99" s="84"/>
      <c r="DC99" s="35"/>
      <c r="DD99" s="35"/>
      <c r="DE99" s="35"/>
      <c r="DF99" s="35"/>
      <c r="DG99" s="35"/>
      <c r="DH99" s="84"/>
      <c r="DI99" s="35"/>
      <c r="DJ99" s="35"/>
      <c r="DK99" s="35"/>
      <c r="DL99" s="35"/>
      <c r="DM99" s="35"/>
      <c r="DN99" s="84"/>
      <c r="DO99" s="35"/>
      <c r="DP99" s="35"/>
      <c r="DQ99" s="35"/>
      <c r="DR99" s="35"/>
      <c r="DS99" s="35"/>
      <c r="DT99" s="84"/>
      <c r="DU99" s="35"/>
      <c r="DV99" s="35"/>
      <c r="DW99" s="35"/>
      <c r="DX99" s="35"/>
      <c r="DY99" s="35"/>
      <c r="DZ99" s="84"/>
      <c r="EA99" s="35"/>
      <c r="EB99" s="84"/>
      <c r="EC99" s="84"/>
      <c r="ED99" s="84"/>
      <c r="EE99" s="84"/>
      <c r="EF99" s="84"/>
      <c r="EG99" s="84"/>
      <c r="EH99" s="84"/>
      <c r="EI99" s="84"/>
      <c r="EJ99" s="84"/>
      <c r="EK99" s="84"/>
      <c r="EL99" s="84"/>
      <c r="EM99" s="84"/>
      <c r="EN99" s="84"/>
      <c r="EO99" s="84"/>
      <c r="EP99" s="84"/>
      <c r="EQ99" s="35"/>
      <c r="ER99" s="55" t="s">
        <v>187</v>
      </c>
      <c r="ES99" s="55" t="s">
        <v>187</v>
      </c>
      <c r="ET99" s="35"/>
      <c r="EU99" s="55" t="s">
        <v>30</v>
      </c>
      <c r="EV99" s="55" t="s">
        <v>31</v>
      </c>
      <c r="EW99" s="55" t="s">
        <v>31</v>
      </c>
      <c r="EX99" s="55" t="s">
        <v>32</v>
      </c>
      <c r="EY99" s="55" t="s">
        <v>32</v>
      </c>
      <c r="EZ99" s="56" t="s">
        <v>188</v>
      </c>
      <c r="FA99" s="56" t="s">
        <v>189</v>
      </c>
      <c r="FB99" s="56" t="s">
        <v>190</v>
      </c>
      <c r="FC99" s="56" t="s">
        <v>191</v>
      </c>
      <c r="FD99" s="57" t="s">
        <v>192</v>
      </c>
      <c r="FE99" s="57" t="s">
        <v>192</v>
      </c>
      <c r="FF99" s="57" t="s">
        <v>193</v>
      </c>
      <c r="FG99" s="57" t="s">
        <v>194</v>
      </c>
      <c r="FH99" s="57" t="s">
        <v>195</v>
      </c>
      <c r="FI99" s="57" t="s">
        <v>195</v>
      </c>
      <c r="FJ99" s="58" t="s">
        <v>196</v>
      </c>
      <c r="FK99" s="58" t="s">
        <v>196</v>
      </c>
      <c r="FL99" s="58" t="s">
        <v>197</v>
      </c>
      <c r="FM99" s="58" t="s">
        <v>198</v>
      </c>
      <c r="FN99" s="58" t="s">
        <v>199</v>
      </c>
      <c r="FO99" s="58" t="s">
        <v>199</v>
      </c>
      <c r="FP99" s="42" t="s">
        <v>33</v>
      </c>
      <c r="FQ99" s="42" t="s">
        <v>33</v>
      </c>
      <c r="FR99" s="42" t="s">
        <v>34</v>
      </c>
      <c r="FS99" s="35"/>
      <c r="FT99" s="35"/>
      <c r="FU99" s="42" t="s">
        <v>35</v>
      </c>
      <c r="FV99" s="42" t="s">
        <v>36</v>
      </c>
      <c r="FW99" s="42" t="s">
        <v>36</v>
      </c>
      <c r="FX99" s="59" t="s">
        <v>200</v>
      </c>
      <c r="FY99" s="59" t="s">
        <v>201</v>
      </c>
      <c r="FZ99" s="59" t="s">
        <v>202</v>
      </c>
      <c r="GA99" s="59" t="s">
        <v>202</v>
      </c>
      <c r="GB99" s="59" t="s">
        <v>203</v>
      </c>
      <c r="GC99" s="59" t="s">
        <v>203</v>
      </c>
      <c r="GD99" s="35"/>
      <c r="GE99" s="35"/>
      <c r="GF99" s="35"/>
      <c r="GG99" s="35"/>
      <c r="GH99" s="35"/>
      <c r="GI99" s="35"/>
      <c r="GJ99" s="35"/>
      <c r="GK99" s="35"/>
      <c r="GL99" s="35"/>
      <c r="GM99" s="35"/>
      <c r="GN99" s="35"/>
      <c r="GO99" s="35"/>
      <c r="GP99" s="35"/>
      <c r="GQ99" s="35"/>
      <c r="GR99" s="35"/>
      <c r="GS99" s="35"/>
      <c r="GT99" s="35"/>
      <c r="GU99" s="35"/>
      <c r="GV99" s="35"/>
      <c r="GW99" s="35"/>
      <c r="GX99" s="35"/>
      <c r="GY99" s="35"/>
      <c r="GZ99" s="84"/>
      <c r="HA99" s="84"/>
      <c r="HB99" s="84"/>
      <c r="HC99" s="84"/>
      <c r="HD99" s="84"/>
      <c r="HE99" s="84"/>
      <c r="HF99" s="84"/>
      <c r="HG99" s="84"/>
      <c r="HH99" s="84"/>
      <c r="HI99" s="84"/>
      <c r="HJ99" s="84"/>
      <c r="HK99" s="84"/>
      <c r="HL99" s="84"/>
      <c r="HM99" s="84"/>
      <c r="HN99" s="84"/>
      <c r="HO99" s="84"/>
      <c r="HP99" s="84"/>
      <c r="HQ99" s="84"/>
      <c r="HR99" s="84"/>
      <c r="HS99" s="84"/>
      <c r="HT99" s="84"/>
      <c r="HU99" s="84"/>
      <c r="HV99" s="84"/>
      <c r="HW99" s="84"/>
      <c r="HX99" s="84"/>
      <c r="HY99" s="84"/>
      <c r="HZ99" s="84"/>
      <c r="IA99" s="84"/>
      <c r="IB99" s="84"/>
      <c r="IC99" s="84"/>
      <c r="ID99" s="84"/>
      <c r="IE99" s="84"/>
      <c r="IF99" s="84"/>
      <c r="IG99" s="84"/>
      <c r="IH99" s="84"/>
      <c r="II99" s="84"/>
      <c r="IJ99" s="84"/>
      <c r="IK99" s="84"/>
      <c r="IL99" s="84"/>
      <c r="IM99" s="84"/>
      <c r="IN99" s="84"/>
      <c r="IO99" s="84"/>
      <c r="IP99" s="84"/>
      <c r="IQ99" s="84"/>
      <c r="IR99" s="84"/>
      <c r="IS99" s="84"/>
      <c r="IT99" s="84"/>
      <c r="IU99" s="84"/>
      <c r="IV99" s="84"/>
      <c r="IW99" s="84"/>
    </row>
    <row r="100" spans="2:257" s="28" customFormat="1" ht="14.4">
      <c r="B100" s="30">
        <f t="shared" si="149"/>
        <v>5.0499999999999989</v>
      </c>
      <c r="C100" s="38" t="s">
        <v>81</v>
      </c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  <c r="BM100" s="84"/>
      <c r="BN100" s="84"/>
      <c r="BO100" s="84"/>
      <c r="BP100" s="84"/>
      <c r="BQ100" s="84"/>
      <c r="BR100" s="84"/>
      <c r="BS100" s="84"/>
      <c r="BT100" s="84"/>
      <c r="BU100" s="84"/>
      <c r="BV100" s="84"/>
      <c r="BW100" s="84"/>
      <c r="BX100" s="84"/>
      <c r="BY100" s="84"/>
      <c r="BZ100" s="84"/>
      <c r="CA100" s="84"/>
      <c r="CB100" s="84"/>
      <c r="CC100" s="84"/>
      <c r="CD100" s="84"/>
      <c r="CE100" s="84"/>
      <c r="CF100" s="35"/>
      <c r="CG100" s="34"/>
      <c r="CH100" s="34"/>
      <c r="CI100" s="34"/>
      <c r="CJ100" s="34"/>
      <c r="CK100" s="34"/>
      <c r="CL100" s="34"/>
      <c r="CM100" s="34"/>
      <c r="CN100" s="34"/>
      <c r="CO100" s="35"/>
      <c r="CP100" s="35"/>
      <c r="CQ100" s="35"/>
      <c r="CR100" s="84"/>
      <c r="CS100" s="84"/>
      <c r="CT100" s="84"/>
      <c r="CU100" s="84"/>
      <c r="CV100" s="35"/>
      <c r="CW100" s="35"/>
      <c r="CX100" s="35"/>
      <c r="CY100" s="35"/>
      <c r="CZ100" s="35"/>
      <c r="DA100" s="35"/>
      <c r="DB100" s="84"/>
      <c r="DC100" s="35"/>
      <c r="DD100" s="35"/>
      <c r="DE100" s="35"/>
      <c r="DF100" s="35"/>
      <c r="DG100" s="35"/>
      <c r="DH100" s="84"/>
      <c r="DI100" s="35"/>
      <c r="DJ100" s="35"/>
      <c r="DK100" s="35"/>
      <c r="DL100" s="35"/>
      <c r="DM100" s="35"/>
      <c r="DN100" s="84"/>
      <c r="DO100" s="35"/>
      <c r="DP100" s="35"/>
      <c r="DQ100" s="35"/>
      <c r="DR100" s="35"/>
      <c r="DS100" s="35"/>
      <c r="DT100" s="84"/>
      <c r="DU100" s="35"/>
      <c r="DV100" s="35"/>
      <c r="DW100" s="35"/>
      <c r="DX100" s="35"/>
      <c r="DY100" s="35"/>
      <c r="DZ100" s="84"/>
      <c r="EA100" s="35"/>
      <c r="EB100" s="84"/>
      <c r="EC100" s="84"/>
      <c r="ED100" s="84"/>
      <c r="EE100" s="84"/>
      <c r="EF100" s="84"/>
      <c r="EG100" s="84"/>
      <c r="EH100" s="84"/>
      <c r="EI100" s="84"/>
      <c r="EJ100" s="84"/>
      <c r="EK100" s="84"/>
      <c r="EL100" s="84"/>
      <c r="EM100" s="84"/>
      <c r="EN100" s="84"/>
      <c r="EO100" s="84"/>
      <c r="EP100" s="84"/>
      <c r="EQ100" s="84"/>
      <c r="ER100" s="35"/>
      <c r="ES100" s="35"/>
      <c r="ET100" s="35"/>
      <c r="EU100" s="55" t="s">
        <v>187</v>
      </c>
      <c r="EV100" s="55" t="s">
        <v>30</v>
      </c>
      <c r="EW100" s="55" t="s">
        <v>30</v>
      </c>
      <c r="EX100" s="55" t="s">
        <v>31</v>
      </c>
      <c r="EY100" s="55" t="s">
        <v>31</v>
      </c>
      <c r="EZ100" s="55" t="s">
        <v>32</v>
      </c>
      <c r="FA100" s="56" t="s">
        <v>188</v>
      </c>
      <c r="FB100" s="56" t="s">
        <v>189</v>
      </c>
      <c r="FC100" s="56" t="s">
        <v>190</v>
      </c>
      <c r="FD100" s="56" t="s">
        <v>191</v>
      </c>
      <c r="FE100" s="56" t="s">
        <v>191</v>
      </c>
      <c r="FF100" s="57" t="s">
        <v>192</v>
      </c>
      <c r="FG100" s="57" t="s">
        <v>193</v>
      </c>
      <c r="FH100" s="57" t="s">
        <v>194</v>
      </c>
      <c r="FI100" s="57" t="s">
        <v>194</v>
      </c>
      <c r="FJ100" s="57" t="s">
        <v>195</v>
      </c>
      <c r="FK100" s="57" t="s">
        <v>195</v>
      </c>
      <c r="FL100" s="58" t="s">
        <v>196</v>
      </c>
      <c r="FM100" s="58" t="s">
        <v>197</v>
      </c>
      <c r="FN100" s="58" t="s">
        <v>198</v>
      </c>
      <c r="FO100" s="58" t="s">
        <v>198</v>
      </c>
      <c r="FP100" s="58" t="s">
        <v>199</v>
      </c>
      <c r="FQ100" s="58" t="s">
        <v>199</v>
      </c>
      <c r="FR100" s="42" t="s">
        <v>33</v>
      </c>
      <c r="FS100" s="35"/>
      <c r="FT100" s="35"/>
      <c r="FU100" s="42" t="s">
        <v>34</v>
      </c>
      <c r="FV100" s="42" t="s">
        <v>35</v>
      </c>
      <c r="FW100" s="42" t="s">
        <v>35</v>
      </c>
      <c r="FX100" s="42" t="s">
        <v>36</v>
      </c>
      <c r="FY100" s="59" t="s">
        <v>200</v>
      </c>
      <c r="FZ100" s="59" t="s">
        <v>201</v>
      </c>
      <c r="GA100" s="59" t="s">
        <v>201</v>
      </c>
      <c r="GB100" s="59" t="s">
        <v>202</v>
      </c>
      <c r="GC100" s="59" t="s">
        <v>202</v>
      </c>
      <c r="GD100" s="59" t="s">
        <v>203</v>
      </c>
      <c r="GE100" s="35"/>
      <c r="GF100" s="35"/>
      <c r="GG100" s="35"/>
      <c r="GH100" s="35"/>
      <c r="GI100" s="35"/>
      <c r="GJ100" s="35"/>
      <c r="GK100" s="35"/>
      <c r="GL100" s="35"/>
      <c r="GM100" s="35"/>
      <c r="GN100" s="35"/>
      <c r="GO100" s="35"/>
      <c r="GP100" s="35"/>
      <c r="GQ100" s="35"/>
      <c r="GR100" s="35"/>
      <c r="GS100" s="35"/>
      <c r="GT100" s="35"/>
      <c r="GU100" s="35"/>
      <c r="GV100" s="35"/>
      <c r="GW100" s="35"/>
      <c r="GX100" s="35"/>
      <c r="GY100" s="35"/>
      <c r="GZ100" s="84"/>
      <c r="HA100" s="84"/>
      <c r="HB100" s="84"/>
      <c r="HC100" s="84"/>
      <c r="HD100" s="84"/>
      <c r="HE100" s="84"/>
      <c r="HF100" s="84"/>
      <c r="HG100" s="84"/>
      <c r="HH100" s="84"/>
      <c r="HI100" s="84"/>
      <c r="HJ100" s="84"/>
      <c r="HK100" s="84"/>
      <c r="HL100" s="84"/>
      <c r="HM100" s="84"/>
      <c r="HN100" s="84"/>
      <c r="HO100" s="84"/>
      <c r="HP100" s="84"/>
      <c r="HQ100" s="84"/>
      <c r="HR100" s="84"/>
      <c r="HS100" s="84"/>
      <c r="HT100" s="84"/>
      <c r="HU100" s="84"/>
      <c r="HV100" s="84"/>
      <c r="HW100" s="84"/>
      <c r="HX100" s="84"/>
      <c r="HY100" s="84"/>
      <c r="HZ100" s="84"/>
      <c r="IA100" s="84"/>
      <c r="IB100" s="84"/>
      <c r="IC100" s="84"/>
      <c r="ID100" s="84"/>
      <c r="IE100" s="84"/>
      <c r="IF100" s="84"/>
      <c r="IG100" s="84"/>
      <c r="IH100" s="84"/>
      <c r="II100" s="84"/>
      <c r="IJ100" s="84"/>
      <c r="IK100" s="84"/>
      <c r="IL100" s="84"/>
      <c r="IM100" s="84"/>
      <c r="IN100" s="84"/>
      <c r="IO100" s="84"/>
      <c r="IP100" s="84"/>
      <c r="IQ100" s="84"/>
      <c r="IR100" s="84"/>
      <c r="IS100" s="84"/>
      <c r="IT100" s="84"/>
      <c r="IU100" s="84"/>
      <c r="IV100" s="84"/>
      <c r="IW100" s="84"/>
    </row>
    <row r="101" spans="2:257" s="28" customFormat="1" ht="14.4">
      <c r="B101" s="30">
        <f t="shared" ref="B101:B154" si="150">+B100+0.01</f>
        <v>5.0599999999999987</v>
      </c>
      <c r="C101" s="38" t="s">
        <v>82</v>
      </c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  <c r="BM101" s="84"/>
      <c r="BN101" s="84"/>
      <c r="BO101" s="84"/>
      <c r="BP101" s="84"/>
      <c r="BQ101" s="84"/>
      <c r="BR101" s="84"/>
      <c r="BS101" s="84"/>
      <c r="BT101" s="84"/>
      <c r="BU101" s="84"/>
      <c r="BV101" s="84"/>
      <c r="BW101" s="84"/>
      <c r="BX101" s="84"/>
      <c r="BY101" s="84"/>
      <c r="BZ101" s="84"/>
      <c r="CA101" s="84"/>
      <c r="CB101" s="84"/>
      <c r="CC101" s="84"/>
      <c r="CD101" s="84"/>
      <c r="CE101" s="84"/>
      <c r="CF101" s="35"/>
      <c r="CG101" s="34"/>
      <c r="CH101" s="34"/>
      <c r="CI101" s="34"/>
      <c r="CJ101" s="34"/>
      <c r="CK101" s="34"/>
      <c r="CL101" s="34"/>
      <c r="CM101" s="34"/>
      <c r="CN101" s="34"/>
      <c r="CO101" s="35"/>
      <c r="CP101" s="35"/>
      <c r="CQ101" s="35"/>
      <c r="CR101" s="84"/>
      <c r="CS101" s="84"/>
      <c r="CT101" s="84"/>
      <c r="CU101" s="84"/>
      <c r="CV101" s="35"/>
      <c r="CW101" s="35"/>
      <c r="CX101" s="35"/>
      <c r="CY101" s="35"/>
      <c r="CZ101" s="35"/>
      <c r="DA101" s="35"/>
      <c r="DB101" s="84"/>
      <c r="DC101" s="35"/>
      <c r="DD101" s="35"/>
      <c r="DE101" s="35"/>
      <c r="DF101" s="35"/>
      <c r="DG101" s="35"/>
      <c r="DH101" s="84"/>
      <c r="DI101" s="35"/>
      <c r="DJ101" s="35"/>
      <c r="DK101" s="35"/>
      <c r="DL101" s="35"/>
      <c r="DM101" s="35"/>
      <c r="DN101" s="84"/>
      <c r="DO101" s="35"/>
      <c r="DP101" s="35"/>
      <c r="DQ101" s="35"/>
      <c r="DR101" s="35"/>
      <c r="DS101" s="35"/>
      <c r="DT101" s="84"/>
      <c r="DU101" s="35"/>
      <c r="DV101" s="35"/>
      <c r="DW101" s="35"/>
      <c r="DX101" s="35"/>
      <c r="DY101" s="35"/>
      <c r="DZ101" s="84"/>
      <c r="EA101" s="35"/>
      <c r="EB101" s="84"/>
      <c r="EC101" s="84"/>
      <c r="ED101" s="84"/>
      <c r="EE101" s="84"/>
      <c r="EF101" s="84"/>
      <c r="EG101" s="84"/>
      <c r="EH101" s="84"/>
      <c r="EI101" s="84"/>
      <c r="EJ101" s="84"/>
      <c r="EK101" s="84"/>
      <c r="EL101" s="84"/>
      <c r="EM101" s="84"/>
      <c r="EN101" s="84"/>
      <c r="EO101" s="84"/>
      <c r="EP101" s="84"/>
      <c r="EQ101" s="84"/>
      <c r="ER101" s="35"/>
      <c r="ES101" s="35"/>
      <c r="ET101" s="35"/>
      <c r="EU101" s="35"/>
      <c r="EV101" s="55" t="s">
        <v>187</v>
      </c>
      <c r="EW101" s="55" t="s">
        <v>187</v>
      </c>
      <c r="EX101" s="55" t="s">
        <v>30</v>
      </c>
      <c r="EY101" s="55" t="s">
        <v>30</v>
      </c>
      <c r="EZ101" s="55" t="s">
        <v>31</v>
      </c>
      <c r="FA101" s="55" t="s">
        <v>32</v>
      </c>
      <c r="FB101" s="56" t="s">
        <v>188</v>
      </c>
      <c r="FC101" s="56" t="s">
        <v>189</v>
      </c>
      <c r="FD101" s="56" t="s">
        <v>190</v>
      </c>
      <c r="FE101" s="56" t="s">
        <v>190</v>
      </c>
      <c r="FF101" s="56" t="s">
        <v>191</v>
      </c>
      <c r="FG101" s="57" t="s">
        <v>192</v>
      </c>
      <c r="FH101" s="57" t="s">
        <v>193</v>
      </c>
      <c r="FI101" s="57" t="s">
        <v>193</v>
      </c>
      <c r="FJ101" s="57" t="s">
        <v>194</v>
      </c>
      <c r="FK101" s="57" t="s">
        <v>194</v>
      </c>
      <c r="FL101" s="57" t="s">
        <v>195</v>
      </c>
      <c r="FM101" s="58" t="s">
        <v>196</v>
      </c>
      <c r="FN101" s="58" t="s">
        <v>197</v>
      </c>
      <c r="FO101" s="58" t="s">
        <v>197</v>
      </c>
      <c r="FP101" s="58" t="s">
        <v>198</v>
      </c>
      <c r="FQ101" s="58" t="s">
        <v>198</v>
      </c>
      <c r="FR101" s="58" t="s">
        <v>199</v>
      </c>
      <c r="FS101" s="35"/>
      <c r="FT101" s="35"/>
      <c r="FU101" s="42" t="s">
        <v>33</v>
      </c>
      <c r="FV101" s="42" t="s">
        <v>34</v>
      </c>
      <c r="FW101" s="42" t="s">
        <v>34</v>
      </c>
      <c r="FX101" s="42" t="s">
        <v>35</v>
      </c>
      <c r="FY101" s="42" t="s">
        <v>36</v>
      </c>
      <c r="FZ101" s="59" t="s">
        <v>200</v>
      </c>
      <c r="GA101" s="59" t="s">
        <v>200</v>
      </c>
      <c r="GB101" s="59" t="s">
        <v>201</v>
      </c>
      <c r="GC101" s="59" t="s">
        <v>201</v>
      </c>
      <c r="GD101" s="59" t="s">
        <v>202</v>
      </c>
      <c r="GE101" s="59" t="s">
        <v>203</v>
      </c>
      <c r="GF101" s="35"/>
      <c r="GG101" s="35"/>
      <c r="GH101" s="35"/>
      <c r="GI101" s="35"/>
      <c r="GJ101" s="35"/>
      <c r="GK101" s="35"/>
      <c r="GL101" s="35"/>
      <c r="GM101" s="35"/>
      <c r="GN101" s="35"/>
      <c r="GO101" s="35"/>
      <c r="GP101" s="35"/>
      <c r="GQ101" s="35"/>
      <c r="GR101" s="35"/>
      <c r="GS101" s="35"/>
      <c r="GT101" s="35"/>
      <c r="GU101" s="35"/>
      <c r="GV101" s="35"/>
      <c r="GW101" s="35"/>
      <c r="GX101" s="35"/>
      <c r="GY101" s="35"/>
      <c r="GZ101" s="84"/>
      <c r="HA101" s="84"/>
      <c r="HB101" s="84"/>
      <c r="HC101" s="84"/>
      <c r="HD101" s="84"/>
      <c r="HE101" s="84"/>
      <c r="HF101" s="84"/>
      <c r="HG101" s="84"/>
      <c r="HH101" s="84"/>
      <c r="HI101" s="84"/>
      <c r="HJ101" s="84"/>
      <c r="HK101" s="84"/>
      <c r="HL101" s="84"/>
      <c r="HM101" s="84"/>
      <c r="HN101" s="84"/>
      <c r="HO101" s="84"/>
      <c r="HP101" s="84"/>
      <c r="HQ101" s="84"/>
      <c r="HR101" s="84"/>
      <c r="HS101" s="84"/>
      <c r="HT101" s="84"/>
      <c r="HU101" s="84"/>
      <c r="HV101" s="84"/>
      <c r="HW101" s="84"/>
      <c r="HX101" s="84"/>
      <c r="HY101" s="84"/>
      <c r="HZ101" s="84"/>
      <c r="IA101" s="84"/>
      <c r="IB101" s="84"/>
      <c r="IC101" s="84"/>
      <c r="ID101" s="84"/>
      <c r="IE101" s="84"/>
      <c r="IF101" s="84"/>
      <c r="IG101" s="84"/>
      <c r="IH101" s="84"/>
      <c r="II101" s="84"/>
      <c r="IJ101" s="84"/>
      <c r="IK101" s="84"/>
      <c r="IL101" s="84"/>
      <c r="IM101" s="84"/>
      <c r="IN101" s="84"/>
      <c r="IO101" s="84"/>
      <c r="IP101" s="84"/>
      <c r="IQ101" s="84"/>
      <c r="IR101" s="84"/>
      <c r="IS101" s="84"/>
      <c r="IT101" s="84"/>
      <c r="IU101" s="84"/>
      <c r="IV101" s="84"/>
      <c r="IW101" s="84"/>
    </row>
    <row r="102" spans="2:257" s="28" customFormat="1" ht="14.4">
      <c r="B102" s="30">
        <f t="shared" si="150"/>
        <v>5.0699999999999985</v>
      </c>
      <c r="C102" s="38" t="s">
        <v>83</v>
      </c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  <c r="BM102" s="84"/>
      <c r="BN102" s="84"/>
      <c r="BO102" s="84"/>
      <c r="BP102" s="84"/>
      <c r="BQ102" s="84"/>
      <c r="BR102" s="84"/>
      <c r="BS102" s="84"/>
      <c r="BT102" s="84"/>
      <c r="BU102" s="84"/>
      <c r="BV102" s="84"/>
      <c r="BW102" s="84"/>
      <c r="BX102" s="84"/>
      <c r="BY102" s="84"/>
      <c r="BZ102" s="84"/>
      <c r="CA102" s="84"/>
      <c r="CB102" s="84"/>
      <c r="CC102" s="84"/>
      <c r="CD102" s="84"/>
      <c r="CE102" s="84"/>
      <c r="CF102" s="35"/>
      <c r="CG102" s="34"/>
      <c r="CH102" s="34"/>
      <c r="CI102" s="34"/>
      <c r="CJ102" s="34"/>
      <c r="CK102" s="34"/>
      <c r="CL102" s="34"/>
      <c r="CM102" s="34"/>
      <c r="CN102" s="34"/>
      <c r="CO102" s="35"/>
      <c r="CP102" s="35"/>
      <c r="CQ102" s="35"/>
      <c r="CR102" s="84"/>
      <c r="CS102" s="84"/>
      <c r="CT102" s="84"/>
      <c r="CU102" s="84"/>
      <c r="CV102" s="35"/>
      <c r="CW102" s="35"/>
      <c r="CX102" s="35"/>
      <c r="CY102" s="35"/>
      <c r="CZ102" s="35"/>
      <c r="DA102" s="35"/>
      <c r="DB102" s="84"/>
      <c r="DC102" s="35"/>
      <c r="DD102" s="35"/>
      <c r="DE102" s="35"/>
      <c r="DF102" s="35"/>
      <c r="DG102" s="35"/>
      <c r="DH102" s="84"/>
      <c r="DI102" s="35"/>
      <c r="DJ102" s="35"/>
      <c r="DK102" s="35"/>
      <c r="DL102" s="35"/>
      <c r="DM102" s="35"/>
      <c r="DN102" s="84"/>
      <c r="DO102" s="35"/>
      <c r="DP102" s="35"/>
      <c r="DQ102" s="35"/>
      <c r="DR102" s="35"/>
      <c r="DS102" s="35"/>
      <c r="DT102" s="84"/>
      <c r="DU102" s="35"/>
      <c r="DV102" s="35"/>
      <c r="DW102" s="35"/>
      <c r="DX102" s="35"/>
      <c r="DY102" s="35"/>
      <c r="DZ102" s="84"/>
      <c r="EA102" s="35"/>
      <c r="EB102" s="84"/>
      <c r="EC102" s="84"/>
      <c r="ED102" s="84"/>
      <c r="EE102" s="84"/>
      <c r="EF102" s="84"/>
      <c r="EG102" s="84"/>
      <c r="EH102" s="84"/>
      <c r="EI102" s="84"/>
      <c r="EJ102" s="84"/>
      <c r="EK102" s="84"/>
      <c r="EL102" s="84"/>
      <c r="EM102" s="84"/>
      <c r="EN102" s="84"/>
      <c r="EO102" s="84"/>
      <c r="EP102" s="84"/>
      <c r="EQ102" s="84"/>
      <c r="ER102" s="35"/>
      <c r="ES102" s="35"/>
      <c r="ET102" s="35"/>
      <c r="EU102" s="35"/>
      <c r="EV102" s="35"/>
      <c r="EW102" s="35"/>
      <c r="EX102" s="55" t="s">
        <v>187</v>
      </c>
      <c r="EY102" s="55" t="s">
        <v>187</v>
      </c>
      <c r="EZ102" s="55" t="s">
        <v>30</v>
      </c>
      <c r="FA102" s="55" t="s">
        <v>31</v>
      </c>
      <c r="FB102" s="55" t="s">
        <v>32</v>
      </c>
      <c r="FC102" s="56" t="s">
        <v>188</v>
      </c>
      <c r="FD102" s="56" t="s">
        <v>189</v>
      </c>
      <c r="FE102" s="56" t="s">
        <v>189</v>
      </c>
      <c r="FF102" s="56" t="s">
        <v>190</v>
      </c>
      <c r="FG102" s="56" t="s">
        <v>191</v>
      </c>
      <c r="FH102" s="57" t="s">
        <v>192</v>
      </c>
      <c r="FI102" s="57" t="s">
        <v>192</v>
      </c>
      <c r="FJ102" s="57" t="s">
        <v>193</v>
      </c>
      <c r="FK102" s="57" t="s">
        <v>193</v>
      </c>
      <c r="FL102" s="57" t="s">
        <v>194</v>
      </c>
      <c r="FM102" s="57" t="s">
        <v>195</v>
      </c>
      <c r="FN102" s="58" t="s">
        <v>196</v>
      </c>
      <c r="FO102" s="58" t="s">
        <v>196</v>
      </c>
      <c r="FP102" s="58" t="s">
        <v>197</v>
      </c>
      <c r="FQ102" s="58" t="s">
        <v>197</v>
      </c>
      <c r="FR102" s="58" t="s">
        <v>198</v>
      </c>
      <c r="FS102" s="35"/>
      <c r="FT102" s="35"/>
      <c r="FU102" s="58" t="s">
        <v>199</v>
      </c>
      <c r="FV102" s="42" t="s">
        <v>33</v>
      </c>
      <c r="FW102" s="42" t="s">
        <v>33</v>
      </c>
      <c r="FX102" s="42" t="s">
        <v>34</v>
      </c>
      <c r="FY102" s="42" t="s">
        <v>35</v>
      </c>
      <c r="FZ102" s="42" t="s">
        <v>36</v>
      </c>
      <c r="GA102" s="42" t="s">
        <v>36</v>
      </c>
      <c r="GB102" s="59" t="s">
        <v>200</v>
      </c>
      <c r="GC102" s="59" t="s">
        <v>200</v>
      </c>
      <c r="GD102" s="59" t="s">
        <v>201</v>
      </c>
      <c r="GE102" s="59" t="s">
        <v>202</v>
      </c>
      <c r="GF102" s="59" t="s">
        <v>203</v>
      </c>
      <c r="GG102" s="59" t="s">
        <v>203</v>
      </c>
      <c r="GH102" s="35"/>
      <c r="GI102" s="35"/>
      <c r="GJ102" s="35"/>
      <c r="GK102" s="35"/>
      <c r="GL102" s="35"/>
      <c r="GM102" s="35"/>
      <c r="GN102" s="35"/>
      <c r="GO102" s="35"/>
      <c r="GP102" s="35"/>
      <c r="GQ102" s="35"/>
      <c r="GR102" s="35"/>
      <c r="GS102" s="35"/>
      <c r="GT102" s="35"/>
      <c r="GU102" s="35"/>
      <c r="GV102" s="35"/>
      <c r="GW102" s="35"/>
      <c r="GX102" s="35"/>
      <c r="GY102" s="35"/>
      <c r="GZ102" s="84"/>
      <c r="HA102" s="84"/>
      <c r="HB102" s="84"/>
      <c r="HC102" s="84"/>
      <c r="HD102" s="84"/>
      <c r="HE102" s="84"/>
      <c r="HF102" s="84"/>
      <c r="HG102" s="84"/>
      <c r="HH102" s="84"/>
      <c r="HI102" s="84"/>
      <c r="HJ102" s="84"/>
      <c r="HK102" s="84"/>
      <c r="HL102" s="84"/>
      <c r="HM102" s="84"/>
      <c r="HN102" s="84"/>
      <c r="HO102" s="84"/>
      <c r="HP102" s="84"/>
      <c r="HQ102" s="84"/>
      <c r="HR102" s="84"/>
      <c r="HS102" s="84"/>
      <c r="HT102" s="84"/>
      <c r="HU102" s="84"/>
      <c r="HV102" s="84"/>
      <c r="HW102" s="84"/>
      <c r="HX102" s="84"/>
      <c r="HY102" s="84"/>
      <c r="HZ102" s="84"/>
      <c r="IA102" s="84"/>
      <c r="IB102" s="84"/>
      <c r="IC102" s="84"/>
      <c r="ID102" s="84"/>
      <c r="IE102" s="84"/>
      <c r="IF102" s="84"/>
      <c r="IG102" s="84"/>
      <c r="IH102" s="84"/>
      <c r="II102" s="84"/>
      <c r="IJ102" s="84"/>
      <c r="IK102" s="84"/>
      <c r="IL102" s="84"/>
      <c r="IM102" s="84"/>
      <c r="IN102" s="84"/>
      <c r="IO102" s="84"/>
      <c r="IP102" s="84"/>
      <c r="IQ102" s="84"/>
      <c r="IR102" s="84"/>
      <c r="IS102" s="84"/>
      <c r="IT102" s="84"/>
      <c r="IU102" s="84"/>
      <c r="IV102" s="84"/>
      <c r="IW102" s="84"/>
    </row>
    <row r="103" spans="2:257" s="27" customFormat="1" ht="14.4">
      <c r="B103" s="30">
        <f t="shared" si="150"/>
        <v>5.0799999999999983</v>
      </c>
      <c r="C103" s="38" t="s">
        <v>84</v>
      </c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83"/>
      <c r="BD103" s="83"/>
      <c r="BE103" s="83"/>
      <c r="BF103" s="83"/>
      <c r="BG103" s="83"/>
      <c r="BH103" s="83"/>
      <c r="BI103" s="83"/>
      <c r="BJ103" s="83"/>
      <c r="BK103" s="83"/>
      <c r="BL103" s="83"/>
      <c r="BM103" s="83"/>
      <c r="BN103" s="83"/>
      <c r="BO103" s="83"/>
      <c r="BP103" s="83"/>
      <c r="BQ103" s="83"/>
      <c r="BR103" s="83"/>
      <c r="BS103" s="83"/>
      <c r="BT103" s="83"/>
      <c r="BU103" s="83"/>
      <c r="BV103" s="83"/>
      <c r="BW103" s="83"/>
      <c r="BX103" s="83"/>
      <c r="BY103" s="83"/>
      <c r="BZ103" s="83"/>
      <c r="CA103" s="83"/>
      <c r="CB103" s="83"/>
      <c r="CC103" s="83"/>
      <c r="CD103" s="83"/>
      <c r="CE103" s="83"/>
      <c r="CF103" s="35"/>
      <c r="CG103" s="34"/>
      <c r="CH103" s="34"/>
      <c r="CI103" s="34"/>
      <c r="CJ103" s="34"/>
      <c r="CK103" s="34"/>
      <c r="CL103" s="34"/>
      <c r="CM103" s="34"/>
      <c r="CN103" s="34"/>
      <c r="CO103" s="35"/>
      <c r="CP103" s="35"/>
      <c r="CQ103" s="35"/>
      <c r="CR103" s="83"/>
      <c r="CS103" s="83"/>
      <c r="CT103" s="83"/>
      <c r="CU103" s="83"/>
      <c r="CV103" s="35"/>
      <c r="CW103" s="35"/>
      <c r="CX103" s="35"/>
      <c r="CY103" s="35"/>
      <c r="CZ103" s="35"/>
      <c r="DA103" s="35"/>
      <c r="DB103" s="83"/>
      <c r="DC103" s="35"/>
      <c r="DD103" s="35"/>
      <c r="DE103" s="35"/>
      <c r="DF103" s="35"/>
      <c r="DG103" s="35"/>
      <c r="DH103" s="83"/>
      <c r="DI103" s="35"/>
      <c r="DJ103" s="35"/>
      <c r="DK103" s="35"/>
      <c r="DL103" s="35"/>
      <c r="DM103" s="35"/>
      <c r="DN103" s="83"/>
      <c r="DO103" s="35"/>
      <c r="DP103" s="35"/>
      <c r="DQ103" s="35"/>
      <c r="DR103" s="35"/>
      <c r="DS103" s="35"/>
      <c r="DT103" s="83"/>
      <c r="DU103" s="35"/>
      <c r="DV103" s="35"/>
      <c r="DW103" s="35"/>
      <c r="DX103" s="35"/>
      <c r="DY103" s="35"/>
      <c r="DZ103" s="83"/>
      <c r="EA103" s="35"/>
      <c r="EB103" s="35"/>
      <c r="EC103" s="35"/>
      <c r="ED103" s="35"/>
      <c r="EE103" s="35"/>
      <c r="EF103" s="83"/>
      <c r="EG103" s="35"/>
      <c r="EH103" s="83"/>
      <c r="EI103" s="83"/>
      <c r="EJ103" s="83"/>
      <c r="EK103" s="83"/>
      <c r="EL103" s="83"/>
      <c r="EM103" s="83"/>
      <c r="EN103" s="83"/>
      <c r="EO103" s="83"/>
      <c r="EP103" s="83"/>
      <c r="EQ103" s="83"/>
      <c r="ER103" s="83"/>
      <c r="ES103" s="83"/>
      <c r="ET103" s="35"/>
      <c r="EU103" s="83"/>
      <c r="EV103" s="83"/>
      <c r="EW103" s="83"/>
      <c r="EX103" s="83"/>
      <c r="EY103" s="83"/>
      <c r="EZ103" s="55" t="s">
        <v>187</v>
      </c>
      <c r="FA103" s="55" t="s">
        <v>30</v>
      </c>
      <c r="FB103" s="55" t="s">
        <v>31</v>
      </c>
      <c r="FC103" s="55" t="s">
        <v>32</v>
      </c>
      <c r="FD103" s="56" t="s">
        <v>188</v>
      </c>
      <c r="FE103" s="56" t="s">
        <v>188</v>
      </c>
      <c r="FF103" s="56" t="s">
        <v>189</v>
      </c>
      <c r="FG103" s="56" t="s">
        <v>190</v>
      </c>
      <c r="FH103" s="56" t="s">
        <v>191</v>
      </c>
      <c r="FI103" s="56" t="s">
        <v>191</v>
      </c>
      <c r="FJ103" s="57" t="s">
        <v>192</v>
      </c>
      <c r="FK103" s="57" t="s">
        <v>192</v>
      </c>
      <c r="FL103" s="57" t="s">
        <v>193</v>
      </c>
      <c r="FM103" s="57" t="s">
        <v>194</v>
      </c>
      <c r="FN103" s="57" t="s">
        <v>195</v>
      </c>
      <c r="FO103" s="57" t="s">
        <v>195</v>
      </c>
      <c r="FP103" s="58" t="s">
        <v>196</v>
      </c>
      <c r="FQ103" s="58" t="s">
        <v>196</v>
      </c>
      <c r="FR103" s="58" t="s">
        <v>197</v>
      </c>
      <c r="FS103" s="35"/>
      <c r="FT103" s="35"/>
      <c r="FU103" s="58" t="s">
        <v>198</v>
      </c>
      <c r="FV103" s="58" t="s">
        <v>199</v>
      </c>
      <c r="FW103" s="58" t="s">
        <v>199</v>
      </c>
      <c r="FX103" s="42" t="s">
        <v>33</v>
      </c>
      <c r="FY103" s="42" t="s">
        <v>34</v>
      </c>
      <c r="FZ103" s="42" t="s">
        <v>35</v>
      </c>
      <c r="GA103" s="42" t="s">
        <v>35</v>
      </c>
      <c r="GB103" s="42" t="s">
        <v>36</v>
      </c>
      <c r="GC103" s="42" t="s">
        <v>36</v>
      </c>
      <c r="GD103" s="59" t="s">
        <v>200</v>
      </c>
      <c r="GE103" s="59" t="s">
        <v>201</v>
      </c>
      <c r="GF103" s="59" t="s">
        <v>202</v>
      </c>
      <c r="GG103" s="59" t="s">
        <v>202</v>
      </c>
      <c r="GH103" s="59" t="s">
        <v>203</v>
      </c>
      <c r="GI103" s="59" t="s">
        <v>203</v>
      </c>
      <c r="GJ103" s="35"/>
      <c r="GK103" s="35"/>
      <c r="GL103" s="35"/>
      <c r="GM103" s="35"/>
      <c r="GN103" s="35"/>
      <c r="GO103" s="35"/>
      <c r="GP103" s="35"/>
      <c r="GQ103" s="35"/>
      <c r="GR103" s="35"/>
      <c r="GS103" s="35"/>
      <c r="GT103" s="35"/>
      <c r="GU103" s="35"/>
      <c r="GV103" s="35"/>
      <c r="GW103" s="35"/>
      <c r="GX103" s="35"/>
      <c r="GY103" s="35"/>
      <c r="GZ103" s="35"/>
      <c r="HA103" s="83"/>
      <c r="HB103" s="83"/>
      <c r="HC103" s="83"/>
      <c r="HD103" s="83"/>
      <c r="HE103" s="83"/>
      <c r="HF103" s="83"/>
      <c r="HG103" s="83"/>
      <c r="HH103" s="83"/>
      <c r="HI103" s="83"/>
      <c r="HJ103" s="83"/>
      <c r="HK103" s="83"/>
      <c r="HL103" s="83"/>
      <c r="HM103" s="83"/>
      <c r="HN103" s="83"/>
      <c r="HO103" s="83"/>
      <c r="HP103" s="83"/>
      <c r="HQ103" s="83"/>
      <c r="HR103" s="83"/>
      <c r="HS103" s="83"/>
      <c r="HT103" s="83"/>
      <c r="HU103" s="83"/>
      <c r="HV103" s="83"/>
      <c r="HW103" s="83"/>
      <c r="HX103" s="83"/>
      <c r="HY103" s="83"/>
      <c r="HZ103" s="83"/>
      <c r="IA103" s="83"/>
      <c r="IB103" s="83"/>
      <c r="IC103" s="83"/>
      <c r="ID103" s="83"/>
      <c r="IE103" s="83"/>
      <c r="IF103" s="83"/>
      <c r="IG103" s="83"/>
      <c r="IH103" s="83"/>
      <c r="II103" s="83"/>
      <c r="IJ103" s="83"/>
      <c r="IK103" s="83"/>
      <c r="IL103" s="83"/>
      <c r="IM103" s="83"/>
      <c r="IN103" s="83"/>
      <c r="IO103" s="83"/>
      <c r="IP103" s="83"/>
      <c r="IQ103" s="83"/>
      <c r="IR103" s="83"/>
      <c r="IS103" s="83"/>
      <c r="IT103" s="83"/>
      <c r="IU103" s="83"/>
      <c r="IV103" s="83"/>
      <c r="IW103" s="83"/>
    </row>
    <row r="104" spans="2:257" s="28" customFormat="1" ht="14.4">
      <c r="B104" s="30">
        <f t="shared" si="150"/>
        <v>5.0899999999999981</v>
      </c>
      <c r="C104" s="38" t="s">
        <v>85</v>
      </c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  <c r="BM104" s="84"/>
      <c r="BN104" s="84"/>
      <c r="BO104" s="84"/>
      <c r="BP104" s="84"/>
      <c r="BQ104" s="84"/>
      <c r="BR104" s="84"/>
      <c r="BS104" s="84"/>
      <c r="BT104" s="84"/>
      <c r="BU104" s="84"/>
      <c r="BV104" s="84"/>
      <c r="BW104" s="84"/>
      <c r="BX104" s="84"/>
      <c r="BY104" s="84"/>
      <c r="BZ104" s="84"/>
      <c r="CA104" s="84"/>
      <c r="CB104" s="84"/>
      <c r="CC104" s="84"/>
      <c r="CD104" s="84"/>
      <c r="CE104" s="84"/>
      <c r="CF104" s="35"/>
      <c r="CG104" s="34"/>
      <c r="CH104" s="34"/>
      <c r="CI104" s="34"/>
      <c r="CJ104" s="34"/>
      <c r="CK104" s="34"/>
      <c r="CL104" s="34"/>
      <c r="CM104" s="34"/>
      <c r="CN104" s="34"/>
      <c r="CO104" s="35"/>
      <c r="CP104" s="35"/>
      <c r="CQ104" s="35"/>
      <c r="CR104" s="84"/>
      <c r="CS104" s="84"/>
      <c r="CT104" s="84"/>
      <c r="CU104" s="84"/>
      <c r="CV104" s="35"/>
      <c r="CW104" s="35"/>
      <c r="CX104" s="35"/>
      <c r="CY104" s="35"/>
      <c r="CZ104" s="35"/>
      <c r="DA104" s="35"/>
      <c r="DB104" s="84"/>
      <c r="DC104" s="35"/>
      <c r="DD104" s="35"/>
      <c r="DE104" s="35"/>
      <c r="DF104" s="35"/>
      <c r="DG104" s="35"/>
      <c r="DH104" s="84"/>
      <c r="DI104" s="35"/>
      <c r="DJ104" s="35"/>
      <c r="DK104" s="35"/>
      <c r="DL104" s="35"/>
      <c r="DM104" s="35"/>
      <c r="DN104" s="84"/>
      <c r="DO104" s="35"/>
      <c r="DP104" s="35"/>
      <c r="DQ104" s="35"/>
      <c r="DR104" s="35"/>
      <c r="DS104" s="35"/>
      <c r="DT104" s="84"/>
      <c r="DU104" s="35"/>
      <c r="DV104" s="35"/>
      <c r="DW104" s="35"/>
      <c r="DX104" s="35"/>
      <c r="DY104" s="35"/>
      <c r="DZ104" s="84"/>
      <c r="EA104" s="35"/>
      <c r="EB104" s="35"/>
      <c r="EC104" s="35"/>
      <c r="ED104" s="35"/>
      <c r="EE104" s="35"/>
      <c r="EF104" s="84"/>
      <c r="EG104" s="35"/>
      <c r="EH104" s="84"/>
      <c r="EI104" s="84"/>
      <c r="EJ104" s="84"/>
      <c r="EK104" s="84"/>
      <c r="EL104" s="84"/>
      <c r="EM104" s="84"/>
      <c r="EN104" s="84"/>
      <c r="EO104" s="84"/>
      <c r="EP104" s="84"/>
      <c r="EQ104" s="84"/>
      <c r="ER104" s="84"/>
      <c r="ES104" s="84"/>
      <c r="ET104" s="35"/>
      <c r="EU104" s="84"/>
      <c r="EV104" s="84"/>
      <c r="EW104" s="84"/>
      <c r="EX104" s="84"/>
      <c r="EY104" s="84"/>
      <c r="EZ104" s="55" t="s">
        <v>187</v>
      </c>
      <c r="FA104" s="55" t="s">
        <v>30</v>
      </c>
      <c r="FB104" s="55" t="s">
        <v>31</v>
      </c>
      <c r="FC104" s="55" t="s">
        <v>32</v>
      </c>
      <c r="FD104" s="56" t="s">
        <v>188</v>
      </c>
      <c r="FE104" s="56" t="s">
        <v>188</v>
      </c>
      <c r="FF104" s="56" t="s">
        <v>189</v>
      </c>
      <c r="FG104" s="56" t="s">
        <v>190</v>
      </c>
      <c r="FH104" s="56" t="s">
        <v>191</v>
      </c>
      <c r="FI104" s="56" t="s">
        <v>191</v>
      </c>
      <c r="FJ104" s="57" t="s">
        <v>192</v>
      </c>
      <c r="FK104" s="57" t="s">
        <v>192</v>
      </c>
      <c r="FL104" s="57" t="s">
        <v>193</v>
      </c>
      <c r="FM104" s="57" t="s">
        <v>194</v>
      </c>
      <c r="FN104" s="57" t="s">
        <v>195</v>
      </c>
      <c r="FO104" s="57" t="s">
        <v>195</v>
      </c>
      <c r="FP104" s="58" t="s">
        <v>196</v>
      </c>
      <c r="FQ104" s="58" t="s">
        <v>196</v>
      </c>
      <c r="FR104" s="58" t="s">
        <v>197</v>
      </c>
      <c r="FS104" s="35"/>
      <c r="FT104" s="35"/>
      <c r="FU104" s="58" t="s">
        <v>198</v>
      </c>
      <c r="FV104" s="58" t="s">
        <v>199</v>
      </c>
      <c r="FW104" s="58" t="s">
        <v>199</v>
      </c>
      <c r="FX104" s="42" t="s">
        <v>33</v>
      </c>
      <c r="FY104" s="42" t="s">
        <v>34</v>
      </c>
      <c r="FZ104" s="42" t="s">
        <v>35</v>
      </c>
      <c r="GA104" s="42" t="s">
        <v>35</v>
      </c>
      <c r="GB104" s="42" t="s">
        <v>36</v>
      </c>
      <c r="GC104" s="42" t="s">
        <v>36</v>
      </c>
      <c r="GD104" s="59" t="s">
        <v>200</v>
      </c>
      <c r="GE104" s="59" t="s">
        <v>201</v>
      </c>
      <c r="GF104" s="59" t="s">
        <v>202</v>
      </c>
      <c r="GG104" s="59" t="s">
        <v>202</v>
      </c>
      <c r="GH104" s="59" t="s">
        <v>203</v>
      </c>
      <c r="GI104" s="59" t="s">
        <v>203</v>
      </c>
      <c r="GJ104" s="35"/>
      <c r="GK104" s="35"/>
      <c r="GL104" s="35"/>
      <c r="GM104" s="35"/>
      <c r="GN104" s="35"/>
      <c r="GO104" s="35"/>
      <c r="GP104" s="35"/>
      <c r="GQ104" s="35"/>
      <c r="GR104" s="35"/>
      <c r="GS104" s="35"/>
      <c r="GT104" s="35"/>
      <c r="GU104" s="35"/>
      <c r="GV104" s="35"/>
      <c r="GW104" s="35"/>
      <c r="GX104" s="35"/>
      <c r="GY104" s="35"/>
      <c r="GZ104" s="35"/>
      <c r="HA104" s="84"/>
      <c r="HB104" s="84"/>
      <c r="HC104" s="84"/>
      <c r="HD104" s="84"/>
      <c r="HE104" s="84"/>
      <c r="HF104" s="84"/>
      <c r="HG104" s="84"/>
      <c r="HH104" s="84"/>
      <c r="HI104" s="84"/>
      <c r="HJ104" s="84"/>
      <c r="HK104" s="84"/>
      <c r="HL104" s="84"/>
      <c r="HM104" s="84"/>
      <c r="HN104" s="84"/>
      <c r="HO104" s="84"/>
      <c r="HP104" s="84"/>
      <c r="HQ104" s="84"/>
      <c r="HR104" s="84"/>
      <c r="HS104" s="84"/>
      <c r="HT104" s="84"/>
      <c r="HU104" s="84"/>
      <c r="HV104" s="84"/>
      <c r="HW104" s="84"/>
      <c r="HX104" s="84"/>
      <c r="HY104" s="84"/>
      <c r="HZ104" s="84"/>
      <c r="IA104" s="84"/>
      <c r="IB104" s="84"/>
      <c r="IC104" s="84"/>
      <c r="ID104" s="84"/>
      <c r="IE104" s="84"/>
      <c r="IF104" s="84"/>
      <c r="IG104" s="84"/>
      <c r="IH104" s="84"/>
      <c r="II104" s="84"/>
      <c r="IJ104" s="84"/>
      <c r="IK104" s="84"/>
      <c r="IL104" s="84"/>
      <c r="IM104" s="84"/>
      <c r="IN104" s="84"/>
      <c r="IO104" s="84"/>
      <c r="IP104" s="84"/>
      <c r="IQ104" s="84"/>
      <c r="IR104" s="84"/>
      <c r="IS104" s="84"/>
      <c r="IT104" s="84"/>
      <c r="IU104" s="84"/>
      <c r="IV104" s="84"/>
      <c r="IW104" s="84"/>
    </row>
    <row r="105" spans="2:257" s="28" customFormat="1" ht="14.4">
      <c r="B105" s="30">
        <f t="shared" si="150"/>
        <v>5.0999999999999979</v>
      </c>
      <c r="C105" s="38" t="s">
        <v>86</v>
      </c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  <c r="BR105" s="84"/>
      <c r="BS105" s="84"/>
      <c r="BT105" s="84"/>
      <c r="BU105" s="84"/>
      <c r="BV105" s="84"/>
      <c r="BW105" s="84"/>
      <c r="BX105" s="84"/>
      <c r="BY105" s="84"/>
      <c r="BZ105" s="84"/>
      <c r="CA105" s="84"/>
      <c r="CB105" s="84"/>
      <c r="CC105" s="84"/>
      <c r="CD105" s="84"/>
      <c r="CE105" s="84"/>
      <c r="CF105" s="35"/>
      <c r="CG105" s="34"/>
      <c r="CH105" s="34"/>
      <c r="CI105" s="34"/>
      <c r="CJ105" s="34"/>
      <c r="CK105" s="34"/>
      <c r="CL105" s="34"/>
      <c r="CM105" s="34"/>
      <c r="CN105" s="34"/>
      <c r="CO105" s="35"/>
      <c r="CP105" s="35"/>
      <c r="CQ105" s="35"/>
      <c r="CR105" s="84"/>
      <c r="CS105" s="84"/>
      <c r="CT105" s="84"/>
      <c r="CU105" s="84"/>
      <c r="CV105" s="35"/>
      <c r="CW105" s="35"/>
      <c r="CX105" s="35"/>
      <c r="CY105" s="35"/>
      <c r="CZ105" s="35"/>
      <c r="DA105" s="35"/>
      <c r="DB105" s="84"/>
      <c r="DC105" s="35"/>
      <c r="DD105" s="35"/>
      <c r="DE105" s="35"/>
      <c r="DF105" s="35"/>
      <c r="DG105" s="35"/>
      <c r="DH105" s="84"/>
      <c r="DI105" s="35"/>
      <c r="DJ105" s="35"/>
      <c r="DK105" s="35"/>
      <c r="DL105" s="35"/>
      <c r="DM105" s="35"/>
      <c r="DN105" s="84"/>
      <c r="DO105" s="35"/>
      <c r="DP105" s="35"/>
      <c r="DQ105" s="35"/>
      <c r="DR105" s="35"/>
      <c r="DS105" s="35"/>
      <c r="DT105" s="84"/>
      <c r="DU105" s="35"/>
      <c r="DV105" s="35"/>
      <c r="DW105" s="35"/>
      <c r="DX105" s="35"/>
      <c r="DY105" s="35"/>
      <c r="DZ105" s="84"/>
      <c r="EA105" s="35"/>
      <c r="EB105" s="35"/>
      <c r="EC105" s="35"/>
      <c r="ED105" s="35"/>
      <c r="EE105" s="35"/>
      <c r="EF105" s="84"/>
      <c r="EG105" s="35"/>
      <c r="EH105" s="84"/>
      <c r="EI105" s="84"/>
      <c r="EJ105" s="84"/>
      <c r="EK105" s="84"/>
      <c r="EL105" s="84"/>
      <c r="EM105" s="84"/>
      <c r="EN105" s="84"/>
      <c r="EO105" s="84"/>
      <c r="EP105" s="84"/>
      <c r="EQ105" s="84"/>
      <c r="ER105" s="84"/>
      <c r="ES105" s="84"/>
      <c r="ET105" s="35"/>
      <c r="EU105" s="84"/>
      <c r="EV105" s="84"/>
      <c r="EW105" s="84"/>
      <c r="EX105" s="84"/>
      <c r="EY105" s="84"/>
      <c r="EZ105" s="35"/>
      <c r="FA105" s="55" t="s">
        <v>187</v>
      </c>
      <c r="FB105" s="55" t="s">
        <v>30</v>
      </c>
      <c r="FC105" s="55" t="s">
        <v>31</v>
      </c>
      <c r="FD105" s="55" t="s">
        <v>32</v>
      </c>
      <c r="FE105" s="55" t="s">
        <v>32</v>
      </c>
      <c r="FF105" s="56" t="s">
        <v>188</v>
      </c>
      <c r="FG105" s="56" t="s">
        <v>189</v>
      </c>
      <c r="FH105" s="56" t="s">
        <v>190</v>
      </c>
      <c r="FI105" s="56" t="s">
        <v>190</v>
      </c>
      <c r="FJ105" s="56" t="s">
        <v>191</v>
      </c>
      <c r="FK105" s="56" t="s">
        <v>191</v>
      </c>
      <c r="FL105" s="57" t="s">
        <v>192</v>
      </c>
      <c r="FM105" s="57" t="s">
        <v>193</v>
      </c>
      <c r="FN105" s="57" t="s">
        <v>194</v>
      </c>
      <c r="FO105" s="57" t="s">
        <v>194</v>
      </c>
      <c r="FP105" s="57" t="s">
        <v>195</v>
      </c>
      <c r="FQ105" s="57" t="s">
        <v>195</v>
      </c>
      <c r="FR105" s="58" t="s">
        <v>196</v>
      </c>
      <c r="FS105" s="35"/>
      <c r="FT105" s="35"/>
      <c r="FU105" s="58" t="s">
        <v>197</v>
      </c>
      <c r="FV105" s="58" t="s">
        <v>198</v>
      </c>
      <c r="FW105" s="58" t="s">
        <v>198</v>
      </c>
      <c r="FX105" s="58" t="s">
        <v>199</v>
      </c>
      <c r="FY105" s="42" t="s">
        <v>33</v>
      </c>
      <c r="FZ105" s="42" t="s">
        <v>34</v>
      </c>
      <c r="GA105" s="42" t="s">
        <v>34</v>
      </c>
      <c r="GB105" s="42" t="s">
        <v>35</v>
      </c>
      <c r="GC105" s="42" t="s">
        <v>35</v>
      </c>
      <c r="GD105" s="42" t="s">
        <v>36</v>
      </c>
      <c r="GE105" s="59" t="s">
        <v>200</v>
      </c>
      <c r="GF105" s="59" t="s">
        <v>201</v>
      </c>
      <c r="GG105" s="59" t="s">
        <v>201</v>
      </c>
      <c r="GH105" s="59" t="s">
        <v>202</v>
      </c>
      <c r="GI105" s="59" t="s">
        <v>202</v>
      </c>
      <c r="GJ105" s="59" t="s">
        <v>203</v>
      </c>
      <c r="GK105" s="35"/>
      <c r="GL105" s="35"/>
      <c r="GM105" s="35"/>
      <c r="GN105" s="35"/>
      <c r="GO105" s="35"/>
      <c r="GP105" s="35"/>
      <c r="GQ105" s="35"/>
      <c r="GR105" s="35"/>
      <c r="GS105" s="35"/>
      <c r="GT105" s="35"/>
      <c r="GU105" s="35"/>
      <c r="GV105" s="35"/>
      <c r="GW105" s="35"/>
      <c r="GX105" s="35"/>
      <c r="GY105" s="35"/>
      <c r="GZ105" s="35"/>
      <c r="HA105" s="84"/>
      <c r="HB105" s="84"/>
      <c r="HC105" s="84"/>
      <c r="HD105" s="84"/>
      <c r="HE105" s="84"/>
      <c r="HF105" s="84"/>
      <c r="HG105" s="84"/>
      <c r="HH105" s="84"/>
      <c r="HI105" s="84"/>
      <c r="HJ105" s="84"/>
      <c r="HK105" s="84"/>
      <c r="HL105" s="84"/>
      <c r="HM105" s="84"/>
      <c r="HN105" s="84"/>
      <c r="HO105" s="84"/>
      <c r="HP105" s="84"/>
      <c r="HQ105" s="84"/>
      <c r="HR105" s="84"/>
      <c r="HS105" s="84"/>
      <c r="HT105" s="84"/>
      <c r="HU105" s="84"/>
      <c r="HV105" s="84"/>
      <c r="HW105" s="84"/>
      <c r="HX105" s="84"/>
      <c r="HY105" s="84"/>
      <c r="HZ105" s="84"/>
      <c r="IA105" s="84"/>
      <c r="IB105" s="84"/>
      <c r="IC105" s="84"/>
      <c r="ID105" s="84"/>
      <c r="IE105" s="84"/>
      <c r="IF105" s="84"/>
      <c r="IG105" s="84"/>
      <c r="IH105" s="84"/>
      <c r="II105" s="84"/>
      <c r="IJ105" s="84"/>
      <c r="IK105" s="84"/>
      <c r="IL105" s="84"/>
      <c r="IM105" s="84"/>
      <c r="IN105" s="84"/>
      <c r="IO105" s="84"/>
      <c r="IP105" s="84"/>
      <c r="IQ105" s="84"/>
      <c r="IR105" s="84"/>
      <c r="IS105" s="84"/>
      <c r="IT105" s="84"/>
      <c r="IU105" s="84"/>
      <c r="IV105" s="84"/>
      <c r="IW105" s="84"/>
    </row>
    <row r="106" spans="2:257" s="28" customFormat="1" ht="14.4">
      <c r="B106" s="30">
        <f t="shared" si="150"/>
        <v>5.1099999999999977</v>
      </c>
      <c r="C106" s="38" t="s">
        <v>87</v>
      </c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  <c r="BM106" s="84"/>
      <c r="BN106" s="84"/>
      <c r="BO106" s="84"/>
      <c r="BP106" s="84"/>
      <c r="BQ106" s="84"/>
      <c r="BR106" s="84"/>
      <c r="BS106" s="84"/>
      <c r="BT106" s="84"/>
      <c r="BU106" s="84"/>
      <c r="BV106" s="84"/>
      <c r="BW106" s="84"/>
      <c r="BX106" s="84"/>
      <c r="BY106" s="84"/>
      <c r="BZ106" s="84"/>
      <c r="CA106" s="84"/>
      <c r="CB106" s="84"/>
      <c r="CC106" s="84"/>
      <c r="CD106" s="84"/>
      <c r="CE106" s="84"/>
      <c r="CF106" s="35"/>
      <c r="CG106" s="34"/>
      <c r="CH106" s="34"/>
      <c r="CI106" s="34"/>
      <c r="CJ106" s="34"/>
      <c r="CK106" s="34"/>
      <c r="CL106" s="34"/>
      <c r="CM106" s="34"/>
      <c r="CN106" s="34"/>
      <c r="CO106" s="35"/>
      <c r="CP106" s="35"/>
      <c r="CQ106" s="35"/>
      <c r="CR106" s="84"/>
      <c r="CS106" s="84"/>
      <c r="CT106" s="84"/>
      <c r="CU106" s="84"/>
      <c r="CV106" s="35"/>
      <c r="CW106" s="35"/>
      <c r="CX106" s="35"/>
      <c r="CY106" s="35"/>
      <c r="CZ106" s="35"/>
      <c r="DA106" s="35"/>
      <c r="DB106" s="84"/>
      <c r="DC106" s="35"/>
      <c r="DD106" s="35"/>
      <c r="DE106" s="35"/>
      <c r="DF106" s="35"/>
      <c r="DG106" s="35"/>
      <c r="DH106" s="84"/>
      <c r="DI106" s="35"/>
      <c r="DJ106" s="35"/>
      <c r="DK106" s="35"/>
      <c r="DL106" s="35"/>
      <c r="DM106" s="35"/>
      <c r="DN106" s="84"/>
      <c r="DO106" s="35"/>
      <c r="DP106" s="35"/>
      <c r="DQ106" s="35"/>
      <c r="DR106" s="35"/>
      <c r="DS106" s="35"/>
      <c r="DT106" s="84"/>
      <c r="DU106" s="35"/>
      <c r="DV106" s="35"/>
      <c r="DW106" s="35"/>
      <c r="DX106" s="35"/>
      <c r="DY106" s="35"/>
      <c r="DZ106" s="84"/>
      <c r="EA106" s="35"/>
      <c r="EB106" s="35"/>
      <c r="EC106" s="35"/>
      <c r="ED106" s="35"/>
      <c r="EE106" s="35"/>
      <c r="EF106" s="84"/>
      <c r="EG106" s="35"/>
      <c r="EH106" s="84"/>
      <c r="EI106" s="84"/>
      <c r="EJ106" s="84"/>
      <c r="EK106" s="84"/>
      <c r="EL106" s="84"/>
      <c r="EM106" s="84"/>
      <c r="EN106" s="84"/>
      <c r="EO106" s="84"/>
      <c r="EP106" s="84"/>
      <c r="EQ106" s="84"/>
      <c r="ER106" s="84"/>
      <c r="ES106" s="84"/>
      <c r="ET106" s="35"/>
      <c r="EU106" s="84"/>
      <c r="EV106" s="84"/>
      <c r="EW106" s="84"/>
      <c r="EX106" s="84"/>
      <c r="EY106" s="84"/>
      <c r="EZ106" s="35"/>
      <c r="FA106" s="35"/>
      <c r="FB106" s="55" t="s">
        <v>187</v>
      </c>
      <c r="FC106" s="55" t="s">
        <v>30</v>
      </c>
      <c r="FD106" s="55" t="s">
        <v>31</v>
      </c>
      <c r="FE106" s="55" t="s">
        <v>31</v>
      </c>
      <c r="FF106" s="55" t="s">
        <v>32</v>
      </c>
      <c r="FG106" s="56" t="s">
        <v>188</v>
      </c>
      <c r="FH106" s="56" t="s">
        <v>189</v>
      </c>
      <c r="FI106" s="56" t="s">
        <v>189</v>
      </c>
      <c r="FJ106" s="56" t="s">
        <v>190</v>
      </c>
      <c r="FK106" s="56" t="s">
        <v>190</v>
      </c>
      <c r="FL106" s="56" t="s">
        <v>191</v>
      </c>
      <c r="FM106" s="57" t="s">
        <v>192</v>
      </c>
      <c r="FN106" s="57" t="s">
        <v>193</v>
      </c>
      <c r="FO106" s="57" t="s">
        <v>193</v>
      </c>
      <c r="FP106" s="57" t="s">
        <v>194</v>
      </c>
      <c r="FQ106" s="57" t="s">
        <v>194</v>
      </c>
      <c r="FR106" s="57" t="s">
        <v>195</v>
      </c>
      <c r="FS106" s="35"/>
      <c r="FT106" s="35"/>
      <c r="FU106" s="58" t="s">
        <v>196</v>
      </c>
      <c r="FV106" s="58" t="s">
        <v>197</v>
      </c>
      <c r="FW106" s="58" t="s">
        <v>197</v>
      </c>
      <c r="FX106" s="58" t="s">
        <v>198</v>
      </c>
      <c r="FY106" s="58" t="s">
        <v>199</v>
      </c>
      <c r="FZ106" s="42" t="s">
        <v>33</v>
      </c>
      <c r="GA106" s="42" t="s">
        <v>33</v>
      </c>
      <c r="GB106" s="42" t="s">
        <v>34</v>
      </c>
      <c r="GC106" s="42" t="s">
        <v>34</v>
      </c>
      <c r="GD106" s="42" t="s">
        <v>35</v>
      </c>
      <c r="GE106" s="42" t="s">
        <v>36</v>
      </c>
      <c r="GF106" s="59" t="s">
        <v>200</v>
      </c>
      <c r="GG106" s="59" t="s">
        <v>200</v>
      </c>
      <c r="GH106" s="59" t="s">
        <v>201</v>
      </c>
      <c r="GI106" s="59" t="s">
        <v>201</v>
      </c>
      <c r="GJ106" s="59" t="s">
        <v>202</v>
      </c>
      <c r="GK106" s="59" t="s">
        <v>203</v>
      </c>
      <c r="GL106" s="35"/>
      <c r="GM106" s="35"/>
      <c r="GN106" s="35"/>
      <c r="GO106" s="35"/>
      <c r="GP106" s="35"/>
      <c r="GQ106" s="35"/>
      <c r="GR106" s="35"/>
      <c r="GS106" s="35"/>
      <c r="GT106" s="35"/>
      <c r="GU106" s="35"/>
      <c r="GV106" s="35"/>
      <c r="GW106" s="35"/>
      <c r="GX106" s="35"/>
      <c r="GY106" s="35"/>
      <c r="GZ106" s="35"/>
      <c r="HA106" s="84"/>
      <c r="HB106" s="84"/>
      <c r="HC106" s="84"/>
      <c r="HD106" s="84"/>
      <c r="HE106" s="84"/>
      <c r="HF106" s="84"/>
      <c r="HG106" s="84"/>
      <c r="HH106" s="84"/>
      <c r="HI106" s="84"/>
      <c r="HJ106" s="84"/>
      <c r="HK106" s="84"/>
      <c r="HL106" s="84"/>
      <c r="HM106" s="84"/>
      <c r="HN106" s="84"/>
      <c r="HO106" s="84"/>
      <c r="HP106" s="84"/>
      <c r="HQ106" s="84"/>
      <c r="HR106" s="84"/>
      <c r="HS106" s="84"/>
      <c r="HT106" s="84"/>
      <c r="HU106" s="84"/>
      <c r="HV106" s="84"/>
      <c r="HW106" s="84"/>
      <c r="HX106" s="84"/>
      <c r="HY106" s="84"/>
      <c r="HZ106" s="84"/>
      <c r="IA106" s="84"/>
      <c r="IB106" s="84"/>
      <c r="IC106" s="84"/>
      <c r="ID106" s="84"/>
      <c r="IE106" s="84"/>
      <c r="IF106" s="84"/>
      <c r="IG106" s="84"/>
      <c r="IH106" s="84"/>
      <c r="II106" s="84"/>
      <c r="IJ106" s="84"/>
      <c r="IK106" s="84"/>
      <c r="IL106" s="84"/>
      <c r="IM106" s="84"/>
      <c r="IN106" s="84"/>
      <c r="IO106" s="84"/>
      <c r="IP106" s="84"/>
      <c r="IQ106" s="84"/>
      <c r="IR106" s="84"/>
      <c r="IS106" s="84"/>
      <c r="IT106" s="84"/>
      <c r="IU106" s="84"/>
      <c r="IV106" s="84"/>
      <c r="IW106" s="84"/>
    </row>
    <row r="107" spans="2:257" s="28" customFormat="1" ht="14.4">
      <c r="B107" s="30">
        <f t="shared" si="150"/>
        <v>5.1199999999999974</v>
      </c>
      <c r="C107" s="38" t="s">
        <v>88</v>
      </c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  <c r="BN107" s="84"/>
      <c r="BO107" s="84"/>
      <c r="BP107" s="84"/>
      <c r="BQ107" s="84"/>
      <c r="BR107" s="84"/>
      <c r="BS107" s="84"/>
      <c r="BT107" s="84"/>
      <c r="BU107" s="84"/>
      <c r="BV107" s="84"/>
      <c r="BW107" s="84"/>
      <c r="BX107" s="84"/>
      <c r="BY107" s="84"/>
      <c r="BZ107" s="84"/>
      <c r="CA107" s="84"/>
      <c r="CB107" s="84"/>
      <c r="CC107" s="84"/>
      <c r="CD107" s="84"/>
      <c r="CE107" s="84"/>
      <c r="CF107" s="35"/>
      <c r="CG107" s="34"/>
      <c r="CH107" s="34"/>
      <c r="CI107" s="34"/>
      <c r="CJ107" s="34"/>
      <c r="CK107" s="34"/>
      <c r="CL107" s="34"/>
      <c r="CM107" s="34"/>
      <c r="CN107" s="34"/>
      <c r="CO107" s="35"/>
      <c r="CP107" s="35"/>
      <c r="CQ107" s="35"/>
      <c r="CR107" s="84"/>
      <c r="CS107" s="84"/>
      <c r="CT107" s="84"/>
      <c r="CU107" s="84"/>
      <c r="CV107" s="35"/>
      <c r="CW107" s="35"/>
      <c r="CX107" s="35"/>
      <c r="CY107" s="35"/>
      <c r="CZ107" s="35"/>
      <c r="DA107" s="35"/>
      <c r="DB107" s="84"/>
      <c r="DC107" s="35"/>
      <c r="DD107" s="35"/>
      <c r="DE107" s="35"/>
      <c r="DF107" s="35"/>
      <c r="DG107" s="35"/>
      <c r="DH107" s="84"/>
      <c r="DI107" s="35"/>
      <c r="DJ107" s="35"/>
      <c r="DK107" s="35"/>
      <c r="DL107" s="35"/>
      <c r="DM107" s="35"/>
      <c r="DN107" s="84"/>
      <c r="DO107" s="35"/>
      <c r="DP107" s="35"/>
      <c r="DQ107" s="35"/>
      <c r="DR107" s="35"/>
      <c r="DS107" s="35"/>
      <c r="DT107" s="84"/>
      <c r="DU107" s="35"/>
      <c r="DV107" s="35"/>
      <c r="DW107" s="35"/>
      <c r="DX107" s="35"/>
      <c r="DY107" s="35"/>
      <c r="DZ107" s="84"/>
      <c r="EA107" s="35"/>
      <c r="EB107" s="35"/>
      <c r="EC107" s="35"/>
      <c r="ED107" s="35"/>
      <c r="EE107" s="35"/>
      <c r="EF107" s="84"/>
      <c r="EG107" s="35"/>
      <c r="EH107" s="84"/>
      <c r="EI107" s="84"/>
      <c r="EJ107" s="84"/>
      <c r="EK107" s="84"/>
      <c r="EL107" s="84"/>
      <c r="EM107" s="84"/>
      <c r="EN107" s="84"/>
      <c r="EO107" s="84"/>
      <c r="EP107" s="84"/>
      <c r="EQ107" s="84"/>
      <c r="ER107" s="84"/>
      <c r="ES107" s="84"/>
      <c r="ET107" s="35"/>
      <c r="EU107" s="84"/>
      <c r="EV107" s="84"/>
      <c r="EW107" s="84"/>
      <c r="EX107" s="84"/>
      <c r="EY107" s="84"/>
      <c r="EZ107" s="35"/>
      <c r="FA107" s="35"/>
      <c r="FB107" s="35"/>
      <c r="FC107" s="55" t="s">
        <v>187</v>
      </c>
      <c r="FD107" s="55" t="s">
        <v>30</v>
      </c>
      <c r="FE107" s="55" t="s">
        <v>30</v>
      </c>
      <c r="FF107" s="55" t="s">
        <v>31</v>
      </c>
      <c r="FG107" s="55" t="s">
        <v>32</v>
      </c>
      <c r="FH107" s="56" t="s">
        <v>188</v>
      </c>
      <c r="FI107" s="56" t="s">
        <v>188</v>
      </c>
      <c r="FJ107" s="56" t="s">
        <v>189</v>
      </c>
      <c r="FK107" s="56" t="s">
        <v>189</v>
      </c>
      <c r="FL107" s="56" t="s">
        <v>190</v>
      </c>
      <c r="FM107" s="56" t="s">
        <v>191</v>
      </c>
      <c r="FN107" s="57" t="s">
        <v>192</v>
      </c>
      <c r="FO107" s="57" t="s">
        <v>192</v>
      </c>
      <c r="FP107" s="57" t="s">
        <v>193</v>
      </c>
      <c r="FQ107" s="57" t="s">
        <v>193</v>
      </c>
      <c r="FR107" s="57" t="s">
        <v>194</v>
      </c>
      <c r="FS107" s="35"/>
      <c r="FT107" s="35"/>
      <c r="FU107" s="57" t="s">
        <v>195</v>
      </c>
      <c r="FV107" s="58" t="s">
        <v>196</v>
      </c>
      <c r="FW107" s="58" t="s">
        <v>196</v>
      </c>
      <c r="FX107" s="58" t="s">
        <v>197</v>
      </c>
      <c r="FY107" s="58" t="s">
        <v>198</v>
      </c>
      <c r="FZ107" s="58" t="s">
        <v>199</v>
      </c>
      <c r="GA107" s="58" t="s">
        <v>199</v>
      </c>
      <c r="GB107" s="42" t="s">
        <v>33</v>
      </c>
      <c r="GC107" s="42" t="s">
        <v>33</v>
      </c>
      <c r="GD107" s="42" t="s">
        <v>34</v>
      </c>
      <c r="GE107" s="42" t="s">
        <v>35</v>
      </c>
      <c r="GF107" s="42" t="s">
        <v>36</v>
      </c>
      <c r="GG107" s="42" t="s">
        <v>36</v>
      </c>
      <c r="GH107" s="59" t="s">
        <v>200</v>
      </c>
      <c r="GI107" s="59" t="s">
        <v>200</v>
      </c>
      <c r="GJ107" s="59" t="s">
        <v>201</v>
      </c>
      <c r="GK107" s="59" t="s">
        <v>202</v>
      </c>
      <c r="GL107" s="59" t="s">
        <v>203</v>
      </c>
      <c r="GM107" s="59"/>
      <c r="GN107" s="35"/>
      <c r="GO107" s="35"/>
      <c r="GP107" s="35"/>
      <c r="GQ107" s="35"/>
      <c r="GR107" s="35"/>
      <c r="GS107" s="35"/>
      <c r="GT107" s="35"/>
      <c r="GU107" s="35"/>
      <c r="GV107" s="35"/>
      <c r="GW107" s="35"/>
      <c r="GX107" s="35"/>
      <c r="GY107" s="35"/>
      <c r="GZ107" s="35"/>
      <c r="HA107" s="84"/>
      <c r="HB107" s="84"/>
      <c r="HC107" s="84"/>
      <c r="HD107" s="84"/>
      <c r="HE107" s="84"/>
      <c r="HF107" s="84"/>
      <c r="HG107" s="84"/>
      <c r="HH107" s="84"/>
      <c r="HI107" s="84"/>
      <c r="HJ107" s="84"/>
      <c r="HK107" s="84"/>
      <c r="HL107" s="84"/>
      <c r="HM107" s="84"/>
      <c r="HN107" s="84"/>
      <c r="HO107" s="84"/>
      <c r="HP107" s="84"/>
      <c r="HQ107" s="84"/>
      <c r="HR107" s="84"/>
      <c r="HS107" s="84"/>
      <c r="HT107" s="84"/>
      <c r="HU107" s="84"/>
      <c r="HV107" s="84"/>
      <c r="HW107" s="84"/>
      <c r="HX107" s="84"/>
      <c r="HY107" s="84"/>
      <c r="HZ107" s="84"/>
      <c r="IA107" s="84"/>
      <c r="IB107" s="84"/>
      <c r="IC107" s="84"/>
      <c r="ID107" s="84"/>
      <c r="IE107" s="84"/>
      <c r="IF107" s="84"/>
      <c r="IG107" s="84"/>
      <c r="IH107" s="84"/>
      <c r="II107" s="84"/>
      <c r="IJ107" s="84"/>
      <c r="IK107" s="84"/>
      <c r="IL107" s="84"/>
      <c r="IM107" s="84"/>
      <c r="IN107" s="84"/>
      <c r="IO107" s="84"/>
      <c r="IP107" s="84"/>
      <c r="IQ107" s="84"/>
      <c r="IR107" s="84"/>
      <c r="IS107" s="84"/>
      <c r="IT107" s="84"/>
      <c r="IU107" s="84"/>
      <c r="IV107" s="84"/>
      <c r="IW107" s="84"/>
    </row>
    <row r="108" spans="2:257" s="28" customFormat="1" ht="14.4">
      <c r="B108" s="30">
        <f t="shared" si="150"/>
        <v>5.1299999999999972</v>
      </c>
      <c r="C108" s="38" t="s">
        <v>89</v>
      </c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  <c r="BN108" s="84"/>
      <c r="BO108" s="84"/>
      <c r="BP108" s="84"/>
      <c r="BQ108" s="84"/>
      <c r="BR108" s="84"/>
      <c r="BS108" s="84"/>
      <c r="BT108" s="84"/>
      <c r="BU108" s="84"/>
      <c r="BV108" s="84"/>
      <c r="BW108" s="84"/>
      <c r="BX108" s="84"/>
      <c r="BY108" s="84"/>
      <c r="BZ108" s="84"/>
      <c r="CA108" s="84"/>
      <c r="CB108" s="84"/>
      <c r="CC108" s="84"/>
      <c r="CD108" s="84"/>
      <c r="CE108" s="84"/>
      <c r="CF108" s="35"/>
      <c r="CG108" s="34"/>
      <c r="CH108" s="34"/>
      <c r="CI108" s="34"/>
      <c r="CJ108" s="34"/>
      <c r="CK108" s="34"/>
      <c r="CL108" s="34"/>
      <c r="CM108" s="34"/>
      <c r="CN108" s="34"/>
      <c r="CO108" s="35"/>
      <c r="CP108" s="35"/>
      <c r="CQ108" s="35"/>
      <c r="CR108" s="84"/>
      <c r="CS108" s="84"/>
      <c r="CT108" s="84"/>
      <c r="CU108" s="84"/>
      <c r="CV108" s="35"/>
      <c r="CW108" s="84"/>
      <c r="CX108" s="35"/>
      <c r="CY108" s="35"/>
      <c r="CZ108" s="35"/>
      <c r="DA108" s="35"/>
      <c r="DB108" s="35"/>
      <c r="DC108" s="84"/>
      <c r="DD108" s="35"/>
      <c r="DE108" s="35"/>
      <c r="DF108" s="35"/>
      <c r="DG108" s="35"/>
      <c r="DH108" s="35"/>
      <c r="DI108" s="84"/>
      <c r="DJ108" s="35"/>
      <c r="DK108" s="35"/>
      <c r="DL108" s="35"/>
      <c r="DM108" s="35"/>
      <c r="DN108" s="35"/>
      <c r="DO108" s="84"/>
      <c r="DP108" s="35"/>
      <c r="DQ108" s="35"/>
      <c r="DR108" s="35"/>
      <c r="DS108" s="35"/>
      <c r="DT108" s="35"/>
      <c r="DU108" s="84"/>
      <c r="DV108" s="35"/>
      <c r="DW108" s="35"/>
      <c r="DX108" s="35"/>
      <c r="DY108" s="35"/>
      <c r="DZ108" s="35"/>
      <c r="EA108" s="84"/>
      <c r="EB108" s="35"/>
      <c r="EC108" s="35"/>
      <c r="ED108" s="35"/>
      <c r="EE108" s="35"/>
      <c r="EF108" s="35"/>
      <c r="EG108" s="84"/>
      <c r="EH108" s="84"/>
      <c r="EI108" s="84"/>
      <c r="EJ108" s="84"/>
      <c r="EK108" s="84"/>
      <c r="EL108" s="84"/>
      <c r="EM108" s="84"/>
      <c r="EN108" s="84"/>
      <c r="EO108" s="84"/>
      <c r="EP108" s="84"/>
      <c r="EQ108" s="84"/>
      <c r="ER108" s="84"/>
      <c r="ES108" s="84"/>
      <c r="ET108" s="35"/>
      <c r="EU108" s="84"/>
      <c r="EV108" s="84"/>
      <c r="EW108" s="84"/>
      <c r="EX108" s="84"/>
      <c r="EY108" s="84"/>
      <c r="EZ108" s="35"/>
      <c r="FA108" s="35"/>
      <c r="FB108" s="35"/>
      <c r="FC108" s="35"/>
      <c r="FD108" s="55" t="s">
        <v>187</v>
      </c>
      <c r="FE108" s="55" t="s">
        <v>187</v>
      </c>
      <c r="FF108" s="55" t="s">
        <v>30</v>
      </c>
      <c r="FG108" s="55" t="s">
        <v>31</v>
      </c>
      <c r="FH108" s="55" t="s">
        <v>32</v>
      </c>
      <c r="FI108" s="55" t="s">
        <v>32</v>
      </c>
      <c r="FJ108" s="56" t="s">
        <v>188</v>
      </c>
      <c r="FK108" s="56" t="s">
        <v>188</v>
      </c>
      <c r="FL108" s="56" t="s">
        <v>189</v>
      </c>
      <c r="FM108" s="56" t="s">
        <v>190</v>
      </c>
      <c r="FN108" s="56" t="s">
        <v>191</v>
      </c>
      <c r="FO108" s="56" t="s">
        <v>191</v>
      </c>
      <c r="FP108" s="57" t="s">
        <v>192</v>
      </c>
      <c r="FQ108" s="57" t="s">
        <v>192</v>
      </c>
      <c r="FR108" s="57" t="s">
        <v>193</v>
      </c>
      <c r="FS108" s="35"/>
      <c r="FT108" s="35"/>
      <c r="FU108" s="57" t="s">
        <v>194</v>
      </c>
      <c r="FV108" s="57" t="s">
        <v>195</v>
      </c>
      <c r="FW108" s="57" t="s">
        <v>195</v>
      </c>
      <c r="FX108" s="58" t="s">
        <v>196</v>
      </c>
      <c r="FY108" s="58" t="s">
        <v>197</v>
      </c>
      <c r="FZ108" s="58" t="s">
        <v>198</v>
      </c>
      <c r="GA108" s="58" t="s">
        <v>198</v>
      </c>
      <c r="GB108" s="58" t="s">
        <v>199</v>
      </c>
      <c r="GC108" s="58" t="s">
        <v>199</v>
      </c>
      <c r="GD108" s="42" t="s">
        <v>33</v>
      </c>
      <c r="GE108" s="42" t="s">
        <v>34</v>
      </c>
      <c r="GF108" s="42" t="s">
        <v>35</v>
      </c>
      <c r="GG108" s="42" t="s">
        <v>35</v>
      </c>
      <c r="GH108" s="42" t="s">
        <v>36</v>
      </c>
      <c r="GI108" s="42" t="s">
        <v>36</v>
      </c>
      <c r="GJ108" s="59" t="s">
        <v>200</v>
      </c>
      <c r="GK108" s="59" t="s">
        <v>201</v>
      </c>
      <c r="GL108" s="59" t="s">
        <v>202</v>
      </c>
      <c r="GM108" s="59" t="s">
        <v>203</v>
      </c>
      <c r="GN108" s="59" t="s">
        <v>203</v>
      </c>
      <c r="GO108" s="35"/>
      <c r="GP108" s="35"/>
      <c r="GQ108" s="35"/>
      <c r="GR108" s="35"/>
      <c r="GS108" s="35"/>
      <c r="GT108" s="35"/>
      <c r="GU108" s="35"/>
      <c r="GV108" s="35"/>
      <c r="GW108" s="35"/>
      <c r="GX108" s="35"/>
      <c r="GY108" s="35"/>
      <c r="GZ108" s="84"/>
      <c r="HA108" s="84"/>
      <c r="HB108" s="84"/>
      <c r="HC108" s="84"/>
      <c r="HD108" s="84"/>
      <c r="HE108" s="84"/>
      <c r="HF108" s="84"/>
      <c r="HG108" s="84"/>
      <c r="HH108" s="84"/>
      <c r="HI108" s="84"/>
      <c r="HJ108" s="84"/>
      <c r="HK108" s="84"/>
      <c r="HL108" s="84"/>
      <c r="HM108" s="84"/>
      <c r="HN108" s="84"/>
      <c r="HO108" s="84"/>
      <c r="HP108" s="84"/>
      <c r="HQ108" s="84"/>
      <c r="HR108" s="84"/>
      <c r="HS108" s="84"/>
      <c r="HT108" s="84"/>
      <c r="HU108" s="84"/>
      <c r="HV108" s="84"/>
      <c r="HW108" s="84"/>
      <c r="HX108" s="84"/>
      <c r="HY108" s="84"/>
      <c r="HZ108" s="84"/>
      <c r="IA108" s="84"/>
      <c r="IB108" s="84"/>
      <c r="IC108" s="84"/>
      <c r="ID108" s="84"/>
      <c r="IE108" s="84"/>
      <c r="IF108" s="84"/>
      <c r="IG108" s="84"/>
      <c r="IH108" s="84"/>
      <c r="II108" s="84"/>
      <c r="IJ108" s="84"/>
      <c r="IK108" s="84"/>
      <c r="IL108" s="84"/>
      <c r="IM108" s="84"/>
      <c r="IN108" s="84"/>
      <c r="IO108" s="84"/>
      <c r="IP108" s="84"/>
      <c r="IQ108" s="84"/>
      <c r="IR108" s="84"/>
      <c r="IS108" s="84"/>
      <c r="IT108" s="84"/>
      <c r="IU108" s="84"/>
      <c r="IV108" s="84"/>
      <c r="IW108" s="84"/>
    </row>
    <row r="109" spans="2:257" s="28" customFormat="1" ht="14.4">
      <c r="B109" s="30">
        <f t="shared" si="150"/>
        <v>5.139999999999997</v>
      </c>
      <c r="C109" s="38" t="s">
        <v>90</v>
      </c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  <c r="BM109" s="84"/>
      <c r="BN109" s="84"/>
      <c r="BO109" s="84"/>
      <c r="BP109" s="84"/>
      <c r="BQ109" s="84"/>
      <c r="BR109" s="84"/>
      <c r="BS109" s="84"/>
      <c r="BT109" s="84"/>
      <c r="BU109" s="84"/>
      <c r="BV109" s="84"/>
      <c r="BW109" s="84"/>
      <c r="BX109" s="84"/>
      <c r="BY109" s="84"/>
      <c r="BZ109" s="84"/>
      <c r="CA109" s="84"/>
      <c r="CB109" s="84"/>
      <c r="CC109" s="84"/>
      <c r="CD109" s="84"/>
      <c r="CE109" s="84"/>
      <c r="CF109" s="35"/>
      <c r="CG109" s="34"/>
      <c r="CH109" s="34"/>
      <c r="CI109" s="34"/>
      <c r="CJ109" s="34"/>
      <c r="CK109" s="34"/>
      <c r="CL109" s="34"/>
      <c r="CM109" s="34"/>
      <c r="CN109" s="34"/>
      <c r="CO109" s="35"/>
      <c r="CP109" s="35"/>
      <c r="CQ109" s="35"/>
      <c r="CR109" s="84"/>
      <c r="CS109" s="84"/>
      <c r="CT109" s="84"/>
      <c r="CU109" s="84"/>
      <c r="CV109" s="35"/>
      <c r="CW109" s="84"/>
      <c r="CX109" s="35"/>
      <c r="CY109" s="35"/>
      <c r="CZ109" s="35"/>
      <c r="DA109" s="35"/>
      <c r="DB109" s="35"/>
      <c r="DC109" s="84"/>
      <c r="DD109" s="35"/>
      <c r="DE109" s="35"/>
      <c r="DF109" s="35"/>
      <c r="DG109" s="35"/>
      <c r="DH109" s="35"/>
      <c r="DI109" s="84"/>
      <c r="DJ109" s="35"/>
      <c r="DK109" s="35"/>
      <c r="DL109" s="35"/>
      <c r="DM109" s="35"/>
      <c r="DN109" s="35"/>
      <c r="DO109" s="84"/>
      <c r="DP109" s="35"/>
      <c r="DQ109" s="35"/>
      <c r="DR109" s="35"/>
      <c r="DS109" s="35"/>
      <c r="DT109" s="35"/>
      <c r="DU109" s="84"/>
      <c r="DV109" s="35"/>
      <c r="DW109" s="35"/>
      <c r="DX109" s="35"/>
      <c r="DY109" s="35"/>
      <c r="DZ109" s="35"/>
      <c r="EA109" s="84"/>
      <c r="EB109" s="35"/>
      <c r="EC109" s="35"/>
      <c r="ED109" s="35"/>
      <c r="EE109" s="35"/>
      <c r="EF109" s="35"/>
      <c r="EG109" s="84"/>
      <c r="EH109" s="35"/>
      <c r="EI109" s="35"/>
      <c r="EJ109" s="35"/>
      <c r="EK109" s="35"/>
      <c r="EL109" s="35"/>
      <c r="EM109" s="84"/>
      <c r="EN109" s="84"/>
      <c r="EO109" s="84"/>
      <c r="EP109" s="84"/>
      <c r="EQ109" s="84"/>
      <c r="ER109" s="84"/>
      <c r="ES109" s="84"/>
      <c r="ET109" s="35"/>
      <c r="EU109" s="84"/>
      <c r="EV109" s="84"/>
      <c r="EW109" s="84"/>
      <c r="EX109" s="84"/>
      <c r="EY109" s="84"/>
      <c r="EZ109" s="84"/>
      <c r="FA109" s="84"/>
      <c r="FB109" s="84"/>
      <c r="FC109" s="84"/>
      <c r="FD109" s="84"/>
      <c r="FE109" s="84"/>
      <c r="FF109" s="55" t="s">
        <v>187</v>
      </c>
      <c r="FG109" s="55" t="s">
        <v>30</v>
      </c>
      <c r="FH109" s="55" t="s">
        <v>31</v>
      </c>
      <c r="FI109" s="55" t="s">
        <v>31</v>
      </c>
      <c r="FJ109" s="55" t="s">
        <v>32</v>
      </c>
      <c r="FK109" s="55" t="s">
        <v>32</v>
      </c>
      <c r="FL109" s="56" t="s">
        <v>188</v>
      </c>
      <c r="FM109" s="56" t="s">
        <v>189</v>
      </c>
      <c r="FN109" s="56" t="s">
        <v>190</v>
      </c>
      <c r="FO109" s="56" t="s">
        <v>190</v>
      </c>
      <c r="FP109" s="56" t="s">
        <v>191</v>
      </c>
      <c r="FQ109" s="56" t="s">
        <v>191</v>
      </c>
      <c r="FR109" s="57" t="s">
        <v>192</v>
      </c>
      <c r="FS109" s="84"/>
      <c r="FT109" s="84"/>
      <c r="FU109" s="57" t="s">
        <v>193</v>
      </c>
      <c r="FV109" s="57" t="s">
        <v>194</v>
      </c>
      <c r="FW109" s="57" t="s">
        <v>194</v>
      </c>
      <c r="FX109" s="57" t="s">
        <v>195</v>
      </c>
      <c r="FY109" s="58" t="s">
        <v>196</v>
      </c>
      <c r="FZ109" s="58" t="s">
        <v>197</v>
      </c>
      <c r="GA109" s="58" t="s">
        <v>197</v>
      </c>
      <c r="GB109" s="58" t="s">
        <v>198</v>
      </c>
      <c r="GC109" s="58" t="s">
        <v>198</v>
      </c>
      <c r="GD109" s="58" t="s">
        <v>199</v>
      </c>
      <c r="GE109" s="42" t="s">
        <v>33</v>
      </c>
      <c r="GF109" s="42" t="s">
        <v>34</v>
      </c>
      <c r="GG109" s="42" t="s">
        <v>34</v>
      </c>
      <c r="GH109" s="42" t="s">
        <v>35</v>
      </c>
      <c r="GI109" s="42" t="s">
        <v>35</v>
      </c>
      <c r="GJ109" s="42" t="s">
        <v>36</v>
      </c>
      <c r="GK109" s="59" t="s">
        <v>200</v>
      </c>
      <c r="GL109" s="59" t="s">
        <v>201</v>
      </c>
      <c r="GM109" s="59" t="s">
        <v>202</v>
      </c>
      <c r="GN109" s="59" t="s">
        <v>202</v>
      </c>
      <c r="GO109" s="59" t="s">
        <v>203</v>
      </c>
      <c r="GP109" s="59"/>
      <c r="GQ109" s="35"/>
      <c r="GR109" s="35"/>
      <c r="GS109" s="35"/>
      <c r="GT109" s="35"/>
      <c r="GU109" s="35"/>
      <c r="GV109" s="35"/>
      <c r="GW109" s="35"/>
      <c r="GX109" s="35"/>
      <c r="GY109" s="35"/>
      <c r="GZ109" s="35"/>
      <c r="HA109" s="84"/>
      <c r="HB109" s="84"/>
      <c r="HC109" s="84"/>
      <c r="HD109" s="84"/>
      <c r="HE109" s="84"/>
      <c r="HF109" s="84"/>
      <c r="HG109" s="84"/>
      <c r="HH109" s="84"/>
      <c r="HI109" s="84"/>
      <c r="HJ109" s="84"/>
      <c r="HK109" s="84"/>
      <c r="HL109" s="84"/>
      <c r="HM109" s="84"/>
      <c r="HN109" s="84"/>
      <c r="HO109" s="84"/>
      <c r="HP109" s="84"/>
      <c r="HQ109" s="84"/>
      <c r="HR109" s="84"/>
      <c r="HS109" s="84"/>
      <c r="HT109" s="84"/>
      <c r="HU109" s="84"/>
      <c r="HV109" s="84"/>
      <c r="HW109" s="84"/>
      <c r="HX109" s="84"/>
      <c r="HY109" s="84"/>
      <c r="HZ109" s="84"/>
      <c r="IA109" s="84"/>
      <c r="IB109" s="84"/>
      <c r="IC109" s="84"/>
      <c r="ID109" s="84"/>
      <c r="IE109" s="84"/>
      <c r="IF109" s="84"/>
      <c r="IG109" s="84"/>
      <c r="IH109" s="84"/>
      <c r="II109" s="84"/>
      <c r="IJ109" s="84"/>
      <c r="IK109" s="84"/>
      <c r="IL109" s="84"/>
      <c r="IM109" s="84"/>
      <c r="IN109" s="84"/>
      <c r="IO109" s="84"/>
      <c r="IP109" s="84"/>
      <c r="IQ109" s="84"/>
      <c r="IR109" s="84"/>
      <c r="IS109" s="84"/>
      <c r="IT109" s="84"/>
      <c r="IU109" s="84"/>
      <c r="IV109" s="84"/>
      <c r="IW109" s="84"/>
    </row>
    <row r="110" spans="2:257" s="28" customFormat="1" ht="14.4">
      <c r="B110" s="30">
        <f t="shared" si="150"/>
        <v>5.1499999999999968</v>
      </c>
      <c r="C110" s="38" t="s">
        <v>91</v>
      </c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  <c r="BM110" s="84"/>
      <c r="BN110" s="84"/>
      <c r="BO110" s="84"/>
      <c r="BP110" s="84"/>
      <c r="BQ110" s="84"/>
      <c r="BR110" s="84"/>
      <c r="BS110" s="84"/>
      <c r="BT110" s="84"/>
      <c r="BU110" s="84"/>
      <c r="BV110" s="84"/>
      <c r="BW110" s="84"/>
      <c r="BX110" s="84"/>
      <c r="BY110" s="84"/>
      <c r="BZ110" s="84"/>
      <c r="CA110" s="84"/>
      <c r="CB110" s="84"/>
      <c r="CC110" s="84"/>
      <c r="CD110" s="84"/>
      <c r="CE110" s="84"/>
      <c r="CF110" s="35"/>
      <c r="CG110" s="34"/>
      <c r="CH110" s="34"/>
      <c r="CI110" s="34"/>
      <c r="CJ110" s="34"/>
      <c r="CK110" s="34"/>
      <c r="CL110" s="34"/>
      <c r="CM110" s="34"/>
      <c r="CN110" s="34"/>
      <c r="CO110" s="35"/>
      <c r="CP110" s="35"/>
      <c r="CQ110" s="35"/>
      <c r="CR110" s="84"/>
      <c r="CS110" s="84"/>
      <c r="CT110" s="84"/>
      <c r="CU110" s="84"/>
      <c r="CV110" s="35"/>
      <c r="CW110" s="84"/>
      <c r="CX110" s="35"/>
      <c r="CY110" s="35"/>
      <c r="CZ110" s="35"/>
      <c r="DA110" s="35"/>
      <c r="DB110" s="35"/>
      <c r="DC110" s="84"/>
      <c r="DD110" s="35"/>
      <c r="DE110" s="35"/>
      <c r="DF110" s="35"/>
      <c r="DG110" s="35"/>
      <c r="DH110" s="35"/>
      <c r="DI110" s="84"/>
      <c r="DJ110" s="35"/>
      <c r="DK110" s="35"/>
      <c r="DL110" s="35"/>
      <c r="DM110" s="35"/>
      <c r="DN110" s="35"/>
      <c r="DO110" s="84"/>
      <c r="DP110" s="35"/>
      <c r="DQ110" s="35"/>
      <c r="DR110" s="35"/>
      <c r="DS110" s="35"/>
      <c r="DT110" s="35"/>
      <c r="DU110" s="84"/>
      <c r="DV110" s="35"/>
      <c r="DW110" s="35"/>
      <c r="DX110" s="35"/>
      <c r="DY110" s="35"/>
      <c r="DZ110" s="35"/>
      <c r="EA110" s="84"/>
      <c r="EB110" s="35"/>
      <c r="EC110" s="35"/>
      <c r="ED110" s="35"/>
      <c r="EE110" s="35"/>
      <c r="EF110" s="35"/>
      <c r="EG110" s="84"/>
      <c r="EH110" s="35"/>
      <c r="EI110" s="35"/>
      <c r="EJ110" s="35"/>
      <c r="EK110" s="35"/>
      <c r="EL110" s="35"/>
      <c r="EM110" s="84"/>
      <c r="EN110" s="84"/>
      <c r="EO110" s="84"/>
      <c r="EP110" s="84"/>
      <c r="EQ110" s="84"/>
      <c r="ER110" s="84"/>
      <c r="ES110" s="84"/>
      <c r="ET110" s="35"/>
      <c r="EU110" s="84"/>
      <c r="EV110" s="84"/>
      <c r="EW110" s="84"/>
      <c r="EX110" s="84"/>
      <c r="EY110" s="84"/>
      <c r="EZ110" s="84"/>
      <c r="FA110" s="84"/>
      <c r="FB110" s="84"/>
      <c r="FC110" s="84"/>
      <c r="FD110" s="84"/>
      <c r="FE110" s="84"/>
      <c r="FF110" s="35"/>
      <c r="FG110" s="55" t="s">
        <v>187</v>
      </c>
      <c r="FH110" s="55" t="s">
        <v>30</v>
      </c>
      <c r="FI110" s="55" t="s">
        <v>30</v>
      </c>
      <c r="FJ110" s="55" t="s">
        <v>31</v>
      </c>
      <c r="FK110" s="55" t="s">
        <v>31</v>
      </c>
      <c r="FL110" s="55" t="s">
        <v>32</v>
      </c>
      <c r="FM110" s="56" t="s">
        <v>188</v>
      </c>
      <c r="FN110" s="56" t="s">
        <v>189</v>
      </c>
      <c r="FO110" s="56" t="s">
        <v>189</v>
      </c>
      <c r="FP110" s="56" t="s">
        <v>190</v>
      </c>
      <c r="FQ110" s="56" t="s">
        <v>190</v>
      </c>
      <c r="FR110" s="56" t="s">
        <v>191</v>
      </c>
      <c r="FS110" s="84"/>
      <c r="FT110" s="84"/>
      <c r="FU110" s="57" t="s">
        <v>192</v>
      </c>
      <c r="FV110" s="57" t="s">
        <v>193</v>
      </c>
      <c r="FW110" s="57" t="s">
        <v>193</v>
      </c>
      <c r="FX110" s="57" t="s">
        <v>194</v>
      </c>
      <c r="FY110" s="57" t="s">
        <v>195</v>
      </c>
      <c r="FZ110" s="58" t="s">
        <v>196</v>
      </c>
      <c r="GA110" s="58" t="s">
        <v>196</v>
      </c>
      <c r="GB110" s="58" t="s">
        <v>197</v>
      </c>
      <c r="GC110" s="58" t="s">
        <v>197</v>
      </c>
      <c r="GD110" s="58" t="s">
        <v>198</v>
      </c>
      <c r="GE110" s="58" t="s">
        <v>199</v>
      </c>
      <c r="GF110" s="42" t="s">
        <v>33</v>
      </c>
      <c r="GG110" s="42" t="s">
        <v>33</v>
      </c>
      <c r="GH110" s="42" t="s">
        <v>34</v>
      </c>
      <c r="GI110" s="42" t="s">
        <v>34</v>
      </c>
      <c r="GJ110" s="42" t="s">
        <v>35</v>
      </c>
      <c r="GK110" s="42" t="s">
        <v>36</v>
      </c>
      <c r="GL110" s="59" t="s">
        <v>200</v>
      </c>
      <c r="GM110" s="59" t="s">
        <v>201</v>
      </c>
      <c r="GN110" s="59" t="s">
        <v>201</v>
      </c>
      <c r="GO110" s="59" t="s">
        <v>202</v>
      </c>
      <c r="GP110" s="59" t="s">
        <v>203</v>
      </c>
      <c r="GQ110" s="35"/>
      <c r="GR110" s="84"/>
      <c r="GS110" s="35"/>
      <c r="GT110" s="35"/>
      <c r="GU110" s="35"/>
      <c r="GV110" s="35"/>
      <c r="GW110" s="35"/>
      <c r="GX110" s="35"/>
      <c r="GY110" s="35"/>
      <c r="GZ110" s="35"/>
      <c r="HA110" s="84"/>
      <c r="HB110" s="84"/>
      <c r="HC110" s="84"/>
      <c r="HD110" s="84"/>
      <c r="HE110" s="84"/>
      <c r="HF110" s="84"/>
      <c r="HG110" s="84"/>
      <c r="HH110" s="84"/>
      <c r="HI110" s="84"/>
      <c r="HJ110" s="84"/>
      <c r="HK110" s="84"/>
      <c r="HL110" s="84"/>
      <c r="HM110" s="84"/>
      <c r="HN110" s="84"/>
      <c r="HO110" s="84"/>
      <c r="HP110" s="84"/>
      <c r="HQ110" s="84"/>
      <c r="HR110" s="84"/>
      <c r="HS110" s="84"/>
      <c r="HT110" s="84"/>
      <c r="HU110" s="84"/>
      <c r="HV110" s="84"/>
      <c r="HW110" s="84"/>
      <c r="HX110" s="84"/>
      <c r="HY110" s="84"/>
      <c r="HZ110" s="84"/>
      <c r="IA110" s="84"/>
      <c r="IB110" s="84"/>
      <c r="IC110" s="84"/>
      <c r="ID110" s="84"/>
      <c r="IE110" s="84"/>
      <c r="IF110" s="84"/>
      <c r="IG110" s="84"/>
      <c r="IH110" s="84"/>
      <c r="II110" s="84"/>
      <c r="IJ110" s="84"/>
      <c r="IK110" s="84"/>
      <c r="IL110" s="84"/>
      <c r="IM110" s="84"/>
      <c r="IN110" s="84"/>
      <c r="IO110" s="84"/>
      <c r="IP110" s="84"/>
      <c r="IQ110" s="84"/>
      <c r="IR110" s="84"/>
      <c r="IS110" s="84"/>
      <c r="IT110" s="84"/>
      <c r="IU110" s="84"/>
      <c r="IV110" s="84"/>
      <c r="IW110" s="84"/>
    </row>
    <row r="111" spans="2:257" s="27" customFormat="1" ht="14.4">
      <c r="B111" s="30">
        <f t="shared" si="150"/>
        <v>5.1599999999999966</v>
      </c>
      <c r="C111" s="38" t="s">
        <v>92</v>
      </c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83"/>
      <c r="BD111" s="83"/>
      <c r="BE111" s="83"/>
      <c r="BF111" s="83"/>
      <c r="BG111" s="83"/>
      <c r="BH111" s="83"/>
      <c r="BI111" s="83"/>
      <c r="BJ111" s="83"/>
      <c r="BK111" s="83"/>
      <c r="BL111" s="83"/>
      <c r="BM111" s="83"/>
      <c r="BN111" s="83"/>
      <c r="BO111" s="83"/>
      <c r="BP111" s="83"/>
      <c r="BQ111" s="83"/>
      <c r="BR111" s="83"/>
      <c r="BS111" s="83"/>
      <c r="BT111" s="83"/>
      <c r="BU111" s="83"/>
      <c r="BV111" s="83"/>
      <c r="BW111" s="83"/>
      <c r="BX111" s="83"/>
      <c r="BY111" s="83"/>
      <c r="BZ111" s="83"/>
      <c r="CA111" s="83"/>
      <c r="CB111" s="83"/>
      <c r="CC111" s="83"/>
      <c r="CD111" s="83"/>
      <c r="CE111" s="83"/>
      <c r="CF111" s="35"/>
      <c r="CG111" s="34"/>
      <c r="CH111" s="34"/>
      <c r="CI111" s="34"/>
      <c r="CJ111" s="34"/>
      <c r="CK111" s="34"/>
      <c r="CL111" s="34"/>
      <c r="CM111" s="34"/>
      <c r="CN111" s="34"/>
      <c r="CO111" s="35"/>
      <c r="CP111" s="35"/>
      <c r="CQ111" s="35"/>
      <c r="CR111" s="83"/>
      <c r="CS111" s="83"/>
      <c r="CT111" s="83"/>
      <c r="CU111" s="83"/>
      <c r="CV111" s="35"/>
      <c r="CW111" s="83"/>
      <c r="CX111" s="35"/>
      <c r="CY111" s="35"/>
      <c r="CZ111" s="35"/>
      <c r="DA111" s="35"/>
      <c r="DB111" s="35"/>
      <c r="DC111" s="83"/>
      <c r="DD111" s="35"/>
      <c r="DE111" s="35"/>
      <c r="DF111" s="35"/>
      <c r="DG111" s="35"/>
      <c r="DH111" s="35"/>
      <c r="DI111" s="83"/>
      <c r="DJ111" s="35"/>
      <c r="DK111" s="35"/>
      <c r="DL111" s="35"/>
      <c r="DM111" s="35"/>
      <c r="DN111" s="35"/>
      <c r="DO111" s="83"/>
      <c r="DP111" s="35"/>
      <c r="DQ111" s="35"/>
      <c r="DR111" s="35"/>
      <c r="DS111" s="35"/>
      <c r="DT111" s="35"/>
      <c r="DU111" s="83"/>
      <c r="DV111" s="35"/>
      <c r="DW111" s="35"/>
      <c r="DX111" s="35"/>
      <c r="DY111" s="35"/>
      <c r="DZ111" s="35"/>
      <c r="EA111" s="83"/>
      <c r="EB111" s="35"/>
      <c r="EC111" s="35"/>
      <c r="ED111" s="35"/>
      <c r="EE111" s="35"/>
      <c r="EF111" s="35"/>
      <c r="EG111" s="83"/>
      <c r="EH111" s="35"/>
      <c r="EI111" s="35"/>
      <c r="EJ111" s="35"/>
      <c r="EK111" s="35"/>
      <c r="EL111" s="35"/>
      <c r="EM111" s="83"/>
      <c r="EN111" s="83"/>
      <c r="EO111" s="83"/>
      <c r="EP111" s="83"/>
      <c r="EQ111" s="83"/>
      <c r="ER111" s="83"/>
      <c r="ES111" s="83"/>
      <c r="ET111" s="35"/>
      <c r="EU111" s="83"/>
      <c r="EV111" s="83"/>
      <c r="EW111" s="83"/>
      <c r="EX111" s="83"/>
      <c r="EY111" s="83"/>
      <c r="EZ111" s="83"/>
      <c r="FA111" s="83"/>
      <c r="FB111" s="83"/>
      <c r="FC111" s="83"/>
      <c r="FD111" s="83"/>
      <c r="FE111" s="83"/>
      <c r="FF111" s="35"/>
      <c r="FG111" s="35"/>
      <c r="FH111" s="55" t="s">
        <v>187</v>
      </c>
      <c r="FI111" s="55" t="s">
        <v>187</v>
      </c>
      <c r="FJ111" s="55" t="s">
        <v>30</v>
      </c>
      <c r="FK111" s="55" t="s">
        <v>30</v>
      </c>
      <c r="FL111" s="55" t="s">
        <v>31</v>
      </c>
      <c r="FM111" s="55" t="s">
        <v>32</v>
      </c>
      <c r="FN111" s="56" t="s">
        <v>188</v>
      </c>
      <c r="FO111" s="56" t="s">
        <v>188</v>
      </c>
      <c r="FP111" s="56" t="s">
        <v>189</v>
      </c>
      <c r="FQ111" s="56" t="s">
        <v>189</v>
      </c>
      <c r="FR111" s="56" t="s">
        <v>190</v>
      </c>
      <c r="FS111" s="83"/>
      <c r="FT111" s="83"/>
      <c r="FU111" s="56" t="s">
        <v>191</v>
      </c>
      <c r="FV111" s="57" t="s">
        <v>192</v>
      </c>
      <c r="FW111" s="57" t="s">
        <v>192</v>
      </c>
      <c r="FX111" s="57" t="s">
        <v>193</v>
      </c>
      <c r="FY111" s="57" t="s">
        <v>194</v>
      </c>
      <c r="FZ111" s="57" t="s">
        <v>195</v>
      </c>
      <c r="GA111" s="57" t="s">
        <v>195</v>
      </c>
      <c r="GB111" s="58" t="s">
        <v>196</v>
      </c>
      <c r="GC111" s="58" t="s">
        <v>196</v>
      </c>
      <c r="GD111" s="58" t="s">
        <v>197</v>
      </c>
      <c r="GE111" s="58" t="s">
        <v>198</v>
      </c>
      <c r="GF111" s="58" t="s">
        <v>199</v>
      </c>
      <c r="GG111" s="58" t="s">
        <v>199</v>
      </c>
      <c r="GH111" s="42" t="s">
        <v>33</v>
      </c>
      <c r="GI111" s="42" t="s">
        <v>33</v>
      </c>
      <c r="GJ111" s="42" t="s">
        <v>34</v>
      </c>
      <c r="GK111" s="42" t="s">
        <v>35</v>
      </c>
      <c r="GL111" s="42" t="s">
        <v>36</v>
      </c>
      <c r="GM111" s="59" t="s">
        <v>200</v>
      </c>
      <c r="GN111" s="59" t="s">
        <v>200</v>
      </c>
      <c r="GO111" s="59" t="s">
        <v>201</v>
      </c>
      <c r="GP111" s="59" t="s">
        <v>202</v>
      </c>
      <c r="GQ111" s="59" t="s">
        <v>203</v>
      </c>
      <c r="GR111" s="59" t="s">
        <v>203</v>
      </c>
      <c r="GS111" s="35"/>
      <c r="GT111" s="35"/>
      <c r="GU111" s="35"/>
      <c r="GV111" s="35"/>
      <c r="GW111" s="35"/>
      <c r="GX111" s="94"/>
      <c r="GY111" s="94"/>
      <c r="GZ111" s="94"/>
      <c r="HA111" s="95"/>
      <c r="HB111" s="95"/>
      <c r="HC111" s="95"/>
      <c r="HD111" s="95"/>
      <c r="HE111" s="95"/>
      <c r="HF111" s="95"/>
      <c r="HG111" s="95"/>
      <c r="HH111" s="95"/>
      <c r="HI111" s="95"/>
      <c r="HJ111" s="95"/>
      <c r="HK111" s="95"/>
      <c r="HL111" s="95"/>
      <c r="HM111" s="95"/>
      <c r="HN111" s="95"/>
      <c r="HO111" s="95"/>
      <c r="HP111" s="95"/>
      <c r="HQ111" s="84"/>
      <c r="HR111" s="95"/>
      <c r="HS111" s="95"/>
      <c r="HT111" s="95"/>
      <c r="HU111" s="95"/>
      <c r="HV111" s="95"/>
      <c r="HW111" s="95"/>
      <c r="HX111" s="95"/>
      <c r="HY111" s="95"/>
      <c r="HZ111" s="95"/>
      <c r="IA111" s="95"/>
      <c r="IB111" s="95"/>
      <c r="IC111" s="95"/>
      <c r="ID111" s="95"/>
      <c r="IE111" s="95"/>
      <c r="IF111" s="95"/>
      <c r="IG111" s="95"/>
      <c r="IH111" s="95"/>
      <c r="II111" s="95"/>
      <c r="IJ111" s="95"/>
      <c r="IK111" s="95"/>
      <c r="IL111" s="95"/>
      <c r="IM111" s="83"/>
      <c r="IN111" s="83"/>
      <c r="IO111" s="83"/>
      <c r="IP111" s="83"/>
      <c r="IQ111" s="83"/>
      <c r="IR111" s="83"/>
      <c r="IS111" s="83"/>
      <c r="IT111" s="83"/>
      <c r="IU111" s="83"/>
      <c r="IV111" s="83"/>
      <c r="IW111" s="83"/>
    </row>
    <row r="112" spans="2:257" s="28" customFormat="1" ht="14.4">
      <c r="B112" s="30">
        <f t="shared" si="150"/>
        <v>5.1699999999999964</v>
      </c>
      <c r="C112" s="38" t="s">
        <v>93</v>
      </c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  <c r="BM112" s="84"/>
      <c r="BN112" s="84"/>
      <c r="BO112" s="84"/>
      <c r="BP112" s="84"/>
      <c r="BQ112" s="84"/>
      <c r="BR112" s="84"/>
      <c r="BS112" s="84"/>
      <c r="BT112" s="84"/>
      <c r="BU112" s="84"/>
      <c r="BV112" s="84"/>
      <c r="BW112" s="84"/>
      <c r="BX112" s="84"/>
      <c r="BY112" s="84"/>
      <c r="BZ112" s="84"/>
      <c r="CA112" s="84"/>
      <c r="CB112" s="84"/>
      <c r="CC112" s="84"/>
      <c r="CD112" s="84"/>
      <c r="CE112" s="84"/>
      <c r="CF112" s="35"/>
      <c r="CG112" s="34"/>
      <c r="CH112" s="34"/>
      <c r="CI112" s="34"/>
      <c r="CJ112" s="34"/>
      <c r="CK112" s="34"/>
      <c r="CL112" s="34"/>
      <c r="CM112" s="34"/>
      <c r="CN112" s="34"/>
      <c r="CO112" s="35"/>
      <c r="CP112" s="35"/>
      <c r="CQ112" s="35"/>
      <c r="CR112" s="84"/>
      <c r="CS112" s="84"/>
      <c r="CT112" s="84"/>
      <c r="CU112" s="84"/>
      <c r="CV112" s="35"/>
      <c r="CW112" s="84"/>
      <c r="CX112" s="35"/>
      <c r="CY112" s="35"/>
      <c r="CZ112" s="35"/>
      <c r="DA112" s="35"/>
      <c r="DB112" s="35"/>
      <c r="DC112" s="84"/>
      <c r="DD112" s="35"/>
      <c r="DE112" s="35"/>
      <c r="DF112" s="35"/>
      <c r="DG112" s="35"/>
      <c r="DH112" s="35"/>
      <c r="DI112" s="84"/>
      <c r="DJ112" s="35"/>
      <c r="DK112" s="35"/>
      <c r="DL112" s="35"/>
      <c r="DM112" s="35"/>
      <c r="DN112" s="35"/>
      <c r="DO112" s="84"/>
      <c r="DP112" s="35"/>
      <c r="DQ112" s="35"/>
      <c r="DR112" s="35"/>
      <c r="DS112" s="35"/>
      <c r="DT112" s="35"/>
      <c r="DU112" s="84"/>
      <c r="DV112" s="35"/>
      <c r="DW112" s="35"/>
      <c r="DX112" s="35"/>
      <c r="DY112" s="35"/>
      <c r="DZ112" s="35"/>
      <c r="EA112" s="84"/>
      <c r="EB112" s="35"/>
      <c r="EC112" s="35"/>
      <c r="ED112" s="35"/>
      <c r="EE112" s="35"/>
      <c r="EF112" s="35"/>
      <c r="EG112" s="84"/>
      <c r="EH112" s="35"/>
      <c r="EI112" s="35"/>
      <c r="EJ112" s="35"/>
      <c r="EK112" s="35"/>
      <c r="EL112" s="35"/>
      <c r="EM112" s="84"/>
      <c r="EN112" s="84"/>
      <c r="EO112" s="84"/>
      <c r="EP112" s="84"/>
      <c r="EQ112" s="84"/>
      <c r="ER112" s="84"/>
      <c r="ES112" s="84"/>
      <c r="ET112" s="35"/>
      <c r="EU112" s="84"/>
      <c r="EV112" s="84"/>
      <c r="EW112" s="84"/>
      <c r="EX112" s="84"/>
      <c r="EY112" s="84"/>
      <c r="EZ112" s="84"/>
      <c r="FA112" s="84"/>
      <c r="FB112" s="84"/>
      <c r="FC112" s="84"/>
      <c r="FD112" s="84"/>
      <c r="FE112" s="84"/>
      <c r="FF112" s="35"/>
      <c r="FG112" s="35"/>
      <c r="FH112" s="55" t="s">
        <v>187</v>
      </c>
      <c r="FI112" s="55" t="s">
        <v>187</v>
      </c>
      <c r="FJ112" s="55" t="s">
        <v>30</v>
      </c>
      <c r="FK112" s="55" t="s">
        <v>30</v>
      </c>
      <c r="FL112" s="55" t="s">
        <v>31</v>
      </c>
      <c r="FM112" s="55" t="s">
        <v>32</v>
      </c>
      <c r="FN112" s="56" t="s">
        <v>188</v>
      </c>
      <c r="FO112" s="56" t="s">
        <v>188</v>
      </c>
      <c r="FP112" s="56" t="s">
        <v>189</v>
      </c>
      <c r="FQ112" s="56" t="s">
        <v>189</v>
      </c>
      <c r="FR112" s="56" t="s">
        <v>190</v>
      </c>
      <c r="FS112" s="84"/>
      <c r="FT112" s="84"/>
      <c r="FU112" s="56" t="s">
        <v>191</v>
      </c>
      <c r="FV112" s="57" t="s">
        <v>192</v>
      </c>
      <c r="FW112" s="57" t="s">
        <v>192</v>
      </c>
      <c r="FX112" s="57" t="s">
        <v>193</v>
      </c>
      <c r="FY112" s="57" t="s">
        <v>194</v>
      </c>
      <c r="FZ112" s="57" t="s">
        <v>195</v>
      </c>
      <c r="GA112" s="57" t="s">
        <v>195</v>
      </c>
      <c r="GB112" s="58" t="s">
        <v>196</v>
      </c>
      <c r="GC112" s="58" t="s">
        <v>196</v>
      </c>
      <c r="GD112" s="58" t="s">
        <v>197</v>
      </c>
      <c r="GE112" s="58" t="s">
        <v>198</v>
      </c>
      <c r="GF112" s="58" t="s">
        <v>199</v>
      </c>
      <c r="GG112" s="58" t="s">
        <v>199</v>
      </c>
      <c r="GH112" s="42" t="s">
        <v>33</v>
      </c>
      <c r="GI112" s="42" t="s">
        <v>33</v>
      </c>
      <c r="GJ112" s="42" t="s">
        <v>34</v>
      </c>
      <c r="GK112" s="42" t="s">
        <v>35</v>
      </c>
      <c r="GL112" s="42" t="s">
        <v>36</v>
      </c>
      <c r="GM112" s="59" t="s">
        <v>200</v>
      </c>
      <c r="GN112" s="59" t="s">
        <v>200</v>
      </c>
      <c r="GO112" s="59" t="s">
        <v>201</v>
      </c>
      <c r="GP112" s="59" t="s">
        <v>202</v>
      </c>
      <c r="GQ112" s="59" t="s">
        <v>203</v>
      </c>
      <c r="GR112" s="59" t="s">
        <v>203</v>
      </c>
      <c r="GS112" s="35"/>
      <c r="GT112" s="35"/>
      <c r="GU112" s="35"/>
      <c r="GV112" s="35"/>
      <c r="GW112" s="35"/>
      <c r="GX112" s="35"/>
      <c r="GY112" s="35"/>
      <c r="GZ112" s="35"/>
      <c r="HA112" s="84"/>
      <c r="HB112" s="84"/>
      <c r="HC112" s="84"/>
      <c r="HD112" s="84"/>
      <c r="HE112" s="84"/>
      <c r="HF112" s="84"/>
      <c r="HG112" s="84"/>
      <c r="HH112" s="84"/>
      <c r="HI112" s="84"/>
      <c r="HJ112" s="84"/>
      <c r="HK112" s="84"/>
      <c r="HL112" s="84"/>
      <c r="HM112" s="84"/>
      <c r="HN112" s="84"/>
      <c r="HO112" s="84"/>
      <c r="HP112" s="84"/>
      <c r="HQ112" s="84"/>
      <c r="HR112" s="84"/>
      <c r="HS112" s="84"/>
      <c r="HT112" s="84"/>
      <c r="HU112" s="84"/>
      <c r="HV112" s="84"/>
      <c r="HW112" s="84"/>
      <c r="HX112" s="84"/>
      <c r="HY112" s="84"/>
      <c r="HZ112" s="84"/>
      <c r="IA112" s="84"/>
      <c r="IB112" s="84"/>
      <c r="IC112" s="84"/>
      <c r="ID112" s="84"/>
      <c r="IE112" s="84"/>
      <c r="IF112" s="84"/>
      <c r="IG112" s="84"/>
      <c r="IH112" s="84"/>
      <c r="II112" s="84"/>
      <c r="IJ112" s="84"/>
      <c r="IK112" s="84"/>
      <c r="IL112" s="84"/>
      <c r="IM112" s="84"/>
      <c r="IN112" s="84"/>
      <c r="IO112" s="84"/>
      <c r="IP112" s="84"/>
      <c r="IQ112" s="84"/>
      <c r="IR112" s="84"/>
      <c r="IS112" s="84"/>
      <c r="IT112" s="84"/>
      <c r="IU112" s="84"/>
      <c r="IV112" s="84"/>
      <c r="IW112" s="84"/>
    </row>
    <row r="113" spans="2:257" s="28" customFormat="1" ht="14.4">
      <c r="B113" s="30">
        <f t="shared" si="150"/>
        <v>5.1799999999999962</v>
      </c>
      <c r="C113" s="38" t="s">
        <v>94</v>
      </c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  <c r="BM113" s="84"/>
      <c r="BN113" s="84"/>
      <c r="BO113" s="84"/>
      <c r="BP113" s="84"/>
      <c r="BQ113" s="84"/>
      <c r="BR113" s="84"/>
      <c r="BS113" s="84"/>
      <c r="BT113" s="84"/>
      <c r="BU113" s="84"/>
      <c r="BV113" s="84"/>
      <c r="BW113" s="84"/>
      <c r="BX113" s="84"/>
      <c r="BY113" s="84"/>
      <c r="BZ113" s="84"/>
      <c r="CA113" s="84"/>
      <c r="CB113" s="84"/>
      <c r="CC113" s="84"/>
      <c r="CD113" s="84"/>
      <c r="CE113" s="84"/>
      <c r="CF113" s="35"/>
      <c r="CG113" s="34"/>
      <c r="CH113" s="34"/>
      <c r="CI113" s="34"/>
      <c r="CJ113" s="34"/>
      <c r="CK113" s="34"/>
      <c r="CL113" s="34"/>
      <c r="CM113" s="34"/>
      <c r="CN113" s="34"/>
      <c r="CO113" s="35"/>
      <c r="CP113" s="35"/>
      <c r="CQ113" s="35"/>
      <c r="CR113" s="84"/>
      <c r="CS113" s="84"/>
      <c r="CT113" s="84"/>
      <c r="CU113" s="84"/>
      <c r="CV113" s="35"/>
      <c r="CW113" s="84"/>
      <c r="CX113" s="35"/>
      <c r="CY113" s="35"/>
      <c r="CZ113" s="35"/>
      <c r="DA113" s="35"/>
      <c r="DB113" s="35"/>
      <c r="DC113" s="84"/>
      <c r="DD113" s="35"/>
      <c r="DE113" s="35"/>
      <c r="DF113" s="35"/>
      <c r="DG113" s="35"/>
      <c r="DH113" s="35"/>
      <c r="DI113" s="84"/>
      <c r="DJ113" s="35"/>
      <c r="DK113" s="35"/>
      <c r="DL113" s="35"/>
      <c r="DM113" s="35"/>
      <c r="DN113" s="35"/>
      <c r="DO113" s="84"/>
      <c r="DP113" s="35"/>
      <c r="DQ113" s="35"/>
      <c r="DR113" s="35"/>
      <c r="DS113" s="35"/>
      <c r="DT113" s="35"/>
      <c r="DU113" s="84"/>
      <c r="DV113" s="35"/>
      <c r="DW113" s="35"/>
      <c r="DX113" s="35"/>
      <c r="DY113" s="35"/>
      <c r="DZ113" s="35"/>
      <c r="EA113" s="84"/>
      <c r="EB113" s="35"/>
      <c r="EC113" s="35"/>
      <c r="ED113" s="35"/>
      <c r="EE113" s="35"/>
      <c r="EF113" s="35"/>
      <c r="EG113" s="84"/>
      <c r="EH113" s="35"/>
      <c r="EI113" s="35"/>
      <c r="EJ113" s="35"/>
      <c r="EK113" s="35"/>
      <c r="EL113" s="35"/>
      <c r="EM113" s="84"/>
      <c r="EN113" s="84"/>
      <c r="EO113" s="84"/>
      <c r="EP113" s="84"/>
      <c r="EQ113" s="84"/>
      <c r="ER113" s="84"/>
      <c r="ES113" s="84"/>
      <c r="ET113" s="35"/>
      <c r="EU113" s="84"/>
      <c r="EV113" s="84"/>
      <c r="EW113" s="84"/>
      <c r="EX113" s="84"/>
      <c r="EY113" s="84"/>
      <c r="EZ113" s="84"/>
      <c r="FA113" s="84"/>
      <c r="FB113" s="84"/>
      <c r="FC113" s="84"/>
      <c r="FD113" s="84"/>
      <c r="FE113" s="84"/>
      <c r="FF113" s="35"/>
      <c r="FG113" s="35"/>
      <c r="FH113" s="35"/>
      <c r="FI113" s="84"/>
      <c r="FJ113" s="55" t="s">
        <v>187</v>
      </c>
      <c r="FK113" s="55" t="s">
        <v>187</v>
      </c>
      <c r="FL113" s="55" t="s">
        <v>30</v>
      </c>
      <c r="FM113" s="55" t="s">
        <v>31</v>
      </c>
      <c r="FN113" s="55" t="s">
        <v>32</v>
      </c>
      <c r="FO113" s="55" t="s">
        <v>32</v>
      </c>
      <c r="FP113" s="56" t="s">
        <v>188</v>
      </c>
      <c r="FQ113" s="56" t="s">
        <v>188</v>
      </c>
      <c r="FR113" s="56" t="s">
        <v>189</v>
      </c>
      <c r="FS113" s="84"/>
      <c r="FT113" s="84"/>
      <c r="FU113" s="56" t="s">
        <v>190</v>
      </c>
      <c r="FV113" s="56" t="s">
        <v>191</v>
      </c>
      <c r="FW113" s="56" t="s">
        <v>191</v>
      </c>
      <c r="FX113" s="57" t="s">
        <v>192</v>
      </c>
      <c r="FY113" s="57" t="s">
        <v>193</v>
      </c>
      <c r="FZ113" s="57" t="s">
        <v>194</v>
      </c>
      <c r="GA113" s="57" t="s">
        <v>194</v>
      </c>
      <c r="GB113" s="57" t="s">
        <v>195</v>
      </c>
      <c r="GC113" s="57" t="s">
        <v>195</v>
      </c>
      <c r="GD113" s="58" t="s">
        <v>196</v>
      </c>
      <c r="GE113" s="58" t="s">
        <v>197</v>
      </c>
      <c r="GF113" s="58" t="s">
        <v>198</v>
      </c>
      <c r="GG113" s="58" t="s">
        <v>198</v>
      </c>
      <c r="GH113" s="58" t="s">
        <v>199</v>
      </c>
      <c r="GI113" s="58" t="s">
        <v>199</v>
      </c>
      <c r="GJ113" s="42" t="s">
        <v>33</v>
      </c>
      <c r="GK113" s="42" t="s">
        <v>34</v>
      </c>
      <c r="GL113" s="42" t="s">
        <v>35</v>
      </c>
      <c r="GM113" s="42" t="s">
        <v>36</v>
      </c>
      <c r="GN113" s="42" t="s">
        <v>36</v>
      </c>
      <c r="GO113" s="59" t="s">
        <v>200</v>
      </c>
      <c r="GP113" s="59" t="s">
        <v>201</v>
      </c>
      <c r="GQ113" s="59" t="s">
        <v>202</v>
      </c>
      <c r="GR113" s="59" t="s">
        <v>202</v>
      </c>
      <c r="GS113" s="59" t="s">
        <v>203</v>
      </c>
      <c r="GT113" s="59" t="s">
        <v>203</v>
      </c>
      <c r="GU113" s="35"/>
      <c r="GV113" s="35"/>
      <c r="GW113" s="35"/>
      <c r="GX113" s="84"/>
      <c r="GY113" s="35"/>
      <c r="GZ113" s="35"/>
      <c r="HA113" s="84"/>
      <c r="HB113" s="84"/>
      <c r="HC113" s="84"/>
      <c r="HD113" s="84"/>
      <c r="HE113" s="84"/>
      <c r="HF113" s="84"/>
      <c r="HG113" s="84"/>
      <c r="HH113" s="84"/>
      <c r="HI113" s="84"/>
      <c r="HJ113" s="84"/>
      <c r="HK113" s="84"/>
      <c r="HL113" s="84"/>
      <c r="HM113" s="84"/>
      <c r="HN113" s="84"/>
      <c r="HO113" s="84"/>
      <c r="HP113" s="84"/>
      <c r="HQ113" s="84"/>
      <c r="HR113" s="84"/>
      <c r="HS113" s="84"/>
      <c r="HT113" s="84"/>
      <c r="HU113" s="84"/>
      <c r="HV113" s="84"/>
      <c r="HW113" s="84"/>
      <c r="HX113" s="84"/>
      <c r="HY113" s="84"/>
      <c r="HZ113" s="84"/>
      <c r="IA113" s="84"/>
      <c r="IB113" s="84"/>
      <c r="IC113" s="84"/>
      <c r="ID113" s="84"/>
      <c r="IE113" s="84"/>
      <c r="IF113" s="84"/>
      <c r="IG113" s="84"/>
      <c r="IH113" s="84"/>
      <c r="II113" s="84"/>
      <c r="IJ113" s="84"/>
      <c r="IK113" s="84"/>
      <c r="IL113" s="84"/>
      <c r="IM113" s="84"/>
      <c r="IN113" s="84"/>
      <c r="IO113" s="84"/>
      <c r="IP113" s="84"/>
      <c r="IQ113" s="84"/>
      <c r="IR113" s="84"/>
      <c r="IS113" s="84"/>
      <c r="IT113" s="84"/>
      <c r="IU113" s="84"/>
      <c r="IV113" s="84"/>
      <c r="IW113" s="84"/>
    </row>
    <row r="114" spans="2:257" s="28" customFormat="1" ht="14.4">
      <c r="B114" s="30">
        <f t="shared" si="150"/>
        <v>5.1899999999999959</v>
      </c>
      <c r="C114" s="43" t="s">
        <v>95</v>
      </c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  <c r="BM114" s="84"/>
      <c r="BN114" s="84"/>
      <c r="BO114" s="84"/>
      <c r="BP114" s="84"/>
      <c r="BQ114" s="84"/>
      <c r="BR114" s="84"/>
      <c r="BS114" s="84"/>
      <c r="BT114" s="84"/>
      <c r="BU114" s="84"/>
      <c r="BV114" s="84"/>
      <c r="BW114" s="84"/>
      <c r="BX114" s="84"/>
      <c r="BY114" s="84"/>
      <c r="BZ114" s="84"/>
      <c r="CA114" s="84"/>
      <c r="CB114" s="84"/>
      <c r="CC114" s="84"/>
      <c r="CD114" s="84"/>
      <c r="CE114" s="84"/>
      <c r="CF114" s="35"/>
      <c r="CG114" s="34"/>
      <c r="CH114" s="34"/>
      <c r="CI114" s="34"/>
      <c r="CJ114" s="34"/>
      <c r="CK114" s="34"/>
      <c r="CL114" s="34"/>
      <c r="CM114" s="34"/>
      <c r="CN114" s="34"/>
      <c r="CO114" s="35"/>
      <c r="CP114" s="35"/>
      <c r="CQ114" s="35"/>
      <c r="CR114" s="84"/>
      <c r="CS114" s="84"/>
      <c r="CT114" s="84"/>
      <c r="CU114" s="84"/>
      <c r="CV114" s="35"/>
      <c r="CW114" s="84"/>
      <c r="CX114" s="35"/>
      <c r="CY114" s="35"/>
      <c r="CZ114" s="35"/>
      <c r="DA114" s="35"/>
      <c r="DB114" s="35"/>
      <c r="DC114" s="84"/>
      <c r="DD114" s="35"/>
      <c r="DE114" s="35"/>
      <c r="DF114" s="35"/>
      <c r="DG114" s="35"/>
      <c r="DH114" s="35"/>
      <c r="DI114" s="84"/>
      <c r="DJ114" s="35"/>
      <c r="DK114" s="35"/>
      <c r="DL114" s="35"/>
      <c r="DM114" s="35"/>
      <c r="DN114" s="35"/>
      <c r="DO114" s="84"/>
      <c r="DP114" s="35"/>
      <c r="DQ114" s="35"/>
      <c r="DR114" s="35"/>
      <c r="DS114" s="35"/>
      <c r="DT114" s="35"/>
      <c r="DU114" s="84"/>
      <c r="DV114" s="35"/>
      <c r="DW114" s="35"/>
      <c r="DX114" s="35"/>
      <c r="DY114" s="35"/>
      <c r="DZ114" s="35"/>
      <c r="EA114" s="84"/>
      <c r="EB114" s="35"/>
      <c r="EC114" s="35"/>
      <c r="ED114" s="35"/>
      <c r="EE114" s="35"/>
      <c r="EF114" s="35"/>
      <c r="EG114" s="84"/>
      <c r="EH114" s="35"/>
      <c r="EI114" s="35"/>
      <c r="EJ114" s="35"/>
      <c r="EK114" s="35"/>
      <c r="EL114" s="35"/>
      <c r="EM114" s="84"/>
      <c r="EN114" s="84"/>
      <c r="EO114" s="84"/>
      <c r="EP114" s="84"/>
      <c r="EQ114" s="84"/>
      <c r="ER114" s="84"/>
      <c r="ES114" s="84"/>
      <c r="ET114" s="35"/>
      <c r="EU114" s="84"/>
      <c r="EV114" s="84"/>
      <c r="EW114" s="84"/>
      <c r="EX114" s="84"/>
      <c r="EY114" s="84"/>
      <c r="EZ114" s="84"/>
      <c r="FA114" s="84"/>
      <c r="FB114" s="84"/>
      <c r="FC114" s="84"/>
      <c r="FD114" s="84"/>
      <c r="FE114" s="84"/>
      <c r="FF114" s="35"/>
      <c r="FG114" s="35"/>
      <c r="FH114" s="35"/>
      <c r="FI114" s="35"/>
      <c r="FJ114" s="84"/>
      <c r="FK114" s="55"/>
      <c r="FL114" s="55" t="s">
        <v>187</v>
      </c>
      <c r="FM114" s="55" t="s">
        <v>30</v>
      </c>
      <c r="FN114" s="55" t="s">
        <v>31</v>
      </c>
      <c r="FO114" s="55" t="s">
        <v>31</v>
      </c>
      <c r="FP114" s="55" t="s">
        <v>32</v>
      </c>
      <c r="FQ114" s="55" t="s">
        <v>32</v>
      </c>
      <c r="FR114" s="56" t="s">
        <v>188</v>
      </c>
      <c r="FS114" s="84"/>
      <c r="FT114" s="84"/>
      <c r="FU114" s="56" t="s">
        <v>189</v>
      </c>
      <c r="FV114" s="56" t="s">
        <v>190</v>
      </c>
      <c r="FW114" s="56" t="s">
        <v>190</v>
      </c>
      <c r="FX114" s="56" t="s">
        <v>191</v>
      </c>
      <c r="FY114" s="57" t="s">
        <v>192</v>
      </c>
      <c r="FZ114" s="57" t="s">
        <v>193</v>
      </c>
      <c r="GA114" s="57" t="s">
        <v>193</v>
      </c>
      <c r="GB114" s="57" t="s">
        <v>194</v>
      </c>
      <c r="GC114" s="57" t="s">
        <v>194</v>
      </c>
      <c r="GD114" s="57" t="s">
        <v>195</v>
      </c>
      <c r="GE114" s="58" t="s">
        <v>196</v>
      </c>
      <c r="GF114" s="58" t="s">
        <v>197</v>
      </c>
      <c r="GG114" s="58" t="s">
        <v>197</v>
      </c>
      <c r="GH114" s="58" t="s">
        <v>198</v>
      </c>
      <c r="GI114" s="58" t="s">
        <v>198</v>
      </c>
      <c r="GJ114" s="58" t="s">
        <v>199</v>
      </c>
      <c r="GK114" s="42" t="s">
        <v>33</v>
      </c>
      <c r="GL114" s="42" t="s">
        <v>34</v>
      </c>
      <c r="GM114" s="42" t="s">
        <v>35</v>
      </c>
      <c r="GN114" s="42" t="s">
        <v>35</v>
      </c>
      <c r="GO114" s="42" t="s">
        <v>36</v>
      </c>
      <c r="GP114" s="59" t="s">
        <v>200</v>
      </c>
      <c r="GQ114" s="59" t="s">
        <v>201</v>
      </c>
      <c r="GR114" s="59" t="s">
        <v>201</v>
      </c>
      <c r="GS114" s="59" t="s">
        <v>202</v>
      </c>
      <c r="GT114" s="59" t="s">
        <v>202</v>
      </c>
      <c r="GU114" s="59" t="s">
        <v>203</v>
      </c>
      <c r="GV114" s="35"/>
      <c r="GW114" s="35"/>
      <c r="GX114" s="84"/>
      <c r="GY114" s="35"/>
      <c r="GZ114" s="35"/>
      <c r="HA114" s="35"/>
      <c r="HB114" s="84"/>
      <c r="HC114" s="84"/>
      <c r="HD114" s="84"/>
      <c r="HE114" s="84"/>
      <c r="HF114" s="84"/>
      <c r="HG114" s="84"/>
      <c r="HH114" s="84"/>
      <c r="HI114" s="84"/>
      <c r="HJ114" s="84"/>
      <c r="HK114" s="84"/>
      <c r="HL114" s="84"/>
      <c r="HM114" s="84"/>
      <c r="HN114" s="84"/>
      <c r="HO114" s="84"/>
      <c r="HP114" s="84"/>
      <c r="HQ114" s="84"/>
      <c r="HR114" s="84"/>
      <c r="HS114" s="84"/>
      <c r="HT114" s="84"/>
      <c r="HU114" s="84"/>
      <c r="HV114" s="84"/>
      <c r="HW114" s="84"/>
      <c r="HX114" s="84"/>
      <c r="HY114" s="84"/>
      <c r="HZ114" s="84"/>
      <c r="IA114" s="84"/>
      <c r="IB114" s="84"/>
      <c r="IC114" s="84"/>
      <c r="ID114" s="84"/>
      <c r="IE114" s="84"/>
      <c r="IF114" s="84"/>
      <c r="IG114" s="84"/>
      <c r="IH114" s="84"/>
      <c r="II114" s="84"/>
      <c r="IJ114" s="84"/>
      <c r="IK114" s="84"/>
      <c r="IL114" s="84"/>
      <c r="IM114" s="84"/>
      <c r="IN114" s="84"/>
      <c r="IO114" s="84"/>
      <c r="IP114" s="84"/>
      <c r="IQ114" s="84"/>
      <c r="IR114" s="84"/>
      <c r="IS114" s="84"/>
      <c r="IT114" s="84"/>
      <c r="IU114" s="84"/>
      <c r="IV114" s="84"/>
      <c r="IW114" s="84"/>
    </row>
    <row r="115" spans="2:257" s="28" customFormat="1" ht="14.4">
      <c r="B115" s="30">
        <f t="shared" si="150"/>
        <v>5.1999999999999957</v>
      </c>
      <c r="C115" s="44" t="s">
        <v>96</v>
      </c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84"/>
      <c r="BD115" s="84"/>
      <c r="BE115" s="84"/>
      <c r="BF115" s="84"/>
      <c r="BG115" s="84"/>
      <c r="BH115" s="84"/>
      <c r="BI115" s="84"/>
      <c r="BJ115" s="84"/>
      <c r="BK115" s="84"/>
      <c r="BL115" s="84"/>
      <c r="BM115" s="84"/>
      <c r="BN115" s="84"/>
      <c r="BO115" s="84"/>
      <c r="BP115" s="84"/>
      <c r="BQ115" s="84"/>
      <c r="BR115" s="84"/>
      <c r="BS115" s="84"/>
      <c r="BT115" s="84"/>
      <c r="BU115" s="84"/>
      <c r="BV115" s="84"/>
      <c r="BW115" s="84"/>
      <c r="BX115" s="84"/>
      <c r="BY115" s="84"/>
      <c r="BZ115" s="84"/>
      <c r="CA115" s="84"/>
      <c r="CB115" s="84"/>
      <c r="CC115" s="84"/>
      <c r="CD115" s="84"/>
      <c r="CE115" s="84"/>
      <c r="CF115" s="35"/>
      <c r="CG115" s="34"/>
      <c r="CH115" s="34"/>
      <c r="CI115" s="34"/>
      <c r="CJ115" s="34"/>
      <c r="CK115" s="34"/>
      <c r="CL115" s="34"/>
      <c r="CM115" s="34"/>
      <c r="CN115" s="34"/>
      <c r="CO115" s="35"/>
      <c r="CP115" s="35"/>
      <c r="CQ115" s="35"/>
      <c r="CR115" s="84"/>
      <c r="CS115" s="84"/>
      <c r="CT115" s="84"/>
      <c r="CU115" s="84"/>
      <c r="CV115" s="35"/>
      <c r="CW115" s="84"/>
      <c r="CX115" s="35"/>
      <c r="CY115" s="35"/>
      <c r="CZ115" s="35"/>
      <c r="DA115" s="35"/>
      <c r="DB115" s="35"/>
      <c r="DC115" s="84"/>
      <c r="DD115" s="35"/>
      <c r="DE115" s="35"/>
      <c r="DF115" s="35"/>
      <c r="DG115" s="35"/>
      <c r="DH115" s="35"/>
      <c r="DI115" s="84"/>
      <c r="DJ115" s="35"/>
      <c r="DK115" s="35"/>
      <c r="DL115" s="35"/>
      <c r="DM115" s="35"/>
      <c r="DN115" s="35"/>
      <c r="DO115" s="84"/>
      <c r="DP115" s="35"/>
      <c r="DQ115" s="35"/>
      <c r="DR115" s="35"/>
      <c r="DS115" s="35"/>
      <c r="DT115" s="35"/>
      <c r="DU115" s="84"/>
      <c r="DV115" s="35"/>
      <c r="DW115" s="35"/>
      <c r="DX115" s="35"/>
      <c r="DY115" s="35"/>
      <c r="DZ115" s="35"/>
      <c r="EA115" s="84"/>
      <c r="EB115" s="35"/>
      <c r="EC115" s="35"/>
      <c r="ED115" s="35"/>
      <c r="EE115" s="35"/>
      <c r="EF115" s="35"/>
      <c r="EG115" s="84"/>
      <c r="EH115" s="35"/>
      <c r="EI115" s="35"/>
      <c r="EJ115" s="35"/>
      <c r="EK115" s="35"/>
      <c r="EL115" s="35"/>
      <c r="EM115" s="84"/>
      <c r="EN115" s="35"/>
      <c r="EO115" s="35"/>
      <c r="EP115" s="35"/>
      <c r="EQ115" s="35"/>
      <c r="ER115" s="35"/>
      <c r="ES115" s="35"/>
      <c r="ET115" s="35"/>
      <c r="EU115" s="84"/>
      <c r="EV115" s="84"/>
      <c r="EW115" s="84"/>
      <c r="EX115" s="84"/>
      <c r="EY115" s="84"/>
      <c r="EZ115" s="84"/>
      <c r="FA115" s="84"/>
      <c r="FB115" s="84"/>
      <c r="FC115" s="84"/>
      <c r="FD115" s="84"/>
      <c r="FE115" s="84"/>
      <c r="FF115" s="84"/>
      <c r="FG115" s="84"/>
      <c r="FH115" s="84"/>
      <c r="FI115" s="84"/>
      <c r="FJ115" s="84"/>
      <c r="FK115" s="84"/>
      <c r="FL115" s="84"/>
      <c r="FM115" s="55" t="s">
        <v>187</v>
      </c>
      <c r="FN115" s="55" t="s">
        <v>30</v>
      </c>
      <c r="FO115" s="55" t="s">
        <v>30</v>
      </c>
      <c r="FP115" s="55" t="s">
        <v>31</v>
      </c>
      <c r="FQ115" s="55" t="s">
        <v>31</v>
      </c>
      <c r="FR115" s="55" t="s">
        <v>32</v>
      </c>
      <c r="FS115" s="84"/>
      <c r="FT115" s="84"/>
      <c r="FU115" s="56" t="s">
        <v>188</v>
      </c>
      <c r="FV115" s="56" t="s">
        <v>189</v>
      </c>
      <c r="FW115" s="56" t="s">
        <v>189</v>
      </c>
      <c r="FX115" s="56" t="s">
        <v>190</v>
      </c>
      <c r="FY115" s="56" t="s">
        <v>191</v>
      </c>
      <c r="FZ115" s="57" t="s">
        <v>192</v>
      </c>
      <c r="GA115" s="57" t="s">
        <v>192</v>
      </c>
      <c r="GB115" s="57" t="s">
        <v>193</v>
      </c>
      <c r="GC115" s="57" t="s">
        <v>193</v>
      </c>
      <c r="GD115" s="57" t="s">
        <v>194</v>
      </c>
      <c r="GE115" s="57" t="s">
        <v>195</v>
      </c>
      <c r="GF115" s="58" t="s">
        <v>196</v>
      </c>
      <c r="GG115" s="58" t="s">
        <v>196</v>
      </c>
      <c r="GH115" s="58" t="s">
        <v>197</v>
      </c>
      <c r="GI115" s="58" t="s">
        <v>197</v>
      </c>
      <c r="GJ115" s="58" t="s">
        <v>198</v>
      </c>
      <c r="GK115" s="58" t="s">
        <v>199</v>
      </c>
      <c r="GL115" s="42" t="s">
        <v>33</v>
      </c>
      <c r="GM115" s="42" t="s">
        <v>34</v>
      </c>
      <c r="GN115" s="42" t="s">
        <v>34</v>
      </c>
      <c r="GO115" s="42" t="s">
        <v>35</v>
      </c>
      <c r="GP115" s="42" t="s">
        <v>36</v>
      </c>
      <c r="GQ115" s="59" t="s">
        <v>200</v>
      </c>
      <c r="GR115" s="59" t="s">
        <v>200</v>
      </c>
      <c r="GS115" s="59" t="s">
        <v>201</v>
      </c>
      <c r="GT115" s="59" t="s">
        <v>201</v>
      </c>
      <c r="GU115" s="59" t="s">
        <v>202</v>
      </c>
      <c r="GV115" s="59" t="s">
        <v>203</v>
      </c>
      <c r="GW115" s="35"/>
      <c r="GX115" s="84"/>
      <c r="GY115" s="35"/>
      <c r="GZ115" s="35"/>
      <c r="HA115" s="35"/>
      <c r="HB115" s="84"/>
      <c r="HC115" s="84"/>
      <c r="HD115" s="84"/>
      <c r="HE115" s="84"/>
      <c r="HF115" s="84"/>
      <c r="HG115" s="84"/>
      <c r="HH115" s="84"/>
      <c r="HI115" s="84"/>
      <c r="HJ115" s="84"/>
      <c r="HK115" s="84"/>
      <c r="HL115" s="84"/>
      <c r="HM115" s="84"/>
      <c r="HN115" s="84"/>
      <c r="HO115" s="84"/>
      <c r="HP115" s="84"/>
      <c r="HQ115" s="84"/>
      <c r="HR115" s="84"/>
      <c r="HS115" s="84"/>
      <c r="HT115" s="84"/>
      <c r="HU115" s="84"/>
      <c r="HV115" s="84"/>
      <c r="HW115" s="84"/>
      <c r="HX115" s="84"/>
      <c r="HY115" s="84"/>
      <c r="HZ115" s="84"/>
      <c r="IA115" s="84"/>
      <c r="IB115" s="84"/>
      <c r="IC115" s="84"/>
      <c r="ID115" s="84"/>
      <c r="IE115" s="84"/>
      <c r="IF115" s="84"/>
      <c r="IG115" s="84"/>
      <c r="IH115" s="84"/>
      <c r="II115" s="84"/>
      <c r="IJ115" s="84"/>
      <c r="IK115" s="84"/>
      <c r="IL115" s="84"/>
      <c r="IM115" s="84"/>
      <c r="IN115" s="84"/>
      <c r="IO115" s="84"/>
      <c r="IP115" s="84"/>
      <c r="IQ115" s="84"/>
      <c r="IR115" s="84"/>
      <c r="IS115" s="84"/>
      <c r="IT115" s="84"/>
      <c r="IU115" s="84"/>
      <c r="IV115" s="84"/>
      <c r="IW115" s="84"/>
    </row>
    <row r="116" spans="2:257" s="28" customFormat="1" ht="14.4">
      <c r="B116" s="30">
        <f t="shared" si="150"/>
        <v>5.2099999999999955</v>
      </c>
      <c r="C116" s="44" t="s">
        <v>97</v>
      </c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84"/>
      <c r="BD116" s="84"/>
      <c r="BE116" s="84"/>
      <c r="BF116" s="84"/>
      <c r="BG116" s="84"/>
      <c r="BH116" s="84"/>
      <c r="BI116" s="84"/>
      <c r="BJ116" s="84"/>
      <c r="BK116" s="84"/>
      <c r="BL116" s="84"/>
      <c r="BM116" s="84"/>
      <c r="BN116" s="84"/>
      <c r="BO116" s="84"/>
      <c r="BP116" s="84"/>
      <c r="BQ116" s="84"/>
      <c r="BR116" s="84"/>
      <c r="BS116" s="84"/>
      <c r="BT116" s="84"/>
      <c r="BU116" s="84"/>
      <c r="BV116" s="84"/>
      <c r="BW116" s="84"/>
      <c r="BX116" s="84"/>
      <c r="BY116" s="84"/>
      <c r="BZ116" s="84"/>
      <c r="CA116" s="84"/>
      <c r="CB116" s="84"/>
      <c r="CC116" s="84"/>
      <c r="CD116" s="84"/>
      <c r="CE116" s="84"/>
      <c r="CF116" s="35"/>
      <c r="CG116" s="34"/>
      <c r="CH116" s="34"/>
      <c r="CI116" s="34"/>
      <c r="CJ116" s="34"/>
      <c r="CK116" s="34"/>
      <c r="CL116" s="34"/>
      <c r="CM116" s="34"/>
      <c r="CN116" s="34"/>
      <c r="CO116" s="35"/>
      <c r="CP116" s="35"/>
      <c r="CQ116" s="35"/>
      <c r="CR116" s="84"/>
      <c r="CS116" s="84"/>
      <c r="CT116" s="84"/>
      <c r="CU116" s="84"/>
      <c r="CV116" s="35"/>
      <c r="CW116" s="84"/>
      <c r="CX116" s="35"/>
      <c r="CY116" s="35"/>
      <c r="CZ116" s="35"/>
      <c r="DA116" s="35"/>
      <c r="DB116" s="35"/>
      <c r="DC116" s="84"/>
      <c r="DD116" s="35"/>
      <c r="DE116" s="35"/>
      <c r="DF116" s="35"/>
      <c r="DG116" s="35"/>
      <c r="DH116" s="35"/>
      <c r="DI116" s="84"/>
      <c r="DJ116" s="35"/>
      <c r="DK116" s="35"/>
      <c r="DL116" s="35"/>
      <c r="DM116" s="35"/>
      <c r="DN116" s="35"/>
      <c r="DO116" s="84"/>
      <c r="DP116" s="35"/>
      <c r="DQ116" s="35"/>
      <c r="DR116" s="35"/>
      <c r="DS116" s="35"/>
      <c r="DT116" s="35"/>
      <c r="DU116" s="84"/>
      <c r="DV116" s="35"/>
      <c r="DW116" s="35"/>
      <c r="DX116" s="35"/>
      <c r="DY116" s="35"/>
      <c r="DZ116" s="35"/>
      <c r="EA116" s="84"/>
      <c r="EB116" s="35"/>
      <c r="EC116" s="35"/>
      <c r="ED116" s="35"/>
      <c r="EE116" s="35"/>
      <c r="EF116" s="35"/>
      <c r="EG116" s="84"/>
      <c r="EH116" s="35"/>
      <c r="EI116" s="35"/>
      <c r="EJ116" s="35"/>
      <c r="EK116" s="35"/>
      <c r="EL116" s="35"/>
      <c r="EM116" s="84"/>
      <c r="EN116" s="35"/>
      <c r="EO116" s="35"/>
      <c r="EP116" s="35"/>
      <c r="EQ116" s="35"/>
      <c r="ER116" s="35"/>
      <c r="ES116" s="84"/>
      <c r="ET116" s="35"/>
      <c r="EU116" s="84"/>
      <c r="EV116" s="84"/>
      <c r="EW116" s="84"/>
      <c r="EX116" s="84"/>
      <c r="EY116" s="84"/>
      <c r="EZ116" s="84"/>
      <c r="FA116" s="84"/>
      <c r="FB116" s="84"/>
      <c r="FC116" s="84"/>
      <c r="FD116" s="84"/>
      <c r="FE116" s="84"/>
      <c r="FF116" s="84"/>
      <c r="FG116" s="84"/>
      <c r="FH116" s="84"/>
      <c r="FI116" s="84"/>
      <c r="FJ116" s="84"/>
      <c r="FK116" s="84"/>
      <c r="FL116" s="84"/>
      <c r="FM116" s="35"/>
      <c r="FN116" s="55" t="s">
        <v>187</v>
      </c>
      <c r="FO116" s="55" t="s">
        <v>187</v>
      </c>
      <c r="FP116" s="55" t="s">
        <v>30</v>
      </c>
      <c r="FQ116" s="55" t="s">
        <v>30</v>
      </c>
      <c r="FR116" s="55" t="s">
        <v>31</v>
      </c>
      <c r="FS116" s="84"/>
      <c r="FT116" s="84"/>
      <c r="FU116" s="55" t="s">
        <v>32</v>
      </c>
      <c r="FV116" s="56" t="s">
        <v>188</v>
      </c>
      <c r="FW116" s="56" t="s">
        <v>188</v>
      </c>
      <c r="FX116" s="56" t="s">
        <v>189</v>
      </c>
      <c r="FY116" s="56" t="s">
        <v>190</v>
      </c>
      <c r="FZ116" s="56" t="s">
        <v>191</v>
      </c>
      <c r="GA116" s="56" t="s">
        <v>191</v>
      </c>
      <c r="GB116" s="57" t="s">
        <v>192</v>
      </c>
      <c r="GC116" s="57" t="s">
        <v>192</v>
      </c>
      <c r="GD116" s="57" t="s">
        <v>193</v>
      </c>
      <c r="GE116" s="57" t="s">
        <v>194</v>
      </c>
      <c r="GF116" s="57" t="s">
        <v>195</v>
      </c>
      <c r="GG116" s="57" t="s">
        <v>195</v>
      </c>
      <c r="GH116" s="58" t="s">
        <v>196</v>
      </c>
      <c r="GI116" s="58" t="s">
        <v>196</v>
      </c>
      <c r="GJ116" s="58" t="s">
        <v>197</v>
      </c>
      <c r="GK116" s="58" t="s">
        <v>198</v>
      </c>
      <c r="GL116" s="58" t="s">
        <v>199</v>
      </c>
      <c r="GM116" s="42" t="s">
        <v>33</v>
      </c>
      <c r="GN116" s="42" t="s">
        <v>33</v>
      </c>
      <c r="GO116" s="42" t="s">
        <v>34</v>
      </c>
      <c r="GP116" s="42" t="s">
        <v>35</v>
      </c>
      <c r="GQ116" s="42" t="s">
        <v>36</v>
      </c>
      <c r="GR116" s="42" t="s">
        <v>36</v>
      </c>
      <c r="GS116" s="59" t="s">
        <v>200</v>
      </c>
      <c r="GT116" s="59" t="s">
        <v>200</v>
      </c>
      <c r="GU116" s="59" t="s">
        <v>201</v>
      </c>
      <c r="GV116" s="59" t="s">
        <v>202</v>
      </c>
      <c r="GW116" s="59" t="s">
        <v>203</v>
      </c>
      <c r="GX116" s="59"/>
      <c r="GY116" s="35"/>
      <c r="GZ116" s="35"/>
      <c r="HA116" s="35"/>
      <c r="HB116" s="84"/>
      <c r="HC116" s="84"/>
      <c r="HD116" s="84"/>
      <c r="HE116" s="84"/>
      <c r="HF116" s="84"/>
      <c r="HG116" s="84"/>
      <c r="HH116" s="84"/>
      <c r="HI116" s="84"/>
      <c r="HJ116" s="84"/>
      <c r="HK116" s="84"/>
      <c r="HL116" s="84"/>
      <c r="HM116" s="84"/>
      <c r="HN116" s="84"/>
      <c r="HO116" s="84"/>
      <c r="HP116" s="84"/>
      <c r="HQ116" s="84"/>
      <c r="HR116" s="84"/>
      <c r="HS116" s="84"/>
      <c r="HT116" s="84"/>
      <c r="HU116" s="84"/>
      <c r="HV116" s="84"/>
      <c r="HW116" s="84"/>
      <c r="HX116" s="84"/>
      <c r="HY116" s="84"/>
      <c r="HZ116" s="84"/>
      <c r="IA116" s="84"/>
      <c r="IB116" s="84"/>
      <c r="IC116" s="84"/>
      <c r="ID116" s="84"/>
      <c r="IE116" s="84"/>
      <c r="IF116" s="84"/>
      <c r="IG116" s="84"/>
      <c r="IH116" s="84"/>
      <c r="II116" s="84"/>
      <c r="IJ116" s="84"/>
      <c r="IK116" s="84"/>
      <c r="IL116" s="84"/>
      <c r="IM116" s="84"/>
      <c r="IN116" s="84"/>
      <c r="IO116" s="84"/>
      <c r="IP116" s="84"/>
      <c r="IQ116" s="84"/>
      <c r="IR116" s="84"/>
      <c r="IS116" s="84"/>
      <c r="IT116" s="84"/>
      <c r="IU116" s="84"/>
      <c r="IV116" s="84"/>
      <c r="IW116" s="84"/>
    </row>
    <row r="117" spans="2:257" s="28" customFormat="1" ht="14.4">
      <c r="B117" s="30">
        <f t="shared" si="150"/>
        <v>5.2199999999999953</v>
      </c>
      <c r="C117" s="44" t="s">
        <v>98</v>
      </c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84"/>
      <c r="BD117" s="84"/>
      <c r="BE117" s="84"/>
      <c r="BF117" s="84"/>
      <c r="BG117" s="84"/>
      <c r="BH117" s="84"/>
      <c r="BI117" s="84"/>
      <c r="BJ117" s="84"/>
      <c r="BK117" s="84"/>
      <c r="BL117" s="84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84"/>
      <c r="CC117" s="84"/>
      <c r="CD117" s="84"/>
      <c r="CE117" s="84"/>
      <c r="CF117" s="35"/>
      <c r="CG117" s="34"/>
      <c r="CH117" s="34"/>
      <c r="CI117" s="34"/>
      <c r="CJ117" s="34"/>
      <c r="CK117" s="34"/>
      <c r="CL117" s="34"/>
      <c r="CM117" s="34"/>
      <c r="CN117" s="34"/>
      <c r="CO117" s="35"/>
      <c r="CP117" s="35"/>
      <c r="CQ117" s="35"/>
      <c r="CR117" s="84"/>
      <c r="CS117" s="84"/>
      <c r="CT117" s="84"/>
      <c r="CU117" s="84"/>
      <c r="CV117" s="35"/>
      <c r="CW117" s="84"/>
      <c r="CX117" s="35"/>
      <c r="CY117" s="35"/>
      <c r="CZ117" s="35"/>
      <c r="DA117" s="35"/>
      <c r="DB117" s="35"/>
      <c r="DC117" s="84"/>
      <c r="DD117" s="35"/>
      <c r="DE117" s="35"/>
      <c r="DF117" s="35"/>
      <c r="DG117" s="35"/>
      <c r="DH117" s="35"/>
      <c r="DI117" s="84"/>
      <c r="DJ117" s="35"/>
      <c r="DK117" s="35"/>
      <c r="DL117" s="35"/>
      <c r="DM117" s="35"/>
      <c r="DN117" s="35"/>
      <c r="DO117" s="84"/>
      <c r="DP117" s="35"/>
      <c r="DQ117" s="35"/>
      <c r="DR117" s="35"/>
      <c r="DS117" s="35"/>
      <c r="DT117" s="35"/>
      <c r="DU117" s="84"/>
      <c r="DV117" s="35"/>
      <c r="DW117" s="35"/>
      <c r="DX117" s="35"/>
      <c r="DY117" s="35"/>
      <c r="DZ117" s="35"/>
      <c r="EA117" s="84"/>
      <c r="EB117" s="35"/>
      <c r="EC117" s="35"/>
      <c r="ED117" s="35"/>
      <c r="EE117" s="35"/>
      <c r="EF117" s="35"/>
      <c r="EG117" s="84"/>
      <c r="EH117" s="35"/>
      <c r="EI117" s="35"/>
      <c r="EJ117" s="35"/>
      <c r="EK117" s="35"/>
      <c r="EL117" s="35"/>
      <c r="EM117" s="84"/>
      <c r="EN117" s="35"/>
      <c r="EO117" s="35"/>
      <c r="EP117" s="35"/>
      <c r="EQ117" s="35"/>
      <c r="ER117" s="35"/>
      <c r="ES117" s="84"/>
      <c r="ET117" s="35"/>
      <c r="EU117" s="84"/>
      <c r="EV117" s="84"/>
      <c r="EW117" s="84"/>
      <c r="EX117" s="84"/>
      <c r="EY117" s="84"/>
      <c r="EZ117" s="84"/>
      <c r="FA117" s="84"/>
      <c r="FB117" s="84"/>
      <c r="FC117" s="84"/>
      <c r="FD117" s="84"/>
      <c r="FE117" s="84"/>
      <c r="FF117" s="84"/>
      <c r="FG117" s="84"/>
      <c r="FH117" s="84"/>
      <c r="FI117" s="84"/>
      <c r="FJ117" s="84"/>
      <c r="FK117" s="84"/>
      <c r="FL117" s="84"/>
      <c r="FM117" s="35"/>
      <c r="FN117" s="35"/>
      <c r="FO117" s="84"/>
      <c r="FP117" s="55" t="s">
        <v>187</v>
      </c>
      <c r="FQ117" s="55" t="s">
        <v>187</v>
      </c>
      <c r="FR117" s="55" t="s">
        <v>30</v>
      </c>
      <c r="FS117" s="84"/>
      <c r="FT117" s="84"/>
      <c r="FU117" s="55" t="s">
        <v>31</v>
      </c>
      <c r="FV117" s="55" t="s">
        <v>32</v>
      </c>
      <c r="FW117" s="55" t="s">
        <v>32</v>
      </c>
      <c r="FX117" s="56" t="s">
        <v>188</v>
      </c>
      <c r="FY117" s="56" t="s">
        <v>189</v>
      </c>
      <c r="FZ117" s="56" t="s">
        <v>190</v>
      </c>
      <c r="GA117" s="56" t="s">
        <v>190</v>
      </c>
      <c r="GB117" s="56" t="s">
        <v>191</v>
      </c>
      <c r="GC117" s="56" t="s">
        <v>191</v>
      </c>
      <c r="GD117" s="57" t="s">
        <v>192</v>
      </c>
      <c r="GE117" s="57" t="s">
        <v>193</v>
      </c>
      <c r="GF117" s="57" t="s">
        <v>194</v>
      </c>
      <c r="GG117" s="57" t="s">
        <v>194</v>
      </c>
      <c r="GH117" s="57" t="s">
        <v>195</v>
      </c>
      <c r="GI117" s="57" t="s">
        <v>195</v>
      </c>
      <c r="GJ117" s="58" t="s">
        <v>196</v>
      </c>
      <c r="GK117" s="58" t="s">
        <v>197</v>
      </c>
      <c r="GL117" s="58" t="s">
        <v>198</v>
      </c>
      <c r="GM117" s="58" t="s">
        <v>199</v>
      </c>
      <c r="GN117" s="58" t="s">
        <v>199</v>
      </c>
      <c r="GO117" s="42" t="s">
        <v>33</v>
      </c>
      <c r="GP117" s="42" t="s">
        <v>34</v>
      </c>
      <c r="GQ117" s="42" t="s">
        <v>35</v>
      </c>
      <c r="GR117" s="42" t="s">
        <v>35</v>
      </c>
      <c r="GS117" s="42" t="s">
        <v>36</v>
      </c>
      <c r="GT117" s="42" t="s">
        <v>36</v>
      </c>
      <c r="GU117" s="59" t="s">
        <v>200</v>
      </c>
      <c r="GV117" s="59" t="s">
        <v>201</v>
      </c>
      <c r="GW117" s="59" t="s">
        <v>202</v>
      </c>
      <c r="GX117" s="59" t="s">
        <v>203</v>
      </c>
      <c r="GY117" s="59" t="s">
        <v>203</v>
      </c>
      <c r="GZ117" s="35"/>
      <c r="HA117" s="84"/>
      <c r="HB117" s="84"/>
      <c r="HC117" s="84"/>
      <c r="HD117" s="84"/>
      <c r="HE117" s="84"/>
      <c r="HF117" s="84"/>
      <c r="HG117" s="84"/>
      <c r="HH117" s="84"/>
      <c r="HI117" s="84"/>
      <c r="HJ117" s="84"/>
      <c r="HK117" s="84"/>
      <c r="HL117" s="84"/>
      <c r="HM117" s="84"/>
      <c r="HN117" s="84"/>
      <c r="HO117" s="84"/>
      <c r="HP117" s="84"/>
      <c r="HQ117" s="84"/>
      <c r="HR117" s="84"/>
      <c r="HS117" s="84"/>
      <c r="HT117" s="84"/>
      <c r="HU117" s="84"/>
      <c r="HV117" s="84"/>
      <c r="HW117" s="84"/>
      <c r="HX117" s="84"/>
      <c r="HY117" s="84"/>
      <c r="HZ117" s="84"/>
      <c r="IA117" s="84"/>
      <c r="IB117" s="84"/>
      <c r="IC117" s="84"/>
      <c r="ID117" s="84"/>
      <c r="IE117" s="84"/>
      <c r="IF117" s="84"/>
      <c r="IG117" s="84"/>
      <c r="IH117" s="84"/>
      <c r="II117" s="84"/>
      <c r="IJ117" s="84"/>
      <c r="IK117" s="84"/>
      <c r="IL117" s="84"/>
      <c r="IM117" s="84"/>
      <c r="IN117" s="84"/>
      <c r="IO117" s="84"/>
      <c r="IP117" s="84"/>
      <c r="IQ117" s="84"/>
      <c r="IR117" s="84"/>
      <c r="IS117" s="84"/>
      <c r="IT117" s="84"/>
      <c r="IU117" s="84"/>
      <c r="IV117" s="84"/>
      <c r="IW117" s="84"/>
    </row>
    <row r="118" spans="2:257" s="28" customFormat="1" ht="14.4">
      <c r="B118" s="30">
        <f t="shared" si="150"/>
        <v>5.2299999999999951</v>
      </c>
      <c r="C118" s="38" t="s">
        <v>99</v>
      </c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84"/>
      <c r="BD118" s="84"/>
      <c r="BE118" s="84"/>
      <c r="BF118" s="84"/>
      <c r="BG118" s="84"/>
      <c r="BH118" s="84"/>
      <c r="BI118" s="84"/>
      <c r="BJ118" s="84"/>
      <c r="BK118" s="84"/>
      <c r="BL118" s="84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B118" s="84"/>
      <c r="CC118" s="84"/>
      <c r="CD118" s="84"/>
      <c r="CE118" s="84"/>
      <c r="CF118" s="35"/>
      <c r="CG118" s="34"/>
      <c r="CH118" s="34"/>
      <c r="CI118" s="34"/>
      <c r="CJ118" s="34"/>
      <c r="CK118" s="34"/>
      <c r="CL118" s="34"/>
      <c r="CM118" s="34"/>
      <c r="CN118" s="34"/>
      <c r="CO118" s="35"/>
      <c r="CP118" s="35"/>
      <c r="CQ118" s="35"/>
      <c r="CR118" s="84"/>
      <c r="CS118" s="84"/>
      <c r="CT118" s="84"/>
      <c r="CU118" s="84"/>
      <c r="CV118" s="35"/>
      <c r="CW118" s="84"/>
      <c r="CX118" s="35"/>
      <c r="CY118" s="35"/>
      <c r="CZ118" s="35"/>
      <c r="DA118" s="35"/>
      <c r="DB118" s="35"/>
      <c r="DC118" s="84"/>
      <c r="DD118" s="35"/>
      <c r="DE118" s="35"/>
      <c r="DF118" s="35"/>
      <c r="DG118" s="35"/>
      <c r="DH118" s="35"/>
      <c r="DI118" s="84"/>
      <c r="DJ118" s="35"/>
      <c r="DK118" s="35"/>
      <c r="DL118" s="35"/>
      <c r="DM118" s="35"/>
      <c r="DN118" s="35"/>
      <c r="DO118" s="84"/>
      <c r="DP118" s="35"/>
      <c r="DQ118" s="35"/>
      <c r="DR118" s="35"/>
      <c r="DS118" s="35"/>
      <c r="DT118" s="35"/>
      <c r="DU118" s="84"/>
      <c r="DV118" s="35"/>
      <c r="DW118" s="35"/>
      <c r="DX118" s="35"/>
      <c r="DY118" s="35"/>
      <c r="DZ118" s="35"/>
      <c r="EA118" s="84"/>
      <c r="EB118" s="35"/>
      <c r="EC118" s="35"/>
      <c r="ED118" s="35"/>
      <c r="EE118" s="35"/>
      <c r="EF118" s="35"/>
      <c r="EG118" s="84"/>
      <c r="EH118" s="35"/>
      <c r="EI118" s="35"/>
      <c r="EJ118" s="35"/>
      <c r="EK118" s="35"/>
      <c r="EL118" s="35"/>
      <c r="EM118" s="84"/>
      <c r="EN118" s="35"/>
      <c r="EO118" s="35"/>
      <c r="EP118" s="35"/>
      <c r="EQ118" s="35"/>
      <c r="ER118" s="35"/>
      <c r="ES118" s="84"/>
      <c r="ET118" s="35"/>
      <c r="EU118" s="84"/>
      <c r="EV118" s="84"/>
      <c r="EW118" s="84"/>
      <c r="EX118" s="84"/>
      <c r="EY118" s="84"/>
      <c r="EZ118" s="84"/>
      <c r="FA118" s="84"/>
      <c r="FB118" s="84"/>
      <c r="FC118" s="84"/>
      <c r="FD118" s="84"/>
      <c r="FE118" s="84"/>
      <c r="FF118" s="84"/>
      <c r="FG118" s="84"/>
      <c r="FH118" s="84"/>
      <c r="FI118" s="84"/>
      <c r="FJ118" s="84"/>
      <c r="FK118" s="84"/>
      <c r="FL118" s="84"/>
      <c r="FM118" s="35"/>
      <c r="FN118" s="35"/>
      <c r="FO118" s="35"/>
      <c r="FP118" s="84"/>
      <c r="FQ118" s="55"/>
      <c r="FR118" s="55" t="s">
        <v>187</v>
      </c>
      <c r="FS118" s="84"/>
      <c r="FT118" s="84"/>
      <c r="FU118" s="55" t="s">
        <v>30</v>
      </c>
      <c r="FV118" s="55" t="s">
        <v>31</v>
      </c>
      <c r="FW118" s="55" t="s">
        <v>31</v>
      </c>
      <c r="FX118" s="55" t="s">
        <v>32</v>
      </c>
      <c r="FY118" s="56" t="s">
        <v>188</v>
      </c>
      <c r="FZ118" s="56" t="s">
        <v>189</v>
      </c>
      <c r="GA118" s="56" t="s">
        <v>189</v>
      </c>
      <c r="GB118" s="56" t="s">
        <v>190</v>
      </c>
      <c r="GC118" s="56" t="s">
        <v>190</v>
      </c>
      <c r="GD118" s="56" t="s">
        <v>191</v>
      </c>
      <c r="GE118" s="57" t="s">
        <v>192</v>
      </c>
      <c r="GF118" s="57" t="s">
        <v>193</v>
      </c>
      <c r="GG118" s="57" t="s">
        <v>193</v>
      </c>
      <c r="GH118" s="57" t="s">
        <v>194</v>
      </c>
      <c r="GI118" s="57" t="s">
        <v>194</v>
      </c>
      <c r="GJ118" s="57" t="s">
        <v>195</v>
      </c>
      <c r="GK118" s="58" t="s">
        <v>196</v>
      </c>
      <c r="GL118" s="58" t="s">
        <v>197</v>
      </c>
      <c r="GM118" s="58" t="s">
        <v>198</v>
      </c>
      <c r="GN118" s="58" t="s">
        <v>198</v>
      </c>
      <c r="GO118" s="58" t="s">
        <v>199</v>
      </c>
      <c r="GP118" s="42" t="s">
        <v>33</v>
      </c>
      <c r="GQ118" s="42" t="s">
        <v>34</v>
      </c>
      <c r="GR118" s="42" t="s">
        <v>34</v>
      </c>
      <c r="GS118" s="42" t="s">
        <v>35</v>
      </c>
      <c r="GT118" s="42" t="s">
        <v>35</v>
      </c>
      <c r="GU118" s="42" t="s">
        <v>36</v>
      </c>
      <c r="GV118" s="59" t="s">
        <v>200</v>
      </c>
      <c r="GW118" s="59" t="s">
        <v>201</v>
      </c>
      <c r="GX118" s="59" t="s">
        <v>202</v>
      </c>
      <c r="GY118" s="59" t="s">
        <v>202</v>
      </c>
      <c r="GZ118" s="59" t="s">
        <v>203</v>
      </c>
      <c r="HA118" s="35"/>
      <c r="HB118" s="84"/>
      <c r="HC118" s="84"/>
      <c r="HD118" s="84"/>
      <c r="HE118" s="84"/>
      <c r="HF118" s="84"/>
      <c r="HG118" s="84"/>
      <c r="HH118" s="84"/>
      <c r="HI118" s="84"/>
      <c r="HJ118" s="84"/>
      <c r="HK118" s="84"/>
      <c r="HL118" s="84"/>
      <c r="HM118" s="84"/>
      <c r="HN118" s="84"/>
      <c r="HO118" s="84"/>
      <c r="HP118" s="84"/>
      <c r="HQ118" s="84"/>
      <c r="HR118" s="84"/>
      <c r="HS118" s="84"/>
      <c r="HT118" s="84"/>
      <c r="HU118" s="84"/>
      <c r="HV118" s="84"/>
      <c r="HW118" s="84"/>
      <c r="HX118" s="84"/>
      <c r="HY118" s="84"/>
      <c r="HZ118" s="84"/>
      <c r="IA118" s="84"/>
      <c r="IB118" s="84"/>
      <c r="IC118" s="84"/>
      <c r="ID118" s="84"/>
      <c r="IE118" s="84"/>
      <c r="IF118" s="84"/>
      <c r="IG118" s="84"/>
      <c r="IH118" s="84"/>
      <c r="II118" s="84"/>
      <c r="IJ118" s="84"/>
      <c r="IK118" s="84"/>
      <c r="IL118" s="84"/>
      <c r="IM118" s="84"/>
      <c r="IN118" s="84"/>
      <c r="IO118" s="84"/>
      <c r="IP118" s="84"/>
      <c r="IQ118" s="84"/>
      <c r="IR118" s="84"/>
      <c r="IS118" s="84"/>
      <c r="IT118" s="84"/>
      <c r="IU118" s="84"/>
      <c r="IV118" s="84"/>
      <c r="IW118" s="84"/>
    </row>
    <row r="119" spans="2:257" s="28" customFormat="1" ht="14.4">
      <c r="B119" s="30">
        <f t="shared" si="150"/>
        <v>5.2399999999999949</v>
      </c>
      <c r="C119" s="44" t="s">
        <v>100</v>
      </c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84"/>
      <c r="CC119" s="84"/>
      <c r="CD119" s="84"/>
      <c r="CE119" s="84"/>
      <c r="CF119" s="35"/>
      <c r="CG119" s="34"/>
      <c r="CH119" s="34"/>
      <c r="CI119" s="34"/>
      <c r="CJ119" s="34"/>
      <c r="CK119" s="34"/>
      <c r="CL119" s="34"/>
      <c r="CM119" s="34"/>
      <c r="CN119" s="34"/>
      <c r="CO119" s="35"/>
      <c r="CP119" s="35"/>
      <c r="CQ119" s="35"/>
      <c r="CR119" s="84"/>
      <c r="CS119" s="84"/>
      <c r="CT119" s="84"/>
      <c r="CU119" s="84"/>
      <c r="CV119" s="35"/>
      <c r="CW119" s="84"/>
      <c r="CX119" s="35"/>
      <c r="CY119" s="35"/>
      <c r="CZ119" s="35"/>
      <c r="DA119" s="35"/>
      <c r="DB119" s="35"/>
      <c r="DC119" s="84"/>
      <c r="DD119" s="35"/>
      <c r="DE119" s="35"/>
      <c r="DF119" s="35"/>
      <c r="DG119" s="35"/>
      <c r="DH119" s="35"/>
      <c r="DI119" s="84"/>
      <c r="DJ119" s="35"/>
      <c r="DK119" s="35"/>
      <c r="DL119" s="35"/>
      <c r="DM119" s="35"/>
      <c r="DN119" s="35"/>
      <c r="DO119" s="84"/>
      <c r="DP119" s="35"/>
      <c r="DQ119" s="35"/>
      <c r="DR119" s="35"/>
      <c r="DS119" s="35"/>
      <c r="DT119" s="35"/>
      <c r="DU119" s="84"/>
      <c r="DV119" s="35"/>
      <c r="DW119" s="35"/>
      <c r="DX119" s="35"/>
      <c r="DY119" s="35"/>
      <c r="DZ119" s="35"/>
      <c r="EA119" s="84"/>
      <c r="EB119" s="35"/>
      <c r="EC119" s="35"/>
      <c r="ED119" s="35"/>
      <c r="EE119" s="35"/>
      <c r="EF119" s="35"/>
      <c r="EG119" s="84"/>
      <c r="EH119" s="35"/>
      <c r="EI119" s="35"/>
      <c r="EJ119" s="35"/>
      <c r="EK119" s="35"/>
      <c r="EL119" s="35"/>
      <c r="EM119" s="84"/>
      <c r="EN119" s="35"/>
      <c r="EO119" s="35"/>
      <c r="EP119" s="35"/>
      <c r="EQ119" s="35"/>
      <c r="ER119" s="35"/>
      <c r="ES119" s="84"/>
      <c r="ET119" s="35"/>
      <c r="EU119" s="84"/>
      <c r="EV119" s="84"/>
      <c r="EW119" s="84"/>
      <c r="EX119" s="84"/>
      <c r="EY119" s="84"/>
      <c r="EZ119" s="84"/>
      <c r="FA119" s="84"/>
      <c r="FB119" s="84"/>
      <c r="FC119" s="84"/>
      <c r="FD119" s="84"/>
      <c r="FE119" s="84"/>
      <c r="FF119" s="84"/>
      <c r="FG119" s="84"/>
      <c r="FH119" s="84"/>
      <c r="FI119" s="84"/>
      <c r="FJ119" s="84"/>
      <c r="FK119" s="84"/>
      <c r="FL119" s="84"/>
      <c r="FM119" s="35"/>
      <c r="FN119" s="35"/>
      <c r="FO119" s="35"/>
      <c r="FP119" s="84"/>
      <c r="FQ119" s="55"/>
      <c r="FR119" s="55" t="s">
        <v>187</v>
      </c>
      <c r="FS119" s="84"/>
      <c r="FT119" s="84"/>
      <c r="FU119" s="55" t="s">
        <v>30</v>
      </c>
      <c r="FV119" s="55" t="s">
        <v>31</v>
      </c>
      <c r="FW119" s="55" t="s">
        <v>31</v>
      </c>
      <c r="FX119" s="55" t="s">
        <v>32</v>
      </c>
      <c r="FY119" s="56" t="s">
        <v>188</v>
      </c>
      <c r="FZ119" s="56" t="s">
        <v>189</v>
      </c>
      <c r="GA119" s="56" t="s">
        <v>189</v>
      </c>
      <c r="GB119" s="56" t="s">
        <v>190</v>
      </c>
      <c r="GC119" s="56" t="s">
        <v>190</v>
      </c>
      <c r="GD119" s="56" t="s">
        <v>191</v>
      </c>
      <c r="GE119" s="57" t="s">
        <v>192</v>
      </c>
      <c r="GF119" s="57" t="s">
        <v>193</v>
      </c>
      <c r="GG119" s="57" t="s">
        <v>193</v>
      </c>
      <c r="GH119" s="57" t="s">
        <v>194</v>
      </c>
      <c r="GI119" s="57" t="s">
        <v>194</v>
      </c>
      <c r="GJ119" s="57" t="s">
        <v>195</v>
      </c>
      <c r="GK119" s="58" t="s">
        <v>196</v>
      </c>
      <c r="GL119" s="58" t="s">
        <v>197</v>
      </c>
      <c r="GM119" s="58" t="s">
        <v>198</v>
      </c>
      <c r="GN119" s="58" t="s">
        <v>198</v>
      </c>
      <c r="GO119" s="58" t="s">
        <v>199</v>
      </c>
      <c r="GP119" s="42" t="s">
        <v>33</v>
      </c>
      <c r="GQ119" s="42" t="s">
        <v>34</v>
      </c>
      <c r="GR119" s="42" t="s">
        <v>34</v>
      </c>
      <c r="GS119" s="42" t="s">
        <v>35</v>
      </c>
      <c r="GT119" s="42" t="s">
        <v>35</v>
      </c>
      <c r="GU119" s="42" t="s">
        <v>36</v>
      </c>
      <c r="GV119" s="59" t="s">
        <v>200</v>
      </c>
      <c r="GW119" s="59" t="s">
        <v>201</v>
      </c>
      <c r="GX119" s="59" t="s">
        <v>202</v>
      </c>
      <c r="GY119" s="59" t="s">
        <v>202</v>
      </c>
      <c r="GZ119" s="59" t="s">
        <v>203</v>
      </c>
      <c r="HA119" s="35"/>
      <c r="HB119" s="84"/>
      <c r="HC119" s="84"/>
      <c r="HD119" s="84"/>
      <c r="HE119" s="84"/>
      <c r="HF119" s="84"/>
      <c r="HG119" s="84"/>
      <c r="HH119" s="84"/>
      <c r="HI119" s="84"/>
      <c r="HJ119" s="84"/>
      <c r="HK119" s="84"/>
      <c r="HL119" s="84"/>
      <c r="HM119" s="84"/>
      <c r="HN119" s="84"/>
      <c r="HO119" s="84"/>
      <c r="HP119" s="84"/>
      <c r="HQ119" s="84"/>
      <c r="HR119" s="84"/>
      <c r="HS119" s="84"/>
      <c r="HT119" s="84"/>
      <c r="HU119" s="84"/>
      <c r="HV119" s="84"/>
      <c r="HW119" s="84"/>
      <c r="HX119" s="84"/>
      <c r="HY119" s="84"/>
      <c r="HZ119" s="84"/>
      <c r="IA119" s="84"/>
      <c r="IB119" s="84"/>
      <c r="IC119" s="84"/>
      <c r="ID119" s="84"/>
      <c r="IE119" s="84"/>
      <c r="IF119" s="84"/>
      <c r="IG119" s="84"/>
      <c r="IH119" s="84"/>
      <c r="II119" s="84"/>
      <c r="IJ119" s="84"/>
      <c r="IK119" s="84"/>
      <c r="IL119" s="84"/>
      <c r="IM119" s="84"/>
      <c r="IN119" s="84"/>
      <c r="IO119" s="84"/>
      <c r="IP119" s="84"/>
      <c r="IQ119" s="84"/>
      <c r="IR119" s="84"/>
      <c r="IS119" s="84"/>
      <c r="IT119" s="84"/>
      <c r="IU119" s="84"/>
      <c r="IV119" s="84"/>
      <c r="IW119" s="84"/>
    </row>
    <row r="120" spans="2:257" s="28" customFormat="1" ht="14.4">
      <c r="B120" s="30">
        <f t="shared" si="150"/>
        <v>5.2499999999999947</v>
      </c>
      <c r="C120" s="44" t="s">
        <v>101</v>
      </c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84"/>
      <c r="CC120" s="84"/>
      <c r="CD120" s="84"/>
      <c r="CE120" s="84"/>
      <c r="CF120" s="35"/>
      <c r="CG120" s="34"/>
      <c r="CH120" s="34"/>
      <c r="CI120" s="34"/>
      <c r="CJ120" s="34"/>
      <c r="CK120" s="34"/>
      <c r="CL120" s="34"/>
      <c r="CM120" s="34"/>
      <c r="CN120" s="34"/>
      <c r="CO120" s="35"/>
      <c r="CP120" s="35"/>
      <c r="CQ120" s="35"/>
      <c r="CR120" s="84"/>
      <c r="CS120" s="84"/>
      <c r="CT120" s="84"/>
      <c r="CU120" s="84"/>
      <c r="CV120" s="35"/>
      <c r="CW120" s="84"/>
      <c r="CX120" s="35"/>
      <c r="CY120" s="35"/>
      <c r="CZ120" s="35"/>
      <c r="DA120" s="35"/>
      <c r="DB120" s="35"/>
      <c r="DC120" s="84"/>
      <c r="DD120" s="35"/>
      <c r="DE120" s="35"/>
      <c r="DF120" s="35"/>
      <c r="DG120" s="35"/>
      <c r="DH120" s="35"/>
      <c r="DI120" s="84"/>
      <c r="DJ120" s="35"/>
      <c r="DK120" s="35"/>
      <c r="DL120" s="35"/>
      <c r="DM120" s="35"/>
      <c r="DN120" s="35"/>
      <c r="DO120" s="84"/>
      <c r="DP120" s="35"/>
      <c r="DQ120" s="35"/>
      <c r="DR120" s="35"/>
      <c r="DS120" s="35"/>
      <c r="DT120" s="35"/>
      <c r="DU120" s="84"/>
      <c r="DV120" s="35"/>
      <c r="DW120" s="35"/>
      <c r="DX120" s="35"/>
      <c r="DY120" s="35"/>
      <c r="DZ120" s="35"/>
      <c r="EA120" s="84"/>
      <c r="EB120" s="35"/>
      <c r="EC120" s="35"/>
      <c r="ED120" s="35"/>
      <c r="EE120" s="35"/>
      <c r="EF120" s="35"/>
      <c r="EG120" s="84"/>
      <c r="EH120" s="35"/>
      <c r="EI120" s="35"/>
      <c r="EJ120" s="35"/>
      <c r="EK120" s="35"/>
      <c r="EL120" s="35"/>
      <c r="EM120" s="84"/>
      <c r="EN120" s="35"/>
      <c r="EO120" s="35"/>
      <c r="EP120" s="35"/>
      <c r="EQ120" s="35"/>
      <c r="ER120" s="35"/>
      <c r="ES120" s="84"/>
      <c r="ET120" s="35"/>
      <c r="EU120" s="35"/>
      <c r="EV120" s="35"/>
      <c r="EW120" s="35"/>
      <c r="EX120" s="35"/>
      <c r="EY120" s="84"/>
      <c r="EZ120" s="84"/>
      <c r="FA120" s="84"/>
      <c r="FB120" s="84"/>
      <c r="FC120" s="84"/>
      <c r="FD120" s="84"/>
      <c r="FE120" s="84"/>
      <c r="FF120" s="84"/>
      <c r="FG120" s="84"/>
      <c r="FH120" s="84"/>
      <c r="FI120" s="84"/>
      <c r="FJ120" s="84"/>
      <c r="FK120" s="84"/>
      <c r="FL120" s="84"/>
      <c r="FM120" s="84"/>
      <c r="FN120" s="84"/>
      <c r="FO120" s="84"/>
      <c r="FP120" s="84"/>
      <c r="FQ120" s="84"/>
      <c r="FR120" s="84"/>
      <c r="FS120" s="84"/>
      <c r="FT120" s="84"/>
      <c r="FU120" s="55" t="s">
        <v>187</v>
      </c>
      <c r="FV120" s="55" t="s">
        <v>30</v>
      </c>
      <c r="FW120" s="55" t="s">
        <v>30</v>
      </c>
      <c r="FX120" s="55" t="s">
        <v>31</v>
      </c>
      <c r="FY120" s="55" t="s">
        <v>32</v>
      </c>
      <c r="FZ120" s="56" t="s">
        <v>188</v>
      </c>
      <c r="GA120" s="56" t="s">
        <v>188</v>
      </c>
      <c r="GB120" s="56" t="s">
        <v>189</v>
      </c>
      <c r="GC120" s="56" t="s">
        <v>189</v>
      </c>
      <c r="GD120" s="56" t="s">
        <v>190</v>
      </c>
      <c r="GE120" s="56" t="s">
        <v>191</v>
      </c>
      <c r="GF120" s="57" t="s">
        <v>192</v>
      </c>
      <c r="GG120" s="57" t="s">
        <v>192</v>
      </c>
      <c r="GH120" s="57" t="s">
        <v>193</v>
      </c>
      <c r="GI120" s="57" t="s">
        <v>193</v>
      </c>
      <c r="GJ120" s="57" t="s">
        <v>194</v>
      </c>
      <c r="GK120" s="57" t="s">
        <v>195</v>
      </c>
      <c r="GL120" s="58" t="s">
        <v>196</v>
      </c>
      <c r="GM120" s="58" t="s">
        <v>197</v>
      </c>
      <c r="GN120" s="58" t="s">
        <v>197</v>
      </c>
      <c r="GO120" s="58" t="s">
        <v>198</v>
      </c>
      <c r="GP120" s="58" t="s">
        <v>199</v>
      </c>
      <c r="GQ120" s="42" t="s">
        <v>33</v>
      </c>
      <c r="GR120" s="42" t="s">
        <v>33</v>
      </c>
      <c r="GS120" s="42" t="s">
        <v>34</v>
      </c>
      <c r="GT120" s="42" t="s">
        <v>34</v>
      </c>
      <c r="GU120" s="42" t="s">
        <v>35</v>
      </c>
      <c r="GV120" s="42" t="s">
        <v>36</v>
      </c>
      <c r="GW120" s="59" t="s">
        <v>200</v>
      </c>
      <c r="GX120" s="59" t="s">
        <v>201</v>
      </c>
      <c r="GY120" s="59" t="s">
        <v>201</v>
      </c>
      <c r="GZ120" s="59" t="s">
        <v>202</v>
      </c>
      <c r="HA120" s="59" t="s">
        <v>203</v>
      </c>
      <c r="HB120" s="84"/>
      <c r="HC120" s="84"/>
      <c r="HD120" s="84"/>
      <c r="HE120" s="35"/>
      <c r="HF120" s="35"/>
      <c r="HG120" s="35"/>
      <c r="HH120" s="35"/>
      <c r="HI120" s="84"/>
      <c r="HJ120" s="84"/>
      <c r="HK120" s="84"/>
      <c r="HL120" s="84"/>
      <c r="HM120" s="84"/>
      <c r="HN120" s="84"/>
      <c r="HO120" s="84"/>
      <c r="HP120" s="84"/>
      <c r="HQ120" s="84"/>
      <c r="HR120" s="84"/>
      <c r="HS120" s="84"/>
      <c r="HT120" s="84"/>
      <c r="HU120" s="84"/>
      <c r="HV120" s="84"/>
      <c r="HW120" s="84"/>
      <c r="HX120" s="84"/>
      <c r="HY120" s="84"/>
      <c r="HZ120" s="84"/>
      <c r="IA120" s="84"/>
      <c r="IB120" s="84"/>
      <c r="IC120" s="84"/>
      <c r="ID120" s="84"/>
      <c r="IE120" s="84"/>
      <c r="IF120" s="84"/>
      <c r="IG120" s="84"/>
      <c r="IH120" s="84"/>
      <c r="II120" s="84"/>
      <c r="IJ120" s="84"/>
      <c r="IK120" s="84"/>
      <c r="IL120" s="84"/>
      <c r="IM120" s="84"/>
      <c r="IN120" s="84"/>
      <c r="IO120" s="84"/>
      <c r="IP120" s="84"/>
      <c r="IQ120" s="84"/>
      <c r="IR120" s="84"/>
      <c r="IS120" s="84"/>
      <c r="IT120" s="84"/>
      <c r="IU120" s="84"/>
      <c r="IV120" s="84"/>
      <c r="IW120" s="84"/>
    </row>
    <row r="121" spans="2:257" s="28" customFormat="1" ht="14.4">
      <c r="B121" s="30">
        <f t="shared" si="150"/>
        <v>5.2599999999999945</v>
      </c>
      <c r="C121" s="38" t="s">
        <v>102</v>
      </c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84"/>
      <c r="CC121" s="84"/>
      <c r="CD121" s="84"/>
      <c r="CE121" s="84"/>
      <c r="CF121" s="35"/>
      <c r="CG121" s="34"/>
      <c r="CH121" s="34"/>
      <c r="CI121" s="34"/>
      <c r="CJ121" s="34"/>
      <c r="CK121" s="34"/>
      <c r="CL121" s="34"/>
      <c r="CM121" s="34"/>
      <c r="CN121" s="34"/>
      <c r="CO121" s="35"/>
      <c r="CP121" s="35"/>
      <c r="CQ121" s="35"/>
      <c r="CR121" s="84"/>
      <c r="CS121" s="84"/>
      <c r="CT121" s="84"/>
      <c r="CU121" s="84"/>
      <c r="CV121" s="35"/>
      <c r="CW121" s="84"/>
      <c r="CX121" s="35"/>
      <c r="CY121" s="35"/>
      <c r="CZ121" s="35"/>
      <c r="DA121" s="35"/>
      <c r="DB121" s="35"/>
      <c r="DC121" s="84"/>
      <c r="DD121" s="35"/>
      <c r="DE121" s="35"/>
      <c r="DF121" s="35"/>
      <c r="DG121" s="35"/>
      <c r="DH121" s="35"/>
      <c r="DI121" s="84"/>
      <c r="DJ121" s="35"/>
      <c r="DK121" s="35"/>
      <c r="DL121" s="35"/>
      <c r="DM121" s="35"/>
      <c r="DN121" s="35"/>
      <c r="DO121" s="84"/>
      <c r="DP121" s="35"/>
      <c r="DQ121" s="35"/>
      <c r="DR121" s="35"/>
      <c r="DS121" s="35"/>
      <c r="DT121" s="35"/>
      <c r="DU121" s="84"/>
      <c r="DV121" s="35"/>
      <c r="DW121" s="35"/>
      <c r="DX121" s="35"/>
      <c r="DY121" s="35"/>
      <c r="DZ121" s="35"/>
      <c r="EA121" s="84"/>
      <c r="EB121" s="35"/>
      <c r="EC121" s="35"/>
      <c r="ED121" s="35"/>
      <c r="EE121" s="35"/>
      <c r="EF121" s="35"/>
      <c r="EG121" s="84"/>
      <c r="EH121" s="35"/>
      <c r="EI121" s="35"/>
      <c r="EJ121" s="35"/>
      <c r="EK121" s="35"/>
      <c r="EL121" s="35"/>
      <c r="EM121" s="84"/>
      <c r="EN121" s="35"/>
      <c r="EO121" s="35"/>
      <c r="EP121" s="35"/>
      <c r="EQ121" s="35"/>
      <c r="ER121" s="35"/>
      <c r="ES121" s="84"/>
      <c r="ET121" s="35"/>
      <c r="EU121" s="35"/>
      <c r="EV121" s="35"/>
      <c r="EW121" s="35"/>
      <c r="EX121" s="35"/>
      <c r="EY121" s="84"/>
      <c r="EZ121" s="84"/>
      <c r="FA121" s="84"/>
      <c r="FB121" s="84"/>
      <c r="FC121" s="84"/>
      <c r="FD121" s="84"/>
      <c r="FE121" s="84"/>
      <c r="FF121" s="84"/>
      <c r="FG121" s="84"/>
      <c r="FH121" s="84"/>
      <c r="FI121" s="84"/>
      <c r="FJ121" s="84"/>
      <c r="FK121" s="84"/>
      <c r="FL121" s="84"/>
      <c r="FM121" s="84"/>
      <c r="FN121" s="84"/>
      <c r="FO121" s="84"/>
      <c r="FP121" s="84"/>
      <c r="FQ121" s="84"/>
      <c r="FR121" s="84"/>
      <c r="FS121" s="84"/>
      <c r="FT121" s="84"/>
      <c r="FU121" s="35"/>
      <c r="FV121" s="55" t="s">
        <v>187</v>
      </c>
      <c r="FW121" s="55" t="s">
        <v>187</v>
      </c>
      <c r="FX121" s="55" t="s">
        <v>30</v>
      </c>
      <c r="FY121" s="55" t="s">
        <v>31</v>
      </c>
      <c r="FZ121" s="55" t="s">
        <v>32</v>
      </c>
      <c r="GA121" s="55" t="s">
        <v>32</v>
      </c>
      <c r="GB121" s="56" t="s">
        <v>188</v>
      </c>
      <c r="GC121" s="56" t="s">
        <v>188</v>
      </c>
      <c r="GD121" s="56" t="s">
        <v>189</v>
      </c>
      <c r="GE121" s="56" t="s">
        <v>190</v>
      </c>
      <c r="GF121" s="56" t="s">
        <v>191</v>
      </c>
      <c r="GG121" s="56" t="s">
        <v>191</v>
      </c>
      <c r="GH121" s="57" t="s">
        <v>192</v>
      </c>
      <c r="GI121" s="57" t="s">
        <v>192</v>
      </c>
      <c r="GJ121" s="57" t="s">
        <v>193</v>
      </c>
      <c r="GK121" s="57" t="s">
        <v>194</v>
      </c>
      <c r="GL121" s="57" t="s">
        <v>195</v>
      </c>
      <c r="GM121" s="58" t="s">
        <v>196</v>
      </c>
      <c r="GN121" s="58" t="s">
        <v>196</v>
      </c>
      <c r="GO121" s="58" t="s">
        <v>197</v>
      </c>
      <c r="GP121" s="58" t="s">
        <v>198</v>
      </c>
      <c r="GQ121" s="58" t="s">
        <v>199</v>
      </c>
      <c r="GR121" s="58" t="s">
        <v>199</v>
      </c>
      <c r="GS121" s="42" t="s">
        <v>33</v>
      </c>
      <c r="GT121" s="42" t="s">
        <v>33</v>
      </c>
      <c r="GU121" s="42" t="s">
        <v>34</v>
      </c>
      <c r="GV121" s="42" t="s">
        <v>35</v>
      </c>
      <c r="GW121" s="42" t="s">
        <v>36</v>
      </c>
      <c r="GX121" s="59" t="s">
        <v>200</v>
      </c>
      <c r="GY121" s="59" t="s">
        <v>200</v>
      </c>
      <c r="GZ121" s="59" t="s">
        <v>201</v>
      </c>
      <c r="HA121" s="59" t="s">
        <v>202</v>
      </c>
      <c r="HB121" s="59" t="s">
        <v>203</v>
      </c>
      <c r="HC121" s="84"/>
      <c r="HD121" s="84"/>
      <c r="HE121" s="35"/>
      <c r="HF121" s="35"/>
      <c r="HG121" s="35"/>
      <c r="HH121" s="35"/>
      <c r="HI121" s="84"/>
      <c r="HJ121" s="84"/>
      <c r="HK121" s="84"/>
      <c r="HL121" s="84"/>
      <c r="HM121" s="84"/>
      <c r="HN121" s="84"/>
      <c r="HO121" s="84"/>
      <c r="HP121" s="84"/>
      <c r="HQ121" s="84"/>
      <c r="HR121" s="84"/>
      <c r="HS121" s="84"/>
      <c r="HT121" s="84"/>
      <c r="HU121" s="84"/>
      <c r="HV121" s="84"/>
      <c r="HW121" s="84"/>
      <c r="HX121" s="84"/>
      <c r="HY121" s="84"/>
      <c r="HZ121" s="84"/>
      <c r="IA121" s="84"/>
      <c r="IB121" s="84"/>
      <c r="IC121" s="84"/>
      <c r="ID121" s="84"/>
      <c r="IE121" s="84"/>
      <c r="IF121" s="84"/>
      <c r="IG121" s="84"/>
      <c r="IH121" s="84"/>
      <c r="II121" s="84"/>
      <c r="IJ121" s="84"/>
      <c r="IK121" s="84"/>
      <c r="IL121" s="84"/>
      <c r="IM121" s="84"/>
      <c r="IN121" s="84"/>
      <c r="IO121" s="84"/>
      <c r="IP121" s="84"/>
      <c r="IQ121" s="84"/>
      <c r="IR121" s="84"/>
      <c r="IS121" s="84"/>
      <c r="IT121" s="84"/>
      <c r="IU121" s="84"/>
      <c r="IV121" s="84"/>
      <c r="IW121" s="84"/>
    </row>
    <row r="122" spans="2:257" s="28" customFormat="1" ht="14.4">
      <c r="B122" s="30">
        <f t="shared" si="150"/>
        <v>5.2699999999999942</v>
      </c>
      <c r="C122" s="44" t="s">
        <v>103</v>
      </c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84"/>
      <c r="BD122" s="84"/>
      <c r="BE122" s="84"/>
      <c r="BF122" s="84"/>
      <c r="BG122" s="84"/>
      <c r="BH122" s="84"/>
      <c r="BI122" s="84"/>
      <c r="BJ122" s="84"/>
      <c r="BK122" s="84"/>
      <c r="BL122" s="84"/>
      <c r="BM122" s="84"/>
      <c r="BN122" s="84"/>
      <c r="BO122" s="84"/>
      <c r="BP122" s="84"/>
      <c r="BQ122" s="84"/>
      <c r="BR122" s="84"/>
      <c r="BS122" s="84"/>
      <c r="BT122" s="84"/>
      <c r="BU122" s="84"/>
      <c r="BV122" s="84"/>
      <c r="BW122" s="84"/>
      <c r="BX122" s="84"/>
      <c r="BY122" s="84"/>
      <c r="BZ122" s="84"/>
      <c r="CA122" s="84"/>
      <c r="CB122" s="84"/>
      <c r="CC122" s="84"/>
      <c r="CD122" s="84"/>
      <c r="CE122" s="84"/>
      <c r="CF122" s="35"/>
      <c r="CG122" s="34"/>
      <c r="CH122" s="34"/>
      <c r="CI122" s="34"/>
      <c r="CJ122" s="34"/>
      <c r="CK122" s="34"/>
      <c r="CL122" s="34"/>
      <c r="CM122" s="34"/>
      <c r="CN122" s="34"/>
      <c r="CO122" s="35"/>
      <c r="CP122" s="35"/>
      <c r="CQ122" s="35"/>
      <c r="CR122" s="84"/>
      <c r="CS122" s="84"/>
      <c r="CT122" s="84"/>
      <c r="CU122" s="84"/>
      <c r="CV122" s="35"/>
      <c r="CW122" s="84"/>
      <c r="CX122" s="35"/>
      <c r="CY122" s="35"/>
      <c r="CZ122" s="35"/>
      <c r="DA122" s="35"/>
      <c r="DB122" s="35"/>
      <c r="DC122" s="84"/>
      <c r="DD122" s="35"/>
      <c r="DE122" s="35"/>
      <c r="DF122" s="35"/>
      <c r="DG122" s="35"/>
      <c r="DH122" s="35"/>
      <c r="DI122" s="84"/>
      <c r="DJ122" s="35"/>
      <c r="DK122" s="35"/>
      <c r="DL122" s="35"/>
      <c r="DM122" s="35"/>
      <c r="DN122" s="35"/>
      <c r="DO122" s="84"/>
      <c r="DP122" s="35"/>
      <c r="DQ122" s="35"/>
      <c r="DR122" s="35"/>
      <c r="DS122" s="35"/>
      <c r="DT122" s="35"/>
      <c r="DU122" s="84"/>
      <c r="DV122" s="35"/>
      <c r="DW122" s="35"/>
      <c r="DX122" s="35"/>
      <c r="DY122" s="35"/>
      <c r="DZ122" s="35"/>
      <c r="EA122" s="84"/>
      <c r="EB122" s="35"/>
      <c r="EC122" s="35"/>
      <c r="ED122" s="35"/>
      <c r="EE122" s="35"/>
      <c r="EF122" s="35"/>
      <c r="EG122" s="84"/>
      <c r="EH122" s="35"/>
      <c r="EI122" s="35"/>
      <c r="EJ122" s="35"/>
      <c r="EK122" s="35"/>
      <c r="EL122" s="35"/>
      <c r="EM122" s="84"/>
      <c r="EN122" s="35"/>
      <c r="EO122" s="35"/>
      <c r="EP122" s="35"/>
      <c r="EQ122" s="35"/>
      <c r="ER122" s="35"/>
      <c r="ES122" s="84"/>
      <c r="ET122" s="35"/>
      <c r="EU122" s="35"/>
      <c r="EV122" s="35"/>
      <c r="EW122" s="35"/>
      <c r="EX122" s="35"/>
      <c r="EY122" s="84"/>
      <c r="EZ122" s="84"/>
      <c r="FA122" s="84"/>
      <c r="FB122" s="84"/>
      <c r="FC122" s="84"/>
      <c r="FD122" s="84"/>
      <c r="FE122" s="84"/>
      <c r="FF122" s="84"/>
      <c r="FG122" s="84"/>
      <c r="FH122" s="84"/>
      <c r="FI122" s="84"/>
      <c r="FJ122" s="84"/>
      <c r="FK122" s="84"/>
      <c r="FL122" s="84"/>
      <c r="FM122" s="84"/>
      <c r="FN122" s="84"/>
      <c r="FO122" s="84"/>
      <c r="FP122" s="84"/>
      <c r="FQ122" s="84"/>
      <c r="FR122" s="84"/>
      <c r="FS122" s="84"/>
      <c r="FT122" s="84"/>
      <c r="FU122" s="35"/>
      <c r="FV122" s="35"/>
      <c r="FW122" s="84"/>
      <c r="FX122" s="55" t="s">
        <v>187</v>
      </c>
      <c r="FY122" s="55" t="s">
        <v>30</v>
      </c>
      <c r="FZ122" s="55" t="s">
        <v>31</v>
      </c>
      <c r="GA122" s="55" t="s">
        <v>31</v>
      </c>
      <c r="GB122" s="55" t="s">
        <v>32</v>
      </c>
      <c r="GC122" s="55" t="s">
        <v>32</v>
      </c>
      <c r="GD122" s="56" t="s">
        <v>188</v>
      </c>
      <c r="GE122" s="56" t="s">
        <v>189</v>
      </c>
      <c r="GF122" s="56" t="s">
        <v>190</v>
      </c>
      <c r="GG122" s="56" t="s">
        <v>190</v>
      </c>
      <c r="GH122" s="56" t="s">
        <v>191</v>
      </c>
      <c r="GI122" s="56" t="s">
        <v>191</v>
      </c>
      <c r="GJ122" s="57" t="s">
        <v>192</v>
      </c>
      <c r="GK122" s="57" t="s">
        <v>193</v>
      </c>
      <c r="GL122" s="57" t="s">
        <v>194</v>
      </c>
      <c r="GM122" s="57" t="s">
        <v>195</v>
      </c>
      <c r="GN122" s="57" t="s">
        <v>195</v>
      </c>
      <c r="GO122" s="58" t="s">
        <v>196</v>
      </c>
      <c r="GP122" s="58" t="s">
        <v>197</v>
      </c>
      <c r="GQ122" s="58" t="s">
        <v>198</v>
      </c>
      <c r="GR122" s="58" t="s">
        <v>198</v>
      </c>
      <c r="GS122" s="58" t="s">
        <v>199</v>
      </c>
      <c r="GT122" s="58" t="s">
        <v>199</v>
      </c>
      <c r="GU122" s="42" t="s">
        <v>33</v>
      </c>
      <c r="GV122" s="42" t="s">
        <v>34</v>
      </c>
      <c r="GW122" s="42" t="s">
        <v>35</v>
      </c>
      <c r="GX122" s="42" t="s">
        <v>36</v>
      </c>
      <c r="GY122" s="42" t="s">
        <v>36</v>
      </c>
      <c r="GZ122" s="59" t="s">
        <v>200</v>
      </c>
      <c r="HA122" s="59" t="s">
        <v>201</v>
      </c>
      <c r="HB122" s="59" t="s">
        <v>202</v>
      </c>
      <c r="HC122" s="59" t="s">
        <v>203</v>
      </c>
      <c r="HD122" s="59" t="s">
        <v>203</v>
      </c>
      <c r="HE122" s="35"/>
      <c r="HF122" s="35"/>
      <c r="HG122" s="84"/>
      <c r="HH122" s="84"/>
      <c r="HI122" s="84"/>
      <c r="HJ122" s="84"/>
      <c r="HK122" s="84"/>
      <c r="HL122" s="84"/>
      <c r="HM122" s="84"/>
      <c r="HN122" s="84"/>
      <c r="HO122" s="84"/>
      <c r="HP122" s="84"/>
      <c r="HQ122" s="84"/>
      <c r="HR122" s="84"/>
      <c r="HS122" s="84"/>
      <c r="HT122" s="84"/>
      <c r="HU122" s="84"/>
      <c r="HV122" s="84"/>
      <c r="HW122" s="84"/>
      <c r="HX122" s="84"/>
      <c r="HY122" s="84"/>
      <c r="HZ122" s="84"/>
      <c r="IA122" s="84"/>
      <c r="IB122" s="84"/>
      <c r="IC122" s="84"/>
      <c r="ID122" s="84"/>
      <c r="IE122" s="84"/>
      <c r="IF122" s="84"/>
      <c r="IG122" s="84"/>
      <c r="IH122" s="84"/>
      <c r="II122" s="84"/>
      <c r="IJ122" s="84"/>
      <c r="IK122" s="84"/>
      <c r="IL122" s="84"/>
      <c r="IM122" s="84"/>
      <c r="IN122" s="84"/>
      <c r="IO122" s="84"/>
      <c r="IP122" s="84"/>
      <c r="IQ122" s="84"/>
      <c r="IR122" s="84"/>
      <c r="IS122" s="84"/>
      <c r="IT122" s="84"/>
      <c r="IU122" s="84"/>
      <c r="IV122" s="84"/>
      <c r="IW122" s="84"/>
    </row>
    <row r="123" spans="2:257" s="28" customFormat="1" ht="14.4">
      <c r="B123" s="30">
        <f t="shared" si="150"/>
        <v>5.279999999999994</v>
      </c>
      <c r="C123" s="44" t="s">
        <v>104</v>
      </c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84"/>
      <c r="BD123" s="84"/>
      <c r="BE123" s="84"/>
      <c r="BF123" s="84"/>
      <c r="BG123" s="84"/>
      <c r="BH123" s="84"/>
      <c r="BI123" s="84"/>
      <c r="BJ123" s="84"/>
      <c r="BK123" s="84"/>
      <c r="BL123" s="84"/>
      <c r="BM123" s="84"/>
      <c r="BN123" s="84"/>
      <c r="BO123" s="84"/>
      <c r="BP123" s="84"/>
      <c r="BQ123" s="84"/>
      <c r="BR123" s="84"/>
      <c r="BS123" s="84"/>
      <c r="BT123" s="84"/>
      <c r="BU123" s="84"/>
      <c r="BV123" s="84"/>
      <c r="BW123" s="84"/>
      <c r="BX123" s="84"/>
      <c r="BY123" s="84"/>
      <c r="BZ123" s="84"/>
      <c r="CA123" s="84"/>
      <c r="CB123" s="84"/>
      <c r="CC123" s="84"/>
      <c r="CD123" s="84"/>
      <c r="CE123" s="84"/>
      <c r="CF123" s="35"/>
      <c r="CG123" s="34"/>
      <c r="CH123" s="34"/>
      <c r="CI123" s="34"/>
      <c r="CJ123" s="34"/>
      <c r="CK123" s="34"/>
      <c r="CL123" s="34"/>
      <c r="CM123" s="34"/>
      <c r="CN123" s="34"/>
      <c r="CO123" s="35"/>
      <c r="CP123" s="35"/>
      <c r="CQ123" s="35"/>
      <c r="CR123" s="84"/>
      <c r="CS123" s="84"/>
      <c r="CT123" s="84"/>
      <c r="CU123" s="84"/>
      <c r="CV123" s="35"/>
      <c r="CW123" s="84"/>
      <c r="CX123" s="35"/>
      <c r="CY123" s="35"/>
      <c r="CZ123" s="35"/>
      <c r="DA123" s="35"/>
      <c r="DB123" s="35"/>
      <c r="DC123" s="84"/>
      <c r="DD123" s="35"/>
      <c r="DE123" s="35"/>
      <c r="DF123" s="35"/>
      <c r="DG123" s="35"/>
      <c r="DH123" s="35"/>
      <c r="DI123" s="84"/>
      <c r="DJ123" s="35"/>
      <c r="DK123" s="35"/>
      <c r="DL123" s="35"/>
      <c r="DM123" s="35"/>
      <c r="DN123" s="35"/>
      <c r="DO123" s="84"/>
      <c r="DP123" s="35"/>
      <c r="DQ123" s="35"/>
      <c r="DR123" s="35"/>
      <c r="DS123" s="35"/>
      <c r="DT123" s="35"/>
      <c r="DU123" s="84"/>
      <c r="DV123" s="35"/>
      <c r="DW123" s="35"/>
      <c r="DX123" s="35"/>
      <c r="DY123" s="35"/>
      <c r="DZ123" s="35"/>
      <c r="EA123" s="84"/>
      <c r="EB123" s="35"/>
      <c r="EC123" s="35"/>
      <c r="ED123" s="35"/>
      <c r="EE123" s="35"/>
      <c r="EF123" s="35"/>
      <c r="EG123" s="84"/>
      <c r="EH123" s="35"/>
      <c r="EI123" s="35"/>
      <c r="EJ123" s="35"/>
      <c r="EK123" s="35"/>
      <c r="EL123" s="35"/>
      <c r="EM123" s="84"/>
      <c r="EN123" s="35"/>
      <c r="EO123" s="35"/>
      <c r="EP123" s="35"/>
      <c r="EQ123" s="35"/>
      <c r="ER123" s="35"/>
      <c r="ES123" s="84"/>
      <c r="ET123" s="35"/>
      <c r="EU123" s="35"/>
      <c r="EV123" s="35"/>
      <c r="EW123" s="35"/>
      <c r="EX123" s="35"/>
      <c r="EY123" s="84"/>
      <c r="EZ123" s="84"/>
      <c r="FA123" s="84"/>
      <c r="FB123" s="84"/>
      <c r="FC123" s="84"/>
      <c r="FD123" s="84"/>
      <c r="FE123" s="84"/>
      <c r="FF123" s="84"/>
      <c r="FG123" s="84"/>
      <c r="FH123" s="84"/>
      <c r="FI123" s="84"/>
      <c r="FJ123" s="84"/>
      <c r="FK123" s="84"/>
      <c r="FL123" s="84"/>
      <c r="FM123" s="84"/>
      <c r="FN123" s="84"/>
      <c r="FO123" s="84"/>
      <c r="FP123" s="84"/>
      <c r="FQ123" s="84"/>
      <c r="FR123" s="84"/>
      <c r="FS123" s="84"/>
      <c r="FT123" s="84"/>
      <c r="FU123" s="35"/>
      <c r="FV123" s="35"/>
      <c r="FW123" s="84"/>
      <c r="FX123" s="35"/>
      <c r="FY123" s="55" t="s">
        <v>187</v>
      </c>
      <c r="FZ123" s="55" t="s">
        <v>30</v>
      </c>
      <c r="GA123" s="55" t="s">
        <v>30</v>
      </c>
      <c r="GB123" s="55" t="s">
        <v>31</v>
      </c>
      <c r="GC123" s="55" t="s">
        <v>31</v>
      </c>
      <c r="GD123" s="55" t="s">
        <v>32</v>
      </c>
      <c r="GE123" s="56" t="s">
        <v>188</v>
      </c>
      <c r="GF123" s="56" t="s">
        <v>189</v>
      </c>
      <c r="GG123" s="56" t="s">
        <v>189</v>
      </c>
      <c r="GH123" s="56" t="s">
        <v>190</v>
      </c>
      <c r="GI123" s="56" t="s">
        <v>190</v>
      </c>
      <c r="GJ123" s="56" t="s">
        <v>191</v>
      </c>
      <c r="GK123" s="57" t="s">
        <v>192</v>
      </c>
      <c r="GL123" s="57" t="s">
        <v>193</v>
      </c>
      <c r="GM123" s="57" t="s">
        <v>194</v>
      </c>
      <c r="GN123" s="57" t="s">
        <v>194</v>
      </c>
      <c r="GO123" s="57" t="s">
        <v>195</v>
      </c>
      <c r="GP123" s="58" t="s">
        <v>196</v>
      </c>
      <c r="GQ123" s="58" t="s">
        <v>197</v>
      </c>
      <c r="GR123" s="58" t="s">
        <v>197</v>
      </c>
      <c r="GS123" s="58" t="s">
        <v>198</v>
      </c>
      <c r="GT123" s="58" t="s">
        <v>198</v>
      </c>
      <c r="GU123" s="58" t="s">
        <v>199</v>
      </c>
      <c r="GV123" s="42" t="s">
        <v>33</v>
      </c>
      <c r="GW123" s="42" t="s">
        <v>34</v>
      </c>
      <c r="GX123" s="42" t="s">
        <v>35</v>
      </c>
      <c r="GY123" s="42" t="s">
        <v>35</v>
      </c>
      <c r="GZ123" s="42" t="s">
        <v>36</v>
      </c>
      <c r="HA123" s="59" t="s">
        <v>200</v>
      </c>
      <c r="HB123" s="59" t="s">
        <v>201</v>
      </c>
      <c r="HC123" s="59" t="s">
        <v>202</v>
      </c>
      <c r="HD123" s="59" t="s">
        <v>202</v>
      </c>
      <c r="HE123" s="59" t="s">
        <v>203</v>
      </c>
      <c r="HF123" s="35"/>
      <c r="HG123" s="35"/>
      <c r="HH123" s="84"/>
      <c r="HI123" s="84"/>
      <c r="HJ123" s="84"/>
      <c r="HK123" s="84"/>
      <c r="HL123" s="84"/>
      <c r="HM123" s="84"/>
      <c r="HN123" s="84"/>
      <c r="HO123" s="84"/>
      <c r="HP123" s="84"/>
      <c r="HQ123" s="84"/>
      <c r="HR123" s="84"/>
      <c r="HS123" s="84"/>
      <c r="HT123" s="84"/>
      <c r="HU123" s="84"/>
      <c r="HV123" s="84"/>
      <c r="HW123" s="84"/>
      <c r="HX123" s="84"/>
      <c r="HY123" s="84"/>
      <c r="HZ123" s="84"/>
      <c r="IA123" s="84"/>
      <c r="IB123" s="84"/>
      <c r="IC123" s="84"/>
      <c r="ID123" s="84"/>
      <c r="IE123" s="84"/>
      <c r="IF123" s="84"/>
      <c r="IG123" s="84"/>
      <c r="IH123" s="84"/>
      <c r="II123" s="84"/>
      <c r="IJ123" s="84"/>
      <c r="IK123" s="84"/>
      <c r="IL123" s="84"/>
      <c r="IM123" s="84"/>
      <c r="IN123" s="84"/>
      <c r="IO123" s="84"/>
      <c r="IP123" s="84"/>
      <c r="IQ123" s="84"/>
      <c r="IR123" s="84"/>
      <c r="IS123" s="84"/>
      <c r="IT123" s="84"/>
      <c r="IU123" s="84"/>
      <c r="IV123" s="84"/>
      <c r="IW123" s="84"/>
    </row>
    <row r="124" spans="2:257" s="28" customFormat="1" ht="14.4">
      <c r="B124" s="30">
        <f t="shared" si="150"/>
        <v>5.2899999999999938</v>
      </c>
      <c r="C124" s="44" t="s">
        <v>105</v>
      </c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84"/>
      <c r="BD124" s="84"/>
      <c r="BE124" s="84"/>
      <c r="BF124" s="84"/>
      <c r="BG124" s="84"/>
      <c r="BH124" s="84"/>
      <c r="BI124" s="84"/>
      <c r="BJ124" s="84"/>
      <c r="BK124" s="84"/>
      <c r="BL124" s="84"/>
      <c r="BM124" s="84"/>
      <c r="BN124" s="84"/>
      <c r="BO124" s="84"/>
      <c r="BP124" s="84"/>
      <c r="BQ124" s="84"/>
      <c r="BR124" s="84"/>
      <c r="BS124" s="84"/>
      <c r="BT124" s="84"/>
      <c r="BU124" s="84"/>
      <c r="BV124" s="84"/>
      <c r="BW124" s="84"/>
      <c r="BX124" s="84"/>
      <c r="BY124" s="84"/>
      <c r="BZ124" s="84"/>
      <c r="CA124" s="84"/>
      <c r="CB124" s="84"/>
      <c r="CC124" s="84"/>
      <c r="CD124" s="84"/>
      <c r="CE124" s="84"/>
      <c r="CF124" s="35"/>
      <c r="CG124" s="34"/>
      <c r="CH124" s="34"/>
      <c r="CI124" s="34"/>
      <c r="CJ124" s="34"/>
      <c r="CK124" s="34"/>
      <c r="CL124" s="34"/>
      <c r="CM124" s="34"/>
      <c r="CN124" s="34"/>
      <c r="CO124" s="35"/>
      <c r="CP124" s="35"/>
      <c r="CQ124" s="35"/>
      <c r="CR124" s="84"/>
      <c r="CS124" s="84"/>
      <c r="CT124" s="84"/>
      <c r="CU124" s="84"/>
      <c r="CV124" s="35"/>
      <c r="CW124" s="84"/>
      <c r="CX124" s="35"/>
      <c r="CY124" s="35"/>
      <c r="CZ124" s="35"/>
      <c r="DA124" s="35"/>
      <c r="DB124" s="35"/>
      <c r="DC124" s="84"/>
      <c r="DD124" s="35"/>
      <c r="DE124" s="35"/>
      <c r="DF124" s="35"/>
      <c r="DG124" s="35"/>
      <c r="DH124" s="35"/>
      <c r="DI124" s="84"/>
      <c r="DJ124" s="35"/>
      <c r="DK124" s="35"/>
      <c r="DL124" s="35"/>
      <c r="DM124" s="35"/>
      <c r="DN124" s="35"/>
      <c r="DO124" s="84"/>
      <c r="DP124" s="35"/>
      <c r="DQ124" s="35"/>
      <c r="DR124" s="35"/>
      <c r="DS124" s="35"/>
      <c r="DT124" s="35"/>
      <c r="DU124" s="84"/>
      <c r="DV124" s="35"/>
      <c r="DW124" s="35"/>
      <c r="DX124" s="35"/>
      <c r="DY124" s="35"/>
      <c r="DZ124" s="35"/>
      <c r="EA124" s="84"/>
      <c r="EB124" s="35"/>
      <c r="EC124" s="35"/>
      <c r="ED124" s="35"/>
      <c r="EE124" s="35"/>
      <c r="EF124" s="35"/>
      <c r="EG124" s="84"/>
      <c r="EH124" s="35"/>
      <c r="EI124" s="35"/>
      <c r="EJ124" s="35"/>
      <c r="EK124" s="35"/>
      <c r="EL124" s="35"/>
      <c r="EM124" s="84"/>
      <c r="EN124" s="35"/>
      <c r="EO124" s="35"/>
      <c r="EP124" s="35"/>
      <c r="EQ124" s="35"/>
      <c r="ER124" s="35"/>
      <c r="ES124" s="84"/>
      <c r="ET124" s="35"/>
      <c r="EU124" s="35"/>
      <c r="EV124" s="35"/>
      <c r="EW124" s="35"/>
      <c r="EX124" s="35"/>
      <c r="EY124" s="84"/>
      <c r="EZ124" s="84"/>
      <c r="FA124" s="84"/>
      <c r="FB124" s="84"/>
      <c r="FC124" s="84"/>
      <c r="FD124" s="84"/>
      <c r="FE124" s="84"/>
      <c r="FF124" s="84"/>
      <c r="FG124" s="84"/>
      <c r="FH124" s="84"/>
      <c r="FI124" s="84"/>
      <c r="FJ124" s="84"/>
      <c r="FK124" s="84"/>
      <c r="FL124" s="84"/>
      <c r="FM124" s="84"/>
      <c r="FN124" s="84"/>
      <c r="FO124" s="84"/>
      <c r="FP124" s="84"/>
      <c r="FQ124" s="84"/>
      <c r="FR124" s="84"/>
      <c r="FS124" s="84"/>
      <c r="FT124" s="84"/>
      <c r="FU124" s="35"/>
      <c r="FV124" s="35"/>
      <c r="FW124" s="84"/>
      <c r="FX124" s="35"/>
      <c r="FY124" s="35"/>
      <c r="FZ124" s="55" t="s">
        <v>187</v>
      </c>
      <c r="GA124" s="55" t="s">
        <v>187</v>
      </c>
      <c r="GB124" s="55" t="s">
        <v>30</v>
      </c>
      <c r="GC124" s="55" t="s">
        <v>30</v>
      </c>
      <c r="GD124" s="55" t="s">
        <v>31</v>
      </c>
      <c r="GE124" s="55" t="s">
        <v>32</v>
      </c>
      <c r="GF124" s="56" t="s">
        <v>188</v>
      </c>
      <c r="GG124" s="56" t="s">
        <v>188</v>
      </c>
      <c r="GH124" s="56" t="s">
        <v>189</v>
      </c>
      <c r="GI124" s="56" t="s">
        <v>189</v>
      </c>
      <c r="GJ124" s="56" t="s">
        <v>190</v>
      </c>
      <c r="GK124" s="56" t="s">
        <v>191</v>
      </c>
      <c r="GL124" s="57" t="s">
        <v>192</v>
      </c>
      <c r="GM124" s="57" t="s">
        <v>193</v>
      </c>
      <c r="GN124" s="57" t="s">
        <v>193</v>
      </c>
      <c r="GO124" s="57" t="s">
        <v>194</v>
      </c>
      <c r="GP124" s="57" t="s">
        <v>195</v>
      </c>
      <c r="GQ124" s="58" t="s">
        <v>196</v>
      </c>
      <c r="GR124" s="58" t="s">
        <v>196</v>
      </c>
      <c r="GS124" s="58" t="s">
        <v>197</v>
      </c>
      <c r="GT124" s="58" t="s">
        <v>197</v>
      </c>
      <c r="GU124" s="58" t="s">
        <v>198</v>
      </c>
      <c r="GV124" s="58" t="s">
        <v>199</v>
      </c>
      <c r="GW124" s="42" t="s">
        <v>33</v>
      </c>
      <c r="GX124" s="42" t="s">
        <v>34</v>
      </c>
      <c r="GY124" s="42" t="s">
        <v>34</v>
      </c>
      <c r="GZ124" s="42" t="s">
        <v>35</v>
      </c>
      <c r="HA124" s="42" t="s">
        <v>36</v>
      </c>
      <c r="HB124" s="59" t="s">
        <v>200</v>
      </c>
      <c r="HC124" s="59" t="s">
        <v>201</v>
      </c>
      <c r="HD124" s="59" t="s">
        <v>201</v>
      </c>
      <c r="HE124" s="59" t="s">
        <v>202</v>
      </c>
      <c r="HF124" s="59" t="s">
        <v>203</v>
      </c>
      <c r="HG124" s="59"/>
      <c r="HH124" s="84"/>
      <c r="HI124" s="84"/>
      <c r="HJ124" s="84"/>
      <c r="HK124" s="84"/>
      <c r="HL124" s="84"/>
      <c r="HM124" s="84"/>
      <c r="HN124" s="84"/>
      <c r="HO124" s="84"/>
      <c r="HP124" s="84"/>
      <c r="HQ124" s="84"/>
      <c r="HR124" s="84"/>
      <c r="HS124" s="84"/>
      <c r="HT124" s="84"/>
      <c r="HU124" s="84"/>
      <c r="HV124" s="84"/>
      <c r="HW124" s="84"/>
      <c r="HX124" s="84"/>
      <c r="HY124" s="84"/>
      <c r="HZ124" s="84"/>
      <c r="IA124" s="84"/>
      <c r="IB124" s="84"/>
      <c r="IC124" s="84"/>
      <c r="ID124" s="84"/>
      <c r="IE124" s="84"/>
      <c r="IF124" s="84"/>
      <c r="IG124" s="84"/>
      <c r="IH124" s="84"/>
      <c r="II124" s="84"/>
      <c r="IJ124" s="84"/>
      <c r="IK124" s="84"/>
      <c r="IL124" s="84"/>
      <c r="IM124" s="84"/>
      <c r="IN124" s="84"/>
      <c r="IO124" s="84"/>
      <c r="IP124" s="84"/>
      <c r="IQ124" s="84"/>
      <c r="IR124" s="84"/>
      <c r="IS124" s="84"/>
      <c r="IT124" s="84"/>
      <c r="IU124" s="84"/>
      <c r="IV124" s="84"/>
      <c r="IW124" s="84"/>
    </row>
    <row r="125" spans="2:257" s="28" customFormat="1" ht="14.4">
      <c r="B125" s="30">
        <f t="shared" si="150"/>
        <v>5.2999999999999936</v>
      </c>
      <c r="C125" s="44" t="s">
        <v>106</v>
      </c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84"/>
      <c r="BD125" s="84"/>
      <c r="BE125" s="84"/>
      <c r="BF125" s="84"/>
      <c r="BG125" s="84"/>
      <c r="BH125" s="84"/>
      <c r="BI125" s="84"/>
      <c r="BJ125" s="84"/>
      <c r="BK125" s="84"/>
      <c r="BL125" s="84"/>
      <c r="BM125" s="84"/>
      <c r="BN125" s="84"/>
      <c r="BO125" s="84"/>
      <c r="BP125" s="84"/>
      <c r="BQ125" s="84"/>
      <c r="BR125" s="84"/>
      <c r="BS125" s="84"/>
      <c r="BT125" s="84"/>
      <c r="BU125" s="84"/>
      <c r="BV125" s="84"/>
      <c r="BW125" s="84"/>
      <c r="BX125" s="84"/>
      <c r="BY125" s="84"/>
      <c r="BZ125" s="84"/>
      <c r="CA125" s="84"/>
      <c r="CB125" s="84"/>
      <c r="CC125" s="84"/>
      <c r="CD125" s="84"/>
      <c r="CE125" s="84"/>
      <c r="CF125" s="35"/>
      <c r="CG125" s="34"/>
      <c r="CH125" s="34"/>
      <c r="CI125" s="34"/>
      <c r="CJ125" s="34"/>
      <c r="CK125" s="34"/>
      <c r="CL125" s="34"/>
      <c r="CM125" s="34"/>
      <c r="CN125" s="34"/>
      <c r="CO125" s="35"/>
      <c r="CP125" s="35"/>
      <c r="CQ125" s="35"/>
      <c r="CR125" s="84"/>
      <c r="CS125" s="84"/>
      <c r="CT125" s="84"/>
      <c r="CU125" s="84"/>
      <c r="CV125" s="35"/>
      <c r="CW125" s="84"/>
      <c r="CX125" s="35"/>
      <c r="CY125" s="35"/>
      <c r="CZ125" s="35"/>
      <c r="DA125" s="35"/>
      <c r="DB125" s="35"/>
      <c r="DC125" s="84"/>
      <c r="DD125" s="35"/>
      <c r="DE125" s="35"/>
      <c r="DF125" s="35"/>
      <c r="DG125" s="35"/>
      <c r="DH125" s="35"/>
      <c r="DI125" s="84"/>
      <c r="DJ125" s="35"/>
      <c r="DK125" s="35"/>
      <c r="DL125" s="35"/>
      <c r="DM125" s="35"/>
      <c r="DN125" s="35"/>
      <c r="DO125" s="84"/>
      <c r="DP125" s="35"/>
      <c r="DQ125" s="35"/>
      <c r="DR125" s="35"/>
      <c r="DS125" s="35"/>
      <c r="DT125" s="35"/>
      <c r="DU125" s="84"/>
      <c r="DV125" s="35"/>
      <c r="DW125" s="35"/>
      <c r="DX125" s="35"/>
      <c r="DY125" s="35"/>
      <c r="DZ125" s="35"/>
      <c r="EA125" s="84"/>
      <c r="EB125" s="35"/>
      <c r="EC125" s="35"/>
      <c r="ED125" s="35"/>
      <c r="EE125" s="35"/>
      <c r="EF125" s="35"/>
      <c r="EG125" s="84"/>
      <c r="EH125" s="35"/>
      <c r="EI125" s="35"/>
      <c r="EJ125" s="35"/>
      <c r="EK125" s="35"/>
      <c r="EL125" s="35"/>
      <c r="EM125" s="84"/>
      <c r="EN125" s="35"/>
      <c r="EO125" s="35"/>
      <c r="EP125" s="35"/>
      <c r="EQ125" s="35"/>
      <c r="ER125" s="35"/>
      <c r="ES125" s="84"/>
      <c r="ET125" s="35"/>
      <c r="EU125" s="35"/>
      <c r="EV125" s="35"/>
      <c r="EW125" s="35"/>
      <c r="EX125" s="84"/>
      <c r="EY125" s="35"/>
      <c r="EZ125" s="35"/>
      <c r="FA125" s="35"/>
      <c r="FB125" s="35"/>
      <c r="FC125" s="35"/>
      <c r="FD125" s="84"/>
      <c r="FE125" s="84"/>
      <c r="FF125" s="84"/>
      <c r="FG125" s="84"/>
      <c r="FH125" s="84"/>
      <c r="FI125" s="84"/>
      <c r="FJ125" s="84"/>
      <c r="FK125" s="84"/>
      <c r="FL125" s="84"/>
      <c r="FM125" s="84"/>
      <c r="FN125" s="84"/>
      <c r="FO125" s="84"/>
      <c r="FP125" s="84"/>
      <c r="FQ125" s="84"/>
      <c r="FR125" s="84"/>
      <c r="FS125" s="84"/>
      <c r="FT125" s="84"/>
      <c r="FU125" s="84"/>
      <c r="FV125" s="84"/>
      <c r="FW125" s="84"/>
      <c r="FX125" s="84"/>
      <c r="FY125" s="84"/>
      <c r="FZ125" s="84"/>
      <c r="GA125" s="84"/>
      <c r="GB125" s="55" t="s">
        <v>187</v>
      </c>
      <c r="GC125" s="55" t="s">
        <v>187</v>
      </c>
      <c r="GD125" s="55" t="s">
        <v>30</v>
      </c>
      <c r="GE125" s="55" t="s">
        <v>31</v>
      </c>
      <c r="GF125" s="55" t="s">
        <v>32</v>
      </c>
      <c r="GG125" s="55" t="s">
        <v>32</v>
      </c>
      <c r="GH125" s="56" t="s">
        <v>188</v>
      </c>
      <c r="GI125" s="56" t="s">
        <v>188</v>
      </c>
      <c r="GJ125" s="56" t="s">
        <v>189</v>
      </c>
      <c r="GK125" s="56" t="s">
        <v>190</v>
      </c>
      <c r="GL125" s="56" t="s">
        <v>191</v>
      </c>
      <c r="GM125" s="57" t="s">
        <v>192</v>
      </c>
      <c r="GN125" s="57" t="s">
        <v>192</v>
      </c>
      <c r="GO125" s="57" t="s">
        <v>193</v>
      </c>
      <c r="GP125" s="57" t="s">
        <v>194</v>
      </c>
      <c r="GQ125" s="57" t="s">
        <v>195</v>
      </c>
      <c r="GR125" s="57" t="s">
        <v>195</v>
      </c>
      <c r="GS125" s="58" t="s">
        <v>196</v>
      </c>
      <c r="GT125" s="58" t="s">
        <v>196</v>
      </c>
      <c r="GU125" s="58" t="s">
        <v>197</v>
      </c>
      <c r="GV125" s="58" t="s">
        <v>198</v>
      </c>
      <c r="GW125" s="58" t="s">
        <v>199</v>
      </c>
      <c r="GX125" s="42" t="s">
        <v>33</v>
      </c>
      <c r="GY125" s="42" t="s">
        <v>33</v>
      </c>
      <c r="GZ125" s="42" t="s">
        <v>34</v>
      </c>
      <c r="HA125" s="42" t="s">
        <v>35</v>
      </c>
      <c r="HB125" s="42" t="s">
        <v>36</v>
      </c>
      <c r="HC125" s="59" t="s">
        <v>200</v>
      </c>
      <c r="HD125" s="59" t="s">
        <v>200</v>
      </c>
      <c r="HE125" s="59" t="s">
        <v>201</v>
      </c>
      <c r="HF125" s="59" t="s">
        <v>202</v>
      </c>
      <c r="HG125" s="59" t="s">
        <v>203</v>
      </c>
      <c r="HH125" s="84"/>
      <c r="HI125" s="84"/>
      <c r="HJ125" s="84"/>
      <c r="HK125" s="35"/>
      <c r="HL125" s="35"/>
      <c r="HM125" s="35"/>
      <c r="HN125" s="35"/>
      <c r="HO125" s="35"/>
      <c r="HP125" s="84"/>
      <c r="HQ125" s="84"/>
      <c r="HR125" s="84"/>
      <c r="HS125" s="84"/>
      <c r="HT125" s="84"/>
      <c r="HU125" s="84"/>
      <c r="HV125" s="84"/>
      <c r="HW125" s="84"/>
      <c r="HX125" s="84"/>
      <c r="HY125" s="84"/>
      <c r="HZ125" s="84"/>
      <c r="IA125" s="84"/>
      <c r="IB125" s="84"/>
      <c r="IC125" s="84"/>
      <c r="ID125" s="84"/>
      <c r="IE125" s="84"/>
      <c r="IF125" s="84"/>
      <c r="IG125" s="84"/>
      <c r="IH125" s="84"/>
      <c r="II125" s="84"/>
      <c r="IJ125" s="84"/>
      <c r="IK125" s="84"/>
      <c r="IL125" s="84"/>
      <c r="IM125" s="84"/>
      <c r="IN125" s="84"/>
      <c r="IO125" s="84"/>
      <c r="IP125" s="84"/>
      <c r="IQ125" s="84"/>
      <c r="IR125" s="84"/>
      <c r="IS125" s="84"/>
      <c r="IT125" s="84"/>
      <c r="IU125" s="84"/>
      <c r="IV125" s="84"/>
      <c r="IW125" s="84"/>
    </row>
    <row r="126" spans="2:257" s="28" customFormat="1" ht="14.4">
      <c r="B126" s="30">
        <f t="shared" si="150"/>
        <v>5.3099999999999934</v>
      </c>
      <c r="C126" s="44" t="s">
        <v>107</v>
      </c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84"/>
      <c r="BD126" s="84"/>
      <c r="BE126" s="84"/>
      <c r="BF126" s="84"/>
      <c r="BG126" s="84"/>
      <c r="BH126" s="84"/>
      <c r="BI126" s="84"/>
      <c r="BJ126" s="84"/>
      <c r="BK126" s="84"/>
      <c r="BL126" s="84"/>
      <c r="BM126" s="84"/>
      <c r="BN126" s="84"/>
      <c r="BO126" s="84"/>
      <c r="BP126" s="84"/>
      <c r="BQ126" s="84"/>
      <c r="BR126" s="84"/>
      <c r="BS126" s="84"/>
      <c r="BT126" s="84"/>
      <c r="BU126" s="84"/>
      <c r="BV126" s="84"/>
      <c r="BW126" s="84"/>
      <c r="BX126" s="84"/>
      <c r="BY126" s="84"/>
      <c r="BZ126" s="84"/>
      <c r="CA126" s="84"/>
      <c r="CB126" s="84"/>
      <c r="CC126" s="84"/>
      <c r="CD126" s="84"/>
      <c r="CE126" s="84"/>
      <c r="CF126" s="35"/>
      <c r="CG126" s="34"/>
      <c r="CH126" s="34"/>
      <c r="CI126" s="34"/>
      <c r="CJ126" s="34"/>
      <c r="CK126" s="34"/>
      <c r="CL126" s="34"/>
      <c r="CM126" s="34"/>
      <c r="CN126" s="34"/>
      <c r="CO126" s="35"/>
      <c r="CP126" s="35"/>
      <c r="CQ126" s="35"/>
      <c r="CR126" s="84"/>
      <c r="CS126" s="84"/>
      <c r="CT126" s="84"/>
      <c r="CU126" s="84"/>
      <c r="CV126" s="35"/>
      <c r="CW126" s="84"/>
      <c r="CX126" s="35"/>
      <c r="CY126" s="35"/>
      <c r="CZ126" s="35"/>
      <c r="DA126" s="35"/>
      <c r="DB126" s="35"/>
      <c r="DC126" s="84"/>
      <c r="DD126" s="35"/>
      <c r="DE126" s="35"/>
      <c r="DF126" s="35"/>
      <c r="DG126" s="35"/>
      <c r="DH126" s="35"/>
      <c r="DI126" s="84"/>
      <c r="DJ126" s="35"/>
      <c r="DK126" s="35"/>
      <c r="DL126" s="35"/>
      <c r="DM126" s="35"/>
      <c r="DN126" s="35"/>
      <c r="DO126" s="84"/>
      <c r="DP126" s="35"/>
      <c r="DQ126" s="35"/>
      <c r="DR126" s="35"/>
      <c r="DS126" s="35"/>
      <c r="DT126" s="35"/>
      <c r="DU126" s="84"/>
      <c r="DV126" s="35"/>
      <c r="DW126" s="35"/>
      <c r="DX126" s="35"/>
      <c r="DY126" s="35"/>
      <c r="DZ126" s="35"/>
      <c r="EA126" s="84"/>
      <c r="EB126" s="35"/>
      <c r="EC126" s="35"/>
      <c r="ED126" s="35"/>
      <c r="EE126" s="35"/>
      <c r="EF126" s="35"/>
      <c r="EG126" s="84"/>
      <c r="EH126" s="35"/>
      <c r="EI126" s="35"/>
      <c r="EJ126" s="35"/>
      <c r="EK126" s="35"/>
      <c r="EL126" s="35"/>
      <c r="EM126" s="84"/>
      <c r="EN126" s="35"/>
      <c r="EO126" s="35"/>
      <c r="EP126" s="35"/>
      <c r="EQ126" s="35"/>
      <c r="ER126" s="35"/>
      <c r="ES126" s="84"/>
      <c r="ET126" s="35"/>
      <c r="EU126" s="35"/>
      <c r="EV126" s="35"/>
      <c r="EW126" s="35"/>
      <c r="EX126" s="84"/>
      <c r="EY126" s="35"/>
      <c r="EZ126" s="35"/>
      <c r="FA126" s="35"/>
      <c r="FB126" s="35"/>
      <c r="FC126" s="35"/>
      <c r="FD126" s="84"/>
      <c r="FE126" s="84"/>
      <c r="FF126" s="84"/>
      <c r="FG126" s="84"/>
      <c r="FH126" s="84"/>
      <c r="FI126" s="84"/>
      <c r="FJ126" s="84"/>
      <c r="FK126" s="84"/>
      <c r="FL126" s="84"/>
      <c r="FM126" s="84"/>
      <c r="FN126" s="84"/>
      <c r="FO126" s="84"/>
      <c r="FP126" s="84"/>
      <c r="FQ126" s="84"/>
      <c r="FR126" s="84"/>
      <c r="FS126" s="84"/>
      <c r="FT126" s="84"/>
      <c r="FU126" s="84"/>
      <c r="FV126" s="84"/>
      <c r="FW126" s="84"/>
      <c r="FX126" s="84"/>
      <c r="FY126" s="84"/>
      <c r="FZ126" s="84"/>
      <c r="GA126" s="84"/>
      <c r="GB126" s="55" t="s">
        <v>187</v>
      </c>
      <c r="GC126" s="55" t="s">
        <v>187</v>
      </c>
      <c r="GD126" s="55" t="s">
        <v>30</v>
      </c>
      <c r="GE126" s="55" t="s">
        <v>31</v>
      </c>
      <c r="GF126" s="55" t="s">
        <v>32</v>
      </c>
      <c r="GG126" s="55" t="s">
        <v>32</v>
      </c>
      <c r="GH126" s="56" t="s">
        <v>188</v>
      </c>
      <c r="GI126" s="56" t="s">
        <v>188</v>
      </c>
      <c r="GJ126" s="56" t="s">
        <v>189</v>
      </c>
      <c r="GK126" s="56" t="s">
        <v>190</v>
      </c>
      <c r="GL126" s="56" t="s">
        <v>191</v>
      </c>
      <c r="GM126" s="57" t="s">
        <v>192</v>
      </c>
      <c r="GN126" s="57" t="s">
        <v>192</v>
      </c>
      <c r="GO126" s="57" t="s">
        <v>193</v>
      </c>
      <c r="GP126" s="57" t="s">
        <v>194</v>
      </c>
      <c r="GQ126" s="57" t="s">
        <v>195</v>
      </c>
      <c r="GR126" s="57" t="s">
        <v>195</v>
      </c>
      <c r="GS126" s="58" t="s">
        <v>196</v>
      </c>
      <c r="GT126" s="58" t="s">
        <v>196</v>
      </c>
      <c r="GU126" s="58" t="s">
        <v>197</v>
      </c>
      <c r="GV126" s="58" t="s">
        <v>198</v>
      </c>
      <c r="GW126" s="58" t="s">
        <v>199</v>
      </c>
      <c r="GX126" s="42" t="s">
        <v>33</v>
      </c>
      <c r="GY126" s="42" t="s">
        <v>33</v>
      </c>
      <c r="GZ126" s="42" t="s">
        <v>34</v>
      </c>
      <c r="HA126" s="42" t="s">
        <v>35</v>
      </c>
      <c r="HB126" s="42" t="s">
        <v>36</v>
      </c>
      <c r="HC126" s="59" t="s">
        <v>200</v>
      </c>
      <c r="HD126" s="59" t="s">
        <v>200</v>
      </c>
      <c r="HE126" s="59" t="s">
        <v>201</v>
      </c>
      <c r="HF126" s="59" t="s">
        <v>202</v>
      </c>
      <c r="HG126" s="59" t="s">
        <v>203</v>
      </c>
      <c r="HH126" s="84"/>
      <c r="HI126" s="84"/>
      <c r="HJ126" s="84"/>
      <c r="HK126" s="35"/>
      <c r="HL126" s="35"/>
      <c r="HM126" s="35"/>
      <c r="HN126" s="35"/>
      <c r="HO126" s="35"/>
      <c r="HP126" s="84"/>
      <c r="HQ126" s="84"/>
      <c r="HR126" s="84"/>
      <c r="HS126" s="84"/>
      <c r="HT126" s="84"/>
      <c r="HU126" s="84"/>
      <c r="HV126" s="84"/>
      <c r="HW126" s="84"/>
      <c r="HX126" s="84"/>
      <c r="HY126" s="84"/>
      <c r="HZ126" s="84"/>
      <c r="IA126" s="84"/>
      <c r="IB126" s="84"/>
      <c r="IC126" s="84"/>
      <c r="ID126" s="84"/>
      <c r="IE126" s="84"/>
      <c r="IF126" s="84"/>
      <c r="IG126" s="84"/>
      <c r="IH126" s="84"/>
      <c r="II126" s="84"/>
      <c r="IJ126" s="84"/>
      <c r="IK126" s="84"/>
      <c r="IL126" s="84"/>
      <c r="IM126" s="84"/>
      <c r="IN126" s="84"/>
      <c r="IO126" s="84"/>
      <c r="IP126" s="84"/>
      <c r="IQ126" s="84"/>
      <c r="IR126" s="84"/>
      <c r="IS126" s="84"/>
      <c r="IT126" s="84"/>
      <c r="IU126" s="84"/>
      <c r="IV126" s="84"/>
      <c r="IW126" s="84"/>
    </row>
    <row r="127" spans="2:257" s="28" customFormat="1" ht="14.4">
      <c r="B127" s="30">
        <f t="shared" si="150"/>
        <v>5.3199999999999932</v>
      </c>
      <c r="C127" s="44" t="s">
        <v>108</v>
      </c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84"/>
      <c r="BD127" s="84"/>
      <c r="BE127" s="84"/>
      <c r="BF127" s="84"/>
      <c r="BG127" s="84"/>
      <c r="BH127" s="84"/>
      <c r="BI127" s="84"/>
      <c r="BJ127" s="84"/>
      <c r="BK127" s="84"/>
      <c r="BL127" s="84"/>
      <c r="BM127" s="84"/>
      <c r="BN127" s="84"/>
      <c r="BO127" s="84"/>
      <c r="BP127" s="84"/>
      <c r="BQ127" s="84"/>
      <c r="BR127" s="84"/>
      <c r="BS127" s="84"/>
      <c r="BT127" s="84"/>
      <c r="BU127" s="84"/>
      <c r="BV127" s="84"/>
      <c r="BW127" s="84"/>
      <c r="BX127" s="84"/>
      <c r="BY127" s="84"/>
      <c r="BZ127" s="84"/>
      <c r="CA127" s="84"/>
      <c r="CB127" s="84"/>
      <c r="CC127" s="84"/>
      <c r="CD127" s="84"/>
      <c r="CE127" s="84"/>
      <c r="CF127" s="35"/>
      <c r="CG127" s="34"/>
      <c r="CH127" s="34"/>
      <c r="CI127" s="34"/>
      <c r="CJ127" s="34"/>
      <c r="CK127" s="34"/>
      <c r="CL127" s="34"/>
      <c r="CM127" s="34"/>
      <c r="CN127" s="34"/>
      <c r="CO127" s="35"/>
      <c r="CP127" s="35"/>
      <c r="CQ127" s="35"/>
      <c r="CR127" s="84"/>
      <c r="CS127" s="84"/>
      <c r="CT127" s="84"/>
      <c r="CU127" s="84"/>
      <c r="CV127" s="35"/>
      <c r="CW127" s="84"/>
      <c r="CX127" s="35"/>
      <c r="CY127" s="35"/>
      <c r="CZ127" s="35"/>
      <c r="DA127" s="35"/>
      <c r="DB127" s="35"/>
      <c r="DC127" s="84"/>
      <c r="DD127" s="35"/>
      <c r="DE127" s="35"/>
      <c r="DF127" s="35"/>
      <c r="DG127" s="35"/>
      <c r="DH127" s="35"/>
      <c r="DI127" s="84"/>
      <c r="DJ127" s="35"/>
      <c r="DK127" s="35"/>
      <c r="DL127" s="35"/>
      <c r="DM127" s="35"/>
      <c r="DN127" s="35"/>
      <c r="DO127" s="84"/>
      <c r="DP127" s="35"/>
      <c r="DQ127" s="35"/>
      <c r="DR127" s="35"/>
      <c r="DS127" s="35"/>
      <c r="DT127" s="35"/>
      <c r="DU127" s="84"/>
      <c r="DV127" s="35"/>
      <c r="DW127" s="35"/>
      <c r="DX127" s="35"/>
      <c r="DY127" s="35"/>
      <c r="DZ127" s="35"/>
      <c r="EA127" s="84"/>
      <c r="EB127" s="35"/>
      <c r="EC127" s="35"/>
      <c r="ED127" s="35"/>
      <c r="EE127" s="35"/>
      <c r="EF127" s="35"/>
      <c r="EG127" s="84"/>
      <c r="EH127" s="35"/>
      <c r="EI127" s="35"/>
      <c r="EJ127" s="35"/>
      <c r="EK127" s="35"/>
      <c r="EL127" s="35"/>
      <c r="EM127" s="84"/>
      <c r="EN127" s="35"/>
      <c r="EO127" s="35"/>
      <c r="EP127" s="35"/>
      <c r="EQ127" s="35"/>
      <c r="ER127" s="35"/>
      <c r="ES127" s="84"/>
      <c r="ET127" s="35"/>
      <c r="EU127" s="35"/>
      <c r="EV127" s="35"/>
      <c r="EW127" s="35"/>
      <c r="EX127" s="84"/>
      <c r="EY127" s="35"/>
      <c r="EZ127" s="35"/>
      <c r="FA127" s="35"/>
      <c r="FB127" s="35"/>
      <c r="FC127" s="35"/>
      <c r="FD127" s="84"/>
      <c r="FE127" s="84"/>
      <c r="FF127" s="84"/>
      <c r="FG127" s="84"/>
      <c r="FH127" s="84"/>
      <c r="FI127" s="84"/>
      <c r="FJ127" s="84"/>
      <c r="FK127" s="84"/>
      <c r="FL127" s="84"/>
      <c r="FM127" s="84"/>
      <c r="FN127" s="84"/>
      <c r="FO127" s="84"/>
      <c r="FP127" s="84"/>
      <c r="FQ127" s="84"/>
      <c r="FR127" s="84"/>
      <c r="FS127" s="84"/>
      <c r="FT127" s="84"/>
      <c r="FU127" s="84"/>
      <c r="FV127" s="84"/>
      <c r="FW127" s="84"/>
      <c r="FX127" s="84"/>
      <c r="FY127" s="84"/>
      <c r="FZ127" s="84"/>
      <c r="GA127" s="35"/>
      <c r="GB127" s="84"/>
      <c r="GC127" s="84"/>
      <c r="GD127" s="55" t="s">
        <v>187</v>
      </c>
      <c r="GE127" s="55" t="s">
        <v>30</v>
      </c>
      <c r="GF127" s="55" t="s">
        <v>31</v>
      </c>
      <c r="GG127" s="55" t="s">
        <v>31</v>
      </c>
      <c r="GH127" s="55" t="s">
        <v>32</v>
      </c>
      <c r="GI127" s="55" t="s">
        <v>32</v>
      </c>
      <c r="GJ127" s="56" t="s">
        <v>188</v>
      </c>
      <c r="GK127" s="56" t="s">
        <v>189</v>
      </c>
      <c r="GL127" s="56" t="s">
        <v>190</v>
      </c>
      <c r="GM127" s="56" t="s">
        <v>191</v>
      </c>
      <c r="GN127" s="56" t="s">
        <v>191</v>
      </c>
      <c r="GO127" s="57" t="s">
        <v>192</v>
      </c>
      <c r="GP127" s="57" t="s">
        <v>193</v>
      </c>
      <c r="GQ127" s="57" t="s">
        <v>194</v>
      </c>
      <c r="GR127" s="57" t="s">
        <v>194</v>
      </c>
      <c r="GS127" s="57" t="s">
        <v>195</v>
      </c>
      <c r="GT127" s="57" t="s">
        <v>195</v>
      </c>
      <c r="GU127" s="58" t="s">
        <v>196</v>
      </c>
      <c r="GV127" s="58" t="s">
        <v>197</v>
      </c>
      <c r="GW127" s="58" t="s">
        <v>198</v>
      </c>
      <c r="GX127" s="58" t="s">
        <v>199</v>
      </c>
      <c r="GY127" s="58" t="s">
        <v>199</v>
      </c>
      <c r="GZ127" s="42" t="s">
        <v>33</v>
      </c>
      <c r="HA127" s="42" t="s">
        <v>34</v>
      </c>
      <c r="HB127" s="42" t="s">
        <v>35</v>
      </c>
      <c r="HC127" s="42" t="s">
        <v>36</v>
      </c>
      <c r="HD127" s="42" t="s">
        <v>36</v>
      </c>
      <c r="HE127" s="59" t="s">
        <v>200</v>
      </c>
      <c r="HF127" s="59" t="s">
        <v>201</v>
      </c>
      <c r="HG127" s="59" t="s">
        <v>202</v>
      </c>
      <c r="HH127" s="59" t="s">
        <v>203</v>
      </c>
      <c r="HI127" s="59" t="s">
        <v>203</v>
      </c>
      <c r="HJ127" s="35"/>
      <c r="HK127" s="35"/>
      <c r="HL127" s="35"/>
      <c r="HM127" s="84"/>
      <c r="HN127" s="84"/>
      <c r="HO127" s="84"/>
      <c r="HP127" s="84"/>
      <c r="HQ127" s="84"/>
      <c r="HR127" s="84"/>
      <c r="HS127" s="84"/>
      <c r="HT127" s="84"/>
      <c r="HU127" s="84"/>
      <c r="HV127" s="84"/>
      <c r="HW127" s="84"/>
      <c r="HX127" s="84"/>
      <c r="HY127" s="84"/>
      <c r="HZ127" s="84"/>
      <c r="IA127" s="84"/>
      <c r="IB127" s="84"/>
      <c r="IC127" s="84"/>
      <c r="ID127" s="84"/>
      <c r="IE127" s="84"/>
      <c r="IF127" s="84"/>
      <c r="IG127" s="84"/>
      <c r="IH127" s="84"/>
      <c r="II127" s="84"/>
      <c r="IJ127" s="84"/>
      <c r="IK127" s="84"/>
      <c r="IL127" s="84"/>
      <c r="IM127" s="84"/>
      <c r="IN127" s="84"/>
      <c r="IO127" s="84"/>
      <c r="IP127" s="84"/>
      <c r="IQ127" s="84"/>
      <c r="IR127" s="84"/>
      <c r="IS127" s="84"/>
      <c r="IT127" s="84"/>
      <c r="IU127" s="84"/>
      <c r="IV127" s="84"/>
      <c r="IW127" s="84"/>
    </row>
    <row r="128" spans="2:257" s="28" customFormat="1" ht="14.4">
      <c r="B128" s="30">
        <f t="shared" si="150"/>
        <v>5.329999999999993</v>
      </c>
      <c r="C128" s="44" t="s">
        <v>109</v>
      </c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84"/>
      <c r="BD128" s="84"/>
      <c r="BE128" s="84"/>
      <c r="BF128" s="84"/>
      <c r="BG128" s="84"/>
      <c r="BH128" s="84"/>
      <c r="BI128" s="84"/>
      <c r="BJ128" s="84"/>
      <c r="BK128" s="84"/>
      <c r="BL128" s="84"/>
      <c r="BM128" s="84"/>
      <c r="BN128" s="84"/>
      <c r="BO128" s="84"/>
      <c r="BP128" s="84"/>
      <c r="BQ128" s="84"/>
      <c r="BR128" s="84"/>
      <c r="BS128" s="84"/>
      <c r="BT128" s="84"/>
      <c r="BU128" s="84"/>
      <c r="BV128" s="84"/>
      <c r="BW128" s="84"/>
      <c r="BX128" s="84"/>
      <c r="BY128" s="84"/>
      <c r="BZ128" s="84"/>
      <c r="CA128" s="84"/>
      <c r="CB128" s="84"/>
      <c r="CC128" s="84"/>
      <c r="CD128" s="84"/>
      <c r="CE128" s="84"/>
      <c r="CF128" s="35"/>
      <c r="CG128" s="34"/>
      <c r="CH128" s="34"/>
      <c r="CI128" s="34"/>
      <c r="CJ128" s="34"/>
      <c r="CK128" s="34"/>
      <c r="CL128" s="34"/>
      <c r="CM128" s="34"/>
      <c r="CN128" s="34"/>
      <c r="CO128" s="35"/>
      <c r="CP128" s="35"/>
      <c r="CQ128" s="35"/>
      <c r="CR128" s="84"/>
      <c r="CS128" s="84"/>
      <c r="CT128" s="84"/>
      <c r="CU128" s="84"/>
      <c r="CV128" s="35"/>
      <c r="CW128" s="84"/>
      <c r="CX128" s="35"/>
      <c r="CY128" s="35"/>
      <c r="CZ128" s="35"/>
      <c r="DA128" s="35"/>
      <c r="DB128" s="35"/>
      <c r="DC128" s="84"/>
      <c r="DD128" s="35"/>
      <c r="DE128" s="35"/>
      <c r="DF128" s="35"/>
      <c r="DG128" s="35"/>
      <c r="DH128" s="35"/>
      <c r="DI128" s="84"/>
      <c r="DJ128" s="35"/>
      <c r="DK128" s="35"/>
      <c r="DL128" s="35"/>
      <c r="DM128" s="35"/>
      <c r="DN128" s="35"/>
      <c r="DO128" s="84"/>
      <c r="DP128" s="35"/>
      <c r="DQ128" s="35"/>
      <c r="DR128" s="35"/>
      <c r="DS128" s="35"/>
      <c r="DT128" s="35"/>
      <c r="DU128" s="84"/>
      <c r="DV128" s="35"/>
      <c r="DW128" s="35"/>
      <c r="DX128" s="35"/>
      <c r="DY128" s="35"/>
      <c r="DZ128" s="35"/>
      <c r="EA128" s="84"/>
      <c r="EB128" s="35"/>
      <c r="EC128" s="35"/>
      <c r="ED128" s="35"/>
      <c r="EE128" s="35"/>
      <c r="EF128" s="35"/>
      <c r="EG128" s="84"/>
      <c r="EH128" s="35"/>
      <c r="EI128" s="35"/>
      <c r="EJ128" s="35"/>
      <c r="EK128" s="35"/>
      <c r="EL128" s="35"/>
      <c r="EM128" s="84"/>
      <c r="EN128" s="35"/>
      <c r="EO128" s="35"/>
      <c r="EP128" s="35"/>
      <c r="EQ128" s="35"/>
      <c r="ER128" s="35"/>
      <c r="ES128" s="84"/>
      <c r="ET128" s="35"/>
      <c r="EU128" s="35"/>
      <c r="EV128" s="35"/>
      <c r="EW128" s="35"/>
      <c r="EX128" s="84"/>
      <c r="EY128" s="35"/>
      <c r="EZ128" s="35"/>
      <c r="FA128" s="35"/>
      <c r="FB128" s="35"/>
      <c r="FC128" s="35"/>
      <c r="FD128" s="84"/>
      <c r="FE128" s="84"/>
      <c r="FF128" s="84"/>
      <c r="FG128" s="84"/>
      <c r="FH128" s="84"/>
      <c r="FI128" s="84"/>
      <c r="FJ128" s="84"/>
      <c r="FK128" s="84"/>
      <c r="FL128" s="84"/>
      <c r="FM128" s="84"/>
      <c r="FN128" s="84"/>
      <c r="FO128" s="84"/>
      <c r="FP128" s="84"/>
      <c r="FQ128" s="84"/>
      <c r="FR128" s="84"/>
      <c r="FS128" s="84"/>
      <c r="FT128" s="84"/>
      <c r="FU128" s="84"/>
      <c r="FV128" s="84"/>
      <c r="FW128" s="84"/>
      <c r="FX128" s="84"/>
      <c r="FY128" s="84"/>
      <c r="FZ128" s="84"/>
      <c r="GA128" s="84"/>
      <c r="GB128" s="35"/>
      <c r="GC128" s="84"/>
      <c r="GD128" s="35"/>
      <c r="GE128" s="55" t="s">
        <v>187</v>
      </c>
      <c r="GF128" s="55" t="s">
        <v>30</v>
      </c>
      <c r="GG128" s="55" t="s">
        <v>30</v>
      </c>
      <c r="GH128" s="55" t="s">
        <v>31</v>
      </c>
      <c r="GI128" s="55" t="s">
        <v>31</v>
      </c>
      <c r="GJ128" s="55" t="s">
        <v>32</v>
      </c>
      <c r="GK128" s="56" t="s">
        <v>188</v>
      </c>
      <c r="GL128" s="56" t="s">
        <v>189</v>
      </c>
      <c r="GM128" s="56" t="s">
        <v>190</v>
      </c>
      <c r="GN128" s="56" t="s">
        <v>190</v>
      </c>
      <c r="GO128" s="56" t="s">
        <v>191</v>
      </c>
      <c r="GP128" s="57" t="s">
        <v>192</v>
      </c>
      <c r="GQ128" s="57" t="s">
        <v>193</v>
      </c>
      <c r="GR128" s="57" t="s">
        <v>193</v>
      </c>
      <c r="GS128" s="57" t="s">
        <v>194</v>
      </c>
      <c r="GT128" s="57" t="s">
        <v>194</v>
      </c>
      <c r="GU128" s="57" t="s">
        <v>195</v>
      </c>
      <c r="GV128" s="58" t="s">
        <v>196</v>
      </c>
      <c r="GW128" s="58" t="s">
        <v>197</v>
      </c>
      <c r="GX128" s="58" t="s">
        <v>198</v>
      </c>
      <c r="GY128" s="58" t="s">
        <v>198</v>
      </c>
      <c r="GZ128" s="58" t="s">
        <v>199</v>
      </c>
      <c r="HA128" s="42" t="s">
        <v>33</v>
      </c>
      <c r="HB128" s="42" t="s">
        <v>34</v>
      </c>
      <c r="HC128" s="42" t="s">
        <v>35</v>
      </c>
      <c r="HD128" s="42" t="s">
        <v>35</v>
      </c>
      <c r="HE128" s="42" t="s">
        <v>36</v>
      </c>
      <c r="HF128" s="59" t="s">
        <v>200</v>
      </c>
      <c r="HG128" s="59" t="s">
        <v>201</v>
      </c>
      <c r="HH128" s="59" t="s">
        <v>202</v>
      </c>
      <c r="HI128" s="59" t="s">
        <v>202</v>
      </c>
      <c r="HJ128" s="59" t="s">
        <v>203</v>
      </c>
      <c r="HK128" s="35"/>
      <c r="HL128" s="35"/>
      <c r="HM128" s="84"/>
      <c r="HN128" s="84"/>
      <c r="HO128" s="84"/>
      <c r="HP128" s="84"/>
      <c r="HQ128" s="84"/>
      <c r="HR128" s="84"/>
      <c r="HS128" s="84"/>
      <c r="HT128" s="84"/>
      <c r="HU128" s="84"/>
      <c r="HV128" s="84"/>
      <c r="HW128" s="84"/>
      <c r="HX128" s="84"/>
      <c r="HY128" s="84"/>
      <c r="HZ128" s="84"/>
      <c r="IA128" s="84"/>
      <c r="IB128" s="84"/>
      <c r="IC128" s="84"/>
      <c r="ID128" s="84"/>
      <c r="IE128" s="84"/>
      <c r="IF128" s="84"/>
      <c r="IG128" s="84"/>
      <c r="IH128" s="84"/>
      <c r="II128" s="84"/>
      <c r="IJ128" s="84"/>
      <c r="IK128" s="84"/>
      <c r="IL128" s="84"/>
      <c r="IM128" s="84"/>
      <c r="IN128" s="84"/>
      <c r="IO128" s="84"/>
      <c r="IP128" s="84"/>
      <c r="IQ128" s="84"/>
      <c r="IR128" s="84"/>
      <c r="IS128" s="84"/>
      <c r="IT128" s="84"/>
      <c r="IU128" s="84"/>
      <c r="IV128" s="84"/>
      <c r="IW128" s="84"/>
    </row>
    <row r="129" spans="2:257" s="28" customFormat="1" ht="14.4">
      <c r="B129" s="30">
        <f t="shared" si="150"/>
        <v>5.3399999999999928</v>
      </c>
      <c r="C129" s="44" t="s">
        <v>110</v>
      </c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84"/>
      <c r="BD129" s="84"/>
      <c r="BE129" s="84"/>
      <c r="BF129" s="84"/>
      <c r="BG129" s="84"/>
      <c r="BH129" s="84"/>
      <c r="BI129" s="84"/>
      <c r="BJ129" s="84"/>
      <c r="BK129" s="84"/>
      <c r="BL129" s="84"/>
      <c r="BM129" s="84"/>
      <c r="BN129" s="84"/>
      <c r="BO129" s="84"/>
      <c r="BP129" s="84"/>
      <c r="BQ129" s="84"/>
      <c r="BR129" s="84"/>
      <c r="BS129" s="84"/>
      <c r="BT129" s="84"/>
      <c r="BU129" s="84"/>
      <c r="BV129" s="84"/>
      <c r="BW129" s="84"/>
      <c r="BX129" s="84"/>
      <c r="BY129" s="84"/>
      <c r="BZ129" s="84"/>
      <c r="CA129" s="84"/>
      <c r="CB129" s="84"/>
      <c r="CC129" s="84"/>
      <c r="CD129" s="84"/>
      <c r="CE129" s="84"/>
      <c r="CF129" s="35"/>
      <c r="CG129" s="34"/>
      <c r="CH129" s="34"/>
      <c r="CI129" s="34"/>
      <c r="CJ129" s="34"/>
      <c r="CK129" s="34"/>
      <c r="CL129" s="34"/>
      <c r="CM129" s="34"/>
      <c r="CN129" s="34"/>
      <c r="CO129" s="35"/>
      <c r="CP129" s="35"/>
      <c r="CQ129" s="35"/>
      <c r="CR129" s="84"/>
      <c r="CS129" s="84"/>
      <c r="CT129" s="84"/>
      <c r="CU129" s="84"/>
      <c r="CV129" s="35"/>
      <c r="CW129" s="84"/>
      <c r="CX129" s="35"/>
      <c r="CY129" s="35"/>
      <c r="CZ129" s="35"/>
      <c r="DA129" s="35"/>
      <c r="DB129" s="35"/>
      <c r="DC129" s="84"/>
      <c r="DD129" s="35"/>
      <c r="DE129" s="35"/>
      <c r="DF129" s="35"/>
      <c r="DG129" s="35"/>
      <c r="DH129" s="35"/>
      <c r="DI129" s="84"/>
      <c r="DJ129" s="35"/>
      <c r="DK129" s="35"/>
      <c r="DL129" s="35"/>
      <c r="DM129" s="35"/>
      <c r="DN129" s="35"/>
      <c r="DO129" s="84"/>
      <c r="DP129" s="35"/>
      <c r="DQ129" s="35"/>
      <c r="DR129" s="35"/>
      <c r="DS129" s="35"/>
      <c r="DT129" s="35"/>
      <c r="DU129" s="84"/>
      <c r="DV129" s="35"/>
      <c r="DW129" s="35"/>
      <c r="DX129" s="35"/>
      <c r="DY129" s="35"/>
      <c r="DZ129" s="35"/>
      <c r="EA129" s="84"/>
      <c r="EB129" s="35"/>
      <c r="EC129" s="35"/>
      <c r="ED129" s="35"/>
      <c r="EE129" s="35"/>
      <c r="EF129" s="35"/>
      <c r="EG129" s="84"/>
      <c r="EH129" s="35"/>
      <c r="EI129" s="35"/>
      <c r="EJ129" s="35"/>
      <c r="EK129" s="35"/>
      <c r="EL129" s="35"/>
      <c r="EM129" s="84"/>
      <c r="EN129" s="35"/>
      <c r="EO129" s="35"/>
      <c r="EP129" s="35"/>
      <c r="EQ129" s="35"/>
      <c r="ER129" s="35"/>
      <c r="ES129" s="84"/>
      <c r="ET129" s="35"/>
      <c r="EU129" s="35"/>
      <c r="EV129" s="35"/>
      <c r="EW129" s="35"/>
      <c r="EX129" s="84"/>
      <c r="EY129" s="35"/>
      <c r="EZ129" s="35"/>
      <c r="FA129" s="35"/>
      <c r="FB129" s="35"/>
      <c r="FC129" s="35"/>
      <c r="FD129" s="84"/>
      <c r="FE129" s="84"/>
      <c r="FF129" s="84"/>
      <c r="FG129" s="84"/>
      <c r="FH129" s="84"/>
      <c r="FI129" s="84"/>
      <c r="FJ129" s="84"/>
      <c r="FK129" s="84"/>
      <c r="FL129" s="84"/>
      <c r="FM129" s="84"/>
      <c r="FN129" s="84"/>
      <c r="FO129" s="84"/>
      <c r="FP129" s="84"/>
      <c r="FQ129" s="84"/>
      <c r="FR129" s="84"/>
      <c r="FS129" s="84"/>
      <c r="FT129" s="84"/>
      <c r="FU129" s="84"/>
      <c r="FV129" s="84"/>
      <c r="FW129" s="84"/>
      <c r="FX129" s="84"/>
      <c r="FY129" s="84"/>
      <c r="FZ129" s="84"/>
      <c r="GA129" s="84"/>
      <c r="GB129" s="35"/>
      <c r="GC129" s="84"/>
      <c r="GD129" s="35"/>
      <c r="GE129" s="35"/>
      <c r="GF129" s="55" t="s">
        <v>187</v>
      </c>
      <c r="GG129" s="55" t="s">
        <v>187</v>
      </c>
      <c r="GH129" s="55" t="s">
        <v>30</v>
      </c>
      <c r="GI129" s="55" t="s">
        <v>30</v>
      </c>
      <c r="GJ129" s="55" t="s">
        <v>31</v>
      </c>
      <c r="GK129" s="55" t="s">
        <v>32</v>
      </c>
      <c r="GL129" s="56" t="s">
        <v>188</v>
      </c>
      <c r="GM129" s="56" t="s">
        <v>189</v>
      </c>
      <c r="GN129" s="56" t="s">
        <v>189</v>
      </c>
      <c r="GO129" s="56" t="s">
        <v>190</v>
      </c>
      <c r="GP129" s="56" t="s">
        <v>191</v>
      </c>
      <c r="GQ129" s="57" t="s">
        <v>192</v>
      </c>
      <c r="GR129" s="57" t="s">
        <v>192</v>
      </c>
      <c r="GS129" s="57" t="s">
        <v>193</v>
      </c>
      <c r="GT129" s="57" t="s">
        <v>193</v>
      </c>
      <c r="GU129" s="57" t="s">
        <v>194</v>
      </c>
      <c r="GV129" s="57" t="s">
        <v>195</v>
      </c>
      <c r="GW129" s="58" t="s">
        <v>196</v>
      </c>
      <c r="GX129" s="58" t="s">
        <v>197</v>
      </c>
      <c r="GY129" s="58" t="s">
        <v>197</v>
      </c>
      <c r="GZ129" s="58" t="s">
        <v>198</v>
      </c>
      <c r="HA129" s="58" t="s">
        <v>199</v>
      </c>
      <c r="HB129" s="42" t="s">
        <v>33</v>
      </c>
      <c r="HC129" s="42" t="s">
        <v>34</v>
      </c>
      <c r="HD129" s="42" t="s">
        <v>34</v>
      </c>
      <c r="HE129" s="42" t="s">
        <v>35</v>
      </c>
      <c r="HF129" s="42" t="s">
        <v>36</v>
      </c>
      <c r="HG129" s="59" t="s">
        <v>200</v>
      </c>
      <c r="HH129" s="59" t="s">
        <v>201</v>
      </c>
      <c r="HI129" s="59" t="s">
        <v>201</v>
      </c>
      <c r="HJ129" s="59" t="s">
        <v>202</v>
      </c>
      <c r="HK129" s="35"/>
      <c r="HL129" s="35"/>
      <c r="HM129" s="84"/>
      <c r="HN129" s="84"/>
      <c r="HO129" s="84"/>
      <c r="HP129" s="84"/>
      <c r="HQ129" s="84"/>
      <c r="HR129" s="84"/>
      <c r="HS129" s="84"/>
      <c r="HT129" s="84"/>
      <c r="HU129" s="84"/>
      <c r="HV129" s="84"/>
      <c r="HW129" s="84"/>
      <c r="HX129" s="84"/>
      <c r="HY129" s="84"/>
      <c r="HZ129" s="84"/>
      <c r="IA129" s="84"/>
      <c r="IB129" s="84"/>
      <c r="IC129" s="84"/>
      <c r="ID129" s="84"/>
      <c r="IE129" s="84"/>
      <c r="IF129" s="84"/>
      <c r="IG129" s="84"/>
      <c r="IH129" s="84"/>
      <c r="II129" s="84"/>
      <c r="IJ129" s="84"/>
      <c r="IK129" s="84"/>
      <c r="IL129" s="84"/>
      <c r="IM129" s="84"/>
      <c r="IN129" s="84"/>
      <c r="IO129" s="84"/>
      <c r="IP129" s="84"/>
      <c r="IQ129" s="84"/>
      <c r="IR129" s="84"/>
      <c r="IS129" s="84"/>
      <c r="IT129" s="84"/>
      <c r="IU129" s="84"/>
      <c r="IV129" s="84"/>
      <c r="IW129" s="84"/>
    </row>
    <row r="130" spans="2:257" s="28" customFormat="1" ht="14.4">
      <c r="B130" s="30">
        <f t="shared" si="150"/>
        <v>5.3499999999999925</v>
      </c>
      <c r="C130" s="44" t="s">
        <v>111</v>
      </c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84"/>
      <c r="BD130" s="84"/>
      <c r="BE130" s="84"/>
      <c r="BF130" s="84"/>
      <c r="BG130" s="84"/>
      <c r="BH130" s="84"/>
      <c r="BI130" s="84"/>
      <c r="BJ130" s="84"/>
      <c r="BK130" s="84"/>
      <c r="BL130" s="84"/>
      <c r="BM130" s="84"/>
      <c r="BN130" s="84"/>
      <c r="BO130" s="84"/>
      <c r="BP130" s="84"/>
      <c r="BQ130" s="84"/>
      <c r="BR130" s="84"/>
      <c r="BS130" s="84"/>
      <c r="BT130" s="84"/>
      <c r="BU130" s="84"/>
      <c r="BV130" s="84"/>
      <c r="BW130" s="84"/>
      <c r="BX130" s="84"/>
      <c r="BY130" s="84"/>
      <c r="BZ130" s="84"/>
      <c r="CA130" s="84"/>
      <c r="CB130" s="84"/>
      <c r="CC130" s="84"/>
      <c r="CD130" s="84"/>
      <c r="CE130" s="84"/>
      <c r="CF130" s="35"/>
      <c r="CG130" s="34"/>
      <c r="CH130" s="34"/>
      <c r="CI130" s="34"/>
      <c r="CJ130" s="34"/>
      <c r="CK130" s="34"/>
      <c r="CL130" s="34"/>
      <c r="CM130" s="34"/>
      <c r="CN130" s="34"/>
      <c r="CO130" s="35"/>
      <c r="CP130" s="35"/>
      <c r="CQ130" s="35"/>
      <c r="CR130" s="84"/>
      <c r="CS130" s="84"/>
      <c r="CT130" s="84"/>
      <c r="CU130" s="84"/>
      <c r="CV130" s="35"/>
      <c r="CW130" s="84"/>
      <c r="CX130" s="35"/>
      <c r="CY130" s="35"/>
      <c r="CZ130" s="35"/>
      <c r="DA130" s="35"/>
      <c r="DB130" s="35"/>
      <c r="DC130" s="84"/>
      <c r="DD130" s="35"/>
      <c r="DE130" s="35"/>
      <c r="DF130" s="35"/>
      <c r="DG130" s="35"/>
      <c r="DH130" s="35"/>
      <c r="DI130" s="84"/>
      <c r="DJ130" s="35"/>
      <c r="DK130" s="35"/>
      <c r="DL130" s="35"/>
      <c r="DM130" s="35"/>
      <c r="DN130" s="35"/>
      <c r="DO130" s="84"/>
      <c r="DP130" s="35"/>
      <c r="DQ130" s="35"/>
      <c r="DR130" s="35"/>
      <c r="DS130" s="35"/>
      <c r="DT130" s="35"/>
      <c r="DU130" s="84"/>
      <c r="DV130" s="35"/>
      <c r="DW130" s="35"/>
      <c r="DX130" s="35"/>
      <c r="DY130" s="35"/>
      <c r="DZ130" s="35"/>
      <c r="EA130" s="84"/>
      <c r="EB130" s="35"/>
      <c r="EC130" s="35"/>
      <c r="ED130" s="35"/>
      <c r="EE130" s="35"/>
      <c r="EF130" s="35"/>
      <c r="EG130" s="84"/>
      <c r="EH130" s="35"/>
      <c r="EI130" s="35"/>
      <c r="EJ130" s="35"/>
      <c r="EK130" s="35"/>
      <c r="EL130" s="35"/>
      <c r="EM130" s="84"/>
      <c r="EN130" s="35"/>
      <c r="EO130" s="35"/>
      <c r="EP130" s="35"/>
      <c r="EQ130" s="35"/>
      <c r="ER130" s="35"/>
      <c r="ES130" s="84"/>
      <c r="ET130" s="35"/>
      <c r="EU130" s="35"/>
      <c r="EV130" s="35"/>
      <c r="EW130" s="35"/>
      <c r="EX130" s="84"/>
      <c r="EY130" s="35"/>
      <c r="EZ130" s="35"/>
      <c r="FA130" s="35"/>
      <c r="FB130" s="35"/>
      <c r="FC130" s="35"/>
      <c r="FD130" s="84"/>
      <c r="FE130" s="84"/>
      <c r="FF130" s="84"/>
      <c r="FG130" s="84"/>
      <c r="FH130" s="84"/>
      <c r="FI130" s="84"/>
      <c r="FJ130" s="84"/>
      <c r="FK130" s="84"/>
      <c r="FL130" s="84"/>
      <c r="FM130" s="84"/>
      <c r="FN130" s="84"/>
      <c r="FO130" s="84"/>
      <c r="FP130" s="84"/>
      <c r="FQ130" s="84"/>
      <c r="FR130" s="84"/>
      <c r="FS130" s="84"/>
      <c r="FT130" s="84"/>
      <c r="FU130" s="84"/>
      <c r="FV130" s="84"/>
      <c r="FW130" s="84"/>
      <c r="FX130" s="84"/>
      <c r="FY130" s="84"/>
      <c r="FZ130" s="84"/>
      <c r="GA130" s="84"/>
      <c r="GB130" s="35"/>
      <c r="GC130" s="84"/>
      <c r="GD130" s="35"/>
      <c r="GE130" s="35"/>
      <c r="GF130" s="35"/>
      <c r="GG130" s="35"/>
      <c r="GH130" s="55" t="s">
        <v>187</v>
      </c>
      <c r="GI130" s="55" t="s">
        <v>187</v>
      </c>
      <c r="GJ130" s="55" t="s">
        <v>30</v>
      </c>
      <c r="GK130" s="55" t="s">
        <v>31</v>
      </c>
      <c r="GL130" s="55" t="s">
        <v>32</v>
      </c>
      <c r="GM130" s="56" t="s">
        <v>188</v>
      </c>
      <c r="GN130" s="56" t="s">
        <v>188</v>
      </c>
      <c r="GO130" s="56" t="s">
        <v>189</v>
      </c>
      <c r="GP130" s="56" t="s">
        <v>190</v>
      </c>
      <c r="GQ130" s="56" t="s">
        <v>191</v>
      </c>
      <c r="GR130" s="56" t="s">
        <v>191</v>
      </c>
      <c r="GS130" s="57" t="s">
        <v>192</v>
      </c>
      <c r="GT130" s="57" t="s">
        <v>192</v>
      </c>
      <c r="GU130" s="57" t="s">
        <v>193</v>
      </c>
      <c r="GV130" s="57" t="s">
        <v>194</v>
      </c>
      <c r="GW130" s="57" t="s">
        <v>195</v>
      </c>
      <c r="GX130" s="58" t="s">
        <v>196</v>
      </c>
      <c r="GY130" s="58" t="s">
        <v>196</v>
      </c>
      <c r="GZ130" s="58" t="s">
        <v>197</v>
      </c>
      <c r="HA130" s="58" t="s">
        <v>198</v>
      </c>
      <c r="HB130" s="58" t="s">
        <v>199</v>
      </c>
      <c r="HC130" s="42" t="s">
        <v>33</v>
      </c>
      <c r="HD130" s="42" t="s">
        <v>33</v>
      </c>
      <c r="HE130" s="42" t="s">
        <v>34</v>
      </c>
      <c r="HF130" s="42" t="s">
        <v>35</v>
      </c>
      <c r="HG130" s="42" t="s">
        <v>36</v>
      </c>
      <c r="HH130" s="59" t="s">
        <v>200</v>
      </c>
      <c r="HI130" s="59" t="s">
        <v>200</v>
      </c>
      <c r="HJ130" s="59" t="s">
        <v>201</v>
      </c>
      <c r="HK130" s="59" t="s">
        <v>202</v>
      </c>
      <c r="HL130" s="59" t="s">
        <v>203</v>
      </c>
      <c r="HM130" s="84"/>
      <c r="HN130" s="84"/>
      <c r="HO130" s="84"/>
      <c r="HP130" s="84"/>
      <c r="HQ130" s="84"/>
      <c r="HR130" s="84"/>
      <c r="HS130" s="84"/>
      <c r="HT130" s="35"/>
      <c r="HU130" s="35"/>
      <c r="HV130" s="84"/>
      <c r="HW130" s="84"/>
      <c r="HX130" s="84"/>
      <c r="HY130" s="84"/>
      <c r="HZ130" s="84"/>
      <c r="IA130" s="84"/>
      <c r="IB130" s="84"/>
      <c r="IC130" s="84"/>
      <c r="ID130" s="84"/>
      <c r="IE130" s="84"/>
      <c r="IF130" s="84"/>
      <c r="IG130" s="84"/>
      <c r="IH130" s="84"/>
      <c r="II130" s="84"/>
      <c r="IJ130" s="84"/>
      <c r="IK130" s="84"/>
      <c r="IL130" s="84"/>
      <c r="IM130" s="84"/>
      <c r="IN130" s="84"/>
      <c r="IO130" s="84"/>
      <c r="IP130" s="84"/>
      <c r="IQ130" s="84"/>
      <c r="IR130" s="84"/>
      <c r="IS130" s="84"/>
      <c r="IT130" s="84"/>
      <c r="IU130" s="84"/>
      <c r="IV130" s="84"/>
      <c r="IW130" s="84"/>
    </row>
    <row r="131" spans="2:257" s="28" customFormat="1" ht="14.4">
      <c r="B131" s="30">
        <f t="shared" si="150"/>
        <v>5.3599999999999923</v>
      </c>
      <c r="C131" s="44" t="s">
        <v>112</v>
      </c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84"/>
      <c r="BD131" s="84"/>
      <c r="BE131" s="84"/>
      <c r="BF131" s="84"/>
      <c r="BG131" s="84"/>
      <c r="BH131" s="84"/>
      <c r="BI131" s="84"/>
      <c r="BJ131" s="84"/>
      <c r="BK131" s="84"/>
      <c r="BL131" s="84"/>
      <c r="BM131" s="84"/>
      <c r="BN131" s="84"/>
      <c r="BO131" s="84"/>
      <c r="BP131" s="84"/>
      <c r="BQ131" s="84"/>
      <c r="BR131" s="84"/>
      <c r="BS131" s="84"/>
      <c r="BT131" s="84"/>
      <c r="BU131" s="84"/>
      <c r="BV131" s="84"/>
      <c r="BW131" s="84"/>
      <c r="BX131" s="84"/>
      <c r="BY131" s="84"/>
      <c r="BZ131" s="84"/>
      <c r="CA131" s="84"/>
      <c r="CB131" s="84"/>
      <c r="CC131" s="84"/>
      <c r="CD131" s="84"/>
      <c r="CE131" s="84"/>
      <c r="CF131" s="35"/>
      <c r="CG131" s="34"/>
      <c r="CH131" s="34"/>
      <c r="CI131" s="34"/>
      <c r="CJ131" s="34"/>
      <c r="CK131" s="34"/>
      <c r="CL131" s="34"/>
      <c r="CM131" s="34"/>
      <c r="CN131" s="34"/>
      <c r="CO131" s="35"/>
      <c r="CP131" s="35"/>
      <c r="CQ131" s="35"/>
      <c r="CR131" s="84"/>
      <c r="CS131" s="84"/>
      <c r="CT131" s="84"/>
      <c r="CU131" s="84"/>
      <c r="CV131" s="35"/>
      <c r="CW131" s="84"/>
      <c r="CX131" s="35"/>
      <c r="CY131" s="35"/>
      <c r="CZ131" s="35"/>
      <c r="DA131" s="35"/>
      <c r="DB131" s="35"/>
      <c r="DC131" s="84"/>
      <c r="DD131" s="35"/>
      <c r="DE131" s="35"/>
      <c r="DF131" s="35"/>
      <c r="DG131" s="35"/>
      <c r="DH131" s="35"/>
      <c r="DI131" s="84"/>
      <c r="DJ131" s="35"/>
      <c r="DK131" s="35"/>
      <c r="DL131" s="35"/>
      <c r="DM131" s="35"/>
      <c r="DN131" s="35"/>
      <c r="DO131" s="84"/>
      <c r="DP131" s="35"/>
      <c r="DQ131" s="35"/>
      <c r="DR131" s="35"/>
      <c r="DS131" s="35"/>
      <c r="DT131" s="35"/>
      <c r="DU131" s="84"/>
      <c r="DV131" s="35"/>
      <c r="DW131" s="35"/>
      <c r="DX131" s="35"/>
      <c r="DY131" s="35"/>
      <c r="DZ131" s="35"/>
      <c r="EA131" s="84"/>
      <c r="EB131" s="34"/>
      <c r="EC131" s="34"/>
      <c r="ED131" s="34"/>
      <c r="EE131" s="35"/>
      <c r="EF131" s="35"/>
      <c r="EG131" s="84"/>
      <c r="EH131" s="35"/>
      <c r="EI131" s="35"/>
      <c r="EJ131" s="35"/>
      <c r="EK131" s="35"/>
      <c r="EL131" s="35"/>
      <c r="EM131" s="84"/>
      <c r="EN131" s="35"/>
      <c r="EO131" s="35"/>
      <c r="EP131" s="35"/>
      <c r="EQ131" s="35"/>
      <c r="ER131" s="35"/>
      <c r="ES131" s="84"/>
      <c r="ET131" s="35"/>
      <c r="EU131" s="35"/>
      <c r="EV131" s="35"/>
      <c r="EW131" s="35"/>
      <c r="EX131" s="84"/>
      <c r="EY131" s="35"/>
      <c r="EZ131" s="35"/>
      <c r="FA131" s="35"/>
      <c r="FB131" s="35"/>
      <c r="FC131" s="35"/>
      <c r="FD131" s="84"/>
      <c r="FE131" s="84"/>
      <c r="FF131" s="35"/>
      <c r="FG131" s="35"/>
      <c r="FH131" s="35"/>
      <c r="FI131" s="35"/>
      <c r="FJ131" s="84"/>
      <c r="FK131" s="35"/>
      <c r="FL131" s="84"/>
      <c r="FM131" s="84"/>
      <c r="FN131" s="84"/>
      <c r="FO131" s="84"/>
      <c r="FP131" s="84"/>
      <c r="FQ131" s="84"/>
      <c r="FR131" s="84"/>
      <c r="FS131" s="84"/>
      <c r="FT131" s="84"/>
      <c r="FU131" s="84"/>
      <c r="FV131" s="84"/>
      <c r="FW131" s="84"/>
      <c r="FX131" s="84"/>
      <c r="FY131" s="84"/>
      <c r="FZ131" s="84"/>
      <c r="GA131" s="84"/>
      <c r="GB131" s="84"/>
      <c r="GC131" s="84"/>
      <c r="GD131" s="84"/>
      <c r="GE131" s="84"/>
      <c r="GF131" s="84"/>
      <c r="GG131" s="35"/>
      <c r="GH131" s="84"/>
      <c r="GI131" s="84"/>
      <c r="GJ131" s="55" t="s">
        <v>187</v>
      </c>
      <c r="GK131" s="55" t="s">
        <v>30</v>
      </c>
      <c r="GL131" s="55" t="s">
        <v>31</v>
      </c>
      <c r="GM131" s="55" t="s">
        <v>32</v>
      </c>
      <c r="GN131" s="55" t="s">
        <v>32</v>
      </c>
      <c r="GO131" s="56" t="s">
        <v>188</v>
      </c>
      <c r="GP131" s="56" t="s">
        <v>189</v>
      </c>
      <c r="GQ131" s="56" t="s">
        <v>190</v>
      </c>
      <c r="GR131" s="56" t="s">
        <v>190</v>
      </c>
      <c r="GS131" s="56" t="s">
        <v>191</v>
      </c>
      <c r="GT131" s="56" t="s">
        <v>191</v>
      </c>
      <c r="GU131" s="57" t="s">
        <v>192</v>
      </c>
      <c r="GV131" s="57" t="s">
        <v>193</v>
      </c>
      <c r="GW131" s="57" t="s">
        <v>194</v>
      </c>
      <c r="GX131" s="57" t="s">
        <v>195</v>
      </c>
      <c r="GY131" s="57" t="s">
        <v>195</v>
      </c>
      <c r="GZ131" s="58" t="s">
        <v>196</v>
      </c>
      <c r="HA131" s="58" t="s">
        <v>197</v>
      </c>
      <c r="HB131" s="58" t="s">
        <v>198</v>
      </c>
      <c r="HC131" s="58" t="s">
        <v>199</v>
      </c>
      <c r="HD131" s="58" t="s">
        <v>199</v>
      </c>
      <c r="HE131" s="42" t="s">
        <v>33</v>
      </c>
      <c r="HF131" s="42" t="s">
        <v>34</v>
      </c>
      <c r="HG131" s="42" t="s">
        <v>35</v>
      </c>
      <c r="HH131" s="42" t="s">
        <v>36</v>
      </c>
      <c r="HI131" s="42" t="s">
        <v>36</v>
      </c>
      <c r="HJ131" s="59" t="s">
        <v>200</v>
      </c>
      <c r="HK131" s="59" t="s">
        <v>201</v>
      </c>
      <c r="HL131" s="59" t="s">
        <v>202</v>
      </c>
      <c r="HM131" s="59" t="s">
        <v>203</v>
      </c>
      <c r="HN131" s="35"/>
      <c r="HO131" s="35"/>
      <c r="HP131" s="35"/>
      <c r="HQ131" s="84"/>
      <c r="HR131" s="84"/>
      <c r="HS131" s="84"/>
      <c r="HT131" s="84"/>
      <c r="HU131" s="84"/>
      <c r="HV131" s="84"/>
      <c r="HW131" s="84"/>
      <c r="HX131" s="84"/>
      <c r="HY131" s="84"/>
      <c r="HZ131" s="84"/>
      <c r="IA131" s="84"/>
      <c r="IB131" s="84"/>
      <c r="IC131" s="84"/>
      <c r="ID131" s="84"/>
      <c r="IE131" s="84"/>
      <c r="IF131" s="84"/>
      <c r="IG131" s="84"/>
      <c r="IH131" s="84"/>
      <c r="II131" s="84"/>
      <c r="IJ131" s="84"/>
      <c r="IK131" s="84"/>
      <c r="IL131" s="84"/>
      <c r="IM131" s="84"/>
      <c r="IN131" s="84"/>
      <c r="IO131" s="84"/>
      <c r="IP131" s="84"/>
      <c r="IQ131" s="84"/>
      <c r="IR131" s="84"/>
      <c r="IS131" s="84"/>
      <c r="IT131" s="84"/>
      <c r="IU131" s="84"/>
      <c r="IV131" s="84"/>
      <c r="IW131" s="84"/>
    </row>
    <row r="132" spans="2:257" s="28" customFormat="1" ht="14.4">
      <c r="B132" s="30">
        <f t="shared" si="150"/>
        <v>5.3699999999999921</v>
      </c>
      <c r="C132" s="44" t="s">
        <v>113</v>
      </c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  <c r="BM132" s="84"/>
      <c r="BN132" s="84"/>
      <c r="BO132" s="84"/>
      <c r="BP132" s="84"/>
      <c r="BQ132" s="84"/>
      <c r="BR132" s="84"/>
      <c r="BS132" s="84"/>
      <c r="BT132" s="84"/>
      <c r="BU132" s="84"/>
      <c r="BV132" s="84"/>
      <c r="BW132" s="84"/>
      <c r="BX132" s="84"/>
      <c r="BY132" s="84"/>
      <c r="BZ132" s="84"/>
      <c r="CA132" s="84"/>
      <c r="CB132" s="84"/>
      <c r="CC132" s="84"/>
      <c r="CD132" s="84"/>
      <c r="CE132" s="84"/>
      <c r="CF132" s="35"/>
      <c r="CG132" s="34"/>
      <c r="CH132" s="34"/>
      <c r="CI132" s="34"/>
      <c r="CJ132" s="34"/>
      <c r="CK132" s="34"/>
      <c r="CL132" s="34"/>
      <c r="CM132" s="34"/>
      <c r="CN132" s="34"/>
      <c r="CO132" s="35"/>
      <c r="CP132" s="35"/>
      <c r="CQ132" s="35"/>
      <c r="CR132" s="84"/>
      <c r="CS132" s="84"/>
      <c r="CT132" s="84"/>
      <c r="CU132" s="84"/>
      <c r="CV132" s="35"/>
      <c r="CW132" s="84"/>
      <c r="CX132" s="35"/>
      <c r="CY132" s="35"/>
      <c r="CZ132" s="35"/>
      <c r="DA132" s="35"/>
      <c r="DB132" s="35"/>
      <c r="DC132" s="84"/>
      <c r="DD132" s="35"/>
      <c r="DE132" s="35"/>
      <c r="DF132" s="35"/>
      <c r="DG132" s="35"/>
      <c r="DH132" s="35"/>
      <c r="DI132" s="84"/>
      <c r="DJ132" s="35"/>
      <c r="DK132" s="35"/>
      <c r="DL132" s="35"/>
      <c r="DM132" s="35"/>
      <c r="DN132" s="35"/>
      <c r="DO132" s="84"/>
      <c r="DP132" s="35"/>
      <c r="DQ132" s="35"/>
      <c r="DR132" s="35"/>
      <c r="DS132" s="35"/>
      <c r="DT132" s="35"/>
      <c r="DU132" s="84"/>
      <c r="DV132" s="35"/>
      <c r="DW132" s="35"/>
      <c r="DX132" s="35"/>
      <c r="DY132" s="35"/>
      <c r="DZ132" s="35"/>
      <c r="EA132" s="84"/>
      <c r="EB132" s="35"/>
      <c r="EC132" s="35"/>
      <c r="ED132" s="35"/>
      <c r="EE132" s="35"/>
      <c r="EF132" s="35"/>
      <c r="EG132" s="84"/>
      <c r="EH132" s="35"/>
      <c r="EI132" s="35"/>
      <c r="EJ132" s="35"/>
      <c r="EK132" s="35"/>
      <c r="EL132" s="35"/>
      <c r="EM132" s="84"/>
      <c r="EN132" s="35"/>
      <c r="EO132" s="35"/>
      <c r="EP132" s="35"/>
      <c r="EQ132" s="35"/>
      <c r="ER132" s="35"/>
      <c r="ES132" s="84"/>
      <c r="ET132" s="35"/>
      <c r="EU132" s="35"/>
      <c r="EV132" s="35"/>
      <c r="EW132" s="35"/>
      <c r="EX132" s="84"/>
      <c r="EY132" s="35"/>
      <c r="EZ132" s="35"/>
      <c r="FA132" s="35"/>
      <c r="FB132" s="35"/>
      <c r="FC132" s="35"/>
      <c r="FD132" s="84"/>
      <c r="FE132" s="84"/>
      <c r="FF132" s="35"/>
      <c r="FG132" s="35"/>
      <c r="FH132" s="35"/>
      <c r="FI132" s="35"/>
      <c r="FJ132" s="84"/>
      <c r="FK132" s="35"/>
      <c r="FL132" s="84"/>
      <c r="FM132" s="84"/>
      <c r="FN132" s="84"/>
      <c r="FO132" s="84"/>
      <c r="FP132" s="84"/>
      <c r="FQ132" s="84"/>
      <c r="FR132" s="84"/>
      <c r="FS132" s="84"/>
      <c r="FT132" s="84"/>
      <c r="FU132" s="84"/>
      <c r="FV132" s="84"/>
      <c r="FW132" s="84"/>
      <c r="FX132" s="84"/>
      <c r="FY132" s="84"/>
      <c r="FZ132" s="84"/>
      <c r="GA132" s="84"/>
      <c r="GB132" s="84"/>
      <c r="GC132" s="84"/>
      <c r="GD132" s="84"/>
      <c r="GE132" s="84"/>
      <c r="GF132" s="84"/>
      <c r="GG132" s="84"/>
      <c r="GH132" s="84"/>
      <c r="GI132" s="84"/>
      <c r="GJ132" s="35"/>
      <c r="GK132" s="55" t="s">
        <v>187</v>
      </c>
      <c r="GL132" s="55" t="s">
        <v>30</v>
      </c>
      <c r="GM132" s="55" t="s">
        <v>31</v>
      </c>
      <c r="GN132" s="55" t="s">
        <v>31</v>
      </c>
      <c r="GO132" s="55" t="s">
        <v>32</v>
      </c>
      <c r="GP132" s="56" t="s">
        <v>188</v>
      </c>
      <c r="GQ132" s="56" t="s">
        <v>189</v>
      </c>
      <c r="GR132" s="56" t="s">
        <v>189</v>
      </c>
      <c r="GS132" s="56" t="s">
        <v>190</v>
      </c>
      <c r="GT132" s="56" t="s">
        <v>190</v>
      </c>
      <c r="GU132" s="56" t="s">
        <v>191</v>
      </c>
      <c r="GV132" s="57" t="s">
        <v>192</v>
      </c>
      <c r="GW132" s="57" t="s">
        <v>193</v>
      </c>
      <c r="GX132" s="57" t="s">
        <v>194</v>
      </c>
      <c r="GY132" s="57" t="s">
        <v>194</v>
      </c>
      <c r="GZ132" s="57" t="s">
        <v>195</v>
      </c>
      <c r="HA132" s="58" t="s">
        <v>196</v>
      </c>
      <c r="HB132" s="58" t="s">
        <v>197</v>
      </c>
      <c r="HC132" s="58" t="s">
        <v>198</v>
      </c>
      <c r="HD132" s="58" t="s">
        <v>198</v>
      </c>
      <c r="HE132" s="58" t="s">
        <v>199</v>
      </c>
      <c r="HF132" s="42" t="s">
        <v>33</v>
      </c>
      <c r="HG132" s="42" t="s">
        <v>34</v>
      </c>
      <c r="HH132" s="42" t="s">
        <v>35</v>
      </c>
      <c r="HI132" s="42" t="s">
        <v>35</v>
      </c>
      <c r="HJ132" s="42" t="s">
        <v>36</v>
      </c>
      <c r="HK132" s="59" t="s">
        <v>200</v>
      </c>
      <c r="HL132" s="59" t="s">
        <v>201</v>
      </c>
      <c r="HM132" s="59" t="s">
        <v>202</v>
      </c>
      <c r="HN132" s="59" t="s">
        <v>203</v>
      </c>
      <c r="HO132" s="35"/>
      <c r="HP132" s="35"/>
      <c r="HQ132" s="84"/>
      <c r="HR132" s="84"/>
      <c r="HS132" s="84"/>
      <c r="HT132" s="84"/>
      <c r="HU132" s="84"/>
      <c r="HV132" s="84"/>
      <c r="HW132" s="84"/>
      <c r="HX132" s="84"/>
      <c r="HY132" s="84"/>
      <c r="HZ132" s="84"/>
      <c r="IA132" s="84"/>
      <c r="IB132" s="84"/>
      <c r="IC132" s="84"/>
      <c r="ID132" s="84"/>
      <c r="IE132" s="84"/>
      <c r="IF132" s="84"/>
      <c r="IG132" s="84"/>
      <c r="IH132" s="84"/>
      <c r="II132" s="84"/>
      <c r="IJ132" s="84"/>
      <c r="IK132" s="84"/>
      <c r="IL132" s="84"/>
      <c r="IM132" s="84"/>
      <c r="IN132" s="84"/>
      <c r="IO132" s="84"/>
      <c r="IP132" s="84"/>
      <c r="IQ132" s="84"/>
      <c r="IR132" s="84"/>
      <c r="IS132" s="84"/>
      <c r="IT132" s="84"/>
      <c r="IU132" s="84"/>
      <c r="IV132" s="84"/>
      <c r="IW132" s="84"/>
    </row>
    <row r="133" spans="2:257" s="28" customFormat="1" ht="14.4">
      <c r="B133" s="30">
        <f t="shared" si="150"/>
        <v>5.3799999999999919</v>
      </c>
      <c r="C133" s="44" t="s">
        <v>114</v>
      </c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  <c r="BM133" s="84"/>
      <c r="BN133" s="84"/>
      <c r="BO133" s="84"/>
      <c r="BP133" s="84"/>
      <c r="BQ133" s="84"/>
      <c r="BR133" s="84"/>
      <c r="BS133" s="84"/>
      <c r="BT133" s="84"/>
      <c r="BU133" s="84"/>
      <c r="BV133" s="84"/>
      <c r="BW133" s="84"/>
      <c r="BX133" s="84"/>
      <c r="BY133" s="84"/>
      <c r="BZ133" s="84"/>
      <c r="CA133" s="84"/>
      <c r="CB133" s="84"/>
      <c r="CC133" s="84"/>
      <c r="CD133" s="84"/>
      <c r="CE133" s="84"/>
      <c r="CF133" s="35"/>
      <c r="CG133" s="34"/>
      <c r="CH133" s="34"/>
      <c r="CI133" s="34"/>
      <c r="CJ133" s="34"/>
      <c r="CK133" s="34"/>
      <c r="CL133" s="34"/>
      <c r="CM133" s="34"/>
      <c r="CN133" s="34"/>
      <c r="CO133" s="35"/>
      <c r="CP133" s="35"/>
      <c r="CQ133" s="35"/>
      <c r="CR133" s="84"/>
      <c r="CS133" s="84"/>
      <c r="CT133" s="84"/>
      <c r="CU133" s="84"/>
      <c r="CV133" s="35"/>
      <c r="CW133" s="84"/>
      <c r="CX133" s="35"/>
      <c r="CY133" s="35"/>
      <c r="CZ133" s="35"/>
      <c r="DA133" s="35"/>
      <c r="DB133" s="35"/>
      <c r="DC133" s="84"/>
      <c r="DD133" s="35"/>
      <c r="DE133" s="35"/>
      <c r="DF133" s="35"/>
      <c r="DG133" s="35"/>
      <c r="DH133" s="35"/>
      <c r="DI133" s="84"/>
      <c r="DJ133" s="35"/>
      <c r="DK133" s="35"/>
      <c r="DL133" s="35"/>
      <c r="DM133" s="35"/>
      <c r="DN133" s="35"/>
      <c r="DO133" s="84"/>
      <c r="DP133" s="35"/>
      <c r="DQ133" s="35"/>
      <c r="DR133" s="35"/>
      <c r="DS133" s="35"/>
      <c r="DT133" s="35"/>
      <c r="DU133" s="84"/>
      <c r="DV133" s="35"/>
      <c r="DW133" s="35"/>
      <c r="DX133" s="35"/>
      <c r="DY133" s="35"/>
      <c r="DZ133" s="35"/>
      <c r="EA133" s="84"/>
      <c r="EB133" s="35"/>
      <c r="EC133" s="35"/>
      <c r="ED133" s="35"/>
      <c r="EE133" s="35"/>
      <c r="EF133" s="35"/>
      <c r="EG133" s="84"/>
      <c r="EH133" s="35"/>
      <c r="EI133" s="35"/>
      <c r="EJ133" s="35"/>
      <c r="EK133" s="35"/>
      <c r="EL133" s="35"/>
      <c r="EM133" s="84"/>
      <c r="EN133" s="35"/>
      <c r="EO133" s="35"/>
      <c r="EP133" s="35"/>
      <c r="EQ133" s="35"/>
      <c r="ER133" s="35"/>
      <c r="ES133" s="84"/>
      <c r="ET133" s="35"/>
      <c r="EU133" s="35"/>
      <c r="EV133" s="35"/>
      <c r="EW133" s="35"/>
      <c r="EX133" s="84"/>
      <c r="EY133" s="35"/>
      <c r="EZ133" s="35"/>
      <c r="FA133" s="35"/>
      <c r="FB133" s="35"/>
      <c r="FC133" s="35"/>
      <c r="FD133" s="84"/>
      <c r="FE133" s="84"/>
      <c r="FF133" s="35"/>
      <c r="FG133" s="35"/>
      <c r="FH133" s="35"/>
      <c r="FI133" s="35"/>
      <c r="FJ133" s="84"/>
      <c r="FK133" s="35"/>
      <c r="FL133" s="84"/>
      <c r="FM133" s="84"/>
      <c r="FN133" s="84"/>
      <c r="FO133" s="84"/>
      <c r="FP133" s="84"/>
      <c r="FQ133" s="84"/>
      <c r="FR133" s="84"/>
      <c r="FS133" s="84"/>
      <c r="FT133" s="84"/>
      <c r="FU133" s="84"/>
      <c r="FV133" s="84"/>
      <c r="FW133" s="84"/>
      <c r="FX133" s="84"/>
      <c r="FY133" s="84"/>
      <c r="FZ133" s="84"/>
      <c r="GA133" s="84"/>
      <c r="GB133" s="84"/>
      <c r="GC133" s="84"/>
      <c r="GD133" s="84"/>
      <c r="GE133" s="84"/>
      <c r="GF133" s="84"/>
      <c r="GG133" s="84"/>
      <c r="GH133" s="84"/>
      <c r="GI133" s="84"/>
      <c r="GJ133" s="35"/>
      <c r="GK133" s="55" t="s">
        <v>187</v>
      </c>
      <c r="GL133" s="55" t="s">
        <v>30</v>
      </c>
      <c r="GM133" s="55" t="s">
        <v>31</v>
      </c>
      <c r="GN133" s="55" t="s">
        <v>31</v>
      </c>
      <c r="GO133" s="55" t="s">
        <v>32</v>
      </c>
      <c r="GP133" s="56" t="s">
        <v>188</v>
      </c>
      <c r="GQ133" s="56" t="s">
        <v>189</v>
      </c>
      <c r="GR133" s="56" t="s">
        <v>189</v>
      </c>
      <c r="GS133" s="56" t="s">
        <v>190</v>
      </c>
      <c r="GT133" s="56" t="s">
        <v>190</v>
      </c>
      <c r="GU133" s="56" t="s">
        <v>191</v>
      </c>
      <c r="GV133" s="57" t="s">
        <v>192</v>
      </c>
      <c r="GW133" s="57" t="s">
        <v>193</v>
      </c>
      <c r="GX133" s="57" t="s">
        <v>194</v>
      </c>
      <c r="GY133" s="57" t="s">
        <v>194</v>
      </c>
      <c r="GZ133" s="57" t="s">
        <v>195</v>
      </c>
      <c r="HA133" s="58" t="s">
        <v>196</v>
      </c>
      <c r="HB133" s="58" t="s">
        <v>197</v>
      </c>
      <c r="HC133" s="58" t="s">
        <v>198</v>
      </c>
      <c r="HD133" s="58" t="s">
        <v>198</v>
      </c>
      <c r="HE133" s="58" t="s">
        <v>199</v>
      </c>
      <c r="HF133" s="42" t="s">
        <v>33</v>
      </c>
      <c r="HG133" s="42" t="s">
        <v>34</v>
      </c>
      <c r="HH133" s="42" t="s">
        <v>35</v>
      </c>
      <c r="HI133" s="42" t="s">
        <v>35</v>
      </c>
      <c r="HJ133" s="42" t="s">
        <v>36</v>
      </c>
      <c r="HK133" s="59" t="s">
        <v>200</v>
      </c>
      <c r="HL133" s="59" t="s">
        <v>201</v>
      </c>
      <c r="HM133" s="59" t="s">
        <v>202</v>
      </c>
      <c r="HN133" s="59" t="s">
        <v>203</v>
      </c>
      <c r="HO133" s="35"/>
      <c r="HP133" s="35"/>
      <c r="HQ133" s="84"/>
      <c r="HR133" s="84"/>
      <c r="HS133" s="84"/>
      <c r="HT133" s="84"/>
      <c r="HU133" s="84"/>
      <c r="HV133" s="84"/>
      <c r="HW133" s="84"/>
      <c r="HX133" s="84"/>
      <c r="HY133" s="84"/>
      <c r="HZ133" s="84"/>
      <c r="IA133" s="84"/>
      <c r="IB133" s="84"/>
      <c r="IC133" s="84"/>
      <c r="ID133" s="84"/>
      <c r="IE133" s="84"/>
      <c r="IF133" s="84"/>
      <c r="IG133" s="84"/>
      <c r="IH133" s="84"/>
      <c r="II133" s="84"/>
      <c r="IJ133" s="84"/>
      <c r="IK133" s="84"/>
      <c r="IL133" s="84"/>
      <c r="IM133" s="84"/>
      <c r="IN133" s="84"/>
      <c r="IO133" s="84"/>
      <c r="IP133" s="84"/>
      <c r="IQ133" s="84"/>
      <c r="IR133" s="84"/>
      <c r="IS133" s="84"/>
      <c r="IT133" s="84"/>
      <c r="IU133" s="84"/>
      <c r="IV133" s="84"/>
      <c r="IW133" s="84"/>
    </row>
    <row r="134" spans="2:257" s="28" customFormat="1" ht="14.4">
      <c r="B134" s="30">
        <f t="shared" si="150"/>
        <v>5.3899999999999917</v>
      </c>
      <c r="C134" s="44" t="s">
        <v>115</v>
      </c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  <c r="BM134" s="84"/>
      <c r="BN134" s="84"/>
      <c r="BO134" s="84"/>
      <c r="BP134" s="84"/>
      <c r="BQ134" s="84"/>
      <c r="BR134" s="84"/>
      <c r="BS134" s="84"/>
      <c r="BT134" s="84"/>
      <c r="BU134" s="84"/>
      <c r="BV134" s="84"/>
      <c r="BW134" s="84"/>
      <c r="BX134" s="84"/>
      <c r="BY134" s="84"/>
      <c r="BZ134" s="84"/>
      <c r="CA134" s="84"/>
      <c r="CB134" s="84"/>
      <c r="CC134" s="84"/>
      <c r="CD134" s="84"/>
      <c r="CE134" s="84"/>
      <c r="CF134" s="35"/>
      <c r="CG134" s="34"/>
      <c r="CH134" s="34"/>
      <c r="CI134" s="34"/>
      <c r="CJ134" s="34"/>
      <c r="CK134" s="34"/>
      <c r="CL134" s="34"/>
      <c r="CM134" s="34"/>
      <c r="CN134" s="34"/>
      <c r="CO134" s="35"/>
      <c r="CP134" s="35"/>
      <c r="CQ134" s="35"/>
      <c r="CR134" s="84"/>
      <c r="CS134" s="84"/>
      <c r="CT134" s="84"/>
      <c r="CU134" s="84"/>
      <c r="CV134" s="35"/>
      <c r="CW134" s="84"/>
      <c r="CX134" s="35"/>
      <c r="CY134" s="35"/>
      <c r="CZ134" s="35"/>
      <c r="DA134" s="35"/>
      <c r="DB134" s="35"/>
      <c r="DC134" s="84"/>
      <c r="DD134" s="35"/>
      <c r="DE134" s="35"/>
      <c r="DF134" s="35"/>
      <c r="DG134" s="35"/>
      <c r="DH134" s="35"/>
      <c r="DI134" s="84"/>
      <c r="DJ134" s="35"/>
      <c r="DK134" s="35"/>
      <c r="DL134" s="35"/>
      <c r="DM134" s="35"/>
      <c r="DN134" s="35"/>
      <c r="DO134" s="84"/>
      <c r="DP134" s="35"/>
      <c r="DQ134" s="35"/>
      <c r="DR134" s="35"/>
      <c r="DS134" s="35"/>
      <c r="DT134" s="35"/>
      <c r="DU134" s="84"/>
      <c r="DV134" s="35"/>
      <c r="DW134" s="35"/>
      <c r="DX134" s="35"/>
      <c r="DY134" s="35"/>
      <c r="DZ134" s="35"/>
      <c r="EA134" s="84"/>
      <c r="EB134" s="35"/>
      <c r="EC134" s="35"/>
      <c r="ED134" s="35"/>
      <c r="EE134" s="35"/>
      <c r="EF134" s="35"/>
      <c r="EG134" s="84"/>
      <c r="EH134" s="35"/>
      <c r="EI134" s="35"/>
      <c r="EJ134" s="35"/>
      <c r="EK134" s="35"/>
      <c r="EL134" s="35"/>
      <c r="EM134" s="84"/>
      <c r="EN134" s="35"/>
      <c r="EO134" s="35"/>
      <c r="EP134" s="35"/>
      <c r="EQ134" s="35"/>
      <c r="ER134" s="35"/>
      <c r="ES134" s="84"/>
      <c r="ET134" s="35"/>
      <c r="EU134" s="35"/>
      <c r="EV134" s="35"/>
      <c r="EW134" s="35"/>
      <c r="EX134" s="84"/>
      <c r="EY134" s="35"/>
      <c r="EZ134" s="35"/>
      <c r="FA134" s="35"/>
      <c r="FB134" s="35"/>
      <c r="FC134" s="35"/>
      <c r="FD134" s="84"/>
      <c r="FE134" s="84"/>
      <c r="FF134" s="35"/>
      <c r="FG134" s="35"/>
      <c r="FH134" s="35"/>
      <c r="FI134" s="35"/>
      <c r="FJ134" s="84"/>
      <c r="FK134" s="35"/>
      <c r="FL134" s="84"/>
      <c r="FM134" s="84"/>
      <c r="FN134" s="84"/>
      <c r="FO134" s="84"/>
      <c r="FP134" s="84"/>
      <c r="FQ134" s="84"/>
      <c r="FR134" s="84"/>
      <c r="FS134" s="84"/>
      <c r="FT134" s="84"/>
      <c r="FU134" s="84"/>
      <c r="FV134" s="84"/>
      <c r="FW134" s="84"/>
      <c r="FX134" s="84"/>
      <c r="FY134" s="84"/>
      <c r="FZ134" s="84"/>
      <c r="GA134" s="84"/>
      <c r="GB134" s="84"/>
      <c r="GC134" s="84"/>
      <c r="GD134" s="84"/>
      <c r="GE134" s="84"/>
      <c r="GF134" s="84"/>
      <c r="GG134" s="84"/>
      <c r="GH134" s="84"/>
      <c r="GI134" s="84"/>
      <c r="GJ134" s="35"/>
      <c r="GK134" s="35"/>
      <c r="GL134" s="55" t="s">
        <v>187</v>
      </c>
      <c r="GM134" s="55" t="s">
        <v>30</v>
      </c>
      <c r="GN134" s="55" t="s">
        <v>30</v>
      </c>
      <c r="GO134" s="55" t="s">
        <v>31</v>
      </c>
      <c r="GP134" s="55" t="s">
        <v>32</v>
      </c>
      <c r="GQ134" s="56" t="s">
        <v>188</v>
      </c>
      <c r="GR134" s="56" t="s">
        <v>188</v>
      </c>
      <c r="GS134" s="56" t="s">
        <v>189</v>
      </c>
      <c r="GT134" s="56" t="s">
        <v>189</v>
      </c>
      <c r="GU134" s="56" t="s">
        <v>190</v>
      </c>
      <c r="GV134" s="56" t="s">
        <v>191</v>
      </c>
      <c r="GW134" s="57" t="s">
        <v>192</v>
      </c>
      <c r="GX134" s="57" t="s">
        <v>193</v>
      </c>
      <c r="GY134" s="57" t="s">
        <v>193</v>
      </c>
      <c r="GZ134" s="57" t="s">
        <v>194</v>
      </c>
      <c r="HA134" s="57" t="s">
        <v>195</v>
      </c>
      <c r="HB134" s="58" t="s">
        <v>196</v>
      </c>
      <c r="HC134" s="58" t="s">
        <v>197</v>
      </c>
      <c r="HD134" s="58" t="s">
        <v>197</v>
      </c>
      <c r="HE134" s="58" t="s">
        <v>198</v>
      </c>
      <c r="HF134" s="58" t="s">
        <v>199</v>
      </c>
      <c r="HG134" s="42" t="s">
        <v>33</v>
      </c>
      <c r="HH134" s="42" t="s">
        <v>34</v>
      </c>
      <c r="HI134" s="42" t="s">
        <v>34</v>
      </c>
      <c r="HJ134" s="42" t="s">
        <v>35</v>
      </c>
      <c r="HK134" s="42" t="s">
        <v>36</v>
      </c>
      <c r="HL134" s="59" t="s">
        <v>200</v>
      </c>
      <c r="HM134" s="59" t="s">
        <v>201</v>
      </c>
      <c r="HN134" s="59" t="s">
        <v>202</v>
      </c>
      <c r="HO134" s="59" t="s">
        <v>203</v>
      </c>
      <c r="HP134" s="35"/>
      <c r="HQ134" s="84"/>
      <c r="HR134" s="84"/>
      <c r="HS134" s="84"/>
      <c r="HT134" s="84"/>
      <c r="HU134" s="84"/>
      <c r="HV134" s="84"/>
      <c r="HW134" s="84"/>
      <c r="HX134" s="84"/>
      <c r="HY134" s="84"/>
      <c r="HZ134" s="84"/>
      <c r="IA134" s="84"/>
      <c r="IB134" s="84"/>
      <c r="IC134" s="84"/>
      <c r="ID134" s="84"/>
      <c r="IE134" s="84"/>
      <c r="IF134" s="84"/>
      <c r="IG134" s="84"/>
      <c r="IH134" s="84"/>
      <c r="II134" s="84"/>
      <c r="IJ134" s="84"/>
      <c r="IK134" s="84"/>
      <c r="IL134" s="84"/>
      <c r="IM134" s="84"/>
      <c r="IN134" s="84"/>
      <c r="IO134" s="84"/>
      <c r="IP134" s="84"/>
      <c r="IQ134" s="84"/>
      <c r="IR134" s="84"/>
      <c r="IS134" s="84"/>
      <c r="IT134" s="84"/>
      <c r="IU134" s="84"/>
      <c r="IV134" s="84"/>
      <c r="IW134" s="84"/>
    </row>
    <row r="135" spans="2:257" s="28" customFormat="1" ht="14.4">
      <c r="B135" s="30">
        <f t="shared" si="150"/>
        <v>5.3999999999999915</v>
      </c>
      <c r="C135" s="45" t="s">
        <v>116</v>
      </c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4"/>
      <c r="BP135" s="84"/>
      <c r="BQ135" s="84"/>
      <c r="BR135" s="84"/>
      <c r="BS135" s="84"/>
      <c r="BT135" s="84"/>
      <c r="BU135" s="84"/>
      <c r="BV135" s="84"/>
      <c r="BW135" s="84"/>
      <c r="BX135" s="84"/>
      <c r="BY135" s="84"/>
      <c r="BZ135" s="84"/>
      <c r="CA135" s="84"/>
      <c r="CB135" s="84"/>
      <c r="CC135" s="84"/>
      <c r="CD135" s="84"/>
      <c r="CE135" s="84"/>
      <c r="CF135" s="35"/>
      <c r="CG135" s="34"/>
      <c r="CH135" s="34"/>
      <c r="CI135" s="34"/>
      <c r="CJ135" s="34"/>
      <c r="CK135" s="34"/>
      <c r="CL135" s="34"/>
      <c r="CM135" s="34"/>
      <c r="CN135" s="34"/>
      <c r="CO135" s="35"/>
      <c r="CP135" s="35"/>
      <c r="CQ135" s="35"/>
      <c r="CR135" s="84"/>
      <c r="CS135" s="84"/>
      <c r="CT135" s="84"/>
      <c r="CU135" s="84"/>
      <c r="CV135" s="35"/>
      <c r="CW135" s="84"/>
      <c r="CX135" s="35"/>
      <c r="CY135" s="35"/>
      <c r="CZ135" s="35"/>
      <c r="DA135" s="35"/>
      <c r="DB135" s="35"/>
      <c r="DC135" s="84"/>
      <c r="DD135" s="35"/>
      <c r="DE135" s="35"/>
      <c r="DF135" s="35"/>
      <c r="DG135" s="35"/>
      <c r="DH135" s="35"/>
      <c r="DI135" s="84"/>
      <c r="DJ135" s="35"/>
      <c r="DK135" s="35"/>
      <c r="DL135" s="35"/>
      <c r="DM135" s="35"/>
      <c r="DN135" s="35"/>
      <c r="DO135" s="84"/>
      <c r="DP135" s="35"/>
      <c r="DQ135" s="35"/>
      <c r="DR135" s="35"/>
      <c r="DS135" s="35"/>
      <c r="DT135" s="35"/>
      <c r="DU135" s="84"/>
      <c r="DV135" s="35"/>
      <c r="DW135" s="35"/>
      <c r="DX135" s="35"/>
      <c r="DY135" s="35"/>
      <c r="DZ135" s="35"/>
      <c r="EA135" s="84"/>
      <c r="EB135" s="35"/>
      <c r="EC135" s="35"/>
      <c r="ED135" s="35"/>
      <c r="EE135" s="35"/>
      <c r="EF135" s="35"/>
      <c r="EG135" s="84"/>
      <c r="EH135" s="35"/>
      <c r="EI135" s="35"/>
      <c r="EJ135" s="35"/>
      <c r="EK135" s="35"/>
      <c r="EL135" s="35"/>
      <c r="EM135" s="84"/>
      <c r="EN135" s="35"/>
      <c r="EO135" s="35"/>
      <c r="EP135" s="35"/>
      <c r="EQ135" s="35"/>
      <c r="ER135" s="35"/>
      <c r="ES135" s="84"/>
      <c r="ET135" s="35"/>
      <c r="EU135" s="35"/>
      <c r="EV135" s="35"/>
      <c r="EW135" s="35"/>
      <c r="EX135" s="84"/>
      <c r="EY135" s="35"/>
      <c r="EZ135" s="35"/>
      <c r="FA135" s="35"/>
      <c r="FB135" s="35"/>
      <c r="FC135" s="35"/>
      <c r="FD135" s="84"/>
      <c r="FE135" s="84"/>
      <c r="FF135" s="35"/>
      <c r="FG135" s="35"/>
      <c r="FH135" s="35"/>
      <c r="FI135" s="35"/>
      <c r="FJ135" s="84"/>
      <c r="FK135" s="35"/>
      <c r="FL135" s="84"/>
      <c r="FM135" s="84"/>
      <c r="FN135" s="84"/>
      <c r="FO135" s="84"/>
      <c r="FP135" s="84"/>
      <c r="FQ135" s="84"/>
      <c r="FR135" s="84"/>
      <c r="FS135" s="84"/>
      <c r="FT135" s="84"/>
      <c r="FU135" s="84"/>
      <c r="FV135" s="84"/>
      <c r="FW135" s="84"/>
      <c r="FX135" s="84"/>
      <c r="FY135" s="84"/>
      <c r="FZ135" s="84"/>
      <c r="GA135" s="84"/>
      <c r="GB135" s="84"/>
      <c r="GC135" s="84"/>
      <c r="GD135" s="84"/>
      <c r="GE135" s="84"/>
      <c r="GF135" s="84"/>
      <c r="GG135" s="84"/>
      <c r="GH135" s="84"/>
      <c r="GI135" s="84"/>
      <c r="GJ135" s="35"/>
      <c r="GK135" s="35"/>
      <c r="GL135" s="35"/>
      <c r="GM135" s="55" t="s">
        <v>187</v>
      </c>
      <c r="GN135" s="55" t="s">
        <v>187</v>
      </c>
      <c r="GO135" s="55" t="s">
        <v>30</v>
      </c>
      <c r="GP135" s="55" t="s">
        <v>31</v>
      </c>
      <c r="GQ135" s="55" t="s">
        <v>32</v>
      </c>
      <c r="GR135" s="55" t="s">
        <v>32</v>
      </c>
      <c r="GS135" s="56" t="s">
        <v>188</v>
      </c>
      <c r="GT135" s="56" t="s">
        <v>188</v>
      </c>
      <c r="GU135" s="56" t="s">
        <v>189</v>
      </c>
      <c r="GV135" s="56" t="s">
        <v>190</v>
      </c>
      <c r="GW135" s="56" t="s">
        <v>191</v>
      </c>
      <c r="GX135" s="57" t="s">
        <v>192</v>
      </c>
      <c r="GY135" s="57" t="s">
        <v>192</v>
      </c>
      <c r="GZ135" s="57" t="s">
        <v>193</v>
      </c>
      <c r="HA135" s="57" t="s">
        <v>194</v>
      </c>
      <c r="HB135" s="57" t="s">
        <v>195</v>
      </c>
      <c r="HC135" s="58" t="s">
        <v>196</v>
      </c>
      <c r="HD135" s="58" t="s">
        <v>196</v>
      </c>
      <c r="HE135" s="58" t="s">
        <v>197</v>
      </c>
      <c r="HF135" s="58" t="s">
        <v>198</v>
      </c>
      <c r="HG135" s="58" t="s">
        <v>199</v>
      </c>
      <c r="HH135" s="42" t="s">
        <v>33</v>
      </c>
      <c r="HI135" s="42" t="s">
        <v>33</v>
      </c>
      <c r="HJ135" s="42" t="s">
        <v>34</v>
      </c>
      <c r="HK135" s="42" t="s">
        <v>35</v>
      </c>
      <c r="HL135" s="42" t="s">
        <v>36</v>
      </c>
      <c r="HM135" s="59" t="s">
        <v>200</v>
      </c>
      <c r="HN135" s="59" t="s">
        <v>201</v>
      </c>
      <c r="HO135" s="59" t="s">
        <v>202</v>
      </c>
      <c r="HP135" s="35"/>
      <c r="HQ135" s="84"/>
      <c r="HR135" s="84"/>
      <c r="HS135" s="84"/>
      <c r="HT135" s="84"/>
      <c r="HU135" s="84"/>
      <c r="HV135" s="84"/>
      <c r="HW135" s="84"/>
      <c r="HX135" s="84"/>
      <c r="HY135" s="84"/>
      <c r="HZ135" s="84"/>
      <c r="IA135" s="84"/>
      <c r="IB135" s="84"/>
      <c r="IC135" s="84"/>
      <c r="ID135" s="84"/>
      <c r="IE135" s="84"/>
      <c r="IF135" s="84"/>
      <c r="IG135" s="84"/>
      <c r="IH135" s="84"/>
      <c r="II135" s="84"/>
      <c r="IJ135" s="84"/>
      <c r="IK135" s="84"/>
      <c r="IL135" s="84"/>
      <c r="IM135" s="84"/>
      <c r="IN135" s="84"/>
      <c r="IO135" s="84"/>
      <c r="IP135" s="84"/>
      <c r="IQ135" s="84"/>
      <c r="IR135" s="84"/>
      <c r="IS135" s="84"/>
      <c r="IT135" s="84"/>
      <c r="IU135" s="84"/>
      <c r="IV135" s="84"/>
      <c r="IW135" s="84"/>
    </row>
    <row r="136" spans="2:257" s="28" customFormat="1" ht="14.4">
      <c r="B136" s="30">
        <f t="shared" si="150"/>
        <v>5.4099999999999913</v>
      </c>
      <c r="C136" s="44" t="s">
        <v>221</v>
      </c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  <c r="BM136" s="84"/>
      <c r="BN136" s="84"/>
      <c r="BO136" s="84"/>
      <c r="BP136" s="84"/>
      <c r="BQ136" s="84"/>
      <c r="BR136" s="84"/>
      <c r="BS136" s="84"/>
      <c r="BT136" s="84"/>
      <c r="BU136" s="84"/>
      <c r="BV136" s="84"/>
      <c r="BW136" s="84"/>
      <c r="BX136" s="84"/>
      <c r="BY136" s="84"/>
      <c r="BZ136" s="84"/>
      <c r="CA136" s="84"/>
      <c r="CB136" s="84"/>
      <c r="CC136" s="84"/>
      <c r="CD136" s="84"/>
      <c r="CE136" s="34"/>
      <c r="CF136" s="35"/>
      <c r="CG136" s="34"/>
      <c r="CH136" s="34"/>
      <c r="CI136" s="34"/>
      <c r="CJ136" s="34"/>
      <c r="CK136" s="34"/>
      <c r="CL136" s="34"/>
      <c r="CM136" s="34"/>
      <c r="CN136" s="34"/>
      <c r="CO136" s="35"/>
      <c r="CP136" s="35"/>
      <c r="CQ136" s="35"/>
      <c r="CR136" s="35"/>
      <c r="CS136" s="84"/>
      <c r="CT136" s="84"/>
      <c r="CU136" s="84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  <c r="DL136" s="35"/>
      <c r="DM136" s="35"/>
      <c r="DN136" s="35"/>
      <c r="DO136" s="35"/>
      <c r="DP136" s="35"/>
      <c r="DQ136" s="35"/>
      <c r="DR136" s="35"/>
      <c r="DS136" s="35"/>
      <c r="DT136" s="35"/>
      <c r="DU136" s="35"/>
      <c r="DV136" s="35"/>
      <c r="DW136" s="35"/>
      <c r="DX136" s="35"/>
      <c r="DY136" s="35"/>
      <c r="DZ136" s="35"/>
      <c r="EA136" s="35"/>
      <c r="EB136" s="35"/>
      <c r="EC136" s="35"/>
      <c r="ED136" s="35"/>
      <c r="EE136" s="35"/>
      <c r="EF136" s="35"/>
      <c r="EG136" s="35"/>
      <c r="EH136" s="35"/>
      <c r="EI136" s="35"/>
      <c r="EJ136" s="35"/>
      <c r="EK136" s="35"/>
      <c r="EL136" s="35"/>
      <c r="EM136" s="35"/>
      <c r="EN136" s="35"/>
      <c r="EO136" s="35"/>
      <c r="EP136" s="35"/>
      <c r="EQ136" s="35"/>
      <c r="ER136" s="35"/>
      <c r="ES136" s="35"/>
      <c r="ET136" s="35"/>
      <c r="EU136" s="35"/>
      <c r="EV136" s="35"/>
      <c r="EW136" s="35"/>
      <c r="EX136" s="35"/>
      <c r="EY136" s="35"/>
      <c r="EZ136" s="35"/>
      <c r="FA136" s="35"/>
      <c r="FB136" s="35"/>
      <c r="FC136" s="35"/>
      <c r="FD136" s="35"/>
      <c r="FE136" s="35"/>
      <c r="FF136" s="35"/>
      <c r="FG136" s="35"/>
      <c r="FH136" s="59" t="s">
        <v>222</v>
      </c>
      <c r="FI136" s="59" t="s">
        <v>222</v>
      </c>
      <c r="FJ136" s="59" t="s">
        <v>222</v>
      </c>
      <c r="FK136" s="59" t="s">
        <v>222</v>
      </c>
      <c r="FL136" s="59" t="s">
        <v>222</v>
      </c>
      <c r="FM136" s="59" t="s">
        <v>222</v>
      </c>
      <c r="FN136" s="59" t="s">
        <v>222</v>
      </c>
      <c r="FO136" s="59" t="s">
        <v>222</v>
      </c>
      <c r="FP136" s="59" t="s">
        <v>222</v>
      </c>
      <c r="FQ136" s="59" t="s">
        <v>222</v>
      </c>
      <c r="FR136" s="59" t="s">
        <v>222</v>
      </c>
      <c r="FS136" s="84"/>
      <c r="FT136" s="84"/>
      <c r="FU136" s="59" t="s">
        <v>222</v>
      </c>
      <c r="FV136" s="59" t="s">
        <v>222</v>
      </c>
      <c r="FW136" s="59" t="s">
        <v>222</v>
      </c>
      <c r="FX136" s="59" t="s">
        <v>222</v>
      </c>
      <c r="FY136" s="59" t="s">
        <v>222</v>
      </c>
      <c r="FZ136" s="59" t="s">
        <v>222</v>
      </c>
      <c r="GA136" s="59" t="s">
        <v>222</v>
      </c>
      <c r="GB136" s="59" t="s">
        <v>222</v>
      </c>
      <c r="GC136" s="59" t="s">
        <v>222</v>
      </c>
      <c r="GD136" s="59" t="s">
        <v>222</v>
      </c>
      <c r="GE136" s="59" t="s">
        <v>222</v>
      </c>
      <c r="GF136" s="59" t="s">
        <v>222</v>
      </c>
      <c r="GG136" s="59" t="s">
        <v>222</v>
      </c>
      <c r="GH136" s="59" t="s">
        <v>222</v>
      </c>
      <c r="GI136" s="59" t="s">
        <v>222</v>
      </c>
      <c r="GJ136" s="59" t="s">
        <v>222</v>
      </c>
      <c r="GK136" s="59" t="s">
        <v>222</v>
      </c>
      <c r="GL136" s="59" t="s">
        <v>222</v>
      </c>
      <c r="GM136" s="59" t="s">
        <v>222</v>
      </c>
      <c r="GN136" s="59" t="s">
        <v>222</v>
      </c>
      <c r="GO136" s="59" t="s">
        <v>222</v>
      </c>
      <c r="GP136" s="59" t="s">
        <v>222</v>
      </c>
      <c r="GQ136" s="59" t="s">
        <v>222</v>
      </c>
      <c r="GR136" s="59" t="s">
        <v>222</v>
      </c>
      <c r="GS136" s="59" t="s">
        <v>222</v>
      </c>
      <c r="GT136" s="59" t="s">
        <v>222</v>
      </c>
      <c r="GU136" s="59" t="s">
        <v>222</v>
      </c>
      <c r="GV136" s="59" t="s">
        <v>222</v>
      </c>
      <c r="GW136" s="59" t="s">
        <v>222</v>
      </c>
      <c r="GX136" s="59" t="s">
        <v>222</v>
      </c>
      <c r="GY136" s="59" t="s">
        <v>222</v>
      </c>
      <c r="GZ136" s="59" t="s">
        <v>222</v>
      </c>
      <c r="HA136" s="59" t="s">
        <v>222</v>
      </c>
      <c r="HB136" s="59" t="s">
        <v>222</v>
      </c>
      <c r="HC136" s="59" t="s">
        <v>222</v>
      </c>
      <c r="HD136" s="59" t="s">
        <v>222</v>
      </c>
      <c r="HE136" s="59" t="s">
        <v>222</v>
      </c>
      <c r="HF136" s="59" t="s">
        <v>222</v>
      </c>
      <c r="HG136" s="59" t="s">
        <v>222</v>
      </c>
      <c r="HH136" s="59" t="s">
        <v>222</v>
      </c>
      <c r="HI136" s="59" t="s">
        <v>222</v>
      </c>
      <c r="HJ136" s="84"/>
      <c r="HK136" s="84"/>
      <c r="HL136" s="84"/>
      <c r="HM136" s="84"/>
      <c r="HN136" s="84"/>
      <c r="HO136" s="84"/>
      <c r="HP136" s="84"/>
      <c r="HQ136" s="84"/>
      <c r="HR136" s="84"/>
      <c r="HS136" s="84"/>
      <c r="HT136" s="84"/>
      <c r="HU136" s="84"/>
      <c r="HV136" s="84"/>
      <c r="HW136" s="84"/>
      <c r="HX136" s="35"/>
      <c r="HY136" s="35"/>
      <c r="HZ136" s="35"/>
      <c r="IA136" s="35"/>
      <c r="IB136" s="35"/>
      <c r="IC136" s="35"/>
      <c r="ID136" s="35"/>
      <c r="IE136" s="35"/>
      <c r="IF136" s="35"/>
      <c r="IG136" s="35"/>
      <c r="IH136" s="35"/>
      <c r="II136" s="35"/>
      <c r="IJ136" s="35"/>
      <c r="IK136" s="35"/>
      <c r="IL136" s="35"/>
      <c r="IM136" s="35"/>
      <c r="IN136" s="35"/>
      <c r="IO136" s="35"/>
      <c r="IP136" s="35"/>
      <c r="IQ136" s="35"/>
      <c r="IR136" s="84"/>
      <c r="IS136" s="84"/>
      <c r="IT136" s="84"/>
      <c r="IU136" s="84"/>
      <c r="IV136" s="84"/>
      <c r="IW136" s="84"/>
    </row>
    <row r="137" spans="2:257" s="28" customFormat="1" ht="15" thickBot="1">
      <c r="B137" s="30">
        <f t="shared" si="150"/>
        <v>5.419999999999991</v>
      </c>
      <c r="C137" s="93" t="s">
        <v>223</v>
      </c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  <c r="BM137" s="84"/>
      <c r="BN137" s="84"/>
      <c r="BO137" s="84"/>
      <c r="BP137" s="84"/>
      <c r="BQ137" s="84"/>
      <c r="BR137" s="84"/>
      <c r="BS137" s="84"/>
      <c r="BT137" s="84"/>
      <c r="BU137" s="84"/>
      <c r="BV137" s="84"/>
      <c r="BW137" s="84"/>
      <c r="BX137" s="84"/>
      <c r="BY137" s="84"/>
      <c r="BZ137" s="84"/>
      <c r="CA137" s="84"/>
      <c r="CB137" s="84"/>
      <c r="CC137" s="84"/>
      <c r="CD137" s="84"/>
      <c r="CE137" s="34"/>
      <c r="CF137" s="35"/>
      <c r="CG137" s="34"/>
      <c r="CH137" s="34"/>
      <c r="CI137" s="34"/>
      <c r="CJ137" s="34"/>
      <c r="CK137" s="34"/>
      <c r="CL137" s="34"/>
      <c r="CM137" s="34"/>
      <c r="CN137" s="34"/>
      <c r="CO137" s="35"/>
      <c r="CP137" s="35"/>
      <c r="CQ137" s="35"/>
      <c r="CR137" s="35"/>
      <c r="CS137" s="84"/>
      <c r="CT137" s="84"/>
      <c r="CU137" s="84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35"/>
      <c r="DR137" s="35"/>
      <c r="DS137" s="35"/>
      <c r="DT137" s="35"/>
      <c r="DU137" s="35"/>
      <c r="DV137" s="35"/>
      <c r="DW137" s="35"/>
      <c r="DX137" s="35"/>
      <c r="DY137" s="35"/>
      <c r="DZ137" s="35"/>
      <c r="EA137" s="35"/>
      <c r="EB137" s="35"/>
      <c r="EC137" s="35"/>
      <c r="ED137" s="35"/>
      <c r="EE137" s="35"/>
      <c r="EF137" s="35"/>
      <c r="EG137" s="35"/>
      <c r="EH137" s="35"/>
      <c r="EI137" s="35"/>
      <c r="EJ137" s="35"/>
      <c r="EK137" s="35"/>
      <c r="EL137" s="35"/>
      <c r="EM137" s="35"/>
      <c r="EN137" s="35"/>
      <c r="EO137" s="35"/>
      <c r="EP137" s="35"/>
      <c r="EQ137" s="35"/>
      <c r="ER137" s="35"/>
      <c r="ES137" s="35"/>
      <c r="ET137" s="35"/>
      <c r="EU137" s="35"/>
      <c r="EV137" s="35"/>
      <c r="EW137" s="35"/>
      <c r="EX137" s="35"/>
      <c r="EY137" s="35"/>
      <c r="EZ137" s="35"/>
      <c r="FA137" s="35"/>
      <c r="FB137" s="35"/>
      <c r="FC137" s="35"/>
      <c r="FD137" s="35"/>
      <c r="FE137" s="35"/>
      <c r="FF137" s="35"/>
      <c r="FG137" s="35"/>
      <c r="FH137" s="35"/>
      <c r="FI137" s="35"/>
      <c r="FJ137" s="35"/>
      <c r="FK137" s="35"/>
      <c r="FL137" s="35"/>
      <c r="FM137" s="35"/>
      <c r="FN137" s="35"/>
      <c r="FO137" s="35"/>
      <c r="FP137" s="35"/>
      <c r="FQ137" s="35"/>
      <c r="FR137" s="35"/>
      <c r="FS137" s="35"/>
      <c r="FT137" s="35"/>
      <c r="FU137" s="35"/>
      <c r="FV137" s="35"/>
      <c r="FW137" s="35"/>
      <c r="FX137" s="35"/>
      <c r="FY137" s="35"/>
      <c r="FZ137" s="35"/>
      <c r="GA137" s="35"/>
      <c r="GB137" s="35"/>
      <c r="GC137" s="35"/>
      <c r="GD137" s="35"/>
      <c r="GE137" s="35"/>
      <c r="GF137" s="35"/>
      <c r="GG137" s="35"/>
      <c r="GH137" s="35"/>
      <c r="GI137" s="35"/>
      <c r="GJ137" s="35"/>
      <c r="GK137" s="35"/>
      <c r="GL137" s="35"/>
      <c r="GM137" s="35"/>
      <c r="GN137" s="35"/>
      <c r="GO137" s="35"/>
      <c r="GP137" s="35"/>
      <c r="GQ137" s="35"/>
      <c r="GR137" s="35"/>
      <c r="GS137" s="35"/>
      <c r="GT137" s="35"/>
      <c r="GU137" s="35"/>
      <c r="GV137" s="35"/>
      <c r="GW137" s="35"/>
      <c r="GX137" s="35"/>
      <c r="GY137" s="35"/>
      <c r="GZ137" s="35"/>
      <c r="HA137" s="35"/>
      <c r="HB137" s="35"/>
      <c r="HC137" s="35"/>
      <c r="HD137" s="35"/>
      <c r="HE137" s="35"/>
      <c r="HF137" s="35"/>
      <c r="HG137" s="35"/>
      <c r="HH137" s="35"/>
      <c r="HI137" s="35"/>
      <c r="HJ137" s="59" t="s">
        <v>224</v>
      </c>
      <c r="HK137" s="59" t="s">
        <v>224</v>
      </c>
      <c r="HL137" s="59" t="s">
        <v>224</v>
      </c>
      <c r="HM137" s="59" t="s">
        <v>224</v>
      </c>
      <c r="HN137" s="59" t="s">
        <v>224</v>
      </c>
      <c r="HO137" s="59" t="s">
        <v>224</v>
      </c>
      <c r="HP137" s="35"/>
      <c r="HQ137" s="35"/>
      <c r="HR137" s="35"/>
      <c r="HS137" s="35"/>
      <c r="HT137" s="35"/>
      <c r="HU137" s="35"/>
      <c r="HV137" s="35"/>
      <c r="HW137" s="35"/>
      <c r="HX137" s="35"/>
      <c r="HY137" s="35"/>
      <c r="HZ137" s="35"/>
      <c r="IA137" s="35"/>
      <c r="IB137" s="35"/>
      <c r="IC137" s="35"/>
      <c r="ID137" s="35"/>
      <c r="IE137" s="35"/>
      <c r="IF137" s="35"/>
      <c r="IG137" s="35"/>
      <c r="IH137" s="35"/>
      <c r="II137" s="35"/>
      <c r="IJ137" s="35"/>
      <c r="IK137" s="35"/>
      <c r="IL137" s="35"/>
      <c r="IM137" s="35"/>
      <c r="IN137" s="35"/>
      <c r="IO137" s="35"/>
      <c r="IP137" s="35"/>
      <c r="IQ137" s="35"/>
      <c r="IR137" s="84"/>
      <c r="IS137" s="84"/>
      <c r="IT137" s="84"/>
      <c r="IU137" s="84"/>
      <c r="IV137" s="84"/>
      <c r="IW137" s="84"/>
    </row>
    <row r="138" spans="2:257" s="28" customFormat="1" ht="15" thickBot="1">
      <c r="B138" s="30">
        <v>6</v>
      </c>
      <c r="C138" s="46" t="s">
        <v>117</v>
      </c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84"/>
      <c r="BD138" s="84"/>
      <c r="BE138" s="84"/>
      <c r="BF138" s="84"/>
      <c r="BG138" s="84"/>
      <c r="BH138" s="84"/>
      <c r="BI138" s="84"/>
      <c r="BJ138" s="84"/>
      <c r="BK138" s="84"/>
      <c r="BL138" s="84"/>
      <c r="BM138" s="84"/>
      <c r="BN138" s="84"/>
      <c r="BO138" s="84"/>
      <c r="BP138" s="84"/>
      <c r="BQ138" s="84"/>
      <c r="BR138" s="84"/>
      <c r="BS138" s="84"/>
      <c r="BT138" s="84"/>
      <c r="BU138" s="84"/>
      <c r="BV138" s="84"/>
      <c r="BW138" s="84"/>
      <c r="BX138" s="84"/>
      <c r="BY138" s="84"/>
      <c r="BZ138" s="84"/>
      <c r="CA138" s="84"/>
      <c r="CB138" s="84"/>
      <c r="CC138" s="84"/>
      <c r="CD138" s="84"/>
      <c r="CE138" s="84"/>
      <c r="CF138" s="35"/>
      <c r="CG138" s="34"/>
      <c r="CH138" s="34"/>
      <c r="CI138" s="34"/>
      <c r="CJ138" s="34"/>
      <c r="CK138" s="34"/>
      <c r="CL138" s="34"/>
      <c r="CM138" s="34"/>
      <c r="CN138" s="34"/>
      <c r="CO138" s="35"/>
      <c r="CP138" s="35"/>
      <c r="CQ138" s="35"/>
      <c r="CR138" s="84"/>
      <c r="CS138" s="84"/>
      <c r="CT138" s="84"/>
      <c r="CU138" s="84"/>
      <c r="CV138" s="35"/>
      <c r="CW138" s="84"/>
      <c r="CX138" s="35"/>
      <c r="CY138" s="35"/>
      <c r="CZ138" s="35"/>
      <c r="DA138" s="35"/>
      <c r="DB138" s="35"/>
      <c r="DC138" s="84"/>
      <c r="DD138" s="35"/>
      <c r="DE138" s="35"/>
      <c r="DF138" s="35"/>
      <c r="DG138" s="35"/>
      <c r="DH138" s="35"/>
      <c r="DI138" s="84"/>
      <c r="DJ138" s="35"/>
      <c r="DK138" s="35"/>
      <c r="DL138" s="35"/>
      <c r="DM138" s="35"/>
      <c r="DN138" s="35"/>
      <c r="DO138" s="84"/>
      <c r="DP138" s="35"/>
      <c r="DQ138" s="35"/>
      <c r="DR138" s="35"/>
      <c r="DS138" s="35"/>
      <c r="DT138" s="35"/>
      <c r="DU138" s="84"/>
      <c r="DV138" s="35"/>
      <c r="DW138" s="35"/>
      <c r="DX138" s="35"/>
      <c r="DY138" s="35"/>
      <c r="DZ138" s="35"/>
      <c r="EA138" s="84"/>
      <c r="EB138" s="35"/>
      <c r="EC138" s="35"/>
      <c r="ED138" s="35"/>
      <c r="EE138" s="35"/>
      <c r="EF138" s="35"/>
      <c r="EG138" s="84"/>
      <c r="EH138" s="35"/>
      <c r="EI138" s="35"/>
      <c r="EJ138" s="35"/>
      <c r="EK138" s="35"/>
      <c r="EL138" s="35"/>
      <c r="EM138" s="84"/>
      <c r="EN138" s="35"/>
      <c r="EO138" s="35"/>
      <c r="EP138" s="35"/>
      <c r="EQ138" s="35"/>
      <c r="ER138" s="35"/>
      <c r="ES138" s="84"/>
      <c r="ET138" s="35"/>
      <c r="EU138" s="35"/>
      <c r="EV138" s="35"/>
      <c r="EW138" s="35"/>
      <c r="EX138" s="84"/>
      <c r="EY138" s="35"/>
      <c r="EZ138" s="35"/>
      <c r="FA138" s="35"/>
      <c r="FB138" s="35"/>
      <c r="FC138" s="35"/>
      <c r="FD138" s="84"/>
      <c r="FE138" s="84"/>
      <c r="FF138" s="35"/>
      <c r="FG138" s="35"/>
      <c r="FH138" s="35"/>
      <c r="FI138" s="35"/>
      <c r="FJ138" s="84"/>
      <c r="FK138" s="35"/>
      <c r="FL138" s="35"/>
      <c r="FM138" s="35"/>
      <c r="FN138" s="35"/>
      <c r="FO138" s="35"/>
      <c r="FP138" s="35"/>
      <c r="FQ138" s="35"/>
      <c r="FR138" s="35"/>
      <c r="FS138" s="35"/>
      <c r="FT138" s="35"/>
      <c r="FU138" s="35"/>
      <c r="FV138" s="35"/>
      <c r="FW138" s="35"/>
      <c r="FX138" s="35"/>
      <c r="FY138" s="35"/>
      <c r="FZ138" s="35"/>
      <c r="GA138" s="35"/>
      <c r="GB138" s="35"/>
      <c r="GC138" s="35"/>
      <c r="GD138" s="35"/>
      <c r="GE138" s="35"/>
      <c r="GF138" s="35"/>
      <c r="GG138" s="35"/>
      <c r="GH138" s="35"/>
      <c r="GI138" s="35"/>
      <c r="GJ138" s="35"/>
      <c r="GK138" s="35"/>
      <c r="GL138" s="35"/>
      <c r="GM138" s="35"/>
      <c r="GN138" s="35"/>
      <c r="GO138" s="35"/>
      <c r="GP138" s="35"/>
      <c r="GQ138" s="35"/>
      <c r="GR138" s="35"/>
      <c r="GS138" s="35"/>
      <c r="GT138" s="35"/>
      <c r="GU138" s="35"/>
      <c r="GV138" s="84"/>
      <c r="GW138" s="84"/>
      <c r="GX138" s="84"/>
      <c r="GY138" s="84"/>
      <c r="GZ138" s="84"/>
      <c r="HA138" s="84"/>
      <c r="HB138" s="35"/>
      <c r="HC138" s="35"/>
      <c r="HD138" s="35"/>
      <c r="HE138" s="35"/>
      <c r="HF138" s="35"/>
      <c r="HG138" s="35"/>
      <c r="HH138" s="84"/>
      <c r="HI138" s="84"/>
      <c r="HJ138" s="84"/>
      <c r="HK138" s="84"/>
      <c r="HL138" s="84"/>
      <c r="HM138" s="84"/>
      <c r="HN138" s="84"/>
      <c r="HO138" s="84"/>
      <c r="HP138" s="84"/>
      <c r="HQ138" s="84"/>
      <c r="HR138" s="84"/>
      <c r="HS138" s="84"/>
      <c r="HT138" s="84"/>
      <c r="HU138" s="84"/>
      <c r="HV138" s="84"/>
      <c r="HW138" s="84"/>
      <c r="HX138" s="84"/>
      <c r="HY138" s="35"/>
      <c r="HZ138" s="35"/>
      <c r="IA138" s="35"/>
      <c r="IB138" s="35"/>
      <c r="IC138" s="35"/>
      <c r="ID138" s="35"/>
      <c r="IE138" s="84"/>
      <c r="IF138" s="84"/>
      <c r="IG138" s="84"/>
      <c r="IH138" s="84"/>
      <c r="II138" s="84"/>
      <c r="IJ138" s="84"/>
      <c r="IK138" s="84"/>
      <c r="IL138" s="84"/>
      <c r="IM138" s="84"/>
      <c r="IN138" s="84"/>
      <c r="IO138" s="84"/>
      <c r="IP138" s="84"/>
      <c r="IQ138" s="84"/>
      <c r="IR138" s="84"/>
      <c r="IS138" s="84"/>
      <c r="IT138" s="84"/>
      <c r="IU138" s="84"/>
      <c r="IV138" s="84"/>
      <c r="IW138" s="84"/>
    </row>
    <row r="139" spans="2:257" s="28" customFormat="1" ht="14.4">
      <c r="B139" s="30">
        <f t="shared" si="150"/>
        <v>6.01</v>
      </c>
      <c r="C139" s="38" t="s">
        <v>118</v>
      </c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  <c r="BM139" s="84"/>
      <c r="BN139" s="84"/>
      <c r="BO139" s="84"/>
      <c r="BP139" s="84"/>
      <c r="BQ139" s="84"/>
      <c r="BR139" s="84"/>
      <c r="BS139" s="84"/>
      <c r="BT139" s="84"/>
      <c r="BU139" s="84"/>
      <c r="BV139" s="84"/>
      <c r="BW139" s="84"/>
      <c r="BX139" s="84"/>
      <c r="BY139" s="84"/>
      <c r="BZ139" s="84"/>
      <c r="CA139" s="84"/>
      <c r="CB139" s="84"/>
      <c r="CC139" s="84"/>
      <c r="CD139" s="84"/>
      <c r="CE139" s="84"/>
      <c r="CF139" s="35"/>
      <c r="CG139" s="34"/>
      <c r="CH139" s="34"/>
      <c r="CI139" s="34"/>
      <c r="CJ139" s="34"/>
      <c r="CK139" s="34"/>
      <c r="CL139" s="34"/>
      <c r="CM139" s="34"/>
      <c r="CN139" s="34"/>
      <c r="CO139" s="35"/>
      <c r="CP139" s="35"/>
      <c r="CQ139" s="35"/>
      <c r="CR139" s="84"/>
      <c r="CS139" s="84"/>
      <c r="CT139" s="84"/>
      <c r="CU139" s="84"/>
      <c r="CV139" s="35"/>
      <c r="CW139" s="84"/>
      <c r="CX139" s="35"/>
      <c r="CY139" s="35"/>
      <c r="CZ139" s="35"/>
      <c r="DA139" s="35"/>
      <c r="DB139" s="35"/>
      <c r="DC139" s="84"/>
      <c r="DD139" s="35"/>
      <c r="DE139" s="35"/>
      <c r="DF139" s="35"/>
      <c r="DG139" s="35"/>
      <c r="DH139" s="35"/>
      <c r="DI139" s="84"/>
      <c r="DJ139" s="35"/>
      <c r="DK139" s="35"/>
      <c r="DL139" s="35"/>
      <c r="DM139" s="35"/>
      <c r="DN139" s="35"/>
      <c r="DO139" s="84"/>
      <c r="DP139" s="35"/>
      <c r="DQ139" s="35"/>
      <c r="DR139" s="35"/>
      <c r="DS139" s="35"/>
      <c r="DT139" s="35"/>
      <c r="DU139" s="84"/>
      <c r="DV139" s="35"/>
      <c r="DW139" s="35"/>
      <c r="DX139" s="35"/>
      <c r="DY139" s="35"/>
      <c r="DZ139" s="35"/>
      <c r="EA139" s="84"/>
      <c r="EB139" s="35"/>
      <c r="EC139" s="35"/>
      <c r="ED139" s="35"/>
      <c r="EE139" s="35"/>
      <c r="EF139" s="35"/>
      <c r="EG139" s="84"/>
      <c r="EH139" s="35"/>
      <c r="EI139" s="35"/>
      <c r="EJ139" s="35"/>
      <c r="EK139" s="35"/>
      <c r="EL139" s="35"/>
      <c r="EM139" s="84"/>
      <c r="EN139" s="35"/>
      <c r="EO139" s="35"/>
      <c r="EP139" s="35"/>
      <c r="EQ139" s="35"/>
      <c r="ER139" s="35"/>
      <c r="ES139" s="84"/>
      <c r="ET139" s="35"/>
      <c r="EU139" s="35"/>
      <c r="EV139" s="35"/>
      <c r="EW139" s="35"/>
      <c r="EX139" s="84"/>
      <c r="EY139" s="35"/>
      <c r="EZ139" s="35"/>
      <c r="FA139" s="35"/>
      <c r="FB139" s="35"/>
      <c r="FC139" s="35"/>
      <c r="FD139" s="84"/>
      <c r="FE139" s="84"/>
      <c r="FF139" s="35"/>
      <c r="FG139" s="35"/>
      <c r="FH139" s="35"/>
      <c r="FI139" s="35"/>
      <c r="FJ139" s="84"/>
      <c r="FK139" s="35"/>
      <c r="FL139" s="35"/>
      <c r="FM139" s="35"/>
      <c r="FN139" s="35"/>
      <c r="FO139" s="35"/>
      <c r="FP139" s="84"/>
      <c r="FQ139" s="84"/>
      <c r="FR139" s="84"/>
      <c r="FS139" s="35"/>
      <c r="FT139" s="35"/>
      <c r="FU139" s="84"/>
      <c r="FV139" s="84"/>
      <c r="FW139" s="84"/>
      <c r="FX139" s="84"/>
      <c r="FY139" s="84"/>
      <c r="FZ139" s="84"/>
      <c r="GA139" s="84"/>
      <c r="GB139" s="84"/>
      <c r="GC139" s="84"/>
      <c r="GD139" s="84"/>
      <c r="GE139" s="84"/>
      <c r="GF139" s="84"/>
      <c r="GG139" s="84"/>
      <c r="GH139" s="84"/>
      <c r="GI139" s="84"/>
      <c r="GJ139" s="84"/>
      <c r="GK139" s="84"/>
      <c r="GL139" s="84"/>
      <c r="GM139" s="84"/>
      <c r="GN139" s="84"/>
      <c r="GO139" s="84"/>
      <c r="GP139" s="84"/>
      <c r="GQ139" s="84"/>
      <c r="GR139" s="84"/>
      <c r="GS139" s="84"/>
      <c r="GT139" s="84"/>
      <c r="GU139" s="55" t="s">
        <v>187</v>
      </c>
      <c r="GV139" s="55" t="s">
        <v>187</v>
      </c>
      <c r="GW139" s="55" t="s">
        <v>30</v>
      </c>
      <c r="GX139" s="55" t="s">
        <v>31</v>
      </c>
      <c r="GY139" s="55" t="s">
        <v>31</v>
      </c>
      <c r="GZ139" s="55" t="s">
        <v>32</v>
      </c>
      <c r="HA139" s="55" t="s">
        <v>32</v>
      </c>
      <c r="HB139" s="56" t="s">
        <v>188</v>
      </c>
      <c r="HC139" s="56" t="s">
        <v>189</v>
      </c>
      <c r="HD139" s="56" t="s">
        <v>190</v>
      </c>
      <c r="HE139" s="56" t="s">
        <v>190</v>
      </c>
      <c r="HF139" s="56" t="s">
        <v>191</v>
      </c>
      <c r="HG139" s="56" t="s">
        <v>191</v>
      </c>
      <c r="HH139" s="57" t="s">
        <v>192</v>
      </c>
      <c r="HI139" s="57" t="s">
        <v>192</v>
      </c>
      <c r="HJ139" s="57" t="s">
        <v>193</v>
      </c>
      <c r="HK139" s="57" t="s">
        <v>193</v>
      </c>
      <c r="HL139" s="57" t="s">
        <v>194</v>
      </c>
      <c r="HM139" s="57" t="s">
        <v>194</v>
      </c>
      <c r="HN139" s="57" t="s">
        <v>195</v>
      </c>
      <c r="HO139" s="58" t="s">
        <v>196</v>
      </c>
      <c r="HP139" s="58" t="s">
        <v>197</v>
      </c>
      <c r="HQ139" s="58" t="s">
        <v>198</v>
      </c>
      <c r="HR139" s="58" t="s">
        <v>199</v>
      </c>
      <c r="HS139" s="58" t="s">
        <v>199</v>
      </c>
      <c r="HT139" s="42" t="s">
        <v>33</v>
      </c>
      <c r="HU139" s="42" t="s">
        <v>34</v>
      </c>
      <c r="HV139" s="42" t="s">
        <v>35</v>
      </c>
      <c r="HW139" s="42" t="s">
        <v>35</v>
      </c>
      <c r="HX139" s="42" t="s">
        <v>36</v>
      </c>
      <c r="HY139" s="42" t="s">
        <v>36</v>
      </c>
      <c r="HZ139" s="59" t="s">
        <v>200</v>
      </c>
      <c r="IA139" s="59" t="s">
        <v>201</v>
      </c>
      <c r="IB139" s="59" t="s">
        <v>202</v>
      </c>
      <c r="IC139" s="59" t="s">
        <v>203</v>
      </c>
      <c r="ID139" s="35"/>
      <c r="IE139" s="35"/>
      <c r="IF139" s="35"/>
      <c r="IG139" s="84"/>
      <c r="IH139" s="35"/>
      <c r="II139" s="35"/>
      <c r="IJ139" s="84"/>
      <c r="IK139" s="84"/>
      <c r="IL139" s="84"/>
      <c r="IM139" s="84"/>
      <c r="IN139" s="84"/>
      <c r="IO139" s="84"/>
      <c r="IP139" s="84"/>
      <c r="IQ139" s="84"/>
      <c r="IR139" s="84"/>
      <c r="IS139" s="84"/>
      <c r="IT139" s="84"/>
      <c r="IU139" s="84"/>
      <c r="IV139" s="84"/>
      <c r="IW139" s="84"/>
    </row>
    <row r="140" spans="2:257" s="28" customFormat="1" ht="14.4">
      <c r="B140" s="30">
        <f t="shared" si="150"/>
        <v>6.02</v>
      </c>
      <c r="C140" s="38" t="s">
        <v>119</v>
      </c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35"/>
      <c r="BB140" s="35"/>
      <c r="BC140" s="84"/>
      <c r="BD140" s="84"/>
      <c r="BE140" s="84"/>
      <c r="BF140" s="84"/>
      <c r="BG140" s="84"/>
      <c r="BH140" s="84"/>
      <c r="BI140" s="84"/>
      <c r="BJ140" s="84"/>
      <c r="BK140" s="84"/>
      <c r="BL140" s="84"/>
      <c r="BM140" s="84"/>
      <c r="BN140" s="84"/>
      <c r="BO140" s="84"/>
      <c r="BP140" s="84"/>
      <c r="BQ140" s="84"/>
      <c r="BR140" s="84"/>
      <c r="BS140" s="84"/>
      <c r="BT140" s="84"/>
      <c r="BU140" s="84"/>
      <c r="BV140" s="84"/>
      <c r="BW140" s="84"/>
      <c r="BX140" s="84"/>
      <c r="BY140" s="84"/>
      <c r="BZ140" s="84"/>
      <c r="CA140" s="84"/>
      <c r="CB140" s="84"/>
      <c r="CC140" s="84"/>
      <c r="CD140" s="84"/>
      <c r="CE140" s="84"/>
      <c r="CF140" s="35"/>
      <c r="CG140" s="34"/>
      <c r="CH140" s="34"/>
      <c r="CI140" s="34"/>
      <c r="CJ140" s="34"/>
      <c r="CK140" s="34"/>
      <c r="CL140" s="34"/>
      <c r="CM140" s="34"/>
      <c r="CN140" s="34"/>
      <c r="CO140" s="35"/>
      <c r="CP140" s="35"/>
      <c r="CQ140" s="35"/>
      <c r="CR140" s="84"/>
      <c r="CS140" s="84"/>
      <c r="CT140" s="84"/>
      <c r="CU140" s="84"/>
      <c r="CV140" s="35"/>
      <c r="CW140" s="84"/>
      <c r="CX140" s="35"/>
      <c r="CY140" s="35"/>
      <c r="CZ140" s="35"/>
      <c r="DA140" s="35"/>
      <c r="DB140" s="35"/>
      <c r="DC140" s="84"/>
      <c r="DD140" s="35"/>
      <c r="DE140" s="35"/>
      <c r="DF140" s="35"/>
      <c r="DG140" s="35"/>
      <c r="DH140" s="35"/>
      <c r="DI140" s="84"/>
      <c r="DJ140" s="35"/>
      <c r="DK140" s="35"/>
      <c r="DL140" s="35"/>
      <c r="DM140" s="35"/>
      <c r="DN140" s="35"/>
      <c r="DO140" s="84"/>
      <c r="DP140" s="35"/>
      <c r="DQ140" s="35"/>
      <c r="DR140" s="35"/>
      <c r="DS140" s="35"/>
      <c r="DT140" s="35"/>
      <c r="DU140" s="84"/>
      <c r="DV140" s="35"/>
      <c r="DW140" s="35"/>
      <c r="DX140" s="35"/>
      <c r="DY140" s="35"/>
      <c r="DZ140" s="35"/>
      <c r="EA140" s="84"/>
      <c r="EB140" s="35"/>
      <c r="EC140" s="35"/>
      <c r="ED140" s="35"/>
      <c r="EE140" s="35"/>
      <c r="EF140" s="35"/>
      <c r="EG140" s="84"/>
      <c r="EH140" s="35"/>
      <c r="EI140" s="35"/>
      <c r="EJ140" s="35"/>
      <c r="EK140" s="35"/>
      <c r="EL140" s="35"/>
      <c r="EM140" s="84"/>
      <c r="EN140" s="35"/>
      <c r="EO140" s="35"/>
      <c r="EP140" s="35"/>
      <c r="EQ140" s="35"/>
      <c r="ER140" s="35"/>
      <c r="ES140" s="84"/>
      <c r="ET140" s="35"/>
      <c r="EU140" s="35"/>
      <c r="EV140" s="35"/>
      <c r="EW140" s="35"/>
      <c r="EX140" s="84"/>
      <c r="EY140" s="35"/>
      <c r="EZ140" s="35"/>
      <c r="FA140" s="35"/>
      <c r="FB140" s="35"/>
      <c r="FC140" s="35"/>
      <c r="FD140" s="84"/>
      <c r="FE140" s="84"/>
      <c r="FF140" s="35"/>
      <c r="FG140" s="35"/>
      <c r="FH140" s="35"/>
      <c r="FI140" s="35"/>
      <c r="FJ140" s="84"/>
      <c r="FK140" s="35"/>
      <c r="FL140" s="35"/>
      <c r="FM140" s="35"/>
      <c r="FN140" s="35"/>
      <c r="FO140" s="35"/>
      <c r="FP140" s="84"/>
      <c r="FQ140" s="35"/>
      <c r="FR140" s="84"/>
      <c r="FS140" s="35"/>
      <c r="FT140" s="35"/>
      <c r="FU140" s="84"/>
      <c r="FV140" s="84"/>
      <c r="FW140" s="84"/>
      <c r="FX140" s="84"/>
      <c r="FY140" s="84"/>
      <c r="FZ140" s="84"/>
      <c r="GA140" s="84"/>
      <c r="GB140" s="84"/>
      <c r="GC140" s="84"/>
      <c r="GD140" s="84"/>
      <c r="GE140" s="84"/>
      <c r="GF140" s="84"/>
      <c r="GG140" s="84"/>
      <c r="GH140" s="84"/>
      <c r="GI140" s="84"/>
      <c r="GJ140" s="84"/>
      <c r="GK140" s="84"/>
      <c r="GL140" s="84"/>
      <c r="GM140" s="84"/>
      <c r="GN140" s="84"/>
      <c r="GO140" s="84"/>
      <c r="GP140" s="84"/>
      <c r="GQ140" s="84"/>
      <c r="GR140" s="84"/>
      <c r="GS140" s="84"/>
      <c r="GT140" s="84"/>
      <c r="GU140" s="84"/>
      <c r="GV140" s="84"/>
      <c r="GW140" s="55" t="s">
        <v>187</v>
      </c>
      <c r="GX140" s="55" t="s">
        <v>30</v>
      </c>
      <c r="GY140" s="55" t="s">
        <v>30</v>
      </c>
      <c r="GZ140" s="55" t="s">
        <v>31</v>
      </c>
      <c r="HA140" s="55" t="s">
        <v>31</v>
      </c>
      <c r="HB140" s="55" t="s">
        <v>32</v>
      </c>
      <c r="HC140" s="56" t="s">
        <v>188</v>
      </c>
      <c r="HD140" s="56" t="s">
        <v>189</v>
      </c>
      <c r="HE140" s="56" t="s">
        <v>189</v>
      </c>
      <c r="HF140" s="56" t="s">
        <v>190</v>
      </c>
      <c r="HG140" s="56" t="s">
        <v>190</v>
      </c>
      <c r="HH140" s="56" t="s">
        <v>191</v>
      </c>
      <c r="HI140" s="56" t="s">
        <v>191</v>
      </c>
      <c r="HJ140" s="57" t="s">
        <v>192</v>
      </c>
      <c r="HK140" s="57" t="s">
        <v>192</v>
      </c>
      <c r="HL140" s="57" t="s">
        <v>193</v>
      </c>
      <c r="HM140" s="57" t="s">
        <v>193</v>
      </c>
      <c r="HN140" s="57" t="s">
        <v>194</v>
      </c>
      <c r="HO140" s="57" t="s">
        <v>195</v>
      </c>
      <c r="HP140" s="58" t="s">
        <v>196</v>
      </c>
      <c r="HQ140" s="58" t="s">
        <v>197</v>
      </c>
      <c r="HR140" s="58" t="s">
        <v>198</v>
      </c>
      <c r="HS140" s="58" t="s">
        <v>198</v>
      </c>
      <c r="HT140" s="58" t="s">
        <v>199</v>
      </c>
      <c r="HU140" s="42" t="s">
        <v>33</v>
      </c>
      <c r="HV140" s="42" t="s">
        <v>34</v>
      </c>
      <c r="HW140" s="42" t="s">
        <v>34</v>
      </c>
      <c r="HX140" s="42" t="s">
        <v>35</v>
      </c>
      <c r="HY140" s="42" t="s">
        <v>35</v>
      </c>
      <c r="HZ140" s="42" t="s">
        <v>36</v>
      </c>
      <c r="IA140" s="59" t="s">
        <v>200</v>
      </c>
      <c r="IB140" s="59" t="s">
        <v>201</v>
      </c>
      <c r="IC140" s="59" t="s">
        <v>202</v>
      </c>
      <c r="ID140" s="59" t="s">
        <v>203</v>
      </c>
      <c r="IE140" s="35"/>
      <c r="IF140" s="35"/>
      <c r="IG140" s="84"/>
      <c r="IH140" s="35"/>
      <c r="II140" s="35"/>
      <c r="IJ140" s="35"/>
      <c r="IK140" s="35"/>
      <c r="IL140" s="35"/>
      <c r="IM140" s="35"/>
      <c r="IN140" s="35"/>
      <c r="IO140" s="35"/>
      <c r="IP140" s="84"/>
      <c r="IQ140" s="84"/>
      <c r="IR140" s="84"/>
      <c r="IS140" s="84"/>
      <c r="IT140" s="84"/>
      <c r="IU140" s="84"/>
      <c r="IV140" s="84"/>
      <c r="IW140" s="84"/>
    </row>
    <row r="141" spans="2:257" s="28" customFormat="1" ht="14.4">
      <c r="B141" s="30">
        <f t="shared" si="150"/>
        <v>6.0299999999999994</v>
      </c>
      <c r="C141" s="38" t="s">
        <v>120</v>
      </c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  <c r="BC141" s="84"/>
      <c r="BD141" s="84"/>
      <c r="BE141" s="84"/>
      <c r="BF141" s="84"/>
      <c r="BG141" s="84"/>
      <c r="BH141" s="84"/>
      <c r="BI141" s="84"/>
      <c r="BJ141" s="84"/>
      <c r="BK141" s="84"/>
      <c r="BL141" s="84"/>
      <c r="BM141" s="84"/>
      <c r="BN141" s="84"/>
      <c r="BO141" s="84"/>
      <c r="BP141" s="84"/>
      <c r="BQ141" s="84"/>
      <c r="BR141" s="84"/>
      <c r="BS141" s="84"/>
      <c r="BT141" s="84"/>
      <c r="BU141" s="84"/>
      <c r="BV141" s="84"/>
      <c r="BW141" s="84"/>
      <c r="BX141" s="84"/>
      <c r="BY141" s="84"/>
      <c r="BZ141" s="84"/>
      <c r="CA141" s="84"/>
      <c r="CB141" s="84"/>
      <c r="CC141" s="84"/>
      <c r="CD141" s="84"/>
      <c r="CE141" s="84"/>
      <c r="CF141" s="35"/>
      <c r="CG141" s="34"/>
      <c r="CH141" s="34"/>
      <c r="CI141" s="34"/>
      <c r="CJ141" s="34"/>
      <c r="CK141" s="34"/>
      <c r="CL141" s="34"/>
      <c r="CM141" s="34"/>
      <c r="CN141" s="34"/>
      <c r="CO141" s="35"/>
      <c r="CP141" s="35"/>
      <c r="CQ141" s="35"/>
      <c r="CR141" s="84"/>
      <c r="CS141" s="84"/>
      <c r="CT141" s="84"/>
      <c r="CU141" s="84"/>
      <c r="CV141" s="35"/>
      <c r="CW141" s="84"/>
      <c r="CX141" s="35"/>
      <c r="CY141" s="35"/>
      <c r="CZ141" s="35"/>
      <c r="DA141" s="35"/>
      <c r="DB141" s="35"/>
      <c r="DC141" s="84"/>
      <c r="DD141" s="35"/>
      <c r="DE141" s="35"/>
      <c r="DF141" s="35"/>
      <c r="DG141" s="35"/>
      <c r="DH141" s="35"/>
      <c r="DI141" s="84"/>
      <c r="DJ141" s="35"/>
      <c r="DK141" s="35"/>
      <c r="DL141" s="35"/>
      <c r="DM141" s="35"/>
      <c r="DN141" s="35"/>
      <c r="DO141" s="84"/>
      <c r="DP141" s="35"/>
      <c r="DQ141" s="35"/>
      <c r="DR141" s="35"/>
      <c r="DS141" s="35"/>
      <c r="DT141" s="35"/>
      <c r="DU141" s="84"/>
      <c r="DV141" s="35"/>
      <c r="DW141" s="35"/>
      <c r="DX141" s="35"/>
      <c r="DY141" s="35"/>
      <c r="DZ141" s="35"/>
      <c r="EA141" s="84"/>
      <c r="EB141" s="35"/>
      <c r="EC141" s="35"/>
      <c r="ED141" s="35"/>
      <c r="EE141" s="35"/>
      <c r="EF141" s="35"/>
      <c r="EG141" s="84"/>
      <c r="EH141" s="35"/>
      <c r="EI141" s="35"/>
      <c r="EJ141" s="35"/>
      <c r="EK141" s="35"/>
      <c r="EL141" s="35"/>
      <c r="EM141" s="84"/>
      <c r="EN141" s="35"/>
      <c r="EO141" s="35"/>
      <c r="EP141" s="35"/>
      <c r="EQ141" s="35"/>
      <c r="ER141" s="35"/>
      <c r="ES141" s="84"/>
      <c r="ET141" s="35"/>
      <c r="EU141" s="35"/>
      <c r="EV141" s="35"/>
      <c r="EW141" s="35"/>
      <c r="EX141" s="84"/>
      <c r="EY141" s="35"/>
      <c r="EZ141" s="35"/>
      <c r="FA141" s="35"/>
      <c r="FB141" s="35"/>
      <c r="FC141" s="35"/>
      <c r="FD141" s="84"/>
      <c r="FE141" s="84"/>
      <c r="FF141" s="35"/>
      <c r="FG141" s="35"/>
      <c r="FH141" s="35"/>
      <c r="FI141" s="35"/>
      <c r="FJ141" s="84"/>
      <c r="FK141" s="35"/>
      <c r="FL141" s="35"/>
      <c r="FM141" s="47"/>
      <c r="FN141" s="47"/>
      <c r="FO141" s="47"/>
      <c r="FP141" s="84"/>
      <c r="FQ141" s="47"/>
      <c r="FR141" s="84"/>
      <c r="FS141" s="35"/>
      <c r="FT141" s="35"/>
      <c r="FU141" s="84"/>
      <c r="FV141" s="84"/>
      <c r="FW141" s="84"/>
      <c r="FX141" s="84"/>
      <c r="FY141" s="84"/>
      <c r="FZ141" s="84"/>
      <c r="GA141" s="84"/>
      <c r="GB141" s="84"/>
      <c r="GC141" s="84"/>
      <c r="GD141" s="84"/>
      <c r="GE141" s="84"/>
      <c r="GF141" s="84"/>
      <c r="GG141" s="84"/>
      <c r="GH141" s="84"/>
      <c r="GI141" s="84"/>
      <c r="GJ141" s="84"/>
      <c r="GK141" s="84"/>
      <c r="GL141" s="84"/>
      <c r="GM141" s="84"/>
      <c r="GN141" s="84"/>
      <c r="GO141" s="84"/>
      <c r="GP141" s="84"/>
      <c r="GQ141" s="84"/>
      <c r="GR141" s="84"/>
      <c r="GS141" s="84"/>
      <c r="GT141" s="84"/>
      <c r="GU141" s="84"/>
      <c r="GV141" s="84"/>
      <c r="GW141" s="55" t="s">
        <v>187</v>
      </c>
      <c r="GX141" s="55" t="s">
        <v>30</v>
      </c>
      <c r="GY141" s="55" t="s">
        <v>30</v>
      </c>
      <c r="GZ141" s="55" t="s">
        <v>31</v>
      </c>
      <c r="HA141" s="55" t="s">
        <v>31</v>
      </c>
      <c r="HB141" s="55" t="s">
        <v>32</v>
      </c>
      <c r="HC141" s="56" t="s">
        <v>188</v>
      </c>
      <c r="HD141" s="56" t="s">
        <v>189</v>
      </c>
      <c r="HE141" s="56" t="s">
        <v>189</v>
      </c>
      <c r="HF141" s="56" t="s">
        <v>190</v>
      </c>
      <c r="HG141" s="56" t="s">
        <v>190</v>
      </c>
      <c r="HH141" s="56" t="s">
        <v>191</v>
      </c>
      <c r="HI141" s="56" t="s">
        <v>191</v>
      </c>
      <c r="HJ141" s="57" t="s">
        <v>192</v>
      </c>
      <c r="HK141" s="57" t="s">
        <v>192</v>
      </c>
      <c r="HL141" s="57" t="s">
        <v>193</v>
      </c>
      <c r="HM141" s="57" t="s">
        <v>193</v>
      </c>
      <c r="HN141" s="57" t="s">
        <v>194</v>
      </c>
      <c r="HO141" s="57" t="s">
        <v>195</v>
      </c>
      <c r="HP141" s="58" t="s">
        <v>196</v>
      </c>
      <c r="HQ141" s="58" t="s">
        <v>197</v>
      </c>
      <c r="HR141" s="58" t="s">
        <v>198</v>
      </c>
      <c r="HS141" s="58" t="s">
        <v>198</v>
      </c>
      <c r="HT141" s="58" t="s">
        <v>199</v>
      </c>
      <c r="HU141" s="42" t="s">
        <v>33</v>
      </c>
      <c r="HV141" s="42" t="s">
        <v>34</v>
      </c>
      <c r="HW141" s="42" t="s">
        <v>34</v>
      </c>
      <c r="HX141" s="42" t="s">
        <v>35</v>
      </c>
      <c r="HY141" s="42" t="s">
        <v>35</v>
      </c>
      <c r="HZ141" s="42" t="s">
        <v>36</v>
      </c>
      <c r="IA141" s="59" t="s">
        <v>200</v>
      </c>
      <c r="IB141" s="59" t="s">
        <v>201</v>
      </c>
      <c r="IC141" s="59" t="s">
        <v>202</v>
      </c>
      <c r="ID141" s="59" t="s">
        <v>203</v>
      </c>
      <c r="IE141" s="35"/>
      <c r="IF141" s="35"/>
      <c r="IG141" s="84"/>
      <c r="IH141" s="35"/>
      <c r="II141" s="35"/>
      <c r="IJ141" s="35"/>
      <c r="IK141" s="35"/>
      <c r="IL141" s="35"/>
      <c r="IM141" s="35"/>
      <c r="IN141" s="35"/>
      <c r="IO141" s="35"/>
      <c r="IP141" s="84"/>
      <c r="IQ141" s="84"/>
      <c r="IR141" s="84"/>
      <c r="IS141" s="84"/>
      <c r="IT141" s="84"/>
      <c r="IU141" s="84"/>
      <c r="IV141" s="84"/>
      <c r="IW141" s="84"/>
    </row>
    <row r="142" spans="2:257" s="28" customFormat="1" ht="14.4">
      <c r="B142" s="30">
        <f t="shared" si="150"/>
        <v>6.0399999999999991</v>
      </c>
      <c r="C142" s="38" t="s">
        <v>121</v>
      </c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  <c r="BA142" s="35"/>
      <c r="BB142" s="35"/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  <c r="BM142" s="84"/>
      <c r="BN142" s="84"/>
      <c r="BO142" s="84"/>
      <c r="BP142" s="84"/>
      <c r="BQ142" s="84"/>
      <c r="BR142" s="84"/>
      <c r="BS142" s="84"/>
      <c r="BT142" s="84"/>
      <c r="BU142" s="84"/>
      <c r="BV142" s="84"/>
      <c r="BW142" s="84"/>
      <c r="BX142" s="84"/>
      <c r="BY142" s="84"/>
      <c r="BZ142" s="84"/>
      <c r="CA142" s="84"/>
      <c r="CB142" s="84"/>
      <c r="CC142" s="84"/>
      <c r="CD142" s="84"/>
      <c r="CE142" s="84"/>
      <c r="CF142" s="35"/>
      <c r="CG142" s="34"/>
      <c r="CH142" s="34"/>
      <c r="CI142" s="34"/>
      <c r="CJ142" s="34"/>
      <c r="CK142" s="34"/>
      <c r="CL142" s="34"/>
      <c r="CM142" s="34"/>
      <c r="CN142" s="34"/>
      <c r="CO142" s="35"/>
      <c r="CP142" s="35"/>
      <c r="CQ142" s="35"/>
      <c r="CR142" s="84"/>
      <c r="CS142" s="84"/>
      <c r="CT142" s="84"/>
      <c r="CU142" s="84"/>
      <c r="CV142" s="35"/>
      <c r="CW142" s="84"/>
      <c r="CX142" s="35"/>
      <c r="CY142" s="35"/>
      <c r="CZ142" s="35"/>
      <c r="DA142" s="35"/>
      <c r="DB142" s="35"/>
      <c r="DC142" s="84"/>
      <c r="DD142" s="35"/>
      <c r="DE142" s="35"/>
      <c r="DF142" s="35"/>
      <c r="DG142" s="35"/>
      <c r="DH142" s="35"/>
      <c r="DI142" s="84"/>
      <c r="DJ142" s="35"/>
      <c r="DK142" s="35"/>
      <c r="DL142" s="35"/>
      <c r="DM142" s="35"/>
      <c r="DN142" s="35"/>
      <c r="DO142" s="84"/>
      <c r="DP142" s="35"/>
      <c r="DQ142" s="35"/>
      <c r="DR142" s="35"/>
      <c r="DS142" s="35"/>
      <c r="DT142" s="35"/>
      <c r="DU142" s="84"/>
      <c r="DV142" s="35"/>
      <c r="DW142" s="35"/>
      <c r="DX142" s="35"/>
      <c r="DY142" s="35"/>
      <c r="DZ142" s="35"/>
      <c r="EA142" s="84"/>
      <c r="EB142" s="35"/>
      <c r="EC142" s="35"/>
      <c r="ED142" s="35"/>
      <c r="EE142" s="35"/>
      <c r="EF142" s="35"/>
      <c r="EG142" s="84"/>
      <c r="EH142" s="35"/>
      <c r="EI142" s="35"/>
      <c r="EJ142" s="35"/>
      <c r="EK142" s="35"/>
      <c r="EL142" s="35"/>
      <c r="EM142" s="84"/>
      <c r="EN142" s="35"/>
      <c r="EO142" s="35"/>
      <c r="EP142" s="35"/>
      <c r="EQ142" s="35"/>
      <c r="ER142" s="35"/>
      <c r="ES142" s="84"/>
      <c r="ET142" s="35"/>
      <c r="EU142" s="35"/>
      <c r="EV142" s="35"/>
      <c r="EW142" s="35"/>
      <c r="EX142" s="35"/>
      <c r="EY142" s="84"/>
      <c r="EZ142" s="35"/>
      <c r="FA142" s="35"/>
      <c r="FB142" s="35"/>
      <c r="FC142" s="35"/>
      <c r="FD142" s="35"/>
      <c r="FE142" s="84"/>
      <c r="FF142" s="84"/>
      <c r="FG142" s="35"/>
      <c r="FH142" s="35"/>
      <c r="FI142" s="35"/>
      <c r="FJ142" s="35"/>
      <c r="FK142" s="84"/>
      <c r="FL142" s="35"/>
      <c r="FM142" s="35"/>
      <c r="FN142" s="35"/>
      <c r="FO142" s="35"/>
      <c r="FP142" s="35"/>
      <c r="FQ142" s="84"/>
      <c r="FR142" s="35"/>
      <c r="FS142" s="35"/>
      <c r="FT142" s="35"/>
      <c r="FU142" s="84"/>
      <c r="FV142" s="84"/>
      <c r="FW142" s="84"/>
      <c r="FX142" s="84"/>
      <c r="FY142" s="84"/>
      <c r="FZ142" s="84"/>
      <c r="GA142" s="84"/>
      <c r="GB142" s="84"/>
      <c r="GC142" s="84"/>
      <c r="GD142" s="84"/>
      <c r="GE142" s="84"/>
      <c r="GF142" s="84"/>
      <c r="GG142" s="84"/>
      <c r="GH142" s="84"/>
      <c r="GI142" s="84"/>
      <c r="GJ142" s="84"/>
      <c r="GK142" s="84"/>
      <c r="GL142" s="84"/>
      <c r="GM142" s="84"/>
      <c r="GN142" s="84"/>
      <c r="GO142" s="84"/>
      <c r="GP142" s="84"/>
      <c r="GQ142" s="84"/>
      <c r="GR142" s="84"/>
      <c r="GS142" s="84"/>
      <c r="GT142" s="84"/>
      <c r="GU142" s="84"/>
      <c r="GV142" s="84"/>
      <c r="GW142" s="84"/>
      <c r="GX142" s="55" t="s">
        <v>187</v>
      </c>
      <c r="GY142" s="55" t="s">
        <v>187</v>
      </c>
      <c r="GZ142" s="55" t="s">
        <v>30</v>
      </c>
      <c r="HA142" s="55" t="s">
        <v>30</v>
      </c>
      <c r="HB142" s="55" t="s">
        <v>31</v>
      </c>
      <c r="HC142" s="55" t="s">
        <v>32</v>
      </c>
      <c r="HD142" s="56" t="s">
        <v>188</v>
      </c>
      <c r="HE142" s="56" t="s">
        <v>188</v>
      </c>
      <c r="HF142" s="56" t="s">
        <v>189</v>
      </c>
      <c r="HG142" s="56" t="s">
        <v>189</v>
      </c>
      <c r="HH142" s="56" t="s">
        <v>190</v>
      </c>
      <c r="HI142" s="56" t="s">
        <v>190</v>
      </c>
      <c r="HJ142" s="56" t="s">
        <v>191</v>
      </c>
      <c r="HK142" s="56" t="s">
        <v>191</v>
      </c>
      <c r="HL142" s="57" t="s">
        <v>192</v>
      </c>
      <c r="HM142" s="57" t="s">
        <v>192</v>
      </c>
      <c r="HN142" s="57" t="s">
        <v>193</v>
      </c>
      <c r="HO142" s="57" t="s">
        <v>194</v>
      </c>
      <c r="HP142" s="57" t="s">
        <v>195</v>
      </c>
      <c r="HQ142" s="58" t="s">
        <v>196</v>
      </c>
      <c r="HR142" s="58" t="s">
        <v>197</v>
      </c>
      <c r="HS142" s="58" t="s">
        <v>197</v>
      </c>
      <c r="HT142" s="58" t="s">
        <v>198</v>
      </c>
      <c r="HU142" s="58" t="s">
        <v>199</v>
      </c>
      <c r="HV142" s="42" t="s">
        <v>33</v>
      </c>
      <c r="HW142" s="42" t="s">
        <v>33</v>
      </c>
      <c r="HX142" s="42" t="s">
        <v>34</v>
      </c>
      <c r="HY142" s="42" t="s">
        <v>34</v>
      </c>
      <c r="HZ142" s="42" t="s">
        <v>35</v>
      </c>
      <c r="IA142" s="42" t="s">
        <v>36</v>
      </c>
      <c r="IB142" s="59" t="s">
        <v>200</v>
      </c>
      <c r="IC142" s="59" t="s">
        <v>201</v>
      </c>
      <c r="ID142" s="59" t="s">
        <v>202</v>
      </c>
      <c r="IE142" s="59" t="s">
        <v>203</v>
      </c>
      <c r="IF142" s="35"/>
      <c r="IG142" s="84"/>
      <c r="IH142" s="35"/>
      <c r="II142" s="35"/>
      <c r="IJ142" s="35"/>
      <c r="IK142" s="35"/>
      <c r="IL142" s="35"/>
      <c r="IM142" s="35"/>
      <c r="IN142" s="35"/>
      <c r="IO142" s="35"/>
      <c r="IP142" s="84"/>
      <c r="IQ142" s="84"/>
      <c r="IR142" s="84"/>
      <c r="IS142" s="84"/>
      <c r="IT142" s="84"/>
      <c r="IU142" s="84"/>
      <c r="IV142" s="84"/>
      <c r="IW142" s="84"/>
    </row>
    <row r="143" spans="2:257" s="28" customFormat="1" ht="14.4">
      <c r="B143" s="30">
        <f t="shared" si="150"/>
        <v>6.0499999999999989</v>
      </c>
      <c r="C143" s="38" t="s">
        <v>122</v>
      </c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/>
      <c r="BB143" s="35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4"/>
      <c r="BP143" s="84"/>
      <c r="BQ143" s="84"/>
      <c r="BR143" s="84"/>
      <c r="BS143" s="84"/>
      <c r="BT143" s="84"/>
      <c r="BU143" s="84"/>
      <c r="BV143" s="84"/>
      <c r="BW143" s="84"/>
      <c r="BX143" s="84"/>
      <c r="BY143" s="84"/>
      <c r="BZ143" s="84"/>
      <c r="CA143" s="84"/>
      <c r="CB143" s="84"/>
      <c r="CC143" s="84"/>
      <c r="CD143" s="84"/>
      <c r="CE143" s="84"/>
      <c r="CF143" s="35"/>
      <c r="CG143" s="34"/>
      <c r="CH143" s="34"/>
      <c r="CI143" s="34"/>
      <c r="CJ143" s="34"/>
      <c r="CK143" s="34"/>
      <c r="CL143" s="34"/>
      <c r="CM143" s="34"/>
      <c r="CN143" s="34"/>
      <c r="CO143" s="35"/>
      <c r="CP143" s="35"/>
      <c r="CQ143" s="35"/>
      <c r="CR143" s="84"/>
      <c r="CS143" s="84"/>
      <c r="CT143" s="84"/>
      <c r="CU143" s="84"/>
      <c r="CV143" s="35"/>
      <c r="CW143" s="84"/>
      <c r="CX143" s="35"/>
      <c r="CY143" s="35"/>
      <c r="CZ143" s="35"/>
      <c r="DA143" s="35"/>
      <c r="DB143" s="35"/>
      <c r="DC143" s="84"/>
      <c r="DD143" s="35"/>
      <c r="DE143" s="35"/>
      <c r="DF143" s="35"/>
      <c r="DG143" s="35"/>
      <c r="DH143" s="35"/>
      <c r="DI143" s="84"/>
      <c r="DJ143" s="35"/>
      <c r="DK143" s="35"/>
      <c r="DL143" s="35"/>
      <c r="DM143" s="35"/>
      <c r="DN143" s="35"/>
      <c r="DO143" s="84"/>
      <c r="DP143" s="35"/>
      <c r="DQ143" s="35"/>
      <c r="DR143" s="35"/>
      <c r="DS143" s="35"/>
      <c r="DT143" s="35"/>
      <c r="DU143" s="84"/>
      <c r="DV143" s="35"/>
      <c r="DW143" s="35"/>
      <c r="DX143" s="35"/>
      <c r="DY143" s="35"/>
      <c r="DZ143" s="35"/>
      <c r="EA143" s="84"/>
      <c r="EB143" s="35"/>
      <c r="EC143" s="35"/>
      <c r="ED143" s="35"/>
      <c r="EE143" s="35"/>
      <c r="EF143" s="35"/>
      <c r="EG143" s="84"/>
      <c r="EH143" s="35"/>
      <c r="EI143" s="35"/>
      <c r="EJ143" s="35"/>
      <c r="EK143" s="35"/>
      <c r="EL143" s="35"/>
      <c r="EM143" s="84"/>
      <c r="EN143" s="35"/>
      <c r="EO143" s="35"/>
      <c r="EP143" s="35"/>
      <c r="EQ143" s="35"/>
      <c r="ER143" s="35"/>
      <c r="ES143" s="84"/>
      <c r="ET143" s="35"/>
      <c r="EU143" s="35"/>
      <c r="EV143" s="35"/>
      <c r="EW143" s="35"/>
      <c r="EX143" s="35"/>
      <c r="EY143" s="84"/>
      <c r="EZ143" s="35"/>
      <c r="FA143" s="35"/>
      <c r="FB143" s="35"/>
      <c r="FC143" s="35"/>
      <c r="FD143" s="35"/>
      <c r="FE143" s="84"/>
      <c r="FF143" s="84"/>
      <c r="FG143" s="35"/>
      <c r="FH143" s="35"/>
      <c r="FI143" s="35"/>
      <c r="FJ143" s="35"/>
      <c r="FK143" s="84"/>
      <c r="FL143" s="35"/>
      <c r="FM143" s="35"/>
      <c r="FN143" s="35"/>
      <c r="FO143" s="35"/>
      <c r="FP143" s="35"/>
      <c r="FQ143" s="84"/>
      <c r="FR143" s="35"/>
      <c r="FS143" s="35"/>
      <c r="FT143" s="35"/>
      <c r="FU143" s="84"/>
      <c r="FV143" s="84"/>
      <c r="FW143" s="84"/>
      <c r="FX143" s="84"/>
      <c r="FY143" s="84"/>
      <c r="FZ143" s="84"/>
      <c r="GA143" s="84"/>
      <c r="GB143" s="84"/>
      <c r="GC143" s="84"/>
      <c r="GD143" s="84"/>
      <c r="GE143" s="84"/>
      <c r="GF143" s="84"/>
      <c r="GG143" s="84"/>
      <c r="GH143" s="84"/>
      <c r="GI143" s="84"/>
      <c r="GJ143" s="84"/>
      <c r="GK143" s="84"/>
      <c r="GL143" s="84"/>
      <c r="GM143" s="84"/>
      <c r="GN143" s="84"/>
      <c r="GO143" s="84"/>
      <c r="GP143" s="84"/>
      <c r="GQ143" s="84"/>
      <c r="GR143" s="84"/>
      <c r="GS143" s="84"/>
      <c r="GT143" s="84"/>
      <c r="GU143" s="84"/>
      <c r="GV143" s="84"/>
      <c r="GW143" s="84"/>
      <c r="GX143" s="84"/>
      <c r="GY143" s="35"/>
      <c r="GZ143" s="55" t="s">
        <v>187</v>
      </c>
      <c r="HA143" s="55" t="s">
        <v>187</v>
      </c>
      <c r="HB143" s="55" t="s">
        <v>30</v>
      </c>
      <c r="HC143" s="55" t="s">
        <v>31</v>
      </c>
      <c r="HD143" s="55" t="s">
        <v>32</v>
      </c>
      <c r="HE143" s="55" t="s">
        <v>32</v>
      </c>
      <c r="HF143" s="56" t="s">
        <v>188</v>
      </c>
      <c r="HG143" s="56" t="s">
        <v>188</v>
      </c>
      <c r="HH143" s="56" t="s">
        <v>189</v>
      </c>
      <c r="HI143" s="56" t="s">
        <v>189</v>
      </c>
      <c r="HJ143" s="56" t="s">
        <v>190</v>
      </c>
      <c r="HK143" s="56" t="s">
        <v>190</v>
      </c>
      <c r="HL143" s="56" t="s">
        <v>191</v>
      </c>
      <c r="HM143" s="56" t="s">
        <v>191</v>
      </c>
      <c r="HN143" s="57" t="s">
        <v>192</v>
      </c>
      <c r="HO143" s="57" t="s">
        <v>193</v>
      </c>
      <c r="HP143" s="57" t="s">
        <v>194</v>
      </c>
      <c r="HQ143" s="57" t="s">
        <v>195</v>
      </c>
      <c r="HR143" s="58" t="s">
        <v>196</v>
      </c>
      <c r="HS143" s="58" t="s">
        <v>196</v>
      </c>
      <c r="HT143" s="58" t="s">
        <v>197</v>
      </c>
      <c r="HU143" s="58" t="s">
        <v>198</v>
      </c>
      <c r="HV143" s="58" t="s">
        <v>199</v>
      </c>
      <c r="HW143" s="58" t="s">
        <v>199</v>
      </c>
      <c r="HX143" s="42" t="s">
        <v>33</v>
      </c>
      <c r="HY143" s="42" t="s">
        <v>33</v>
      </c>
      <c r="HZ143" s="42" t="s">
        <v>34</v>
      </c>
      <c r="IA143" s="42" t="s">
        <v>35</v>
      </c>
      <c r="IB143" s="42" t="s">
        <v>36</v>
      </c>
      <c r="IC143" s="59" t="s">
        <v>200</v>
      </c>
      <c r="ID143" s="59" t="s">
        <v>201</v>
      </c>
      <c r="IE143" s="59" t="s">
        <v>202</v>
      </c>
      <c r="IF143" s="59" t="s">
        <v>203</v>
      </c>
      <c r="IG143" s="84"/>
      <c r="IH143" s="35"/>
      <c r="II143" s="35"/>
      <c r="IJ143" s="35"/>
      <c r="IK143" s="35"/>
      <c r="IL143" s="35"/>
      <c r="IM143" s="35"/>
      <c r="IN143" s="35"/>
      <c r="IO143" s="35"/>
      <c r="IP143" s="84"/>
      <c r="IQ143" s="84"/>
      <c r="IR143" s="84"/>
      <c r="IS143" s="84"/>
      <c r="IT143" s="84"/>
      <c r="IU143" s="84"/>
      <c r="IV143" s="84"/>
      <c r="IW143" s="84"/>
    </row>
    <row r="144" spans="2:257" s="28" customFormat="1" ht="14.4">
      <c r="B144" s="30">
        <f t="shared" si="150"/>
        <v>6.0599999999999987</v>
      </c>
      <c r="C144" s="38" t="s">
        <v>123</v>
      </c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  <c r="BM144" s="84"/>
      <c r="BN144" s="84"/>
      <c r="BO144" s="84"/>
      <c r="BP144" s="84"/>
      <c r="BQ144" s="84"/>
      <c r="BR144" s="84"/>
      <c r="BS144" s="84"/>
      <c r="BT144" s="84"/>
      <c r="BU144" s="84"/>
      <c r="BV144" s="84"/>
      <c r="BW144" s="84"/>
      <c r="BX144" s="84"/>
      <c r="BY144" s="84"/>
      <c r="BZ144" s="84"/>
      <c r="CA144" s="84"/>
      <c r="CB144" s="84"/>
      <c r="CC144" s="84"/>
      <c r="CD144" s="84"/>
      <c r="CE144" s="84"/>
      <c r="CF144" s="35"/>
      <c r="CG144" s="34"/>
      <c r="CH144" s="34"/>
      <c r="CI144" s="34"/>
      <c r="CJ144" s="34"/>
      <c r="CK144" s="34"/>
      <c r="CL144" s="34"/>
      <c r="CM144" s="34"/>
      <c r="CN144" s="34"/>
      <c r="CO144" s="35"/>
      <c r="CP144" s="35"/>
      <c r="CQ144" s="35"/>
      <c r="CR144" s="84"/>
      <c r="CS144" s="84"/>
      <c r="CT144" s="84"/>
      <c r="CU144" s="84"/>
      <c r="CV144" s="35"/>
      <c r="CW144" s="84"/>
      <c r="CX144" s="35"/>
      <c r="CY144" s="35"/>
      <c r="CZ144" s="35"/>
      <c r="DA144" s="35"/>
      <c r="DB144" s="35"/>
      <c r="DC144" s="84"/>
      <c r="DD144" s="35"/>
      <c r="DE144" s="35"/>
      <c r="DF144" s="35"/>
      <c r="DG144" s="35"/>
      <c r="DH144" s="35"/>
      <c r="DI144" s="84"/>
      <c r="DJ144" s="35"/>
      <c r="DK144" s="35"/>
      <c r="DL144" s="35"/>
      <c r="DM144" s="35"/>
      <c r="DN144" s="35"/>
      <c r="DO144" s="84"/>
      <c r="DP144" s="35"/>
      <c r="DQ144" s="35"/>
      <c r="DR144" s="35"/>
      <c r="DS144" s="35"/>
      <c r="DT144" s="35"/>
      <c r="DU144" s="84"/>
      <c r="DV144" s="35"/>
      <c r="DW144" s="35"/>
      <c r="DX144" s="35"/>
      <c r="DY144" s="35"/>
      <c r="DZ144" s="35"/>
      <c r="EA144" s="84"/>
      <c r="EB144" s="35"/>
      <c r="EC144" s="35"/>
      <c r="ED144" s="35"/>
      <c r="EE144" s="35"/>
      <c r="EF144" s="35"/>
      <c r="EG144" s="84"/>
      <c r="EH144" s="35"/>
      <c r="EI144" s="35"/>
      <c r="EJ144" s="35"/>
      <c r="EK144" s="35"/>
      <c r="EL144" s="35"/>
      <c r="EM144" s="84"/>
      <c r="EN144" s="35"/>
      <c r="EO144" s="35"/>
      <c r="EP144" s="35"/>
      <c r="EQ144" s="35"/>
      <c r="ER144" s="35"/>
      <c r="ES144" s="84"/>
      <c r="ET144" s="35"/>
      <c r="EU144" s="35"/>
      <c r="EV144" s="35"/>
      <c r="EW144" s="35"/>
      <c r="EX144" s="35"/>
      <c r="EY144" s="84"/>
      <c r="EZ144" s="35"/>
      <c r="FA144" s="35"/>
      <c r="FB144" s="35"/>
      <c r="FC144" s="35"/>
      <c r="FD144" s="35"/>
      <c r="FE144" s="84"/>
      <c r="FF144" s="84"/>
      <c r="FG144" s="35"/>
      <c r="FH144" s="35"/>
      <c r="FI144" s="35"/>
      <c r="FJ144" s="35"/>
      <c r="FK144" s="84"/>
      <c r="FL144" s="35"/>
      <c r="FM144" s="35"/>
      <c r="FN144" s="35"/>
      <c r="FO144" s="35"/>
      <c r="FP144" s="35"/>
      <c r="FQ144" s="84"/>
      <c r="FR144" s="35"/>
      <c r="FS144" s="35"/>
      <c r="FT144" s="35"/>
      <c r="FU144" s="84"/>
      <c r="FV144" s="84"/>
      <c r="FW144" s="84"/>
      <c r="FX144" s="84"/>
      <c r="FY144" s="84"/>
      <c r="FZ144" s="84"/>
      <c r="GA144" s="84"/>
      <c r="GB144" s="84"/>
      <c r="GC144" s="84"/>
      <c r="GD144" s="84"/>
      <c r="GE144" s="84"/>
      <c r="GF144" s="84"/>
      <c r="GG144" s="84"/>
      <c r="GH144" s="84"/>
      <c r="GI144" s="84"/>
      <c r="GJ144" s="84"/>
      <c r="GK144" s="84"/>
      <c r="GL144" s="84"/>
      <c r="GM144" s="84"/>
      <c r="GN144" s="84"/>
      <c r="GO144" s="84"/>
      <c r="GP144" s="84"/>
      <c r="GQ144" s="84"/>
      <c r="GR144" s="84"/>
      <c r="GS144" s="84"/>
      <c r="GT144" s="84"/>
      <c r="GU144" s="84"/>
      <c r="GV144" s="84"/>
      <c r="GW144" s="84"/>
      <c r="GX144" s="84"/>
      <c r="GY144" s="35"/>
      <c r="GZ144" s="55" t="s">
        <v>187</v>
      </c>
      <c r="HA144" s="55" t="s">
        <v>187</v>
      </c>
      <c r="HB144" s="55" t="s">
        <v>30</v>
      </c>
      <c r="HC144" s="55" t="s">
        <v>31</v>
      </c>
      <c r="HD144" s="55" t="s">
        <v>32</v>
      </c>
      <c r="HE144" s="55" t="s">
        <v>32</v>
      </c>
      <c r="HF144" s="56" t="s">
        <v>188</v>
      </c>
      <c r="HG144" s="56" t="s">
        <v>188</v>
      </c>
      <c r="HH144" s="56" t="s">
        <v>189</v>
      </c>
      <c r="HI144" s="56" t="s">
        <v>189</v>
      </c>
      <c r="HJ144" s="56" t="s">
        <v>190</v>
      </c>
      <c r="HK144" s="56" t="s">
        <v>190</v>
      </c>
      <c r="HL144" s="56" t="s">
        <v>191</v>
      </c>
      <c r="HM144" s="56" t="s">
        <v>191</v>
      </c>
      <c r="HN144" s="57" t="s">
        <v>192</v>
      </c>
      <c r="HO144" s="57" t="s">
        <v>193</v>
      </c>
      <c r="HP144" s="57" t="s">
        <v>194</v>
      </c>
      <c r="HQ144" s="57" t="s">
        <v>195</v>
      </c>
      <c r="HR144" s="58" t="s">
        <v>196</v>
      </c>
      <c r="HS144" s="58" t="s">
        <v>196</v>
      </c>
      <c r="HT144" s="58" t="s">
        <v>197</v>
      </c>
      <c r="HU144" s="58" t="s">
        <v>198</v>
      </c>
      <c r="HV144" s="58" t="s">
        <v>199</v>
      </c>
      <c r="HW144" s="58" t="s">
        <v>199</v>
      </c>
      <c r="HX144" s="42" t="s">
        <v>33</v>
      </c>
      <c r="HY144" s="42" t="s">
        <v>33</v>
      </c>
      <c r="HZ144" s="42" t="s">
        <v>34</v>
      </c>
      <c r="IA144" s="42" t="s">
        <v>35</v>
      </c>
      <c r="IB144" s="42" t="s">
        <v>36</v>
      </c>
      <c r="IC144" s="59" t="s">
        <v>200</v>
      </c>
      <c r="ID144" s="59" t="s">
        <v>201</v>
      </c>
      <c r="IE144" s="59" t="s">
        <v>202</v>
      </c>
      <c r="IF144" s="59" t="s">
        <v>203</v>
      </c>
      <c r="IG144" s="84"/>
      <c r="IH144" s="35"/>
      <c r="II144" s="35"/>
      <c r="IJ144" s="35"/>
      <c r="IK144" s="35"/>
      <c r="IL144" s="35"/>
      <c r="IM144" s="35"/>
      <c r="IN144" s="35"/>
      <c r="IO144" s="35"/>
      <c r="IP144" s="84"/>
      <c r="IQ144" s="84"/>
      <c r="IR144" s="84"/>
      <c r="IS144" s="84"/>
      <c r="IT144" s="84"/>
      <c r="IU144" s="84"/>
      <c r="IV144" s="84"/>
      <c r="IW144" s="84"/>
    </row>
    <row r="145" spans="2:257" s="28" customFormat="1" ht="14.4">
      <c r="B145" s="30">
        <f t="shared" si="150"/>
        <v>6.0699999999999985</v>
      </c>
      <c r="C145" s="38" t="s">
        <v>124</v>
      </c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  <c r="BM145" s="84"/>
      <c r="BN145" s="84"/>
      <c r="BO145" s="84"/>
      <c r="BP145" s="84"/>
      <c r="BQ145" s="84"/>
      <c r="BR145" s="84"/>
      <c r="BS145" s="84"/>
      <c r="BT145" s="84"/>
      <c r="BU145" s="84"/>
      <c r="BV145" s="84"/>
      <c r="BW145" s="84"/>
      <c r="BX145" s="84"/>
      <c r="BY145" s="84"/>
      <c r="BZ145" s="84"/>
      <c r="CA145" s="84"/>
      <c r="CB145" s="84"/>
      <c r="CC145" s="84"/>
      <c r="CD145" s="84"/>
      <c r="CE145" s="84"/>
      <c r="CF145" s="35"/>
      <c r="CG145" s="34"/>
      <c r="CH145" s="34"/>
      <c r="CI145" s="34"/>
      <c r="CJ145" s="34"/>
      <c r="CK145" s="34"/>
      <c r="CL145" s="34"/>
      <c r="CM145" s="34"/>
      <c r="CN145" s="34"/>
      <c r="CO145" s="35"/>
      <c r="CP145" s="35"/>
      <c r="CQ145" s="35"/>
      <c r="CR145" s="84"/>
      <c r="CS145" s="84"/>
      <c r="CT145" s="84"/>
      <c r="CU145" s="84"/>
      <c r="CV145" s="35"/>
      <c r="CW145" s="84"/>
      <c r="CX145" s="35"/>
      <c r="CY145" s="35"/>
      <c r="CZ145" s="35"/>
      <c r="DA145" s="35"/>
      <c r="DB145" s="35"/>
      <c r="DC145" s="84"/>
      <c r="DD145" s="35"/>
      <c r="DE145" s="35"/>
      <c r="DF145" s="35"/>
      <c r="DG145" s="35"/>
      <c r="DH145" s="35"/>
      <c r="DI145" s="84"/>
      <c r="DJ145" s="35"/>
      <c r="DK145" s="35"/>
      <c r="DL145" s="35"/>
      <c r="DM145" s="35"/>
      <c r="DN145" s="35"/>
      <c r="DO145" s="84"/>
      <c r="DP145" s="35"/>
      <c r="DQ145" s="35"/>
      <c r="DR145" s="35"/>
      <c r="DS145" s="35"/>
      <c r="DT145" s="35"/>
      <c r="DU145" s="84"/>
      <c r="DV145" s="35"/>
      <c r="DW145" s="35"/>
      <c r="DX145" s="35"/>
      <c r="DY145" s="35"/>
      <c r="DZ145" s="35"/>
      <c r="EA145" s="84"/>
      <c r="EB145" s="35"/>
      <c r="EC145" s="35"/>
      <c r="ED145" s="35"/>
      <c r="EE145" s="35"/>
      <c r="EF145" s="35"/>
      <c r="EG145" s="84"/>
      <c r="EH145" s="35"/>
      <c r="EI145" s="35"/>
      <c r="EJ145" s="35"/>
      <c r="EK145" s="35"/>
      <c r="EL145" s="35"/>
      <c r="EM145" s="84"/>
      <c r="EN145" s="35"/>
      <c r="EO145" s="35"/>
      <c r="EP145" s="35"/>
      <c r="EQ145" s="35"/>
      <c r="ER145" s="35"/>
      <c r="ES145" s="84"/>
      <c r="ET145" s="35"/>
      <c r="EU145" s="35"/>
      <c r="EV145" s="35"/>
      <c r="EW145" s="35"/>
      <c r="EX145" s="35"/>
      <c r="EY145" s="84"/>
      <c r="EZ145" s="35"/>
      <c r="FA145" s="35"/>
      <c r="FB145" s="35"/>
      <c r="FC145" s="35"/>
      <c r="FD145" s="35"/>
      <c r="FE145" s="84"/>
      <c r="FF145" s="84"/>
      <c r="FG145" s="35"/>
      <c r="FH145" s="35"/>
      <c r="FI145" s="35"/>
      <c r="FJ145" s="35"/>
      <c r="FK145" s="84"/>
      <c r="FL145" s="35"/>
      <c r="FM145" s="35"/>
      <c r="FN145" s="35"/>
      <c r="FO145" s="35"/>
      <c r="FP145" s="35"/>
      <c r="FQ145" s="84"/>
      <c r="FR145" s="35"/>
      <c r="FS145" s="35"/>
      <c r="FT145" s="35"/>
      <c r="FU145" s="84"/>
      <c r="FV145" s="84"/>
      <c r="FW145" s="84"/>
      <c r="FX145" s="84"/>
      <c r="FY145" s="84"/>
      <c r="FZ145" s="84"/>
      <c r="GA145" s="84"/>
      <c r="GB145" s="84"/>
      <c r="GC145" s="84"/>
      <c r="GD145" s="84"/>
      <c r="GE145" s="84"/>
      <c r="GF145" s="84"/>
      <c r="GG145" s="84"/>
      <c r="GH145" s="84"/>
      <c r="GI145" s="84"/>
      <c r="GJ145" s="84"/>
      <c r="GK145" s="84"/>
      <c r="GL145" s="84"/>
      <c r="GM145" s="84"/>
      <c r="GN145" s="84"/>
      <c r="GO145" s="84"/>
      <c r="GP145" s="84"/>
      <c r="GQ145" s="84"/>
      <c r="GR145" s="84"/>
      <c r="GS145" s="84"/>
      <c r="GT145" s="84"/>
      <c r="GU145" s="84"/>
      <c r="GV145" s="84"/>
      <c r="GW145" s="84"/>
      <c r="GX145" s="84"/>
      <c r="GY145" s="35"/>
      <c r="GZ145" s="55" t="s">
        <v>187</v>
      </c>
      <c r="HA145" s="55" t="s">
        <v>187</v>
      </c>
      <c r="HB145" s="55" t="s">
        <v>30</v>
      </c>
      <c r="HC145" s="55" t="s">
        <v>31</v>
      </c>
      <c r="HD145" s="55" t="s">
        <v>32</v>
      </c>
      <c r="HE145" s="55" t="s">
        <v>32</v>
      </c>
      <c r="HF145" s="56" t="s">
        <v>188</v>
      </c>
      <c r="HG145" s="56" t="s">
        <v>188</v>
      </c>
      <c r="HH145" s="56" t="s">
        <v>189</v>
      </c>
      <c r="HI145" s="56" t="s">
        <v>189</v>
      </c>
      <c r="HJ145" s="56" t="s">
        <v>190</v>
      </c>
      <c r="HK145" s="56" t="s">
        <v>190</v>
      </c>
      <c r="HL145" s="56" t="s">
        <v>191</v>
      </c>
      <c r="HM145" s="56" t="s">
        <v>191</v>
      </c>
      <c r="HN145" s="57" t="s">
        <v>192</v>
      </c>
      <c r="HO145" s="57" t="s">
        <v>193</v>
      </c>
      <c r="HP145" s="57" t="s">
        <v>194</v>
      </c>
      <c r="HQ145" s="57" t="s">
        <v>195</v>
      </c>
      <c r="HR145" s="58" t="s">
        <v>196</v>
      </c>
      <c r="HS145" s="58" t="s">
        <v>196</v>
      </c>
      <c r="HT145" s="58" t="s">
        <v>197</v>
      </c>
      <c r="HU145" s="58" t="s">
        <v>198</v>
      </c>
      <c r="HV145" s="58" t="s">
        <v>199</v>
      </c>
      <c r="HW145" s="58" t="s">
        <v>199</v>
      </c>
      <c r="HX145" s="42" t="s">
        <v>33</v>
      </c>
      <c r="HY145" s="42" t="s">
        <v>33</v>
      </c>
      <c r="HZ145" s="42" t="s">
        <v>34</v>
      </c>
      <c r="IA145" s="42" t="s">
        <v>35</v>
      </c>
      <c r="IB145" s="42" t="s">
        <v>36</v>
      </c>
      <c r="IC145" s="59" t="s">
        <v>200</v>
      </c>
      <c r="ID145" s="59" t="s">
        <v>201</v>
      </c>
      <c r="IE145" s="59" t="s">
        <v>202</v>
      </c>
      <c r="IF145" s="59" t="s">
        <v>203</v>
      </c>
      <c r="IG145" s="84"/>
      <c r="IH145" s="35"/>
      <c r="II145" s="35"/>
      <c r="IJ145" s="35"/>
      <c r="IK145" s="35"/>
      <c r="IL145" s="35"/>
      <c r="IM145" s="35"/>
      <c r="IN145" s="35"/>
      <c r="IO145" s="35"/>
      <c r="IP145" s="84"/>
      <c r="IQ145" s="84"/>
      <c r="IR145" s="84"/>
      <c r="IS145" s="84"/>
      <c r="IT145" s="84"/>
      <c r="IU145" s="84"/>
      <c r="IV145" s="84"/>
      <c r="IW145" s="84"/>
    </row>
    <row r="146" spans="2:257" s="28" customFormat="1" ht="14.4">
      <c r="B146" s="30">
        <f t="shared" si="150"/>
        <v>6.0799999999999983</v>
      </c>
      <c r="C146" s="38" t="s">
        <v>125</v>
      </c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  <c r="BM146" s="84"/>
      <c r="BN146" s="84"/>
      <c r="BO146" s="84"/>
      <c r="BP146" s="84"/>
      <c r="BQ146" s="84"/>
      <c r="BR146" s="84"/>
      <c r="BS146" s="84"/>
      <c r="BT146" s="84"/>
      <c r="BU146" s="84"/>
      <c r="BV146" s="84"/>
      <c r="BW146" s="84"/>
      <c r="BX146" s="84"/>
      <c r="BY146" s="84"/>
      <c r="BZ146" s="84"/>
      <c r="CA146" s="84"/>
      <c r="CB146" s="84"/>
      <c r="CC146" s="84"/>
      <c r="CD146" s="84"/>
      <c r="CE146" s="84"/>
      <c r="CF146" s="35"/>
      <c r="CG146" s="34"/>
      <c r="CH146" s="34"/>
      <c r="CI146" s="34"/>
      <c r="CJ146" s="34"/>
      <c r="CK146" s="34"/>
      <c r="CL146" s="34"/>
      <c r="CM146" s="34"/>
      <c r="CN146" s="34"/>
      <c r="CO146" s="35"/>
      <c r="CP146" s="35"/>
      <c r="CQ146" s="35"/>
      <c r="CR146" s="84"/>
      <c r="CS146" s="84"/>
      <c r="CT146" s="84"/>
      <c r="CU146" s="84"/>
      <c r="CV146" s="35"/>
      <c r="CW146" s="84"/>
      <c r="CX146" s="35"/>
      <c r="CY146" s="35"/>
      <c r="CZ146" s="35"/>
      <c r="DA146" s="35"/>
      <c r="DB146" s="35"/>
      <c r="DC146" s="84"/>
      <c r="DD146" s="35"/>
      <c r="DE146" s="35"/>
      <c r="DF146" s="35"/>
      <c r="DG146" s="35"/>
      <c r="DH146" s="35"/>
      <c r="DI146" s="84"/>
      <c r="DJ146" s="35"/>
      <c r="DK146" s="35"/>
      <c r="DL146" s="35"/>
      <c r="DM146" s="35"/>
      <c r="DN146" s="35"/>
      <c r="DO146" s="84"/>
      <c r="DP146" s="35"/>
      <c r="DQ146" s="35"/>
      <c r="DR146" s="35"/>
      <c r="DS146" s="35"/>
      <c r="DT146" s="35"/>
      <c r="DU146" s="84"/>
      <c r="DV146" s="35"/>
      <c r="DW146" s="35"/>
      <c r="DX146" s="35"/>
      <c r="DY146" s="35"/>
      <c r="DZ146" s="35"/>
      <c r="EA146" s="84"/>
      <c r="EB146" s="35"/>
      <c r="EC146" s="35"/>
      <c r="ED146" s="35"/>
      <c r="EE146" s="35"/>
      <c r="EF146" s="35"/>
      <c r="EG146" s="84"/>
      <c r="EH146" s="35"/>
      <c r="EI146" s="35"/>
      <c r="EJ146" s="35"/>
      <c r="EK146" s="35"/>
      <c r="EL146" s="35"/>
      <c r="EM146" s="84"/>
      <c r="EN146" s="35"/>
      <c r="EO146" s="35"/>
      <c r="EP146" s="35"/>
      <c r="EQ146" s="35"/>
      <c r="ER146" s="35"/>
      <c r="ES146" s="84"/>
      <c r="ET146" s="35"/>
      <c r="EU146" s="35"/>
      <c r="EV146" s="35"/>
      <c r="EW146" s="35"/>
      <c r="EX146" s="35"/>
      <c r="EY146" s="84"/>
      <c r="EZ146" s="35"/>
      <c r="FA146" s="35"/>
      <c r="FB146" s="35"/>
      <c r="FC146" s="35"/>
      <c r="FD146" s="35"/>
      <c r="FE146" s="84"/>
      <c r="FF146" s="84"/>
      <c r="FG146" s="35"/>
      <c r="FH146" s="35"/>
      <c r="FI146" s="35"/>
      <c r="FJ146" s="35"/>
      <c r="FK146" s="84"/>
      <c r="FL146" s="35"/>
      <c r="FM146" s="35"/>
      <c r="FN146" s="35"/>
      <c r="FO146" s="35"/>
      <c r="FP146" s="35"/>
      <c r="FQ146" s="84"/>
      <c r="FR146" s="35"/>
      <c r="FS146" s="35"/>
      <c r="FT146" s="35"/>
      <c r="FU146" s="84"/>
      <c r="FV146" s="84"/>
      <c r="FW146" s="84"/>
      <c r="FX146" s="84"/>
      <c r="FY146" s="84"/>
      <c r="FZ146" s="84"/>
      <c r="GA146" s="84"/>
      <c r="GB146" s="84"/>
      <c r="GC146" s="84"/>
      <c r="GD146" s="84"/>
      <c r="GE146" s="84"/>
      <c r="GF146" s="84"/>
      <c r="GG146" s="84"/>
      <c r="GH146" s="84"/>
      <c r="GI146" s="84"/>
      <c r="GJ146" s="84"/>
      <c r="GK146" s="84"/>
      <c r="GL146" s="84"/>
      <c r="GM146" s="84"/>
      <c r="GN146" s="84"/>
      <c r="GO146" s="84"/>
      <c r="GP146" s="84"/>
      <c r="GQ146" s="84"/>
      <c r="GR146" s="84"/>
      <c r="GS146" s="84"/>
      <c r="GT146" s="84"/>
      <c r="GU146" s="84"/>
      <c r="GV146" s="84"/>
      <c r="GW146" s="84"/>
      <c r="GX146" s="84"/>
      <c r="GY146" s="35"/>
      <c r="GZ146" s="35"/>
      <c r="HA146" s="55"/>
      <c r="HB146" s="55" t="s">
        <v>187</v>
      </c>
      <c r="HC146" s="55" t="s">
        <v>30</v>
      </c>
      <c r="HD146" s="55" t="s">
        <v>31</v>
      </c>
      <c r="HE146" s="55" t="s">
        <v>31</v>
      </c>
      <c r="HF146" s="55" t="s">
        <v>32</v>
      </c>
      <c r="HG146" s="55" t="s">
        <v>32</v>
      </c>
      <c r="HH146" s="56" t="s">
        <v>188</v>
      </c>
      <c r="HI146" s="56" t="s">
        <v>188</v>
      </c>
      <c r="HJ146" s="56" t="s">
        <v>189</v>
      </c>
      <c r="HK146" s="56" t="s">
        <v>189</v>
      </c>
      <c r="HL146" s="56" t="s">
        <v>190</v>
      </c>
      <c r="HM146" s="56" t="s">
        <v>190</v>
      </c>
      <c r="HN146" s="56" t="s">
        <v>191</v>
      </c>
      <c r="HO146" s="57" t="s">
        <v>192</v>
      </c>
      <c r="HP146" s="57" t="s">
        <v>193</v>
      </c>
      <c r="HQ146" s="57" t="s">
        <v>194</v>
      </c>
      <c r="HR146" s="57" t="s">
        <v>195</v>
      </c>
      <c r="HS146" s="57" t="s">
        <v>195</v>
      </c>
      <c r="HT146" s="58" t="s">
        <v>196</v>
      </c>
      <c r="HU146" s="58" t="s">
        <v>197</v>
      </c>
      <c r="HV146" s="58" t="s">
        <v>198</v>
      </c>
      <c r="HW146" s="58" t="s">
        <v>198</v>
      </c>
      <c r="HX146" s="58" t="s">
        <v>199</v>
      </c>
      <c r="HY146" s="58" t="s">
        <v>199</v>
      </c>
      <c r="HZ146" s="42" t="s">
        <v>33</v>
      </c>
      <c r="IA146" s="42" t="s">
        <v>34</v>
      </c>
      <c r="IB146" s="42" t="s">
        <v>35</v>
      </c>
      <c r="IC146" s="42" t="s">
        <v>36</v>
      </c>
      <c r="ID146" s="59" t="s">
        <v>200</v>
      </c>
      <c r="IE146" s="59" t="s">
        <v>201</v>
      </c>
      <c r="IF146" s="59" t="s">
        <v>202</v>
      </c>
      <c r="IG146" s="59" t="s">
        <v>203</v>
      </c>
      <c r="IH146" s="35"/>
      <c r="II146" s="35"/>
      <c r="IJ146" s="35"/>
      <c r="IK146" s="35"/>
      <c r="IL146" s="35"/>
      <c r="IM146" s="35"/>
      <c r="IN146" s="35"/>
      <c r="IO146" s="84"/>
      <c r="IP146" s="84"/>
      <c r="IQ146" s="84"/>
      <c r="IR146" s="84"/>
      <c r="IS146" s="84"/>
      <c r="IT146" s="84"/>
      <c r="IU146" s="84"/>
      <c r="IV146" s="84"/>
      <c r="IW146" s="84"/>
    </row>
    <row r="147" spans="2:257" s="28" customFormat="1" ht="14.4">
      <c r="B147" s="30">
        <f t="shared" si="150"/>
        <v>6.0899999999999981</v>
      </c>
      <c r="C147" s="38" t="s">
        <v>126</v>
      </c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35"/>
      <c r="BB147" s="35"/>
      <c r="BC147" s="84"/>
      <c r="BD147" s="84"/>
      <c r="BE147" s="84"/>
      <c r="BF147" s="84"/>
      <c r="BG147" s="84"/>
      <c r="BH147" s="84"/>
      <c r="BI147" s="84"/>
      <c r="BJ147" s="84"/>
      <c r="BK147" s="84"/>
      <c r="BL147" s="84"/>
      <c r="BM147" s="84"/>
      <c r="BN147" s="84"/>
      <c r="BO147" s="84"/>
      <c r="BP147" s="84"/>
      <c r="BQ147" s="84"/>
      <c r="BR147" s="84"/>
      <c r="BS147" s="84"/>
      <c r="BT147" s="84"/>
      <c r="BU147" s="84"/>
      <c r="BV147" s="84"/>
      <c r="BW147" s="84"/>
      <c r="BX147" s="84"/>
      <c r="BY147" s="84"/>
      <c r="BZ147" s="84"/>
      <c r="CA147" s="84"/>
      <c r="CB147" s="84"/>
      <c r="CC147" s="84"/>
      <c r="CD147" s="84"/>
      <c r="CE147" s="84"/>
      <c r="CF147" s="35"/>
      <c r="CG147" s="34"/>
      <c r="CH147" s="34"/>
      <c r="CI147" s="34"/>
      <c r="CJ147" s="34"/>
      <c r="CK147" s="34"/>
      <c r="CL147" s="34"/>
      <c r="CM147" s="34"/>
      <c r="CN147" s="34"/>
      <c r="CO147" s="35"/>
      <c r="CP147" s="35"/>
      <c r="CQ147" s="35"/>
      <c r="CR147" s="84"/>
      <c r="CS147" s="84"/>
      <c r="CT147" s="84"/>
      <c r="CU147" s="84"/>
      <c r="CV147" s="35"/>
      <c r="CW147" s="84"/>
      <c r="CX147" s="35"/>
      <c r="CY147" s="35"/>
      <c r="CZ147" s="35"/>
      <c r="DA147" s="35"/>
      <c r="DB147" s="35"/>
      <c r="DC147" s="84"/>
      <c r="DD147" s="35"/>
      <c r="DE147" s="35"/>
      <c r="DF147" s="35"/>
      <c r="DG147" s="35"/>
      <c r="DH147" s="35"/>
      <c r="DI147" s="84"/>
      <c r="DJ147" s="35"/>
      <c r="DK147" s="35"/>
      <c r="DL147" s="35"/>
      <c r="DM147" s="35"/>
      <c r="DN147" s="35"/>
      <c r="DO147" s="84"/>
      <c r="DP147" s="35"/>
      <c r="DQ147" s="35"/>
      <c r="DR147" s="35"/>
      <c r="DS147" s="35"/>
      <c r="DT147" s="35"/>
      <c r="DU147" s="84"/>
      <c r="DV147" s="35"/>
      <c r="DW147" s="35"/>
      <c r="DX147" s="35"/>
      <c r="DY147" s="35"/>
      <c r="DZ147" s="35"/>
      <c r="EA147" s="84"/>
      <c r="EB147" s="35"/>
      <c r="EC147" s="35"/>
      <c r="ED147" s="35"/>
      <c r="EE147" s="35"/>
      <c r="EF147" s="35"/>
      <c r="EG147" s="84"/>
      <c r="EH147" s="35"/>
      <c r="EI147" s="35"/>
      <c r="EJ147" s="35"/>
      <c r="EK147" s="35"/>
      <c r="EL147" s="35"/>
      <c r="EM147" s="84"/>
      <c r="EN147" s="35"/>
      <c r="EO147" s="35"/>
      <c r="EP147" s="35"/>
      <c r="EQ147" s="35"/>
      <c r="ER147" s="35"/>
      <c r="ES147" s="84"/>
      <c r="ET147" s="35"/>
      <c r="EU147" s="35"/>
      <c r="EV147" s="35"/>
      <c r="EW147" s="35"/>
      <c r="EX147" s="35"/>
      <c r="EY147" s="84"/>
      <c r="EZ147" s="35"/>
      <c r="FA147" s="35"/>
      <c r="FB147" s="35"/>
      <c r="FC147" s="35"/>
      <c r="FD147" s="35"/>
      <c r="FE147" s="84"/>
      <c r="FF147" s="84"/>
      <c r="FG147" s="35"/>
      <c r="FH147" s="35"/>
      <c r="FI147" s="35"/>
      <c r="FJ147" s="35"/>
      <c r="FK147" s="84"/>
      <c r="FL147" s="35"/>
      <c r="FM147" s="35"/>
      <c r="FN147" s="35"/>
      <c r="FO147" s="35"/>
      <c r="FP147" s="35"/>
      <c r="FQ147" s="84"/>
      <c r="FR147" s="35"/>
      <c r="FS147" s="35"/>
      <c r="FT147" s="35"/>
      <c r="FU147" s="35"/>
      <c r="FV147" s="35"/>
      <c r="FW147" s="35"/>
      <c r="FX147" s="84"/>
      <c r="FY147" s="84"/>
      <c r="FZ147" s="84"/>
      <c r="GA147" s="84"/>
      <c r="GB147" s="84"/>
      <c r="GC147" s="84"/>
      <c r="GD147" s="84"/>
      <c r="GE147" s="84"/>
      <c r="GF147" s="84"/>
      <c r="GG147" s="84"/>
      <c r="GH147" s="84"/>
      <c r="GI147" s="84"/>
      <c r="GJ147" s="84"/>
      <c r="GK147" s="84"/>
      <c r="GL147" s="84"/>
      <c r="GM147" s="84"/>
      <c r="GN147" s="84"/>
      <c r="GO147" s="84"/>
      <c r="GP147" s="84"/>
      <c r="GQ147" s="84"/>
      <c r="GR147" s="84"/>
      <c r="GS147" s="84"/>
      <c r="GT147" s="84"/>
      <c r="GU147" s="84"/>
      <c r="GV147" s="84"/>
      <c r="GW147" s="84"/>
      <c r="GX147" s="84"/>
      <c r="GY147" s="84"/>
      <c r="GZ147" s="84"/>
      <c r="HA147" s="84"/>
      <c r="HB147" s="84"/>
      <c r="HC147" s="55" t="s">
        <v>187</v>
      </c>
      <c r="HD147" s="55" t="s">
        <v>30</v>
      </c>
      <c r="HE147" s="55" t="s">
        <v>30</v>
      </c>
      <c r="HF147" s="55" t="s">
        <v>31</v>
      </c>
      <c r="HG147" s="55" t="s">
        <v>31</v>
      </c>
      <c r="HH147" s="55" t="s">
        <v>32</v>
      </c>
      <c r="HI147" s="55" t="s">
        <v>32</v>
      </c>
      <c r="HJ147" s="56" t="s">
        <v>188</v>
      </c>
      <c r="HK147" s="56" t="s">
        <v>188</v>
      </c>
      <c r="HL147" s="56" t="s">
        <v>189</v>
      </c>
      <c r="HM147" s="56" t="s">
        <v>189</v>
      </c>
      <c r="HN147" s="56" t="s">
        <v>190</v>
      </c>
      <c r="HO147" s="56" t="s">
        <v>191</v>
      </c>
      <c r="HP147" s="57" t="s">
        <v>192</v>
      </c>
      <c r="HQ147" s="57" t="s">
        <v>193</v>
      </c>
      <c r="HR147" s="57" t="s">
        <v>194</v>
      </c>
      <c r="HS147" s="57" t="s">
        <v>194</v>
      </c>
      <c r="HT147" s="57" t="s">
        <v>195</v>
      </c>
      <c r="HU147" s="58" t="s">
        <v>196</v>
      </c>
      <c r="HV147" s="58" t="s">
        <v>197</v>
      </c>
      <c r="HW147" s="58" t="s">
        <v>197</v>
      </c>
      <c r="HX147" s="58" t="s">
        <v>198</v>
      </c>
      <c r="HY147" s="58" t="s">
        <v>198</v>
      </c>
      <c r="HZ147" s="58" t="s">
        <v>199</v>
      </c>
      <c r="IA147" s="42" t="s">
        <v>33</v>
      </c>
      <c r="IB147" s="42" t="s">
        <v>34</v>
      </c>
      <c r="IC147" s="42" t="s">
        <v>35</v>
      </c>
      <c r="ID147" s="42" t="s">
        <v>36</v>
      </c>
      <c r="IE147" s="59" t="s">
        <v>200</v>
      </c>
      <c r="IF147" s="59" t="s">
        <v>201</v>
      </c>
      <c r="IG147" s="59" t="s">
        <v>202</v>
      </c>
      <c r="IH147" s="59" t="s">
        <v>203</v>
      </c>
      <c r="II147" s="59" t="s">
        <v>203</v>
      </c>
      <c r="IJ147" s="35"/>
      <c r="IK147" s="35"/>
      <c r="IL147" s="35"/>
      <c r="IM147" s="35"/>
      <c r="IN147" s="35"/>
      <c r="IO147" s="84"/>
      <c r="IP147" s="84"/>
      <c r="IQ147" s="84"/>
      <c r="IR147" s="84"/>
      <c r="IS147" s="84"/>
      <c r="IT147" s="84"/>
      <c r="IU147" s="84"/>
      <c r="IV147" s="84"/>
      <c r="IW147" s="84"/>
    </row>
    <row r="148" spans="2:257" s="28" customFormat="1" ht="14.4">
      <c r="B148" s="30">
        <f t="shared" si="150"/>
        <v>6.0999999999999979</v>
      </c>
      <c r="C148" s="38" t="s">
        <v>127</v>
      </c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  <c r="BC148" s="84"/>
      <c r="BD148" s="84"/>
      <c r="BE148" s="84"/>
      <c r="BF148" s="84"/>
      <c r="BG148" s="84"/>
      <c r="BH148" s="84"/>
      <c r="BI148" s="84"/>
      <c r="BJ148" s="84"/>
      <c r="BK148" s="84"/>
      <c r="BL148" s="84"/>
      <c r="BM148" s="84"/>
      <c r="BN148" s="84"/>
      <c r="BO148" s="84"/>
      <c r="BP148" s="84"/>
      <c r="BQ148" s="84"/>
      <c r="BR148" s="84"/>
      <c r="BS148" s="84"/>
      <c r="BT148" s="84"/>
      <c r="BU148" s="84"/>
      <c r="BV148" s="84"/>
      <c r="BW148" s="84"/>
      <c r="BX148" s="84"/>
      <c r="BY148" s="84"/>
      <c r="BZ148" s="84"/>
      <c r="CA148" s="84"/>
      <c r="CB148" s="84"/>
      <c r="CC148" s="84"/>
      <c r="CD148" s="84"/>
      <c r="CE148" s="84"/>
      <c r="CF148" s="35"/>
      <c r="CG148" s="34"/>
      <c r="CH148" s="34"/>
      <c r="CI148" s="34"/>
      <c r="CJ148" s="34"/>
      <c r="CK148" s="34"/>
      <c r="CL148" s="34"/>
      <c r="CM148" s="34"/>
      <c r="CN148" s="34"/>
      <c r="CO148" s="35"/>
      <c r="CP148" s="35"/>
      <c r="CQ148" s="35"/>
      <c r="CR148" s="84"/>
      <c r="CS148" s="84"/>
      <c r="CT148" s="84"/>
      <c r="CU148" s="84"/>
      <c r="CV148" s="35"/>
      <c r="CW148" s="84"/>
      <c r="CX148" s="35"/>
      <c r="CY148" s="35"/>
      <c r="CZ148" s="35"/>
      <c r="DA148" s="35"/>
      <c r="DB148" s="35"/>
      <c r="DC148" s="84"/>
      <c r="DD148" s="35"/>
      <c r="DE148" s="35"/>
      <c r="DF148" s="35"/>
      <c r="DG148" s="35"/>
      <c r="DH148" s="35"/>
      <c r="DI148" s="84"/>
      <c r="DJ148" s="35"/>
      <c r="DK148" s="35"/>
      <c r="DL148" s="35"/>
      <c r="DM148" s="35"/>
      <c r="DN148" s="35"/>
      <c r="DO148" s="84"/>
      <c r="DP148" s="35"/>
      <c r="DQ148" s="35"/>
      <c r="DR148" s="35"/>
      <c r="DS148" s="35"/>
      <c r="DT148" s="35"/>
      <c r="DU148" s="84"/>
      <c r="DV148" s="35"/>
      <c r="DW148" s="35"/>
      <c r="DX148" s="35"/>
      <c r="DY148" s="35"/>
      <c r="DZ148" s="35"/>
      <c r="EA148" s="84"/>
      <c r="EB148" s="35"/>
      <c r="EC148" s="35"/>
      <c r="ED148" s="35"/>
      <c r="EE148" s="35"/>
      <c r="EF148" s="35"/>
      <c r="EG148" s="84"/>
      <c r="EH148" s="35"/>
      <c r="EI148" s="35"/>
      <c r="EJ148" s="35"/>
      <c r="EK148" s="35"/>
      <c r="EL148" s="35"/>
      <c r="EM148" s="84"/>
      <c r="EN148" s="35"/>
      <c r="EO148" s="35"/>
      <c r="EP148" s="35"/>
      <c r="EQ148" s="35"/>
      <c r="ER148" s="35"/>
      <c r="ES148" s="84"/>
      <c r="ET148" s="35"/>
      <c r="EU148" s="35"/>
      <c r="EV148" s="35"/>
      <c r="EW148" s="35"/>
      <c r="EX148" s="35"/>
      <c r="EY148" s="84"/>
      <c r="EZ148" s="35"/>
      <c r="FA148" s="35"/>
      <c r="FB148" s="35"/>
      <c r="FC148" s="35"/>
      <c r="FD148" s="35"/>
      <c r="FE148" s="84"/>
      <c r="FF148" s="84"/>
      <c r="FG148" s="35"/>
      <c r="FH148" s="35"/>
      <c r="FI148" s="35"/>
      <c r="FJ148" s="35"/>
      <c r="FK148" s="84"/>
      <c r="FL148" s="35"/>
      <c r="FM148" s="35"/>
      <c r="FN148" s="35"/>
      <c r="FO148" s="35"/>
      <c r="FP148" s="35"/>
      <c r="FQ148" s="84"/>
      <c r="FR148" s="35"/>
      <c r="FS148" s="35"/>
      <c r="FT148" s="35"/>
      <c r="FU148" s="35"/>
      <c r="FV148" s="35"/>
      <c r="FW148" s="35"/>
      <c r="FX148" s="84"/>
      <c r="FY148" s="84"/>
      <c r="FZ148" s="84"/>
      <c r="GA148" s="84"/>
      <c r="GB148" s="84"/>
      <c r="GC148" s="84"/>
      <c r="GD148" s="84"/>
      <c r="GE148" s="84"/>
      <c r="GF148" s="84"/>
      <c r="GG148" s="84"/>
      <c r="GH148" s="84"/>
      <c r="GI148" s="84"/>
      <c r="GJ148" s="84"/>
      <c r="GK148" s="84"/>
      <c r="GL148" s="84"/>
      <c r="GM148" s="84"/>
      <c r="GN148" s="84"/>
      <c r="GO148" s="84"/>
      <c r="GP148" s="84"/>
      <c r="GQ148" s="84"/>
      <c r="GR148" s="84"/>
      <c r="GS148" s="84"/>
      <c r="GT148" s="84"/>
      <c r="GU148" s="84"/>
      <c r="GV148" s="84"/>
      <c r="GW148" s="84"/>
      <c r="GX148" s="84"/>
      <c r="GY148" s="84"/>
      <c r="GZ148" s="84"/>
      <c r="HA148" s="84"/>
      <c r="HB148" s="84"/>
      <c r="HC148" s="35"/>
      <c r="HD148" s="55" t="s">
        <v>187</v>
      </c>
      <c r="HE148" s="55" t="s">
        <v>187</v>
      </c>
      <c r="HF148" s="55" t="s">
        <v>30</v>
      </c>
      <c r="HG148" s="55" t="s">
        <v>30</v>
      </c>
      <c r="HH148" s="55" t="s">
        <v>31</v>
      </c>
      <c r="HI148" s="55" t="s">
        <v>31</v>
      </c>
      <c r="HJ148" s="55" t="s">
        <v>32</v>
      </c>
      <c r="HK148" s="55" t="s">
        <v>32</v>
      </c>
      <c r="HL148" s="56" t="s">
        <v>188</v>
      </c>
      <c r="HM148" s="56" t="s">
        <v>188</v>
      </c>
      <c r="HN148" s="56" t="s">
        <v>189</v>
      </c>
      <c r="HO148" s="56" t="s">
        <v>190</v>
      </c>
      <c r="HP148" s="56" t="s">
        <v>191</v>
      </c>
      <c r="HQ148" s="57" t="s">
        <v>192</v>
      </c>
      <c r="HR148" s="57" t="s">
        <v>193</v>
      </c>
      <c r="HS148" s="57" t="s">
        <v>193</v>
      </c>
      <c r="HT148" s="57" t="s">
        <v>194</v>
      </c>
      <c r="HU148" s="57" t="s">
        <v>195</v>
      </c>
      <c r="HV148" s="58" t="s">
        <v>196</v>
      </c>
      <c r="HW148" s="58" t="s">
        <v>196</v>
      </c>
      <c r="HX148" s="58" t="s">
        <v>197</v>
      </c>
      <c r="HY148" s="58" t="s">
        <v>197</v>
      </c>
      <c r="HZ148" s="58" t="s">
        <v>198</v>
      </c>
      <c r="IA148" s="58" t="s">
        <v>199</v>
      </c>
      <c r="IB148" s="42" t="s">
        <v>33</v>
      </c>
      <c r="IC148" s="42" t="s">
        <v>34</v>
      </c>
      <c r="ID148" s="42" t="s">
        <v>35</v>
      </c>
      <c r="IE148" s="42" t="s">
        <v>36</v>
      </c>
      <c r="IF148" s="59" t="s">
        <v>200</v>
      </c>
      <c r="IG148" s="59" t="s">
        <v>201</v>
      </c>
      <c r="IH148" s="59" t="s">
        <v>202</v>
      </c>
      <c r="II148" s="59" t="s">
        <v>202</v>
      </c>
      <c r="IJ148" s="59" t="s">
        <v>203</v>
      </c>
      <c r="IK148" s="35"/>
      <c r="IL148" s="35"/>
      <c r="IM148" s="35"/>
      <c r="IN148" s="35"/>
      <c r="IO148" s="35"/>
      <c r="IP148" s="84"/>
      <c r="IQ148" s="84"/>
      <c r="IR148" s="84"/>
      <c r="IS148" s="84"/>
      <c r="IT148" s="84"/>
      <c r="IU148" s="84"/>
      <c r="IV148" s="84"/>
      <c r="IW148" s="84"/>
    </row>
    <row r="149" spans="2:257" s="28" customFormat="1" ht="14.4">
      <c r="B149" s="30">
        <f t="shared" si="150"/>
        <v>6.1099999999999977</v>
      </c>
      <c r="C149" s="38" t="s">
        <v>128</v>
      </c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35"/>
      <c r="BB149" s="35"/>
      <c r="BC149" s="84"/>
      <c r="BD149" s="84"/>
      <c r="BE149" s="84"/>
      <c r="BF149" s="84"/>
      <c r="BG149" s="84"/>
      <c r="BH149" s="84"/>
      <c r="BI149" s="84"/>
      <c r="BJ149" s="84"/>
      <c r="BK149" s="84"/>
      <c r="BL149" s="84"/>
      <c r="BM149" s="84"/>
      <c r="BN149" s="84"/>
      <c r="BO149" s="84"/>
      <c r="BP149" s="84"/>
      <c r="BQ149" s="84"/>
      <c r="BR149" s="84"/>
      <c r="BS149" s="84"/>
      <c r="BT149" s="84"/>
      <c r="BU149" s="84"/>
      <c r="BV149" s="84"/>
      <c r="BW149" s="84"/>
      <c r="BX149" s="84"/>
      <c r="BY149" s="84"/>
      <c r="BZ149" s="84"/>
      <c r="CA149" s="84"/>
      <c r="CB149" s="84"/>
      <c r="CC149" s="84"/>
      <c r="CD149" s="84"/>
      <c r="CE149" s="84"/>
      <c r="CF149" s="35"/>
      <c r="CG149" s="34"/>
      <c r="CH149" s="34"/>
      <c r="CI149" s="34"/>
      <c r="CJ149" s="34"/>
      <c r="CK149" s="34"/>
      <c r="CL149" s="34"/>
      <c r="CM149" s="34"/>
      <c r="CN149" s="34"/>
      <c r="CO149" s="35"/>
      <c r="CP149" s="35"/>
      <c r="CQ149" s="35"/>
      <c r="CR149" s="84"/>
      <c r="CS149" s="84"/>
      <c r="CT149" s="84"/>
      <c r="CU149" s="84"/>
      <c r="CV149" s="35"/>
      <c r="CW149" s="84"/>
      <c r="CX149" s="35"/>
      <c r="CY149" s="35"/>
      <c r="CZ149" s="35"/>
      <c r="DA149" s="35"/>
      <c r="DB149" s="35"/>
      <c r="DC149" s="84"/>
      <c r="DD149" s="35"/>
      <c r="DE149" s="35"/>
      <c r="DF149" s="35"/>
      <c r="DG149" s="35"/>
      <c r="DH149" s="35"/>
      <c r="DI149" s="84"/>
      <c r="DJ149" s="35"/>
      <c r="DK149" s="35"/>
      <c r="DL149" s="35"/>
      <c r="DM149" s="35"/>
      <c r="DN149" s="35"/>
      <c r="DO149" s="84"/>
      <c r="DP149" s="35"/>
      <c r="DQ149" s="35"/>
      <c r="DR149" s="35"/>
      <c r="DS149" s="35"/>
      <c r="DT149" s="35"/>
      <c r="DU149" s="84"/>
      <c r="DV149" s="35"/>
      <c r="DW149" s="35"/>
      <c r="DX149" s="35"/>
      <c r="DY149" s="35"/>
      <c r="DZ149" s="35"/>
      <c r="EA149" s="84"/>
      <c r="EB149" s="35"/>
      <c r="EC149" s="35"/>
      <c r="ED149" s="35"/>
      <c r="EE149" s="35"/>
      <c r="EF149" s="35"/>
      <c r="EG149" s="84"/>
      <c r="EH149" s="35"/>
      <c r="EI149" s="35"/>
      <c r="EJ149" s="35"/>
      <c r="EK149" s="35"/>
      <c r="EL149" s="35"/>
      <c r="EM149" s="84"/>
      <c r="EN149" s="35"/>
      <c r="EO149" s="35"/>
      <c r="EP149" s="35"/>
      <c r="EQ149" s="35"/>
      <c r="ER149" s="35"/>
      <c r="ES149" s="84"/>
      <c r="ET149" s="35"/>
      <c r="EU149" s="35"/>
      <c r="EV149" s="35"/>
      <c r="EW149" s="35"/>
      <c r="EX149" s="35"/>
      <c r="EY149" s="84"/>
      <c r="EZ149" s="35"/>
      <c r="FA149" s="35"/>
      <c r="FB149" s="35"/>
      <c r="FC149" s="35"/>
      <c r="FD149" s="35"/>
      <c r="FE149" s="84"/>
      <c r="FF149" s="84"/>
      <c r="FG149" s="35"/>
      <c r="FH149" s="35"/>
      <c r="FI149" s="35"/>
      <c r="FJ149" s="35"/>
      <c r="FK149" s="84"/>
      <c r="FL149" s="35"/>
      <c r="FM149" s="35"/>
      <c r="FN149" s="35"/>
      <c r="FO149" s="35"/>
      <c r="FP149" s="35"/>
      <c r="FQ149" s="84"/>
      <c r="FR149" s="35"/>
      <c r="FS149" s="35"/>
      <c r="FT149" s="35"/>
      <c r="FU149" s="35"/>
      <c r="FV149" s="35"/>
      <c r="FW149" s="35"/>
      <c r="FX149" s="84"/>
      <c r="FY149" s="84"/>
      <c r="FZ149" s="84"/>
      <c r="GA149" s="84"/>
      <c r="GB149" s="84"/>
      <c r="GC149" s="84"/>
      <c r="GD149" s="84"/>
      <c r="GE149" s="84"/>
      <c r="GF149" s="84"/>
      <c r="GG149" s="84"/>
      <c r="GH149" s="84"/>
      <c r="GI149" s="84"/>
      <c r="GJ149" s="84"/>
      <c r="GK149" s="84"/>
      <c r="GL149" s="84"/>
      <c r="GM149" s="84"/>
      <c r="GN149" s="84"/>
      <c r="GO149" s="84"/>
      <c r="GP149" s="84"/>
      <c r="GQ149" s="84"/>
      <c r="GR149" s="84"/>
      <c r="GS149" s="84"/>
      <c r="GT149" s="84"/>
      <c r="GU149" s="84"/>
      <c r="GV149" s="84"/>
      <c r="GW149" s="84"/>
      <c r="GX149" s="84"/>
      <c r="GY149" s="84"/>
      <c r="GZ149" s="84"/>
      <c r="HA149" s="84"/>
      <c r="HB149" s="84"/>
      <c r="HC149" s="84"/>
      <c r="HD149" s="35"/>
      <c r="HE149" s="35"/>
      <c r="HF149" s="55" t="s">
        <v>187</v>
      </c>
      <c r="HG149" s="55" t="s">
        <v>187</v>
      </c>
      <c r="HH149" s="55" t="s">
        <v>30</v>
      </c>
      <c r="HI149" s="55" t="s">
        <v>30</v>
      </c>
      <c r="HJ149" s="55" t="s">
        <v>31</v>
      </c>
      <c r="HK149" s="55" t="s">
        <v>31</v>
      </c>
      <c r="HL149" s="55" t="s">
        <v>32</v>
      </c>
      <c r="HM149" s="55" t="s">
        <v>32</v>
      </c>
      <c r="HN149" s="56" t="s">
        <v>188</v>
      </c>
      <c r="HO149" s="56" t="s">
        <v>189</v>
      </c>
      <c r="HP149" s="56" t="s">
        <v>190</v>
      </c>
      <c r="HQ149" s="56" t="s">
        <v>191</v>
      </c>
      <c r="HR149" s="57" t="s">
        <v>192</v>
      </c>
      <c r="HS149" s="57" t="s">
        <v>192</v>
      </c>
      <c r="HT149" s="57" t="s">
        <v>193</v>
      </c>
      <c r="HU149" s="57" t="s">
        <v>194</v>
      </c>
      <c r="HV149" s="57" t="s">
        <v>195</v>
      </c>
      <c r="HW149" s="57" t="s">
        <v>195</v>
      </c>
      <c r="HX149" s="58" t="s">
        <v>196</v>
      </c>
      <c r="HY149" s="58" t="s">
        <v>196</v>
      </c>
      <c r="HZ149" s="58" t="s">
        <v>197</v>
      </c>
      <c r="IA149" s="58" t="s">
        <v>198</v>
      </c>
      <c r="IB149" s="58" t="s">
        <v>199</v>
      </c>
      <c r="IC149" s="42" t="s">
        <v>33</v>
      </c>
      <c r="ID149" s="42" t="s">
        <v>34</v>
      </c>
      <c r="IE149" s="42" t="s">
        <v>35</v>
      </c>
      <c r="IF149" s="42" t="s">
        <v>36</v>
      </c>
      <c r="IG149" s="59" t="s">
        <v>200</v>
      </c>
      <c r="IH149" s="59" t="s">
        <v>201</v>
      </c>
      <c r="II149" s="59" t="s">
        <v>201</v>
      </c>
      <c r="IJ149" s="59" t="s">
        <v>202</v>
      </c>
      <c r="IK149" s="59" t="s">
        <v>203</v>
      </c>
      <c r="IL149" s="35"/>
      <c r="IM149" s="35"/>
      <c r="IN149" s="35"/>
      <c r="IO149" s="35"/>
      <c r="IP149" s="84"/>
      <c r="IQ149" s="84"/>
      <c r="IR149" s="84"/>
      <c r="IS149" s="84"/>
      <c r="IT149" s="84"/>
      <c r="IU149" s="84"/>
      <c r="IV149" s="84"/>
      <c r="IW149" s="84"/>
    </row>
    <row r="150" spans="2:257" s="28" customFormat="1" ht="14.4">
      <c r="B150" s="30">
        <f t="shared" si="150"/>
        <v>6.1199999999999974</v>
      </c>
      <c r="C150" s="44" t="s">
        <v>129</v>
      </c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  <c r="BM150" s="84"/>
      <c r="BN150" s="84"/>
      <c r="BO150" s="84"/>
      <c r="BP150" s="84"/>
      <c r="BQ150" s="84"/>
      <c r="BR150" s="84"/>
      <c r="BS150" s="84"/>
      <c r="BT150" s="84"/>
      <c r="BU150" s="84"/>
      <c r="BV150" s="84"/>
      <c r="BW150" s="84"/>
      <c r="BX150" s="84"/>
      <c r="BY150" s="84"/>
      <c r="BZ150" s="84"/>
      <c r="CA150" s="84"/>
      <c r="CB150" s="84"/>
      <c r="CC150" s="84"/>
      <c r="CD150" s="84"/>
      <c r="CE150" s="84"/>
      <c r="CF150" s="35"/>
      <c r="CG150" s="34"/>
      <c r="CH150" s="34"/>
      <c r="CI150" s="34"/>
      <c r="CJ150" s="34"/>
      <c r="CK150" s="34"/>
      <c r="CL150" s="34"/>
      <c r="CM150" s="34"/>
      <c r="CN150" s="34"/>
      <c r="CO150" s="35"/>
      <c r="CP150" s="35"/>
      <c r="CQ150" s="35"/>
      <c r="CR150" s="84"/>
      <c r="CS150" s="84"/>
      <c r="CT150" s="84"/>
      <c r="CU150" s="84"/>
      <c r="CV150" s="35"/>
      <c r="CW150" s="84"/>
      <c r="CX150" s="35"/>
      <c r="CY150" s="35"/>
      <c r="CZ150" s="35"/>
      <c r="DA150" s="35"/>
      <c r="DB150" s="35"/>
      <c r="DC150" s="84"/>
      <c r="DD150" s="35"/>
      <c r="DE150" s="35"/>
      <c r="DF150" s="35"/>
      <c r="DG150" s="35"/>
      <c r="DH150" s="35"/>
      <c r="DI150" s="84"/>
      <c r="DJ150" s="35"/>
      <c r="DK150" s="35"/>
      <c r="DL150" s="35"/>
      <c r="DM150" s="35"/>
      <c r="DN150" s="35"/>
      <c r="DO150" s="84"/>
      <c r="DP150" s="35"/>
      <c r="DQ150" s="35"/>
      <c r="DR150" s="35"/>
      <c r="DS150" s="35"/>
      <c r="DT150" s="35"/>
      <c r="DU150" s="84"/>
      <c r="DV150" s="35"/>
      <c r="DW150" s="35"/>
      <c r="DX150" s="35"/>
      <c r="DY150" s="35"/>
      <c r="DZ150" s="35"/>
      <c r="EA150" s="84"/>
      <c r="EB150" s="35"/>
      <c r="EC150" s="35"/>
      <c r="ED150" s="35"/>
      <c r="EE150" s="35"/>
      <c r="EF150" s="35"/>
      <c r="EG150" s="84"/>
      <c r="EH150" s="35"/>
      <c r="EI150" s="35"/>
      <c r="EJ150" s="35"/>
      <c r="EK150" s="35"/>
      <c r="EL150" s="35"/>
      <c r="EM150" s="84"/>
      <c r="EN150" s="35"/>
      <c r="EO150" s="35"/>
      <c r="EP150" s="35"/>
      <c r="EQ150" s="35"/>
      <c r="ER150" s="35"/>
      <c r="ES150" s="84"/>
      <c r="ET150" s="35"/>
      <c r="EU150" s="35"/>
      <c r="EV150" s="35"/>
      <c r="EW150" s="35"/>
      <c r="EX150" s="35"/>
      <c r="EY150" s="84"/>
      <c r="EZ150" s="35"/>
      <c r="FA150" s="35"/>
      <c r="FB150" s="35"/>
      <c r="FC150" s="35"/>
      <c r="FD150" s="35"/>
      <c r="FE150" s="84"/>
      <c r="FF150" s="84"/>
      <c r="FG150" s="35"/>
      <c r="FH150" s="35"/>
      <c r="FI150" s="35"/>
      <c r="FJ150" s="35"/>
      <c r="FK150" s="84"/>
      <c r="FL150" s="35"/>
      <c r="FM150" s="35"/>
      <c r="FN150" s="35"/>
      <c r="FO150" s="35"/>
      <c r="FP150" s="35"/>
      <c r="FQ150" s="84"/>
      <c r="FR150" s="35"/>
      <c r="FS150" s="35"/>
      <c r="FT150" s="35"/>
      <c r="FU150" s="35"/>
      <c r="FV150" s="35"/>
      <c r="FW150" s="35"/>
      <c r="FX150" s="84"/>
      <c r="FY150" s="84"/>
      <c r="FZ150" s="84"/>
      <c r="GA150" s="84"/>
      <c r="GB150" s="84"/>
      <c r="GC150" s="84"/>
      <c r="GD150" s="84"/>
      <c r="GE150" s="84"/>
      <c r="GF150" s="84"/>
      <c r="GG150" s="84"/>
      <c r="GH150" s="84"/>
      <c r="GI150" s="84"/>
      <c r="GJ150" s="84"/>
      <c r="GK150" s="84"/>
      <c r="GL150" s="84"/>
      <c r="GM150" s="84"/>
      <c r="GN150" s="84"/>
      <c r="GO150" s="84"/>
      <c r="GP150" s="84"/>
      <c r="GQ150" s="84"/>
      <c r="GR150" s="84"/>
      <c r="GS150" s="84"/>
      <c r="GT150" s="84"/>
      <c r="GU150" s="84"/>
      <c r="GV150" s="84"/>
      <c r="GW150" s="84"/>
      <c r="GX150" s="84"/>
      <c r="GY150" s="84"/>
      <c r="GZ150" s="84"/>
      <c r="HA150" s="84"/>
      <c r="HB150" s="84"/>
      <c r="HC150" s="84"/>
      <c r="HD150" s="35"/>
      <c r="HE150" s="35"/>
      <c r="HF150" s="35"/>
      <c r="HG150" s="55"/>
      <c r="HH150" s="55" t="s">
        <v>187</v>
      </c>
      <c r="HI150" s="55" t="s">
        <v>187</v>
      </c>
      <c r="HJ150" s="55" t="s">
        <v>30</v>
      </c>
      <c r="HK150" s="55" t="s">
        <v>30</v>
      </c>
      <c r="HL150" s="55" t="s">
        <v>31</v>
      </c>
      <c r="HM150" s="55" t="s">
        <v>31</v>
      </c>
      <c r="HN150" s="55" t="s">
        <v>32</v>
      </c>
      <c r="HO150" s="56" t="s">
        <v>188</v>
      </c>
      <c r="HP150" s="56" t="s">
        <v>189</v>
      </c>
      <c r="HQ150" s="56" t="s">
        <v>190</v>
      </c>
      <c r="HR150" s="56" t="s">
        <v>191</v>
      </c>
      <c r="HS150" s="56" t="s">
        <v>191</v>
      </c>
      <c r="HT150" s="57" t="s">
        <v>192</v>
      </c>
      <c r="HU150" s="57" t="s">
        <v>193</v>
      </c>
      <c r="HV150" s="57" t="s">
        <v>194</v>
      </c>
      <c r="HW150" s="57" t="s">
        <v>194</v>
      </c>
      <c r="HX150" s="57" t="s">
        <v>195</v>
      </c>
      <c r="HY150" s="57" t="s">
        <v>195</v>
      </c>
      <c r="HZ150" s="58" t="s">
        <v>196</v>
      </c>
      <c r="IA150" s="58" t="s">
        <v>197</v>
      </c>
      <c r="IB150" s="58" t="s">
        <v>198</v>
      </c>
      <c r="IC150" s="58" t="s">
        <v>199</v>
      </c>
      <c r="ID150" s="42" t="s">
        <v>33</v>
      </c>
      <c r="IE150" s="42" t="s">
        <v>34</v>
      </c>
      <c r="IF150" s="42" t="s">
        <v>35</v>
      </c>
      <c r="IG150" s="42" t="s">
        <v>36</v>
      </c>
      <c r="IH150" s="59" t="s">
        <v>200</v>
      </c>
      <c r="II150" s="59" t="s">
        <v>200</v>
      </c>
      <c r="IJ150" s="59" t="s">
        <v>201</v>
      </c>
      <c r="IK150" s="59" t="s">
        <v>202</v>
      </c>
      <c r="IL150" s="59" t="s">
        <v>203</v>
      </c>
      <c r="IM150" s="35"/>
      <c r="IN150" s="35"/>
      <c r="IO150" s="35"/>
      <c r="IP150" s="84"/>
      <c r="IQ150" s="84"/>
      <c r="IR150" s="84"/>
      <c r="IS150" s="84"/>
      <c r="IT150" s="84"/>
      <c r="IU150" s="84"/>
      <c r="IV150" s="84"/>
      <c r="IW150" s="84"/>
    </row>
    <row r="151" spans="2:257" s="28" customFormat="1" ht="15" thickBot="1">
      <c r="B151" s="30">
        <f t="shared" si="150"/>
        <v>6.1299999999999972</v>
      </c>
      <c r="C151" s="92" t="s">
        <v>130</v>
      </c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4"/>
      <c r="BP151" s="84"/>
      <c r="BQ151" s="84"/>
      <c r="BR151" s="84"/>
      <c r="BS151" s="84"/>
      <c r="BT151" s="84"/>
      <c r="BU151" s="84"/>
      <c r="BV151" s="84"/>
      <c r="BW151" s="84"/>
      <c r="BX151" s="84"/>
      <c r="BY151" s="84"/>
      <c r="BZ151" s="84"/>
      <c r="CA151" s="84"/>
      <c r="CB151" s="84"/>
      <c r="CC151" s="84"/>
      <c r="CD151" s="84"/>
      <c r="CE151" s="84"/>
      <c r="CF151" s="35"/>
      <c r="CG151" s="34"/>
      <c r="CH151" s="34"/>
      <c r="CI151" s="34"/>
      <c r="CJ151" s="34"/>
      <c r="CK151" s="34"/>
      <c r="CL151" s="34"/>
      <c r="CM151" s="34"/>
      <c r="CN151" s="34"/>
      <c r="CO151" s="35"/>
      <c r="CP151" s="35"/>
      <c r="CQ151" s="35"/>
      <c r="CR151" s="84"/>
      <c r="CS151" s="84"/>
      <c r="CT151" s="84"/>
      <c r="CU151" s="84"/>
      <c r="CV151" s="35"/>
      <c r="CW151" s="84"/>
      <c r="CX151" s="35"/>
      <c r="CY151" s="35"/>
      <c r="CZ151" s="35"/>
      <c r="DA151" s="35"/>
      <c r="DB151" s="35"/>
      <c r="DC151" s="84"/>
      <c r="DD151" s="35"/>
      <c r="DE151" s="35"/>
      <c r="DF151" s="35"/>
      <c r="DG151" s="35"/>
      <c r="DH151" s="35"/>
      <c r="DI151" s="84"/>
      <c r="DJ151" s="35"/>
      <c r="DK151" s="35"/>
      <c r="DL151" s="35"/>
      <c r="DM151" s="35"/>
      <c r="DN151" s="35"/>
      <c r="DO151" s="84"/>
      <c r="DP151" s="35"/>
      <c r="DQ151" s="35"/>
      <c r="DR151" s="35"/>
      <c r="DS151" s="35"/>
      <c r="DT151" s="35"/>
      <c r="DU151" s="84"/>
      <c r="DV151" s="35"/>
      <c r="DW151" s="35"/>
      <c r="DX151" s="35"/>
      <c r="DY151" s="35"/>
      <c r="DZ151" s="35"/>
      <c r="EA151" s="84"/>
      <c r="EB151" s="35"/>
      <c r="EC151" s="35"/>
      <c r="ED151" s="35"/>
      <c r="EE151" s="35"/>
      <c r="EF151" s="35"/>
      <c r="EG151" s="84"/>
      <c r="EH151" s="35"/>
      <c r="EI151" s="35"/>
      <c r="EJ151" s="35"/>
      <c r="EK151" s="35"/>
      <c r="EL151" s="35"/>
      <c r="EM151" s="84"/>
      <c r="EN151" s="35"/>
      <c r="EO151" s="35"/>
      <c r="EP151" s="35"/>
      <c r="EQ151" s="35"/>
      <c r="ER151" s="35"/>
      <c r="ES151" s="84"/>
      <c r="ET151" s="35"/>
      <c r="EU151" s="35"/>
      <c r="EV151" s="35"/>
      <c r="EW151" s="35"/>
      <c r="EX151" s="35"/>
      <c r="EY151" s="84"/>
      <c r="EZ151" s="35"/>
      <c r="FA151" s="35"/>
      <c r="FB151" s="35"/>
      <c r="FC151" s="35"/>
      <c r="FD151" s="35"/>
      <c r="FE151" s="84"/>
      <c r="FF151" s="84"/>
      <c r="FG151" s="35"/>
      <c r="FH151" s="35"/>
      <c r="FI151" s="35"/>
      <c r="FJ151" s="35"/>
      <c r="FK151" s="84"/>
      <c r="FL151" s="35"/>
      <c r="FM151" s="35"/>
      <c r="FN151" s="35"/>
      <c r="FO151" s="35"/>
      <c r="FP151" s="35"/>
      <c r="FQ151" s="84"/>
      <c r="FR151" s="35"/>
      <c r="FS151" s="35"/>
      <c r="FT151" s="35"/>
      <c r="FU151" s="35"/>
      <c r="FV151" s="35"/>
      <c r="FW151" s="35"/>
      <c r="FX151" s="84"/>
      <c r="FY151" s="84"/>
      <c r="FZ151" s="84"/>
      <c r="GA151" s="84"/>
      <c r="GB151" s="84"/>
      <c r="GC151" s="84"/>
      <c r="GD151" s="84"/>
      <c r="GE151" s="84"/>
      <c r="GF151" s="84"/>
      <c r="GG151" s="84"/>
      <c r="GH151" s="84"/>
      <c r="GI151" s="84"/>
      <c r="GJ151" s="84"/>
      <c r="GK151" s="84"/>
      <c r="GL151" s="84"/>
      <c r="GM151" s="84"/>
      <c r="GN151" s="84"/>
      <c r="GO151" s="84"/>
      <c r="GP151" s="84"/>
      <c r="GQ151" s="84"/>
      <c r="GR151" s="84"/>
      <c r="GS151" s="84"/>
      <c r="GT151" s="84"/>
      <c r="GU151" s="84"/>
      <c r="GV151" s="84"/>
      <c r="GW151" s="84"/>
      <c r="GX151" s="84"/>
      <c r="GY151" s="84"/>
      <c r="GZ151" s="84"/>
      <c r="HA151" s="84"/>
      <c r="HB151" s="84"/>
      <c r="HC151" s="84"/>
      <c r="HD151" s="35"/>
      <c r="HE151" s="35"/>
      <c r="HF151" s="35"/>
      <c r="HG151" s="84"/>
      <c r="HH151" s="35"/>
      <c r="HI151" s="55"/>
      <c r="HJ151" s="55" t="s">
        <v>187</v>
      </c>
      <c r="HK151" s="55" t="s">
        <v>187</v>
      </c>
      <c r="HL151" s="55" t="s">
        <v>30</v>
      </c>
      <c r="HM151" s="55" t="s">
        <v>30</v>
      </c>
      <c r="HN151" s="55" t="s">
        <v>31</v>
      </c>
      <c r="HO151" s="55" t="s">
        <v>32</v>
      </c>
      <c r="HP151" s="56" t="s">
        <v>188</v>
      </c>
      <c r="HQ151" s="56" t="s">
        <v>189</v>
      </c>
      <c r="HR151" s="56" t="s">
        <v>190</v>
      </c>
      <c r="HS151" s="56" t="s">
        <v>190</v>
      </c>
      <c r="HT151" s="56" t="s">
        <v>191</v>
      </c>
      <c r="HU151" s="57" t="s">
        <v>192</v>
      </c>
      <c r="HV151" s="57" t="s">
        <v>193</v>
      </c>
      <c r="HW151" s="57" t="s">
        <v>193</v>
      </c>
      <c r="HX151" s="57" t="s">
        <v>194</v>
      </c>
      <c r="HY151" s="57" t="s">
        <v>194</v>
      </c>
      <c r="HZ151" s="57" t="s">
        <v>195</v>
      </c>
      <c r="IA151" s="58" t="s">
        <v>196</v>
      </c>
      <c r="IB151" s="58" t="s">
        <v>197</v>
      </c>
      <c r="IC151" s="58" t="s">
        <v>198</v>
      </c>
      <c r="ID151" s="58" t="s">
        <v>199</v>
      </c>
      <c r="IE151" s="42" t="s">
        <v>33</v>
      </c>
      <c r="IF151" s="42" t="s">
        <v>34</v>
      </c>
      <c r="IG151" s="42" t="s">
        <v>35</v>
      </c>
      <c r="IH151" s="42" t="s">
        <v>36</v>
      </c>
      <c r="II151" s="42" t="s">
        <v>36</v>
      </c>
      <c r="IJ151" s="59" t="s">
        <v>200</v>
      </c>
      <c r="IK151" s="59" t="s">
        <v>201</v>
      </c>
      <c r="IL151" s="59" t="s">
        <v>202</v>
      </c>
      <c r="IM151" s="59" t="s">
        <v>203</v>
      </c>
      <c r="IN151" s="35"/>
      <c r="IO151" s="35"/>
      <c r="IP151" s="84"/>
      <c r="IQ151" s="84"/>
      <c r="IR151" s="84"/>
      <c r="IS151" s="84"/>
      <c r="IT151" s="84"/>
      <c r="IU151" s="84"/>
      <c r="IV151" s="84"/>
      <c r="IW151" s="84"/>
    </row>
    <row r="152" spans="2:257" s="28" customFormat="1" ht="14.4">
      <c r="B152" s="30">
        <f t="shared" si="150"/>
        <v>6.139999999999997</v>
      </c>
      <c r="C152" s="45" t="s">
        <v>131</v>
      </c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  <c r="BC152" s="84"/>
      <c r="BD152" s="84"/>
      <c r="BE152" s="84"/>
      <c r="BF152" s="84"/>
      <c r="BG152" s="84"/>
      <c r="BH152" s="84"/>
      <c r="BI152" s="84"/>
      <c r="BJ152" s="84"/>
      <c r="BK152" s="84"/>
      <c r="BL152" s="84"/>
      <c r="BM152" s="84"/>
      <c r="BN152" s="84"/>
      <c r="BO152" s="84"/>
      <c r="BP152" s="84"/>
      <c r="BQ152" s="84"/>
      <c r="BR152" s="84"/>
      <c r="BS152" s="84"/>
      <c r="BT152" s="84"/>
      <c r="BU152" s="84"/>
      <c r="BV152" s="84"/>
      <c r="BW152" s="84"/>
      <c r="BX152" s="84"/>
      <c r="BY152" s="84"/>
      <c r="BZ152" s="84"/>
      <c r="CA152" s="84"/>
      <c r="CB152" s="84"/>
      <c r="CC152" s="84"/>
      <c r="CD152" s="84"/>
      <c r="CE152" s="84"/>
      <c r="CF152" s="35"/>
      <c r="CG152" s="34"/>
      <c r="CH152" s="34"/>
      <c r="CI152" s="34"/>
      <c r="CJ152" s="34"/>
      <c r="CK152" s="34"/>
      <c r="CL152" s="34"/>
      <c r="CM152" s="34"/>
      <c r="CN152" s="34"/>
      <c r="CO152" s="35"/>
      <c r="CP152" s="35"/>
      <c r="CQ152" s="35"/>
      <c r="CR152" s="84"/>
      <c r="CS152" s="84"/>
      <c r="CT152" s="84"/>
      <c r="CU152" s="84"/>
      <c r="CV152" s="35"/>
      <c r="CW152" s="84"/>
      <c r="CX152" s="35"/>
      <c r="CY152" s="35"/>
      <c r="CZ152" s="35"/>
      <c r="DA152" s="35"/>
      <c r="DB152" s="35"/>
      <c r="DC152" s="84"/>
      <c r="DD152" s="35"/>
      <c r="DE152" s="35"/>
      <c r="DF152" s="35"/>
      <c r="DG152" s="35"/>
      <c r="DH152" s="35"/>
      <c r="DI152" s="84"/>
      <c r="DJ152" s="35"/>
      <c r="DK152" s="35"/>
      <c r="DL152" s="35"/>
      <c r="DM152" s="35"/>
      <c r="DN152" s="35"/>
      <c r="DO152" s="84"/>
      <c r="DP152" s="35"/>
      <c r="DQ152" s="35"/>
      <c r="DR152" s="35"/>
      <c r="DS152" s="35"/>
      <c r="DT152" s="35"/>
      <c r="DU152" s="84"/>
      <c r="DV152" s="35"/>
      <c r="DW152" s="35"/>
      <c r="DX152" s="35"/>
      <c r="DY152" s="35"/>
      <c r="DZ152" s="35"/>
      <c r="EA152" s="84"/>
      <c r="EB152" s="35"/>
      <c r="EC152" s="35"/>
      <c r="ED152" s="35"/>
      <c r="EE152" s="35"/>
      <c r="EF152" s="35"/>
      <c r="EG152" s="84"/>
      <c r="EH152" s="35"/>
      <c r="EI152" s="35"/>
      <c r="EJ152" s="35"/>
      <c r="EK152" s="35"/>
      <c r="EL152" s="35"/>
      <c r="EM152" s="84"/>
      <c r="EN152" s="35"/>
      <c r="EO152" s="35"/>
      <c r="EP152" s="35"/>
      <c r="EQ152" s="35"/>
      <c r="ER152" s="35"/>
      <c r="ES152" s="84"/>
      <c r="ET152" s="35"/>
      <c r="EU152" s="35"/>
      <c r="EV152" s="35"/>
      <c r="EW152" s="35"/>
      <c r="EX152" s="35"/>
      <c r="EY152" s="84"/>
      <c r="EZ152" s="35"/>
      <c r="FA152" s="35"/>
      <c r="FB152" s="35"/>
      <c r="FC152" s="35"/>
      <c r="FD152" s="35"/>
      <c r="FE152" s="84"/>
      <c r="FF152" s="84"/>
      <c r="FG152" s="35"/>
      <c r="FH152" s="35"/>
      <c r="FI152" s="35"/>
      <c r="FJ152" s="35"/>
      <c r="FK152" s="84"/>
      <c r="FL152" s="35"/>
      <c r="FM152" s="35"/>
      <c r="FN152" s="35"/>
      <c r="FO152" s="35"/>
      <c r="FP152" s="35"/>
      <c r="FQ152" s="84"/>
      <c r="FR152" s="35"/>
      <c r="FS152" s="35"/>
      <c r="FT152" s="35"/>
      <c r="FU152" s="35"/>
      <c r="FV152" s="35"/>
      <c r="FW152" s="35"/>
      <c r="FX152" s="84"/>
      <c r="FY152" s="84"/>
      <c r="FZ152" s="84"/>
      <c r="GA152" s="84"/>
      <c r="GB152" s="84"/>
      <c r="GC152" s="84"/>
      <c r="GD152" s="84"/>
      <c r="GE152" s="84"/>
      <c r="GF152" s="84"/>
      <c r="GG152" s="84"/>
      <c r="GH152" s="84"/>
      <c r="GI152" s="84"/>
      <c r="GJ152" s="84"/>
      <c r="GK152" s="84"/>
      <c r="GL152" s="84"/>
      <c r="GM152" s="84"/>
      <c r="GN152" s="84"/>
      <c r="GO152" s="84"/>
      <c r="GP152" s="84"/>
      <c r="GQ152" s="84"/>
      <c r="GR152" s="84"/>
      <c r="GS152" s="84"/>
      <c r="GT152" s="84"/>
      <c r="GU152" s="84"/>
      <c r="GV152" s="84"/>
      <c r="GW152" s="84"/>
      <c r="GX152" s="84"/>
      <c r="GY152" s="84"/>
      <c r="GZ152" s="84"/>
      <c r="HA152" s="84"/>
      <c r="HB152" s="84"/>
      <c r="HC152" s="84"/>
      <c r="HD152" s="35"/>
      <c r="HE152" s="35"/>
      <c r="HF152" s="35"/>
      <c r="HG152" s="84"/>
      <c r="HH152" s="35"/>
      <c r="HI152" s="55"/>
      <c r="HJ152" s="55" t="s">
        <v>187</v>
      </c>
      <c r="HK152" s="55" t="s">
        <v>187</v>
      </c>
      <c r="HL152" s="55" t="s">
        <v>30</v>
      </c>
      <c r="HM152" s="55" t="s">
        <v>30</v>
      </c>
      <c r="HN152" s="55" t="s">
        <v>31</v>
      </c>
      <c r="HO152" s="55" t="s">
        <v>32</v>
      </c>
      <c r="HP152" s="56" t="s">
        <v>188</v>
      </c>
      <c r="HQ152" s="56" t="s">
        <v>189</v>
      </c>
      <c r="HR152" s="56" t="s">
        <v>190</v>
      </c>
      <c r="HS152" s="56" t="s">
        <v>190</v>
      </c>
      <c r="HT152" s="56" t="s">
        <v>191</v>
      </c>
      <c r="HU152" s="57" t="s">
        <v>192</v>
      </c>
      <c r="HV152" s="57" t="s">
        <v>193</v>
      </c>
      <c r="HW152" s="57" t="s">
        <v>193</v>
      </c>
      <c r="HX152" s="57" t="s">
        <v>194</v>
      </c>
      <c r="HY152" s="57" t="s">
        <v>194</v>
      </c>
      <c r="HZ152" s="57" t="s">
        <v>195</v>
      </c>
      <c r="IA152" s="58" t="s">
        <v>196</v>
      </c>
      <c r="IB152" s="58" t="s">
        <v>197</v>
      </c>
      <c r="IC152" s="58" t="s">
        <v>198</v>
      </c>
      <c r="ID152" s="58" t="s">
        <v>199</v>
      </c>
      <c r="IE152" s="42" t="s">
        <v>33</v>
      </c>
      <c r="IF152" s="42" t="s">
        <v>34</v>
      </c>
      <c r="IG152" s="42" t="s">
        <v>35</v>
      </c>
      <c r="IH152" s="42" t="s">
        <v>36</v>
      </c>
      <c r="II152" s="42" t="s">
        <v>36</v>
      </c>
      <c r="IJ152" s="59" t="s">
        <v>200</v>
      </c>
      <c r="IK152" s="59" t="s">
        <v>201</v>
      </c>
      <c r="IL152" s="59" t="s">
        <v>202</v>
      </c>
      <c r="IM152" s="59" t="s">
        <v>203</v>
      </c>
      <c r="IN152" s="35"/>
      <c r="IO152" s="35"/>
      <c r="IP152" s="84"/>
      <c r="IQ152" s="84"/>
      <c r="IR152" s="84"/>
      <c r="IS152" s="84"/>
      <c r="IT152" s="84"/>
      <c r="IU152" s="84"/>
      <c r="IV152" s="84"/>
      <c r="IW152" s="84"/>
    </row>
    <row r="153" spans="2:257" s="28" customFormat="1" ht="14.4">
      <c r="B153" s="30">
        <f t="shared" si="150"/>
        <v>6.1499999999999968</v>
      </c>
      <c r="C153" s="44" t="s">
        <v>132</v>
      </c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  <c r="BC153" s="84"/>
      <c r="BD153" s="84"/>
      <c r="BE153" s="84"/>
      <c r="BF153" s="84"/>
      <c r="BG153" s="84"/>
      <c r="BH153" s="84"/>
      <c r="BI153" s="84"/>
      <c r="BJ153" s="84"/>
      <c r="BK153" s="84"/>
      <c r="BL153" s="84"/>
      <c r="BM153" s="84"/>
      <c r="BN153" s="84"/>
      <c r="BO153" s="84"/>
      <c r="BP153" s="84"/>
      <c r="BQ153" s="84"/>
      <c r="BR153" s="84"/>
      <c r="BS153" s="84"/>
      <c r="BT153" s="84"/>
      <c r="BU153" s="84"/>
      <c r="BV153" s="84"/>
      <c r="BW153" s="84"/>
      <c r="BX153" s="84"/>
      <c r="BY153" s="84"/>
      <c r="BZ153" s="84"/>
      <c r="CA153" s="84"/>
      <c r="CB153" s="84"/>
      <c r="CC153" s="84"/>
      <c r="CD153" s="84"/>
      <c r="CE153" s="84"/>
      <c r="CF153" s="35"/>
      <c r="CG153" s="34"/>
      <c r="CH153" s="34"/>
      <c r="CI153" s="34"/>
      <c r="CJ153" s="34"/>
      <c r="CK153" s="34"/>
      <c r="CL153" s="34"/>
      <c r="CM153" s="34"/>
      <c r="CN153" s="34"/>
      <c r="CO153" s="35"/>
      <c r="CP153" s="35"/>
      <c r="CQ153" s="35"/>
      <c r="CR153" s="84"/>
      <c r="CS153" s="84"/>
      <c r="CT153" s="84"/>
      <c r="CU153" s="84"/>
      <c r="CV153" s="35"/>
      <c r="CW153" s="84"/>
      <c r="CX153" s="35"/>
      <c r="CY153" s="35"/>
      <c r="CZ153" s="35"/>
      <c r="DA153" s="35"/>
      <c r="DB153" s="35"/>
      <c r="DC153" s="84"/>
      <c r="DD153" s="35"/>
      <c r="DE153" s="35"/>
      <c r="DF153" s="35"/>
      <c r="DG153" s="35"/>
      <c r="DH153" s="35"/>
      <c r="DI153" s="84"/>
      <c r="DJ153" s="35"/>
      <c r="DK153" s="35"/>
      <c r="DL153" s="35"/>
      <c r="DM153" s="35"/>
      <c r="DN153" s="35"/>
      <c r="DO153" s="84"/>
      <c r="DP153" s="35"/>
      <c r="DQ153" s="35"/>
      <c r="DR153" s="35"/>
      <c r="DS153" s="35"/>
      <c r="DT153" s="35"/>
      <c r="DU153" s="84"/>
      <c r="DV153" s="35"/>
      <c r="DW153" s="35"/>
      <c r="DX153" s="35"/>
      <c r="DY153" s="35"/>
      <c r="DZ153" s="35"/>
      <c r="EA153" s="84"/>
      <c r="EB153" s="35"/>
      <c r="EC153" s="35"/>
      <c r="ED153" s="35"/>
      <c r="EE153" s="35"/>
      <c r="EF153" s="35"/>
      <c r="EG153" s="84"/>
      <c r="EH153" s="35"/>
      <c r="EI153" s="35"/>
      <c r="EJ153" s="35"/>
      <c r="EK153" s="35"/>
      <c r="EL153" s="35"/>
      <c r="EM153" s="84"/>
      <c r="EN153" s="35"/>
      <c r="EO153" s="35"/>
      <c r="EP153" s="35"/>
      <c r="EQ153" s="35"/>
      <c r="ER153" s="35"/>
      <c r="ES153" s="84"/>
      <c r="ET153" s="35"/>
      <c r="EU153" s="35"/>
      <c r="EV153" s="35"/>
      <c r="EW153" s="35"/>
      <c r="EX153" s="35"/>
      <c r="EY153" s="84"/>
      <c r="EZ153" s="35"/>
      <c r="FA153" s="35"/>
      <c r="FB153" s="35"/>
      <c r="FC153" s="35"/>
      <c r="FD153" s="35"/>
      <c r="FE153" s="84"/>
      <c r="FF153" s="84"/>
      <c r="FG153" s="35"/>
      <c r="FH153" s="35"/>
      <c r="FI153" s="35"/>
      <c r="FJ153" s="35"/>
      <c r="FK153" s="84"/>
      <c r="FL153" s="35"/>
      <c r="FM153" s="35"/>
      <c r="FN153" s="35"/>
      <c r="FO153" s="35"/>
      <c r="FP153" s="35"/>
      <c r="FQ153" s="84"/>
      <c r="FR153" s="35"/>
      <c r="FS153" s="35"/>
      <c r="FT153" s="35"/>
      <c r="FU153" s="35"/>
      <c r="FV153" s="35"/>
      <c r="FW153" s="35"/>
      <c r="FX153" s="84"/>
      <c r="FY153" s="84"/>
      <c r="FZ153" s="84"/>
      <c r="GA153" s="84"/>
      <c r="GB153" s="84"/>
      <c r="GC153" s="84"/>
      <c r="GD153" s="84"/>
      <c r="GE153" s="84"/>
      <c r="GF153" s="84"/>
      <c r="GG153" s="84"/>
      <c r="GH153" s="84"/>
      <c r="GI153" s="84"/>
      <c r="GJ153" s="84"/>
      <c r="GK153" s="84"/>
      <c r="GL153" s="84"/>
      <c r="GM153" s="84"/>
      <c r="GN153" s="84"/>
      <c r="GO153" s="84"/>
      <c r="GP153" s="84"/>
      <c r="GQ153" s="84"/>
      <c r="GR153" s="84"/>
      <c r="GS153" s="84"/>
      <c r="GT153" s="84"/>
      <c r="GU153" s="84"/>
      <c r="GV153" s="84"/>
      <c r="GW153" s="84"/>
      <c r="GX153" s="84"/>
      <c r="GY153" s="84"/>
      <c r="GZ153" s="84"/>
      <c r="HA153" s="84"/>
      <c r="HB153" s="84"/>
      <c r="HC153" s="84"/>
      <c r="HD153" s="35"/>
      <c r="HE153" s="35"/>
      <c r="HF153" s="35"/>
      <c r="HG153" s="35"/>
      <c r="HH153" s="35"/>
      <c r="HI153" s="84"/>
      <c r="HJ153" s="84"/>
      <c r="HK153" s="84"/>
      <c r="HL153" s="55" t="s">
        <v>187</v>
      </c>
      <c r="HM153" s="55" t="s">
        <v>187</v>
      </c>
      <c r="HN153" s="55" t="s">
        <v>30</v>
      </c>
      <c r="HO153" s="55" t="s">
        <v>31</v>
      </c>
      <c r="HP153" s="55" t="s">
        <v>32</v>
      </c>
      <c r="HQ153" s="56" t="s">
        <v>188</v>
      </c>
      <c r="HR153" s="56" t="s">
        <v>189</v>
      </c>
      <c r="HS153" s="56" t="s">
        <v>189</v>
      </c>
      <c r="HT153" s="56" t="s">
        <v>190</v>
      </c>
      <c r="HU153" s="56" t="s">
        <v>191</v>
      </c>
      <c r="HV153" s="57" t="s">
        <v>192</v>
      </c>
      <c r="HW153" s="57" t="s">
        <v>192</v>
      </c>
      <c r="HX153" s="57" t="s">
        <v>193</v>
      </c>
      <c r="HY153" s="57" t="s">
        <v>193</v>
      </c>
      <c r="HZ153" s="57" t="s">
        <v>194</v>
      </c>
      <c r="IA153" s="57" t="s">
        <v>195</v>
      </c>
      <c r="IB153" s="58" t="s">
        <v>196</v>
      </c>
      <c r="IC153" s="58" t="s">
        <v>197</v>
      </c>
      <c r="ID153" s="58" t="s">
        <v>198</v>
      </c>
      <c r="IE153" s="58" t="s">
        <v>199</v>
      </c>
      <c r="IF153" s="42" t="s">
        <v>33</v>
      </c>
      <c r="IG153" s="42" t="s">
        <v>34</v>
      </c>
      <c r="IH153" s="42" t="s">
        <v>35</v>
      </c>
      <c r="II153" s="42" t="s">
        <v>35</v>
      </c>
      <c r="IJ153" s="42" t="s">
        <v>36</v>
      </c>
      <c r="IK153" s="59" t="s">
        <v>200</v>
      </c>
      <c r="IL153" s="59" t="s">
        <v>201</v>
      </c>
      <c r="IM153" s="59" t="s">
        <v>202</v>
      </c>
      <c r="IN153" s="59" t="s">
        <v>203</v>
      </c>
      <c r="IO153" s="35"/>
      <c r="IP153" s="84"/>
      <c r="IQ153" s="84"/>
      <c r="IR153" s="84"/>
      <c r="IS153" s="84"/>
      <c r="IT153" s="84"/>
      <c r="IU153" s="84"/>
      <c r="IV153" s="84"/>
      <c r="IW153" s="84"/>
    </row>
    <row r="154" spans="2:257" s="28" customFormat="1" ht="15" thickBot="1">
      <c r="B154" s="30">
        <f t="shared" si="150"/>
        <v>6.1599999999999966</v>
      </c>
      <c r="C154" s="92" t="s">
        <v>133</v>
      </c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  <c r="BC154" s="84"/>
      <c r="BD154" s="84"/>
      <c r="BE154" s="84"/>
      <c r="BF154" s="84"/>
      <c r="BG154" s="84"/>
      <c r="BH154" s="84"/>
      <c r="BI154" s="84"/>
      <c r="BJ154" s="84"/>
      <c r="BK154" s="84"/>
      <c r="BL154" s="84"/>
      <c r="BM154" s="84"/>
      <c r="BN154" s="84"/>
      <c r="BO154" s="84"/>
      <c r="BP154" s="84"/>
      <c r="BQ154" s="84"/>
      <c r="BR154" s="84"/>
      <c r="BS154" s="84"/>
      <c r="BT154" s="84"/>
      <c r="BU154" s="84"/>
      <c r="BV154" s="84"/>
      <c r="BW154" s="84"/>
      <c r="BX154" s="84"/>
      <c r="BY154" s="84"/>
      <c r="BZ154" s="84"/>
      <c r="CA154" s="84"/>
      <c r="CB154" s="84"/>
      <c r="CC154" s="84"/>
      <c r="CD154" s="84"/>
      <c r="CE154" s="84"/>
      <c r="CF154" s="35"/>
      <c r="CG154" s="34"/>
      <c r="CH154" s="34"/>
      <c r="CI154" s="34"/>
      <c r="CJ154" s="34"/>
      <c r="CK154" s="34"/>
      <c r="CL154" s="34"/>
      <c r="CM154" s="34"/>
      <c r="CN154" s="34"/>
      <c r="CO154" s="35"/>
      <c r="CP154" s="35"/>
      <c r="CQ154" s="35"/>
      <c r="CR154" s="84"/>
      <c r="CS154" s="84"/>
      <c r="CT154" s="84"/>
      <c r="CU154" s="84"/>
      <c r="CV154" s="35"/>
      <c r="CW154" s="84"/>
      <c r="CX154" s="35"/>
      <c r="CY154" s="35"/>
      <c r="CZ154" s="35"/>
      <c r="DA154" s="35"/>
      <c r="DB154" s="35"/>
      <c r="DC154" s="84"/>
      <c r="DD154" s="35"/>
      <c r="DE154" s="35"/>
      <c r="DF154" s="35"/>
      <c r="DG154" s="35"/>
      <c r="DH154" s="35"/>
      <c r="DI154" s="84"/>
      <c r="DJ154" s="35"/>
      <c r="DK154" s="35"/>
      <c r="DL154" s="35"/>
      <c r="DM154" s="35"/>
      <c r="DN154" s="35"/>
      <c r="DO154" s="84"/>
      <c r="DP154" s="35"/>
      <c r="DQ154" s="35"/>
      <c r="DR154" s="35"/>
      <c r="DS154" s="35"/>
      <c r="DT154" s="35"/>
      <c r="DU154" s="84"/>
      <c r="DV154" s="35"/>
      <c r="DW154" s="35"/>
      <c r="DX154" s="35"/>
      <c r="DY154" s="35"/>
      <c r="DZ154" s="35"/>
      <c r="EA154" s="84"/>
      <c r="EB154" s="35"/>
      <c r="EC154" s="35"/>
      <c r="ED154" s="35"/>
      <c r="EE154" s="35"/>
      <c r="EF154" s="35"/>
      <c r="EG154" s="84"/>
      <c r="EH154" s="35"/>
      <c r="EI154" s="35"/>
      <c r="EJ154" s="35"/>
      <c r="EK154" s="35"/>
      <c r="EL154" s="35"/>
      <c r="EM154" s="84"/>
      <c r="EN154" s="35"/>
      <c r="EO154" s="35"/>
      <c r="EP154" s="35"/>
      <c r="EQ154" s="35"/>
      <c r="ER154" s="35"/>
      <c r="ES154" s="84"/>
      <c r="ET154" s="35"/>
      <c r="EU154" s="35"/>
      <c r="EV154" s="35"/>
      <c r="EW154" s="35"/>
      <c r="EX154" s="35"/>
      <c r="EY154" s="84"/>
      <c r="EZ154" s="35"/>
      <c r="FA154" s="35"/>
      <c r="FB154" s="35"/>
      <c r="FC154" s="35"/>
      <c r="FD154" s="35"/>
      <c r="FE154" s="84"/>
      <c r="FF154" s="84"/>
      <c r="FG154" s="35"/>
      <c r="FH154" s="35"/>
      <c r="FI154" s="35"/>
      <c r="FJ154" s="35"/>
      <c r="FK154" s="84"/>
      <c r="FL154" s="35"/>
      <c r="FM154" s="35"/>
      <c r="FN154" s="35"/>
      <c r="FO154" s="35"/>
      <c r="FP154" s="35"/>
      <c r="FQ154" s="84"/>
      <c r="FR154" s="35"/>
      <c r="FS154" s="35"/>
      <c r="FT154" s="35"/>
      <c r="FU154" s="35"/>
      <c r="FV154" s="35"/>
      <c r="FW154" s="84"/>
      <c r="FX154" s="84"/>
      <c r="FY154" s="84"/>
      <c r="FZ154" s="84"/>
      <c r="GA154" s="84"/>
      <c r="GB154" s="84"/>
      <c r="GC154" s="84"/>
      <c r="GD154" s="84"/>
      <c r="GE154" s="84"/>
      <c r="GF154" s="84"/>
      <c r="GG154" s="84"/>
      <c r="GH154" s="84"/>
      <c r="GI154" s="84"/>
      <c r="GJ154" s="84"/>
      <c r="GK154" s="84"/>
      <c r="GL154" s="84"/>
      <c r="GM154" s="84"/>
      <c r="GN154" s="84"/>
      <c r="GO154" s="84"/>
      <c r="GP154" s="84"/>
      <c r="GQ154" s="84"/>
      <c r="GR154" s="84"/>
      <c r="GS154" s="84"/>
      <c r="GT154" s="84"/>
      <c r="GU154" s="84"/>
      <c r="GV154" s="84"/>
      <c r="GW154" s="84"/>
      <c r="GX154" s="84"/>
      <c r="GY154" s="84"/>
      <c r="GZ154" s="84"/>
      <c r="HA154" s="84"/>
      <c r="HB154" s="84"/>
      <c r="HC154" s="35"/>
      <c r="HD154" s="35"/>
      <c r="HE154" s="35"/>
      <c r="HF154" s="35"/>
      <c r="HG154" s="35"/>
      <c r="HH154" s="84"/>
      <c r="HI154" s="84"/>
      <c r="HJ154" s="84"/>
      <c r="HK154" s="35"/>
      <c r="HL154" s="84"/>
      <c r="HM154" s="84"/>
      <c r="HN154" s="55" t="s">
        <v>187</v>
      </c>
      <c r="HO154" s="55" t="s">
        <v>30</v>
      </c>
      <c r="HP154" s="55" t="s">
        <v>31</v>
      </c>
      <c r="HQ154" s="55" t="s">
        <v>32</v>
      </c>
      <c r="HR154" s="56" t="s">
        <v>188</v>
      </c>
      <c r="HS154" s="56" t="s">
        <v>188</v>
      </c>
      <c r="HT154" s="56" t="s">
        <v>189</v>
      </c>
      <c r="HU154" s="56" t="s">
        <v>190</v>
      </c>
      <c r="HV154" s="56" t="s">
        <v>191</v>
      </c>
      <c r="HW154" s="56" t="s">
        <v>191</v>
      </c>
      <c r="HX154" s="57" t="s">
        <v>192</v>
      </c>
      <c r="HY154" s="57" t="s">
        <v>192</v>
      </c>
      <c r="HZ154" s="57" t="s">
        <v>193</v>
      </c>
      <c r="IA154" s="57" t="s">
        <v>194</v>
      </c>
      <c r="IB154" s="57" t="s">
        <v>195</v>
      </c>
      <c r="IC154" s="58" t="s">
        <v>196</v>
      </c>
      <c r="ID154" s="58" t="s">
        <v>197</v>
      </c>
      <c r="IE154" s="58" t="s">
        <v>198</v>
      </c>
      <c r="IF154" s="58" t="s">
        <v>199</v>
      </c>
      <c r="IG154" s="42" t="s">
        <v>33</v>
      </c>
      <c r="IH154" s="42" t="s">
        <v>34</v>
      </c>
      <c r="II154" s="42" t="s">
        <v>34</v>
      </c>
      <c r="IJ154" s="42" t="s">
        <v>35</v>
      </c>
      <c r="IK154" s="42" t="s">
        <v>36</v>
      </c>
      <c r="IL154" s="59" t="s">
        <v>200</v>
      </c>
      <c r="IM154" s="59" t="s">
        <v>201</v>
      </c>
      <c r="IN154" s="59" t="s">
        <v>202</v>
      </c>
      <c r="IO154" s="59" t="s">
        <v>203</v>
      </c>
      <c r="IP154" s="84"/>
      <c r="IQ154" s="84"/>
      <c r="IR154" s="84"/>
      <c r="IS154" s="84"/>
      <c r="IT154" s="84"/>
      <c r="IU154" s="84"/>
      <c r="IV154" s="84"/>
      <c r="IW154" s="84"/>
    </row>
    <row r="155" spans="2:257" s="6" customFormat="1">
      <c r="B155" s="21"/>
      <c r="D155" s="22"/>
      <c r="E155" s="23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CI155" s="24"/>
      <c r="CJ155" s="24"/>
      <c r="CK155" s="24"/>
      <c r="CL155" s="24"/>
      <c r="CM155" s="24"/>
      <c r="CN155" s="24"/>
      <c r="CU155" s="24"/>
      <c r="CV155" s="24"/>
      <c r="CW155" s="24"/>
      <c r="CX155" s="24"/>
      <c r="CY155" s="24"/>
      <c r="CZ155" s="24"/>
      <c r="DE155" s="24"/>
      <c r="DF155" s="24"/>
      <c r="DG155" s="24"/>
      <c r="DH155" s="24"/>
      <c r="DI155" s="24"/>
      <c r="DJ155" s="24"/>
      <c r="DP155" s="24"/>
      <c r="DQ155" s="24"/>
      <c r="DR155" s="24"/>
      <c r="DS155" s="24"/>
      <c r="DT155" s="24"/>
      <c r="DU155" s="24"/>
    </row>
    <row r="156" spans="2:257" s="6" customFormat="1">
      <c r="B156" s="21"/>
      <c r="D156" s="22"/>
      <c r="E156" s="23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CI156" s="24"/>
      <c r="CJ156" s="24"/>
      <c r="CK156" s="24"/>
      <c r="CL156" s="24"/>
      <c r="CM156" s="24"/>
      <c r="CN156" s="24"/>
      <c r="CU156" s="24"/>
      <c r="CV156" s="24"/>
      <c r="CW156" s="24"/>
      <c r="CX156" s="24"/>
      <c r="CY156" s="24"/>
      <c r="CZ156" s="24"/>
      <c r="DE156" s="24"/>
      <c r="DF156" s="24"/>
      <c r="DG156" s="24"/>
      <c r="DH156" s="24"/>
      <c r="DI156" s="24"/>
      <c r="DJ156" s="24"/>
      <c r="DP156" s="24"/>
      <c r="DQ156" s="24"/>
      <c r="DR156" s="24"/>
      <c r="DS156" s="24"/>
      <c r="DT156" s="24"/>
      <c r="DU156" s="24"/>
    </row>
    <row r="157" spans="2:257" s="6" customFormat="1">
      <c r="B157" s="21"/>
      <c r="D157" s="22"/>
      <c r="E157" s="23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CI157" s="24"/>
      <c r="CJ157" s="24"/>
      <c r="CK157" s="24"/>
      <c r="CL157" s="24"/>
      <c r="CM157" s="24"/>
      <c r="CN157" s="24"/>
      <c r="CU157" s="24"/>
      <c r="CV157" s="24"/>
      <c r="CW157" s="24"/>
      <c r="CX157" s="24"/>
      <c r="CY157" s="24"/>
      <c r="CZ157" s="24"/>
      <c r="DE157" s="24"/>
      <c r="DF157" s="24"/>
      <c r="DG157" s="24"/>
      <c r="DH157" s="24"/>
      <c r="DI157" s="24"/>
      <c r="DJ157" s="24"/>
      <c r="DP157" s="24"/>
      <c r="DQ157" s="24"/>
      <c r="DR157" s="24"/>
      <c r="DS157" s="24"/>
      <c r="DT157" s="24"/>
      <c r="DU157" s="24"/>
    </row>
    <row r="158" spans="2:257" s="6" customFormat="1">
      <c r="B158" s="21"/>
      <c r="D158" s="22"/>
      <c r="E158" s="23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CI158" s="24"/>
      <c r="CJ158" s="24"/>
      <c r="CK158" s="24"/>
      <c r="CL158" s="24"/>
      <c r="CM158" s="24"/>
      <c r="CN158" s="24"/>
      <c r="CU158" s="24"/>
      <c r="CV158" s="24"/>
      <c r="CW158" s="24"/>
      <c r="CX158" s="24"/>
      <c r="CY158" s="24"/>
      <c r="CZ158" s="24"/>
      <c r="DE158" s="24"/>
      <c r="DF158" s="24"/>
      <c r="DG158" s="24"/>
      <c r="DH158" s="24"/>
      <c r="DI158" s="24"/>
      <c r="DJ158" s="24"/>
      <c r="DP158" s="24"/>
      <c r="DQ158" s="24"/>
      <c r="DR158" s="24"/>
      <c r="DS158" s="24"/>
      <c r="DT158" s="24"/>
      <c r="DU158" s="24"/>
    </row>
    <row r="159" spans="2:257" s="6" customFormat="1">
      <c r="B159" s="21"/>
      <c r="D159" s="22"/>
      <c r="E159" s="23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CI159" s="24"/>
      <c r="CJ159" s="24"/>
      <c r="CK159" s="24"/>
      <c r="CL159" s="24"/>
      <c r="CM159" s="24"/>
      <c r="CN159" s="24"/>
      <c r="CU159" s="24"/>
      <c r="CV159" s="24"/>
      <c r="CW159" s="24"/>
      <c r="CX159" s="24"/>
      <c r="CY159" s="24"/>
      <c r="CZ159" s="24"/>
      <c r="DE159" s="24"/>
      <c r="DF159" s="24"/>
      <c r="DG159" s="24"/>
      <c r="DH159" s="24"/>
      <c r="DI159" s="24"/>
      <c r="DJ159" s="24"/>
      <c r="DP159" s="24"/>
      <c r="DQ159" s="24"/>
      <c r="DR159" s="24"/>
      <c r="DS159" s="24"/>
      <c r="DT159" s="24"/>
      <c r="DU159" s="24"/>
    </row>
    <row r="160" spans="2:257" s="6" customFormat="1">
      <c r="B160" s="21"/>
      <c r="D160" s="22"/>
      <c r="E160" s="23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CI160" s="24"/>
      <c r="CJ160" s="24"/>
      <c r="CK160" s="24"/>
      <c r="CL160" s="24"/>
      <c r="CM160" s="24"/>
      <c r="CN160" s="24"/>
      <c r="CU160" s="24"/>
      <c r="CV160" s="24"/>
      <c r="CW160" s="24"/>
      <c r="CX160" s="24"/>
      <c r="CY160" s="24"/>
      <c r="CZ160" s="24"/>
      <c r="DE160" s="24"/>
      <c r="DF160" s="24"/>
      <c r="DG160" s="24"/>
      <c r="DH160" s="24"/>
      <c r="DI160" s="24"/>
      <c r="DJ160" s="24"/>
      <c r="DP160" s="24"/>
      <c r="DQ160" s="24"/>
      <c r="DR160" s="24"/>
      <c r="DS160" s="24"/>
      <c r="DT160" s="24"/>
      <c r="DU160" s="24"/>
    </row>
    <row r="161" spans="2:125" s="6" customFormat="1">
      <c r="B161" s="21"/>
      <c r="D161" s="22"/>
      <c r="E161" s="23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CI161" s="24"/>
      <c r="CJ161" s="24"/>
      <c r="CK161" s="24"/>
      <c r="CL161" s="24"/>
      <c r="CM161" s="24"/>
      <c r="CN161" s="24"/>
      <c r="CU161" s="24"/>
      <c r="CV161" s="24"/>
      <c r="CW161" s="24"/>
      <c r="CX161" s="24"/>
      <c r="CY161" s="24"/>
      <c r="CZ161" s="24"/>
      <c r="DE161" s="24"/>
      <c r="DF161" s="24"/>
      <c r="DG161" s="24"/>
      <c r="DH161" s="24"/>
      <c r="DI161" s="24"/>
      <c r="DJ161" s="24"/>
      <c r="DP161" s="24"/>
      <c r="DQ161" s="24"/>
      <c r="DR161" s="24"/>
      <c r="DS161" s="24"/>
      <c r="DT161" s="24"/>
      <c r="DU161" s="24"/>
    </row>
    <row r="162" spans="2:125" s="6" customFormat="1">
      <c r="B162" s="21"/>
      <c r="D162" s="22"/>
      <c r="E162" s="23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CI162" s="24"/>
      <c r="CJ162" s="24"/>
      <c r="CK162" s="24"/>
      <c r="CL162" s="24"/>
      <c r="CM162" s="24"/>
      <c r="CN162" s="24"/>
      <c r="CU162" s="24"/>
      <c r="CV162" s="24"/>
      <c r="CW162" s="24"/>
      <c r="CX162" s="24"/>
      <c r="CY162" s="24"/>
      <c r="CZ162" s="24"/>
      <c r="DE162" s="24"/>
      <c r="DF162" s="24"/>
      <c r="DG162" s="24"/>
      <c r="DH162" s="24"/>
      <c r="DI162" s="24"/>
      <c r="DJ162" s="24"/>
      <c r="DP162" s="24"/>
      <c r="DQ162" s="24"/>
      <c r="DR162" s="24"/>
      <c r="DS162" s="24"/>
      <c r="DT162" s="24"/>
      <c r="DU162" s="24"/>
    </row>
    <row r="163" spans="2:125" s="6" customFormat="1">
      <c r="B163" s="21"/>
      <c r="D163" s="22"/>
      <c r="E163" s="23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CI163" s="24"/>
      <c r="CJ163" s="24"/>
      <c r="CK163" s="24"/>
      <c r="CL163" s="24"/>
      <c r="CM163" s="24"/>
      <c r="CN163" s="24"/>
      <c r="CU163" s="24"/>
      <c r="CV163" s="24"/>
      <c r="CW163" s="24"/>
      <c r="CX163" s="24"/>
      <c r="CY163" s="24"/>
      <c r="CZ163" s="24"/>
      <c r="DE163" s="24"/>
      <c r="DF163" s="24"/>
      <c r="DG163" s="24"/>
      <c r="DH163" s="24"/>
      <c r="DI163" s="24"/>
      <c r="DJ163" s="24"/>
      <c r="DP163" s="24"/>
      <c r="DQ163" s="24"/>
      <c r="DR163" s="24"/>
      <c r="DS163" s="24"/>
      <c r="DT163" s="24"/>
      <c r="DU163" s="24"/>
    </row>
    <row r="164" spans="2:125" s="6" customFormat="1">
      <c r="B164" s="21"/>
      <c r="D164" s="22"/>
      <c r="E164" s="23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CI164" s="24"/>
      <c r="CJ164" s="24"/>
      <c r="CK164" s="24"/>
      <c r="CL164" s="24"/>
      <c r="CM164" s="24"/>
      <c r="CN164" s="24"/>
      <c r="CU164" s="24"/>
      <c r="CV164" s="24"/>
      <c r="CW164" s="24"/>
      <c r="CX164" s="24"/>
      <c r="CY164" s="24"/>
      <c r="CZ164" s="24"/>
      <c r="DE164" s="24"/>
      <c r="DF164" s="24"/>
      <c r="DG164" s="24"/>
      <c r="DH164" s="24"/>
      <c r="DI164" s="24"/>
      <c r="DJ164" s="24"/>
      <c r="DP164" s="24"/>
      <c r="DQ164" s="24"/>
      <c r="DR164" s="24"/>
      <c r="DS164" s="24"/>
      <c r="DT164" s="24"/>
      <c r="DU164" s="24"/>
    </row>
    <row r="165" spans="2:125" s="6" customFormat="1">
      <c r="B165" s="21"/>
      <c r="D165" s="22"/>
      <c r="E165" s="23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CI165" s="24"/>
      <c r="CJ165" s="24"/>
      <c r="CK165" s="24"/>
      <c r="CL165" s="24"/>
      <c r="CM165" s="24"/>
      <c r="CN165" s="24"/>
      <c r="CU165" s="24"/>
      <c r="CV165" s="24"/>
      <c r="CW165" s="24"/>
      <c r="CX165" s="24"/>
      <c r="CY165" s="24"/>
      <c r="CZ165" s="24"/>
      <c r="DE165" s="24"/>
      <c r="DF165" s="24"/>
      <c r="DG165" s="24"/>
      <c r="DH165" s="24"/>
      <c r="DI165" s="24"/>
      <c r="DJ165" s="24"/>
      <c r="DP165" s="24"/>
      <c r="DQ165" s="24"/>
      <c r="DR165" s="24"/>
      <c r="DS165" s="24"/>
      <c r="DT165" s="24"/>
      <c r="DU165" s="24"/>
    </row>
    <row r="166" spans="2:125" s="6" customFormat="1">
      <c r="B166" s="21"/>
      <c r="D166" s="22"/>
      <c r="E166" s="23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CD166" s="24"/>
      <c r="CE166" s="24"/>
      <c r="CF166" s="24"/>
      <c r="CG166" s="24"/>
      <c r="CH166" s="24"/>
      <c r="CI166" s="24"/>
      <c r="CP166" s="24"/>
      <c r="CQ166" s="24"/>
      <c r="CR166" s="24"/>
      <c r="CS166" s="24"/>
      <c r="CT166" s="24"/>
      <c r="CU166" s="24"/>
      <c r="DB166" s="24"/>
      <c r="DC166" s="24"/>
      <c r="DD166" s="24"/>
      <c r="DE166" s="24"/>
      <c r="DL166" s="24"/>
      <c r="DM166" s="24"/>
      <c r="DN166" s="24"/>
      <c r="DO166" s="24"/>
      <c r="DP166" s="24"/>
    </row>
    <row r="167" spans="2:125" s="6" customFormat="1">
      <c r="B167" s="21"/>
      <c r="D167" s="22"/>
      <c r="E167" s="23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CD167" s="24"/>
      <c r="CE167" s="24"/>
      <c r="CF167" s="24"/>
      <c r="CG167" s="24"/>
      <c r="CH167" s="24"/>
      <c r="CI167" s="24"/>
      <c r="CP167" s="24"/>
      <c r="CQ167" s="24"/>
      <c r="CR167" s="24"/>
      <c r="CS167" s="24"/>
      <c r="CT167" s="24"/>
      <c r="CU167" s="24"/>
      <c r="DB167" s="24"/>
      <c r="DC167" s="24"/>
      <c r="DD167" s="24"/>
      <c r="DE167" s="24"/>
      <c r="DL167" s="24"/>
      <c r="DM167" s="24"/>
      <c r="DN167" s="24"/>
      <c r="DO167" s="24"/>
      <c r="DP167" s="24"/>
    </row>
    <row r="168" spans="2:125" s="6" customFormat="1">
      <c r="B168" s="21"/>
      <c r="D168" s="22"/>
      <c r="E168" s="23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CD168" s="24"/>
      <c r="CE168" s="24"/>
      <c r="CF168" s="24"/>
      <c r="CG168" s="24"/>
      <c r="CH168" s="24"/>
      <c r="CI168" s="24"/>
      <c r="CP168" s="24"/>
      <c r="CQ168" s="24"/>
      <c r="CR168" s="24"/>
      <c r="CS168" s="24"/>
      <c r="CT168" s="24"/>
      <c r="CU168" s="24"/>
      <c r="DB168" s="24"/>
      <c r="DC168" s="24"/>
      <c r="DD168" s="24"/>
      <c r="DE168" s="24"/>
      <c r="DL168" s="24"/>
      <c r="DM168" s="24"/>
      <c r="DN168" s="24"/>
      <c r="DO168" s="24"/>
      <c r="DP168" s="24"/>
    </row>
    <row r="169" spans="2:125" s="6" customFormat="1">
      <c r="B169" s="21"/>
      <c r="D169" s="22"/>
      <c r="E169" s="23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CD169" s="24"/>
      <c r="CE169" s="24"/>
      <c r="CF169" s="24"/>
      <c r="CG169" s="24"/>
      <c r="CH169" s="24"/>
      <c r="CI169" s="24"/>
      <c r="CP169" s="24"/>
      <c r="CQ169" s="24"/>
      <c r="CR169" s="24"/>
      <c r="CS169" s="24"/>
      <c r="CT169" s="24"/>
      <c r="CU169" s="24"/>
      <c r="DB169" s="24"/>
      <c r="DC169" s="24"/>
      <c r="DD169" s="24"/>
      <c r="DE169" s="24"/>
      <c r="DL169" s="24"/>
      <c r="DM169" s="24"/>
      <c r="DN169" s="24"/>
      <c r="DO169" s="24"/>
      <c r="DP169" s="24"/>
    </row>
    <row r="170" spans="2:125" s="6" customFormat="1">
      <c r="B170" s="21"/>
      <c r="D170" s="22"/>
      <c r="E170" s="23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CD170" s="24"/>
      <c r="CE170" s="24"/>
      <c r="CF170" s="24"/>
      <c r="CG170" s="24"/>
      <c r="CH170" s="24"/>
      <c r="CI170" s="24"/>
      <c r="CP170" s="24"/>
      <c r="CQ170" s="24"/>
      <c r="CR170" s="24"/>
      <c r="CS170" s="24"/>
      <c r="CT170" s="24"/>
      <c r="CU170" s="24"/>
      <c r="DB170" s="24"/>
      <c r="DC170" s="24"/>
      <c r="DD170" s="24"/>
      <c r="DE170" s="24"/>
      <c r="DL170" s="24"/>
      <c r="DM170" s="24"/>
      <c r="DN170" s="24"/>
      <c r="DO170" s="24"/>
      <c r="DP170" s="24"/>
    </row>
    <row r="171" spans="2:125" s="6" customFormat="1">
      <c r="B171" s="21"/>
      <c r="D171" s="22"/>
      <c r="E171" s="23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CD171" s="24"/>
      <c r="CE171" s="24"/>
      <c r="CF171" s="24"/>
      <c r="CG171" s="24"/>
      <c r="CH171" s="24"/>
      <c r="CI171" s="24"/>
      <c r="CP171" s="24"/>
      <c r="CQ171" s="24"/>
      <c r="CR171" s="24"/>
      <c r="CS171" s="24"/>
      <c r="CT171" s="24"/>
      <c r="CU171" s="24"/>
      <c r="DB171" s="24"/>
      <c r="DC171" s="24"/>
      <c r="DD171" s="24"/>
      <c r="DE171" s="24"/>
      <c r="DL171" s="24"/>
      <c r="DM171" s="24"/>
      <c r="DN171" s="24"/>
      <c r="DO171" s="24"/>
      <c r="DP171" s="24"/>
    </row>
    <row r="172" spans="2:125" s="6" customFormat="1">
      <c r="B172" s="21"/>
      <c r="D172" s="22"/>
      <c r="E172" s="23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CD172" s="24"/>
      <c r="CE172" s="24"/>
      <c r="CF172" s="24"/>
      <c r="CG172" s="24"/>
      <c r="CH172" s="24"/>
      <c r="CI172" s="24"/>
      <c r="CP172" s="24"/>
      <c r="CQ172" s="24"/>
      <c r="CR172" s="24"/>
      <c r="CS172" s="24"/>
      <c r="CT172" s="24"/>
      <c r="CU172" s="24"/>
      <c r="DB172" s="24"/>
      <c r="DC172" s="24"/>
      <c r="DD172" s="24"/>
      <c r="DE172" s="24"/>
      <c r="DL172" s="24"/>
      <c r="DM172" s="24"/>
      <c r="DN172" s="24"/>
      <c r="DO172" s="24"/>
      <c r="DP172" s="24"/>
    </row>
    <row r="173" spans="2:125" s="6" customFormat="1">
      <c r="B173" s="21"/>
      <c r="D173" s="22"/>
      <c r="E173" s="23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CD173" s="24"/>
      <c r="CE173" s="24"/>
      <c r="CF173" s="24"/>
      <c r="CG173" s="24"/>
      <c r="CH173" s="24"/>
      <c r="CI173" s="24"/>
      <c r="CP173" s="24"/>
      <c r="CQ173" s="24"/>
      <c r="CR173" s="24"/>
      <c r="CS173" s="24"/>
      <c r="CT173" s="24"/>
      <c r="CU173" s="24"/>
      <c r="DB173" s="24"/>
      <c r="DC173" s="24"/>
      <c r="DD173" s="24"/>
      <c r="DE173" s="24"/>
      <c r="DL173" s="24"/>
      <c r="DM173" s="24"/>
      <c r="DN173" s="24"/>
      <c r="DO173" s="24"/>
      <c r="DP173" s="24"/>
    </row>
    <row r="174" spans="2:125" s="6" customFormat="1">
      <c r="B174" s="21"/>
      <c r="D174" s="22"/>
      <c r="E174" s="23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CD174" s="24"/>
      <c r="CE174" s="24"/>
      <c r="CF174" s="24"/>
      <c r="CG174" s="24"/>
      <c r="CH174" s="24"/>
      <c r="CI174" s="24"/>
      <c r="CP174" s="24"/>
      <c r="CQ174" s="24"/>
      <c r="CR174" s="24"/>
      <c r="CS174" s="24"/>
      <c r="CT174" s="24"/>
      <c r="CU174" s="24"/>
      <c r="DB174" s="24"/>
      <c r="DC174" s="24"/>
      <c r="DD174" s="24"/>
      <c r="DE174" s="24"/>
      <c r="DL174" s="24"/>
      <c r="DM174" s="24"/>
      <c r="DN174" s="24"/>
      <c r="DO174" s="24"/>
      <c r="DP174" s="24"/>
    </row>
    <row r="175" spans="2:125" s="6" customFormat="1">
      <c r="B175" s="21"/>
      <c r="D175" s="22"/>
      <c r="E175" s="23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CD175" s="24"/>
      <c r="CE175" s="24"/>
      <c r="CF175" s="24"/>
      <c r="CG175" s="24"/>
      <c r="CH175" s="24"/>
      <c r="CI175" s="24"/>
      <c r="CP175" s="24"/>
      <c r="CQ175" s="24"/>
      <c r="CR175" s="24"/>
      <c r="CS175" s="24"/>
      <c r="CT175" s="24"/>
      <c r="CU175" s="24"/>
      <c r="DB175" s="24"/>
      <c r="DC175" s="24"/>
      <c r="DD175" s="24"/>
      <c r="DE175" s="24"/>
      <c r="DL175" s="24"/>
      <c r="DM175" s="24"/>
      <c r="DN175" s="24"/>
      <c r="DO175" s="24"/>
      <c r="DP175" s="24"/>
    </row>
    <row r="176" spans="2:125" s="6" customFormat="1">
      <c r="B176" s="21"/>
      <c r="D176" s="22"/>
      <c r="E176" s="23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CD176" s="24"/>
      <c r="CE176" s="24"/>
      <c r="CF176" s="24"/>
      <c r="CG176" s="24"/>
      <c r="CH176" s="24"/>
      <c r="CI176" s="24"/>
      <c r="CP176" s="24"/>
      <c r="CQ176" s="24"/>
      <c r="CR176" s="24"/>
      <c r="CS176" s="24"/>
      <c r="CT176" s="24"/>
      <c r="CU176" s="24"/>
      <c r="DB176" s="24"/>
      <c r="DC176" s="24"/>
      <c r="DD176" s="24"/>
      <c r="DE176" s="24"/>
      <c r="DL176" s="24"/>
      <c r="DM176" s="24"/>
      <c r="DN176" s="24"/>
      <c r="DO176" s="24"/>
      <c r="DP176" s="24"/>
    </row>
    <row r="177" spans="2:120" s="6" customFormat="1">
      <c r="B177" s="21"/>
      <c r="D177" s="22"/>
      <c r="E177" s="23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CD177" s="24"/>
      <c r="CE177" s="24"/>
      <c r="CF177" s="24"/>
      <c r="CG177" s="24"/>
      <c r="CH177" s="24"/>
      <c r="CI177" s="24"/>
      <c r="CP177" s="24"/>
      <c r="CQ177" s="24"/>
      <c r="CR177" s="24"/>
      <c r="CS177" s="24"/>
      <c r="CT177" s="24"/>
      <c r="CU177" s="24"/>
      <c r="DB177" s="24"/>
      <c r="DC177" s="24"/>
      <c r="DD177" s="24"/>
      <c r="DE177" s="24"/>
      <c r="DL177" s="24"/>
      <c r="DM177" s="24"/>
      <c r="DN177" s="24"/>
      <c r="DO177" s="24"/>
      <c r="DP177" s="24"/>
    </row>
    <row r="178" spans="2:120" s="6" customFormat="1">
      <c r="B178" s="21"/>
      <c r="D178" s="22"/>
      <c r="E178" s="23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CD178" s="24"/>
      <c r="CE178" s="24"/>
      <c r="CF178" s="24"/>
      <c r="CG178" s="24"/>
      <c r="CH178" s="24"/>
      <c r="CI178" s="24"/>
      <c r="CP178" s="24"/>
      <c r="CQ178" s="24"/>
      <c r="CR178" s="24"/>
      <c r="CS178" s="24"/>
      <c r="CT178" s="24"/>
      <c r="CU178" s="24"/>
      <c r="DB178" s="24"/>
      <c r="DC178" s="24"/>
      <c r="DD178" s="24"/>
      <c r="DE178" s="24"/>
      <c r="DL178" s="24"/>
      <c r="DM178" s="24"/>
      <c r="DN178" s="24"/>
      <c r="DO178" s="24"/>
      <c r="DP178" s="24"/>
    </row>
    <row r="179" spans="2:120" s="6" customFormat="1">
      <c r="B179" s="21"/>
      <c r="D179" s="22"/>
      <c r="E179" s="23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CD179" s="24"/>
      <c r="CE179" s="24"/>
      <c r="CF179" s="24"/>
      <c r="CG179" s="24"/>
      <c r="CH179" s="24"/>
      <c r="CI179" s="24"/>
      <c r="CP179" s="24"/>
      <c r="CQ179" s="24"/>
      <c r="CR179" s="24"/>
      <c r="CS179" s="24"/>
      <c r="CT179" s="24"/>
      <c r="CU179" s="24"/>
      <c r="DB179" s="24"/>
      <c r="DC179" s="24"/>
      <c r="DD179" s="24"/>
      <c r="DE179" s="24"/>
      <c r="DL179" s="24"/>
      <c r="DM179" s="24"/>
      <c r="DN179" s="24"/>
      <c r="DO179" s="24"/>
      <c r="DP179" s="24"/>
    </row>
    <row r="180" spans="2:120" s="6" customFormat="1">
      <c r="B180" s="21"/>
      <c r="D180" s="22"/>
      <c r="E180" s="23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CD180" s="24"/>
      <c r="CE180" s="24"/>
      <c r="CF180" s="24"/>
      <c r="CG180" s="24"/>
      <c r="CH180" s="24"/>
      <c r="CI180" s="24"/>
      <c r="CP180" s="24"/>
      <c r="CQ180" s="24"/>
      <c r="CR180" s="24"/>
      <c r="CS180" s="24"/>
      <c r="CT180" s="24"/>
      <c r="CU180" s="24"/>
      <c r="DB180" s="24"/>
      <c r="DC180" s="24"/>
      <c r="DD180" s="24"/>
      <c r="DE180" s="24"/>
      <c r="DL180" s="24"/>
      <c r="DM180" s="24"/>
      <c r="DN180" s="24"/>
      <c r="DO180" s="24"/>
      <c r="DP180" s="24"/>
    </row>
    <row r="181" spans="2:120" s="6" customFormat="1">
      <c r="B181" s="21"/>
      <c r="D181" s="22"/>
      <c r="E181" s="23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CD181" s="24"/>
      <c r="CE181" s="24"/>
      <c r="CF181" s="24"/>
      <c r="CG181" s="24"/>
      <c r="CH181" s="24"/>
      <c r="CI181" s="24"/>
      <c r="CP181" s="24"/>
      <c r="CQ181" s="24"/>
      <c r="CR181" s="24"/>
      <c r="CS181" s="24"/>
      <c r="CT181" s="24"/>
      <c r="CU181" s="24"/>
      <c r="DB181" s="24"/>
      <c r="DC181" s="24"/>
      <c r="DD181" s="24"/>
      <c r="DE181" s="24"/>
      <c r="DL181" s="24"/>
      <c r="DM181" s="24"/>
      <c r="DN181" s="24"/>
      <c r="DO181" s="24"/>
      <c r="DP181" s="24"/>
    </row>
    <row r="182" spans="2:120" s="6" customFormat="1">
      <c r="B182" s="21"/>
      <c r="D182" s="22"/>
      <c r="E182" s="23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CD182" s="24"/>
      <c r="CE182" s="24"/>
      <c r="CF182" s="24"/>
      <c r="CG182" s="24"/>
      <c r="CH182" s="24"/>
      <c r="CI182" s="24"/>
      <c r="CP182" s="24"/>
      <c r="CQ182" s="24"/>
      <c r="CR182" s="24"/>
      <c r="CS182" s="24"/>
      <c r="CT182" s="24"/>
      <c r="CU182" s="24"/>
      <c r="DB182" s="24"/>
      <c r="DC182" s="24"/>
      <c r="DD182" s="24"/>
      <c r="DE182" s="24"/>
      <c r="DL182" s="24"/>
      <c r="DM182" s="24"/>
      <c r="DN182" s="24"/>
      <c r="DO182" s="24"/>
      <c r="DP182" s="24"/>
    </row>
    <row r="183" spans="2:120" s="6" customFormat="1">
      <c r="B183" s="21"/>
      <c r="D183" s="22"/>
      <c r="E183" s="23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CD183" s="24"/>
      <c r="CE183" s="24"/>
      <c r="CF183" s="24"/>
      <c r="CG183" s="24"/>
      <c r="CH183" s="24"/>
      <c r="CI183" s="24"/>
      <c r="CP183" s="24"/>
      <c r="CQ183" s="24"/>
      <c r="CR183" s="24"/>
      <c r="CS183" s="24"/>
      <c r="CT183" s="24"/>
      <c r="CU183" s="24"/>
      <c r="DB183" s="24"/>
      <c r="DC183" s="24"/>
      <c r="DD183" s="24"/>
      <c r="DE183" s="24"/>
      <c r="DL183" s="24"/>
      <c r="DM183" s="24"/>
      <c r="DN183" s="24"/>
      <c r="DO183" s="24"/>
      <c r="DP183" s="24"/>
    </row>
    <row r="184" spans="2:120" s="6" customFormat="1">
      <c r="B184" s="21"/>
      <c r="D184" s="22"/>
      <c r="E184" s="23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CD184" s="24"/>
      <c r="CE184" s="24"/>
      <c r="CF184" s="24"/>
      <c r="CG184" s="24"/>
      <c r="CH184" s="24"/>
      <c r="CI184" s="24"/>
      <c r="CP184" s="24"/>
      <c r="CQ184" s="24"/>
      <c r="CR184" s="24"/>
      <c r="CS184" s="24"/>
      <c r="CT184" s="24"/>
      <c r="CU184" s="24"/>
      <c r="DB184" s="24"/>
      <c r="DC184" s="24"/>
      <c r="DD184" s="24"/>
      <c r="DE184" s="24"/>
      <c r="DL184" s="24"/>
      <c r="DM184" s="24"/>
      <c r="DN184" s="24"/>
      <c r="DO184" s="24"/>
      <c r="DP184" s="24"/>
    </row>
    <row r="185" spans="2:120" s="6" customFormat="1">
      <c r="B185" s="21"/>
      <c r="D185" s="22"/>
      <c r="E185" s="23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CD185" s="24"/>
      <c r="CE185" s="24"/>
      <c r="CF185" s="24"/>
      <c r="CG185" s="24"/>
      <c r="CH185" s="24"/>
      <c r="CI185" s="24"/>
      <c r="CP185" s="24"/>
      <c r="CQ185" s="24"/>
      <c r="CR185" s="24"/>
      <c r="CS185" s="24"/>
      <c r="CT185" s="24"/>
      <c r="CU185" s="24"/>
      <c r="DB185" s="24"/>
      <c r="DC185" s="24"/>
      <c r="DD185" s="24"/>
      <c r="DE185" s="24"/>
      <c r="DL185" s="24"/>
      <c r="DM185" s="24"/>
      <c r="DN185" s="24"/>
      <c r="DO185" s="24"/>
      <c r="DP185" s="24"/>
    </row>
    <row r="186" spans="2:120" s="6" customFormat="1">
      <c r="B186" s="21"/>
      <c r="D186" s="22"/>
      <c r="E186" s="23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CD186" s="24"/>
      <c r="CE186" s="24"/>
      <c r="CF186" s="24"/>
      <c r="CG186" s="24"/>
      <c r="CH186" s="24"/>
      <c r="CI186" s="24"/>
      <c r="CP186" s="24"/>
      <c r="CQ186" s="24"/>
      <c r="CR186" s="24"/>
      <c r="CS186" s="24"/>
      <c r="CT186" s="24"/>
      <c r="CU186" s="24"/>
      <c r="DB186" s="24"/>
      <c r="DC186" s="24"/>
      <c r="DD186" s="24"/>
      <c r="DE186" s="24"/>
      <c r="DL186" s="24"/>
      <c r="DM186" s="24"/>
      <c r="DN186" s="24"/>
      <c r="DO186" s="24"/>
      <c r="DP186" s="24"/>
    </row>
    <row r="187" spans="2:120" s="6" customFormat="1">
      <c r="B187" s="21"/>
      <c r="D187" s="22"/>
      <c r="E187" s="23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CD187" s="24"/>
      <c r="CE187" s="24"/>
      <c r="CF187" s="24"/>
      <c r="CG187" s="24"/>
      <c r="CH187" s="24"/>
      <c r="CI187" s="24"/>
      <c r="CP187" s="24"/>
      <c r="CQ187" s="24"/>
      <c r="CR187" s="24"/>
      <c r="CS187" s="24"/>
      <c r="CT187" s="24"/>
      <c r="CU187" s="24"/>
      <c r="DB187" s="24"/>
      <c r="DC187" s="24"/>
      <c r="DD187" s="24"/>
      <c r="DE187" s="24"/>
      <c r="DL187" s="24"/>
      <c r="DM187" s="24"/>
      <c r="DN187" s="24"/>
      <c r="DO187" s="24"/>
      <c r="DP187" s="24"/>
    </row>
    <row r="188" spans="2:120" s="6" customFormat="1">
      <c r="B188" s="21"/>
      <c r="D188" s="22"/>
      <c r="E188" s="23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CD188" s="24"/>
      <c r="CE188" s="24"/>
      <c r="CF188" s="24"/>
      <c r="CG188" s="24"/>
      <c r="CH188" s="24"/>
      <c r="CI188" s="24"/>
      <c r="CP188" s="24"/>
      <c r="CQ188" s="24"/>
      <c r="CR188" s="24"/>
      <c r="CS188" s="24"/>
      <c r="CT188" s="24"/>
      <c r="CU188" s="24"/>
      <c r="DB188" s="24"/>
      <c r="DC188" s="24"/>
      <c r="DD188" s="24"/>
      <c r="DE188" s="24"/>
      <c r="DL188" s="24"/>
      <c r="DM188" s="24"/>
      <c r="DN188" s="24"/>
      <c r="DO188" s="24"/>
      <c r="DP188" s="24"/>
    </row>
    <row r="189" spans="2:120" s="6" customFormat="1">
      <c r="B189" s="21"/>
      <c r="D189" s="22"/>
      <c r="E189" s="23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CD189" s="24"/>
      <c r="CE189" s="24"/>
      <c r="CF189" s="24"/>
      <c r="CG189" s="24"/>
      <c r="CH189" s="24"/>
      <c r="CI189" s="24"/>
      <c r="CP189" s="24"/>
      <c r="CQ189" s="24"/>
      <c r="CR189" s="24"/>
      <c r="CS189" s="24"/>
      <c r="CT189" s="24"/>
      <c r="CU189" s="24"/>
      <c r="DB189" s="24"/>
      <c r="DC189" s="24"/>
      <c r="DD189" s="24"/>
      <c r="DE189" s="24"/>
      <c r="DL189" s="24"/>
      <c r="DM189" s="24"/>
      <c r="DN189" s="24"/>
      <c r="DO189" s="24"/>
      <c r="DP189" s="24"/>
    </row>
    <row r="190" spans="2:120" s="6" customFormat="1">
      <c r="B190" s="21"/>
      <c r="D190" s="22"/>
      <c r="E190" s="23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CD190" s="24"/>
      <c r="CE190" s="24"/>
      <c r="CF190" s="24"/>
      <c r="CG190" s="24"/>
      <c r="CH190" s="24"/>
      <c r="CI190" s="24"/>
      <c r="CP190" s="24"/>
      <c r="CQ190" s="24"/>
      <c r="CR190" s="24"/>
      <c r="CS190" s="24"/>
      <c r="CT190" s="24"/>
      <c r="CU190" s="24"/>
      <c r="DB190" s="24"/>
      <c r="DC190" s="24"/>
      <c r="DD190" s="24"/>
      <c r="DE190" s="24"/>
      <c r="DL190" s="24"/>
      <c r="DM190" s="24"/>
      <c r="DN190" s="24"/>
      <c r="DO190" s="24"/>
      <c r="DP190" s="24"/>
    </row>
    <row r="191" spans="2:120" s="6" customFormat="1">
      <c r="B191" s="21"/>
      <c r="D191" s="22"/>
      <c r="E191" s="23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CD191" s="24"/>
      <c r="CE191" s="24"/>
      <c r="CF191" s="24"/>
      <c r="CG191" s="24"/>
      <c r="CH191" s="24"/>
      <c r="CI191" s="24"/>
      <c r="CP191" s="24"/>
      <c r="CQ191" s="24"/>
      <c r="CR191" s="24"/>
      <c r="CS191" s="24"/>
      <c r="CT191" s="24"/>
      <c r="CU191" s="24"/>
      <c r="DB191" s="24"/>
      <c r="DC191" s="24"/>
      <c r="DD191" s="24"/>
      <c r="DE191" s="24"/>
      <c r="DL191" s="24"/>
      <c r="DM191" s="24"/>
      <c r="DN191" s="24"/>
      <c r="DO191" s="24"/>
      <c r="DP191" s="24"/>
    </row>
    <row r="192" spans="2:120" s="6" customFormat="1">
      <c r="B192" s="21"/>
      <c r="D192" s="22"/>
      <c r="E192" s="23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CD192" s="24"/>
      <c r="CE192" s="24"/>
      <c r="CF192" s="24"/>
      <c r="CG192" s="24"/>
      <c r="CH192" s="24"/>
      <c r="CI192" s="24"/>
      <c r="CP192" s="24"/>
      <c r="CQ192" s="24"/>
      <c r="CR192" s="24"/>
      <c r="CS192" s="24"/>
      <c r="CT192" s="24"/>
      <c r="CU192" s="24"/>
      <c r="DB192" s="24"/>
      <c r="DC192" s="24"/>
      <c r="DD192" s="24"/>
      <c r="DE192" s="24"/>
      <c r="DL192" s="24"/>
      <c r="DM192" s="24"/>
      <c r="DN192" s="24"/>
      <c r="DO192" s="24"/>
      <c r="DP192" s="24"/>
    </row>
    <row r="193" spans="2:120" s="6" customFormat="1">
      <c r="B193" s="21"/>
      <c r="D193" s="22"/>
      <c r="E193" s="23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CD193" s="24"/>
      <c r="CE193" s="24"/>
      <c r="CF193" s="24"/>
      <c r="CG193" s="24"/>
      <c r="CH193" s="24"/>
      <c r="CI193" s="24"/>
      <c r="CP193" s="24"/>
      <c r="CQ193" s="24"/>
      <c r="CR193" s="24"/>
      <c r="CS193" s="24"/>
      <c r="CT193" s="24"/>
      <c r="CU193" s="24"/>
      <c r="DB193" s="24"/>
      <c r="DC193" s="24"/>
      <c r="DD193" s="24"/>
      <c r="DE193" s="24"/>
      <c r="DL193" s="24"/>
      <c r="DM193" s="24"/>
      <c r="DN193" s="24"/>
      <c r="DO193" s="24"/>
      <c r="DP193" s="24"/>
    </row>
    <row r="194" spans="2:120" s="6" customFormat="1">
      <c r="B194" s="21"/>
      <c r="D194" s="22"/>
      <c r="E194" s="23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CD194" s="24"/>
      <c r="CE194" s="24"/>
      <c r="CF194" s="24"/>
      <c r="CG194" s="24"/>
      <c r="CH194" s="24"/>
      <c r="CI194" s="24"/>
      <c r="CP194" s="24"/>
      <c r="CQ194" s="24"/>
      <c r="CR194" s="24"/>
      <c r="CS194" s="24"/>
      <c r="CT194" s="24"/>
      <c r="CU194" s="24"/>
      <c r="DB194" s="24"/>
      <c r="DC194" s="24"/>
      <c r="DD194" s="24"/>
      <c r="DE194" s="24"/>
      <c r="DL194" s="24"/>
      <c r="DM194" s="24"/>
      <c r="DN194" s="24"/>
      <c r="DO194" s="24"/>
      <c r="DP194" s="24"/>
    </row>
    <row r="195" spans="2:120" s="6" customFormat="1">
      <c r="B195" s="21"/>
      <c r="D195" s="22"/>
      <c r="E195" s="23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CD195" s="24"/>
      <c r="CE195" s="24"/>
      <c r="CF195" s="24"/>
      <c r="CG195" s="24"/>
      <c r="CH195" s="24"/>
      <c r="CI195" s="24"/>
      <c r="CP195" s="24"/>
      <c r="CQ195" s="24"/>
      <c r="CR195" s="24"/>
      <c r="CS195" s="24"/>
      <c r="CT195" s="24"/>
      <c r="CU195" s="24"/>
      <c r="DB195" s="24"/>
      <c r="DC195" s="24"/>
      <c r="DD195" s="24"/>
      <c r="DE195" s="24"/>
      <c r="DL195" s="24"/>
      <c r="DM195" s="24"/>
      <c r="DN195" s="24"/>
      <c r="DO195" s="24"/>
      <c r="DP195" s="24"/>
    </row>
    <row r="196" spans="2:120" s="6" customFormat="1">
      <c r="B196" s="21"/>
      <c r="D196" s="22"/>
      <c r="E196" s="23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CD196" s="24"/>
      <c r="CE196" s="24"/>
      <c r="CF196" s="24"/>
      <c r="CG196" s="24"/>
      <c r="CH196" s="24"/>
      <c r="CI196" s="24"/>
      <c r="CP196" s="24"/>
      <c r="CQ196" s="24"/>
      <c r="CR196" s="24"/>
      <c r="CS196" s="24"/>
      <c r="CT196" s="24"/>
      <c r="CU196" s="24"/>
      <c r="DB196" s="24"/>
      <c r="DC196" s="24"/>
      <c r="DD196" s="24"/>
      <c r="DE196" s="24"/>
      <c r="DL196" s="24"/>
      <c r="DM196" s="24"/>
      <c r="DN196" s="24"/>
      <c r="DO196" s="24"/>
      <c r="DP196" s="24"/>
    </row>
    <row r="197" spans="2:120" s="6" customFormat="1">
      <c r="B197" s="21"/>
      <c r="D197" s="22"/>
      <c r="E197" s="23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CD197" s="24"/>
      <c r="CE197" s="24"/>
      <c r="CF197" s="24"/>
      <c r="CG197" s="24"/>
      <c r="CH197" s="24"/>
      <c r="CI197" s="24"/>
      <c r="CP197" s="24"/>
      <c r="CQ197" s="24"/>
      <c r="CR197" s="24"/>
      <c r="CS197" s="24"/>
      <c r="CT197" s="24"/>
      <c r="CU197" s="24"/>
      <c r="DB197" s="24"/>
      <c r="DC197" s="24"/>
      <c r="DD197" s="24"/>
      <c r="DE197" s="24"/>
      <c r="DL197" s="24"/>
      <c r="DM197" s="24"/>
      <c r="DN197" s="24"/>
      <c r="DO197" s="24"/>
      <c r="DP197" s="24"/>
    </row>
    <row r="198" spans="2:120" s="6" customFormat="1">
      <c r="B198" s="21"/>
      <c r="D198" s="22"/>
      <c r="E198" s="23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CD198" s="24"/>
      <c r="CE198" s="24"/>
      <c r="CF198" s="24"/>
      <c r="CG198" s="24"/>
      <c r="CH198" s="24"/>
      <c r="CI198" s="24"/>
      <c r="CP198" s="24"/>
      <c r="CQ198" s="24"/>
      <c r="CR198" s="24"/>
      <c r="CS198" s="24"/>
      <c r="CT198" s="24"/>
      <c r="CU198" s="24"/>
      <c r="DB198" s="24"/>
      <c r="DC198" s="24"/>
      <c r="DD198" s="24"/>
      <c r="DE198" s="24"/>
      <c r="DL198" s="24"/>
      <c r="DM198" s="24"/>
      <c r="DN198" s="24"/>
      <c r="DO198" s="24"/>
      <c r="DP198" s="24"/>
    </row>
    <row r="199" spans="2:120" s="6" customFormat="1">
      <c r="B199" s="21"/>
      <c r="D199" s="22"/>
      <c r="E199" s="23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CD199" s="24"/>
      <c r="CE199" s="24"/>
      <c r="CF199" s="24"/>
      <c r="CG199" s="24"/>
      <c r="CH199" s="24"/>
      <c r="CI199" s="24"/>
      <c r="CP199" s="24"/>
      <c r="CQ199" s="24"/>
      <c r="CR199" s="24"/>
      <c r="CS199" s="24"/>
      <c r="CT199" s="24"/>
      <c r="CU199" s="24"/>
      <c r="DB199" s="24"/>
      <c r="DC199" s="24"/>
      <c r="DD199" s="24"/>
      <c r="DE199" s="24"/>
      <c r="DL199" s="24"/>
      <c r="DM199" s="24"/>
      <c r="DN199" s="24"/>
      <c r="DO199" s="24"/>
      <c r="DP199" s="24"/>
    </row>
    <row r="200" spans="2:120" s="6" customFormat="1">
      <c r="B200" s="21"/>
      <c r="D200" s="22"/>
      <c r="E200" s="23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CD200" s="24"/>
      <c r="CE200" s="24"/>
      <c r="CF200" s="24"/>
      <c r="CG200" s="24"/>
      <c r="CH200" s="24"/>
      <c r="CI200" s="24"/>
      <c r="CP200" s="24"/>
      <c r="CQ200" s="24"/>
      <c r="CR200" s="24"/>
      <c r="CS200" s="24"/>
      <c r="CT200" s="24"/>
      <c r="CU200" s="24"/>
      <c r="DB200" s="24"/>
      <c r="DC200" s="24"/>
      <c r="DD200" s="24"/>
      <c r="DE200" s="24"/>
      <c r="DL200" s="24"/>
      <c r="DM200" s="24"/>
      <c r="DN200" s="24"/>
      <c r="DO200" s="24"/>
      <c r="DP200" s="24"/>
    </row>
    <row r="201" spans="2:120" s="6" customFormat="1">
      <c r="B201" s="21"/>
      <c r="D201" s="22"/>
      <c r="E201" s="23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CD201" s="24"/>
      <c r="CE201" s="24"/>
      <c r="CF201" s="24"/>
      <c r="CG201" s="24"/>
      <c r="CH201" s="24"/>
      <c r="CI201" s="24"/>
      <c r="CP201" s="24"/>
      <c r="CQ201" s="24"/>
      <c r="CR201" s="24"/>
      <c r="CS201" s="24"/>
      <c r="CT201" s="24"/>
      <c r="CU201" s="24"/>
      <c r="DB201" s="24"/>
      <c r="DC201" s="24"/>
      <c r="DD201" s="24"/>
      <c r="DE201" s="24"/>
      <c r="DL201" s="24"/>
      <c r="DM201" s="24"/>
      <c r="DN201" s="24"/>
      <c r="DO201" s="24"/>
      <c r="DP201" s="24"/>
    </row>
    <row r="202" spans="2:120" s="6" customFormat="1">
      <c r="B202" s="21"/>
      <c r="D202" s="22"/>
      <c r="E202" s="23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CD202" s="24"/>
      <c r="CE202" s="24"/>
      <c r="CF202" s="24"/>
      <c r="CG202" s="24"/>
      <c r="CH202" s="24"/>
      <c r="CI202" s="24"/>
      <c r="CP202" s="24"/>
      <c r="CQ202" s="24"/>
      <c r="CR202" s="24"/>
      <c r="CS202" s="24"/>
      <c r="CT202" s="24"/>
      <c r="CU202" s="24"/>
      <c r="DB202" s="24"/>
      <c r="DC202" s="24"/>
      <c r="DD202" s="24"/>
      <c r="DE202" s="24"/>
      <c r="DL202" s="24"/>
      <c r="DM202" s="24"/>
      <c r="DN202" s="24"/>
      <c r="DO202" s="24"/>
      <c r="DP202" s="24"/>
    </row>
    <row r="203" spans="2:120" s="6" customFormat="1">
      <c r="B203" s="21"/>
      <c r="D203" s="22"/>
      <c r="E203" s="23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CD203" s="24"/>
      <c r="CE203" s="24"/>
      <c r="CF203" s="24"/>
      <c r="CG203" s="24"/>
      <c r="CH203" s="24"/>
      <c r="CI203" s="24"/>
      <c r="CP203" s="24"/>
      <c r="CQ203" s="24"/>
      <c r="CR203" s="24"/>
      <c r="CS203" s="24"/>
      <c r="CT203" s="24"/>
      <c r="CU203" s="24"/>
      <c r="DB203" s="24"/>
      <c r="DC203" s="24"/>
      <c r="DD203" s="24"/>
      <c r="DE203" s="24"/>
      <c r="DL203" s="24"/>
      <c r="DM203" s="24"/>
      <c r="DN203" s="24"/>
      <c r="DO203" s="24"/>
      <c r="DP203" s="24"/>
    </row>
    <row r="204" spans="2:120" s="6" customFormat="1">
      <c r="B204" s="21"/>
      <c r="D204" s="22"/>
      <c r="E204" s="23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CD204" s="24"/>
      <c r="CE204" s="24"/>
      <c r="CF204" s="24"/>
      <c r="CG204" s="24"/>
      <c r="CH204" s="24"/>
      <c r="CI204" s="24"/>
      <c r="CP204" s="24"/>
      <c r="CQ204" s="24"/>
      <c r="CR204" s="24"/>
      <c r="CS204" s="24"/>
      <c r="CT204" s="24"/>
      <c r="CU204" s="24"/>
      <c r="DB204" s="24"/>
      <c r="DC204" s="24"/>
      <c r="DD204" s="24"/>
      <c r="DE204" s="24"/>
      <c r="DL204" s="24"/>
      <c r="DM204" s="24"/>
      <c r="DN204" s="24"/>
      <c r="DO204" s="24"/>
      <c r="DP204" s="24"/>
    </row>
    <row r="205" spans="2:120" s="6" customFormat="1">
      <c r="B205" s="21"/>
      <c r="D205" s="22"/>
      <c r="E205" s="23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CD205" s="24"/>
      <c r="CE205" s="24"/>
      <c r="CF205" s="24"/>
      <c r="CG205" s="24"/>
      <c r="CH205" s="24"/>
      <c r="CI205" s="24"/>
      <c r="CP205" s="24"/>
      <c r="CQ205" s="24"/>
      <c r="CR205" s="24"/>
      <c r="CS205" s="24"/>
      <c r="CT205" s="24"/>
      <c r="CU205" s="24"/>
      <c r="DB205" s="24"/>
      <c r="DC205" s="24"/>
      <c r="DD205" s="24"/>
      <c r="DE205" s="24"/>
      <c r="DL205" s="24"/>
      <c r="DM205" s="24"/>
      <c r="DN205" s="24"/>
      <c r="DO205" s="24"/>
      <c r="DP205" s="24"/>
    </row>
    <row r="206" spans="2:120" s="6" customFormat="1">
      <c r="B206" s="21"/>
      <c r="D206" s="22"/>
      <c r="E206" s="23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CD206" s="24"/>
      <c r="CE206" s="24"/>
      <c r="CF206" s="24"/>
      <c r="CG206" s="24"/>
      <c r="CH206" s="24"/>
      <c r="CI206" s="24"/>
      <c r="CP206" s="24"/>
      <c r="CQ206" s="24"/>
      <c r="CR206" s="24"/>
      <c r="CS206" s="24"/>
      <c r="CT206" s="24"/>
      <c r="CU206" s="24"/>
      <c r="DB206" s="24"/>
      <c r="DC206" s="24"/>
      <c r="DD206" s="24"/>
      <c r="DE206" s="24"/>
      <c r="DL206" s="24"/>
      <c r="DM206" s="24"/>
      <c r="DN206" s="24"/>
      <c r="DO206" s="24"/>
      <c r="DP206" s="24"/>
    </row>
    <row r="207" spans="2:120" s="6" customFormat="1">
      <c r="B207" s="21"/>
      <c r="D207" s="22"/>
      <c r="E207" s="23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CD207" s="24"/>
      <c r="CE207" s="24"/>
      <c r="CF207" s="24"/>
      <c r="CG207" s="24"/>
      <c r="CH207" s="24"/>
      <c r="CI207" s="24"/>
      <c r="CP207" s="24"/>
      <c r="CQ207" s="24"/>
      <c r="CR207" s="24"/>
      <c r="CS207" s="24"/>
      <c r="CT207" s="24"/>
      <c r="CU207" s="24"/>
      <c r="DB207" s="24"/>
      <c r="DC207" s="24"/>
      <c r="DD207" s="24"/>
      <c r="DE207" s="24"/>
      <c r="DL207" s="24"/>
      <c r="DM207" s="24"/>
      <c r="DN207" s="24"/>
      <c r="DO207" s="24"/>
      <c r="DP207" s="24"/>
    </row>
    <row r="208" spans="2:120" s="6" customFormat="1">
      <c r="B208" s="21"/>
      <c r="D208" s="22"/>
      <c r="E208" s="23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R208" s="24"/>
      <c r="AS208" s="24"/>
      <c r="AT208" s="24"/>
      <c r="AU208" s="24"/>
      <c r="AV208" s="24"/>
      <c r="AW208" s="24"/>
      <c r="BD208" s="24"/>
      <c r="BE208" s="24"/>
      <c r="BF208" s="24"/>
      <c r="BG208" s="24"/>
      <c r="BH208" s="24"/>
      <c r="BI208" s="24"/>
      <c r="BP208" s="24"/>
      <c r="BQ208" s="24"/>
      <c r="BR208" s="24"/>
      <c r="BS208" s="24"/>
      <c r="BZ208" s="24"/>
      <c r="CA208" s="24"/>
      <c r="CB208" s="24"/>
      <c r="CC208" s="24"/>
      <c r="CD208" s="24"/>
    </row>
    <row r="209" spans="2:82" s="6" customFormat="1">
      <c r="B209" s="21"/>
      <c r="D209" s="22"/>
      <c r="E209" s="23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R209" s="24"/>
      <c r="AS209" s="24"/>
      <c r="AT209" s="24"/>
      <c r="AU209" s="24"/>
      <c r="AV209" s="24"/>
      <c r="AW209" s="24"/>
      <c r="BD209" s="24"/>
      <c r="BE209" s="24"/>
      <c r="BF209" s="24"/>
      <c r="BG209" s="24"/>
      <c r="BH209" s="24"/>
      <c r="BI209" s="24"/>
      <c r="BP209" s="24"/>
      <c r="BQ209" s="24"/>
      <c r="BR209" s="24"/>
      <c r="BS209" s="24"/>
      <c r="BZ209" s="24"/>
      <c r="CA209" s="24"/>
      <c r="CB209" s="24"/>
      <c r="CC209" s="24"/>
      <c r="CD209" s="24"/>
    </row>
    <row r="210" spans="2:82" s="6" customFormat="1">
      <c r="B210" s="21"/>
      <c r="D210" s="22"/>
      <c r="E210" s="23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R210" s="24"/>
      <c r="AS210" s="24"/>
      <c r="AT210" s="24"/>
      <c r="AU210" s="24"/>
      <c r="AV210" s="24"/>
      <c r="AW210" s="24"/>
      <c r="BD210" s="24"/>
      <c r="BE210" s="24"/>
      <c r="BF210" s="24"/>
      <c r="BG210" s="24"/>
      <c r="BH210" s="24"/>
      <c r="BI210" s="24"/>
      <c r="BP210" s="24"/>
      <c r="BQ210" s="24"/>
      <c r="BR210" s="24"/>
      <c r="BS210" s="24"/>
      <c r="BZ210" s="24"/>
      <c r="CA210" s="24"/>
      <c r="CB210" s="24"/>
      <c r="CC210" s="24"/>
      <c r="CD210" s="24"/>
    </row>
    <row r="211" spans="2:82" s="6" customFormat="1">
      <c r="B211" s="21"/>
      <c r="D211" s="22"/>
      <c r="E211" s="23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R211" s="24"/>
      <c r="AS211" s="24"/>
      <c r="AT211" s="24"/>
      <c r="AU211" s="24"/>
      <c r="AV211" s="24"/>
      <c r="AW211" s="24"/>
      <c r="BD211" s="24"/>
      <c r="BE211" s="24"/>
      <c r="BF211" s="24"/>
      <c r="BG211" s="24"/>
      <c r="BH211" s="24"/>
      <c r="BI211" s="24"/>
      <c r="BP211" s="24"/>
      <c r="BQ211" s="24"/>
      <c r="BR211" s="24"/>
      <c r="BS211" s="24"/>
      <c r="BZ211" s="24"/>
      <c r="CA211" s="24"/>
      <c r="CB211" s="24"/>
      <c r="CC211" s="24"/>
      <c r="CD211" s="24"/>
    </row>
    <row r="212" spans="2:82" s="6" customFormat="1">
      <c r="B212" s="21"/>
      <c r="D212" s="22"/>
      <c r="E212" s="23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R212" s="24"/>
      <c r="AS212" s="24"/>
      <c r="AT212" s="24"/>
      <c r="AU212" s="24"/>
      <c r="AV212" s="24"/>
      <c r="AW212" s="24"/>
      <c r="BD212" s="24"/>
      <c r="BE212" s="24"/>
      <c r="BF212" s="24"/>
      <c r="BG212" s="24"/>
      <c r="BH212" s="24"/>
      <c r="BI212" s="24"/>
      <c r="BP212" s="24"/>
      <c r="BQ212" s="24"/>
      <c r="BR212" s="24"/>
      <c r="BS212" s="24"/>
      <c r="BZ212" s="24"/>
      <c r="CA212" s="24"/>
      <c r="CB212" s="24"/>
      <c r="CC212" s="24"/>
      <c r="CD212" s="24"/>
    </row>
    <row r="213" spans="2:82" s="6" customFormat="1">
      <c r="B213" s="21"/>
      <c r="D213" s="22"/>
      <c r="E213" s="23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R213" s="24"/>
      <c r="AS213" s="24"/>
      <c r="AT213" s="24"/>
      <c r="AU213" s="24"/>
      <c r="AV213" s="24"/>
      <c r="AW213" s="24"/>
      <c r="BD213" s="24"/>
      <c r="BE213" s="24"/>
      <c r="BF213" s="24"/>
      <c r="BG213" s="24"/>
      <c r="BH213" s="24"/>
      <c r="BI213" s="24"/>
      <c r="BP213" s="24"/>
      <c r="BQ213" s="24"/>
      <c r="BR213" s="24"/>
      <c r="BS213" s="24"/>
      <c r="BZ213" s="24"/>
      <c r="CA213" s="24"/>
      <c r="CB213" s="24"/>
      <c r="CC213" s="24"/>
      <c r="CD213" s="24"/>
    </row>
    <row r="214" spans="2:82" s="6" customFormat="1">
      <c r="B214" s="21"/>
      <c r="D214" s="22"/>
      <c r="E214" s="23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R214" s="24"/>
      <c r="AS214" s="24"/>
      <c r="AT214" s="24"/>
      <c r="AU214" s="24"/>
      <c r="AV214" s="24"/>
      <c r="AW214" s="24"/>
      <c r="BD214" s="24"/>
      <c r="BE214" s="24"/>
      <c r="BF214" s="24"/>
      <c r="BG214" s="24"/>
      <c r="BH214" s="24"/>
      <c r="BI214" s="24"/>
      <c r="BP214" s="24"/>
      <c r="BQ214" s="24"/>
      <c r="BR214" s="24"/>
      <c r="BS214" s="24"/>
      <c r="BZ214" s="24"/>
      <c r="CA214" s="24"/>
      <c r="CB214" s="24"/>
      <c r="CC214" s="24"/>
      <c r="CD214" s="24"/>
    </row>
    <row r="215" spans="2:82" s="6" customFormat="1">
      <c r="B215" s="21"/>
      <c r="D215" s="22"/>
      <c r="E215" s="23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R215" s="24"/>
      <c r="AS215" s="24"/>
      <c r="AT215" s="24"/>
      <c r="AU215" s="24"/>
      <c r="AV215" s="24"/>
      <c r="AW215" s="24"/>
      <c r="BD215" s="24"/>
      <c r="BE215" s="24"/>
      <c r="BF215" s="24"/>
      <c r="BG215" s="24"/>
      <c r="BH215" s="24"/>
      <c r="BI215" s="24"/>
      <c r="BP215" s="24"/>
      <c r="BQ215" s="24"/>
      <c r="BR215" s="24"/>
      <c r="BS215" s="24"/>
      <c r="BZ215" s="24"/>
      <c r="CA215" s="24"/>
      <c r="CB215" s="24"/>
      <c r="CC215" s="24"/>
      <c r="CD215" s="24"/>
    </row>
    <row r="216" spans="2:82" s="6" customFormat="1">
      <c r="B216" s="21"/>
      <c r="D216" s="22"/>
      <c r="E216" s="23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R216" s="24"/>
      <c r="AS216" s="24"/>
      <c r="AT216" s="24"/>
      <c r="AU216" s="24"/>
      <c r="AV216" s="24"/>
      <c r="AW216" s="24"/>
      <c r="BD216" s="24"/>
      <c r="BE216" s="24"/>
      <c r="BF216" s="24"/>
      <c r="BG216" s="24"/>
      <c r="BH216" s="24"/>
      <c r="BI216" s="24"/>
      <c r="BP216" s="24"/>
      <c r="BQ216" s="24"/>
      <c r="BR216" s="24"/>
      <c r="BS216" s="24"/>
      <c r="BZ216" s="24"/>
      <c r="CA216" s="24"/>
      <c r="CB216" s="24"/>
      <c r="CC216" s="24"/>
      <c r="CD216" s="24"/>
    </row>
    <row r="217" spans="2:82" s="6" customFormat="1">
      <c r="B217" s="21"/>
      <c r="D217" s="22"/>
      <c r="E217" s="23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R217" s="24"/>
      <c r="AS217" s="24"/>
      <c r="AT217" s="24"/>
      <c r="AU217" s="24"/>
      <c r="AV217" s="24"/>
      <c r="AW217" s="24"/>
      <c r="BD217" s="24"/>
      <c r="BE217" s="24"/>
      <c r="BF217" s="24"/>
      <c r="BG217" s="24"/>
      <c r="BH217" s="24"/>
      <c r="BI217" s="24"/>
      <c r="BP217" s="24"/>
      <c r="BQ217" s="24"/>
      <c r="BR217" s="24"/>
      <c r="BS217" s="24"/>
      <c r="BZ217" s="24"/>
      <c r="CA217" s="24"/>
      <c r="CB217" s="24"/>
      <c r="CC217" s="24"/>
      <c r="CD217" s="24"/>
    </row>
    <row r="218" spans="2:82" s="6" customFormat="1">
      <c r="B218" s="21"/>
      <c r="D218" s="22"/>
      <c r="E218" s="23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R218" s="24"/>
      <c r="AS218" s="24"/>
      <c r="AT218" s="24"/>
      <c r="AU218" s="24"/>
      <c r="AV218" s="24"/>
      <c r="AW218" s="24"/>
      <c r="BD218" s="24"/>
      <c r="BE218" s="24"/>
      <c r="BF218" s="24"/>
      <c r="BG218" s="24"/>
      <c r="BH218" s="24"/>
      <c r="BI218" s="24"/>
      <c r="BP218" s="24"/>
      <c r="BQ218" s="24"/>
      <c r="BR218" s="24"/>
      <c r="BS218" s="24"/>
      <c r="BZ218" s="24"/>
      <c r="CA218" s="24"/>
      <c r="CB218" s="24"/>
      <c r="CC218" s="24"/>
      <c r="CD218" s="24"/>
    </row>
    <row r="219" spans="2:82" s="6" customFormat="1">
      <c r="B219" s="21"/>
      <c r="D219" s="22"/>
      <c r="E219" s="23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R219" s="24"/>
      <c r="AS219" s="24"/>
      <c r="AT219" s="24"/>
      <c r="AU219" s="24"/>
      <c r="AV219" s="24"/>
      <c r="AW219" s="24"/>
      <c r="BD219" s="24"/>
      <c r="BE219" s="24"/>
      <c r="BF219" s="24"/>
      <c r="BG219" s="24"/>
      <c r="BH219" s="24"/>
      <c r="BI219" s="24"/>
      <c r="BP219" s="24"/>
      <c r="BQ219" s="24"/>
      <c r="BR219" s="24"/>
      <c r="BS219" s="24"/>
      <c r="BZ219" s="24"/>
      <c r="CA219" s="24"/>
      <c r="CB219" s="24"/>
      <c r="CC219" s="24"/>
      <c r="CD219" s="24"/>
    </row>
    <row r="220" spans="2:82" s="6" customFormat="1">
      <c r="B220" s="21"/>
      <c r="D220" s="22"/>
      <c r="E220" s="23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R220" s="24"/>
      <c r="AS220" s="24"/>
      <c r="AT220" s="24"/>
      <c r="AU220" s="24"/>
      <c r="AV220" s="24"/>
      <c r="AW220" s="24"/>
      <c r="BD220" s="24"/>
      <c r="BE220" s="24"/>
      <c r="BF220" s="24"/>
      <c r="BG220" s="24"/>
      <c r="BH220" s="24"/>
      <c r="BI220" s="24"/>
      <c r="BP220" s="24"/>
      <c r="BQ220" s="24"/>
      <c r="BR220" s="24"/>
      <c r="BS220" s="24"/>
      <c r="BZ220" s="24"/>
      <c r="CA220" s="24"/>
      <c r="CB220" s="24"/>
      <c r="CC220" s="24"/>
      <c r="CD220" s="24"/>
    </row>
    <row r="221" spans="2:82" s="6" customFormat="1">
      <c r="B221" s="21"/>
      <c r="D221" s="22"/>
      <c r="E221" s="23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R221" s="24"/>
      <c r="AS221" s="24"/>
      <c r="AT221" s="24"/>
      <c r="AU221" s="24"/>
      <c r="AV221" s="24"/>
      <c r="AW221" s="24"/>
      <c r="BD221" s="24"/>
      <c r="BE221" s="24"/>
      <c r="BF221" s="24"/>
      <c r="BG221" s="24"/>
      <c r="BH221" s="24"/>
      <c r="BI221" s="24"/>
      <c r="BP221" s="24"/>
      <c r="BQ221" s="24"/>
      <c r="BR221" s="24"/>
      <c r="BS221" s="24"/>
      <c r="BZ221" s="24"/>
      <c r="CA221" s="24"/>
      <c r="CB221" s="24"/>
      <c r="CC221" s="24"/>
      <c r="CD221" s="24"/>
    </row>
    <row r="222" spans="2:82" s="6" customFormat="1">
      <c r="B222" s="21"/>
      <c r="D222" s="22"/>
      <c r="E222" s="23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R222" s="24"/>
      <c r="AS222" s="24"/>
      <c r="AT222" s="24"/>
      <c r="AU222" s="24"/>
      <c r="AV222" s="24"/>
      <c r="AW222" s="24"/>
      <c r="BD222" s="24"/>
      <c r="BE222" s="24"/>
      <c r="BF222" s="24"/>
      <c r="BG222" s="24"/>
      <c r="BH222" s="24"/>
      <c r="BI222" s="24"/>
      <c r="BP222" s="24"/>
      <c r="BQ222" s="24"/>
      <c r="BR222" s="24"/>
      <c r="BS222" s="24"/>
      <c r="BZ222" s="24"/>
      <c r="CA222" s="24"/>
      <c r="CB222" s="24"/>
      <c r="CC222" s="24"/>
      <c r="CD222" s="24"/>
    </row>
    <row r="223" spans="2:82" s="6" customFormat="1">
      <c r="B223" s="21"/>
      <c r="D223" s="22"/>
      <c r="E223" s="23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R223" s="24"/>
      <c r="AS223" s="24"/>
      <c r="AT223" s="24"/>
      <c r="AU223" s="24"/>
      <c r="AV223" s="24"/>
      <c r="AW223" s="24"/>
      <c r="BD223" s="24"/>
      <c r="BE223" s="24"/>
      <c r="BF223" s="24"/>
      <c r="BG223" s="24"/>
      <c r="BH223" s="24"/>
      <c r="BI223" s="24"/>
      <c r="BP223" s="24"/>
      <c r="BQ223" s="24"/>
      <c r="BR223" s="24"/>
      <c r="BS223" s="24"/>
      <c r="BZ223" s="24"/>
      <c r="CA223" s="24"/>
      <c r="CB223" s="24"/>
      <c r="CC223" s="24"/>
      <c r="CD223" s="24"/>
    </row>
    <row r="224" spans="2:82" s="6" customFormat="1">
      <c r="B224" s="21"/>
      <c r="D224" s="22"/>
      <c r="E224" s="23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R224" s="24"/>
      <c r="AS224" s="24"/>
      <c r="AT224" s="24"/>
      <c r="AU224" s="24"/>
      <c r="AV224" s="24"/>
      <c r="AW224" s="24"/>
      <c r="BD224" s="24"/>
      <c r="BE224" s="24"/>
      <c r="BF224" s="24"/>
      <c r="BG224" s="24"/>
      <c r="BH224" s="24"/>
      <c r="BI224" s="24"/>
      <c r="BP224" s="24"/>
      <c r="BQ224" s="24"/>
      <c r="BR224" s="24"/>
      <c r="BS224" s="24"/>
      <c r="BZ224" s="24"/>
      <c r="CA224" s="24"/>
      <c r="CB224" s="24"/>
      <c r="CC224" s="24"/>
      <c r="CD224" s="24"/>
    </row>
    <row r="225" spans="2:82" s="6" customFormat="1">
      <c r="B225" s="21"/>
      <c r="D225" s="22"/>
      <c r="E225" s="23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R225" s="24"/>
      <c r="AS225" s="24"/>
      <c r="AT225" s="24"/>
      <c r="AU225" s="24"/>
      <c r="AV225" s="24"/>
      <c r="AW225" s="24"/>
      <c r="BD225" s="24"/>
      <c r="BE225" s="24"/>
      <c r="BF225" s="24"/>
      <c r="BG225" s="24"/>
      <c r="BH225" s="24"/>
      <c r="BI225" s="24"/>
      <c r="BP225" s="24"/>
      <c r="BQ225" s="24"/>
      <c r="BR225" s="24"/>
      <c r="BS225" s="24"/>
      <c r="BZ225" s="24"/>
      <c r="CA225" s="24"/>
      <c r="CB225" s="24"/>
      <c r="CC225" s="24"/>
      <c r="CD225" s="24"/>
    </row>
    <row r="226" spans="2:82" s="6" customFormat="1">
      <c r="B226" s="21"/>
      <c r="D226" s="22"/>
      <c r="E226" s="23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R226" s="24"/>
      <c r="AS226" s="24"/>
      <c r="AT226" s="24"/>
      <c r="AU226" s="24"/>
      <c r="AV226" s="24"/>
      <c r="AW226" s="24"/>
      <c r="BD226" s="24"/>
      <c r="BE226" s="24"/>
      <c r="BF226" s="24"/>
      <c r="BG226" s="24"/>
      <c r="BH226" s="24"/>
      <c r="BI226" s="24"/>
      <c r="BP226" s="24"/>
      <c r="BQ226" s="24"/>
      <c r="BR226" s="24"/>
      <c r="BS226" s="24"/>
      <c r="BZ226" s="24"/>
      <c r="CA226" s="24"/>
      <c r="CB226" s="24"/>
      <c r="CC226" s="24"/>
      <c r="CD226" s="24"/>
    </row>
    <row r="227" spans="2:82" s="6" customFormat="1">
      <c r="B227" s="21"/>
      <c r="D227" s="22"/>
      <c r="E227" s="23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R227" s="24"/>
      <c r="AS227" s="24"/>
      <c r="AT227" s="24"/>
      <c r="AU227" s="24"/>
      <c r="AV227" s="24"/>
      <c r="AW227" s="24"/>
      <c r="BD227" s="24"/>
      <c r="BE227" s="24"/>
      <c r="BF227" s="24"/>
      <c r="BG227" s="24"/>
      <c r="BH227" s="24"/>
      <c r="BI227" s="24"/>
      <c r="BP227" s="24"/>
      <c r="BQ227" s="24"/>
      <c r="BR227" s="24"/>
      <c r="BS227" s="24"/>
      <c r="BZ227" s="24"/>
      <c r="CA227" s="24"/>
      <c r="CB227" s="24"/>
      <c r="CC227" s="24"/>
      <c r="CD227" s="24"/>
    </row>
    <row r="228" spans="2:82" s="6" customFormat="1">
      <c r="B228" s="21"/>
      <c r="D228" s="22"/>
      <c r="E228" s="23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R228" s="24"/>
      <c r="AS228" s="24"/>
      <c r="AT228" s="24"/>
      <c r="AU228" s="24"/>
      <c r="AV228" s="24"/>
      <c r="AW228" s="24"/>
      <c r="BD228" s="24"/>
      <c r="BE228" s="24"/>
      <c r="BF228" s="24"/>
      <c r="BG228" s="24"/>
      <c r="BH228" s="24"/>
      <c r="BI228" s="24"/>
      <c r="BP228" s="24"/>
      <c r="BQ228" s="24"/>
      <c r="BR228" s="24"/>
      <c r="BS228" s="24"/>
      <c r="BZ228" s="24"/>
      <c r="CA228" s="24"/>
      <c r="CB228" s="24"/>
      <c r="CC228" s="24"/>
      <c r="CD228" s="24"/>
    </row>
    <row r="229" spans="2:82" s="6" customFormat="1">
      <c r="B229" s="21"/>
      <c r="D229" s="22"/>
      <c r="E229" s="23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R229" s="24"/>
      <c r="AS229" s="24"/>
      <c r="AT229" s="24"/>
      <c r="AU229" s="24"/>
      <c r="AV229" s="24"/>
      <c r="AW229" s="24"/>
      <c r="BD229" s="24"/>
      <c r="BE229" s="24"/>
      <c r="BF229" s="24"/>
      <c r="BG229" s="24"/>
      <c r="BH229" s="24"/>
      <c r="BI229" s="24"/>
      <c r="BP229" s="24"/>
      <c r="BQ229" s="24"/>
      <c r="BR229" s="24"/>
      <c r="BS229" s="24"/>
      <c r="BZ229" s="24"/>
      <c r="CA229" s="24"/>
      <c r="CB229" s="24"/>
      <c r="CC229" s="24"/>
      <c r="CD229" s="24"/>
    </row>
    <row r="230" spans="2:82" s="6" customFormat="1">
      <c r="B230" s="21"/>
      <c r="D230" s="22"/>
      <c r="E230" s="23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R230" s="24"/>
      <c r="AS230" s="24"/>
      <c r="AT230" s="24"/>
      <c r="AU230" s="24"/>
      <c r="AV230" s="24"/>
      <c r="AW230" s="24"/>
      <c r="BD230" s="24"/>
      <c r="BE230" s="24"/>
      <c r="BF230" s="24"/>
      <c r="BG230" s="24"/>
      <c r="BH230" s="24"/>
      <c r="BI230" s="24"/>
      <c r="BP230" s="24"/>
      <c r="BQ230" s="24"/>
      <c r="BR230" s="24"/>
      <c r="BS230" s="24"/>
      <c r="BZ230" s="24"/>
      <c r="CA230" s="24"/>
      <c r="CB230" s="24"/>
      <c r="CC230" s="24"/>
      <c r="CD230" s="24"/>
    </row>
    <row r="231" spans="2:82" s="6" customFormat="1">
      <c r="B231" s="21"/>
      <c r="D231" s="22"/>
      <c r="E231" s="23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R231" s="24"/>
      <c r="AS231" s="24"/>
      <c r="AT231" s="24"/>
      <c r="AU231" s="24"/>
      <c r="AV231" s="24"/>
      <c r="AW231" s="24"/>
      <c r="BD231" s="24"/>
      <c r="BE231" s="24"/>
      <c r="BF231" s="24"/>
      <c r="BG231" s="24"/>
      <c r="BH231" s="24"/>
      <c r="BI231" s="24"/>
      <c r="BP231" s="24"/>
      <c r="BQ231" s="24"/>
      <c r="BR231" s="24"/>
      <c r="BS231" s="24"/>
      <c r="BZ231" s="24"/>
      <c r="CA231" s="24"/>
      <c r="CB231" s="24"/>
      <c r="CC231" s="24"/>
      <c r="CD231" s="24"/>
    </row>
    <row r="232" spans="2:82" s="6" customFormat="1">
      <c r="B232" s="21"/>
      <c r="D232" s="22"/>
      <c r="E232" s="23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R232" s="24"/>
      <c r="AS232" s="24"/>
      <c r="AT232" s="24"/>
      <c r="AU232" s="24"/>
      <c r="AV232" s="24"/>
      <c r="AW232" s="24"/>
      <c r="BD232" s="24"/>
      <c r="BE232" s="24"/>
      <c r="BF232" s="24"/>
      <c r="BG232" s="24"/>
      <c r="BH232" s="24"/>
      <c r="BI232" s="24"/>
      <c r="BP232" s="24"/>
      <c r="BQ232" s="24"/>
      <c r="BR232" s="24"/>
      <c r="BS232" s="24"/>
      <c r="BZ232" s="24"/>
      <c r="CA232" s="24"/>
      <c r="CB232" s="24"/>
      <c r="CC232" s="24"/>
      <c r="CD232" s="24"/>
    </row>
    <row r="233" spans="2:82" s="6" customFormat="1">
      <c r="B233" s="21"/>
      <c r="D233" s="22"/>
      <c r="E233" s="23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R233" s="24"/>
      <c r="AS233" s="24"/>
      <c r="AT233" s="24"/>
      <c r="AU233" s="24"/>
      <c r="AV233" s="24"/>
      <c r="AW233" s="24"/>
      <c r="BD233" s="24"/>
      <c r="BE233" s="24"/>
      <c r="BF233" s="24"/>
      <c r="BG233" s="24"/>
      <c r="BH233" s="24"/>
      <c r="BI233" s="24"/>
      <c r="BP233" s="24"/>
      <c r="BQ233" s="24"/>
      <c r="BR233" s="24"/>
      <c r="BS233" s="24"/>
      <c r="BZ233" s="24"/>
      <c r="CA233" s="24"/>
      <c r="CB233" s="24"/>
      <c r="CC233" s="24"/>
      <c r="CD233" s="24"/>
    </row>
    <row r="234" spans="2:82" s="6" customFormat="1">
      <c r="B234" s="21"/>
      <c r="D234" s="22"/>
      <c r="E234" s="23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R234" s="24"/>
      <c r="AS234" s="24"/>
      <c r="AT234" s="24"/>
      <c r="AU234" s="24"/>
      <c r="AV234" s="24"/>
      <c r="AW234" s="24"/>
      <c r="BD234" s="24"/>
      <c r="BE234" s="24"/>
      <c r="BF234" s="24"/>
      <c r="BG234" s="24"/>
      <c r="BH234" s="24"/>
      <c r="BI234" s="24"/>
      <c r="BP234" s="24"/>
      <c r="BQ234" s="24"/>
      <c r="BR234" s="24"/>
      <c r="BS234" s="24"/>
      <c r="BZ234" s="24"/>
      <c r="CA234" s="24"/>
      <c r="CB234" s="24"/>
      <c r="CC234" s="24"/>
      <c r="CD234" s="24"/>
    </row>
    <row r="235" spans="2:82" s="6" customFormat="1">
      <c r="B235" s="21"/>
      <c r="D235" s="22"/>
      <c r="E235" s="23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R235" s="24"/>
      <c r="AS235" s="24"/>
      <c r="AT235" s="24"/>
      <c r="AU235" s="24"/>
      <c r="AV235" s="24"/>
      <c r="AW235" s="24"/>
      <c r="BD235" s="24"/>
      <c r="BE235" s="24"/>
      <c r="BF235" s="24"/>
      <c r="BG235" s="24"/>
      <c r="BH235" s="24"/>
      <c r="BI235" s="24"/>
      <c r="BP235" s="24"/>
      <c r="BQ235" s="24"/>
      <c r="BR235" s="24"/>
      <c r="BS235" s="24"/>
      <c r="BZ235" s="24"/>
      <c r="CA235" s="24"/>
      <c r="CB235" s="24"/>
      <c r="CC235" s="24"/>
      <c r="CD235" s="24"/>
    </row>
    <row r="236" spans="2:82" s="6" customFormat="1">
      <c r="B236" s="21"/>
      <c r="D236" s="22"/>
      <c r="E236" s="23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R236" s="24"/>
      <c r="AS236" s="24"/>
      <c r="AT236" s="24"/>
      <c r="AU236" s="24"/>
      <c r="AV236" s="24"/>
      <c r="AW236" s="24"/>
      <c r="BD236" s="24"/>
      <c r="BE236" s="24"/>
      <c r="BF236" s="24"/>
      <c r="BG236" s="24"/>
      <c r="BH236" s="24"/>
      <c r="BI236" s="24"/>
      <c r="BP236" s="24"/>
      <c r="BQ236" s="24"/>
      <c r="BR236" s="24"/>
      <c r="BS236" s="24"/>
      <c r="BZ236" s="24"/>
      <c r="CA236" s="24"/>
      <c r="CB236" s="24"/>
      <c r="CC236" s="24"/>
      <c r="CD236" s="24"/>
    </row>
    <row r="237" spans="2:82" s="6" customFormat="1">
      <c r="B237" s="21"/>
      <c r="D237" s="22"/>
      <c r="E237" s="23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R237" s="24"/>
      <c r="AS237" s="24"/>
      <c r="AT237" s="24"/>
      <c r="AU237" s="24"/>
      <c r="AV237" s="24"/>
      <c r="AW237" s="24"/>
      <c r="BD237" s="24"/>
      <c r="BE237" s="24"/>
      <c r="BF237" s="24"/>
      <c r="BG237" s="24"/>
      <c r="BH237" s="24"/>
      <c r="BI237" s="24"/>
      <c r="BP237" s="24"/>
      <c r="BQ237" s="24"/>
      <c r="BR237" s="24"/>
      <c r="BS237" s="24"/>
      <c r="BZ237" s="24"/>
      <c r="CA237" s="24"/>
      <c r="CB237" s="24"/>
      <c r="CC237" s="24"/>
      <c r="CD237" s="24"/>
    </row>
    <row r="238" spans="2:82" s="6" customFormat="1">
      <c r="B238" s="21"/>
      <c r="D238" s="22"/>
      <c r="E238" s="23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R238" s="24"/>
      <c r="AS238" s="24"/>
      <c r="AT238" s="24"/>
      <c r="AU238" s="24"/>
      <c r="AV238" s="24"/>
      <c r="AW238" s="24"/>
      <c r="BD238" s="24"/>
      <c r="BE238" s="24"/>
      <c r="BF238" s="24"/>
      <c r="BG238" s="24"/>
      <c r="BH238" s="24"/>
      <c r="BI238" s="24"/>
      <c r="BP238" s="24"/>
      <c r="BQ238" s="24"/>
      <c r="BR238" s="24"/>
      <c r="BS238" s="24"/>
      <c r="BZ238" s="24"/>
      <c r="CA238" s="24"/>
      <c r="CB238" s="24"/>
      <c r="CC238" s="24"/>
      <c r="CD238" s="24"/>
    </row>
    <row r="239" spans="2:82" s="6" customFormat="1">
      <c r="B239" s="21"/>
      <c r="D239" s="22"/>
      <c r="E239" s="23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R239" s="24"/>
      <c r="AS239" s="24"/>
      <c r="AT239" s="24"/>
      <c r="AU239" s="24"/>
      <c r="AV239" s="24"/>
      <c r="AW239" s="24"/>
      <c r="BD239" s="24"/>
      <c r="BE239" s="24"/>
      <c r="BF239" s="24"/>
      <c r="BG239" s="24"/>
      <c r="BH239" s="24"/>
      <c r="BI239" s="24"/>
      <c r="BP239" s="24"/>
      <c r="BQ239" s="24"/>
      <c r="BR239" s="24"/>
      <c r="BS239" s="24"/>
      <c r="BZ239" s="24"/>
      <c r="CA239" s="24"/>
      <c r="CB239" s="24"/>
      <c r="CC239" s="24"/>
      <c r="CD239" s="24"/>
    </row>
    <row r="240" spans="2:82" s="6" customFormat="1">
      <c r="B240" s="21"/>
      <c r="D240" s="22"/>
      <c r="E240" s="23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R240" s="24"/>
      <c r="AS240" s="24"/>
      <c r="AT240" s="24"/>
      <c r="AU240" s="24"/>
      <c r="AV240" s="24"/>
      <c r="AW240" s="24"/>
      <c r="BD240" s="24"/>
      <c r="BE240" s="24"/>
      <c r="BF240" s="24"/>
      <c r="BG240" s="24"/>
      <c r="BH240" s="24"/>
      <c r="BI240" s="24"/>
      <c r="BP240" s="24"/>
      <c r="BQ240" s="24"/>
      <c r="BR240" s="24"/>
      <c r="BS240" s="24"/>
      <c r="BZ240" s="24"/>
      <c r="CA240" s="24"/>
      <c r="CB240" s="24"/>
      <c r="CC240" s="24"/>
      <c r="CD240" s="24"/>
    </row>
    <row r="241" spans="2:82" s="6" customFormat="1">
      <c r="B241" s="21"/>
      <c r="D241" s="22"/>
      <c r="E241" s="23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R241" s="24"/>
      <c r="AS241" s="24"/>
      <c r="AT241" s="24"/>
      <c r="AU241" s="24"/>
      <c r="AV241" s="24"/>
      <c r="AW241" s="24"/>
      <c r="BD241" s="24"/>
      <c r="BE241" s="24"/>
      <c r="BF241" s="24"/>
      <c r="BG241" s="24"/>
      <c r="BH241" s="24"/>
      <c r="BI241" s="24"/>
      <c r="BP241" s="24"/>
      <c r="BQ241" s="24"/>
      <c r="BR241" s="24"/>
      <c r="BS241" s="24"/>
      <c r="BZ241" s="24"/>
      <c r="CA241" s="24"/>
      <c r="CB241" s="24"/>
      <c r="CC241" s="24"/>
      <c r="CD241" s="24"/>
    </row>
    <row r="242" spans="2:82" s="6" customFormat="1">
      <c r="B242" s="21"/>
      <c r="D242" s="22"/>
      <c r="E242" s="23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R242" s="24"/>
      <c r="AS242" s="24"/>
      <c r="AT242" s="24"/>
      <c r="AU242" s="24"/>
      <c r="AV242" s="24"/>
      <c r="AW242" s="24"/>
      <c r="BD242" s="24"/>
      <c r="BE242" s="24"/>
      <c r="BF242" s="24"/>
      <c r="BG242" s="24"/>
      <c r="BH242" s="24"/>
      <c r="BI242" s="24"/>
      <c r="BP242" s="24"/>
      <c r="BQ242" s="24"/>
      <c r="BR242" s="24"/>
      <c r="BS242" s="24"/>
      <c r="BZ242" s="24"/>
      <c r="CA242" s="24"/>
      <c r="CB242" s="24"/>
      <c r="CC242" s="24"/>
      <c r="CD242" s="24"/>
    </row>
    <row r="243" spans="2:82" s="6" customFormat="1">
      <c r="B243" s="21"/>
      <c r="D243" s="22"/>
      <c r="E243" s="23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R243" s="24"/>
      <c r="AS243" s="24"/>
      <c r="AT243" s="24"/>
      <c r="AU243" s="24"/>
      <c r="AV243" s="24"/>
      <c r="AW243" s="24"/>
      <c r="BD243" s="24"/>
      <c r="BE243" s="24"/>
      <c r="BF243" s="24"/>
      <c r="BG243" s="24"/>
      <c r="BH243" s="24"/>
      <c r="BI243" s="24"/>
      <c r="BP243" s="24"/>
      <c r="BQ243" s="24"/>
      <c r="BR243" s="24"/>
      <c r="BS243" s="24"/>
      <c r="BZ243" s="24"/>
      <c r="CA243" s="24"/>
      <c r="CB243" s="24"/>
      <c r="CC243" s="24"/>
      <c r="CD243" s="24"/>
    </row>
    <row r="244" spans="2:82" s="6" customFormat="1">
      <c r="B244" s="21"/>
      <c r="D244" s="22"/>
      <c r="E244" s="23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R244" s="24"/>
      <c r="AS244" s="24"/>
      <c r="AT244" s="24"/>
      <c r="AU244" s="24"/>
      <c r="AV244" s="24"/>
      <c r="AW244" s="24"/>
      <c r="BD244" s="24"/>
      <c r="BE244" s="24"/>
      <c r="BF244" s="24"/>
      <c r="BG244" s="24"/>
      <c r="BH244" s="24"/>
      <c r="BI244" s="24"/>
      <c r="BP244" s="24"/>
      <c r="BQ244" s="24"/>
      <c r="BR244" s="24"/>
      <c r="BS244" s="24"/>
      <c r="BZ244" s="24"/>
      <c r="CA244" s="24"/>
      <c r="CB244" s="24"/>
      <c r="CC244" s="24"/>
      <c r="CD244" s="24"/>
    </row>
    <row r="245" spans="2:82" s="6" customFormat="1">
      <c r="B245" s="21"/>
      <c r="D245" s="22"/>
      <c r="E245" s="23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R245" s="24"/>
      <c r="AS245" s="24"/>
      <c r="AT245" s="24"/>
      <c r="AU245" s="24"/>
      <c r="AV245" s="24"/>
      <c r="AW245" s="24"/>
      <c r="BD245" s="24"/>
      <c r="BE245" s="24"/>
      <c r="BF245" s="24"/>
      <c r="BG245" s="24"/>
      <c r="BH245" s="24"/>
      <c r="BI245" s="24"/>
      <c r="BP245" s="24"/>
      <c r="BQ245" s="24"/>
      <c r="BR245" s="24"/>
      <c r="BS245" s="24"/>
      <c r="BZ245" s="24"/>
      <c r="CA245" s="24"/>
      <c r="CB245" s="24"/>
      <c r="CC245" s="24"/>
      <c r="CD245" s="24"/>
    </row>
    <row r="246" spans="2:82" s="6" customFormat="1">
      <c r="B246" s="21"/>
      <c r="D246" s="22"/>
      <c r="E246" s="23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R246" s="24"/>
      <c r="AS246" s="24"/>
      <c r="AT246" s="24"/>
      <c r="AU246" s="24"/>
      <c r="AV246" s="24"/>
      <c r="AW246" s="24"/>
      <c r="BD246" s="24"/>
      <c r="BE246" s="24"/>
      <c r="BF246" s="24"/>
      <c r="BG246" s="24"/>
      <c r="BH246" s="24"/>
      <c r="BI246" s="24"/>
      <c r="BP246" s="24"/>
      <c r="BQ246" s="24"/>
      <c r="BR246" s="24"/>
      <c r="BS246" s="24"/>
      <c r="BZ246" s="24"/>
      <c r="CA246" s="24"/>
      <c r="CB246" s="24"/>
      <c r="CC246" s="24"/>
      <c r="CD246" s="24"/>
    </row>
    <row r="247" spans="2:82" s="6" customFormat="1">
      <c r="B247" s="21"/>
      <c r="D247" s="22"/>
      <c r="E247" s="23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R247" s="24"/>
      <c r="AS247" s="24"/>
      <c r="AT247" s="24"/>
      <c r="AU247" s="24"/>
      <c r="AV247" s="24"/>
      <c r="AW247" s="24"/>
      <c r="BD247" s="24"/>
      <c r="BE247" s="24"/>
      <c r="BF247" s="24"/>
      <c r="BG247" s="24"/>
      <c r="BH247" s="24"/>
      <c r="BI247" s="24"/>
      <c r="BP247" s="24"/>
      <c r="BQ247" s="24"/>
      <c r="BR247" s="24"/>
      <c r="BS247" s="24"/>
      <c r="BZ247" s="24"/>
      <c r="CA247" s="24"/>
      <c r="CB247" s="24"/>
      <c r="CC247" s="24"/>
      <c r="CD247" s="24"/>
    </row>
    <row r="248" spans="2:82" s="6" customFormat="1">
      <c r="B248" s="21"/>
      <c r="D248" s="22"/>
      <c r="E248" s="23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R248" s="24"/>
      <c r="AS248" s="24"/>
      <c r="AT248" s="24"/>
      <c r="AU248" s="24"/>
      <c r="AV248" s="24"/>
      <c r="AW248" s="24"/>
      <c r="BD248" s="24"/>
      <c r="BE248" s="24"/>
      <c r="BF248" s="24"/>
      <c r="BG248" s="24"/>
      <c r="BH248" s="24"/>
      <c r="BI248" s="24"/>
      <c r="BP248" s="24"/>
      <c r="BQ248" s="24"/>
      <c r="BR248" s="24"/>
      <c r="BS248" s="24"/>
      <c r="BZ248" s="24"/>
      <c r="CA248" s="24"/>
      <c r="CB248" s="24"/>
      <c r="CC248" s="24"/>
      <c r="CD248" s="24"/>
    </row>
    <row r="249" spans="2:82" s="6" customFormat="1">
      <c r="B249" s="21"/>
      <c r="D249" s="22"/>
      <c r="E249" s="23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R249" s="24"/>
      <c r="AS249" s="24"/>
      <c r="AT249" s="24"/>
      <c r="AU249" s="24"/>
      <c r="AV249" s="24"/>
      <c r="AW249" s="24"/>
      <c r="BD249" s="24"/>
      <c r="BE249" s="24"/>
      <c r="BF249" s="24"/>
      <c r="BG249" s="24"/>
      <c r="BH249" s="24"/>
      <c r="BI249" s="24"/>
      <c r="BP249" s="24"/>
      <c r="BQ249" s="24"/>
      <c r="BR249" s="24"/>
      <c r="BS249" s="24"/>
      <c r="BZ249" s="24"/>
      <c r="CA249" s="24"/>
      <c r="CB249" s="24"/>
      <c r="CC249" s="24"/>
      <c r="CD249" s="24"/>
    </row>
    <row r="250" spans="2:82" s="6" customFormat="1">
      <c r="B250" s="21"/>
      <c r="D250" s="22"/>
      <c r="E250" s="23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R250" s="24"/>
      <c r="AS250" s="24"/>
      <c r="AT250" s="24"/>
      <c r="AU250" s="24"/>
      <c r="AV250" s="24"/>
      <c r="AW250" s="24"/>
      <c r="BD250" s="24"/>
      <c r="BE250" s="24"/>
      <c r="BF250" s="24"/>
      <c r="BG250" s="24"/>
      <c r="BH250" s="24"/>
      <c r="BI250" s="24"/>
      <c r="BP250" s="24"/>
      <c r="BQ250" s="24"/>
      <c r="BR250" s="24"/>
      <c r="BS250" s="24"/>
      <c r="BZ250" s="24"/>
      <c r="CA250" s="24"/>
      <c r="CB250" s="24"/>
      <c r="CC250" s="24"/>
      <c r="CD250" s="24"/>
    </row>
    <row r="251" spans="2:82" s="6" customFormat="1">
      <c r="B251" s="21"/>
      <c r="D251" s="22"/>
      <c r="E251" s="23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R251" s="24"/>
      <c r="AS251" s="24"/>
      <c r="AT251" s="24"/>
      <c r="AU251" s="24"/>
      <c r="AV251" s="24"/>
      <c r="AW251" s="24"/>
      <c r="BD251" s="24"/>
      <c r="BE251" s="24"/>
      <c r="BF251" s="24"/>
      <c r="BG251" s="24"/>
      <c r="BH251" s="24"/>
      <c r="BI251" s="24"/>
      <c r="BP251" s="24"/>
      <c r="BQ251" s="24"/>
      <c r="BR251" s="24"/>
      <c r="BS251" s="24"/>
      <c r="BZ251" s="24"/>
      <c r="CA251" s="24"/>
      <c r="CB251" s="24"/>
      <c r="CC251" s="24"/>
      <c r="CD251" s="24"/>
    </row>
    <row r="252" spans="2:82" s="6" customFormat="1">
      <c r="B252" s="21"/>
      <c r="D252" s="22"/>
      <c r="E252" s="23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R252" s="24"/>
      <c r="AS252" s="24"/>
      <c r="AT252" s="24"/>
      <c r="AU252" s="24"/>
      <c r="AV252" s="24"/>
      <c r="AW252" s="24"/>
      <c r="BD252" s="24"/>
      <c r="BE252" s="24"/>
      <c r="BF252" s="24"/>
      <c r="BG252" s="24"/>
      <c r="BH252" s="24"/>
      <c r="BI252" s="24"/>
      <c r="BP252" s="24"/>
      <c r="BQ252" s="24"/>
      <c r="BR252" s="24"/>
      <c r="BS252" s="24"/>
      <c r="BZ252" s="24"/>
      <c r="CA252" s="24"/>
      <c r="CB252" s="24"/>
      <c r="CC252" s="24"/>
      <c r="CD252" s="24"/>
    </row>
    <row r="253" spans="2:82" s="6" customFormat="1">
      <c r="B253" s="21"/>
      <c r="D253" s="22"/>
      <c r="E253" s="23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R253" s="24"/>
      <c r="AS253" s="24"/>
      <c r="AT253" s="24"/>
      <c r="AU253" s="24"/>
      <c r="AV253" s="24"/>
      <c r="AW253" s="24"/>
      <c r="BD253" s="24"/>
      <c r="BE253" s="24"/>
      <c r="BF253" s="24"/>
      <c r="BG253" s="24"/>
      <c r="BH253" s="24"/>
      <c r="BI253" s="24"/>
      <c r="BP253" s="24"/>
      <c r="BQ253" s="24"/>
      <c r="BR253" s="24"/>
      <c r="BS253" s="24"/>
      <c r="BZ253" s="24"/>
      <c r="CA253" s="24"/>
      <c r="CB253" s="24"/>
      <c r="CC253" s="24"/>
      <c r="CD253" s="24"/>
    </row>
    <row r="254" spans="2:82" s="6" customFormat="1">
      <c r="B254" s="21"/>
      <c r="D254" s="22"/>
      <c r="E254" s="23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R254" s="24"/>
      <c r="AS254" s="24"/>
      <c r="AT254" s="24"/>
      <c r="AU254" s="24"/>
      <c r="AV254" s="24"/>
      <c r="AW254" s="24"/>
      <c r="BD254" s="24"/>
      <c r="BE254" s="24"/>
      <c r="BF254" s="24"/>
      <c r="BG254" s="24"/>
      <c r="BH254" s="24"/>
      <c r="BI254" s="24"/>
      <c r="BP254" s="24"/>
      <c r="BQ254" s="24"/>
      <c r="BR254" s="24"/>
      <c r="BS254" s="24"/>
      <c r="BZ254" s="24"/>
      <c r="CA254" s="24"/>
      <c r="CB254" s="24"/>
      <c r="CC254" s="24"/>
      <c r="CD254" s="24"/>
    </row>
    <row r="255" spans="2:82" s="6" customFormat="1">
      <c r="B255" s="21"/>
      <c r="D255" s="22"/>
      <c r="E255" s="23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R255" s="24"/>
      <c r="AS255" s="24"/>
      <c r="AT255" s="24"/>
      <c r="AU255" s="24"/>
      <c r="AV255" s="24"/>
      <c r="AW255" s="24"/>
      <c r="BD255" s="24"/>
      <c r="BE255" s="24"/>
      <c r="BF255" s="24"/>
      <c r="BG255" s="24"/>
      <c r="BH255" s="24"/>
      <c r="BI255" s="24"/>
      <c r="BP255" s="24"/>
      <c r="BQ255" s="24"/>
      <c r="BR255" s="24"/>
      <c r="BS255" s="24"/>
      <c r="BZ255" s="24"/>
      <c r="CA255" s="24"/>
      <c r="CB255" s="24"/>
      <c r="CC255" s="24"/>
      <c r="CD255" s="24"/>
    </row>
    <row r="256" spans="2:82" s="6" customFormat="1">
      <c r="B256" s="21"/>
      <c r="D256" s="22"/>
      <c r="E256" s="23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R256" s="24"/>
      <c r="AS256" s="24"/>
      <c r="AT256" s="24"/>
      <c r="AU256" s="24"/>
      <c r="AV256" s="24"/>
      <c r="AW256" s="24"/>
      <c r="BD256" s="24"/>
      <c r="BE256" s="24"/>
      <c r="BF256" s="24"/>
      <c r="BG256" s="24"/>
      <c r="BH256" s="24"/>
      <c r="BI256" s="24"/>
      <c r="BP256" s="24"/>
      <c r="BQ256" s="24"/>
      <c r="BR256" s="24"/>
      <c r="BS256" s="24"/>
      <c r="BZ256" s="24"/>
      <c r="CA256" s="24"/>
      <c r="CB256" s="24"/>
      <c r="CC256" s="24"/>
      <c r="CD256" s="24"/>
    </row>
    <row r="257" spans="2:82" s="6" customFormat="1">
      <c r="B257" s="21"/>
      <c r="D257" s="22"/>
      <c r="E257" s="23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R257" s="24"/>
      <c r="AS257" s="24"/>
      <c r="AT257" s="24"/>
      <c r="AU257" s="24"/>
      <c r="AV257" s="24"/>
      <c r="AW257" s="24"/>
      <c r="BD257" s="24"/>
      <c r="BE257" s="24"/>
      <c r="BF257" s="24"/>
      <c r="BG257" s="24"/>
      <c r="BH257" s="24"/>
      <c r="BI257" s="24"/>
      <c r="BP257" s="24"/>
      <c r="BQ257" s="24"/>
      <c r="BR257" s="24"/>
      <c r="BS257" s="24"/>
      <c r="BZ257" s="24"/>
      <c r="CA257" s="24"/>
      <c r="CB257" s="24"/>
      <c r="CC257" s="24"/>
      <c r="CD257" s="24"/>
    </row>
    <row r="258" spans="2:82" s="6" customFormat="1">
      <c r="B258" s="21"/>
      <c r="D258" s="22"/>
      <c r="E258" s="23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R258" s="24"/>
      <c r="AS258" s="24"/>
      <c r="AT258" s="24"/>
      <c r="AU258" s="24"/>
      <c r="AV258" s="24"/>
      <c r="AW258" s="24"/>
      <c r="BD258" s="24"/>
      <c r="BE258" s="24"/>
      <c r="BF258" s="24"/>
      <c r="BG258" s="24"/>
      <c r="BH258" s="24"/>
      <c r="BI258" s="24"/>
      <c r="BP258" s="24"/>
      <c r="BQ258" s="24"/>
      <c r="BR258" s="24"/>
      <c r="BS258" s="24"/>
      <c r="BZ258" s="24"/>
      <c r="CA258" s="24"/>
      <c r="CB258" s="24"/>
      <c r="CC258" s="24"/>
      <c r="CD258" s="24"/>
    </row>
    <row r="259" spans="2:82" s="6" customFormat="1">
      <c r="B259" s="21"/>
      <c r="D259" s="22"/>
      <c r="E259" s="23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R259" s="24"/>
      <c r="AS259" s="24"/>
      <c r="AT259" s="24"/>
      <c r="AU259" s="24"/>
      <c r="AV259" s="24"/>
      <c r="AW259" s="24"/>
      <c r="BD259" s="24"/>
      <c r="BE259" s="24"/>
      <c r="BF259" s="24"/>
      <c r="BG259" s="24"/>
      <c r="BH259" s="24"/>
      <c r="BI259" s="24"/>
      <c r="BP259" s="24"/>
      <c r="BQ259" s="24"/>
      <c r="BR259" s="24"/>
      <c r="BS259" s="24"/>
      <c r="BZ259" s="24"/>
      <c r="CA259" s="24"/>
      <c r="CB259" s="24"/>
      <c r="CC259" s="24"/>
      <c r="CD259" s="24"/>
    </row>
    <row r="260" spans="2:82" s="6" customFormat="1">
      <c r="B260" s="21"/>
      <c r="D260" s="22"/>
      <c r="E260" s="23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R260" s="24"/>
      <c r="AS260" s="24"/>
      <c r="AT260" s="24"/>
      <c r="AU260" s="24"/>
      <c r="AV260" s="24"/>
      <c r="AW260" s="24"/>
      <c r="BD260" s="24"/>
      <c r="BE260" s="24"/>
      <c r="BF260" s="24"/>
      <c r="BG260" s="24"/>
      <c r="BH260" s="24"/>
      <c r="BI260" s="24"/>
      <c r="BP260" s="24"/>
      <c r="BQ260" s="24"/>
      <c r="BR260" s="24"/>
      <c r="BS260" s="24"/>
      <c r="BZ260" s="24"/>
      <c r="CA260" s="24"/>
      <c r="CB260" s="24"/>
      <c r="CC260" s="24"/>
      <c r="CD260" s="24"/>
    </row>
    <row r="261" spans="2:82" s="6" customFormat="1">
      <c r="B261" s="21"/>
      <c r="D261" s="22"/>
      <c r="E261" s="23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R261" s="24"/>
      <c r="AS261" s="24"/>
      <c r="AT261" s="24"/>
      <c r="AU261" s="24"/>
      <c r="AV261" s="24"/>
      <c r="AW261" s="24"/>
      <c r="BD261" s="24"/>
      <c r="BE261" s="24"/>
      <c r="BF261" s="24"/>
      <c r="BG261" s="24"/>
      <c r="BH261" s="24"/>
      <c r="BI261" s="24"/>
      <c r="BP261" s="24"/>
      <c r="BQ261" s="24"/>
      <c r="BR261" s="24"/>
      <c r="BS261" s="24"/>
      <c r="BZ261" s="24"/>
      <c r="CA261" s="24"/>
      <c r="CB261" s="24"/>
      <c r="CC261" s="24"/>
      <c r="CD261" s="24"/>
    </row>
    <row r="262" spans="2:82" s="6" customFormat="1">
      <c r="B262" s="21"/>
      <c r="D262" s="17"/>
      <c r="E262" s="23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R262" s="24"/>
      <c r="AS262" s="24"/>
      <c r="AT262" s="24"/>
      <c r="AU262" s="24"/>
      <c r="AV262" s="24"/>
      <c r="AW262" s="24"/>
      <c r="BD262" s="24"/>
      <c r="BE262" s="24"/>
      <c r="BF262" s="24"/>
      <c r="BG262" s="24"/>
      <c r="BH262" s="24"/>
      <c r="BI262" s="24"/>
      <c r="BP262" s="24"/>
      <c r="BQ262" s="24"/>
      <c r="BR262" s="24"/>
      <c r="BS262" s="24"/>
      <c r="BZ262" s="24"/>
      <c r="CA262" s="24"/>
      <c r="CB262" s="24"/>
      <c r="CC262" s="24"/>
      <c r="CD262" s="24"/>
    </row>
    <row r="263" spans="2:82" s="6" customFormat="1">
      <c r="B263" s="21"/>
      <c r="D263" s="17"/>
      <c r="E263" s="23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R263" s="24"/>
      <c r="AS263" s="24"/>
      <c r="AT263" s="24"/>
      <c r="AU263" s="24"/>
      <c r="AV263" s="24"/>
      <c r="AW263" s="24"/>
      <c r="BD263" s="24"/>
      <c r="BE263" s="24"/>
      <c r="BF263" s="24"/>
      <c r="BG263" s="24"/>
      <c r="BH263" s="24"/>
      <c r="BI263" s="24"/>
      <c r="BP263" s="24"/>
      <c r="BQ263" s="24"/>
      <c r="BR263" s="24"/>
      <c r="BS263" s="24"/>
      <c r="BZ263" s="24"/>
      <c r="CA263" s="24"/>
      <c r="CB263" s="24"/>
      <c r="CC263" s="24"/>
      <c r="CD263" s="24"/>
    </row>
    <row r="264" spans="2:82" s="6" customFormat="1">
      <c r="B264" s="21"/>
      <c r="D264" s="17"/>
      <c r="E264" s="23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R264" s="24"/>
      <c r="AS264" s="24"/>
      <c r="AT264" s="24"/>
      <c r="AU264" s="24"/>
      <c r="AV264" s="24"/>
      <c r="AW264" s="24"/>
      <c r="BD264" s="24"/>
      <c r="BE264" s="24"/>
      <c r="BF264" s="24"/>
      <c r="BG264" s="24"/>
      <c r="BH264" s="24"/>
      <c r="BI264" s="24"/>
      <c r="BP264" s="24"/>
      <c r="BQ264" s="24"/>
      <c r="BR264" s="24"/>
      <c r="BS264" s="24"/>
      <c r="BZ264" s="24"/>
      <c r="CA264" s="24"/>
      <c r="CB264" s="24"/>
      <c r="CC264" s="24"/>
      <c r="CD264" s="24"/>
    </row>
    <row r="265" spans="2:82" s="6" customFormat="1">
      <c r="B265" s="21"/>
      <c r="D265" s="17"/>
      <c r="E265" s="23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R265" s="24"/>
      <c r="AS265" s="24"/>
      <c r="AT265" s="24"/>
      <c r="AU265" s="24"/>
      <c r="AV265" s="24"/>
      <c r="AW265" s="24"/>
      <c r="BD265" s="24"/>
      <c r="BE265" s="24"/>
      <c r="BF265" s="24"/>
      <c r="BG265" s="24"/>
      <c r="BH265" s="24"/>
      <c r="BI265" s="24"/>
      <c r="BP265" s="24"/>
      <c r="BQ265" s="24"/>
      <c r="BR265" s="24"/>
      <c r="BS265" s="24"/>
      <c r="BZ265" s="24"/>
      <c r="CA265" s="24"/>
      <c r="CB265" s="24"/>
      <c r="CC265" s="24"/>
      <c r="CD265" s="24"/>
    </row>
    <row r="266" spans="2:82" s="6" customFormat="1">
      <c r="B266" s="21"/>
      <c r="D266" s="17"/>
      <c r="E266" s="23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R266" s="24"/>
      <c r="AS266" s="24"/>
      <c r="AT266" s="24"/>
      <c r="AU266" s="24"/>
      <c r="AV266" s="24"/>
      <c r="AW266" s="24"/>
      <c r="BD266" s="24"/>
      <c r="BE266" s="24"/>
      <c r="BF266" s="24"/>
      <c r="BG266" s="24"/>
      <c r="BH266" s="24"/>
      <c r="BI266" s="24"/>
      <c r="BP266" s="24"/>
      <c r="BQ266" s="24"/>
      <c r="BR266" s="24"/>
      <c r="BS266" s="24"/>
      <c r="BZ266" s="24"/>
      <c r="CA266" s="24"/>
      <c r="CB266" s="24"/>
      <c r="CC266" s="24"/>
      <c r="CD266" s="24"/>
    </row>
    <row r="267" spans="2:82" s="6" customFormat="1">
      <c r="B267" s="21"/>
      <c r="D267" s="17"/>
      <c r="E267" s="23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R267" s="24"/>
      <c r="AS267" s="24"/>
      <c r="AT267" s="24"/>
      <c r="AU267" s="24"/>
      <c r="AV267" s="24"/>
      <c r="AW267" s="24"/>
      <c r="BD267" s="24"/>
      <c r="BE267" s="24"/>
      <c r="BF267" s="24"/>
      <c r="BG267" s="24"/>
      <c r="BH267" s="24"/>
      <c r="BI267" s="24"/>
      <c r="BP267" s="24"/>
      <c r="BQ267" s="24"/>
      <c r="BR267" s="24"/>
      <c r="BS267" s="24"/>
      <c r="BZ267" s="24"/>
      <c r="CA267" s="24"/>
      <c r="CB267" s="24"/>
      <c r="CC267" s="24"/>
      <c r="CD267" s="24"/>
    </row>
    <row r="268" spans="2:82" s="6" customFormat="1">
      <c r="B268" s="21"/>
      <c r="D268" s="17"/>
      <c r="E268" s="23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R268" s="24"/>
      <c r="AS268" s="24"/>
      <c r="AT268" s="24"/>
      <c r="AU268" s="24"/>
      <c r="AV268" s="24"/>
      <c r="AW268" s="24"/>
      <c r="BD268" s="24"/>
      <c r="BE268" s="24"/>
      <c r="BF268" s="24"/>
      <c r="BG268" s="24"/>
      <c r="BH268" s="24"/>
      <c r="BI268" s="24"/>
      <c r="BP268" s="24"/>
      <c r="BQ268" s="24"/>
      <c r="BR268" s="24"/>
      <c r="BS268" s="24"/>
      <c r="BZ268" s="24"/>
      <c r="CA268" s="24"/>
      <c r="CB268" s="24"/>
      <c r="CC268" s="24"/>
      <c r="CD268" s="24"/>
    </row>
    <row r="269" spans="2:82" s="6" customFormat="1">
      <c r="B269" s="21"/>
      <c r="D269" s="17"/>
      <c r="E269" s="23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R269" s="24"/>
      <c r="AS269" s="24"/>
      <c r="AT269" s="24"/>
      <c r="AU269" s="24"/>
      <c r="AV269" s="24"/>
      <c r="AW269" s="24"/>
      <c r="BD269" s="24"/>
      <c r="BE269" s="24"/>
      <c r="BF269" s="24"/>
      <c r="BG269" s="24"/>
      <c r="BH269" s="24"/>
      <c r="BI269" s="24"/>
      <c r="BP269" s="24"/>
      <c r="BQ269" s="24"/>
      <c r="BR269" s="24"/>
      <c r="BS269" s="24"/>
      <c r="BZ269" s="24"/>
      <c r="CA269" s="24"/>
      <c r="CB269" s="24"/>
      <c r="CC269" s="24"/>
      <c r="CD269" s="24"/>
    </row>
    <row r="270" spans="2:82" s="6" customFormat="1">
      <c r="B270" s="21"/>
      <c r="D270" s="17"/>
      <c r="E270" s="23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R270" s="24"/>
      <c r="AS270" s="24"/>
      <c r="AT270" s="24"/>
      <c r="AU270" s="24"/>
      <c r="AV270" s="24"/>
      <c r="AW270" s="24"/>
      <c r="BD270" s="24"/>
      <c r="BE270" s="24"/>
      <c r="BF270" s="24"/>
      <c r="BG270" s="24"/>
      <c r="BH270" s="24"/>
      <c r="BI270" s="24"/>
      <c r="BP270" s="24"/>
      <c r="BQ270" s="24"/>
      <c r="BR270" s="24"/>
      <c r="BS270" s="24"/>
      <c r="BZ270" s="24"/>
      <c r="CA270" s="24"/>
      <c r="CB270" s="24"/>
      <c r="CC270" s="24"/>
      <c r="CD270" s="24"/>
    </row>
    <row r="271" spans="2:82" s="6" customFormat="1">
      <c r="B271" s="21"/>
      <c r="D271" s="17"/>
      <c r="E271" s="23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R271" s="24"/>
      <c r="AS271" s="24"/>
      <c r="AT271" s="24"/>
      <c r="AU271" s="24"/>
      <c r="AV271" s="24"/>
      <c r="AW271" s="24"/>
      <c r="BD271" s="24"/>
      <c r="BE271" s="24"/>
      <c r="BF271" s="24"/>
      <c r="BG271" s="24"/>
      <c r="BH271" s="24"/>
      <c r="BI271" s="24"/>
      <c r="BP271" s="24"/>
      <c r="BQ271" s="24"/>
      <c r="BR271" s="24"/>
      <c r="BS271" s="24"/>
      <c r="BZ271" s="24"/>
      <c r="CA271" s="24"/>
      <c r="CB271" s="24"/>
      <c r="CC271" s="24"/>
      <c r="CD271" s="24"/>
    </row>
    <row r="272" spans="2:82" s="6" customFormat="1">
      <c r="B272" s="21"/>
      <c r="D272" s="17"/>
      <c r="E272" s="23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R272" s="24"/>
      <c r="AS272" s="24"/>
      <c r="AT272" s="24"/>
      <c r="AU272" s="24"/>
      <c r="AV272" s="24"/>
      <c r="AW272" s="24"/>
      <c r="BD272" s="24"/>
      <c r="BE272" s="24"/>
      <c r="BF272" s="24"/>
      <c r="BG272" s="24"/>
      <c r="BH272" s="24"/>
      <c r="BI272" s="24"/>
      <c r="BP272" s="24"/>
      <c r="BQ272" s="24"/>
      <c r="BR272" s="24"/>
      <c r="BS272" s="24"/>
      <c r="BZ272" s="24"/>
      <c r="CA272" s="24"/>
      <c r="CB272" s="24"/>
      <c r="CC272" s="24"/>
      <c r="CD272" s="24"/>
    </row>
    <row r="273" spans="2:82" s="6" customFormat="1">
      <c r="B273" s="21"/>
      <c r="D273" s="17"/>
      <c r="E273" s="23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R273" s="24"/>
      <c r="AS273" s="24"/>
      <c r="AT273" s="24"/>
      <c r="AU273" s="24"/>
      <c r="AV273" s="24"/>
      <c r="AW273" s="24"/>
      <c r="BD273" s="24"/>
      <c r="BE273" s="24"/>
      <c r="BF273" s="24"/>
      <c r="BG273" s="24"/>
      <c r="BH273" s="24"/>
      <c r="BI273" s="24"/>
      <c r="BP273" s="24"/>
      <c r="BQ273" s="24"/>
      <c r="BR273" s="24"/>
      <c r="BS273" s="24"/>
      <c r="BZ273" s="24"/>
      <c r="CA273" s="24"/>
      <c r="CB273" s="24"/>
      <c r="CC273" s="24"/>
      <c r="CD273" s="24"/>
    </row>
    <row r="274" spans="2:82" s="6" customFormat="1">
      <c r="B274" s="21"/>
      <c r="D274" s="17"/>
      <c r="E274" s="23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R274" s="24"/>
      <c r="AS274" s="24"/>
      <c r="AT274" s="24"/>
      <c r="AU274" s="24"/>
      <c r="AV274" s="24"/>
      <c r="AW274" s="24"/>
      <c r="BD274" s="24"/>
      <c r="BE274" s="24"/>
      <c r="BF274" s="24"/>
      <c r="BG274" s="24"/>
      <c r="BH274" s="24"/>
      <c r="BI274" s="24"/>
      <c r="BP274" s="24"/>
      <c r="BQ274" s="24"/>
      <c r="BR274" s="24"/>
      <c r="BS274" s="24"/>
      <c r="BZ274" s="24"/>
      <c r="CA274" s="24"/>
      <c r="CB274" s="24"/>
      <c r="CC274" s="24"/>
      <c r="CD274" s="24"/>
    </row>
    <row r="275" spans="2:82" s="6" customFormat="1">
      <c r="B275" s="21"/>
      <c r="D275" s="17"/>
      <c r="E275" s="23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R275" s="24"/>
      <c r="AS275" s="24"/>
      <c r="AT275" s="24"/>
      <c r="AU275" s="24"/>
      <c r="AV275" s="24"/>
      <c r="AW275" s="24"/>
      <c r="BD275" s="24"/>
      <c r="BE275" s="24"/>
      <c r="BF275" s="24"/>
      <c r="BG275" s="24"/>
      <c r="BH275" s="24"/>
      <c r="BI275" s="24"/>
      <c r="BP275" s="24"/>
      <c r="BQ275" s="24"/>
      <c r="BR275" s="24"/>
      <c r="BS275" s="24"/>
      <c r="BZ275" s="24"/>
      <c r="CA275" s="24"/>
      <c r="CB275" s="24"/>
      <c r="CC275" s="24"/>
      <c r="CD275" s="24"/>
    </row>
    <row r="276" spans="2:82" s="6" customFormat="1">
      <c r="B276" s="21"/>
      <c r="D276" s="17"/>
      <c r="E276" s="23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R276" s="24"/>
      <c r="AS276" s="24"/>
      <c r="AT276" s="24"/>
      <c r="AU276" s="24"/>
      <c r="AV276" s="24"/>
      <c r="AW276" s="24"/>
      <c r="BD276" s="24"/>
      <c r="BE276" s="24"/>
      <c r="BF276" s="24"/>
      <c r="BG276" s="24"/>
      <c r="BH276" s="24"/>
      <c r="BI276" s="24"/>
      <c r="BP276" s="24"/>
      <c r="BQ276" s="24"/>
      <c r="BR276" s="24"/>
      <c r="BS276" s="24"/>
      <c r="BZ276" s="24"/>
      <c r="CA276" s="24"/>
      <c r="CB276" s="24"/>
      <c r="CC276" s="24"/>
      <c r="CD276" s="24"/>
    </row>
    <row r="277" spans="2:82" s="6" customFormat="1">
      <c r="B277" s="21"/>
      <c r="D277" s="17"/>
      <c r="E277" s="23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R277" s="24"/>
      <c r="AS277" s="24"/>
      <c r="AT277" s="24"/>
      <c r="AU277" s="24"/>
      <c r="AV277" s="24"/>
      <c r="AW277" s="24"/>
      <c r="BD277" s="24"/>
      <c r="BE277" s="24"/>
      <c r="BF277" s="24"/>
      <c r="BG277" s="24"/>
      <c r="BH277" s="24"/>
      <c r="BI277" s="24"/>
      <c r="BP277" s="24"/>
      <c r="BQ277" s="24"/>
      <c r="BR277" s="24"/>
      <c r="BS277" s="24"/>
      <c r="BZ277" s="24"/>
      <c r="CA277" s="24"/>
      <c r="CB277" s="24"/>
      <c r="CC277" s="24"/>
      <c r="CD277" s="24"/>
    </row>
    <row r="278" spans="2:82" s="6" customFormat="1">
      <c r="B278" s="21"/>
      <c r="D278" s="17"/>
      <c r="E278" s="23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R278" s="24"/>
      <c r="AS278" s="24"/>
      <c r="AT278" s="24"/>
      <c r="AU278" s="24"/>
      <c r="AV278" s="24"/>
      <c r="AW278" s="24"/>
      <c r="BD278" s="24"/>
      <c r="BE278" s="24"/>
      <c r="BF278" s="24"/>
      <c r="BG278" s="24"/>
      <c r="BH278" s="24"/>
      <c r="BI278" s="24"/>
      <c r="BP278" s="24"/>
      <c r="BQ278" s="24"/>
      <c r="BR278" s="24"/>
      <c r="BS278" s="24"/>
      <c r="BZ278" s="24"/>
      <c r="CA278" s="24"/>
      <c r="CB278" s="24"/>
      <c r="CC278" s="24"/>
      <c r="CD278" s="24"/>
    </row>
    <row r="279" spans="2:82" s="6" customFormat="1">
      <c r="B279" s="21"/>
      <c r="D279" s="17"/>
      <c r="E279" s="23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R279" s="24"/>
      <c r="AS279" s="24"/>
      <c r="AT279" s="24"/>
      <c r="AU279" s="24"/>
      <c r="AV279" s="24"/>
      <c r="AW279" s="24"/>
      <c r="BD279" s="24"/>
      <c r="BE279" s="24"/>
      <c r="BF279" s="24"/>
      <c r="BG279" s="24"/>
      <c r="BH279" s="24"/>
      <c r="BI279" s="24"/>
      <c r="BP279" s="24"/>
      <c r="BQ279" s="24"/>
      <c r="BR279" s="24"/>
      <c r="BS279" s="24"/>
      <c r="BZ279" s="24"/>
      <c r="CA279" s="24"/>
      <c r="CB279" s="24"/>
      <c r="CC279" s="24"/>
      <c r="CD279" s="24"/>
    </row>
    <row r="280" spans="2:82" s="6" customFormat="1">
      <c r="B280" s="21"/>
      <c r="D280" s="17"/>
      <c r="E280" s="23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R280" s="24"/>
      <c r="AS280" s="24"/>
      <c r="AT280" s="24"/>
      <c r="AU280" s="24"/>
      <c r="AV280" s="24"/>
      <c r="AW280" s="24"/>
      <c r="BD280" s="24"/>
      <c r="BE280" s="24"/>
      <c r="BF280" s="24"/>
      <c r="BG280" s="24"/>
      <c r="BH280" s="24"/>
      <c r="BI280" s="24"/>
      <c r="BP280" s="24"/>
      <c r="BQ280" s="24"/>
      <c r="BR280" s="24"/>
      <c r="BS280" s="24"/>
      <c r="BZ280" s="24"/>
      <c r="CA280" s="24"/>
      <c r="CB280" s="24"/>
      <c r="CC280" s="24"/>
      <c r="CD280" s="24"/>
    </row>
    <row r="281" spans="2:82" s="6" customFormat="1">
      <c r="B281" s="21"/>
      <c r="D281" s="17"/>
      <c r="E281" s="23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R281" s="24"/>
      <c r="AS281" s="24"/>
      <c r="AT281" s="24"/>
      <c r="AU281" s="24"/>
      <c r="AV281" s="24"/>
      <c r="AW281" s="24"/>
      <c r="BD281" s="24"/>
      <c r="BE281" s="24"/>
      <c r="BF281" s="24"/>
      <c r="BG281" s="24"/>
      <c r="BH281" s="24"/>
      <c r="BI281" s="24"/>
      <c r="BP281" s="24"/>
      <c r="BQ281" s="24"/>
      <c r="BR281" s="24"/>
      <c r="BS281" s="24"/>
      <c r="BZ281" s="24"/>
      <c r="CA281" s="24"/>
      <c r="CB281" s="24"/>
      <c r="CC281" s="24"/>
      <c r="CD281" s="24"/>
    </row>
    <row r="282" spans="2:82" s="6" customFormat="1">
      <c r="B282" s="21"/>
      <c r="D282" s="17"/>
      <c r="E282" s="23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R282" s="24"/>
      <c r="AS282" s="24"/>
      <c r="AT282" s="24"/>
      <c r="AU282" s="24"/>
      <c r="AV282" s="24"/>
      <c r="AW282" s="24"/>
      <c r="BD282" s="24"/>
      <c r="BE282" s="24"/>
      <c r="BF282" s="24"/>
      <c r="BG282" s="24"/>
      <c r="BH282" s="24"/>
      <c r="BI282" s="24"/>
      <c r="BP282" s="24"/>
      <c r="BQ282" s="24"/>
      <c r="BR282" s="24"/>
      <c r="BS282" s="24"/>
      <c r="BZ282" s="24"/>
      <c r="CA282" s="24"/>
      <c r="CB282" s="24"/>
      <c r="CC282" s="24"/>
      <c r="CD282" s="24"/>
    </row>
    <row r="283" spans="2:82" s="6" customFormat="1">
      <c r="B283" s="21"/>
      <c r="D283" s="17"/>
      <c r="E283" s="23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R283" s="24"/>
      <c r="AS283" s="24"/>
      <c r="AT283" s="24"/>
      <c r="AU283" s="24"/>
      <c r="AV283" s="24"/>
      <c r="AW283" s="24"/>
      <c r="BD283" s="24"/>
      <c r="BE283" s="24"/>
      <c r="BF283" s="24"/>
      <c r="BG283" s="24"/>
      <c r="BH283" s="24"/>
      <c r="BI283" s="24"/>
      <c r="BP283" s="24"/>
      <c r="BQ283" s="24"/>
      <c r="BR283" s="24"/>
      <c r="BS283" s="24"/>
      <c r="BZ283" s="24"/>
      <c r="CA283" s="24"/>
      <c r="CB283" s="24"/>
      <c r="CC283" s="24"/>
      <c r="CD283" s="24"/>
    </row>
    <row r="284" spans="2:82" s="6" customFormat="1">
      <c r="B284" s="21"/>
      <c r="D284" s="17"/>
      <c r="E284" s="23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R284" s="24"/>
      <c r="AS284" s="24"/>
      <c r="AT284" s="24"/>
      <c r="AU284" s="24"/>
      <c r="AV284" s="24"/>
      <c r="AW284" s="24"/>
      <c r="BD284" s="24"/>
      <c r="BE284" s="24"/>
      <c r="BF284" s="24"/>
      <c r="BG284" s="24"/>
      <c r="BH284" s="24"/>
      <c r="BI284" s="24"/>
      <c r="BP284" s="24"/>
      <c r="BQ284" s="24"/>
      <c r="BR284" s="24"/>
      <c r="BS284" s="24"/>
      <c r="BZ284" s="24"/>
      <c r="CA284" s="24"/>
      <c r="CB284" s="24"/>
      <c r="CC284" s="24"/>
      <c r="CD284" s="24"/>
    </row>
    <row r="285" spans="2:82" s="6" customFormat="1">
      <c r="B285" s="21"/>
      <c r="D285" s="17"/>
      <c r="E285" s="23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R285" s="24"/>
      <c r="AS285" s="24"/>
      <c r="AT285" s="24"/>
      <c r="AU285" s="24"/>
      <c r="AV285" s="24"/>
      <c r="AW285" s="24"/>
      <c r="BD285" s="24"/>
      <c r="BE285" s="24"/>
      <c r="BF285" s="24"/>
      <c r="BG285" s="24"/>
      <c r="BH285" s="24"/>
      <c r="BI285" s="24"/>
      <c r="BP285" s="24"/>
      <c r="BQ285" s="24"/>
      <c r="BR285" s="24"/>
      <c r="BS285" s="24"/>
      <c r="BZ285" s="24"/>
      <c r="CA285" s="24"/>
      <c r="CB285" s="24"/>
      <c r="CC285" s="24"/>
      <c r="CD285" s="24"/>
    </row>
    <row r="286" spans="2:82" s="6" customFormat="1">
      <c r="B286" s="21"/>
      <c r="D286" s="17"/>
      <c r="E286" s="23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R286" s="24"/>
      <c r="AS286" s="24"/>
      <c r="AT286" s="24"/>
      <c r="AU286" s="24"/>
      <c r="AV286" s="24"/>
      <c r="AW286" s="24"/>
      <c r="BD286" s="24"/>
      <c r="BE286" s="24"/>
      <c r="BF286" s="24"/>
      <c r="BG286" s="24"/>
      <c r="BH286" s="24"/>
      <c r="BI286" s="24"/>
      <c r="BP286" s="24"/>
      <c r="BQ286" s="24"/>
      <c r="BR286" s="24"/>
      <c r="BS286" s="24"/>
      <c r="BZ286" s="24"/>
      <c r="CA286" s="24"/>
      <c r="CB286" s="24"/>
      <c r="CC286" s="24"/>
      <c r="CD286" s="24"/>
    </row>
    <row r="287" spans="2:82" s="6" customFormat="1">
      <c r="B287" s="21"/>
      <c r="D287" s="17"/>
      <c r="E287" s="23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R287" s="24"/>
      <c r="AS287" s="24"/>
      <c r="AT287" s="24"/>
      <c r="AU287" s="24"/>
      <c r="AV287" s="24"/>
      <c r="AW287" s="24"/>
      <c r="BD287" s="24"/>
      <c r="BE287" s="24"/>
      <c r="BF287" s="24"/>
      <c r="BG287" s="24"/>
      <c r="BH287" s="24"/>
      <c r="BI287" s="24"/>
      <c r="BP287" s="24"/>
      <c r="BQ287" s="24"/>
      <c r="BR287" s="24"/>
      <c r="BS287" s="24"/>
      <c r="BZ287" s="24"/>
      <c r="CA287" s="24"/>
      <c r="CB287" s="24"/>
      <c r="CC287" s="24"/>
      <c r="CD287" s="24"/>
    </row>
    <row r="288" spans="2:82" s="6" customFormat="1">
      <c r="B288" s="21"/>
      <c r="D288" s="17"/>
      <c r="E288" s="23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R288" s="24"/>
      <c r="AS288" s="24"/>
      <c r="AT288" s="24"/>
      <c r="AU288" s="24"/>
      <c r="AV288" s="24"/>
      <c r="AW288" s="24"/>
      <c r="BD288" s="24"/>
      <c r="BE288" s="24"/>
      <c r="BF288" s="24"/>
      <c r="BG288" s="24"/>
      <c r="BH288" s="24"/>
      <c r="BI288" s="24"/>
      <c r="BP288" s="24"/>
      <c r="BQ288" s="24"/>
      <c r="BR288" s="24"/>
      <c r="BS288" s="24"/>
      <c r="BZ288" s="24"/>
      <c r="CA288" s="24"/>
      <c r="CB288" s="24"/>
      <c r="CC288" s="24"/>
      <c r="CD288" s="24"/>
    </row>
    <row r="289" spans="2:82" s="6" customFormat="1">
      <c r="B289" s="21"/>
      <c r="D289" s="17"/>
      <c r="E289" s="23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R289" s="24"/>
      <c r="AS289" s="24"/>
      <c r="AT289" s="24"/>
      <c r="AU289" s="24"/>
      <c r="AV289" s="24"/>
      <c r="AW289" s="24"/>
      <c r="BD289" s="24"/>
      <c r="BE289" s="24"/>
      <c r="BF289" s="24"/>
      <c r="BG289" s="24"/>
      <c r="BH289" s="24"/>
      <c r="BI289" s="24"/>
      <c r="BP289" s="24"/>
      <c r="BQ289" s="24"/>
      <c r="BR289" s="24"/>
      <c r="BS289" s="24"/>
      <c r="BZ289" s="24"/>
      <c r="CA289" s="24"/>
      <c r="CB289" s="24"/>
      <c r="CC289" s="24"/>
      <c r="CD289" s="24"/>
    </row>
    <row r="290" spans="2:82" s="6" customFormat="1">
      <c r="B290" s="21"/>
      <c r="D290" s="17"/>
      <c r="E290" s="23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R290" s="24"/>
      <c r="AS290" s="24"/>
      <c r="AT290" s="24"/>
      <c r="AU290" s="24"/>
      <c r="AV290" s="24"/>
      <c r="AW290" s="24"/>
      <c r="BD290" s="24"/>
      <c r="BE290" s="24"/>
      <c r="BF290" s="24"/>
      <c r="BG290" s="24"/>
      <c r="BH290" s="24"/>
      <c r="BI290" s="24"/>
      <c r="BP290" s="24"/>
      <c r="BQ290" s="24"/>
      <c r="BR290" s="24"/>
      <c r="BS290" s="24"/>
      <c r="BZ290" s="24"/>
      <c r="CA290" s="24"/>
      <c r="CB290" s="24"/>
      <c r="CC290" s="24"/>
      <c r="CD290" s="24"/>
    </row>
    <row r="291" spans="2:82" s="6" customFormat="1">
      <c r="B291" s="21"/>
      <c r="D291" s="17"/>
      <c r="E291" s="23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R291" s="24"/>
      <c r="AS291" s="24"/>
      <c r="AT291" s="24"/>
      <c r="AU291" s="24"/>
      <c r="AV291" s="24"/>
      <c r="AW291" s="24"/>
      <c r="BD291" s="24"/>
      <c r="BE291" s="24"/>
      <c r="BF291" s="24"/>
      <c r="BG291" s="24"/>
      <c r="BH291" s="24"/>
      <c r="BI291" s="24"/>
      <c r="BP291" s="24"/>
      <c r="BQ291" s="24"/>
      <c r="BR291" s="24"/>
      <c r="BS291" s="24"/>
      <c r="BZ291" s="24"/>
      <c r="CA291" s="24"/>
      <c r="CB291" s="24"/>
      <c r="CC291" s="24"/>
      <c r="CD291" s="24"/>
    </row>
    <row r="292" spans="2:82" s="6" customFormat="1">
      <c r="B292" s="21"/>
      <c r="D292" s="17"/>
      <c r="E292" s="23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R292" s="24"/>
      <c r="AS292" s="24"/>
      <c r="AT292" s="24"/>
      <c r="AU292" s="24"/>
      <c r="AV292" s="24"/>
      <c r="AW292" s="24"/>
      <c r="BD292" s="24"/>
      <c r="BE292" s="24"/>
      <c r="BF292" s="24"/>
      <c r="BG292" s="24"/>
      <c r="BH292" s="24"/>
      <c r="BI292" s="24"/>
      <c r="BP292" s="24"/>
      <c r="BQ292" s="24"/>
      <c r="BR292" s="24"/>
      <c r="BS292" s="24"/>
      <c r="BZ292" s="24"/>
      <c r="CA292" s="24"/>
      <c r="CB292" s="24"/>
      <c r="CC292" s="24"/>
      <c r="CD292" s="24"/>
    </row>
    <row r="293" spans="2:82" s="6" customFormat="1">
      <c r="B293" s="21"/>
      <c r="D293" s="17"/>
      <c r="E293" s="23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R293" s="24"/>
      <c r="AS293" s="24"/>
      <c r="AT293" s="24"/>
      <c r="AU293" s="24"/>
      <c r="AV293" s="24"/>
      <c r="AW293" s="24"/>
      <c r="BD293" s="24"/>
      <c r="BE293" s="24"/>
      <c r="BF293" s="24"/>
      <c r="BG293" s="24"/>
      <c r="BH293" s="24"/>
      <c r="BI293" s="24"/>
      <c r="BP293" s="24"/>
      <c r="BQ293" s="24"/>
      <c r="BR293" s="24"/>
      <c r="BS293" s="24"/>
      <c r="BZ293" s="24"/>
      <c r="CA293" s="24"/>
      <c r="CB293" s="24"/>
      <c r="CC293" s="24"/>
      <c r="CD293" s="24"/>
    </row>
    <row r="294" spans="2:82" s="6" customFormat="1">
      <c r="B294" s="21"/>
      <c r="D294" s="17"/>
      <c r="E294" s="23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R294" s="24"/>
      <c r="AS294" s="24"/>
      <c r="AT294" s="24"/>
      <c r="AU294" s="24"/>
      <c r="AV294" s="24"/>
      <c r="AW294" s="24"/>
      <c r="BD294" s="24"/>
      <c r="BE294" s="24"/>
      <c r="BF294" s="24"/>
      <c r="BG294" s="24"/>
      <c r="BH294" s="24"/>
      <c r="BI294" s="24"/>
      <c r="BP294" s="24"/>
      <c r="BQ294" s="24"/>
      <c r="BR294" s="24"/>
      <c r="BS294" s="24"/>
      <c r="BZ294" s="24"/>
      <c r="CA294" s="24"/>
      <c r="CB294" s="24"/>
      <c r="CC294" s="24"/>
      <c r="CD294" s="24"/>
    </row>
    <row r="295" spans="2:82" s="6" customFormat="1">
      <c r="B295" s="21"/>
      <c r="D295" s="17"/>
      <c r="E295" s="23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R295" s="24"/>
      <c r="AS295" s="24"/>
      <c r="AT295" s="24"/>
      <c r="AU295" s="24"/>
      <c r="AV295" s="24"/>
      <c r="AW295" s="24"/>
      <c r="BD295" s="24"/>
      <c r="BE295" s="24"/>
      <c r="BF295" s="24"/>
      <c r="BG295" s="24"/>
      <c r="BH295" s="24"/>
      <c r="BI295" s="24"/>
      <c r="BP295" s="24"/>
      <c r="BQ295" s="24"/>
      <c r="BR295" s="24"/>
      <c r="BS295" s="24"/>
      <c r="BZ295" s="24"/>
      <c r="CA295" s="24"/>
      <c r="CB295" s="24"/>
      <c r="CC295" s="24"/>
      <c r="CD295" s="24"/>
    </row>
    <row r="296" spans="2:82" s="6" customFormat="1">
      <c r="B296" s="21"/>
      <c r="D296" s="17"/>
      <c r="E296" s="23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R296" s="24"/>
      <c r="AS296" s="24"/>
      <c r="AT296" s="24"/>
      <c r="AU296" s="24"/>
      <c r="AV296" s="24"/>
      <c r="AW296" s="24"/>
      <c r="BD296" s="24"/>
      <c r="BE296" s="24"/>
      <c r="BF296" s="24"/>
      <c r="BG296" s="24"/>
      <c r="BH296" s="24"/>
      <c r="BI296" s="24"/>
      <c r="BP296" s="24"/>
      <c r="BQ296" s="24"/>
      <c r="BR296" s="24"/>
      <c r="BS296" s="24"/>
      <c r="BZ296" s="24"/>
      <c r="CA296" s="24"/>
      <c r="CB296" s="24"/>
      <c r="CC296" s="24"/>
      <c r="CD296" s="24"/>
    </row>
    <row r="297" spans="2:82" s="6" customFormat="1">
      <c r="B297" s="21"/>
      <c r="D297" s="17"/>
      <c r="E297" s="23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R297" s="24"/>
      <c r="AS297" s="24"/>
      <c r="AT297" s="24"/>
      <c r="AU297" s="24"/>
      <c r="AV297" s="24"/>
      <c r="AW297" s="24"/>
      <c r="BD297" s="24"/>
      <c r="BE297" s="24"/>
      <c r="BF297" s="24"/>
      <c r="BG297" s="24"/>
      <c r="BH297" s="24"/>
      <c r="BI297" s="24"/>
      <c r="BP297" s="24"/>
      <c r="BQ297" s="24"/>
      <c r="BR297" s="24"/>
      <c r="BS297" s="24"/>
      <c r="BZ297" s="24"/>
      <c r="CA297" s="24"/>
      <c r="CB297" s="24"/>
      <c r="CC297" s="24"/>
      <c r="CD297" s="24"/>
    </row>
    <row r="298" spans="2:82" s="6" customFormat="1">
      <c r="B298" s="21"/>
      <c r="D298" s="17"/>
      <c r="E298" s="23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R298" s="24"/>
      <c r="AS298" s="24"/>
      <c r="AT298" s="24"/>
      <c r="AU298" s="24"/>
      <c r="AV298" s="24"/>
      <c r="AW298" s="24"/>
      <c r="BD298" s="24"/>
      <c r="BE298" s="24"/>
      <c r="BF298" s="24"/>
      <c r="BG298" s="24"/>
      <c r="BH298" s="24"/>
      <c r="BI298" s="24"/>
      <c r="BP298" s="24"/>
      <c r="BQ298" s="24"/>
      <c r="BR298" s="24"/>
      <c r="BS298" s="24"/>
      <c r="BZ298" s="24"/>
      <c r="CA298" s="24"/>
      <c r="CB298" s="24"/>
      <c r="CC298" s="24"/>
      <c r="CD298" s="24"/>
    </row>
    <row r="299" spans="2:82" s="6" customFormat="1">
      <c r="B299" s="21"/>
      <c r="D299" s="17"/>
      <c r="E299" s="23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R299" s="24"/>
      <c r="AS299" s="24"/>
      <c r="AT299" s="24"/>
      <c r="AU299" s="24"/>
      <c r="AV299" s="24"/>
      <c r="AW299" s="24"/>
      <c r="BD299" s="24"/>
      <c r="BE299" s="24"/>
      <c r="BF299" s="24"/>
      <c r="BG299" s="24"/>
      <c r="BH299" s="24"/>
      <c r="BI299" s="24"/>
      <c r="BP299" s="24"/>
      <c r="BQ299" s="24"/>
      <c r="BR299" s="24"/>
      <c r="BS299" s="24"/>
      <c r="BZ299" s="24"/>
      <c r="CA299" s="24"/>
      <c r="CB299" s="24"/>
      <c r="CC299" s="24"/>
      <c r="CD299" s="24"/>
    </row>
    <row r="300" spans="2:82" s="6" customFormat="1">
      <c r="B300" s="21"/>
      <c r="D300" s="17"/>
      <c r="E300" s="23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R300" s="24"/>
      <c r="AS300" s="24"/>
      <c r="AT300" s="24"/>
      <c r="AU300" s="24"/>
      <c r="AV300" s="24"/>
      <c r="AW300" s="24"/>
      <c r="BD300" s="24"/>
      <c r="BE300" s="24"/>
      <c r="BF300" s="24"/>
      <c r="BG300" s="24"/>
      <c r="BH300" s="24"/>
      <c r="BI300" s="24"/>
      <c r="BP300" s="24"/>
      <c r="BQ300" s="24"/>
      <c r="BR300" s="24"/>
      <c r="BS300" s="24"/>
      <c r="BZ300" s="24"/>
      <c r="CA300" s="24"/>
      <c r="CB300" s="24"/>
      <c r="CC300" s="24"/>
      <c r="CD300" s="24"/>
    </row>
    <row r="301" spans="2:82" s="6" customFormat="1">
      <c r="B301" s="21"/>
      <c r="D301" s="17"/>
      <c r="E301" s="23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R301" s="24"/>
      <c r="AS301" s="24"/>
      <c r="AT301" s="24"/>
      <c r="AU301" s="24"/>
      <c r="AV301" s="24"/>
      <c r="AW301" s="24"/>
      <c r="BD301" s="24"/>
      <c r="BE301" s="24"/>
      <c r="BF301" s="24"/>
      <c r="BG301" s="24"/>
      <c r="BH301" s="24"/>
      <c r="BI301" s="24"/>
      <c r="BP301" s="24"/>
      <c r="BQ301" s="24"/>
      <c r="BR301" s="24"/>
      <c r="BS301" s="24"/>
      <c r="BZ301" s="24"/>
      <c r="CA301" s="24"/>
      <c r="CB301" s="24"/>
      <c r="CC301" s="24"/>
      <c r="CD301" s="24"/>
    </row>
    <row r="302" spans="2:82" s="6" customFormat="1">
      <c r="B302" s="21"/>
      <c r="D302" s="17"/>
      <c r="E302" s="23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R302" s="24"/>
      <c r="AS302" s="24"/>
      <c r="AT302" s="24"/>
      <c r="AU302" s="24"/>
      <c r="AV302" s="24"/>
      <c r="AW302" s="24"/>
      <c r="BD302" s="24"/>
      <c r="BE302" s="24"/>
      <c r="BF302" s="24"/>
      <c r="BG302" s="24"/>
      <c r="BH302" s="24"/>
      <c r="BI302" s="24"/>
      <c r="BP302" s="24"/>
      <c r="BQ302" s="24"/>
      <c r="BR302" s="24"/>
      <c r="BS302" s="24"/>
      <c r="BZ302" s="24"/>
      <c r="CA302" s="24"/>
      <c r="CB302" s="24"/>
      <c r="CC302" s="24"/>
      <c r="CD302" s="24"/>
    </row>
    <row r="303" spans="2:82" s="6" customFormat="1">
      <c r="B303" s="21"/>
      <c r="D303" s="17"/>
      <c r="E303" s="23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R303" s="24"/>
      <c r="AS303" s="24"/>
      <c r="AT303" s="24"/>
      <c r="AU303" s="24"/>
      <c r="AV303" s="24"/>
      <c r="AW303" s="24"/>
      <c r="BD303" s="24"/>
      <c r="BE303" s="24"/>
      <c r="BF303" s="24"/>
      <c r="BG303" s="24"/>
      <c r="BH303" s="24"/>
      <c r="BI303" s="24"/>
      <c r="BP303" s="24"/>
      <c r="BQ303" s="24"/>
      <c r="BR303" s="24"/>
      <c r="BS303" s="24"/>
      <c r="BZ303" s="24"/>
      <c r="CA303" s="24"/>
      <c r="CB303" s="24"/>
      <c r="CC303" s="24"/>
      <c r="CD303" s="24"/>
    </row>
    <row r="304" spans="2:82" s="6" customFormat="1">
      <c r="B304" s="21"/>
      <c r="D304" s="17"/>
      <c r="E304" s="23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R304" s="24"/>
      <c r="AS304" s="24"/>
      <c r="AT304" s="24"/>
      <c r="AU304" s="24"/>
      <c r="AV304" s="24"/>
      <c r="AW304" s="24"/>
      <c r="BD304" s="24"/>
      <c r="BE304" s="24"/>
      <c r="BF304" s="24"/>
      <c r="BG304" s="24"/>
      <c r="BH304" s="24"/>
      <c r="BI304" s="24"/>
      <c r="BP304" s="24"/>
      <c r="BQ304" s="24"/>
      <c r="BR304" s="24"/>
      <c r="BS304" s="24"/>
      <c r="BZ304" s="24"/>
      <c r="CA304" s="24"/>
      <c r="CB304" s="24"/>
      <c r="CC304" s="24"/>
      <c r="CD304" s="24"/>
    </row>
    <row r="305" spans="2:82" s="6" customFormat="1">
      <c r="B305" s="21"/>
      <c r="D305" s="17"/>
      <c r="E305" s="23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R305" s="24"/>
      <c r="AS305" s="24"/>
      <c r="AT305" s="24"/>
      <c r="AU305" s="24"/>
      <c r="AV305" s="24"/>
      <c r="AW305" s="24"/>
      <c r="BD305" s="24"/>
      <c r="BE305" s="24"/>
      <c r="BF305" s="24"/>
      <c r="BG305" s="24"/>
      <c r="BH305" s="24"/>
      <c r="BI305" s="24"/>
      <c r="BP305" s="24"/>
      <c r="BQ305" s="24"/>
      <c r="BR305" s="24"/>
      <c r="BS305" s="24"/>
      <c r="BZ305" s="24"/>
      <c r="CA305" s="24"/>
      <c r="CB305" s="24"/>
      <c r="CC305" s="24"/>
      <c r="CD305" s="24"/>
    </row>
    <row r="306" spans="2:82" s="6" customFormat="1">
      <c r="B306" s="21"/>
      <c r="D306" s="17"/>
      <c r="E306" s="23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R306" s="24"/>
      <c r="AS306" s="24"/>
      <c r="AT306" s="24"/>
      <c r="AU306" s="24"/>
      <c r="AV306" s="24"/>
      <c r="AW306" s="24"/>
      <c r="BD306" s="24"/>
      <c r="BE306" s="24"/>
      <c r="BF306" s="24"/>
      <c r="BG306" s="24"/>
      <c r="BH306" s="24"/>
      <c r="BI306" s="24"/>
      <c r="BP306" s="24"/>
      <c r="BQ306" s="24"/>
      <c r="BR306" s="24"/>
      <c r="BS306" s="24"/>
      <c r="BZ306" s="24"/>
      <c r="CA306" s="24"/>
      <c r="CB306" s="24"/>
      <c r="CC306" s="24"/>
      <c r="CD306" s="24"/>
    </row>
    <row r="307" spans="2:82" s="6" customFormat="1">
      <c r="B307" s="21"/>
      <c r="D307" s="17"/>
      <c r="E307" s="23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R307" s="24"/>
      <c r="AS307" s="24"/>
      <c r="AT307" s="24"/>
      <c r="AU307" s="24"/>
      <c r="AV307" s="24"/>
      <c r="AW307" s="24"/>
      <c r="BD307" s="24"/>
      <c r="BE307" s="24"/>
      <c r="BF307" s="24"/>
      <c r="BG307" s="24"/>
      <c r="BH307" s="24"/>
      <c r="BI307" s="24"/>
      <c r="BP307" s="24"/>
      <c r="BQ307" s="24"/>
      <c r="BR307" s="24"/>
      <c r="BS307" s="24"/>
      <c r="BZ307" s="24"/>
      <c r="CA307" s="24"/>
      <c r="CB307" s="24"/>
      <c r="CC307" s="24"/>
      <c r="CD307" s="24"/>
    </row>
    <row r="308" spans="2:82" s="6" customFormat="1">
      <c r="B308" s="21"/>
      <c r="D308" s="17"/>
      <c r="E308" s="23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R308" s="24"/>
      <c r="AS308" s="24"/>
      <c r="AT308" s="24"/>
      <c r="AU308" s="24"/>
      <c r="AV308" s="24"/>
      <c r="AW308" s="24"/>
      <c r="BD308" s="24"/>
      <c r="BE308" s="24"/>
      <c r="BF308" s="24"/>
      <c r="BG308" s="24"/>
      <c r="BH308" s="24"/>
      <c r="BI308" s="24"/>
      <c r="BP308" s="24"/>
      <c r="BQ308" s="24"/>
      <c r="BR308" s="24"/>
      <c r="BS308" s="24"/>
      <c r="BZ308" s="24"/>
      <c r="CA308" s="24"/>
      <c r="CB308" s="24"/>
      <c r="CC308" s="24"/>
      <c r="CD308" s="24"/>
    </row>
    <row r="309" spans="2:82" s="6" customFormat="1">
      <c r="B309" s="21"/>
      <c r="D309" s="17"/>
      <c r="E309" s="23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R309" s="24"/>
      <c r="AS309" s="24"/>
      <c r="AT309" s="24"/>
      <c r="AU309" s="24"/>
      <c r="AV309" s="24"/>
      <c r="AW309" s="24"/>
      <c r="BD309" s="24"/>
      <c r="BE309" s="24"/>
      <c r="BF309" s="24"/>
      <c r="BG309" s="24"/>
      <c r="BH309" s="24"/>
      <c r="BI309" s="24"/>
      <c r="BP309" s="24"/>
      <c r="BQ309" s="24"/>
      <c r="BR309" s="24"/>
      <c r="BS309" s="24"/>
      <c r="BZ309" s="24"/>
      <c r="CA309" s="24"/>
      <c r="CB309" s="24"/>
      <c r="CC309" s="24"/>
      <c r="CD309" s="24"/>
    </row>
    <row r="310" spans="2:82" s="6" customFormat="1">
      <c r="B310" s="21"/>
      <c r="D310" s="17"/>
      <c r="E310" s="23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R310" s="24"/>
      <c r="AS310" s="24"/>
      <c r="AT310" s="24"/>
      <c r="AU310" s="24"/>
      <c r="AV310" s="24"/>
      <c r="AW310" s="24"/>
      <c r="BD310" s="24"/>
      <c r="BE310" s="24"/>
      <c r="BF310" s="24"/>
      <c r="BG310" s="24"/>
      <c r="BH310" s="24"/>
      <c r="BI310" s="24"/>
      <c r="BP310" s="24"/>
      <c r="BQ310" s="24"/>
      <c r="BR310" s="24"/>
      <c r="BS310" s="24"/>
      <c r="BZ310" s="24"/>
      <c r="CA310" s="24"/>
      <c r="CB310" s="24"/>
      <c r="CC310" s="24"/>
      <c r="CD310" s="24"/>
    </row>
    <row r="311" spans="2:82" s="6" customFormat="1">
      <c r="B311" s="21"/>
      <c r="D311" s="17"/>
      <c r="E311" s="23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R311" s="24"/>
      <c r="AS311" s="24"/>
      <c r="AT311" s="24"/>
      <c r="AU311" s="24"/>
      <c r="AV311" s="24"/>
      <c r="AW311" s="24"/>
      <c r="BD311" s="24"/>
      <c r="BE311" s="24"/>
      <c r="BF311" s="24"/>
      <c r="BG311" s="24"/>
      <c r="BH311" s="24"/>
      <c r="BI311" s="24"/>
      <c r="BP311" s="24"/>
      <c r="BQ311" s="24"/>
      <c r="BR311" s="24"/>
      <c r="BS311" s="24"/>
      <c r="BZ311" s="24"/>
      <c r="CA311" s="24"/>
      <c r="CB311" s="24"/>
      <c r="CC311" s="24"/>
      <c r="CD311" s="24"/>
    </row>
    <row r="312" spans="2:82" s="6" customFormat="1">
      <c r="B312" s="21"/>
      <c r="D312" s="17"/>
      <c r="E312" s="23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R312" s="24"/>
      <c r="AS312" s="24"/>
      <c r="AT312" s="24"/>
      <c r="AU312" s="24"/>
      <c r="AV312" s="24"/>
      <c r="AW312" s="24"/>
      <c r="BD312" s="24"/>
      <c r="BE312" s="24"/>
      <c r="BF312" s="24"/>
      <c r="BG312" s="24"/>
      <c r="BH312" s="24"/>
      <c r="BI312" s="24"/>
      <c r="BP312" s="24"/>
      <c r="BQ312" s="24"/>
      <c r="BR312" s="24"/>
      <c r="BS312" s="24"/>
      <c r="BZ312" s="24"/>
      <c r="CA312" s="24"/>
      <c r="CB312" s="24"/>
      <c r="CC312" s="24"/>
      <c r="CD312" s="24"/>
    </row>
    <row r="313" spans="2:82" s="6" customFormat="1">
      <c r="B313" s="21"/>
      <c r="D313" s="17"/>
      <c r="E313" s="23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R313" s="24"/>
      <c r="AS313" s="24"/>
      <c r="AT313" s="24"/>
      <c r="AU313" s="24"/>
      <c r="AV313" s="24"/>
      <c r="AW313" s="24"/>
      <c r="BD313" s="24"/>
      <c r="BE313" s="24"/>
      <c r="BF313" s="24"/>
      <c r="BG313" s="24"/>
      <c r="BH313" s="24"/>
      <c r="BI313" s="24"/>
      <c r="BP313" s="24"/>
      <c r="BQ313" s="24"/>
      <c r="BR313" s="24"/>
      <c r="BS313" s="24"/>
      <c r="BZ313" s="24"/>
      <c r="CA313" s="24"/>
      <c r="CB313" s="24"/>
      <c r="CC313" s="24"/>
      <c r="CD313" s="24"/>
    </row>
    <row r="314" spans="2:82" s="6" customFormat="1">
      <c r="B314" s="21"/>
      <c r="D314" s="17"/>
      <c r="E314" s="23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R314" s="24"/>
      <c r="AS314" s="24"/>
      <c r="AT314" s="24"/>
      <c r="AU314" s="24"/>
      <c r="AV314" s="24"/>
      <c r="AW314" s="24"/>
      <c r="BD314" s="24"/>
      <c r="BE314" s="24"/>
      <c r="BF314" s="24"/>
      <c r="BG314" s="24"/>
      <c r="BH314" s="24"/>
      <c r="BI314" s="24"/>
      <c r="BP314" s="24"/>
      <c r="BQ314" s="24"/>
      <c r="BR314" s="24"/>
      <c r="BS314" s="24"/>
      <c r="BZ314" s="24"/>
      <c r="CA314" s="24"/>
      <c r="CB314" s="24"/>
      <c r="CC314" s="24"/>
      <c r="CD314" s="24"/>
    </row>
    <row r="315" spans="2:82" s="6" customFormat="1">
      <c r="B315" s="21"/>
      <c r="D315" s="17"/>
      <c r="E315" s="23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R315" s="24"/>
      <c r="AS315" s="24"/>
      <c r="AT315" s="24"/>
      <c r="AU315" s="24"/>
      <c r="AV315" s="24"/>
      <c r="AW315" s="24"/>
      <c r="BD315" s="24"/>
      <c r="BE315" s="24"/>
      <c r="BF315" s="24"/>
      <c r="BG315" s="24"/>
      <c r="BH315" s="24"/>
      <c r="BI315" s="24"/>
      <c r="BP315" s="24"/>
      <c r="BQ315" s="24"/>
      <c r="BR315" s="24"/>
      <c r="BS315" s="24"/>
      <c r="BZ315" s="24"/>
      <c r="CA315" s="24"/>
      <c r="CB315" s="24"/>
      <c r="CC315" s="24"/>
      <c r="CD315" s="24"/>
    </row>
    <row r="316" spans="2:82" s="6" customFormat="1">
      <c r="B316" s="21"/>
      <c r="D316" s="17"/>
      <c r="E316" s="23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R316" s="24"/>
      <c r="AS316" s="24"/>
      <c r="AT316" s="24"/>
      <c r="AU316" s="24"/>
      <c r="AV316" s="24"/>
      <c r="AW316" s="24"/>
      <c r="BD316" s="24"/>
      <c r="BE316" s="24"/>
      <c r="BF316" s="24"/>
      <c r="BG316" s="24"/>
      <c r="BH316" s="24"/>
      <c r="BI316" s="24"/>
      <c r="BP316" s="24"/>
      <c r="BQ316" s="24"/>
      <c r="BR316" s="24"/>
      <c r="BS316" s="24"/>
      <c r="BZ316" s="24"/>
      <c r="CA316" s="24"/>
      <c r="CB316" s="24"/>
      <c r="CC316" s="24"/>
      <c r="CD316" s="24"/>
    </row>
    <row r="317" spans="2:82" s="6" customFormat="1">
      <c r="B317" s="21"/>
      <c r="D317" s="17"/>
      <c r="E317" s="23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R317" s="24"/>
      <c r="AS317" s="24"/>
      <c r="AT317" s="24"/>
      <c r="AU317" s="24"/>
      <c r="AV317" s="24"/>
      <c r="AW317" s="24"/>
      <c r="BD317" s="24"/>
      <c r="BE317" s="24"/>
      <c r="BF317" s="24"/>
      <c r="BG317" s="24"/>
      <c r="BH317" s="24"/>
      <c r="BI317" s="24"/>
      <c r="BP317" s="24"/>
      <c r="BQ317" s="24"/>
      <c r="BR317" s="24"/>
      <c r="BS317" s="24"/>
      <c r="BZ317" s="24"/>
      <c r="CA317" s="24"/>
      <c r="CB317" s="24"/>
      <c r="CC317" s="24"/>
      <c r="CD317" s="24"/>
    </row>
    <row r="318" spans="2:82" s="6" customFormat="1">
      <c r="B318" s="21"/>
      <c r="D318" s="17"/>
      <c r="E318" s="23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R318" s="24"/>
      <c r="AS318" s="24"/>
      <c r="AT318" s="24"/>
      <c r="AU318" s="24"/>
      <c r="AV318" s="24"/>
      <c r="AW318" s="24"/>
      <c r="BD318" s="24"/>
      <c r="BE318" s="24"/>
      <c r="BF318" s="24"/>
      <c r="BG318" s="24"/>
      <c r="BH318" s="24"/>
      <c r="BI318" s="24"/>
      <c r="BP318" s="24"/>
      <c r="BQ318" s="24"/>
      <c r="BR318" s="24"/>
      <c r="BS318" s="24"/>
      <c r="BZ318" s="24"/>
      <c r="CA318" s="24"/>
      <c r="CB318" s="24"/>
      <c r="CC318" s="24"/>
      <c r="CD318" s="24"/>
    </row>
    <row r="319" spans="2:82" s="6" customFormat="1">
      <c r="B319" s="21"/>
      <c r="D319" s="17"/>
      <c r="E319" s="23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R319" s="24"/>
      <c r="AS319" s="24"/>
      <c r="AT319" s="24"/>
      <c r="AU319" s="24"/>
      <c r="AV319" s="24"/>
      <c r="AW319" s="24"/>
      <c r="BD319" s="24"/>
      <c r="BE319" s="24"/>
      <c r="BF319" s="24"/>
      <c r="BG319" s="24"/>
      <c r="BH319" s="24"/>
      <c r="BI319" s="24"/>
      <c r="BP319" s="24"/>
      <c r="BQ319" s="24"/>
      <c r="BR319" s="24"/>
      <c r="BS319" s="24"/>
      <c r="BZ319" s="24"/>
      <c r="CA319" s="24"/>
      <c r="CB319" s="24"/>
      <c r="CC319" s="24"/>
      <c r="CD319" s="24"/>
    </row>
    <row r="320" spans="2:82" s="6" customFormat="1">
      <c r="B320" s="21"/>
      <c r="D320" s="17"/>
      <c r="E320" s="23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R320" s="24"/>
      <c r="AS320" s="24"/>
      <c r="AT320" s="24"/>
      <c r="AU320" s="24"/>
      <c r="AV320" s="24"/>
      <c r="AW320" s="24"/>
      <c r="BD320" s="24"/>
      <c r="BE320" s="24"/>
      <c r="BF320" s="24"/>
      <c r="BG320" s="24"/>
      <c r="BH320" s="24"/>
      <c r="BI320" s="24"/>
      <c r="BP320" s="24"/>
      <c r="BQ320" s="24"/>
      <c r="BR320" s="24"/>
      <c r="BS320" s="24"/>
      <c r="BZ320" s="24"/>
      <c r="CA320" s="24"/>
      <c r="CB320" s="24"/>
      <c r="CC320" s="24"/>
      <c r="CD320" s="24"/>
    </row>
    <row r="321" spans="2:82" s="6" customFormat="1">
      <c r="B321" s="21"/>
      <c r="D321" s="17"/>
      <c r="E321" s="23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R321" s="24"/>
      <c r="AS321" s="24"/>
      <c r="AT321" s="24"/>
      <c r="AU321" s="24"/>
      <c r="AV321" s="24"/>
      <c r="AW321" s="24"/>
      <c r="BD321" s="24"/>
      <c r="BE321" s="24"/>
      <c r="BF321" s="24"/>
      <c r="BG321" s="24"/>
      <c r="BH321" s="24"/>
      <c r="BI321" s="24"/>
      <c r="BP321" s="24"/>
      <c r="BQ321" s="24"/>
      <c r="BR321" s="24"/>
      <c r="BS321" s="24"/>
      <c r="BZ321" s="24"/>
      <c r="CA321" s="24"/>
      <c r="CB321" s="24"/>
      <c r="CC321" s="24"/>
      <c r="CD321" s="24"/>
    </row>
    <row r="322" spans="2:82" s="6" customFormat="1">
      <c r="B322" s="21"/>
      <c r="D322" s="17"/>
      <c r="E322" s="23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R322" s="24"/>
      <c r="AS322" s="24"/>
      <c r="AT322" s="24"/>
      <c r="AU322" s="24"/>
      <c r="AV322" s="24"/>
      <c r="AW322" s="24"/>
      <c r="BD322" s="24"/>
      <c r="BE322" s="24"/>
      <c r="BF322" s="24"/>
      <c r="BG322" s="24"/>
      <c r="BH322" s="24"/>
      <c r="BI322" s="24"/>
      <c r="BP322" s="24"/>
      <c r="BQ322" s="24"/>
      <c r="BR322" s="24"/>
      <c r="BS322" s="24"/>
      <c r="BZ322" s="24"/>
      <c r="CA322" s="24"/>
      <c r="CB322" s="24"/>
      <c r="CC322" s="24"/>
      <c r="CD322" s="24"/>
    </row>
    <row r="323" spans="2:82" s="6" customFormat="1">
      <c r="B323" s="21"/>
      <c r="D323" s="17"/>
      <c r="E323" s="23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R323" s="24"/>
      <c r="AS323" s="24"/>
      <c r="AT323" s="24"/>
      <c r="AU323" s="24"/>
      <c r="AV323" s="24"/>
      <c r="AW323" s="24"/>
      <c r="BD323" s="24"/>
      <c r="BE323" s="24"/>
      <c r="BF323" s="24"/>
      <c r="BG323" s="24"/>
      <c r="BH323" s="24"/>
      <c r="BI323" s="24"/>
      <c r="BP323" s="24"/>
      <c r="BQ323" s="24"/>
      <c r="BR323" s="24"/>
      <c r="BS323" s="24"/>
      <c r="BZ323" s="24"/>
      <c r="CA323" s="24"/>
      <c r="CB323" s="24"/>
      <c r="CC323" s="24"/>
      <c r="CD323" s="24"/>
    </row>
    <row r="324" spans="2:82" s="6" customFormat="1">
      <c r="B324" s="21"/>
      <c r="D324" s="17"/>
      <c r="E324" s="23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R324" s="24"/>
      <c r="AS324" s="24"/>
      <c r="AT324" s="24"/>
      <c r="AU324" s="24"/>
      <c r="AV324" s="24"/>
      <c r="AW324" s="24"/>
      <c r="BD324" s="24"/>
      <c r="BE324" s="24"/>
      <c r="BF324" s="24"/>
      <c r="BG324" s="24"/>
      <c r="BH324" s="24"/>
      <c r="BI324" s="24"/>
      <c r="BP324" s="24"/>
      <c r="BQ324" s="24"/>
      <c r="BR324" s="24"/>
      <c r="BS324" s="24"/>
      <c r="BZ324" s="24"/>
      <c r="CA324" s="24"/>
      <c r="CB324" s="24"/>
      <c r="CC324" s="24"/>
      <c r="CD324" s="24"/>
    </row>
    <row r="325" spans="2:82" s="6" customFormat="1">
      <c r="B325" s="21"/>
      <c r="D325" s="17"/>
      <c r="E325" s="23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R325" s="24"/>
      <c r="AS325" s="24"/>
      <c r="AT325" s="24"/>
      <c r="AU325" s="24"/>
      <c r="AV325" s="24"/>
      <c r="AW325" s="24"/>
      <c r="BD325" s="24"/>
      <c r="BE325" s="24"/>
      <c r="BF325" s="24"/>
      <c r="BG325" s="24"/>
      <c r="BH325" s="24"/>
      <c r="BI325" s="24"/>
      <c r="BP325" s="24"/>
      <c r="BQ325" s="24"/>
      <c r="BR325" s="24"/>
      <c r="BS325" s="24"/>
      <c r="BZ325" s="24"/>
      <c r="CA325" s="24"/>
      <c r="CB325" s="24"/>
      <c r="CC325" s="24"/>
      <c r="CD325" s="24"/>
    </row>
    <row r="326" spans="2:82" s="6" customFormat="1">
      <c r="B326" s="21"/>
      <c r="D326" s="17"/>
      <c r="E326" s="23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R326" s="24"/>
      <c r="AS326" s="24"/>
      <c r="AT326" s="24"/>
      <c r="AU326" s="24"/>
      <c r="AV326" s="24"/>
      <c r="AW326" s="24"/>
      <c r="BD326" s="24"/>
      <c r="BE326" s="24"/>
      <c r="BF326" s="24"/>
      <c r="BG326" s="24"/>
      <c r="BH326" s="24"/>
      <c r="BI326" s="24"/>
      <c r="BP326" s="24"/>
      <c r="BQ326" s="24"/>
      <c r="BR326" s="24"/>
      <c r="BS326" s="24"/>
      <c r="BZ326" s="24"/>
      <c r="CA326" s="24"/>
      <c r="CB326" s="24"/>
      <c r="CC326" s="24"/>
      <c r="CD326" s="24"/>
    </row>
    <row r="327" spans="2:82" s="6" customFormat="1">
      <c r="B327" s="21"/>
      <c r="D327" s="17"/>
      <c r="E327" s="23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R327" s="24"/>
      <c r="AS327" s="24"/>
      <c r="AT327" s="24"/>
      <c r="AU327" s="24"/>
      <c r="AV327" s="24"/>
      <c r="AW327" s="24"/>
      <c r="BD327" s="24"/>
      <c r="BE327" s="24"/>
      <c r="BF327" s="24"/>
      <c r="BG327" s="24"/>
      <c r="BH327" s="24"/>
      <c r="BI327" s="24"/>
      <c r="BP327" s="24"/>
      <c r="BQ327" s="24"/>
      <c r="BR327" s="24"/>
      <c r="BS327" s="24"/>
      <c r="BZ327" s="24"/>
      <c r="CA327" s="24"/>
      <c r="CB327" s="24"/>
      <c r="CC327" s="24"/>
      <c r="CD327" s="24"/>
    </row>
    <row r="328" spans="2:82" s="6" customFormat="1">
      <c r="B328" s="21"/>
      <c r="D328" s="17"/>
      <c r="E328" s="23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R328" s="24"/>
      <c r="AS328" s="24"/>
      <c r="AT328" s="24"/>
      <c r="AU328" s="24"/>
      <c r="AV328" s="24"/>
      <c r="AW328" s="24"/>
      <c r="BD328" s="24"/>
      <c r="BE328" s="24"/>
      <c r="BF328" s="24"/>
      <c r="BG328" s="24"/>
      <c r="BH328" s="24"/>
      <c r="BI328" s="24"/>
      <c r="BP328" s="24"/>
      <c r="BQ328" s="24"/>
      <c r="BR328" s="24"/>
      <c r="BS328" s="24"/>
      <c r="BZ328" s="24"/>
      <c r="CA328" s="24"/>
      <c r="CB328" s="24"/>
      <c r="CC328" s="24"/>
      <c r="CD328" s="24"/>
    </row>
    <row r="329" spans="2:82" s="6" customFormat="1">
      <c r="B329" s="21"/>
      <c r="D329" s="17"/>
      <c r="E329" s="23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R329" s="24"/>
      <c r="AS329" s="24"/>
      <c r="AT329" s="24"/>
      <c r="AU329" s="24"/>
      <c r="AV329" s="24"/>
      <c r="AW329" s="24"/>
      <c r="BD329" s="24"/>
      <c r="BE329" s="24"/>
      <c r="BF329" s="24"/>
      <c r="BG329" s="24"/>
      <c r="BH329" s="24"/>
      <c r="BI329" s="24"/>
      <c r="BP329" s="24"/>
      <c r="BQ329" s="24"/>
      <c r="BR329" s="24"/>
      <c r="BS329" s="24"/>
      <c r="BZ329" s="24"/>
      <c r="CA329" s="24"/>
      <c r="CB329" s="24"/>
      <c r="CC329" s="24"/>
      <c r="CD329" s="24"/>
    </row>
    <row r="330" spans="2:82" s="6" customFormat="1">
      <c r="B330" s="21"/>
      <c r="D330" s="17"/>
      <c r="E330" s="23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R330" s="24"/>
      <c r="AS330" s="24"/>
      <c r="AT330" s="24"/>
      <c r="AU330" s="24"/>
      <c r="AV330" s="24"/>
      <c r="AW330" s="24"/>
      <c r="BD330" s="24"/>
      <c r="BE330" s="24"/>
      <c r="BF330" s="24"/>
      <c r="BG330" s="24"/>
      <c r="BH330" s="24"/>
      <c r="BI330" s="24"/>
      <c r="BP330" s="24"/>
      <c r="BQ330" s="24"/>
      <c r="BR330" s="24"/>
      <c r="BS330" s="24"/>
      <c r="BZ330" s="24"/>
      <c r="CA330" s="24"/>
      <c r="CB330" s="24"/>
      <c r="CC330" s="24"/>
      <c r="CD330" s="24"/>
    </row>
    <row r="331" spans="2:82" s="6" customFormat="1">
      <c r="B331" s="21"/>
      <c r="D331" s="17"/>
      <c r="E331" s="23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R331" s="24"/>
      <c r="AS331" s="24"/>
      <c r="AT331" s="24"/>
      <c r="AU331" s="24"/>
      <c r="AV331" s="24"/>
      <c r="AW331" s="24"/>
      <c r="BD331" s="24"/>
      <c r="BE331" s="24"/>
      <c r="BF331" s="24"/>
      <c r="BG331" s="24"/>
      <c r="BH331" s="24"/>
      <c r="BI331" s="24"/>
      <c r="BP331" s="24"/>
      <c r="BQ331" s="24"/>
      <c r="BR331" s="24"/>
      <c r="BS331" s="24"/>
      <c r="BZ331" s="24"/>
      <c r="CA331" s="24"/>
      <c r="CB331" s="24"/>
      <c r="CC331" s="24"/>
      <c r="CD331" s="24"/>
    </row>
    <row r="332" spans="2:82" s="6" customFormat="1">
      <c r="B332" s="21"/>
      <c r="D332" s="17"/>
      <c r="E332" s="23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R332" s="24"/>
      <c r="AS332" s="24"/>
      <c r="AT332" s="24"/>
      <c r="AU332" s="24"/>
      <c r="AV332" s="24"/>
      <c r="AW332" s="24"/>
      <c r="BD332" s="24"/>
      <c r="BE332" s="24"/>
      <c r="BF332" s="24"/>
      <c r="BG332" s="24"/>
      <c r="BH332" s="24"/>
      <c r="BI332" s="24"/>
      <c r="BP332" s="24"/>
      <c r="BQ332" s="24"/>
      <c r="BR332" s="24"/>
      <c r="BS332" s="24"/>
      <c r="BZ332" s="24"/>
      <c r="CA332" s="24"/>
      <c r="CB332" s="24"/>
      <c r="CC332" s="24"/>
      <c r="CD332" s="24"/>
    </row>
    <row r="333" spans="2:82" s="6" customFormat="1">
      <c r="B333" s="21"/>
      <c r="D333" s="17"/>
      <c r="E333" s="23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R333" s="24"/>
      <c r="AS333" s="24"/>
      <c r="AT333" s="24"/>
      <c r="AU333" s="24"/>
      <c r="AV333" s="24"/>
      <c r="AW333" s="24"/>
      <c r="BD333" s="24"/>
      <c r="BE333" s="24"/>
      <c r="BF333" s="24"/>
      <c r="BG333" s="24"/>
      <c r="BH333" s="24"/>
      <c r="BI333" s="24"/>
      <c r="BP333" s="24"/>
      <c r="BQ333" s="24"/>
      <c r="BR333" s="24"/>
      <c r="BS333" s="24"/>
      <c r="BZ333" s="24"/>
      <c r="CA333" s="24"/>
      <c r="CB333" s="24"/>
      <c r="CC333" s="24"/>
      <c r="CD333" s="24"/>
    </row>
    <row r="334" spans="2:82" s="6" customFormat="1">
      <c r="B334" s="21"/>
      <c r="D334" s="17"/>
      <c r="E334" s="23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R334" s="24"/>
      <c r="AS334" s="24"/>
      <c r="AT334" s="24"/>
      <c r="AU334" s="24"/>
      <c r="AV334" s="24"/>
      <c r="AW334" s="24"/>
      <c r="BD334" s="24"/>
      <c r="BE334" s="24"/>
      <c r="BF334" s="24"/>
      <c r="BG334" s="24"/>
      <c r="BH334" s="24"/>
      <c r="BI334" s="24"/>
      <c r="BP334" s="24"/>
      <c r="BQ334" s="24"/>
      <c r="BR334" s="24"/>
      <c r="BS334" s="24"/>
      <c r="BZ334" s="24"/>
      <c r="CA334" s="24"/>
      <c r="CB334" s="24"/>
      <c r="CC334" s="24"/>
      <c r="CD334" s="24"/>
    </row>
    <row r="335" spans="2:82" s="6" customFormat="1">
      <c r="B335" s="21"/>
      <c r="D335" s="17"/>
      <c r="E335" s="23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R335" s="24"/>
      <c r="AS335" s="24"/>
      <c r="AT335" s="24"/>
      <c r="AU335" s="24"/>
      <c r="AV335" s="24"/>
      <c r="AW335" s="24"/>
      <c r="BD335" s="24"/>
      <c r="BE335" s="24"/>
      <c r="BF335" s="24"/>
      <c r="BG335" s="24"/>
      <c r="BH335" s="24"/>
      <c r="BI335" s="24"/>
      <c r="BP335" s="24"/>
      <c r="BQ335" s="24"/>
      <c r="BR335" s="24"/>
      <c r="BS335" s="24"/>
      <c r="BZ335" s="24"/>
      <c r="CA335" s="24"/>
      <c r="CB335" s="24"/>
      <c r="CC335" s="24"/>
      <c r="CD335" s="24"/>
    </row>
    <row r="336" spans="2:82" s="6" customFormat="1">
      <c r="B336" s="21"/>
      <c r="D336" s="17"/>
      <c r="E336" s="23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R336" s="24"/>
      <c r="AS336" s="24"/>
      <c r="AT336" s="24"/>
      <c r="AU336" s="24"/>
      <c r="AV336" s="24"/>
      <c r="AW336" s="24"/>
      <c r="BD336" s="24"/>
      <c r="BE336" s="24"/>
      <c r="BF336" s="24"/>
      <c r="BG336" s="24"/>
      <c r="BH336" s="24"/>
      <c r="BI336" s="24"/>
      <c r="BP336" s="24"/>
      <c r="BQ336" s="24"/>
      <c r="BR336" s="24"/>
      <c r="BS336" s="24"/>
      <c r="BZ336" s="24"/>
      <c r="CA336" s="24"/>
      <c r="CB336" s="24"/>
      <c r="CC336" s="24"/>
      <c r="CD336" s="24"/>
    </row>
    <row r="337" spans="2:82" s="6" customFormat="1">
      <c r="B337" s="21"/>
      <c r="D337" s="17"/>
      <c r="E337" s="23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R337" s="24"/>
      <c r="AS337" s="24"/>
      <c r="AT337" s="24"/>
      <c r="AU337" s="24"/>
      <c r="AV337" s="24"/>
      <c r="AW337" s="24"/>
      <c r="BD337" s="24"/>
      <c r="BE337" s="24"/>
      <c r="BF337" s="24"/>
      <c r="BG337" s="24"/>
      <c r="BH337" s="24"/>
      <c r="BI337" s="24"/>
      <c r="BP337" s="24"/>
      <c r="BQ337" s="24"/>
      <c r="BR337" s="24"/>
      <c r="BS337" s="24"/>
      <c r="BZ337" s="24"/>
      <c r="CA337" s="24"/>
      <c r="CB337" s="24"/>
      <c r="CC337" s="24"/>
      <c r="CD337" s="24"/>
    </row>
    <row r="338" spans="2:82" s="6" customFormat="1">
      <c r="B338" s="21"/>
      <c r="D338" s="17"/>
      <c r="E338" s="23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R338" s="24"/>
      <c r="AS338" s="24"/>
      <c r="AT338" s="24"/>
      <c r="AU338" s="24"/>
      <c r="AV338" s="24"/>
      <c r="AW338" s="24"/>
      <c r="BD338" s="24"/>
      <c r="BE338" s="24"/>
      <c r="BF338" s="24"/>
      <c r="BG338" s="24"/>
      <c r="BH338" s="24"/>
      <c r="BI338" s="24"/>
      <c r="BP338" s="24"/>
      <c r="BQ338" s="24"/>
      <c r="BR338" s="24"/>
      <c r="BS338" s="24"/>
      <c r="BZ338" s="24"/>
      <c r="CA338" s="24"/>
      <c r="CB338" s="24"/>
      <c r="CC338" s="24"/>
      <c r="CD338" s="24"/>
    </row>
    <row r="339" spans="2:82" s="6" customFormat="1">
      <c r="B339" s="21"/>
      <c r="D339" s="17"/>
      <c r="E339" s="23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R339" s="24"/>
      <c r="AS339" s="24"/>
      <c r="AT339" s="24"/>
      <c r="AU339" s="24"/>
      <c r="AV339" s="24"/>
      <c r="AW339" s="24"/>
      <c r="BD339" s="24"/>
      <c r="BE339" s="24"/>
      <c r="BF339" s="24"/>
      <c r="BG339" s="24"/>
      <c r="BH339" s="24"/>
      <c r="BI339" s="24"/>
      <c r="BP339" s="24"/>
      <c r="BQ339" s="24"/>
      <c r="BR339" s="24"/>
      <c r="BS339" s="24"/>
      <c r="BZ339" s="24"/>
      <c r="CA339" s="24"/>
      <c r="CB339" s="24"/>
      <c r="CC339" s="24"/>
      <c r="CD339" s="24"/>
    </row>
    <row r="340" spans="2:82" s="6" customFormat="1">
      <c r="B340" s="21"/>
      <c r="D340" s="17"/>
      <c r="E340" s="23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R340" s="24"/>
      <c r="AS340" s="24"/>
      <c r="AT340" s="24"/>
      <c r="AU340" s="24"/>
      <c r="AV340" s="24"/>
      <c r="AW340" s="24"/>
      <c r="BD340" s="24"/>
      <c r="BE340" s="24"/>
      <c r="BF340" s="24"/>
      <c r="BG340" s="24"/>
      <c r="BH340" s="24"/>
      <c r="BI340" s="24"/>
      <c r="BP340" s="24"/>
      <c r="BQ340" s="24"/>
      <c r="BR340" s="24"/>
      <c r="BS340" s="24"/>
      <c r="BZ340" s="24"/>
      <c r="CA340" s="24"/>
      <c r="CB340" s="24"/>
      <c r="CC340" s="24"/>
      <c r="CD340" s="24"/>
    </row>
    <row r="341" spans="2:82" s="6" customFormat="1">
      <c r="B341" s="21"/>
      <c r="D341" s="17"/>
      <c r="E341" s="23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R341" s="24"/>
      <c r="AS341" s="24"/>
      <c r="AT341" s="24"/>
      <c r="AU341" s="24"/>
      <c r="AV341" s="24"/>
      <c r="AW341" s="24"/>
      <c r="BD341" s="24"/>
      <c r="BE341" s="24"/>
      <c r="BF341" s="24"/>
      <c r="BG341" s="24"/>
      <c r="BH341" s="24"/>
      <c r="BI341" s="24"/>
      <c r="BP341" s="24"/>
      <c r="BQ341" s="24"/>
      <c r="BR341" s="24"/>
      <c r="BS341" s="24"/>
      <c r="BZ341" s="24"/>
      <c r="CA341" s="24"/>
      <c r="CB341" s="24"/>
      <c r="CC341" s="24"/>
      <c r="CD341" s="24"/>
    </row>
    <row r="342" spans="2:82" s="6" customFormat="1">
      <c r="B342" s="21"/>
      <c r="D342" s="17"/>
      <c r="E342" s="23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R342" s="24"/>
      <c r="AS342" s="24"/>
      <c r="AT342" s="24"/>
      <c r="AU342" s="24"/>
      <c r="AV342" s="24"/>
      <c r="AW342" s="24"/>
      <c r="BD342" s="24"/>
      <c r="BE342" s="24"/>
      <c r="BF342" s="24"/>
      <c r="BG342" s="24"/>
      <c r="BH342" s="24"/>
      <c r="BI342" s="24"/>
      <c r="BP342" s="24"/>
      <c r="BQ342" s="24"/>
      <c r="BR342" s="24"/>
      <c r="BS342" s="24"/>
      <c r="BZ342" s="24"/>
      <c r="CA342" s="24"/>
      <c r="CB342" s="24"/>
      <c r="CC342" s="24"/>
      <c r="CD342" s="24"/>
    </row>
    <row r="343" spans="2:82" s="6" customFormat="1">
      <c r="B343" s="21"/>
      <c r="D343" s="17"/>
      <c r="E343" s="23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R343" s="24"/>
      <c r="AS343" s="24"/>
      <c r="AT343" s="24"/>
      <c r="AU343" s="24"/>
      <c r="AV343" s="24"/>
      <c r="AW343" s="24"/>
      <c r="BD343" s="24"/>
      <c r="BE343" s="24"/>
      <c r="BF343" s="24"/>
      <c r="BG343" s="24"/>
      <c r="BH343" s="24"/>
      <c r="BI343" s="24"/>
      <c r="BP343" s="24"/>
      <c r="BQ343" s="24"/>
      <c r="BR343" s="24"/>
      <c r="BS343" s="24"/>
      <c r="BZ343" s="24"/>
      <c r="CA343" s="24"/>
      <c r="CB343" s="24"/>
      <c r="CC343" s="24"/>
      <c r="CD343" s="24"/>
    </row>
    <row r="344" spans="2:82" s="6" customFormat="1">
      <c r="B344" s="21"/>
      <c r="D344" s="17"/>
      <c r="E344" s="23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R344" s="24"/>
      <c r="AS344" s="24"/>
      <c r="AT344" s="24"/>
      <c r="AU344" s="24"/>
      <c r="AV344" s="24"/>
      <c r="AW344" s="24"/>
      <c r="BD344" s="24"/>
      <c r="BE344" s="24"/>
      <c r="BF344" s="24"/>
      <c r="BG344" s="24"/>
      <c r="BH344" s="24"/>
      <c r="BI344" s="24"/>
      <c r="BP344" s="24"/>
      <c r="BQ344" s="24"/>
      <c r="BR344" s="24"/>
      <c r="BS344" s="24"/>
      <c r="BZ344" s="24"/>
      <c r="CA344" s="24"/>
      <c r="CB344" s="24"/>
      <c r="CC344" s="24"/>
      <c r="CD344" s="24"/>
    </row>
    <row r="345" spans="2:82" s="6" customFormat="1">
      <c r="B345" s="21"/>
      <c r="D345" s="17"/>
      <c r="E345" s="23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R345" s="24"/>
      <c r="AS345" s="24"/>
      <c r="AT345" s="24"/>
      <c r="AU345" s="24"/>
      <c r="AV345" s="24"/>
      <c r="AW345" s="24"/>
      <c r="BD345" s="24"/>
      <c r="BE345" s="24"/>
      <c r="BF345" s="24"/>
      <c r="BG345" s="24"/>
      <c r="BH345" s="24"/>
      <c r="BI345" s="24"/>
      <c r="BP345" s="24"/>
      <c r="BQ345" s="24"/>
      <c r="BR345" s="24"/>
      <c r="BS345" s="24"/>
      <c r="BZ345" s="24"/>
      <c r="CA345" s="24"/>
      <c r="CB345" s="24"/>
      <c r="CC345" s="24"/>
      <c r="CD345" s="24"/>
    </row>
    <row r="346" spans="2:82" s="6" customFormat="1">
      <c r="B346" s="21"/>
      <c r="D346" s="17"/>
      <c r="E346" s="23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R346" s="24"/>
      <c r="AS346" s="24"/>
      <c r="AT346" s="24"/>
      <c r="AU346" s="24"/>
      <c r="AV346" s="24"/>
      <c r="AW346" s="24"/>
      <c r="BD346" s="24"/>
      <c r="BE346" s="24"/>
      <c r="BF346" s="24"/>
      <c r="BG346" s="24"/>
      <c r="BH346" s="24"/>
      <c r="BI346" s="24"/>
      <c r="BP346" s="24"/>
      <c r="BQ346" s="24"/>
      <c r="BR346" s="24"/>
      <c r="BS346" s="24"/>
      <c r="BZ346" s="24"/>
      <c r="CA346" s="24"/>
      <c r="CB346" s="24"/>
      <c r="CC346" s="24"/>
      <c r="CD346" s="24"/>
    </row>
    <row r="347" spans="2:82" s="6" customFormat="1">
      <c r="B347" s="21"/>
      <c r="D347" s="17"/>
      <c r="E347" s="23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R347" s="24"/>
      <c r="AS347" s="24"/>
      <c r="AT347" s="24"/>
      <c r="AU347" s="24"/>
      <c r="AV347" s="24"/>
      <c r="AW347" s="24"/>
      <c r="BD347" s="24"/>
      <c r="BE347" s="24"/>
      <c r="BF347" s="24"/>
      <c r="BG347" s="24"/>
      <c r="BH347" s="24"/>
      <c r="BI347" s="24"/>
      <c r="BP347" s="24"/>
      <c r="BQ347" s="24"/>
      <c r="BR347" s="24"/>
      <c r="BS347" s="24"/>
      <c r="BZ347" s="24"/>
      <c r="CA347" s="24"/>
      <c r="CB347" s="24"/>
      <c r="CC347" s="24"/>
      <c r="CD347" s="24"/>
    </row>
    <row r="348" spans="2:82" s="6" customFormat="1">
      <c r="B348" s="21"/>
      <c r="D348" s="17"/>
      <c r="E348" s="23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R348" s="24"/>
      <c r="AS348" s="24"/>
      <c r="AT348" s="24"/>
      <c r="AU348" s="24"/>
      <c r="AV348" s="24"/>
      <c r="AW348" s="24"/>
      <c r="BD348" s="24"/>
      <c r="BE348" s="24"/>
      <c r="BF348" s="24"/>
      <c r="BG348" s="24"/>
      <c r="BH348" s="24"/>
      <c r="BI348" s="24"/>
      <c r="BP348" s="24"/>
      <c r="BQ348" s="24"/>
      <c r="BR348" s="24"/>
      <c r="BS348" s="24"/>
      <c r="BZ348" s="24"/>
      <c r="CA348" s="24"/>
      <c r="CB348" s="24"/>
      <c r="CC348" s="24"/>
      <c r="CD348" s="24"/>
    </row>
    <row r="349" spans="2:82" s="6" customFormat="1">
      <c r="B349" s="21"/>
      <c r="D349" s="17"/>
      <c r="E349" s="23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R349" s="24"/>
      <c r="AS349" s="24"/>
      <c r="AT349" s="24"/>
      <c r="AU349" s="24"/>
      <c r="AV349" s="24"/>
      <c r="AW349" s="24"/>
      <c r="BD349" s="24"/>
      <c r="BE349" s="24"/>
      <c r="BF349" s="24"/>
      <c r="BG349" s="24"/>
      <c r="BH349" s="24"/>
      <c r="BI349" s="24"/>
      <c r="BP349" s="24"/>
      <c r="BQ349" s="24"/>
      <c r="BR349" s="24"/>
      <c r="BS349" s="24"/>
      <c r="BZ349" s="24"/>
      <c r="CA349" s="24"/>
      <c r="CB349" s="24"/>
      <c r="CC349" s="24"/>
      <c r="CD349" s="24"/>
    </row>
    <row r="350" spans="2:82" s="6" customFormat="1">
      <c r="B350" s="21"/>
      <c r="D350" s="17"/>
      <c r="E350" s="23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R350" s="24"/>
      <c r="AS350" s="24"/>
      <c r="AT350" s="24"/>
      <c r="AU350" s="24"/>
      <c r="AV350" s="24"/>
      <c r="AW350" s="24"/>
      <c r="BD350" s="24"/>
      <c r="BE350" s="24"/>
      <c r="BF350" s="24"/>
      <c r="BG350" s="24"/>
      <c r="BH350" s="24"/>
      <c r="BI350" s="24"/>
      <c r="BP350" s="24"/>
      <c r="BQ350" s="24"/>
      <c r="BR350" s="24"/>
      <c r="BS350" s="24"/>
      <c r="BZ350" s="24"/>
      <c r="CA350" s="24"/>
      <c r="CB350" s="24"/>
      <c r="CC350" s="24"/>
      <c r="CD350" s="24"/>
    </row>
    <row r="351" spans="2:82" s="6" customFormat="1">
      <c r="B351" s="21"/>
      <c r="D351" s="17"/>
      <c r="E351" s="23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R351" s="24"/>
      <c r="AS351" s="24"/>
      <c r="AT351" s="24"/>
      <c r="AU351" s="24"/>
      <c r="AV351" s="24"/>
      <c r="AW351" s="24"/>
      <c r="BD351" s="24"/>
      <c r="BE351" s="24"/>
      <c r="BF351" s="24"/>
      <c r="BG351" s="24"/>
      <c r="BH351" s="24"/>
      <c r="BI351" s="24"/>
      <c r="BP351" s="24"/>
      <c r="BQ351" s="24"/>
      <c r="BR351" s="24"/>
      <c r="BS351" s="24"/>
      <c r="BZ351" s="24"/>
      <c r="CA351" s="24"/>
      <c r="CB351" s="24"/>
      <c r="CC351" s="24"/>
      <c r="CD351" s="24"/>
    </row>
    <row r="352" spans="2:82" s="6" customFormat="1">
      <c r="B352" s="21"/>
      <c r="D352" s="17"/>
      <c r="E352" s="23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R352" s="24"/>
      <c r="AS352" s="24"/>
      <c r="AT352" s="24"/>
      <c r="AU352" s="24"/>
      <c r="AV352" s="24"/>
      <c r="AW352" s="24"/>
      <c r="BD352" s="24"/>
      <c r="BE352" s="24"/>
      <c r="BF352" s="24"/>
      <c r="BG352" s="24"/>
      <c r="BH352" s="24"/>
      <c r="BI352" s="24"/>
      <c r="BP352" s="24"/>
      <c r="BQ352" s="24"/>
      <c r="BR352" s="24"/>
      <c r="BS352" s="24"/>
      <c r="BZ352" s="24"/>
      <c r="CA352" s="24"/>
      <c r="CB352" s="24"/>
      <c r="CC352" s="24"/>
      <c r="CD352" s="24"/>
    </row>
    <row r="353" spans="2:82" s="6" customFormat="1">
      <c r="B353" s="21"/>
      <c r="D353" s="17"/>
      <c r="E353" s="23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R353" s="24"/>
      <c r="AS353" s="24"/>
      <c r="AT353" s="24"/>
      <c r="AU353" s="24"/>
      <c r="AV353" s="24"/>
      <c r="AW353" s="24"/>
      <c r="BD353" s="24"/>
      <c r="BE353" s="24"/>
      <c r="BF353" s="24"/>
      <c r="BG353" s="24"/>
      <c r="BH353" s="24"/>
      <c r="BI353" s="24"/>
      <c r="BP353" s="24"/>
      <c r="BQ353" s="24"/>
      <c r="BR353" s="24"/>
      <c r="BS353" s="24"/>
      <c r="BZ353" s="24"/>
      <c r="CA353" s="24"/>
      <c r="CB353" s="24"/>
      <c r="CC353" s="24"/>
      <c r="CD353" s="24"/>
    </row>
    <row r="354" spans="2:82" s="6" customFormat="1">
      <c r="B354" s="21"/>
      <c r="D354" s="17"/>
      <c r="E354" s="23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R354" s="24"/>
      <c r="AS354" s="24"/>
      <c r="AT354" s="24"/>
      <c r="AU354" s="24"/>
      <c r="AV354" s="24"/>
      <c r="AW354" s="24"/>
      <c r="BD354" s="24"/>
      <c r="BE354" s="24"/>
      <c r="BF354" s="24"/>
      <c r="BG354" s="24"/>
      <c r="BH354" s="24"/>
      <c r="BI354" s="24"/>
      <c r="BP354" s="24"/>
      <c r="BQ354" s="24"/>
      <c r="BR354" s="24"/>
      <c r="BS354" s="24"/>
      <c r="BZ354" s="24"/>
      <c r="CA354" s="24"/>
      <c r="CB354" s="24"/>
      <c r="CC354" s="24"/>
      <c r="CD354" s="24"/>
    </row>
    <row r="355" spans="2:82" s="6" customFormat="1">
      <c r="B355" s="21"/>
      <c r="D355" s="17"/>
      <c r="E355" s="23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R355" s="24"/>
      <c r="AS355" s="24"/>
      <c r="AT355" s="24"/>
      <c r="AU355" s="24"/>
      <c r="AV355" s="24"/>
      <c r="AW355" s="24"/>
      <c r="BD355" s="24"/>
      <c r="BE355" s="24"/>
      <c r="BF355" s="24"/>
      <c r="BG355" s="24"/>
      <c r="BH355" s="24"/>
      <c r="BI355" s="24"/>
      <c r="BP355" s="24"/>
      <c r="BQ355" s="24"/>
      <c r="BR355" s="24"/>
      <c r="BS355" s="24"/>
      <c r="BZ355" s="24"/>
      <c r="CA355" s="24"/>
      <c r="CB355" s="24"/>
      <c r="CC355" s="24"/>
      <c r="CD355" s="24"/>
    </row>
    <row r="356" spans="2:82" s="6" customFormat="1">
      <c r="B356" s="21"/>
      <c r="D356" s="17"/>
      <c r="E356" s="23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R356" s="24"/>
      <c r="AS356" s="24"/>
      <c r="AT356" s="24"/>
      <c r="AU356" s="24"/>
      <c r="AV356" s="24"/>
      <c r="AW356" s="24"/>
      <c r="BD356" s="24"/>
      <c r="BE356" s="24"/>
      <c r="BF356" s="24"/>
      <c r="BG356" s="24"/>
      <c r="BH356" s="24"/>
      <c r="BI356" s="24"/>
      <c r="BP356" s="24"/>
      <c r="BQ356" s="24"/>
      <c r="BR356" s="24"/>
      <c r="BS356" s="24"/>
      <c r="BZ356" s="24"/>
      <c r="CA356" s="24"/>
      <c r="CB356" s="24"/>
      <c r="CC356" s="24"/>
      <c r="CD356" s="24"/>
    </row>
    <row r="357" spans="2:82" s="6" customFormat="1">
      <c r="B357" s="21"/>
      <c r="D357" s="17"/>
      <c r="E357" s="23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R357" s="24"/>
      <c r="AS357" s="24"/>
      <c r="AT357" s="24"/>
      <c r="AU357" s="24"/>
      <c r="AV357" s="24"/>
      <c r="AW357" s="24"/>
      <c r="BD357" s="24"/>
      <c r="BE357" s="24"/>
      <c r="BF357" s="24"/>
      <c r="BG357" s="24"/>
      <c r="BH357" s="24"/>
      <c r="BI357" s="24"/>
      <c r="BP357" s="24"/>
      <c r="BQ357" s="24"/>
      <c r="BR357" s="24"/>
      <c r="BS357" s="24"/>
      <c r="BZ357" s="24"/>
      <c r="CA357" s="24"/>
      <c r="CB357" s="24"/>
      <c r="CC357" s="24"/>
      <c r="CD357" s="24"/>
    </row>
    <row r="358" spans="2:82" s="6" customFormat="1">
      <c r="B358" s="21"/>
      <c r="D358" s="17"/>
      <c r="E358" s="23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R358" s="24"/>
      <c r="AS358" s="24"/>
      <c r="AT358" s="24"/>
      <c r="AU358" s="24"/>
      <c r="AV358" s="24"/>
      <c r="AW358" s="24"/>
      <c r="BD358" s="24"/>
      <c r="BE358" s="24"/>
      <c r="BF358" s="24"/>
      <c r="BG358" s="24"/>
      <c r="BH358" s="24"/>
      <c r="BI358" s="24"/>
      <c r="BP358" s="24"/>
      <c r="BQ358" s="24"/>
      <c r="BR358" s="24"/>
      <c r="BS358" s="24"/>
      <c r="BZ358" s="24"/>
      <c r="CA358" s="24"/>
      <c r="CB358" s="24"/>
      <c r="CC358" s="24"/>
      <c r="CD358" s="24"/>
    </row>
    <row r="359" spans="2:82" s="6" customFormat="1">
      <c r="B359" s="21"/>
      <c r="D359" s="17"/>
      <c r="E359" s="23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R359" s="24"/>
      <c r="AS359" s="24"/>
      <c r="AT359" s="24"/>
      <c r="AU359" s="24"/>
      <c r="AV359" s="24"/>
      <c r="AW359" s="24"/>
      <c r="BD359" s="24"/>
      <c r="BE359" s="24"/>
      <c r="BF359" s="24"/>
      <c r="BG359" s="24"/>
      <c r="BH359" s="24"/>
      <c r="BI359" s="24"/>
      <c r="BP359" s="24"/>
      <c r="BQ359" s="24"/>
      <c r="BR359" s="24"/>
      <c r="BS359" s="24"/>
      <c r="BZ359" s="24"/>
      <c r="CA359" s="24"/>
      <c r="CB359" s="24"/>
      <c r="CC359" s="24"/>
      <c r="CD359" s="24"/>
    </row>
    <row r="360" spans="2:82" s="6" customFormat="1">
      <c r="B360" s="21"/>
      <c r="D360" s="17"/>
      <c r="E360" s="23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R360" s="24"/>
      <c r="AS360" s="24"/>
      <c r="AT360" s="24"/>
      <c r="AU360" s="24"/>
      <c r="AV360" s="24"/>
      <c r="AW360" s="24"/>
      <c r="BD360" s="24"/>
      <c r="BE360" s="24"/>
      <c r="BF360" s="24"/>
      <c r="BG360" s="24"/>
      <c r="BH360" s="24"/>
      <c r="BI360" s="24"/>
      <c r="BP360" s="24"/>
      <c r="BQ360" s="24"/>
      <c r="BR360" s="24"/>
      <c r="BS360" s="24"/>
      <c r="BZ360" s="24"/>
      <c r="CA360" s="24"/>
      <c r="CB360" s="24"/>
      <c r="CC360" s="24"/>
      <c r="CD360" s="24"/>
    </row>
    <row r="361" spans="2:82" s="6" customFormat="1">
      <c r="B361" s="21"/>
      <c r="D361" s="17"/>
      <c r="E361" s="23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R361" s="24"/>
      <c r="AS361" s="24"/>
      <c r="AT361" s="24"/>
      <c r="AU361" s="24"/>
      <c r="AV361" s="24"/>
      <c r="AW361" s="24"/>
      <c r="BD361" s="24"/>
      <c r="BE361" s="24"/>
      <c r="BF361" s="24"/>
      <c r="BG361" s="24"/>
      <c r="BH361" s="24"/>
      <c r="BI361" s="24"/>
      <c r="BP361" s="24"/>
      <c r="BQ361" s="24"/>
      <c r="BR361" s="24"/>
      <c r="BS361" s="24"/>
      <c r="BZ361" s="24"/>
      <c r="CA361" s="24"/>
      <c r="CB361" s="24"/>
      <c r="CC361" s="24"/>
      <c r="CD361" s="24"/>
    </row>
    <row r="362" spans="2:82" s="6" customFormat="1">
      <c r="B362" s="21"/>
      <c r="D362" s="17"/>
      <c r="E362" s="23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R362" s="24"/>
      <c r="AS362" s="24"/>
      <c r="AT362" s="24"/>
      <c r="AU362" s="24"/>
      <c r="AV362" s="24"/>
      <c r="AW362" s="24"/>
      <c r="BD362" s="24"/>
      <c r="BE362" s="24"/>
      <c r="BF362" s="24"/>
      <c r="BG362" s="24"/>
      <c r="BH362" s="24"/>
      <c r="BI362" s="24"/>
      <c r="BP362" s="24"/>
      <c r="BQ362" s="24"/>
      <c r="BR362" s="24"/>
      <c r="BS362" s="24"/>
      <c r="BZ362" s="24"/>
      <c r="CA362" s="24"/>
      <c r="CB362" s="24"/>
      <c r="CC362" s="24"/>
      <c r="CD362" s="24"/>
    </row>
    <row r="363" spans="2:82" s="6" customFormat="1">
      <c r="B363" s="21"/>
      <c r="D363" s="17"/>
      <c r="E363" s="23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R363" s="24"/>
      <c r="AS363" s="24"/>
      <c r="AT363" s="24"/>
      <c r="AU363" s="24"/>
      <c r="AV363" s="24"/>
      <c r="AW363" s="24"/>
      <c r="BD363" s="24"/>
      <c r="BE363" s="24"/>
      <c r="BF363" s="24"/>
      <c r="BG363" s="24"/>
      <c r="BH363" s="24"/>
      <c r="BI363" s="24"/>
      <c r="BP363" s="24"/>
      <c r="BQ363" s="24"/>
      <c r="BR363" s="24"/>
      <c r="BS363" s="24"/>
      <c r="BZ363" s="24"/>
      <c r="CA363" s="24"/>
      <c r="CB363" s="24"/>
      <c r="CC363" s="24"/>
      <c r="CD363" s="24"/>
    </row>
    <row r="364" spans="2:82" s="6" customFormat="1">
      <c r="B364" s="21"/>
      <c r="D364" s="17"/>
      <c r="E364" s="23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R364" s="24"/>
      <c r="AS364" s="24"/>
      <c r="AT364" s="24"/>
      <c r="AU364" s="24"/>
      <c r="AV364" s="24"/>
      <c r="AW364" s="24"/>
      <c r="BD364" s="24"/>
      <c r="BE364" s="24"/>
      <c r="BF364" s="24"/>
      <c r="BG364" s="24"/>
      <c r="BH364" s="24"/>
      <c r="BI364" s="24"/>
      <c r="BP364" s="24"/>
      <c r="BQ364" s="24"/>
      <c r="BR364" s="24"/>
      <c r="BS364" s="24"/>
      <c r="BZ364" s="24"/>
      <c r="CA364" s="24"/>
      <c r="CB364" s="24"/>
      <c r="CC364" s="24"/>
      <c r="CD364" s="24"/>
    </row>
    <row r="365" spans="2:82" s="6" customFormat="1">
      <c r="B365" s="21"/>
      <c r="D365" s="17"/>
      <c r="E365" s="23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R365" s="24"/>
      <c r="AS365" s="24"/>
      <c r="AT365" s="24"/>
      <c r="AU365" s="24"/>
      <c r="AV365" s="24"/>
      <c r="AW365" s="24"/>
      <c r="BD365" s="24"/>
      <c r="BE365" s="24"/>
      <c r="BF365" s="24"/>
      <c r="BG365" s="24"/>
      <c r="BH365" s="24"/>
      <c r="BI365" s="24"/>
      <c r="BP365" s="24"/>
      <c r="BQ365" s="24"/>
      <c r="BR365" s="24"/>
      <c r="BS365" s="24"/>
      <c r="BZ365" s="24"/>
      <c r="CA365" s="24"/>
      <c r="CB365" s="24"/>
      <c r="CC365" s="24"/>
      <c r="CD365" s="24"/>
    </row>
    <row r="366" spans="2:82" s="6" customFormat="1">
      <c r="B366" s="21"/>
      <c r="D366" s="17"/>
      <c r="E366" s="23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R366" s="24"/>
      <c r="AS366" s="24"/>
      <c r="AT366" s="24"/>
      <c r="AU366" s="24"/>
      <c r="AV366" s="24"/>
      <c r="AW366" s="24"/>
      <c r="BD366" s="24"/>
      <c r="BE366" s="24"/>
      <c r="BF366" s="24"/>
      <c r="BG366" s="24"/>
      <c r="BH366" s="24"/>
      <c r="BI366" s="24"/>
      <c r="BP366" s="24"/>
      <c r="BQ366" s="24"/>
      <c r="BR366" s="24"/>
      <c r="BS366" s="24"/>
      <c r="BZ366" s="24"/>
      <c r="CA366" s="24"/>
      <c r="CB366" s="24"/>
      <c r="CC366" s="24"/>
      <c r="CD366" s="24"/>
    </row>
    <row r="367" spans="2:82" s="6" customFormat="1">
      <c r="B367" s="21"/>
      <c r="D367" s="17"/>
      <c r="E367" s="23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R367" s="24"/>
      <c r="AS367" s="24"/>
      <c r="AT367" s="24"/>
      <c r="AU367" s="24"/>
      <c r="AV367" s="24"/>
      <c r="AW367" s="24"/>
      <c r="BD367" s="24"/>
      <c r="BE367" s="24"/>
      <c r="BF367" s="24"/>
      <c r="BG367" s="24"/>
      <c r="BH367" s="24"/>
      <c r="BI367" s="24"/>
      <c r="BP367" s="24"/>
      <c r="BQ367" s="24"/>
      <c r="BR367" s="24"/>
      <c r="BS367" s="24"/>
      <c r="BZ367" s="24"/>
      <c r="CA367" s="24"/>
      <c r="CB367" s="24"/>
      <c r="CC367" s="24"/>
      <c r="CD367" s="24"/>
    </row>
    <row r="368" spans="2:82" s="6" customFormat="1">
      <c r="B368" s="21"/>
      <c r="D368" s="17"/>
      <c r="E368" s="23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R368" s="24"/>
      <c r="AS368" s="24"/>
      <c r="AT368" s="24"/>
      <c r="AU368" s="24"/>
      <c r="AV368" s="24"/>
      <c r="AW368" s="24"/>
      <c r="BD368" s="24"/>
      <c r="BE368" s="24"/>
      <c r="BF368" s="24"/>
      <c r="BG368" s="24"/>
      <c r="BH368" s="24"/>
      <c r="BI368" s="24"/>
      <c r="BP368" s="24"/>
      <c r="BQ368" s="24"/>
      <c r="BR368" s="24"/>
      <c r="BS368" s="24"/>
      <c r="BZ368" s="24"/>
      <c r="CA368" s="24"/>
      <c r="CB368" s="24"/>
      <c r="CC368" s="24"/>
      <c r="CD368" s="24"/>
    </row>
    <row r="369" spans="2:82" s="6" customFormat="1">
      <c r="B369" s="21"/>
      <c r="D369" s="17"/>
      <c r="E369" s="23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R369" s="24"/>
      <c r="AS369" s="24"/>
      <c r="AT369" s="24"/>
      <c r="AU369" s="24"/>
      <c r="AV369" s="24"/>
      <c r="AW369" s="24"/>
      <c r="BD369" s="24"/>
      <c r="BE369" s="24"/>
      <c r="BF369" s="24"/>
      <c r="BG369" s="24"/>
      <c r="BH369" s="24"/>
      <c r="BI369" s="24"/>
      <c r="BP369" s="24"/>
      <c r="BQ369" s="24"/>
      <c r="BR369" s="24"/>
      <c r="BS369" s="24"/>
      <c r="BZ369" s="24"/>
      <c r="CA369" s="24"/>
      <c r="CB369" s="24"/>
      <c r="CC369" s="24"/>
      <c r="CD369" s="24"/>
    </row>
    <row r="370" spans="2:82" s="6" customFormat="1">
      <c r="B370" s="21"/>
      <c r="D370" s="17"/>
      <c r="E370" s="23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R370" s="24"/>
      <c r="AS370" s="24"/>
      <c r="AT370" s="24"/>
      <c r="AU370" s="24"/>
      <c r="AV370" s="24"/>
      <c r="AW370" s="24"/>
      <c r="BD370" s="24"/>
      <c r="BE370" s="24"/>
      <c r="BF370" s="24"/>
      <c r="BG370" s="24"/>
      <c r="BH370" s="24"/>
      <c r="BI370" s="24"/>
      <c r="BP370" s="24"/>
      <c r="BQ370" s="24"/>
      <c r="BR370" s="24"/>
      <c r="BS370" s="24"/>
      <c r="BZ370" s="24"/>
      <c r="CA370" s="24"/>
      <c r="CB370" s="24"/>
      <c r="CC370" s="24"/>
      <c r="CD370" s="24"/>
    </row>
    <row r="371" spans="2:82" s="6" customFormat="1">
      <c r="B371" s="21"/>
      <c r="D371" s="17"/>
      <c r="E371" s="23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R371" s="24"/>
      <c r="AS371" s="24"/>
      <c r="AT371" s="24"/>
      <c r="AU371" s="24"/>
      <c r="AV371" s="24"/>
      <c r="AW371" s="24"/>
      <c r="BD371" s="24"/>
      <c r="BE371" s="24"/>
      <c r="BF371" s="24"/>
      <c r="BG371" s="24"/>
      <c r="BH371" s="24"/>
      <c r="BI371" s="24"/>
      <c r="BP371" s="24"/>
      <c r="BQ371" s="24"/>
      <c r="BR371" s="24"/>
      <c r="BS371" s="24"/>
      <c r="BZ371" s="24"/>
      <c r="CA371" s="24"/>
      <c r="CB371" s="24"/>
      <c r="CC371" s="24"/>
      <c r="CD371" s="24"/>
    </row>
    <row r="372" spans="2:82" s="6" customFormat="1">
      <c r="B372" s="21"/>
      <c r="D372" s="17"/>
      <c r="E372" s="23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R372" s="24"/>
      <c r="AS372" s="24"/>
      <c r="AT372" s="24"/>
      <c r="AU372" s="24"/>
      <c r="AV372" s="24"/>
      <c r="AW372" s="24"/>
      <c r="BD372" s="24"/>
      <c r="BE372" s="24"/>
      <c r="BF372" s="24"/>
      <c r="BG372" s="24"/>
      <c r="BH372" s="24"/>
      <c r="BI372" s="24"/>
      <c r="BP372" s="24"/>
      <c r="BQ372" s="24"/>
      <c r="BR372" s="24"/>
      <c r="BS372" s="24"/>
      <c r="BZ372" s="24"/>
      <c r="CA372" s="24"/>
      <c r="CB372" s="24"/>
      <c r="CC372" s="24"/>
      <c r="CD372" s="24"/>
    </row>
    <row r="373" spans="2:82" s="6" customFormat="1">
      <c r="B373" s="21"/>
      <c r="D373" s="17"/>
      <c r="E373" s="23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R373" s="24"/>
      <c r="AS373" s="24"/>
      <c r="AT373" s="24"/>
      <c r="AU373" s="24"/>
      <c r="AV373" s="24"/>
      <c r="AW373" s="24"/>
      <c r="BD373" s="24"/>
      <c r="BE373" s="24"/>
      <c r="BF373" s="24"/>
      <c r="BG373" s="24"/>
      <c r="BH373" s="24"/>
      <c r="BI373" s="24"/>
      <c r="BP373" s="24"/>
      <c r="BQ373" s="24"/>
      <c r="BR373" s="24"/>
      <c r="BS373" s="24"/>
      <c r="BZ373" s="24"/>
      <c r="CA373" s="24"/>
      <c r="CB373" s="24"/>
      <c r="CC373" s="24"/>
      <c r="CD373" s="24"/>
    </row>
    <row r="374" spans="2:82" s="6" customFormat="1">
      <c r="B374" s="21"/>
      <c r="D374" s="17"/>
      <c r="E374" s="23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R374" s="24"/>
      <c r="AS374" s="24"/>
      <c r="AT374" s="24"/>
      <c r="AU374" s="24"/>
      <c r="AV374" s="24"/>
      <c r="AW374" s="24"/>
      <c r="BD374" s="24"/>
      <c r="BE374" s="24"/>
      <c r="BF374" s="24"/>
      <c r="BG374" s="24"/>
      <c r="BH374" s="24"/>
      <c r="BI374" s="24"/>
      <c r="BP374" s="24"/>
      <c r="BQ374" s="24"/>
      <c r="BR374" s="24"/>
      <c r="BS374" s="24"/>
      <c r="BZ374" s="24"/>
      <c r="CA374" s="24"/>
      <c r="CB374" s="24"/>
      <c r="CC374" s="24"/>
      <c r="CD374" s="24"/>
    </row>
    <row r="375" spans="2:82" s="6" customFormat="1">
      <c r="B375" s="21"/>
      <c r="D375" s="17"/>
      <c r="E375" s="23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R375" s="24"/>
      <c r="AS375" s="24"/>
      <c r="AT375" s="24"/>
      <c r="AU375" s="24"/>
      <c r="AV375" s="24"/>
      <c r="AW375" s="24"/>
      <c r="BD375" s="24"/>
      <c r="BE375" s="24"/>
      <c r="BF375" s="24"/>
      <c r="BG375" s="24"/>
      <c r="BH375" s="24"/>
      <c r="BI375" s="24"/>
      <c r="BP375" s="24"/>
      <c r="BQ375" s="24"/>
      <c r="BR375" s="24"/>
      <c r="BS375" s="24"/>
      <c r="BZ375" s="24"/>
      <c r="CA375" s="24"/>
      <c r="CB375" s="24"/>
      <c r="CC375" s="24"/>
      <c r="CD375" s="24"/>
    </row>
    <row r="376" spans="2:82" s="6" customFormat="1">
      <c r="B376" s="21"/>
      <c r="D376" s="17"/>
      <c r="E376" s="23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R376" s="24"/>
      <c r="AS376" s="24"/>
      <c r="AT376" s="24"/>
      <c r="AU376" s="24"/>
      <c r="AV376" s="24"/>
      <c r="AW376" s="24"/>
      <c r="BD376" s="24"/>
      <c r="BE376" s="24"/>
      <c r="BF376" s="24"/>
      <c r="BG376" s="24"/>
      <c r="BH376" s="24"/>
      <c r="BI376" s="24"/>
      <c r="BP376" s="24"/>
      <c r="BQ376" s="24"/>
      <c r="BR376" s="24"/>
      <c r="BS376" s="24"/>
      <c r="BZ376" s="24"/>
      <c r="CA376" s="24"/>
      <c r="CB376" s="24"/>
      <c r="CC376" s="24"/>
      <c r="CD376" s="24"/>
    </row>
    <row r="377" spans="2:82" s="6" customFormat="1">
      <c r="B377" s="21"/>
      <c r="D377" s="17"/>
      <c r="E377" s="23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R377" s="24"/>
      <c r="AS377" s="24"/>
      <c r="AT377" s="24"/>
      <c r="AU377" s="24"/>
      <c r="AV377" s="24"/>
      <c r="AW377" s="24"/>
      <c r="BD377" s="24"/>
      <c r="BE377" s="24"/>
      <c r="BF377" s="24"/>
      <c r="BG377" s="24"/>
      <c r="BH377" s="24"/>
      <c r="BI377" s="24"/>
      <c r="BP377" s="24"/>
      <c r="BQ377" s="24"/>
      <c r="BR377" s="24"/>
      <c r="BS377" s="24"/>
      <c r="BZ377" s="24"/>
      <c r="CA377" s="24"/>
      <c r="CB377" s="24"/>
      <c r="CC377" s="24"/>
      <c r="CD377" s="24"/>
    </row>
    <row r="378" spans="2:82" s="6" customFormat="1">
      <c r="B378" s="21"/>
      <c r="D378" s="17"/>
      <c r="E378" s="23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R378" s="24"/>
      <c r="AS378" s="24"/>
      <c r="AT378" s="24"/>
      <c r="AU378" s="24"/>
      <c r="AV378" s="24"/>
      <c r="AW378" s="24"/>
      <c r="BD378" s="24"/>
      <c r="BE378" s="24"/>
      <c r="BF378" s="24"/>
      <c r="BG378" s="24"/>
      <c r="BH378" s="24"/>
      <c r="BI378" s="24"/>
      <c r="BP378" s="24"/>
      <c r="BQ378" s="24"/>
      <c r="BR378" s="24"/>
      <c r="BS378" s="24"/>
      <c r="BZ378" s="24"/>
      <c r="CA378" s="24"/>
      <c r="CB378" s="24"/>
      <c r="CC378" s="24"/>
      <c r="CD378" s="24"/>
    </row>
    <row r="379" spans="2:82" s="6" customFormat="1">
      <c r="B379" s="21"/>
      <c r="D379" s="17"/>
      <c r="E379" s="23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R379" s="24"/>
      <c r="AS379" s="24"/>
      <c r="AT379" s="24"/>
      <c r="AU379" s="24"/>
      <c r="AV379" s="24"/>
      <c r="AW379" s="24"/>
      <c r="BD379" s="24"/>
      <c r="BE379" s="24"/>
      <c r="BF379" s="24"/>
      <c r="BG379" s="24"/>
      <c r="BH379" s="24"/>
      <c r="BI379" s="24"/>
      <c r="BP379" s="24"/>
      <c r="BQ379" s="24"/>
      <c r="BR379" s="24"/>
      <c r="BS379" s="24"/>
      <c r="BZ379" s="24"/>
      <c r="CA379" s="24"/>
      <c r="CB379" s="24"/>
      <c r="CC379" s="24"/>
      <c r="CD379" s="24"/>
    </row>
    <row r="380" spans="2:82" s="6" customFormat="1">
      <c r="B380" s="21"/>
      <c r="D380" s="17"/>
      <c r="E380" s="23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R380" s="24"/>
      <c r="AS380" s="24"/>
      <c r="AT380" s="24"/>
      <c r="AU380" s="24"/>
      <c r="AV380" s="24"/>
      <c r="AW380" s="24"/>
      <c r="BD380" s="24"/>
      <c r="BE380" s="24"/>
      <c r="BF380" s="24"/>
      <c r="BG380" s="24"/>
      <c r="BH380" s="24"/>
      <c r="BI380" s="24"/>
      <c r="BP380" s="24"/>
      <c r="BQ380" s="24"/>
      <c r="BR380" s="24"/>
      <c r="BS380" s="24"/>
      <c r="BZ380" s="24"/>
      <c r="CA380" s="24"/>
      <c r="CB380" s="24"/>
      <c r="CC380" s="24"/>
      <c r="CD380" s="24"/>
    </row>
    <row r="381" spans="2:82" s="6" customFormat="1">
      <c r="B381" s="21"/>
      <c r="D381" s="17"/>
      <c r="E381" s="23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R381" s="24"/>
      <c r="AS381" s="24"/>
      <c r="AT381" s="24"/>
      <c r="AU381" s="24"/>
      <c r="AV381" s="24"/>
      <c r="AW381" s="24"/>
      <c r="BD381" s="24"/>
      <c r="BE381" s="24"/>
      <c r="BF381" s="24"/>
      <c r="BG381" s="24"/>
      <c r="BH381" s="24"/>
      <c r="BI381" s="24"/>
      <c r="BP381" s="24"/>
      <c r="BQ381" s="24"/>
      <c r="BR381" s="24"/>
      <c r="BS381" s="24"/>
      <c r="BZ381" s="24"/>
      <c r="CA381" s="24"/>
      <c r="CB381" s="24"/>
      <c r="CC381" s="24"/>
      <c r="CD381" s="24"/>
    </row>
    <row r="382" spans="2:82" s="6" customFormat="1">
      <c r="B382" s="21"/>
      <c r="D382" s="17"/>
      <c r="E382" s="23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R382" s="24"/>
      <c r="AS382" s="24"/>
      <c r="AT382" s="24"/>
      <c r="AU382" s="24"/>
      <c r="AV382" s="24"/>
      <c r="AW382" s="24"/>
      <c r="BD382" s="24"/>
      <c r="BE382" s="24"/>
      <c r="BF382" s="24"/>
      <c r="BG382" s="24"/>
      <c r="BH382" s="24"/>
      <c r="BI382" s="24"/>
      <c r="BP382" s="24"/>
      <c r="BQ382" s="24"/>
      <c r="BR382" s="24"/>
      <c r="BS382" s="24"/>
      <c r="BZ382" s="24"/>
      <c r="CA382" s="24"/>
      <c r="CB382" s="24"/>
      <c r="CC382" s="24"/>
      <c r="CD382" s="24"/>
    </row>
    <row r="383" spans="2:82" s="6" customFormat="1">
      <c r="B383" s="21"/>
      <c r="D383" s="17"/>
      <c r="E383" s="23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R383" s="24"/>
      <c r="AS383" s="24"/>
      <c r="AT383" s="24"/>
      <c r="AU383" s="24"/>
      <c r="AV383" s="24"/>
      <c r="AW383" s="24"/>
      <c r="BD383" s="24"/>
      <c r="BE383" s="24"/>
      <c r="BF383" s="24"/>
      <c r="BG383" s="24"/>
      <c r="BH383" s="24"/>
      <c r="BI383" s="24"/>
      <c r="BP383" s="24"/>
      <c r="BQ383" s="24"/>
      <c r="BR383" s="24"/>
      <c r="BS383" s="24"/>
      <c r="BZ383" s="24"/>
      <c r="CA383" s="24"/>
      <c r="CB383" s="24"/>
      <c r="CC383" s="24"/>
      <c r="CD383" s="24"/>
    </row>
    <row r="384" spans="2:82" s="6" customFormat="1">
      <c r="B384" s="21"/>
      <c r="D384" s="17"/>
      <c r="E384" s="23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R384" s="24"/>
      <c r="AS384" s="24"/>
      <c r="AT384" s="24"/>
      <c r="AU384" s="24"/>
      <c r="AV384" s="24"/>
      <c r="AW384" s="24"/>
      <c r="BD384" s="24"/>
      <c r="BE384" s="24"/>
      <c r="BF384" s="24"/>
      <c r="BG384" s="24"/>
      <c r="BH384" s="24"/>
      <c r="BI384" s="24"/>
      <c r="BP384" s="24"/>
      <c r="BQ384" s="24"/>
      <c r="BR384" s="24"/>
      <c r="BS384" s="24"/>
      <c r="BZ384" s="24"/>
      <c r="CA384" s="24"/>
      <c r="CB384" s="24"/>
      <c r="CC384" s="24"/>
      <c r="CD384" s="24"/>
    </row>
    <row r="385" spans="2:82" s="6" customFormat="1">
      <c r="B385" s="21"/>
      <c r="D385" s="17"/>
      <c r="E385" s="23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R385" s="24"/>
      <c r="AS385" s="24"/>
      <c r="AT385" s="24"/>
      <c r="AU385" s="24"/>
      <c r="AV385" s="24"/>
      <c r="AW385" s="24"/>
      <c r="BD385" s="24"/>
      <c r="BE385" s="24"/>
      <c r="BF385" s="24"/>
      <c r="BG385" s="24"/>
      <c r="BH385" s="24"/>
      <c r="BI385" s="24"/>
      <c r="BP385" s="24"/>
      <c r="BQ385" s="24"/>
      <c r="BR385" s="24"/>
      <c r="BS385" s="24"/>
      <c r="BZ385" s="24"/>
      <c r="CA385" s="24"/>
      <c r="CB385" s="24"/>
      <c r="CC385" s="24"/>
      <c r="CD385" s="24"/>
    </row>
    <row r="386" spans="2:82" s="6" customFormat="1">
      <c r="B386" s="21"/>
      <c r="D386" s="17"/>
      <c r="E386" s="23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R386" s="24"/>
      <c r="AS386" s="24"/>
      <c r="AT386" s="24"/>
      <c r="AU386" s="24"/>
      <c r="AV386" s="24"/>
      <c r="AW386" s="24"/>
      <c r="BD386" s="24"/>
      <c r="BE386" s="24"/>
      <c r="BF386" s="24"/>
      <c r="BG386" s="24"/>
      <c r="BH386" s="24"/>
      <c r="BI386" s="24"/>
      <c r="BP386" s="24"/>
      <c r="BQ386" s="24"/>
      <c r="BR386" s="24"/>
      <c r="BS386" s="24"/>
      <c r="BZ386" s="24"/>
      <c r="CA386" s="24"/>
      <c r="CB386" s="24"/>
      <c r="CC386" s="24"/>
      <c r="CD386" s="24"/>
    </row>
    <row r="387" spans="2:82" s="6" customFormat="1">
      <c r="B387" s="21"/>
      <c r="D387" s="17"/>
      <c r="E387" s="23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R387" s="24"/>
      <c r="AS387" s="24"/>
      <c r="AT387" s="24"/>
      <c r="AU387" s="24"/>
      <c r="AV387" s="24"/>
      <c r="AW387" s="24"/>
      <c r="BD387" s="24"/>
      <c r="BE387" s="24"/>
      <c r="BF387" s="24"/>
      <c r="BG387" s="24"/>
      <c r="BH387" s="24"/>
      <c r="BI387" s="24"/>
      <c r="BP387" s="24"/>
      <c r="BQ387" s="24"/>
      <c r="BR387" s="24"/>
      <c r="BS387" s="24"/>
      <c r="BZ387" s="24"/>
      <c r="CA387" s="24"/>
      <c r="CB387" s="24"/>
      <c r="CC387" s="24"/>
      <c r="CD387" s="24"/>
    </row>
    <row r="388" spans="2:82" s="6" customFormat="1">
      <c r="B388" s="21"/>
      <c r="D388" s="17"/>
      <c r="E388" s="23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R388" s="24"/>
      <c r="AS388" s="24"/>
      <c r="AT388" s="24"/>
      <c r="AU388" s="24"/>
      <c r="AV388" s="24"/>
      <c r="AW388" s="24"/>
      <c r="BD388" s="24"/>
      <c r="BE388" s="24"/>
      <c r="BF388" s="24"/>
      <c r="BG388" s="24"/>
      <c r="BH388" s="24"/>
      <c r="BI388" s="24"/>
      <c r="BP388" s="24"/>
      <c r="BQ388" s="24"/>
      <c r="BR388" s="24"/>
      <c r="BS388" s="24"/>
      <c r="BZ388" s="24"/>
      <c r="CA388" s="24"/>
      <c r="CB388" s="24"/>
      <c r="CC388" s="24"/>
      <c r="CD388" s="24"/>
    </row>
    <row r="389" spans="2:82" s="6" customFormat="1">
      <c r="B389" s="21"/>
      <c r="D389" s="17"/>
      <c r="E389" s="23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R389" s="24"/>
      <c r="AS389" s="24"/>
      <c r="AT389" s="24"/>
      <c r="AU389" s="24"/>
      <c r="AV389" s="24"/>
      <c r="AW389" s="24"/>
      <c r="BD389" s="24"/>
      <c r="BE389" s="24"/>
      <c r="BF389" s="24"/>
      <c r="BG389" s="24"/>
      <c r="BH389" s="24"/>
      <c r="BI389" s="24"/>
      <c r="BP389" s="24"/>
      <c r="BQ389" s="24"/>
      <c r="BR389" s="24"/>
      <c r="BS389" s="24"/>
      <c r="BZ389" s="24"/>
      <c r="CA389" s="24"/>
      <c r="CB389" s="24"/>
      <c r="CC389" s="24"/>
      <c r="CD389" s="24"/>
    </row>
    <row r="390" spans="2:82" s="6" customFormat="1">
      <c r="B390" s="21"/>
      <c r="D390" s="17"/>
      <c r="E390" s="23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R390" s="24"/>
      <c r="AS390" s="24"/>
      <c r="AT390" s="24"/>
      <c r="AU390" s="24"/>
      <c r="AV390" s="24"/>
      <c r="AW390" s="24"/>
      <c r="BD390" s="24"/>
      <c r="BE390" s="24"/>
      <c r="BF390" s="24"/>
      <c r="BG390" s="24"/>
      <c r="BH390" s="24"/>
      <c r="BI390" s="24"/>
      <c r="BP390" s="24"/>
      <c r="BQ390" s="24"/>
      <c r="BR390" s="24"/>
      <c r="BS390" s="24"/>
      <c r="BZ390" s="24"/>
      <c r="CA390" s="24"/>
      <c r="CB390" s="24"/>
      <c r="CC390" s="24"/>
      <c r="CD390" s="24"/>
    </row>
    <row r="391" spans="2:82" s="6" customFormat="1">
      <c r="B391" s="21"/>
      <c r="D391" s="17"/>
      <c r="E391" s="23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R391" s="24"/>
      <c r="AS391" s="24"/>
      <c r="AT391" s="24"/>
      <c r="AU391" s="24"/>
      <c r="AV391" s="24"/>
      <c r="AW391" s="24"/>
      <c r="BD391" s="24"/>
      <c r="BE391" s="24"/>
      <c r="BF391" s="24"/>
      <c r="BG391" s="24"/>
      <c r="BH391" s="24"/>
      <c r="BI391" s="24"/>
      <c r="BP391" s="24"/>
      <c r="BQ391" s="24"/>
      <c r="BR391" s="24"/>
      <c r="BS391" s="24"/>
      <c r="BZ391" s="24"/>
      <c r="CA391" s="24"/>
      <c r="CB391" s="24"/>
      <c r="CC391" s="24"/>
      <c r="CD391" s="24"/>
    </row>
    <row r="392" spans="2:82" s="6" customFormat="1">
      <c r="B392" s="21"/>
      <c r="D392" s="17"/>
      <c r="E392" s="23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R392" s="24"/>
      <c r="AS392" s="24"/>
      <c r="AT392" s="24"/>
      <c r="AU392" s="24"/>
      <c r="AV392" s="24"/>
      <c r="AW392" s="24"/>
      <c r="BD392" s="24"/>
      <c r="BE392" s="24"/>
      <c r="BF392" s="24"/>
      <c r="BG392" s="24"/>
      <c r="BH392" s="24"/>
      <c r="BI392" s="24"/>
      <c r="BP392" s="24"/>
      <c r="BQ392" s="24"/>
      <c r="BR392" s="24"/>
      <c r="BS392" s="24"/>
      <c r="BZ392" s="24"/>
      <c r="CA392" s="24"/>
      <c r="CB392" s="24"/>
      <c r="CC392" s="24"/>
      <c r="CD392" s="24"/>
    </row>
    <row r="393" spans="2:82" s="6" customFormat="1">
      <c r="B393" s="21"/>
      <c r="D393" s="17"/>
      <c r="E393" s="23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R393" s="24"/>
      <c r="AS393" s="24"/>
      <c r="AT393" s="24"/>
      <c r="AU393" s="24"/>
      <c r="AV393" s="24"/>
      <c r="AW393" s="24"/>
      <c r="BD393" s="24"/>
      <c r="BE393" s="24"/>
      <c r="BF393" s="24"/>
      <c r="BG393" s="24"/>
      <c r="BH393" s="24"/>
      <c r="BI393" s="24"/>
      <c r="BP393" s="24"/>
      <c r="BQ393" s="24"/>
      <c r="BR393" s="24"/>
      <c r="BS393" s="24"/>
      <c r="BZ393" s="24"/>
      <c r="CA393" s="24"/>
      <c r="CB393" s="24"/>
      <c r="CC393" s="24"/>
      <c r="CD393" s="24"/>
    </row>
    <row r="394" spans="2:82" s="6" customFormat="1">
      <c r="B394" s="21"/>
      <c r="D394" s="17"/>
      <c r="E394" s="23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R394" s="24"/>
      <c r="AS394" s="24"/>
      <c r="AT394" s="24"/>
      <c r="AU394" s="24"/>
      <c r="AV394" s="24"/>
      <c r="AW394" s="24"/>
      <c r="BD394" s="24"/>
      <c r="BE394" s="24"/>
      <c r="BF394" s="24"/>
      <c r="BG394" s="24"/>
      <c r="BH394" s="24"/>
      <c r="BI394" s="24"/>
      <c r="BP394" s="24"/>
      <c r="BQ394" s="24"/>
      <c r="BR394" s="24"/>
      <c r="BS394" s="24"/>
      <c r="BZ394" s="24"/>
      <c r="CA394" s="24"/>
      <c r="CB394" s="24"/>
      <c r="CC394" s="24"/>
      <c r="CD394" s="24"/>
    </row>
    <row r="395" spans="2:82" s="6" customFormat="1">
      <c r="B395" s="21"/>
      <c r="D395" s="17"/>
      <c r="E395" s="23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R395" s="24"/>
      <c r="AS395" s="24"/>
      <c r="AT395" s="24"/>
      <c r="AU395" s="24"/>
      <c r="AV395" s="24"/>
      <c r="AW395" s="24"/>
      <c r="BD395" s="24"/>
      <c r="BE395" s="24"/>
      <c r="BF395" s="24"/>
      <c r="BG395" s="24"/>
      <c r="BH395" s="24"/>
      <c r="BI395" s="24"/>
      <c r="BP395" s="24"/>
      <c r="BQ395" s="24"/>
      <c r="BR395" s="24"/>
      <c r="BS395" s="24"/>
      <c r="BZ395" s="24"/>
      <c r="CA395" s="24"/>
      <c r="CB395" s="24"/>
      <c r="CC395" s="24"/>
      <c r="CD395" s="24"/>
    </row>
    <row r="396" spans="2:82" s="6" customFormat="1">
      <c r="B396" s="21"/>
      <c r="D396" s="17"/>
      <c r="E396" s="23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R396" s="24"/>
      <c r="AS396" s="24"/>
      <c r="AT396" s="24"/>
      <c r="AU396" s="24"/>
      <c r="AV396" s="24"/>
      <c r="AW396" s="24"/>
      <c r="BD396" s="24"/>
      <c r="BE396" s="24"/>
      <c r="BF396" s="24"/>
      <c r="BG396" s="24"/>
      <c r="BH396" s="24"/>
      <c r="BI396" s="24"/>
      <c r="BP396" s="24"/>
      <c r="BQ396" s="24"/>
      <c r="BR396" s="24"/>
      <c r="BS396" s="24"/>
      <c r="BZ396" s="24"/>
      <c r="CA396" s="24"/>
      <c r="CB396" s="24"/>
      <c r="CC396" s="24"/>
      <c r="CD396" s="24"/>
    </row>
    <row r="397" spans="2:82" s="6" customFormat="1">
      <c r="B397" s="21"/>
      <c r="D397" s="17"/>
      <c r="E397" s="23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R397" s="24"/>
      <c r="AS397" s="24"/>
      <c r="AT397" s="24"/>
      <c r="AU397" s="24"/>
      <c r="AV397" s="24"/>
      <c r="AW397" s="24"/>
      <c r="BD397" s="24"/>
      <c r="BE397" s="24"/>
      <c r="BF397" s="24"/>
      <c r="BG397" s="24"/>
      <c r="BH397" s="24"/>
      <c r="BI397" s="24"/>
      <c r="BP397" s="24"/>
      <c r="BQ397" s="24"/>
      <c r="BR397" s="24"/>
      <c r="BS397" s="24"/>
      <c r="BZ397" s="24"/>
      <c r="CA397" s="24"/>
      <c r="CB397" s="24"/>
      <c r="CC397" s="24"/>
      <c r="CD397" s="24"/>
    </row>
    <row r="398" spans="2:82" s="6" customFormat="1">
      <c r="B398" s="21"/>
      <c r="D398" s="17"/>
      <c r="E398" s="23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R398" s="24"/>
      <c r="AS398" s="24"/>
      <c r="AT398" s="24"/>
      <c r="AU398" s="24"/>
      <c r="AV398" s="24"/>
      <c r="AW398" s="24"/>
      <c r="BD398" s="24"/>
      <c r="BE398" s="24"/>
      <c r="BF398" s="24"/>
      <c r="BG398" s="24"/>
      <c r="BH398" s="24"/>
      <c r="BI398" s="24"/>
      <c r="BP398" s="24"/>
      <c r="BQ398" s="24"/>
      <c r="BR398" s="24"/>
      <c r="BS398" s="24"/>
      <c r="BZ398" s="24"/>
      <c r="CA398" s="24"/>
      <c r="CB398" s="24"/>
      <c r="CC398" s="24"/>
      <c r="CD398" s="24"/>
    </row>
    <row r="399" spans="2:82" s="6" customFormat="1">
      <c r="B399" s="21"/>
      <c r="D399" s="17"/>
      <c r="E399" s="23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R399" s="24"/>
      <c r="AS399" s="24"/>
      <c r="AT399" s="24"/>
      <c r="AU399" s="24"/>
      <c r="AV399" s="24"/>
      <c r="AW399" s="24"/>
      <c r="BD399" s="24"/>
      <c r="BE399" s="24"/>
      <c r="BF399" s="24"/>
      <c r="BG399" s="24"/>
      <c r="BH399" s="24"/>
      <c r="BI399" s="24"/>
      <c r="BP399" s="24"/>
      <c r="BQ399" s="24"/>
      <c r="BR399" s="24"/>
      <c r="BS399" s="24"/>
      <c r="BZ399" s="24"/>
      <c r="CA399" s="24"/>
      <c r="CB399" s="24"/>
      <c r="CC399" s="24"/>
      <c r="CD399" s="24"/>
    </row>
    <row r="400" spans="2:82" s="6" customFormat="1">
      <c r="B400" s="21"/>
      <c r="D400" s="17"/>
      <c r="E400" s="23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R400" s="24"/>
      <c r="AS400" s="24"/>
      <c r="AT400" s="24"/>
      <c r="AU400" s="24"/>
      <c r="AV400" s="24"/>
      <c r="AW400" s="24"/>
      <c r="BD400" s="24"/>
      <c r="BE400" s="24"/>
      <c r="BF400" s="24"/>
      <c r="BG400" s="24"/>
      <c r="BH400" s="24"/>
      <c r="BI400" s="24"/>
      <c r="BP400" s="24"/>
      <c r="BQ400" s="24"/>
      <c r="BR400" s="24"/>
      <c r="BS400" s="24"/>
      <c r="BZ400" s="24"/>
      <c r="CA400" s="24"/>
      <c r="CB400" s="24"/>
      <c r="CC400" s="24"/>
      <c r="CD400" s="24"/>
    </row>
    <row r="401" spans="2:82" s="6" customFormat="1">
      <c r="B401" s="21"/>
      <c r="D401" s="17"/>
      <c r="E401" s="23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R401" s="24"/>
      <c r="AS401" s="24"/>
      <c r="AT401" s="24"/>
      <c r="AU401" s="24"/>
      <c r="AV401" s="24"/>
      <c r="AW401" s="24"/>
      <c r="BD401" s="24"/>
      <c r="BE401" s="24"/>
      <c r="BF401" s="24"/>
      <c r="BG401" s="24"/>
      <c r="BH401" s="24"/>
      <c r="BI401" s="24"/>
      <c r="BP401" s="24"/>
      <c r="BQ401" s="24"/>
      <c r="BR401" s="24"/>
      <c r="BS401" s="24"/>
      <c r="BZ401" s="24"/>
      <c r="CA401" s="24"/>
      <c r="CB401" s="24"/>
      <c r="CC401" s="24"/>
      <c r="CD401" s="24"/>
    </row>
    <row r="402" spans="2:82" s="6" customFormat="1">
      <c r="B402" s="21"/>
      <c r="D402" s="17"/>
      <c r="E402" s="23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R402" s="24"/>
      <c r="AS402" s="24"/>
      <c r="AT402" s="24"/>
      <c r="AU402" s="24"/>
      <c r="AV402" s="24"/>
      <c r="AW402" s="24"/>
      <c r="BD402" s="24"/>
      <c r="BE402" s="24"/>
      <c r="BF402" s="24"/>
      <c r="BG402" s="24"/>
      <c r="BH402" s="24"/>
      <c r="BI402" s="24"/>
      <c r="BP402" s="24"/>
      <c r="BQ402" s="24"/>
      <c r="BR402" s="24"/>
      <c r="BS402" s="24"/>
      <c r="BZ402" s="24"/>
      <c r="CA402" s="24"/>
      <c r="CB402" s="24"/>
      <c r="CC402" s="24"/>
      <c r="CD402" s="24"/>
    </row>
    <row r="403" spans="2:82" s="6" customFormat="1">
      <c r="B403" s="21"/>
      <c r="D403" s="17"/>
      <c r="E403" s="23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R403" s="24"/>
      <c r="AS403" s="24"/>
      <c r="AT403" s="24"/>
      <c r="AU403" s="24"/>
      <c r="AV403" s="24"/>
      <c r="AW403" s="24"/>
      <c r="BD403" s="24"/>
      <c r="BE403" s="24"/>
      <c r="BF403" s="24"/>
      <c r="BG403" s="24"/>
      <c r="BH403" s="24"/>
      <c r="BI403" s="24"/>
      <c r="BP403" s="24"/>
      <c r="BQ403" s="24"/>
      <c r="BR403" s="24"/>
      <c r="BS403" s="24"/>
      <c r="BZ403" s="24"/>
      <c r="CA403" s="24"/>
      <c r="CB403" s="24"/>
      <c r="CC403" s="24"/>
      <c r="CD403" s="24"/>
    </row>
    <row r="404" spans="2:82" s="6" customFormat="1">
      <c r="B404" s="21"/>
      <c r="D404" s="17"/>
      <c r="E404" s="23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R404" s="24"/>
      <c r="AS404" s="24"/>
      <c r="AT404" s="24"/>
      <c r="AU404" s="24"/>
      <c r="AV404" s="24"/>
      <c r="AW404" s="24"/>
      <c r="BD404" s="24"/>
      <c r="BE404" s="24"/>
      <c r="BF404" s="24"/>
      <c r="BG404" s="24"/>
      <c r="BH404" s="24"/>
      <c r="BI404" s="24"/>
      <c r="BP404" s="24"/>
      <c r="BQ404" s="24"/>
      <c r="BR404" s="24"/>
      <c r="BS404" s="24"/>
      <c r="BZ404" s="24"/>
      <c r="CA404" s="24"/>
      <c r="CB404" s="24"/>
      <c r="CC404" s="24"/>
      <c r="CD404" s="24"/>
    </row>
    <row r="405" spans="2:82" s="6" customFormat="1">
      <c r="B405" s="21"/>
      <c r="D405" s="17"/>
      <c r="E405" s="23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R405" s="24"/>
      <c r="AS405" s="24"/>
      <c r="AT405" s="24"/>
      <c r="AU405" s="24"/>
      <c r="AV405" s="24"/>
      <c r="AW405" s="24"/>
      <c r="BD405" s="24"/>
      <c r="BE405" s="24"/>
      <c r="BF405" s="24"/>
      <c r="BG405" s="24"/>
      <c r="BH405" s="24"/>
      <c r="BI405" s="24"/>
      <c r="BP405" s="24"/>
      <c r="BQ405" s="24"/>
      <c r="BR405" s="24"/>
      <c r="BS405" s="24"/>
      <c r="BZ405" s="24"/>
      <c r="CA405" s="24"/>
      <c r="CB405" s="24"/>
      <c r="CC405" s="24"/>
      <c r="CD405" s="24"/>
    </row>
    <row r="406" spans="2:82" s="6" customFormat="1">
      <c r="B406" s="21"/>
      <c r="D406" s="17"/>
      <c r="E406" s="23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R406" s="24"/>
      <c r="AS406" s="24"/>
      <c r="AT406" s="24"/>
      <c r="AU406" s="24"/>
      <c r="AV406" s="24"/>
      <c r="AW406" s="24"/>
      <c r="BD406" s="24"/>
      <c r="BE406" s="24"/>
      <c r="BF406" s="24"/>
      <c r="BG406" s="24"/>
      <c r="BH406" s="24"/>
      <c r="BI406" s="24"/>
      <c r="BP406" s="24"/>
      <c r="BQ406" s="24"/>
      <c r="BR406" s="24"/>
      <c r="BS406" s="24"/>
      <c r="BZ406" s="24"/>
      <c r="CA406" s="24"/>
      <c r="CB406" s="24"/>
      <c r="CC406" s="24"/>
      <c r="CD406" s="24"/>
    </row>
    <row r="407" spans="2:82" s="6" customFormat="1">
      <c r="B407" s="21"/>
      <c r="D407" s="17"/>
      <c r="E407" s="23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R407" s="24"/>
      <c r="AS407" s="24"/>
      <c r="AT407" s="24"/>
      <c r="AU407" s="24"/>
      <c r="AV407" s="24"/>
      <c r="AW407" s="24"/>
      <c r="BD407" s="24"/>
      <c r="BE407" s="24"/>
      <c r="BF407" s="24"/>
      <c r="BG407" s="24"/>
      <c r="BH407" s="24"/>
      <c r="BI407" s="24"/>
      <c r="BP407" s="24"/>
      <c r="BQ407" s="24"/>
      <c r="BR407" s="24"/>
      <c r="BS407" s="24"/>
      <c r="BZ407" s="24"/>
      <c r="CA407" s="24"/>
      <c r="CB407" s="24"/>
      <c r="CC407" s="24"/>
      <c r="CD407" s="24"/>
    </row>
    <row r="408" spans="2:82" s="6" customFormat="1">
      <c r="B408" s="21"/>
      <c r="D408" s="17"/>
      <c r="E408" s="23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R408" s="24"/>
      <c r="AS408" s="24"/>
      <c r="AT408" s="24"/>
      <c r="AU408" s="24"/>
      <c r="AV408" s="24"/>
      <c r="AW408" s="24"/>
      <c r="BD408" s="24"/>
      <c r="BE408" s="24"/>
      <c r="BF408" s="24"/>
      <c r="BG408" s="24"/>
      <c r="BH408" s="24"/>
      <c r="BI408" s="24"/>
      <c r="BP408" s="24"/>
      <c r="BQ408" s="24"/>
      <c r="BR408" s="24"/>
      <c r="BS408" s="24"/>
      <c r="BZ408" s="24"/>
      <c r="CA408" s="24"/>
      <c r="CB408" s="24"/>
      <c r="CC408" s="24"/>
      <c r="CD408" s="24"/>
    </row>
    <row r="409" spans="2:82" s="6" customFormat="1">
      <c r="B409" s="21"/>
      <c r="D409" s="17"/>
      <c r="E409" s="23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R409" s="24"/>
      <c r="AS409" s="24"/>
      <c r="AT409" s="24"/>
      <c r="AU409" s="24"/>
      <c r="AV409" s="24"/>
      <c r="AW409" s="24"/>
      <c r="BD409" s="24"/>
      <c r="BE409" s="24"/>
      <c r="BF409" s="24"/>
      <c r="BG409" s="24"/>
      <c r="BH409" s="24"/>
      <c r="BI409" s="24"/>
      <c r="BP409" s="24"/>
      <c r="BQ409" s="24"/>
      <c r="BR409" s="24"/>
      <c r="BS409" s="24"/>
      <c r="BZ409" s="24"/>
      <c r="CA409" s="24"/>
      <c r="CB409" s="24"/>
      <c r="CC409" s="24"/>
      <c r="CD409" s="24"/>
    </row>
    <row r="410" spans="2:82" s="6" customFormat="1">
      <c r="B410" s="21"/>
      <c r="D410" s="17"/>
      <c r="E410" s="23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R410" s="24"/>
      <c r="AS410" s="24"/>
      <c r="AT410" s="24"/>
      <c r="AU410" s="24"/>
      <c r="AV410" s="24"/>
      <c r="AW410" s="24"/>
      <c r="BD410" s="24"/>
      <c r="BE410" s="24"/>
      <c r="BF410" s="24"/>
      <c r="BG410" s="24"/>
      <c r="BH410" s="24"/>
      <c r="BI410" s="24"/>
      <c r="BP410" s="24"/>
      <c r="BQ410" s="24"/>
      <c r="BR410" s="24"/>
      <c r="BS410" s="24"/>
      <c r="BZ410" s="24"/>
      <c r="CA410" s="24"/>
      <c r="CB410" s="24"/>
      <c r="CC410" s="24"/>
      <c r="CD410" s="24"/>
    </row>
    <row r="411" spans="2:82" s="6" customFormat="1">
      <c r="B411" s="21"/>
      <c r="D411" s="17"/>
      <c r="E411" s="23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R411" s="24"/>
      <c r="AS411" s="24"/>
      <c r="AT411" s="24"/>
      <c r="AU411" s="24"/>
      <c r="AV411" s="24"/>
      <c r="AW411" s="24"/>
      <c r="BD411" s="24"/>
      <c r="BE411" s="24"/>
      <c r="BF411" s="24"/>
      <c r="BG411" s="24"/>
      <c r="BH411" s="24"/>
      <c r="BI411" s="24"/>
      <c r="BP411" s="24"/>
      <c r="BQ411" s="24"/>
      <c r="BR411" s="24"/>
      <c r="BS411" s="24"/>
      <c r="BZ411" s="24"/>
      <c r="CA411" s="24"/>
      <c r="CB411" s="24"/>
      <c r="CC411" s="24"/>
      <c r="CD411" s="24"/>
    </row>
    <row r="412" spans="2:82" s="6" customFormat="1">
      <c r="B412" s="21"/>
      <c r="D412" s="17"/>
      <c r="E412" s="23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R412" s="24"/>
      <c r="AS412" s="24"/>
      <c r="AT412" s="24"/>
      <c r="AU412" s="24"/>
      <c r="AV412" s="24"/>
      <c r="AW412" s="24"/>
      <c r="BD412" s="24"/>
      <c r="BE412" s="24"/>
      <c r="BF412" s="24"/>
      <c r="BG412" s="24"/>
      <c r="BH412" s="24"/>
      <c r="BI412" s="24"/>
      <c r="BP412" s="24"/>
      <c r="BQ412" s="24"/>
      <c r="BR412" s="24"/>
      <c r="BS412" s="24"/>
      <c r="BZ412" s="24"/>
      <c r="CA412" s="24"/>
      <c r="CB412" s="24"/>
      <c r="CC412" s="24"/>
      <c r="CD412" s="24"/>
    </row>
    <row r="413" spans="2:82" s="6" customFormat="1">
      <c r="B413" s="21"/>
      <c r="D413" s="17"/>
      <c r="E413" s="23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R413" s="24"/>
      <c r="AS413" s="24"/>
      <c r="AT413" s="24"/>
      <c r="AU413" s="24"/>
      <c r="AV413" s="24"/>
      <c r="AW413" s="24"/>
      <c r="BD413" s="24"/>
      <c r="BE413" s="24"/>
      <c r="BF413" s="24"/>
      <c r="BG413" s="24"/>
      <c r="BH413" s="24"/>
      <c r="BI413" s="24"/>
      <c r="BP413" s="24"/>
      <c r="BQ413" s="24"/>
      <c r="BR413" s="24"/>
      <c r="BS413" s="24"/>
      <c r="BZ413" s="24"/>
      <c r="CA413" s="24"/>
      <c r="CB413" s="24"/>
      <c r="CC413" s="24"/>
      <c r="CD413" s="24"/>
    </row>
    <row r="414" spans="2:82" s="6" customFormat="1">
      <c r="B414" s="21"/>
      <c r="D414" s="17"/>
      <c r="E414" s="23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R414" s="24"/>
      <c r="AS414" s="24"/>
      <c r="AT414" s="24"/>
      <c r="AU414" s="24"/>
      <c r="AV414" s="24"/>
      <c r="AW414" s="24"/>
      <c r="BD414" s="24"/>
      <c r="BE414" s="24"/>
      <c r="BF414" s="24"/>
      <c r="BG414" s="24"/>
      <c r="BH414" s="24"/>
      <c r="BI414" s="24"/>
      <c r="BP414" s="24"/>
      <c r="BQ414" s="24"/>
      <c r="BR414" s="24"/>
      <c r="BS414" s="24"/>
      <c r="BZ414" s="24"/>
      <c r="CA414" s="24"/>
      <c r="CB414" s="24"/>
      <c r="CC414" s="24"/>
      <c r="CD414" s="24"/>
    </row>
    <row r="415" spans="2:82" s="6" customFormat="1">
      <c r="B415" s="21"/>
      <c r="D415" s="17"/>
      <c r="E415" s="23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R415" s="24"/>
      <c r="AS415" s="24"/>
      <c r="AT415" s="24"/>
      <c r="AU415" s="24"/>
      <c r="AV415" s="24"/>
      <c r="AW415" s="24"/>
      <c r="BD415" s="24"/>
      <c r="BE415" s="24"/>
      <c r="BF415" s="24"/>
      <c r="BG415" s="24"/>
      <c r="BH415" s="24"/>
      <c r="BI415" s="24"/>
      <c r="BP415" s="24"/>
      <c r="BQ415" s="24"/>
      <c r="BR415" s="24"/>
      <c r="BS415" s="24"/>
      <c r="BZ415" s="24"/>
      <c r="CA415" s="24"/>
      <c r="CB415" s="24"/>
      <c r="CC415" s="24"/>
      <c r="CD415" s="24"/>
    </row>
    <row r="416" spans="2:82" s="6" customFormat="1">
      <c r="B416" s="21"/>
      <c r="D416" s="17"/>
      <c r="E416" s="23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R416" s="24"/>
      <c r="AS416" s="24"/>
      <c r="AT416" s="24"/>
      <c r="AU416" s="24"/>
      <c r="AV416" s="24"/>
      <c r="AW416" s="24"/>
      <c r="BD416" s="24"/>
      <c r="BE416" s="24"/>
      <c r="BF416" s="24"/>
      <c r="BG416" s="24"/>
      <c r="BH416" s="24"/>
      <c r="BI416" s="24"/>
      <c r="BP416" s="24"/>
      <c r="BQ416" s="24"/>
      <c r="BR416" s="24"/>
      <c r="BS416" s="24"/>
      <c r="BZ416" s="24"/>
      <c r="CA416" s="24"/>
      <c r="CB416" s="24"/>
      <c r="CC416" s="24"/>
      <c r="CD416" s="24"/>
    </row>
    <row r="417" spans="2:82" s="6" customFormat="1">
      <c r="B417" s="21"/>
      <c r="D417" s="17"/>
      <c r="E417" s="23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R417" s="24"/>
      <c r="AS417" s="24"/>
      <c r="AT417" s="24"/>
      <c r="AU417" s="24"/>
      <c r="AV417" s="24"/>
      <c r="AW417" s="24"/>
      <c r="BD417" s="24"/>
      <c r="BE417" s="24"/>
      <c r="BF417" s="24"/>
      <c r="BG417" s="24"/>
      <c r="BH417" s="24"/>
      <c r="BI417" s="24"/>
      <c r="BP417" s="24"/>
      <c r="BQ417" s="24"/>
      <c r="BR417" s="24"/>
      <c r="BS417" s="24"/>
      <c r="BZ417" s="24"/>
      <c r="CA417" s="24"/>
      <c r="CB417" s="24"/>
      <c r="CC417" s="24"/>
      <c r="CD417" s="24"/>
    </row>
    <row r="418" spans="2:82" s="6" customFormat="1">
      <c r="B418" s="21"/>
      <c r="D418" s="17"/>
      <c r="E418" s="23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R418" s="24"/>
      <c r="AS418" s="24"/>
      <c r="AT418" s="24"/>
      <c r="AU418" s="24"/>
      <c r="AV418" s="24"/>
      <c r="AW418" s="24"/>
      <c r="BD418" s="24"/>
      <c r="BE418" s="24"/>
      <c r="BF418" s="24"/>
      <c r="BG418" s="24"/>
      <c r="BH418" s="24"/>
      <c r="BI418" s="24"/>
      <c r="BP418" s="24"/>
      <c r="BQ418" s="24"/>
      <c r="BR418" s="24"/>
      <c r="BS418" s="24"/>
      <c r="BZ418" s="24"/>
      <c r="CA418" s="24"/>
      <c r="CB418" s="24"/>
      <c r="CC418" s="24"/>
      <c r="CD418" s="24"/>
    </row>
    <row r="419" spans="2:82" s="6" customFormat="1">
      <c r="B419" s="21"/>
      <c r="D419" s="17"/>
      <c r="E419" s="23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R419" s="24"/>
      <c r="AS419" s="24"/>
      <c r="AT419" s="24"/>
      <c r="AU419" s="24"/>
      <c r="AV419" s="24"/>
      <c r="AW419" s="24"/>
      <c r="BD419" s="24"/>
      <c r="BE419" s="24"/>
      <c r="BF419" s="24"/>
      <c r="BG419" s="24"/>
      <c r="BH419" s="24"/>
      <c r="BI419" s="24"/>
      <c r="BP419" s="24"/>
      <c r="BQ419" s="24"/>
      <c r="BR419" s="24"/>
      <c r="BS419" s="24"/>
      <c r="BZ419" s="24"/>
      <c r="CA419" s="24"/>
      <c r="CB419" s="24"/>
      <c r="CC419" s="24"/>
      <c r="CD419" s="24"/>
    </row>
    <row r="420" spans="2:82" s="6" customFormat="1">
      <c r="B420" s="21"/>
      <c r="D420" s="17"/>
      <c r="E420" s="23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R420" s="24"/>
      <c r="AS420" s="24"/>
      <c r="AT420" s="24"/>
      <c r="AU420" s="24"/>
      <c r="AV420" s="24"/>
      <c r="AW420" s="24"/>
      <c r="BD420" s="24"/>
      <c r="BE420" s="24"/>
      <c r="BF420" s="24"/>
      <c r="BG420" s="24"/>
      <c r="BH420" s="24"/>
      <c r="BI420" s="24"/>
      <c r="BP420" s="24"/>
      <c r="BQ420" s="24"/>
      <c r="BR420" s="24"/>
      <c r="BS420" s="24"/>
      <c r="BZ420" s="24"/>
      <c r="CA420" s="24"/>
      <c r="CB420" s="24"/>
      <c r="CC420" s="24"/>
      <c r="CD420" s="24"/>
    </row>
    <row r="421" spans="2:82" s="6" customFormat="1">
      <c r="B421" s="21"/>
      <c r="D421" s="17"/>
      <c r="E421" s="23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R421" s="24"/>
      <c r="AS421" s="24"/>
      <c r="AT421" s="24"/>
      <c r="AU421" s="24"/>
      <c r="AV421" s="24"/>
      <c r="AW421" s="24"/>
      <c r="BD421" s="24"/>
      <c r="BE421" s="24"/>
      <c r="BF421" s="24"/>
      <c r="BG421" s="24"/>
      <c r="BH421" s="24"/>
      <c r="BI421" s="24"/>
      <c r="BP421" s="24"/>
      <c r="BQ421" s="24"/>
      <c r="BR421" s="24"/>
      <c r="BS421" s="24"/>
      <c r="BZ421" s="24"/>
      <c r="CA421" s="24"/>
      <c r="CB421" s="24"/>
      <c r="CC421" s="24"/>
      <c r="CD421" s="24"/>
    </row>
    <row r="422" spans="2:82" s="6" customFormat="1">
      <c r="B422" s="21"/>
      <c r="D422" s="17"/>
      <c r="E422" s="23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R422" s="24"/>
      <c r="AS422" s="24"/>
      <c r="AT422" s="24"/>
      <c r="AU422" s="24"/>
      <c r="AV422" s="24"/>
      <c r="AW422" s="24"/>
      <c r="BD422" s="24"/>
      <c r="BE422" s="24"/>
      <c r="BF422" s="24"/>
      <c r="BG422" s="24"/>
      <c r="BH422" s="24"/>
      <c r="BI422" s="24"/>
      <c r="BP422" s="24"/>
      <c r="BQ422" s="24"/>
      <c r="BR422" s="24"/>
      <c r="BS422" s="24"/>
      <c r="BZ422" s="24"/>
      <c r="CA422" s="24"/>
      <c r="CB422" s="24"/>
      <c r="CC422" s="24"/>
      <c r="CD422" s="24"/>
    </row>
    <row r="423" spans="2:82" s="6" customFormat="1">
      <c r="B423" s="21"/>
      <c r="D423" s="17"/>
      <c r="E423" s="23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R423" s="24"/>
      <c r="AS423" s="24"/>
      <c r="AT423" s="24"/>
      <c r="AU423" s="24"/>
      <c r="AV423" s="24"/>
      <c r="AW423" s="24"/>
      <c r="BD423" s="24"/>
      <c r="BE423" s="24"/>
      <c r="BF423" s="24"/>
      <c r="BG423" s="24"/>
      <c r="BH423" s="24"/>
      <c r="BI423" s="24"/>
      <c r="BP423" s="24"/>
      <c r="BQ423" s="24"/>
      <c r="BR423" s="24"/>
      <c r="BS423" s="24"/>
      <c r="BZ423" s="24"/>
      <c r="CA423" s="24"/>
      <c r="CB423" s="24"/>
      <c r="CC423" s="24"/>
      <c r="CD423" s="24"/>
    </row>
    <row r="424" spans="2:82" s="6" customFormat="1">
      <c r="B424" s="21"/>
      <c r="D424" s="17"/>
      <c r="E424" s="23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R424" s="24"/>
      <c r="AS424" s="24"/>
      <c r="AT424" s="24"/>
      <c r="AU424" s="24"/>
      <c r="AV424" s="24"/>
      <c r="AW424" s="24"/>
      <c r="BD424" s="24"/>
      <c r="BE424" s="24"/>
      <c r="BF424" s="24"/>
      <c r="BG424" s="24"/>
      <c r="BH424" s="24"/>
      <c r="BI424" s="24"/>
      <c r="BP424" s="24"/>
      <c r="BQ424" s="24"/>
      <c r="BR424" s="24"/>
      <c r="BS424" s="24"/>
      <c r="BZ424" s="24"/>
      <c r="CA424" s="24"/>
      <c r="CB424" s="24"/>
      <c r="CC424" s="24"/>
      <c r="CD424" s="24"/>
    </row>
    <row r="425" spans="2:82" s="6" customFormat="1">
      <c r="B425" s="21"/>
      <c r="D425" s="17"/>
      <c r="E425" s="23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R425" s="24"/>
      <c r="AS425" s="24"/>
      <c r="AT425" s="24"/>
      <c r="AU425" s="24"/>
      <c r="AV425" s="24"/>
      <c r="AW425" s="24"/>
      <c r="BD425" s="24"/>
      <c r="BE425" s="24"/>
      <c r="BF425" s="24"/>
      <c r="BG425" s="24"/>
      <c r="BH425" s="24"/>
      <c r="BI425" s="24"/>
      <c r="BP425" s="24"/>
      <c r="BQ425" s="24"/>
      <c r="BR425" s="24"/>
      <c r="BS425" s="24"/>
      <c r="BZ425" s="24"/>
      <c r="CA425" s="24"/>
      <c r="CB425" s="24"/>
      <c r="CC425" s="24"/>
      <c r="CD425" s="24"/>
    </row>
    <row r="426" spans="2:82" s="6" customFormat="1">
      <c r="B426" s="21"/>
      <c r="D426" s="17"/>
      <c r="E426" s="23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R426" s="24"/>
      <c r="AS426" s="24"/>
      <c r="AT426" s="24"/>
      <c r="AU426" s="24"/>
      <c r="AV426" s="24"/>
      <c r="AW426" s="24"/>
      <c r="BD426" s="24"/>
      <c r="BE426" s="24"/>
      <c r="BF426" s="24"/>
      <c r="BG426" s="24"/>
      <c r="BH426" s="24"/>
      <c r="BI426" s="24"/>
      <c r="BP426" s="24"/>
      <c r="BQ426" s="24"/>
      <c r="BR426" s="24"/>
      <c r="BS426" s="24"/>
      <c r="BZ426" s="24"/>
      <c r="CA426" s="24"/>
      <c r="CB426" s="24"/>
      <c r="CC426" s="24"/>
      <c r="CD426" s="24"/>
    </row>
    <row r="427" spans="2:82" s="6" customFormat="1">
      <c r="B427" s="21"/>
      <c r="D427" s="17"/>
      <c r="E427" s="23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R427" s="24"/>
      <c r="AS427" s="24"/>
      <c r="AT427" s="24"/>
      <c r="AU427" s="24"/>
      <c r="AV427" s="24"/>
      <c r="AW427" s="24"/>
      <c r="BD427" s="24"/>
      <c r="BE427" s="24"/>
      <c r="BF427" s="24"/>
      <c r="BG427" s="24"/>
      <c r="BH427" s="24"/>
      <c r="BI427" s="24"/>
      <c r="BP427" s="24"/>
      <c r="BQ427" s="24"/>
      <c r="BR427" s="24"/>
      <c r="BS427" s="24"/>
      <c r="BZ427" s="24"/>
      <c r="CA427" s="24"/>
      <c r="CB427" s="24"/>
      <c r="CC427" s="24"/>
      <c r="CD427" s="24"/>
    </row>
    <row r="428" spans="2:82" s="6" customFormat="1">
      <c r="B428" s="21"/>
      <c r="D428" s="17"/>
      <c r="E428" s="23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R428" s="24"/>
      <c r="AS428" s="24"/>
      <c r="AT428" s="24"/>
      <c r="AU428" s="24"/>
      <c r="AV428" s="24"/>
      <c r="AW428" s="24"/>
      <c r="BD428" s="24"/>
      <c r="BE428" s="24"/>
      <c r="BF428" s="24"/>
      <c r="BG428" s="24"/>
      <c r="BH428" s="24"/>
      <c r="BI428" s="24"/>
      <c r="BP428" s="24"/>
      <c r="BQ428" s="24"/>
      <c r="BR428" s="24"/>
      <c r="BS428" s="24"/>
      <c r="BZ428" s="24"/>
      <c r="CA428" s="24"/>
      <c r="CB428" s="24"/>
      <c r="CC428" s="24"/>
      <c r="CD428" s="24"/>
    </row>
    <row r="429" spans="2:82" s="6" customFormat="1">
      <c r="B429" s="21"/>
      <c r="D429" s="17"/>
      <c r="E429" s="23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R429" s="24"/>
      <c r="AS429" s="24"/>
      <c r="AT429" s="24"/>
      <c r="AU429" s="24"/>
      <c r="AV429" s="24"/>
      <c r="AW429" s="24"/>
      <c r="BD429" s="24"/>
      <c r="BE429" s="24"/>
      <c r="BF429" s="24"/>
      <c r="BG429" s="24"/>
      <c r="BH429" s="24"/>
      <c r="BI429" s="24"/>
      <c r="BP429" s="24"/>
      <c r="BQ429" s="24"/>
      <c r="BR429" s="24"/>
      <c r="BS429" s="24"/>
      <c r="BZ429" s="24"/>
      <c r="CA429" s="24"/>
      <c r="CB429" s="24"/>
      <c r="CC429" s="24"/>
      <c r="CD429" s="24"/>
    </row>
    <row r="430" spans="2:82" s="6" customFormat="1">
      <c r="B430" s="21"/>
      <c r="D430" s="17"/>
      <c r="E430" s="23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R430" s="24"/>
      <c r="AS430" s="24"/>
      <c r="AT430" s="24"/>
      <c r="AU430" s="24"/>
      <c r="AV430" s="24"/>
      <c r="AW430" s="24"/>
      <c r="BD430" s="24"/>
      <c r="BE430" s="24"/>
      <c r="BF430" s="24"/>
      <c r="BG430" s="24"/>
      <c r="BH430" s="24"/>
      <c r="BI430" s="24"/>
      <c r="BP430" s="24"/>
      <c r="BQ430" s="24"/>
      <c r="BR430" s="24"/>
      <c r="BS430" s="24"/>
      <c r="BZ430" s="24"/>
      <c r="CA430" s="24"/>
      <c r="CB430" s="24"/>
      <c r="CC430" s="24"/>
      <c r="CD430" s="24"/>
    </row>
    <row r="431" spans="2:82" s="6" customFormat="1">
      <c r="B431" s="21"/>
      <c r="D431" s="17"/>
      <c r="E431" s="23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R431" s="24"/>
      <c r="AS431" s="24"/>
      <c r="AT431" s="24"/>
      <c r="AU431" s="24"/>
      <c r="AV431" s="24"/>
      <c r="AW431" s="24"/>
      <c r="BD431" s="24"/>
      <c r="BE431" s="24"/>
      <c r="BF431" s="24"/>
      <c r="BG431" s="24"/>
      <c r="BH431" s="24"/>
      <c r="BI431" s="24"/>
      <c r="BP431" s="24"/>
      <c r="BQ431" s="24"/>
      <c r="BR431" s="24"/>
      <c r="BS431" s="24"/>
      <c r="BZ431" s="24"/>
      <c r="CA431" s="24"/>
      <c r="CB431" s="24"/>
      <c r="CC431" s="24"/>
      <c r="CD431" s="24"/>
    </row>
    <row r="432" spans="2:82" s="6" customFormat="1">
      <c r="B432" s="21"/>
      <c r="D432" s="17"/>
      <c r="E432" s="23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R432" s="24"/>
      <c r="AS432" s="24"/>
      <c r="AT432" s="24"/>
      <c r="AU432" s="24"/>
      <c r="AV432" s="24"/>
      <c r="AW432" s="24"/>
      <c r="BD432" s="24"/>
      <c r="BE432" s="24"/>
      <c r="BF432" s="24"/>
      <c r="BG432" s="24"/>
      <c r="BH432" s="24"/>
      <c r="BI432" s="24"/>
      <c r="BP432" s="24"/>
      <c r="BQ432" s="24"/>
      <c r="BR432" s="24"/>
      <c r="BS432" s="24"/>
      <c r="BZ432" s="24"/>
      <c r="CA432" s="24"/>
      <c r="CB432" s="24"/>
      <c r="CC432" s="24"/>
      <c r="CD432" s="24"/>
    </row>
    <row r="433" spans="2:82" s="6" customFormat="1">
      <c r="B433" s="21"/>
      <c r="D433" s="17"/>
      <c r="E433" s="23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R433" s="24"/>
      <c r="AS433" s="24"/>
      <c r="AT433" s="24"/>
      <c r="AU433" s="24"/>
      <c r="AV433" s="24"/>
      <c r="AW433" s="24"/>
      <c r="BD433" s="24"/>
      <c r="BE433" s="24"/>
      <c r="BF433" s="24"/>
      <c r="BG433" s="24"/>
      <c r="BH433" s="24"/>
      <c r="BI433" s="24"/>
      <c r="BP433" s="24"/>
      <c r="BQ433" s="24"/>
      <c r="BR433" s="24"/>
      <c r="BS433" s="24"/>
      <c r="BZ433" s="24"/>
      <c r="CA433" s="24"/>
      <c r="CB433" s="24"/>
      <c r="CC433" s="24"/>
      <c r="CD433" s="24"/>
    </row>
    <row r="434" spans="2:82" s="6" customFormat="1">
      <c r="B434" s="21"/>
      <c r="D434" s="17"/>
      <c r="E434" s="23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R434" s="24"/>
      <c r="AS434" s="24"/>
      <c r="AT434" s="24"/>
      <c r="AU434" s="24"/>
      <c r="AV434" s="24"/>
      <c r="AW434" s="24"/>
      <c r="BD434" s="24"/>
      <c r="BE434" s="24"/>
      <c r="BF434" s="24"/>
      <c r="BG434" s="24"/>
      <c r="BH434" s="24"/>
      <c r="BI434" s="24"/>
      <c r="BP434" s="24"/>
      <c r="BQ434" s="24"/>
      <c r="BR434" s="24"/>
      <c r="BS434" s="24"/>
      <c r="BZ434" s="24"/>
      <c r="CA434" s="24"/>
      <c r="CB434" s="24"/>
      <c r="CC434" s="24"/>
      <c r="CD434" s="24"/>
    </row>
    <row r="435" spans="2:82" s="6" customFormat="1">
      <c r="B435" s="21"/>
      <c r="D435" s="17"/>
      <c r="E435" s="23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R435" s="24"/>
      <c r="AS435" s="24"/>
      <c r="AT435" s="24"/>
      <c r="AU435" s="24"/>
      <c r="AV435" s="24"/>
      <c r="AW435" s="24"/>
      <c r="BD435" s="24"/>
      <c r="BE435" s="24"/>
      <c r="BF435" s="24"/>
      <c r="BG435" s="24"/>
      <c r="BH435" s="24"/>
      <c r="BI435" s="24"/>
      <c r="BP435" s="24"/>
      <c r="BQ435" s="24"/>
      <c r="BR435" s="24"/>
      <c r="BS435" s="24"/>
      <c r="BZ435" s="24"/>
      <c r="CA435" s="24"/>
      <c r="CB435" s="24"/>
      <c r="CC435" s="24"/>
      <c r="CD435" s="24"/>
    </row>
    <row r="436" spans="2:82" s="6" customFormat="1">
      <c r="B436" s="21"/>
      <c r="D436" s="17"/>
      <c r="E436" s="23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R436" s="24"/>
      <c r="AS436" s="24"/>
      <c r="AT436" s="24"/>
      <c r="AU436" s="24"/>
      <c r="AV436" s="24"/>
      <c r="AW436" s="24"/>
      <c r="BD436" s="24"/>
      <c r="BE436" s="24"/>
      <c r="BF436" s="24"/>
      <c r="BG436" s="24"/>
      <c r="BH436" s="24"/>
      <c r="BI436" s="24"/>
      <c r="BP436" s="24"/>
      <c r="BQ436" s="24"/>
      <c r="BR436" s="24"/>
      <c r="BS436" s="24"/>
      <c r="BZ436" s="24"/>
      <c r="CA436" s="24"/>
      <c r="CB436" s="24"/>
      <c r="CC436" s="24"/>
      <c r="CD436" s="24"/>
    </row>
    <row r="437" spans="2:82" s="6" customFormat="1">
      <c r="B437" s="21"/>
      <c r="D437" s="17"/>
      <c r="E437" s="23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R437" s="24"/>
      <c r="AS437" s="24"/>
      <c r="AT437" s="24"/>
      <c r="AU437" s="24"/>
      <c r="AV437" s="24"/>
      <c r="AW437" s="24"/>
      <c r="BD437" s="24"/>
      <c r="BE437" s="24"/>
      <c r="BF437" s="24"/>
      <c r="BG437" s="24"/>
      <c r="BH437" s="24"/>
      <c r="BI437" s="24"/>
      <c r="BP437" s="24"/>
      <c r="BQ437" s="24"/>
      <c r="BR437" s="24"/>
      <c r="BS437" s="24"/>
      <c r="BZ437" s="24"/>
      <c r="CA437" s="24"/>
      <c r="CB437" s="24"/>
      <c r="CC437" s="24"/>
      <c r="CD437" s="24"/>
    </row>
    <row r="438" spans="2:82" s="6" customFormat="1">
      <c r="B438" s="21"/>
      <c r="D438" s="17"/>
      <c r="E438" s="23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R438" s="24"/>
      <c r="AS438" s="24"/>
      <c r="AT438" s="24"/>
      <c r="AU438" s="24"/>
      <c r="AV438" s="24"/>
      <c r="AW438" s="24"/>
      <c r="BD438" s="24"/>
      <c r="BE438" s="24"/>
      <c r="BF438" s="24"/>
      <c r="BG438" s="24"/>
      <c r="BH438" s="24"/>
      <c r="BI438" s="24"/>
      <c r="BP438" s="24"/>
      <c r="BQ438" s="24"/>
      <c r="BR438" s="24"/>
      <c r="BS438" s="24"/>
      <c r="BZ438" s="24"/>
      <c r="CA438" s="24"/>
      <c r="CB438" s="24"/>
      <c r="CC438" s="24"/>
      <c r="CD438" s="24"/>
    </row>
    <row r="439" spans="2:82" s="6" customFormat="1">
      <c r="B439" s="21"/>
      <c r="D439" s="17"/>
      <c r="E439" s="23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R439" s="24"/>
      <c r="AS439" s="24"/>
      <c r="AT439" s="24"/>
      <c r="AU439" s="24"/>
      <c r="AV439" s="24"/>
      <c r="AW439" s="24"/>
      <c r="BD439" s="24"/>
      <c r="BE439" s="24"/>
      <c r="BF439" s="24"/>
      <c r="BG439" s="24"/>
      <c r="BH439" s="24"/>
      <c r="BI439" s="24"/>
      <c r="BP439" s="24"/>
      <c r="BQ439" s="24"/>
      <c r="BR439" s="24"/>
      <c r="BS439" s="24"/>
      <c r="BZ439" s="24"/>
      <c r="CA439" s="24"/>
      <c r="CB439" s="24"/>
      <c r="CC439" s="24"/>
      <c r="CD439" s="24"/>
    </row>
    <row r="440" spans="2:82" s="6" customFormat="1">
      <c r="B440" s="21"/>
      <c r="D440" s="17"/>
      <c r="E440" s="23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R440" s="24"/>
      <c r="AS440" s="24"/>
      <c r="AT440" s="24"/>
      <c r="AU440" s="24"/>
      <c r="AV440" s="24"/>
      <c r="AW440" s="24"/>
      <c r="BD440" s="24"/>
      <c r="BE440" s="24"/>
      <c r="BF440" s="24"/>
      <c r="BG440" s="24"/>
      <c r="BH440" s="24"/>
      <c r="BI440" s="24"/>
      <c r="BP440" s="24"/>
      <c r="BQ440" s="24"/>
      <c r="BR440" s="24"/>
      <c r="BS440" s="24"/>
      <c r="BZ440" s="24"/>
      <c r="CA440" s="24"/>
      <c r="CB440" s="24"/>
      <c r="CC440" s="24"/>
      <c r="CD440" s="24"/>
    </row>
    <row r="441" spans="2:82" s="6" customFormat="1">
      <c r="B441" s="21"/>
      <c r="D441" s="17"/>
      <c r="E441" s="23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R441" s="24"/>
      <c r="AS441" s="24"/>
      <c r="AT441" s="24"/>
      <c r="AU441" s="24"/>
      <c r="AV441" s="24"/>
      <c r="AW441" s="24"/>
      <c r="BD441" s="24"/>
      <c r="BE441" s="24"/>
      <c r="BF441" s="24"/>
      <c r="BG441" s="24"/>
      <c r="BH441" s="24"/>
      <c r="BI441" s="24"/>
      <c r="BP441" s="24"/>
      <c r="BQ441" s="24"/>
      <c r="BR441" s="24"/>
      <c r="BS441" s="24"/>
      <c r="BZ441" s="24"/>
      <c r="CA441" s="24"/>
      <c r="CB441" s="24"/>
      <c r="CC441" s="24"/>
      <c r="CD441" s="24"/>
    </row>
    <row r="442" spans="2:82" s="6" customFormat="1">
      <c r="B442" s="21"/>
      <c r="D442" s="17"/>
      <c r="E442" s="23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R442" s="24"/>
      <c r="AS442" s="24"/>
      <c r="AT442" s="24"/>
      <c r="AU442" s="24"/>
      <c r="AV442" s="24"/>
      <c r="AW442" s="24"/>
      <c r="BD442" s="24"/>
      <c r="BE442" s="24"/>
      <c r="BF442" s="24"/>
      <c r="BG442" s="24"/>
      <c r="BH442" s="24"/>
      <c r="BI442" s="24"/>
      <c r="BP442" s="24"/>
      <c r="BQ442" s="24"/>
      <c r="BR442" s="24"/>
      <c r="BS442" s="24"/>
      <c r="BZ442" s="24"/>
      <c r="CA442" s="24"/>
      <c r="CB442" s="24"/>
      <c r="CC442" s="24"/>
      <c r="CD442" s="24"/>
    </row>
    <row r="443" spans="2:82" s="6" customFormat="1">
      <c r="B443" s="21"/>
      <c r="D443" s="17"/>
      <c r="E443" s="23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R443" s="24"/>
      <c r="AS443" s="24"/>
      <c r="AT443" s="24"/>
      <c r="AU443" s="24"/>
      <c r="AV443" s="24"/>
      <c r="AW443" s="24"/>
      <c r="BD443" s="24"/>
      <c r="BE443" s="24"/>
      <c r="BF443" s="24"/>
      <c r="BG443" s="24"/>
      <c r="BH443" s="24"/>
      <c r="BI443" s="24"/>
      <c r="BP443" s="24"/>
      <c r="BQ443" s="24"/>
      <c r="BR443" s="24"/>
      <c r="BS443" s="24"/>
      <c r="BZ443" s="24"/>
      <c r="CA443" s="24"/>
      <c r="CB443" s="24"/>
      <c r="CC443" s="24"/>
      <c r="CD443" s="24"/>
    </row>
    <row r="444" spans="2:82" s="6" customFormat="1">
      <c r="B444" s="21"/>
      <c r="D444" s="17"/>
      <c r="E444" s="23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R444" s="24"/>
      <c r="AS444" s="24"/>
      <c r="AT444" s="24"/>
      <c r="AU444" s="24"/>
      <c r="AV444" s="24"/>
      <c r="AW444" s="24"/>
      <c r="BD444" s="24"/>
      <c r="BE444" s="24"/>
      <c r="BF444" s="24"/>
      <c r="BG444" s="24"/>
      <c r="BH444" s="24"/>
      <c r="BI444" s="24"/>
      <c r="BP444" s="24"/>
      <c r="BQ444" s="24"/>
      <c r="BR444" s="24"/>
      <c r="BS444" s="24"/>
      <c r="BZ444" s="24"/>
      <c r="CA444" s="24"/>
      <c r="CB444" s="24"/>
      <c r="CC444" s="24"/>
      <c r="CD444" s="24"/>
    </row>
    <row r="445" spans="2:82" s="6" customFormat="1">
      <c r="B445" s="21"/>
      <c r="D445" s="17"/>
      <c r="E445" s="23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R445" s="24"/>
      <c r="AS445" s="24"/>
      <c r="AT445" s="24"/>
      <c r="AU445" s="24"/>
      <c r="AV445" s="24"/>
      <c r="AW445" s="24"/>
      <c r="BD445" s="24"/>
      <c r="BE445" s="24"/>
      <c r="BF445" s="24"/>
      <c r="BG445" s="24"/>
      <c r="BH445" s="24"/>
      <c r="BI445" s="24"/>
      <c r="BP445" s="24"/>
      <c r="BQ445" s="24"/>
      <c r="BR445" s="24"/>
      <c r="BS445" s="24"/>
      <c r="BZ445" s="24"/>
      <c r="CA445" s="24"/>
      <c r="CB445" s="24"/>
      <c r="CC445" s="24"/>
      <c r="CD445" s="24"/>
    </row>
    <row r="446" spans="2:82" s="6" customFormat="1">
      <c r="B446" s="21"/>
      <c r="D446" s="17"/>
      <c r="E446" s="23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R446" s="24"/>
      <c r="AS446" s="24"/>
      <c r="AT446" s="24"/>
      <c r="AU446" s="24"/>
      <c r="AV446" s="24"/>
      <c r="AW446" s="24"/>
      <c r="BD446" s="24"/>
      <c r="BE446" s="24"/>
      <c r="BF446" s="24"/>
      <c r="BG446" s="24"/>
      <c r="BH446" s="24"/>
      <c r="BI446" s="24"/>
      <c r="BP446" s="24"/>
      <c r="BQ446" s="24"/>
      <c r="BR446" s="24"/>
      <c r="BS446" s="24"/>
      <c r="BZ446" s="24"/>
      <c r="CA446" s="24"/>
      <c r="CB446" s="24"/>
      <c r="CC446" s="24"/>
      <c r="CD446" s="24"/>
    </row>
    <row r="447" spans="2:82" s="6" customFormat="1">
      <c r="B447" s="21"/>
      <c r="D447" s="17"/>
      <c r="E447" s="23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R447" s="24"/>
      <c r="AS447" s="24"/>
      <c r="AT447" s="24"/>
      <c r="AU447" s="24"/>
      <c r="AV447" s="24"/>
      <c r="AW447" s="24"/>
      <c r="BD447" s="24"/>
      <c r="BE447" s="24"/>
      <c r="BF447" s="24"/>
      <c r="BG447" s="24"/>
      <c r="BH447" s="24"/>
      <c r="BI447" s="24"/>
      <c r="BP447" s="24"/>
      <c r="BQ447" s="24"/>
      <c r="BR447" s="24"/>
      <c r="BS447" s="24"/>
      <c r="BZ447" s="24"/>
      <c r="CA447" s="24"/>
      <c r="CB447" s="24"/>
      <c r="CC447" s="24"/>
      <c r="CD447" s="24"/>
    </row>
    <row r="448" spans="2:82" s="6" customFormat="1">
      <c r="B448" s="21"/>
      <c r="D448" s="17"/>
      <c r="E448" s="23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R448" s="24"/>
      <c r="AS448" s="24"/>
      <c r="AT448" s="24"/>
      <c r="AU448" s="24"/>
      <c r="AV448" s="24"/>
      <c r="AW448" s="24"/>
      <c r="BD448" s="24"/>
      <c r="BE448" s="24"/>
      <c r="BF448" s="24"/>
      <c r="BG448" s="24"/>
      <c r="BH448" s="24"/>
      <c r="BI448" s="24"/>
      <c r="BP448" s="24"/>
      <c r="BQ448" s="24"/>
      <c r="BR448" s="24"/>
      <c r="BS448" s="24"/>
      <c r="BZ448" s="24"/>
      <c r="CA448" s="24"/>
      <c r="CB448" s="24"/>
      <c r="CC448" s="24"/>
      <c r="CD448" s="24"/>
    </row>
    <row r="449" spans="2:82" s="6" customFormat="1">
      <c r="B449" s="21"/>
      <c r="D449" s="17"/>
      <c r="E449" s="23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R449" s="24"/>
      <c r="AS449" s="24"/>
      <c r="AT449" s="24"/>
      <c r="AU449" s="24"/>
      <c r="AV449" s="24"/>
      <c r="AW449" s="24"/>
      <c r="BD449" s="24"/>
      <c r="BE449" s="24"/>
      <c r="BF449" s="24"/>
      <c r="BG449" s="24"/>
      <c r="BH449" s="24"/>
      <c r="BI449" s="24"/>
      <c r="BP449" s="24"/>
      <c r="BQ449" s="24"/>
      <c r="BR449" s="24"/>
      <c r="BS449" s="24"/>
      <c r="BZ449" s="24"/>
      <c r="CA449" s="24"/>
      <c r="CB449" s="24"/>
      <c r="CC449" s="24"/>
      <c r="CD449" s="24"/>
    </row>
    <row r="450" spans="2:82" s="6" customFormat="1">
      <c r="B450" s="21"/>
      <c r="D450" s="17"/>
      <c r="E450" s="23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R450" s="24"/>
      <c r="AS450" s="24"/>
      <c r="AT450" s="24"/>
      <c r="AU450" s="24"/>
      <c r="AV450" s="24"/>
      <c r="AW450" s="24"/>
      <c r="BD450" s="24"/>
      <c r="BE450" s="24"/>
      <c r="BF450" s="24"/>
      <c r="BG450" s="24"/>
      <c r="BH450" s="24"/>
      <c r="BI450" s="24"/>
      <c r="BP450" s="24"/>
      <c r="BQ450" s="24"/>
      <c r="BR450" s="24"/>
      <c r="BS450" s="24"/>
      <c r="BZ450" s="24"/>
      <c r="CA450" s="24"/>
      <c r="CB450" s="24"/>
      <c r="CC450" s="24"/>
      <c r="CD450" s="24"/>
    </row>
    <row r="451" spans="2:82" s="6" customFormat="1">
      <c r="B451" s="21"/>
      <c r="D451" s="17"/>
      <c r="E451" s="23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R451" s="24"/>
      <c r="AS451" s="24"/>
      <c r="AT451" s="24"/>
      <c r="AU451" s="24"/>
      <c r="AV451" s="24"/>
      <c r="AW451" s="24"/>
      <c r="BD451" s="24"/>
      <c r="BE451" s="24"/>
      <c r="BF451" s="24"/>
      <c r="BG451" s="24"/>
      <c r="BH451" s="24"/>
      <c r="BI451" s="24"/>
      <c r="BP451" s="24"/>
      <c r="BQ451" s="24"/>
      <c r="BR451" s="24"/>
      <c r="BS451" s="24"/>
      <c r="BZ451" s="24"/>
      <c r="CA451" s="24"/>
      <c r="CB451" s="24"/>
      <c r="CC451" s="24"/>
      <c r="CD451" s="24"/>
    </row>
    <row r="452" spans="2:82" s="6" customFormat="1">
      <c r="B452" s="21"/>
      <c r="D452" s="17"/>
      <c r="E452" s="23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R452" s="24"/>
      <c r="AS452" s="24"/>
      <c r="AT452" s="24"/>
      <c r="AU452" s="24"/>
      <c r="AV452" s="24"/>
      <c r="AW452" s="24"/>
      <c r="BD452" s="24"/>
      <c r="BE452" s="24"/>
      <c r="BF452" s="24"/>
      <c r="BG452" s="24"/>
      <c r="BH452" s="24"/>
      <c r="BI452" s="24"/>
      <c r="BP452" s="24"/>
      <c r="BQ452" s="24"/>
      <c r="BR452" s="24"/>
      <c r="BS452" s="24"/>
      <c r="BZ452" s="24"/>
      <c r="CA452" s="24"/>
      <c r="CB452" s="24"/>
      <c r="CC452" s="24"/>
      <c r="CD452" s="24"/>
    </row>
    <row r="453" spans="2:82" s="6" customFormat="1">
      <c r="B453" s="21"/>
      <c r="D453" s="17"/>
      <c r="E453" s="23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R453" s="24"/>
      <c r="AS453" s="24"/>
      <c r="AT453" s="24"/>
      <c r="AU453" s="24"/>
      <c r="AV453" s="24"/>
      <c r="AW453" s="24"/>
      <c r="BD453" s="24"/>
      <c r="BE453" s="24"/>
      <c r="BF453" s="24"/>
      <c r="BG453" s="24"/>
      <c r="BH453" s="24"/>
      <c r="BI453" s="24"/>
      <c r="BP453" s="24"/>
      <c r="BQ453" s="24"/>
      <c r="BR453" s="24"/>
      <c r="BS453" s="24"/>
      <c r="BZ453" s="24"/>
      <c r="CA453" s="24"/>
      <c r="CB453" s="24"/>
      <c r="CC453" s="24"/>
      <c r="CD453" s="24"/>
    </row>
    <row r="454" spans="2:82" s="6" customFormat="1">
      <c r="B454" s="21"/>
      <c r="D454" s="17"/>
      <c r="E454" s="23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R454" s="24"/>
      <c r="AS454" s="24"/>
      <c r="AT454" s="24"/>
      <c r="AU454" s="24"/>
      <c r="AV454" s="24"/>
      <c r="AW454" s="24"/>
      <c r="BD454" s="24"/>
      <c r="BE454" s="24"/>
      <c r="BF454" s="24"/>
      <c r="BG454" s="24"/>
      <c r="BH454" s="24"/>
      <c r="BI454" s="24"/>
      <c r="BP454" s="24"/>
      <c r="BQ454" s="24"/>
      <c r="BR454" s="24"/>
      <c r="BS454" s="24"/>
      <c r="BZ454" s="24"/>
      <c r="CA454" s="24"/>
      <c r="CB454" s="24"/>
      <c r="CC454" s="24"/>
      <c r="CD454" s="24"/>
    </row>
    <row r="455" spans="2:82" s="6" customFormat="1">
      <c r="B455" s="21"/>
      <c r="D455" s="17"/>
      <c r="E455" s="23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R455" s="24"/>
      <c r="AS455" s="24"/>
      <c r="AT455" s="24"/>
      <c r="AU455" s="24"/>
      <c r="AV455" s="24"/>
      <c r="AW455" s="24"/>
      <c r="BD455" s="24"/>
      <c r="BE455" s="24"/>
      <c r="BF455" s="24"/>
      <c r="BG455" s="24"/>
      <c r="BH455" s="24"/>
      <c r="BI455" s="24"/>
      <c r="BP455" s="24"/>
      <c r="BQ455" s="24"/>
      <c r="BR455" s="24"/>
      <c r="BS455" s="24"/>
      <c r="BZ455" s="24"/>
      <c r="CA455" s="24"/>
      <c r="CB455" s="24"/>
      <c r="CC455" s="24"/>
      <c r="CD455" s="24"/>
    </row>
    <row r="456" spans="2:82" s="6" customFormat="1">
      <c r="B456" s="21"/>
      <c r="D456" s="17"/>
      <c r="E456" s="23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R456" s="24"/>
      <c r="AS456" s="24"/>
      <c r="AT456" s="24"/>
      <c r="AU456" s="24"/>
      <c r="AV456" s="24"/>
      <c r="AW456" s="24"/>
      <c r="BD456" s="24"/>
      <c r="BE456" s="24"/>
      <c r="BF456" s="24"/>
      <c r="BG456" s="24"/>
      <c r="BH456" s="24"/>
      <c r="BI456" s="24"/>
      <c r="BP456" s="24"/>
      <c r="BQ456" s="24"/>
      <c r="BR456" s="24"/>
      <c r="BS456" s="24"/>
      <c r="BZ456" s="24"/>
      <c r="CA456" s="24"/>
      <c r="CB456" s="24"/>
      <c r="CC456" s="24"/>
      <c r="CD456" s="24"/>
    </row>
    <row r="457" spans="2:82" s="6" customFormat="1">
      <c r="B457" s="21"/>
      <c r="D457" s="17"/>
      <c r="E457" s="23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R457" s="24"/>
      <c r="AS457" s="24"/>
      <c r="AT457" s="24"/>
      <c r="AU457" s="24"/>
      <c r="AV457" s="24"/>
      <c r="AW457" s="24"/>
      <c r="BD457" s="24"/>
      <c r="BE457" s="24"/>
      <c r="BF457" s="24"/>
      <c r="BG457" s="24"/>
      <c r="BH457" s="24"/>
      <c r="BI457" s="24"/>
      <c r="BP457" s="24"/>
      <c r="BQ457" s="24"/>
      <c r="BR457" s="24"/>
      <c r="BS457" s="24"/>
      <c r="BZ457" s="24"/>
      <c r="CA457" s="24"/>
      <c r="CB457" s="24"/>
      <c r="CC457" s="24"/>
      <c r="CD457" s="24"/>
    </row>
    <row r="458" spans="2:82" s="6" customFormat="1">
      <c r="B458" s="21"/>
      <c r="D458" s="17"/>
      <c r="E458" s="23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R458" s="24"/>
      <c r="AS458" s="24"/>
      <c r="AT458" s="24"/>
      <c r="AU458" s="24"/>
      <c r="AV458" s="24"/>
      <c r="AW458" s="24"/>
      <c r="BD458" s="24"/>
      <c r="BE458" s="24"/>
      <c r="BF458" s="24"/>
      <c r="BG458" s="24"/>
      <c r="BH458" s="24"/>
      <c r="BI458" s="24"/>
      <c r="BP458" s="24"/>
      <c r="BQ458" s="24"/>
      <c r="BR458" s="24"/>
      <c r="BS458" s="24"/>
      <c r="BZ458" s="24"/>
      <c r="CA458" s="24"/>
      <c r="CB458" s="24"/>
      <c r="CC458" s="24"/>
      <c r="CD458" s="24"/>
    </row>
    <row r="459" spans="2:82" s="6" customFormat="1">
      <c r="B459" s="21"/>
      <c r="D459" s="17"/>
      <c r="E459" s="23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R459" s="24"/>
      <c r="AS459" s="24"/>
      <c r="AT459" s="24"/>
      <c r="AU459" s="24"/>
      <c r="AV459" s="24"/>
      <c r="AW459" s="24"/>
      <c r="BD459" s="24"/>
      <c r="BE459" s="24"/>
      <c r="BF459" s="24"/>
      <c r="BG459" s="24"/>
      <c r="BH459" s="24"/>
      <c r="BI459" s="24"/>
      <c r="BP459" s="24"/>
      <c r="BQ459" s="24"/>
      <c r="BR459" s="24"/>
      <c r="BS459" s="24"/>
      <c r="BZ459" s="24"/>
      <c r="CA459" s="24"/>
      <c r="CB459" s="24"/>
      <c r="CC459" s="24"/>
      <c r="CD459" s="24"/>
    </row>
    <row r="460" spans="2:82" s="6" customFormat="1">
      <c r="B460" s="21"/>
      <c r="D460" s="17"/>
      <c r="E460" s="23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R460" s="24"/>
      <c r="AS460" s="24"/>
      <c r="AT460" s="24"/>
      <c r="AU460" s="24"/>
      <c r="AV460" s="24"/>
      <c r="AW460" s="24"/>
      <c r="BD460" s="24"/>
      <c r="BE460" s="24"/>
      <c r="BF460" s="24"/>
      <c r="BG460" s="24"/>
      <c r="BH460" s="24"/>
      <c r="BI460" s="24"/>
      <c r="BP460" s="24"/>
      <c r="BQ460" s="24"/>
      <c r="BR460" s="24"/>
      <c r="BS460" s="24"/>
      <c r="BZ460" s="24"/>
      <c r="CA460" s="24"/>
      <c r="CB460" s="24"/>
      <c r="CC460" s="24"/>
      <c r="CD460" s="24"/>
    </row>
    <row r="461" spans="2:82" s="6" customFormat="1">
      <c r="B461" s="21"/>
      <c r="D461" s="17"/>
      <c r="E461" s="23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R461" s="24"/>
      <c r="AS461" s="24"/>
      <c r="AT461" s="24"/>
      <c r="AU461" s="24"/>
      <c r="AV461" s="24"/>
      <c r="AW461" s="24"/>
      <c r="BD461" s="24"/>
      <c r="BE461" s="24"/>
      <c r="BF461" s="24"/>
      <c r="BG461" s="24"/>
      <c r="BH461" s="24"/>
      <c r="BI461" s="24"/>
      <c r="BP461" s="24"/>
      <c r="BQ461" s="24"/>
      <c r="BR461" s="24"/>
      <c r="BS461" s="24"/>
      <c r="BZ461" s="24"/>
      <c r="CA461" s="24"/>
      <c r="CB461" s="24"/>
      <c r="CC461" s="24"/>
      <c r="CD461" s="24"/>
    </row>
    <row r="462" spans="2:82" s="6" customFormat="1">
      <c r="B462" s="21"/>
      <c r="D462" s="17"/>
      <c r="E462" s="23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R462" s="24"/>
      <c r="AS462" s="24"/>
      <c r="AT462" s="24"/>
      <c r="AU462" s="24"/>
      <c r="AV462" s="24"/>
      <c r="AW462" s="24"/>
      <c r="BD462" s="24"/>
      <c r="BE462" s="24"/>
      <c r="BF462" s="24"/>
      <c r="BG462" s="24"/>
      <c r="BH462" s="24"/>
      <c r="BI462" s="24"/>
      <c r="BP462" s="24"/>
      <c r="BQ462" s="24"/>
      <c r="BR462" s="24"/>
      <c r="BS462" s="24"/>
      <c r="BZ462" s="24"/>
      <c r="CA462" s="24"/>
      <c r="CB462" s="24"/>
      <c r="CC462" s="24"/>
      <c r="CD462" s="24"/>
    </row>
    <row r="463" spans="2:82" s="6" customFormat="1">
      <c r="B463" s="21"/>
      <c r="D463" s="17"/>
      <c r="E463" s="23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R463" s="24"/>
      <c r="AS463" s="24"/>
      <c r="AT463" s="24"/>
      <c r="AU463" s="24"/>
      <c r="AV463" s="24"/>
      <c r="AW463" s="24"/>
      <c r="BD463" s="24"/>
      <c r="BE463" s="24"/>
      <c r="BF463" s="24"/>
      <c r="BG463" s="24"/>
      <c r="BH463" s="24"/>
      <c r="BI463" s="24"/>
      <c r="BP463" s="24"/>
      <c r="BQ463" s="24"/>
      <c r="BR463" s="24"/>
      <c r="BS463" s="24"/>
      <c r="BZ463" s="24"/>
      <c r="CA463" s="24"/>
      <c r="CB463" s="24"/>
      <c r="CC463" s="24"/>
      <c r="CD463" s="24"/>
    </row>
    <row r="464" spans="2:82" s="6" customFormat="1">
      <c r="B464" s="21"/>
      <c r="D464" s="17"/>
      <c r="E464" s="23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R464" s="24"/>
      <c r="AS464" s="24"/>
      <c r="AT464" s="24"/>
      <c r="AU464" s="24"/>
      <c r="AV464" s="24"/>
      <c r="AW464" s="24"/>
      <c r="BD464" s="24"/>
      <c r="BE464" s="24"/>
      <c r="BF464" s="24"/>
      <c r="BG464" s="24"/>
      <c r="BH464" s="24"/>
      <c r="BI464" s="24"/>
      <c r="BP464" s="24"/>
      <c r="BQ464" s="24"/>
      <c r="BR464" s="24"/>
      <c r="BS464" s="24"/>
      <c r="BZ464" s="24"/>
      <c r="CA464" s="24"/>
      <c r="CB464" s="24"/>
      <c r="CC464" s="24"/>
      <c r="CD464" s="24"/>
    </row>
    <row r="465" spans="2:82" s="6" customFormat="1">
      <c r="B465" s="21"/>
      <c r="D465" s="17"/>
      <c r="E465" s="23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R465" s="24"/>
      <c r="AS465" s="24"/>
      <c r="AT465" s="24"/>
      <c r="AU465" s="24"/>
      <c r="AV465" s="24"/>
      <c r="AW465" s="24"/>
      <c r="BD465" s="24"/>
      <c r="BE465" s="24"/>
      <c r="BF465" s="24"/>
      <c r="BG465" s="24"/>
      <c r="BH465" s="24"/>
      <c r="BI465" s="24"/>
      <c r="BP465" s="24"/>
      <c r="BQ465" s="24"/>
      <c r="BR465" s="24"/>
      <c r="BS465" s="24"/>
      <c r="BZ465" s="24"/>
      <c r="CA465" s="24"/>
      <c r="CB465" s="24"/>
      <c r="CC465" s="24"/>
      <c r="CD465" s="24"/>
    </row>
    <row r="466" spans="2:82" s="6" customFormat="1">
      <c r="B466" s="21"/>
      <c r="D466" s="17"/>
      <c r="E466" s="23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R466" s="24"/>
      <c r="AS466" s="24"/>
      <c r="AT466" s="24"/>
      <c r="AU466" s="24"/>
      <c r="AV466" s="24"/>
      <c r="AW466" s="24"/>
      <c r="BD466" s="24"/>
      <c r="BE466" s="24"/>
      <c r="BF466" s="24"/>
      <c r="BG466" s="24"/>
      <c r="BH466" s="24"/>
      <c r="BI466" s="24"/>
      <c r="BP466" s="24"/>
      <c r="BQ466" s="24"/>
      <c r="BR466" s="24"/>
      <c r="BS466" s="24"/>
      <c r="BZ466" s="24"/>
      <c r="CA466" s="24"/>
      <c r="CB466" s="24"/>
      <c r="CC466" s="24"/>
      <c r="CD466" s="24"/>
    </row>
    <row r="467" spans="2:82" s="6" customFormat="1">
      <c r="B467" s="21"/>
      <c r="D467" s="17"/>
      <c r="E467" s="23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R467" s="24"/>
      <c r="AS467" s="24"/>
      <c r="AT467" s="24"/>
      <c r="AU467" s="24"/>
      <c r="AV467" s="24"/>
      <c r="AW467" s="24"/>
      <c r="BD467" s="24"/>
      <c r="BE467" s="24"/>
      <c r="BF467" s="24"/>
      <c r="BG467" s="24"/>
      <c r="BH467" s="24"/>
      <c r="BI467" s="24"/>
      <c r="BP467" s="24"/>
      <c r="BQ467" s="24"/>
      <c r="BR467" s="24"/>
      <c r="BS467" s="24"/>
      <c r="BZ467" s="24"/>
      <c r="CA467" s="24"/>
      <c r="CB467" s="24"/>
      <c r="CC467" s="24"/>
      <c r="CD467" s="24"/>
    </row>
    <row r="468" spans="2:82" s="6" customFormat="1">
      <c r="B468" s="21"/>
      <c r="D468" s="17"/>
      <c r="E468" s="23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R468" s="24"/>
      <c r="AS468" s="24"/>
      <c r="AT468" s="24"/>
      <c r="AU468" s="24"/>
      <c r="AV468" s="24"/>
      <c r="AW468" s="24"/>
      <c r="BD468" s="24"/>
      <c r="BE468" s="24"/>
      <c r="BF468" s="24"/>
      <c r="BG468" s="24"/>
      <c r="BH468" s="24"/>
      <c r="BI468" s="24"/>
      <c r="BP468" s="24"/>
      <c r="BQ468" s="24"/>
      <c r="BR468" s="24"/>
      <c r="BS468" s="24"/>
      <c r="BZ468" s="24"/>
      <c r="CA468" s="24"/>
      <c r="CB468" s="24"/>
      <c r="CC468" s="24"/>
      <c r="CD468" s="24"/>
    </row>
    <row r="469" spans="2:82" s="6" customFormat="1">
      <c r="B469" s="21"/>
      <c r="D469" s="17"/>
      <c r="E469" s="23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R469" s="24"/>
      <c r="AS469" s="24"/>
      <c r="AT469" s="24"/>
      <c r="AU469" s="24"/>
      <c r="AV469" s="24"/>
      <c r="AW469" s="24"/>
      <c r="BD469" s="24"/>
      <c r="BE469" s="24"/>
      <c r="BF469" s="24"/>
      <c r="BG469" s="24"/>
      <c r="BH469" s="24"/>
      <c r="BI469" s="24"/>
      <c r="BP469" s="24"/>
      <c r="BQ469" s="24"/>
      <c r="BR469" s="24"/>
      <c r="BS469" s="24"/>
      <c r="BZ469" s="24"/>
      <c r="CA469" s="24"/>
      <c r="CB469" s="24"/>
      <c r="CC469" s="24"/>
      <c r="CD469" s="24"/>
    </row>
    <row r="470" spans="2:82" s="6" customFormat="1">
      <c r="B470" s="21"/>
      <c r="D470" s="17"/>
      <c r="E470" s="23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R470" s="24"/>
      <c r="AS470" s="24"/>
      <c r="AT470" s="24"/>
      <c r="AU470" s="24"/>
      <c r="AV470" s="24"/>
      <c r="AW470" s="24"/>
      <c r="BD470" s="24"/>
      <c r="BE470" s="24"/>
      <c r="BF470" s="24"/>
      <c r="BG470" s="24"/>
      <c r="BH470" s="24"/>
      <c r="BI470" s="24"/>
      <c r="BP470" s="24"/>
      <c r="BQ470" s="24"/>
      <c r="BR470" s="24"/>
      <c r="BS470" s="24"/>
      <c r="BZ470" s="24"/>
      <c r="CA470" s="24"/>
      <c r="CB470" s="24"/>
      <c r="CC470" s="24"/>
      <c r="CD470" s="24"/>
    </row>
    <row r="471" spans="2:82" s="6" customFormat="1">
      <c r="B471" s="21"/>
      <c r="D471" s="17"/>
      <c r="E471" s="23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R471" s="24"/>
      <c r="AS471" s="24"/>
      <c r="AT471" s="24"/>
      <c r="AU471" s="24"/>
      <c r="AV471" s="24"/>
      <c r="AW471" s="24"/>
      <c r="BD471" s="24"/>
      <c r="BE471" s="24"/>
      <c r="BF471" s="24"/>
      <c r="BG471" s="24"/>
      <c r="BH471" s="24"/>
      <c r="BI471" s="24"/>
      <c r="BP471" s="24"/>
      <c r="BQ471" s="24"/>
      <c r="BR471" s="24"/>
      <c r="BS471" s="24"/>
      <c r="BZ471" s="24"/>
      <c r="CA471" s="24"/>
      <c r="CB471" s="24"/>
      <c r="CC471" s="24"/>
      <c r="CD471" s="24"/>
    </row>
    <row r="472" spans="2:82" s="6" customFormat="1">
      <c r="B472" s="21"/>
      <c r="D472" s="17"/>
      <c r="E472" s="23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R472" s="24"/>
      <c r="AS472" s="24"/>
      <c r="AT472" s="24"/>
      <c r="AU472" s="24"/>
      <c r="AV472" s="24"/>
      <c r="AW472" s="24"/>
      <c r="BD472" s="24"/>
      <c r="BE472" s="24"/>
      <c r="BF472" s="24"/>
      <c r="BG472" s="24"/>
      <c r="BH472" s="24"/>
      <c r="BI472" s="24"/>
      <c r="BP472" s="24"/>
      <c r="BQ472" s="24"/>
      <c r="BR472" s="24"/>
      <c r="BS472" s="24"/>
      <c r="BZ472" s="24"/>
      <c r="CA472" s="24"/>
      <c r="CB472" s="24"/>
      <c r="CC472" s="24"/>
      <c r="CD472" s="24"/>
    </row>
    <row r="473" spans="2:82" s="6" customFormat="1">
      <c r="B473" s="21"/>
      <c r="D473" s="17"/>
      <c r="E473" s="23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R473" s="24"/>
      <c r="AS473" s="24"/>
      <c r="AT473" s="24"/>
      <c r="AU473" s="24"/>
      <c r="AV473" s="24"/>
      <c r="AW473" s="24"/>
      <c r="BD473" s="24"/>
      <c r="BE473" s="24"/>
      <c r="BF473" s="24"/>
      <c r="BG473" s="24"/>
      <c r="BH473" s="24"/>
      <c r="BI473" s="24"/>
      <c r="BP473" s="24"/>
      <c r="BQ473" s="24"/>
      <c r="BR473" s="24"/>
      <c r="BS473" s="24"/>
      <c r="BZ473" s="24"/>
      <c r="CA473" s="24"/>
      <c r="CB473" s="24"/>
      <c r="CC473" s="24"/>
      <c r="CD473" s="24"/>
    </row>
    <row r="474" spans="2:82" s="6" customFormat="1">
      <c r="B474" s="21"/>
      <c r="D474" s="17"/>
      <c r="E474" s="23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R474" s="24"/>
      <c r="AS474" s="24"/>
      <c r="AT474" s="24"/>
      <c r="AU474" s="24"/>
      <c r="AV474" s="24"/>
      <c r="AW474" s="24"/>
      <c r="BD474" s="24"/>
      <c r="BE474" s="24"/>
      <c r="BF474" s="24"/>
      <c r="BG474" s="24"/>
      <c r="BH474" s="24"/>
      <c r="BI474" s="24"/>
      <c r="BP474" s="24"/>
      <c r="BQ474" s="24"/>
      <c r="BR474" s="24"/>
      <c r="BS474" s="24"/>
      <c r="BZ474" s="24"/>
      <c r="CA474" s="24"/>
      <c r="CB474" s="24"/>
      <c r="CC474" s="24"/>
      <c r="CD474" s="24"/>
    </row>
    <row r="475" spans="2:82" s="6" customFormat="1">
      <c r="B475" s="21"/>
      <c r="D475" s="17"/>
      <c r="E475" s="23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R475" s="24"/>
      <c r="AS475" s="24"/>
      <c r="AT475" s="24"/>
      <c r="AU475" s="24"/>
      <c r="AV475" s="24"/>
      <c r="AW475" s="24"/>
      <c r="BD475" s="24"/>
      <c r="BE475" s="24"/>
      <c r="BF475" s="24"/>
      <c r="BG475" s="24"/>
      <c r="BH475" s="24"/>
      <c r="BI475" s="24"/>
      <c r="BP475" s="24"/>
      <c r="BQ475" s="24"/>
      <c r="BR475" s="24"/>
      <c r="BS475" s="24"/>
      <c r="BZ475" s="24"/>
      <c r="CA475" s="24"/>
      <c r="CB475" s="24"/>
      <c r="CC475" s="24"/>
      <c r="CD475" s="24"/>
    </row>
    <row r="476" spans="2:82" s="6" customFormat="1">
      <c r="B476" s="21"/>
      <c r="D476" s="17"/>
      <c r="E476" s="23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R476" s="24"/>
      <c r="AS476" s="24"/>
      <c r="AT476" s="24"/>
      <c r="AU476" s="24"/>
      <c r="AV476" s="24"/>
      <c r="AW476" s="24"/>
      <c r="BD476" s="24"/>
      <c r="BE476" s="24"/>
      <c r="BF476" s="24"/>
      <c r="BG476" s="24"/>
      <c r="BH476" s="24"/>
      <c r="BI476" s="24"/>
      <c r="BP476" s="24"/>
      <c r="BQ476" s="24"/>
      <c r="BR476" s="24"/>
      <c r="BS476" s="24"/>
      <c r="BZ476" s="24"/>
      <c r="CA476" s="24"/>
      <c r="CB476" s="24"/>
      <c r="CC476" s="24"/>
      <c r="CD476" s="24"/>
    </row>
    <row r="477" spans="2:82" s="6" customFormat="1">
      <c r="B477" s="21"/>
      <c r="D477" s="17"/>
      <c r="E477" s="23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R477" s="24"/>
      <c r="AS477" s="24"/>
      <c r="AT477" s="24"/>
      <c r="AU477" s="24"/>
      <c r="AV477" s="24"/>
      <c r="AW477" s="24"/>
      <c r="BD477" s="24"/>
      <c r="BE477" s="24"/>
      <c r="BF477" s="24"/>
      <c r="BG477" s="24"/>
      <c r="BH477" s="24"/>
      <c r="BI477" s="24"/>
      <c r="BP477" s="24"/>
      <c r="BQ477" s="24"/>
      <c r="BR477" s="24"/>
      <c r="BS477" s="24"/>
      <c r="BZ477" s="24"/>
      <c r="CA477" s="24"/>
      <c r="CB477" s="24"/>
      <c r="CC477" s="24"/>
      <c r="CD477" s="24"/>
    </row>
    <row r="478" spans="2:82" s="6" customFormat="1">
      <c r="B478" s="21"/>
      <c r="D478" s="17"/>
      <c r="E478" s="23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R478" s="24"/>
      <c r="AS478" s="24"/>
      <c r="AT478" s="24"/>
      <c r="AU478" s="24"/>
      <c r="AV478" s="24"/>
      <c r="AW478" s="24"/>
      <c r="BD478" s="24"/>
      <c r="BE478" s="24"/>
      <c r="BF478" s="24"/>
      <c r="BG478" s="24"/>
      <c r="BH478" s="24"/>
      <c r="BI478" s="24"/>
      <c r="BP478" s="24"/>
      <c r="BQ478" s="24"/>
      <c r="BR478" s="24"/>
      <c r="BS478" s="24"/>
      <c r="BZ478" s="24"/>
      <c r="CA478" s="24"/>
      <c r="CB478" s="24"/>
      <c r="CC478" s="24"/>
      <c r="CD478" s="24"/>
    </row>
    <row r="479" spans="2:82" s="6" customFormat="1">
      <c r="B479" s="21"/>
      <c r="D479" s="17"/>
      <c r="E479" s="23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R479" s="24"/>
      <c r="AS479" s="24"/>
      <c r="AT479" s="24"/>
      <c r="AU479" s="24"/>
      <c r="AV479" s="24"/>
      <c r="AW479" s="24"/>
      <c r="BD479" s="24"/>
      <c r="BE479" s="24"/>
      <c r="BF479" s="24"/>
      <c r="BG479" s="24"/>
      <c r="BH479" s="24"/>
      <c r="BI479" s="24"/>
      <c r="BP479" s="24"/>
      <c r="BQ479" s="24"/>
      <c r="BR479" s="24"/>
      <c r="BS479" s="24"/>
      <c r="BZ479" s="24"/>
      <c r="CA479" s="24"/>
      <c r="CB479" s="24"/>
      <c r="CC479" s="24"/>
      <c r="CD479" s="24"/>
    </row>
    <row r="480" spans="2:82" s="6" customFormat="1">
      <c r="B480" s="21"/>
      <c r="D480" s="17"/>
      <c r="E480" s="23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R480" s="24"/>
      <c r="AS480" s="24"/>
      <c r="AT480" s="24"/>
      <c r="AU480" s="24"/>
      <c r="AV480" s="24"/>
      <c r="AW480" s="24"/>
      <c r="BD480" s="24"/>
      <c r="BE480" s="24"/>
      <c r="BF480" s="24"/>
      <c r="BG480" s="24"/>
      <c r="BH480" s="24"/>
      <c r="BI480" s="24"/>
      <c r="BP480" s="24"/>
      <c r="BQ480" s="24"/>
      <c r="BR480" s="24"/>
      <c r="BS480" s="24"/>
      <c r="BZ480" s="24"/>
      <c r="CA480" s="24"/>
      <c r="CB480" s="24"/>
      <c r="CC480" s="24"/>
      <c r="CD480" s="24"/>
    </row>
    <row r="481" spans="2:82" s="6" customFormat="1">
      <c r="B481" s="21"/>
      <c r="D481" s="17"/>
      <c r="E481" s="23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R481" s="24"/>
      <c r="AS481" s="24"/>
      <c r="AT481" s="24"/>
      <c r="AU481" s="24"/>
      <c r="AV481" s="24"/>
      <c r="AW481" s="24"/>
      <c r="BD481" s="24"/>
      <c r="BE481" s="24"/>
      <c r="BF481" s="24"/>
      <c r="BG481" s="24"/>
      <c r="BH481" s="24"/>
      <c r="BI481" s="24"/>
      <c r="BP481" s="24"/>
      <c r="BQ481" s="24"/>
      <c r="BR481" s="24"/>
      <c r="BS481" s="24"/>
      <c r="BZ481" s="24"/>
      <c r="CA481" s="24"/>
      <c r="CB481" s="24"/>
      <c r="CC481" s="24"/>
      <c r="CD481" s="24"/>
    </row>
    <row r="482" spans="2:82" s="6" customFormat="1">
      <c r="B482" s="21"/>
      <c r="D482" s="17"/>
      <c r="E482" s="23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R482" s="24"/>
      <c r="AS482" s="24"/>
      <c r="AT482" s="24"/>
      <c r="AU482" s="24"/>
      <c r="AV482" s="24"/>
      <c r="AW482" s="24"/>
      <c r="BD482" s="24"/>
      <c r="BE482" s="24"/>
      <c r="BF482" s="24"/>
      <c r="BG482" s="24"/>
      <c r="BH482" s="24"/>
      <c r="BI482" s="24"/>
      <c r="BP482" s="24"/>
      <c r="BQ482" s="24"/>
      <c r="BR482" s="24"/>
      <c r="BS482" s="24"/>
      <c r="BZ482" s="24"/>
      <c r="CA482" s="24"/>
      <c r="CB482" s="24"/>
      <c r="CC482" s="24"/>
      <c r="CD482" s="24"/>
    </row>
    <row r="483" spans="2:82" s="6" customFormat="1">
      <c r="B483" s="21"/>
      <c r="D483" s="17"/>
      <c r="E483" s="23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R483" s="24"/>
      <c r="AS483" s="24"/>
      <c r="AT483" s="24"/>
      <c r="AU483" s="24"/>
      <c r="AV483" s="24"/>
      <c r="AW483" s="24"/>
      <c r="BD483" s="24"/>
      <c r="BE483" s="24"/>
      <c r="BF483" s="24"/>
      <c r="BG483" s="24"/>
      <c r="BH483" s="24"/>
      <c r="BI483" s="24"/>
      <c r="BP483" s="24"/>
      <c r="BQ483" s="24"/>
      <c r="BR483" s="24"/>
      <c r="BS483" s="24"/>
      <c r="BZ483" s="24"/>
      <c r="CA483" s="24"/>
      <c r="CB483" s="24"/>
      <c r="CC483" s="24"/>
      <c r="CD483" s="24"/>
    </row>
    <row r="484" spans="2:82" s="6" customFormat="1">
      <c r="B484" s="21"/>
      <c r="D484" s="17"/>
      <c r="E484" s="23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R484" s="24"/>
      <c r="AS484" s="24"/>
      <c r="AT484" s="24"/>
      <c r="AU484" s="24"/>
      <c r="AV484" s="24"/>
      <c r="AW484" s="24"/>
      <c r="BD484" s="24"/>
      <c r="BE484" s="24"/>
      <c r="BF484" s="24"/>
      <c r="BG484" s="24"/>
      <c r="BH484" s="24"/>
      <c r="BI484" s="24"/>
      <c r="BP484" s="24"/>
      <c r="BQ484" s="24"/>
      <c r="BR484" s="24"/>
      <c r="BS484" s="24"/>
      <c r="BZ484" s="24"/>
      <c r="CA484" s="24"/>
      <c r="CB484" s="24"/>
      <c r="CC484" s="24"/>
      <c r="CD484" s="24"/>
    </row>
    <row r="485" spans="2:82" s="6" customFormat="1">
      <c r="B485" s="21"/>
      <c r="D485" s="17"/>
      <c r="E485" s="23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R485" s="24"/>
      <c r="AS485" s="24"/>
      <c r="AT485" s="24"/>
      <c r="AU485" s="24"/>
      <c r="AV485" s="24"/>
      <c r="AW485" s="24"/>
      <c r="BD485" s="24"/>
      <c r="BE485" s="24"/>
      <c r="BF485" s="24"/>
      <c r="BG485" s="24"/>
      <c r="BH485" s="24"/>
      <c r="BI485" s="24"/>
      <c r="BP485" s="24"/>
      <c r="BQ485" s="24"/>
      <c r="BR485" s="24"/>
      <c r="BS485" s="24"/>
      <c r="BZ485" s="24"/>
      <c r="CA485" s="24"/>
      <c r="CB485" s="24"/>
      <c r="CC485" s="24"/>
      <c r="CD485" s="24"/>
    </row>
    <row r="486" spans="2:82" s="6" customFormat="1">
      <c r="B486" s="21"/>
      <c r="D486" s="17"/>
      <c r="E486" s="23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R486" s="24"/>
      <c r="AS486" s="24"/>
      <c r="AT486" s="24"/>
      <c r="AU486" s="24"/>
      <c r="AV486" s="24"/>
      <c r="AW486" s="24"/>
      <c r="BD486" s="24"/>
      <c r="BE486" s="24"/>
      <c r="BF486" s="24"/>
      <c r="BG486" s="24"/>
      <c r="BH486" s="24"/>
      <c r="BI486" s="24"/>
      <c r="BP486" s="24"/>
      <c r="BQ486" s="24"/>
      <c r="BR486" s="24"/>
      <c r="BS486" s="24"/>
      <c r="BZ486" s="24"/>
      <c r="CA486" s="24"/>
      <c r="CB486" s="24"/>
      <c r="CC486" s="24"/>
      <c r="CD486" s="24"/>
    </row>
    <row r="487" spans="2:82" s="6" customFormat="1">
      <c r="B487" s="21"/>
      <c r="D487" s="17"/>
      <c r="E487" s="23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R487" s="24"/>
      <c r="AS487" s="24"/>
      <c r="AT487" s="24"/>
      <c r="AU487" s="24"/>
      <c r="AV487" s="24"/>
      <c r="AW487" s="24"/>
      <c r="BD487" s="24"/>
      <c r="BE487" s="24"/>
      <c r="BF487" s="24"/>
      <c r="BG487" s="24"/>
      <c r="BH487" s="24"/>
      <c r="BI487" s="24"/>
      <c r="BP487" s="24"/>
      <c r="BQ487" s="24"/>
      <c r="BR487" s="24"/>
      <c r="BS487" s="24"/>
      <c r="BZ487" s="24"/>
      <c r="CA487" s="24"/>
      <c r="CB487" s="24"/>
      <c r="CC487" s="24"/>
      <c r="CD487" s="24"/>
    </row>
    <row r="488" spans="2:82" s="6" customFormat="1">
      <c r="B488" s="21"/>
      <c r="D488" s="17"/>
      <c r="E488" s="23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R488" s="24"/>
      <c r="AS488" s="24"/>
      <c r="AT488" s="24"/>
      <c r="AU488" s="24"/>
      <c r="AV488" s="24"/>
      <c r="AW488" s="24"/>
      <c r="BD488" s="24"/>
      <c r="BE488" s="24"/>
      <c r="BF488" s="24"/>
      <c r="BG488" s="24"/>
      <c r="BH488" s="24"/>
      <c r="BI488" s="24"/>
      <c r="BP488" s="24"/>
      <c r="BQ488" s="24"/>
      <c r="BR488" s="24"/>
      <c r="BS488" s="24"/>
      <c r="BZ488" s="24"/>
      <c r="CA488" s="24"/>
      <c r="CB488" s="24"/>
      <c r="CC488" s="24"/>
      <c r="CD488" s="24"/>
    </row>
    <row r="489" spans="2:82" s="6" customFormat="1">
      <c r="B489" s="21"/>
      <c r="D489" s="17"/>
      <c r="E489" s="23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R489" s="24"/>
      <c r="AS489" s="24"/>
      <c r="AT489" s="24"/>
      <c r="AU489" s="24"/>
      <c r="AV489" s="24"/>
      <c r="AW489" s="24"/>
      <c r="BD489" s="24"/>
      <c r="BE489" s="24"/>
      <c r="BF489" s="24"/>
      <c r="BG489" s="24"/>
      <c r="BH489" s="24"/>
      <c r="BI489" s="24"/>
      <c r="BP489" s="24"/>
      <c r="BQ489" s="24"/>
      <c r="BR489" s="24"/>
      <c r="BS489" s="24"/>
      <c r="BZ489" s="24"/>
      <c r="CA489" s="24"/>
      <c r="CB489" s="24"/>
      <c r="CC489" s="24"/>
      <c r="CD489" s="24"/>
    </row>
    <row r="490" spans="2:82" s="6" customFormat="1">
      <c r="B490" s="21"/>
      <c r="D490" s="17"/>
      <c r="E490" s="23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R490" s="24"/>
      <c r="AS490" s="24"/>
      <c r="AT490" s="24"/>
      <c r="AU490" s="24"/>
      <c r="AV490" s="24"/>
      <c r="AW490" s="24"/>
      <c r="BD490" s="24"/>
      <c r="BE490" s="24"/>
      <c r="BF490" s="24"/>
      <c r="BG490" s="24"/>
      <c r="BH490" s="24"/>
      <c r="BI490" s="24"/>
      <c r="BP490" s="24"/>
      <c r="BQ490" s="24"/>
      <c r="BR490" s="24"/>
      <c r="BS490" s="24"/>
      <c r="BZ490" s="24"/>
      <c r="CA490" s="24"/>
      <c r="CB490" s="24"/>
      <c r="CC490" s="24"/>
      <c r="CD490" s="24"/>
    </row>
    <row r="491" spans="2:82" s="6" customFormat="1">
      <c r="B491" s="21"/>
      <c r="D491" s="17"/>
      <c r="E491" s="23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R491" s="24"/>
      <c r="AS491" s="24"/>
      <c r="AT491" s="24"/>
      <c r="AU491" s="24"/>
      <c r="AV491" s="24"/>
      <c r="AW491" s="24"/>
      <c r="BD491" s="24"/>
      <c r="BE491" s="24"/>
      <c r="BF491" s="24"/>
      <c r="BG491" s="24"/>
      <c r="BH491" s="24"/>
      <c r="BI491" s="24"/>
      <c r="BP491" s="24"/>
      <c r="BQ491" s="24"/>
      <c r="BR491" s="24"/>
      <c r="BS491" s="24"/>
      <c r="BZ491" s="24"/>
      <c r="CA491" s="24"/>
      <c r="CB491" s="24"/>
      <c r="CC491" s="24"/>
      <c r="CD491" s="24"/>
    </row>
    <row r="492" spans="2:82" s="6" customFormat="1">
      <c r="B492" s="21"/>
      <c r="D492" s="17"/>
      <c r="E492" s="23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R492" s="24"/>
      <c r="AS492" s="24"/>
      <c r="AT492" s="24"/>
      <c r="AU492" s="24"/>
      <c r="AV492" s="24"/>
      <c r="AW492" s="24"/>
      <c r="BD492" s="24"/>
      <c r="BE492" s="24"/>
      <c r="BF492" s="24"/>
      <c r="BG492" s="24"/>
      <c r="BH492" s="24"/>
      <c r="BI492" s="24"/>
      <c r="BP492" s="24"/>
      <c r="BQ492" s="24"/>
      <c r="BR492" s="24"/>
      <c r="BS492" s="24"/>
      <c r="BZ492" s="24"/>
      <c r="CA492" s="24"/>
      <c r="CB492" s="24"/>
      <c r="CC492" s="24"/>
      <c r="CD492" s="24"/>
    </row>
    <row r="493" spans="2:82" s="6" customFormat="1">
      <c r="B493" s="21"/>
      <c r="D493" s="17"/>
      <c r="E493" s="23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R493" s="24"/>
      <c r="AS493" s="24"/>
      <c r="AT493" s="24"/>
      <c r="AU493" s="24"/>
      <c r="AV493" s="24"/>
      <c r="AW493" s="24"/>
      <c r="BD493" s="24"/>
      <c r="BE493" s="24"/>
      <c r="BF493" s="24"/>
      <c r="BG493" s="24"/>
      <c r="BH493" s="24"/>
      <c r="BI493" s="24"/>
      <c r="BP493" s="24"/>
      <c r="BQ493" s="24"/>
      <c r="BR493" s="24"/>
      <c r="BS493" s="24"/>
      <c r="BZ493" s="24"/>
      <c r="CA493" s="24"/>
      <c r="CB493" s="24"/>
      <c r="CC493" s="24"/>
      <c r="CD493" s="24"/>
    </row>
    <row r="494" spans="2:82" s="6" customFormat="1">
      <c r="B494" s="21"/>
      <c r="D494" s="17"/>
      <c r="E494" s="23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R494" s="24"/>
      <c r="AS494" s="24"/>
      <c r="AT494" s="24"/>
      <c r="AU494" s="24"/>
      <c r="AV494" s="24"/>
      <c r="AW494" s="24"/>
      <c r="BD494" s="24"/>
      <c r="BE494" s="24"/>
      <c r="BF494" s="24"/>
      <c r="BG494" s="24"/>
      <c r="BH494" s="24"/>
      <c r="BI494" s="24"/>
      <c r="BP494" s="24"/>
      <c r="BQ494" s="24"/>
      <c r="BR494" s="24"/>
      <c r="BS494" s="24"/>
      <c r="BZ494" s="24"/>
      <c r="CA494" s="24"/>
      <c r="CB494" s="24"/>
      <c r="CC494" s="24"/>
      <c r="CD494" s="24"/>
    </row>
    <row r="495" spans="2:82" s="6" customFormat="1">
      <c r="B495" s="21"/>
      <c r="D495" s="17"/>
      <c r="E495" s="23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R495" s="24"/>
      <c r="AS495" s="24"/>
      <c r="AT495" s="24"/>
      <c r="AU495" s="24"/>
      <c r="AV495" s="24"/>
      <c r="AW495" s="24"/>
      <c r="BD495" s="24"/>
      <c r="BE495" s="24"/>
      <c r="BF495" s="24"/>
      <c r="BG495" s="24"/>
      <c r="BH495" s="24"/>
      <c r="BI495" s="24"/>
      <c r="BP495" s="24"/>
      <c r="BQ495" s="24"/>
      <c r="BR495" s="24"/>
      <c r="BS495" s="24"/>
      <c r="BZ495" s="24"/>
      <c r="CA495" s="24"/>
      <c r="CB495" s="24"/>
      <c r="CC495" s="24"/>
      <c r="CD495" s="24"/>
    </row>
    <row r="496" spans="2:82" s="6" customFormat="1">
      <c r="B496" s="21"/>
      <c r="D496" s="17"/>
      <c r="E496" s="23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R496" s="24"/>
      <c r="AS496" s="24"/>
      <c r="AT496" s="24"/>
      <c r="AU496" s="24"/>
      <c r="AV496" s="24"/>
      <c r="AW496" s="24"/>
      <c r="BD496" s="24"/>
      <c r="BE496" s="24"/>
      <c r="BF496" s="24"/>
      <c r="BG496" s="24"/>
      <c r="BH496" s="24"/>
      <c r="BI496" s="24"/>
      <c r="BP496" s="24"/>
      <c r="BQ496" s="24"/>
      <c r="BR496" s="24"/>
      <c r="BS496" s="24"/>
      <c r="BZ496" s="24"/>
      <c r="CA496" s="24"/>
      <c r="CB496" s="24"/>
      <c r="CC496" s="24"/>
      <c r="CD496" s="24"/>
    </row>
    <row r="497" spans="2:82" s="6" customFormat="1">
      <c r="B497" s="21"/>
      <c r="D497" s="17"/>
      <c r="E497" s="23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R497" s="24"/>
      <c r="AS497" s="24"/>
      <c r="AT497" s="24"/>
      <c r="AU497" s="24"/>
      <c r="AV497" s="24"/>
      <c r="AW497" s="24"/>
      <c r="BD497" s="24"/>
      <c r="BE497" s="24"/>
      <c r="BF497" s="24"/>
      <c r="BG497" s="24"/>
      <c r="BH497" s="24"/>
      <c r="BI497" s="24"/>
      <c r="BP497" s="24"/>
      <c r="BQ497" s="24"/>
      <c r="BR497" s="24"/>
      <c r="BS497" s="24"/>
      <c r="BZ497" s="24"/>
      <c r="CA497" s="24"/>
      <c r="CB497" s="24"/>
      <c r="CC497" s="24"/>
      <c r="CD497" s="24"/>
    </row>
    <row r="498" spans="2:82" s="6" customFormat="1">
      <c r="B498" s="21"/>
      <c r="D498" s="17"/>
      <c r="E498" s="23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R498" s="24"/>
      <c r="AS498" s="24"/>
      <c r="AT498" s="24"/>
      <c r="AU498" s="24"/>
      <c r="AV498" s="24"/>
      <c r="AW498" s="24"/>
      <c r="BD498" s="24"/>
      <c r="BE498" s="24"/>
      <c r="BF498" s="24"/>
      <c r="BG498" s="24"/>
      <c r="BH498" s="24"/>
      <c r="BI498" s="24"/>
      <c r="BP498" s="24"/>
      <c r="BQ498" s="24"/>
      <c r="BR498" s="24"/>
      <c r="BS498" s="24"/>
      <c r="BZ498" s="24"/>
      <c r="CA498" s="24"/>
      <c r="CB498" s="24"/>
      <c r="CC498" s="24"/>
      <c r="CD498" s="24"/>
    </row>
    <row r="499" spans="2:82" s="6" customFormat="1">
      <c r="B499" s="21"/>
      <c r="D499" s="17"/>
      <c r="E499" s="23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R499" s="24"/>
      <c r="AS499" s="24"/>
      <c r="AT499" s="24"/>
      <c r="AU499" s="24"/>
      <c r="AV499" s="24"/>
      <c r="AW499" s="24"/>
      <c r="BD499" s="24"/>
      <c r="BE499" s="24"/>
      <c r="BF499" s="24"/>
      <c r="BG499" s="24"/>
      <c r="BH499" s="24"/>
      <c r="BI499" s="24"/>
      <c r="BP499" s="24"/>
      <c r="BQ499" s="24"/>
      <c r="BR499" s="24"/>
      <c r="BS499" s="24"/>
      <c r="BZ499" s="24"/>
      <c r="CA499" s="24"/>
      <c r="CB499" s="24"/>
      <c r="CC499" s="24"/>
      <c r="CD499" s="24"/>
    </row>
    <row r="500" spans="2:82" s="6" customFormat="1">
      <c r="B500" s="21"/>
      <c r="D500" s="17"/>
      <c r="E500" s="23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R500" s="24"/>
      <c r="AS500" s="24"/>
      <c r="AT500" s="24"/>
      <c r="AU500" s="24"/>
      <c r="AV500" s="24"/>
      <c r="AW500" s="24"/>
      <c r="BD500" s="24"/>
      <c r="BE500" s="24"/>
      <c r="BF500" s="24"/>
      <c r="BG500" s="24"/>
      <c r="BH500" s="24"/>
      <c r="BI500" s="24"/>
      <c r="BP500" s="24"/>
      <c r="BQ500" s="24"/>
      <c r="BR500" s="24"/>
      <c r="BS500" s="24"/>
      <c r="BZ500" s="24"/>
      <c r="CA500" s="24"/>
      <c r="CB500" s="24"/>
      <c r="CC500" s="24"/>
      <c r="CD500" s="24"/>
    </row>
    <row r="501" spans="2:82" s="6" customFormat="1">
      <c r="B501" s="21"/>
      <c r="D501" s="17"/>
      <c r="E501" s="23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R501" s="24"/>
      <c r="AS501" s="24"/>
      <c r="AT501" s="24"/>
      <c r="AU501" s="24"/>
      <c r="AV501" s="24"/>
      <c r="AW501" s="24"/>
      <c r="BD501" s="24"/>
      <c r="BE501" s="24"/>
      <c r="BF501" s="24"/>
      <c r="BG501" s="24"/>
      <c r="BH501" s="24"/>
      <c r="BI501" s="24"/>
      <c r="BP501" s="24"/>
      <c r="BQ501" s="24"/>
      <c r="BR501" s="24"/>
      <c r="BS501" s="24"/>
      <c r="BZ501" s="24"/>
      <c r="CA501" s="24"/>
      <c r="CB501" s="24"/>
      <c r="CC501" s="24"/>
      <c r="CD501" s="24"/>
    </row>
    <row r="502" spans="2:82" s="6" customFormat="1">
      <c r="B502" s="21"/>
      <c r="D502" s="17"/>
      <c r="E502" s="23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R502" s="24"/>
      <c r="AS502" s="24"/>
      <c r="AT502" s="24"/>
      <c r="AU502" s="24"/>
      <c r="AV502" s="24"/>
      <c r="AW502" s="24"/>
      <c r="BD502" s="24"/>
      <c r="BE502" s="24"/>
      <c r="BF502" s="24"/>
      <c r="BG502" s="24"/>
      <c r="BH502" s="24"/>
      <c r="BI502" s="24"/>
      <c r="BP502" s="24"/>
      <c r="BQ502" s="24"/>
      <c r="BR502" s="24"/>
      <c r="BS502" s="24"/>
      <c r="BZ502" s="24"/>
      <c r="CA502" s="24"/>
      <c r="CB502" s="24"/>
      <c r="CC502" s="24"/>
      <c r="CD502" s="24"/>
    </row>
    <row r="503" spans="2:82" s="6" customFormat="1">
      <c r="B503" s="21"/>
      <c r="D503" s="17"/>
      <c r="E503" s="23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R503" s="24"/>
      <c r="AS503" s="24"/>
      <c r="AT503" s="24"/>
      <c r="AU503" s="24"/>
      <c r="AV503" s="24"/>
      <c r="AW503" s="24"/>
      <c r="BD503" s="24"/>
      <c r="BE503" s="24"/>
      <c r="BF503" s="24"/>
      <c r="BG503" s="24"/>
      <c r="BH503" s="24"/>
      <c r="BI503" s="24"/>
      <c r="BP503" s="24"/>
      <c r="BQ503" s="24"/>
      <c r="BR503" s="24"/>
      <c r="BS503" s="24"/>
      <c r="BZ503" s="24"/>
      <c r="CA503" s="24"/>
      <c r="CB503" s="24"/>
      <c r="CC503" s="24"/>
      <c r="CD503" s="24"/>
    </row>
    <row r="504" spans="2:82" s="6" customFormat="1">
      <c r="B504" s="21"/>
      <c r="D504" s="17"/>
      <c r="E504" s="23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R504" s="24"/>
      <c r="AS504" s="24"/>
      <c r="AT504" s="24"/>
      <c r="AU504" s="24"/>
      <c r="AV504" s="24"/>
      <c r="AW504" s="24"/>
      <c r="BD504" s="24"/>
      <c r="BE504" s="24"/>
      <c r="BF504" s="24"/>
      <c r="BG504" s="24"/>
      <c r="BH504" s="24"/>
      <c r="BI504" s="24"/>
      <c r="BP504" s="24"/>
      <c r="BQ504" s="24"/>
      <c r="BR504" s="24"/>
      <c r="BS504" s="24"/>
      <c r="BZ504" s="24"/>
      <c r="CA504" s="24"/>
      <c r="CB504" s="24"/>
      <c r="CC504" s="24"/>
      <c r="CD504" s="24"/>
    </row>
    <row r="505" spans="2:82" s="6" customFormat="1">
      <c r="B505" s="21"/>
      <c r="D505" s="17"/>
      <c r="E505" s="23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R505" s="24"/>
      <c r="AS505" s="24"/>
      <c r="AT505" s="24"/>
      <c r="AU505" s="24"/>
      <c r="AV505" s="24"/>
      <c r="AW505" s="24"/>
      <c r="BD505" s="24"/>
      <c r="BE505" s="24"/>
      <c r="BF505" s="24"/>
      <c r="BG505" s="24"/>
      <c r="BH505" s="24"/>
      <c r="BI505" s="24"/>
      <c r="BP505" s="24"/>
      <c r="BQ505" s="24"/>
      <c r="BR505" s="24"/>
      <c r="BS505" s="24"/>
      <c r="BZ505" s="24"/>
      <c r="CA505" s="24"/>
      <c r="CB505" s="24"/>
      <c r="CC505" s="24"/>
      <c r="CD505" s="24"/>
    </row>
    <row r="506" spans="2:82" s="6" customFormat="1">
      <c r="B506" s="21"/>
      <c r="D506" s="17"/>
      <c r="E506" s="23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R506" s="24"/>
      <c r="AS506" s="24"/>
      <c r="AT506" s="24"/>
      <c r="AU506" s="24"/>
      <c r="AV506" s="24"/>
      <c r="AW506" s="24"/>
      <c r="BD506" s="24"/>
      <c r="BE506" s="24"/>
      <c r="BF506" s="24"/>
      <c r="BG506" s="24"/>
      <c r="BH506" s="24"/>
      <c r="BI506" s="24"/>
      <c r="BP506" s="24"/>
      <c r="BQ506" s="24"/>
      <c r="BR506" s="24"/>
      <c r="BS506" s="24"/>
      <c r="BZ506" s="24"/>
      <c r="CA506" s="24"/>
      <c r="CB506" s="24"/>
      <c r="CC506" s="24"/>
      <c r="CD506" s="24"/>
    </row>
    <row r="507" spans="2:82" s="6" customFormat="1">
      <c r="B507" s="21"/>
      <c r="D507" s="17"/>
      <c r="E507" s="23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R507" s="24"/>
      <c r="AS507" s="24"/>
      <c r="AT507" s="24"/>
      <c r="AU507" s="24"/>
      <c r="AV507" s="24"/>
      <c r="AW507" s="24"/>
      <c r="BD507" s="24"/>
      <c r="BE507" s="24"/>
      <c r="BF507" s="24"/>
      <c r="BG507" s="24"/>
      <c r="BH507" s="24"/>
      <c r="BI507" s="24"/>
      <c r="BP507" s="24"/>
      <c r="BQ507" s="24"/>
      <c r="BR507" s="24"/>
      <c r="BS507" s="24"/>
      <c r="BZ507" s="24"/>
      <c r="CA507" s="24"/>
      <c r="CB507" s="24"/>
      <c r="CC507" s="24"/>
      <c r="CD507" s="24"/>
    </row>
    <row r="508" spans="2:82" s="6" customFormat="1">
      <c r="B508" s="21"/>
      <c r="D508" s="17"/>
      <c r="E508" s="23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R508" s="24"/>
      <c r="AS508" s="24"/>
      <c r="AT508" s="24"/>
      <c r="AU508" s="24"/>
      <c r="AV508" s="24"/>
      <c r="AW508" s="24"/>
      <c r="BD508" s="24"/>
      <c r="BE508" s="24"/>
      <c r="BF508" s="24"/>
      <c r="BG508" s="24"/>
      <c r="BH508" s="24"/>
      <c r="BI508" s="24"/>
      <c r="BP508" s="24"/>
      <c r="BQ508" s="24"/>
      <c r="BR508" s="24"/>
      <c r="BS508" s="24"/>
      <c r="BZ508" s="24"/>
      <c r="CA508" s="24"/>
      <c r="CB508" s="24"/>
      <c r="CC508" s="24"/>
      <c r="CD508" s="24"/>
    </row>
    <row r="509" spans="2:82" s="6" customFormat="1">
      <c r="B509" s="21"/>
      <c r="D509" s="17"/>
      <c r="E509" s="23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R509" s="24"/>
      <c r="AS509" s="24"/>
      <c r="AT509" s="24"/>
      <c r="AU509" s="24"/>
      <c r="AV509" s="24"/>
      <c r="AW509" s="24"/>
      <c r="BD509" s="24"/>
      <c r="BE509" s="24"/>
      <c r="BF509" s="24"/>
      <c r="BG509" s="24"/>
      <c r="BH509" s="24"/>
      <c r="BI509" s="24"/>
      <c r="BP509" s="24"/>
      <c r="BQ509" s="24"/>
      <c r="BR509" s="24"/>
      <c r="BS509" s="24"/>
      <c r="BZ509" s="24"/>
      <c r="CA509" s="24"/>
      <c r="CB509" s="24"/>
      <c r="CC509" s="24"/>
      <c r="CD509" s="24"/>
    </row>
    <row r="510" spans="2:82" s="6" customFormat="1">
      <c r="B510" s="21"/>
      <c r="D510" s="17"/>
      <c r="E510" s="23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R510" s="24"/>
      <c r="AS510" s="24"/>
      <c r="AT510" s="24"/>
      <c r="AU510" s="24"/>
      <c r="AV510" s="24"/>
      <c r="AW510" s="24"/>
      <c r="BD510" s="24"/>
      <c r="BE510" s="24"/>
      <c r="BF510" s="24"/>
      <c r="BG510" s="24"/>
      <c r="BH510" s="24"/>
      <c r="BI510" s="24"/>
      <c r="BP510" s="24"/>
      <c r="BQ510" s="24"/>
      <c r="BR510" s="24"/>
      <c r="BS510" s="24"/>
      <c r="BZ510" s="24"/>
      <c r="CA510" s="24"/>
      <c r="CB510" s="24"/>
      <c r="CC510" s="24"/>
      <c r="CD510" s="24"/>
    </row>
    <row r="511" spans="2:82" s="6" customFormat="1">
      <c r="B511" s="21"/>
      <c r="D511" s="17"/>
      <c r="E511" s="23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R511" s="24"/>
      <c r="AS511" s="24"/>
      <c r="AT511" s="24"/>
      <c r="AU511" s="24"/>
      <c r="AV511" s="24"/>
      <c r="AW511" s="24"/>
      <c r="BD511" s="24"/>
      <c r="BE511" s="24"/>
      <c r="BF511" s="24"/>
      <c r="BG511" s="24"/>
      <c r="BH511" s="24"/>
      <c r="BI511" s="24"/>
      <c r="BP511" s="24"/>
      <c r="BQ511" s="24"/>
      <c r="BR511" s="24"/>
      <c r="BS511" s="24"/>
      <c r="BZ511" s="24"/>
      <c r="CA511" s="24"/>
      <c r="CB511" s="24"/>
      <c r="CC511" s="24"/>
      <c r="CD511" s="24"/>
    </row>
    <row r="512" spans="2:82" s="6" customFormat="1">
      <c r="B512" s="21"/>
      <c r="D512" s="17"/>
      <c r="E512" s="23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R512" s="24"/>
      <c r="AS512" s="24"/>
      <c r="AT512" s="24"/>
      <c r="AU512" s="24"/>
      <c r="AV512" s="24"/>
      <c r="AW512" s="24"/>
      <c r="BD512" s="24"/>
      <c r="BE512" s="24"/>
      <c r="BF512" s="24"/>
      <c r="BG512" s="24"/>
      <c r="BH512" s="24"/>
      <c r="BI512" s="24"/>
      <c r="BP512" s="24"/>
      <c r="BQ512" s="24"/>
      <c r="BR512" s="24"/>
      <c r="BS512" s="24"/>
      <c r="BZ512" s="24"/>
      <c r="CA512" s="24"/>
      <c r="CB512" s="24"/>
      <c r="CC512" s="24"/>
      <c r="CD512" s="24"/>
    </row>
    <row r="513" spans="2:82" s="6" customFormat="1">
      <c r="B513" s="21"/>
      <c r="D513" s="17"/>
      <c r="E513" s="23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R513" s="24"/>
      <c r="AS513" s="24"/>
      <c r="AT513" s="24"/>
      <c r="AU513" s="24"/>
      <c r="AV513" s="24"/>
      <c r="AW513" s="24"/>
      <c r="BD513" s="24"/>
      <c r="BE513" s="24"/>
      <c r="BF513" s="24"/>
      <c r="BG513" s="24"/>
      <c r="BH513" s="24"/>
      <c r="BI513" s="24"/>
      <c r="BP513" s="24"/>
      <c r="BQ513" s="24"/>
      <c r="BR513" s="24"/>
      <c r="BS513" s="24"/>
      <c r="BZ513" s="24"/>
      <c r="CA513" s="24"/>
      <c r="CB513" s="24"/>
      <c r="CC513" s="24"/>
      <c r="CD513" s="24"/>
    </row>
    <row r="514" spans="2:82" s="6" customFormat="1">
      <c r="B514" s="21"/>
      <c r="D514" s="17"/>
      <c r="E514" s="23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R514" s="24"/>
      <c r="AS514" s="24"/>
      <c r="AT514" s="24"/>
      <c r="AU514" s="24"/>
      <c r="AV514" s="24"/>
      <c r="AW514" s="24"/>
      <c r="BD514" s="24"/>
      <c r="BE514" s="24"/>
      <c r="BF514" s="24"/>
      <c r="BG514" s="24"/>
      <c r="BH514" s="24"/>
      <c r="BI514" s="24"/>
      <c r="BP514" s="24"/>
      <c r="BQ514" s="24"/>
      <c r="BR514" s="24"/>
      <c r="BS514" s="24"/>
      <c r="BZ514" s="24"/>
      <c r="CA514" s="24"/>
      <c r="CB514" s="24"/>
      <c r="CC514" s="24"/>
      <c r="CD514" s="24"/>
    </row>
    <row r="515" spans="2:82" s="6" customFormat="1">
      <c r="B515" s="21"/>
      <c r="D515" s="17"/>
      <c r="E515" s="23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R515" s="24"/>
      <c r="AS515" s="24"/>
      <c r="AT515" s="24"/>
      <c r="AU515" s="24"/>
      <c r="AV515" s="24"/>
      <c r="AW515" s="24"/>
      <c r="BD515" s="24"/>
      <c r="BE515" s="24"/>
      <c r="BF515" s="24"/>
      <c r="BG515" s="24"/>
      <c r="BH515" s="24"/>
      <c r="BI515" s="24"/>
      <c r="BP515" s="24"/>
      <c r="BQ515" s="24"/>
      <c r="BR515" s="24"/>
      <c r="BS515" s="24"/>
      <c r="BZ515" s="24"/>
      <c r="CA515" s="24"/>
      <c r="CB515" s="24"/>
      <c r="CC515" s="24"/>
      <c r="CD515" s="24"/>
    </row>
    <row r="516" spans="2:82" s="6" customFormat="1">
      <c r="B516" s="21"/>
      <c r="D516" s="17"/>
      <c r="E516" s="23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R516" s="24"/>
      <c r="AS516" s="24"/>
      <c r="AT516" s="24"/>
      <c r="AU516" s="24"/>
      <c r="AV516" s="24"/>
      <c r="AW516" s="24"/>
      <c r="BD516" s="24"/>
      <c r="BE516" s="24"/>
      <c r="BF516" s="24"/>
      <c r="BG516" s="24"/>
      <c r="BH516" s="24"/>
      <c r="BI516" s="24"/>
      <c r="BP516" s="24"/>
      <c r="BQ516" s="24"/>
      <c r="BR516" s="24"/>
      <c r="BS516" s="24"/>
      <c r="BZ516" s="24"/>
      <c r="CA516" s="24"/>
      <c r="CB516" s="24"/>
      <c r="CC516" s="24"/>
      <c r="CD516" s="24"/>
    </row>
    <row r="517" spans="2:82" s="6" customFormat="1">
      <c r="B517" s="21"/>
      <c r="D517" s="17"/>
      <c r="E517" s="23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R517" s="24"/>
      <c r="AS517" s="24"/>
      <c r="AT517" s="24"/>
      <c r="AU517" s="24"/>
      <c r="AV517" s="24"/>
      <c r="AW517" s="24"/>
      <c r="BD517" s="24"/>
      <c r="BE517" s="24"/>
      <c r="BF517" s="24"/>
      <c r="BG517" s="24"/>
      <c r="BH517" s="24"/>
      <c r="BI517" s="24"/>
      <c r="BP517" s="24"/>
      <c r="BQ517" s="24"/>
      <c r="BR517" s="24"/>
      <c r="BS517" s="24"/>
      <c r="BZ517" s="24"/>
      <c r="CA517" s="24"/>
      <c r="CB517" s="24"/>
      <c r="CC517" s="24"/>
      <c r="CD517" s="24"/>
    </row>
    <row r="518" spans="2:82" s="6" customFormat="1">
      <c r="B518" s="21"/>
      <c r="D518" s="17"/>
      <c r="E518" s="23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R518" s="24"/>
      <c r="AS518" s="24"/>
      <c r="AT518" s="24"/>
      <c r="AU518" s="24"/>
      <c r="AV518" s="24"/>
      <c r="AW518" s="24"/>
      <c r="BD518" s="24"/>
      <c r="BE518" s="24"/>
      <c r="BF518" s="24"/>
      <c r="BG518" s="24"/>
      <c r="BH518" s="24"/>
      <c r="BI518" s="24"/>
      <c r="BP518" s="24"/>
      <c r="BQ518" s="24"/>
      <c r="BR518" s="24"/>
      <c r="BS518" s="24"/>
      <c r="BZ518" s="24"/>
      <c r="CA518" s="24"/>
      <c r="CB518" s="24"/>
      <c r="CC518" s="24"/>
      <c r="CD518" s="24"/>
    </row>
    <row r="519" spans="2:82" s="6" customFormat="1">
      <c r="B519" s="21"/>
      <c r="D519" s="17"/>
      <c r="E519" s="23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R519" s="24"/>
      <c r="AS519" s="24"/>
      <c r="AT519" s="24"/>
      <c r="AU519" s="24"/>
      <c r="AV519" s="24"/>
      <c r="AW519" s="24"/>
      <c r="BD519" s="24"/>
      <c r="BE519" s="24"/>
      <c r="BF519" s="24"/>
      <c r="BG519" s="24"/>
      <c r="BH519" s="24"/>
      <c r="BI519" s="24"/>
      <c r="BP519" s="24"/>
      <c r="BQ519" s="24"/>
      <c r="BR519" s="24"/>
      <c r="BS519" s="24"/>
      <c r="BZ519" s="24"/>
      <c r="CA519" s="24"/>
      <c r="CB519" s="24"/>
      <c r="CC519" s="24"/>
      <c r="CD519" s="24"/>
    </row>
    <row r="520" spans="2:82" s="6" customFormat="1">
      <c r="B520" s="21"/>
      <c r="D520" s="17"/>
      <c r="E520" s="23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R520" s="24"/>
      <c r="AS520" s="24"/>
      <c r="AT520" s="24"/>
      <c r="AU520" s="24"/>
      <c r="AV520" s="24"/>
      <c r="AW520" s="24"/>
      <c r="BD520" s="24"/>
      <c r="BE520" s="24"/>
      <c r="BF520" s="24"/>
      <c r="BG520" s="24"/>
      <c r="BH520" s="24"/>
      <c r="BI520" s="24"/>
      <c r="BP520" s="24"/>
      <c r="BQ520" s="24"/>
      <c r="BR520" s="24"/>
      <c r="BS520" s="24"/>
      <c r="BZ520" s="24"/>
      <c r="CA520" s="24"/>
      <c r="CB520" s="24"/>
      <c r="CC520" s="24"/>
      <c r="CD520" s="24"/>
    </row>
    <row r="521" spans="2:82" s="6" customFormat="1">
      <c r="B521" s="21"/>
      <c r="D521" s="17"/>
      <c r="E521" s="23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R521" s="24"/>
      <c r="AS521" s="24"/>
      <c r="AT521" s="24"/>
      <c r="AU521" s="24"/>
      <c r="AV521" s="24"/>
      <c r="AW521" s="24"/>
      <c r="BD521" s="24"/>
      <c r="BE521" s="24"/>
      <c r="BF521" s="24"/>
      <c r="BG521" s="24"/>
      <c r="BH521" s="24"/>
      <c r="BI521" s="24"/>
      <c r="BP521" s="24"/>
      <c r="BQ521" s="24"/>
      <c r="BR521" s="24"/>
      <c r="BS521" s="24"/>
      <c r="BZ521" s="24"/>
      <c r="CA521" s="24"/>
      <c r="CB521" s="24"/>
      <c r="CC521" s="24"/>
      <c r="CD521" s="24"/>
    </row>
    <row r="522" spans="2:82" s="6" customFormat="1">
      <c r="B522" s="21"/>
      <c r="D522" s="17"/>
      <c r="E522" s="23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R522" s="24"/>
      <c r="AS522" s="24"/>
      <c r="AT522" s="24"/>
      <c r="AU522" s="24"/>
      <c r="AV522" s="24"/>
      <c r="AW522" s="24"/>
      <c r="BD522" s="24"/>
      <c r="BE522" s="24"/>
      <c r="BF522" s="24"/>
      <c r="BG522" s="24"/>
      <c r="BH522" s="24"/>
      <c r="BI522" s="24"/>
      <c r="BP522" s="24"/>
      <c r="BQ522" s="24"/>
      <c r="BR522" s="24"/>
      <c r="BS522" s="24"/>
      <c r="BZ522" s="24"/>
      <c r="CA522" s="24"/>
      <c r="CB522" s="24"/>
      <c r="CC522" s="24"/>
      <c r="CD522" s="24"/>
    </row>
    <row r="523" spans="2:82" s="6" customFormat="1">
      <c r="B523" s="21"/>
      <c r="D523" s="17"/>
      <c r="E523" s="23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R523" s="24"/>
      <c r="AS523" s="24"/>
      <c r="AT523" s="24"/>
      <c r="AU523" s="24"/>
      <c r="AV523" s="24"/>
      <c r="AW523" s="24"/>
      <c r="BD523" s="24"/>
      <c r="BE523" s="24"/>
      <c r="BF523" s="24"/>
      <c r="BG523" s="24"/>
      <c r="BH523" s="24"/>
      <c r="BI523" s="24"/>
      <c r="BP523" s="24"/>
      <c r="BQ523" s="24"/>
      <c r="BR523" s="24"/>
      <c r="BS523" s="24"/>
      <c r="BZ523" s="24"/>
      <c r="CA523" s="24"/>
      <c r="CB523" s="24"/>
      <c r="CC523" s="24"/>
      <c r="CD523" s="24"/>
    </row>
    <row r="524" spans="2:82" s="6" customFormat="1">
      <c r="B524" s="21"/>
      <c r="D524" s="17"/>
      <c r="E524" s="23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R524" s="24"/>
      <c r="AS524" s="24"/>
      <c r="AT524" s="24"/>
      <c r="AU524" s="24"/>
      <c r="AV524" s="24"/>
      <c r="AW524" s="24"/>
      <c r="BD524" s="24"/>
      <c r="BE524" s="24"/>
      <c r="BF524" s="24"/>
      <c r="BG524" s="24"/>
      <c r="BH524" s="24"/>
      <c r="BI524" s="24"/>
      <c r="BP524" s="24"/>
      <c r="BQ524" s="24"/>
      <c r="BR524" s="24"/>
      <c r="BS524" s="24"/>
      <c r="BZ524" s="24"/>
      <c r="CA524" s="24"/>
      <c r="CB524" s="24"/>
      <c r="CC524" s="24"/>
      <c r="CD524" s="24"/>
    </row>
    <row r="525" spans="2:82" s="6" customFormat="1">
      <c r="B525" s="21"/>
      <c r="D525" s="17"/>
      <c r="E525" s="23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R525" s="24"/>
      <c r="AS525" s="24"/>
      <c r="AT525" s="24"/>
      <c r="AU525" s="24"/>
      <c r="AV525" s="24"/>
      <c r="AW525" s="24"/>
      <c r="BD525" s="24"/>
      <c r="BE525" s="24"/>
      <c r="BF525" s="24"/>
      <c r="BG525" s="24"/>
      <c r="BH525" s="24"/>
      <c r="BI525" s="24"/>
      <c r="BP525" s="24"/>
      <c r="BQ525" s="24"/>
      <c r="BR525" s="24"/>
      <c r="BS525" s="24"/>
      <c r="BZ525" s="24"/>
      <c r="CA525" s="24"/>
      <c r="CB525" s="24"/>
      <c r="CC525" s="24"/>
      <c r="CD525" s="24"/>
    </row>
    <row r="526" spans="2:82" s="6" customFormat="1">
      <c r="B526" s="21"/>
      <c r="D526" s="17"/>
      <c r="E526" s="23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R526" s="24"/>
      <c r="AS526" s="24"/>
      <c r="AT526" s="24"/>
      <c r="AU526" s="24"/>
      <c r="AV526" s="24"/>
      <c r="AW526" s="24"/>
      <c r="BD526" s="24"/>
      <c r="BE526" s="24"/>
      <c r="BF526" s="24"/>
      <c r="BG526" s="24"/>
      <c r="BH526" s="24"/>
      <c r="BI526" s="24"/>
      <c r="BP526" s="24"/>
      <c r="BQ526" s="24"/>
      <c r="BR526" s="24"/>
      <c r="BS526" s="24"/>
      <c r="BZ526" s="24"/>
      <c r="CA526" s="24"/>
      <c r="CB526" s="24"/>
      <c r="CC526" s="24"/>
      <c r="CD526" s="24"/>
    </row>
    <row r="527" spans="2:82" s="6" customFormat="1">
      <c r="B527" s="21"/>
      <c r="D527" s="17"/>
      <c r="E527" s="23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R527" s="24"/>
      <c r="AS527" s="24"/>
      <c r="AT527" s="24"/>
      <c r="AU527" s="24"/>
      <c r="AV527" s="24"/>
      <c r="AW527" s="24"/>
      <c r="BD527" s="24"/>
      <c r="BE527" s="24"/>
      <c r="BF527" s="24"/>
      <c r="BG527" s="24"/>
      <c r="BH527" s="24"/>
      <c r="BI527" s="24"/>
      <c r="BP527" s="24"/>
      <c r="BQ527" s="24"/>
      <c r="BR527" s="24"/>
      <c r="BS527" s="24"/>
      <c r="BZ527" s="24"/>
      <c r="CA527" s="24"/>
      <c r="CB527" s="24"/>
      <c r="CC527" s="24"/>
      <c r="CD527" s="24"/>
    </row>
    <row r="528" spans="2:82" s="6" customFormat="1">
      <c r="B528" s="21"/>
      <c r="D528" s="17"/>
      <c r="E528" s="23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R528" s="24"/>
      <c r="AS528" s="24"/>
      <c r="AT528" s="24"/>
      <c r="AU528" s="24"/>
      <c r="AV528" s="24"/>
      <c r="AW528" s="24"/>
      <c r="BD528" s="24"/>
      <c r="BE528" s="24"/>
      <c r="BF528" s="24"/>
      <c r="BG528" s="24"/>
      <c r="BH528" s="24"/>
      <c r="BI528" s="24"/>
      <c r="BP528" s="24"/>
      <c r="BQ528" s="24"/>
      <c r="BR528" s="24"/>
      <c r="BS528" s="24"/>
      <c r="BZ528" s="24"/>
      <c r="CA528" s="24"/>
      <c r="CB528" s="24"/>
      <c r="CC528" s="24"/>
      <c r="CD528" s="24"/>
    </row>
    <row r="529" spans="2:82" s="6" customFormat="1">
      <c r="B529" s="21"/>
      <c r="D529" s="17"/>
      <c r="E529" s="23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R529" s="24"/>
      <c r="AS529" s="24"/>
      <c r="AT529" s="24"/>
      <c r="AU529" s="24"/>
      <c r="AV529" s="24"/>
      <c r="AW529" s="24"/>
      <c r="BD529" s="24"/>
      <c r="BE529" s="24"/>
      <c r="BF529" s="24"/>
      <c r="BG529" s="24"/>
      <c r="BH529" s="24"/>
      <c r="BI529" s="24"/>
      <c r="BP529" s="24"/>
      <c r="BQ529" s="24"/>
      <c r="BR529" s="24"/>
      <c r="BS529" s="24"/>
      <c r="BZ529" s="24"/>
      <c r="CA529" s="24"/>
      <c r="CB529" s="24"/>
      <c r="CC529" s="24"/>
      <c r="CD529" s="24"/>
    </row>
    <row r="530" spans="2:82" s="6" customFormat="1">
      <c r="B530" s="21"/>
      <c r="D530" s="17"/>
      <c r="E530" s="23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R530" s="24"/>
      <c r="AS530" s="24"/>
      <c r="AT530" s="24"/>
      <c r="AU530" s="24"/>
      <c r="AV530" s="24"/>
      <c r="AW530" s="24"/>
      <c r="BD530" s="24"/>
      <c r="BE530" s="24"/>
      <c r="BF530" s="24"/>
      <c r="BG530" s="24"/>
      <c r="BH530" s="24"/>
      <c r="BI530" s="24"/>
      <c r="BP530" s="24"/>
      <c r="BQ530" s="24"/>
      <c r="BR530" s="24"/>
      <c r="BS530" s="24"/>
      <c r="BZ530" s="24"/>
      <c r="CA530" s="24"/>
      <c r="CB530" s="24"/>
      <c r="CC530" s="24"/>
      <c r="CD530" s="24"/>
    </row>
    <row r="531" spans="2:82" s="6" customFormat="1">
      <c r="B531" s="21"/>
      <c r="D531" s="17"/>
      <c r="E531" s="23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R531" s="24"/>
      <c r="AS531" s="24"/>
      <c r="AT531" s="24"/>
      <c r="AU531" s="24"/>
      <c r="AV531" s="24"/>
      <c r="AW531" s="24"/>
      <c r="BD531" s="24"/>
      <c r="BE531" s="24"/>
      <c r="BF531" s="24"/>
      <c r="BG531" s="24"/>
      <c r="BH531" s="24"/>
      <c r="BI531" s="24"/>
      <c r="BP531" s="24"/>
      <c r="BQ531" s="24"/>
      <c r="BR531" s="24"/>
      <c r="BS531" s="24"/>
      <c r="BZ531" s="24"/>
      <c r="CA531" s="24"/>
      <c r="CB531" s="24"/>
      <c r="CC531" s="24"/>
      <c r="CD531" s="24"/>
    </row>
    <row r="532" spans="2:82" s="6" customFormat="1">
      <c r="B532" s="21"/>
      <c r="D532" s="17"/>
      <c r="E532" s="23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R532" s="24"/>
      <c r="AS532" s="24"/>
      <c r="AT532" s="24"/>
      <c r="AU532" s="24"/>
      <c r="AV532" s="24"/>
      <c r="AW532" s="24"/>
      <c r="BD532" s="24"/>
      <c r="BE532" s="24"/>
      <c r="BF532" s="24"/>
      <c r="BG532" s="24"/>
      <c r="BH532" s="24"/>
      <c r="BI532" s="24"/>
      <c r="BP532" s="24"/>
      <c r="BQ532" s="24"/>
      <c r="BR532" s="24"/>
      <c r="BS532" s="24"/>
      <c r="BZ532" s="24"/>
      <c r="CA532" s="24"/>
      <c r="CB532" s="24"/>
      <c r="CC532" s="24"/>
      <c r="CD532" s="24"/>
    </row>
    <row r="533" spans="2:82" s="6" customFormat="1">
      <c r="B533" s="21"/>
      <c r="D533" s="17"/>
      <c r="E533" s="23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R533" s="24"/>
      <c r="AS533" s="24"/>
      <c r="AT533" s="24"/>
      <c r="AU533" s="24"/>
      <c r="AV533" s="24"/>
      <c r="AW533" s="24"/>
      <c r="BD533" s="24"/>
      <c r="BE533" s="24"/>
      <c r="BF533" s="24"/>
      <c r="BG533" s="24"/>
      <c r="BH533" s="24"/>
      <c r="BI533" s="24"/>
      <c r="BP533" s="24"/>
      <c r="BQ533" s="24"/>
      <c r="BR533" s="24"/>
      <c r="BS533" s="24"/>
      <c r="BZ533" s="24"/>
      <c r="CA533" s="24"/>
      <c r="CB533" s="24"/>
      <c r="CC533" s="24"/>
      <c r="CD533" s="24"/>
    </row>
    <row r="534" spans="2:82" s="6" customFormat="1">
      <c r="B534" s="21"/>
      <c r="D534" s="17"/>
      <c r="E534" s="23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R534" s="24"/>
      <c r="AS534" s="24"/>
      <c r="AT534" s="24"/>
      <c r="AU534" s="24"/>
      <c r="AV534" s="24"/>
      <c r="AW534" s="24"/>
      <c r="BD534" s="24"/>
      <c r="BE534" s="24"/>
      <c r="BF534" s="24"/>
      <c r="BG534" s="24"/>
      <c r="BH534" s="24"/>
      <c r="BI534" s="24"/>
      <c r="BP534" s="24"/>
      <c r="BQ534" s="24"/>
      <c r="BR534" s="24"/>
      <c r="BS534" s="24"/>
      <c r="BZ534" s="24"/>
      <c r="CA534" s="24"/>
      <c r="CB534" s="24"/>
      <c r="CC534" s="24"/>
      <c r="CD534" s="24"/>
    </row>
    <row r="535" spans="2:82" s="6" customFormat="1">
      <c r="B535" s="21"/>
      <c r="D535" s="17"/>
      <c r="E535" s="23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R535" s="24"/>
      <c r="AS535" s="24"/>
      <c r="AT535" s="24"/>
      <c r="AU535" s="24"/>
      <c r="AV535" s="24"/>
      <c r="AW535" s="24"/>
      <c r="BD535" s="24"/>
      <c r="BE535" s="24"/>
      <c r="BF535" s="24"/>
      <c r="BG535" s="24"/>
      <c r="BH535" s="24"/>
      <c r="BI535" s="24"/>
      <c r="BP535" s="24"/>
      <c r="BQ535" s="24"/>
      <c r="BR535" s="24"/>
      <c r="BS535" s="24"/>
      <c r="BZ535" s="24"/>
      <c r="CA535" s="24"/>
      <c r="CB535" s="24"/>
      <c r="CC535" s="24"/>
      <c r="CD535" s="24"/>
    </row>
    <row r="536" spans="2:82" s="6" customFormat="1">
      <c r="B536" s="21"/>
      <c r="D536" s="17"/>
      <c r="E536" s="23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R536" s="24"/>
      <c r="AS536" s="24"/>
      <c r="AT536" s="24"/>
      <c r="AU536" s="24"/>
      <c r="AV536" s="24"/>
      <c r="AW536" s="24"/>
      <c r="BD536" s="24"/>
      <c r="BE536" s="24"/>
      <c r="BF536" s="24"/>
      <c r="BG536" s="24"/>
      <c r="BH536" s="24"/>
      <c r="BI536" s="24"/>
      <c r="BP536" s="24"/>
      <c r="BQ536" s="24"/>
      <c r="BR536" s="24"/>
      <c r="BS536" s="24"/>
      <c r="BZ536" s="24"/>
      <c r="CA536" s="24"/>
      <c r="CB536" s="24"/>
      <c r="CC536" s="24"/>
      <c r="CD536" s="24"/>
    </row>
    <row r="537" spans="2:82" s="6" customFormat="1">
      <c r="B537" s="21"/>
      <c r="D537" s="17"/>
      <c r="E537" s="23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R537" s="24"/>
      <c r="AS537" s="24"/>
      <c r="AT537" s="24"/>
      <c r="AU537" s="24"/>
      <c r="AV537" s="24"/>
      <c r="AW537" s="24"/>
      <c r="BD537" s="24"/>
      <c r="BE537" s="24"/>
      <c r="BF537" s="24"/>
      <c r="BG537" s="24"/>
      <c r="BH537" s="24"/>
      <c r="BI537" s="24"/>
      <c r="BP537" s="24"/>
      <c r="BQ537" s="24"/>
      <c r="BR537" s="24"/>
      <c r="BS537" s="24"/>
      <c r="BZ537" s="24"/>
      <c r="CA537" s="24"/>
      <c r="CB537" s="24"/>
      <c r="CC537" s="24"/>
      <c r="CD537" s="24"/>
    </row>
    <row r="538" spans="2:82" s="6" customFormat="1">
      <c r="B538" s="21"/>
      <c r="D538" s="17"/>
      <c r="E538" s="23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R538" s="24"/>
      <c r="AS538" s="24"/>
      <c r="AT538" s="24"/>
      <c r="AU538" s="24"/>
      <c r="AV538" s="24"/>
      <c r="AW538" s="24"/>
      <c r="BD538" s="24"/>
      <c r="BE538" s="24"/>
      <c r="BF538" s="24"/>
      <c r="BG538" s="24"/>
      <c r="BH538" s="24"/>
      <c r="BI538" s="24"/>
      <c r="BP538" s="24"/>
      <c r="BQ538" s="24"/>
      <c r="BR538" s="24"/>
      <c r="BS538" s="24"/>
      <c r="BZ538" s="24"/>
      <c r="CA538" s="24"/>
      <c r="CB538" s="24"/>
      <c r="CC538" s="24"/>
      <c r="CD538" s="24"/>
    </row>
    <row r="539" spans="2:82" s="6" customFormat="1">
      <c r="B539" s="21"/>
      <c r="D539" s="17"/>
      <c r="E539" s="23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R539" s="24"/>
      <c r="AS539" s="24"/>
      <c r="AT539" s="24"/>
      <c r="AU539" s="24"/>
      <c r="AV539" s="24"/>
      <c r="AW539" s="24"/>
      <c r="BD539" s="24"/>
      <c r="BE539" s="24"/>
      <c r="BF539" s="24"/>
      <c r="BG539" s="24"/>
      <c r="BH539" s="24"/>
      <c r="BI539" s="24"/>
      <c r="BP539" s="24"/>
      <c r="BQ539" s="24"/>
      <c r="BR539" s="24"/>
      <c r="BS539" s="24"/>
      <c r="BZ539" s="24"/>
      <c r="CA539" s="24"/>
      <c r="CB539" s="24"/>
      <c r="CC539" s="24"/>
      <c r="CD539" s="24"/>
    </row>
    <row r="540" spans="2:82" s="6" customFormat="1">
      <c r="B540" s="21"/>
      <c r="D540" s="17"/>
      <c r="E540" s="23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R540" s="24"/>
      <c r="AS540" s="24"/>
      <c r="AT540" s="24"/>
      <c r="AU540" s="24"/>
      <c r="AV540" s="24"/>
      <c r="AW540" s="24"/>
      <c r="BD540" s="24"/>
      <c r="BE540" s="24"/>
      <c r="BF540" s="24"/>
      <c r="BG540" s="24"/>
      <c r="BH540" s="24"/>
      <c r="BI540" s="24"/>
      <c r="BP540" s="24"/>
      <c r="BQ540" s="24"/>
      <c r="BR540" s="24"/>
      <c r="BS540" s="24"/>
      <c r="BZ540" s="24"/>
      <c r="CA540" s="24"/>
      <c r="CB540" s="24"/>
      <c r="CC540" s="24"/>
      <c r="CD540" s="24"/>
    </row>
    <row r="541" spans="2:82" s="6" customFormat="1">
      <c r="B541" s="21"/>
      <c r="D541" s="17"/>
      <c r="E541" s="23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R541" s="24"/>
      <c r="AS541" s="24"/>
      <c r="AT541" s="24"/>
      <c r="AU541" s="24"/>
      <c r="AV541" s="24"/>
      <c r="AW541" s="24"/>
      <c r="BD541" s="24"/>
      <c r="BE541" s="24"/>
      <c r="BF541" s="24"/>
      <c r="BG541" s="24"/>
      <c r="BH541" s="24"/>
      <c r="BI541" s="24"/>
      <c r="BP541" s="24"/>
      <c r="BQ541" s="24"/>
      <c r="BR541" s="24"/>
      <c r="BS541" s="24"/>
      <c r="BZ541" s="24"/>
      <c r="CA541" s="24"/>
      <c r="CB541" s="24"/>
      <c r="CC541" s="24"/>
      <c r="CD541" s="24"/>
    </row>
    <row r="542" spans="2:82" s="6" customFormat="1">
      <c r="B542" s="21"/>
      <c r="D542" s="17"/>
      <c r="E542" s="23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R542" s="24"/>
      <c r="AS542" s="24"/>
      <c r="AT542" s="24"/>
      <c r="AU542" s="24"/>
      <c r="AV542" s="24"/>
      <c r="AW542" s="24"/>
      <c r="BD542" s="24"/>
      <c r="BE542" s="24"/>
      <c r="BF542" s="24"/>
      <c r="BG542" s="24"/>
      <c r="BH542" s="24"/>
      <c r="BI542" s="24"/>
      <c r="BP542" s="24"/>
      <c r="BQ542" s="24"/>
      <c r="BR542" s="24"/>
      <c r="BS542" s="24"/>
      <c r="BZ542" s="24"/>
      <c r="CA542" s="24"/>
      <c r="CB542" s="24"/>
      <c r="CC542" s="24"/>
      <c r="CD542" s="24"/>
    </row>
    <row r="543" spans="2:82" s="6" customFormat="1">
      <c r="B543" s="21"/>
      <c r="D543" s="17"/>
      <c r="E543" s="23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R543" s="24"/>
      <c r="AS543" s="24"/>
      <c r="AT543" s="24"/>
      <c r="AU543" s="24"/>
      <c r="AV543" s="24"/>
      <c r="AW543" s="24"/>
      <c r="BD543" s="24"/>
      <c r="BE543" s="24"/>
      <c r="BF543" s="24"/>
      <c r="BG543" s="24"/>
      <c r="BH543" s="24"/>
      <c r="BI543" s="24"/>
      <c r="BP543" s="24"/>
      <c r="BQ543" s="24"/>
      <c r="BR543" s="24"/>
      <c r="BS543" s="24"/>
      <c r="BZ543" s="24"/>
      <c r="CA543" s="24"/>
      <c r="CB543" s="24"/>
      <c r="CC543" s="24"/>
      <c r="CD543" s="24"/>
    </row>
    <row r="544" spans="2:82" s="6" customFormat="1">
      <c r="B544" s="21"/>
      <c r="D544" s="17"/>
      <c r="E544" s="23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R544" s="24"/>
      <c r="AS544" s="24"/>
      <c r="AT544" s="24"/>
      <c r="AU544" s="24"/>
      <c r="AV544" s="24"/>
      <c r="AW544" s="24"/>
      <c r="BD544" s="24"/>
      <c r="BE544" s="24"/>
      <c r="BF544" s="24"/>
      <c r="BG544" s="24"/>
      <c r="BH544" s="24"/>
      <c r="BI544" s="24"/>
      <c r="BP544" s="24"/>
      <c r="BQ544" s="24"/>
      <c r="BR544" s="24"/>
      <c r="BS544" s="24"/>
      <c r="BZ544" s="24"/>
      <c r="CA544" s="24"/>
      <c r="CB544" s="24"/>
      <c r="CC544" s="24"/>
      <c r="CD544" s="24"/>
    </row>
    <row r="545" spans="2:82" s="6" customFormat="1">
      <c r="B545" s="21"/>
      <c r="D545" s="17"/>
      <c r="E545" s="23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R545" s="24"/>
      <c r="AS545" s="24"/>
      <c r="AT545" s="24"/>
      <c r="AU545" s="24"/>
      <c r="AV545" s="24"/>
      <c r="AW545" s="24"/>
      <c r="BD545" s="24"/>
      <c r="BE545" s="24"/>
      <c r="BF545" s="24"/>
      <c r="BG545" s="24"/>
      <c r="BH545" s="24"/>
      <c r="BI545" s="24"/>
      <c r="BP545" s="24"/>
      <c r="BQ545" s="24"/>
      <c r="BR545" s="24"/>
      <c r="BS545" s="24"/>
      <c r="BZ545" s="24"/>
      <c r="CA545" s="24"/>
      <c r="CB545" s="24"/>
      <c r="CC545" s="24"/>
      <c r="CD545" s="24"/>
    </row>
    <row r="546" spans="2:82" s="6" customFormat="1">
      <c r="B546" s="21"/>
      <c r="D546" s="17"/>
      <c r="E546" s="23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R546" s="24"/>
      <c r="AS546" s="24"/>
      <c r="AT546" s="24"/>
      <c r="AU546" s="24"/>
      <c r="AV546" s="24"/>
      <c r="AW546" s="24"/>
      <c r="BD546" s="24"/>
      <c r="BE546" s="24"/>
      <c r="BF546" s="24"/>
      <c r="BG546" s="24"/>
      <c r="BH546" s="24"/>
      <c r="BI546" s="24"/>
      <c r="BP546" s="24"/>
      <c r="BQ546" s="24"/>
      <c r="BR546" s="24"/>
      <c r="BS546" s="24"/>
      <c r="BZ546" s="24"/>
      <c r="CA546" s="24"/>
      <c r="CB546" s="24"/>
      <c r="CC546" s="24"/>
      <c r="CD546" s="24"/>
    </row>
    <row r="547" spans="2:82" s="6" customFormat="1">
      <c r="B547" s="21"/>
      <c r="D547" s="17"/>
      <c r="E547" s="23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R547" s="24"/>
      <c r="AS547" s="24"/>
      <c r="AT547" s="24"/>
      <c r="AU547" s="24"/>
      <c r="AV547" s="24"/>
      <c r="AW547" s="24"/>
      <c r="BD547" s="24"/>
      <c r="BE547" s="24"/>
      <c r="BF547" s="24"/>
      <c r="BG547" s="24"/>
      <c r="BH547" s="24"/>
      <c r="BI547" s="24"/>
      <c r="BP547" s="24"/>
      <c r="BQ547" s="24"/>
      <c r="BR547" s="24"/>
      <c r="BS547" s="24"/>
      <c r="BZ547" s="24"/>
      <c r="CA547" s="24"/>
      <c r="CB547" s="24"/>
      <c r="CC547" s="24"/>
      <c r="CD547" s="24"/>
    </row>
    <row r="548" spans="2:82" s="6" customFormat="1">
      <c r="B548" s="21"/>
      <c r="D548" s="17"/>
      <c r="E548" s="23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R548" s="24"/>
      <c r="AS548" s="24"/>
      <c r="AT548" s="24"/>
      <c r="AU548" s="24"/>
      <c r="AV548" s="24"/>
      <c r="AW548" s="24"/>
      <c r="BD548" s="24"/>
      <c r="BE548" s="24"/>
      <c r="BF548" s="24"/>
      <c r="BG548" s="24"/>
      <c r="BH548" s="24"/>
      <c r="BI548" s="24"/>
      <c r="BP548" s="24"/>
      <c r="BQ548" s="24"/>
      <c r="BR548" s="24"/>
      <c r="BS548" s="24"/>
      <c r="BZ548" s="24"/>
      <c r="CA548" s="24"/>
      <c r="CB548" s="24"/>
      <c r="CC548" s="24"/>
      <c r="CD548" s="24"/>
    </row>
    <row r="549" spans="2:82" s="6" customFormat="1">
      <c r="B549" s="21"/>
      <c r="D549" s="17"/>
      <c r="E549" s="23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R549" s="24"/>
      <c r="AS549" s="24"/>
      <c r="AT549" s="24"/>
      <c r="AU549" s="24"/>
      <c r="AV549" s="24"/>
      <c r="AW549" s="24"/>
      <c r="BD549" s="24"/>
      <c r="BE549" s="24"/>
      <c r="BF549" s="24"/>
      <c r="BG549" s="24"/>
      <c r="BH549" s="24"/>
      <c r="BI549" s="24"/>
      <c r="BP549" s="24"/>
      <c r="BQ549" s="24"/>
      <c r="BR549" s="24"/>
      <c r="BS549" s="24"/>
      <c r="BZ549" s="24"/>
      <c r="CA549" s="24"/>
      <c r="CB549" s="24"/>
      <c r="CC549" s="24"/>
      <c r="CD549" s="24"/>
    </row>
    <row r="550" spans="2:82" s="6" customFormat="1">
      <c r="B550" s="21"/>
      <c r="D550" s="17"/>
      <c r="E550" s="23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R550" s="24"/>
      <c r="AS550" s="24"/>
      <c r="AT550" s="24"/>
      <c r="AU550" s="24"/>
      <c r="AV550" s="24"/>
      <c r="AW550" s="24"/>
      <c r="BD550" s="24"/>
      <c r="BE550" s="24"/>
      <c r="BF550" s="24"/>
      <c r="BG550" s="24"/>
      <c r="BH550" s="24"/>
      <c r="BI550" s="24"/>
      <c r="BP550" s="24"/>
      <c r="BQ550" s="24"/>
      <c r="BR550" s="24"/>
      <c r="BS550" s="24"/>
      <c r="BZ550" s="24"/>
      <c r="CA550" s="24"/>
      <c r="CB550" s="24"/>
      <c r="CC550" s="24"/>
      <c r="CD550" s="24"/>
    </row>
    <row r="551" spans="2:82" s="6" customFormat="1">
      <c r="B551" s="21"/>
      <c r="D551" s="17"/>
      <c r="E551" s="23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R551" s="24"/>
      <c r="AS551" s="24"/>
      <c r="AT551" s="24"/>
      <c r="AU551" s="24"/>
      <c r="AV551" s="24"/>
      <c r="AW551" s="24"/>
      <c r="BD551" s="24"/>
      <c r="BE551" s="24"/>
      <c r="BF551" s="24"/>
      <c r="BG551" s="24"/>
      <c r="BH551" s="24"/>
      <c r="BI551" s="24"/>
      <c r="BP551" s="24"/>
      <c r="BQ551" s="24"/>
      <c r="BR551" s="24"/>
      <c r="BS551" s="24"/>
      <c r="BZ551" s="24"/>
      <c r="CA551" s="24"/>
      <c r="CB551" s="24"/>
      <c r="CC551" s="24"/>
      <c r="CD551" s="24"/>
    </row>
    <row r="552" spans="2:82" s="6" customFormat="1">
      <c r="B552" s="21"/>
      <c r="D552" s="17"/>
      <c r="E552" s="23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R552" s="24"/>
      <c r="AS552" s="24"/>
      <c r="AT552" s="24"/>
      <c r="AU552" s="24"/>
      <c r="AV552" s="24"/>
      <c r="AW552" s="24"/>
      <c r="BD552" s="24"/>
      <c r="BE552" s="24"/>
      <c r="BF552" s="24"/>
      <c r="BG552" s="24"/>
      <c r="BH552" s="24"/>
      <c r="BI552" s="24"/>
      <c r="BP552" s="24"/>
      <c r="BQ552" s="24"/>
      <c r="BR552" s="24"/>
      <c r="BS552" s="24"/>
      <c r="BZ552" s="24"/>
      <c r="CA552" s="24"/>
      <c r="CB552" s="24"/>
      <c r="CC552" s="24"/>
      <c r="CD552" s="24"/>
    </row>
    <row r="553" spans="2:82" s="6" customFormat="1">
      <c r="B553" s="21"/>
      <c r="D553" s="17"/>
      <c r="E553" s="23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R553" s="24"/>
      <c r="AS553" s="24"/>
      <c r="AT553" s="24"/>
      <c r="AU553" s="24"/>
      <c r="AV553" s="24"/>
      <c r="AW553" s="24"/>
      <c r="BD553" s="24"/>
      <c r="BE553" s="24"/>
      <c r="BF553" s="24"/>
      <c r="BG553" s="24"/>
      <c r="BH553" s="24"/>
      <c r="BI553" s="24"/>
      <c r="BP553" s="24"/>
      <c r="BQ553" s="24"/>
      <c r="BR553" s="24"/>
      <c r="BS553" s="24"/>
      <c r="BZ553" s="24"/>
      <c r="CA553" s="24"/>
      <c r="CB553" s="24"/>
      <c r="CC553" s="24"/>
      <c r="CD553" s="24"/>
    </row>
    <row r="554" spans="2:82" s="6" customFormat="1">
      <c r="B554" s="21"/>
      <c r="D554" s="17"/>
      <c r="E554" s="23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R554" s="24"/>
      <c r="AS554" s="24"/>
      <c r="AT554" s="24"/>
      <c r="AU554" s="24"/>
      <c r="AV554" s="24"/>
      <c r="AW554" s="24"/>
      <c r="BD554" s="24"/>
      <c r="BE554" s="24"/>
      <c r="BF554" s="24"/>
      <c r="BG554" s="24"/>
      <c r="BH554" s="24"/>
      <c r="BI554" s="24"/>
      <c r="BP554" s="24"/>
      <c r="BQ554" s="24"/>
      <c r="BR554" s="24"/>
      <c r="BS554" s="24"/>
      <c r="BZ554" s="24"/>
      <c r="CA554" s="24"/>
      <c r="CB554" s="24"/>
      <c r="CC554" s="24"/>
      <c r="CD554" s="24"/>
    </row>
    <row r="555" spans="2:82" s="6" customFormat="1">
      <c r="B555" s="21"/>
      <c r="D555" s="17"/>
      <c r="E555" s="23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R555" s="24"/>
      <c r="AS555" s="24"/>
      <c r="AT555" s="24"/>
      <c r="AU555" s="24"/>
      <c r="AV555" s="24"/>
      <c r="AW555" s="24"/>
      <c r="BD555" s="24"/>
      <c r="BE555" s="24"/>
      <c r="BF555" s="24"/>
      <c r="BG555" s="24"/>
      <c r="BH555" s="24"/>
      <c r="BI555" s="24"/>
      <c r="BP555" s="24"/>
      <c r="BQ555" s="24"/>
      <c r="BR555" s="24"/>
      <c r="BS555" s="24"/>
      <c r="BZ555" s="24"/>
      <c r="CA555" s="24"/>
      <c r="CB555" s="24"/>
      <c r="CC555" s="24"/>
      <c r="CD555" s="24"/>
    </row>
    <row r="556" spans="2:82" s="6" customFormat="1">
      <c r="B556" s="21"/>
      <c r="D556" s="17"/>
      <c r="E556" s="23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R556" s="24"/>
      <c r="AS556" s="24"/>
      <c r="AT556" s="24"/>
      <c r="AU556" s="24"/>
      <c r="AV556" s="24"/>
      <c r="AW556" s="24"/>
      <c r="BD556" s="24"/>
      <c r="BE556" s="24"/>
      <c r="BF556" s="24"/>
      <c r="BG556" s="24"/>
      <c r="BH556" s="24"/>
      <c r="BI556" s="24"/>
      <c r="BP556" s="24"/>
      <c r="BQ556" s="24"/>
      <c r="BR556" s="24"/>
      <c r="BS556" s="24"/>
      <c r="BZ556" s="24"/>
      <c r="CA556" s="24"/>
      <c r="CB556" s="24"/>
      <c r="CC556" s="24"/>
      <c r="CD556" s="24"/>
    </row>
    <row r="557" spans="2:82" s="6" customFormat="1">
      <c r="B557" s="21"/>
      <c r="D557" s="17"/>
      <c r="E557" s="23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R557" s="24"/>
      <c r="AS557" s="24"/>
      <c r="AT557" s="24"/>
      <c r="AU557" s="24"/>
      <c r="AV557" s="24"/>
      <c r="AW557" s="24"/>
      <c r="BD557" s="24"/>
      <c r="BE557" s="24"/>
      <c r="BF557" s="24"/>
      <c r="BG557" s="24"/>
      <c r="BH557" s="24"/>
      <c r="BI557" s="24"/>
      <c r="BP557" s="24"/>
      <c r="BQ557" s="24"/>
      <c r="BR557" s="24"/>
      <c r="BS557" s="24"/>
      <c r="BZ557" s="24"/>
      <c r="CA557" s="24"/>
      <c r="CB557" s="24"/>
      <c r="CC557" s="24"/>
      <c r="CD557" s="24"/>
    </row>
    <row r="558" spans="2:82" s="6" customFormat="1">
      <c r="B558" s="21"/>
      <c r="D558" s="17"/>
      <c r="E558" s="23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R558" s="24"/>
      <c r="AS558" s="24"/>
      <c r="AT558" s="24"/>
      <c r="AU558" s="24"/>
      <c r="AV558" s="24"/>
      <c r="AW558" s="24"/>
      <c r="BD558" s="24"/>
      <c r="BE558" s="24"/>
      <c r="BF558" s="24"/>
      <c r="BG558" s="24"/>
      <c r="BH558" s="24"/>
      <c r="BI558" s="24"/>
      <c r="BP558" s="24"/>
      <c r="BQ558" s="24"/>
      <c r="BR558" s="24"/>
      <c r="BS558" s="24"/>
      <c r="BZ558" s="24"/>
      <c r="CA558" s="24"/>
      <c r="CB558" s="24"/>
      <c r="CC558" s="24"/>
      <c r="CD558" s="24"/>
    </row>
    <row r="559" spans="2:82" s="6" customFormat="1">
      <c r="B559" s="21"/>
      <c r="D559" s="17"/>
      <c r="E559" s="23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R559" s="24"/>
      <c r="AS559" s="24"/>
      <c r="AT559" s="24"/>
      <c r="AU559" s="24"/>
      <c r="AV559" s="24"/>
      <c r="AW559" s="24"/>
      <c r="BD559" s="24"/>
      <c r="BE559" s="24"/>
      <c r="BF559" s="24"/>
      <c r="BG559" s="24"/>
      <c r="BH559" s="24"/>
      <c r="BI559" s="24"/>
      <c r="BP559" s="24"/>
      <c r="BQ559" s="24"/>
      <c r="BR559" s="24"/>
      <c r="BS559" s="24"/>
      <c r="BZ559" s="24"/>
      <c r="CA559" s="24"/>
      <c r="CB559" s="24"/>
      <c r="CC559" s="24"/>
      <c r="CD559" s="24"/>
    </row>
    <row r="560" spans="2:82" s="6" customFormat="1">
      <c r="B560" s="21"/>
      <c r="D560" s="17"/>
      <c r="E560" s="23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R560" s="24"/>
      <c r="AS560" s="24"/>
      <c r="AT560" s="24"/>
      <c r="AU560" s="24"/>
      <c r="AV560" s="24"/>
      <c r="AW560" s="24"/>
      <c r="BD560" s="24"/>
      <c r="BE560" s="24"/>
      <c r="BF560" s="24"/>
      <c r="BG560" s="24"/>
      <c r="BH560" s="24"/>
      <c r="BI560" s="24"/>
      <c r="BP560" s="24"/>
      <c r="BQ560" s="24"/>
      <c r="BR560" s="24"/>
      <c r="BS560" s="24"/>
      <c r="BZ560" s="24"/>
      <c r="CA560" s="24"/>
      <c r="CB560" s="24"/>
      <c r="CC560" s="24"/>
      <c r="CD560" s="24"/>
    </row>
    <row r="561" spans="2:82" s="6" customFormat="1">
      <c r="B561" s="21"/>
      <c r="D561" s="17"/>
      <c r="E561" s="23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R561" s="24"/>
      <c r="AS561" s="24"/>
      <c r="AT561" s="24"/>
      <c r="AU561" s="24"/>
      <c r="AV561" s="24"/>
      <c r="AW561" s="24"/>
      <c r="BD561" s="24"/>
      <c r="BE561" s="24"/>
      <c r="BF561" s="24"/>
      <c r="BG561" s="24"/>
      <c r="BH561" s="24"/>
      <c r="BI561" s="24"/>
      <c r="BP561" s="24"/>
      <c r="BQ561" s="24"/>
      <c r="BR561" s="24"/>
      <c r="BS561" s="24"/>
      <c r="BZ561" s="24"/>
      <c r="CA561" s="24"/>
      <c r="CB561" s="24"/>
      <c r="CC561" s="24"/>
      <c r="CD561" s="24"/>
    </row>
    <row r="562" spans="2:82" s="6" customFormat="1">
      <c r="B562" s="21"/>
      <c r="D562" s="17"/>
      <c r="E562" s="23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R562" s="24"/>
      <c r="AS562" s="24"/>
      <c r="AT562" s="24"/>
      <c r="AU562" s="24"/>
      <c r="AV562" s="24"/>
      <c r="AW562" s="24"/>
      <c r="BD562" s="24"/>
      <c r="BE562" s="24"/>
      <c r="BF562" s="24"/>
      <c r="BG562" s="24"/>
      <c r="BH562" s="24"/>
      <c r="BI562" s="24"/>
      <c r="BP562" s="24"/>
      <c r="BQ562" s="24"/>
      <c r="BR562" s="24"/>
      <c r="BS562" s="24"/>
      <c r="BZ562" s="24"/>
      <c r="CA562" s="24"/>
      <c r="CB562" s="24"/>
      <c r="CC562" s="24"/>
      <c r="CD562" s="24"/>
    </row>
    <row r="563" spans="2:82" s="6" customFormat="1">
      <c r="B563" s="21"/>
      <c r="D563" s="17"/>
      <c r="E563" s="23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R563" s="24"/>
      <c r="AS563" s="24"/>
      <c r="AT563" s="24"/>
      <c r="AU563" s="24"/>
      <c r="AV563" s="24"/>
      <c r="AW563" s="24"/>
      <c r="BD563" s="24"/>
      <c r="BE563" s="24"/>
      <c r="BF563" s="24"/>
      <c r="BG563" s="24"/>
      <c r="BH563" s="24"/>
      <c r="BI563" s="24"/>
      <c r="BP563" s="24"/>
      <c r="BQ563" s="24"/>
      <c r="BR563" s="24"/>
      <c r="BS563" s="24"/>
      <c r="BZ563" s="24"/>
      <c r="CA563" s="24"/>
      <c r="CB563" s="24"/>
      <c r="CC563" s="24"/>
      <c r="CD563" s="24"/>
    </row>
    <row r="564" spans="2:82" s="6" customFormat="1">
      <c r="B564" s="21"/>
      <c r="D564" s="17"/>
      <c r="E564" s="23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R564" s="24"/>
      <c r="AS564" s="24"/>
      <c r="AT564" s="24"/>
      <c r="AU564" s="24"/>
      <c r="AV564" s="24"/>
      <c r="AW564" s="24"/>
      <c r="BD564" s="24"/>
      <c r="BE564" s="24"/>
      <c r="BF564" s="24"/>
      <c r="BG564" s="24"/>
      <c r="BH564" s="24"/>
      <c r="BI564" s="24"/>
      <c r="BP564" s="24"/>
      <c r="BQ564" s="24"/>
      <c r="BR564" s="24"/>
      <c r="BS564" s="24"/>
      <c r="BZ564" s="24"/>
      <c r="CA564" s="24"/>
      <c r="CB564" s="24"/>
      <c r="CC564" s="24"/>
      <c r="CD564" s="24"/>
    </row>
    <row r="565" spans="2:82" s="6" customFormat="1">
      <c r="B565" s="21"/>
      <c r="D565" s="17"/>
      <c r="E565" s="23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R565" s="24"/>
      <c r="AS565" s="24"/>
      <c r="AT565" s="24"/>
      <c r="AU565" s="24"/>
      <c r="AV565" s="24"/>
      <c r="AW565" s="24"/>
      <c r="BD565" s="24"/>
      <c r="BE565" s="24"/>
      <c r="BF565" s="24"/>
      <c r="BG565" s="24"/>
      <c r="BH565" s="24"/>
      <c r="BI565" s="24"/>
      <c r="BP565" s="24"/>
      <c r="BQ565" s="24"/>
      <c r="BR565" s="24"/>
      <c r="BS565" s="24"/>
      <c r="BZ565" s="24"/>
      <c r="CA565" s="24"/>
      <c r="CB565" s="24"/>
      <c r="CC565" s="24"/>
      <c r="CD565" s="24"/>
    </row>
    <row r="566" spans="2:82" s="6" customFormat="1">
      <c r="B566" s="21"/>
      <c r="D566" s="17"/>
      <c r="E566" s="23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R566" s="24"/>
      <c r="AS566" s="24"/>
      <c r="AT566" s="24"/>
      <c r="AU566" s="24"/>
      <c r="AV566" s="24"/>
      <c r="AW566" s="24"/>
      <c r="BD566" s="24"/>
      <c r="BE566" s="24"/>
      <c r="BF566" s="24"/>
      <c r="BG566" s="24"/>
      <c r="BH566" s="24"/>
      <c r="BI566" s="24"/>
      <c r="BP566" s="24"/>
      <c r="BQ566" s="24"/>
      <c r="BR566" s="24"/>
      <c r="BS566" s="24"/>
      <c r="BZ566" s="24"/>
      <c r="CA566" s="24"/>
      <c r="CB566" s="24"/>
      <c r="CC566" s="24"/>
      <c r="CD566" s="24"/>
    </row>
    <row r="567" spans="2:82" s="6" customFormat="1">
      <c r="B567" s="21"/>
      <c r="D567" s="17"/>
      <c r="E567" s="23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R567" s="24"/>
      <c r="AS567" s="24"/>
      <c r="AT567" s="24"/>
      <c r="AU567" s="24"/>
      <c r="AV567" s="24"/>
      <c r="AW567" s="24"/>
      <c r="BD567" s="24"/>
      <c r="BE567" s="24"/>
      <c r="BF567" s="24"/>
      <c r="BG567" s="24"/>
      <c r="BH567" s="24"/>
      <c r="BI567" s="24"/>
      <c r="BP567" s="24"/>
      <c r="BQ567" s="24"/>
      <c r="BR567" s="24"/>
      <c r="BS567" s="24"/>
      <c r="BZ567" s="24"/>
      <c r="CA567" s="24"/>
      <c r="CB567" s="24"/>
      <c r="CC567" s="24"/>
      <c r="CD567" s="24"/>
    </row>
    <row r="568" spans="2:82" s="6" customFormat="1">
      <c r="B568" s="21"/>
      <c r="D568" s="17"/>
      <c r="E568" s="23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R568" s="24"/>
      <c r="AS568" s="24"/>
      <c r="AT568" s="24"/>
      <c r="AU568" s="24"/>
      <c r="AV568" s="24"/>
      <c r="AW568" s="24"/>
      <c r="BD568" s="24"/>
      <c r="BE568" s="24"/>
      <c r="BF568" s="24"/>
      <c r="BG568" s="24"/>
      <c r="BH568" s="24"/>
      <c r="BI568" s="24"/>
      <c r="BP568" s="24"/>
      <c r="BQ568" s="24"/>
      <c r="BR568" s="24"/>
      <c r="BS568" s="24"/>
      <c r="BZ568" s="24"/>
      <c r="CA568" s="24"/>
      <c r="CB568" s="24"/>
      <c r="CC568" s="24"/>
      <c r="CD568" s="24"/>
    </row>
    <row r="569" spans="2:82" s="6" customFormat="1">
      <c r="B569" s="21"/>
      <c r="D569" s="17"/>
      <c r="E569" s="23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R569" s="24"/>
      <c r="AS569" s="24"/>
      <c r="AT569" s="24"/>
      <c r="AU569" s="24"/>
      <c r="AV569" s="24"/>
      <c r="AW569" s="24"/>
      <c r="BD569" s="24"/>
      <c r="BE569" s="24"/>
      <c r="BF569" s="24"/>
      <c r="BG569" s="24"/>
      <c r="BH569" s="24"/>
      <c r="BI569" s="24"/>
      <c r="BP569" s="24"/>
      <c r="BQ569" s="24"/>
      <c r="BR569" s="24"/>
      <c r="BS569" s="24"/>
      <c r="BZ569" s="24"/>
      <c r="CA569" s="24"/>
      <c r="CB569" s="24"/>
      <c r="CC569" s="24"/>
      <c r="CD569" s="24"/>
    </row>
    <row r="570" spans="2:82" s="6" customFormat="1">
      <c r="B570" s="21"/>
      <c r="D570" s="17"/>
      <c r="E570" s="23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R570" s="24"/>
      <c r="AS570" s="24"/>
      <c r="AT570" s="24"/>
      <c r="AU570" s="24"/>
      <c r="AV570" s="24"/>
      <c r="AW570" s="24"/>
      <c r="BD570" s="24"/>
      <c r="BE570" s="24"/>
      <c r="BF570" s="24"/>
      <c r="BG570" s="24"/>
      <c r="BH570" s="24"/>
      <c r="BI570" s="24"/>
      <c r="BP570" s="24"/>
      <c r="BQ570" s="24"/>
      <c r="BR570" s="24"/>
      <c r="BS570" s="24"/>
      <c r="BZ570" s="24"/>
      <c r="CA570" s="24"/>
      <c r="CB570" s="24"/>
      <c r="CC570" s="24"/>
      <c r="CD570" s="24"/>
    </row>
    <row r="571" spans="2:82" s="6" customFormat="1">
      <c r="B571" s="21"/>
      <c r="D571" s="17"/>
      <c r="E571" s="23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R571" s="24"/>
      <c r="AS571" s="24"/>
      <c r="AT571" s="24"/>
      <c r="AU571" s="24"/>
      <c r="AV571" s="24"/>
      <c r="AW571" s="24"/>
      <c r="BD571" s="24"/>
      <c r="BE571" s="24"/>
      <c r="BF571" s="24"/>
      <c r="BG571" s="24"/>
      <c r="BH571" s="24"/>
      <c r="BI571" s="24"/>
      <c r="BP571" s="24"/>
      <c r="BQ571" s="24"/>
      <c r="BR571" s="24"/>
      <c r="BS571" s="24"/>
      <c r="BZ571" s="24"/>
      <c r="CA571" s="24"/>
      <c r="CB571" s="24"/>
      <c r="CC571" s="24"/>
      <c r="CD571" s="24"/>
    </row>
    <row r="572" spans="2:82" s="6" customFormat="1">
      <c r="B572" s="21"/>
      <c r="D572" s="17"/>
      <c r="E572" s="23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R572" s="24"/>
      <c r="AS572" s="24"/>
      <c r="AT572" s="24"/>
      <c r="AU572" s="24"/>
      <c r="AV572" s="24"/>
      <c r="AW572" s="24"/>
      <c r="BD572" s="24"/>
      <c r="BE572" s="24"/>
      <c r="BF572" s="24"/>
      <c r="BG572" s="24"/>
      <c r="BH572" s="24"/>
      <c r="BI572" s="24"/>
      <c r="BP572" s="24"/>
      <c r="BQ572" s="24"/>
      <c r="BR572" s="24"/>
      <c r="BS572" s="24"/>
      <c r="BZ572" s="24"/>
      <c r="CA572" s="24"/>
      <c r="CB572" s="24"/>
      <c r="CC572" s="24"/>
      <c r="CD572" s="24"/>
    </row>
    <row r="573" spans="2:82" s="6" customFormat="1">
      <c r="B573" s="21"/>
      <c r="D573" s="17"/>
      <c r="E573" s="23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R573" s="24"/>
      <c r="AS573" s="24"/>
      <c r="AT573" s="24"/>
      <c r="AU573" s="24"/>
      <c r="AV573" s="24"/>
      <c r="AW573" s="24"/>
      <c r="BD573" s="24"/>
      <c r="BE573" s="24"/>
      <c r="BF573" s="24"/>
      <c r="BG573" s="24"/>
      <c r="BH573" s="24"/>
      <c r="BI573" s="24"/>
      <c r="BP573" s="24"/>
      <c r="BQ573" s="24"/>
      <c r="BR573" s="24"/>
      <c r="BS573" s="24"/>
      <c r="BZ573" s="24"/>
      <c r="CA573" s="24"/>
      <c r="CB573" s="24"/>
      <c r="CC573" s="24"/>
      <c r="CD573" s="24"/>
    </row>
    <row r="574" spans="2:82" s="6" customFormat="1">
      <c r="B574" s="21"/>
      <c r="D574" s="17"/>
      <c r="E574" s="23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R574" s="24"/>
      <c r="AS574" s="24"/>
      <c r="AT574" s="24"/>
      <c r="AU574" s="24"/>
      <c r="AV574" s="24"/>
      <c r="AW574" s="24"/>
      <c r="BD574" s="24"/>
      <c r="BE574" s="24"/>
      <c r="BF574" s="24"/>
      <c r="BG574" s="24"/>
      <c r="BH574" s="24"/>
      <c r="BI574" s="24"/>
      <c r="BP574" s="24"/>
      <c r="BQ574" s="24"/>
      <c r="BR574" s="24"/>
      <c r="BS574" s="24"/>
      <c r="BZ574" s="24"/>
      <c r="CA574" s="24"/>
      <c r="CB574" s="24"/>
      <c r="CC574" s="24"/>
      <c r="CD574" s="24"/>
    </row>
    <row r="575" spans="2:82" s="6" customFormat="1">
      <c r="B575" s="21"/>
      <c r="D575" s="17"/>
      <c r="E575" s="23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R575" s="24"/>
      <c r="AS575" s="24"/>
      <c r="AT575" s="24"/>
      <c r="AU575" s="24"/>
      <c r="AV575" s="24"/>
      <c r="AW575" s="24"/>
      <c r="BD575" s="24"/>
      <c r="BE575" s="24"/>
      <c r="BF575" s="24"/>
      <c r="BG575" s="24"/>
      <c r="BH575" s="24"/>
      <c r="BI575" s="24"/>
      <c r="BP575" s="24"/>
      <c r="BQ575" s="24"/>
      <c r="BR575" s="24"/>
      <c r="BS575" s="24"/>
      <c r="BZ575" s="24"/>
      <c r="CA575" s="24"/>
      <c r="CB575" s="24"/>
      <c r="CC575" s="24"/>
      <c r="CD575" s="24"/>
    </row>
    <row r="576" spans="2:82" s="6" customFormat="1">
      <c r="B576" s="21"/>
      <c r="D576" s="17"/>
      <c r="E576" s="23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R576" s="24"/>
      <c r="AS576" s="24"/>
      <c r="AT576" s="24"/>
      <c r="AU576" s="24"/>
      <c r="AV576" s="24"/>
      <c r="AW576" s="24"/>
      <c r="BD576" s="24"/>
      <c r="BE576" s="24"/>
      <c r="BF576" s="24"/>
      <c r="BG576" s="24"/>
      <c r="BH576" s="24"/>
      <c r="BI576" s="24"/>
      <c r="BP576" s="24"/>
      <c r="BQ576" s="24"/>
      <c r="BR576" s="24"/>
      <c r="BS576" s="24"/>
      <c r="BZ576" s="24"/>
      <c r="CA576" s="24"/>
      <c r="CB576" s="24"/>
      <c r="CC576" s="24"/>
      <c r="CD576" s="24"/>
    </row>
    <row r="577" spans="2:82" s="6" customFormat="1">
      <c r="B577" s="21"/>
      <c r="D577" s="17"/>
      <c r="E577" s="23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R577" s="24"/>
      <c r="AS577" s="24"/>
      <c r="AT577" s="24"/>
      <c r="AU577" s="24"/>
      <c r="AV577" s="24"/>
      <c r="AW577" s="24"/>
      <c r="BD577" s="24"/>
      <c r="BE577" s="24"/>
      <c r="BF577" s="24"/>
      <c r="BG577" s="24"/>
      <c r="BH577" s="24"/>
      <c r="BI577" s="24"/>
      <c r="BP577" s="24"/>
      <c r="BQ577" s="24"/>
      <c r="BR577" s="24"/>
      <c r="BS577" s="24"/>
      <c r="BZ577" s="24"/>
      <c r="CA577" s="24"/>
      <c r="CB577" s="24"/>
      <c r="CC577" s="24"/>
      <c r="CD577" s="24"/>
    </row>
    <row r="578" spans="2:82" s="6" customFormat="1">
      <c r="B578" s="21"/>
      <c r="D578" s="17"/>
      <c r="E578" s="23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R578" s="24"/>
      <c r="AS578" s="24"/>
      <c r="AT578" s="24"/>
      <c r="AU578" s="24"/>
      <c r="AV578" s="24"/>
      <c r="AW578" s="24"/>
      <c r="BD578" s="24"/>
      <c r="BE578" s="24"/>
      <c r="BF578" s="24"/>
      <c r="BG578" s="24"/>
      <c r="BH578" s="24"/>
      <c r="BI578" s="24"/>
      <c r="BP578" s="24"/>
      <c r="BQ578" s="24"/>
      <c r="BR578" s="24"/>
      <c r="BS578" s="24"/>
      <c r="BZ578" s="24"/>
      <c r="CA578" s="24"/>
      <c r="CB578" s="24"/>
      <c r="CC578" s="24"/>
      <c r="CD578" s="24"/>
    </row>
    <row r="579" spans="2:82" s="6" customFormat="1">
      <c r="B579" s="21"/>
      <c r="D579" s="17"/>
      <c r="E579" s="23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R579" s="24"/>
      <c r="AS579" s="24"/>
      <c r="AT579" s="24"/>
      <c r="AU579" s="24"/>
      <c r="AV579" s="24"/>
      <c r="AW579" s="24"/>
      <c r="BD579" s="24"/>
      <c r="BE579" s="24"/>
      <c r="BF579" s="24"/>
      <c r="BG579" s="24"/>
      <c r="BH579" s="24"/>
      <c r="BI579" s="24"/>
      <c r="BP579" s="24"/>
      <c r="BQ579" s="24"/>
      <c r="BR579" s="24"/>
      <c r="BS579" s="24"/>
      <c r="BZ579" s="24"/>
      <c r="CA579" s="24"/>
      <c r="CB579" s="24"/>
      <c r="CC579" s="24"/>
      <c r="CD579" s="24"/>
    </row>
    <row r="580" spans="2:82" s="6" customFormat="1">
      <c r="B580" s="21"/>
      <c r="D580" s="17"/>
      <c r="E580" s="23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R580" s="24"/>
      <c r="AS580" s="24"/>
      <c r="AT580" s="24"/>
      <c r="AU580" s="24"/>
      <c r="AV580" s="24"/>
      <c r="AW580" s="24"/>
      <c r="BD580" s="24"/>
      <c r="BE580" s="24"/>
      <c r="BF580" s="24"/>
      <c r="BG580" s="24"/>
      <c r="BH580" s="24"/>
      <c r="BI580" s="24"/>
      <c r="BP580" s="24"/>
      <c r="BQ580" s="24"/>
      <c r="BR580" s="24"/>
      <c r="BS580" s="24"/>
      <c r="BZ580" s="24"/>
      <c r="CA580" s="24"/>
      <c r="CB580" s="24"/>
      <c r="CC580" s="24"/>
      <c r="CD580" s="24"/>
    </row>
    <row r="581" spans="2:82" s="6" customFormat="1">
      <c r="B581" s="21"/>
      <c r="D581" s="17"/>
      <c r="E581" s="23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R581" s="24"/>
      <c r="AS581" s="24"/>
      <c r="AT581" s="24"/>
      <c r="AU581" s="24"/>
      <c r="AV581" s="24"/>
      <c r="AW581" s="24"/>
      <c r="BD581" s="24"/>
      <c r="BE581" s="24"/>
      <c r="BF581" s="24"/>
      <c r="BG581" s="24"/>
      <c r="BH581" s="24"/>
      <c r="BI581" s="24"/>
      <c r="BP581" s="24"/>
      <c r="BQ581" s="24"/>
      <c r="BR581" s="24"/>
      <c r="BS581" s="24"/>
      <c r="BZ581" s="24"/>
      <c r="CA581" s="24"/>
      <c r="CB581" s="24"/>
      <c r="CC581" s="24"/>
      <c r="CD581" s="24"/>
    </row>
    <row r="582" spans="2:82" s="6" customFormat="1">
      <c r="B582" s="21"/>
      <c r="D582" s="17"/>
      <c r="E582" s="23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R582" s="24"/>
      <c r="AS582" s="24"/>
      <c r="AT582" s="24"/>
      <c r="AU582" s="24"/>
      <c r="AV582" s="24"/>
      <c r="AW582" s="24"/>
      <c r="BD582" s="24"/>
      <c r="BE582" s="24"/>
      <c r="BF582" s="24"/>
      <c r="BG582" s="24"/>
      <c r="BH582" s="24"/>
      <c r="BI582" s="24"/>
      <c r="BP582" s="24"/>
      <c r="BQ582" s="24"/>
      <c r="BR582" s="24"/>
      <c r="BS582" s="24"/>
      <c r="BZ582" s="24"/>
      <c r="CA582" s="24"/>
      <c r="CB582" s="24"/>
      <c r="CC582" s="24"/>
      <c r="CD582" s="24"/>
    </row>
    <row r="583" spans="2:82" s="6" customFormat="1">
      <c r="B583" s="21"/>
      <c r="D583" s="17"/>
      <c r="E583" s="23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R583" s="24"/>
      <c r="AS583" s="24"/>
      <c r="AT583" s="24"/>
      <c r="AU583" s="24"/>
      <c r="AV583" s="24"/>
      <c r="AW583" s="24"/>
      <c r="BD583" s="24"/>
      <c r="BE583" s="24"/>
      <c r="BF583" s="24"/>
      <c r="BG583" s="24"/>
      <c r="BH583" s="24"/>
      <c r="BI583" s="24"/>
      <c r="BP583" s="24"/>
      <c r="BQ583" s="24"/>
      <c r="BR583" s="24"/>
      <c r="BS583" s="24"/>
      <c r="BZ583" s="24"/>
      <c r="CA583" s="24"/>
      <c r="CB583" s="24"/>
      <c r="CC583" s="24"/>
      <c r="CD583" s="24"/>
    </row>
    <row r="584" spans="2:82" s="6" customFormat="1">
      <c r="B584" s="21"/>
      <c r="D584" s="17"/>
      <c r="E584" s="23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R584" s="24"/>
      <c r="AS584" s="24"/>
      <c r="AT584" s="24"/>
      <c r="AU584" s="24"/>
      <c r="AV584" s="24"/>
      <c r="AW584" s="24"/>
      <c r="BD584" s="24"/>
      <c r="BE584" s="24"/>
      <c r="BF584" s="24"/>
      <c r="BG584" s="24"/>
      <c r="BH584" s="24"/>
      <c r="BI584" s="24"/>
      <c r="BP584" s="24"/>
      <c r="BQ584" s="24"/>
      <c r="BR584" s="24"/>
      <c r="BS584" s="24"/>
      <c r="BZ584" s="24"/>
      <c r="CA584" s="24"/>
      <c r="CB584" s="24"/>
      <c r="CC584" s="24"/>
      <c r="CD584" s="24"/>
    </row>
    <row r="585" spans="2:82" s="6" customFormat="1">
      <c r="B585" s="21"/>
      <c r="D585" s="17"/>
      <c r="E585" s="23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R585" s="24"/>
      <c r="AS585" s="24"/>
      <c r="AT585" s="24"/>
      <c r="AU585" s="24"/>
      <c r="AV585" s="24"/>
      <c r="AW585" s="24"/>
      <c r="BD585" s="24"/>
      <c r="BE585" s="24"/>
      <c r="BF585" s="24"/>
      <c r="BG585" s="24"/>
      <c r="BH585" s="24"/>
      <c r="BI585" s="24"/>
      <c r="BP585" s="24"/>
      <c r="BQ585" s="24"/>
      <c r="BR585" s="24"/>
      <c r="BS585" s="24"/>
      <c r="BZ585" s="24"/>
      <c r="CA585" s="24"/>
      <c r="CB585" s="24"/>
      <c r="CC585" s="24"/>
      <c r="CD585" s="24"/>
    </row>
    <row r="586" spans="2:82" s="6" customFormat="1">
      <c r="B586" s="21"/>
      <c r="D586" s="17"/>
      <c r="E586" s="23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R586" s="24"/>
      <c r="AS586" s="24"/>
      <c r="AT586" s="24"/>
      <c r="AU586" s="24"/>
      <c r="AV586" s="24"/>
      <c r="AW586" s="24"/>
      <c r="BD586" s="24"/>
      <c r="BE586" s="24"/>
      <c r="BF586" s="24"/>
      <c r="BG586" s="24"/>
      <c r="BH586" s="24"/>
      <c r="BI586" s="24"/>
      <c r="BP586" s="24"/>
      <c r="BQ586" s="24"/>
      <c r="BR586" s="24"/>
      <c r="BS586" s="24"/>
      <c r="BZ586" s="24"/>
      <c r="CA586" s="24"/>
      <c r="CB586" s="24"/>
      <c r="CC586" s="24"/>
      <c r="CD586" s="24"/>
    </row>
    <row r="587" spans="2:82" s="6" customFormat="1">
      <c r="B587" s="21"/>
      <c r="D587" s="17"/>
      <c r="E587" s="23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R587" s="24"/>
      <c r="AS587" s="24"/>
      <c r="AT587" s="24"/>
      <c r="AU587" s="24"/>
      <c r="AV587" s="24"/>
      <c r="AW587" s="24"/>
      <c r="BD587" s="24"/>
      <c r="BE587" s="24"/>
      <c r="BF587" s="24"/>
      <c r="BG587" s="24"/>
      <c r="BH587" s="24"/>
      <c r="BI587" s="24"/>
      <c r="BP587" s="24"/>
      <c r="BQ587" s="24"/>
      <c r="BR587" s="24"/>
      <c r="BS587" s="24"/>
      <c r="BZ587" s="24"/>
      <c r="CA587" s="24"/>
      <c r="CB587" s="24"/>
      <c r="CC587" s="24"/>
      <c r="CD587" s="24"/>
    </row>
    <row r="588" spans="2:82" s="6" customFormat="1">
      <c r="B588" s="21"/>
      <c r="D588" s="17"/>
      <c r="E588" s="23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R588" s="24"/>
      <c r="AS588" s="24"/>
      <c r="AT588" s="24"/>
      <c r="AU588" s="24"/>
      <c r="AV588" s="24"/>
      <c r="AW588" s="24"/>
      <c r="BD588" s="24"/>
      <c r="BE588" s="24"/>
      <c r="BF588" s="24"/>
      <c r="BG588" s="24"/>
      <c r="BH588" s="24"/>
      <c r="BI588" s="24"/>
      <c r="BP588" s="24"/>
      <c r="BQ588" s="24"/>
      <c r="BR588" s="24"/>
      <c r="BS588" s="24"/>
      <c r="BZ588" s="24"/>
      <c r="CA588" s="24"/>
      <c r="CB588" s="24"/>
      <c r="CC588" s="24"/>
      <c r="CD588" s="24"/>
    </row>
    <row r="589" spans="2:82" s="6" customFormat="1">
      <c r="B589" s="21"/>
      <c r="D589" s="17"/>
      <c r="E589" s="23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R589" s="24"/>
      <c r="AS589" s="24"/>
      <c r="AT589" s="24"/>
      <c r="AU589" s="24"/>
      <c r="AV589" s="24"/>
      <c r="AW589" s="24"/>
      <c r="BD589" s="24"/>
      <c r="BE589" s="24"/>
      <c r="BF589" s="24"/>
      <c r="BG589" s="24"/>
      <c r="BH589" s="24"/>
      <c r="BI589" s="24"/>
      <c r="BP589" s="24"/>
      <c r="BQ589" s="24"/>
      <c r="BR589" s="24"/>
      <c r="BS589" s="24"/>
      <c r="BZ589" s="24"/>
      <c r="CA589" s="24"/>
      <c r="CB589" s="24"/>
      <c r="CC589" s="24"/>
      <c r="CD589" s="24"/>
    </row>
    <row r="590" spans="2:82" s="6" customFormat="1">
      <c r="B590" s="21"/>
      <c r="D590" s="17"/>
      <c r="E590" s="23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R590" s="24"/>
      <c r="AS590" s="24"/>
      <c r="AT590" s="24"/>
      <c r="AU590" s="24"/>
      <c r="AV590" s="24"/>
      <c r="AW590" s="24"/>
      <c r="BD590" s="24"/>
      <c r="BE590" s="24"/>
      <c r="BF590" s="24"/>
      <c r="BG590" s="24"/>
      <c r="BH590" s="24"/>
      <c r="BI590" s="24"/>
      <c r="BP590" s="24"/>
      <c r="BQ590" s="24"/>
      <c r="BR590" s="24"/>
      <c r="BS590" s="24"/>
      <c r="BZ590" s="24"/>
      <c r="CA590" s="24"/>
      <c r="CB590" s="24"/>
      <c r="CC590" s="24"/>
      <c r="CD590" s="24"/>
    </row>
    <row r="591" spans="2:82" s="6" customFormat="1">
      <c r="B591" s="21"/>
      <c r="D591" s="17"/>
      <c r="E591" s="23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R591" s="24"/>
      <c r="AS591" s="24"/>
      <c r="AT591" s="24"/>
      <c r="AU591" s="24"/>
      <c r="AV591" s="24"/>
      <c r="AW591" s="24"/>
      <c r="BD591" s="24"/>
      <c r="BE591" s="24"/>
      <c r="BF591" s="24"/>
      <c r="BG591" s="24"/>
      <c r="BH591" s="24"/>
      <c r="BI591" s="24"/>
      <c r="BP591" s="24"/>
      <c r="BQ591" s="24"/>
      <c r="BR591" s="24"/>
      <c r="BS591" s="24"/>
      <c r="BZ591" s="24"/>
      <c r="CA591" s="24"/>
      <c r="CB591" s="24"/>
      <c r="CC591" s="24"/>
      <c r="CD591" s="24"/>
    </row>
    <row r="592" spans="2:82" s="6" customFormat="1">
      <c r="B592" s="21"/>
      <c r="D592" s="17"/>
      <c r="E592" s="23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R592" s="24"/>
      <c r="AS592" s="24"/>
      <c r="AT592" s="24"/>
      <c r="AU592" s="24"/>
      <c r="AV592" s="24"/>
      <c r="AW592" s="24"/>
      <c r="BD592" s="24"/>
      <c r="BE592" s="24"/>
      <c r="BF592" s="24"/>
      <c r="BG592" s="24"/>
      <c r="BH592" s="24"/>
      <c r="BI592" s="24"/>
      <c r="BP592" s="24"/>
      <c r="BQ592" s="24"/>
      <c r="BR592" s="24"/>
      <c r="BS592" s="24"/>
      <c r="BZ592" s="24"/>
      <c r="CA592" s="24"/>
      <c r="CB592" s="24"/>
      <c r="CC592" s="24"/>
      <c r="CD592" s="24"/>
    </row>
    <row r="593" spans="2:82" s="6" customFormat="1">
      <c r="B593" s="21"/>
      <c r="D593" s="17"/>
      <c r="E593" s="23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R593" s="24"/>
      <c r="AS593" s="24"/>
      <c r="AT593" s="24"/>
      <c r="AU593" s="24"/>
      <c r="AV593" s="24"/>
      <c r="AW593" s="24"/>
      <c r="BD593" s="24"/>
      <c r="BE593" s="24"/>
      <c r="BF593" s="24"/>
      <c r="BG593" s="24"/>
      <c r="BH593" s="24"/>
      <c r="BI593" s="24"/>
      <c r="BP593" s="24"/>
      <c r="BQ593" s="24"/>
      <c r="BR593" s="24"/>
      <c r="BS593" s="24"/>
      <c r="BZ593" s="24"/>
      <c r="CA593" s="24"/>
      <c r="CB593" s="24"/>
      <c r="CC593" s="24"/>
      <c r="CD593" s="24"/>
    </row>
    <row r="594" spans="2:82" s="6" customFormat="1">
      <c r="B594" s="21"/>
      <c r="D594" s="17"/>
      <c r="E594" s="23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R594" s="24"/>
      <c r="AS594" s="24"/>
      <c r="AT594" s="24"/>
      <c r="AU594" s="24"/>
      <c r="AV594" s="24"/>
      <c r="AW594" s="24"/>
      <c r="BD594" s="24"/>
      <c r="BE594" s="24"/>
      <c r="BF594" s="24"/>
      <c r="BG594" s="24"/>
      <c r="BH594" s="24"/>
      <c r="BI594" s="24"/>
      <c r="BP594" s="24"/>
      <c r="BQ594" s="24"/>
      <c r="BR594" s="24"/>
      <c r="BS594" s="24"/>
      <c r="BZ594" s="24"/>
      <c r="CA594" s="24"/>
      <c r="CB594" s="24"/>
      <c r="CC594" s="24"/>
      <c r="CD594" s="24"/>
    </row>
    <row r="595" spans="2:82" s="6" customFormat="1">
      <c r="B595" s="21"/>
      <c r="D595" s="17"/>
      <c r="E595" s="23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R595" s="24"/>
      <c r="AS595" s="24"/>
      <c r="AT595" s="24"/>
      <c r="AU595" s="24"/>
      <c r="AV595" s="24"/>
      <c r="AW595" s="24"/>
      <c r="BD595" s="24"/>
      <c r="BE595" s="24"/>
      <c r="BF595" s="24"/>
      <c r="BG595" s="24"/>
      <c r="BH595" s="24"/>
      <c r="BI595" s="24"/>
      <c r="BP595" s="24"/>
      <c r="BQ595" s="24"/>
      <c r="BR595" s="24"/>
      <c r="BS595" s="24"/>
      <c r="BZ595" s="24"/>
      <c r="CA595" s="24"/>
      <c r="CB595" s="24"/>
      <c r="CC595" s="24"/>
      <c r="CD595" s="24"/>
    </row>
    <row r="596" spans="2:82" s="6" customFormat="1">
      <c r="B596" s="21"/>
      <c r="D596" s="17"/>
      <c r="E596" s="23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R596" s="24"/>
      <c r="AS596" s="24"/>
      <c r="AT596" s="24"/>
      <c r="AU596" s="24"/>
      <c r="AV596" s="24"/>
      <c r="AW596" s="24"/>
      <c r="BD596" s="24"/>
      <c r="BE596" s="24"/>
      <c r="BF596" s="24"/>
      <c r="BG596" s="24"/>
      <c r="BH596" s="24"/>
      <c r="BI596" s="24"/>
      <c r="BP596" s="24"/>
      <c r="BQ596" s="24"/>
      <c r="BR596" s="24"/>
      <c r="BS596" s="24"/>
      <c r="BZ596" s="24"/>
      <c r="CA596" s="24"/>
      <c r="CB596" s="24"/>
      <c r="CC596" s="24"/>
      <c r="CD596" s="24"/>
    </row>
    <row r="597" spans="2:82" s="6" customFormat="1">
      <c r="B597" s="21"/>
      <c r="D597" s="17"/>
      <c r="E597" s="23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R597" s="24"/>
      <c r="AS597" s="24"/>
      <c r="AT597" s="24"/>
      <c r="AU597" s="24"/>
      <c r="AV597" s="24"/>
      <c r="AW597" s="24"/>
      <c r="BD597" s="24"/>
      <c r="BE597" s="24"/>
      <c r="BF597" s="24"/>
      <c r="BG597" s="24"/>
      <c r="BH597" s="24"/>
      <c r="BI597" s="24"/>
      <c r="BP597" s="24"/>
      <c r="BQ597" s="24"/>
      <c r="BR597" s="24"/>
      <c r="BS597" s="24"/>
      <c r="BZ597" s="24"/>
      <c r="CA597" s="24"/>
      <c r="CB597" s="24"/>
      <c r="CC597" s="24"/>
      <c r="CD597" s="24"/>
    </row>
    <row r="598" spans="2:82" s="6" customFormat="1">
      <c r="B598" s="21"/>
      <c r="D598" s="17"/>
      <c r="E598" s="23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R598" s="24"/>
      <c r="AS598" s="24"/>
      <c r="AT598" s="24"/>
      <c r="AU598" s="24"/>
      <c r="AV598" s="24"/>
      <c r="AW598" s="24"/>
      <c r="BD598" s="24"/>
      <c r="BE598" s="24"/>
      <c r="BF598" s="24"/>
      <c r="BG598" s="24"/>
      <c r="BH598" s="24"/>
      <c r="BI598" s="24"/>
      <c r="BP598" s="24"/>
      <c r="BQ598" s="24"/>
      <c r="BR598" s="24"/>
      <c r="BS598" s="24"/>
      <c r="BZ598" s="24"/>
      <c r="CA598" s="24"/>
      <c r="CB598" s="24"/>
      <c r="CC598" s="24"/>
      <c r="CD598" s="24"/>
    </row>
    <row r="599" spans="2:82" s="6" customFormat="1">
      <c r="B599" s="21"/>
      <c r="D599" s="17"/>
      <c r="E599" s="23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R599" s="24"/>
      <c r="AS599" s="24"/>
      <c r="AT599" s="24"/>
      <c r="AU599" s="24"/>
      <c r="AV599" s="24"/>
      <c r="AW599" s="24"/>
      <c r="BD599" s="24"/>
      <c r="BE599" s="24"/>
      <c r="BF599" s="24"/>
      <c r="BG599" s="24"/>
      <c r="BH599" s="24"/>
      <c r="BI599" s="24"/>
      <c r="BP599" s="24"/>
      <c r="BQ599" s="24"/>
      <c r="BR599" s="24"/>
      <c r="BS599" s="24"/>
      <c r="BZ599" s="24"/>
      <c r="CA599" s="24"/>
      <c r="CB599" s="24"/>
      <c r="CC599" s="24"/>
      <c r="CD599" s="24"/>
    </row>
    <row r="600" spans="2:82" s="6" customFormat="1">
      <c r="B600" s="21"/>
      <c r="D600" s="17"/>
      <c r="E600" s="23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R600" s="24"/>
      <c r="AS600" s="24"/>
      <c r="AT600" s="24"/>
      <c r="AU600" s="24"/>
      <c r="AV600" s="24"/>
      <c r="AW600" s="24"/>
      <c r="BD600" s="24"/>
      <c r="BE600" s="24"/>
      <c r="BF600" s="24"/>
      <c r="BG600" s="24"/>
      <c r="BH600" s="24"/>
      <c r="BI600" s="24"/>
      <c r="BP600" s="24"/>
      <c r="BQ600" s="24"/>
      <c r="BR600" s="24"/>
      <c r="BS600" s="24"/>
      <c r="BZ600" s="24"/>
      <c r="CA600" s="24"/>
      <c r="CB600" s="24"/>
      <c r="CC600" s="24"/>
      <c r="CD600" s="24"/>
    </row>
    <row r="601" spans="2:82" s="6" customFormat="1">
      <c r="B601" s="21"/>
      <c r="D601" s="17"/>
      <c r="E601" s="23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R601" s="24"/>
      <c r="AS601" s="24"/>
      <c r="AT601" s="24"/>
      <c r="AU601" s="24"/>
      <c r="AV601" s="24"/>
      <c r="AW601" s="24"/>
      <c r="BD601" s="24"/>
      <c r="BE601" s="24"/>
      <c r="BF601" s="24"/>
      <c r="BG601" s="24"/>
      <c r="BH601" s="24"/>
      <c r="BI601" s="24"/>
      <c r="BP601" s="24"/>
      <c r="BQ601" s="24"/>
      <c r="BR601" s="24"/>
      <c r="BS601" s="24"/>
      <c r="BZ601" s="24"/>
      <c r="CA601" s="24"/>
      <c r="CB601" s="24"/>
      <c r="CC601" s="24"/>
      <c r="CD601" s="24"/>
    </row>
    <row r="602" spans="2:82" s="6" customFormat="1">
      <c r="B602" s="21"/>
      <c r="D602" s="17"/>
      <c r="E602" s="23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R602" s="24"/>
      <c r="AS602" s="24"/>
      <c r="AT602" s="24"/>
      <c r="AU602" s="24"/>
      <c r="AV602" s="24"/>
      <c r="AW602" s="24"/>
      <c r="BD602" s="24"/>
      <c r="BE602" s="24"/>
      <c r="BF602" s="24"/>
      <c r="BG602" s="24"/>
      <c r="BH602" s="24"/>
      <c r="BI602" s="24"/>
      <c r="BP602" s="24"/>
      <c r="BQ602" s="24"/>
      <c r="BR602" s="24"/>
      <c r="BS602" s="24"/>
      <c r="BZ602" s="24"/>
      <c r="CA602" s="24"/>
      <c r="CB602" s="24"/>
      <c r="CC602" s="24"/>
      <c r="CD602" s="24"/>
    </row>
    <row r="603" spans="2:82" s="6" customFormat="1">
      <c r="B603" s="21"/>
      <c r="D603" s="17"/>
      <c r="E603" s="23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R603" s="24"/>
      <c r="AS603" s="24"/>
      <c r="AT603" s="24"/>
      <c r="AU603" s="24"/>
      <c r="AV603" s="24"/>
      <c r="AW603" s="24"/>
      <c r="BD603" s="24"/>
      <c r="BE603" s="24"/>
      <c r="BF603" s="24"/>
      <c r="BG603" s="24"/>
      <c r="BH603" s="24"/>
      <c r="BI603" s="24"/>
      <c r="BP603" s="24"/>
      <c r="BQ603" s="24"/>
      <c r="BR603" s="24"/>
      <c r="BS603" s="24"/>
      <c r="BZ603" s="24"/>
      <c r="CA603" s="24"/>
      <c r="CB603" s="24"/>
      <c r="CC603" s="24"/>
      <c r="CD603" s="24"/>
    </row>
    <row r="604" spans="2:82" s="6" customFormat="1">
      <c r="B604" s="21"/>
      <c r="D604" s="17"/>
      <c r="E604" s="23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R604" s="24"/>
      <c r="AS604" s="24"/>
      <c r="AT604" s="24"/>
      <c r="AU604" s="24"/>
      <c r="AV604" s="24"/>
      <c r="AW604" s="24"/>
      <c r="BD604" s="24"/>
      <c r="BE604" s="24"/>
      <c r="BF604" s="24"/>
      <c r="BG604" s="24"/>
      <c r="BH604" s="24"/>
      <c r="BI604" s="24"/>
      <c r="BP604" s="24"/>
      <c r="BQ604" s="24"/>
      <c r="BR604" s="24"/>
      <c r="BS604" s="24"/>
      <c r="BZ604" s="24"/>
      <c r="CA604" s="24"/>
      <c r="CB604" s="24"/>
      <c r="CC604" s="24"/>
      <c r="CD604" s="24"/>
    </row>
    <row r="605" spans="2:82" s="6" customFormat="1">
      <c r="B605" s="21"/>
      <c r="D605" s="17"/>
      <c r="E605" s="23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R605" s="24"/>
      <c r="AS605" s="24"/>
      <c r="AT605" s="24"/>
      <c r="AU605" s="24"/>
      <c r="AV605" s="24"/>
      <c r="AW605" s="24"/>
      <c r="BD605" s="24"/>
      <c r="BE605" s="24"/>
      <c r="BF605" s="24"/>
      <c r="BG605" s="24"/>
      <c r="BH605" s="24"/>
      <c r="BI605" s="24"/>
      <c r="BP605" s="24"/>
      <c r="BQ605" s="24"/>
      <c r="BR605" s="24"/>
      <c r="BS605" s="24"/>
      <c r="BZ605" s="24"/>
      <c r="CA605" s="24"/>
      <c r="CB605" s="24"/>
      <c r="CC605" s="24"/>
      <c r="CD605" s="24"/>
    </row>
    <row r="606" spans="2:82" s="6" customFormat="1">
      <c r="B606" s="21"/>
      <c r="D606" s="17"/>
      <c r="E606" s="23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R606" s="24"/>
      <c r="AS606" s="24"/>
      <c r="AT606" s="24"/>
      <c r="AU606" s="24"/>
      <c r="AV606" s="24"/>
      <c r="AW606" s="24"/>
      <c r="BD606" s="24"/>
      <c r="BE606" s="24"/>
      <c r="BF606" s="24"/>
      <c r="BG606" s="24"/>
      <c r="BH606" s="24"/>
      <c r="BI606" s="24"/>
      <c r="BP606" s="24"/>
      <c r="BQ606" s="24"/>
      <c r="BR606" s="24"/>
      <c r="BS606" s="24"/>
      <c r="BZ606" s="24"/>
      <c r="CA606" s="24"/>
      <c r="CB606" s="24"/>
      <c r="CC606" s="24"/>
      <c r="CD606" s="24"/>
    </row>
    <row r="607" spans="2:82" s="6" customFormat="1">
      <c r="B607" s="21"/>
      <c r="D607" s="17"/>
      <c r="E607" s="23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R607" s="24"/>
      <c r="AS607" s="24"/>
      <c r="AT607" s="24"/>
      <c r="AU607" s="24"/>
      <c r="AV607" s="24"/>
      <c r="AW607" s="24"/>
      <c r="BD607" s="24"/>
      <c r="BE607" s="24"/>
      <c r="BF607" s="24"/>
      <c r="BG607" s="24"/>
      <c r="BH607" s="24"/>
      <c r="BI607" s="24"/>
      <c r="BP607" s="24"/>
      <c r="BQ607" s="24"/>
      <c r="BR607" s="24"/>
      <c r="BS607" s="24"/>
      <c r="BZ607" s="24"/>
      <c r="CA607" s="24"/>
      <c r="CB607" s="24"/>
      <c r="CC607" s="24"/>
      <c r="CD607" s="24"/>
    </row>
    <row r="608" spans="2:82" s="6" customFormat="1">
      <c r="B608" s="21"/>
      <c r="D608" s="17"/>
      <c r="E608" s="23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R608" s="24"/>
      <c r="AS608" s="24"/>
      <c r="AT608" s="24"/>
      <c r="AU608" s="24"/>
      <c r="AV608" s="24"/>
      <c r="AW608" s="24"/>
      <c r="BD608" s="24"/>
      <c r="BE608" s="24"/>
      <c r="BF608" s="24"/>
      <c r="BG608" s="24"/>
      <c r="BH608" s="24"/>
      <c r="BI608" s="24"/>
      <c r="BP608" s="24"/>
      <c r="BQ608" s="24"/>
      <c r="BR608" s="24"/>
      <c r="BS608" s="24"/>
      <c r="BZ608" s="24"/>
      <c r="CA608" s="24"/>
      <c r="CB608" s="24"/>
      <c r="CC608" s="24"/>
      <c r="CD608" s="24"/>
    </row>
    <row r="609" spans="2:82" s="6" customFormat="1">
      <c r="B609" s="21"/>
      <c r="D609" s="17"/>
      <c r="E609" s="23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R609" s="24"/>
      <c r="AS609" s="24"/>
      <c r="AT609" s="24"/>
      <c r="AU609" s="24"/>
      <c r="AV609" s="24"/>
      <c r="AW609" s="24"/>
      <c r="BD609" s="24"/>
      <c r="BE609" s="24"/>
      <c r="BF609" s="24"/>
      <c r="BG609" s="24"/>
      <c r="BH609" s="24"/>
      <c r="BI609" s="24"/>
      <c r="BP609" s="24"/>
      <c r="BQ609" s="24"/>
      <c r="BR609" s="24"/>
      <c r="BS609" s="24"/>
      <c r="BZ609" s="24"/>
      <c r="CA609" s="24"/>
      <c r="CB609" s="24"/>
      <c r="CC609" s="24"/>
      <c r="CD609" s="24"/>
    </row>
    <row r="610" spans="2:82" s="6" customFormat="1">
      <c r="B610" s="21"/>
      <c r="D610" s="17"/>
      <c r="E610" s="23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R610" s="24"/>
      <c r="AS610" s="24"/>
      <c r="AT610" s="24"/>
      <c r="AU610" s="24"/>
      <c r="AV610" s="24"/>
      <c r="AW610" s="24"/>
      <c r="BD610" s="24"/>
      <c r="BE610" s="24"/>
      <c r="BF610" s="24"/>
      <c r="BG610" s="24"/>
      <c r="BH610" s="24"/>
      <c r="BI610" s="24"/>
      <c r="BP610" s="24"/>
      <c r="BQ610" s="24"/>
      <c r="BR610" s="24"/>
      <c r="BS610" s="24"/>
      <c r="BZ610" s="24"/>
      <c r="CA610" s="24"/>
      <c r="CB610" s="24"/>
      <c r="CC610" s="24"/>
      <c r="CD610" s="24"/>
    </row>
    <row r="611" spans="2:82" s="6" customFormat="1">
      <c r="B611" s="21"/>
      <c r="D611" s="17"/>
      <c r="E611" s="23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R611" s="24"/>
      <c r="AS611" s="24"/>
      <c r="AT611" s="24"/>
      <c r="AU611" s="24"/>
      <c r="AV611" s="24"/>
      <c r="AW611" s="24"/>
      <c r="BD611" s="24"/>
      <c r="BE611" s="24"/>
      <c r="BF611" s="24"/>
      <c r="BG611" s="24"/>
      <c r="BH611" s="24"/>
      <c r="BI611" s="24"/>
      <c r="BP611" s="24"/>
      <c r="BQ611" s="24"/>
      <c r="BR611" s="24"/>
      <c r="BS611" s="24"/>
      <c r="BZ611" s="24"/>
      <c r="CA611" s="24"/>
      <c r="CB611" s="24"/>
      <c r="CC611" s="24"/>
      <c r="CD611" s="24"/>
    </row>
    <row r="612" spans="2:82" s="6" customFormat="1">
      <c r="B612" s="21"/>
      <c r="D612" s="17"/>
      <c r="E612" s="23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R612" s="24"/>
      <c r="AS612" s="24"/>
      <c r="AT612" s="24"/>
      <c r="AU612" s="24"/>
      <c r="AV612" s="24"/>
      <c r="AW612" s="24"/>
      <c r="BD612" s="24"/>
      <c r="BE612" s="24"/>
      <c r="BF612" s="24"/>
      <c r="BG612" s="24"/>
      <c r="BH612" s="24"/>
      <c r="BI612" s="24"/>
      <c r="BP612" s="24"/>
      <c r="BQ612" s="24"/>
      <c r="BR612" s="24"/>
      <c r="BS612" s="24"/>
      <c r="BZ612" s="24"/>
      <c r="CA612" s="24"/>
      <c r="CB612" s="24"/>
      <c r="CC612" s="24"/>
      <c r="CD612" s="24"/>
    </row>
    <row r="613" spans="2:82" s="6" customFormat="1">
      <c r="B613" s="21"/>
      <c r="D613" s="17"/>
      <c r="E613" s="23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R613" s="24"/>
      <c r="AS613" s="24"/>
      <c r="AT613" s="24"/>
      <c r="AU613" s="24"/>
      <c r="AV613" s="24"/>
      <c r="AW613" s="24"/>
      <c r="BD613" s="24"/>
      <c r="BE613" s="24"/>
      <c r="BF613" s="24"/>
      <c r="BG613" s="24"/>
      <c r="BH613" s="24"/>
      <c r="BI613" s="24"/>
      <c r="BP613" s="24"/>
      <c r="BQ613" s="24"/>
      <c r="BR613" s="24"/>
      <c r="BS613" s="24"/>
      <c r="BZ613" s="24"/>
      <c r="CA613" s="24"/>
      <c r="CB613" s="24"/>
      <c r="CC613" s="24"/>
      <c r="CD613" s="24"/>
    </row>
    <row r="614" spans="2:82" s="6" customFormat="1">
      <c r="B614" s="21"/>
      <c r="D614" s="17"/>
      <c r="E614" s="23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R614" s="24"/>
      <c r="AS614" s="24"/>
      <c r="AT614" s="24"/>
      <c r="AU614" s="24"/>
      <c r="AV614" s="24"/>
      <c r="AW614" s="24"/>
      <c r="BD614" s="24"/>
      <c r="BE614" s="24"/>
      <c r="BF614" s="24"/>
      <c r="BG614" s="24"/>
      <c r="BH614" s="24"/>
      <c r="BI614" s="24"/>
      <c r="BP614" s="24"/>
      <c r="BQ614" s="24"/>
      <c r="BR614" s="24"/>
      <c r="BS614" s="24"/>
      <c r="BZ614" s="24"/>
      <c r="CA614" s="24"/>
      <c r="CB614" s="24"/>
      <c r="CC614" s="24"/>
      <c r="CD614" s="24"/>
    </row>
    <row r="615" spans="2:82" s="6" customFormat="1">
      <c r="B615" s="21"/>
      <c r="D615" s="17"/>
      <c r="E615" s="23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R615" s="24"/>
      <c r="AS615" s="24"/>
      <c r="AT615" s="24"/>
      <c r="AU615" s="24"/>
      <c r="AV615" s="24"/>
      <c r="AW615" s="24"/>
      <c r="BD615" s="24"/>
      <c r="BE615" s="24"/>
      <c r="BF615" s="24"/>
      <c r="BG615" s="24"/>
      <c r="BH615" s="24"/>
      <c r="BI615" s="24"/>
      <c r="BP615" s="24"/>
      <c r="BQ615" s="24"/>
      <c r="BR615" s="24"/>
      <c r="BS615" s="24"/>
      <c r="BZ615" s="24"/>
      <c r="CA615" s="24"/>
      <c r="CB615" s="24"/>
      <c r="CC615" s="24"/>
      <c r="CD615" s="24"/>
    </row>
    <row r="616" spans="2:82" s="6" customFormat="1">
      <c r="B616" s="21"/>
      <c r="D616" s="17"/>
      <c r="E616" s="23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R616" s="24"/>
      <c r="AS616" s="24"/>
      <c r="AT616" s="24"/>
      <c r="AU616" s="24"/>
      <c r="AV616" s="24"/>
      <c r="AW616" s="24"/>
      <c r="BD616" s="24"/>
      <c r="BE616" s="24"/>
      <c r="BF616" s="24"/>
      <c r="BG616" s="24"/>
      <c r="BH616" s="24"/>
      <c r="BI616" s="24"/>
      <c r="BP616" s="24"/>
      <c r="BQ616" s="24"/>
      <c r="BR616" s="24"/>
      <c r="BS616" s="24"/>
      <c r="BZ616" s="24"/>
      <c r="CA616" s="24"/>
      <c r="CB616" s="24"/>
      <c r="CC616" s="24"/>
      <c r="CD616" s="24"/>
    </row>
    <row r="617" spans="2:82" s="6" customFormat="1">
      <c r="B617" s="21"/>
      <c r="D617" s="17"/>
      <c r="E617" s="23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R617" s="24"/>
      <c r="AS617" s="24"/>
      <c r="AT617" s="24"/>
      <c r="AU617" s="24"/>
      <c r="AV617" s="24"/>
      <c r="AW617" s="24"/>
      <c r="BD617" s="24"/>
      <c r="BE617" s="24"/>
      <c r="BF617" s="24"/>
      <c r="BG617" s="24"/>
      <c r="BH617" s="24"/>
      <c r="BI617" s="24"/>
      <c r="BP617" s="24"/>
      <c r="BQ617" s="24"/>
      <c r="BR617" s="24"/>
      <c r="BS617" s="24"/>
      <c r="BZ617" s="24"/>
      <c r="CA617" s="24"/>
      <c r="CB617" s="24"/>
      <c r="CC617" s="24"/>
      <c r="CD617" s="24"/>
    </row>
    <row r="618" spans="2:82" s="6" customFormat="1">
      <c r="B618" s="21"/>
      <c r="D618" s="17"/>
      <c r="E618" s="23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R618" s="24"/>
      <c r="AS618" s="24"/>
      <c r="AT618" s="24"/>
      <c r="AU618" s="24"/>
      <c r="AV618" s="24"/>
      <c r="AW618" s="24"/>
      <c r="BD618" s="24"/>
      <c r="BE618" s="24"/>
      <c r="BF618" s="24"/>
      <c r="BG618" s="24"/>
      <c r="BH618" s="24"/>
      <c r="BI618" s="24"/>
      <c r="BP618" s="24"/>
      <c r="BQ618" s="24"/>
      <c r="BR618" s="24"/>
      <c r="BS618" s="24"/>
      <c r="BZ618" s="24"/>
      <c r="CA618" s="24"/>
      <c r="CB618" s="24"/>
      <c r="CC618" s="24"/>
      <c r="CD618" s="24"/>
    </row>
    <row r="619" spans="2:82" s="6" customFormat="1">
      <c r="B619" s="21"/>
      <c r="D619" s="17"/>
      <c r="E619" s="23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R619" s="24"/>
      <c r="AS619" s="24"/>
      <c r="AT619" s="24"/>
      <c r="AU619" s="24"/>
      <c r="AV619" s="24"/>
      <c r="AW619" s="24"/>
      <c r="BD619" s="24"/>
      <c r="BE619" s="24"/>
      <c r="BF619" s="24"/>
      <c r="BG619" s="24"/>
      <c r="BH619" s="24"/>
      <c r="BI619" s="24"/>
      <c r="BP619" s="24"/>
      <c r="BQ619" s="24"/>
      <c r="BR619" s="24"/>
      <c r="BS619" s="24"/>
      <c r="BZ619" s="24"/>
      <c r="CA619" s="24"/>
      <c r="CB619" s="24"/>
      <c r="CC619" s="24"/>
      <c r="CD619" s="24"/>
    </row>
    <row r="620" spans="2:82" s="6" customFormat="1">
      <c r="B620" s="21"/>
      <c r="D620" s="17"/>
      <c r="E620" s="23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R620" s="24"/>
      <c r="AS620" s="24"/>
      <c r="AT620" s="24"/>
      <c r="AU620" s="24"/>
      <c r="AV620" s="24"/>
      <c r="AW620" s="24"/>
      <c r="BD620" s="24"/>
      <c r="BE620" s="24"/>
      <c r="BF620" s="24"/>
      <c r="BG620" s="24"/>
      <c r="BH620" s="24"/>
      <c r="BI620" s="24"/>
      <c r="BP620" s="24"/>
      <c r="BQ620" s="24"/>
      <c r="BR620" s="24"/>
      <c r="BS620" s="24"/>
      <c r="BZ620" s="24"/>
      <c r="CA620" s="24"/>
      <c r="CB620" s="24"/>
      <c r="CC620" s="24"/>
      <c r="CD620" s="24"/>
    </row>
    <row r="621" spans="2:82" s="6" customFormat="1">
      <c r="B621" s="21"/>
      <c r="D621" s="17"/>
      <c r="E621" s="23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R621" s="24"/>
      <c r="AS621" s="24"/>
      <c r="AT621" s="24"/>
      <c r="AU621" s="24"/>
      <c r="AV621" s="24"/>
      <c r="AW621" s="24"/>
      <c r="BD621" s="24"/>
      <c r="BE621" s="24"/>
      <c r="BF621" s="24"/>
      <c r="BG621" s="24"/>
      <c r="BH621" s="24"/>
      <c r="BI621" s="24"/>
      <c r="BP621" s="24"/>
      <c r="BQ621" s="24"/>
      <c r="BR621" s="24"/>
      <c r="BS621" s="24"/>
      <c r="BZ621" s="24"/>
      <c r="CA621" s="24"/>
      <c r="CB621" s="24"/>
      <c r="CC621" s="24"/>
      <c r="CD621" s="24"/>
    </row>
    <row r="622" spans="2:82" s="6" customFormat="1">
      <c r="B622" s="21"/>
      <c r="D622" s="17"/>
      <c r="E622" s="23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R622" s="24"/>
      <c r="AS622" s="24"/>
      <c r="AT622" s="24"/>
      <c r="AU622" s="24"/>
      <c r="AV622" s="24"/>
      <c r="AW622" s="24"/>
      <c r="BD622" s="24"/>
      <c r="BE622" s="24"/>
      <c r="BF622" s="24"/>
      <c r="BG622" s="24"/>
      <c r="BH622" s="24"/>
      <c r="BI622" s="24"/>
      <c r="BP622" s="24"/>
      <c r="BQ622" s="24"/>
      <c r="BR622" s="24"/>
      <c r="BS622" s="24"/>
      <c r="BZ622" s="24"/>
      <c r="CA622" s="24"/>
      <c r="CB622" s="24"/>
      <c r="CC622" s="24"/>
      <c r="CD622" s="24"/>
    </row>
    <row r="623" spans="2:82" s="6" customFormat="1">
      <c r="B623" s="21"/>
      <c r="D623" s="17"/>
      <c r="E623" s="23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R623" s="24"/>
      <c r="AS623" s="24"/>
      <c r="AT623" s="24"/>
      <c r="AU623" s="24"/>
      <c r="AV623" s="24"/>
      <c r="AW623" s="24"/>
      <c r="BD623" s="24"/>
      <c r="BE623" s="24"/>
      <c r="BF623" s="24"/>
      <c r="BG623" s="24"/>
      <c r="BH623" s="24"/>
      <c r="BI623" s="24"/>
      <c r="BP623" s="24"/>
      <c r="BQ623" s="24"/>
      <c r="BR623" s="24"/>
      <c r="BS623" s="24"/>
      <c r="BZ623" s="24"/>
      <c r="CA623" s="24"/>
      <c r="CB623" s="24"/>
      <c r="CC623" s="24"/>
      <c r="CD623" s="24"/>
    </row>
    <row r="624" spans="2:82" s="6" customFormat="1">
      <c r="B624" s="21"/>
      <c r="D624" s="17"/>
      <c r="E624" s="23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R624" s="24"/>
      <c r="AS624" s="24"/>
      <c r="AT624" s="24"/>
      <c r="AU624" s="24"/>
      <c r="AV624" s="24"/>
      <c r="AW624" s="24"/>
      <c r="BD624" s="24"/>
      <c r="BE624" s="24"/>
      <c r="BF624" s="24"/>
      <c r="BG624" s="24"/>
      <c r="BH624" s="24"/>
      <c r="BI624" s="24"/>
      <c r="BP624" s="24"/>
      <c r="BQ624" s="24"/>
      <c r="BR624" s="24"/>
      <c r="BS624" s="24"/>
      <c r="BZ624" s="24"/>
      <c r="CA624" s="24"/>
      <c r="CB624" s="24"/>
      <c r="CC624" s="24"/>
      <c r="CD624" s="24"/>
    </row>
    <row r="625" spans="2:82" s="6" customFormat="1">
      <c r="B625" s="21"/>
      <c r="D625" s="17"/>
      <c r="E625" s="23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R625" s="24"/>
      <c r="AS625" s="24"/>
      <c r="AT625" s="24"/>
      <c r="AU625" s="24"/>
      <c r="AV625" s="24"/>
      <c r="AW625" s="24"/>
      <c r="BD625" s="24"/>
      <c r="BE625" s="24"/>
      <c r="BF625" s="24"/>
      <c r="BG625" s="24"/>
      <c r="BH625" s="24"/>
      <c r="BI625" s="24"/>
      <c r="BP625" s="24"/>
      <c r="BQ625" s="24"/>
      <c r="BR625" s="24"/>
      <c r="BS625" s="24"/>
      <c r="BZ625" s="24"/>
      <c r="CA625" s="24"/>
      <c r="CB625" s="24"/>
      <c r="CC625" s="24"/>
      <c r="CD625" s="24"/>
    </row>
    <row r="626" spans="2:82" s="6" customFormat="1">
      <c r="B626" s="21"/>
      <c r="D626" s="17"/>
      <c r="E626" s="23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R626" s="24"/>
      <c r="AS626" s="24"/>
      <c r="AT626" s="24"/>
      <c r="AU626" s="24"/>
      <c r="AV626" s="24"/>
      <c r="AW626" s="24"/>
      <c r="BD626" s="24"/>
      <c r="BE626" s="24"/>
      <c r="BF626" s="24"/>
      <c r="BG626" s="24"/>
      <c r="BH626" s="24"/>
      <c r="BI626" s="24"/>
      <c r="BP626" s="24"/>
      <c r="BQ626" s="24"/>
      <c r="BR626" s="24"/>
      <c r="BS626" s="24"/>
      <c r="BZ626" s="24"/>
      <c r="CA626" s="24"/>
      <c r="CB626" s="24"/>
      <c r="CC626" s="24"/>
      <c r="CD626" s="24"/>
    </row>
    <row r="627" spans="2:82" s="6" customFormat="1">
      <c r="B627" s="21"/>
      <c r="D627" s="17"/>
      <c r="E627" s="23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R627" s="24"/>
      <c r="AS627" s="24"/>
      <c r="AT627" s="24"/>
      <c r="AU627" s="24"/>
      <c r="AV627" s="24"/>
      <c r="AW627" s="24"/>
      <c r="BD627" s="24"/>
      <c r="BE627" s="24"/>
      <c r="BF627" s="24"/>
      <c r="BG627" s="24"/>
      <c r="BH627" s="24"/>
      <c r="BI627" s="24"/>
      <c r="BP627" s="24"/>
      <c r="BQ627" s="24"/>
      <c r="BR627" s="24"/>
      <c r="BS627" s="24"/>
      <c r="BZ627" s="24"/>
      <c r="CA627" s="24"/>
      <c r="CB627" s="24"/>
      <c r="CC627" s="24"/>
      <c r="CD627" s="24"/>
    </row>
    <row r="628" spans="2:82" s="6" customFormat="1">
      <c r="B628" s="21"/>
      <c r="D628" s="17"/>
      <c r="E628" s="23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R628" s="24"/>
      <c r="AS628" s="24"/>
      <c r="AT628" s="24"/>
      <c r="AU628" s="24"/>
      <c r="AV628" s="24"/>
      <c r="AW628" s="24"/>
      <c r="BD628" s="24"/>
      <c r="BE628" s="24"/>
      <c r="BF628" s="24"/>
      <c r="BG628" s="24"/>
      <c r="BH628" s="24"/>
      <c r="BI628" s="24"/>
      <c r="BP628" s="24"/>
      <c r="BQ628" s="24"/>
      <c r="BR628" s="24"/>
      <c r="BS628" s="24"/>
      <c r="BZ628" s="24"/>
      <c r="CA628" s="24"/>
      <c r="CB628" s="24"/>
      <c r="CC628" s="24"/>
      <c r="CD628" s="24"/>
    </row>
    <row r="629" spans="2:82" s="6" customFormat="1">
      <c r="B629" s="21"/>
      <c r="D629" s="17"/>
      <c r="E629" s="23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R629" s="24"/>
      <c r="AS629" s="24"/>
      <c r="AT629" s="24"/>
      <c r="AU629" s="24"/>
      <c r="AV629" s="24"/>
      <c r="AW629" s="24"/>
      <c r="BD629" s="24"/>
      <c r="BE629" s="24"/>
      <c r="BF629" s="24"/>
      <c r="BG629" s="24"/>
      <c r="BH629" s="24"/>
      <c r="BI629" s="24"/>
      <c r="BP629" s="24"/>
      <c r="BQ629" s="24"/>
      <c r="BR629" s="24"/>
      <c r="BS629" s="24"/>
      <c r="BZ629" s="24"/>
      <c r="CA629" s="24"/>
      <c r="CB629" s="24"/>
      <c r="CC629" s="24"/>
      <c r="CD629" s="24"/>
    </row>
    <row r="630" spans="2:82" s="6" customFormat="1">
      <c r="B630" s="21"/>
      <c r="D630" s="17"/>
      <c r="E630" s="23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R630" s="24"/>
      <c r="AS630" s="24"/>
      <c r="AT630" s="24"/>
      <c r="AU630" s="24"/>
      <c r="AV630" s="24"/>
      <c r="AW630" s="24"/>
      <c r="BD630" s="24"/>
      <c r="BE630" s="24"/>
      <c r="BF630" s="24"/>
      <c r="BG630" s="24"/>
      <c r="BH630" s="24"/>
      <c r="BI630" s="24"/>
      <c r="BP630" s="24"/>
      <c r="BQ630" s="24"/>
      <c r="BR630" s="24"/>
      <c r="BS630" s="24"/>
      <c r="BZ630" s="24"/>
      <c r="CA630" s="24"/>
      <c r="CB630" s="24"/>
      <c r="CC630" s="24"/>
      <c r="CD630" s="24"/>
    </row>
    <row r="631" spans="2:82" s="6" customFormat="1">
      <c r="B631" s="21"/>
      <c r="D631" s="17"/>
      <c r="E631" s="23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R631" s="24"/>
      <c r="AS631" s="24"/>
      <c r="AT631" s="24"/>
      <c r="AU631" s="24"/>
      <c r="AV631" s="24"/>
      <c r="AW631" s="24"/>
      <c r="BD631" s="24"/>
      <c r="BE631" s="24"/>
      <c r="BF631" s="24"/>
      <c r="BG631" s="24"/>
      <c r="BH631" s="24"/>
      <c r="BI631" s="24"/>
      <c r="BP631" s="24"/>
      <c r="BQ631" s="24"/>
      <c r="BR631" s="24"/>
      <c r="BS631" s="24"/>
      <c r="BZ631" s="24"/>
      <c r="CA631" s="24"/>
      <c r="CB631" s="24"/>
      <c r="CC631" s="24"/>
      <c r="CD631" s="24"/>
    </row>
    <row r="632" spans="2:82" s="6" customFormat="1">
      <c r="B632" s="21"/>
      <c r="D632" s="17"/>
      <c r="E632" s="23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R632" s="24"/>
      <c r="AS632" s="24"/>
      <c r="AT632" s="24"/>
      <c r="AU632" s="24"/>
      <c r="AV632" s="24"/>
      <c r="AW632" s="24"/>
      <c r="BD632" s="24"/>
      <c r="BE632" s="24"/>
      <c r="BF632" s="24"/>
      <c r="BG632" s="24"/>
      <c r="BH632" s="24"/>
      <c r="BI632" s="24"/>
      <c r="BP632" s="24"/>
      <c r="BQ632" s="24"/>
      <c r="BR632" s="24"/>
      <c r="BS632" s="24"/>
      <c r="BZ632" s="24"/>
      <c r="CA632" s="24"/>
      <c r="CB632" s="24"/>
      <c r="CC632" s="24"/>
      <c r="CD632" s="24"/>
    </row>
    <row r="633" spans="2:82" s="6" customFormat="1">
      <c r="B633" s="21"/>
      <c r="D633" s="17"/>
      <c r="E633" s="23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R633" s="24"/>
      <c r="AS633" s="24"/>
      <c r="AT633" s="24"/>
      <c r="AU633" s="24"/>
      <c r="AV633" s="24"/>
      <c r="AW633" s="24"/>
      <c r="BD633" s="24"/>
      <c r="BE633" s="24"/>
      <c r="BF633" s="24"/>
      <c r="BG633" s="24"/>
      <c r="BH633" s="24"/>
      <c r="BI633" s="24"/>
      <c r="BP633" s="24"/>
      <c r="BQ633" s="24"/>
      <c r="BR633" s="24"/>
      <c r="BS633" s="24"/>
      <c r="BZ633" s="24"/>
      <c r="CA633" s="24"/>
      <c r="CB633" s="24"/>
      <c r="CC633" s="24"/>
      <c r="CD633" s="24"/>
    </row>
    <row r="634" spans="2:82" s="6" customFormat="1">
      <c r="B634" s="21"/>
      <c r="D634" s="17"/>
      <c r="E634" s="23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R634" s="24"/>
      <c r="AS634" s="24"/>
      <c r="AT634" s="24"/>
      <c r="AU634" s="24"/>
      <c r="AV634" s="24"/>
      <c r="AW634" s="24"/>
      <c r="BD634" s="24"/>
      <c r="BE634" s="24"/>
      <c r="BF634" s="24"/>
      <c r="BG634" s="24"/>
      <c r="BH634" s="24"/>
      <c r="BI634" s="24"/>
      <c r="BP634" s="24"/>
      <c r="BQ634" s="24"/>
      <c r="BR634" s="24"/>
      <c r="BS634" s="24"/>
      <c r="BZ634" s="24"/>
      <c r="CA634" s="24"/>
      <c r="CB634" s="24"/>
      <c r="CC634" s="24"/>
      <c r="CD634" s="24"/>
    </row>
    <row r="635" spans="2:82" s="6" customFormat="1">
      <c r="B635" s="21"/>
      <c r="D635" s="17"/>
      <c r="E635" s="23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R635" s="24"/>
      <c r="AS635" s="24"/>
      <c r="AT635" s="24"/>
      <c r="AU635" s="24"/>
      <c r="AV635" s="24"/>
      <c r="AW635" s="24"/>
      <c r="BD635" s="24"/>
      <c r="BE635" s="24"/>
      <c r="BF635" s="24"/>
      <c r="BG635" s="24"/>
      <c r="BH635" s="24"/>
      <c r="BI635" s="24"/>
      <c r="BP635" s="24"/>
      <c r="BQ635" s="24"/>
      <c r="BR635" s="24"/>
      <c r="BS635" s="24"/>
      <c r="BZ635" s="24"/>
      <c r="CA635" s="24"/>
      <c r="CB635" s="24"/>
      <c r="CC635" s="24"/>
      <c r="CD635" s="24"/>
    </row>
    <row r="636" spans="2:82" s="6" customFormat="1">
      <c r="B636" s="21"/>
      <c r="D636" s="17"/>
      <c r="E636" s="23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R636" s="24"/>
      <c r="AS636" s="24"/>
      <c r="AT636" s="24"/>
      <c r="AU636" s="24"/>
      <c r="AV636" s="24"/>
      <c r="AW636" s="24"/>
      <c r="BD636" s="24"/>
      <c r="BE636" s="24"/>
      <c r="BF636" s="24"/>
      <c r="BG636" s="24"/>
      <c r="BH636" s="24"/>
      <c r="BI636" s="24"/>
      <c r="BP636" s="24"/>
      <c r="BQ636" s="24"/>
      <c r="BR636" s="24"/>
      <c r="BS636" s="24"/>
      <c r="BZ636" s="24"/>
      <c r="CA636" s="24"/>
      <c r="CB636" s="24"/>
      <c r="CC636" s="24"/>
      <c r="CD636" s="24"/>
    </row>
    <row r="637" spans="2:82" s="6" customFormat="1">
      <c r="B637" s="21"/>
      <c r="D637" s="17"/>
      <c r="E637" s="23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R637" s="24"/>
      <c r="AS637" s="24"/>
      <c r="AT637" s="24"/>
      <c r="AU637" s="24"/>
      <c r="AV637" s="24"/>
      <c r="AW637" s="24"/>
      <c r="BD637" s="24"/>
      <c r="BE637" s="24"/>
      <c r="BF637" s="24"/>
      <c r="BG637" s="24"/>
      <c r="BH637" s="24"/>
      <c r="BI637" s="24"/>
      <c r="BP637" s="24"/>
      <c r="BQ637" s="24"/>
      <c r="BR637" s="24"/>
      <c r="BS637" s="24"/>
      <c r="BZ637" s="24"/>
      <c r="CA637" s="24"/>
      <c r="CB637" s="24"/>
      <c r="CC637" s="24"/>
      <c r="CD637" s="24"/>
    </row>
    <row r="638" spans="2:82" s="6" customFormat="1">
      <c r="B638" s="21"/>
      <c r="D638" s="17"/>
      <c r="E638" s="23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R638" s="24"/>
      <c r="AS638" s="24"/>
      <c r="AT638" s="24"/>
      <c r="AU638" s="24"/>
      <c r="AV638" s="24"/>
      <c r="AW638" s="24"/>
      <c r="BD638" s="24"/>
      <c r="BE638" s="24"/>
      <c r="BF638" s="24"/>
      <c r="BG638" s="24"/>
      <c r="BH638" s="24"/>
      <c r="BI638" s="24"/>
      <c r="BP638" s="24"/>
      <c r="BQ638" s="24"/>
      <c r="BR638" s="24"/>
      <c r="BS638" s="24"/>
      <c r="BZ638" s="24"/>
      <c r="CA638" s="24"/>
      <c r="CB638" s="24"/>
      <c r="CC638" s="24"/>
      <c r="CD638" s="24"/>
    </row>
    <row r="639" spans="2:82" s="6" customFormat="1">
      <c r="B639" s="21"/>
      <c r="D639" s="17"/>
      <c r="E639" s="23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R639" s="24"/>
      <c r="AS639" s="24"/>
      <c r="AT639" s="24"/>
      <c r="AU639" s="24"/>
      <c r="AV639" s="24"/>
      <c r="AW639" s="24"/>
      <c r="BD639" s="24"/>
      <c r="BE639" s="24"/>
      <c r="BF639" s="24"/>
      <c r="BG639" s="24"/>
      <c r="BH639" s="24"/>
      <c r="BI639" s="24"/>
      <c r="BP639" s="24"/>
      <c r="BQ639" s="24"/>
      <c r="BR639" s="24"/>
      <c r="BS639" s="24"/>
      <c r="BZ639" s="24"/>
      <c r="CA639" s="24"/>
      <c r="CB639" s="24"/>
      <c r="CC639" s="24"/>
      <c r="CD639" s="24"/>
    </row>
    <row r="640" spans="2:82" s="6" customFormat="1">
      <c r="B640" s="21"/>
      <c r="D640" s="17"/>
      <c r="E640" s="23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R640" s="24"/>
      <c r="AS640" s="24"/>
      <c r="AT640" s="24"/>
      <c r="AU640" s="24"/>
      <c r="AV640" s="24"/>
      <c r="AW640" s="24"/>
      <c r="BD640" s="24"/>
      <c r="BE640" s="24"/>
      <c r="BF640" s="24"/>
      <c r="BG640" s="24"/>
      <c r="BH640" s="24"/>
      <c r="BI640" s="24"/>
      <c r="BP640" s="24"/>
      <c r="BQ640" s="24"/>
      <c r="BR640" s="24"/>
      <c r="BS640" s="24"/>
      <c r="BZ640" s="24"/>
      <c r="CA640" s="24"/>
      <c r="CB640" s="24"/>
      <c r="CC640" s="24"/>
      <c r="CD640" s="24"/>
    </row>
    <row r="641" spans="2:82" s="6" customFormat="1">
      <c r="B641" s="21"/>
      <c r="D641" s="17"/>
      <c r="E641" s="23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R641" s="24"/>
      <c r="AS641" s="24"/>
      <c r="AT641" s="24"/>
      <c r="AU641" s="24"/>
      <c r="AV641" s="24"/>
      <c r="AW641" s="24"/>
      <c r="BD641" s="24"/>
      <c r="BE641" s="24"/>
      <c r="BF641" s="24"/>
      <c r="BG641" s="24"/>
      <c r="BH641" s="24"/>
      <c r="BI641" s="24"/>
      <c r="BP641" s="24"/>
      <c r="BQ641" s="24"/>
      <c r="BR641" s="24"/>
      <c r="BS641" s="24"/>
      <c r="BZ641" s="24"/>
      <c r="CA641" s="24"/>
      <c r="CB641" s="24"/>
      <c r="CC641" s="24"/>
      <c r="CD641" s="24"/>
    </row>
    <row r="642" spans="2:82" s="6" customFormat="1">
      <c r="B642" s="21"/>
      <c r="D642" s="17"/>
      <c r="E642" s="23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R642" s="24"/>
      <c r="AS642" s="24"/>
      <c r="AT642" s="24"/>
      <c r="AU642" s="24"/>
      <c r="AV642" s="24"/>
      <c r="AW642" s="24"/>
      <c r="BD642" s="24"/>
      <c r="BE642" s="24"/>
      <c r="BF642" s="24"/>
      <c r="BG642" s="24"/>
      <c r="BH642" s="24"/>
      <c r="BI642" s="24"/>
      <c r="BP642" s="24"/>
      <c r="BQ642" s="24"/>
      <c r="BR642" s="24"/>
      <c r="BS642" s="24"/>
      <c r="BZ642" s="24"/>
      <c r="CA642" s="24"/>
      <c r="CB642" s="24"/>
      <c r="CC642" s="24"/>
      <c r="CD642" s="24"/>
    </row>
    <row r="643" spans="2:82" s="6" customFormat="1">
      <c r="B643" s="21"/>
      <c r="D643" s="17"/>
      <c r="E643" s="23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R643" s="24"/>
      <c r="AS643" s="24"/>
      <c r="AT643" s="24"/>
      <c r="AU643" s="24"/>
      <c r="AV643" s="24"/>
      <c r="AW643" s="24"/>
      <c r="BD643" s="24"/>
      <c r="BE643" s="24"/>
      <c r="BF643" s="24"/>
      <c r="BG643" s="24"/>
      <c r="BH643" s="24"/>
      <c r="BI643" s="24"/>
      <c r="BP643" s="24"/>
      <c r="BQ643" s="24"/>
      <c r="BR643" s="24"/>
      <c r="BS643" s="24"/>
      <c r="BZ643" s="24"/>
      <c r="CA643" s="24"/>
      <c r="CB643" s="24"/>
      <c r="CC643" s="24"/>
      <c r="CD643" s="24"/>
    </row>
    <row r="644" spans="2:82" s="6" customFormat="1">
      <c r="B644" s="21"/>
      <c r="D644" s="17"/>
      <c r="E644" s="23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R644" s="24"/>
      <c r="AS644" s="24"/>
      <c r="AT644" s="24"/>
      <c r="AU644" s="24"/>
      <c r="AV644" s="24"/>
      <c r="AW644" s="24"/>
      <c r="BD644" s="24"/>
      <c r="BE644" s="24"/>
      <c r="BF644" s="24"/>
      <c r="BG644" s="24"/>
      <c r="BH644" s="24"/>
      <c r="BI644" s="24"/>
      <c r="BP644" s="24"/>
      <c r="BQ644" s="24"/>
      <c r="BR644" s="24"/>
      <c r="BS644" s="24"/>
      <c r="BZ644" s="24"/>
      <c r="CA644" s="24"/>
      <c r="CB644" s="24"/>
      <c r="CC644" s="24"/>
      <c r="CD644" s="24"/>
    </row>
    <row r="645" spans="2:82" s="6" customFormat="1">
      <c r="B645" s="21"/>
      <c r="D645" s="17"/>
      <c r="E645" s="23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R645" s="24"/>
      <c r="AS645" s="24"/>
      <c r="AT645" s="24"/>
      <c r="AU645" s="24"/>
      <c r="AV645" s="24"/>
      <c r="AW645" s="24"/>
      <c r="BD645" s="24"/>
      <c r="BE645" s="24"/>
      <c r="BF645" s="24"/>
      <c r="BG645" s="24"/>
      <c r="BH645" s="24"/>
      <c r="BI645" s="24"/>
      <c r="BP645" s="24"/>
      <c r="BQ645" s="24"/>
      <c r="BR645" s="24"/>
      <c r="BS645" s="24"/>
      <c r="BZ645" s="24"/>
      <c r="CA645" s="24"/>
      <c r="CB645" s="24"/>
      <c r="CC645" s="24"/>
      <c r="CD645" s="24"/>
    </row>
    <row r="646" spans="2:82" s="6" customFormat="1">
      <c r="B646" s="21"/>
      <c r="D646" s="17"/>
      <c r="E646" s="23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R646" s="24"/>
      <c r="AS646" s="24"/>
      <c r="AT646" s="24"/>
      <c r="AU646" s="24"/>
      <c r="AV646" s="24"/>
      <c r="AW646" s="24"/>
      <c r="BD646" s="24"/>
      <c r="BE646" s="24"/>
      <c r="BF646" s="24"/>
      <c r="BG646" s="24"/>
      <c r="BH646" s="24"/>
      <c r="BI646" s="24"/>
      <c r="BP646" s="24"/>
      <c r="BQ646" s="24"/>
      <c r="BR646" s="24"/>
      <c r="BS646" s="24"/>
      <c r="BZ646" s="24"/>
      <c r="CA646" s="24"/>
      <c r="CB646" s="24"/>
      <c r="CC646" s="24"/>
      <c r="CD646" s="24"/>
    </row>
    <row r="647" spans="2:82" s="6" customFormat="1">
      <c r="B647" s="21"/>
      <c r="D647" s="17"/>
      <c r="E647" s="23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R647" s="24"/>
      <c r="AS647" s="24"/>
      <c r="AT647" s="24"/>
      <c r="AU647" s="24"/>
      <c r="AV647" s="24"/>
      <c r="AW647" s="24"/>
      <c r="BD647" s="24"/>
      <c r="BE647" s="24"/>
      <c r="BF647" s="24"/>
      <c r="BG647" s="24"/>
      <c r="BH647" s="24"/>
      <c r="BI647" s="24"/>
      <c r="BP647" s="24"/>
      <c r="BQ647" s="24"/>
      <c r="BR647" s="24"/>
      <c r="BS647" s="24"/>
      <c r="BZ647" s="24"/>
      <c r="CA647" s="24"/>
      <c r="CB647" s="24"/>
      <c r="CC647" s="24"/>
      <c r="CD647" s="24"/>
    </row>
    <row r="648" spans="2:82" s="6" customFormat="1">
      <c r="B648" s="21"/>
      <c r="D648" s="17"/>
      <c r="E648" s="23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R648" s="24"/>
      <c r="AS648" s="24"/>
      <c r="AT648" s="24"/>
      <c r="AU648" s="24"/>
      <c r="AV648" s="24"/>
      <c r="AW648" s="24"/>
      <c r="BD648" s="24"/>
      <c r="BE648" s="24"/>
      <c r="BF648" s="24"/>
      <c r="BG648" s="24"/>
      <c r="BH648" s="24"/>
      <c r="BI648" s="24"/>
      <c r="BP648" s="24"/>
      <c r="BQ648" s="24"/>
      <c r="BR648" s="24"/>
      <c r="BS648" s="24"/>
      <c r="BZ648" s="24"/>
      <c r="CA648" s="24"/>
      <c r="CB648" s="24"/>
      <c r="CC648" s="24"/>
      <c r="CD648" s="24"/>
    </row>
    <row r="649" spans="2:82" s="6" customFormat="1">
      <c r="B649" s="21"/>
      <c r="D649" s="17"/>
      <c r="E649" s="23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R649" s="24"/>
      <c r="AS649" s="24"/>
      <c r="AT649" s="24"/>
      <c r="AU649" s="24"/>
      <c r="AV649" s="24"/>
      <c r="AW649" s="24"/>
      <c r="BD649" s="24"/>
      <c r="BE649" s="24"/>
      <c r="BF649" s="24"/>
      <c r="BG649" s="24"/>
      <c r="BH649" s="24"/>
      <c r="BI649" s="24"/>
      <c r="BP649" s="24"/>
      <c r="BQ649" s="24"/>
      <c r="BR649" s="24"/>
      <c r="BS649" s="24"/>
      <c r="BZ649" s="24"/>
      <c r="CA649" s="24"/>
      <c r="CB649" s="24"/>
      <c r="CC649" s="24"/>
      <c r="CD649" s="24"/>
    </row>
    <row r="650" spans="2:82" s="6" customFormat="1">
      <c r="B650" s="21"/>
      <c r="D650" s="17"/>
      <c r="E650" s="23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R650" s="24"/>
      <c r="AS650" s="24"/>
      <c r="AT650" s="24"/>
      <c r="AU650" s="24"/>
      <c r="AV650" s="24"/>
      <c r="AW650" s="24"/>
      <c r="BD650" s="24"/>
      <c r="BE650" s="24"/>
      <c r="BF650" s="24"/>
      <c r="BG650" s="24"/>
      <c r="BH650" s="24"/>
      <c r="BI650" s="24"/>
      <c r="BP650" s="24"/>
      <c r="BQ650" s="24"/>
      <c r="BR650" s="24"/>
      <c r="BS650" s="24"/>
      <c r="BZ650" s="24"/>
      <c r="CA650" s="24"/>
      <c r="CB650" s="24"/>
      <c r="CC650" s="24"/>
      <c r="CD650" s="24"/>
    </row>
    <row r="651" spans="2:82" s="6" customFormat="1">
      <c r="B651" s="21"/>
      <c r="D651" s="17"/>
      <c r="E651" s="23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R651" s="24"/>
      <c r="AS651" s="24"/>
      <c r="AT651" s="24"/>
      <c r="AU651" s="24"/>
      <c r="AV651" s="24"/>
      <c r="AW651" s="24"/>
      <c r="BD651" s="24"/>
      <c r="BE651" s="24"/>
      <c r="BF651" s="24"/>
      <c r="BG651" s="24"/>
      <c r="BH651" s="24"/>
      <c r="BI651" s="24"/>
      <c r="BP651" s="24"/>
      <c r="BQ651" s="24"/>
      <c r="BR651" s="24"/>
      <c r="BS651" s="24"/>
      <c r="BZ651" s="24"/>
      <c r="CA651" s="24"/>
      <c r="CB651" s="24"/>
      <c r="CC651" s="24"/>
      <c r="CD651" s="24"/>
    </row>
    <row r="652" spans="2:82" s="6" customFormat="1">
      <c r="B652" s="21"/>
      <c r="D652" s="17"/>
      <c r="E652" s="23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R652" s="24"/>
      <c r="AS652" s="24"/>
      <c r="AT652" s="24"/>
      <c r="AU652" s="24"/>
      <c r="AV652" s="24"/>
      <c r="AW652" s="24"/>
      <c r="BD652" s="24"/>
      <c r="BE652" s="24"/>
      <c r="BF652" s="24"/>
      <c r="BG652" s="24"/>
      <c r="BH652" s="24"/>
      <c r="BI652" s="24"/>
      <c r="BP652" s="24"/>
      <c r="BQ652" s="24"/>
      <c r="BR652" s="24"/>
      <c r="BS652" s="24"/>
      <c r="BZ652" s="24"/>
      <c r="CA652" s="24"/>
      <c r="CB652" s="24"/>
      <c r="CC652" s="24"/>
      <c r="CD652" s="24"/>
    </row>
    <row r="653" spans="2:82" s="6" customFormat="1">
      <c r="B653" s="21"/>
      <c r="D653" s="17"/>
      <c r="E653" s="23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R653" s="24"/>
      <c r="AS653" s="24"/>
      <c r="AT653" s="24"/>
      <c r="AU653" s="24"/>
      <c r="AV653" s="24"/>
      <c r="AW653" s="24"/>
      <c r="BD653" s="24"/>
      <c r="BE653" s="24"/>
      <c r="BF653" s="24"/>
      <c r="BG653" s="24"/>
      <c r="BH653" s="24"/>
      <c r="BI653" s="24"/>
      <c r="BP653" s="24"/>
      <c r="BQ653" s="24"/>
      <c r="BR653" s="24"/>
      <c r="BS653" s="24"/>
      <c r="BZ653" s="24"/>
      <c r="CA653" s="24"/>
      <c r="CB653" s="24"/>
      <c r="CC653" s="24"/>
      <c r="CD653" s="24"/>
    </row>
    <row r="654" spans="2:82" s="6" customFormat="1">
      <c r="B654" s="21"/>
      <c r="D654" s="17"/>
      <c r="E654" s="23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R654" s="24"/>
      <c r="AS654" s="24"/>
      <c r="AT654" s="24"/>
      <c r="AU654" s="24"/>
      <c r="AV654" s="24"/>
      <c r="AW654" s="24"/>
      <c r="BD654" s="24"/>
      <c r="BE654" s="24"/>
      <c r="BF654" s="24"/>
      <c r="BG654" s="24"/>
      <c r="BH654" s="24"/>
      <c r="BI654" s="24"/>
      <c r="BP654" s="24"/>
      <c r="BQ654" s="24"/>
      <c r="BR654" s="24"/>
      <c r="BS654" s="24"/>
      <c r="BZ654" s="24"/>
      <c r="CA654" s="24"/>
      <c r="CB654" s="24"/>
      <c r="CC654" s="24"/>
      <c r="CD654" s="24"/>
    </row>
    <row r="655" spans="2:82" s="6" customFormat="1">
      <c r="B655" s="21"/>
      <c r="D655" s="17"/>
      <c r="E655" s="23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R655" s="24"/>
      <c r="AS655" s="24"/>
      <c r="AT655" s="24"/>
      <c r="AU655" s="24"/>
      <c r="AV655" s="24"/>
      <c r="AW655" s="24"/>
      <c r="BD655" s="24"/>
      <c r="BE655" s="24"/>
      <c r="BF655" s="24"/>
      <c r="BG655" s="24"/>
      <c r="BH655" s="24"/>
      <c r="BI655" s="24"/>
      <c r="BP655" s="24"/>
      <c r="BQ655" s="24"/>
      <c r="BR655" s="24"/>
      <c r="BS655" s="24"/>
      <c r="BZ655" s="24"/>
      <c r="CA655" s="24"/>
      <c r="CB655" s="24"/>
      <c r="CC655" s="24"/>
      <c r="CD655" s="24"/>
    </row>
    <row r="656" spans="2:82" s="6" customFormat="1">
      <c r="B656" s="21"/>
      <c r="D656" s="17"/>
      <c r="E656" s="23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R656" s="24"/>
      <c r="AS656" s="24"/>
      <c r="AT656" s="24"/>
      <c r="AU656" s="24"/>
      <c r="AV656" s="24"/>
      <c r="AW656" s="24"/>
      <c r="BD656" s="24"/>
      <c r="BE656" s="24"/>
      <c r="BF656" s="24"/>
      <c r="BG656" s="24"/>
      <c r="BH656" s="24"/>
      <c r="BI656" s="24"/>
      <c r="BP656" s="24"/>
      <c r="BQ656" s="24"/>
      <c r="BR656" s="24"/>
      <c r="BS656" s="24"/>
      <c r="BZ656" s="24"/>
      <c r="CA656" s="24"/>
      <c r="CB656" s="24"/>
      <c r="CC656" s="24"/>
      <c r="CD656" s="24"/>
    </row>
    <row r="657" spans="2:82" s="6" customFormat="1">
      <c r="B657" s="21"/>
      <c r="D657" s="17"/>
      <c r="E657" s="23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R657" s="24"/>
      <c r="AS657" s="24"/>
      <c r="AT657" s="24"/>
      <c r="AU657" s="24"/>
      <c r="AV657" s="24"/>
      <c r="AW657" s="24"/>
      <c r="BD657" s="24"/>
      <c r="BE657" s="24"/>
      <c r="BF657" s="24"/>
      <c r="BG657" s="24"/>
      <c r="BH657" s="24"/>
      <c r="BI657" s="24"/>
      <c r="BP657" s="24"/>
      <c r="BQ657" s="24"/>
      <c r="BR657" s="24"/>
      <c r="BS657" s="24"/>
      <c r="BZ657" s="24"/>
      <c r="CA657" s="24"/>
      <c r="CB657" s="24"/>
      <c r="CC657" s="24"/>
      <c r="CD657" s="24"/>
    </row>
    <row r="658" spans="2:82" s="6" customFormat="1">
      <c r="B658" s="21"/>
      <c r="D658" s="17"/>
      <c r="E658" s="23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R658" s="24"/>
      <c r="AS658" s="24"/>
      <c r="AT658" s="24"/>
      <c r="AU658" s="24"/>
      <c r="AV658" s="24"/>
      <c r="AW658" s="24"/>
      <c r="BD658" s="24"/>
      <c r="BE658" s="24"/>
      <c r="BF658" s="24"/>
      <c r="BG658" s="24"/>
      <c r="BH658" s="24"/>
      <c r="BI658" s="24"/>
      <c r="BP658" s="24"/>
      <c r="BQ658" s="24"/>
      <c r="BR658" s="24"/>
      <c r="BS658" s="24"/>
      <c r="BZ658" s="24"/>
      <c r="CA658" s="24"/>
      <c r="CB658" s="24"/>
      <c r="CC658" s="24"/>
      <c r="CD658" s="24"/>
    </row>
    <row r="659" spans="2:82" s="6" customFormat="1">
      <c r="B659" s="21"/>
      <c r="D659" s="17"/>
      <c r="E659" s="23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R659" s="24"/>
      <c r="AS659" s="24"/>
      <c r="AT659" s="24"/>
      <c r="AU659" s="24"/>
      <c r="AV659" s="24"/>
      <c r="AW659" s="24"/>
      <c r="BD659" s="24"/>
      <c r="BE659" s="24"/>
      <c r="BF659" s="24"/>
      <c r="BG659" s="24"/>
      <c r="BH659" s="24"/>
      <c r="BI659" s="24"/>
      <c r="BP659" s="24"/>
      <c r="BQ659" s="24"/>
      <c r="BR659" s="24"/>
      <c r="BS659" s="24"/>
      <c r="BZ659" s="24"/>
      <c r="CA659" s="24"/>
      <c r="CB659" s="24"/>
      <c r="CC659" s="24"/>
      <c r="CD659" s="24"/>
    </row>
    <row r="660" spans="2:82" s="6" customFormat="1">
      <c r="B660" s="21"/>
      <c r="D660" s="17"/>
      <c r="E660" s="23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R660" s="24"/>
      <c r="AS660" s="24"/>
      <c r="AT660" s="24"/>
      <c r="AU660" s="24"/>
      <c r="AV660" s="24"/>
      <c r="AW660" s="24"/>
      <c r="BD660" s="24"/>
      <c r="BE660" s="24"/>
      <c r="BF660" s="24"/>
      <c r="BG660" s="24"/>
      <c r="BH660" s="24"/>
      <c r="BI660" s="24"/>
      <c r="BP660" s="24"/>
      <c r="BQ660" s="24"/>
      <c r="BR660" s="24"/>
      <c r="BS660" s="24"/>
      <c r="BZ660" s="24"/>
      <c r="CA660" s="24"/>
      <c r="CB660" s="24"/>
      <c r="CC660" s="24"/>
      <c r="CD660" s="24"/>
    </row>
    <row r="661" spans="2:82" s="6" customFormat="1">
      <c r="B661" s="21"/>
      <c r="D661" s="17"/>
      <c r="E661" s="23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R661" s="24"/>
      <c r="AS661" s="24"/>
      <c r="AT661" s="24"/>
      <c r="AU661" s="24"/>
      <c r="AV661" s="24"/>
      <c r="AW661" s="24"/>
      <c r="BD661" s="24"/>
      <c r="BE661" s="24"/>
      <c r="BF661" s="24"/>
      <c r="BG661" s="24"/>
      <c r="BH661" s="24"/>
      <c r="BI661" s="24"/>
      <c r="BP661" s="24"/>
      <c r="BQ661" s="24"/>
      <c r="BR661" s="24"/>
      <c r="BS661" s="24"/>
      <c r="BZ661" s="24"/>
      <c r="CA661" s="24"/>
      <c r="CB661" s="24"/>
      <c r="CC661" s="24"/>
      <c r="CD661" s="24"/>
    </row>
    <row r="662" spans="2:82" s="6" customFormat="1">
      <c r="B662" s="21"/>
      <c r="D662" s="17"/>
      <c r="E662" s="23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R662" s="24"/>
      <c r="AS662" s="24"/>
      <c r="AT662" s="24"/>
      <c r="AU662" s="24"/>
      <c r="AV662" s="24"/>
      <c r="AW662" s="24"/>
      <c r="BD662" s="24"/>
      <c r="BE662" s="24"/>
      <c r="BF662" s="24"/>
      <c r="BG662" s="24"/>
      <c r="BH662" s="24"/>
      <c r="BI662" s="24"/>
      <c r="BP662" s="24"/>
      <c r="BQ662" s="24"/>
      <c r="BR662" s="24"/>
      <c r="BS662" s="24"/>
      <c r="BZ662" s="24"/>
      <c r="CA662" s="24"/>
      <c r="CB662" s="24"/>
      <c r="CC662" s="24"/>
      <c r="CD662" s="24"/>
    </row>
    <row r="663" spans="2:82" s="6" customFormat="1">
      <c r="B663" s="21"/>
      <c r="D663" s="17"/>
      <c r="E663" s="23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R663" s="24"/>
      <c r="AS663" s="24"/>
      <c r="AT663" s="24"/>
      <c r="AU663" s="24"/>
      <c r="AV663" s="24"/>
      <c r="AW663" s="24"/>
      <c r="BD663" s="24"/>
      <c r="BE663" s="24"/>
      <c r="BF663" s="24"/>
      <c r="BG663" s="24"/>
      <c r="BH663" s="24"/>
      <c r="BI663" s="24"/>
      <c r="BP663" s="24"/>
      <c r="BQ663" s="24"/>
      <c r="BR663" s="24"/>
      <c r="BS663" s="24"/>
      <c r="BZ663" s="24"/>
      <c r="CA663" s="24"/>
      <c r="CB663" s="24"/>
      <c r="CC663" s="24"/>
      <c r="CD663" s="24"/>
    </row>
    <row r="664" spans="2:82" s="6" customFormat="1">
      <c r="B664" s="21"/>
      <c r="D664" s="17"/>
      <c r="E664" s="23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R664" s="24"/>
      <c r="AS664" s="24"/>
      <c r="AT664" s="24"/>
      <c r="AU664" s="24"/>
      <c r="AV664" s="24"/>
      <c r="AW664" s="24"/>
      <c r="BD664" s="24"/>
      <c r="BE664" s="24"/>
      <c r="BF664" s="24"/>
      <c r="BG664" s="24"/>
      <c r="BH664" s="24"/>
      <c r="BI664" s="24"/>
      <c r="BP664" s="24"/>
      <c r="BQ664" s="24"/>
      <c r="BR664" s="24"/>
      <c r="BS664" s="24"/>
      <c r="BZ664" s="24"/>
      <c r="CA664" s="24"/>
      <c r="CB664" s="24"/>
      <c r="CC664" s="24"/>
      <c r="CD664" s="24"/>
    </row>
    <row r="665" spans="2:82" s="6" customFormat="1">
      <c r="B665" s="21"/>
      <c r="D665" s="17"/>
      <c r="E665" s="23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R665" s="24"/>
      <c r="AS665" s="24"/>
      <c r="AT665" s="24"/>
      <c r="AU665" s="24"/>
      <c r="AV665" s="24"/>
      <c r="AW665" s="24"/>
      <c r="BD665" s="24"/>
      <c r="BE665" s="24"/>
      <c r="BF665" s="24"/>
      <c r="BG665" s="24"/>
      <c r="BH665" s="24"/>
      <c r="BI665" s="24"/>
      <c r="BP665" s="24"/>
      <c r="BQ665" s="24"/>
      <c r="BR665" s="24"/>
      <c r="BS665" s="24"/>
      <c r="BZ665" s="24"/>
      <c r="CA665" s="24"/>
      <c r="CB665" s="24"/>
      <c r="CC665" s="24"/>
      <c r="CD665" s="24"/>
    </row>
    <row r="666" spans="2:82" s="6" customFormat="1">
      <c r="B666" s="21"/>
      <c r="D666" s="17"/>
      <c r="E666" s="23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R666" s="24"/>
      <c r="AS666" s="24"/>
      <c r="AT666" s="24"/>
      <c r="AU666" s="24"/>
      <c r="AV666" s="24"/>
      <c r="AW666" s="24"/>
      <c r="BD666" s="24"/>
      <c r="BE666" s="24"/>
      <c r="BF666" s="24"/>
      <c r="BG666" s="24"/>
      <c r="BH666" s="24"/>
      <c r="BI666" s="24"/>
      <c r="BP666" s="24"/>
      <c r="BQ666" s="24"/>
      <c r="BR666" s="24"/>
      <c r="BS666" s="24"/>
      <c r="BZ666" s="24"/>
      <c r="CA666" s="24"/>
      <c r="CB666" s="24"/>
      <c r="CC666" s="24"/>
      <c r="CD666" s="24"/>
    </row>
    <row r="667" spans="2:82" s="6" customFormat="1">
      <c r="B667" s="21"/>
      <c r="D667" s="17"/>
      <c r="E667" s="23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R667" s="24"/>
      <c r="AS667" s="24"/>
      <c r="AT667" s="24"/>
      <c r="AU667" s="24"/>
      <c r="AV667" s="24"/>
      <c r="AW667" s="24"/>
      <c r="BD667" s="24"/>
      <c r="BE667" s="24"/>
      <c r="BF667" s="24"/>
      <c r="BG667" s="24"/>
      <c r="BH667" s="24"/>
      <c r="BI667" s="24"/>
      <c r="BP667" s="24"/>
      <c r="BQ667" s="24"/>
      <c r="BR667" s="24"/>
      <c r="BS667" s="24"/>
      <c r="BZ667" s="24"/>
      <c r="CA667" s="24"/>
      <c r="CB667" s="24"/>
      <c r="CC667" s="24"/>
      <c r="CD667" s="24"/>
    </row>
    <row r="668" spans="2:82" s="6" customFormat="1">
      <c r="B668" s="21"/>
      <c r="D668" s="17"/>
      <c r="E668" s="23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R668" s="24"/>
      <c r="AS668" s="24"/>
      <c r="AT668" s="24"/>
      <c r="AU668" s="24"/>
      <c r="AV668" s="24"/>
      <c r="AW668" s="24"/>
      <c r="BD668" s="24"/>
      <c r="BE668" s="24"/>
      <c r="BF668" s="24"/>
      <c r="BG668" s="24"/>
      <c r="BH668" s="24"/>
      <c r="BI668" s="24"/>
      <c r="BP668" s="24"/>
      <c r="BQ668" s="24"/>
      <c r="BR668" s="24"/>
      <c r="BS668" s="24"/>
      <c r="BZ668" s="24"/>
      <c r="CA668" s="24"/>
      <c r="CB668" s="24"/>
      <c r="CC668" s="24"/>
      <c r="CD668" s="24"/>
    </row>
    <row r="669" spans="2:82" s="6" customFormat="1">
      <c r="B669" s="21"/>
      <c r="D669" s="17"/>
      <c r="E669" s="23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R669" s="24"/>
      <c r="AS669" s="24"/>
      <c r="AT669" s="24"/>
      <c r="AU669" s="24"/>
      <c r="AV669" s="24"/>
      <c r="AW669" s="24"/>
      <c r="BD669" s="24"/>
      <c r="BE669" s="24"/>
      <c r="BF669" s="24"/>
      <c r="BG669" s="24"/>
      <c r="BH669" s="24"/>
      <c r="BI669" s="24"/>
      <c r="BP669" s="24"/>
      <c r="BQ669" s="24"/>
      <c r="BR669" s="24"/>
      <c r="BS669" s="24"/>
      <c r="BZ669" s="24"/>
      <c r="CA669" s="24"/>
      <c r="CB669" s="24"/>
      <c r="CC669" s="24"/>
      <c r="CD669" s="24"/>
    </row>
    <row r="670" spans="2:82" s="6" customFormat="1">
      <c r="B670" s="21"/>
      <c r="D670" s="17"/>
      <c r="E670" s="23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R670" s="24"/>
      <c r="AS670" s="24"/>
      <c r="AT670" s="24"/>
      <c r="AU670" s="24"/>
      <c r="AV670" s="24"/>
      <c r="AW670" s="24"/>
      <c r="BD670" s="24"/>
      <c r="BE670" s="24"/>
      <c r="BF670" s="24"/>
      <c r="BG670" s="24"/>
      <c r="BH670" s="24"/>
      <c r="BI670" s="24"/>
      <c r="BP670" s="24"/>
      <c r="BQ670" s="24"/>
      <c r="BR670" s="24"/>
      <c r="BS670" s="24"/>
      <c r="BZ670" s="24"/>
      <c r="CA670" s="24"/>
      <c r="CB670" s="24"/>
      <c r="CC670" s="24"/>
      <c r="CD670" s="24"/>
    </row>
    <row r="671" spans="2:82" s="6" customFormat="1">
      <c r="B671" s="21"/>
      <c r="D671" s="17"/>
      <c r="E671" s="23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R671" s="24"/>
      <c r="AS671" s="24"/>
      <c r="AT671" s="24"/>
      <c r="AU671" s="24"/>
      <c r="AV671" s="24"/>
      <c r="AW671" s="24"/>
      <c r="BD671" s="24"/>
      <c r="BE671" s="24"/>
      <c r="BF671" s="24"/>
      <c r="BG671" s="24"/>
      <c r="BH671" s="24"/>
      <c r="BI671" s="24"/>
      <c r="BP671" s="24"/>
      <c r="BQ671" s="24"/>
      <c r="BR671" s="24"/>
      <c r="BS671" s="24"/>
      <c r="BZ671" s="24"/>
      <c r="CA671" s="24"/>
      <c r="CB671" s="24"/>
      <c r="CC671" s="24"/>
      <c r="CD671" s="24"/>
    </row>
    <row r="672" spans="2:82" s="6" customFormat="1">
      <c r="B672" s="21"/>
      <c r="D672" s="17"/>
      <c r="E672" s="23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R672" s="24"/>
      <c r="AS672" s="24"/>
      <c r="AT672" s="24"/>
      <c r="AU672" s="24"/>
      <c r="AV672" s="24"/>
      <c r="AW672" s="24"/>
      <c r="BD672" s="24"/>
      <c r="BE672" s="24"/>
      <c r="BF672" s="24"/>
      <c r="BG672" s="24"/>
      <c r="BH672" s="24"/>
      <c r="BI672" s="24"/>
      <c r="BP672" s="24"/>
      <c r="BQ672" s="24"/>
      <c r="BR672" s="24"/>
      <c r="BS672" s="24"/>
      <c r="BZ672" s="24"/>
      <c r="CA672" s="24"/>
      <c r="CB672" s="24"/>
      <c r="CC672" s="24"/>
      <c r="CD672" s="24"/>
    </row>
    <row r="673" spans="2:82" s="6" customFormat="1">
      <c r="B673" s="21"/>
      <c r="D673" s="17"/>
      <c r="E673" s="23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R673" s="24"/>
      <c r="AS673" s="24"/>
      <c r="AT673" s="24"/>
      <c r="AU673" s="24"/>
      <c r="AV673" s="24"/>
      <c r="AW673" s="24"/>
      <c r="BD673" s="24"/>
      <c r="BE673" s="24"/>
      <c r="BF673" s="24"/>
      <c r="BG673" s="24"/>
      <c r="BH673" s="24"/>
      <c r="BI673" s="24"/>
      <c r="BP673" s="24"/>
      <c r="BQ673" s="24"/>
      <c r="BR673" s="24"/>
      <c r="BS673" s="24"/>
      <c r="BZ673" s="24"/>
      <c r="CA673" s="24"/>
      <c r="CB673" s="24"/>
      <c r="CC673" s="24"/>
      <c r="CD673" s="24"/>
    </row>
    <row r="674" spans="2:82" s="6" customFormat="1">
      <c r="B674" s="21"/>
      <c r="D674" s="17"/>
      <c r="E674" s="23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R674" s="24"/>
      <c r="AS674" s="24"/>
      <c r="AT674" s="24"/>
      <c r="AU674" s="24"/>
      <c r="AV674" s="24"/>
      <c r="AW674" s="24"/>
      <c r="BD674" s="24"/>
      <c r="BE674" s="24"/>
      <c r="BF674" s="24"/>
      <c r="BG674" s="24"/>
      <c r="BH674" s="24"/>
      <c r="BI674" s="24"/>
      <c r="BP674" s="24"/>
      <c r="BQ674" s="24"/>
      <c r="BR674" s="24"/>
      <c r="BS674" s="24"/>
      <c r="BZ674" s="24"/>
      <c r="CA674" s="24"/>
      <c r="CB674" s="24"/>
      <c r="CC674" s="24"/>
      <c r="CD674" s="24"/>
    </row>
    <row r="675" spans="2:82" s="6" customFormat="1">
      <c r="B675" s="21"/>
      <c r="D675" s="17"/>
      <c r="E675" s="23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R675" s="24"/>
      <c r="AS675" s="24"/>
      <c r="AT675" s="24"/>
      <c r="AU675" s="24"/>
      <c r="AV675" s="24"/>
      <c r="AW675" s="24"/>
      <c r="BD675" s="24"/>
      <c r="BE675" s="24"/>
      <c r="BF675" s="24"/>
      <c r="BG675" s="24"/>
      <c r="BH675" s="24"/>
      <c r="BI675" s="24"/>
      <c r="BP675" s="24"/>
      <c r="BQ675" s="24"/>
      <c r="BR675" s="24"/>
      <c r="BS675" s="24"/>
      <c r="BZ675" s="24"/>
      <c r="CA675" s="24"/>
      <c r="CB675" s="24"/>
      <c r="CC675" s="24"/>
      <c r="CD675" s="24"/>
    </row>
    <row r="676" spans="2:82" s="6" customFormat="1">
      <c r="B676" s="21"/>
      <c r="D676" s="17"/>
      <c r="E676" s="23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R676" s="24"/>
      <c r="AS676" s="24"/>
      <c r="AT676" s="24"/>
      <c r="AU676" s="24"/>
      <c r="AV676" s="24"/>
      <c r="AW676" s="24"/>
      <c r="BD676" s="24"/>
      <c r="BE676" s="24"/>
      <c r="BF676" s="24"/>
      <c r="BG676" s="24"/>
      <c r="BH676" s="24"/>
      <c r="BI676" s="24"/>
      <c r="BP676" s="24"/>
      <c r="BQ676" s="24"/>
      <c r="BR676" s="24"/>
      <c r="BS676" s="24"/>
      <c r="BZ676" s="24"/>
      <c r="CA676" s="24"/>
      <c r="CB676" s="24"/>
      <c r="CC676" s="24"/>
      <c r="CD676" s="24"/>
    </row>
    <row r="677" spans="2:82" s="6" customFormat="1">
      <c r="B677" s="21"/>
      <c r="D677" s="17"/>
      <c r="E677" s="23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R677" s="24"/>
      <c r="AS677" s="24"/>
      <c r="AT677" s="24"/>
      <c r="AU677" s="24"/>
      <c r="AV677" s="24"/>
      <c r="AW677" s="24"/>
      <c r="BD677" s="24"/>
      <c r="BE677" s="24"/>
      <c r="BF677" s="24"/>
      <c r="BG677" s="24"/>
      <c r="BH677" s="24"/>
      <c r="BI677" s="24"/>
      <c r="BP677" s="24"/>
      <c r="BQ677" s="24"/>
      <c r="BR677" s="24"/>
      <c r="BS677" s="24"/>
      <c r="BZ677" s="24"/>
      <c r="CA677" s="24"/>
      <c r="CB677" s="24"/>
      <c r="CC677" s="24"/>
      <c r="CD677" s="24"/>
    </row>
    <row r="678" spans="2:82" s="6" customFormat="1">
      <c r="B678" s="21"/>
      <c r="D678" s="17"/>
      <c r="E678" s="23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R678" s="24"/>
      <c r="AS678" s="24"/>
      <c r="AT678" s="24"/>
      <c r="AU678" s="24"/>
      <c r="AV678" s="24"/>
      <c r="AW678" s="24"/>
      <c r="BD678" s="24"/>
      <c r="BE678" s="24"/>
      <c r="BF678" s="24"/>
      <c r="BG678" s="24"/>
      <c r="BH678" s="24"/>
      <c r="BI678" s="24"/>
      <c r="BP678" s="24"/>
      <c r="BQ678" s="24"/>
      <c r="BR678" s="24"/>
      <c r="BS678" s="24"/>
      <c r="BZ678" s="24"/>
      <c r="CA678" s="24"/>
      <c r="CB678" s="24"/>
      <c r="CC678" s="24"/>
      <c r="CD678" s="24"/>
    </row>
    <row r="679" spans="2:82" s="6" customFormat="1">
      <c r="B679" s="21"/>
      <c r="D679" s="17"/>
      <c r="E679" s="23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R679" s="24"/>
      <c r="AS679" s="24"/>
      <c r="AT679" s="24"/>
      <c r="AU679" s="24"/>
      <c r="AV679" s="24"/>
      <c r="AW679" s="24"/>
      <c r="BD679" s="24"/>
      <c r="BE679" s="24"/>
      <c r="BF679" s="24"/>
      <c r="BG679" s="24"/>
      <c r="BH679" s="24"/>
      <c r="BI679" s="24"/>
      <c r="BP679" s="24"/>
      <c r="BQ679" s="24"/>
      <c r="BR679" s="24"/>
      <c r="BS679" s="24"/>
      <c r="BZ679" s="24"/>
      <c r="CA679" s="24"/>
      <c r="CB679" s="24"/>
      <c r="CC679" s="24"/>
      <c r="CD679" s="24"/>
    </row>
    <row r="680" spans="2:82" s="6" customFormat="1">
      <c r="B680" s="21"/>
      <c r="D680" s="17"/>
      <c r="E680" s="23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R680" s="24"/>
      <c r="AS680" s="24"/>
      <c r="AT680" s="24"/>
      <c r="AU680" s="24"/>
      <c r="AV680" s="24"/>
      <c r="AW680" s="24"/>
      <c r="BD680" s="24"/>
      <c r="BE680" s="24"/>
      <c r="BF680" s="24"/>
      <c r="BG680" s="24"/>
      <c r="BH680" s="24"/>
      <c r="BI680" s="24"/>
      <c r="BP680" s="24"/>
      <c r="BQ680" s="24"/>
      <c r="BR680" s="24"/>
      <c r="BS680" s="24"/>
      <c r="BZ680" s="24"/>
      <c r="CA680" s="24"/>
      <c r="CB680" s="24"/>
      <c r="CC680" s="24"/>
      <c r="CD680" s="24"/>
    </row>
    <row r="681" spans="2:82" s="6" customFormat="1">
      <c r="B681" s="21"/>
      <c r="D681" s="17"/>
      <c r="E681" s="23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R681" s="24"/>
      <c r="AS681" s="24"/>
      <c r="AT681" s="24"/>
      <c r="AU681" s="24"/>
      <c r="AV681" s="24"/>
      <c r="AW681" s="24"/>
      <c r="BD681" s="24"/>
      <c r="BE681" s="24"/>
      <c r="BF681" s="24"/>
      <c r="BG681" s="24"/>
      <c r="BH681" s="24"/>
      <c r="BI681" s="24"/>
      <c r="BP681" s="24"/>
      <c r="BQ681" s="24"/>
      <c r="BR681" s="24"/>
      <c r="BS681" s="24"/>
      <c r="BZ681" s="24"/>
      <c r="CA681" s="24"/>
      <c r="CB681" s="24"/>
      <c r="CC681" s="24"/>
      <c r="CD681" s="24"/>
    </row>
    <row r="682" spans="2:82" s="6" customFormat="1">
      <c r="B682" s="21"/>
      <c r="D682" s="17"/>
      <c r="E682" s="23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R682" s="24"/>
      <c r="AS682" s="24"/>
      <c r="AT682" s="24"/>
      <c r="AU682" s="24"/>
      <c r="AV682" s="24"/>
      <c r="AW682" s="24"/>
      <c r="BD682" s="24"/>
      <c r="BE682" s="24"/>
      <c r="BF682" s="24"/>
      <c r="BG682" s="24"/>
      <c r="BH682" s="24"/>
      <c r="BI682" s="24"/>
      <c r="BP682" s="24"/>
      <c r="BQ682" s="24"/>
      <c r="BR682" s="24"/>
      <c r="BS682" s="24"/>
      <c r="BZ682" s="24"/>
      <c r="CA682" s="24"/>
      <c r="CB682" s="24"/>
      <c r="CC682" s="24"/>
      <c r="CD682" s="24"/>
    </row>
    <row r="683" spans="2:82" s="6" customFormat="1">
      <c r="B683" s="21"/>
      <c r="D683" s="17"/>
      <c r="E683" s="23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R683" s="24"/>
      <c r="AS683" s="24"/>
      <c r="AT683" s="24"/>
      <c r="AU683" s="24"/>
      <c r="AV683" s="24"/>
      <c r="AW683" s="24"/>
      <c r="BD683" s="24"/>
      <c r="BE683" s="24"/>
      <c r="BF683" s="24"/>
      <c r="BG683" s="24"/>
      <c r="BH683" s="24"/>
      <c r="BI683" s="24"/>
      <c r="BP683" s="24"/>
      <c r="BQ683" s="24"/>
      <c r="BR683" s="24"/>
      <c r="BS683" s="24"/>
      <c r="BZ683" s="24"/>
      <c r="CA683" s="24"/>
      <c r="CB683" s="24"/>
      <c r="CC683" s="24"/>
      <c r="CD683" s="24"/>
    </row>
    <row r="684" spans="2:82" s="6" customFormat="1">
      <c r="B684" s="21"/>
      <c r="D684" s="17"/>
      <c r="E684" s="23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R684" s="24"/>
      <c r="AS684" s="24"/>
      <c r="AT684" s="24"/>
      <c r="AU684" s="24"/>
      <c r="AV684" s="24"/>
      <c r="AW684" s="24"/>
      <c r="BD684" s="24"/>
      <c r="BE684" s="24"/>
      <c r="BF684" s="24"/>
      <c r="BG684" s="24"/>
      <c r="BH684" s="24"/>
      <c r="BI684" s="24"/>
      <c r="BP684" s="24"/>
      <c r="BQ684" s="24"/>
      <c r="BR684" s="24"/>
      <c r="BS684" s="24"/>
      <c r="BZ684" s="24"/>
      <c r="CA684" s="24"/>
      <c r="CB684" s="24"/>
      <c r="CC684" s="24"/>
      <c r="CD684" s="24"/>
    </row>
    <row r="685" spans="2:82" s="6" customFormat="1">
      <c r="B685" s="21"/>
      <c r="D685" s="17"/>
      <c r="E685" s="23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R685" s="24"/>
      <c r="AS685" s="24"/>
      <c r="AT685" s="24"/>
      <c r="AU685" s="24"/>
      <c r="AV685" s="24"/>
      <c r="AW685" s="24"/>
      <c r="BD685" s="24"/>
      <c r="BE685" s="24"/>
      <c r="BF685" s="24"/>
      <c r="BG685" s="24"/>
      <c r="BH685" s="24"/>
      <c r="BI685" s="24"/>
      <c r="BP685" s="24"/>
      <c r="BQ685" s="24"/>
      <c r="BR685" s="24"/>
      <c r="BS685" s="24"/>
      <c r="BZ685" s="24"/>
      <c r="CA685" s="24"/>
      <c r="CB685" s="24"/>
      <c r="CC685" s="24"/>
      <c r="CD685" s="24"/>
    </row>
    <row r="686" spans="2:82" s="6" customFormat="1">
      <c r="B686" s="21"/>
      <c r="D686" s="17"/>
      <c r="E686" s="23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R686" s="24"/>
      <c r="AS686" s="24"/>
      <c r="AT686" s="24"/>
      <c r="AU686" s="24"/>
      <c r="AV686" s="24"/>
      <c r="AW686" s="24"/>
      <c r="BD686" s="24"/>
      <c r="BE686" s="24"/>
      <c r="BF686" s="24"/>
      <c r="BG686" s="24"/>
      <c r="BH686" s="24"/>
      <c r="BI686" s="24"/>
      <c r="BP686" s="24"/>
      <c r="BQ686" s="24"/>
      <c r="BR686" s="24"/>
      <c r="BS686" s="24"/>
      <c r="BZ686" s="24"/>
      <c r="CA686" s="24"/>
      <c r="CB686" s="24"/>
      <c r="CC686" s="24"/>
      <c r="CD686" s="24"/>
    </row>
    <row r="687" spans="2:82" s="6" customFormat="1">
      <c r="B687" s="21"/>
      <c r="D687" s="17"/>
      <c r="E687" s="23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R687" s="24"/>
      <c r="AS687" s="24"/>
      <c r="AT687" s="24"/>
      <c r="AU687" s="24"/>
      <c r="AV687" s="24"/>
      <c r="AW687" s="24"/>
      <c r="BD687" s="24"/>
      <c r="BE687" s="24"/>
      <c r="BF687" s="24"/>
      <c r="BG687" s="24"/>
      <c r="BH687" s="24"/>
      <c r="BI687" s="24"/>
      <c r="BP687" s="24"/>
      <c r="BQ687" s="24"/>
      <c r="BR687" s="24"/>
      <c r="BS687" s="24"/>
      <c r="BZ687" s="24"/>
      <c r="CA687" s="24"/>
      <c r="CB687" s="24"/>
      <c r="CC687" s="24"/>
      <c r="CD687" s="24"/>
    </row>
    <row r="688" spans="2:82" s="6" customFormat="1">
      <c r="B688" s="21"/>
      <c r="D688" s="17"/>
      <c r="E688" s="23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R688" s="24"/>
      <c r="AS688" s="24"/>
      <c r="AT688" s="24"/>
      <c r="AU688" s="24"/>
      <c r="AV688" s="24"/>
      <c r="AW688" s="24"/>
      <c r="BD688" s="24"/>
      <c r="BE688" s="24"/>
      <c r="BF688" s="24"/>
      <c r="BG688" s="24"/>
      <c r="BH688" s="24"/>
      <c r="BI688" s="24"/>
      <c r="BP688" s="24"/>
      <c r="BQ688" s="24"/>
      <c r="BR688" s="24"/>
      <c r="BS688" s="24"/>
      <c r="BZ688" s="24"/>
      <c r="CA688" s="24"/>
      <c r="CB688" s="24"/>
      <c r="CC688" s="24"/>
      <c r="CD688" s="24"/>
    </row>
    <row r="689" spans="2:82" s="6" customFormat="1">
      <c r="B689" s="21"/>
      <c r="D689" s="17"/>
      <c r="E689" s="23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R689" s="24"/>
      <c r="AS689" s="24"/>
      <c r="AT689" s="24"/>
      <c r="AU689" s="24"/>
      <c r="AV689" s="24"/>
      <c r="AW689" s="24"/>
      <c r="BD689" s="24"/>
      <c r="BE689" s="24"/>
      <c r="BF689" s="24"/>
      <c r="BG689" s="24"/>
      <c r="BH689" s="24"/>
      <c r="BI689" s="24"/>
      <c r="BP689" s="24"/>
      <c r="BQ689" s="24"/>
      <c r="BR689" s="24"/>
      <c r="BS689" s="24"/>
      <c r="BZ689" s="24"/>
      <c r="CA689" s="24"/>
      <c r="CB689" s="24"/>
      <c r="CC689" s="24"/>
      <c r="CD689" s="24"/>
    </row>
    <row r="690" spans="2:82" s="6" customFormat="1">
      <c r="B690" s="21"/>
      <c r="D690" s="17"/>
      <c r="E690" s="23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R690" s="24"/>
      <c r="AS690" s="24"/>
      <c r="AT690" s="24"/>
      <c r="AU690" s="24"/>
      <c r="AV690" s="24"/>
      <c r="AW690" s="24"/>
      <c r="BD690" s="24"/>
      <c r="BE690" s="24"/>
      <c r="BF690" s="24"/>
      <c r="BG690" s="24"/>
      <c r="BH690" s="24"/>
      <c r="BI690" s="24"/>
      <c r="BP690" s="24"/>
      <c r="BQ690" s="24"/>
      <c r="BR690" s="24"/>
      <c r="BS690" s="24"/>
      <c r="BZ690" s="24"/>
      <c r="CA690" s="24"/>
      <c r="CB690" s="24"/>
      <c r="CC690" s="24"/>
      <c r="CD690" s="24"/>
    </row>
    <row r="691" spans="2:82" s="6" customFormat="1">
      <c r="B691" s="21"/>
      <c r="D691" s="17"/>
      <c r="E691" s="23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R691" s="24"/>
      <c r="AS691" s="24"/>
      <c r="AT691" s="24"/>
      <c r="AU691" s="24"/>
      <c r="AV691" s="24"/>
      <c r="AW691" s="24"/>
      <c r="BD691" s="24"/>
      <c r="BE691" s="24"/>
      <c r="BF691" s="24"/>
      <c r="BG691" s="24"/>
      <c r="BH691" s="24"/>
      <c r="BI691" s="24"/>
      <c r="BP691" s="24"/>
      <c r="BQ691" s="24"/>
      <c r="BR691" s="24"/>
      <c r="BS691" s="24"/>
      <c r="BZ691" s="24"/>
      <c r="CA691" s="24"/>
      <c r="CB691" s="24"/>
      <c r="CC691" s="24"/>
      <c r="CD691" s="24"/>
    </row>
    <row r="692" spans="2:82" s="6" customFormat="1">
      <c r="B692" s="21"/>
      <c r="D692" s="17"/>
      <c r="E692" s="23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R692" s="24"/>
      <c r="AS692" s="24"/>
      <c r="AT692" s="24"/>
      <c r="AU692" s="24"/>
      <c r="AV692" s="24"/>
      <c r="AW692" s="24"/>
      <c r="BD692" s="24"/>
      <c r="BE692" s="24"/>
      <c r="BF692" s="24"/>
      <c r="BG692" s="24"/>
      <c r="BH692" s="24"/>
      <c r="BI692" s="24"/>
      <c r="BP692" s="24"/>
      <c r="BQ692" s="24"/>
      <c r="BR692" s="24"/>
      <c r="BS692" s="24"/>
      <c r="BZ692" s="24"/>
      <c r="CA692" s="24"/>
      <c r="CB692" s="24"/>
      <c r="CC692" s="24"/>
      <c r="CD692" s="24"/>
    </row>
    <row r="693" spans="2:82" s="6" customFormat="1">
      <c r="B693" s="21"/>
      <c r="D693" s="17"/>
      <c r="E693" s="23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R693" s="24"/>
      <c r="AS693" s="24"/>
      <c r="AT693" s="24"/>
      <c r="AU693" s="24"/>
      <c r="AV693" s="24"/>
      <c r="AW693" s="24"/>
      <c r="BD693" s="24"/>
      <c r="BE693" s="24"/>
      <c r="BF693" s="24"/>
      <c r="BG693" s="24"/>
      <c r="BH693" s="24"/>
      <c r="BI693" s="24"/>
      <c r="BP693" s="24"/>
      <c r="BQ693" s="24"/>
      <c r="BR693" s="24"/>
      <c r="BS693" s="24"/>
      <c r="BZ693" s="24"/>
      <c r="CA693" s="24"/>
      <c r="CB693" s="24"/>
      <c r="CC693" s="24"/>
      <c r="CD693" s="24"/>
    </row>
    <row r="694" spans="2:82" s="6" customFormat="1">
      <c r="B694" s="21"/>
      <c r="D694" s="17"/>
      <c r="E694" s="23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R694" s="24"/>
      <c r="AS694" s="24"/>
      <c r="AT694" s="24"/>
      <c r="AU694" s="24"/>
      <c r="AV694" s="24"/>
      <c r="AW694" s="24"/>
      <c r="BD694" s="24"/>
      <c r="BE694" s="24"/>
      <c r="BF694" s="24"/>
      <c r="BG694" s="24"/>
      <c r="BH694" s="24"/>
      <c r="BI694" s="24"/>
      <c r="BP694" s="24"/>
      <c r="BQ694" s="24"/>
      <c r="BR694" s="24"/>
      <c r="BS694" s="24"/>
      <c r="BZ694" s="24"/>
      <c r="CA694" s="24"/>
      <c r="CB694" s="24"/>
      <c r="CC694" s="24"/>
      <c r="CD694" s="24"/>
    </row>
    <row r="695" spans="2:82" s="6" customFormat="1">
      <c r="B695" s="21"/>
      <c r="D695" s="17"/>
      <c r="E695" s="23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R695" s="24"/>
      <c r="AS695" s="24"/>
      <c r="AT695" s="24"/>
      <c r="AU695" s="24"/>
      <c r="AV695" s="24"/>
      <c r="AW695" s="24"/>
      <c r="BD695" s="24"/>
      <c r="BE695" s="24"/>
      <c r="BF695" s="24"/>
      <c r="BG695" s="24"/>
      <c r="BH695" s="24"/>
      <c r="BI695" s="24"/>
      <c r="BP695" s="24"/>
      <c r="BQ695" s="24"/>
      <c r="BR695" s="24"/>
      <c r="BS695" s="24"/>
      <c r="BZ695" s="24"/>
      <c r="CA695" s="24"/>
      <c r="CB695" s="24"/>
      <c r="CC695" s="24"/>
      <c r="CD695" s="24"/>
    </row>
    <row r="696" spans="2:82" s="6" customFormat="1">
      <c r="B696" s="21"/>
      <c r="D696" s="17"/>
      <c r="E696" s="23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R696" s="24"/>
      <c r="AS696" s="24"/>
      <c r="AT696" s="24"/>
      <c r="AU696" s="24"/>
      <c r="AV696" s="24"/>
      <c r="AW696" s="24"/>
      <c r="BD696" s="24"/>
      <c r="BE696" s="24"/>
      <c r="BF696" s="24"/>
      <c r="BG696" s="24"/>
      <c r="BH696" s="24"/>
      <c r="BI696" s="24"/>
      <c r="BP696" s="24"/>
      <c r="BQ696" s="24"/>
      <c r="BR696" s="24"/>
      <c r="BS696" s="24"/>
      <c r="BZ696" s="24"/>
      <c r="CA696" s="24"/>
      <c r="CB696" s="24"/>
      <c r="CC696" s="24"/>
      <c r="CD696" s="24"/>
    </row>
    <row r="697" spans="2:82" s="6" customFormat="1">
      <c r="B697" s="21"/>
      <c r="D697" s="17"/>
      <c r="E697" s="23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R697" s="24"/>
      <c r="AS697" s="24"/>
      <c r="AT697" s="24"/>
      <c r="AU697" s="24"/>
      <c r="AV697" s="24"/>
      <c r="AW697" s="24"/>
      <c r="BD697" s="24"/>
      <c r="BE697" s="24"/>
      <c r="BF697" s="24"/>
      <c r="BG697" s="24"/>
      <c r="BH697" s="24"/>
      <c r="BI697" s="24"/>
      <c r="BP697" s="24"/>
      <c r="BQ697" s="24"/>
      <c r="BR697" s="24"/>
      <c r="BS697" s="24"/>
      <c r="BZ697" s="24"/>
      <c r="CA697" s="24"/>
      <c r="CB697" s="24"/>
      <c r="CC697" s="24"/>
      <c r="CD697" s="24"/>
    </row>
    <row r="698" spans="2:82" s="6" customFormat="1">
      <c r="B698" s="21"/>
      <c r="D698" s="17"/>
      <c r="E698" s="23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R698" s="24"/>
      <c r="AS698" s="24"/>
      <c r="AT698" s="24"/>
      <c r="AU698" s="24"/>
      <c r="AV698" s="24"/>
      <c r="AW698" s="24"/>
      <c r="BD698" s="24"/>
      <c r="BE698" s="24"/>
      <c r="BF698" s="24"/>
      <c r="BG698" s="24"/>
      <c r="BH698" s="24"/>
      <c r="BI698" s="24"/>
      <c r="BP698" s="24"/>
      <c r="BQ698" s="24"/>
      <c r="BR698" s="24"/>
      <c r="BS698" s="24"/>
      <c r="BZ698" s="24"/>
      <c r="CA698" s="24"/>
      <c r="CB698" s="24"/>
      <c r="CC698" s="24"/>
      <c r="CD698" s="24"/>
    </row>
    <row r="699" spans="2:82" s="6" customFormat="1">
      <c r="B699" s="21"/>
      <c r="D699" s="17"/>
      <c r="E699" s="23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R699" s="24"/>
      <c r="AS699" s="24"/>
      <c r="AT699" s="24"/>
      <c r="AU699" s="24"/>
      <c r="AV699" s="24"/>
      <c r="AW699" s="24"/>
      <c r="BD699" s="24"/>
      <c r="BE699" s="24"/>
      <c r="BF699" s="24"/>
      <c r="BG699" s="24"/>
      <c r="BH699" s="24"/>
      <c r="BI699" s="24"/>
      <c r="BP699" s="24"/>
      <c r="BQ699" s="24"/>
      <c r="BR699" s="24"/>
      <c r="BS699" s="24"/>
      <c r="BZ699" s="24"/>
      <c r="CA699" s="24"/>
      <c r="CB699" s="24"/>
      <c r="CC699" s="24"/>
      <c r="CD699" s="24"/>
    </row>
    <row r="700" spans="2:82" s="6" customFormat="1">
      <c r="B700" s="21"/>
      <c r="D700" s="17"/>
      <c r="E700" s="23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R700" s="24"/>
      <c r="AS700" s="24"/>
      <c r="AT700" s="24"/>
      <c r="AU700" s="24"/>
      <c r="AV700" s="24"/>
      <c r="AW700" s="24"/>
      <c r="BD700" s="24"/>
      <c r="BE700" s="24"/>
      <c r="BF700" s="24"/>
      <c r="BG700" s="24"/>
      <c r="BH700" s="24"/>
      <c r="BI700" s="24"/>
      <c r="BP700" s="24"/>
      <c r="BQ700" s="24"/>
      <c r="BR700" s="24"/>
      <c r="BS700" s="24"/>
      <c r="BZ700" s="24"/>
      <c r="CA700" s="24"/>
      <c r="CB700" s="24"/>
      <c r="CC700" s="24"/>
      <c r="CD700" s="24"/>
    </row>
    <row r="701" spans="2:82" s="6" customFormat="1">
      <c r="B701" s="21"/>
      <c r="D701" s="17"/>
      <c r="E701" s="23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R701" s="24"/>
      <c r="AS701" s="24"/>
      <c r="AT701" s="24"/>
      <c r="AU701" s="24"/>
      <c r="AV701" s="24"/>
      <c r="AW701" s="24"/>
      <c r="BD701" s="24"/>
      <c r="BE701" s="24"/>
      <c r="BF701" s="24"/>
      <c r="BG701" s="24"/>
      <c r="BH701" s="24"/>
      <c r="BI701" s="24"/>
      <c r="BP701" s="24"/>
      <c r="BQ701" s="24"/>
      <c r="BR701" s="24"/>
      <c r="BS701" s="24"/>
      <c r="BZ701" s="24"/>
      <c r="CA701" s="24"/>
      <c r="CB701" s="24"/>
      <c r="CC701" s="24"/>
      <c r="CD701" s="24"/>
    </row>
    <row r="702" spans="2:82" s="6" customFormat="1">
      <c r="B702" s="21"/>
      <c r="D702" s="17"/>
      <c r="E702" s="23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R702" s="24"/>
      <c r="AS702" s="24"/>
      <c r="AT702" s="24"/>
      <c r="AU702" s="24"/>
      <c r="AV702" s="24"/>
      <c r="AW702" s="24"/>
      <c r="BD702" s="24"/>
      <c r="BE702" s="24"/>
      <c r="BF702" s="24"/>
      <c r="BG702" s="24"/>
      <c r="BH702" s="24"/>
      <c r="BI702" s="24"/>
      <c r="BP702" s="24"/>
      <c r="BQ702" s="24"/>
      <c r="BR702" s="24"/>
      <c r="BS702" s="24"/>
      <c r="BZ702" s="24"/>
      <c r="CA702" s="24"/>
      <c r="CB702" s="24"/>
      <c r="CC702" s="24"/>
      <c r="CD702" s="24"/>
    </row>
    <row r="703" spans="2:82" s="6" customFormat="1">
      <c r="B703" s="21"/>
      <c r="D703" s="17"/>
      <c r="E703" s="23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R703" s="24"/>
      <c r="AS703" s="24"/>
      <c r="AT703" s="24"/>
      <c r="AU703" s="24"/>
      <c r="AV703" s="24"/>
      <c r="AW703" s="24"/>
      <c r="BD703" s="24"/>
      <c r="BE703" s="24"/>
      <c r="BF703" s="24"/>
      <c r="BG703" s="24"/>
      <c r="BH703" s="24"/>
      <c r="BI703" s="24"/>
      <c r="BP703" s="24"/>
      <c r="BQ703" s="24"/>
      <c r="BR703" s="24"/>
      <c r="BS703" s="24"/>
      <c r="BZ703" s="24"/>
      <c r="CA703" s="24"/>
      <c r="CB703" s="24"/>
      <c r="CC703" s="24"/>
      <c r="CD703" s="24"/>
    </row>
    <row r="704" spans="2:82" s="6" customFormat="1">
      <c r="B704" s="21"/>
      <c r="D704" s="17"/>
      <c r="E704" s="23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R704" s="24"/>
      <c r="AS704" s="24"/>
      <c r="AT704" s="24"/>
      <c r="AU704" s="24"/>
      <c r="AV704" s="24"/>
      <c r="AW704" s="24"/>
      <c r="BD704" s="24"/>
      <c r="BE704" s="24"/>
      <c r="BF704" s="24"/>
      <c r="BG704" s="24"/>
      <c r="BH704" s="24"/>
      <c r="BI704" s="24"/>
      <c r="BP704" s="24"/>
      <c r="BQ704" s="24"/>
      <c r="BR704" s="24"/>
      <c r="BS704" s="24"/>
      <c r="BZ704" s="24"/>
      <c r="CA704" s="24"/>
      <c r="CB704" s="24"/>
      <c r="CC704" s="24"/>
      <c r="CD704" s="24"/>
    </row>
    <row r="705" spans="2:82" s="6" customFormat="1">
      <c r="B705" s="21"/>
      <c r="D705" s="17"/>
      <c r="E705" s="23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R705" s="24"/>
      <c r="AS705" s="24"/>
      <c r="AT705" s="24"/>
      <c r="AU705" s="24"/>
      <c r="AV705" s="24"/>
      <c r="AW705" s="24"/>
      <c r="BD705" s="24"/>
      <c r="BE705" s="24"/>
      <c r="BF705" s="24"/>
      <c r="BG705" s="24"/>
      <c r="BH705" s="24"/>
      <c r="BI705" s="24"/>
      <c r="BP705" s="24"/>
      <c r="BQ705" s="24"/>
      <c r="BR705" s="24"/>
      <c r="BS705" s="24"/>
      <c r="BZ705" s="24"/>
      <c r="CA705" s="24"/>
      <c r="CB705" s="24"/>
      <c r="CC705" s="24"/>
      <c r="CD705" s="24"/>
    </row>
    <row r="706" spans="2:82" s="6" customFormat="1">
      <c r="B706" s="21"/>
      <c r="D706" s="17"/>
      <c r="E706" s="23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R706" s="24"/>
      <c r="AS706" s="24"/>
      <c r="AT706" s="24"/>
      <c r="AU706" s="24"/>
      <c r="AV706" s="24"/>
      <c r="AW706" s="24"/>
      <c r="BD706" s="24"/>
      <c r="BE706" s="24"/>
      <c r="BF706" s="24"/>
      <c r="BG706" s="24"/>
      <c r="BH706" s="24"/>
      <c r="BI706" s="24"/>
      <c r="BP706" s="24"/>
      <c r="BQ706" s="24"/>
      <c r="BR706" s="24"/>
      <c r="BS706" s="24"/>
      <c r="BZ706" s="24"/>
      <c r="CA706" s="24"/>
      <c r="CB706" s="24"/>
      <c r="CC706" s="24"/>
      <c r="CD706" s="24"/>
    </row>
    <row r="707" spans="2:82" s="6" customFormat="1">
      <c r="B707" s="21"/>
      <c r="D707" s="17"/>
      <c r="E707" s="23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R707" s="24"/>
      <c r="AS707" s="24"/>
      <c r="AT707" s="24"/>
      <c r="AU707" s="24"/>
      <c r="AV707" s="24"/>
      <c r="AW707" s="24"/>
      <c r="BD707" s="24"/>
      <c r="BE707" s="24"/>
      <c r="BF707" s="24"/>
      <c r="BG707" s="24"/>
      <c r="BH707" s="24"/>
      <c r="BI707" s="24"/>
      <c r="BP707" s="24"/>
      <c r="BQ707" s="24"/>
      <c r="BR707" s="24"/>
      <c r="BS707" s="24"/>
      <c r="BZ707" s="24"/>
      <c r="CA707" s="24"/>
      <c r="CB707" s="24"/>
      <c r="CC707" s="24"/>
      <c r="CD707" s="24"/>
    </row>
    <row r="708" spans="2:82" s="6" customFormat="1">
      <c r="B708" s="21"/>
      <c r="D708" s="17"/>
      <c r="E708" s="23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R708" s="24"/>
      <c r="AS708" s="24"/>
      <c r="AT708" s="24"/>
      <c r="AU708" s="24"/>
      <c r="AV708" s="24"/>
      <c r="AW708" s="24"/>
      <c r="BD708" s="24"/>
      <c r="BE708" s="24"/>
      <c r="BF708" s="24"/>
      <c r="BG708" s="24"/>
      <c r="BH708" s="24"/>
      <c r="BI708" s="24"/>
      <c r="BP708" s="24"/>
      <c r="BQ708" s="24"/>
      <c r="BR708" s="24"/>
      <c r="BS708" s="24"/>
      <c r="BZ708" s="24"/>
      <c r="CA708" s="24"/>
      <c r="CB708" s="24"/>
      <c r="CC708" s="24"/>
      <c r="CD708" s="24"/>
    </row>
    <row r="709" spans="2:82" s="6" customFormat="1">
      <c r="B709" s="21"/>
      <c r="D709" s="17"/>
      <c r="E709" s="23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R709" s="24"/>
      <c r="AS709" s="24"/>
      <c r="AT709" s="24"/>
      <c r="AU709" s="24"/>
      <c r="AV709" s="24"/>
      <c r="AW709" s="24"/>
      <c r="BD709" s="24"/>
      <c r="BE709" s="24"/>
      <c r="BF709" s="24"/>
      <c r="BG709" s="24"/>
      <c r="BH709" s="24"/>
      <c r="BI709" s="24"/>
      <c r="BP709" s="24"/>
      <c r="BQ709" s="24"/>
      <c r="BR709" s="24"/>
      <c r="BS709" s="24"/>
      <c r="BZ709" s="24"/>
      <c r="CA709" s="24"/>
      <c r="CB709" s="24"/>
      <c r="CC709" s="24"/>
      <c r="CD709" s="24"/>
    </row>
    <row r="710" spans="2:82" s="6" customFormat="1">
      <c r="B710" s="21"/>
      <c r="D710" s="17"/>
      <c r="E710" s="23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R710" s="24"/>
      <c r="AS710" s="24"/>
      <c r="AT710" s="24"/>
      <c r="AU710" s="24"/>
      <c r="AV710" s="24"/>
      <c r="AW710" s="24"/>
      <c r="BD710" s="24"/>
      <c r="BE710" s="24"/>
      <c r="BF710" s="24"/>
      <c r="BG710" s="24"/>
      <c r="BH710" s="24"/>
      <c r="BI710" s="24"/>
      <c r="BP710" s="24"/>
      <c r="BQ710" s="24"/>
      <c r="BR710" s="24"/>
      <c r="BS710" s="24"/>
      <c r="BZ710" s="24"/>
      <c r="CA710" s="24"/>
      <c r="CB710" s="24"/>
      <c r="CC710" s="24"/>
      <c r="CD710" s="24"/>
    </row>
    <row r="711" spans="2:82" s="6" customFormat="1">
      <c r="B711" s="21"/>
      <c r="D711" s="17"/>
      <c r="E711" s="23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R711" s="24"/>
      <c r="AS711" s="24"/>
      <c r="AT711" s="24"/>
      <c r="AU711" s="24"/>
      <c r="AV711" s="24"/>
      <c r="AW711" s="24"/>
      <c r="BD711" s="24"/>
      <c r="BE711" s="24"/>
      <c r="BF711" s="24"/>
      <c r="BG711" s="24"/>
      <c r="BH711" s="24"/>
      <c r="BI711" s="24"/>
      <c r="BP711" s="24"/>
      <c r="BQ711" s="24"/>
      <c r="BR711" s="24"/>
      <c r="BS711" s="24"/>
      <c r="BZ711" s="24"/>
      <c r="CA711" s="24"/>
      <c r="CB711" s="24"/>
      <c r="CC711" s="24"/>
      <c r="CD711" s="24"/>
    </row>
    <row r="712" spans="2:82" s="6" customFormat="1">
      <c r="B712" s="21"/>
      <c r="D712" s="17"/>
      <c r="E712" s="23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R712" s="24"/>
      <c r="AS712" s="24"/>
      <c r="AT712" s="24"/>
      <c r="AU712" s="24"/>
      <c r="AV712" s="24"/>
      <c r="AW712" s="24"/>
      <c r="BD712" s="24"/>
      <c r="BE712" s="24"/>
      <c r="BF712" s="24"/>
      <c r="BG712" s="24"/>
      <c r="BH712" s="24"/>
      <c r="BI712" s="24"/>
      <c r="BP712" s="24"/>
      <c r="BQ712" s="24"/>
      <c r="BR712" s="24"/>
      <c r="BS712" s="24"/>
      <c r="BZ712" s="24"/>
      <c r="CA712" s="24"/>
      <c r="CB712" s="24"/>
      <c r="CC712" s="24"/>
      <c r="CD712" s="24"/>
    </row>
    <row r="713" spans="2:82" s="6" customFormat="1">
      <c r="B713" s="21"/>
      <c r="D713" s="17"/>
      <c r="E713" s="23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R713" s="24"/>
      <c r="AS713" s="24"/>
      <c r="AT713" s="24"/>
      <c r="AU713" s="24"/>
      <c r="AV713" s="24"/>
      <c r="AW713" s="24"/>
      <c r="BD713" s="24"/>
      <c r="BE713" s="24"/>
      <c r="BF713" s="24"/>
      <c r="BG713" s="24"/>
      <c r="BH713" s="24"/>
      <c r="BI713" s="24"/>
      <c r="BP713" s="24"/>
      <c r="BQ713" s="24"/>
      <c r="BR713" s="24"/>
      <c r="BS713" s="24"/>
      <c r="BZ713" s="24"/>
      <c r="CA713" s="24"/>
      <c r="CB713" s="24"/>
      <c r="CC713" s="24"/>
      <c r="CD713" s="24"/>
    </row>
    <row r="714" spans="2:82" s="6" customFormat="1">
      <c r="B714" s="21"/>
      <c r="D714" s="17"/>
      <c r="E714" s="23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R714" s="24"/>
      <c r="AS714" s="24"/>
      <c r="AT714" s="24"/>
      <c r="AU714" s="24"/>
      <c r="AV714" s="24"/>
      <c r="AW714" s="24"/>
      <c r="BD714" s="24"/>
      <c r="BE714" s="24"/>
      <c r="BF714" s="24"/>
      <c r="BG714" s="24"/>
      <c r="BH714" s="24"/>
      <c r="BI714" s="24"/>
      <c r="BP714" s="24"/>
      <c r="BQ714" s="24"/>
      <c r="BR714" s="24"/>
      <c r="BS714" s="24"/>
      <c r="BZ714" s="24"/>
      <c r="CA714" s="24"/>
      <c r="CB714" s="24"/>
      <c r="CC714" s="24"/>
      <c r="CD714" s="24"/>
    </row>
    <row r="715" spans="2:82" s="6" customFormat="1">
      <c r="B715" s="21"/>
      <c r="D715" s="17"/>
      <c r="E715" s="23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R715" s="24"/>
      <c r="AS715" s="24"/>
      <c r="AT715" s="24"/>
      <c r="AU715" s="24"/>
      <c r="AV715" s="24"/>
      <c r="AW715" s="24"/>
      <c r="BD715" s="24"/>
      <c r="BE715" s="24"/>
      <c r="BF715" s="24"/>
      <c r="BG715" s="24"/>
      <c r="BH715" s="24"/>
      <c r="BI715" s="24"/>
      <c r="BP715" s="24"/>
      <c r="BQ715" s="24"/>
      <c r="BR715" s="24"/>
      <c r="BS715" s="24"/>
      <c r="BZ715" s="24"/>
      <c r="CA715" s="24"/>
      <c r="CB715" s="24"/>
      <c r="CC715" s="24"/>
      <c r="CD715" s="24"/>
    </row>
    <row r="716" spans="2:82" s="6" customFormat="1">
      <c r="B716" s="21"/>
      <c r="D716" s="17"/>
      <c r="E716" s="23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R716" s="24"/>
      <c r="AS716" s="24"/>
      <c r="AT716" s="24"/>
      <c r="AU716" s="24"/>
      <c r="AV716" s="24"/>
      <c r="AW716" s="24"/>
      <c r="BD716" s="24"/>
      <c r="BE716" s="24"/>
      <c r="BF716" s="24"/>
      <c r="BG716" s="24"/>
      <c r="BH716" s="24"/>
      <c r="BI716" s="24"/>
      <c r="BP716" s="24"/>
      <c r="BQ716" s="24"/>
      <c r="BR716" s="24"/>
      <c r="BS716" s="24"/>
      <c r="BZ716" s="24"/>
      <c r="CA716" s="24"/>
      <c r="CB716" s="24"/>
      <c r="CC716" s="24"/>
      <c r="CD716" s="24"/>
    </row>
    <row r="717" spans="2:82" s="6" customFormat="1">
      <c r="B717" s="21"/>
      <c r="D717" s="17"/>
      <c r="E717" s="23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R717" s="24"/>
      <c r="AS717" s="24"/>
      <c r="AT717" s="24"/>
      <c r="AU717" s="24"/>
      <c r="AV717" s="24"/>
      <c r="AW717" s="24"/>
      <c r="BD717" s="24"/>
      <c r="BE717" s="24"/>
      <c r="BF717" s="24"/>
      <c r="BG717" s="24"/>
      <c r="BH717" s="24"/>
      <c r="BI717" s="24"/>
      <c r="BP717" s="24"/>
      <c r="BQ717" s="24"/>
      <c r="BR717" s="24"/>
      <c r="BS717" s="24"/>
      <c r="BZ717" s="24"/>
      <c r="CA717" s="24"/>
      <c r="CB717" s="24"/>
      <c r="CC717" s="24"/>
      <c r="CD717" s="24"/>
    </row>
    <row r="718" spans="2:82" s="6" customFormat="1">
      <c r="B718" s="21"/>
      <c r="D718" s="17"/>
      <c r="E718" s="23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R718" s="24"/>
      <c r="AS718" s="24"/>
      <c r="AT718" s="24"/>
      <c r="AU718" s="24"/>
      <c r="AV718" s="24"/>
      <c r="AW718" s="24"/>
      <c r="BD718" s="24"/>
      <c r="BE718" s="24"/>
      <c r="BF718" s="24"/>
      <c r="BG718" s="24"/>
      <c r="BH718" s="24"/>
      <c r="BI718" s="24"/>
      <c r="BP718" s="24"/>
      <c r="BQ718" s="24"/>
      <c r="BR718" s="24"/>
      <c r="BS718" s="24"/>
      <c r="BZ718" s="24"/>
      <c r="CA718" s="24"/>
      <c r="CB718" s="24"/>
      <c r="CC718" s="24"/>
      <c r="CD718" s="24"/>
    </row>
    <row r="719" spans="2:82" s="6" customFormat="1">
      <c r="B719" s="21"/>
      <c r="D719" s="17"/>
      <c r="E719" s="23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R719" s="24"/>
      <c r="AS719" s="24"/>
      <c r="AT719" s="24"/>
      <c r="AU719" s="24"/>
      <c r="AV719" s="24"/>
      <c r="AW719" s="24"/>
      <c r="BD719" s="24"/>
      <c r="BE719" s="24"/>
      <c r="BF719" s="24"/>
      <c r="BG719" s="24"/>
      <c r="BH719" s="24"/>
      <c r="BI719" s="24"/>
      <c r="BP719" s="24"/>
      <c r="BQ719" s="24"/>
      <c r="BR719" s="24"/>
      <c r="BS719" s="24"/>
      <c r="BZ719" s="24"/>
      <c r="CA719" s="24"/>
      <c r="CB719" s="24"/>
      <c r="CC719" s="24"/>
      <c r="CD719" s="24"/>
    </row>
    <row r="720" spans="2:82" s="6" customFormat="1">
      <c r="B720" s="21"/>
      <c r="D720" s="17"/>
      <c r="E720" s="23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R720" s="24"/>
      <c r="AS720" s="24"/>
      <c r="AT720" s="24"/>
      <c r="AU720" s="24"/>
      <c r="AV720" s="24"/>
      <c r="AW720" s="24"/>
      <c r="BD720" s="24"/>
      <c r="BE720" s="24"/>
      <c r="BF720" s="24"/>
      <c r="BG720" s="24"/>
      <c r="BH720" s="24"/>
      <c r="BI720" s="24"/>
      <c r="BP720" s="24"/>
      <c r="BQ720" s="24"/>
      <c r="BR720" s="24"/>
      <c r="BS720" s="24"/>
      <c r="BZ720" s="24"/>
      <c r="CA720" s="24"/>
      <c r="CB720" s="24"/>
      <c r="CC720" s="24"/>
      <c r="CD720" s="24"/>
    </row>
    <row r="721" spans="2:82" s="6" customFormat="1">
      <c r="B721" s="21"/>
      <c r="D721" s="17"/>
      <c r="E721" s="23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R721" s="24"/>
      <c r="AS721" s="24"/>
      <c r="AT721" s="24"/>
      <c r="AU721" s="24"/>
      <c r="AV721" s="24"/>
      <c r="AW721" s="24"/>
      <c r="BD721" s="24"/>
      <c r="BE721" s="24"/>
      <c r="BF721" s="24"/>
      <c r="BG721" s="24"/>
      <c r="BH721" s="24"/>
      <c r="BI721" s="24"/>
      <c r="BP721" s="24"/>
      <c r="BQ721" s="24"/>
      <c r="BR721" s="24"/>
      <c r="BS721" s="24"/>
      <c r="BZ721" s="24"/>
      <c r="CA721" s="24"/>
      <c r="CB721" s="24"/>
      <c r="CC721" s="24"/>
      <c r="CD721" s="24"/>
    </row>
    <row r="722" spans="2:82" s="6" customFormat="1">
      <c r="B722" s="21"/>
      <c r="D722" s="17"/>
      <c r="E722" s="23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R722" s="24"/>
      <c r="AS722" s="24"/>
      <c r="AT722" s="24"/>
      <c r="AU722" s="24"/>
      <c r="AV722" s="24"/>
      <c r="AW722" s="24"/>
      <c r="BD722" s="24"/>
      <c r="BE722" s="24"/>
      <c r="BF722" s="24"/>
      <c r="BG722" s="24"/>
      <c r="BH722" s="24"/>
      <c r="BI722" s="24"/>
      <c r="BP722" s="24"/>
      <c r="BQ722" s="24"/>
      <c r="BR722" s="24"/>
      <c r="BS722" s="24"/>
      <c r="BZ722" s="24"/>
      <c r="CA722" s="24"/>
      <c r="CB722" s="24"/>
      <c r="CC722" s="24"/>
      <c r="CD722" s="24"/>
    </row>
    <row r="723" spans="2:82" s="6" customFormat="1">
      <c r="B723" s="21"/>
      <c r="D723" s="17"/>
      <c r="E723" s="23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R723" s="24"/>
      <c r="AS723" s="24"/>
      <c r="AT723" s="24"/>
      <c r="AU723" s="24"/>
      <c r="AV723" s="24"/>
      <c r="AW723" s="24"/>
      <c r="BD723" s="24"/>
      <c r="BE723" s="24"/>
      <c r="BF723" s="24"/>
      <c r="BG723" s="24"/>
      <c r="BH723" s="24"/>
      <c r="BI723" s="24"/>
      <c r="BP723" s="24"/>
      <c r="BQ723" s="24"/>
      <c r="BR723" s="24"/>
      <c r="BS723" s="24"/>
      <c r="BZ723" s="24"/>
      <c r="CA723" s="24"/>
      <c r="CB723" s="24"/>
      <c r="CC723" s="24"/>
      <c r="CD723" s="24"/>
    </row>
    <row r="724" spans="2:82" s="6" customFormat="1">
      <c r="B724" s="21"/>
      <c r="D724" s="17"/>
      <c r="E724" s="23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R724" s="24"/>
      <c r="AS724" s="24"/>
      <c r="AT724" s="24"/>
      <c r="AU724" s="24"/>
      <c r="AV724" s="24"/>
      <c r="AW724" s="24"/>
      <c r="BD724" s="24"/>
      <c r="BE724" s="24"/>
      <c r="BF724" s="24"/>
      <c r="BG724" s="24"/>
      <c r="BH724" s="24"/>
      <c r="BI724" s="24"/>
      <c r="BP724" s="24"/>
      <c r="BQ724" s="24"/>
      <c r="BR724" s="24"/>
      <c r="BS724" s="24"/>
      <c r="BZ724" s="24"/>
      <c r="CA724" s="24"/>
      <c r="CB724" s="24"/>
      <c r="CC724" s="24"/>
      <c r="CD724" s="24"/>
    </row>
    <row r="725" spans="2:82" s="6" customFormat="1">
      <c r="B725" s="21"/>
      <c r="D725" s="17"/>
      <c r="E725" s="23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R725" s="24"/>
      <c r="AS725" s="24"/>
      <c r="AT725" s="24"/>
      <c r="AU725" s="24"/>
      <c r="AV725" s="24"/>
      <c r="AW725" s="24"/>
      <c r="BD725" s="24"/>
      <c r="BE725" s="24"/>
      <c r="BF725" s="24"/>
      <c r="BG725" s="24"/>
      <c r="BH725" s="24"/>
      <c r="BI725" s="24"/>
      <c r="BP725" s="24"/>
      <c r="BQ725" s="24"/>
      <c r="BR725" s="24"/>
      <c r="BS725" s="24"/>
      <c r="BZ725" s="24"/>
      <c r="CA725" s="24"/>
      <c r="CB725" s="24"/>
      <c r="CC725" s="24"/>
      <c r="CD725" s="24"/>
    </row>
    <row r="726" spans="2:82" s="6" customFormat="1">
      <c r="B726" s="21"/>
      <c r="D726" s="17"/>
      <c r="E726" s="23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R726" s="24"/>
      <c r="AS726" s="24"/>
      <c r="AT726" s="24"/>
      <c r="AU726" s="24"/>
      <c r="AV726" s="24"/>
      <c r="AW726" s="24"/>
      <c r="BD726" s="24"/>
      <c r="BE726" s="24"/>
      <c r="BF726" s="24"/>
      <c r="BG726" s="24"/>
      <c r="BH726" s="24"/>
      <c r="BI726" s="24"/>
      <c r="BP726" s="24"/>
      <c r="BQ726" s="24"/>
      <c r="BR726" s="24"/>
      <c r="BS726" s="24"/>
      <c r="BZ726" s="24"/>
      <c r="CA726" s="24"/>
      <c r="CB726" s="24"/>
      <c r="CC726" s="24"/>
      <c r="CD726" s="24"/>
    </row>
    <row r="727" spans="2:82" s="6" customFormat="1">
      <c r="B727" s="21"/>
      <c r="D727" s="17"/>
      <c r="E727" s="23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R727" s="24"/>
      <c r="AS727" s="24"/>
      <c r="AT727" s="24"/>
      <c r="AU727" s="24"/>
      <c r="AV727" s="24"/>
      <c r="AW727" s="24"/>
      <c r="BD727" s="24"/>
      <c r="BE727" s="24"/>
      <c r="BF727" s="24"/>
      <c r="BG727" s="24"/>
      <c r="BH727" s="24"/>
      <c r="BI727" s="24"/>
      <c r="BP727" s="24"/>
      <c r="BQ727" s="24"/>
      <c r="BR727" s="24"/>
      <c r="BS727" s="24"/>
      <c r="BZ727" s="24"/>
      <c r="CA727" s="24"/>
      <c r="CB727" s="24"/>
      <c r="CC727" s="24"/>
      <c r="CD727" s="24"/>
    </row>
    <row r="728" spans="2:82" s="6" customFormat="1">
      <c r="B728" s="21"/>
      <c r="D728" s="17"/>
      <c r="E728" s="23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R728" s="24"/>
      <c r="AS728" s="24"/>
      <c r="AT728" s="24"/>
      <c r="AU728" s="24"/>
      <c r="AV728" s="24"/>
      <c r="AW728" s="24"/>
      <c r="BD728" s="24"/>
      <c r="BE728" s="24"/>
      <c r="BF728" s="24"/>
      <c r="BG728" s="24"/>
      <c r="BH728" s="24"/>
      <c r="BI728" s="24"/>
      <c r="BP728" s="24"/>
      <c r="BQ728" s="24"/>
      <c r="BR728" s="24"/>
      <c r="BS728" s="24"/>
      <c r="BZ728" s="24"/>
      <c r="CA728" s="24"/>
      <c r="CB728" s="24"/>
      <c r="CC728" s="24"/>
      <c r="CD728" s="24"/>
    </row>
    <row r="729" spans="2:82" s="6" customFormat="1">
      <c r="B729" s="21"/>
      <c r="D729" s="17"/>
      <c r="E729" s="23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R729" s="24"/>
      <c r="AS729" s="24"/>
      <c r="AT729" s="24"/>
      <c r="AU729" s="24"/>
      <c r="AV729" s="24"/>
      <c r="AW729" s="24"/>
      <c r="BD729" s="24"/>
      <c r="BE729" s="24"/>
      <c r="BF729" s="24"/>
      <c r="BG729" s="24"/>
      <c r="BH729" s="24"/>
      <c r="BI729" s="24"/>
      <c r="BP729" s="24"/>
      <c r="BQ729" s="24"/>
      <c r="BR729" s="24"/>
      <c r="BS729" s="24"/>
      <c r="BZ729" s="24"/>
      <c r="CA729" s="24"/>
      <c r="CB729" s="24"/>
      <c r="CC729" s="24"/>
      <c r="CD729" s="24"/>
    </row>
    <row r="730" spans="2:82" s="6" customFormat="1">
      <c r="B730" s="21"/>
      <c r="D730" s="17"/>
      <c r="E730" s="23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R730" s="24"/>
      <c r="AS730" s="24"/>
      <c r="AT730" s="24"/>
      <c r="AU730" s="24"/>
      <c r="AV730" s="24"/>
      <c r="AW730" s="24"/>
      <c r="BD730" s="24"/>
      <c r="BE730" s="24"/>
      <c r="BF730" s="24"/>
      <c r="BG730" s="24"/>
      <c r="BH730" s="24"/>
      <c r="BI730" s="24"/>
      <c r="BP730" s="24"/>
      <c r="BQ730" s="24"/>
      <c r="BR730" s="24"/>
      <c r="BS730" s="24"/>
      <c r="BZ730" s="24"/>
      <c r="CA730" s="24"/>
      <c r="CB730" s="24"/>
      <c r="CC730" s="24"/>
      <c r="CD730" s="24"/>
    </row>
    <row r="731" spans="2:82" s="6" customFormat="1">
      <c r="B731" s="21"/>
      <c r="D731" s="17"/>
      <c r="E731" s="23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R731" s="24"/>
      <c r="AS731" s="24"/>
      <c r="AT731" s="24"/>
      <c r="AU731" s="24"/>
      <c r="AV731" s="24"/>
      <c r="AW731" s="24"/>
      <c r="BD731" s="24"/>
      <c r="BE731" s="24"/>
      <c r="BF731" s="24"/>
      <c r="BG731" s="24"/>
      <c r="BH731" s="24"/>
      <c r="BI731" s="24"/>
      <c r="BP731" s="24"/>
      <c r="BQ731" s="24"/>
      <c r="BR731" s="24"/>
      <c r="BS731" s="24"/>
      <c r="BZ731" s="24"/>
      <c r="CA731" s="24"/>
      <c r="CB731" s="24"/>
      <c r="CC731" s="24"/>
      <c r="CD731" s="24"/>
    </row>
    <row r="732" spans="2:82" s="6" customFormat="1">
      <c r="B732" s="21"/>
      <c r="D732" s="17"/>
      <c r="E732" s="23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R732" s="24"/>
      <c r="AS732" s="24"/>
      <c r="AT732" s="24"/>
      <c r="AU732" s="24"/>
      <c r="AV732" s="24"/>
      <c r="AW732" s="24"/>
      <c r="BD732" s="24"/>
      <c r="BE732" s="24"/>
      <c r="BF732" s="24"/>
      <c r="BG732" s="24"/>
      <c r="BH732" s="24"/>
      <c r="BI732" s="24"/>
      <c r="BP732" s="24"/>
      <c r="BQ732" s="24"/>
      <c r="BR732" s="24"/>
      <c r="BS732" s="24"/>
      <c r="BZ732" s="24"/>
      <c r="CA732" s="24"/>
      <c r="CB732" s="24"/>
      <c r="CC732" s="24"/>
      <c r="CD732" s="24"/>
    </row>
    <row r="733" spans="2:82" s="6" customFormat="1">
      <c r="B733" s="21"/>
      <c r="D733" s="17"/>
      <c r="E733" s="23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R733" s="24"/>
      <c r="AS733" s="24"/>
      <c r="AT733" s="24"/>
      <c r="AU733" s="24"/>
      <c r="AV733" s="24"/>
      <c r="AW733" s="24"/>
      <c r="BD733" s="24"/>
      <c r="BE733" s="24"/>
      <c r="BF733" s="24"/>
      <c r="BG733" s="24"/>
      <c r="BH733" s="24"/>
      <c r="BI733" s="24"/>
      <c r="BP733" s="24"/>
      <c r="BQ733" s="24"/>
      <c r="BR733" s="24"/>
      <c r="BS733" s="24"/>
      <c r="BZ733" s="24"/>
      <c r="CA733" s="24"/>
      <c r="CB733" s="24"/>
      <c r="CC733" s="24"/>
      <c r="CD733" s="24"/>
    </row>
    <row r="734" spans="2:82" s="6" customFormat="1">
      <c r="B734" s="21"/>
      <c r="D734" s="17"/>
      <c r="E734" s="23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R734" s="24"/>
      <c r="AS734" s="24"/>
      <c r="AT734" s="24"/>
      <c r="AU734" s="24"/>
      <c r="AV734" s="24"/>
      <c r="AW734" s="24"/>
      <c r="BD734" s="24"/>
      <c r="BE734" s="24"/>
      <c r="BF734" s="24"/>
      <c r="BG734" s="24"/>
      <c r="BH734" s="24"/>
      <c r="BI734" s="24"/>
      <c r="BP734" s="24"/>
      <c r="BQ734" s="24"/>
      <c r="BR734" s="24"/>
      <c r="BS734" s="24"/>
      <c r="BZ734" s="24"/>
      <c r="CA734" s="24"/>
      <c r="CB734" s="24"/>
      <c r="CC734" s="24"/>
      <c r="CD734" s="24"/>
    </row>
    <row r="735" spans="2:82" s="6" customFormat="1">
      <c r="B735" s="21"/>
      <c r="D735" s="17"/>
      <c r="E735" s="23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R735" s="24"/>
      <c r="AS735" s="24"/>
      <c r="AT735" s="24"/>
      <c r="AU735" s="24"/>
      <c r="AV735" s="24"/>
      <c r="AW735" s="24"/>
      <c r="BD735" s="24"/>
      <c r="BE735" s="24"/>
      <c r="BF735" s="24"/>
      <c r="BG735" s="24"/>
      <c r="BH735" s="24"/>
      <c r="BI735" s="24"/>
      <c r="BP735" s="24"/>
      <c r="BQ735" s="24"/>
      <c r="BR735" s="24"/>
      <c r="BS735" s="24"/>
      <c r="BZ735" s="24"/>
      <c r="CA735" s="24"/>
      <c r="CB735" s="24"/>
      <c r="CC735" s="24"/>
      <c r="CD735" s="24"/>
    </row>
    <row r="736" spans="2:82" s="6" customFormat="1">
      <c r="B736" s="21"/>
      <c r="D736" s="17"/>
      <c r="E736" s="23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R736" s="24"/>
      <c r="AS736" s="24"/>
      <c r="AT736" s="24"/>
      <c r="AU736" s="24"/>
      <c r="AV736" s="24"/>
      <c r="AW736" s="24"/>
      <c r="BD736" s="24"/>
      <c r="BE736" s="24"/>
      <c r="BF736" s="24"/>
      <c r="BG736" s="24"/>
      <c r="BH736" s="24"/>
      <c r="BI736" s="24"/>
      <c r="BP736" s="24"/>
      <c r="BQ736" s="24"/>
      <c r="BR736" s="24"/>
      <c r="BS736" s="24"/>
      <c r="BZ736" s="24"/>
      <c r="CA736" s="24"/>
      <c r="CB736" s="24"/>
      <c r="CC736" s="24"/>
      <c r="CD736" s="24"/>
    </row>
    <row r="737" spans="2:82" s="6" customFormat="1">
      <c r="B737" s="21"/>
      <c r="D737" s="17"/>
      <c r="E737" s="23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R737" s="24"/>
      <c r="AS737" s="24"/>
      <c r="AT737" s="24"/>
      <c r="AU737" s="24"/>
      <c r="AV737" s="24"/>
      <c r="AW737" s="24"/>
      <c r="BD737" s="24"/>
      <c r="BE737" s="24"/>
      <c r="BF737" s="24"/>
      <c r="BG737" s="24"/>
      <c r="BH737" s="24"/>
      <c r="BI737" s="24"/>
      <c r="BP737" s="24"/>
      <c r="BQ737" s="24"/>
      <c r="BR737" s="24"/>
      <c r="BS737" s="24"/>
      <c r="BZ737" s="24"/>
      <c r="CA737" s="24"/>
      <c r="CB737" s="24"/>
      <c r="CC737" s="24"/>
      <c r="CD737" s="24"/>
    </row>
    <row r="738" spans="2:82" s="6" customFormat="1">
      <c r="B738" s="21"/>
      <c r="D738" s="17"/>
      <c r="E738" s="23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R738" s="24"/>
      <c r="AS738" s="24"/>
      <c r="AT738" s="24"/>
      <c r="AU738" s="24"/>
      <c r="AV738" s="24"/>
      <c r="AW738" s="24"/>
      <c r="BD738" s="24"/>
      <c r="BE738" s="24"/>
      <c r="BF738" s="24"/>
      <c r="BG738" s="24"/>
      <c r="BH738" s="24"/>
      <c r="BI738" s="24"/>
      <c r="BP738" s="24"/>
      <c r="BQ738" s="24"/>
      <c r="BR738" s="24"/>
      <c r="BS738" s="24"/>
      <c r="BZ738" s="24"/>
      <c r="CA738" s="24"/>
      <c r="CB738" s="24"/>
      <c r="CC738" s="24"/>
      <c r="CD738" s="24"/>
    </row>
    <row r="739" spans="2:82" s="6" customFormat="1">
      <c r="B739" s="21"/>
      <c r="D739" s="17"/>
      <c r="E739" s="23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R739" s="24"/>
      <c r="AS739" s="24"/>
      <c r="AT739" s="24"/>
      <c r="AU739" s="24"/>
      <c r="AV739" s="24"/>
      <c r="AW739" s="24"/>
      <c r="BD739" s="24"/>
      <c r="BE739" s="24"/>
      <c r="BF739" s="24"/>
      <c r="BG739" s="24"/>
      <c r="BH739" s="24"/>
      <c r="BI739" s="24"/>
      <c r="BP739" s="24"/>
      <c r="BQ739" s="24"/>
      <c r="BR739" s="24"/>
      <c r="BS739" s="24"/>
      <c r="BZ739" s="24"/>
      <c r="CA739" s="24"/>
      <c r="CB739" s="24"/>
      <c r="CC739" s="24"/>
      <c r="CD739" s="24"/>
    </row>
    <row r="740" spans="2:82" s="6" customFormat="1">
      <c r="B740" s="21"/>
      <c r="D740" s="17"/>
      <c r="E740" s="23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R740" s="24"/>
      <c r="AS740" s="24"/>
      <c r="AT740" s="24"/>
      <c r="AU740" s="24"/>
      <c r="AV740" s="24"/>
      <c r="AW740" s="24"/>
      <c r="BD740" s="24"/>
      <c r="BE740" s="24"/>
      <c r="BF740" s="24"/>
      <c r="BG740" s="24"/>
      <c r="BH740" s="24"/>
      <c r="BI740" s="24"/>
      <c r="BP740" s="24"/>
      <c r="BQ740" s="24"/>
      <c r="BR740" s="24"/>
      <c r="BS740" s="24"/>
      <c r="BZ740" s="24"/>
      <c r="CA740" s="24"/>
      <c r="CB740" s="24"/>
      <c r="CC740" s="24"/>
      <c r="CD740" s="24"/>
    </row>
    <row r="741" spans="2:82" s="6" customFormat="1">
      <c r="B741" s="21"/>
      <c r="D741" s="17"/>
      <c r="E741" s="23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R741" s="24"/>
      <c r="AS741" s="24"/>
      <c r="AT741" s="24"/>
      <c r="AU741" s="24"/>
      <c r="AV741" s="24"/>
      <c r="AW741" s="24"/>
      <c r="BD741" s="24"/>
      <c r="BE741" s="24"/>
      <c r="BF741" s="24"/>
      <c r="BG741" s="24"/>
      <c r="BH741" s="24"/>
      <c r="BI741" s="24"/>
      <c r="BP741" s="24"/>
      <c r="BQ741" s="24"/>
      <c r="BR741" s="24"/>
      <c r="BS741" s="24"/>
      <c r="BZ741" s="24"/>
      <c r="CA741" s="24"/>
      <c r="CB741" s="24"/>
      <c r="CC741" s="24"/>
      <c r="CD741" s="24"/>
    </row>
    <row r="742" spans="2:82" s="6" customFormat="1">
      <c r="B742" s="21"/>
      <c r="D742" s="17"/>
      <c r="E742" s="23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R742" s="24"/>
      <c r="AS742" s="24"/>
      <c r="AT742" s="24"/>
      <c r="AU742" s="24"/>
      <c r="AV742" s="24"/>
      <c r="AW742" s="24"/>
      <c r="BD742" s="24"/>
      <c r="BE742" s="24"/>
      <c r="BF742" s="24"/>
      <c r="BG742" s="24"/>
      <c r="BH742" s="24"/>
      <c r="BI742" s="24"/>
      <c r="BP742" s="24"/>
      <c r="BQ742" s="24"/>
      <c r="BR742" s="24"/>
      <c r="BS742" s="24"/>
      <c r="BZ742" s="24"/>
      <c r="CA742" s="24"/>
      <c r="CB742" s="24"/>
      <c r="CC742" s="24"/>
      <c r="CD742" s="24"/>
    </row>
    <row r="743" spans="2:82" s="6" customFormat="1">
      <c r="B743" s="21"/>
      <c r="D743" s="17"/>
      <c r="E743" s="23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R743" s="24"/>
      <c r="AS743" s="24"/>
      <c r="AT743" s="24"/>
      <c r="AU743" s="24"/>
      <c r="AV743" s="24"/>
      <c r="AW743" s="24"/>
      <c r="BD743" s="24"/>
      <c r="BE743" s="24"/>
      <c r="BF743" s="24"/>
      <c r="BG743" s="24"/>
      <c r="BH743" s="24"/>
      <c r="BI743" s="24"/>
      <c r="BP743" s="24"/>
      <c r="BQ743" s="24"/>
      <c r="BR743" s="24"/>
      <c r="BS743" s="24"/>
      <c r="BZ743" s="24"/>
      <c r="CA743" s="24"/>
      <c r="CB743" s="24"/>
      <c r="CC743" s="24"/>
      <c r="CD743" s="24"/>
    </row>
    <row r="744" spans="2:82" s="6" customFormat="1">
      <c r="B744" s="21"/>
      <c r="D744" s="17"/>
      <c r="E744" s="23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R744" s="24"/>
      <c r="AS744" s="24"/>
      <c r="AT744" s="24"/>
      <c r="AU744" s="24"/>
      <c r="AV744" s="24"/>
      <c r="AW744" s="24"/>
      <c r="BD744" s="24"/>
      <c r="BE744" s="24"/>
      <c r="BF744" s="24"/>
      <c r="BG744" s="24"/>
      <c r="BH744" s="24"/>
      <c r="BI744" s="24"/>
      <c r="BP744" s="24"/>
      <c r="BQ744" s="24"/>
      <c r="BR744" s="24"/>
      <c r="BS744" s="24"/>
      <c r="BZ744" s="24"/>
      <c r="CA744" s="24"/>
      <c r="CB744" s="24"/>
      <c r="CC744" s="24"/>
      <c r="CD744" s="24"/>
    </row>
    <row r="745" spans="2:82" s="6" customFormat="1">
      <c r="B745" s="21"/>
      <c r="D745" s="17"/>
      <c r="E745" s="23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R745" s="24"/>
      <c r="AS745" s="24"/>
      <c r="AT745" s="24"/>
      <c r="AU745" s="24"/>
      <c r="AV745" s="24"/>
      <c r="AW745" s="24"/>
      <c r="BD745" s="24"/>
      <c r="BE745" s="24"/>
      <c r="BF745" s="24"/>
      <c r="BG745" s="24"/>
      <c r="BH745" s="24"/>
      <c r="BI745" s="24"/>
      <c r="BP745" s="24"/>
      <c r="BQ745" s="24"/>
      <c r="BR745" s="24"/>
      <c r="BS745" s="24"/>
      <c r="BZ745" s="24"/>
      <c r="CA745" s="24"/>
      <c r="CB745" s="24"/>
      <c r="CC745" s="24"/>
      <c r="CD745" s="24"/>
    </row>
    <row r="746" spans="2:82" s="6" customFormat="1">
      <c r="B746" s="21"/>
      <c r="D746" s="17"/>
      <c r="E746" s="23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R746" s="24"/>
      <c r="AS746" s="24"/>
      <c r="AT746" s="24"/>
      <c r="AU746" s="24"/>
      <c r="AV746" s="24"/>
      <c r="AW746" s="24"/>
      <c r="BD746" s="24"/>
      <c r="BE746" s="24"/>
      <c r="BF746" s="24"/>
      <c r="BG746" s="24"/>
      <c r="BH746" s="24"/>
      <c r="BI746" s="24"/>
      <c r="BP746" s="24"/>
      <c r="BQ746" s="24"/>
      <c r="BR746" s="24"/>
      <c r="BS746" s="24"/>
      <c r="BZ746" s="24"/>
      <c r="CA746" s="24"/>
      <c r="CB746" s="24"/>
      <c r="CC746" s="24"/>
      <c r="CD746" s="24"/>
    </row>
    <row r="747" spans="2:82" s="6" customFormat="1">
      <c r="B747" s="21"/>
      <c r="D747" s="17"/>
      <c r="E747" s="23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R747" s="24"/>
      <c r="AS747" s="24"/>
      <c r="AT747" s="24"/>
      <c r="AU747" s="24"/>
      <c r="AV747" s="24"/>
      <c r="AW747" s="24"/>
      <c r="BD747" s="24"/>
      <c r="BE747" s="24"/>
      <c r="BF747" s="24"/>
      <c r="BG747" s="24"/>
      <c r="BH747" s="24"/>
      <c r="BI747" s="24"/>
      <c r="BP747" s="24"/>
      <c r="BQ747" s="24"/>
      <c r="BR747" s="24"/>
      <c r="BS747" s="24"/>
      <c r="BZ747" s="24"/>
      <c r="CA747" s="24"/>
      <c r="CB747" s="24"/>
      <c r="CC747" s="24"/>
      <c r="CD747" s="24"/>
    </row>
    <row r="748" spans="2:82" s="6" customFormat="1">
      <c r="B748" s="21"/>
      <c r="D748" s="17"/>
      <c r="E748" s="23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R748" s="24"/>
      <c r="AS748" s="24"/>
      <c r="AT748" s="24"/>
      <c r="AU748" s="24"/>
      <c r="AV748" s="24"/>
      <c r="AW748" s="24"/>
      <c r="BD748" s="24"/>
      <c r="BE748" s="24"/>
      <c r="BF748" s="24"/>
      <c r="BG748" s="24"/>
      <c r="BH748" s="24"/>
      <c r="BI748" s="24"/>
      <c r="BP748" s="24"/>
      <c r="BQ748" s="24"/>
      <c r="BR748" s="24"/>
      <c r="BS748" s="24"/>
      <c r="BZ748" s="24"/>
      <c r="CA748" s="24"/>
      <c r="CB748" s="24"/>
      <c r="CC748" s="24"/>
      <c r="CD748" s="24"/>
    </row>
    <row r="749" spans="2:82" s="6" customFormat="1">
      <c r="B749" s="21"/>
      <c r="D749" s="17"/>
      <c r="E749" s="23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R749" s="24"/>
      <c r="AS749" s="24"/>
      <c r="AT749" s="24"/>
      <c r="AU749" s="24"/>
      <c r="AV749" s="24"/>
      <c r="AW749" s="24"/>
      <c r="BD749" s="24"/>
      <c r="BE749" s="24"/>
      <c r="BF749" s="24"/>
      <c r="BG749" s="24"/>
      <c r="BH749" s="24"/>
      <c r="BI749" s="24"/>
      <c r="BP749" s="24"/>
      <c r="BQ749" s="24"/>
      <c r="BR749" s="24"/>
      <c r="BS749" s="24"/>
      <c r="BZ749" s="24"/>
      <c r="CA749" s="24"/>
      <c r="CB749" s="24"/>
      <c r="CC749" s="24"/>
      <c r="CD749" s="24"/>
    </row>
    <row r="750" spans="2:82" s="6" customFormat="1">
      <c r="B750" s="21"/>
      <c r="D750" s="17"/>
      <c r="E750" s="23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R750" s="24"/>
      <c r="AS750" s="24"/>
      <c r="AT750" s="24"/>
      <c r="AU750" s="24"/>
      <c r="AV750" s="24"/>
      <c r="AW750" s="24"/>
      <c r="BD750" s="24"/>
      <c r="BE750" s="24"/>
      <c r="BF750" s="24"/>
      <c r="BG750" s="24"/>
      <c r="BH750" s="24"/>
      <c r="BI750" s="24"/>
      <c r="BP750" s="24"/>
      <c r="BQ750" s="24"/>
      <c r="BR750" s="24"/>
      <c r="BS750" s="24"/>
      <c r="BZ750" s="24"/>
      <c r="CA750" s="24"/>
      <c r="CB750" s="24"/>
      <c r="CC750" s="24"/>
      <c r="CD750" s="24"/>
    </row>
    <row r="751" spans="2:82" s="6" customFormat="1">
      <c r="B751" s="21"/>
      <c r="D751" s="17"/>
      <c r="E751" s="23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R751" s="24"/>
      <c r="AS751" s="24"/>
      <c r="AT751" s="24"/>
      <c r="AU751" s="24"/>
      <c r="AV751" s="24"/>
      <c r="AW751" s="24"/>
      <c r="BD751" s="24"/>
      <c r="BE751" s="24"/>
      <c r="BF751" s="24"/>
      <c r="BG751" s="24"/>
      <c r="BH751" s="24"/>
      <c r="BI751" s="24"/>
      <c r="BP751" s="24"/>
      <c r="BQ751" s="24"/>
      <c r="BR751" s="24"/>
      <c r="BS751" s="24"/>
      <c r="BZ751" s="24"/>
      <c r="CA751" s="24"/>
      <c r="CB751" s="24"/>
      <c r="CC751" s="24"/>
      <c r="CD751" s="24"/>
    </row>
    <row r="752" spans="2:82" s="6" customFormat="1">
      <c r="B752" s="21"/>
      <c r="D752" s="17"/>
      <c r="E752" s="23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R752" s="24"/>
      <c r="AS752" s="24"/>
      <c r="AT752" s="24"/>
      <c r="AU752" s="24"/>
      <c r="AV752" s="24"/>
      <c r="AW752" s="24"/>
      <c r="BD752" s="24"/>
      <c r="BE752" s="24"/>
      <c r="BF752" s="24"/>
      <c r="BG752" s="24"/>
      <c r="BH752" s="24"/>
      <c r="BI752" s="24"/>
      <c r="BP752" s="24"/>
      <c r="BQ752" s="24"/>
      <c r="BR752" s="24"/>
      <c r="BS752" s="24"/>
      <c r="BZ752" s="24"/>
      <c r="CA752" s="24"/>
      <c r="CB752" s="24"/>
      <c r="CC752" s="24"/>
      <c r="CD752" s="24"/>
    </row>
    <row r="753" spans="2:82" s="6" customFormat="1">
      <c r="B753" s="21"/>
      <c r="D753" s="17"/>
      <c r="E753" s="23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R753" s="24"/>
      <c r="AS753" s="24"/>
      <c r="AT753" s="24"/>
      <c r="AU753" s="24"/>
      <c r="AV753" s="24"/>
      <c r="AW753" s="24"/>
      <c r="BD753" s="24"/>
      <c r="BE753" s="24"/>
      <c r="BF753" s="24"/>
      <c r="BG753" s="24"/>
      <c r="BH753" s="24"/>
      <c r="BI753" s="24"/>
      <c r="BP753" s="24"/>
      <c r="BQ753" s="24"/>
      <c r="BR753" s="24"/>
      <c r="BS753" s="24"/>
      <c r="BZ753" s="24"/>
      <c r="CA753" s="24"/>
      <c r="CB753" s="24"/>
      <c r="CC753" s="24"/>
      <c r="CD753" s="24"/>
    </row>
    <row r="754" spans="2:82" s="6" customFormat="1">
      <c r="B754" s="21"/>
      <c r="D754" s="17"/>
      <c r="E754" s="23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R754" s="24"/>
      <c r="AS754" s="24"/>
      <c r="AT754" s="24"/>
      <c r="AU754" s="24"/>
      <c r="AV754" s="24"/>
      <c r="AW754" s="24"/>
      <c r="BD754" s="24"/>
      <c r="BE754" s="24"/>
      <c r="BF754" s="24"/>
      <c r="BG754" s="24"/>
      <c r="BH754" s="24"/>
      <c r="BI754" s="24"/>
      <c r="BP754" s="24"/>
      <c r="BQ754" s="24"/>
      <c r="BR754" s="24"/>
      <c r="BS754" s="24"/>
      <c r="BZ754" s="24"/>
      <c r="CA754" s="24"/>
      <c r="CB754" s="24"/>
      <c r="CC754" s="24"/>
      <c r="CD754" s="24"/>
    </row>
    <row r="755" spans="2:82" s="6" customFormat="1">
      <c r="B755" s="21"/>
      <c r="D755" s="17"/>
      <c r="E755" s="23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R755" s="24"/>
      <c r="AS755" s="24"/>
      <c r="AT755" s="24"/>
      <c r="AU755" s="24"/>
      <c r="AV755" s="24"/>
      <c r="AW755" s="24"/>
      <c r="BD755" s="24"/>
      <c r="BE755" s="24"/>
      <c r="BF755" s="24"/>
      <c r="BG755" s="24"/>
      <c r="BH755" s="24"/>
      <c r="BI755" s="24"/>
      <c r="BP755" s="24"/>
      <c r="BQ755" s="24"/>
      <c r="BR755" s="24"/>
      <c r="BS755" s="24"/>
      <c r="BZ755" s="24"/>
      <c r="CA755" s="24"/>
      <c r="CB755" s="24"/>
      <c r="CC755" s="24"/>
      <c r="CD755" s="24"/>
    </row>
    <row r="756" spans="2:82" s="6" customFormat="1">
      <c r="B756" s="21"/>
      <c r="D756" s="17"/>
      <c r="E756" s="23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R756" s="24"/>
      <c r="AS756" s="24"/>
      <c r="AT756" s="24"/>
      <c r="AU756" s="24"/>
      <c r="AV756" s="24"/>
      <c r="AW756" s="24"/>
      <c r="BD756" s="24"/>
      <c r="BE756" s="24"/>
      <c r="BF756" s="24"/>
      <c r="BG756" s="24"/>
      <c r="BH756" s="24"/>
      <c r="BI756" s="24"/>
      <c r="BP756" s="24"/>
      <c r="BQ756" s="24"/>
      <c r="BR756" s="24"/>
      <c r="BS756" s="24"/>
      <c r="BZ756" s="24"/>
      <c r="CA756" s="24"/>
      <c r="CB756" s="24"/>
      <c r="CC756" s="24"/>
      <c r="CD756" s="24"/>
    </row>
    <row r="757" spans="2:82" s="6" customFormat="1">
      <c r="B757" s="21"/>
      <c r="D757" s="17"/>
      <c r="E757" s="23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R757" s="24"/>
      <c r="AS757" s="24"/>
      <c r="AT757" s="24"/>
      <c r="AU757" s="24"/>
      <c r="AV757" s="24"/>
      <c r="AW757" s="24"/>
      <c r="BD757" s="24"/>
      <c r="BE757" s="24"/>
      <c r="BF757" s="24"/>
      <c r="BG757" s="24"/>
      <c r="BH757" s="24"/>
      <c r="BI757" s="24"/>
      <c r="BP757" s="24"/>
      <c r="BQ757" s="24"/>
      <c r="BR757" s="24"/>
      <c r="BS757" s="24"/>
      <c r="BZ757" s="24"/>
      <c r="CA757" s="24"/>
      <c r="CB757" s="24"/>
      <c r="CC757" s="24"/>
      <c r="CD757" s="24"/>
    </row>
    <row r="758" spans="2:82" s="6" customFormat="1">
      <c r="B758" s="21"/>
      <c r="D758" s="17"/>
      <c r="E758" s="23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R758" s="24"/>
      <c r="AS758" s="24"/>
      <c r="AT758" s="24"/>
      <c r="AU758" s="24"/>
      <c r="AV758" s="24"/>
      <c r="AW758" s="24"/>
      <c r="BD758" s="24"/>
      <c r="BE758" s="24"/>
      <c r="BF758" s="24"/>
      <c r="BG758" s="24"/>
      <c r="BH758" s="24"/>
      <c r="BI758" s="24"/>
      <c r="BP758" s="24"/>
      <c r="BQ758" s="24"/>
      <c r="BR758" s="24"/>
      <c r="BS758" s="24"/>
      <c r="BZ758" s="24"/>
      <c r="CA758" s="24"/>
      <c r="CB758" s="24"/>
      <c r="CC758" s="24"/>
      <c r="CD758" s="24"/>
    </row>
    <row r="759" spans="2:82" s="6" customFormat="1">
      <c r="B759" s="21"/>
      <c r="D759" s="17"/>
      <c r="E759" s="23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R759" s="24"/>
      <c r="AS759" s="24"/>
      <c r="AT759" s="24"/>
      <c r="AU759" s="24"/>
      <c r="AV759" s="24"/>
      <c r="AW759" s="24"/>
      <c r="BD759" s="24"/>
      <c r="BE759" s="24"/>
      <c r="BF759" s="24"/>
      <c r="BG759" s="24"/>
      <c r="BH759" s="24"/>
      <c r="BI759" s="24"/>
      <c r="BP759" s="24"/>
      <c r="BQ759" s="24"/>
      <c r="BR759" s="24"/>
      <c r="BS759" s="24"/>
      <c r="BZ759" s="24"/>
      <c r="CA759" s="24"/>
      <c r="CB759" s="24"/>
      <c r="CC759" s="24"/>
      <c r="CD759" s="24"/>
    </row>
    <row r="760" spans="2:82" s="6" customFormat="1">
      <c r="B760" s="21"/>
      <c r="D760" s="17"/>
      <c r="E760" s="23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R760" s="24"/>
      <c r="AS760" s="24"/>
      <c r="AT760" s="24"/>
      <c r="AU760" s="24"/>
      <c r="AV760" s="24"/>
      <c r="AW760" s="24"/>
      <c r="BD760" s="24"/>
      <c r="BE760" s="24"/>
      <c r="BF760" s="24"/>
      <c r="BG760" s="24"/>
      <c r="BH760" s="24"/>
      <c r="BI760" s="24"/>
      <c r="BP760" s="24"/>
      <c r="BQ760" s="24"/>
      <c r="BR760" s="24"/>
      <c r="BS760" s="24"/>
      <c r="BZ760" s="24"/>
      <c r="CA760" s="24"/>
      <c r="CB760" s="24"/>
      <c r="CC760" s="24"/>
      <c r="CD760" s="24"/>
    </row>
    <row r="761" spans="2:82" s="6" customFormat="1">
      <c r="B761" s="21"/>
      <c r="D761" s="17"/>
      <c r="E761" s="23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R761" s="24"/>
      <c r="AS761" s="24"/>
      <c r="AT761" s="24"/>
      <c r="AU761" s="24"/>
      <c r="AV761" s="24"/>
      <c r="AW761" s="24"/>
      <c r="BD761" s="24"/>
      <c r="BE761" s="24"/>
      <c r="BF761" s="24"/>
      <c r="BG761" s="24"/>
      <c r="BH761" s="24"/>
      <c r="BI761" s="24"/>
      <c r="BP761" s="24"/>
      <c r="BQ761" s="24"/>
      <c r="BR761" s="24"/>
      <c r="BS761" s="24"/>
      <c r="BZ761" s="24"/>
      <c r="CA761" s="24"/>
      <c r="CB761" s="24"/>
      <c r="CC761" s="24"/>
      <c r="CD761" s="24"/>
    </row>
    <row r="762" spans="2:82" s="6" customFormat="1">
      <c r="B762" s="21"/>
      <c r="D762" s="17"/>
      <c r="E762" s="23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R762" s="24"/>
      <c r="AS762" s="24"/>
      <c r="AT762" s="24"/>
      <c r="AU762" s="24"/>
      <c r="AV762" s="24"/>
      <c r="AW762" s="24"/>
      <c r="BD762" s="24"/>
      <c r="BE762" s="24"/>
      <c r="BF762" s="24"/>
      <c r="BG762" s="24"/>
      <c r="BH762" s="24"/>
      <c r="BI762" s="24"/>
      <c r="BP762" s="24"/>
      <c r="BQ762" s="24"/>
      <c r="BR762" s="24"/>
      <c r="BS762" s="24"/>
      <c r="BZ762" s="24"/>
      <c r="CA762" s="24"/>
      <c r="CB762" s="24"/>
      <c r="CC762" s="24"/>
      <c r="CD762" s="24"/>
    </row>
    <row r="763" spans="2:82" s="6" customFormat="1">
      <c r="B763" s="21"/>
      <c r="D763" s="17"/>
      <c r="E763" s="23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R763" s="24"/>
      <c r="AS763" s="24"/>
      <c r="AT763" s="24"/>
      <c r="AU763" s="24"/>
      <c r="AV763" s="24"/>
      <c r="AW763" s="24"/>
      <c r="BD763" s="24"/>
      <c r="BE763" s="24"/>
      <c r="BF763" s="24"/>
      <c r="BG763" s="24"/>
      <c r="BH763" s="24"/>
      <c r="BI763" s="24"/>
      <c r="BP763" s="24"/>
      <c r="BQ763" s="24"/>
      <c r="BR763" s="24"/>
      <c r="BS763" s="24"/>
      <c r="BZ763" s="24"/>
      <c r="CA763" s="24"/>
      <c r="CB763" s="24"/>
      <c r="CC763" s="24"/>
      <c r="CD763" s="24"/>
    </row>
    <row r="764" spans="2:82" s="6" customFormat="1">
      <c r="B764" s="21"/>
      <c r="D764" s="17"/>
      <c r="E764" s="23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R764" s="24"/>
      <c r="AS764" s="24"/>
      <c r="AT764" s="24"/>
      <c r="AU764" s="24"/>
      <c r="AV764" s="24"/>
      <c r="AW764" s="24"/>
      <c r="BD764" s="24"/>
      <c r="BE764" s="24"/>
      <c r="BF764" s="24"/>
      <c r="BG764" s="24"/>
      <c r="BH764" s="24"/>
      <c r="BI764" s="24"/>
      <c r="BP764" s="24"/>
      <c r="BQ764" s="24"/>
      <c r="BR764" s="24"/>
      <c r="BS764" s="24"/>
      <c r="BZ764" s="24"/>
      <c r="CA764" s="24"/>
      <c r="CB764" s="24"/>
      <c r="CC764" s="24"/>
      <c r="CD764" s="24"/>
    </row>
    <row r="765" spans="2:82" s="6" customFormat="1">
      <c r="B765" s="21"/>
      <c r="D765" s="17"/>
      <c r="E765" s="23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R765" s="24"/>
      <c r="AS765" s="24"/>
      <c r="AT765" s="24"/>
      <c r="AU765" s="24"/>
      <c r="AV765" s="24"/>
      <c r="AW765" s="24"/>
      <c r="BD765" s="24"/>
      <c r="BE765" s="24"/>
      <c r="BF765" s="24"/>
      <c r="BG765" s="24"/>
      <c r="BH765" s="24"/>
      <c r="BI765" s="24"/>
      <c r="BP765" s="24"/>
      <c r="BQ765" s="24"/>
      <c r="BR765" s="24"/>
      <c r="BS765" s="24"/>
      <c r="BZ765" s="24"/>
      <c r="CA765" s="24"/>
      <c r="CB765" s="24"/>
      <c r="CC765" s="24"/>
      <c r="CD765" s="24"/>
    </row>
    <row r="766" spans="2:82" s="6" customFormat="1">
      <c r="B766" s="21"/>
      <c r="D766" s="17"/>
      <c r="E766" s="23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R766" s="24"/>
      <c r="AS766" s="24"/>
      <c r="AT766" s="24"/>
      <c r="AU766" s="24"/>
      <c r="AV766" s="24"/>
      <c r="AW766" s="24"/>
      <c r="BD766" s="24"/>
      <c r="BE766" s="24"/>
      <c r="BF766" s="24"/>
      <c r="BG766" s="24"/>
      <c r="BH766" s="24"/>
      <c r="BI766" s="24"/>
      <c r="BP766" s="24"/>
      <c r="BQ766" s="24"/>
      <c r="BR766" s="24"/>
      <c r="BS766" s="24"/>
      <c r="BZ766" s="24"/>
      <c r="CA766" s="24"/>
      <c r="CB766" s="24"/>
      <c r="CC766" s="24"/>
      <c r="CD766" s="24"/>
    </row>
    <row r="767" spans="2:82" s="6" customFormat="1">
      <c r="B767" s="21"/>
      <c r="D767" s="17"/>
      <c r="E767" s="23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R767" s="24"/>
      <c r="AS767" s="24"/>
      <c r="AT767" s="24"/>
      <c r="AU767" s="24"/>
      <c r="AV767" s="24"/>
      <c r="AW767" s="24"/>
      <c r="BD767" s="24"/>
      <c r="BE767" s="24"/>
      <c r="BF767" s="24"/>
      <c r="BG767" s="24"/>
      <c r="BH767" s="24"/>
      <c r="BI767" s="24"/>
      <c r="BP767" s="24"/>
      <c r="BQ767" s="24"/>
      <c r="BR767" s="24"/>
      <c r="BS767" s="24"/>
      <c r="BZ767" s="24"/>
      <c r="CA767" s="24"/>
      <c r="CB767" s="24"/>
      <c r="CC767" s="24"/>
      <c r="CD767" s="24"/>
    </row>
    <row r="768" spans="2:82" s="6" customFormat="1">
      <c r="B768" s="21"/>
      <c r="D768" s="17"/>
      <c r="E768" s="23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R768" s="24"/>
      <c r="AS768" s="24"/>
      <c r="AT768" s="24"/>
      <c r="AU768" s="24"/>
      <c r="AV768" s="24"/>
      <c r="AW768" s="24"/>
      <c r="BD768" s="24"/>
      <c r="BE768" s="24"/>
      <c r="BF768" s="24"/>
      <c r="BG768" s="24"/>
      <c r="BH768" s="24"/>
      <c r="BI768" s="24"/>
      <c r="BP768" s="24"/>
      <c r="BQ768" s="24"/>
      <c r="BR768" s="24"/>
      <c r="BS768" s="24"/>
      <c r="BZ768" s="24"/>
      <c r="CA768" s="24"/>
      <c r="CB768" s="24"/>
      <c r="CC768" s="24"/>
      <c r="CD768" s="24"/>
    </row>
    <row r="769" spans="2:82" s="6" customFormat="1">
      <c r="B769" s="21"/>
      <c r="D769" s="17"/>
      <c r="E769" s="23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R769" s="24"/>
      <c r="AS769" s="24"/>
      <c r="AT769" s="24"/>
      <c r="AU769" s="24"/>
      <c r="AV769" s="24"/>
      <c r="AW769" s="24"/>
      <c r="BD769" s="24"/>
      <c r="BE769" s="24"/>
      <c r="BF769" s="24"/>
      <c r="BG769" s="24"/>
      <c r="BH769" s="24"/>
      <c r="BI769" s="24"/>
      <c r="BP769" s="24"/>
      <c r="BQ769" s="24"/>
      <c r="BR769" s="24"/>
      <c r="BS769" s="24"/>
      <c r="BZ769" s="24"/>
      <c r="CA769" s="24"/>
      <c r="CB769" s="24"/>
      <c r="CC769" s="24"/>
      <c r="CD769" s="24"/>
    </row>
    <row r="770" spans="2:82" s="6" customFormat="1">
      <c r="B770" s="21"/>
      <c r="D770" s="17"/>
      <c r="E770" s="23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R770" s="24"/>
      <c r="AS770" s="24"/>
      <c r="AT770" s="24"/>
      <c r="AU770" s="24"/>
      <c r="AV770" s="24"/>
      <c r="AW770" s="24"/>
      <c r="BD770" s="24"/>
      <c r="BE770" s="24"/>
      <c r="BF770" s="24"/>
      <c r="BG770" s="24"/>
      <c r="BH770" s="24"/>
      <c r="BI770" s="24"/>
      <c r="BP770" s="24"/>
      <c r="BQ770" s="24"/>
      <c r="BR770" s="24"/>
      <c r="BS770" s="24"/>
      <c r="BZ770" s="24"/>
      <c r="CA770" s="24"/>
      <c r="CB770" s="24"/>
      <c r="CC770" s="24"/>
      <c r="CD770" s="24"/>
    </row>
    <row r="771" spans="2:82" s="6" customFormat="1">
      <c r="B771" s="21"/>
      <c r="D771" s="17"/>
      <c r="E771" s="23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R771" s="24"/>
      <c r="AS771" s="24"/>
      <c r="AT771" s="24"/>
      <c r="AU771" s="24"/>
      <c r="AV771" s="24"/>
      <c r="AW771" s="24"/>
      <c r="BD771" s="24"/>
      <c r="BE771" s="24"/>
      <c r="BF771" s="24"/>
      <c r="BG771" s="24"/>
      <c r="BH771" s="24"/>
      <c r="BI771" s="24"/>
      <c r="BP771" s="24"/>
      <c r="BQ771" s="24"/>
      <c r="BR771" s="24"/>
      <c r="BS771" s="24"/>
      <c r="BZ771" s="24"/>
      <c r="CA771" s="24"/>
      <c r="CB771" s="24"/>
      <c r="CC771" s="24"/>
      <c r="CD771" s="24"/>
    </row>
    <row r="772" spans="2:82" s="6" customFormat="1">
      <c r="B772" s="21"/>
      <c r="D772" s="17"/>
      <c r="E772" s="23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R772" s="24"/>
      <c r="AS772" s="24"/>
      <c r="AT772" s="24"/>
      <c r="AU772" s="24"/>
      <c r="AV772" s="24"/>
      <c r="AW772" s="24"/>
      <c r="BD772" s="24"/>
      <c r="BE772" s="24"/>
      <c r="BF772" s="24"/>
      <c r="BG772" s="24"/>
      <c r="BH772" s="24"/>
      <c r="BI772" s="24"/>
      <c r="BP772" s="24"/>
      <c r="BQ772" s="24"/>
      <c r="BR772" s="24"/>
      <c r="BS772" s="24"/>
      <c r="BZ772" s="24"/>
      <c r="CA772" s="24"/>
      <c r="CB772" s="24"/>
      <c r="CC772" s="24"/>
      <c r="CD772" s="24"/>
    </row>
    <row r="773" spans="2:82" s="6" customFormat="1">
      <c r="B773" s="21"/>
      <c r="D773" s="17"/>
      <c r="E773" s="23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R773" s="24"/>
      <c r="AS773" s="24"/>
      <c r="AT773" s="24"/>
      <c r="AU773" s="24"/>
      <c r="AV773" s="24"/>
      <c r="AW773" s="24"/>
      <c r="BD773" s="24"/>
      <c r="BE773" s="24"/>
      <c r="BF773" s="24"/>
      <c r="BG773" s="24"/>
      <c r="BH773" s="24"/>
      <c r="BI773" s="24"/>
      <c r="BP773" s="24"/>
      <c r="BQ773" s="24"/>
      <c r="BR773" s="24"/>
      <c r="BS773" s="24"/>
      <c r="BZ773" s="24"/>
      <c r="CA773" s="24"/>
      <c r="CB773" s="24"/>
      <c r="CC773" s="24"/>
      <c r="CD773" s="24"/>
    </row>
    <row r="774" spans="2:82" s="6" customFormat="1">
      <c r="B774" s="21"/>
      <c r="D774" s="17"/>
      <c r="E774" s="23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R774" s="24"/>
      <c r="AS774" s="24"/>
      <c r="AT774" s="24"/>
      <c r="AU774" s="24"/>
      <c r="AV774" s="24"/>
      <c r="AW774" s="24"/>
      <c r="BD774" s="24"/>
      <c r="BE774" s="24"/>
      <c r="BF774" s="24"/>
      <c r="BG774" s="24"/>
      <c r="BH774" s="24"/>
      <c r="BI774" s="24"/>
      <c r="BP774" s="24"/>
      <c r="BQ774" s="24"/>
      <c r="BR774" s="24"/>
      <c r="BS774" s="24"/>
      <c r="BZ774" s="24"/>
      <c r="CA774" s="24"/>
      <c r="CB774" s="24"/>
      <c r="CC774" s="24"/>
      <c r="CD774" s="24"/>
    </row>
    <row r="775" spans="2:82" s="6" customFormat="1">
      <c r="B775" s="21"/>
      <c r="D775" s="17"/>
      <c r="E775" s="23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R775" s="24"/>
      <c r="AS775" s="24"/>
      <c r="AT775" s="24"/>
      <c r="AU775" s="24"/>
      <c r="AV775" s="24"/>
      <c r="AW775" s="24"/>
      <c r="BD775" s="24"/>
      <c r="BE775" s="24"/>
      <c r="BF775" s="24"/>
      <c r="BG775" s="24"/>
      <c r="BH775" s="24"/>
      <c r="BI775" s="24"/>
      <c r="BP775" s="24"/>
      <c r="BQ775" s="24"/>
      <c r="BR775" s="24"/>
      <c r="BS775" s="24"/>
      <c r="BZ775" s="24"/>
      <c r="CA775" s="24"/>
      <c r="CB775" s="24"/>
      <c r="CC775" s="24"/>
      <c r="CD775" s="24"/>
    </row>
    <row r="776" spans="2:82" s="6" customFormat="1">
      <c r="B776" s="21"/>
      <c r="D776" s="17"/>
      <c r="E776" s="23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R776" s="24"/>
      <c r="AS776" s="24"/>
      <c r="AT776" s="24"/>
      <c r="AU776" s="24"/>
      <c r="AV776" s="24"/>
      <c r="AW776" s="24"/>
      <c r="BD776" s="24"/>
      <c r="BE776" s="24"/>
      <c r="BF776" s="24"/>
      <c r="BG776" s="24"/>
      <c r="BH776" s="24"/>
      <c r="BI776" s="24"/>
      <c r="BP776" s="24"/>
      <c r="BQ776" s="24"/>
      <c r="BR776" s="24"/>
      <c r="BS776" s="24"/>
      <c r="BZ776" s="24"/>
      <c r="CA776" s="24"/>
      <c r="CB776" s="24"/>
      <c r="CC776" s="24"/>
      <c r="CD776" s="24"/>
    </row>
    <row r="777" spans="2:82" s="6" customFormat="1">
      <c r="B777" s="21"/>
      <c r="D777" s="17"/>
      <c r="E777" s="23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R777" s="24"/>
      <c r="AS777" s="24"/>
      <c r="AT777" s="24"/>
      <c r="AU777" s="24"/>
      <c r="AV777" s="24"/>
      <c r="AW777" s="24"/>
      <c r="BD777" s="24"/>
      <c r="BE777" s="24"/>
      <c r="BF777" s="24"/>
      <c r="BG777" s="24"/>
      <c r="BH777" s="24"/>
      <c r="BI777" s="24"/>
      <c r="BP777" s="24"/>
      <c r="BQ777" s="24"/>
      <c r="BR777" s="24"/>
      <c r="BS777" s="24"/>
      <c r="BZ777" s="24"/>
      <c r="CA777" s="24"/>
      <c r="CB777" s="24"/>
      <c r="CC777" s="24"/>
      <c r="CD777" s="24"/>
    </row>
    <row r="778" spans="2:82" s="6" customFormat="1">
      <c r="B778" s="21"/>
      <c r="D778" s="17"/>
      <c r="E778" s="23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R778" s="24"/>
      <c r="AS778" s="24"/>
      <c r="AT778" s="24"/>
      <c r="AU778" s="24"/>
      <c r="AV778" s="24"/>
      <c r="AW778" s="24"/>
      <c r="BD778" s="24"/>
      <c r="BE778" s="24"/>
      <c r="BF778" s="24"/>
      <c r="BG778" s="24"/>
      <c r="BH778" s="24"/>
      <c r="BI778" s="24"/>
      <c r="BP778" s="24"/>
      <c r="BQ778" s="24"/>
      <c r="BR778" s="24"/>
      <c r="BS778" s="24"/>
      <c r="BZ778" s="24"/>
      <c r="CA778" s="24"/>
      <c r="CB778" s="24"/>
      <c r="CC778" s="24"/>
      <c r="CD778" s="24"/>
    </row>
    <row r="779" spans="2:82" s="6" customFormat="1">
      <c r="B779" s="21"/>
      <c r="D779" s="17"/>
      <c r="E779" s="23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R779" s="24"/>
      <c r="AS779" s="24"/>
      <c r="AT779" s="24"/>
      <c r="AU779" s="24"/>
      <c r="AV779" s="24"/>
      <c r="AW779" s="24"/>
      <c r="BD779" s="24"/>
      <c r="BE779" s="24"/>
      <c r="BF779" s="24"/>
      <c r="BG779" s="24"/>
      <c r="BH779" s="24"/>
      <c r="BI779" s="24"/>
      <c r="BP779" s="24"/>
      <c r="BQ779" s="24"/>
      <c r="BR779" s="24"/>
      <c r="BS779" s="24"/>
      <c r="BZ779" s="24"/>
      <c r="CA779" s="24"/>
      <c r="CB779" s="24"/>
      <c r="CC779" s="24"/>
      <c r="CD779" s="24"/>
    </row>
    <row r="780" spans="2:82" s="6" customFormat="1">
      <c r="B780" s="21"/>
      <c r="D780" s="17"/>
      <c r="E780" s="23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R780" s="24"/>
      <c r="AS780" s="24"/>
      <c r="AT780" s="24"/>
      <c r="AU780" s="24"/>
      <c r="AV780" s="24"/>
      <c r="AW780" s="24"/>
      <c r="BD780" s="24"/>
      <c r="BE780" s="24"/>
      <c r="BF780" s="24"/>
      <c r="BG780" s="24"/>
      <c r="BH780" s="24"/>
      <c r="BI780" s="24"/>
      <c r="BP780" s="24"/>
      <c r="BQ780" s="24"/>
      <c r="BR780" s="24"/>
      <c r="BS780" s="24"/>
      <c r="BZ780" s="24"/>
      <c r="CA780" s="24"/>
      <c r="CB780" s="24"/>
      <c r="CC780" s="24"/>
      <c r="CD780" s="24"/>
    </row>
    <row r="781" spans="2:82" s="6" customFormat="1">
      <c r="B781" s="21"/>
      <c r="D781" s="17"/>
      <c r="E781" s="23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R781" s="24"/>
      <c r="AS781" s="24"/>
      <c r="AT781" s="24"/>
      <c r="AU781" s="24"/>
      <c r="AV781" s="24"/>
      <c r="AW781" s="24"/>
      <c r="BD781" s="24"/>
      <c r="BE781" s="24"/>
      <c r="BF781" s="24"/>
      <c r="BG781" s="24"/>
      <c r="BH781" s="24"/>
      <c r="BI781" s="24"/>
      <c r="BP781" s="24"/>
      <c r="BQ781" s="24"/>
      <c r="BR781" s="24"/>
      <c r="BS781" s="24"/>
      <c r="BZ781" s="24"/>
      <c r="CA781" s="24"/>
      <c r="CB781" s="24"/>
      <c r="CC781" s="24"/>
      <c r="CD781" s="24"/>
    </row>
    <row r="782" spans="2:82" s="6" customFormat="1">
      <c r="B782" s="21"/>
      <c r="D782" s="17"/>
      <c r="E782" s="23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R782" s="24"/>
      <c r="AS782" s="24"/>
      <c r="AT782" s="24"/>
      <c r="AU782" s="24"/>
      <c r="AV782" s="24"/>
      <c r="AW782" s="24"/>
      <c r="BD782" s="24"/>
      <c r="BE782" s="24"/>
      <c r="BF782" s="24"/>
      <c r="BG782" s="24"/>
      <c r="BH782" s="24"/>
      <c r="BI782" s="24"/>
      <c r="BP782" s="24"/>
      <c r="BQ782" s="24"/>
      <c r="BR782" s="24"/>
      <c r="BS782" s="24"/>
      <c r="BZ782" s="24"/>
      <c r="CA782" s="24"/>
      <c r="CB782" s="24"/>
      <c r="CC782" s="24"/>
      <c r="CD782" s="24"/>
    </row>
    <row r="783" spans="2:82" s="6" customFormat="1">
      <c r="B783" s="21"/>
      <c r="D783" s="17"/>
      <c r="E783" s="23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R783" s="24"/>
      <c r="AS783" s="24"/>
      <c r="AT783" s="24"/>
      <c r="AU783" s="24"/>
      <c r="AV783" s="24"/>
      <c r="AW783" s="24"/>
      <c r="BD783" s="24"/>
      <c r="BE783" s="24"/>
      <c r="BF783" s="24"/>
      <c r="BG783" s="24"/>
      <c r="BH783" s="24"/>
      <c r="BI783" s="24"/>
      <c r="BP783" s="24"/>
      <c r="BQ783" s="24"/>
      <c r="BR783" s="24"/>
      <c r="BS783" s="24"/>
      <c r="BZ783" s="24"/>
      <c r="CA783" s="24"/>
      <c r="CB783" s="24"/>
      <c r="CC783" s="24"/>
      <c r="CD783" s="24"/>
    </row>
    <row r="784" spans="2:82" s="6" customFormat="1">
      <c r="B784" s="21"/>
      <c r="D784" s="17"/>
      <c r="E784" s="23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R784" s="24"/>
      <c r="AS784" s="24"/>
      <c r="AT784" s="24"/>
      <c r="AU784" s="24"/>
      <c r="AV784" s="24"/>
      <c r="AW784" s="24"/>
      <c r="BD784" s="24"/>
      <c r="BE784" s="24"/>
      <c r="BF784" s="24"/>
      <c r="BG784" s="24"/>
      <c r="BH784" s="24"/>
      <c r="BI784" s="24"/>
      <c r="BP784" s="24"/>
      <c r="BQ784" s="24"/>
      <c r="BR784" s="24"/>
      <c r="BS784" s="24"/>
      <c r="BZ784" s="24"/>
      <c r="CA784" s="24"/>
      <c r="CB784" s="24"/>
      <c r="CC784" s="24"/>
      <c r="CD784" s="24"/>
    </row>
    <row r="785" spans="2:82" s="6" customFormat="1">
      <c r="B785" s="21"/>
      <c r="D785" s="17"/>
      <c r="E785" s="23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R785" s="24"/>
      <c r="AS785" s="24"/>
      <c r="AT785" s="24"/>
      <c r="AU785" s="24"/>
      <c r="AV785" s="24"/>
      <c r="AW785" s="24"/>
      <c r="BD785" s="24"/>
      <c r="BE785" s="24"/>
      <c r="BF785" s="24"/>
      <c r="BG785" s="24"/>
      <c r="BH785" s="24"/>
      <c r="BI785" s="24"/>
      <c r="BP785" s="24"/>
      <c r="BQ785" s="24"/>
      <c r="BR785" s="24"/>
      <c r="BS785" s="24"/>
      <c r="BZ785" s="24"/>
      <c r="CA785" s="24"/>
      <c r="CB785" s="24"/>
      <c r="CC785" s="24"/>
      <c r="CD785" s="24"/>
    </row>
    <row r="786" spans="2:82" s="6" customFormat="1">
      <c r="B786" s="21"/>
      <c r="D786" s="17"/>
      <c r="E786" s="23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R786" s="24"/>
      <c r="AS786" s="24"/>
      <c r="AT786" s="24"/>
      <c r="AU786" s="24"/>
      <c r="AV786" s="24"/>
      <c r="AW786" s="24"/>
      <c r="BD786" s="24"/>
      <c r="BE786" s="24"/>
      <c r="BF786" s="24"/>
      <c r="BG786" s="24"/>
      <c r="BH786" s="24"/>
      <c r="BI786" s="24"/>
      <c r="BP786" s="24"/>
      <c r="BQ786" s="24"/>
      <c r="BR786" s="24"/>
      <c r="BS786" s="24"/>
      <c r="BZ786" s="24"/>
      <c r="CA786" s="24"/>
      <c r="CB786" s="24"/>
      <c r="CC786" s="24"/>
      <c r="CD786" s="24"/>
    </row>
    <row r="787" spans="2:82" s="6" customFormat="1">
      <c r="B787" s="21"/>
      <c r="D787" s="17"/>
      <c r="E787" s="23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R787" s="24"/>
      <c r="AS787" s="24"/>
      <c r="AT787" s="24"/>
      <c r="AU787" s="24"/>
      <c r="AV787" s="24"/>
      <c r="AW787" s="24"/>
      <c r="BD787" s="24"/>
      <c r="BE787" s="24"/>
      <c r="BF787" s="24"/>
      <c r="BG787" s="24"/>
      <c r="BH787" s="24"/>
      <c r="BI787" s="24"/>
      <c r="BP787" s="24"/>
      <c r="BQ787" s="24"/>
      <c r="BR787" s="24"/>
      <c r="BS787" s="24"/>
      <c r="BZ787" s="24"/>
      <c r="CA787" s="24"/>
      <c r="CB787" s="24"/>
      <c r="CC787" s="24"/>
      <c r="CD787" s="24"/>
    </row>
    <row r="788" spans="2:82" s="6" customFormat="1">
      <c r="B788" s="21"/>
      <c r="D788" s="17"/>
      <c r="E788" s="23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R788" s="24"/>
      <c r="AS788" s="24"/>
      <c r="AT788" s="24"/>
      <c r="AU788" s="24"/>
      <c r="AV788" s="24"/>
      <c r="AW788" s="24"/>
      <c r="BD788" s="24"/>
      <c r="BE788" s="24"/>
      <c r="BF788" s="24"/>
      <c r="BG788" s="24"/>
      <c r="BH788" s="24"/>
      <c r="BI788" s="24"/>
      <c r="BP788" s="24"/>
      <c r="BQ788" s="24"/>
      <c r="BR788" s="24"/>
      <c r="BS788" s="24"/>
      <c r="BZ788" s="24"/>
      <c r="CA788" s="24"/>
      <c r="CB788" s="24"/>
      <c r="CC788" s="24"/>
      <c r="CD788" s="24"/>
    </row>
    <row r="789" spans="2:82" s="6" customFormat="1">
      <c r="B789" s="21"/>
      <c r="D789" s="17"/>
      <c r="E789" s="23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R789" s="24"/>
      <c r="AS789" s="24"/>
      <c r="AT789" s="24"/>
      <c r="AU789" s="24"/>
      <c r="AV789" s="24"/>
      <c r="AW789" s="24"/>
      <c r="BD789" s="24"/>
      <c r="BE789" s="24"/>
      <c r="BF789" s="24"/>
      <c r="BG789" s="24"/>
      <c r="BH789" s="24"/>
      <c r="BI789" s="24"/>
      <c r="BP789" s="24"/>
      <c r="BQ789" s="24"/>
      <c r="BR789" s="24"/>
      <c r="BS789" s="24"/>
      <c r="BZ789" s="24"/>
      <c r="CA789" s="24"/>
      <c r="CB789" s="24"/>
      <c r="CC789" s="24"/>
      <c r="CD789" s="24"/>
    </row>
    <row r="790" spans="2:82" s="6" customFormat="1">
      <c r="B790" s="21"/>
      <c r="D790" s="17"/>
      <c r="E790" s="23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R790" s="24"/>
      <c r="AS790" s="24"/>
      <c r="AT790" s="24"/>
      <c r="AU790" s="24"/>
      <c r="AV790" s="24"/>
      <c r="AW790" s="24"/>
      <c r="BD790" s="24"/>
      <c r="BE790" s="24"/>
      <c r="BF790" s="24"/>
      <c r="BG790" s="24"/>
      <c r="BH790" s="24"/>
      <c r="BI790" s="24"/>
      <c r="BP790" s="24"/>
      <c r="BQ790" s="24"/>
      <c r="BR790" s="24"/>
      <c r="BS790" s="24"/>
      <c r="BZ790" s="24"/>
      <c r="CA790" s="24"/>
      <c r="CB790" s="24"/>
      <c r="CC790" s="24"/>
      <c r="CD790" s="24"/>
    </row>
    <row r="791" spans="2:82" s="6" customFormat="1">
      <c r="B791" s="21"/>
      <c r="D791" s="17"/>
      <c r="E791" s="23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R791" s="24"/>
      <c r="AS791" s="24"/>
      <c r="AT791" s="24"/>
      <c r="AU791" s="24"/>
      <c r="AV791" s="24"/>
      <c r="AW791" s="24"/>
      <c r="BD791" s="24"/>
      <c r="BE791" s="24"/>
      <c r="BF791" s="24"/>
      <c r="BG791" s="24"/>
      <c r="BH791" s="24"/>
      <c r="BI791" s="24"/>
      <c r="BP791" s="24"/>
      <c r="BQ791" s="24"/>
      <c r="BR791" s="24"/>
      <c r="BS791" s="24"/>
      <c r="BZ791" s="24"/>
      <c r="CA791" s="24"/>
      <c r="CB791" s="24"/>
      <c r="CC791" s="24"/>
      <c r="CD791" s="24"/>
    </row>
    <row r="792" spans="2:82" s="6" customFormat="1">
      <c r="B792" s="21"/>
      <c r="D792" s="17"/>
      <c r="E792" s="23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R792" s="24"/>
      <c r="AS792" s="24"/>
      <c r="AT792" s="24"/>
      <c r="AU792" s="24"/>
      <c r="AV792" s="24"/>
      <c r="AW792" s="24"/>
      <c r="BD792" s="24"/>
      <c r="BE792" s="24"/>
      <c r="BF792" s="24"/>
      <c r="BG792" s="24"/>
      <c r="BH792" s="24"/>
      <c r="BI792" s="24"/>
      <c r="BP792" s="24"/>
      <c r="BQ792" s="24"/>
      <c r="BR792" s="24"/>
      <c r="BS792" s="24"/>
      <c r="BZ792" s="24"/>
      <c r="CA792" s="24"/>
      <c r="CB792" s="24"/>
      <c r="CC792" s="24"/>
      <c r="CD792" s="24"/>
    </row>
    <row r="793" spans="2:82" s="6" customFormat="1">
      <c r="B793" s="21"/>
      <c r="D793" s="17"/>
      <c r="E793" s="23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R793" s="24"/>
      <c r="AS793" s="24"/>
      <c r="AT793" s="24"/>
      <c r="AU793" s="24"/>
      <c r="AV793" s="24"/>
      <c r="AW793" s="24"/>
      <c r="BD793" s="24"/>
      <c r="BE793" s="24"/>
      <c r="BF793" s="24"/>
      <c r="BG793" s="24"/>
      <c r="BH793" s="24"/>
      <c r="BI793" s="24"/>
      <c r="BP793" s="24"/>
      <c r="BQ793" s="24"/>
      <c r="BR793" s="24"/>
      <c r="BS793" s="24"/>
      <c r="BZ793" s="24"/>
      <c r="CA793" s="24"/>
      <c r="CB793" s="24"/>
      <c r="CC793" s="24"/>
      <c r="CD793" s="24"/>
    </row>
    <row r="794" spans="2:82" s="6" customFormat="1">
      <c r="B794" s="21"/>
      <c r="D794" s="17"/>
      <c r="E794" s="23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R794" s="24"/>
      <c r="AS794" s="24"/>
      <c r="AT794" s="24"/>
      <c r="AU794" s="24"/>
      <c r="AV794" s="24"/>
      <c r="AW794" s="24"/>
      <c r="BD794" s="24"/>
      <c r="BE794" s="24"/>
      <c r="BF794" s="24"/>
      <c r="BG794" s="24"/>
      <c r="BH794" s="24"/>
      <c r="BI794" s="24"/>
      <c r="BP794" s="24"/>
      <c r="BQ794" s="24"/>
      <c r="BR794" s="24"/>
      <c r="BS794" s="24"/>
      <c r="BZ794" s="24"/>
      <c r="CA794" s="24"/>
      <c r="CB794" s="24"/>
      <c r="CC794" s="24"/>
      <c r="CD794" s="24"/>
    </row>
    <row r="795" spans="2:82" s="6" customFormat="1">
      <c r="B795" s="21"/>
      <c r="D795" s="17"/>
      <c r="E795" s="23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R795" s="24"/>
      <c r="AS795" s="24"/>
      <c r="AT795" s="24"/>
      <c r="AU795" s="24"/>
      <c r="AV795" s="24"/>
      <c r="AW795" s="24"/>
      <c r="BD795" s="24"/>
      <c r="BE795" s="24"/>
      <c r="BF795" s="24"/>
      <c r="BG795" s="24"/>
      <c r="BH795" s="24"/>
      <c r="BI795" s="24"/>
      <c r="BP795" s="24"/>
      <c r="BQ795" s="24"/>
      <c r="BR795" s="24"/>
      <c r="BS795" s="24"/>
      <c r="BZ795" s="24"/>
      <c r="CA795" s="24"/>
      <c r="CB795" s="24"/>
      <c r="CC795" s="24"/>
      <c r="CD795" s="24"/>
    </row>
    <row r="796" spans="2:82" s="6" customFormat="1">
      <c r="B796" s="21"/>
      <c r="D796" s="17"/>
      <c r="E796" s="23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R796" s="24"/>
      <c r="AS796" s="24"/>
      <c r="AT796" s="24"/>
      <c r="AU796" s="24"/>
      <c r="AV796" s="24"/>
      <c r="AW796" s="24"/>
      <c r="BD796" s="24"/>
      <c r="BE796" s="24"/>
      <c r="BF796" s="24"/>
      <c r="BG796" s="24"/>
      <c r="BH796" s="24"/>
      <c r="BI796" s="24"/>
      <c r="BP796" s="24"/>
      <c r="BQ796" s="24"/>
      <c r="BR796" s="24"/>
      <c r="BS796" s="24"/>
      <c r="BZ796" s="24"/>
      <c r="CA796" s="24"/>
      <c r="CB796" s="24"/>
      <c r="CC796" s="24"/>
      <c r="CD796" s="24"/>
    </row>
    <row r="797" spans="2:82" s="6" customFormat="1">
      <c r="B797" s="21"/>
      <c r="D797" s="17"/>
      <c r="E797" s="23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R797" s="24"/>
      <c r="AS797" s="24"/>
      <c r="AT797" s="24"/>
      <c r="AU797" s="24"/>
      <c r="AV797" s="24"/>
      <c r="AW797" s="24"/>
      <c r="BD797" s="24"/>
      <c r="BE797" s="24"/>
      <c r="BF797" s="24"/>
      <c r="BG797" s="24"/>
      <c r="BH797" s="24"/>
      <c r="BI797" s="24"/>
      <c r="BP797" s="24"/>
      <c r="BQ797" s="24"/>
      <c r="BR797" s="24"/>
      <c r="BS797" s="24"/>
      <c r="BZ797" s="24"/>
      <c r="CA797" s="24"/>
      <c r="CB797" s="24"/>
      <c r="CC797" s="24"/>
      <c r="CD797" s="24"/>
    </row>
    <row r="798" spans="2:82" s="6" customFormat="1">
      <c r="B798" s="21"/>
      <c r="D798" s="17"/>
      <c r="E798" s="23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R798" s="24"/>
      <c r="AS798" s="24"/>
      <c r="AT798" s="24"/>
      <c r="AU798" s="24"/>
      <c r="AV798" s="24"/>
      <c r="AW798" s="24"/>
      <c r="BD798" s="24"/>
      <c r="BE798" s="24"/>
      <c r="BF798" s="24"/>
      <c r="BG798" s="24"/>
      <c r="BH798" s="24"/>
      <c r="BI798" s="24"/>
      <c r="BP798" s="24"/>
      <c r="BQ798" s="24"/>
      <c r="BR798" s="24"/>
      <c r="BS798" s="24"/>
      <c r="BZ798" s="24"/>
      <c r="CA798" s="24"/>
      <c r="CB798" s="24"/>
      <c r="CC798" s="24"/>
      <c r="CD798" s="24"/>
    </row>
    <row r="799" spans="2:82" s="6" customFormat="1">
      <c r="B799" s="21"/>
      <c r="D799" s="17"/>
      <c r="E799" s="23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R799" s="24"/>
      <c r="AS799" s="24"/>
      <c r="AT799" s="24"/>
      <c r="AU799" s="24"/>
      <c r="AV799" s="24"/>
      <c r="AW799" s="24"/>
      <c r="BD799" s="24"/>
      <c r="BE799" s="24"/>
      <c r="BF799" s="24"/>
      <c r="BG799" s="24"/>
      <c r="BH799" s="24"/>
      <c r="BI799" s="24"/>
      <c r="BP799" s="24"/>
      <c r="BQ799" s="24"/>
      <c r="BR799" s="24"/>
      <c r="BS799" s="24"/>
      <c r="BZ799" s="24"/>
      <c r="CA799" s="24"/>
      <c r="CB799" s="24"/>
      <c r="CC799" s="24"/>
      <c r="CD799" s="24"/>
    </row>
    <row r="800" spans="2:82" s="6" customFormat="1">
      <c r="B800" s="21"/>
      <c r="D800" s="17"/>
      <c r="E800" s="23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R800" s="24"/>
      <c r="AS800" s="24"/>
      <c r="AT800" s="24"/>
      <c r="AU800" s="24"/>
      <c r="AV800" s="24"/>
      <c r="AW800" s="24"/>
      <c r="BD800" s="24"/>
      <c r="BE800" s="24"/>
      <c r="BF800" s="24"/>
      <c r="BG800" s="24"/>
      <c r="BH800" s="24"/>
      <c r="BI800" s="24"/>
      <c r="BP800" s="24"/>
      <c r="BQ800" s="24"/>
      <c r="BR800" s="24"/>
      <c r="BS800" s="24"/>
      <c r="BZ800" s="24"/>
      <c r="CA800" s="24"/>
      <c r="CB800" s="24"/>
      <c r="CC800" s="24"/>
      <c r="CD800" s="24"/>
    </row>
    <row r="801" spans="2:82" s="6" customFormat="1">
      <c r="B801" s="21"/>
      <c r="D801" s="17"/>
      <c r="E801" s="23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R801" s="24"/>
      <c r="AS801" s="24"/>
      <c r="AT801" s="24"/>
      <c r="AU801" s="24"/>
      <c r="AV801" s="24"/>
      <c r="AW801" s="24"/>
      <c r="BD801" s="24"/>
      <c r="BE801" s="24"/>
      <c r="BF801" s="24"/>
      <c r="BG801" s="24"/>
      <c r="BH801" s="24"/>
      <c r="BI801" s="24"/>
      <c r="BP801" s="24"/>
      <c r="BQ801" s="24"/>
      <c r="BR801" s="24"/>
      <c r="BS801" s="24"/>
      <c r="BZ801" s="24"/>
      <c r="CA801" s="24"/>
      <c r="CB801" s="24"/>
      <c r="CC801" s="24"/>
      <c r="CD801" s="24"/>
    </row>
    <row r="802" spans="2:82" s="6" customFormat="1">
      <c r="B802" s="21"/>
      <c r="D802" s="17"/>
      <c r="E802" s="23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R802" s="24"/>
      <c r="AS802" s="24"/>
      <c r="AT802" s="24"/>
      <c r="AU802" s="24"/>
      <c r="AV802" s="24"/>
      <c r="AW802" s="24"/>
      <c r="BD802" s="24"/>
      <c r="BE802" s="24"/>
      <c r="BF802" s="24"/>
      <c r="BG802" s="24"/>
      <c r="BH802" s="24"/>
      <c r="BI802" s="24"/>
      <c r="BP802" s="24"/>
      <c r="BQ802" s="24"/>
      <c r="BR802" s="24"/>
      <c r="BS802" s="24"/>
      <c r="BZ802" s="24"/>
      <c r="CA802" s="24"/>
      <c r="CB802" s="24"/>
      <c r="CC802" s="24"/>
      <c r="CD802" s="24"/>
    </row>
    <row r="803" spans="2:82" s="6" customFormat="1">
      <c r="B803" s="21"/>
      <c r="D803" s="17"/>
      <c r="E803" s="23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R803" s="24"/>
      <c r="AS803" s="24"/>
      <c r="AT803" s="24"/>
      <c r="AU803" s="24"/>
      <c r="AV803" s="24"/>
      <c r="AW803" s="24"/>
      <c r="BD803" s="24"/>
      <c r="BE803" s="24"/>
      <c r="BF803" s="24"/>
      <c r="BG803" s="24"/>
      <c r="BH803" s="24"/>
      <c r="BI803" s="24"/>
      <c r="BP803" s="24"/>
      <c r="BQ803" s="24"/>
      <c r="BR803" s="24"/>
      <c r="BS803" s="24"/>
      <c r="BZ803" s="24"/>
      <c r="CA803" s="24"/>
      <c r="CB803" s="24"/>
      <c r="CC803" s="24"/>
      <c r="CD803" s="24"/>
    </row>
    <row r="804" spans="2:82" s="6" customFormat="1">
      <c r="B804" s="21"/>
      <c r="D804" s="17"/>
      <c r="E804" s="23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R804" s="24"/>
      <c r="AS804" s="24"/>
      <c r="AT804" s="24"/>
      <c r="AU804" s="24"/>
      <c r="AV804" s="24"/>
      <c r="AW804" s="24"/>
      <c r="BD804" s="24"/>
      <c r="BE804" s="24"/>
      <c r="BF804" s="24"/>
      <c r="BG804" s="24"/>
      <c r="BH804" s="24"/>
      <c r="BI804" s="24"/>
      <c r="BP804" s="24"/>
      <c r="BQ804" s="24"/>
      <c r="BR804" s="24"/>
      <c r="BS804" s="24"/>
      <c r="BZ804" s="24"/>
      <c r="CA804" s="24"/>
      <c r="CB804" s="24"/>
      <c r="CC804" s="24"/>
      <c r="CD804" s="24"/>
    </row>
    <row r="805" spans="2:82" s="6" customFormat="1">
      <c r="B805" s="21"/>
      <c r="D805" s="17"/>
      <c r="E805" s="23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R805" s="24"/>
      <c r="AS805" s="24"/>
      <c r="AT805" s="24"/>
      <c r="AU805" s="24"/>
      <c r="AV805" s="24"/>
      <c r="AW805" s="24"/>
      <c r="BD805" s="24"/>
      <c r="BE805" s="24"/>
      <c r="BF805" s="24"/>
      <c r="BG805" s="24"/>
      <c r="BH805" s="24"/>
      <c r="BI805" s="24"/>
      <c r="BP805" s="24"/>
      <c r="BQ805" s="24"/>
      <c r="BR805" s="24"/>
      <c r="BS805" s="24"/>
      <c r="BZ805" s="24"/>
      <c r="CA805" s="24"/>
      <c r="CB805" s="24"/>
      <c r="CC805" s="24"/>
      <c r="CD805" s="24"/>
    </row>
    <row r="806" spans="2:82" s="6" customFormat="1">
      <c r="B806" s="21"/>
      <c r="D806" s="17"/>
      <c r="E806" s="23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R806" s="24"/>
      <c r="AS806" s="24"/>
      <c r="AT806" s="24"/>
      <c r="AU806" s="24"/>
      <c r="AV806" s="24"/>
      <c r="AW806" s="24"/>
      <c r="BD806" s="24"/>
      <c r="BE806" s="24"/>
      <c r="BF806" s="24"/>
      <c r="BG806" s="24"/>
      <c r="BH806" s="24"/>
      <c r="BI806" s="24"/>
      <c r="BP806" s="24"/>
      <c r="BQ806" s="24"/>
      <c r="BR806" s="24"/>
      <c r="BS806" s="24"/>
      <c r="BZ806" s="24"/>
      <c r="CA806" s="24"/>
      <c r="CB806" s="24"/>
      <c r="CC806" s="24"/>
      <c r="CD806" s="24"/>
    </row>
    <row r="807" spans="2:82" s="6" customFormat="1">
      <c r="B807" s="21"/>
      <c r="D807" s="17"/>
      <c r="E807" s="23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R807" s="24"/>
      <c r="AS807" s="24"/>
      <c r="AT807" s="24"/>
      <c r="AU807" s="24"/>
      <c r="AV807" s="24"/>
      <c r="AW807" s="24"/>
      <c r="BD807" s="24"/>
      <c r="BE807" s="24"/>
      <c r="BF807" s="24"/>
      <c r="BG807" s="24"/>
      <c r="BH807" s="24"/>
      <c r="BI807" s="24"/>
      <c r="BP807" s="24"/>
      <c r="BQ807" s="24"/>
      <c r="BR807" s="24"/>
      <c r="BS807" s="24"/>
      <c r="BZ807" s="24"/>
      <c r="CA807" s="24"/>
      <c r="CB807" s="24"/>
      <c r="CC807" s="24"/>
      <c r="CD807" s="24"/>
    </row>
    <row r="808" spans="2:82" s="6" customFormat="1">
      <c r="B808" s="21"/>
      <c r="D808" s="17"/>
      <c r="E808" s="23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R808" s="24"/>
      <c r="AS808" s="24"/>
      <c r="AT808" s="24"/>
      <c r="AU808" s="24"/>
      <c r="AV808" s="24"/>
      <c r="AW808" s="24"/>
      <c r="BD808" s="24"/>
      <c r="BE808" s="24"/>
      <c r="BF808" s="24"/>
      <c r="BG808" s="24"/>
      <c r="BH808" s="24"/>
      <c r="BI808" s="24"/>
      <c r="BP808" s="24"/>
      <c r="BQ808" s="24"/>
      <c r="BR808" s="24"/>
      <c r="BS808" s="24"/>
      <c r="BZ808" s="24"/>
      <c r="CA808" s="24"/>
      <c r="CB808" s="24"/>
      <c r="CC808" s="24"/>
      <c r="CD808" s="24"/>
    </row>
    <row r="809" spans="2:82" s="6" customFormat="1">
      <c r="B809" s="21"/>
      <c r="D809" s="17"/>
      <c r="E809" s="23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R809" s="24"/>
      <c r="AS809" s="24"/>
      <c r="AT809" s="24"/>
      <c r="AU809" s="24"/>
      <c r="AV809" s="24"/>
      <c r="AW809" s="24"/>
      <c r="BD809" s="24"/>
      <c r="BE809" s="24"/>
      <c r="BF809" s="24"/>
      <c r="BG809" s="24"/>
      <c r="BH809" s="24"/>
      <c r="BI809" s="24"/>
      <c r="BP809" s="24"/>
      <c r="BQ809" s="24"/>
      <c r="BR809" s="24"/>
      <c r="BS809" s="24"/>
      <c r="BZ809" s="24"/>
      <c r="CA809" s="24"/>
      <c r="CB809" s="24"/>
      <c r="CC809" s="24"/>
      <c r="CD809" s="24"/>
    </row>
    <row r="810" spans="2:82" s="6" customFormat="1">
      <c r="B810" s="21"/>
      <c r="D810" s="17"/>
      <c r="E810" s="23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R810" s="24"/>
      <c r="AS810" s="24"/>
      <c r="AT810" s="24"/>
      <c r="AU810" s="24"/>
      <c r="AV810" s="24"/>
      <c r="AW810" s="24"/>
      <c r="BD810" s="24"/>
      <c r="BE810" s="24"/>
      <c r="BF810" s="24"/>
      <c r="BG810" s="24"/>
      <c r="BH810" s="24"/>
      <c r="BI810" s="24"/>
      <c r="BP810" s="24"/>
      <c r="BQ810" s="24"/>
      <c r="BR810" s="24"/>
      <c r="BS810" s="24"/>
      <c r="BZ810" s="24"/>
      <c r="CA810" s="24"/>
      <c r="CB810" s="24"/>
      <c r="CC810" s="24"/>
      <c r="CD810" s="24"/>
    </row>
    <row r="811" spans="2:82" s="6" customFormat="1">
      <c r="B811" s="21"/>
      <c r="D811" s="17"/>
      <c r="E811" s="23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R811" s="24"/>
      <c r="AS811" s="24"/>
      <c r="AT811" s="24"/>
      <c r="AU811" s="24"/>
      <c r="AV811" s="24"/>
      <c r="AW811" s="24"/>
      <c r="BD811" s="24"/>
      <c r="BE811" s="24"/>
      <c r="BF811" s="24"/>
      <c r="BG811" s="24"/>
      <c r="BH811" s="24"/>
      <c r="BI811" s="24"/>
      <c r="BP811" s="24"/>
      <c r="BQ811" s="24"/>
      <c r="BR811" s="24"/>
      <c r="BS811" s="24"/>
      <c r="BZ811" s="24"/>
      <c r="CA811" s="24"/>
      <c r="CB811" s="24"/>
      <c r="CC811" s="24"/>
      <c r="CD811" s="24"/>
    </row>
    <row r="812" spans="2:82" s="6" customFormat="1">
      <c r="B812" s="21"/>
      <c r="D812" s="17"/>
      <c r="E812" s="23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R812" s="24"/>
      <c r="AS812" s="24"/>
      <c r="AT812" s="24"/>
      <c r="AU812" s="24"/>
      <c r="AV812" s="24"/>
      <c r="AW812" s="24"/>
      <c r="BD812" s="24"/>
      <c r="BE812" s="24"/>
      <c r="BF812" s="24"/>
      <c r="BG812" s="24"/>
      <c r="BH812" s="24"/>
      <c r="BI812" s="24"/>
      <c r="BP812" s="24"/>
      <c r="BQ812" s="24"/>
      <c r="BR812" s="24"/>
      <c r="BS812" s="24"/>
      <c r="BZ812" s="24"/>
      <c r="CA812" s="24"/>
      <c r="CB812" s="24"/>
      <c r="CC812" s="24"/>
      <c r="CD812" s="24"/>
    </row>
    <row r="813" spans="2:82" s="6" customFormat="1">
      <c r="B813" s="21"/>
      <c r="D813" s="17"/>
      <c r="E813" s="23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R813" s="24"/>
      <c r="AS813" s="24"/>
      <c r="AT813" s="24"/>
      <c r="AU813" s="24"/>
      <c r="AV813" s="24"/>
      <c r="AW813" s="24"/>
      <c r="BD813" s="24"/>
      <c r="BE813" s="24"/>
      <c r="BF813" s="24"/>
      <c r="BG813" s="24"/>
      <c r="BH813" s="24"/>
      <c r="BI813" s="24"/>
      <c r="BP813" s="24"/>
      <c r="BQ813" s="24"/>
      <c r="BR813" s="24"/>
      <c r="BS813" s="24"/>
      <c r="BZ813" s="24"/>
      <c r="CA813" s="24"/>
      <c r="CB813" s="24"/>
      <c r="CC813" s="24"/>
      <c r="CD813" s="24"/>
    </row>
    <row r="814" spans="2:82" s="6" customFormat="1">
      <c r="B814" s="21"/>
      <c r="D814" s="17"/>
      <c r="E814" s="23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R814" s="24"/>
      <c r="AS814" s="24"/>
      <c r="AT814" s="24"/>
      <c r="AU814" s="24"/>
      <c r="AV814" s="24"/>
      <c r="AW814" s="24"/>
      <c r="BD814" s="24"/>
      <c r="BE814" s="24"/>
      <c r="BF814" s="24"/>
      <c r="BG814" s="24"/>
      <c r="BH814" s="24"/>
      <c r="BI814" s="24"/>
      <c r="BP814" s="24"/>
      <c r="BQ814" s="24"/>
      <c r="BR814" s="24"/>
      <c r="BS814" s="24"/>
      <c r="BZ814" s="24"/>
      <c r="CA814" s="24"/>
      <c r="CB814" s="24"/>
      <c r="CC814" s="24"/>
      <c r="CD814" s="24"/>
    </row>
    <row r="815" spans="2:82" s="6" customFormat="1">
      <c r="B815" s="21"/>
      <c r="D815" s="17"/>
      <c r="E815" s="23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R815" s="24"/>
      <c r="AS815" s="24"/>
      <c r="AT815" s="24"/>
      <c r="AU815" s="24"/>
      <c r="AV815" s="24"/>
      <c r="AW815" s="24"/>
      <c r="BD815" s="24"/>
      <c r="BE815" s="24"/>
      <c r="BF815" s="24"/>
      <c r="BG815" s="24"/>
      <c r="BH815" s="24"/>
      <c r="BI815" s="24"/>
      <c r="BP815" s="24"/>
      <c r="BQ815" s="24"/>
      <c r="BR815" s="24"/>
      <c r="BS815" s="24"/>
      <c r="BZ815" s="24"/>
      <c r="CA815" s="24"/>
      <c r="CB815" s="24"/>
      <c r="CC815" s="24"/>
      <c r="CD815" s="24"/>
    </row>
    <row r="816" spans="2:82" s="6" customFormat="1">
      <c r="B816" s="21"/>
      <c r="D816" s="17"/>
      <c r="E816" s="23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R816" s="24"/>
      <c r="AS816" s="24"/>
      <c r="AT816" s="24"/>
      <c r="AU816" s="24"/>
      <c r="AV816" s="24"/>
      <c r="AW816" s="24"/>
      <c r="BD816" s="24"/>
      <c r="BE816" s="24"/>
      <c r="BF816" s="24"/>
      <c r="BG816" s="24"/>
      <c r="BH816" s="24"/>
      <c r="BI816" s="24"/>
      <c r="BP816" s="24"/>
      <c r="BQ816" s="24"/>
      <c r="BR816" s="24"/>
      <c r="BS816" s="24"/>
      <c r="BZ816" s="24"/>
      <c r="CA816" s="24"/>
      <c r="CB816" s="24"/>
      <c r="CC816" s="24"/>
      <c r="CD816" s="24"/>
    </row>
    <row r="817" spans="2:82" s="6" customFormat="1">
      <c r="B817" s="21"/>
      <c r="D817" s="17"/>
      <c r="E817" s="23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R817" s="24"/>
      <c r="AS817" s="24"/>
      <c r="AT817" s="24"/>
      <c r="AU817" s="24"/>
      <c r="AV817" s="24"/>
      <c r="AW817" s="24"/>
      <c r="BD817" s="24"/>
      <c r="BE817" s="24"/>
      <c r="BF817" s="24"/>
      <c r="BG817" s="24"/>
      <c r="BH817" s="24"/>
      <c r="BI817" s="24"/>
      <c r="BP817" s="24"/>
      <c r="BQ817" s="24"/>
      <c r="BR817" s="24"/>
      <c r="BS817" s="24"/>
      <c r="BZ817" s="24"/>
      <c r="CA817" s="24"/>
      <c r="CB817" s="24"/>
      <c r="CC817" s="24"/>
      <c r="CD817" s="24"/>
    </row>
    <row r="818" spans="2:82" s="6" customFormat="1">
      <c r="B818" s="21"/>
      <c r="D818" s="17"/>
      <c r="E818" s="23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R818" s="24"/>
      <c r="AS818" s="24"/>
      <c r="AT818" s="24"/>
      <c r="AU818" s="24"/>
      <c r="AV818" s="24"/>
      <c r="AW818" s="24"/>
      <c r="BD818" s="24"/>
      <c r="BE818" s="24"/>
      <c r="BF818" s="24"/>
      <c r="BG818" s="24"/>
      <c r="BH818" s="24"/>
      <c r="BI818" s="24"/>
      <c r="BP818" s="24"/>
      <c r="BQ818" s="24"/>
      <c r="BR818" s="24"/>
      <c r="BS818" s="24"/>
      <c r="BZ818" s="24"/>
      <c r="CA818" s="24"/>
      <c r="CB818" s="24"/>
      <c r="CC818" s="24"/>
      <c r="CD818" s="24"/>
    </row>
    <row r="819" spans="2:82" s="6" customFormat="1">
      <c r="B819" s="21"/>
      <c r="D819" s="17"/>
      <c r="E819" s="23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R819" s="24"/>
      <c r="AS819" s="24"/>
      <c r="AT819" s="24"/>
      <c r="AU819" s="24"/>
      <c r="AV819" s="24"/>
      <c r="AW819" s="24"/>
      <c r="BD819" s="24"/>
      <c r="BE819" s="24"/>
      <c r="BF819" s="24"/>
      <c r="BG819" s="24"/>
      <c r="BH819" s="24"/>
      <c r="BI819" s="24"/>
      <c r="BP819" s="24"/>
      <c r="BQ819" s="24"/>
      <c r="BR819" s="24"/>
      <c r="BS819" s="24"/>
      <c r="BZ819" s="24"/>
      <c r="CA819" s="24"/>
      <c r="CB819" s="24"/>
      <c r="CC819" s="24"/>
      <c r="CD819" s="24"/>
    </row>
    <row r="820" spans="2:82" s="6" customFormat="1">
      <c r="B820" s="21"/>
      <c r="D820" s="17"/>
      <c r="E820" s="23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R820" s="24"/>
      <c r="AS820" s="24"/>
      <c r="AT820" s="24"/>
      <c r="AU820" s="24"/>
      <c r="AV820" s="24"/>
      <c r="AW820" s="24"/>
      <c r="BD820" s="24"/>
      <c r="BE820" s="24"/>
      <c r="BF820" s="24"/>
      <c r="BG820" s="24"/>
      <c r="BH820" s="24"/>
      <c r="BI820" s="24"/>
      <c r="BP820" s="24"/>
      <c r="BQ820" s="24"/>
      <c r="BR820" s="24"/>
      <c r="BS820" s="24"/>
      <c r="BZ820" s="24"/>
      <c r="CA820" s="24"/>
      <c r="CB820" s="24"/>
      <c r="CC820" s="24"/>
      <c r="CD820" s="24"/>
    </row>
    <row r="821" spans="2:82" s="6" customFormat="1">
      <c r="B821" s="21"/>
      <c r="D821" s="17"/>
      <c r="E821" s="23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R821" s="24"/>
      <c r="AS821" s="24"/>
      <c r="AT821" s="24"/>
      <c r="AU821" s="24"/>
      <c r="AV821" s="24"/>
      <c r="AW821" s="24"/>
      <c r="BD821" s="24"/>
      <c r="BE821" s="24"/>
      <c r="BF821" s="24"/>
      <c r="BG821" s="24"/>
      <c r="BH821" s="24"/>
      <c r="BI821" s="24"/>
      <c r="BP821" s="24"/>
      <c r="BQ821" s="24"/>
      <c r="BR821" s="24"/>
      <c r="BS821" s="24"/>
      <c r="BZ821" s="24"/>
      <c r="CA821" s="24"/>
      <c r="CB821" s="24"/>
      <c r="CC821" s="24"/>
      <c r="CD821" s="24"/>
    </row>
    <row r="822" spans="2:82" s="6" customFormat="1">
      <c r="B822" s="21"/>
      <c r="D822" s="17"/>
      <c r="E822" s="23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R822" s="24"/>
      <c r="AS822" s="24"/>
      <c r="AT822" s="24"/>
      <c r="AU822" s="24"/>
      <c r="AV822" s="24"/>
      <c r="AW822" s="24"/>
      <c r="BD822" s="24"/>
      <c r="BE822" s="24"/>
      <c r="BF822" s="24"/>
      <c r="BG822" s="24"/>
      <c r="BH822" s="24"/>
      <c r="BI822" s="24"/>
      <c r="BP822" s="24"/>
      <c r="BQ822" s="24"/>
      <c r="BR822" s="24"/>
      <c r="BS822" s="24"/>
      <c r="BZ822" s="24"/>
      <c r="CA822" s="24"/>
      <c r="CB822" s="24"/>
      <c r="CC822" s="24"/>
      <c r="CD822" s="24"/>
    </row>
    <row r="823" spans="2:82" s="6" customFormat="1">
      <c r="B823" s="21"/>
      <c r="D823" s="17"/>
      <c r="E823" s="23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R823" s="24"/>
      <c r="AS823" s="24"/>
      <c r="AT823" s="24"/>
      <c r="AU823" s="24"/>
      <c r="AV823" s="24"/>
      <c r="AW823" s="24"/>
      <c r="BD823" s="24"/>
      <c r="BE823" s="24"/>
      <c r="BF823" s="24"/>
      <c r="BG823" s="24"/>
      <c r="BH823" s="24"/>
      <c r="BI823" s="24"/>
      <c r="BP823" s="24"/>
      <c r="BQ823" s="24"/>
      <c r="BR823" s="24"/>
      <c r="BS823" s="24"/>
      <c r="BZ823" s="24"/>
      <c r="CA823" s="24"/>
      <c r="CB823" s="24"/>
      <c r="CC823" s="24"/>
      <c r="CD823" s="24"/>
    </row>
    <row r="824" spans="2:82" s="6" customFormat="1">
      <c r="B824" s="21"/>
      <c r="D824" s="17"/>
      <c r="E824" s="23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R824" s="24"/>
      <c r="AS824" s="24"/>
      <c r="AT824" s="24"/>
      <c r="AU824" s="24"/>
      <c r="AV824" s="24"/>
      <c r="AW824" s="24"/>
      <c r="BD824" s="24"/>
      <c r="BE824" s="24"/>
      <c r="BF824" s="24"/>
      <c r="BG824" s="24"/>
      <c r="BH824" s="24"/>
      <c r="BI824" s="24"/>
      <c r="BP824" s="24"/>
      <c r="BQ824" s="24"/>
      <c r="BR824" s="24"/>
      <c r="BS824" s="24"/>
      <c r="BZ824" s="24"/>
      <c r="CA824" s="24"/>
      <c r="CB824" s="24"/>
      <c r="CC824" s="24"/>
      <c r="CD824" s="24"/>
    </row>
    <row r="825" spans="2:82" s="6" customFormat="1">
      <c r="B825" s="21"/>
      <c r="D825" s="17"/>
      <c r="E825" s="23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R825" s="24"/>
      <c r="AS825" s="24"/>
      <c r="AT825" s="24"/>
      <c r="AU825" s="24"/>
      <c r="AV825" s="24"/>
      <c r="AW825" s="24"/>
      <c r="BD825" s="24"/>
      <c r="BE825" s="24"/>
      <c r="BF825" s="24"/>
      <c r="BG825" s="24"/>
      <c r="BH825" s="24"/>
      <c r="BI825" s="24"/>
      <c r="BP825" s="24"/>
      <c r="BQ825" s="24"/>
      <c r="BR825" s="24"/>
      <c r="BS825" s="24"/>
      <c r="BZ825" s="24"/>
      <c r="CA825" s="24"/>
      <c r="CB825" s="24"/>
      <c r="CC825" s="24"/>
      <c r="CD825" s="24"/>
    </row>
    <row r="826" spans="2:82" s="6" customFormat="1">
      <c r="B826" s="21"/>
      <c r="D826" s="17"/>
      <c r="E826" s="23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R826" s="24"/>
      <c r="AS826" s="24"/>
      <c r="AT826" s="24"/>
      <c r="AU826" s="24"/>
      <c r="AV826" s="24"/>
      <c r="AW826" s="24"/>
      <c r="BD826" s="24"/>
      <c r="BE826" s="24"/>
      <c r="BF826" s="24"/>
      <c r="BG826" s="24"/>
      <c r="BH826" s="24"/>
      <c r="BI826" s="24"/>
      <c r="BP826" s="24"/>
      <c r="BQ826" s="24"/>
      <c r="BR826" s="24"/>
      <c r="BS826" s="24"/>
      <c r="BZ826" s="24"/>
      <c r="CA826" s="24"/>
      <c r="CB826" s="24"/>
      <c r="CC826" s="24"/>
      <c r="CD826" s="24"/>
    </row>
    <row r="827" spans="2:82" s="6" customFormat="1">
      <c r="B827" s="21"/>
      <c r="D827" s="17"/>
      <c r="E827" s="23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R827" s="24"/>
      <c r="AS827" s="24"/>
      <c r="AT827" s="24"/>
      <c r="AU827" s="24"/>
      <c r="AV827" s="24"/>
      <c r="AW827" s="24"/>
      <c r="BD827" s="24"/>
      <c r="BE827" s="24"/>
      <c r="BF827" s="24"/>
      <c r="BG827" s="24"/>
      <c r="BH827" s="24"/>
      <c r="BI827" s="24"/>
      <c r="BP827" s="24"/>
      <c r="BQ827" s="24"/>
      <c r="BR827" s="24"/>
      <c r="BS827" s="24"/>
      <c r="BZ827" s="24"/>
      <c r="CA827" s="24"/>
      <c r="CB827" s="24"/>
      <c r="CC827" s="24"/>
      <c r="CD827" s="24"/>
    </row>
    <row r="828" spans="2:82" s="6" customFormat="1">
      <c r="B828" s="21"/>
      <c r="D828" s="17"/>
      <c r="E828" s="23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R828" s="24"/>
      <c r="AS828" s="24"/>
      <c r="AT828" s="24"/>
      <c r="AU828" s="24"/>
      <c r="AV828" s="24"/>
      <c r="AW828" s="24"/>
      <c r="BD828" s="24"/>
      <c r="BE828" s="24"/>
      <c r="BF828" s="24"/>
      <c r="BG828" s="24"/>
      <c r="BH828" s="24"/>
      <c r="BI828" s="24"/>
      <c r="BP828" s="24"/>
      <c r="BQ828" s="24"/>
      <c r="BR828" s="24"/>
      <c r="BS828" s="24"/>
      <c r="BZ828" s="24"/>
      <c r="CA828" s="24"/>
      <c r="CB828" s="24"/>
      <c r="CC828" s="24"/>
      <c r="CD828" s="24"/>
    </row>
    <row r="829" spans="2:82" s="6" customFormat="1">
      <c r="B829" s="21"/>
      <c r="D829" s="17"/>
      <c r="E829" s="23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R829" s="24"/>
      <c r="AS829" s="24"/>
      <c r="AT829" s="24"/>
      <c r="AU829" s="24"/>
      <c r="AV829" s="24"/>
      <c r="AW829" s="24"/>
      <c r="BD829" s="24"/>
      <c r="BE829" s="24"/>
      <c r="BF829" s="24"/>
      <c r="BG829" s="24"/>
      <c r="BH829" s="24"/>
      <c r="BI829" s="24"/>
      <c r="BP829" s="24"/>
      <c r="BQ829" s="24"/>
      <c r="BR829" s="24"/>
      <c r="BS829" s="24"/>
      <c r="BZ829" s="24"/>
      <c r="CA829" s="24"/>
      <c r="CB829" s="24"/>
      <c r="CC829" s="24"/>
      <c r="CD829" s="24"/>
    </row>
    <row r="830" spans="2:82" s="6" customFormat="1">
      <c r="B830" s="21"/>
      <c r="D830" s="17"/>
      <c r="E830" s="23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R830" s="24"/>
      <c r="AS830" s="24"/>
      <c r="AT830" s="24"/>
      <c r="AU830" s="24"/>
      <c r="AV830" s="24"/>
      <c r="AW830" s="24"/>
      <c r="BD830" s="24"/>
      <c r="BE830" s="24"/>
      <c r="BF830" s="24"/>
      <c r="BG830" s="24"/>
      <c r="BH830" s="24"/>
      <c r="BI830" s="24"/>
      <c r="BP830" s="24"/>
      <c r="BQ830" s="24"/>
      <c r="BR830" s="24"/>
      <c r="BS830" s="24"/>
      <c r="BZ830" s="24"/>
      <c r="CA830" s="24"/>
      <c r="CB830" s="24"/>
      <c r="CC830" s="24"/>
      <c r="CD830" s="24"/>
    </row>
    <row r="831" spans="2:82" s="6" customFormat="1">
      <c r="B831" s="21"/>
      <c r="D831" s="17"/>
      <c r="E831" s="23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R831" s="24"/>
      <c r="AS831" s="24"/>
      <c r="AT831" s="24"/>
      <c r="AU831" s="24"/>
      <c r="AV831" s="24"/>
      <c r="AW831" s="24"/>
      <c r="BD831" s="24"/>
      <c r="BE831" s="24"/>
      <c r="BF831" s="24"/>
      <c r="BG831" s="24"/>
      <c r="BH831" s="24"/>
      <c r="BI831" s="24"/>
      <c r="BP831" s="24"/>
      <c r="BQ831" s="24"/>
      <c r="BR831" s="24"/>
      <c r="BS831" s="24"/>
      <c r="BZ831" s="24"/>
      <c r="CA831" s="24"/>
      <c r="CB831" s="24"/>
      <c r="CC831" s="24"/>
      <c r="CD831" s="24"/>
    </row>
    <row r="832" spans="2:82" s="6" customFormat="1">
      <c r="B832" s="21"/>
      <c r="D832" s="17"/>
      <c r="E832" s="23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R832" s="24"/>
      <c r="AS832" s="24"/>
      <c r="AT832" s="24"/>
      <c r="AU832" s="24"/>
      <c r="AV832" s="24"/>
      <c r="AW832" s="24"/>
      <c r="BD832" s="24"/>
      <c r="BE832" s="24"/>
      <c r="BF832" s="24"/>
      <c r="BG832" s="24"/>
      <c r="BH832" s="24"/>
      <c r="BI832" s="24"/>
      <c r="BP832" s="24"/>
      <c r="BQ832" s="24"/>
      <c r="BR832" s="24"/>
      <c r="BS832" s="24"/>
      <c r="BZ832" s="24"/>
      <c r="CA832" s="24"/>
      <c r="CB832" s="24"/>
      <c r="CC832" s="24"/>
      <c r="CD832" s="24"/>
    </row>
    <row r="833" spans="2:82" s="6" customFormat="1">
      <c r="B833" s="21"/>
      <c r="D833" s="17"/>
      <c r="E833" s="23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R833" s="24"/>
      <c r="AS833" s="24"/>
      <c r="AT833" s="24"/>
      <c r="AU833" s="24"/>
      <c r="AV833" s="24"/>
      <c r="AW833" s="24"/>
      <c r="BD833" s="24"/>
      <c r="BE833" s="24"/>
      <c r="BF833" s="24"/>
      <c r="BG833" s="24"/>
      <c r="BH833" s="24"/>
      <c r="BI833" s="24"/>
      <c r="BP833" s="24"/>
      <c r="BQ833" s="24"/>
      <c r="BR833" s="24"/>
      <c r="BS833" s="24"/>
      <c r="BZ833" s="24"/>
      <c r="CA833" s="24"/>
      <c r="CB833" s="24"/>
      <c r="CC833" s="24"/>
      <c r="CD833" s="24"/>
    </row>
    <row r="834" spans="2:82" s="6" customFormat="1">
      <c r="B834" s="21"/>
      <c r="D834" s="17"/>
      <c r="E834" s="23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R834" s="24"/>
      <c r="AS834" s="24"/>
      <c r="AT834" s="24"/>
      <c r="AU834" s="24"/>
      <c r="AV834" s="24"/>
      <c r="AW834" s="24"/>
      <c r="BD834" s="24"/>
      <c r="BE834" s="24"/>
      <c r="BF834" s="24"/>
      <c r="BG834" s="24"/>
      <c r="BH834" s="24"/>
      <c r="BI834" s="24"/>
      <c r="BP834" s="24"/>
      <c r="BQ834" s="24"/>
      <c r="BR834" s="24"/>
      <c r="BS834" s="24"/>
      <c r="BZ834" s="24"/>
      <c r="CA834" s="24"/>
      <c r="CB834" s="24"/>
      <c r="CC834" s="24"/>
      <c r="CD834" s="24"/>
    </row>
    <row r="835" spans="2:82" s="6" customFormat="1">
      <c r="B835" s="21"/>
      <c r="D835" s="17"/>
      <c r="E835" s="23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R835" s="24"/>
      <c r="AS835" s="24"/>
      <c r="AT835" s="24"/>
      <c r="AU835" s="24"/>
      <c r="AV835" s="24"/>
      <c r="AW835" s="24"/>
      <c r="BD835" s="24"/>
      <c r="BE835" s="24"/>
      <c r="BF835" s="24"/>
      <c r="BG835" s="24"/>
      <c r="BH835" s="24"/>
      <c r="BI835" s="24"/>
      <c r="BP835" s="24"/>
      <c r="BQ835" s="24"/>
      <c r="BR835" s="24"/>
      <c r="BS835" s="24"/>
      <c r="BZ835" s="24"/>
      <c r="CA835" s="24"/>
      <c r="CB835" s="24"/>
      <c r="CC835" s="24"/>
      <c r="CD835" s="24"/>
    </row>
    <row r="836" spans="2:82" s="6" customFormat="1">
      <c r="B836" s="21"/>
      <c r="D836" s="17"/>
      <c r="E836" s="23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R836" s="24"/>
      <c r="AS836" s="24"/>
      <c r="AT836" s="24"/>
      <c r="AU836" s="24"/>
      <c r="AV836" s="24"/>
      <c r="AW836" s="24"/>
      <c r="BD836" s="24"/>
      <c r="BE836" s="24"/>
      <c r="BF836" s="24"/>
      <c r="BG836" s="24"/>
      <c r="BH836" s="24"/>
      <c r="BI836" s="24"/>
      <c r="BP836" s="24"/>
      <c r="BQ836" s="24"/>
      <c r="BR836" s="24"/>
      <c r="BS836" s="24"/>
      <c r="BZ836" s="24"/>
      <c r="CA836" s="24"/>
      <c r="CB836" s="24"/>
      <c r="CC836" s="24"/>
      <c r="CD836" s="24"/>
    </row>
    <row r="837" spans="2:82" s="6" customFormat="1">
      <c r="B837" s="21"/>
      <c r="D837" s="17"/>
      <c r="E837" s="23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R837" s="24"/>
      <c r="AS837" s="24"/>
      <c r="AT837" s="24"/>
      <c r="AU837" s="24"/>
      <c r="AV837" s="24"/>
      <c r="AW837" s="24"/>
      <c r="BD837" s="24"/>
      <c r="BE837" s="24"/>
      <c r="BF837" s="24"/>
      <c r="BG837" s="24"/>
      <c r="BH837" s="24"/>
      <c r="BI837" s="24"/>
      <c r="BP837" s="24"/>
      <c r="BQ837" s="24"/>
      <c r="BR837" s="24"/>
      <c r="BS837" s="24"/>
      <c r="BZ837" s="24"/>
      <c r="CA837" s="24"/>
      <c r="CB837" s="24"/>
      <c r="CC837" s="24"/>
      <c r="CD837" s="24"/>
    </row>
    <row r="838" spans="2:82" s="6" customFormat="1">
      <c r="B838" s="21"/>
      <c r="D838" s="17"/>
      <c r="E838" s="23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R838" s="24"/>
      <c r="AS838" s="24"/>
      <c r="AT838" s="24"/>
      <c r="AU838" s="24"/>
      <c r="AV838" s="24"/>
      <c r="AW838" s="24"/>
      <c r="BD838" s="24"/>
      <c r="BE838" s="24"/>
      <c r="BF838" s="24"/>
      <c r="BG838" s="24"/>
      <c r="BH838" s="24"/>
      <c r="BI838" s="24"/>
      <c r="BP838" s="24"/>
      <c r="BQ838" s="24"/>
      <c r="BR838" s="24"/>
      <c r="BS838" s="24"/>
      <c r="BZ838" s="24"/>
      <c r="CA838" s="24"/>
      <c r="CB838" s="24"/>
      <c r="CC838" s="24"/>
      <c r="CD838" s="24"/>
    </row>
    <row r="839" spans="2:82" s="6" customFormat="1">
      <c r="B839" s="21"/>
      <c r="D839" s="17"/>
      <c r="E839" s="23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R839" s="24"/>
      <c r="AS839" s="24"/>
      <c r="AT839" s="24"/>
      <c r="AU839" s="24"/>
      <c r="AV839" s="24"/>
      <c r="AW839" s="24"/>
      <c r="BD839" s="24"/>
      <c r="BE839" s="24"/>
      <c r="BF839" s="24"/>
      <c r="BG839" s="24"/>
      <c r="BH839" s="24"/>
      <c r="BI839" s="24"/>
      <c r="BP839" s="24"/>
      <c r="BQ839" s="24"/>
      <c r="BR839" s="24"/>
      <c r="BS839" s="24"/>
      <c r="BZ839" s="24"/>
      <c r="CA839" s="24"/>
      <c r="CB839" s="24"/>
      <c r="CC839" s="24"/>
      <c r="CD839" s="24"/>
    </row>
    <row r="840" spans="2:82" s="6" customFormat="1">
      <c r="B840" s="21"/>
      <c r="D840" s="17"/>
      <c r="E840" s="23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R840" s="24"/>
      <c r="AS840" s="24"/>
      <c r="AT840" s="24"/>
      <c r="AU840" s="24"/>
      <c r="AV840" s="24"/>
      <c r="AW840" s="24"/>
      <c r="BD840" s="24"/>
      <c r="BE840" s="24"/>
      <c r="BF840" s="24"/>
      <c r="BG840" s="24"/>
      <c r="BH840" s="24"/>
      <c r="BI840" s="24"/>
      <c r="BP840" s="24"/>
      <c r="BQ840" s="24"/>
      <c r="BR840" s="24"/>
      <c r="BS840" s="24"/>
      <c r="BZ840" s="24"/>
      <c r="CA840" s="24"/>
      <c r="CB840" s="24"/>
      <c r="CC840" s="24"/>
      <c r="CD840" s="24"/>
    </row>
    <row r="841" spans="2:82" s="6" customFormat="1">
      <c r="B841" s="21"/>
      <c r="D841" s="17"/>
      <c r="E841" s="23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R841" s="24"/>
      <c r="AS841" s="24"/>
      <c r="AT841" s="24"/>
      <c r="AU841" s="24"/>
      <c r="AV841" s="24"/>
      <c r="AW841" s="24"/>
      <c r="BD841" s="24"/>
      <c r="BE841" s="24"/>
      <c r="BF841" s="24"/>
      <c r="BG841" s="24"/>
      <c r="BH841" s="24"/>
      <c r="BI841" s="24"/>
      <c r="BP841" s="24"/>
      <c r="BQ841" s="24"/>
      <c r="BR841" s="24"/>
      <c r="BS841" s="24"/>
      <c r="BZ841" s="24"/>
      <c r="CA841" s="24"/>
      <c r="CB841" s="24"/>
      <c r="CC841" s="24"/>
      <c r="CD841" s="24"/>
    </row>
    <row r="842" spans="2:82" s="6" customFormat="1">
      <c r="B842" s="21"/>
      <c r="D842" s="17"/>
      <c r="E842" s="23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R842" s="24"/>
      <c r="AS842" s="24"/>
      <c r="AT842" s="24"/>
      <c r="AU842" s="24"/>
      <c r="AV842" s="24"/>
      <c r="AW842" s="24"/>
      <c r="BD842" s="24"/>
      <c r="BE842" s="24"/>
      <c r="BF842" s="24"/>
      <c r="BG842" s="24"/>
      <c r="BH842" s="24"/>
      <c r="BI842" s="24"/>
      <c r="BP842" s="24"/>
      <c r="BQ842" s="24"/>
      <c r="BR842" s="24"/>
      <c r="BS842" s="24"/>
      <c r="BZ842" s="24"/>
      <c r="CA842" s="24"/>
      <c r="CB842" s="24"/>
      <c r="CC842" s="24"/>
      <c r="CD842" s="24"/>
    </row>
    <row r="843" spans="2:82" s="6" customFormat="1">
      <c r="B843" s="21"/>
      <c r="D843" s="17"/>
      <c r="E843" s="23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R843" s="24"/>
      <c r="AS843" s="24"/>
      <c r="AT843" s="24"/>
      <c r="AU843" s="24"/>
      <c r="AV843" s="24"/>
      <c r="AW843" s="24"/>
      <c r="BD843" s="24"/>
      <c r="BE843" s="24"/>
      <c r="BF843" s="24"/>
      <c r="BG843" s="24"/>
      <c r="BH843" s="24"/>
      <c r="BI843" s="24"/>
      <c r="BP843" s="24"/>
      <c r="BQ843" s="24"/>
      <c r="BR843" s="24"/>
      <c r="BS843" s="24"/>
      <c r="BZ843" s="24"/>
      <c r="CA843" s="24"/>
      <c r="CB843" s="24"/>
      <c r="CC843" s="24"/>
      <c r="CD843" s="24"/>
    </row>
    <row r="844" spans="2:82" s="6" customFormat="1">
      <c r="B844" s="21"/>
      <c r="D844" s="17"/>
      <c r="E844" s="23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R844" s="24"/>
      <c r="AS844" s="24"/>
      <c r="AT844" s="24"/>
      <c r="AU844" s="24"/>
      <c r="AV844" s="24"/>
      <c r="AW844" s="24"/>
      <c r="BD844" s="24"/>
      <c r="BE844" s="24"/>
      <c r="BF844" s="24"/>
      <c r="BG844" s="24"/>
      <c r="BH844" s="24"/>
      <c r="BI844" s="24"/>
      <c r="BP844" s="24"/>
      <c r="BQ844" s="24"/>
      <c r="BR844" s="24"/>
      <c r="BS844" s="24"/>
      <c r="BZ844" s="24"/>
      <c r="CA844" s="24"/>
      <c r="CB844" s="24"/>
      <c r="CC844" s="24"/>
      <c r="CD844" s="24"/>
    </row>
    <row r="845" spans="2:82" s="6" customFormat="1">
      <c r="B845" s="21"/>
      <c r="D845" s="17"/>
      <c r="E845" s="23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R845" s="24"/>
      <c r="AS845" s="24"/>
      <c r="AT845" s="24"/>
      <c r="AU845" s="24"/>
      <c r="AV845" s="24"/>
      <c r="AW845" s="24"/>
      <c r="BD845" s="24"/>
      <c r="BE845" s="24"/>
      <c r="BF845" s="24"/>
      <c r="BG845" s="24"/>
      <c r="BH845" s="24"/>
      <c r="BI845" s="24"/>
      <c r="BP845" s="24"/>
      <c r="BQ845" s="24"/>
      <c r="BR845" s="24"/>
      <c r="BS845" s="24"/>
      <c r="BZ845" s="24"/>
      <c r="CA845" s="24"/>
      <c r="CB845" s="24"/>
      <c r="CC845" s="24"/>
      <c r="CD845" s="24"/>
    </row>
    <row r="846" spans="2:82" s="6" customFormat="1">
      <c r="B846" s="21"/>
      <c r="D846" s="17"/>
      <c r="E846" s="23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R846" s="24"/>
      <c r="AS846" s="24"/>
      <c r="AT846" s="24"/>
      <c r="AU846" s="24"/>
      <c r="AV846" s="24"/>
      <c r="AW846" s="24"/>
      <c r="BD846" s="24"/>
      <c r="BE846" s="24"/>
      <c r="BF846" s="24"/>
      <c r="BG846" s="24"/>
      <c r="BH846" s="24"/>
      <c r="BI846" s="24"/>
      <c r="BP846" s="24"/>
      <c r="BQ846" s="24"/>
      <c r="BR846" s="24"/>
      <c r="BS846" s="24"/>
      <c r="BZ846" s="24"/>
      <c r="CA846" s="24"/>
      <c r="CB846" s="24"/>
      <c r="CC846" s="24"/>
      <c r="CD846" s="24"/>
    </row>
    <row r="847" spans="2:82" s="6" customFormat="1">
      <c r="B847" s="21"/>
      <c r="D847" s="17"/>
      <c r="E847" s="23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R847" s="24"/>
      <c r="AS847" s="24"/>
      <c r="AT847" s="24"/>
      <c r="AU847" s="24"/>
      <c r="AV847" s="24"/>
      <c r="AW847" s="24"/>
      <c r="BD847" s="24"/>
      <c r="BE847" s="24"/>
      <c r="BF847" s="24"/>
      <c r="BG847" s="24"/>
      <c r="BH847" s="24"/>
      <c r="BI847" s="24"/>
      <c r="BP847" s="24"/>
      <c r="BQ847" s="24"/>
      <c r="BR847" s="24"/>
      <c r="BS847" s="24"/>
      <c r="BZ847" s="24"/>
      <c r="CA847" s="24"/>
      <c r="CB847" s="24"/>
      <c r="CC847" s="24"/>
      <c r="CD847" s="24"/>
    </row>
    <row r="848" spans="2:82" s="6" customFormat="1">
      <c r="B848" s="21"/>
      <c r="D848" s="17"/>
      <c r="E848" s="23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R848" s="24"/>
      <c r="AS848" s="24"/>
      <c r="AT848" s="24"/>
      <c r="AU848" s="24"/>
      <c r="AV848" s="24"/>
      <c r="AW848" s="24"/>
      <c r="BD848" s="24"/>
      <c r="BE848" s="24"/>
      <c r="BF848" s="24"/>
      <c r="BG848" s="24"/>
      <c r="BH848" s="24"/>
      <c r="BI848" s="24"/>
      <c r="BP848" s="24"/>
      <c r="BQ848" s="24"/>
      <c r="BR848" s="24"/>
      <c r="BS848" s="24"/>
      <c r="BZ848" s="24"/>
      <c r="CA848" s="24"/>
      <c r="CB848" s="24"/>
      <c r="CC848" s="24"/>
      <c r="CD848" s="24"/>
    </row>
    <row r="849" spans="2:82" s="6" customFormat="1">
      <c r="B849" s="21"/>
      <c r="D849" s="17"/>
      <c r="E849" s="23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R849" s="24"/>
      <c r="AS849" s="24"/>
      <c r="AT849" s="24"/>
      <c r="AU849" s="24"/>
      <c r="AV849" s="24"/>
      <c r="AW849" s="24"/>
      <c r="BD849" s="24"/>
      <c r="BE849" s="24"/>
      <c r="BF849" s="24"/>
      <c r="BG849" s="24"/>
      <c r="BH849" s="24"/>
      <c r="BI849" s="24"/>
      <c r="BP849" s="24"/>
      <c r="BQ849" s="24"/>
      <c r="BR849" s="24"/>
      <c r="BS849" s="24"/>
      <c r="BZ849" s="24"/>
      <c r="CA849" s="24"/>
      <c r="CB849" s="24"/>
      <c r="CC849" s="24"/>
      <c r="CD849" s="24"/>
    </row>
    <row r="850" spans="2:82" s="6" customFormat="1">
      <c r="B850" s="21"/>
      <c r="D850" s="17"/>
      <c r="E850" s="23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R850" s="24"/>
      <c r="AS850" s="24"/>
      <c r="AT850" s="24"/>
      <c r="AU850" s="24"/>
      <c r="AV850" s="24"/>
      <c r="AW850" s="24"/>
      <c r="BD850" s="24"/>
      <c r="BE850" s="24"/>
      <c r="BF850" s="24"/>
      <c r="BG850" s="24"/>
      <c r="BH850" s="24"/>
      <c r="BI850" s="24"/>
      <c r="BP850" s="24"/>
      <c r="BQ850" s="24"/>
      <c r="BR850" s="24"/>
      <c r="BS850" s="24"/>
      <c r="BZ850" s="24"/>
      <c r="CA850" s="24"/>
      <c r="CB850" s="24"/>
      <c r="CC850" s="24"/>
      <c r="CD850" s="24"/>
    </row>
    <row r="851" spans="2:82" s="6" customFormat="1">
      <c r="B851" s="21"/>
      <c r="D851" s="17"/>
      <c r="E851" s="23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R851" s="24"/>
      <c r="AS851" s="24"/>
      <c r="AT851" s="24"/>
      <c r="AU851" s="24"/>
      <c r="AV851" s="24"/>
      <c r="AW851" s="24"/>
      <c r="BD851" s="24"/>
      <c r="BE851" s="24"/>
      <c r="BF851" s="24"/>
      <c r="BG851" s="24"/>
      <c r="BH851" s="24"/>
      <c r="BI851" s="24"/>
      <c r="BP851" s="24"/>
      <c r="BQ851" s="24"/>
      <c r="BR851" s="24"/>
      <c r="BS851" s="24"/>
      <c r="BZ851" s="24"/>
      <c r="CA851" s="24"/>
      <c r="CB851" s="24"/>
      <c r="CC851" s="24"/>
      <c r="CD851" s="24"/>
    </row>
    <row r="852" spans="2:82" s="6" customFormat="1">
      <c r="B852" s="21"/>
      <c r="D852" s="17"/>
      <c r="E852" s="23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R852" s="24"/>
      <c r="AS852" s="24"/>
      <c r="AT852" s="24"/>
      <c r="AU852" s="24"/>
      <c r="AV852" s="24"/>
      <c r="AW852" s="24"/>
      <c r="BD852" s="24"/>
      <c r="BE852" s="24"/>
      <c r="BF852" s="24"/>
      <c r="BG852" s="24"/>
      <c r="BH852" s="24"/>
      <c r="BI852" s="24"/>
      <c r="BP852" s="24"/>
      <c r="BQ852" s="24"/>
      <c r="BR852" s="24"/>
      <c r="BS852" s="24"/>
      <c r="BZ852" s="24"/>
      <c r="CA852" s="24"/>
      <c r="CB852" s="24"/>
      <c r="CC852" s="24"/>
      <c r="CD852" s="24"/>
    </row>
    <row r="853" spans="2:82" s="6" customFormat="1">
      <c r="B853" s="21"/>
      <c r="D853" s="17"/>
      <c r="E853" s="23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R853" s="24"/>
      <c r="AS853" s="24"/>
      <c r="AT853" s="24"/>
      <c r="AU853" s="24"/>
      <c r="AV853" s="24"/>
      <c r="AW853" s="24"/>
      <c r="BD853" s="24"/>
      <c r="BE853" s="24"/>
      <c r="BF853" s="24"/>
      <c r="BG853" s="24"/>
      <c r="BH853" s="24"/>
      <c r="BI853" s="24"/>
      <c r="BP853" s="24"/>
      <c r="BQ853" s="24"/>
      <c r="BR853" s="24"/>
      <c r="BS853" s="24"/>
      <c r="BZ853" s="24"/>
      <c r="CA853" s="24"/>
      <c r="CB853" s="24"/>
      <c r="CC853" s="24"/>
      <c r="CD853" s="24"/>
    </row>
    <row r="854" spans="2:82" s="6" customFormat="1">
      <c r="B854" s="21"/>
      <c r="D854" s="17"/>
      <c r="E854" s="23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R854" s="24"/>
      <c r="AS854" s="24"/>
      <c r="AT854" s="24"/>
      <c r="AU854" s="24"/>
      <c r="AV854" s="24"/>
      <c r="AW854" s="24"/>
      <c r="BD854" s="24"/>
      <c r="BE854" s="24"/>
      <c r="BF854" s="24"/>
      <c r="BG854" s="24"/>
      <c r="BH854" s="24"/>
      <c r="BI854" s="24"/>
      <c r="BP854" s="24"/>
      <c r="BQ854" s="24"/>
      <c r="BR854" s="24"/>
      <c r="BS854" s="24"/>
      <c r="BZ854" s="24"/>
      <c r="CA854" s="24"/>
      <c r="CB854" s="24"/>
      <c r="CC854" s="24"/>
      <c r="CD854" s="24"/>
    </row>
    <row r="855" spans="2:82" s="6" customFormat="1">
      <c r="B855" s="21"/>
      <c r="D855" s="17"/>
      <c r="E855" s="23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R855" s="24"/>
      <c r="AS855" s="24"/>
      <c r="AT855" s="24"/>
      <c r="AU855" s="24"/>
      <c r="AV855" s="24"/>
      <c r="AW855" s="24"/>
      <c r="BD855" s="24"/>
      <c r="BE855" s="24"/>
      <c r="BF855" s="24"/>
      <c r="BG855" s="24"/>
      <c r="BH855" s="24"/>
      <c r="BI855" s="24"/>
      <c r="BP855" s="24"/>
      <c r="BQ855" s="24"/>
      <c r="BR855" s="24"/>
      <c r="BS855" s="24"/>
      <c r="BZ855" s="24"/>
      <c r="CA855" s="24"/>
      <c r="CB855" s="24"/>
      <c r="CC855" s="24"/>
      <c r="CD855" s="24"/>
    </row>
    <row r="856" spans="2:82" s="6" customFormat="1">
      <c r="B856" s="21"/>
      <c r="D856" s="17"/>
      <c r="E856" s="23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R856" s="24"/>
      <c r="AS856" s="24"/>
      <c r="AT856" s="24"/>
      <c r="AU856" s="24"/>
      <c r="AV856" s="24"/>
      <c r="AW856" s="24"/>
      <c r="BD856" s="24"/>
      <c r="BE856" s="24"/>
      <c r="BF856" s="24"/>
      <c r="BG856" s="24"/>
      <c r="BH856" s="24"/>
      <c r="BI856" s="24"/>
      <c r="BP856" s="24"/>
      <c r="BQ856" s="24"/>
      <c r="BR856" s="24"/>
      <c r="BS856" s="24"/>
      <c r="BZ856" s="24"/>
      <c r="CA856" s="24"/>
      <c r="CB856" s="24"/>
      <c r="CC856" s="24"/>
      <c r="CD856" s="24"/>
    </row>
    <row r="857" spans="2:82" s="6" customFormat="1">
      <c r="B857" s="21"/>
      <c r="D857" s="17"/>
      <c r="E857" s="23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R857" s="24"/>
      <c r="AS857" s="24"/>
      <c r="AT857" s="24"/>
      <c r="AU857" s="24"/>
      <c r="AV857" s="24"/>
      <c r="AW857" s="24"/>
      <c r="BD857" s="24"/>
      <c r="BE857" s="24"/>
      <c r="BF857" s="24"/>
      <c r="BG857" s="24"/>
      <c r="BH857" s="24"/>
      <c r="BI857" s="24"/>
      <c r="BP857" s="24"/>
      <c r="BQ857" s="24"/>
      <c r="BR857" s="24"/>
      <c r="BS857" s="24"/>
      <c r="BZ857" s="24"/>
      <c r="CA857" s="24"/>
      <c r="CB857" s="24"/>
      <c r="CC857" s="24"/>
      <c r="CD857" s="24"/>
    </row>
    <row r="858" spans="2:82" s="6" customFormat="1">
      <c r="B858" s="21"/>
      <c r="D858" s="17"/>
      <c r="E858" s="23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R858" s="24"/>
      <c r="AS858" s="24"/>
      <c r="AT858" s="24"/>
      <c r="AU858" s="24"/>
      <c r="AV858" s="24"/>
      <c r="AW858" s="24"/>
      <c r="BD858" s="24"/>
      <c r="BE858" s="24"/>
      <c r="BF858" s="24"/>
      <c r="BG858" s="24"/>
      <c r="BH858" s="24"/>
      <c r="BI858" s="24"/>
      <c r="BP858" s="24"/>
      <c r="BQ858" s="24"/>
      <c r="BR858" s="24"/>
      <c r="BS858" s="24"/>
      <c r="BZ858" s="24"/>
      <c r="CA858" s="24"/>
      <c r="CB858" s="24"/>
      <c r="CC858" s="24"/>
      <c r="CD858" s="24"/>
    </row>
    <row r="859" spans="2:82" s="6" customFormat="1">
      <c r="B859" s="21"/>
      <c r="D859" s="17"/>
      <c r="E859" s="23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R859" s="24"/>
      <c r="AS859" s="24"/>
      <c r="AT859" s="24"/>
      <c r="AU859" s="24"/>
      <c r="AV859" s="24"/>
      <c r="AW859" s="24"/>
      <c r="BD859" s="24"/>
      <c r="BE859" s="24"/>
      <c r="BF859" s="24"/>
      <c r="BG859" s="24"/>
      <c r="BH859" s="24"/>
      <c r="BI859" s="24"/>
      <c r="BP859" s="24"/>
      <c r="BQ859" s="24"/>
      <c r="BR859" s="24"/>
      <c r="BS859" s="24"/>
      <c r="BZ859" s="24"/>
      <c r="CA859" s="24"/>
      <c r="CB859" s="24"/>
      <c r="CC859" s="24"/>
      <c r="CD859" s="24"/>
    </row>
    <row r="860" spans="2:82" s="6" customFormat="1">
      <c r="B860" s="21"/>
      <c r="D860" s="17"/>
      <c r="E860" s="23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R860" s="24"/>
      <c r="AS860" s="24"/>
      <c r="AT860" s="24"/>
      <c r="AU860" s="24"/>
      <c r="AV860" s="24"/>
      <c r="AW860" s="24"/>
      <c r="BD860" s="24"/>
      <c r="BE860" s="24"/>
      <c r="BF860" s="24"/>
      <c r="BG860" s="24"/>
      <c r="BH860" s="24"/>
      <c r="BI860" s="24"/>
      <c r="BP860" s="24"/>
      <c r="BQ860" s="24"/>
      <c r="BR860" s="24"/>
      <c r="BS860" s="24"/>
      <c r="BZ860" s="24"/>
      <c r="CA860" s="24"/>
      <c r="CB860" s="24"/>
      <c r="CC860" s="24"/>
      <c r="CD860" s="24"/>
    </row>
    <row r="861" spans="2:82" s="6" customFormat="1">
      <c r="B861" s="21"/>
      <c r="D861" s="17"/>
      <c r="E861" s="23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R861" s="24"/>
      <c r="AS861" s="24"/>
      <c r="AT861" s="24"/>
      <c r="AU861" s="24"/>
      <c r="AV861" s="24"/>
      <c r="AW861" s="24"/>
      <c r="BD861" s="24"/>
      <c r="BE861" s="24"/>
      <c r="BF861" s="24"/>
      <c r="BG861" s="24"/>
      <c r="BH861" s="24"/>
      <c r="BI861" s="24"/>
      <c r="BP861" s="24"/>
      <c r="BQ861" s="24"/>
      <c r="BR861" s="24"/>
      <c r="BS861" s="24"/>
      <c r="BZ861" s="24"/>
      <c r="CA861" s="24"/>
      <c r="CB861" s="24"/>
      <c r="CC861" s="24"/>
      <c r="CD861" s="24"/>
    </row>
    <row r="862" spans="2:82" s="6" customFormat="1">
      <c r="B862" s="21"/>
      <c r="D862" s="17"/>
      <c r="E862" s="23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R862" s="24"/>
      <c r="AS862" s="24"/>
      <c r="AT862" s="24"/>
      <c r="AU862" s="24"/>
      <c r="AV862" s="24"/>
      <c r="AW862" s="24"/>
      <c r="BD862" s="24"/>
      <c r="BE862" s="24"/>
      <c r="BF862" s="24"/>
      <c r="BG862" s="24"/>
      <c r="BH862" s="24"/>
      <c r="BI862" s="24"/>
      <c r="BP862" s="24"/>
      <c r="BQ862" s="24"/>
      <c r="BR862" s="24"/>
      <c r="BS862" s="24"/>
      <c r="BZ862" s="24"/>
      <c r="CA862" s="24"/>
      <c r="CB862" s="24"/>
      <c r="CC862" s="24"/>
      <c r="CD862" s="24"/>
    </row>
    <row r="863" spans="2:82" s="6" customFormat="1">
      <c r="B863" s="21"/>
      <c r="D863" s="17"/>
      <c r="E863" s="23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R863" s="24"/>
      <c r="AS863" s="24"/>
      <c r="AT863" s="24"/>
      <c r="AU863" s="24"/>
      <c r="AV863" s="24"/>
      <c r="AW863" s="24"/>
      <c r="BD863" s="24"/>
      <c r="BE863" s="24"/>
      <c r="BF863" s="24"/>
      <c r="BG863" s="24"/>
      <c r="BH863" s="24"/>
      <c r="BI863" s="24"/>
      <c r="BP863" s="24"/>
      <c r="BQ863" s="24"/>
      <c r="BR863" s="24"/>
      <c r="BS863" s="24"/>
      <c r="BZ863" s="24"/>
      <c r="CA863" s="24"/>
      <c r="CB863" s="24"/>
      <c r="CC863" s="24"/>
      <c r="CD863" s="24"/>
    </row>
    <row r="864" spans="2:82" s="6" customFormat="1">
      <c r="B864" s="21"/>
      <c r="D864" s="17"/>
      <c r="E864" s="23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R864" s="24"/>
      <c r="AS864" s="24"/>
      <c r="AT864" s="24"/>
      <c r="AU864" s="24"/>
      <c r="AV864" s="24"/>
      <c r="AW864" s="24"/>
      <c r="BD864" s="24"/>
      <c r="BE864" s="24"/>
      <c r="BF864" s="24"/>
      <c r="BG864" s="24"/>
      <c r="BH864" s="24"/>
      <c r="BI864" s="24"/>
      <c r="BP864" s="24"/>
      <c r="BQ864" s="24"/>
      <c r="BR864" s="24"/>
      <c r="BS864" s="24"/>
      <c r="BZ864" s="24"/>
      <c r="CA864" s="24"/>
      <c r="CB864" s="24"/>
      <c r="CC864" s="24"/>
      <c r="CD864" s="24"/>
    </row>
    <row r="865" spans="2:82" s="6" customFormat="1">
      <c r="B865" s="21"/>
      <c r="D865" s="17"/>
      <c r="E865" s="23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R865" s="24"/>
      <c r="AS865" s="24"/>
      <c r="AT865" s="24"/>
      <c r="AU865" s="24"/>
      <c r="AV865" s="24"/>
      <c r="AW865" s="24"/>
      <c r="BD865" s="24"/>
      <c r="BE865" s="24"/>
      <c r="BF865" s="24"/>
      <c r="BG865" s="24"/>
      <c r="BH865" s="24"/>
      <c r="BI865" s="24"/>
      <c r="BP865" s="24"/>
      <c r="BQ865" s="24"/>
      <c r="BR865" s="24"/>
      <c r="BS865" s="24"/>
      <c r="BZ865" s="24"/>
      <c r="CA865" s="24"/>
      <c r="CB865" s="24"/>
      <c r="CC865" s="24"/>
      <c r="CD865" s="24"/>
    </row>
    <row r="866" spans="2:82" s="6" customFormat="1">
      <c r="B866" s="21"/>
      <c r="D866" s="17"/>
      <c r="E866" s="23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R866" s="24"/>
      <c r="AS866" s="24"/>
      <c r="AT866" s="24"/>
      <c r="AU866" s="24"/>
      <c r="AV866" s="24"/>
      <c r="AW866" s="24"/>
      <c r="BD866" s="24"/>
      <c r="BE866" s="24"/>
      <c r="BF866" s="24"/>
      <c r="BG866" s="24"/>
      <c r="BH866" s="24"/>
      <c r="BI866" s="24"/>
      <c r="BP866" s="24"/>
      <c r="BQ866" s="24"/>
      <c r="BR866" s="24"/>
      <c r="BS866" s="24"/>
      <c r="BZ866" s="24"/>
      <c r="CA866" s="24"/>
      <c r="CB866" s="24"/>
      <c r="CC866" s="24"/>
      <c r="CD866" s="24"/>
    </row>
    <row r="867" spans="2:82" s="6" customFormat="1">
      <c r="B867" s="21"/>
      <c r="D867" s="17"/>
      <c r="E867" s="23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R867" s="24"/>
      <c r="AS867" s="24"/>
      <c r="AT867" s="24"/>
      <c r="AU867" s="24"/>
      <c r="AV867" s="24"/>
      <c r="AW867" s="24"/>
      <c r="BD867" s="24"/>
      <c r="BE867" s="24"/>
      <c r="BF867" s="24"/>
      <c r="BG867" s="24"/>
      <c r="BH867" s="24"/>
      <c r="BI867" s="24"/>
      <c r="BP867" s="24"/>
      <c r="BQ867" s="24"/>
      <c r="BR867" s="24"/>
      <c r="BS867" s="24"/>
      <c r="BZ867" s="24"/>
      <c r="CA867" s="24"/>
      <c r="CB867" s="24"/>
      <c r="CC867" s="24"/>
      <c r="CD867" s="24"/>
    </row>
    <row r="868" spans="2:82" s="6" customFormat="1">
      <c r="B868" s="21"/>
      <c r="D868" s="17"/>
      <c r="E868" s="23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R868" s="24"/>
      <c r="AS868" s="24"/>
      <c r="AT868" s="24"/>
      <c r="AU868" s="24"/>
      <c r="AV868" s="24"/>
      <c r="AW868" s="24"/>
      <c r="BD868" s="24"/>
      <c r="BE868" s="24"/>
      <c r="BF868" s="24"/>
      <c r="BG868" s="24"/>
      <c r="BH868" s="24"/>
      <c r="BI868" s="24"/>
      <c r="BP868" s="24"/>
      <c r="BQ868" s="24"/>
      <c r="BR868" s="24"/>
      <c r="BS868" s="24"/>
      <c r="BZ868" s="24"/>
      <c r="CA868" s="24"/>
      <c r="CB868" s="24"/>
      <c r="CC868" s="24"/>
      <c r="CD868" s="24"/>
    </row>
    <row r="869" spans="2:82" s="6" customFormat="1">
      <c r="B869" s="21"/>
      <c r="D869" s="17"/>
      <c r="E869" s="23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R869" s="24"/>
      <c r="AS869" s="24"/>
      <c r="AT869" s="24"/>
      <c r="AU869" s="24"/>
      <c r="AV869" s="24"/>
      <c r="AW869" s="24"/>
      <c r="BD869" s="24"/>
      <c r="BE869" s="24"/>
      <c r="BF869" s="24"/>
      <c r="BG869" s="24"/>
      <c r="BH869" s="24"/>
      <c r="BI869" s="24"/>
      <c r="BP869" s="24"/>
      <c r="BQ869" s="24"/>
      <c r="BR869" s="24"/>
      <c r="BS869" s="24"/>
      <c r="BZ869" s="24"/>
      <c r="CA869" s="24"/>
      <c r="CB869" s="24"/>
      <c r="CC869" s="24"/>
      <c r="CD869" s="24"/>
    </row>
    <row r="870" spans="2:82" s="6" customFormat="1">
      <c r="B870" s="21"/>
      <c r="D870" s="17"/>
      <c r="E870" s="23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R870" s="24"/>
      <c r="AS870" s="24"/>
      <c r="AT870" s="24"/>
      <c r="AU870" s="24"/>
      <c r="AV870" s="24"/>
      <c r="AW870" s="24"/>
      <c r="BD870" s="24"/>
      <c r="BE870" s="24"/>
      <c r="BF870" s="24"/>
      <c r="BG870" s="24"/>
      <c r="BH870" s="24"/>
      <c r="BI870" s="24"/>
      <c r="BP870" s="24"/>
      <c r="BQ870" s="24"/>
      <c r="BR870" s="24"/>
      <c r="BS870" s="24"/>
      <c r="BZ870" s="24"/>
      <c r="CA870" s="24"/>
      <c r="CB870" s="24"/>
      <c r="CC870" s="24"/>
      <c r="CD870" s="24"/>
    </row>
    <row r="871" spans="2:82" s="6" customFormat="1">
      <c r="B871" s="21"/>
      <c r="D871" s="17"/>
      <c r="E871" s="23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R871" s="24"/>
      <c r="AS871" s="24"/>
      <c r="AT871" s="24"/>
      <c r="AU871" s="24"/>
      <c r="AV871" s="24"/>
      <c r="AW871" s="24"/>
      <c r="BD871" s="24"/>
      <c r="BE871" s="24"/>
      <c r="BF871" s="24"/>
      <c r="BG871" s="24"/>
      <c r="BH871" s="24"/>
      <c r="BI871" s="24"/>
      <c r="BP871" s="24"/>
      <c r="BQ871" s="24"/>
      <c r="BR871" s="24"/>
      <c r="BS871" s="24"/>
      <c r="BZ871" s="24"/>
      <c r="CA871" s="24"/>
      <c r="CB871" s="24"/>
      <c r="CC871" s="24"/>
      <c r="CD871" s="24"/>
    </row>
    <row r="872" spans="2:82" s="6" customFormat="1">
      <c r="B872" s="21"/>
      <c r="D872" s="17"/>
      <c r="E872" s="23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R872" s="24"/>
      <c r="AS872" s="24"/>
      <c r="AT872" s="24"/>
      <c r="AU872" s="24"/>
      <c r="AV872" s="24"/>
      <c r="AW872" s="24"/>
      <c r="BD872" s="24"/>
      <c r="BE872" s="24"/>
      <c r="BF872" s="24"/>
      <c r="BG872" s="24"/>
      <c r="BH872" s="24"/>
      <c r="BI872" s="24"/>
      <c r="BP872" s="24"/>
      <c r="BQ872" s="24"/>
      <c r="BR872" s="24"/>
      <c r="BS872" s="24"/>
      <c r="BZ872" s="24"/>
      <c r="CA872" s="24"/>
      <c r="CB872" s="24"/>
      <c r="CC872" s="24"/>
      <c r="CD872" s="24"/>
    </row>
    <row r="873" spans="2:82" s="6" customFormat="1">
      <c r="B873" s="21"/>
      <c r="D873" s="17"/>
      <c r="E873" s="23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R873" s="24"/>
      <c r="AS873" s="24"/>
      <c r="AT873" s="24"/>
      <c r="AU873" s="24"/>
      <c r="AV873" s="24"/>
      <c r="AW873" s="24"/>
      <c r="BD873" s="24"/>
      <c r="BE873" s="24"/>
      <c r="BF873" s="24"/>
      <c r="BG873" s="24"/>
      <c r="BH873" s="24"/>
      <c r="BI873" s="24"/>
      <c r="BP873" s="24"/>
      <c r="BQ873" s="24"/>
      <c r="BR873" s="24"/>
      <c r="BS873" s="24"/>
      <c r="BZ873" s="24"/>
      <c r="CA873" s="24"/>
      <c r="CB873" s="24"/>
      <c r="CC873" s="24"/>
      <c r="CD873" s="24"/>
    </row>
    <row r="874" spans="2:82" s="6" customFormat="1">
      <c r="B874" s="21"/>
      <c r="D874" s="17"/>
      <c r="E874" s="23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R874" s="24"/>
      <c r="AS874" s="24"/>
      <c r="AT874" s="24"/>
      <c r="AU874" s="24"/>
      <c r="AV874" s="24"/>
      <c r="AW874" s="24"/>
      <c r="BD874" s="24"/>
      <c r="BE874" s="24"/>
      <c r="BF874" s="24"/>
      <c r="BG874" s="24"/>
      <c r="BH874" s="24"/>
      <c r="BI874" s="24"/>
      <c r="BP874" s="24"/>
      <c r="BQ874" s="24"/>
      <c r="BR874" s="24"/>
      <c r="BS874" s="24"/>
      <c r="BZ874" s="24"/>
      <c r="CA874" s="24"/>
      <c r="CB874" s="24"/>
      <c r="CC874" s="24"/>
      <c r="CD874" s="24"/>
    </row>
    <row r="875" spans="2:82" s="6" customFormat="1">
      <c r="B875" s="21"/>
      <c r="D875" s="17"/>
      <c r="E875" s="23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R875" s="24"/>
      <c r="AS875" s="24"/>
      <c r="AT875" s="24"/>
      <c r="AU875" s="24"/>
      <c r="AV875" s="24"/>
      <c r="AW875" s="24"/>
      <c r="BD875" s="24"/>
      <c r="BE875" s="24"/>
      <c r="BF875" s="24"/>
      <c r="BG875" s="24"/>
      <c r="BH875" s="24"/>
      <c r="BI875" s="24"/>
      <c r="BP875" s="24"/>
      <c r="BQ875" s="24"/>
      <c r="BR875" s="24"/>
      <c r="BS875" s="24"/>
      <c r="BZ875" s="24"/>
      <c r="CA875" s="24"/>
      <c r="CB875" s="24"/>
      <c r="CC875" s="24"/>
      <c r="CD875" s="24"/>
    </row>
    <row r="876" spans="2:82" s="6" customFormat="1">
      <c r="B876" s="21"/>
      <c r="D876" s="17"/>
      <c r="E876" s="23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R876" s="24"/>
      <c r="AS876" s="24"/>
      <c r="AT876" s="24"/>
      <c r="AU876" s="24"/>
      <c r="AV876" s="24"/>
      <c r="AW876" s="24"/>
      <c r="BD876" s="24"/>
      <c r="BE876" s="24"/>
      <c r="BF876" s="24"/>
      <c r="BG876" s="24"/>
      <c r="BH876" s="24"/>
      <c r="BI876" s="24"/>
      <c r="BP876" s="24"/>
      <c r="BQ876" s="24"/>
      <c r="BR876" s="24"/>
      <c r="BS876" s="24"/>
      <c r="BZ876" s="24"/>
      <c r="CA876" s="24"/>
      <c r="CB876" s="24"/>
      <c r="CC876" s="24"/>
      <c r="CD876" s="24"/>
    </row>
    <row r="877" spans="2:82" s="6" customFormat="1">
      <c r="B877" s="21"/>
      <c r="D877" s="17"/>
      <c r="E877" s="23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R877" s="24"/>
      <c r="AS877" s="24"/>
      <c r="AT877" s="24"/>
      <c r="AU877" s="24"/>
      <c r="AV877" s="24"/>
      <c r="AW877" s="24"/>
      <c r="BD877" s="24"/>
      <c r="BE877" s="24"/>
      <c r="BF877" s="24"/>
      <c r="BG877" s="24"/>
      <c r="BH877" s="24"/>
      <c r="BI877" s="24"/>
      <c r="BP877" s="24"/>
      <c r="BQ877" s="24"/>
      <c r="BR877" s="24"/>
      <c r="BS877" s="24"/>
      <c r="BZ877" s="24"/>
      <c r="CA877" s="24"/>
      <c r="CB877" s="24"/>
      <c r="CC877" s="24"/>
      <c r="CD877" s="24"/>
    </row>
    <row r="878" spans="2:82" s="6" customFormat="1">
      <c r="B878" s="21"/>
      <c r="D878" s="17"/>
      <c r="E878" s="23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R878" s="24"/>
      <c r="AS878" s="24"/>
      <c r="AT878" s="24"/>
      <c r="AU878" s="24"/>
      <c r="AV878" s="24"/>
      <c r="AW878" s="24"/>
      <c r="BD878" s="24"/>
      <c r="BE878" s="24"/>
      <c r="BF878" s="24"/>
      <c r="BG878" s="24"/>
      <c r="BH878" s="24"/>
      <c r="BI878" s="24"/>
      <c r="BP878" s="24"/>
      <c r="BQ878" s="24"/>
      <c r="BR878" s="24"/>
      <c r="BS878" s="24"/>
      <c r="BZ878" s="24"/>
      <c r="CA878" s="24"/>
      <c r="CB878" s="24"/>
      <c r="CC878" s="24"/>
      <c r="CD878" s="24"/>
    </row>
    <row r="879" spans="2:82" s="6" customFormat="1">
      <c r="B879" s="21"/>
      <c r="D879" s="17"/>
      <c r="E879" s="23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R879" s="24"/>
      <c r="AS879" s="24"/>
      <c r="AT879" s="24"/>
      <c r="AU879" s="24"/>
      <c r="AV879" s="24"/>
      <c r="AW879" s="24"/>
      <c r="BD879" s="24"/>
      <c r="BE879" s="24"/>
      <c r="BF879" s="24"/>
      <c r="BG879" s="24"/>
      <c r="BH879" s="24"/>
      <c r="BI879" s="24"/>
      <c r="BP879" s="24"/>
      <c r="BQ879" s="24"/>
      <c r="BR879" s="24"/>
      <c r="BS879" s="24"/>
      <c r="BZ879" s="24"/>
      <c r="CA879" s="24"/>
      <c r="CB879" s="24"/>
      <c r="CC879" s="24"/>
      <c r="CD879" s="24"/>
    </row>
    <row r="880" spans="2:82" s="6" customFormat="1">
      <c r="B880" s="21"/>
      <c r="D880" s="17"/>
      <c r="E880" s="23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R880" s="24"/>
      <c r="AS880" s="24"/>
      <c r="AT880" s="24"/>
      <c r="AU880" s="24"/>
      <c r="AV880" s="24"/>
      <c r="AW880" s="24"/>
      <c r="BD880" s="24"/>
      <c r="BE880" s="24"/>
      <c r="BF880" s="24"/>
      <c r="BG880" s="24"/>
      <c r="BH880" s="24"/>
      <c r="BI880" s="24"/>
      <c r="BP880" s="24"/>
      <c r="BQ880" s="24"/>
      <c r="BR880" s="24"/>
      <c r="BS880" s="24"/>
      <c r="BZ880" s="24"/>
      <c r="CA880" s="24"/>
      <c r="CB880" s="24"/>
      <c r="CC880" s="24"/>
      <c r="CD880" s="24"/>
    </row>
    <row r="881" spans="2:82" s="6" customFormat="1">
      <c r="B881" s="21"/>
      <c r="D881" s="17"/>
      <c r="E881" s="23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R881" s="24"/>
      <c r="AS881" s="24"/>
      <c r="AT881" s="24"/>
      <c r="AU881" s="24"/>
      <c r="AV881" s="24"/>
      <c r="AW881" s="24"/>
      <c r="BD881" s="24"/>
      <c r="BE881" s="24"/>
      <c r="BF881" s="24"/>
      <c r="BG881" s="24"/>
      <c r="BH881" s="24"/>
      <c r="BI881" s="24"/>
      <c r="BP881" s="24"/>
      <c r="BQ881" s="24"/>
      <c r="BR881" s="24"/>
      <c r="BS881" s="24"/>
      <c r="BZ881" s="24"/>
      <c r="CA881" s="24"/>
      <c r="CB881" s="24"/>
      <c r="CC881" s="24"/>
      <c r="CD881" s="24"/>
    </row>
    <row r="882" spans="2:82" s="6" customFormat="1">
      <c r="B882" s="21"/>
      <c r="D882" s="17"/>
      <c r="E882" s="23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R882" s="24"/>
      <c r="AS882" s="24"/>
      <c r="AT882" s="24"/>
      <c r="AU882" s="24"/>
      <c r="AV882" s="24"/>
      <c r="AW882" s="24"/>
      <c r="BD882" s="24"/>
      <c r="BE882" s="24"/>
      <c r="BF882" s="24"/>
      <c r="BG882" s="24"/>
      <c r="BH882" s="24"/>
      <c r="BI882" s="24"/>
      <c r="BP882" s="24"/>
      <c r="BQ882" s="24"/>
      <c r="BR882" s="24"/>
      <c r="BS882" s="24"/>
      <c r="BZ882" s="24"/>
      <c r="CA882" s="24"/>
      <c r="CB882" s="24"/>
      <c r="CC882" s="24"/>
      <c r="CD882" s="24"/>
    </row>
    <row r="883" spans="2:82" s="6" customFormat="1">
      <c r="B883" s="21"/>
      <c r="D883" s="17"/>
      <c r="E883" s="23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R883" s="24"/>
      <c r="AS883" s="24"/>
      <c r="AT883" s="24"/>
      <c r="AU883" s="24"/>
      <c r="AV883" s="24"/>
      <c r="AW883" s="24"/>
      <c r="BD883" s="24"/>
      <c r="BE883" s="24"/>
      <c r="BF883" s="24"/>
      <c r="BG883" s="24"/>
      <c r="BH883" s="24"/>
      <c r="BI883" s="24"/>
      <c r="BP883" s="24"/>
      <c r="BQ883" s="24"/>
      <c r="BR883" s="24"/>
      <c r="BS883" s="24"/>
      <c r="BZ883" s="24"/>
      <c r="CA883" s="24"/>
      <c r="CB883" s="24"/>
      <c r="CC883" s="24"/>
      <c r="CD883" s="24"/>
    </row>
    <row r="884" spans="2:82" s="6" customFormat="1">
      <c r="B884" s="21"/>
      <c r="D884" s="17"/>
      <c r="E884" s="23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R884" s="24"/>
      <c r="AS884" s="24"/>
      <c r="AT884" s="24"/>
      <c r="AU884" s="24"/>
      <c r="AV884" s="24"/>
      <c r="AW884" s="24"/>
      <c r="BD884" s="24"/>
      <c r="BE884" s="24"/>
      <c r="BF884" s="24"/>
      <c r="BG884" s="24"/>
      <c r="BH884" s="24"/>
      <c r="BI884" s="24"/>
      <c r="BP884" s="24"/>
      <c r="BQ884" s="24"/>
      <c r="BR884" s="24"/>
      <c r="BS884" s="24"/>
      <c r="BZ884" s="24"/>
      <c r="CA884" s="24"/>
      <c r="CB884" s="24"/>
      <c r="CC884" s="24"/>
      <c r="CD884" s="24"/>
    </row>
    <row r="885" spans="2:82" s="6" customFormat="1">
      <c r="B885" s="21"/>
      <c r="D885" s="17"/>
      <c r="E885" s="23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R885" s="24"/>
      <c r="AS885" s="24"/>
      <c r="AT885" s="24"/>
      <c r="AU885" s="24"/>
      <c r="AV885" s="24"/>
      <c r="AW885" s="24"/>
      <c r="BD885" s="24"/>
      <c r="BE885" s="24"/>
      <c r="BF885" s="24"/>
      <c r="BG885" s="24"/>
      <c r="BH885" s="24"/>
      <c r="BI885" s="24"/>
      <c r="BP885" s="24"/>
      <c r="BQ885" s="24"/>
      <c r="BR885" s="24"/>
      <c r="BS885" s="24"/>
      <c r="BZ885" s="24"/>
      <c r="CA885" s="24"/>
      <c r="CB885" s="24"/>
      <c r="CC885" s="24"/>
      <c r="CD885" s="24"/>
    </row>
    <row r="886" spans="2:82" s="6" customFormat="1">
      <c r="B886" s="21"/>
      <c r="D886" s="17"/>
      <c r="E886" s="23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R886" s="24"/>
      <c r="AS886" s="24"/>
      <c r="AT886" s="24"/>
      <c r="AU886" s="24"/>
      <c r="AV886" s="24"/>
      <c r="AW886" s="24"/>
      <c r="BD886" s="24"/>
      <c r="BE886" s="24"/>
      <c r="BF886" s="24"/>
      <c r="BG886" s="24"/>
      <c r="BH886" s="24"/>
      <c r="BI886" s="24"/>
      <c r="BP886" s="24"/>
      <c r="BQ886" s="24"/>
      <c r="BR886" s="24"/>
      <c r="BS886" s="24"/>
      <c r="BZ886" s="24"/>
      <c r="CA886" s="24"/>
      <c r="CB886" s="24"/>
      <c r="CC886" s="24"/>
      <c r="CD886" s="24"/>
    </row>
    <row r="887" spans="2:82" s="6" customFormat="1">
      <c r="B887" s="21"/>
      <c r="D887" s="17"/>
      <c r="E887" s="23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R887" s="24"/>
      <c r="AS887" s="24"/>
      <c r="AT887" s="24"/>
      <c r="AU887" s="24"/>
      <c r="AV887" s="24"/>
      <c r="AW887" s="24"/>
      <c r="BD887" s="24"/>
      <c r="BE887" s="24"/>
      <c r="BF887" s="24"/>
      <c r="BG887" s="24"/>
      <c r="BH887" s="24"/>
      <c r="BI887" s="24"/>
      <c r="BP887" s="24"/>
      <c r="BQ887" s="24"/>
      <c r="BR887" s="24"/>
      <c r="BS887" s="24"/>
      <c r="BZ887" s="24"/>
      <c r="CA887" s="24"/>
      <c r="CB887" s="24"/>
      <c r="CC887" s="24"/>
      <c r="CD887" s="24"/>
    </row>
    <row r="888" spans="2:82" s="6" customFormat="1">
      <c r="B888" s="21"/>
      <c r="D888" s="17"/>
      <c r="E888" s="23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R888" s="24"/>
      <c r="AS888" s="24"/>
      <c r="AT888" s="24"/>
      <c r="AU888" s="24"/>
      <c r="AV888" s="24"/>
      <c r="AW888" s="24"/>
      <c r="BD888" s="24"/>
      <c r="BE888" s="24"/>
      <c r="BF888" s="24"/>
      <c r="BG888" s="24"/>
      <c r="BH888" s="24"/>
      <c r="BI888" s="24"/>
      <c r="BP888" s="24"/>
      <c r="BQ888" s="24"/>
      <c r="BR888" s="24"/>
      <c r="BS888" s="24"/>
      <c r="BZ888" s="24"/>
      <c r="CA888" s="24"/>
      <c r="CB888" s="24"/>
      <c r="CC888" s="24"/>
      <c r="CD888" s="24"/>
    </row>
    <row r="889" spans="2:82" s="6" customFormat="1">
      <c r="B889" s="21"/>
      <c r="D889" s="17"/>
      <c r="E889" s="23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R889" s="24"/>
      <c r="AS889" s="24"/>
      <c r="AT889" s="24"/>
      <c r="AU889" s="24"/>
      <c r="AV889" s="24"/>
      <c r="AW889" s="24"/>
      <c r="BD889" s="24"/>
      <c r="BE889" s="24"/>
      <c r="BF889" s="24"/>
      <c r="BG889" s="24"/>
      <c r="BH889" s="24"/>
      <c r="BI889" s="24"/>
      <c r="BP889" s="24"/>
      <c r="BQ889" s="24"/>
      <c r="BR889" s="24"/>
      <c r="BS889" s="24"/>
      <c r="BZ889" s="24"/>
      <c r="CA889" s="24"/>
      <c r="CB889" s="24"/>
      <c r="CC889" s="24"/>
      <c r="CD889" s="24"/>
    </row>
    <row r="890" spans="2:82" s="6" customFormat="1">
      <c r="B890" s="21"/>
      <c r="D890" s="17"/>
      <c r="E890" s="23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R890" s="24"/>
      <c r="AS890" s="24"/>
      <c r="AT890" s="24"/>
      <c r="AU890" s="24"/>
      <c r="AV890" s="24"/>
      <c r="AW890" s="24"/>
      <c r="BD890" s="24"/>
      <c r="BE890" s="24"/>
      <c r="BF890" s="24"/>
      <c r="BG890" s="24"/>
      <c r="BH890" s="24"/>
      <c r="BI890" s="24"/>
      <c r="BP890" s="24"/>
      <c r="BQ890" s="24"/>
      <c r="BR890" s="24"/>
      <c r="BS890" s="24"/>
      <c r="BZ890" s="24"/>
      <c r="CA890" s="24"/>
      <c r="CB890" s="24"/>
      <c r="CC890" s="24"/>
      <c r="CD890" s="24"/>
    </row>
    <row r="891" spans="2:82" s="6" customFormat="1">
      <c r="B891" s="21"/>
      <c r="D891" s="17"/>
      <c r="E891" s="23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R891" s="24"/>
      <c r="AS891" s="24"/>
      <c r="AT891" s="24"/>
      <c r="AU891" s="24"/>
      <c r="AV891" s="24"/>
      <c r="AW891" s="24"/>
      <c r="BD891" s="24"/>
      <c r="BE891" s="24"/>
      <c r="BF891" s="24"/>
      <c r="BG891" s="24"/>
      <c r="BH891" s="24"/>
      <c r="BI891" s="24"/>
      <c r="BP891" s="24"/>
      <c r="BQ891" s="24"/>
      <c r="BR891" s="24"/>
      <c r="BS891" s="24"/>
      <c r="BZ891" s="24"/>
      <c r="CA891" s="24"/>
      <c r="CB891" s="24"/>
      <c r="CC891" s="24"/>
      <c r="CD891" s="24"/>
    </row>
    <row r="892" spans="2:82" s="6" customFormat="1">
      <c r="B892" s="21"/>
      <c r="D892" s="17"/>
      <c r="E892" s="23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R892" s="24"/>
      <c r="AS892" s="24"/>
      <c r="AT892" s="24"/>
      <c r="AU892" s="24"/>
      <c r="AV892" s="24"/>
      <c r="AW892" s="24"/>
      <c r="BD892" s="24"/>
      <c r="BE892" s="24"/>
      <c r="BF892" s="24"/>
      <c r="BG892" s="24"/>
      <c r="BH892" s="24"/>
      <c r="BI892" s="24"/>
      <c r="BP892" s="24"/>
      <c r="BQ892" s="24"/>
      <c r="BR892" s="24"/>
      <c r="BS892" s="24"/>
      <c r="BZ892" s="24"/>
      <c r="CA892" s="24"/>
      <c r="CB892" s="24"/>
      <c r="CC892" s="24"/>
      <c r="CD892" s="24"/>
    </row>
    <row r="893" spans="2:82" s="6" customFormat="1">
      <c r="B893" s="21"/>
      <c r="D893" s="17"/>
      <c r="E893" s="23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R893" s="24"/>
      <c r="AS893" s="24"/>
      <c r="AT893" s="24"/>
      <c r="AU893" s="24"/>
      <c r="AV893" s="24"/>
      <c r="AW893" s="24"/>
      <c r="BD893" s="24"/>
      <c r="BE893" s="24"/>
      <c r="BF893" s="24"/>
      <c r="BG893" s="24"/>
      <c r="BH893" s="24"/>
      <c r="BI893" s="24"/>
      <c r="BP893" s="24"/>
      <c r="BQ893" s="24"/>
      <c r="BR893" s="24"/>
      <c r="BS893" s="24"/>
      <c r="BZ893" s="24"/>
      <c r="CA893" s="24"/>
      <c r="CB893" s="24"/>
      <c r="CC893" s="24"/>
      <c r="CD893" s="24"/>
    </row>
    <row r="894" spans="2:82" s="6" customFormat="1">
      <c r="B894" s="21"/>
      <c r="D894" s="17"/>
      <c r="E894" s="23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R894" s="24"/>
      <c r="AS894" s="24"/>
      <c r="AT894" s="24"/>
      <c r="AU894" s="24"/>
      <c r="AV894" s="24"/>
      <c r="AW894" s="24"/>
      <c r="BD894" s="24"/>
      <c r="BE894" s="24"/>
      <c r="BF894" s="24"/>
      <c r="BG894" s="24"/>
      <c r="BH894" s="24"/>
      <c r="BI894" s="24"/>
      <c r="BP894" s="24"/>
      <c r="BQ894" s="24"/>
      <c r="BR894" s="24"/>
      <c r="BS894" s="24"/>
      <c r="BZ894" s="24"/>
      <c r="CA894" s="24"/>
      <c r="CB894" s="24"/>
      <c r="CC894" s="24"/>
      <c r="CD894" s="24"/>
    </row>
    <row r="895" spans="2:82" s="6" customFormat="1">
      <c r="B895" s="21"/>
      <c r="D895" s="17"/>
      <c r="E895" s="23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R895" s="24"/>
      <c r="AS895" s="24"/>
      <c r="AT895" s="24"/>
      <c r="AU895" s="24"/>
      <c r="AV895" s="24"/>
      <c r="AW895" s="24"/>
      <c r="BD895" s="24"/>
      <c r="BE895" s="24"/>
      <c r="BF895" s="24"/>
      <c r="BG895" s="24"/>
      <c r="BH895" s="24"/>
      <c r="BI895" s="24"/>
      <c r="BP895" s="24"/>
      <c r="BQ895" s="24"/>
      <c r="BR895" s="24"/>
      <c r="BS895" s="24"/>
      <c r="BZ895" s="24"/>
      <c r="CA895" s="24"/>
      <c r="CB895" s="24"/>
      <c r="CC895" s="24"/>
      <c r="CD895" s="24"/>
    </row>
    <row r="896" spans="2:82" s="6" customFormat="1">
      <c r="B896" s="21"/>
      <c r="D896" s="17"/>
      <c r="E896" s="23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R896" s="24"/>
      <c r="AS896" s="24"/>
      <c r="AT896" s="24"/>
      <c r="AU896" s="24"/>
      <c r="AV896" s="24"/>
      <c r="AW896" s="24"/>
      <c r="BD896" s="24"/>
      <c r="BE896" s="24"/>
      <c r="BF896" s="24"/>
      <c r="BG896" s="24"/>
      <c r="BH896" s="24"/>
      <c r="BI896" s="24"/>
      <c r="BP896" s="24"/>
      <c r="BQ896" s="24"/>
      <c r="BR896" s="24"/>
      <c r="BS896" s="24"/>
      <c r="BZ896" s="24"/>
      <c r="CA896" s="24"/>
      <c r="CB896" s="24"/>
      <c r="CC896" s="24"/>
      <c r="CD896" s="24"/>
    </row>
    <row r="897" spans="2:82" s="6" customFormat="1">
      <c r="B897" s="21"/>
      <c r="D897" s="17"/>
      <c r="E897" s="23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R897" s="24"/>
      <c r="AS897" s="24"/>
      <c r="AT897" s="24"/>
      <c r="AU897" s="24"/>
      <c r="AV897" s="24"/>
      <c r="AW897" s="24"/>
      <c r="BD897" s="24"/>
      <c r="BE897" s="24"/>
      <c r="BF897" s="24"/>
      <c r="BG897" s="24"/>
      <c r="BH897" s="24"/>
      <c r="BI897" s="24"/>
      <c r="BP897" s="24"/>
      <c r="BQ897" s="24"/>
      <c r="BR897" s="24"/>
      <c r="BS897" s="24"/>
      <c r="BZ897" s="24"/>
      <c r="CA897" s="24"/>
      <c r="CB897" s="24"/>
      <c r="CC897" s="24"/>
      <c r="CD897" s="24"/>
    </row>
    <row r="898" spans="2:82" s="6" customFormat="1">
      <c r="B898" s="21"/>
      <c r="D898" s="17"/>
      <c r="E898" s="23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R898" s="24"/>
      <c r="AS898" s="24"/>
      <c r="AT898" s="24"/>
      <c r="AU898" s="24"/>
      <c r="AV898" s="24"/>
      <c r="AW898" s="24"/>
      <c r="BD898" s="24"/>
      <c r="BE898" s="24"/>
      <c r="BF898" s="24"/>
      <c r="BG898" s="24"/>
      <c r="BH898" s="24"/>
      <c r="BI898" s="24"/>
      <c r="BP898" s="24"/>
      <c r="BQ898" s="24"/>
      <c r="BR898" s="24"/>
      <c r="BS898" s="24"/>
      <c r="BZ898" s="24"/>
      <c r="CA898" s="24"/>
      <c r="CB898" s="24"/>
      <c r="CC898" s="24"/>
      <c r="CD898" s="24"/>
    </row>
    <row r="899" spans="2:82" s="6" customFormat="1">
      <c r="B899" s="21"/>
      <c r="D899" s="17"/>
      <c r="E899" s="23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R899" s="24"/>
      <c r="AS899" s="24"/>
      <c r="AT899" s="24"/>
      <c r="AU899" s="24"/>
      <c r="AV899" s="24"/>
      <c r="AW899" s="24"/>
      <c r="BD899" s="24"/>
      <c r="BE899" s="24"/>
      <c r="BF899" s="24"/>
      <c r="BG899" s="24"/>
      <c r="BH899" s="24"/>
      <c r="BI899" s="24"/>
      <c r="BP899" s="24"/>
      <c r="BQ899" s="24"/>
      <c r="BR899" s="24"/>
      <c r="BS899" s="24"/>
      <c r="BZ899" s="24"/>
      <c r="CA899" s="24"/>
      <c r="CB899" s="24"/>
      <c r="CC899" s="24"/>
      <c r="CD899" s="24"/>
    </row>
    <row r="900" spans="2:82" s="6" customFormat="1">
      <c r="B900" s="21"/>
      <c r="D900" s="17"/>
      <c r="E900" s="23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R900" s="24"/>
      <c r="AS900" s="24"/>
      <c r="AT900" s="24"/>
      <c r="AU900" s="24"/>
      <c r="AV900" s="24"/>
      <c r="AW900" s="24"/>
      <c r="BD900" s="24"/>
      <c r="BE900" s="24"/>
      <c r="BF900" s="24"/>
      <c r="BG900" s="24"/>
      <c r="BH900" s="24"/>
      <c r="BI900" s="24"/>
      <c r="BP900" s="24"/>
      <c r="BQ900" s="24"/>
      <c r="BR900" s="24"/>
      <c r="BS900" s="24"/>
      <c r="BZ900" s="24"/>
      <c r="CA900" s="24"/>
      <c r="CB900" s="24"/>
      <c r="CC900" s="24"/>
      <c r="CD900" s="24"/>
    </row>
    <row r="901" spans="2:82" s="6" customFormat="1">
      <c r="B901" s="21"/>
      <c r="D901" s="17"/>
      <c r="E901" s="23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R901" s="24"/>
      <c r="AS901" s="24"/>
      <c r="AT901" s="24"/>
      <c r="AU901" s="24"/>
      <c r="AV901" s="24"/>
      <c r="AW901" s="24"/>
      <c r="BD901" s="24"/>
      <c r="BE901" s="24"/>
      <c r="BF901" s="24"/>
      <c r="BG901" s="24"/>
      <c r="BH901" s="24"/>
      <c r="BI901" s="24"/>
      <c r="BP901" s="24"/>
      <c r="BQ901" s="24"/>
      <c r="BR901" s="24"/>
      <c r="BS901" s="24"/>
      <c r="BZ901" s="24"/>
      <c r="CA901" s="24"/>
      <c r="CB901" s="24"/>
      <c r="CC901" s="24"/>
      <c r="CD901" s="24"/>
    </row>
    <row r="902" spans="2:82" s="6" customFormat="1">
      <c r="B902" s="21"/>
      <c r="D902" s="17"/>
      <c r="E902" s="23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R902" s="24"/>
      <c r="AS902" s="24"/>
      <c r="AT902" s="24"/>
      <c r="AU902" s="24"/>
      <c r="AV902" s="24"/>
      <c r="AW902" s="24"/>
      <c r="BD902" s="24"/>
      <c r="BE902" s="24"/>
      <c r="BF902" s="24"/>
      <c r="BG902" s="24"/>
      <c r="BH902" s="24"/>
      <c r="BI902" s="24"/>
      <c r="BP902" s="24"/>
      <c r="BQ902" s="24"/>
      <c r="BR902" s="24"/>
      <c r="BS902" s="24"/>
      <c r="BZ902" s="24"/>
      <c r="CA902" s="24"/>
      <c r="CB902" s="24"/>
      <c r="CC902" s="24"/>
      <c r="CD902" s="24"/>
    </row>
    <row r="903" spans="2:82" s="6" customFormat="1">
      <c r="B903" s="21"/>
      <c r="D903" s="17"/>
      <c r="E903" s="23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R903" s="24"/>
      <c r="AS903" s="24"/>
      <c r="AT903" s="24"/>
      <c r="AU903" s="24"/>
      <c r="AV903" s="24"/>
      <c r="AW903" s="24"/>
      <c r="BD903" s="24"/>
      <c r="BE903" s="24"/>
      <c r="BF903" s="24"/>
      <c r="BG903" s="24"/>
      <c r="BH903" s="24"/>
      <c r="BI903" s="24"/>
      <c r="BP903" s="24"/>
      <c r="BQ903" s="24"/>
      <c r="BR903" s="24"/>
      <c r="BS903" s="24"/>
      <c r="BZ903" s="24"/>
      <c r="CA903" s="24"/>
      <c r="CB903" s="24"/>
      <c r="CC903" s="24"/>
      <c r="CD903" s="24"/>
    </row>
    <row r="904" spans="2:82" s="6" customFormat="1">
      <c r="B904" s="21"/>
      <c r="D904" s="17"/>
      <c r="E904" s="23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R904" s="24"/>
      <c r="AS904" s="24"/>
      <c r="AT904" s="24"/>
      <c r="AU904" s="24"/>
      <c r="AV904" s="24"/>
      <c r="AW904" s="24"/>
      <c r="BD904" s="24"/>
      <c r="BE904" s="24"/>
      <c r="BF904" s="24"/>
      <c r="BG904" s="24"/>
      <c r="BH904" s="24"/>
      <c r="BI904" s="24"/>
      <c r="BP904" s="24"/>
      <c r="BQ904" s="24"/>
      <c r="BR904" s="24"/>
      <c r="BS904" s="24"/>
      <c r="BZ904" s="24"/>
      <c r="CA904" s="24"/>
      <c r="CB904" s="24"/>
      <c r="CC904" s="24"/>
      <c r="CD904" s="24"/>
    </row>
    <row r="905" spans="2:82" s="6" customFormat="1">
      <c r="B905" s="21"/>
      <c r="D905" s="17"/>
      <c r="E905" s="23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R905" s="24"/>
      <c r="AS905" s="24"/>
      <c r="AT905" s="24"/>
      <c r="AU905" s="24"/>
      <c r="AV905" s="24"/>
      <c r="AW905" s="24"/>
      <c r="BD905" s="24"/>
      <c r="BE905" s="24"/>
      <c r="BF905" s="24"/>
      <c r="BG905" s="24"/>
      <c r="BH905" s="24"/>
      <c r="BI905" s="24"/>
      <c r="BP905" s="24"/>
      <c r="BQ905" s="24"/>
      <c r="BR905" s="24"/>
      <c r="BS905" s="24"/>
      <c r="BZ905" s="24"/>
      <c r="CA905" s="24"/>
      <c r="CB905" s="24"/>
      <c r="CC905" s="24"/>
      <c r="CD905" s="24"/>
    </row>
    <row r="906" spans="2:82" s="6" customFormat="1">
      <c r="B906" s="21"/>
      <c r="D906" s="17"/>
      <c r="E906" s="23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R906" s="24"/>
      <c r="AS906" s="24"/>
      <c r="AT906" s="24"/>
      <c r="AU906" s="24"/>
      <c r="AV906" s="24"/>
      <c r="AW906" s="24"/>
      <c r="BD906" s="24"/>
      <c r="BE906" s="24"/>
      <c r="BF906" s="24"/>
      <c r="BG906" s="24"/>
      <c r="BH906" s="24"/>
      <c r="BI906" s="24"/>
      <c r="BP906" s="24"/>
      <c r="BQ906" s="24"/>
      <c r="BR906" s="24"/>
      <c r="BS906" s="24"/>
      <c r="BZ906" s="24"/>
      <c r="CA906" s="24"/>
      <c r="CB906" s="24"/>
      <c r="CC906" s="24"/>
      <c r="CD906" s="24"/>
    </row>
    <row r="907" spans="2:82" s="6" customFormat="1">
      <c r="B907" s="21"/>
      <c r="D907" s="17"/>
      <c r="E907" s="23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R907" s="24"/>
      <c r="AS907" s="24"/>
      <c r="AT907" s="24"/>
      <c r="AU907" s="24"/>
      <c r="AV907" s="24"/>
      <c r="AW907" s="24"/>
      <c r="BD907" s="24"/>
      <c r="BE907" s="24"/>
      <c r="BF907" s="24"/>
      <c r="BG907" s="24"/>
      <c r="BH907" s="24"/>
      <c r="BI907" s="24"/>
      <c r="BP907" s="24"/>
      <c r="BQ907" s="24"/>
      <c r="BR907" s="24"/>
      <c r="BS907" s="24"/>
      <c r="BZ907" s="24"/>
      <c r="CA907" s="24"/>
      <c r="CB907" s="24"/>
      <c r="CC907" s="24"/>
      <c r="CD907" s="24"/>
    </row>
    <row r="908" spans="2:82" s="6" customFormat="1">
      <c r="B908" s="21"/>
      <c r="D908" s="17"/>
      <c r="E908" s="23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R908" s="24"/>
      <c r="AS908" s="24"/>
      <c r="AT908" s="24"/>
      <c r="AU908" s="24"/>
      <c r="AV908" s="24"/>
      <c r="AW908" s="24"/>
      <c r="BD908" s="24"/>
      <c r="BE908" s="24"/>
      <c r="BF908" s="24"/>
      <c r="BG908" s="24"/>
      <c r="BH908" s="24"/>
      <c r="BI908" s="24"/>
      <c r="BP908" s="24"/>
      <c r="BQ908" s="24"/>
      <c r="BR908" s="24"/>
      <c r="BS908" s="24"/>
      <c r="BZ908" s="24"/>
      <c r="CA908" s="24"/>
      <c r="CB908" s="24"/>
      <c r="CC908" s="24"/>
      <c r="CD908" s="24"/>
    </row>
    <row r="909" spans="2:82" s="6" customFormat="1">
      <c r="B909" s="21"/>
      <c r="D909" s="17"/>
      <c r="E909" s="23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R909" s="24"/>
      <c r="AS909" s="24"/>
      <c r="AT909" s="24"/>
      <c r="AU909" s="24"/>
      <c r="AV909" s="24"/>
      <c r="AW909" s="24"/>
      <c r="BD909" s="24"/>
      <c r="BE909" s="24"/>
      <c r="BF909" s="24"/>
      <c r="BG909" s="24"/>
      <c r="BH909" s="24"/>
      <c r="BI909" s="24"/>
      <c r="BP909" s="24"/>
      <c r="BQ909" s="24"/>
      <c r="BR909" s="24"/>
      <c r="BS909" s="24"/>
      <c r="BZ909" s="24"/>
      <c r="CA909" s="24"/>
      <c r="CB909" s="24"/>
      <c r="CC909" s="24"/>
      <c r="CD909" s="24"/>
    </row>
    <row r="910" spans="2:82" s="6" customFormat="1">
      <c r="B910" s="21"/>
      <c r="D910" s="17"/>
      <c r="E910" s="23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R910" s="24"/>
      <c r="AS910" s="24"/>
      <c r="AT910" s="24"/>
      <c r="AU910" s="24"/>
      <c r="AV910" s="24"/>
      <c r="AW910" s="24"/>
      <c r="BD910" s="24"/>
      <c r="BE910" s="24"/>
      <c r="BF910" s="24"/>
      <c r="BG910" s="24"/>
      <c r="BH910" s="24"/>
      <c r="BI910" s="24"/>
      <c r="BP910" s="24"/>
      <c r="BQ910" s="24"/>
      <c r="BR910" s="24"/>
      <c r="BS910" s="24"/>
      <c r="BZ910" s="24"/>
      <c r="CA910" s="24"/>
      <c r="CB910" s="24"/>
      <c r="CC910" s="24"/>
      <c r="CD910" s="24"/>
    </row>
    <row r="911" spans="2:82" s="6" customFormat="1">
      <c r="B911" s="21"/>
      <c r="D911" s="17"/>
      <c r="E911" s="23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R911" s="24"/>
      <c r="AS911" s="24"/>
      <c r="AT911" s="24"/>
      <c r="AU911" s="24"/>
      <c r="AV911" s="24"/>
      <c r="AW911" s="24"/>
      <c r="BD911" s="24"/>
      <c r="BE911" s="24"/>
      <c r="BF911" s="24"/>
      <c r="BG911" s="24"/>
      <c r="BH911" s="24"/>
      <c r="BI911" s="24"/>
      <c r="BP911" s="24"/>
      <c r="BQ911" s="24"/>
      <c r="BR911" s="24"/>
      <c r="BS911" s="24"/>
      <c r="BZ911" s="24"/>
      <c r="CA911" s="24"/>
      <c r="CB911" s="24"/>
      <c r="CC911" s="24"/>
      <c r="CD911" s="24"/>
    </row>
    <row r="912" spans="2:82" s="6" customFormat="1">
      <c r="B912" s="21"/>
      <c r="D912" s="17"/>
      <c r="E912" s="23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R912" s="24"/>
      <c r="AS912" s="24"/>
      <c r="AT912" s="24"/>
      <c r="AU912" s="24"/>
      <c r="AV912" s="24"/>
      <c r="AW912" s="24"/>
      <c r="BD912" s="24"/>
      <c r="BE912" s="24"/>
      <c r="BF912" s="24"/>
      <c r="BG912" s="24"/>
      <c r="BH912" s="24"/>
      <c r="BI912" s="24"/>
      <c r="BP912" s="24"/>
      <c r="BQ912" s="24"/>
      <c r="BR912" s="24"/>
      <c r="BS912" s="24"/>
      <c r="BZ912" s="24"/>
      <c r="CA912" s="24"/>
      <c r="CB912" s="24"/>
      <c r="CC912" s="24"/>
      <c r="CD912" s="24"/>
    </row>
    <row r="913" spans="2:82" s="6" customFormat="1">
      <c r="B913" s="21"/>
      <c r="D913" s="17"/>
      <c r="E913" s="23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R913" s="24"/>
      <c r="AS913" s="24"/>
      <c r="AT913" s="24"/>
      <c r="AU913" s="24"/>
      <c r="AV913" s="24"/>
      <c r="AW913" s="24"/>
      <c r="BD913" s="24"/>
      <c r="BE913" s="24"/>
      <c r="BF913" s="24"/>
      <c r="BG913" s="24"/>
      <c r="BH913" s="24"/>
      <c r="BI913" s="24"/>
      <c r="BP913" s="24"/>
      <c r="BQ913" s="24"/>
      <c r="BR913" s="24"/>
      <c r="BS913" s="24"/>
      <c r="BZ913" s="24"/>
      <c r="CA913" s="24"/>
      <c r="CB913" s="24"/>
      <c r="CC913" s="24"/>
      <c r="CD913" s="24"/>
    </row>
    <row r="914" spans="2:82" s="6" customFormat="1">
      <c r="B914" s="21"/>
      <c r="D914" s="17"/>
      <c r="E914" s="23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R914" s="24"/>
      <c r="AS914" s="24"/>
      <c r="AT914" s="24"/>
      <c r="AU914" s="24"/>
      <c r="AV914" s="24"/>
      <c r="AW914" s="24"/>
      <c r="BD914" s="24"/>
      <c r="BE914" s="24"/>
      <c r="BF914" s="24"/>
      <c r="BG914" s="24"/>
      <c r="BH914" s="24"/>
      <c r="BI914" s="24"/>
      <c r="BP914" s="24"/>
      <c r="BQ914" s="24"/>
      <c r="BR914" s="24"/>
      <c r="BS914" s="24"/>
      <c r="BZ914" s="24"/>
      <c r="CA914" s="24"/>
      <c r="CB914" s="24"/>
      <c r="CC914" s="24"/>
      <c r="CD914" s="24"/>
    </row>
    <row r="915" spans="2:82" s="6" customFormat="1">
      <c r="B915" s="21"/>
      <c r="D915" s="17"/>
      <c r="E915" s="23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R915" s="24"/>
      <c r="AS915" s="24"/>
      <c r="AT915" s="24"/>
      <c r="AU915" s="24"/>
      <c r="AV915" s="24"/>
      <c r="AW915" s="24"/>
      <c r="BD915" s="24"/>
      <c r="BE915" s="24"/>
      <c r="BF915" s="24"/>
      <c r="BG915" s="24"/>
      <c r="BH915" s="24"/>
      <c r="BI915" s="24"/>
      <c r="BP915" s="24"/>
      <c r="BQ915" s="24"/>
      <c r="BR915" s="24"/>
      <c r="BS915" s="24"/>
      <c r="BZ915" s="24"/>
      <c r="CA915" s="24"/>
      <c r="CB915" s="24"/>
      <c r="CC915" s="24"/>
      <c r="CD915" s="24"/>
    </row>
    <row r="916" spans="2:82" s="6" customFormat="1">
      <c r="B916" s="21"/>
      <c r="D916" s="17"/>
      <c r="E916" s="23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R916" s="24"/>
      <c r="AS916" s="24"/>
      <c r="AT916" s="24"/>
      <c r="AU916" s="24"/>
      <c r="AV916" s="24"/>
      <c r="AW916" s="24"/>
      <c r="BD916" s="24"/>
      <c r="BE916" s="24"/>
      <c r="BF916" s="24"/>
      <c r="BG916" s="24"/>
      <c r="BH916" s="24"/>
      <c r="BI916" s="24"/>
      <c r="BP916" s="24"/>
      <c r="BQ916" s="24"/>
      <c r="BR916" s="24"/>
      <c r="BS916" s="24"/>
      <c r="BZ916" s="24"/>
      <c r="CA916" s="24"/>
      <c r="CB916" s="24"/>
      <c r="CC916" s="24"/>
      <c r="CD916" s="24"/>
    </row>
    <row r="917" spans="2:82" s="6" customFormat="1">
      <c r="B917" s="21"/>
      <c r="D917" s="17"/>
      <c r="E917" s="23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R917" s="24"/>
      <c r="AS917" s="24"/>
      <c r="AT917" s="24"/>
      <c r="AU917" s="24"/>
      <c r="AV917" s="24"/>
      <c r="AW917" s="24"/>
      <c r="BD917" s="24"/>
      <c r="BE917" s="24"/>
      <c r="BF917" s="24"/>
      <c r="BG917" s="24"/>
      <c r="BH917" s="24"/>
      <c r="BI917" s="24"/>
      <c r="BP917" s="24"/>
      <c r="BQ917" s="24"/>
      <c r="BR917" s="24"/>
      <c r="BS917" s="24"/>
      <c r="BZ917" s="24"/>
      <c r="CA917" s="24"/>
      <c r="CB917" s="24"/>
      <c r="CC917" s="24"/>
      <c r="CD917" s="24"/>
    </row>
    <row r="918" spans="2:82" s="6" customFormat="1">
      <c r="B918" s="21"/>
      <c r="D918" s="17"/>
      <c r="E918" s="23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R918" s="24"/>
      <c r="AS918" s="24"/>
      <c r="AT918" s="24"/>
      <c r="AU918" s="24"/>
      <c r="AV918" s="24"/>
      <c r="AW918" s="24"/>
      <c r="BD918" s="24"/>
      <c r="BE918" s="24"/>
      <c r="BF918" s="24"/>
      <c r="BG918" s="24"/>
      <c r="BH918" s="24"/>
      <c r="BI918" s="24"/>
      <c r="BP918" s="24"/>
      <c r="BQ918" s="24"/>
      <c r="BR918" s="24"/>
      <c r="BS918" s="24"/>
      <c r="BZ918" s="24"/>
      <c r="CA918" s="24"/>
      <c r="CB918" s="24"/>
      <c r="CC918" s="24"/>
      <c r="CD918" s="24"/>
    </row>
    <row r="919" spans="2:82" s="6" customFormat="1">
      <c r="B919" s="21"/>
      <c r="D919" s="17"/>
      <c r="E919" s="23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R919" s="24"/>
      <c r="AS919" s="24"/>
      <c r="AT919" s="24"/>
      <c r="AU919" s="24"/>
      <c r="AV919" s="24"/>
      <c r="AW919" s="24"/>
      <c r="BD919" s="24"/>
      <c r="BE919" s="24"/>
      <c r="BF919" s="24"/>
      <c r="BG919" s="24"/>
      <c r="BH919" s="24"/>
      <c r="BI919" s="24"/>
      <c r="BP919" s="24"/>
      <c r="BQ919" s="24"/>
      <c r="BR919" s="24"/>
      <c r="BS919" s="24"/>
      <c r="BZ919" s="24"/>
      <c r="CA919" s="24"/>
      <c r="CB919" s="24"/>
      <c r="CC919" s="24"/>
      <c r="CD919" s="24"/>
    </row>
    <row r="920" spans="2:82" s="6" customFormat="1">
      <c r="B920" s="21"/>
      <c r="D920" s="17"/>
      <c r="E920" s="23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R920" s="24"/>
      <c r="AS920" s="24"/>
      <c r="AT920" s="24"/>
      <c r="AU920" s="24"/>
      <c r="AV920" s="24"/>
      <c r="AW920" s="24"/>
      <c r="BD920" s="24"/>
      <c r="BE920" s="24"/>
      <c r="BF920" s="24"/>
      <c r="BG920" s="24"/>
      <c r="BH920" s="24"/>
      <c r="BI920" s="24"/>
      <c r="BP920" s="24"/>
      <c r="BQ920" s="24"/>
      <c r="BR920" s="24"/>
      <c r="BS920" s="24"/>
      <c r="BZ920" s="24"/>
      <c r="CA920" s="24"/>
      <c r="CB920" s="24"/>
      <c r="CC920" s="24"/>
      <c r="CD920" s="24"/>
    </row>
    <row r="921" spans="2:82" s="6" customFormat="1">
      <c r="B921" s="21"/>
      <c r="D921" s="17"/>
      <c r="E921" s="23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R921" s="24"/>
      <c r="AS921" s="24"/>
      <c r="AT921" s="24"/>
      <c r="AU921" s="24"/>
      <c r="AV921" s="24"/>
      <c r="AW921" s="24"/>
      <c r="BD921" s="24"/>
      <c r="BE921" s="24"/>
      <c r="BF921" s="24"/>
      <c r="BG921" s="24"/>
      <c r="BH921" s="24"/>
      <c r="BI921" s="24"/>
      <c r="BP921" s="24"/>
      <c r="BQ921" s="24"/>
      <c r="BR921" s="24"/>
      <c r="BS921" s="24"/>
      <c r="BZ921" s="24"/>
      <c r="CA921" s="24"/>
      <c r="CB921" s="24"/>
      <c r="CC921" s="24"/>
      <c r="CD921" s="24"/>
    </row>
    <row r="922" spans="2:82" s="6" customFormat="1">
      <c r="B922" s="21"/>
      <c r="D922" s="17"/>
      <c r="E922" s="23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R922" s="24"/>
      <c r="AS922" s="24"/>
      <c r="AT922" s="24"/>
      <c r="AU922" s="24"/>
      <c r="AV922" s="24"/>
      <c r="AW922" s="24"/>
      <c r="BD922" s="24"/>
      <c r="BE922" s="24"/>
      <c r="BF922" s="24"/>
      <c r="BG922" s="24"/>
      <c r="BH922" s="24"/>
      <c r="BI922" s="24"/>
      <c r="BP922" s="24"/>
      <c r="BQ922" s="24"/>
      <c r="BR922" s="24"/>
      <c r="BS922" s="24"/>
      <c r="BZ922" s="24"/>
      <c r="CA922" s="24"/>
      <c r="CB922" s="24"/>
      <c r="CC922" s="24"/>
      <c r="CD922" s="24"/>
    </row>
    <row r="923" spans="2:82" s="6" customFormat="1">
      <c r="B923" s="21"/>
      <c r="D923" s="17"/>
      <c r="E923" s="23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R923" s="24"/>
      <c r="AS923" s="24"/>
      <c r="AT923" s="24"/>
      <c r="AU923" s="24"/>
      <c r="AV923" s="24"/>
      <c r="AW923" s="24"/>
      <c r="BD923" s="24"/>
      <c r="BE923" s="24"/>
      <c r="BF923" s="24"/>
      <c r="BG923" s="24"/>
      <c r="BH923" s="24"/>
      <c r="BI923" s="24"/>
      <c r="BP923" s="24"/>
      <c r="BQ923" s="24"/>
      <c r="BR923" s="24"/>
      <c r="BS923" s="24"/>
      <c r="BZ923" s="24"/>
      <c r="CA923" s="24"/>
      <c r="CB923" s="24"/>
      <c r="CC923" s="24"/>
      <c r="CD923" s="24"/>
    </row>
    <row r="924" spans="2:82" s="6" customFormat="1">
      <c r="B924" s="21"/>
      <c r="D924" s="17"/>
      <c r="E924" s="23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R924" s="24"/>
      <c r="AS924" s="24"/>
      <c r="AT924" s="24"/>
      <c r="AU924" s="24"/>
      <c r="AV924" s="24"/>
      <c r="AW924" s="24"/>
      <c r="BD924" s="24"/>
      <c r="BE924" s="24"/>
      <c r="BF924" s="24"/>
      <c r="BG924" s="24"/>
      <c r="BH924" s="24"/>
      <c r="BI924" s="24"/>
      <c r="BP924" s="24"/>
      <c r="BQ924" s="24"/>
      <c r="BR924" s="24"/>
      <c r="BS924" s="24"/>
      <c r="BZ924" s="24"/>
      <c r="CA924" s="24"/>
      <c r="CB924" s="24"/>
      <c r="CC924" s="24"/>
      <c r="CD924" s="24"/>
    </row>
    <row r="925" spans="2:82" s="6" customFormat="1">
      <c r="B925" s="21"/>
      <c r="D925" s="17"/>
      <c r="E925" s="23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R925" s="24"/>
      <c r="AS925" s="24"/>
      <c r="AT925" s="24"/>
      <c r="AU925" s="24"/>
      <c r="AV925" s="24"/>
      <c r="AW925" s="24"/>
      <c r="BD925" s="24"/>
      <c r="BE925" s="24"/>
      <c r="BF925" s="24"/>
      <c r="BG925" s="24"/>
      <c r="BH925" s="24"/>
      <c r="BI925" s="24"/>
      <c r="BP925" s="24"/>
      <c r="BQ925" s="24"/>
      <c r="BR925" s="24"/>
      <c r="BS925" s="24"/>
      <c r="BZ925" s="24"/>
      <c r="CA925" s="24"/>
      <c r="CB925" s="24"/>
      <c r="CC925" s="24"/>
      <c r="CD925" s="24"/>
    </row>
    <row r="926" spans="2:82" s="6" customFormat="1">
      <c r="B926" s="21"/>
      <c r="D926" s="17"/>
      <c r="E926" s="23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R926" s="24"/>
      <c r="AS926" s="24"/>
      <c r="AT926" s="24"/>
      <c r="AU926" s="24"/>
      <c r="AV926" s="24"/>
      <c r="AW926" s="24"/>
      <c r="BD926" s="24"/>
      <c r="BE926" s="24"/>
      <c r="BF926" s="24"/>
      <c r="BG926" s="24"/>
      <c r="BH926" s="24"/>
      <c r="BI926" s="24"/>
      <c r="BP926" s="24"/>
      <c r="BQ926" s="24"/>
      <c r="BR926" s="24"/>
      <c r="BS926" s="24"/>
      <c r="BZ926" s="24"/>
      <c r="CA926" s="24"/>
      <c r="CB926" s="24"/>
      <c r="CC926" s="24"/>
      <c r="CD926" s="24"/>
    </row>
    <row r="927" spans="2:82" s="6" customFormat="1">
      <c r="B927" s="21"/>
      <c r="D927" s="17"/>
      <c r="E927" s="23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R927" s="24"/>
      <c r="AS927" s="24"/>
      <c r="AT927" s="24"/>
      <c r="AU927" s="24"/>
      <c r="AV927" s="24"/>
      <c r="AW927" s="24"/>
      <c r="BD927" s="24"/>
      <c r="BE927" s="24"/>
      <c r="BF927" s="24"/>
      <c r="BG927" s="24"/>
      <c r="BH927" s="24"/>
      <c r="BI927" s="24"/>
      <c r="BP927" s="24"/>
      <c r="BQ927" s="24"/>
      <c r="BR927" s="24"/>
      <c r="BS927" s="24"/>
      <c r="BZ927" s="24"/>
      <c r="CA927" s="24"/>
      <c r="CB927" s="24"/>
      <c r="CC927" s="24"/>
      <c r="CD927" s="24"/>
    </row>
    <row r="928" spans="2:82" s="6" customFormat="1">
      <c r="B928" s="21"/>
      <c r="D928" s="17"/>
      <c r="E928" s="23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R928" s="24"/>
      <c r="AS928" s="24"/>
      <c r="AT928" s="24"/>
      <c r="AU928" s="24"/>
      <c r="AV928" s="24"/>
      <c r="AW928" s="24"/>
      <c r="BD928" s="24"/>
      <c r="BE928" s="24"/>
      <c r="BF928" s="24"/>
      <c r="BG928" s="24"/>
      <c r="BH928" s="24"/>
      <c r="BI928" s="24"/>
      <c r="BP928" s="24"/>
      <c r="BQ928" s="24"/>
      <c r="BR928" s="24"/>
      <c r="BS928" s="24"/>
      <c r="BZ928" s="24"/>
      <c r="CA928" s="24"/>
      <c r="CB928" s="24"/>
      <c r="CC928" s="24"/>
      <c r="CD928" s="24"/>
    </row>
    <row r="929" spans="2:82" s="6" customFormat="1">
      <c r="B929" s="21"/>
      <c r="D929" s="17"/>
      <c r="E929" s="23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R929" s="24"/>
      <c r="AS929" s="24"/>
      <c r="AT929" s="24"/>
      <c r="AU929" s="24"/>
      <c r="AV929" s="24"/>
      <c r="AW929" s="24"/>
      <c r="BD929" s="24"/>
      <c r="BE929" s="24"/>
      <c r="BF929" s="24"/>
      <c r="BG929" s="24"/>
      <c r="BH929" s="24"/>
      <c r="BI929" s="24"/>
      <c r="BP929" s="24"/>
      <c r="BQ929" s="24"/>
      <c r="BR929" s="24"/>
      <c r="BS929" s="24"/>
      <c r="BZ929" s="24"/>
      <c r="CA929" s="24"/>
      <c r="CB929" s="24"/>
      <c r="CC929" s="24"/>
      <c r="CD929" s="24"/>
    </row>
    <row r="930" spans="2:82" s="6" customFormat="1">
      <c r="B930" s="21"/>
      <c r="D930" s="17"/>
      <c r="E930" s="23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R930" s="24"/>
      <c r="AS930" s="24"/>
      <c r="AT930" s="24"/>
      <c r="AU930" s="24"/>
      <c r="AV930" s="24"/>
      <c r="AW930" s="24"/>
      <c r="BD930" s="24"/>
      <c r="BE930" s="24"/>
      <c r="BF930" s="24"/>
      <c r="BG930" s="24"/>
      <c r="BH930" s="24"/>
      <c r="BI930" s="24"/>
      <c r="BP930" s="24"/>
      <c r="BQ930" s="24"/>
      <c r="BR930" s="24"/>
      <c r="BS930" s="24"/>
      <c r="BZ930" s="24"/>
      <c r="CA930" s="24"/>
      <c r="CB930" s="24"/>
      <c r="CC930" s="24"/>
      <c r="CD930" s="24"/>
    </row>
    <row r="931" spans="2:82" s="6" customFormat="1">
      <c r="B931" s="21"/>
      <c r="D931" s="17"/>
      <c r="E931" s="23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R931" s="24"/>
      <c r="AS931" s="24"/>
      <c r="AT931" s="24"/>
      <c r="AU931" s="24"/>
      <c r="AV931" s="24"/>
      <c r="AW931" s="24"/>
      <c r="BD931" s="24"/>
      <c r="BE931" s="24"/>
      <c r="BF931" s="24"/>
      <c r="BG931" s="24"/>
      <c r="BH931" s="24"/>
      <c r="BI931" s="24"/>
      <c r="BP931" s="24"/>
      <c r="BQ931" s="24"/>
      <c r="BR931" s="24"/>
      <c r="BS931" s="24"/>
      <c r="BZ931" s="24"/>
      <c r="CA931" s="24"/>
      <c r="CB931" s="24"/>
      <c r="CC931" s="24"/>
      <c r="CD931" s="24"/>
    </row>
    <row r="932" spans="2:82" s="6" customFormat="1">
      <c r="B932" s="21"/>
      <c r="D932" s="17"/>
      <c r="E932" s="23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R932" s="24"/>
      <c r="AS932" s="24"/>
      <c r="AT932" s="24"/>
      <c r="AU932" s="24"/>
      <c r="AV932" s="24"/>
      <c r="AW932" s="24"/>
      <c r="BD932" s="24"/>
      <c r="BE932" s="24"/>
      <c r="BF932" s="24"/>
      <c r="BG932" s="24"/>
      <c r="BH932" s="24"/>
      <c r="BI932" s="24"/>
      <c r="BP932" s="24"/>
      <c r="BQ932" s="24"/>
      <c r="BR932" s="24"/>
      <c r="BS932" s="24"/>
      <c r="BZ932" s="24"/>
      <c r="CA932" s="24"/>
      <c r="CB932" s="24"/>
      <c r="CC932" s="24"/>
      <c r="CD932" s="24"/>
    </row>
    <row r="933" spans="2:82" s="6" customFormat="1">
      <c r="B933" s="21"/>
      <c r="D933" s="17"/>
      <c r="E933" s="23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R933" s="24"/>
      <c r="AS933" s="24"/>
      <c r="AT933" s="24"/>
      <c r="AU933" s="24"/>
      <c r="AV933" s="24"/>
      <c r="AW933" s="24"/>
      <c r="BD933" s="24"/>
      <c r="BE933" s="24"/>
      <c r="BF933" s="24"/>
      <c r="BG933" s="24"/>
      <c r="BH933" s="24"/>
      <c r="BI933" s="24"/>
      <c r="BP933" s="24"/>
      <c r="BQ933" s="24"/>
      <c r="BR933" s="24"/>
      <c r="BS933" s="24"/>
      <c r="BZ933" s="24"/>
      <c r="CA933" s="24"/>
      <c r="CB933" s="24"/>
      <c r="CC933" s="24"/>
      <c r="CD933" s="24"/>
    </row>
    <row r="934" spans="2:82" s="6" customFormat="1">
      <c r="B934" s="21"/>
      <c r="D934" s="17"/>
      <c r="E934" s="23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R934" s="24"/>
      <c r="AS934" s="24"/>
      <c r="AT934" s="24"/>
      <c r="AU934" s="24"/>
      <c r="AV934" s="24"/>
      <c r="AW934" s="24"/>
      <c r="BD934" s="24"/>
      <c r="BE934" s="24"/>
      <c r="BF934" s="24"/>
      <c r="BG934" s="24"/>
      <c r="BH934" s="24"/>
      <c r="BI934" s="24"/>
      <c r="BP934" s="24"/>
      <c r="BQ934" s="24"/>
      <c r="BR934" s="24"/>
      <c r="BS934" s="24"/>
      <c r="BZ934" s="24"/>
      <c r="CA934" s="24"/>
      <c r="CB934" s="24"/>
      <c r="CC934" s="24"/>
      <c r="CD934" s="24"/>
    </row>
    <row r="935" spans="2:82" s="6" customFormat="1">
      <c r="B935" s="21"/>
      <c r="D935" s="17"/>
      <c r="E935" s="23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R935" s="24"/>
      <c r="AS935" s="24"/>
      <c r="AT935" s="24"/>
      <c r="AU935" s="24"/>
      <c r="AV935" s="24"/>
      <c r="AW935" s="24"/>
      <c r="BD935" s="24"/>
      <c r="BE935" s="24"/>
      <c r="BF935" s="24"/>
      <c r="BG935" s="24"/>
      <c r="BH935" s="24"/>
      <c r="BI935" s="24"/>
      <c r="BP935" s="24"/>
      <c r="BQ935" s="24"/>
      <c r="BR935" s="24"/>
      <c r="BS935" s="24"/>
      <c r="BZ935" s="24"/>
      <c r="CA935" s="24"/>
      <c r="CB935" s="24"/>
      <c r="CC935" s="24"/>
      <c r="CD935" s="24"/>
    </row>
    <row r="936" spans="2:82" s="6" customFormat="1">
      <c r="B936" s="21"/>
      <c r="D936" s="17"/>
      <c r="E936" s="23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R936" s="24"/>
      <c r="AS936" s="24"/>
      <c r="AT936" s="24"/>
      <c r="AU936" s="24"/>
      <c r="AV936" s="24"/>
      <c r="AW936" s="24"/>
      <c r="BD936" s="24"/>
      <c r="BE936" s="24"/>
      <c r="BF936" s="24"/>
      <c r="BG936" s="24"/>
      <c r="BH936" s="24"/>
      <c r="BI936" s="24"/>
      <c r="BP936" s="24"/>
      <c r="BQ936" s="24"/>
      <c r="BR936" s="24"/>
      <c r="BS936" s="24"/>
      <c r="BZ936" s="24"/>
      <c r="CA936" s="24"/>
      <c r="CB936" s="24"/>
      <c r="CC936" s="24"/>
      <c r="CD936" s="24"/>
    </row>
    <row r="937" spans="2:82" s="6" customFormat="1">
      <c r="B937" s="21"/>
      <c r="D937" s="17"/>
      <c r="E937" s="23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R937" s="24"/>
      <c r="AS937" s="24"/>
      <c r="AT937" s="24"/>
      <c r="AU937" s="24"/>
      <c r="AV937" s="24"/>
      <c r="AW937" s="24"/>
      <c r="BD937" s="24"/>
      <c r="BE937" s="24"/>
      <c r="BF937" s="24"/>
      <c r="BG937" s="24"/>
      <c r="BH937" s="24"/>
      <c r="BI937" s="24"/>
      <c r="BP937" s="24"/>
      <c r="BQ937" s="24"/>
      <c r="BR937" s="24"/>
      <c r="BS937" s="24"/>
      <c r="BZ937" s="24"/>
      <c r="CA937" s="24"/>
      <c r="CB937" s="24"/>
      <c r="CC937" s="24"/>
      <c r="CD937" s="24"/>
    </row>
    <row r="938" spans="2:82" s="6" customFormat="1">
      <c r="B938" s="21"/>
      <c r="D938" s="17"/>
      <c r="E938" s="23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R938" s="24"/>
      <c r="AS938" s="24"/>
      <c r="AT938" s="24"/>
      <c r="AU938" s="24"/>
      <c r="AV938" s="24"/>
      <c r="AW938" s="24"/>
      <c r="BD938" s="24"/>
      <c r="BE938" s="24"/>
      <c r="BF938" s="24"/>
      <c r="BG938" s="24"/>
      <c r="BH938" s="24"/>
      <c r="BI938" s="24"/>
      <c r="BP938" s="24"/>
      <c r="BQ938" s="24"/>
      <c r="BR938" s="24"/>
      <c r="BS938" s="24"/>
      <c r="BZ938" s="24"/>
      <c r="CA938" s="24"/>
      <c r="CB938" s="24"/>
      <c r="CC938" s="24"/>
      <c r="CD938" s="24"/>
    </row>
    <row r="939" spans="2:82" s="6" customFormat="1">
      <c r="B939" s="21"/>
      <c r="D939" s="17"/>
      <c r="E939" s="23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R939" s="24"/>
      <c r="AS939" s="24"/>
      <c r="AT939" s="24"/>
      <c r="AU939" s="24"/>
      <c r="AV939" s="24"/>
      <c r="AW939" s="24"/>
      <c r="BD939" s="24"/>
      <c r="BE939" s="24"/>
      <c r="BF939" s="24"/>
      <c r="BG939" s="24"/>
      <c r="BH939" s="24"/>
      <c r="BI939" s="24"/>
      <c r="BP939" s="24"/>
      <c r="BQ939" s="24"/>
      <c r="BR939" s="24"/>
      <c r="BS939" s="24"/>
      <c r="BZ939" s="24"/>
      <c r="CA939" s="24"/>
      <c r="CB939" s="24"/>
      <c r="CC939" s="24"/>
      <c r="CD939" s="24"/>
    </row>
    <row r="940" spans="2:82" s="6" customFormat="1">
      <c r="B940" s="21"/>
      <c r="D940" s="17"/>
      <c r="E940" s="23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R940" s="24"/>
      <c r="AS940" s="24"/>
      <c r="AT940" s="24"/>
      <c r="AU940" s="24"/>
      <c r="AV940" s="24"/>
      <c r="AW940" s="24"/>
      <c r="BD940" s="24"/>
      <c r="BE940" s="24"/>
      <c r="BF940" s="24"/>
      <c r="BG940" s="24"/>
      <c r="BH940" s="24"/>
      <c r="BI940" s="24"/>
      <c r="BP940" s="24"/>
      <c r="BQ940" s="24"/>
      <c r="BR940" s="24"/>
      <c r="BS940" s="24"/>
      <c r="BZ940" s="24"/>
      <c r="CA940" s="24"/>
      <c r="CB940" s="24"/>
      <c r="CC940" s="24"/>
      <c r="CD940" s="24"/>
    </row>
    <row r="941" spans="2:82" s="6" customFormat="1">
      <c r="B941" s="21"/>
      <c r="D941" s="17"/>
      <c r="E941" s="23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R941" s="24"/>
      <c r="AS941" s="24"/>
      <c r="AT941" s="24"/>
      <c r="AU941" s="24"/>
      <c r="AV941" s="24"/>
      <c r="AW941" s="24"/>
      <c r="BD941" s="24"/>
      <c r="BE941" s="24"/>
      <c r="BF941" s="24"/>
      <c r="BG941" s="24"/>
      <c r="BH941" s="24"/>
      <c r="BI941" s="24"/>
      <c r="BP941" s="24"/>
      <c r="BQ941" s="24"/>
      <c r="BR941" s="24"/>
      <c r="BS941" s="24"/>
      <c r="BZ941" s="24"/>
      <c r="CA941" s="24"/>
      <c r="CB941" s="24"/>
      <c r="CC941" s="24"/>
      <c r="CD941" s="24"/>
    </row>
    <row r="942" spans="2:82" s="6" customFormat="1">
      <c r="B942" s="21"/>
      <c r="D942" s="17"/>
      <c r="E942" s="23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R942" s="24"/>
      <c r="AS942" s="24"/>
      <c r="AT942" s="24"/>
      <c r="AU942" s="24"/>
      <c r="AV942" s="24"/>
      <c r="AW942" s="24"/>
      <c r="BD942" s="24"/>
      <c r="BE942" s="24"/>
      <c r="BF942" s="24"/>
      <c r="BG942" s="24"/>
      <c r="BH942" s="24"/>
      <c r="BI942" s="24"/>
      <c r="BP942" s="24"/>
      <c r="BQ942" s="24"/>
      <c r="BR942" s="24"/>
      <c r="BS942" s="24"/>
      <c r="BZ942" s="24"/>
      <c r="CA942" s="24"/>
      <c r="CB942" s="24"/>
      <c r="CC942" s="24"/>
      <c r="CD942" s="24"/>
    </row>
    <row r="943" spans="2:82" s="6" customFormat="1">
      <c r="B943" s="21"/>
      <c r="D943" s="17"/>
      <c r="E943" s="23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R943" s="24"/>
      <c r="AS943" s="24"/>
      <c r="AT943" s="24"/>
      <c r="AU943" s="24"/>
      <c r="AV943" s="24"/>
      <c r="AW943" s="24"/>
      <c r="BD943" s="24"/>
      <c r="BE943" s="24"/>
      <c r="BF943" s="24"/>
      <c r="BG943" s="24"/>
      <c r="BH943" s="24"/>
      <c r="BI943" s="24"/>
      <c r="BP943" s="24"/>
      <c r="BQ943" s="24"/>
      <c r="BR943" s="24"/>
      <c r="BS943" s="24"/>
      <c r="BZ943" s="24"/>
      <c r="CA943" s="24"/>
      <c r="CB943" s="24"/>
      <c r="CC943" s="24"/>
      <c r="CD943" s="24"/>
    </row>
    <row r="944" spans="2:82" s="6" customFormat="1">
      <c r="B944" s="21"/>
      <c r="D944" s="17"/>
      <c r="E944" s="23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R944" s="24"/>
      <c r="AS944" s="24"/>
      <c r="AT944" s="24"/>
      <c r="AU944" s="24"/>
      <c r="AV944" s="24"/>
      <c r="AW944" s="24"/>
      <c r="BD944" s="24"/>
      <c r="BE944" s="24"/>
      <c r="BF944" s="24"/>
      <c r="BG944" s="24"/>
      <c r="BH944" s="24"/>
      <c r="BI944" s="24"/>
      <c r="BP944" s="24"/>
      <c r="BQ944" s="24"/>
      <c r="BR944" s="24"/>
      <c r="BS944" s="24"/>
      <c r="BZ944" s="24"/>
      <c r="CA944" s="24"/>
      <c r="CB944" s="24"/>
      <c r="CC944" s="24"/>
      <c r="CD944" s="24"/>
    </row>
    <row r="945" spans="2:82" s="6" customFormat="1">
      <c r="B945" s="21"/>
      <c r="D945" s="17"/>
      <c r="E945" s="23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R945" s="24"/>
      <c r="AS945" s="24"/>
      <c r="AT945" s="24"/>
      <c r="AU945" s="24"/>
      <c r="AV945" s="24"/>
      <c r="AW945" s="24"/>
      <c r="BD945" s="24"/>
      <c r="BE945" s="24"/>
      <c r="BF945" s="24"/>
      <c r="BG945" s="24"/>
      <c r="BH945" s="24"/>
      <c r="BI945" s="24"/>
      <c r="BP945" s="24"/>
      <c r="BQ945" s="24"/>
      <c r="BR945" s="24"/>
      <c r="BS945" s="24"/>
      <c r="BZ945" s="24"/>
      <c r="CA945" s="24"/>
      <c r="CB945" s="24"/>
      <c r="CC945" s="24"/>
      <c r="CD945" s="24"/>
    </row>
    <row r="946" spans="2:82" s="6" customFormat="1">
      <c r="B946" s="21"/>
      <c r="D946" s="17"/>
      <c r="E946" s="23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R946" s="24"/>
      <c r="AS946" s="24"/>
      <c r="AT946" s="24"/>
      <c r="AU946" s="24"/>
      <c r="AV946" s="24"/>
      <c r="AW946" s="24"/>
      <c r="BD946" s="24"/>
      <c r="BE946" s="24"/>
      <c r="BF946" s="24"/>
      <c r="BG946" s="24"/>
      <c r="BH946" s="24"/>
      <c r="BI946" s="24"/>
      <c r="BP946" s="24"/>
      <c r="BQ946" s="24"/>
      <c r="BR946" s="24"/>
      <c r="BS946" s="24"/>
      <c r="BZ946" s="24"/>
      <c r="CA946" s="24"/>
      <c r="CB946" s="24"/>
      <c r="CC946" s="24"/>
      <c r="CD946" s="24"/>
    </row>
    <row r="947" spans="2:82" s="6" customFormat="1">
      <c r="B947" s="21"/>
      <c r="D947" s="17"/>
      <c r="E947" s="23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R947" s="24"/>
      <c r="AS947" s="24"/>
      <c r="AT947" s="24"/>
      <c r="AU947" s="24"/>
      <c r="AV947" s="24"/>
      <c r="AW947" s="24"/>
      <c r="BD947" s="24"/>
      <c r="BE947" s="24"/>
      <c r="BF947" s="24"/>
      <c r="BG947" s="24"/>
      <c r="BH947" s="24"/>
      <c r="BI947" s="24"/>
      <c r="BP947" s="24"/>
      <c r="BQ947" s="24"/>
      <c r="BR947" s="24"/>
      <c r="BS947" s="24"/>
      <c r="BZ947" s="24"/>
      <c r="CA947" s="24"/>
      <c r="CB947" s="24"/>
      <c r="CC947" s="24"/>
      <c r="CD947" s="24"/>
    </row>
    <row r="948" spans="2:82" s="6" customFormat="1">
      <c r="B948" s="21"/>
      <c r="D948" s="17"/>
      <c r="E948" s="23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R948" s="24"/>
      <c r="AS948" s="24"/>
      <c r="AT948" s="24"/>
      <c r="AU948" s="24"/>
      <c r="AV948" s="24"/>
      <c r="AW948" s="24"/>
      <c r="BD948" s="24"/>
      <c r="BE948" s="24"/>
      <c r="BF948" s="24"/>
      <c r="BG948" s="24"/>
      <c r="BH948" s="24"/>
      <c r="BI948" s="24"/>
      <c r="BP948" s="24"/>
      <c r="BQ948" s="24"/>
      <c r="BR948" s="24"/>
      <c r="BS948" s="24"/>
      <c r="BZ948" s="24"/>
      <c r="CA948" s="24"/>
      <c r="CB948" s="24"/>
      <c r="CC948" s="24"/>
      <c r="CD948" s="24"/>
    </row>
    <row r="949" spans="2:82" s="6" customFormat="1">
      <c r="B949" s="21"/>
      <c r="D949" s="17"/>
      <c r="E949" s="23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R949" s="24"/>
      <c r="AS949" s="24"/>
      <c r="AT949" s="24"/>
      <c r="AU949" s="24"/>
      <c r="AV949" s="24"/>
      <c r="AW949" s="24"/>
      <c r="BD949" s="24"/>
      <c r="BE949" s="24"/>
      <c r="BF949" s="24"/>
      <c r="BG949" s="24"/>
      <c r="BH949" s="24"/>
      <c r="BI949" s="24"/>
      <c r="BP949" s="24"/>
      <c r="BQ949" s="24"/>
      <c r="BR949" s="24"/>
      <c r="BS949" s="24"/>
      <c r="BZ949" s="24"/>
      <c r="CA949" s="24"/>
      <c r="CB949" s="24"/>
      <c r="CC949" s="24"/>
      <c r="CD949" s="24"/>
    </row>
    <row r="950" spans="2:82" s="6" customFormat="1">
      <c r="B950" s="21"/>
      <c r="D950" s="17"/>
      <c r="E950" s="23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R950" s="24"/>
      <c r="AS950" s="24"/>
      <c r="AT950" s="24"/>
      <c r="AU950" s="24"/>
      <c r="AV950" s="24"/>
      <c r="AW950" s="24"/>
      <c r="BD950" s="24"/>
      <c r="BE950" s="24"/>
      <c r="BF950" s="24"/>
      <c r="BG950" s="24"/>
      <c r="BH950" s="24"/>
      <c r="BI950" s="24"/>
      <c r="BP950" s="24"/>
      <c r="BQ950" s="24"/>
      <c r="BR950" s="24"/>
      <c r="BS950" s="24"/>
      <c r="BZ950" s="24"/>
      <c r="CA950" s="24"/>
      <c r="CB950" s="24"/>
      <c r="CC950" s="24"/>
      <c r="CD950" s="24"/>
    </row>
    <row r="951" spans="2:82" s="6" customFormat="1">
      <c r="B951" s="21"/>
      <c r="D951" s="17"/>
      <c r="E951" s="23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R951" s="24"/>
      <c r="AS951" s="24"/>
      <c r="AT951" s="24"/>
      <c r="AU951" s="24"/>
      <c r="AV951" s="24"/>
      <c r="AW951" s="24"/>
      <c r="BD951" s="24"/>
      <c r="BE951" s="24"/>
      <c r="BF951" s="24"/>
      <c r="BG951" s="24"/>
      <c r="BH951" s="24"/>
      <c r="BI951" s="24"/>
      <c r="BP951" s="24"/>
      <c r="BQ951" s="24"/>
      <c r="BR951" s="24"/>
      <c r="BS951" s="24"/>
      <c r="BZ951" s="24"/>
      <c r="CA951" s="24"/>
      <c r="CB951" s="24"/>
      <c r="CC951" s="24"/>
      <c r="CD951" s="24"/>
    </row>
    <row r="952" spans="2:82" s="6" customFormat="1">
      <c r="B952" s="21"/>
      <c r="D952" s="17"/>
      <c r="E952" s="23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R952" s="24"/>
      <c r="AS952" s="24"/>
      <c r="AT952" s="24"/>
      <c r="AU952" s="24"/>
      <c r="AV952" s="24"/>
      <c r="AW952" s="24"/>
      <c r="BD952" s="24"/>
      <c r="BE952" s="24"/>
      <c r="BF952" s="24"/>
      <c r="BG952" s="24"/>
      <c r="BH952" s="24"/>
      <c r="BI952" s="24"/>
      <c r="BP952" s="24"/>
      <c r="BQ952" s="24"/>
      <c r="BR952" s="24"/>
      <c r="BS952" s="24"/>
      <c r="BZ952" s="24"/>
      <c r="CA952" s="24"/>
      <c r="CB952" s="24"/>
      <c r="CC952" s="24"/>
      <c r="CD952" s="24"/>
    </row>
    <row r="953" spans="2:82" s="6" customFormat="1">
      <c r="B953" s="21"/>
      <c r="D953" s="17"/>
      <c r="E953" s="23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R953" s="24"/>
      <c r="AS953" s="24"/>
      <c r="AT953" s="24"/>
      <c r="AU953" s="24"/>
      <c r="AV953" s="24"/>
      <c r="AW953" s="24"/>
      <c r="BD953" s="24"/>
      <c r="BE953" s="24"/>
      <c r="BF953" s="24"/>
      <c r="BG953" s="24"/>
      <c r="BH953" s="24"/>
      <c r="BI953" s="24"/>
      <c r="BP953" s="24"/>
      <c r="BQ953" s="24"/>
      <c r="BR953" s="24"/>
      <c r="BS953" s="24"/>
      <c r="BZ953" s="24"/>
      <c r="CA953" s="24"/>
      <c r="CB953" s="24"/>
      <c r="CC953" s="24"/>
      <c r="CD953" s="24"/>
    </row>
    <row r="954" spans="2:82" s="6" customFormat="1">
      <c r="B954" s="21"/>
      <c r="D954" s="17"/>
      <c r="E954" s="23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R954" s="24"/>
      <c r="AS954" s="24"/>
      <c r="AT954" s="24"/>
      <c r="AU954" s="24"/>
      <c r="AV954" s="24"/>
      <c r="AW954" s="24"/>
      <c r="BD954" s="24"/>
      <c r="BE954" s="24"/>
      <c r="BF954" s="24"/>
      <c r="BG954" s="24"/>
      <c r="BH954" s="24"/>
      <c r="BI954" s="24"/>
      <c r="BP954" s="24"/>
      <c r="BQ954" s="24"/>
      <c r="BR954" s="24"/>
      <c r="BS954" s="24"/>
      <c r="BZ954" s="24"/>
      <c r="CA954" s="24"/>
      <c r="CB954" s="24"/>
      <c r="CC954" s="24"/>
      <c r="CD954" s="24"/>
    </row>
    <row r="955" spans="2:82" s="6" customFormat="1">
      <c r="B955" s="21"/>
      <c r="D955" s="17"/>
      <c r="E955" s="23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R955" s="24"/>
      <c r="AS955" s="24"/>
      <c r="AT955" s="24"/>
      <c r="AU955" s="24"/>
      <c r="AV955" s="24"/>
      <c r="AW955" s="24"/>
      <c r="BD955" s="24"/>
      <c r="BE955" s="24"/>
      <c r="BF955" s="24"/>
      <c r="BG955" s="24"/>
      <c r="BH955" s="24"/>
      <c r="BI955" s="24"/>
      <c r="BP955" s="24"/>
      <c r="BQ955" s="24"/>
      <c r="BR955" s="24"/>
      <c r="BS955" s="24"/>
      <c r="BZ955" s="24"/>
      <c r="CA955" s="24"/>
      <c r="CB955" s="24"/>
      <c r="CC955" s="24"/>
      <c r="CD955" s="24"/>
    </row>
    <row r="956" spans="2:82" s="6" customFormat="1">
      <c r="B956" s="21"/>
      <c r="D956" s="17"/>
      <c r="E956" s="23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R956" s="24"/>
      <c r="AS956" s="24"/>
      <c r="AT956" s="24"/>
      <c r="AU956" s="24"/>
      <c r="AV956" s="24"/>
      <c r="AW956" s="24"/>
      <c r="BD956" s="24"/>
      <c r="BE956" s="24"/>
      <c r="BF956" s="24"/>
      <c r="BG956" s="24"/>
      <c r="BH956" s="24"/>
      <c r="BI956" s="24"/>
      <c r="BP956" s="24"/>
      <c r="BQ956" s="24"/>
      <c r="BR956" s="24"/>
      <c r="BS956" s="24"/>
      <c r="BZ956" s="24"/>
      <c r="CA956" s="24"/>
      <c r="CB956" s="24"/>
      <c r="CC956" s="24"/>
      <c r="CD956" s="24"/>
    </row>
    <row r="957" spans="2:82" s="6" customFormat="1">
      <c r="B957" s="21"/>
      <c r="D957" s="17"/>
      <c r="E957" s="23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R957" s="24"/>
      <c r="AS957" s="24"/>
      <c r="AT957" s="24"/>
      <c r="AU957" s="24"/>
      <c r="AV957" s="24"/>
      <c r="AW957" s="24"/>
      <c r="BD957" s="24"/>
      <c r="BE957" s="24"/>
      <c r="BF957" s="24"/>
      <c r="BG957" s="24"/>
      <c r="BH957" s="24"/>
      <c r="BI957" s="24"/>
      <c r="BP957" s="24"/>
      <c r="BQ957" s="24"/>
      <c r="BR957" s="24"/>
      <c r="BS957" s="24"/>
      <c r="BZ957" s="24"/>
      <c r="CA957" s="24"/>
      <c r="CB957" s="24"/>
      <c r="CC957" s="24"/>
      <c r="CD957" s="24"/>
    </row>
    <row r="958" spans="2:82" s="6" customFormat="1">
      <c r="B958" s="21"/>
      <c r="D958" s="17"/>
      <c r="E958" s="23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R958" s="24"/>
      <c r="AS958" s="24"/>
      <c r="AT958" s="24"/>
      <c r="AU958" s="24"/>
      <c r="AV958" s="24"/>
      <c r="AW958" s="24"/>
      <c r="BD958" s="24"/>
      <c r="BE958" s="24"/>
      <c r="BF958" s="24"/>
      <c r="BG958" s="24"/>
      <c r="BH958" s="24"/>
      <c r="BI958" s="24"/>
      <c r="BP958" s="24"/>
      <c r="BQ958" s="24"/>
      <c r="BR958" s="24"/>
      <c r="BS958" s="24"/>
      <c r="BZ958" s="24"/>
      <c r="CA958" s="24"/>
      <c r="CB958" s="24"/>
      <c r="CC958" s="24"/>
      <c r="CD958" s="24"/>
    </row>
    <row r="959" spans="2:82" s="6" customFormat="1">
      <c r="B959" s="21"/>
      <c r="D959" s="17"/>
      <c r="E959" s="23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R959" s="24"/>
      <c r="AS959" s="24"/>
      <c r="AT959" s="24"/>
      <c r="AU959" s="24"/>
      <c r="AV959" s="24"/>
      <c r="AW959" s="24"/>
      <c r="BD959" s="24"/>
      <c r="BE959" s="24"/>
      <c r="BF959" s="24"/>
      <c r="BG959" s="24"/>
      <c r="BH959" s="24"/>
      <c r="BI959" s="24"/>
      <c r="BP959" s="24"/>
      <c r="BQ959" s="24"/>
      <c r="BR959" s="24"/>
      <c r="BS959" s="24"/>
      <c r="BZ959" s="24"/>
      <c r="CA959" s="24"/>
      <c r="CB959" s="24"/>
      <c r="CC959" s="24"/>
      <c r="CD959" s="24"/>
    </row>
    <row r="960" spans="2:82" s="6" customFormat="1">
      <c r="B960" s="21"/>
      <c r="D960" s="17"/>
      <c r="E960" s="23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R960" s="24"/>
      <c r="AS960" s="24"/>
      <c r="AT960" s="24"/>
      <c r="AU960" s="24"/>
      <c r="AV960" s="24"/>
      <c r="AW960" s="24"/>
      <c r="BD960" s="24"/>
      <c r="BE960" s="24"/>
      <c r="BF960" s="24"/>
      <c r="BG960" s="24"/>
      <c r="BH960" s="24"/>
      <c r="BI960" s="24"/>
      <c r="BP960" s="24"/>
      <c r="BQ960" s="24"/>
      <c r="BR960" s="24"/>
      <c r="BS960" s="24"/>
      <c r="BZ960" s="24"/>
      <c r="CA960" s="24"/>
      <c r="CB960" s="24"/>
      <c r="CC960" s="24"/>
      <c r="CD960" s="24"/>
    </row>
    <row r="961" spans="2:82" s="6" customFormat="1">
      <c r="B961" s="21"/>
      <c r="D961" s="17"/>
      <c r="E961" s="23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R961" s="24"/>
      <c r="AS961" s="24"/>
      <c r="AT961" s="24"/>
      <c r="AU961" s="24"/>
      <c r="AV961" s="24"/>
      <c r="AW961" s="24"/>
      <c r="BD961" s="24"/>
      <c r="BE961" s="24"/>
      <c r="BF961" s="24"/>
      <c r="BG961" s="24"/>
      <c r="BH961" s="24"/>
      <c r="BI961" s="24"/>
      <c r="BP961" s="24"/>
      <c r="BQ961" s="24"/>
      <c r="BR961" s="24"/>
      <c r="BS961" s="24"/>
      <c r="BZ961" s="24"/>
      <c r="CA961" s="24"/>
      <c r="CB961" s="24"/>
      <c r="CC961" s="24"/>
      <c r="CD961" s="24"/>
    </row>
    <row r="962" spans="2:82" s="6" customFormat="1">
      <c r="B962" s="21"/>
      <c r="D962" s="17"/>
      <c r="E962" s="23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R962" s="24"/>
      <c r="AS962" s="24"/>
      <c r="AT962" s="24"/>
      <c r="AU962" s="24"/>
      <c r="AV962" s="24"/>
      <c r="AW962" s="24"/>
      <c r="BD962" s="24"/>
      <c r="BE962" s="24"/>
      <c r="BF962" s="24"/>
      <c r="BG962" s="24"/>
      <c r="BH962" s="24"/>
      <c r="BI962" s="24"/>
      <c r="BP962" s="24"/>
      <c r="BQ962" s="24"/>
      <c r="BR962" s="24"/>
      <c r="BS962" s="24"/>
      <c r="BZ962" s="24"/>
      <c r="CA962" s="24"/>
      <c r="CB962" s="24"/>
      <c r="CC962" s="24"/>
      <c r="CD962" s="24"/>
    </row>
    <row r="963" spans="2:82" s="6" customFormat="1">
      <c r="B963" s="21"/>
      <c r="D963" s="17"/>
      <c r="E963" s="23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R963" s="24"/>
      <c r="AS963" s="24"/>
      <c r="AT963" s="24"/>
      <c r="AU963" s="24"/>
      <c r="AV963" s="24"/>
      <c r="AW963" s="24"/>
      <c r="BD963" s="24"/>
      <c r="BE963" s="24"/>
      <c r="BF963" s="24"/>
      <c r="BG963" s="24"/>
      <c r="BH963" s="24"/>
      <c r="BI963" s="24"/>
      <c r="BP963" s="24"/>
      <c r="BQ963" s="24"/>
      <c r="BR963" s="24"/>
      <c r="BS963" s="24"/>
      <c r="BZ963" s="24"/>
      <c r="CA963" s="24"/>
      <c r="CB963" s="24"/>
      <c r="CC963" s="24"/>
      <c r="CD963" s="24"/>
    </row>
    <row r="964" spans="2:82" s="6" customFormat="1">
      <c r="B964" s="21"/>
      <c r="D964" s="17"/>
      <c r="E964" s="23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R964" s="24"/>
      <c r="AS964" s="24"/>
      <c r="AT964" s="24"/>
      <c r="AU964" s="24"/>
      <c r="AV964" s="24"/>
      <c r="AW964" s="24"/>
      <c r="BD964" s="24"/>
      <c r="BE964" s="24"/>
      <c r="BF964" s="24"/>
      <c r="BG964" s="24"/>
      <c r="BH964" s="24"/>
      <c r="BI964" s="24"/>
      <c r="BP964" s="24"/>
      <c r="BQ964" s="24"/>
      <c r="BR964" s="24"/>
      <c r="BS964" s="24"/>
      <c r="BZ964" s="24"/>
      <c r="CA964" s="24"/>
      <c r="CB964" s="24"/>
      <c r="CC964" s="24"/>
      <c r="CD964" s="24"/>
    </row>
    <row r="965" spans="2:82" s="6" customFormat="1">
      <c r="B965" s="21"/>
      <c r="D965" s="17"/>
      <c r="E965" s="23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R965" s="24"/>
      <c r="AS965" s="24"/>
      <c r="AT965" s="24"/>
      <c r="AU965" s="24"/>
      <c r="AV965" s="24"/>
      <c r="AW965" s="24"/>
      <c r="BD965" s="24"/>
      <c r="BE965" s="24"/>
      <c r="BF965" s="24"/>
      <c r="BG965" s="24"/>
      <c r="BH965" s="24"/>
      <c r="BI965" s="24"/>
      <c r="BP965" s="24"/>
      <c r="BQ965" s="24"/>
      <c r="BR965" s="24"/>
      <c r="BS965" s="24"/>
      <c r="BZ965" s="24"/>
      <c r="CA965" s="24"/>
      <c r="CB965" s="24"/>
      <c r="CC965" s="24"/>
      <c r="CD965" s="24"/>
    </row>
    <row r="966" spans="2:82" s="6" customFormat="1">
      <c r="B966" s="21"/>
      <c r="D966" s="17"/>
      <c r="E966" s="23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R966" s="24"/>
      <c r="AS966" s="24"/>
      <c r="AT966" s="24"/>
      <c r="AU966" s="24"/>
      <c r="AV966" s="24"/>
      <c r="AW966" s="24"/>
      <c r="BD966" s="24"/>
      <c r="BE966" s="24"/>
      <c r="BF966" s="24"/>
      <c r="BG966" s="24"/>
      <c r="BH966" s="24"/>
      <c r="BI966" s="24"/>
      <c r="BP966" s="24"/>
      <c r="BQ966" s="24"/>
      <c r="BR966" s="24"/>
      <c r="BS966" s="24"/>
      <c r="BZ966" s="24"/>
      <c r="CA966" s="24"/>
      <c r="CB966" s="24"/>
      <c r="CC966" s="24"/>
      <c r="CD966" s="24"/>
    </row>
    <row r="967" spans="2:82" s="6" customFormat="1">
      <c r="B967" s="21"/>
      <c r="D967" s="17"/>
      <c r="E967" s="23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R967" s="24"/>
      <c r="AS967" s="24"/>
      <c r="AT967" s="24"/>
      <c r="AU967" s="24"/>
      <c r="AV967" s="24"/>
      <c r="AW967" s="24"/>
      <c r="BD967" s="24"/>
      <c r="BE967" s="24"/>
      <c r="BF967" s="24"/>
      <c r="BG967" s="24"/>
      <c r="BH967" s="24"/>
      <c r="BI967" s="24"/>
      <c r="BP967" s="24"/>
      <c r="BQ967" s="24"/>
      <c r="BR967" s="24"/>
      <c r="BS967" s="24"/>
      <c r="BZ967" s="24"/>
      <c r="CA967" s="24"/>
      <c r="CB967" s="24"/>
      <c r="CC967" s="24"/>
      <c r="CD967" s="24"/>
    </row>
    <row r="968" spans="2:82" s="6" customFormat="1">
      <c r="B968" s="21"/>
      <c r="D968" s="17"/>
      <c r="E968" s="23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R968" s="24"/>
      <c r="AS968" s="24"/>
      <c r="AT968" s="24"/>
      <c r="AU968" s="24"/>
      <c r="AV968" s="24"/>
      <c r="AW968" s="24"/>
      <c r="BD968" s="24"/>
      <c r="BE968" s="24"/>
      <c r="BF968" s="24"/>
      <c r="BG968" s="24"/>
      <c r="BH968" s="24"/>
      <c r="BI968" s="24"/>
      <c r="BP968" s="24"/>
      <c r="BQ968" s="24"/>
      <c r="BR968" s="24"/>
      <c r="BS968" s="24"/>
      <c r="BZ968" s="24"/>
      <c r="CA968" s="24"/>
      <c r="CB968" s="24"/>
      <c r="CC968" s="24"/>
      <c r="CD968" s="24"/>
    </row>
    <row r="969" spans="2:82" s="6" customFormat="1">
      <c r="B969" s="21"/>
      <c r="D969" s="17"/>
      <c r="E969" s="23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R969" s="24"/>
      <c r="AS969" s="24"/>
      <c r="AT969" s="24"/>
      <c r="AU969" s="24"/>
      <c r="AV969" s="24"/>
      <c r="AW969" s="24"/>
      <c r="BD969" s="24"/>
      <c r="BE969" s="24"/>
      <c r="BF969" s="24"/>
      <c r="BG969" s="24"/>
      <c r="BH969" s="24"/>
      <c r="BI969" s="24"/>
      <c r="BP969" s="24"/>
      <c r="BQ969" s="24"/>
      <c r="BR969" s="24"/>
      <c r="BS969" s="24"/>
      <c r="BZ969" s="24"/>
      <c r="CA969" s="24"/>
      <c r="CB969" s="24"/>
      <c r="CC969" s="24"/>
      <c r="CD969" s="24"/>
    </row>
    <row r="970" spans="2:82" s="6" customFormat="1">
      <c r="B970" s="21"/>
      <c r="D970" s="17"/>
      <c r="E970" s="23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R970" s="24"/>
      <c r="AS970" s="24"/>
      <c r="AT970" s="24"/>
      <c r="AU970" s="24"/>
      <c r="AV970" s="24"/>
      <c r="AW970" s="24"/>
      <c r="BD970" s="24"/>
      <c r="BE970" s="24"/>
      <c r="BF970" s="24"/>
      <c r="BG970" s="24"/>
      <c r="BH970" s="24"/>
      <c r="BI970" s="24"/>
      <c r="BP970" s="24"/>
      <c r="BQ970" s="24"/>
      <c r="BR970" s="24"/>
      <c r="BS970" s="24"/>
      <c r="BZ970" s="24"/>
      <c r="CA970" s="24"/>
      <c r="CB970" s="24"/>
      <c r="CC970" s="24"/>
      <c r="CD970" s="24"/>
    </row>
    <row r="971" spans="2:82" s="6" customFormat="1">
      <c r="B971" s="21"/>
      <c r="D971" s="17"/>
      <c r="E971" s="23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R971" s="24"/>
      <c r="AS971" s="24"/>
      <c r="AT971" s="24"/>
      <c r="AU971" s="24"/>
      <c r="AV971" s="24"/>
      <c r="AW971" s="24"/>
      <c r="BD971" s="24"/>
      <c r="BE971" s="24"/>
      <c r="BF971" s="24"/>
      <c r="BG971" s="24"/>
      <c r="BH971" s="24"/>
      <c r="BI971" s="24"/>
      <c r="BP971" s="24"/>
      <c r="BQ971" s="24"/>
      <c r="BR971" s="24"/>
      <c r="BS971" s="24"/>
      <c r="BZ971" s="24"/>
      <c r="CA971" s="24"/>
      <c r="CB971" s="24"/>
      <c r="CC971" s="24"/>
      <c r="CD971" s="24"/>
    </row>
    <row r="972" spans="2:82" s="6" customFormat="1">
      <c r="B972" s="21"/>
      <c r="D972" s="17"/>
      <c r="E972" s="23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R972" s="24"/>
      <c r="AS972" s="24"/>
      <c r="AT972" s="24"/>
      <c r="AU972" s="24"/>
      <c r="AV972" s="24"/>
      <c r="AW972" s="24"/>
      <c r="BD972" s="24"/>
      <c r="BE972" s="24"/>
      <c r="BF972" s="24"/>
      <c r="BG972" s="24"/>
      <c r="BH972" s="24"/>
      <c r="BI972" s="24"/>
      <c r="BP972" s="24"/>
      <c r="BQ972" s="24"/>
      <c r="BR972" s="24"/>
      <c r="BS972" s="24"/>
      <c r="BZ972" s="24"/>
      <c r="CA972" s="24"/>
      <c r="CB972" s="24"/>
      <c r="CC972" s="24"/>
      <c r="CD972" s="24"/>
    </row>
    <row r="973" spans="2:82" s="6" customFormat="1">
      <c r="B973" s="21"/>
      <c r="D973" s="17"/>
      <c r="E973" s="23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R973" s="24"/>
      <c r="AS973" s="24"/>
      <c r="AT973" s="24"/>
      <c r="AU973" s="24"/>
      <c r="AV973" s="24"/>
      <c r="AW973" s="24"/>
      <c r="BD973" s="24"/>
      <c r="BE973" s="24"/>
      <c r="BF973" s="24"/>
      <c r="BG973" s="24"/>
      <c r="BH973" s="24"/>
      <c r="BI973" s="24"/>
      <c r="BP973" s="24"/>
      <c r="BQ973" s="24"/>
      <c r="BR973" s="24"/>
      <c r="BS973" s="24"/>
      <c r="BZ973" s="24"/>
      <c r="CA973" s="24"/>
      <c r="CB973" s="24"/>
      <c r="CC973" s="24"/>
      <c r="CD973" s="24"/>
    </row>
    <row r="974" spans="2:82" s="6" customFormat="1">
      <c r="B974" s="21"/>
      <c r="D974" s="17"/>
      <c r="E974" s="23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R974" s="24"/>
      <c r="AS974" s="24"/>
      <c r="AT974" s="24"/>
      <c r="AU974" s="24"/>
      <c r="AV974" s="24"/>
      <c r="AW974" s="24"/>
      <c r="BD974" s="24"/>
      <c r="BE974" s="24"/>
      <c r="BF974" s="24"/>
      <c r="BG974" s="24"/>
      <c r="BH974" s="24"/>
      <c r="BI974" s="24"/>
      <c r="BP974" s="24"/>
      <c r="BQ974" s="24"/>
      <c r="BR974" s="24"/>
      <c r="BS974" s="24"/>
      <c r="BZ974" s="24"/>
      <c r="CA974" s="24"/>
      <c r="CB974" s="24"/>
      <c r="CC974" s="24"/>
      <c r="CD974" s="24"/>
    </row>
    <row r="975" spans="2:82" s="6" customFormat="1">
      <c r="B975" s="21"/>
      <c r="D975" s="17"/>
      <c r="E975" s="23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R975" s="24"/>
      <c r="AS975" s="24"/>
      <c r="AT975" s="24"/>
      <c r="AU975" s="24"/>
      <c r="AV975" s="24"/>
      <c r="AW975" s="24"/>
      <c r="BD975" s="24"/>
      <c r="BE975" s="24"/>
      <c r="BF975" s="24"/>
      <c r="BG975" s="24"/>
      <c r="BH975" s="24"/>
      <c r="BI975" s="24"/>
      <c r="BP975" s="24"/>
      <c r="BQ975" s="24"/>
      <c r="BR975" s="24"/>
      <c r="BS975" s="24"/>
      <c r="BZ975" s="24"/>
      <c r="CA975" s="24"/>
      <c r="CB975" s="24"/>
      <c r="CC975" s="24"/>
      <c r="CD975" s="24"/>
    </row>
    <row r="976" spans="2:82" s="6" customFormat="1">
      <c r="B976" s="21"/>
      <c r="D976" s="17"/>
      <c r="E976" s="23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R976" s="24"/>
      <c r="AS976" s="24"/>
      <c r="AT976" s="24"/>
      <c r="AU976" s="24"/>
      <c r="AV976" s="24"/>
      <c r="AW976" s="24"/>
      <c r="BD976" s="24"/>
      <c r="BE976" s="24"/>
      <c r="BF976" s="24"/>
      <c r="BG976" s="24"/>
      <c r="BH976" s="24"/>
      <c r="BI976" s="24"/>
      <c r="BP976" s="24"/>
      <c r="BQ976" s="24"/>
      <c r="BR976" s="24"/>
      <c r="BS976" s="24"/>
      <c r="BZ976" s="24"/>
      <c r="CA976" s="24"/>
      <c r="CB976" s="24"/>
      <c r="CC976" s="24"/>
      <c r="CD976" s="24"/>
    </row>
    <row r="977" spans="2:82" s="6" customFormat="1">
      <c r="B977" s="21"/>
      <c r="D977" s="17"/>
      <c r="E977" s="23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R977" s="24"/>
      <c r="AS977" s="24"/>
      <c r="AT977" s="24"/>
      <c r="AU977" s="24"/>
      <c r="AV977" s="24"/>
      <c r="AW977" s="24"/>
      <c r="BD977" s="24"/>
      <c r="BE977" s="24"/>
      <c r="BF977" s="24"/>
      <c r="BG977" s="24"/>
      <c r="BH977" s="24"/>
      <c r="BI977" s="24"/>
      <c r="BP977" s="24"/>
      <c r="BQ977" s="24"/>
      <c r="BR977" s="24"/>
      <c r="BS977" s="24"/>
      <c r="BZ977" s="24"/>
      <c r="CA977" s="24"/>
      <c r="CB977" s="24"/>
      <c r="CC977" s="24"/>
      <c r="CD977" s="24"/>
    </row>
    <row r="978" spans="2:82" s="6" customFormat="1">
      <c r="B978" s="21"/>
      <c r="D978" s="17"/>
      <c r="E978" s="23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R978" s="24"/>
      <c r="AS978" s="24"/>
      <c r="AT978" s="24"/>
      <c r="AU978" s="24"/>
      <c r="AV978" s="24"/>
      <c r="AW978" s="24"/>
      <c r="BD978" s="24"/>
      <c r="BE978" s="24"/>
      <c r="BF978" s="24"/>
      <c r="BG978" s="24"/>
      <c r="BH978" s="24"/>
      <c r="BI978" s="24"/>
      <c r="BP978" s="24"/>
      <c r="BQ978" s="24"/>
      <c r="BR978" s="24"/>
      <c r="BS978" s="24"/>
      <c r="BZ978" s="24"/>
      <c r="CA978" s="24"/>
      <c r="CB978" s="24"/>
      <c r="CC978" s="24"/>
      <c r="CD978" s="24"/>
    </row>
    <row r="979" spans="2:82" s="6" customFormat="1">
      <c r="B979" s="21"/>
      <c r="D979" s="17"/>
      <c r="E979" s="23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R979" s="24"/>
      <c r="AS979" s="24"/>
      <c r="AT979" s="24"/>
      <c r="AU979" s="24"/>
      <c r="AV979" s="24"/>
      <c r="AW979" s="24"/>
      <c r="BD979" s="24"/>
      <c r="BE979" s="24"/>
      <c r="BF979" s="24"/>
      <c r="BG979" s="24"/>
      <c r="BH979" s="24"/>
      <c r="BI979" s="24"/>
      <c r="BP979" s="24"/>
      <c r="BQ979" s="24"/>
      <c r="BR979" s="24"/>
      <c r="BS979" s="24"/>
      <c r="BZ979" s="24"/>
      <c r="CA979" s="24"/>
      <c r="CB979" s="24"/>
      <c r="CC979" s="24"/>
      <c r="CD979" s="24"/>
    </row>
    <row r="980" spans="2:82" s="6" customFormat="1">
      <c r="B980" s="21"/>
      <c r="D980" s="17"/>
      <c r="E980" s="23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R980" s="24"/>
      <c r="AS980" s="24"/>
      <c r="AT980" s="24"/>
      <c r="AU980" s="24"/>
      <c r="AV980" s="24"/>
      <c r="AW980" s="24"/>
      <c r="BD980" s="24"/>
      <c r="BE980" s="24"/>
      <c r="BF980" s="24"/>
      <c r="BG980" s="24"/>
      <c r="BH980" s="24"/>
      <c r="BI980" s="24"/>
      <c r="BP980" s="24"/>
      <c r="BQ980" s="24"/>
      <c r="BR980" s="24"/>
      <c r="BS980" s="24"/>
      <c r="BZ980" s="24"/>
      <c r="CA980" s="24"/>
      <c r="CB980" s="24"/>
      <c r="CC980" s="24"/>
      <c r="CD980" s="24"/>
    </row>
    <row r="981" spans="2:82" s="6" customFormat="1">
      <c r="B981" s="21"/>
      <c r="D981" s="17"/>
      <c r="E981" s="23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R981" s="24"/>
      <c r="AS981" s="24"/>
      <c r="AT981" s="24"/>
      <c r="AU981" s="24"/>
      <c r="AV981" s="24"/>
      <c r="AW981" s="24"/>
      <c r="BD981" s="24"/>
      <c r="BE981" s="24"/>
      <c r="BF981" s="24"/>
      <c r="BG981" s="24"/>
      <c r="BH981" s="24"/>
      <c r="BI981" s="24"/>
      <c r="BP981" s="24"/>
      <c r="BQ981" s="24"/>
      <c r="BR981" s="24"/>
      <c r="BS981" s="24"/>
      <c r="BZ981" s="24"/>
      <c r="CA981" s="24"/>
      <c r="CB981" s="24"/>
      <c r="CC981" s="24"/>
      <c r="CD981" s="24"/>
    </row>
    <row r="982" spans="2:82" s="6" customFormat="1">
      <c r="B982" s="21"/>
      <c r="D982" s="17"/>
      <c r="E982" s="23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R982" s="24"/>
      <c r="AS982" s="24"/>
      <c r="AT982" s="24"/>
      <c r="AU982" s="24"/>
      <c r="AV982" s="24"/>
      <c r="AW982" s="24"/>
      <c r="BD982" s="24"/>
      <c r="BE982" s="24"/>
      <c r="BF982" s="24"/>
      <c r="BG982" s="24"/>
      <c r="BH982" s="24"/>
      <c r="BI982" s="24"/>
      <c r="BP982" s="24"/>
      <c r="BQ982" s="24"/>
      <c r="BR982" s="24"/>
      <c r="BS982" s="24"/>
      <c r="BZ982" s="24"/>
      <c r="CA982" s="24"/>
      <c r="CB982" s="24"/>
      <c r="CC982" s="24"/>
      <c r="CD982" s="24"/>
    </row>
    <row r="983" spans="2:82" s="6" customFormat="1">
      <c r="B983" s="21"/>
      <c r="D983" s="17"/>
      <c r="E983" s="23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R983" s="24"/>
      <c r="AS983" s="24"/>
      <c r="AT983" s="24"/>
      <c r="AU983" s="24"/>
      <c r="AV983" s="24"/>
      <c r="AW983" s="24"/>
      <c r="BD983" s="24"/>
      <c r="BE983" s="24"/>
      <c r="BF983" s="24"/>
      <c r="BG983" s="24"/>
      <c r="BH983" s="24"/>
      <c r="BI983" s="24"/>
      <c r="BP983" s="24"/>
      <c r="BQ983" s="24"/>
      <c r="BR983" s="24"/>
      <c r="BS983" s="24"/>
      <c r="BZ983" s="24"/>
      <c r="CA983" s="24"/>
      <c r="CB983" s="24"/>
      <c r="CC983" s="24"/>
      <c r="CD983" s="24"/>
    </row>
    <row r="984" spans="2:82" s="6" customFormat="1">
      <c r="B984" s="21"/>
      <c r="D984" s="17"/>
      <c r="E984" s="23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R984" s="24"/>
      <c r="AS984" s="24"/>
      <c r="AT984" s="24"/>
      <c r="AU984" s="24"/>
      <c r="AV984" s="24"/>
      <c r="AW984" s="24"/>
      <c r="BD984" s="24"/>
      <c r="BE984" s="24"/>
      <c r="BF984" s="24"/>
      <c r="BG984" s="24"/>
      <c r="BH984" s="24"/>
      <c r="BI984" s="24"/>
      <c r="BP984" s="24"/>
      <c r="BQ984" s="24"/>
      <c r="BR984" s="24"/>
      <c r="BS984" s="24"/>
      <c r="BZ984" s="24"/>
      <c r="CA984" s="24"/>
      <c r="CB984" s="24"/>
      <c r="CC984" s="24"/>
      <c r="CD984" s="24"/>
    </row>
    <row r="985" spans="2:82" s="6" customFormat="1">
      <c r="B985" s="21"/>
      <c r="D985" s="17"/>
      <c r="E985" s="23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R985" s="24"/>
      <c r="AS985" s="24"/>
      <c r="AT985" s="24"/>
      <c r="AU985" s="24"/>
      <c r="AV985" s="24"/>
      <c r="AW985" s="24"/>
      <c r="BD985" s="24"/>
      <c r="BE985" s="24"/>
      <c r="BF985" s="24"/>
      <c r="BG985" s="24"/>
      <c r="BH985" s="24"/>
      <c r="BI985" s="24"/>
      <c r="BP985" s="24"/>
      <c r="BQ985" s="24"/>
      <c r="BR985" s="24"/>
      <c r="BS985" s="24"/>
      <c r="BZ985" s="24"/>
      <c r="CA985" s="24"/>
      <c r="CB985" s="24"/>
      <c r="CC985" s="24"/>
      <c r="CD985" s="24"/>
    </row>
    <row r="986" spans="2:82" s="6" customFormat="1">
      <c r="B986" s="21"/>
      <c r="D986" s="17"/>
      <c r="E986" s="23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R986" s="24"/>
      <c r="AS986" s="24"/>
      <c r="AT986" s="24"/>
      <c r="AU986" s="24"/>
      <c r="AV986" s="24"/>
      <c r="AW986" s="24"/>
      <c r="BD986" s="24"/>
      <c r="BE986" s="24"/>
      <c r="BF986" s="24"/>
      <c r="BG986" s="24"/>
      <c r="BH986" s="24"/>
      <c r="BI986" s="24"/>
      <c r="BP986" s="24"/>
      <c r="BQ986" s="24"/>
      <c r="BR986" s="24"/>
      <c r="BS986" s="24"/>
      <c r="BZ986" s="24"/>
      <c r="CA986" s="24"/>
      <c r="CB986" s="24"/>
      <c r="CC986" s="24"/>
      <c r="CD986" s="24"/>
    </row>
    <row r="987" spans="2:82" s="6" customFormat="1">
      <c r="B987" s="21"/>
      <c r="D987" s="17"/>
      <c r="E987" s="23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R987" s="24"/>
      <c r="AS987" s="24"/>
      <c r="AT987" s="24"/>
      <c r="AU987" s="24"/>
      <c r="AV987" s="24"/>
      <c r="AW987" s="24"/>
      <c r="BD987" s="24"/>
      <c r="BE987" s="24"/>
      <c r="BF987" s="24"/>
      <c r="BG987" s="24"/>
      <c r="BH987" s="24"/>
      <c r="BI987" s="24"/>
      <c r="BP987" s="24"/>
      <c r="BQ987" s="24"/>
      <c r="BR987" s="24"/>
      <c r="BS987" s="24"/>
      <c r="BZ987" s="24"/>
      <c r="CA987" s="24"/>
      <c r="CB987" s="24"/>
      <c r="CC987" s="24"/>
      <c r="CD987" s="24"/>
    </row>
    <row r="988" spans="2:82" s="6" customFormat="1">
      <c r="B988" s="21"/>
      <c r="D988" s="17"/>
      <c r="E988" s="23"/>
      <c r="F988" s="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R988" s="24"/>
      <c r="AS988" s="24"/>
      <c r="AT988" s="24"/>
      <c r="AU988" s="24"/>
      <c r="AV988" s="24"/>
      <c r="AW988" s="24"/>
      <c r="BD988" s="24"/>
      <c r="BE988" s="24"/>
      <c r="BF988" s="24"/>
      <c r="BG988" s="24"/>
      <c r="BH988" s="24"/>
      <c r="BI988" s="24"/>
      <c r="BP988" s="24"/>
      <c r="BQ988" s="24"/>
      <c r="BR988" s="24"/>
      <c r="BS988" s="24"/>
      <c r="BZ988" s="24"/>
      <c r="CA988" s="24"/>
      <c r="CB988" s="24"/>
      <c r="CC988" s="24"/>
      <c r="CD988" s="24"/>
    </row>
    <row r="989" spans="2:82" s="6" customFormat="1">
      <c r="B989" s="21"/>
      <c r="D989" s="17"/>
      <c r="E989" s="23"/>
      <c r="F989" s="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R989" s="24"/>
      <c r="AS989" s="24"/>
      <c r="AT989" s="24"/>
      <c r="AU989" s="24"/>
      <c r="AV989" s="24"/>
      <c r="AW989" s="24"/>
      <c r="BD989" s="24"/>
      <c r="BE989" s="24"/>
      <c r="BF989" s="24"/>
      <c r="BG989" s="24"/>
      <c r="BH989" s="24"/>
      <c r="BI989" s="24"/>
      <c r="BP989" s="24"/>
      <c r="BQ989" s="24"/>
      <c r="BR989" s="24"/>
      <c r="BS989" s="24"/>
      <c r="BZ989" s="24"/>
      <c r="CA989" s="24"/>
      <c r="CB989" s="24"/>
      <c r="CC989" s="24"/>
      <c r="CD989" s="24"/>
    </row>
    <row r="990" spans="2:82" s="6" customFormat="1">
      <c r="B990" s="21"/>
      <c r="D990" s="17"/>
      <c r="E990" s="23"/>
      <c r="F990" s="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R990" s="24"/>
      <c r="AS990" s="24"/>
      <c r="AT990" s="24"/>
      <c r="AU990" s="24"/>
      <c r="AV990" s="24"/>
      <c r="AW990" s="24"/>
      <c r="BD990" s="24"/>
      <c r="BE990" s="24"/>
      <c r="BF990" s="24"/>
      <c r="BG990" s="24"/>
      <c r="BH990" s="24"/>
      <c r="BI990" s="24"/>
      <c r="BP990" s="24"/>
      <c r="BQ990" s="24"/>
      <c r="BR990" s="24"/>
      <c r="BS990" s="24"/>
      <c r="BZ990" s="24"/>
      <c r="CA990" s="24"/>
      <c r="CB990" s="24"/>
      <c r="CC990" s="24"/>
      <c r="CD990" s="24"/>
    </row>
    <row r="991" spans="2:82" s="6" customFormat="1">
      <c r="B991" s="21"/>
      <c r="D991" s="17"/>
      <c r="E991" s="23"/>
      <c r="F991" s="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R991" s="24"/>
      <c r="AS991" s="24"/>
      <c r="AT991" s="24"/>
      <c r="AU991" s="24"/>
      <c r="AV991" s="24"/>
      <c r="AW991" s="24"/>
      <c r="BD991" s="24"/>
      <c r="BE991" s="24"/>
      <c r="BF991" s="24"/>
      <c r="BG991" s="24"/>
      <c r="BH991" s="24"/>
      <c r="BI991" s="24"/>
      <c r="BP991" s="24"/>
      <c r="BQ991" s="24"/>
      <c r="BR991" s="24"/>
      <c r="BS991" s="24"/>
      <c r="BZ991" s="24"/>
      <c r="CA991" s="24"/>
      <c r="CB991" s="24"/>
      <c r="CC991" s="24"/>
      <c r="CD991" s="24"/>
    </row>
    <row r="992" spans="2:82" s="6" customFormat="1">
      <c r="B992" s="21"/>
      <c r="D992" s="17"/>
      <c r="E992" s="23"/>
      <c r="F992" s="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R992" s="24"/>
      <c r="AS992" s="24"/>
      <c r="AT992" s="24"/>
      <c r="AU992" s="24"/>
      <c r="AV992" s="24"/>
      <c r="AW992" s="24"/>
      <c r="BD992" s="24"/>
      <c r="BE992" s="24"/>
      <c r="BF992" s="24"/>
      <c r="BG992" s="24"/>
      <c r="BH992" s="24"/>
      <c r="BI992" s="24"/>
      <c r="BP992" s="24"/>
      <c r="BQ992" s="24"/>
      <c r="BR992" s="24"/>
      <c r="BS992" s="24"/>
      <c r="BZ992" s="24"/>
      <c r="CA992" s="24"/>
      <c r="CB992" s="24"/>
      <c r="CC992" s="24"/>
      <c r="CD992" s="24"/>
    </row>
    <row r="993" spans="2:82" s="6" customFormat="1">
      <c r="B993" s="21"/>
      <c r="D993" s="17"/>
      <c r="E993" s="23"/>
      <c r="F993" s="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R993" s="24"/>
      <c r="AS993" s="24"/>
      <c r="AT993" s="24"/>
      <c r="AU993" s="24"/>
      <c r="AV993" s="24"/>
      <c r="AW993" s="24"/>
      <c r="BD993" s="24"/>
      <c r="BE993" s="24"/>
      <c r="BF993" s="24"/>
      <c r="BG993" s="24"/>
      <c r="BH993" s="24"/>
      <c r="BI993" s="24"/>
      <c r="BP993" s="24"/>
      <c r="BQ993" s="24"/>
      <c r="BR993" s="24"/>
      <c r="BS993" s="24"/>
      <c r="BZ993" s="24"/>
      <c r="CA993" s="24"/>
      <c r="CB993" s="24"/>
      <c r="CC993" s="24"/>
      <c r="CD993" s="24"/>
    </row>
    <row r="994" spans="2:82" s="6" customFormat="1">
      <c r="B994" s="21"/>
      <c r="D994" s="17"/>
      <c r="E994" s="23"/>
      <c r="F994" s="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R994" s="24"/>
      <c r="AS994" s="24"/>
      <c r="AT994" s="24"/>
      <c r="AU994" s="24"/>
      <c r="AV994" s="24"/>
      <c r="AW994" s="24"/>
      <c r="BD994" s="24"/>
      <c r="BE994" s="24"/>
      <c r="BF994" s="24"/>
      <c r="BG994" s="24"/>
      <c r="BH994" s="24"/>
      <c r="BI994" s="24"/>
      <c r="BP994" s="24"/>
      <c r="BQ994" s="24"/>
      <c r="BR994" s="24"/>
      <c r="BS994" s="24"/>
      <c r="BZ994" s="24"/>
      <c r="CA994" s="24"/>
      <c r="CB994" s="24"/>
      <c r="CC994" s="24"/>
      <c r="CD994" s="24"/>
    </row>
    <row r="995" spans="2:82" s="6" customFormat="1">
      <c r="B995" s="21"/>
      <c r="D995" s="17"/>
      <c r="E995" s="23"/>
      <c r="F995" s="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R995" s="24"/>
      <c r="AS995" s="24"/>
      <c r="AT995" s="24"/>
      <c r="AU995" s="24"/>
      <c r="AV995" s="24"/>
      <c r="AW995" s="24"/>
      <c r="BD995" s="24"/>
      <c r="BE995" s="24"/>
      <c r="BF995" s="24"/>
      <c r="BG995" s="24"/>
      <c r="BH995" s="24"/>
      <c r="BI995" s="24"/>
      <c r="BP995" s="24"/>
      <c r="BQ995" s="24"/>
      <c r="BR995" s="24"/>
      <c r="BS995" s="24"/>
      <c r="BZ995" s="24"/>
      <c r="CA995" s="24"/>
      <c r="CB995" s="24"/>
      <c r="CC995" s="24"/>
      <c r="CD995" s="24"/>
    </row>
    <row r="996" spans="2:82" s="6" customFormat="1">
      <c r="B996" s="21"/>
      <c r="D996" s="17"/>
      <c r="E996" s="23"/>
      <c r="F996" s="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R996" s="24"/>
      <c r="AS996" s="24"/>
      <c r="AT996" s="24"/>
      <c r="AU996" s="24"/>
      <c r="AV996" s="24"/>
      <c r="AW996" s="24"/>
      <c r="BD996" s="24"/>
      <c r="BE996" s="24"/>
      <c r="BF996" s="24"/>
      <c r="BG996" s="24"/>
      <c r="BH996" s="24"/>
      <c r="BI996" s="24"/>
      <c r="BP996" s="24"/>
      <c r="BQ996" s="24"/>
      <c r="BR996" s="24"/>
      <c r="BS996" s="24"/>
      <c r="BZ996" s="24"/>
      <c r="CA996" s="24"/>
      <c r="CB996" s="24"/>
      <c r="CC996" s="24"/>
      <c r="CD996" s="24"/>
    </row>
    <row r="997" spans="2:82" s="6" customFormat="1">
      <c r="B997" s="21"/>
      <c r="D997" s="17"/>
      <c r="E997" s="23"/>
      <c r="F997" s="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R997" s="24"/>
      <c r="AS997" s="24"/>
      <c r="AT997" s="24"/>
      <c r="AU997" s="24"/>
      <c r="AV997" s="24"/>
      <c r="AW997" s="24"/>
      <c r="BD997" s="24"/>
      <c r="BE997" s="24"/>
      <c r="BF997" s="24"/>
      <c r="BG997" s="24"/>
      <c r="BH997" s="24"/>
      <c r="BI997" s="24"/>
      <c r="BP997" s="24"/>
      <c r="BQ997" s="24"/>
      <c r="BR997" s="24"/>
      <c r="BS997" s="24"/>
      <c r="BZ997" s="24"/>
      <c r="CA997" s="24"/>
      <c r="CB997" s="24"/>
      <c r="CC997" s="24"/>
      <c r="CD997" s="24"/>
    </row>
    <row r="998" spans="2:82" s="6" customFormat="1">
      <c r="B998" s="21"/>
      <c r="D998" s="17"/>
      <c r="E998" s="23"/>
      <c r="F998" s="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  <c r="AR998" s="24"/>
      <c r="AS998" s="24"/>
      <c r="AT998" s="24"/>
      <c r="AU998" s="24"/>
      <c r="AV998" s="24"/>
      <c r="AW998" s="24"/>
      <c r="BD998" s="24"/>
      <c r="BE998" s="24"/>
      <c r="BF998" s="24"/>
      <c r="BG998" s="24"/>
      <c r="BH998" s="24"/>
      <c r="BI998" s="24"/>
      <c r="BP998" s="24"/>
      <c r="BQ998" s="24"/>
      <c r="BR998" s="24"/>
      <c r="BS998" s="24"/>
      <c r="BZ998" s="24"/>
      <c r="CA998" s="24"/>
      <c r="CB998" s="24"/>
      <c r="CC998" s="24"/>
      <c r="CD998" s="24"/>
    </row>
    <row r="999" spans="2:82" s="6" customFormat="1">
      <c r="B999" s="21"/>
      <c r="D999" s="17"/>
      <c r="E999" s="23"/>
      <c r="F999" s="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R999" s="24"/>
      <c r="AS999" s="24"/>
      <c r="AT999" s="24"/>
      <c r="AU999" s="24"/>
      <c r="AV999" s="24"/>
      <c r="AW999" s="24"/>
      <c r="BD999" s="24"/>
      <c r="BE999" s="24"/>
      <c r="BF999" s="24"/>
      <c r="BG999" s="24"/>
      <c r="BH999" s="24"/>
      <c r="BI999" s="24"/>
      <c r="BP999" s="24"/>
      <c r="BQ999" s="24"/>
      <c r="BR999" s="24"/>
      <c r="BS999" s="24"/>
      <c r="BZ999" s="24"/>
      <c r="CA999" s="24"/>
      <c r="CB999" s="24"/>
      <c r="CC999" s="24"/>
      <c r="CD999" s="24"/>
    </row>
    <row r="1000" spans="2:82" s="6" customFormat="1">
      <c r="B1000" s="21"/>
      <c r="D1000" s="17"/>
      <c r="E1000" s="23"/>
      <c r="F1000" s="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  <c r="AR1000" s="24"/>
      <c r="AS1000" s="24"/>
      <c r="AT1000" s="24"/>
      <c r="AU1000" s="24"/>
      <c r="AV1000" s="24"/>
      <c r="AW1000" s="24"/>
      <c r="BD1000" s="24"/>
      <c r="BE1000" s="24"/>
      <c r="BF1000" s="24"/>
      <c r="BG1000" s="24"/>
      <c r="BH1000" s="24"/>
      <c r="BI1000" s="24"/>
      <c r="BP1000" s="24"/>
      <c r="BQ1000" s="24"/>
      <c r="BR1000" s="24"/>
      <c r="BS1000" s="24"/>
      <c r="BZ1000" s="24"/>
      <c r="CA1000" s="24"/>
      <c r="CB1000" s="24"/>
      <c r="CC1000" s="24"/>
      <c r="CD1000" s="24"/>
    </row>
    <row r="1001" spans="2:82" s="6" customFormat="1">
      <c r="B1001" s="21"/>
      <c r="D1001" s="17"/>
      <c r="E1001" s="23"/>
      <c r="F1001" s="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  <c r="AB1001" s="24"/>
      <c r="AC1001" s="24"/>
      <c r="AD1001" s="24"/>
      <c r="AE1001" s="24"/>
      <c r="AF1001" s="24"/>
      <c r="AG1001" s="24"/>
      <c r="AH1001" s="24"/>
      <c r="AI1001" s="24"/>
      <c r="AJ1001" s="24"/>
      <c r="AK1001" s="24"/>
      <c r="AR1001" s="24"/>
      <c r="AS1001" s="24"/>
      <c r="AT1001" s="24"/>
      <c r="AU1001" s="24"/>
      <c r="AV1001" s="24"/>
      <c r="AW1001" s="24"/>
      <c r="BD1001" s="24"/>
      <c r="BE1001" s="24"/>
      <c r="BF1001" s="24"/>
      <c r="BG1001" s="24"/>
      <c r="BH1001" s="24"/>
      <c r="BI1001" s="24"/>
      <c r="BP1001" s="24"/>
      <c r="BQ1001" s="24"/>
      <c r="BR1001" s="24"/>
      <c r="BS1001" s="24"/>
      <c r="BZ1001" s="24"/>
      <c r="CA1001" s="24"/>
      <c r="CB1001" s="24"/>
      <c r="CC1001" s="24"/>
      <c r="CD1001" s="24"/>
    </row>
    <row r="1002" spans="2:82" s="6" customFormat="1">
      <c r="B1002" s="21"/>
      <c r="D1002" s="17"/>
      <c r="E1002" s="23"/>
      <c r="F1002" s="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  <c r="AA1002" s="24"/>
      <c r="AB1002" s="24"/>
      <c r="AC1002" s="24"/>
      <c r="AD1002" s="24"/>
      <c r="AE1002" s="24"/>
      <c r="AF1002" s="24"/>
      <c r="AG1002" s="24"/>
      <c r="AH1002" s="24"/>
      <c r="AI1002" s="24"/>
      <c r="AJ1002" s="24"/>
      <c r="AK1002" s="24"/>
      <c r="AR1002" s="24"/>
      <c r="AS1002" s="24"/>
      <c r="AT1002" s="24"/>
      <c r="AU1002" s="24"/>
      <c r="AV1002" s="24"/>
      <c r="AW1002" s="24"/>
      <c r="BD1002" s="24"/>
      <c r="BE1002" s="24"/>
      <c r="BF1002" s="24"/>
      <c r="BG1002" s="24"/>
      <c r="BH1002" s="24"/>
      <c r="BI1002" s="24"/>
      <c r="BP1002" s="24"/>
      <c r="BQ1002" s="24"/>
      <c r="BR1002" s="24"/>
      <c r="BS1002" s="24"/>
      <c r="BZ1002" s="24"/>
      <c r="CA1002" s="24"/>
      <c r="CB1002" s="24"/>
      <c r="CC1002" s="24"/>
      <c r="CD1002" s="24"/>
    </row>
    <row r="1003" spans="2:82" s="6" customFormat="1">
      <c r="B1003" s="21"/>
      <c r="D1003" s="17"/>
      <c r="E1003" s="23"/>
      <c r="F1003" s="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  <c r="AA1003" s="24"/>
      <c r="AB1003" s="24"/>
      <c r="AC1003" s="24"/>
      <c r="AD1003" s="24"/>
      <c r="AE1003" s="24"/>
      <c r="AF1003" s="24"/>
      <c r="AG1003" s="24"/>
      <c r="AH1003" s="24"/>
      <c r="AI1003" s="24"/>
      <c r="AJ1003" s="24"/>
      <c r="AK1003" s="24"/>
      <c r="AR1003" s="24"/>
      <c r="AS1003" s="24"/>
      <c r="AT1003" s="24"/>
      <c r="AU1003" s="24"/>
      <c r="AV1003" s="24"/>
      <c r="AW1003" s="24"/>
      <c r="BD1003" s="24"/>
      <c r="BE1003" s="24"/>
      <c r="BF1003" s="24"/>
      <c r="BG1003" s="24"/>
      <c r="BH1003" s="24"/>
      <c r="BI1003" s="24"/>
      <c r="BP1003" s="24"/>
      <c r="BQ1003" s="24"/>
      <c r="BR1003" s="24"/>
      <c r="BS1003" s="24"/>
      <c r="BZ1003" s="24"/>
      <c r="CA1003" s="24"/>
      <c r="CB1003" s="24"/>
      <c r="CC1003" s="24"/>
      <c r="CD1003" s="24"/>
    </row>
    <row r="1004" spans="2:82" s="6" customFormat="1">
      <c r="B1004" s="21"/>
      <c r="D1004" s="17"/>
      <c r="E1004" s="23"/>
      <c r="F1004" s="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  <c r="AA1004" s="24"/>
      <c r="AB1004" s="24"/>
      <c r="AC1004" s="24"/>
      <c r="AD1004" s="24"/>
      <c r="AE1004" s="24"/>
      <c r="AF1004" s="24"/>
      <c r="AG1004" s="24"/>
      <c r="AH1004" s="24"/>
      <c r="AI1004" s="24"/>
      <c r="AJ1004" s="24"/>
      <c r="AK1004" s="24"/>
      <c r="AR1004" s="24"/>
      <c r="AS1004" s="24"/>
      <c r="AT1004" s="24"/>
      <c r="AU1004" s="24"/>
      <c r="AV1004" s="24"/>
      <c r="AW1004" s="24"/>
      <c r="BD1004" s="24"/>
      <c r="BE1004" s="24"/>
      <c r="BF1004" s="24"/>
      <c r="BG1004" s="24"/>
      <c r="BH1004" s="24"/>
      <c r="BI1004" s="24"/>
      <c r="BP1004" s="24"/>
      <c r="BQ1004" s="24"/>
      <c r="BR1004" s="24"/>
      <c r="BS1004" s="24"/>
      <c r="BZ1004" s="24"/>
      <c r="CA1004" s="24"/>
      <c r="CB1004" s="24"/>
      <c r="CC1004" s="24"/>
      <c r="CD1004" s="24"/>
    </row>
    <row r="1005" spans="2:82" s="6" customFormat="1">
      <c r="B1005" s="21"/>
      <c r="D1005" s="17"/>
      <c r="E1005" s="23"/>
      <c r="F1005" s="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  <c r="Z1005" s="24"/>
      <c r="AA1005" s="24"/>
      <c r="AB1005" s="24"/>
      <c r="AC1005" s="24"/>
      <c r="AD1005" s="24"/>
      <c r="AE1005" s="24"/>
      <c r="AF1005" s="24"/>
      <c r="AG1005" s="24"/>
      <c r="AH1005" s="24"/>
      <c r="AI1005" s="24"/>
      <c r="AJ1005" s="24"/>
      <c r="AK1005" s="24"/>
      <c r="AR1005" s="24"/>
      <c r="AS1005" s="24"/>
      <c r="AT1005" s="24"/>
      <c r="AU1005" s="24"/>
      <c r="AV1005" s="24"/>
      <c r="AW1005" s="24"/>
      <c r="BD1005" s="24"/>
      <c r="BE1005" s="24"/>
      <c r="BF1005" s="24"/>
      <c r="BG1005" s="24"/>
      <c r="BH1005" s="24"/>
      <c r="BI1005" s="24"/>
      <c r="BP1005" s="24"/>
      <c r="BQ1005" s="24"/>
      <c r="BR1005" s="24"/>
      <c r="BS1005" s="24"/>
      <c r="BZ1005" s="24"/>
      <c r="CA1005" s="24"/>
      <c r="CB1005" s="24"/>
      <c r="CC1005" s="24"/>
      <c r="CD1005" s="24"/>
    </row>
    <row r="1006" spans="2:82" s="6" customFormat="1">
      <c r="B1006" s="21"/>
      <c r="D1006" s="17"/>
      <c r="E1006" s="23"/>
      <c r="F1006" s="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  <c r="AA1006" s="24"/>
      <c r="AB1006" s="24"/>
      <c r="AC1006" s="24"/>
      <c r="AD1006" s="24"/>
      <c r="AE1006" s="24"/>
      <c r="AF1006" s="24"/>
      <c r="AG1006" s="24"/>
      <c r="AH1006" s="24"/>
      <c r="AI1006" s="24"/>
      <c r="AJ1006" s="24"/>
      <c r="AK1006" s="24"/>
      <c r="AR1006" s="24"/>
      <c r="AS1006" s="24"/>
      <c r="AT1006" s="24"/>
      <c r="AU1006" s="24"/>
      <c r="AV1006" s="24"/>
      <c r="AW1006" s="24"/>
      <c r="BD1006" s="24"/>
      <c r="BE1006" s="24"/>
      <c r="BF1006" s="24"/>
      <c r="BG1006" s="24"/>
      <c r="BH1006" s="24"/>
      <c r="BI1006" s="24"/>
      <c r="BP1006" s="24"/>
      <c r="BQ1006" s="24"/>
      <c r="BR1006" s="24"/>
      <c r="BS1006" s="24"/>
      <c r="BZ1006" s="24"/>
      <c r="CA1006" s="24"/>
      <c r="CB1006" s="24"/>
      <c r="CC1006" s="24"/>
      <c r="CD1006" s="24"/>
    </row>
    <row r="1007" spans="2:82" s="6" customFormat="1">
      <c r="B1007" s="21"/>
      <c r="D1007" s="17"/>
      <c r="E1007" s="23"/>
      <c r="F1007" s="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  <c r="Y1007" s="24"/>
      <c r="Z1007" s="24"/>
      <c r="AA1007" s="24"/>
      <c r="AB1007" s="24"/>
      <c r="AC1007" s="24"/>
      <c r="AD1007" s="24"/>
      <c r="AE1007" s="24"/>
      <c r="AF1007" s="24"/>
      <c r="AG1007" s="24"/>
      <c r="AH1007" s="24"/>
      <c r="AI1007" s="24"/>
      <c r="AJ1007" s="24"/>
      <c r="AK1007" s="24"/>
      <c r="AR1007" s="24"/>
      <c r="AS1007" s="24"/>
      <c r="AT1007" s="24"/>
      <c r="AU1007" s="24"/>
      <c r="AV1007" s="24"/>
      <c r="AW1007" s="24"/>
      <c r="BD1007" s="24"/>
      <c r="BE1007" s="24"/>
      <c r="BF1007" s="24"/>
      <c r="BG1007" s="24"/>
      <c r="BH1007" s="24"/>
      <c r="BI1007" s="24"/>
      <c r="BP1007" s="24"/>
      <c r="BQ1007" s="24"/>
      <c r="BR1007" s="24"/>
      <c r="BS1007" s="24"/>
      <c r="BZ1007" s="24"/>
      <c r="CA1007" s="24"/>
      <c r="CB1007" s="24"/>
      <c r="CC1007" s="24"/>
      <c r="CD1007" s="24"/>
    </row>
  </sheetData>
  <autoFilter ref="B12:C80" xr:uid="{00000000-0009-0000-0000-000000000000}"/>
  <mergeCells count="43">
    <mergeCell ref="IR7:IW7"/>
    <mergeCell ref="HH7:HM7"/>
    <mergeCell ref="HN7:HS7"/>
    <mergeCell ref="HT7:HY7"/>
    <mergeCell ref="HZ7:IE7"/>
    <mergeCell ref="IF7:IK7"/>
    <mergeCell ref="IL7:IQ7"/>
    <mergeCell ref="HB7:HG7"/>
    <mergeCell ref="EN7:ES7"/>
    <mergeCell ref="ET7:EY7"/>
    <mergeCell ref="EZ7:FE7"/>
    <mergeCell ref="FF7:FK7"/>
    <mergeCell ref="FL7:FQ7"/>
    <mergeCell ref="FR7:FW7"/>
    <mergeCell ref="FX7:GC7"/>
    <mergeCell ref="GD7:GI7"/>
    <mergeCell ref="GJ7:GO7"/>
    <mergeCell ref="GP7:GU7"/>
    <mergeCell ref="GV7:HA7"/>
    <mergeCell ref="EH7:EM7"/>
    <mergeCell ref="BT7:BY7"/>
    <mergeCell ref="BZ7:CE7"/>
    <mergeCell ref="CF7:CK7"/>
    <mergeCell ref="CL7:CQ7"/>
    <mergeCell ref="CR7:CW7"/>
    <mergeCell ref="CX7:DC7"/>
    <mergeCell ref="DD7:DI7"/>
    <mergeCell ref="DJ7:DO7"/>
    <mergeCell ref="DP7:DU7"/>
    <mergeCell ref="DV7:EA7"/>
    <mergeCell ref="EB7:EG7"/>
    <mergeCell ref="BN7:BS7"/>
    <mergeCell ref="B3:C6"/>
    <mergeCell ref="F7:K7"/>
    <mergeCell ref="L7:Q7"/>
    <mergeCell ref="R7:W7"/>
    <mergeCell ref="X7:AC7"/>
    <mergeCell ref="AD7:AI7"/>
    <mergeCell ref="AJ7:AO7"/>
    <mergeCell ref="AP7:AU7"/>
    <mergeCell ref="AV7:BA7"/>
    <mergeCell ref="BB7:BG7"/>
    <mergeCell ref="BH7:BM7"/>
  </mergeCells>
  <phoneticPr fontId="45" type="noConversion"/>
  <pageMargins left="0.25" right="0.25" top="0.75" bottom="0.75" header="0.3" footer="0.3"/>
  <pageSetup paperSize="9" scale="10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1007"/>
  <sheetViews>
    <sheetView showGridLines="0" showZeros="0" tabSelected="1" zoomScale="107" zoomScaleNormal="107" zoomScaleSheetLayoutView="10" workbookViewId="0">
      <pane xSplit="4" ySplit="11" topLeftCell="E12" activePane="bottomRight" state="frozen"/>
      <selection pane="topRight" activeCell="E1" sqref="E1"/>
      <selection pane="bottomLeft" activeCell="A12" sqref="A12"/>
      <selection pane="bottomRight" activeCell="B3" sqref="B3:C6"/>
    </sheetView>
  </sheetViews>
  <sheetFormatPr baseColWidth="10" defaultColWidth="11.44140625" defaultRowHeight="13.8"/>
  <cols>
    <col min="1" max="1" width="0.88671875" style="2" customWidth="1"/>
    <col min="2" max="2" width="9.6640625" style="16" customWidth="1"/>
    <col min="3" max="3" width="67.5546875" style="2" customWidth="1"/>
    <col min="4" max="4" width="13.88671875" style="17" bestFit="1" customWidth="1"/>
    <col min="5" max="5" width="1" style="25" customWidth="1"/>
    <col min="6" max="37" width="5.6640625" style="4" customWidth="1"/>
    <col min="38" max="43" width="5.6640625" style="2" customWidth="1"/>
    <col min="44" max="47" width="5.6640625" style="4" customWidth="1"/>
    <col min="48" max="49" width="5.6640625" style="4" bestFit="1" customWidth="1"/>
    <col min="50" max="52" width="5.6640625" style="2" bestFit="1" customWidth="1"/>
    <col min="53" max="55" width="8.6640625" style="2" customWidth="1"/>
    <col min="56" max="61" width="8.6640625" style="4" customWidth="1"/>
    <col min="62" max="67" width="8.6640625" style="2" customWidth="1"/>
    <col min="68" max="71" width="8.6640625" style="4" customWidth="1"/>
    <col min="72" max="77" width="8.6640625" style="2" customWidth="1"/>
    <col min="78" max="80" width="8.6640625" style="4" customWidth="1"/>
    <col min="81" max="82" width="6.109375" style="4" bestFit="1" customWidth="1"/>
    <col min="83" max="99" width="6.109375" style="2" bestFit="1" customWidth="1"/>
    <col min="100" max="100" width="6.109375" style="2" customWidth="1"/>
    <col min="101" max="152" width="6.88671875" style="2" bestFit="1" customWidth="1"/>
    <col min="153" max="153" width="6.33203125" style="2" customWidth="1"/>
    <col min="154" max="176" width="6.88671875" style="2" bestFit="1" customWidth="1"/>
    <col min="177" max="177" width="6.88671875" style="2" customWidth="1"/>
    <col min="178" max="179" width="6.88671875" style="2" bestFit="1" customWidth="1"/>
    <col min="180" max="836" width="6.88671875" style="2" customWidth="1"/>
    <col min="837" max="16384" width="11.44140625" style="2"/>
  </cols>
  <sheetData>
    <row r="1" spans="1:257" ht="14.4" hidden="1" thickBot="1">
      <c r="E1" s="4"/>
    </row>
    <row r="2" spans="1:257" ht="14.4" hidden="1" thickBot="1">
      <c r="E2" s="4"/>
    </row>
    <row r="3" spans="1:257" ht="15" hidden="1" customHeight="1">
      <c r="B3" s="99"/>
      <c r="C3" s="100"/>
      <c r="D3" s="3"/>
      <c r="E3" s="4"/>
    </row>
    <row r="4" spans="1:257" ht="15" hidden="1" customHeight="1">
      <c r="B4" s="101"/>
      <c r="C4" s="102"/>
      <c r="D4" s="62"/>
      <c r="E4" s="4"/>
    </row>
    <row r="5" spans="1:257" ht="57.75" hidden="1" customHeight="1">
      <c r="B5" s="101"/>
      <c r="C5" s="102"/>
      <c r="D5" s="62"/>
      <c r="E5" s="4"/>
    </row>
    <row r="6" spans="1:257" ht="39.6" customHeight="1" thickBot="1">
      <c r="B6" s="103"/>
      <c r="C6" s="104"/>
      <c r="D6" s="62"/>
      <c r="E6" s="4"/>
    </row>
    <row r="7" spans="1:257" s="1" customFormat="1" ht="15" customHeight="1">
      <c r="A7" s="2"/>
      <c r="B7" s="5"/>
      <c r="C7" s="67"/>
      <c r="D7" s="63" t="s">
        <v>2</v>
      </c>
      <c r="F7" s="96" t="s">
        <v>154</v>
      </c>
      <c r="G7" s="97"/>
      <c r="H7" s="97"/>
      <c r="I7" s="97"/>
      <c r="J7" s="97"/>
      <c r="K7" s="98"/>
      <c r="L7" s="96" t="s">
        <v>155</v>
      </c>
      <c r="M7" s="97"/>
      <c r="N7" s="97"/>
      <c r="O7" s="97"/>
      <c r="P7" s="97"/>
      <c r="Q7" s="98"/>
      <c r="R7" s="96" t="s">
        <v>156</v>
      </c>
      <c r="S7" s="97"/>
      <c r="T7" s="97"/>
      <c r="U7" s="97"/>
      <c r="V7" s="97"/>
      <c r="W7" s="98"/>
      <c r="X7" s="96" t="s">
        <v>157</v>
      </c>
      <c r="Y7" s="97"/>
      <c r="Z7" s="97"/>
      <c r="AA7" s="97"/>
      <c r="AB7" s="97"/>
      <c r="AC7" s="98"/>
      <c r="AD7" s="96" t="s">
        <v>158</v>
      </c>
      <c r="AE7" s="97"/>
      <c r="AF7" s="97"/>
      <c r="AG7" s="97"/>
      <c r="AH7" s="97"/>
      <c r="AI7" s="98"/>
      <c r="AJ7" s="96" t="s">
        <v>159</v>
      </c>
      <c r="AK7" s="97"/>
      <c r="AL7" s="97"/>
      <c r="AM7" s="97"/>
      <c r="AN7" s="97"/>
      <c r="AO7" s="98"/>
      <c r="AP7" s="96" t="s">
        <v>160</v>
      </c>
      <c r="AQ7" s="97"/>
      <c r="AR7" s="97"/>
      <c r="AS7" s="97"/>
      <c r="AT7" s="97"/>
      <c r="AU7" s="98"/>
      <c r="AV7" s="96" t="s">
        <v>161</v>
      </c>
      <c r="AW7" s="97"/>
      <c r="AX7" s="97"/>
      <c r="AY7" s="97"/>
      <c r="AZ7" s="97"/>
      <c r="BA7" s="98"/>
      <c r="BB7" s="96" t="s">
        <v>162</v>
      </c>
      <c r="BC7" s="97"/>
      <c r="BD7" s="97"/>
      <c r="BE7" s="97"/>
      <c r="BF7" s="97"/>
      <c r="BG7" s="98"/>
      <c r="BH7" s="96" t="s">
        <v>163</v>
      </c>
      <c r="BI7" s="97"/>
      <c r="BJ7" s="97"/>
      <c r="BK7" s="97"/>
      <c r="BL7" s="97"/>
      <c r="BM7" s="98"/>
      <c r="BN7" s="96" t="s">
        <v>164</v>
      </c>
      <c r="BO7" s="97"/>
      <c r="BP7" s="97"/>
      <c r="BQ7" s="97"/>
      <c r="BR7" s="97"/>
      <c r="BS7" s="98"/>
      <c r="BT7" s="96" t="s">
        <v>165</v>
      </c>
      <c r="BU7" s="97"/>
      <c r="BV7" s="97"/>
      <c r="BW7" s="97"/>
      <c r="BX7" s="97"/>
      <c r="BY7" s="98"/>
      <c r="BZ7" s="96" t="s">
        <v>166</v>
      </c>
      <c r="CA7" s="97"/>
      <c r="CB7" s="97"/>
      <c r="CC7" s="97"/>
      <c r="CD7" s="97"/>
      <c r="CE7" s="98"/>
      <c r="CF7" s="96" t="s">
        <v>167</v>
      </c>
      <c r="CG7" s="97"/>
      <c r="CH7" s="97"/>
      <c r="CI7" s="97"/>
      <c r="CJ7" s="97"/>
      <c r="CK7" s="98"/>
      <c r="CL7" s="96" t="s">
        <v>168</v>
      </c>
      <c r="CM7" s="97"/>
      <c r="CN7" s="97"/>
      <c r="CO7" s="97"/>
      <c r="CP7" s="97"/>
      <c r="CQ7" s="98"/>
      <c r="CR7" s="96" t="s">
        <v>169</v>
      </c>
      <c r="CS7" s="97"/>
      <c r="CT7" s="97"/>
      <c r="CU7" s="97"/>
      <c r="CV7" s="97"/>
      <c r="CW7" s="98"/>
      <c r="CX7" s="96" t="s">
        <v>170</v>
      </c>
      <c r="CY7" s="97"/>
      <c r="CZ7" s="97"/>
      <c r="DA7" s="97"/>
      <c r="DB7" s="97"/>
      <c r="DC7" s="98"/>
      <c r="DD7" s="96" t="s">
        <v>171</v>
      </c>
      <c r="DE7" s="97"/>
      <c r="DF7" s="97"/>
      <c r="DG7" s="97"/>
      <c r="DH7" s="97"/>
      <c r="DI7" s="98"/>
      <c r="DJ7" s="96" t="s">
        <v>172</v>
      </c>
      <c r="DK7" s="97"/>
      <c r="DL7" s="97"/>
      <c r="DM7" s="97"/>
      <c r="DN7" s="97"/>
      <c r="DO7" s="98"/>
      <c r="DP7" s="96" t="s">
        <v>173</v>
      </c>
      <c r="DQ7" s="97"/>
      <c r="DR7" s="97"/>
      <c r="DS7" s="97"/>
      <c r="DT7" s="97"/>
      <c r="DU7" s="98"/>
      <c r="DV7" s="96" t="s">
        <v>174</v>
      </c>
      <c r="DW7" s="97"/>
      <c r="DX7" s="97"/>
      <c r="DY7" s="97"/>
      <c r="DZ7" s="97"/>
      <c r="EA7" s="98"/>
      <c r="EB7" s="96" t="s">
        <v>175</v>
      </c>
      <c r="EC7" s="97"/>
      <c r="ED7" s="97"/>
      <c r="EE7" s="97"/>
      <c r="EF7" s="97"/>
      <c r="EG7" s="98"/>
      <c r="EH7" s="96" t="s">
        <v>176</v>
      </c>
      <c r="EI7" s="97"/>
      <c r="EJ7" s="97"/>
      <c r="EK7" s="97"/>
      <c r="EL7" s="97"/>
      <c r="EM7" s="98"/>
      <c r="EN7" s="96" t="s">
        <v>177</v>
      </c>
      <c r="EO7" s="97"/>
      <c r="EP7" s="97"/>
      <c r="EQ7" s="97"/>
      <c r="ER7" s="97"/>
      <c r="ES7" s="98"/>
      <c r="ET7" s="96" t="s">
        <v>178</v>
      </c>
      <c r="EU7" s="97"/>
      <c r="EV7" s="97"/>
      <c r="EW7" s="97"/>
      <c r="EX7" s="97"/>
      <c r="EY7" s="98"/>
      <c r="EZ7" s="96" t="s">
        <v>179</v>
      </c>
      <c r="FA7" s="97"/>
      <c r="FB7" s="97"/>
      <c r="FC7" s="97"/>
      <c r="FD7" s="97"/>
      <c r="FE7" s="98"/>
      <c r="FF7" s="96" t="s">
        <v>180</v>
      </c>
      <c r="FG7" s="97"/>
      <c r="FH7" s="97"/>
      <c r="FI7" s="97"/>
      <c r="FJ7" s="97"/>
      <c r="FK7" s="98"/>
      <c r="FL7" s="96" t="s">
        <v>181</v>
      </c>
      <c r="FM7" s="97"/>
      <c r="FN7" s="97"/>
      <c r="FO7" s="97"/>
      <c r="FP7" s="97"/>
      <c r="FQ7" s="98"/>
      <c r="FR7" s="96" t="s">
        <v>182</v>
      </c>
      <c r="FS7" s="97"/>
      <c r="FT7" s="97"/>
      <c r="FU7" s="97"/>
      <c r="FV7" s="97"/>
      <c r="FW7" s="98"/>
      <c r="FX7" s="96" t="s">
        <v>204</v>
      </c>
      <c r="FY7" s="97"/>
      <c r="FZ7" s="97"/>
      <c r="GA7" s="97"/>
      <c r="GB7" s="97"/>
      <c r="GC7" s="98"/>
      <c r="GD7" s="96" t="s">
        <v>205</v>
      </c>
      <c r="GE7" s="97"/>
      <c r="GF7" s="97"/>
      <c r="GG7" s="97"/>
      <c r="GH7" s="97"/>
      <c r="GI7" s="98"/>
      <c r="GJ7" s="96" t="s">
        <v>206</v>
      </c>
      <c r="GK7" s="97"/>
      <c r="GL7" s="97"/>
      <c r="GM7" s="97"/>
      <c r="GN7" s="97"/>
      <c r="GO7" s="98"/>
      <c r="GP7" s="96" t="s">
        <v>207</v>
      </c>
      <c r="GQ7" s="97"/>
      <c r="GR7" s="97"/>
      <c r="GS7" s="97"/>
      <c r="GT7" s="97"/>
      <c r="GU7" s="98"/>
      <c r="GV7" s="96" t="s">
        <v>208</v>
      </c>
      <c r="GW7" s="97"/>
      <c r="GX7" s="97"/>
      <c r="GY7" s="97"/>
      <c r="GZ7" s="97"/>
      <c r="HA7" s="98"/>
      <c r="HB7" s="96" t="s">
        <v>209</v>
      </c>
      <c r="HC7" s="97"/>
      <c r="HD7" s="97"/>
      <c r="HE7" s="97"/>
      <c r="HF7" s="97"/>
      <c r="HG7" s="98"/>
      <c r="HH7" s="96" t="s">
        <v>210</v>
      </c>
      <c r="HI7" s="97"/>
      <c r="HJ7" s="97"/>
      <c r="HK7" s="97"/>
      <c r="HL7" s="97"/>
      <c r="HM7" s="98"/>
      <c r="HN7" s="96" t="s">
        <v>211</v>
      </c>
      <c r="HO7" s="97"/>
      <c r="HP7" s="97"/>
      <c r="HQ7" s="97"/>
      <c r="HR7" s="97"/>
      <c r="HS7" s="98"/>
      <c r="HT7" s="96" t="s">
        <v>212</v>
      </c>
      <c r="HU7" s="97"/>
      <c r="HV7" s="97"/>
      <c r="HW7" s="97"/>
      <c r="HX7" s="97"/>
      <c r="HY7" s="98"/>
      <c r="HZ7" s="96" t="s">
        <v>213</v>
      </c>
      <c r="IA7" s="97"/>
      <c r="IB7" s="97"/>
      <c r="IC7" s="97"/>
      <c r="ID7" s="97"/>
      <c r="IE7" s="98"/>
      <c r="IF7" s="96" t="s">
        <v>214</v>
      </c>
      <c r="IG7" s="97"/>
      <c r="IH7" s="97"/>
      <c r="II7" s="97"/>
      <c r="IJ7" s="97"/>
      <c r="IK7" s="98"/>
      <c r="IL7" s="96" t="s">
        <v>215</v>
      </c>
      <c r="IM7" s="97"/>
      <c r="IN7" s="97"/>
      <c r="IO7" s="97"/>
      <c r="IP7" s="97"/>
      <c r="IQ7" s="98"/>
      <c r="IR7" s="96" t="s">
        <v>220</v>
      </c>
      <c r="IS7" s="97"/>
      <c r="IT7" s="97"/>
      <c r="IU7" s="97"/>
      <c r="IV7" s="97"/>
      <c r="IW7" s="98"/>
    </row>
    <row r="8" spans="1:257" ht="15" customHeight="1">
      <c r="B8" s="7" t="s">
        <v>0</v>
      </c>
      <c r="C8" s="68"/>
      <c r="D8" s="64" t="s">
        <v>3</v>
      </c>
      <c r="F8" s="18">
        <v>0</v>
      </c>
      <c r="G8" s="18">
        <f>+F8</f>
        <v>0</v>
      </c>
      <c r="H8" s="18">
        <f t="shared" ref="H8:AC8" si="0">+G8+1</f>
        <v>1</v>
      </c>
      <c r="I8" s="18">
        <f t="shared" si="0"/>
        <v>2</v>
      </c>
      <c r="J8" s="18">
        <f t="shared" si="0"/>
        <v>3</v>
      </c>
      <c r="K8" s="18">
        <f>+J8+1</f>
        <v>4</v>
      </c>
      <c r="L8" s="18">
        <f>+K8+2</f>
        <v>6</v>
      </c>
      <c r="M8" s="18">
        <f t="shared" si="0"/>
        <v>7</v>
      </c>
      <c r="N8" s="18">
        <f t="shared" si="0"/>
        <v>8</v>
      </c>
      <c r="O8" s="18">
        <f t="shared" si="0"/>
        <v>9</v>
      </c>
      <c r="P8" s="18">
        <f t="shared" si="0"/>
        <v>10</v>
      </c>
      <c r="Q8" s="18">
        <f t="shared" si="0"/>
        <v>11</v>
      </c>
      <c r="R8" s="18">
        <f>+Q8+2</f>
        <v>13</v>
      </c>
      <c r="S8" s="18">
        <f t="shared" si="0"/>
        <v>14</v>
      </c>
      <c r="T8" s="29">
        <f t="shared" si="0"/>
        <v>15</v>
      </c>
      <c r="U8" s="18">
        <f t="shared" si="0"/>
        <v>16</v>
      </c>
      <c r="V8" s="18">
        <f t="shared" si="0"/>
        <v>17</v>
      </c>
      <c r="W8" s="18">
        <f t="shared" si="0"/>
        <v>18</v>
      </c>
      <c r="X8" s="18">
        <f>+W8+2</f>
        <v>20</v>
      </c>
      <c r="Y8" s="18">
        <f t="shared" si="0"/>
        <v>21</v>
      </c>
      <c r="Z8" s="18">
        <f t="shared" si="0"/>
        <v>22</v>
      </c>
      <c r="AA8" s="18">
        <f t="shared" si="0"/>
        <v>23</v>
      </c>
      <c r="AB8" s="18">
        <f t="shared" si="0"/>
        <v>24</v>
      </c>
      <c r="AC8" s="18">
        <f t="shared" si="0"/>
        <v>25</v>
      </c>
      <c r="AD8" s="18">
        <f>+AC8+2</f>
        <v>27</v>
      </c>
      <c r="AE8" s="18">
        <f t="shared" ref="AE8:AI8" si="1">+AD8+1</f>
        <v>28</v>
      </c>
      <c r="AF8" s="18">
        <f t="shared" si="1"/>
        <v>29</v>
      </c>
      <c r="AG8" s="18">
        <f t="shared" si="1"/>
        <v>30</v>
      </c>
      <c r="AH8" s="18">
        <f t="shared" si="1"/>
        <v>31</v>
      </c>
      <c r="AI8" s="18">
        <f t="shared" si="1"/>
        <v>32</v>
      </c>
      <c r="AJ8" s="18">
        <f t="shared" ref="AJ8" si="2">+AI8+2</f>
        <v>34</v>
      </c>
      <c r="AK8" s="18">
        <f t="shared" ref="AK8:AO8" si="3">+AJ8+1</f>
        <v>35</v>
      </c>
      <c r="AL8" s="18">
        <f t="shared" si="3"/>
        <v>36</v>
      </c>
      <c r="AM8" s="18">
        <f t="shared" si="3"/>
        <v>37</v>
      </c>
      <c r="AN8" s="18">
        <f t="shared" si="3"/>
        <v>38</v>
      </c>
      <c r="AO8" s="18">
        <f t="shared" si="3"/>
        <v>39</v>
      </c>
      <c r="AP8" s="18">
        <f t="shared" ref="AP8" si="4">+AO8+2</f>
        <v>41</v>
      </c>
      <c r="AQ8" s="18">
        <f t="shared" ref="AQ8:AU8" si="5">+AP8+1</f>
        <v>42</v>
      </c>
      <c r="AR8" s="18">
        <f t="shared" si="5"/>
        <v>43</v>
      </c>
      <c r="AS8" s="18">
        <f t="shared" si="5"/>
        <v>44</v>
      </c>
      <c r="AT8" s="18">
        <f t="shared" si="5"/>
        <v>45</v>
      </c>
      <c r="AU8" s="18">
        <f t="shared" si="5"/>
        <v>46</v>
      </c>
      <c r="AV8" s="18">
        <f t="shared" ref="AV8" si="6">+AU8+2</f>
        <v>48</v>
      </c>
      <c r="AW8" s="18">
        <f t="shared" ref="AW8:BA8" si="7">+AV8+1</f>
        <v>49</v>
      </c>
      <c r="AX8" s="18">
        <f t="shared" si="7"/>
        <v>50</v>
      </c>
      <c r="AY8" s="18">
        <f t="shared" si="7"/>
        <v>51</v>
      </c>
      <c r="AZ8" s="18">
        <f t="shared" si="7"/>
        <v>52</v>
      </c>
      <c r="BA8" s="18">
        <f t="shared" si="7"/>
        <v>53</v>
      </c>
      <c r="BB8" s="18">
        <f t="shared" ref="BB8" si="8">+BA8+2</f>
        <v>55</v>
      </c>
      <c r="BC8" s="18">
        <f t="shared" ref="BC8:BG8" si="9">+BB8+1</f>
        <v>56</v>
      </c>
      <c r="BD8" s="18">
        <f t="shared" si="9"/>
        <v>57</v>
      </c>
      <c r="BE8" s="18">
        <f t="shared" si="9"/>
        <v>58</v>
      </c>
      <c r="BF8" s="18">
        <f t="shared" si="9"/>
        <v>59</v>
      </c>
      <c r="BG8" s="18">
        <f t="shared" si="9"/>
        <v>60</v>
      </c>
      <c r="BH8" s="18">
        <v>60</v>
      </c>
      <c r="BI8" s="18">
        <v>60</v>
      </c>
      <c r="BJ8" s="18">
        <v>60</v>
      </c>
      <c r="BK8" s="18">
        <v>60</v>
      </c>
      <c r="BL8" s="18">
        <v>60</v>
      </c>
      <c r="BM8" s="18">
        <v>60</v>
      </c>
      <c r="BN8" s="18">
        <v>60</v>
      </c>
      <c r="BO8" s="18">
        <v>60</v>
      </c>
      <c r="BP8" s="18">
        <v>60</v>
      </c>
      <c r="BQ8" s="18">
        <v>60</v>
      </c>
      <c r="BR8" s="18">
        <v>60</v>
      </c>
      <c r="BS8" s="18">
        <v>60</v>
      </c>
      <c r="BT8" s="18">
        <v>60</v>
      </c>
      <c r="BU8" s="18">
        <v>60</v>
      </c>
      <c r="BV8" s="18">
        <v>60</v>
      </c>
      <c r="BW8" s="18">
        <v>60</v>
      </c>
      <c r="BX8" s="18">
        <v>60</v>
      </c>
      <c r="BY8" s="18">
        <v>60</v>
      </c>
      <c r="BZ8" s="18">
        <v>60</v>
      </c>
      <c r="CA8" s="18">
        <v>60</v>
      </c>
      <c r="CB8" s="18">
        <v>60</v>
      </c>
      <c r="CC8" s="18">
        <v>60</v>
      </c>
      <c r="CD8" s="18">
        <v>60</v>
      </c>
      <c r="CE8" s="18">
        <v>60</v>
      </c>
      <c r="CF8" s="18">
        <v>60</v>
      </c>
      <c r="CG8" s="18">
        <v>60</v>
      </c>
      <c r="CH8" s="18">
        <v>60</v>
      </c>
      <c r="CI8" s="18">
        <v>60</v>
      </c>
      <c r="CJ8" s="18">
        <v>60</v>
      </c>
      <c r="CK8" s="18">
        <v>60</v>
      </c>
      <c r="CL8" s="18">
        <v>60</v>
      </c>
      <c r="CM8" s="18">
        <v>60</v>
      </c>
      <c r="CN8" s="18">
        <v>60</v>
      </c>
      <c r="CO8" s="18">
        <v>60</v>
      </c>
      <c r="CP8" s="18">
        <v>60</v>
      </c>
      <c r="CQ8" s="18">
        <v>60</v>
      </c>
      <c r="CR8" s="18">
        <v>62</v>
      </c>
      <c r="CS8" s="18">
        <f t="shared" ref="CS8" si="10">+CR8+1</f>
        <v>63</v>
      </c>
      <c r="CT8" s="18">
        <f t="shared" ref="CT8" si="11">+CS8+1</f>
        <v>64</v>
      </c>
      <c r="CU8" s="18">
        <f t="shared" ref="CU8" si="12">+CT8+1</f>
        <v>65</v>
      </c>
      <c r="CV8" s="18">
        <f t="shared" ref="CV8" si="13">+CU8+1</f>
        <v>66</v>
      </c>
      <c r="CW8" s="18">
        <f t="shared" ref="CW8" si="14">+CV8+1</f>
        <v>67</v>
      </c>
      <c r="CX8" s="18">
        <f t="shared" ref="CX8" si="15">+CW8+2</f>
        <v>69</v>
      </c>
      <c r="CY8" s="18">
        <f t="shared" ref="CY8:DC8" si="16">+CX8+1</f>
        <v>70</v>
      </c>
      <c r="CZ8" s="18">
        <f t="shared" si="16"/>
        <v>71</v>
      </c>
      <c r="DA8" s="18">
        <f t="shared" si="16"/>
        <v>72</v>
      </c>
      <c r="DB8" s="18">
        <f t="shared" si="16"/>
        <v>73</v>
      </c>
      <c r="DC8" s="18">
        <f t="shared" si="16"/>
        <v>74</v>
      </c>
      <c r="DD8" s="18">
        <f t="shared" ref="DD8" si="17">+DC8+2</f>
        <v>76</v>
      </c>
      <c r="DE8" s="18">
        <f t="shared" ref="DE8:DI8" si="18">+DD8+1</f>
        <v>77</v>
      </c>
      <c r="DF8" s="18">
        <f t="shared" si="18"/>
        <v>78</v>
      </c>
      <c r="DG8" s="18">
        <f t="shared" si="18"/>
        <v>79</v>
      </c>
      <c r="DH8" s="18">
        <f t="shared" si="18"/>
        <v>80</v>
      </c>
      <c r="DI8" s="18">
        <f t="shared" si="18"/>
        <v>81</v>
      </c>
      <c r="DJ8" s="18">
        <f t="shared" ref="DJ8" si="19">+DI8+2</f>
        <v>83</v>
      </c>
      <c r="DK8" s="18">
        <f t="shared" ref="DK8:DO8" si="20">+DJ8+1</f>
        <v>84</v>
      </c>
      <c r="DL8" s="18">
        <f t="shared" si="20"/>
        <v>85</v>
      </c>
      <c r="DM8" s="18">
        <f t="shared" si="20"/>
        <v>86</v>
      </c>
      <c r="DN8" s="18">
        <f t="shared" si="20"/>
        <v>87</v>
      </c>
      <c r="DO8" s="18">
        <f t="shared" si="20"/>
        <v>88</v>
      </c>
      <c r="DP8" s="18">
        <f t="shared" ref="DP8" si="21">+DO8+2</f>
        <v>90</v>
      </c>
      <c r="DQ8" s="18">
        <f t="shared" ref="DQ8:DU8" si="22">+DP8+1</f>
        <v>91</v>
      </c>
      <c r="DR8" s="18">
        <f t="shared" si="22"/>
        <v>92</v>
      </c>
      <c r="DS8" s="18">
        <f t="shared" si="22"/>
        <v>93</v>
      </c>
      <c r="DT8" s="18">
        <f t="shared" si="22"/>
        <v>94</v>
      </c>
      <c r="DU8" s="18">
        <f t="shared" si="22"/>
        <v>95</v>
      </c>
      <c r="DV8" s="18">
        <f t="shared" ref="DV8" si="23">+DU8+2</f>
        <v>97</v>
      </c>
      <c r="DW8" s="18">
        <f t="shared" ref="DW8:EA8" si="24">+DV8+1</f>
        <v>98</v>
      </c>
      <c r="DX8" s="18">
        <f t="shared" si="24"/>
        <v>99</v>
      </c>
      <c r="DY8" s="18">
        <f t="shared" si="24"/>
        <v>100</v>
      </c>
      <c r="DZ8" s="18">
        <f t="shared" si="24"/>
        <v>101</v>
      </c>
      <c r="EA8" s="18">
        <f t="shared" si="24"/>
        <v>102</v>
      </c>
      <c r="EB8" s="18">
        <f t="shared" ref="EB8" si="25">+EA8+2</f>
        <v>104</v>
      </c>
      <c r="EC8" s="18">
        <f t="shared" ref="EC8:EG8" si="26">+EB8+1</f>
        <v>105</v>
      </c>
      <c r="ED8" s="18">
        <f t="shared" si="26"/>
        <v>106</v>
      </c>
      <c r="EE8" s="18">
        <f t="shared" si="26"/>
        <v>107</v>
      </c>
      <c r="EF8" s="18">
        <f t="shared" si="26"/>
        <v>108</v>
      </c>
      <c r="EG8" s="18">
        <f t="shared" si="26"/>
        <v>109</v>
      </c>
      <c r="EH8" s="18">
        <f t="shared" ref="EH8" si="27">+EG8+2</f>
        <v>111</v>
      </c>
      <c r="EI8" s="18">
        <f t="shared" ref="EI8:EM8" si="28">+EH8+1</f>
        <v>112</v>
      </c>
      <c r="EJ8" s="18">
        <f t="shared" si="28"/>
        <v>113</v>
      </c>
      <c r="EK8" s="18">
        <f t="shared" si="28"/>
        <v>114</v>
      </c>
      <c r="EL8" s="18">
        <f t="shared" si="28"/>
        <v>115</v>
      </c>
      <c r="EM8" s="18">
        <f t="shared" si="28"/>
        <v>116</v>
      </c>
      <c r="EN8" s="18">
        <f t="shared" ref="EN8" si="29">+EM8+2</f>
        <v>118</v>
      </c>
      <c r="EO8" s="18">
        <f t="shared" ref="EO8:ES8" si="30">+EN8+1</f>
        <v>119</v>
      </c>
      <c r="EP8" s="18">
        <f t="shared" si="30"/>
        <v>120</v>
      </c>
      <c r="EQ8" s="18">
        <f t="shared" si="30"/>
        <v>121</v>
      </c>
      <c r="ER8" s="18">
        <f t="shared" si="30"/>
        <v>122</v>
      </c>
      <c r="ES8" s="18">
        <f t="shared" si="30"/>
        <v>123</v>
      </c>
      <c r="ET8" s="18">
        <f t="shared" ref="ET8" si="31">+ES8+2</f>
        <v>125</v>
      </c>
      <c r="EU8" s="18">
        <f t="shared" ref="EU8:EY8" si="32">+ET8+1</f>
        <v>126</v>
      </c>
      <c r="EV8" s="18">
        <f t="shared" si="32"/>
        <v>127</v>
      </c>
      <c r="EW8" s="18">
        <f t="shared" si="32"/>
        <v>128</v>
      </c>
      <c r="EX8" s="18">
        <f t="shared" si="32"/>
        <v>129</v>
      </c>
      <c r="EY8" s="18">
        <f t="shared" si="32"/>
        <v>130</v>
      </c>
      <c r="EZ8" s="18">
        <f t="shared" ref="EZ8" si="33">+EY8+2</f>
        <v>132</v>
      </c>
      <c r="FA8" s="18">
        <f t="shared" ref="FA8:FE8" si="34">+EZ8+1</f>
        <v>133</v>
      </c>
      <c r="FB8" s="18">
        <f t="shared" si="34"/>
        <v>134</v>
      </c>
      <c r="FC8" s="18">
        <f t="shared" si="34"/>
        <v>135</v>
      </c>
      <c r="FD8" s="18">
        <f t="shared" si="34"/>
        <v>136</v>
      </c>
      <c r="FE8" s="18">
        <f t="shared" si="34"/>
        <v>137</v>
      </c>
      <c r="FF8" s="18">
        <f t="shared" ref="FF8" si="35">+FE8+2</f>
        <v>139</v>
      </c>
      <c r="FG8" s="18">
        <f t="shared" ref="FG8:FK8" si="36">+FF8+1</f>
        <v>140</v>
      </c>
      <c r="FH8" s="18">
        <f t="shared" si="36"/>
        <v>141</v>
      </c>
      <c r="FI8" s="18">
        <f t="shared" si="36"/>
        <v>142</v>
      </c>
      <c r="FJ8" s="18">
        <f t="shared" si="36"/>
        <v>143</v>
      </c>
      <c r="FK8" s="18">
        <f t="shared" si="36"/>
        <v>144</v>
      </c>
      <c r="FL8" s="18">
        <f t="shared" ref="FL8" si="37">+FK8+2</f>
        <v>146</v>
      </c>
      <c r="FM8" s="18">
        <f t="shared" ref="FM8:FQ8" si="38">+FL8+1</f>
        <v>147</v>
      </c>
      <c r="FN8" s="18">
        <f t="shared" si="38"/>
        <v>148</v>
      </c>
      <c r="FO8" s="18">
        <f t="shared" si="38"/>
        <v>149</v>
      </c>
      <c r="FP8" s="18">
        <f t="shared" si="38"/>
        <v>150</v>
      </c>
      <c r="FQ8" s="18">
        <f t="shared" si="38"/>
        <v>151</v>
      </c>
      <c r="FR8" s="18">
        <f t="shared" ref="FR8" si="39">+FQ8+2</f>
        <v>153</v>
      </c>
      <c r="FS8" s="18">
        <f t="shared" ref="FS8:FW8" si="40">+FR8+1</f>
        <v>154</v>
      </c>
      <c r="FT8" s="18">
        <f t="shared" si="40"/>
        <v>155</v>
      </c>
      <c r="FU8" s="18">
        <f t="shared" si="40"/>
        <v>156</v>
      </c>
      <c r="FV8" s="18">
        <f t="shared" si="40"/>
        <v>157</v>
      </c>
      <c r="FW8" s="18">
        <f t="shared" si="40"/>
        <v>158</v>
      </c>
      <c r="FX8" s="18">
        <f>+FW8+2</f>
        <v>160</v>
      </c>
      <c r="FY8" s="18">
        <f t="shared" ref="FY8:GC8" si="41">+FX8+1</f>
        <v>161</v>
      </c>
      <c r="FZ8" s="18">
        <f t="shared" si="41"/>
        <v>162</v>
      </c>
      <c r="GA8" s="18">
        <f t="shared" si="41"/>
        <v>163</v>
      </c>
      <c r="GB8" s="18">
        <f t="shared" si="41"/>
        <v>164</v>
      </c>
      <c r="GC8" s="18">
        <f t="shared" si="41"/>
        <v>165</v>
      </c>
      <c r="GD8" s="18">
        <f>+GC8+2</f>
        <v>167</v>
      </c>
      <c r="GE8" s="18">
        <f t="shared" ref="GE8" si="42">+GD8+1</f>
        <v>168</v>
      </c>
      <c r="GF8" s="18">
        <f t="shared" ref="GF8" si="43">+GE8+1</f>
        <v>169</v>
      </c>
      <c r="GG8" s="18">
        <f t="shared" ref="GG8" si="44">+GF8+1</f>
        <v>170</v>
      </c>
      <c r="GH8" s="18">
        <f t="shared" ref="GH8" si="45">+GG8+1</f>
        <v>171</v>
      </c>
      <c r="GI8" s="18">
        <f t="shared" ref="GI8" si="46">+GH8+1</f>
        <v>172</v>
      </c>
      <c r="GJ8" s="18">
        <f>+GI8+2</f>
        <v>174</v>
      </c>
      <c r="GK8" s="18">
        <f t="shared" ref="GK8" si="47">+GJ8+1</f>
        <v>175</v>
      </c>
      <c r="GL8" s="18">
        <f t="shared" ref="GL8" si="48">+GK8+1</f>
        <v>176</v>
      </c>
      <c r="GM8" s="18">
        <f t="shared" ref="GM8" si="49">+GL8+1</f>
        <v>177</v>
      </c>
      <c r="GN8" s="18">
        <f t="shared" ref="GN8" si="50">+GM8+1</f>
        <v>178</v>
      </c>
      <c r="GO8" s="18">
        <f t="shared" ref="GO8" si="51">+GN8+1</f>
        <v>179</v>
      </c>
      <c r="GP8" s="18">
        <f>+GO8+2</f>
        <v>181</v>
      </c>
      <c r="GQ8" s="18">
        <f t="shared" ref="GQ8" si="52">+GP8+1</f>
        <v>182</v>
      </c>
      <c r="GR8" s="18">
        <f t="shared" ref="GR8" si="53">+GQ8+1</f>
        <v>183</v>
      </c>
      <c r="GS8" s="18">
        <f t="shared" ref="GS8" si="54">+GR8+1</f>
        <v>184</v>
      </c>
      <c r="GT8" s="18">
        <f t="shared" ref="GT8" si="55">+GS8+1</f>
        <v>185</v>
      </c>
      <c r="GU8" s="18">
        <f t="shared" ref="GU8" si="56">+GT8+1</f>
        <v>186</v>
      </c>
      <c r="GV8" s="18">
        <f t="shared" ref="GV8" si="57">+GU8+2</f>
        <v>188</v>
      </c>
      <c r="GW8" s="18">
        <f t="shared" ref="GW8" si="58">+GV8+1</f>
        <v>189</v>
      </c>
      <c r="GX8" s="18">
        <f t="shared" ref="GX8" si="59">+GW8+1</f>
        <v>190</v>
      </c>
      <c r="GY8" s="18">
        <f t="shared" ref="GY8" si="60">+GX8+1</f>
        <v>191</v>
      </c>
      <c r="GZ8" s="18">
        <f t="shared" ref="GZ8" si="61">+GY8+1</f>
        <v>192</v>
      </c>
      <c r="HA8" s="18">
        <f t="shared" ref="HA8" si="62">+GZ8+1</f>
        <v>193</v>
      </c>
      <c r="HB8" s="18">
        <f t="shared" ref="HB8" si="63">+HA8+2</f>
        <v>195</v>
      </c>
      <c r="HC8" s="18">
        <f t="shared" ref="HC8" si="64">+HB8+1</f>
        <v>196</v>
      </c>
      <c r="HD8" s="18">
        <f t="shared" ref="HD8" si="65">+HC8+1</f>
        <v>197</v>
      </c>
      <c r="HE8" s="18">
        <f t="shared" ref="HE8" si="66">+HD8+1</f>
        <v>198</v>
      </c>
      <c r="HF8" s="18">
        <f t="shared" ref="HF8" si="67">+HE8+1</f>
        <v>199</v>
      </c>
      <c r="HG8" s="18">
        <f t="shared" ref="HG8" si="68">+HF8+1</f>
        <v>200</v>
      </c>
      <c r="HH8" s="18">
        <f t="shared" ref="HH8" si="69">+HG8+2</f>
        <v>202</v>
      </c>
      <c r="HI8" s="18">
        <f t="shared" ref="HI8" si="70">+HH8+1</f>
        <v>203</v>
      </c>
      <c r="HJ8" s="18">
        <f t="shared" ref="HJ8" si="71">+HI8+1</f>
        <v>204</v>
      </c>
      <c r="HK8" s="18">
        <f t="shared" ref="HK8" si="72">+HJ8+1</f>
        <v>205</v>
      </c>
      <c r="HL8" s="18">
        <f t="shared" ref="HL8" si="73">+HK8+1</f>
        <v>206</v>
      </c>
      <c r="HM8" s="18">
        <f t="shared" ref="HM8" si="74">+HL8+1</f>
        <v>207</v>
      </c>
      <c r="HN8" s="18">
        <f t="shared" ref="HN8" si="75">+HM8+2</f>
        <v>209</v>
      </c>
      <c r="HO8" s="18">
        <f t="shared" ref="HO8" si="76">+HN8+1</f>
        <v>210</v>
      </c>
      <c r="HP8" s="18">
        <f t="shared" ref="HP8" si="77">+HO8+1</f>
        <v>211</v>
      </c>
      <c r="HQ8" s="18">
        <f t="shared" ref="HQ8" si="78">+HP8+1</f>
        <v>212</v>
      </c>
      <c r="HR8" s="18">
        <f t="shared" ref="HR8" si="79">+HQ8+1</f>
        <v>213</v>
      </c>
      <c r="HS8" s="18">
        <f t="shared" ref="HS8" si="80">+HR8+1</f>
        <v>214</v>
      </c>
      <c r="HT8" s="18">
        <f t="shared" ref="HT8" si="81">+HS8+2</f>
        <v>216</v>
      </c>
      <c r="HU8" s="18">
        <f t="shared" ref="HU8" si="82">+HT8+1</f>
        <v>217</v>
      </c>
      <c r="HV8" s="18">
        <f t="shared" ref="HV8" si="83">+HU8+1</f>
        <v>218</v>
      </c>
      <c r="HW8" s="18">
        <f t="shared" ref="HW8" si="84">+HV8+1</f>
        <v>219</v>
      </c>
      <c r="HX8" s="18">
        <f t="shared" ref="HX8" si="85">+HW8+1</f>
        <v>220</v>
      </c>
      <c r="HY8" s="18">
        <f t="shared" ref="HY8" si="86">+HX8+1</f>
        <v>221</v>
      </c>
      <c r="HZ8" s="18">
        <f t="shared" ref="HZ8" si="87">+HY8+2</f>
        <v>223</v>
      </c>
      <c r="IA8" s="18">
        <f t="shared" ref="IA8" si="88">+HZ8+1</f>
        <v>224</v>
      </c>
      <c r="IB8" s="18">
        <f t="shared" ref="IB8" si="89">+IA8+1</f>
        <v>225</v>
      </c>
      <c r="IC8" s="18">
        <f t="shared" ref="IC8" si="90">+IB8+1</f>
        <v>226</v>
      </c>
      <c r="ID8" s="18">
        <f t="shared" ref="ID8" si="91">+IC8+1</f>
        <v>227</v>
      </c>
      <c r="IE8" s="18">
        <f t="shared" ref="IE8" si="92">+ID8+1</f>
        <v>228</v>
      </c>
      <c r="IF8" s="18">
        <f t="shared" ref="IF8" si="93">+IE8+2</f>
        <v>230</v>
      </c>
      <c r="IG8" s="18">
        <f t="shared" ref="IG8" si="94">+IF8+1</f>
        <v>231</v>
      </c>
      <c r="IH8" s="18">
        <f t="shared" ref="IH8" si="95">+IG8+1</f>
        <v>232</v>
      </c>
      <c r="II8" s="18">
        <f t="shared" ref="II8" si="96">+IH8+1</f>
        <v>233</v>
      </c>
      <c r="IJ8" s="18">
        <f t="shared" ref="IJ8" si="97">+II8+1</f>
        <v>234</v>
      </c>
      <c r="IK8" s="18">
        <f t="shared" ref="IK8" si="98">+IJ8+1</f>
        <v>235</v>
      </c>
      <c r="IL8" s="18">
        <f t="shared" ref="IL8" si="99">+IK8+2</f>
        <v>237</v>
      </c>
      <c r="IM8" s="18">
        <f t="shared" ref="IM8" si="100">+IL8+1</f>
        <v>238</v>
      </c>
      <c r="IN8" s="18">
        <f t="shared" ref="IN8" si="101">+IM8+1</f>
        <v>239</v>
      </c>
      <c r="IO8" s="18">
        <f t="shared" ref="IO8" si="102">+IN8+1</f>
        <v>240</v>
      </c>
      <c r="IP8" s="18">
        <f t="shared" ref="IP8" si="103">+IO8+1</f>
        <v>241</v>
      </c>
      <c r="IQ8" s="18">
        <f t="shared" ref="IQ8" si="104">+IP8+1</f>
        <v>242</v>
      </c>
      <c r="IR8" s="18">
        <f t="shared" ref="IR8" si="105">+IQ8+2</f>
        <v>244</v>
      </c>
      <c r="IS8" s="18">
        <f t="shared" ref="IS8" si="106">+IR8+1</f>
        <v>245</v>
      </c>
      <c r="IT8" s="18">
        <f t="shared" ref="IT8" si="107">+IS8+1</f>
        <v>246</v>
      </c>
      <c r="IU8" s="18">
        <f t="shared" ref="IU8" si="108">+IT8+1</f>
        <v>247</v>
      </c>
      <c r="IV8" s="18">
        <f t="shared" ref="IV8" si="109">+IU8+1</f>
        <v>248</v>
      </c>
      <c r="IW8" s="18">
        <f t="shared" ref="IW8" si="110">+IV8+1</f>
        <v>249</v>
      </c>
    </row>
    <row r="9" spans="1:257" ht="15" customHeight="1">
      <c r="B9" s="69" t="s">
        <v>10</v>
      </c>
      <c r="C9" s="68"/>
      <c r="D9" s="64" t="s">
        <v>4</v>
      </c>
      <c r="F9" s="19">
        <f t="shared" ref="F9:BQ9" si="111">F10</f>
        <v>43843</v>
      </c>
      <c r="G9" s="19">
        <f t="shared" si="111"/>
        <v>43844</v>
      </c>
      <c r="H9" s="19">
        <f t="shared" si="111"/>
        <v>43845</v>
      </c>
      <c r="I9" s="19">
        <f t="shared" si="111"/>
        <v>43846</v>
      </c>
      <c r="J9" s="19">
        <f t="shared" si="111"/>
        <v>43847</v>
      </c>
      <c r="K9" s="19">
        <f t="shared" si="111"/>
        <v>43848</v>
      </c>
      <c r="L9" s="19">
        <f t="shared" si="111"/>
        <v>43850</v>
      </c>
      <c r="M9" s="19">
        <f t="shared" si="111"/>
        <v>43851</v>
      </c>
      <c r="N9" s="19">
        <f t="shared" si="111"/>
        <v>43852</v>
      </c>
      <c r="O9" s="19">
        <f t="shared" si="111"/>
        <v>43853</v>
      </c>
      <c r="P9" s="19">
        <f t="shared" si="111"/>
        <v>43854</v>
      </c>
      <c r="Q9" s="19">
        <f t="shared" si="111"/>
        <v>43855</v>
      </c>
      <c r="R9" s="19">
        <f t="shared" si="111"/>
        <v>43857</v>
      </c>
      <c r="S9" s="19">
        <f t="shared" si="111"/>
        <v>43858</v>
      </c>
      <c r="T9" s="50">
        <f t="shared" si="111"/>
        <v>43859</v>
      </c>
      <c r="U9" s="19">
        <f t="shared" si="111"/>
        <v>43860</v>
      </c>
      <c r="V9" s="19">
        <f t="shared" si="111"/>
        <v>43861</v>
      </c>
      <c r="W9" s="19">
        <f t="shared" si="111"/>
        <v>43862</v>
      </c>
      <c r="X9" s="19">
        <f t="shared" si="111"/>
        <v>43864</v>
      </c>
      <c r="Y9" s="19">
        <f t="shared" si="111"/>
        <v>43865</v>
      </c>
      <c r="Z9" s="19">
        <f t="shared" si="111"/>
        <v>43866</v>
      </c>
      <c r="AA9" s="19">
        <f t="shared" si="111"/>
        <v>43867</v>
      </c>
      <c r="AB9" s="19">
        <f t="shared" si="111"/>
        <v>43868</v>
      </c>
      <c r="AC9" s="19">
        <f t="shared" si="111"/>
        <v>43869</v>
      </c>
      <c r="AD9" s="19">
        <f t="shared" si="111"/>
        <v>43871</v>
      </c>
      <c r="AE9" s="19">
        <f t="shared" si="111"/>
        <v>43872</v>
      </c>
      <c r="AF9" s="19">
        <f t="shared" si="111"/>
        <v>43873</v>
      </c>
      <c r="AG9" s="19">
        <f t="shared" si="111"/>
        <v>43874</v>
      </c>
      <c r="AH9" s="19">
        <f t="shared" si="111"/>
        <v>43875</v>
      </c>
      <c r="AI9" s="19">
        <f t="shared" si="111"/>
        <v>43876</v>
      </c>
      <c r="AJ9" s="19">
        <f t="shared" si="111"/>
        <v>43878</v>
      </c>
      <c r="AK9" s="19">
        <f t="shared" si="111"/>
        <v>43879</v>
      </c>
      <c r="AL9" s="19">
        <f t="shared" si="111"/>
        <v>43880</v>
      </c>
      <c r="AM9" s="19">
        <f t="shared" si="111"/>
        <v>43881</v>
      </c>
      <c r="AN9" s="19">
        <f t="shared" si="111"/>
        <v>43882</v>
      </c>
      <c r="AO9" s="19">
        <f t="shared" si="111"/>
        <v>43883</v>
      </c>
      <c r="AP9" s="19">
        <f t="shared" si="111"/>
        <v>43885</v>
      </c>
      <c r="AQ9" s="19">
        <f t="shared" si="111"/>
        <v>43886</v>
      </c>
      <c r="AR9" s="19">
        <f t="shared" si="111"/>
        <v>43887</v>
      </c>
      <c r="AS9" s="19">
        <f t="shared" si="111"/>
        <v>43888</v>
      </c>
      <c r="AT9" s="19">
        <f t="shared" si="111"/>
        <v>43889</v>
      </c>
      <c r="AU9" s="19">
        <f t="shared" si="111"/>
        <v>43890</v>
      </c>
      <c r="AV9" s="19">
        <f t="shared" si="111"/>
        <v>43892</v>
      </c>
      <c r="AW9" s="19">
        <f t="shared" si="111"/>
        <v>43893</v>
      </c>
      <c r="AX9" s="19">
        <f t="shared" si="111"/>
        <v>43894</v>
      </c>
      <c r="AY9" s="19">
        <f t="shared" si="111"/>
        <v>43895</v>
      </c>
      <c r="AZ9" s="19">
        <f t="shared" si="111"/>
        <v>43896</v>
      </c>
      <c r="BA9" s="19">
        <f t="shared" si="111"/>
        <v>43897</v>
      </c>
      <c r="BB9" s="19">
        <f t="shared" si="111"/>
        <v>43899</v>
      </c>
      <c r="BC9" s="19">
        <f t="shared" si="111"/>
        <v>43900</v>
      </c>
      <c r="BD9" s="19">
        <f t="shared" si="111"/>
        <v>43901</v>
      </c>
      <c r="BE9" s="19">
        <f t="shared" si="111"/>
        <v>43902</v>
      </c>
      <c r="BF9" s="19">
        <f t="shared" si="111"/>
        <v>43903</v>
      </c>
      <c r="BG9" s="19">
        <f t="shared" si="111"/>
        <v>43904</v>
      </c>
      <c r="BH9" s="19">
        <f t="shared" si="111"/>
        <v>43906</v>
      </c>
      <c r="BI9" s="19">
        <f t="shared" si="111"/>
        <v>43907</v>
      </c>
      <c r="BJ9" s="19">
        <f t="shared" si="111"/>
        <v>43908</v>
      </c>
      <c r="BK9" s="19">
        <f t="shared" si="111"/>
        <v>43909</v>
      </c>
      <c r="BL9" s="19">
        <f t="shared" si="111"/>
        <v>43910</v>
      </c>
      <c r="BM9" s="19">
        <f t="shared" si="111"/>
        <v>43911</v>
      </c>
      <c r="BN9" s="19">
        <f t="shared" si="111"/>
        <v>43913</v>
      </c>
      <c r="BO9" s="19">
        <f t="shared" si="111"/>
        <v>43914</v>
      </c>
      <c r="BP9" s="19">
        <f t="shared" si="111"/>
        <v>43915</v>
      </c>
      <c r="BQ9" s="19">
        <f t="shared" si="111"/>
        <v>43916</v>
      </c>
      <c r="BR9" s="19">
        <f t="shared" ref="BR9:EC9" si="112">BR10</f>
        <v>43917</v>
      </c>
      <c r="BS9" s="19">
        <f t="shared" si="112"/>
        <v>43918</v>
      </c>
      <c r="BT9" s="19">
        <f t="shared" si="112"/>
        <v>43920</v>
      </c>
      <c r="BU9" s="19">
        <f t="shared" si="112"/>
        <v>43921</v>
      </c>
      <c r="BV9" s="19">
        <f t="shared" si="112"/>
        <v>43922</v>
      </c>
      <c r="BW9" s="19">
        <f t="shared" si="112"/>
        <v>43923</v>
      </c>
      <c r="BX9" s="19">
        <f t="shared" si="112"/>
        <v>43924</v>
      </c>
      <c r="BY9" s="19">
        <f t="shared" si="112"/>
        <v>43925</v>
      </c>
      <c r="BZ9" s="19">
        <f t="shared" si="112"/>
        <v>43927</v>
      </c>
      <c r="CA9" s="19">
        <f t="shared" si="112"/>
        <v>43928</v>
      </c>
      <c r="CB9" s="19">
        <f t="shared" si="112"/>
        <v>43929</v>
      </c>
      <c r="CC9" s="19">
        <f t="shared" si="112"/>
        <v>43930</v>
      </c>
      <c r="CD9" s="19">
        <f t="shared" si="112"/>
        <v>43931</v>
      </c>
      <c r="CE9" s="19">
        <f t="shared" si="112"/>
        <v>43932</v>
      </c>
      <c r="CF9" s="19">
        <f t="shared" si="112"/>
        <v>43934</v>
      </c>
      <c r="CG9" s="19">
        <f t="shared" si="112"/>
        <v>43935</v>
      </c>
      <c r="CH9" s="19">
        <f t="shared" si="112"/>
        <v>43936</v>
      </c>
      <c r="CI9" s="19">
        <f t="shared" si="112"/>
        <v>43937</v>
      </c>
      <c r="CJ9" s="19">
        <f t="shared" si="112"/>
        <v>43938</v>
      </c>
      <c r="CK9" s="19">
        <f t="shared" si="112"/>
        <v>43939</v>
      </c>
      <c r="CL9" s="19">
        <f t="shared" si="112"/>
        <v>43941</v>
      </c>
      <c r="CM9" s="19">
        <f t="shared" si="112"/>
        <v>43942</v>
      </c>
      <c r="CN9" s="19">
        <f t="shared" si="112"/>
        <v>43943</v>
      </c>
      <c r="CO9" s="19">
        <f t="shared" si="112"/>
        <v>43944</v>
      </c>
      <c r="CP9" s="19">
        <f t="shared" si="112"/>
        <v>43945</v>
      </c>
      <c r="CQ9" s="19">
        <f t="shared" si="112"/>
        <v>43946</v>
      </c>
      <c r="CR9" s="19">
        <f t="shared" si="112"/>
        <v>43948</v>
      </c>
      <c r="CS9" s="19">
        <f t="shared" si="112"/>
        <v>43949</v>
      </c>
      <c r="CT9" s="19">
        <f t="shared" si="112"/>
        <v>43950</v>
      </c>
      <c r="CU9" s="19">
        <f t="shared" si="112"/>
        <v>43951</v>
      </c>
      <c r="CV9" s="19">
        <f t="shared" si="112"/>
        <v>43952</v>
      </c>
      <c r="CW9" s="19">
        <f t="shared" si="112"/>
        <v>43953</v>
      </c>
      <c r="CX9" s="19">
        <f t="shared" si="112"/>
        <v>43955</v>
      </c>
      <c r="CY9" s="19">
        <f t="shared" si="112"/>
        <v>43956</v>
      </c>
      <c r="CZ9" s="19">
        <f t="shared" si="112"/>
        <v>43957</v>
      </c>
      <c r="DA9" s="19">
        <f t="shared" si="112"/>
        <v>43958</v>
      </c>
      <c r="DB9" s="19">
        <f t="shared" si="112"/>
        <v>43959</v>
      </c>
      <c r="DC9" s="19">
        <f t="shared" si="112"/>
        <v>43960</v>
      </c>
      <c r="DD9" s="19">
        <f t="shared" si="112"/>
        <v>43962</v>
      </c>
      <c r="DE9" s="19">
        <f t="shared" si="112"/>
        <v>43963</v>
      </c>
      <c r="DF9" s="19">
        <f t="shared" si="112"/>
        <v>43964</v>
      </c>
      <c r="DG9" s="19">
        <f t="shared" si="112"/>
        <v>43965</v>
      </c>
      <c r="DH9" s="19">
        <f t="shared" si="112"/>
        <v>43966</v>
      </c>
      <c r="DI9" s="19">
        <f t="shared" si="112"/>
        <v>43967</v>
      </c>
      <c r="DJ9" s="19">
        <f t="shared" si="112"/>
        <v>43969</v>
      </c>
      <c r="DK9" s="19">
        <f t="shared" si="112"/>
        <v>43970</v>
      </c>
      <c r="DL9" s="19">
        <f t="shared" si="112"/>
        <v>43971</v>
      </c>
      <c r="DM9" s="19">
        <f t="shared" si="112"/>
        <v>43972</v>
      </c>
      <c r="DN9" s="19">
        <f t="shared" si="112"/>
        <v>43973</v>
      </c>
      <c r="DO9" s="19">
        <f t="shared" si="112"/>
        <v>43974</v>
      </c>
      <c r="DP9" s="19">
        <f t="shared" si="112"/>
        <v>43976</v>
      </c>
      <c r="DQ9" s="19">
        <f t="shared" si="112"/>
        <v>43977</v>
      </c>
      <c r="DR9" s="19">
        <f t="shared" si="112"/>
        <v>43978</v>
      </c>
      <c r="DS9" s="19">
        <f t="shared" si="112"/>
        <v>43979</v>
      </c>
      <c r="DT9" s="19">
        <f t="shared" si="112"/>
        <v>43980</v>
      </c>
      <c r="DU9" s="19">
        <f t="shared" si="112"/>
        <v>43981</v>
      </c>
      <c r="DV9" s="19">
        <f t="shared" si="112"/>
        <v>43983</v>
      </c>
      <c r="DW9" s="19">
        <f t="shared" si="112"/>
        <v>43984</v>
      </c>
      <c r="DX9" s="19">
        <f t="shared" si="112"/>
        <v>43985</v>
      </c>
      <c r="DY9" s="19">
        <f t="shared" si="112"/>
        <v>43986</v>
      </c>
      <c r="DZ9" s="19">
        <f t="shared" si="112"/>
        <v>43987</v>
      </c>
      <c r="EA9" s="19">
        <f t="shared" si="112"/>
        <v>43988</v>
      </c>
      <c r="EB9" s="19">
        <f t="shared" si="112"/>
        <v>43990</v>
      </c>
      <c r="EC9" s="19">
        <f t="shared" si="112"/>
        <v>43991</v>
      </c>
      <c r="ED9" s="19">
        <f t="shared" ref="ED9:GO9" si="113">ED10</f>
        <v>43992</v>
      </c>
      <c r="EE9" s="19">
        <f t="shared" si="113"/>
        <v>43993</v>
      </c>
      <c r="EF9" s="19">
        <f t="shared" si="113"/>
        <v>43994</v>
      </c>
      <c r="EG9" s="19">
        <f t="shared" si="113"/>
        <v>43995</v>
      </c>
      <c r="EH9" s="19">
        <f t="shared" si="113"/>
        <v>43997</v>
      </c>
      <c r="EI9" s="19">
        <f t="shared" si="113"/>
        <v>43998</v>
      </c>
      <c r="EJ9" s="19">
        <f t="shared" si="113"/>
        <v>43999</v>
      </c>
      <c r="EK9" s="19">
        <f t="shared" si="113"/>
        <v>44000</v>
      </c>
      <c r="EL9" s="19">
        <f t="shared" si="113"/>
        <v>44001</v>
      </c>
      <c r="EM9" s="19">
        <f t="shared" si="113"/>
        <v>44002</v>
      </c>
      <c r="EN9" s="19">
        <f t="shared" si="113"/>
        <v>44004</v>
      </c>
      <c r="EO9" s="19">
        <f t="shared" si="113"/>
        <v>44005</v>
      </c>
      <c r="EP9" s="19">
        <f t="shared" si="113"/>
        <v>44006</v>
      </c>
      <c r="EQ9" s="19">
        <f t="shared" si="113"/>
        <v>44007</v>
      </c>
      <c r="ER9" s="19">
        <f t="shared" si="113"/>
        <v>44008</v>
      </c>
      <c r="ES9" s="19">
        <f t="shared" si="113"/>
        <v>44009</v>
      </c>
      <c r="ET9" s="19">
        <f t="shared" si="113"/>
        <v>44011</v>
      </c>
      <c r="EU9" s="19">
        <f t="shared" si="113"/>
        <v>44012</v>
      </c>
      <c r="EV9" s="19">
        <f t="shared" si="113"/>
        <v>44013</v>
      </c>
      <c r="EW9" s="19">
        <f t="shared" si="113"/>
        <v>44014</v>
      </c>
      <c r="EX9" s="19">
        <f t="shared" si="113"/>
        <v>44015</v>
      </c>
      <c r="EY9" s="19">
        <f t="shared" si="113"/>
        <v>44016</v>
      </c>
      <c r="EZ9" s="19">
        <f t="shared" si="113"/>
        <v>44018</v>
      </c>
      <c r="FA9" s="19">
        <f t="shared" si="113"/>
        <v>44019</v>
      </c>
      <c r="FB9" s="19">
        <f t="shared" si="113"/>
        <v>44020</v>
      </c>
      <c r="FC9" s="19">
        <f t="shared" si="113"/>
        <v>44021</v>
      </c>
      <c r="FD9" s="19">
        <f t="shared" si="113"/>
        <v>44022</v>
      </c>
      <c r="FE9" s="19">
        <f t="shared" si="113"/>
        <v>44023</v>
      </c>
      <c r="FF9" s="19">
        <f t="shared" si="113"/>
        <v>44025</v>
      </c>
      <c r="FG9" s="19">
        <f t="shared" si="113"/>
        <v>44026</v>
      </c>
      <c r="FH9" s="19">
        <f t="shared" si="113"/>
        <v>44027</v>
      </c>
      <c r="FI9" s="19">
        <f t="shared" si="113"/>
        <v>44028</v>
      </c>
      <c r="FJ9" s="19">
        <f t="shared" si="113"/>
        <v>44029</v>
      </c>
      <c r="FK9" s="19">
        <f t="shared" si="113"/>
        <v>44030</v>
      </c>
      <c r="FL9" s="19">
        <f t="shared" si="113"/>
        <v>44032</v>
      </c>
      <c r="FM9" s="19">
        <f t="shared" si="113"/>
        <v>44033</v>
      </c>
      <c r="FN9" s="19">
        <f t="shared" si="113"/>
        <v>44034</v>
      </c>
      <c r="FO9" s="19">
        <f t="shared" si="113"/>
        <v>44035</v>
      </c>
      <c r="FP9" s="19">
        <f t="shared" si="113"/>
        <v>44036</v>
      </c>
      <c r="FQ9" s="19">
        <f t="shared" si="113"/>
        <v>44037</v>
      </c>
      <c r="FR9" s="19">
        <f t="shared" si="113"/>
        <v>44039</v>
      </c>
      <c r="FS9" s="19">
        <f t="shared" si="113"/>
        <v>44040</v>
      </c>
      <c r="FT9" s="19">
        <f t="shared" si="113"/>
        <v>44041</v>
      </c>
      <c r="FU9" s="19">
        <f t="shared" si="113"/>
        <v>44042</v>
      </c>
      <c r="FV9" s="19">
        <f t="shared" si="113"/>
        <v>44043</v>
      </c>
      <c r="FW9" s="19">
        <f t="shared" si="113"/>
        <v>44044</v>
      </c>
      <c r="FX9" s="19">
        <f t="shared" si="113"/>
        <v>44046</v>
      </c>
      <c r="FY9" s="19">
        <f t="shared" si="113"/>
        <v>44047</v>
      </c>
      <c r="FZ9" s="19">
        <f t="shared" si="113"/>
        <v>44048</v>
      </c>
      <c r="GA9" s="19">
        <f t="shared" si="113"/>
        <v>44049</v>
      </c>
      <c r="GB9" s="19">
        <f t="shared" si="113"/>
        <v>44050</v>
      </c>
      <c r="GC9" s="19">
        <f t="shared" si="113"/>
        <v>44051</v>
      </c>
      <c r="GD9" s="19">
        <f t="shared" si="113"/>
        <v>44053</v>
      </c>
      <c r="GE9" s="19">
        <f t="shared" si="113"/>
        <v>44054</v>
      </c>
      <c r="GF9" s="19">
        <f t="shared" si="113"/>
        <v>44055</v>
      </c>
      <c r="GG9" s="19">
        <f t="shared" si="113"/>
        <v>44056</v>
      </c>
      <c r="GH9" s="19">
        <f t="shared" si="113"/>
        <v>44057</v>
      </c>
      <c r="GI9" s="19">
        <f t="shared" si="113"/>
        <v>44058</v>
      </c>
      <c r="GJ9" s="19">
        <f t="shared" si="113"/>
        <v>44060</v>
      </c>
      <c r="GK9" s="19">
        <f t="shared" si="113"/>
        <v>44061</v>
      </c>
      <c r="GL9" s="19">
        <f t="shared" si="113"/>
        <v>44062</v>
      </c>
      <c r="GM9" s="19">
        <f t="shared" si="113"/>
        <v>44063</v>
      </c>
      <c r="GN9" s="19">
        <f t="shared" si="113"/>
        <v>44064</v>
      </c>
      <c r="GO9" s="19">
        <f t="shared" si="113"/>
        <v>44065</v>
      </c>
      <c r="GP9" s="19">
        <f t="shared" ref="GP9:IW9" si="114">GP10</f>
        <v>44067</v>
      </c>
      <c r="GQ9" s="19">
        <f t="shared" si="114"/>
        <v>44068</v>
      </c>
      <c r="GR9" s="19">
        <f t="shared" si="114"/>
        <v>44069</v>
      </c>
      <c r="GS9" s="19">
        <f t="shared" si="114"/>
        <v>44070</v>
      </c>
      <c r="GT9" s="19">
        <f t="shared" si="114"/>
        <v>44071</v>
      </c>
      <c r="GU9" s="19">
        <f t="shared" si="114"/>
        <v>44072</v>
      </c>
      <c r="GV9" s="19">
        <f t="shared" si="114"/>
        <v>44074</v>
      </c>
      <c r="GW9" s="19">
        <f t="shared" si="114"/>
        <v>44075</v>
      </c>
      <c r="GX9" s="19">
        <f t="shared" si="114"/>
        <v>44076</v>
      </c>
      <c r="GY9" s="19">
        <f t="shared" si="114"/>
        <v>44077</v>
      </c>
      <c r="GZ9" s="19">
        <f t="shared" si="114"/>
        <v>44078</v>
      </c>
      <c r="HA9" s="19">
        <f t="shared" si="114"/>
        <v>44079</v>
      </c>
      <c r="HB9" s="19">
        <f t="shared" si="114"/>
        <v>44081</v>
      </c>
      <c r="HC9" s="19">
        <f t="shared" si="114"/>
        <v>44082</v>
      </c>
      <c r="HD9" s="19">
        <f t="shared" si="114"/>
        <v>44083</v>
      </c>
      <c r="HE9" s="19">
        <f t="shared" si="114"/>
        <v>44084</v>
      </c>
      <c r="HF9" s="19">
        <f t="shared" si="114"/>
        <v>44085</v>
      </c>
      <c r="HG9" s="19">
        <f t="shared" si="114"/>
        <v>44086</v>
      </c>
      <c r="HH9" s="19">
        <f t="shared" si="114"/>
        <v>44088</v>
      </c>
      <c r="HI9" s="19">
        <f t="shared" si="114"/>
        <v>44089</v>
      </c>
      <c r="HJ9" s="19">
        <f t="shared" si="114"/>
        <v>44090</v>
      </c>
      <c r="HK9" s="19">
        <f t="shared" si="114"/>
        <v>44091</v>
      </c>
      <c r="HL9" s="19">
        <f t="shared" si="114"/>
        <v>44092</v>
      </c>
      <c r="HM9" s="19">
        <f t="shared" si="114"/>
        <v>44093</v>
      </c>
      <c r="HN9" s="19">
        <f t="shared" si="114"/>
        <v>44095</v>
      </c>
      <c r="HO9" s="19">
        <f t="shared" si="114"/>
        <v>44096</v>
      </c>
      <c r="HP9" s="19">
        <f t="shared" si="114"/>
        <v>44097</v>
      </c>
      <c r="HQ9" s="19">
        <f t="shared" si="114"/>
        <v>44098</v>
      </c>
      <c r="HR9" s="19">
        <f t="shared" si="114"/>
        <v>44099</v>
      </c>
      <c r="HS9" s="19">
        <f t="shared" si="114"/>
        <v>44100</v>
      </c>
      <c r="HT9" s="19">
        <f t="shared" si="114"/>
        <v>44102</v>
      </c>
      <c r="HU9" s="19">
        <f t="shared" si="114"/>
        <v>44103</v>
      </c>
      <c r="HV9" s="19">
        <f t="shared" si="114"/>
        <v>44104</v>
      </c>
      <c r="HW9" s="19">
        <f t="shared" si="114"/>
        <v>44105</v>
      </c>
      <c r="HX9" s="19">
        <f t="shared" si="114"/>
        <v>44106</v>
      </c>
      <c r="HY9" s="19">
        <f t="shared" si="114"/>
        <v>44107</v>
      </c>
      <c r="HZ9" s="19">
        <f t="shared" si="114"/>
        <v>44109</v>
      </c>
      <c r="IA9" s="19">
        <f t="shared" si="114"/>
        <v>44110</v>
      </c>
      <c r="IB9" s="19">
        <f t="shared" si="114"/>
        <v>44111</v>
      </c>
      <c r="IC9" s="19">
        <f t="shared" si="114"/>
        <v>44112</v>
      </c>
      <c r="ID9" s="19">
        <f t="shared" si="114"/>
        <v>44113</v>
      </c>
      <c r="IE9" s="19">
        <f t="shared" si="114"/>
        <v>44114</v>
      </c>
      <c r="IF9" s="19">
        <f t="shared" si="114"/>
        <v>44116</v>
      </c>
      <c r="IG9" s="19">
        <f t="shared" si="114"/>
        <v>44117</v>
      </c>
      <c r="IH9" s="19">
        <f t="shared" si="114"/>
        <v>44118</v>
      </c>
      <c r="II9" s="19">
        <f t="shared" si="114"/>
        <v>44119</v>
      </c>
      <c r="IJ9" s="19">
        <f t="shared" si="114"/>
        <v>44120</v>
      </c>
      <c r="IK9" s="19">
        <f t="shared" si="114"/>
        <v>44121</v>
      </c>
      <c r="IL9" s="19">
        <f t="shared" si="114"/>
        <v>44123</v>
      </c>
      <c r="IM9" s="19">
        <f t="shared" si="114"/>
        <v>44124</v>
      </c>
      <c r="IN9" s="19">
        <f t="shared" si="114"/>
        <v>44125</v>
      </c>
      <c r="IO9" s="19">
        <f t="shared" si="114"/>
        <v>44126</v>
      </c>
      <c r="IP9" s="19">
        <f t="shared" si="114"/>
        <v>44127</v>
      </c>
      <c r="IQ9" s="19">
        <f t="shared" si="114"/>
        <v>44128</v>
      </c>
      <c r="IR9" s="19">
        <f t="shared" si="114"/>
        <v>44130</v>
      </c>
      <c r="IS9" s="19">
        <f t="shared" si="114"/>
        <v>44131</v>
      </c>
      <c r="IT9" s="19">
        <f t="shared" si="114"/>
        <v>44132</v>
      </c>
      <c r="IU9" s="19">
        <f t="shared" si="114"/>
        <v>44133</v>
      </c>
      <c r="IV9" s="19">
        <f t="shared" si="114"/>
        <v>44134</v>
      </c>
      <c r="IW9" s="19">
        <f t="shared" si="114"/>
        <v>44135</v>
      </c>
    </row>
    <row r="10" spans="1:257" s="14" customFormat="1" ht="15" customHeight="1" thickBot="1">
      <c r="B10" s="70" t="s">
        <v>9</v>
      </c>
      <c r="C10" s="71"/>
      <c r="D10" s="64" t="s">
        <v>6</v>
      </c>
      <c r="F10" s="26">
        <v>43843</v>
      </c>
      <c r="G10" s="26">
        <v>43844</v>
      </c>
      <c r="H10" s="26">
        <v>43845</v>
      </c>
      <c r="I10" s="26">
        <v>43846</v>
      </c>
      <c r="J10" s="26">
        <v>43847</v>
      </c>
      <c r="K10" s="26">
        <v>43848</v>
      </c>
      <c r="L10" s="20">
        <f>+K10+2</f>
        <v>43850</v>
      </c>
      <c r="M10" s="20">
        <f>+L10+1</f>
        <v>43851</v>
      </c>
      <c r="N10" s="20">
        <f t="shared" ref="N10:BY10" si="115">+M10+1</f>
        <v>43852</v>
      </c>
      <c r="O10" s="20">
        <f t="shared" si="115"/>
        <v>43853</v>
      </c>
      <c r="P10" s="20">
        <f t="shared" si="115"/>
        <v>43854</v>
      </c>
      <c r="Q10" s="20">
        <f t="shared" si="115"/>
        <v>43855</v>
      </c>
      <c r="R10" s="20">
        <f t="shared" ref="R10" si="116">+Q10+2</f>
        <v>43857</v>
      </c>
      <c r="S10" s="20">
        <f t="shared" ref="S10" si="117">+R10+1</f>
        <v>43858</v>
      </c>
      <c r="T10" s="26">
        <f t="shared" si="115"/>
        <v>43859</v>
      </c>
      <c r="U10" s="20">
        <f t="shared" si="115"/>
        <v>43860</v>
      </c>
      <c r="V10" s="20">
        <f t="shared" si="115"/>
        <v>43861</v>
      </c>
      <c r="W10" s="20">
        <f t="shared" si="115"/>
        <v>43862</v>
      </c>
      <c r="X10" s="20">
        <f t="shared" ref="X10" si="118">+W10+2</f>
        <v>43864</v>
      </c>
      <c r="Y10" s="20">
        <f t="shared" ref="Y10" si="119">+X10+1</f>
        <v>43865</v>
      </c>
      <c r="Z10" s="20">
        <f t="shared" si="115"/>
        <v>43866</v>
      </c>
      <c r="AA10" s="20">
        <f t="shared" si="115"/>
        <v>43867</v>
      </c>
      <c r="AB10" s="20">
        <f t="shared" si="115"/>
        <v>43868</v>
      </c>
      <c r="AC10" s="20">
        <f t="shared" si="115"/>
        <v>43869</v>
      </c>
      <c r="AD10" s="20">
        <f t="shared" ref="AD10" si="120">+AC10+2</f>
        <v>43871</v>
      </c>
      <c r="AE10" s="20">
        <f t="shared" ref="AE10" si="121">+AD10+1</f>
        <v>43872</v>
      </c>
      <c r="AF10" s="20">
        <f t="shared" si="115"/>
        <v>43873</v>
      </c>
      <c r="AG10" s="20">
        <f t="shared" si="115"/>
        <v>43874</v>
      </c>
      <c r="AH10" s="20">
        <f t="shared" si="115"/>
        <v>43875</v>
      </c>
      <c r="AI10" s="20">
        <f t="shared" si="115"/>
        <v>43876</v>
      </c>
      <c r="AJ10" s="20">
        <f t="shared" ref="AJ10" si="122">+AI10+2</f>
        <v>43878</v>
      </c>
      <c r="AK10" s="20">
        <f t="shared" ref="AK10" si="123">+AJ10+1</f>
        <v>43879</v>
      </c>
      <c r="AL10" s="20">
        <f t="shared" si="115"/>
        <v>43880</v>
      </c>
      <c r="AM10" s="20">
        <f t="shared" si="115"/>
        <v>43881</v>
      </c>
      <c r="AN10" s="20">
        <f t="shared" si="115"/>
        <v>43882</v>
      </c>
      <c r="AO10" s="20">
        <f t="shared" si="115"/>
        <v>43883</v>
      </c>
      <c r="AP10" s="20">
        <f t="shared" ref="AP10" si="124">+AO10+2</f>
        <v>43885</v>
      </c>
      <c r="AQ10" s="20">
        <f t="shared" ref="AQ10" si="125">+AP10+1</f>
        <v>43886</v>
      </c>
      <c r="AR10" s="20">
        <f t="shared" si="115"/>
        <v>43887</v>
      </c>
      <c r="AS10" s="20">
        <f t="shared" si="115"/>
        <v>43888</v>
      </c>
      <c r="AT10" s="20">
        <f t="shared" si="115"/>
        <v>43889</v>
      </c>
      <c r="AU10" s="20">
        <f t="shared" si="115"/>
        <v>43890</v>
      </c>
      <c r="AV10" s="20">
        <f t="shared" ref="AV10" si="126">+AU10+2</f>
        <v>43892</v>
      </c>
      <c r="AW10" s="20">
        <f t="shared" ref="AW10" si="127">+AV10+1</f>
        <v>43893</v>
      </c>
      <c r="AX10" s="20">
        <f t="shared" si="115"/>
        <v>43894</v>
      </c>
      <c r="AY10" s="20">
        <f t="shared" si="115"/>
        <v>43895</v>
      </c>
      <c r="AZ10" s="20">
        <f t="shared" si="115"/>
        <v>43896</v>
      </c>
      <c r="BA10" s="20">
        <f t="shared" si="115"/>
        <v>43897</v>
      </c>
      <c r="BB10" s="20">
        <f t="shared" ref="BB10" si="128">+BA10+2</f>
        <v>43899</v>
      </c>
      <c r="BC10" s="20">
        <f t="shared" ref="BC10" si="129">+BB10+1</f>
        <v>43900</v>
      </c>
      <c r="BD10" s="20">
        <f t="shared" si="115"/>
        <v>43901</v>
      </c>
      <c r="BE10" s="20">
        <f t="shared" si="115"/>
        <v>43902</v>
      </c>
      <c r="BF10" s="20">
        <f t="shared" si="115"/>
        <v>43903</v>
      </c>
      <c r="BG10" s="20">
        <f t="shared" si="115"/>
        <v>43904</v>
      </c>
      <c r="BH10" s="20">
        <f t="shared" ref="BH10" si="130">+BG10+2</f>
        <v>43906</v>
      </c>
      <c r="BI10" s="20">
        <f t="shared" ref="BI10" si="131">+BH10+1</f>
        <v>43907</v>
      </c>
      <c r="BJ10" s="20">
        <f t="shared" si="115"/>
        <v>43908</v>
      </c>
      <c r="BK10" s="20">
        <f t="shared" si="115"/>
        <v>43909</v>
      </c>
      <c r="BL10" s="20">
        <f t="shared" si="115"/>
        <v>43910</v>
      </c>
      <c r="BM10" s="20">
        <f t="shared" si="115"/>
        <v>43911</v>
      </c>
      <c r="BN10" s="20">
        <f t="shared" ref="BN10" si="132">+BM10+2</f>
        <v>43913</v>
      </c>
      <c r="BO10" s="20">
        <f t="shared" ref="BO10" si="133">+BN10+1</f>
        <v>43914</v>
      </c>
      <c r="BP10" s="20">
        <f t="shared" si="115"/>
        <v>43915</v>
      </c>
      <c r="BQ10" s="20">
        <f t="shared" si="115"/>
        <v>43916</v>
      </c>
      <c r="BR10" s="20">
        <f t="shared" si="115"/>
        <v>43917</v>
      </c>
      <c r="BS10" s="20">
        <f t="shared" si="115"/>
        <v>43918</v>
      </c>
      <c r="BT10" s="20">
        <f t="shared" ref="BT10" si="134">+BS10+2</f>
        <v>43920</v>
      </c>
      <c r="BU10" s="20">
        <f t="shared" ref="BU10" si="135">+BT10+1</f>
        <v>43921</v>
      </c>
      <c r="BV10" s="20">
        <f t="shared" si="115"/>
        <v>43922</v>
      </c>
      <c r="BW10" s="20">
        <f t="shared" si="115"/>
        <v>43923</v>
      </c>
      <c r="BX10" s="20">
        <f t="shared" si="115"/>
        <v>43924</v>
      </c>
      <c r="BY10" s="20">
        <f t="shared" si="115"/>
        <v>43925</v>
      </c>
      <c r="BZ10" s="20">
        <f t="shared" ref="BZ10" si="136">+BY10+2</f>
        <v>43927</v>
      </c>
      <c r="CA10" s="20">
        <f t="shared" ref="CA10:EL10" si="137">+BZ10+1</f>
        <v>43928</v>
      </c>
      <c r="CB10" s="20">
        <f t="shared" si="137"/>
        <v>43929</v>
      </c>
      <c r="CC10" s="20">
        <f t="shared" si="137"/>
        <v>43930</v>
      </c>
      <c r="CD10" s="20">
        <f t="shared" si="137"/>
        <v>43931</v>
      </c>
      <c r="CE10" s="20">
        <f t="shared" si="137"/>
        <v>43932</v>
      </c>
      <c r="CF10" s="72">
        <f t="shared" ref="CF10" si="138">+CE10+2</f>
        <v>43934</v>
      </c>
      <c r="CG10" s="20">
        <f t="shared" ref="CG10" si="139">+CF10+1</f>
        <v>43935</v>
      </c>
      <c r="CH10" s="20">
        <f t="shared" si="137"/>
        <v>43936</v>
      </c>
      <c r="CI10" s="20">
        <f t="shared" si="137"/>
        <v>43937</v>
      </c>
      <c r="CJ10" s="20">
        <f t="shared" si="137"/>
        <v>43938</v>
      </c>
      <c r="CK10" s="20">
        <f t="shared" si="137"/>
        <v>43939</v>
      </c>
      <c r="CL10" s="85">
        <f t="shared" ref="CL10" si="140">+CK10+2</f>
        <v>43941</v>
      </c>
      <c r="CM10" s="20">
        <f t="shared" ref="CM10" si="141">+CL10+1</f>
        <v>43942</v>
      </c>
      <c r="CN10" s="20">
        <f t="shared" si="137"/>
        <v>43943</v>
      </c>
      <c r="CO10" s="20">
        <f t="shared" si="137"/>
        <v>43944</v>
      </c>
      <c r="CP10" s="20">
        <f t="shared" si="137"/>
        <v>43945</v>
      </c>
      <c r="CQ10" s="20">
        <f t="shared" si="137"/>
        <v>43946</v>
      </c>
      <c r="CR10" s="20">
        <f t="shared" ref="CR10" si="142">+CQ10+2</f>
        <v>43948</v>
      </c>
      <c r="CS10" s="20">
        <f t="shared" ref="CS10" si="143">+CR10+1</f>
        <v>43949</v>
      </c>
      <c r="CT10" s="20">
        <f t="shared" si="137"/>
        <v>43950</v>
      </c>
      <c r="CU10" s="20">
        <f t="shared" si="137"/>
        <v>43951</v>
      </c>
      <c r="CV10" s="61">
        <f t="shared" si="137"/>
        <v>43952</v>
      </c>
      <c r="CW10" s="20">
        <f t="shared" si="137"/>
        <v>43953</v>
      </c>
      <c r="CX10" s="20">
        <f t="shared" ref="CX10" si="144">+CW10+2</f>
        <v>43955</v>
      </c>
      <c r="CY10" s="20">
        <f t="shared" ref="CY10" si="145">+CX10+1</f>
        <v>43956</v>
      </c>
      <c r="CZ10" s="20">
        <f t="shared" si="137"/>
        <v>43957</v>
      </c>
      <c r="DA10" s="20">
        <f t="shared" si="137"/>
        <v>43958</v>
      </c>
      <c r="DB10" s="20">
        <f t="shared" si="137"/>
        <v>43959</v>
      </c>
      <c r="DC10" s="20">
        <f t="shared" si="137"/>
        <v>43960</v>
      </c>
      <c r="DD10" s="20">
        <f t="shared" ref="DD10" si="146">+DC10+2</f>
        <v>43962</v>
      </c>
      <c r="DE10" s="20">
        <f t="shared" ref="DE10" si="147">+DD10+1</f>
        <v>43963</v>
      </c>
      <c r="DF10" s="20">
        <f t="shared" si="137"/>
        <v>43964</v>
      </c>
      <c r="DG10" s="20">
        <f t="shared" si="137"/>
        <v>43965</v>
      </c>
      <c r="DH10" s="20">
        <f t="shared" si="137"/>
        <v>43966</v>
      </c>
      <c r="DI10" s="20">
        <f t="shared" si="137"/>
        <v>43967</v>
      </c>
      <c r="DJ10" s="20">
        <f t="shared" ref="DJ10" si="148">+DI10+2</f>
        <v>43969</v>
      </c>
      <c r="DK10" s="20">
        <f t="shared" ref="DK10" si="149">+DJ10+1</f>
        <v>43970</v>
      </c>
      <c r="DL10" s="20">
        <f t="shared" si="137"/>
        <v>43971</v>
      </c>
      <c r="DM10" s="20">
        <f t="shared" si="137"/>
        <v>43972</v>
      </c>
      <c r="DN10" s="20">
        <f t="shared" si="137"/>
        <v>43973</v>
      </c>
      <c r="DO10" s="20">
        <f t="shared" si="137"/>
        <v>43974</v>
      </c>
      <c r="DP10" s="20">
        <f t="shared" ref="DP10" si="150">+DO10+2</f>
        <v>43976</v>
      </c>
      <c r="DQ10" s="20">
        <f t="shared" ref="DQ10" si="151">+DP10+1</f>
        <v>43977</v>
      </c>
      <c r="DR10" s="20">
        <f t="shared" si="137"/>
        <v>43978</v>
      </c>
      <c r="DS10" s="20">
        <f t="shared" si="137"/>
        <v>43979</v>
      </c>
      <c r="DT10" s="20">
        <f t="shared" si="137"/>
        <v>43980</v>
      </c>
      <c r="DU10" s="20">
        <f t="shared" si="137"/>
        <v>43981</v>
      </c>
      <c r="DV10" s="20">
        <f t="shared" ref="DV10" si="152">+DU10+2</f>
        <v>43983</v>
      </c>
      <c r="DW10" s="20">
        <f t="shared" ref="DW10" si="153">+DV10+1</f>
        <v>43984</v>
      </c>
      <c r="DX10" s="20">
        <f t="shared" si="137"/>
        <v>43985</v>
      </c>
      <c r="DY10" s="20">
        <f t="shared" si="137"/>
        <v>43986</v>
      </c>
      <c r="DZ10" s="20">
        <f t="shared" si="137"/>
        <v>43987</v>
      </c>
      <c r="EA10" s="20">
        <f t="shared" si="137"/>
        <v>43988</v>
      </c>
      <c r="EB10" s="20">
        <f t="shared" ref="EB10" si="154">+EA10+2</f>
        <v>43990</v>
      </c>
      <c r="EC10" s="20">
        <f t="shared" ref="EC10" si="155">+EB10+1</f>
        <v>43991</v>
      </c>
      <c r="ED10" s="20">
        <f t="shared" si="137"/>
        <v>43992</v>
      </c>
      <c r="EE10" s="20">
        <f t="shared" si="137"/>
        <v>43993</v>
      </c>
      <c r="EF10" s="20">
        <f t="shared" si="137"/>
        <v>43994</v>
      </c>
      <c r="EG10" s="20">
        <f t="shared" si="137"/>
        <v>43995</v>
      </c>
      <c r="EH10" s="20">
        <f t="shared" ref="EH10" si="156">+EG10+2</f>
        <v>43997</v>
      </c>
      <c r="EI10" s="20">
        <f t="shared" ref="EI10" si="157">+EH10+1</f>
        <v>43998</v>
      </c>
      <c r="EJ10" s="20">
        <f t="shared" si="137"/>
        <v>43999</v>
      </c>
      <c r="EK10" s="20">
        <f t="shared" si="137"/>
        <v>44000</v>
      </c>
      <c r="EL10" s="20">
        <f t="shared" si="137"/>
        <v>44001</v>
      </c>
      <c r="EM10" s="20">
        <f t="shared" ref="EM10:FW10" si="158">+EL10+1</f>
        <v>44002</v>
      </c>
      <c r="EN10" s="20">
        <f t="shared" ref="EN10" si="159">+EM10+2</f>
        <v>44004</v>
      </c>
      <c r="EO10" s="20">
        <f t="shared" ref="EO10" si="160">+EN10+1</f>
        <v>44005</v>
      </c>
      <c r="EP10" s="20">
        <f t="shared" si="158"/>
        <v>44006</v>
      </c>
      <c r="EQ10" s="20">
        <f t="shared" si="158"/>
        <v>44007</v>
      </c>
      <c r="ER10" s="20">
        <f t="shared" si="158"/>
        <v>44008</v>
      </c>
      <c r="ES10" s="20">
        <f t="shared" si="158"/>
        <v>44009</v>
      </c>
      <c r="ET10" s="61">
        <f t="shared" ref="ET10" si="161">+ES10+2</f>
        <v>44011</v>
      </c>
      <c r="EU10" s="20">
        <f t="shared" ref="EU10" si="162">+ET10+1</f>
        <v>44012</v>
      </c>
      <c r="EV10" s="20">
        <f t="shared" si="158"/>
        <v>44013</v>
      </c>
      <c r="EW10" s="20">
        <f t="shared" si="158"/>
        <v>44014</v>
      </c>
      <c r="EX10" s="20">
        <f t="shared" si="158"/>
        <v>44015</v>
      </c>
      <c r="EY10" s="20">
        <f t="shared" si="158"/>
        <v>44016</v>
      </c>
      <c r="EZ10" s="20">
        <f t="shared" ref="EZ10" si="163">+EY10+2</f>
        <v>44018</v>
      </c>
      <c r="FA10" s="20">
        <f t="shared" ref="FA10" si="164">+EZ10+1</f>
        <v>44019</v>
      </c>
      <c r="FB10" s="20">
        <f t="shared" si="158"/>
        <v>44020</v>
      </c>
      <c r="FC10" s="20">
        <f t="shared" si="158"/>
        <v>44021</v>
      </c>
      <c r="FD10" s="20">
        <f t="shared" si="158"/>
        <v>44022</v>
      </c>
      <c r="FE10" s="20">
        <f t="shared" si="158"/>
        <v>44023</v>
      </c>
      <c r="FF10" s="20">
        <f t="shared" ref="FF10" si="165">+FE10+2</f>
        <v>44025</v>
      </c>
      <c r="FG10" s="20">
        <f t="shared" ref="FG10" si="166">+FF10+1</f>
        <v>44026</v>
      </c>
      <c r="FH10" s="20">
        <f t="shared" si="158"/>
        <v>44027</v>
      </c>
      <c r="FI10" s="20">
        <f t="shared" si="158"/>
        <v>44028</v>
      </c>
      <c r="FJ10" s="20">
        <f t="shared" si="158"/>
        <v>44029</v>
      </c>
      <c r="FK10" s="20">
        <f t="shared" si="158"/>
        <v>44030</v>
      </c>
      <c r="FL10" s="20">
        <f t="shared" ref="FL10" si="167">+FK10+2</f>
        <v>44032</v>
      </c>
      <c r="FM10" s="20">
        <f t="shared" ref="FM10" si="168">+FL10+1</f>
        <v>44033</v>
      </c>
      <c r="FN10" s="20">
        <f t="shared" si="158"/>
        <v>44034</v>
      </c>
      <c r="FO10" s="20">
        <f t="shared" si="158"/>
        <v>44035</v>
      </c>
      <c r="FP10" s="20">
        <f t="shared" si="158"/>
        <v>44036</v>
      </c>
      <c r="FQ10" s="20">
        <f t="shared" si="158"/>
        <v>44037</v>
      </c>
      <c r="FR10" s="20">
        <f t="shared" ref="FR10" si="169">+FQ10+2</f>
        <v>44039</v>
      </c>
      <c r="FS10" s="61">
        <f t="shared" ref="FS10" si="170">+FR10+1</f>
        <v>44040</v>
      </c>
      <c r="FT10" s="61">
        <f t="shared" si="158"/>
        <v>44041</v>
      </c>
      <c r="FU10" s="20">
        <f t="shared" si="158"/>
        <v>44042</v>
      </c>
      <c r="FV10" s="20">
        <f t="shared" si="158"/>
        <v>44043</v>
      </c>
      <c r="FW10" s="20">
        <f t="shared" si="158"/>
        <v>44044</v>
      </c>
      <c r="FX10" s="20">
        <f t="shared" ref="FX10" si="171">+FW10+2</f>
        <v>44046</v>
      </c>
      <c r="FY10" s="20">
        <f t="shared" ref="FY10:GC10" si="172">+FX10+1</f>
        <v>44047</v>
      </c>
      <c r="FZ10" s="20">
        <f t="shared" si="172"/>
        <v>44048</v>
      </c>
      <c r="GA10" s="20">
        <f t="shared" si="172"/>
        <v>44049</v>
      </c>
      <c r="GB10" s="20">
        <f t="shared" si="172"/>
        <v>44050</v>
      </c>
      <c r="GC10" s="20">
        <f t="shared" si="172"/>
        <v>44051</v>
      </c>
      <c r="GD10" s="20">
        <f t="shared" ref="GD10" si="173">+GC10+2</f>
        <v>44053</v>
      </c>
      <c r="GE10" s="20">
        <f t="shared" ref="GE10" si="174">+GD10+1</f>
        <v>44054</v>
      </c>
      <c r="GF10" s="20">
        <f t="shared" ref="GF10" si="175">+GE10+1</f>
        <v>44055</v>
      </c>
      <c r="GG10" s="20">
        <f t="shared" ref="GG10" si="176">+GF10+1</f>
        <v>44056</v>
      </c>
      <c r="GH10" s="20">
        <f t="shared" ref="GH10" si="177">+GG10+1</f>
        <v>44057</v>
      </c>
      <c r="GI10" s="20">
        <f t="shared" ref="GI10" si="178">+GH10+1</f>
        <v>44058</v>
      </c>
      <c r="GJ10" s="20">
        <f t="shared" ref="GJ10" si="179">+GI10+2</f>
        <v>44060</v>
      </c>
      <c r="GK10" s="20">
        <f t="shared" ref="GK10" si="180">+GJ10+1</f>
        <v>44061</v>
      </c>
      <c r="GL10" s="20">
        <f t="shared" ref="GL10" si="181">+GK10+1</f>
        <v>44062</v>
      </c>
      <c r="GM10" s="20">
        <f t="shared" ref="GM10" si="182">+GL10+1</f>
        <v>44063</v>
      </c>
      <c r="GN10" s="20">
        <f t="shared" ref="GN10" si="183">+GM10+1</f>
        <v>44064</v>
      </c>
      <c r="GO10" s="20">
        <f t="shared" ref="GO10" si="184">+GN10+1</f>
        <v>44065</v>
      </c>
      <c r="GP10" s="20">
        <f t="shared" ref="GP10" si="185">+GO10+2</f>
        <v>44067</v>
      </c>
      <c r="GQ10" s="20">
        <f t="shared" ref="GQ10" si="186">+GP10+1</f>
        <v>44068</v>
      </c>
      <c r="GR10" s="20">
        <f t="shared" ref="GR10" si="187">+GQ10+1</f>
        <v>44069</v>
      </c>
      <c r="GS10" s="20">
        <f t="shared" ref="GS10" si="188">+GR10+1</f>
        <v>44070</v>
      </c>
      <c r="GT10" s="20">
        <f t="shared" ref="GT10" si="189">+GS10+1</f>
        <v>44071</v>
      </c>
      <c r="GU10" s="20">
        <f t="shared" ref="GU10" si="190">+GT10+1</f>
        <v>44072</v>
      </c>
      <c r="GV10" s="20">
        <f t="shared" ref="GV10" si="191">+GU10+2</f>
        <v>44074</v>
      </c>
      <c r="GW10" s="20">
        <f t="shared" ref="GW10" si="192">+GV10+1</f>
        <v>44075</v>
      </c>
      <c r="GX10" s="20">
        <f t="shared" ref="GX10" si="193">+GW10+1</f>
        <v>44076</v>
      </c>
      <c r="GY10" s="20">
        <f t="shared" ref="GY10" si="194">+GX10+1</f>
        <v>44077</v>
      </c>
      <c r="GZ10" s="20">
        <f t="shared" ref="GZ10" si="195">+GY10+1</f>
        <v>44078</v>
      </c>
      <c r="HA10" s="20">
        <f t="shared" ref="HA10" si="196">+GZ10+1</f>
        <v>44079</v>
      </c>
      <c r="HB10" s="20">
        <f t="shared" ref="HB10" si="197">+HA10+2</f>
        <v>44081</v>
      </c>
      <c r="HC10" s="20">
        <f t="shared" ref="HC10" si="198">+HB10+1</f>
        <v>44082</v>
      </c>
      <c r="HD10" s="20">
        <f t="shared" ref="HD10" si="199">+HC10+1</f>
        <v>44083</v>
      </c>
      <c r="HE10" s="20">
        <f t="shared" ref="HE10" si="200">+HD10+1</f>
        <v>44084</v>
      </c>
      <c r="HF10" s="20">
        <f t="shared" ref="HF10" si="201">+HE10+1</f>
        <v>44085</v>
      </c>
      <c r="HG10" s="20">
        <f t="shared" ref="HG10" si="202">+HF10+1</f>
        <v>44086</v>
      </c>
      <c r="HH10" s="20">
        <f t="shared" ref="HH10" si="203">+HG10+2</f>
        <v>44088</v>
      </c>
      <c r="HI10" s="20">
        <f t="shared" ref="HI10" si="204">+HH10+1</f>
        <v>44089</v>
      </c>
      <c r="HJ10" s="20">
        <f t="shared" ref="HJ10" si="205">+HI10+1</f>
        <v>44090</v>
      </c>
      <c r="HK10" s="20">
        <f t="shared" ref="HK10" si="206">+HJ10+1</f>
        <v>44091</v>
      </c>
      <c r="HL10" s="20">
        <f t="shared" ref="HL10" si="207">+HK10+1</f>
        <v>44092</v>
      </c>
      <c r="HM10" s="20">
        <f t="shared" ref="HM10" si="208">+HL10+1</f>
        <v>44093</v>
      </c>
      <c r="HN10" s="20">
        <f t="shared" ref="HN10" si="209">+HM10+2</f>
        <v>44095</v>
      </c>
      <c r="HO10" s="20">
        <f t="shared" ref="HO10" si="210">+HN10+1</f>
        <v>44096</v>
      </c>
      <c r="HP10" s="20">
        <f t="shared" ref="HP10" si="211">+HO10+1</f>
        <v>44097</v>
      </c>
      <c r="HQ10" s="20">
        <f t="shared" ref="HQ10" si="212">+HP10+1</f>
        <v>44098</v>
      </c>
      <c r="HR10" s="20">
        <f t="shared" ref="HR10" si="213">+HQ10+1</f>
        <v>44099</v>
      </c>
      <c r="HS10" s="20">
        <f t="shared" ref="HS10" si="214">+HR10+1</f>
        <v>44100</v>
      </c>
      <c r="HT10" s="20">
        <f t="shared" ref="HT10" si="215">+HS10+2</f>
        <v>44102</v>
      </c>
      <c r="HU10" s="20">
        <f t="shared" ref="HU10" si="216">+HT10+1</f>
        <v>44103</v>
      </c>
      <c r="HV10" s="20">
        <f t="shared" ref="HV10" si="217">+HU10+1</f>
        <v>44104</v>
      </c>
      <c r="HW10" s="20">
        <f t="shared" ref="HW10" si="218">+HV10+1</f>
        <v>44105</v>
      </c>
      <c r="HX10" s="20">
        <f t="shared" ref="HX10" si="219">+HW10+1</f>
        <v>44106</v>
      </c>
      <c r="HY10" s="20">
        <f t="shared" ref="HY10" si="220">+HX10+1</f>
        <v>44107</v>
      </c>
      <c r="HZ10" s="20">
        <f t="shared" ref="HZ10" si="221">+HY10+2</f>
        <v>44109</v>
      </c>
      <c r="IA10" s="20">
        <f t="shared" ref="IA10" si="222">+HZ10+1</f>
        <v>44110</v>
      </c>
      <c r="IB10" s="90">
        <f t="shared" ref="IB10" si="223">+IA10+1</f>
        <v>44111</v>
      </c>
      <c r="IC10" s="61">
        <f t="shared" ref="IC10" si="224">+IB10+1</f>
        <v>44112</v>
      </c>
      <c r="ID10" s="20">
        <f t="shared" ref="ID10" si="225">+IC10+1</f>
        <v>44113</v>
      </c>
      <c r="IE10" s="20">
        <f t="shared" ref="IE10" si="226">+ID10+1</f>
        <v>44114</v>
      </c>
      <c r="IF10" s="20">
        <f t="shared" ref="IF10" si="227">+IE10+2</f>
        <v>44116</v>
      </c>
      <c r="IG10" s="20">
        <f t="shared" ref="IG10" si="228">+IF10+1</f>
        <v>44117</v>
      </c>
      <c r="IH10" s="20">
        <f t="shared" ref="IH10" si="229">+IG10+1</f>
        <v>44118</v>
      </c>
      <c r="II10" s="20">
        <f t="shared" ref="II10" si="230">+IH10+1</f>
        <v>44119</v>
      </c>
      <c r="IJ10" s="20">
        <f t="shared" ref="IJ10" si="231">+II10+1</f>
        <v>44120</v>
      </c>
      <c r="IK10" s="20">
        <f t="shared" ref="IK10" si="232">+IJ10+1</f>
        <v>44121</v>
      </c>
      <c r="IL10" s="20">
        <f t="shared" ref="IL10" si="233">+IK10+2</f>
        <v>44123</v>
      </c>
      <c r="IM10" s="20">
        <f t="shared" ref="IM10" si="234">+IL10+1</f>
        <v>44124</v>
      </c>
      <c r="IN10" s="20">
        <f t="shared" ref="IN10" si="235">+IM10+1</f>
        <v>44125</v>
      </c>
      <c r="IO10" s="20">
        <f t="shared" ref="IO10" si="236">+IN10+1</f>
        <v>44126</v>
      </c>
      <c r="IP10" s="20">
        <f t="shared" ref="IP10" si="237">+IO10+1</f>
        <v>44127</v>
      </c>
      <c r="IQ10" s="20">
        <f t="shared" ref="IQ10" si="238">+IP10+1</f>
        <v>44128</v>
      </c>
      <c r="IR10" s="20">
        <f t="shared" ref="IR10" si="239">+IQ10+2</f>
        <v>44130</v>
      </c>
      <c r="IS10" s="20">
        <f t="shared" ref="IS10" si="240">+IR10+1</f>
        <v>44131</v>
      </c>
      <c r="IT10" s="20">
        <f t="shared" ref="IT10" si="241">+IS10+1</f>
        <v>44132</v>
      </c>
      <c r="IU10" s="20">
        <f t="shared" ref="IU10" si="242">+IT10+1</f>
        <v>44133</v>
      </c>
      <c r="IV10" s="20">
        <f t="shared" ref="IV10" si="243">+IU10+1</f>
        <v>44134</v>
      </c>
      <c r="IW10" s="20">
        <f t="shared" ref="IW10" si="244">+IV10+1</f>
        <v>44135</v>
      </c>
    </row>
    <row r="11" spans="1:257" ht="14.4" thickBot="1">
      <c r="B11" s="65"/>
      <c r="C11" s="66"/>
      <c r="D11" s="8" t="s">
        <v>5</v>
      </c>
      <c r="F11" s="53">
        <f t="shared" ref="F11:BQ11" si="245">F10</f>
        <v>43843</v>
      </c>
      <c r="G11" s="53">
        <f t="shared" si="245"/>
        <v>43844</v>
      </c>
      <c r="H11" s="53">
        <f t="shared" si="245"/>
        <v>43845</v>
      </c>
      <c r="I11" s="53">
        <f t="shared" si="245"/>
        <v>43846</v>
      </c>
      <c r="J11" s="53">
        <f t="shared" si="245"/>
        <v>43847</v>
      </c>
      <c r="K11" s="53">
        <f t="shared" si="245"/>
        <v>43848</v>
      </c>
      <c r="L11" s="52">
        <f t="shared" si="245"/>
        <v>43850</v>
      </c>
      <c r="M11" s="52">
        <f t="shared" si="245"/>
        <v>43851</v>
      </c>
      <c r="N11" s="52">
        <f t="shared" si="245"/>
        <v>43852</v>
      </c>
      <c r="O11" s="52">
        <f t="shared" si="245"/>
        <v>43853</v>
      </c>
      <c r="P11" s="52">
        <f t="shared" si="245"/>
        <v>43854</v>
      </c>
      <c r="Q11" s="52">
        <f t="shared" si="245"/>
        <v>43855</v>
      </c>
      <c r="R11" s="53">
        <f t="shared" si="245"/>
        <v>43857</v>
      </c>
      <c r="S11" s="53">
        <f t="shared" si="245"/>
        <v>43858</v>
      </c>
      <c r="T11" s="53">
        <f t="shared" si="245"/>
        <v>43859</v>
      </c>
      <c r="U11" s="53">
        <f t="shared" si="245"/>
        <v>43860</v>
      </c>
      <c r="V11" s="53">
        <f t="shared" si="245"/>
        <v>43861</v>
      </c>
      <c r="W11" s="53">
        <f t="shared" si="245"/>
        <v>43862</v>
      </c>
      <c r="X11" s="52">
        <f t="shared" si="245"/>
        <v>43864</v>
      </c>
      <c r="Y11" s="52">
        <f t="shared" si="245"/>
        <v>43865</v>
      </c>
      <c r="Z11" s="52">
        <f t="shared" si="245"/>
        <v>43866</v>
      </c>
      <c r="AA11" s="52">
        <f t="shared" si="245"/>
        <v>43867</v>
      </c>
      <c r="AB11" s="52">
        <f t="shared" si="245"/>
        <v>43868</v>
      </c>
      <c r="AC11" s="52">
        <f t="shared" si="245"/>
        <v>43869</v>
      </c>
      <c r="AD11" s="53">
        <f t="shared" si="245"/>
        <v>43871</v>
      </c>
      <c r="AE11" s="53">
        <f t="shared" si="245"/>
        <v>43872</v>
      </c>
      <c r="AF11" s="53">
        <f t="shared" si="245"/>
        <v>43873</v>
      </c>
      <c r="AG11" s="53">
        <f t="shared" si="245"/>
        <v>43874</v>
      </c>
      <c r="AH11" s="53">
        <f t="shared" si="245"/>
        <v>43875</v>
      </c>
      <c r="AI11" s="53">
        <f t="shared" si="245"/>
        <v>43876</v>
      </c>
      <c r="AJ11" s="52">
        <f t="shared" si="245"/>
        <v>43878</v>
      </c>
      <c r="AK11" s="52">
        <f t="shared" si="245"/>
        <v>43879</v>
      </c>
      <c r="AL11" s="52">
        <f t="shared" si="245"/>
        <v>43880</v>
      </c>
      <c r="AM11" s="52">
        <f t="shared" si="245"/>
        <v>43881</v>
      </c>
      <c r="AN11" s="52">
        <f t="shared" si="245"/>
        <v>43882</v>
      </c>
      <c r="AO11" s="52">
        <f t="shared" si="245"/>
        <v>43883</v>
      </c>
      <c r="AP11" s="53">
        <f t="shared" si="245"/>
        <v>43885</v>
      </c>
      <c r="AQ11" s="53">
        <f t="shared" si="245"/>
        <v>43886</v>
      </c>
      <c r="AR11" s="53">
        <f t="shared" si="245"/>
        <v>43887</v>
      </c>
      <c r="AS11" s="53">
        <f t="shared" si="245"/>
        <v>43888</v>
      </c>
      <c r="AT11" s="53">
        <f t="shared" si="245"/>
        <v>43889</v>
      </c>
      <c r="AU11" s="53">
        <f t="shared" si="245"/>
        <v>43890</v>
      </c>
      <c r="AV11" s="52">
        <f t="shared" si="245"/>
        <v>43892</v>
      </c>
      <c r="AW11" s="52">
        <f t="shared" si="245"/>
        <v>43893</v>
      </c>
      <c r="AX11" s="52">
        <f t="shared" si="245"/>
        <v>43894</v>
      </c>
      <c r="AY11" s="52">
        <f t="shared" si="245"/>
        <v>43895</v>
      </c>
      <c r="AZ11" s="52">
        <f t="shared" si="245"/>
        <v>43896</v>
      </c>
      <c r="BA11" s="52">
        <f t="shared" si="245"/>
        <v>43897</v>
      </c>
      <c r="BB11" s="53">
        <f t="shared" si="245"/>
        <v>43899</v>
      </c>
      <c r="BC11" s="53">
        <f t="shared" si="245"/>
        <v>43900</v>
      </c>
      <c r="BD11" s="53">
        <f t="shared" si="245"/>
        <v>43901</v>
      </c>
      <c r="BE11" s="53">
        <f t="shared" si="245"/>
        <v>43902</v>
      </c>
      <c r="BF11" s="53">
        <f t="shared" si="245"/>
        <v>43903</v>
      </c>
      <c r="BG11" s="53">
        <f t="shared" si="245"/>
        <v>43904</v>
      </c>
      <c r="BH11" s="52">
        <f t="shared" si="245"/>
        <v>43906</v>
      </c>
      <c r="BI11" s="52">
        <f t="shared" si="245"/>
        <v>43907</v>
      </c>
      <c r="BJ11" s="52">
        <f t="shared" si="245"/>
        <v>43908</v>
      </c>
      <c r="BK11" s="52">
        <f t="shared" si="245"/>
        <v>43909</v>
      </c>
      <c r="BL11" s="52">
        <f t="shared" si="245"/>
        <v>43910</v>
      </c>
      <c r="BM11" s="52">
        <f t="shared" si="245"/>
        <v>43911</v>
      </c>
      <c r="BN11" s="53">
        <f t="shared" si="245"/>
        <v>43913</v>
      </c>
      <c r="BO11" s="53">
        <f t="shared" si="245"/>
        <v>43914</v>
      </c>
      <c r="BP11" s="53">
        <f t="shared" si="245"/>
        <v>43915</v>
      </c>
      <c r="BQ11" s="53">
        <f t="shared" si="245"/>
        <v>43916</v>
      </c>
      <c r="BR11" s="53">
        <f t="shared" ref="BR11:EC11" si="246">BR10</f>
        <v>43917</v>
      </c>
      <c r="BS11" s="53">
        <f t="shared" si="246"/>
        <v>43918</v>
      </c>
      <c r="BT11" s="52">
        <f t="shared" si="246"/>
        <v>43920</v>
      </c>
      <c r="BU11" s="52">
        <f t="shared" si="246"/>
        <v>43921</v>
      </c>
      <c r="BV11" s="52">
        <f t="shared" si="246"/>
        <v>43922</v>
      </c>
      <c r="BW11" s="52">
        <f t="shared" si="246"/>
        <v>43923</v>
      </c>
      <c r="BX11" s="52">
        <f t="shared" si="246"/>
        <v>43924</v>
      </c>
      <c r="BY11" s="52">
        <f t="shared" si="246"/>
        <v>43925</v>
      </c>
      <c r="BZ11" s="53">
        <f t="shared" si="246"/>
        <v>43927</v>
      </c>
      <c r="CA11" s="53">
        <f t="shared" si="246"/>
        <v>43928</v>
      </c>
      <c r="CB11" s="53">
        <f t="shared" si="246"/>
        <v>43929</v>
      </c>
      <c r="CC11" s="53">
        <f t="shared" si="246"/>
        <v>43930</v>
      </c>
      <c r="CD11" s="53">
        <f t="shared" si="246"/>
        <v>43931</v>
      </c>
      <c r="CE11" s="53">
        <f t="shared" si="246"/>
        <v>43932</v>
      </c>
      <c r="CF11" s="52">
        <f t="shared" si="246"/>
        <v>43934</v>
      </c>
      <c r="CG11" s="52">
        <f t="shared" si="246"/>
        <v>43935</v>
      </c>
      <c r="CH11" s="52">
        <f t="shared" si="246"/>
        <v>43936</v>
      </c>
      <c r="CI11" s="52">
        <f t="shared" si="246"/>
        <v>43937</v>
      </c>
      <c r="CJ11" s="52">
        <f t="shared" si="246"/>
        <v>43938</v>
      </c>
      <c r="CK11" s="52">
        <f t="shared" si="246"/>
        <v>43939</v>
      </c>
      <c r="CL11" s="53">
        <f t="shared" si="246"/>
        <v>43941</v>
      </c>
      <c r="CM11" s="53">
        <f t="shared" si="246"/>
        <v>43942</v>
      </c>
      <c r="CN11" s="53">
        <f t="shared" si="246"/>
        <v>43943</v>
      </c>
      <c r="CO11" s="53">
        <f t="shared" si="246"/>
        <v>43944</v>
      </c>
      <c r="CP11" s="53">
        <f t="shared" si="246"/>
        <v>43945</v>
      </c>
      <c r="CQ11" s="53">
        <f t="shared" si="246"/>
        <v>43946</v>
      </c>
      <c r="CR11" s="52">
        <f t="shared" si="246"/>
        <v>43948</v>
      </c>
      <c r="CS11" s="52">
        <f t="shared" si="246"/>
        <v>43949</v>
      </c>
      <c r="CT11" s="52">
        <f t="shared" si="246"/>
        <v>43950</v>
      </c>
      <c r="CU11" s="52">
        <f t="shared" si="246"/>
        <v>43951</v>
      </c>
      <c r="CV11" s="52">
        <f t="shared" si="246"/>
        <v>43952</v>
      </c>
      <c r="CW11" s="52">
        <f t="shared" si="246"/>
        <v>43953</v>
      </c>
      <c r="CX11" s="53">
        <f t="shared" si="246"/>
        <v>43955</v>
      </c>
      <c r="CY11" s="53">
        <f t="shared" si="246"/>
        <v>43956</v>
      </c>
      <c r="CZ11" s="53">
        <f t="shared" si="246"/>
        <v>43957</v>
      </c>
      <c r="DA11" s="53">
        <f t="shared" si="246"/>
        <v>43958</v>
      </c>
      <c r="DB11" s="53">
        <f t="shared" si="246"/>
        <v>43959</v>
      </c>
      <c r="DC11" s="53">
        <f t="shared" si="246"/>
        <v>43960</v>
      </c>
      <c r="DD11" s="52">
        <f t="shared" si="246"/>
        <v>43962</v>
      </c>
      <c r="DE11" s="52">
        <f t="shared" si="246"/>
        <v>43963</v>
      </c>
      <c r="DF11" s="52">
        <f t="shared" si="246"/>
        <v>43964</v>
      </c>
      <c r="DG11" s="52">
        <f t="shared" si="246"/>
        <v>43965</v>
      </c>
      <c r="DH11" s="52">
        <f t="shared" si="246"/>
        <v>43966</v>
      </c>
      <c r="DI11" s="52">
        <f t="shared" si="246"/>
        <v>43967</v>
      </c>
      <c r="DJ11" s="53">
        <f t="shared" si="246"/>
        <v>43969</v>
      </c>
      <c r="DK11" s="53">
        <f t="shared" si="246"/>
        <v>43970</v>
      </c>
      <c r="DL11" s="53">
        <f t="shared" si="246"/>
        <v>43971</v>
      </c>
      <c r="DM11" s="53">
        <f t="shared" si="246"/>
        <v>43972</v>
      </c>
      <c r="DN11" s="53">
        <f t="shared" si="246"/>
        <v>43973</v>
      </c>
      <c r="DO11" s="53">
        <f t="shared" si="246"/>
        <v>43974</v>
      </c>
      <c r="DP11" s="52">
        <f t="shared" si="246"/>
        <v>43976</v>
      </c>
      <c r="DQ11" s="52">
        <f t="shared" si="246"/>
        <v>43977</v>
      </c>
      <c r="DR11" s="52">
        <f t="shared" si="246"/>
        <v>43978</v>
      </c>
      <c r="DS11" s="52">
        <f t="shared" si="246"/>
        <v>43979</v>
      </c>
      <c r="DT11" s="52">
        <f t="shared" si="246"/>
        <v>43980</v>
      </c>
      <c r="DU11" s="52">
        <f t="shared" si="246"/>
        <v>43981</v>
      </c>
      <c r="DV11" s="53">
        <f t="shared" si="246"/>
        <v>43983</v>
      </c>
      <c r="DW11" s="53">
        <f t="shared" si="246"/>
        <v>43984</v>
      </c>
      <c r="DX11" s="53">
        <f t="shared" si="246"/>
        <v>43985</v>
      </c>
      <c r="DY11" s="53">
        <f t="shared" si="246"/>
        <v>43986</v>
      </c>
      <c r="DZ11" s="53">
        <f t="shared" si="246"/>
        <v>43987</v>
      </c>
      <c r="EA11" s="53">
        <f t="shared" si="246"/>
        <v>43988</v>
      </c>
      <c r="EB11" s="52">
        <f t="shared" si="246"/>
        <v>43990</v>
      </c>
      <c r="EC11" s="52">
        <f t="shared" si="246"/>
        <v>43991</v>
      </c>
      <c r="ED11" s="52">
        <f t="shared" ref="ED11:GC11" si="247">ED10</f>
        <v>43992</v>
      </c>
      <c r="EE11" s="52">
        <f t="shared" si="247"/>
        <v>43993</v>
      </c>
      <c r="EF11" s="52">
        <f t="shared" si="247"/>
        <v>43994</v>
      </c>
      <c r="EG11" s="52">
        <f t="shared" si="247"/>
        <v>43995</v>
      </c>
      <c r="EH11" s="53">
        <f t="shared" si="247"/>
        <v>43997</v>
      </c>
      <c r="EI11" s="53">
        <f t="shared" si="247"/>
        <v>43998</v>
      </c>
      <c r="EJ11" s="53">
        <f t="shared" si="247"/>
        <v>43999</v>
      </c>
      <c r="EK11" s="53">
        <f t="shared" si="247"/>
        <v>44000</v>
      </c>
      <c r="EL11" s="53">
        <f t="shared" si="247"/>
        <v>44001</v>
      </c>
      <c r="EM11" s="53">
        <f t="shared" si="247"/>
        <v>44002</v>
      </c>
      <c r="EN11" s="52">
        <f t="shared" si="247"/>
        <v>44004</v>
      </c>
      <c r="EO11" s="52">
        <f t="shared" si="247"/>
        <v>44005</v>
      </c>
      <c r="EP11" s="52">
        <f t="shared" si="247"/>
        <v>44006</v>
      </c>
      <c r="EQ11" s="52">
        <f t="shared" si="247"/>
        <v>44007</v>
      </c>
      <c r="ER11" s="52">
        <f t="shared" si="247"/>
        <v>44008</v>
      </c>
      <c r="ES11" s="52">
        <f t="shared" si="247"/>
        <v>44009</v>
      </c>
      <c r="ET11" s="53">
        <f t="shared" si="247"/>
        <v>44011</v>
      </c>
      <c r="EU11" s="53">
        <f t="shared" si="247"/>
        <v>44012</v>
      </c>
      <c r="EV11" s="53">
        <f t="shared" si="247"/>
        <v>44013</v>
      </c>
      <c r="EW11" s="53">
        <f t="shared" si="247"/>
        <v>44014</v>
      </c>
      <c r="EX11" s="53">
        <f t="shared" si="247"/>
        <v>44015</v>
      </c>
      <c r="EY11" s="53">
        <f t="shared" si="247"/>
        <v>44016</v>
      </c>
      <c r="EZ11" s="52">
        <f t="shared" si="247"/>
        <v>44018</v>
      </c>
      <c r="FA11" s="52">
        <f t="shared" si="247"/>
        <v>44019</v>
      </c>
      <c r="FB11" s="52">
        <f t="shared" si="247"/>
        <v>44020</v>
      </c>
      <c r="FC11" s="52">
        <f t="shared" si="247"/>
        <v>44021</v>
      </c>
      <c r="FD11" s="52">
        <f t="shared" si="247"/>
        <v>44022</v>
      </c>
      <c r="FE11" s="52">
        <f t="shared" si="247"/>
        <v>44023</v>
      </c>
      <c r="FF11" s="53">
        <f t="shared" si="247"/>
        <v>44025</v>
      </c>
      <c r="FG11" s="53">
        <f t="shared" si="247"/>
        <v>44026</v>
      </c>
      <c r="FH11" s="53">
        <f t="shared" si="247"/>
        <v>44027</v>
      </c>
      <c r="FI11" s="53">
        <f t="shared" si="247"/>
        <v>44028</v>
      </c>
      <c r="FJ11" s="53">
        <f t="shared" si="247"/>
        <v>44029</v>
      </c>
      <c r="FK11" s="53">
        <f t="shared" si="247"/>
        <v>44030</v>
      </c>
      <c r="FL11" s="52">
        <f t="shared" si="247"/>
        <v>44032</v>
      </c>
      <c r="FM11" s="52">
        <f t="shared" si="247"/>
        <v>44033</v>
      </c>
      <c r="FN11" s="52">
        <f t="shared" si="247"/>
        <v>44034</v>
      </c>
      <c r="FO11" s="52">
        <f t="shared" si="247"/>
        <v>44035</v>
      </c>
      <c r="FP11" s="52">
        <f t="shared" si="247"/>
        <v>44036</v>
      </c>
      <c r="FQ11" s="52">
        <f t="shared" si="247"/>
        <v>44037</v>
      </c>
      <c r="FR11" s="53">
        <f t="shared" si="247"/>
        <v>44039</v>
      </c>
      <c r="FS11" s="53">
        <f t="shared" si="247"/>
        <v>44040</v>
      </c>
      <c r="FT11" s="53">
        <f t="shared" si="247"/>
        <v>44041</v>
      </c>
      <c r="FU11" s="53">
        <f t="shared" si="247"/>
        <v>44042</v>
      </c>
      <c r="FV11" s="53">
        <f t="shared" si="247"/>
        <v>44043</v>
      </c>
      <c r="FW11" s="53">
        <f t="shared" si="247"/>
        <v>44044</v>
      </c>
      <c r="FX11" s="86">
        <f t="shared" si="247"/>
        <v>44046</v>
      </c>
      <c r="FY11" s="86">
        <f t="shared" si="247"/>
        <v>44047</v>
      </c>
      <c r="FZ11" s="86">
        <f t="shared" si="247"/>
        <v>44048</v>
      </c>
      <c r="GA11" s="86">
        <f t="shared" si="247"/>
        <v>44049</v>
      </c>
      <c r="GB11" s="86">
        <f t="shared" si="247"/>
        <v>44050</v>
      </c>
      <c r="GC11" s="86">
        <f t="shared" si="247"/>
        <v>44051</v>
      </c>
      <c r="GD11" s="86">
        <f t="shared" ref="GD11:GO11" si="248">GD10</f>
        <v>44053</v>
      </c>
      <c r="GE11" s="86">
        <f t="shared" si="248"/>
        <v>44054</v>
      </c>
      <c r="GF11" s="86">
        <f t="shared" si="248"/>
        <v>44055</v>
      </c>
      <c r="GG11" s="86">
        <f t="shared" si="248"/>
        <v>44056</v>
      </c>
      <c r="GH11" s="86">
        <f t="shared" si="248"/>
        <v>44057</v>
      </c>
      <c r="GI11" s="86">
        <f t="shared" si="248"/>
        <v>44058</v>
      </c>
      <c r="GJ11" s="86">
        <f t="shared" si="248"/>
        <v>44060</v>
      </c>
      <c r="GK11" s="86">
        <f t="shared" si="248"/>
        <v>44061</v>
      </c>
      <c r="GL11" s="86">
        <f t="shared" si="248"/>
        <v>44062</v>
      </c>
      <c r="GM11" s="86">
        <f t="shared" si="248"/>
        <v>44063</v>
      </c>
      <c r="GN11" s="86">
        <f t="shared" si="248"/>
        <v>44064</v>
      </c>
      <c r="GO11" s="86">
        <f t="shared" si="248"/>
        <v>44065</v>
      </c>
      <c r="GP11" s="86">
        <f t="shared" ref="GP11:GU11" si="249">GP10</f>
        <v>44067</v>
      </c>
      <c r="GQ11" s="86">
        <f t="shared" si="249"/>
        <v>44068</v>
      </c>
      <c r="GR11" s="86">
        <f t="shared" si="249"/>
        <v>44069</v>
      </c>
      <c r="GS11" s="86">
        <f t="shared" si="249"/>
        <v>44070</v>
      </c>
      <c r="GT11" s="86">
        <f t="shared" si="249"/>
        <v>44071</v>
      </c>
      <c r="GU11" s="86">
        <f t="shared" si="249"/>
        <v>44072</v>
      </c>
      <c r="GV11" s="86">
        <f t="shared" ref="GV11:HG11" si="250">GV10</f>
        <v>44074</v>
      </c>
      <c r="GW11" s="86">
        <f t="shared" si="250"/>
        <v>44075</v>
      </c>
      <c r="GX11" s="86">
        <f t="shared" si="250"/>
        <v>44076</v>
      </c>
      <c r="GY11" s="86">
        <f t="shared" si="250"/>
        <v>44077</v>
      </c>
      <c r="GZ11" s="86">
        <f t="shared" si="250"/>
        <v>44078</v>
      </c>
      <c r="HA11" s="86">
        <f t="shared" si="250"/>
        <v>44079</v>
      </c>
      <c r="HB11" s="86">
        <f t="shared" si="250"/>
        <v>44081</v>
      </c>
      <c r="HC11" s="86">
        <f t="shared" si="250"/>
        <v>44082</v>
      </c>
      <c r="HD11" s="86">
        <f t="shared" si="250"/>
        <v>44083</v>
      </c>
      <c r="HE11" s="86">
        <f t="shared" si="250"/>
        <v>44084</v>
      </c>
      <c r="HF11" s="86">
        <f t="shared" si="250"/>
        <v>44085</v>
      </c>
      <c r="HG11" s="86">
        <f t="shared" si="250"/>
        <v>44086</v>
      </c>
      <c r="HH11" s="86">
        <f t="shared" ref="HH11:HS11" si="251">HH10</f>
        <v>44088</v>
      </c>
      <c r="HI11" s="86">
        <f t="shared" si="251"/>
        <v>44089</v>
      </c>
      <c r="HJ11" s="86">
        <f t="shared" si="251"/>
        <v>44090</v>
      </c>
      <c r="HK11" s="86">
        <f t="shared" si="251"/>
        <v>44091</v>
      </c>
      <c r="HL11" s="86">
        <f t="shared" si="251"/>
        <v>44092</v>
      </c>
      <c r="HM11" s="86">
        <f t="shared" si="251"/>
        <v>44093</v>
      </c>
      <c r="HN11" s="86">
        <f t="shared" si="251"/>
        <v>44095</v>
      </c>
      <c r="HO11" s="86">
        <f t="shared" si="251"/>
        <v>44096</v>
      </c>
      <c r="HP11" s="86">
        <f t="shared" si="251"/>
        <v>44097</v>
      </c>
      <c r="HQ11" s="86">
        <f t="shared" si="251"/>
        <v>44098</v>
      </c>
      <c r="HR11" s="86">
        <f t="shared" si="251"/>
        <v>44099</v>
      </c>
      <c r="HS11" s="86">
        <f t="shared" si="251"/>
        <v>44100</v>
      </c>
      <c r="HT11" s="86">
        <f t="shared" ref="HT11:IQ11" si="252">HT10</f>
        <v>44102</v>
      </c>
      <c r="HU11" s="86">
        <f t="shared" si="252"/>
        <v>44103</v>
      </c>
      <c r="HV11" s="86">
        <f t="shared" si="252"/>
        <v>44104</v>
      </c>
      <c r="HW11" s="86">
        <f t="shared" si="252"/>
        <v>44105</v>
      </c>
      <c r="HX11" s="86">
        <f t="shared" si="252"/>
        <v>44106</v>
      </c>
      <c r="HY11" s="86">
        <f t="shared" si="252"/>
        <v>44107</v>
      </c>
      <c r="HZ11" s="86">
        <f t="shared" si="252"/>
        <v>44109</v>
      </c>
      <c r="IA11" s="86">
        <f t="shared" si="252"/>
        <v>44110</v>
      </c>
      <c r="IB11" s="86">
        <f t="shared" si="252"/>
        <v>44111</v>
      </c>
      <c r="IC11" s="86">
        <f t="shared" si="252"/>
        <v>44112</v>
      </c>
      <c r="ID11" s="86">
        <f t="shared" si="252"/>
        <v>44113</v>
      </c>
      <c r="IE11" s="86">
        <f t="shared" si="252"/>
        <v>44114</v>
      </c>
      <c r="IF11" s="86">
        <f t="shared" si="252"/>
        <v>44116</v>
      </c>
      <c r="IG11" s="86">
        <f t="shared" si="252"/>
        <v>44117</v>
      </c>
      <c r="IH11" s="86">
        <f t="shared" si="252"/>
        <v>44118</v>
      </c>
      <c r="II11" s="86">
        <f t="shared" si="252"/>
        <v>44119</v>
      </c>
      <c r="IJ11" s="86">
        <f t="shared" si="252"/>
        <v>44120</v>
      </c>
      <c r="IK11" s="86">
        <f t="shared" si="252"/>
        <v>44121</v>
      </c>
      <c r="IL11" s="86">
        <f t="shared" si="252"/>
        <v>44123</v>
      </c>
      <c r="IM11" s="86">
        <f t="shared" si="252"/>
        <v>44124</v>
      </c>
      <c r="IN11" s="86">
        <f t="shared" si="252"/>
        <v>44125</v>
      </c>
      <c r="IO11" s="86">
        <f t="shared" si="252"/>
        <v>44126</v>
      </c>
      <c r="IP11" s="86">
        <f t="shared" si="252"/>
        <v>44127</v>
      </c>
      <c r="IQ11" s="86">
        <f t="shared" si="252"/>
        <v>44128</v>
      </c>
      <c r="IR11" s="86">
        <f t="shared" ref="IR11:IW11" si="253">IR10</f>
        <v>44130</v>
      </c>
      <c r="IS11" s="86">
        <f t="shared" si="253"/>
        <v>44131</v>
      </c>
      <c r="IT11" s="86">
        <f t="shared" si="253"/>
        <v>44132</v>
      </c>
      <c r="IU11" s="86">
        <f t="shared" si="253"/>
        <v>44133</v>
      </c>
      <c r="IV11" s="86">
        <f t="shared" si="253"/>
        <v>44134</v>
      </c>
      <c r="IW11" s="86">
        <f t="shared" si="253"/>
        <v>44135</v>
      </c>
    </row>
    <row r="12" spans="1:257" s="14" customFormat="1" ht="14.4" thickBot="1">
      <c r="B12" s="9" t="s">
        <v>1</v>
      </c>
      <c r="C12" s="10" t="s">
        <v>7</v>
      </c>
      <c r="D12" s="11" t="s">
        <v>8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51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60"/>
      <c r="CD12" s="60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60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87"/>
      <c r="FY12" s="87"/>
      <c r="FZ12" s="87"/>
      <c r="GA12" s="87"/>
      <c r="GB12" s="87"/>
      <c r="GC12" s="87"/>
      <c r="GD12" s="87"/>
      <c r="GE12" s="87"/>
      <c r="GF12" s="87"/>
      <c r="GG12" s="87"/>
      <c r="GH12" s="87"/>
      <c r="GI12" s="87"/>
      <c r="GJ12" s="87"/>
      <c r="GK12" s="87"/>
      <c r="GL12" s="87"/>
      <c r="GM12" s="87"/>
      <c r="GN12" s="87"/>
      <c r="GO12" s="87"/>
      <c r="GP12" s="87"/>
      <c r="GQ12" s="87"/>
      <c r="GR12" s="87"/>
      <c r="GS12" s="87"/>
      <c r="GT12" s="87"/>
      <c r="GU12" s="87"/>
      <c r="GV12" s="87"/>
      <c r="GW12" s="87"/>
      <c r="GX12" s="87"/>
      <c r="GY12" s="87"/>
      <c r="GZ12" s="87"/>
      <c r="HA12" s="87"/>
      <c r="HB12" s="87"/>
      <c r="HC12" s="87"/>
      <c r="HD12" s="87"/>
      <c r="HE12" s="87"/>
      <c r="HF12" s="87"/>
      <c r="HG12" s="87"/>
      <c r="HH12" s="87"/>
      <c r="HI12" s="87"/>
      <c r="HJ12" s="87"/>
      <c r="HK12" s="87"/>
      <c r="HL12" s="87"/>
      <c r="HM12" s="87"/>
      <c r="HN12" s="87"/>
      <c r="HO12" s="87"/>
      <c r="HP12" s="87"/>
      <c r="HQ12" s="87"/>
      <c r="HR12" s="87"/>
      <c r="HS12" s="87"/>
      <c r="HT12" s="87"/>
      <c r="HU12" s="87"/>
      <c r="HV12" s="87"/>
      <c r="HW12" s="87"/>
      <c r="HX12" s="87"/>
      <c r="HY12" s="87"/>
      <c r="HZ12" s="87"/>
      <c r="IA12" s="87"/>
      <c r="IB12" s="87"/>
      <c r="IC12" s="87"/>
      <c r="ID12" s="87"/>
      <c r="IE12" s="87"/>
      <c r="IF12" s="87"/>
      <c r="IG12" s="87"/>
      <c r="IH12" s="87"/>
      <c r="II12" s="87"/>
      <c r="IJ12" s="87"/>
      <c r="IK12" s="87"/>
      <c r="IL12" s="87"/>
      <c r="IM12" s="87"/>
      <c r="IN12" s="87"/>
      <c r="IO12" s="87"/>
      <c r="IP12" s="87"/>
      <c r="IQ12" s="87"/>
      <c r="IR12" s="87"/>
      <c r="IS12" s="87"/>
      <c r="IT12" s="87"/>
      <c r="IU12" s="87"/>
      <c r="IV12" s="87"/>
      <c r="IW12" s="87"/>
    </row>
    <row r="13" spans="1:257" s="14" customFormat="1" ht="15" thickBot="1">
      <c r="B13" s="30">
        <v>1</v>
      </c>
      <c r="C13" s="33" t="s">
        <v>11</v>
      </c>
      <c r="D13" s="31"/>
      <c r="E13" s="32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9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87"/>
      <c r="BF13" s="87"/>
      <c r="BG13" s="87"/>
      <c r="BH13" s="87"/>
      <c r="BI13" s="87"/>
      <c r="BJ13" s="87"/>
      <c r="BK13" s="87"/>
      <c r="BL13" s="87"/>
      <c r="BM13" s="87"/>
      <c r="BN13" s="87"/>
      <c r="BO13" s="87"/>
      <c r="BP13" s="87"/>
      <c r="BQ13" s="87"/>
      <c r="BR13" s="87"/>
      <c r="BS13" s="87"/>
      <c r="BT13" s="87"/>
      <c r="BU13" s="87"/>
      <c r="BV13" s="87"/>
      <c r="BW13" s="87"/>
      <c r="BX13" s="87"/>
      <c r="BY13" s="87"/>
      <c r="BZ13" s="87"/>
      <c r="CA13" s="87"/>
      <c r="CB13" s="87"/>
      <c r="CC13" s="79"/>
      <c r="CD13" s="79"/>
      <c r="CE13" s="87"/>
      <c r="CF13" s="87"/>
      <c r="CG13" s="87"/>
      <c r="CH13" s="87"/>
      <c r="CI13" s="87"/>
      <c r="CJ13" s="87"/>
      <c r="CK13" s="87"/>
      <c r="CL13" s="87"/>
      <c r="CM13" s="87"/>
      <c r="CN13" s="87"/>
      <c r="CO13" s="87"/>
      <c r="CP13" s="87"/>
      <c r="CQ13" s="87"/>
      <c r="CR13" s="87"/>
      <c r="CS13" s="87"/>
      <c r="CT13" s="87"/>
      <c r="CU13" s="87"/>
      <c r="CV13" s="87"/>
      <c r="CW13" s="87"/>
      <c r="CX13" s="87"/>
      <c r="CY13" s="87"/>
      <c r="CZ13" s="87"/>
      <c r="DA13" s="87"/>
      <c r="DB13" s="87"/>
      <c r="DC13" s="87"/>
      <c r="DD13" s="87"/>
      <c r="DE13" s="87"/>
      <c r="DF13" s="87"/>
      <c r="DG13" s="87"/>
      <c r="DH13" s="87"/>
      <c r="DI13" s="87"/>
      <c r="DJ13" s="87"/>
      <c r="DK13" s="87"/>
      <c r="DL13" s="87"/>
      <c r="DM13" s="87"/>
      <c r="DN13" s="87"/>
      <c r="DO13" s="87"/>
      <c r="DP13" s="87"/>
      <c r="DQ13" s="87"/>
      <c r="DR13" s="87"/>
      <c r="DS13" s="87"/>
      <c r="DT13" s="87"/>
      <c r="DU13" s="87"/>
      <c r="DV13" s="87"/>
      <c r="DW13" s="87"/>
      <c r="DX13" s="87"/>
      <c r="DY13" s="87"/>
      <c r="DZ13" s="87"/>
      <c r="EA13" s="87"/>
      <c r="EB13" s="87"/>
      <c r="EC13" s="87"/>
      <c r="ED13" s="87"/>
      <c r="EE13" s="87"/>
      <c r="EF13" s="87"/>
      <c r="EG13" s="87"/>
      <c r="EH13" s="87"/>
      <c r="EI13" s="87"/>
      <c r="EJ13" s="87"/>
      <c r="EK13" s="87"/>
      <c r="EL13" s="87"/>
      <c r="EM13" s="87"/>
      <c r="EN13" s="87"/>
      <c r="EO13" s="87"/>
      <c r="EP13" s="87"/>
      <c r="EQ13" s="87"/>
      <c r="ER13" s="87"/>
      <c r="ES13" s="87"/>
      <c r="ET13" s="79"/>
      <c r="EU13" s="87"/>
      <c r="EV13" s="87"/>
      <c r="EW13" s="87"/>
      <c r="EX13" s="87"/>
      <c r="EY13" s="87"/>
      <c r="EZ13" s="87"/>
      <c r="FA13" s="87"/>
      <c r="FB13" s="87"/>
      <c r="FC13" s="87"/>
      <c r="FD13" s="87"/>
      <c r="FE13" s="87"/>
      <c r="FF13" s="87"/>
      <c r="FG13" s="87"/>
      <c r="FH13" s="87"/>
      <c r="FI13" s="87"/>
      <c r="FJ13" s="87"/>
      <c r="FK13" s="87"/>
      <c r="FL13" s="87"/>
      <c r="FM13" s="87"/>
      <c r="FN13" s="87"/>
      <c r="FO13" s="87"/>
      <c r="FP13" s="87"/>
      <c r="FQ13" s="87"/>
      <c r="FR13" s="87"/>
      <c r="FS13" s="87"/>
      <c r="FT13" s="87"/>
      <c r="FU13" s="87"/>
      <c r="FV13" s="87"/>
      <c r="FW13" s="87"/>
      <c r="FX13" s="87"/>
      <c r="FY13" s="87"/>
      <c r="FZ13" s="87"/>
      <c r="GA13" s="87"/>
      <c r="GB13" s="87"/>
      <c r="GC13" s="87"/>
      <c r="GD13" s="87"/>
      <c r="GE13" s="87"/>
      <c r="GF13" s="87"/>
      <c r="GG13" s="87"/>
      <c r="GH13" s="87"/>
      <c r="GI13" s="87"/>
      <c r="GJ13" s="87"/>
      <c r="GK13" s="87"/>
      <c r="GL13" s="87"/>
      <c r="GM13" s="87"/>
      <c r="GN13" s="87"/>
      <c r="GO13" s="87"/>
      <c r="GP13" s="87"/>
      <c r="GQ13" s="87"/>
      <c r="GR13" s="87"/>
      <c r="GS13" s="87"/>
      <c r="GT13" s="87"/>
      <c r="GU13" s="87"/>
      <c r="GV13" s="87"/>
      <c r="GW13" s="87"/>
      <c r="GX13" s="87"/>
      <c r="GY13" s="87"/>
      <c r="GZ13" s="87"/>
      <c r="HA13" s="87"/>
      <c r="HB13" s="87"/>
      <c r="HC13" s="87"/>
      <c r="HD13" s="87"/>
      <c r="HE13" s="87"/>
      <c r="HF13" s="87"/>
      <c r="HG13" s="87"/>
      <c r="HH13" s="87"/>
      <c r="HI13" s="87"/>
      <c r="HJ13" s="87"/>
      <c r="HK13" s="87"/>
      <c r="HL13" s="87"/>
      <c r="HM13" s="87"/>
      <c r="HN13" s="87"/>
      <c r="HO13" s="87"/>
      <c r="HP13" s="87"/>
      <c r="HQ13" s="87"/>
      <c r="HR13" s="87"/>
      <c r="HS13" s="87"/>
      <c r="HT13" s="87"/>
      <c r="HU13" s="87"/>
      <c r="HV13" s="87"/>
      <c r="HW13" s="87"/>
      <c r="HX13" s="87"/>
      <c r="HY13" s="87"/>
      <c r="HZ13" s="87"/>
      <c r="IA13" s="87"/>
      <c r="IB13" s="87"/>
      <c r="IC13" s="87"/>
      <c r="ID13" s="87"/>
      <c r="IE13" s="87"/>
      <c r="IF13" s="87"/>
      <c r="IG13" s="87"/>
      <c r="IH13" s="87"/>
      <c r="II13" s="87"/>
      <c r="IJ13" s="87"/>
      <c r="IK13" s="87"/>
      <c r="IL13" s="87"/>
      <c r="IM13" s="87"/>
      <c r="IN13" s="87"/>
      <c r="IO13" s="87"/>
      <c r="IP13" s="87"/>
      <c r="IQ13" s="87"/>
      <c r="IR13" s="87"/>
      <c r="IS13" s="87"/>
      <c r="IT13" s="87"/>
      <c r="IU13" s="87"/>
      <c r="IV13" s="87"/>
      <c r="IW13" s="87"/>
    </row>
    <row r="14" spans="1:257" s="14" customFormat="1" ht="15.6">
      <c r="B14" s="30">
        <v>1.01</v>
      </c>
      <c r="C14" s="38" t="s">
        <v>134</v>
      </c>
      <c r="D14" s="31"/>
      <c r="E14" s="32"/>
      <c r="F14" s="88"/>
      <c r="G14" s="88"/>
      <c r="H14" s="48"/>
      <c r="I14" s="48"/>
      <c r="J14" s="48"/>
      <c r="K14" s="48"/>
      <c r="L14" s="48"/>
      <c r="M14" s="48"/>
      <c r="N14" s="48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88"/>
      <c r="AH14" s="88"/>
      <c r="AI14" s="88"/>
      <c r="AJ14" s="88"/>
      <c r="AK14" s="88"/>
      <c r="AL14" s="88"/>
      <c r="AM14" s="88"/>
      <c r="AN14" s="88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87"/>
      <c r="BK14" s="87"/>
      <c r="BL14" s="87"/>
      <c r="BM14" s="87"/>
      <c r="BN14" s="87"/>
      <c r="BO14" s="87"/>
      <c r="BP14" s="87"/>
      <c r="BQ14" s="87"/>
      <c r="BR14" s="87"/>
      <c r="BS14" s="87"/>
      <c r="BT14" s="87"/>
      <c r="BU14" s="87"/>
      <c r="BV14" s="87"/>
      <c r="BW14" s="87"/>
      <c r="BX14" s="87"/>
      <c r="BY14" s="87"/>
      <c r="BZ14" s="87"/>
      <c r="CA14" s="87"/>
      <c r="CB14" s="87"/>
      <c r="CC14" s="79"/>
      <c r="CD14" s="79"/>
      <c r="CE14" s="87"/>
      <c r="CF14" s="87"/>
      <c r="CG14" s="87"/>
      <c r="CH14" s="87"/>
      <c r="CI14" s="87"/>
      <c r="CJ14" s="87"/>
      <c r="CK14" s="87"/>
      <c r="CL14" s="87"/>
      <c r="CM14" s="87"/>
      <c r="CN14" s="87"/>
      <c r="CO14" s="87"/>
      <c r="CP14" s="87"/>
      <c r="CQ14" s="87"/>
      <c r="CR14" s="87"/>
      <c r="CS14" s="87"/>
      <c r="CT14" s="87"/>
      <c r="CU14" s="87"/>
      <c r="CV14" s="87"/>
      <c r="CW14" s="87"/>
      <c r="CX14" s="87"/>
      <c r="CY14" s="87"/>
      <c r="CZ14" s="87"/>
      <c r="DA14" s="87"/>
      <c r="DB14" s="87"/>
      <c r="DC14" s="87"/>
      <c r="DD14" s="87"/>
      <c r="DE14" s="87"/>
      <c r="DF14" s="87"/>
      <c r="DG14" s="87"/>
      <c r="DH14" s="87"/>
      <c r="DI14" s="87"/>
      <c r="DJ14" s="87"/>
      <c r="DK14" s="87"/>
      <c r="DL14" s="87"/>
      <c r="DM14" s="87"/>
      <c r="DN14" s="87"/>
      <c r="DO14" s="87"/>
      <c r="DP14" s="87"/>
      <c r="DQ14" s="87"/>
      <c r="DR14" s="87"/>
      <c r="DS14" s="87"/>
      <c r="DT14" s="87"/>
      <c r="DU14" s="87"/>
      <c r="DV14" s="87"/>
      <c r="DW14" s="87"/>
      <c r="DX14" s="87"/>
      <c r="DY14" s="87"/>
      <c r="DZ14" s="87"/>
      <c r="EA14" s="87"/>
      <c r="EB14" s="87"/>
      <c r="EC14" s="87"/>
      <c r="ED14" s="87"/>
      <c r="EE14" s="87"/>
      <c r="EF14" s="87"/>
      <c r="EG14" s="87"/>
      <c r="EH14" s="87"/>
      <c r="EI14" s="87"/>
      <c r="EJ14" s="87"/>
      <c r="EK14" s="87"/>
      <c r="EL14" s="87"/>
      <c r="EM14" s="87"/>
      <c r="EN14" s="87"/>
      <c r="EO14" s="87"/>
      <c r="EP14" s="87"/>
      <c r="EQ14" s="87"/>
      <c r="ER14" s="87"/>
      <c r="ES14" s="87"/>
      <c r="ET14" s="79"/>
      <c r="EU14" s="87"/>
      <c r="EV14" s="87"/>
      <c r="EW14" s="87"/>
      <c r="EX14" s="87"/>
      <c r="EY14" s="87"/>
      <c r="EZ14" s="87"/>
      <c r="FA14" s="87"/>
      <c r="FB14" s="87"/>
      <c r="FC14" s="87"/>
      <c r="FD14" s="87"/>
      <c r="FE14" s="87"/>
      <c r="FF14" s="87"/>
      <c r="FG14" s="87"/>
      <c r="FH14" s="87"/>
      <c r="FI14" s="87"/>
      <c r="FJ14" s="87"/>
      <c r="FK14" s="87"/>
      <c r="FL14" s="87"/>
      <c r="FM14" s="87"/>
      <c r="FN14" s="87"/>
      <c r="FO14" s="87"/>
      <c r="FP14" s="87"/>
      <c r="FQ14" s="87"/>
      <c r="FR14" s="87"/>
      <c r="FS14" s="87"/>
      <c r="FT14" s="87"/>
      <c r="FU14" s="87"/>
      <c r="FV14" s="87"/>
      <c r="FW14" s="87"/>
      <c r="FX14" s="87"/>
      <c r="FY14" s="87"/>
      <c r="FZ14" s="87"/>
      <c r="GA14" s="87"/>
      <c r="GB14" s="87"/>
      <c r="GC14" s="87"/>
      <c r="GD14" s="87"/>
      <c r="GE14" s="87"/>
      <c r="GF14" s="87"/>
      <c r="GG14" s="87"/>
      <c r="GH14" s="87"/>
      <c r="GI14" s="87"/>
      <c r="GJ14" s="87"/>
      <c r="GK14" s="87"/>
      <c r="GL14" s="87"/>
      <c r="GM14" s="87"/>
      <c r="GN14" s="87"/>
      <c r="GO14" s="87"/>
      <c r="GP14" s="87"/>
      <c r="GQ14" s="87"/>
      <c r="GR14" s="87"/>
      <c r="GS14" s="87"/>
      <c r="GT14" s="87"/>
      <c r="GU14" s="87"/>
      <c r="GV14" s="87"/>
      <c r="GW14" s="87"/>
      <c r="GX14" s="87"/>
      <c r="GY14" s="87"/>
      <c r="GZ14" s="87"/>
      <c r="HA14" s="87"/>
      <c r="HB14" s="87"/>
      <c r="HC14" s="87"/>
      <c r="HD14" s="87"/>
      <c r="HE14" s="87"/>
      <c r="HF14" s="87"/>
      <c r="HG14" s="87"/>
      <c r="HH14" s="87"/>
      <c r="HI14" s="87"/>
      <c r="HJ14" s="87"/>
      <c r="HK14" s="87"/>
      <c r="HL14" s="87"/>
      <c r="HM14" s="87"/>
      <c r="HN14" s="87"/>
      <c r="HO14" s="87"/>
      <c r="HP14" s="87"/>
      <c r="HQ14" s="87"/>
      <c r="HR14" s="87"/>
      <c r="HS14" s="87"/>
      <c r="HT14" s="87"/>
      <c r="HU14" s="87"/>
      <c r="HV14" s="87"/>
      <c r="HW14" s="87"/>
      <c r="HX14" s="87"/>
      <c r="HY14" s="87"/>
      <c r="HZ14" s="87"/>
      <c r="IA14" s="87"/>
      <c r="IB14" s="87"/>
      <c r="IC14" s="87"/>
      <c r="ID14" s="87"/>
      <c r="IE14" s="87"/>
      <c r="IF14" s="87"/>
      <c r="IG14" s="87"/>
      <c r="IH14" s="87"/>
      <c r="II14" s="87"/>
      <c r="IJ14" s="87"/>
      <c r="IK14" s="87"/>
      <c r="IL14" s="87"/>
      <c r="IM14" s="87"/>
      <c r="IN14" s="87"/>
      <c r="IO14" s="87"/>
      <c r="IP14" s="87"/>
      <c r="IQ14" s="87"/>
      <c r="IR14" s="87"/>
      <c r="IS14" s="87"/>
      <c r="IT14" s="87"/>
      <c r="IU14" s="87"/>
      <c r="IV14" s="87"/>
      <c r="IW14" s="87"/>
    </row>
    <row r="15" spans="1:257" s="14" customFormat="1" ht="15.6">
      <c r="B15" s="30">
        <v>1.01</v>
      </c>
      <c r="C15" s="38" t="s">
        <v>135</v>
      </c>
      <c r="D15" s="31"/>
      <c r="E15" s="32"/>
      <c r="F15" s="88"/>
      <c r="G15" s="88"/>
      <c r="H15" s="88"/>
      <c r="I15" s="49"/>
      <c r="J15" s="49"/>
      <c r="K15" s="49"/>
      <c r="L15" s="49"/>
      <c r="M15" s="49"/>
      <c r="N15" s="49"/>
      <c r="O15" s="48"/>
      <c r="P15" s="48"/>
      <c r="Q15" s="48"/>
      <c r="R15" s="48"/>
      <c r="S15" s="48"/>
      <c r="T15" s="48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88"/>
      <c r="AH15" s="88"/>
      <c r="AI15" s="88"/>
      <c r="AJ15" s="88"/>
      <c r="AK15" s="88"/>
      <c r="AL15" s="88"/>
      <c r="AM15" s="88"/>
      <c r="AN15" s="88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87"/>
      <c r="BK15" s="87"/>
      <c r="BL15" s="87"/>
      <c r="BM15" s="87"/>
      <c r="BN15" s="87"/>
      <c r="BO15" s="87"/>
      <c r="BP15" s="87"/>
      <c r="BQ15" s="87"/>
      <c r="BR15" s="87"/>
      <c r="BS15" s="87"/>
      <c r="BT15" s="87"/>
      <c r="BU15" s="87"/>
      <c r="BV15" s="87"/>
      <c r="BW15" s="87"/>
      <c r="BX15" s="87"/>
      <c r="BY15" s="87"/>
      <c r="BZ15" s="87"/>
      <c r="CA15" s="87"/>
      <c r="CB15" s="87"/>
      <c r="CC15" s="79"/>
      <c r="CD15" s="79"/>
      <c r="CE15" s="87"/>
      <c r="CF15" s="87"/>
      <c r="CG15" s="87"/>
      <c r="CH15" s="87"/>
      <c r="CI15" s="87"/>
      <c r="CJ15" s="87"/>
      <c r="CK15" s="87"/>
      <c r="CL15" s="87"/>
      <c r="CM15" s="87"/>
      <c r="CN15" s="87"/>
      <c r="CO15" s="87"/>
      <c r="CP15" s="87"/>
      <c r="CQ15" s="87"/>
      <c r="CR15" s="87"/>
      <c r="CS15" s="87"/>
      <c r="CT15" s="87"/>
      <c r="CU15" s="87"/>
      <c r="CV15" s="87"/>
      <c r="CW15" s="87"/>
      <c r="CX15" s="87"/>
      <c r="CY15" s="87"/>
      <c r="CZ15" s="87"/>
      <c r="DA15" s="87"/>
      <c r="DB15" s="87"/>
      <c r="DC15" s="87"/>
      <c r="DD15" s="87"/>
      <c r="DE15" s="87"/>
      <c r="DF15" s="87"/>
      <c r="DG15" s="87"/>
      <c r="DH15" s="87"/>
      <c r="DI15" s="87"/>
      <c r="DJ15" s="87"/>
      <c r="DK15" s="87"/>
      <c r="DL15" s="87"/>
      <c r="DM15" s="87"/>
      <c r="DN15" s="87"/>
      <c r="DO15" s="87"/>
      <c r="DP15" s="87"/>
      <c r="DQ15" s="87"/>
      <c r="DR15" s="87"/>
      <c r="DS15" s="87"/>
      <c r="DT15" s="87"/>
      <c r="DU15" s="87"/>
      <c r="DV15" s="87"/>
      <c r="DW15" s="87"/>
      <c r="DX15" s="87"/>
      <c r="DY15" s="87"/>
      <c r="DZ15" s="87"/>
      <c r="EA15" s="87"/>
      <c r="EB15" s="87"/>
      <c r="EC15" s="87"/>
      <c r="ED15" s="87"/>
      <c r="EE15" s="87"/>
      <c r="EF15" s="87"/>
      <c r="EG15" s="87"/>
      <c r="EH15" s="87"/>
      <c r="EI15" s="87"/>
      <c r="EJ15" s="87"/>
      <c r="EK15" s="87"/>
      <c r="EL15" s="87"/>
      <c r="EM15" s="87"/>
      <c r="EN15" s="87"/>
      <c r="EO15" s="87"/>
      <c r="EP15" s="87"/>
      <c r="EQ15" s="87"/>
      <c r="ER15" s="87"/>
      <c r="ES15" s="87"/>
      <c r="ET15" s="79"/>
      <c r="EU15" s="87"/>
      <c r="EV15" s="87"/>
      <c r="EW15" s="87"/>
      <c r="EX15" s="87"/>
      <c r="EY15" s="87"/>
      <c r="EZ15" s="87"/>
      <c r="FA15" s="87"/>
      <c r="FB15" s="87"/>
      <c r="FC15" s="87"/>
      <c r="FD15" s="87"/>
      <c r="FE15" s="87"/>
      <c r="FF15" s="87"/>
      <c r="FG15" s="87"/>
      <c r="FH15" s="87"/>
      <c r="FI15" s="87"/>
      <c r="FJ15" s="87"/>
      <c r="FK15" s="87"/>
      <c r="FL15" s="87"/>
      <c r="FM15" s="87"/>
      <c r="FN15" s="87"/>
      <c r="FO15" s="87"/>
      <c r="FP15" s="87"/>
      <c r="FQ15" s="87"/>
      <c r="FR15" s="87"/>
      <c r="FS15" s="87"/>
      <c r="FT15" s="87"/>
      <c r="FU15" s="87"/>
      <c r="FV15" s="87"/>
      <c r="FW15" s="87"/>
      <c r="FX15" s="87"/>
      <c r="FY15" s="87"/>
      <c r="FZ15" s="87"/>
      <c r="GA15" s="87"/>
      <c r="GB15" s="87"/>
      <c r="GC15" s="87"/>
      <c r="GD15" s="87"/>
      <c r="GE15" s="87"/>
      <c r="GF15" s="87"/>
      <c r="GG15" s="87"/>
      <c r="GH15" s="87"/>
      <c r="GI15" s="87"/>
      <c r="GJ15" s="87"/>
      <c r="GK15" s="87"/>
      <c r="GL15" s="87"/>
      <c r="GM15" s="87"/>
      <c r="GN15" s="87"/>
      <c r="GO15" s="87"/>
      <c r="GP15" s="87"/>
      <c r="GQ15" s="87"/>
      <c r="GR15" s="87"/>
      <c r="GS15" s="87"/>
      <c r="GT15" s="87"/>
      <c r="GU15" s="87"/>
      <c r="GV15" s="87"/>
      <c r="GW15" s="87"/>
      <c r="GX15" s="87"/>
      <c r="GY15" s="87"/>
      <c r="GZ15" s="87"/>
      <c r="HA15" s="87"/>
      <c r="HB15" s="87"/>
      <c r="HC15" s="87"/>
      <c r="HD15" s="87"/>
      <c r="HE15" s="87"/>
      <c r="HF15" s="87"/>
      <c r="HG15" s="87"/>
      <c r="HH15" s="87"/>
      <c r="HI15" s="87"/>
      <c r="HJ15" s="87"/>
      <c r="HK15" s="87"/>
      <c r="HL15" s="87"/>
      <c r="HM15" s="87"/>
      <c r="HN15" s="87"/>
      <c r="HO15" s="87"/>
      <c r="HP15" s="87"/>
      <c r="HQ15" s="87"/>
      <c r="HR15" s="87"/>
      <c r="HS15" s="87"/>
      <c r="HT15" s="87"/>
      <c r="HU15" s="87"/>
      <c r="HV15" s="87"/>
      <c r="HW15" s="87"/>
      <c r="HX15" s="87"/>
      <c r="HY15" s="87"/>
      <c r="HZ15" s="87"/>
      <c r="IA15" s="87"/>
      <c r="IB15" s="87"/>
      <c r="IC15" s="87"/>
      <c r="ID15" s="87"/>
      <c r="IE15" s="87"/>
      <c r="IF15" s="87"/>
      <c r="IG15" s="87"/>
      <c r="IH15" s="87"/>
      <c r="II15" s="87"/>
      <c r="IJ15" s="87"/>
      <c r="IK15" s="87"/>
      <c r="IL15" s="87"/>
      <c r="IM15" s="87"/>
      <c r="IN15" s="87"/>
      <c r="IO15" s="87"/>
      <c r="IP15" s="87"/>
      <c r="IQ15" s="87"/>
      <c r="IR15" s="87"/>
      <c r="IS15" s="87"/>
      <c r="IT15" s="87"/>
      <c r="IU15" s="87"/>
      <c r="IV15" s="87"/>
      <c r="IW15" s="87"/>
    </row>
    <row r="16" spans="1:257" s="14" customFormat="1" ht="15.6">
      <c r="B16" s="30">
        <v>1.01</v>
      </c>
      <c r="C16" s="38" t="s">
        <v>136</v>
      </c>
      <c r="D16" s="31"/>
      <c r="E16" s="32"/>
      <c r="F16" s="88"/>
      <c r="G16" s="88"/>
      <c r="H16" s="88"/>
      <c r="I16" s="49"/>
      <c r="J16" s="49"/>
      <c r="K16" s="49"/>
      <c r="L16" s="49"/>
      <c r="M16" s="49"/>
      <c r="N16" s="49"/>
      <c r="O16" s="49"/>
      <c r="P16" s="49"/>
      <c r="Q16" s="48"/>
      <c r="R16" s="48"/>
      <c r="S16" s="48"/>
      <c r="T16" s="48"/>
      <c r="U16" s="48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88"/>
      <c r="AH16" s="88"/>
      <c r="AI16" s="88"/>
      <c r="AJ16" s="88"/>
      <c r="AK16" s="88"/>
      <c r="AL16" s="88"/>
      <c r="AM16" s="88"/>
      <c r="AN16" s="88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87"/>
      <c r="BK16" s="87"/>
      <c r="BL16" s="87"/>
      <c r="BM16" s="87"/>
      <c r="BN16" s="87"/>
      <c r="BO16" s="87"/>
      <c r="BP16" s="87"/>
      <c r="BQ16" s="87"/>
      <c r="BR16" s="87"/>
      <c r="BS16" s="87"/>
      <c r="BT16" s="87"/>
      <c r="BU16" s="87"/>
      <c r="BV16" s="87"/>
      <c r="BW16" s="87"/>
      <c r="BX16" s="87"/>
      <c r="BY16" s="87"/>
      <c r="BZ16" s="87"/>
      <c r="CA16" s="87"/>
      <c r="CB16" s="87"/>
      <c r="CC16" s="79"/>
      <c r="CD16" s="79"/>
      <c r="CE16" s="87"/>
      <c r="CF16" s="87"/>
      <c r="CG16" s="87"/>
      <c r="CH16" s="87"/>
      <c r="CI16" s="87"/>
      <c r="CJ16" s="87"/>
      <c r="CK16" s="87"/>
      <c r="CL16" s="87"/>
      <c r="CM16" s="87"/>
      <c r="CN16" s="87"/>
      <c r="CO16" s="87"/>
      <c r="CP16" s="87"/>
      <c r="CQ16" s="87"/>
      <c r="CR16" s="87"/>
      <c r="CS16" s="87"/>
      <c r="CT16" s="87"/>
      <c r="CU16" s="87"/>
      <c r="CV16" s="87"/>
      <c r="CW16" s="87"/>
      <c r="CX16" s="87"/>
      <c r="CY16" s="87"/>
      <c r="CZ16" s="87"/>
      <c r="DA16" s="87"/>
      <c r="DB16" s="87"/>
      <c r="DC16" s="87"/>
      <c r="DD16" s="87"/>
      <c r="DE16" s="87"/>
      <c r="DF16" s="87"/>
      <c r="DG16" s="87"/>
      <c r="DH16" s="87"/>
      <c r="DI16" s="87"/>
      <c r="DJ16" s="87"/>
      <c r="DK16" s="87"/>
      <c r="DL16" s="87"/>
      <c r="DM16" s="87"/>
      <c r="DN16" s="87"/>
      <c r="DO16" s="87"/>
      <c r="DP16" s="87"/>
      <c r="DQ16" s="87"/>
      <c r="DR16" s="87"/>
      <c r="DS16" s="87"/>
      <c r="DT16" s="87"/>
      <c r="DU16" s="87"/>
      <c r="DV16" s="87"/>
      <c r="DW16" s="87"/>
      <c r="DX16" s="87"/>
      <c r="DY16" s="87"/>
      <c r="DZ16" s="87"/>
      <c r="EA16" s="87"/>
      <c r="EB16" s="87"/>
      <c r="EC16" s="87"/>
      <c r="ED16" s="87"/>
      <c r="EE16" s="87"/>
      <c r="EF16" s="87"/>
      <c r="EG16" s="87"/>
      <c r="EH16" s="87"/>
      <c r="EI16" s="87"/>
      <c r="EJ16" s="87"/>
      <c r="EK16" s="87"/>
      <c r="EL16" s="87"/>
      <c r="EM16" s="87"/>
      <c r="EN16" s="87"/>
      <c r="EO16" s="87"/>
      <c r="EP16" s="87"/>
      <c r="EQ16" s="87"/>
      <c r="ER16" s="87"/>
      <c r="ES16" s="87"/>
      <c r="ET16" s="79"/>
      <c r="EU16" s="87"/>
      <c r="EV16" s="87"/>
      <c r="EW16" s="87"/>
      <c r="EX16" s="87"/>
      <c r="EY16" s="87"/>
      <c r="EZ16" s="87"/>
      <c r="FA16" s="87"/>
      <c r="FB16" s="87"/>
      <c r="FC16" s="87"/>
      <c r="FD16" s="87"/>
      <c r="FE16" s="87"/>
      <c r="FF16" s="87"/>
      <c r="FG16" s="87"/>
      <c r="FH16" s="87"/>
      <c r="FI16" s="87"/>
      <c r="FJ16" s="87"/>
      <c r="FK16" s="87"/>
      <c r="FL16" s="87"/>
      <c r="FM16" s="87"/>
      <c r="FN16" s="87"/>
      <c r="FO16" s="87"/>
      <c r="FP16" s="87"/>
      <c r="FQ16" s="87"/>
      <c r="FR16" s="87"/>
      <c r="FS16" s="87"/>
      <c r="FT16" s="87"/>
      <c r="FU16" s="87"/>
      <c r="FV16" s="87"/>
      <c r="FW16" s="87"/>
      <c r="FX16" s="87"/>
      <c r="FY16" s="87"/>
      <c r="FZ16" s="87"/>
      <c r="GA16" s="87"/>
      <c r="GB16" s="87"/>
      <c r="GC16" s="87"/>
      <c r="GD16" s="87"/>
      <c r="GE16" s="87"/>
      <c r="GF16" s="87"/>
      <c r="GG16" s="87"/>
      <c r="GH16" s="87"/>
      <c r="GI16" s="87"/>
      <c r="GJ16" s="87"/>
      <c r="GK16" s="87"/>
      <c r="GL16" s="87"/>
      <c r="GM16" s="87"/>
      <c r="GN16" s="87"/>
      <c r="GO16" s="87"/>
      <c r="GP16" s="87"/>
      <c r="GQ16" s="87"/>
      <c r="GR16" s="87"/>
      <c r="GS16" s="87"/>
      <c r="GT16" s="87"/>
      <c r="GU16" s="87"/>
      <c r="GV16" s="87"/>
      <c r="GW16" s="87"/>
      <c r="GX16" s="87"/>
      <c r="GY16" s="87"/>
      <c r="GZ16" s="87"/>
      <c r="HA16" s="87"/>
      <c r="HB16" s="87"/>
      <c r="HC16" s="87"/>
      <c r="HD16" s="87"/>
      <c r="HE16" s="87"/>
      <c r="HF16" s="87"/>
      <c r="HG16" s="87"/>
      <c r="HH16" s="87"/>
      <c r="HI16" s="87"/>
      <c r="HJ16" s="87"/>
      <c r="HK16" s="87"/>
      <c r="HL16" s="87"/>
      <c r="HM16" s="87"/>
      <c r="HN16" s="87"/>
      <c r="HO16" s="87"/>
      <c r="HP16" s="87"/>
      <c r="HQ16" s="87"/>
      <c r="HR16" s="87"/>
      <c r="HS16" s="87"/>
      <c r="HT16" s="87"/>
      <c r="HU16" s="87"/>
      <c r="HV16" s="87"/>
      <c r="HW16" s="87"/>
      <c r="HX16" s="87"/>
      <c r="HY16" s="87"/>
      <c r="HZ16" s="87"/>
      <c r="IA16" s="87"/>
      <c r="IB16" s="87"/>
      <c r="IC16" s="87"/>
      <c r="ID16" s="87"/>
      <c r="IE16" s="87"/>
      <c r="IF16" s="87"/>
      <c r="IG16" s="87"/>
      <c r="IH16" s="87"/>
      <c r="II16" s="87"/>
      <c r="IJ16" s="87"/>
      <c r="IK16" s="87"/>
      <c r="IL16" s="87"/>
      <c r="IM16" s="87"/>
      <c r="IN16" s="87"/>
      <c r="IO16" s="87"/>
      <c r="IP16" s="87"/>
      <c r="IQ16" s="87"/>
      <c r="IR16" s="87"/>
      <c r="IS16" s="87"/>
      <c r="IT16" s="87"/>
      <c r="IU16" s="87"/>
      <c r="IV16" s="87"/>
      <c r="IW16" s="87"/>
    </row>
    <row r="17" spans="2:257" s="14" customFormat="1" ht="15.6">
      <c r="B17" s="30">
        <v>1.01</v>
      </c>
      <c r="C17" s="38" t="s">
        <v>137</v>
      </c>
      <c r="D17" s="31"/>
      <c r="E17" s="32"/>
      <c r="F17" s="88"/>
      <c r="G17" s="88"/>
      <c r="H17" s="88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8"/>
      <c r="U17" s="48"/>
      <c r="V17" s="48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88"/>
      <c r="AH17" s="88"/>
      <c r="AI17" s="88"/>
      <c r="AJ17" s="88"/>
      <c r="AK17" s="88"/>
      <c r="AL17" s="88"/>
      <c r="AM17" s="88"/>
      <c r="AN17" s="88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87"/>
      <c r="BK17" s="87"/>
      <c r="BL17" s="87"/>
      <c r="BM17" s="87"/>
      <c r="BN17" s="87"/>
      <c r="BO17" s="87"/>
      <c r="BP17" s="87"/>
      <c r="BQ17" s="87"/>
      <c r="BR17" s="87"/>
      <c r="BS17" s="87"/>
      <c r="BT17" s="87"/>
      <c r="BU17" s="87"/>
      <c r="BV17" s="87"/>
      <c r="BW17" s="87"/>
      <c r="BX17" s="87"/>
      <c r="BY17" s="87"/>
      <c r="BZ17" s="87"/>
      <c r="CA17" s="87"/>
      <c r="CB17" s="87"/>
      <c r="CC17" s="79"/>
      <c r="CD17" s="79"/>
      <c r="CE17" s="87"/>
      <c r="CF17" s="87"/>
      <c r="CG17" s="87"/>
      <c r="CH17" s="87"/>
      <c r="CI17" s="87"/>
      <c r="CJ17" s="87"/>
      <c r="CK17" s="87"/>
      <c r="CL17" s="87"/>
      <c r="CM17" s="87"/>
      <c r="CN17" s="87"/>
      <c r="CO17" s="87"/>
      <c r="CP17" s="87"/>
      <c r="CQ17" s="87"/>
      <c r="CR17" s="87"/>
      <c r="CS17" s="87"/>
      <c r="CT17" s="87"/>
      <c r="CU17" s="87"/>
      <c r="CV17" s="87"/>
      <c r="CW17" s="87"/>
      <c r="CX17" s="87"/>
      <c r="CY17" s="87"/>
      <c r="CZ17" s="87"/>
      <c r="DA17" s="87"/>
      <c r="DB17" s="87"/>
      <c r="DC17" s="87"/>
      <c r="DD17" s="87"/>
      <c r="DE17" s="87"/>
      <c r="DF17" s="87"/>
      <c r="DG17" s="87"/>
      <c r="DH17" s="87"/>
      <c r="DI17" s="87"/>
      <c r="DJ17" s="87"/>
      <c r="DK17" s="87"/>
      <c r="DL17" s="87"/>
      <c r="DM17" s="87"/>
      <c r="DN17" s="87"/>
      <c r="DO17" s="87"/>
      <c r="DP17" s="87"/>
      <c r="DQ17" s="87"/>
      <c r="DR17" s="87"/>
      <c r="DS17" s="87"/>
      <c r="DT17" s="87"/>
      <c r="DU17" s="87"/>
      <c r="DV17" s="87"/>
      <c r="DW17" s="87"/>
      <c r="DX17" s="87"/>
      <c r="DY17" s="87"/>
      <c r="DZ17" s="87"/>
      <c r="EA17" s="87"/>
      <c r="EB17" s="87"/>
      <c r="EC17" s="87"/>
      <c r="ED17" s="87"/>
      <c r="EE17" s="87"/>
      <c r="EF17" s="87"/>
      <c r="EG17" s="87"/>
      <c r="EH17" s="87"/>
      <c r="EI17" s="87"/>
      <c r="EJ17" s="87"/>
      <c r="EK17" s="87"/>
      <c r="EL17" s="87"/>
      <c r="EM17" s="87"/>
      <c r="EN17" s="87"/>
      <c r="EO17" s="87"/>
      <c r="EP17" s="87"/>
      <c r="EQ17" s="87"/>
      <c r="ER17" s="87"/>
      <c r="ES17" s="87"/>
      <c r="ET17" s="79"/>
      <c r="EU17" s="87"/>
      <c r="EV17" s="87"/>
      <c r="EW17" s="87"/>
      <c r="EX17" s="87"/>
      <c r="EY17" s="87"/>
      <c r="EZ17" s="87"/>
      <c r="FA17" s="87"/>
      <c r="FB17" s="87"/>
      <c r="FC17" s="87"/>
      <c r="FD17" s="87"/>
      <c r="FE17" s="87"/>
      <c r="FF17" s="87"/>
      <c r="FG17" s="87"/>
      <c r="FH17" s="87"/>
      <c r="FI17" s="87"/>
      <c r="FJ17" s="87"/>
      <c r="FK17" s="87"/>
      <c r="FL17" s="87"/>
      <c r="FM17" s="87"/>
      <c r="FN17" s="87"/>
      <c r="FO17" s="87"/>
      <c r="FP17" s="87"/>
      <c r="FQ17" s="87"/>
      <c r="FR17" s="87"/>
      <c r="FS17" s="87"/>
      <c r="FT17" s="87"/>
      <c r="FU17" s="87"/>
      <c r="FV17" s="87"/>
      <c r="FW17" s="87"/>
      <c r="FX17" s="87"/>
      <c r="FY17" s="87"/>
      <c r="FZ17" s="87"/>
      <c r="GA17" s="87"/>
      <c r="GB17" s="87"/>
      <c r="GC17" s="87"/>
      <c r="GD17" s="87"/>
      <c r="GE17" s="87"/>
      <c r="GF17" s="87"/>
      <c r="GG17" s="87"/>
      <c r="GH17" s="87"/>
      <c r="GI17" s="87"/>
      <c r="GJ17" s="87"/>
      <c r="GK17" s="87"/>
      <c r="GL17" s="87"/>
      <c r="GM17" s="87"/>
      <c r="GN17" s="87"/>
      <c r="GO17" s="87"/>
      <c r="GP17" s="87"/>
      <c r="GQ17" s="87"/>
      <c r="GR17" s="87"/>
      <c r="GS17" s="87"/>
      <c r="GT17" s="87"/>
      <c r="GU17" s="87"/>
      <c r="GV17" s="87"/>
      <c r="GW17" s="87"/>
      <c r="GX17" s="87"/>
      <c r="GY17" s="87"/>
      <c r="GZ17" s="87"/>
      <c r="HA17" s="87"/>
      <c r="HB17" s="87"/>
      <c r="HC17" s="87"/>
      <c r="HD17" s="87"/>
      <c r="HE17" s="87"/>
      <c r="HF17" s="87"/>
      <c r="HG17" s="87"/>
      <c r="HH17" s="87"/>
      <c r="HI17" s="87"/>
      <c r="HJ17" s="87"/>
      <c r="HK17" s="87"/>
      <c r="HL17" s="87"/>
      <c r="HM17" s="87"/>
      <c r="HN17" s="87"/>
      <c r="HO17" s="87"/>
      <c r="HP17" s="87"/>
      <c r="HQ17" s="87"/>
      <c r="HR17" s="87"/>
      <c r="HS17" s="87"/>
      <c r="HT17" s="87"/>
      <c r="HU17" s="87"/>
      <c r="HV17" s="87"/>
      <c r="HW17" s="87"/>
      <c r="HX17" s="87"/>
      <c r="HY17" s="87"/>
      <c r="HZ17" s="87"/>
      <c r="IA17" s="87"/>
      <c r="IB17" s="87"/>
      <c r="IC17" s="87"/>
      <c r="ID17" s="87"/>
      <c r="IE17" s="87"/>
      <c r="IF17" s="87"/>
      <c r="IG17" s="87"/>
      <c r="IH17" s="87"/>
      <c r="II17" s="87"/>
      <c r="IJ17" s="87"/>
      <c r="IK17" s="87"/>
      <c r="IL17" s="87"/>
      <c r="IM17" s="87"/>
      <c r="IN17" s="87"/>
      <c r="IO17" s="87"/>
      <c r="IP17" s="87"/>
      <c r="IQ17" s="87"/>
      <c r="IR17" s="87"/>
      <c r="IS17" s="87"/>
      <c r="IT17" s="87"/>
      <c r="IU17" s="87"/>
      <c r="IV17" s="87"/>
      <c r="IW17" s="87"/>
    </row>
    <row r="18" spans="2:257" s="14" customFormat="1" ht="15.6">
      <c r="B18" s="30">
        <v>1.01</v>
      </c>
      <c r="C18" s="38" t="s">
        <v>138</v>
      </c>
      <c r="D18" s="31"/>
      <c r="E18" s="32"/>
      <c r="F18" s="88"/>
      <c r="G18" s="88"/>
      <c r="H18" s="88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8"/>
      <c r="V18" s="48"/>
      <c r="W18" s="48"/>
      <c r="X18" s="48"/>
      <c r="Y18" s="48"/>
      <c r="Z18" s="48"/>
      <c r="AA18" s="48"/>
      <c r="AB18" s="48"/>
      <c r="AC18" s="49"/>
      <c r="AD18" s="49"/>
      <c r="AE18" s="49"/>
      <c r="AF18" s="49"/>
      <c r="AG18" s="88"/>
      <c r="AH18" s="88"/>
      <c r="AI18" s="88"/>
      <c r="AJ18" s="88"/>
      <c r="AK18" s="88"/>
      <c r="AL18" s="88"/>
      <c r="AM18" s="88"/>
      <c r="AN18" s="88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87"/>
      <c r="BK18" s="87"/>
      <c r="BL18" s="87"/>
      <c r="BM18" s="87"/>
      <c r="BN18" s="87"/>
      <c r="BO18" s="87"/>
      <c r="BP18" s="87"/>
      <c r="BQ18" s="87"/>
      <c r="BR18" s="87"/>
      <c r="BS18" s="87"/>
      <c r="BT18" s="87"/>
      <c r="BU18" s="87"/>
      <c r="BV18" s="87"/>
      <c r="BW18" s="87"/>
      <c r="BX18" s="87"/>
      <c r="BY18" s="87"/>
      <c r="BZ18" s="87"/>
      <c r="CA18" s="87"/>
      <c r="CB18" s="87"/>
      <c r="CC18" s="79"/>
      <c r="CD18" s="79"/>
      <c r="CE18" s="87"/>
      <c r="CF18" s="87"/>
      <c r="CG18" s="87"/>
      <c r="CH18" s="87"/>
      <c r="CI18" s="87"/>
      <c r="CJ18" s="87"/>
      <c r="CK18" s="87"/>
      <c r="CL18" s="87"/>
      <c r="CM18" s="87"/>
      <c r="CN18" s="87"/>
      <c r="CO18" s="87"/>
      <c r="CP18" s="87"/>
      <c r="CQ18" s="87"/>
      <c r="CR18" s="87"/>
      <c r="CS18" s="87"/>
      <c r="CT18" s="87"/>
      <c r="CU18" s="87"/>
      <c r="CV18" s="87"/>
      <c r="CW18" s="87"/>
      <c r="CX18" s="87"/>
      <c r="CY18" s="87"/>
      <c r="CZ18" s="87"/>
      <c r="DA18" s="87"/>
      <c r="DB18" s="87"/>
      <c r="DC18" s="87"/>
      <c r="DD18" s="87"/>
      <c r="DE18" s="87"/>
      <c r="DF18" s="87"/>
      <c r="DG18" s="87"/>
      <c r="DH18" s="87"/>
      <c r="DI18" s="87"/>
      <c r="DJ18" s="87"/>
      <c r="DK18" s="87"/>
      <c r="DL18" s="87"/>
      <c r="DM18" s="87"/>
      <c r="DN18" s="87"/>
      <c r="DO18" s="87"/>
      <c r="DP18" s="87"/>
      <c r="DQ18" s="87"/>
      <c r="DR18" s="87"/>
      <c r="DS18" s="87"/>
      <c r="DT18" s="87"/>
      <c r="DU18" s="87"/>
      <c r="DV18" s="87"/>
      <c r="DW18" s="87"/>
      <c r="DX18" s="87"/>
      <c r="DY18" s="87"/>
      <c r="DZ18" s="87"/>
      <c r="EA18" s="87"/>
      <c r="EB18" s="87"/>
      <c r="EC18" s="87"/>
      <c r="ED18" s="87"/>
      <c r="EE18" s="87"/>
      <c r="EF18" s="87"/>
      <c r="EG18" s="87"/>
      <c r="EH18" s="87"/>
      <c r="EI18" s="87"/>
      <c r="EJ18" s="87"/>
      <c r="EK18" s="87"/>
      <c r="EL18" s="87"/>
      <c r="EM18" s="87"/>
      <c r="EN18" s="87"/>
      <c r="EO18" s="87"/>
      <c r="EP18" s="87"/>
      <c r="EQ18" s="87"/>
      <c r="ER18" s="87"/>
      <c r="ES18" s="87"/>
      <c r="ET18" s="79"/>
      <c r="EU18" s="87"/>
      <c r="EV18" s="87"/>
      <c r="EW18" s="87"/>
      <c r="EX18" s="87"/>
      <c r="EY18" s="87"/>
      <c r="EZ18" s="87"/>
      <c r="FA18" s="87"/>
      <c r="FB18" s="87"/>
      <c r="FC18" s="87"/>
      <c r="FD18" s="87"/>
      <c r="FE18" s="87"/>
      <c r="FF18" s="87"/>
      <c r="FG18" s="87"/>
      <c r="FH18" s="87"/>
      <c r="FI18" s="87"/>
      <c r="FJ18" s="87"/>
      <c r="FK18" s="87"/>
      <c r="FL18" s="87"/>
      <c r="FM18" s="87"/>
      <c r="FN18" s="87"/>
      <c r="FO18" s="87"/>
      <c r="FP18" s="87"/>
      <c r="FQ18" s="87"/>
      <c r="FR18" s="87"/>
      <c r="FS18" s="87"/>
      <c r="FT18" s="87"/>
      <c r="FU18" s="87"/>
      <c r="FV18" s="87"/>
      <c r="FW18" s="87"/>
      <c r="FX18" s="87"/>
      <c r="FY18" s="87"/>
      <c r="FZ18" s="87"/>
      <c r="GA18" s="87"/>
      <c r="GB18" s="87"/>
      <c r="GC18" s="87"/>
      <c r="GD18" s="87"/>
      <c r="GE18" s="87"/>
      <c r="GF18" s="87"/>
      <c r="GG18" s="87"/>
      <c r="GH18" s="87"/>
      <c r="GI18" s="87"/>
      <c r="GJ18" s="87"/>
      <c r="GK18" s="87"/>
      <c r="GL18" s="87"/>
      <c r="GM18" s="87"/>
      <c r="GN18" s="87"/>
      <c r="GO18" s="87"/>
      <c r="GP18" s="87"/>
      <c r="GQ18" s="87"/>
      <c r="GR18" s="87"/>
      <c r="GS18" s="87"/>
      <c r="GT18" s="87"/>
      <c r="GU18" s="87"/>
      <c r="GV18" s="87"/>
      <c r="GW18" s="87"/>
      <c r="GX18" s="87"/>
      <c r="GY18" s="87"/>
      <c r="GZ18" s="87"/>
      <c r="HA18" s="87"/>
      <c r="HB18" s="87"/>
      <c r="HC18" s="87"/>
      <c r="HD18" s="87"/>
      <c r="HE18" s="87"/>
      <c r="HF18" s="87"/>
      <c r="HG18" s="87"/>
      <c r="HH18" s="87"/>
      <c r="HI18" s="87"/>
      <c r="HJ18" s="87"/>
      <c r="HK18" s="87"/>
      <c r="HL18" s="87"/>
      <c r="HM18" s="87"/>
      <c r="HN18" s="87"/>
      <c r="HO18" s="87"/>
      <c r="HP18" s="87"/>
      <c r="HQ18" s="87"/>
      <c r="HR18" s="87"/>
      <c r="HS18" s="87"/>
      <c r="HT18" s="87"/>
      <c r="HU18" s="87"/>
      <c r="HV18" s="87"/>
      <c r="HW18" s="87"/>
      <c r="HX18" s="87"/>
      <c r="HY18" s="87"/>
      <c r="HZ18" s="87"/>
      <c r="IA18" s="87"/>
      <c r="IB18" s="87"/>
      <c r="IC18" s="87"/>
      <c r="ID18" s="87"/>
      <c r="IE18" s="87"/>
      <c r="IF18" s="87"/>
      <c r="IG18" s="87"/>
      <c r="IH18" s="87"/>
      <c r="II18" s="87"/>
      <c r="IJ18" s="87"/>
      <c r="IK18" s="87"/>
      <c r="IL18" s="87"/>
      <c r="IM18" s="87"/>
      <c r="IN18" s="87"/>
      <c r="IO18" s="87"/>
      <c r="IP18" s="87"/>
      <c r="IQ18" s="87"/>
      <c r="IR18" s="87"/>
      <c r="IS18" s="87"/>
      <c r="IT18" s="87"/>
      <c r="IU18" s="87"/>
      <c r="IV18" s="87"/>
      <c r="IW18" s="87"/>
    </row>
    <row r="19" spans="2:257" s="14" customFormat="1" ht="15.6">
      <c r="B19" s="30">
        <v>1.01</v>
      </c>
      <c r="C19" s="38" t="s">
        <v>139</v>
      </c>
      <c r="D19" s="31"/>
      <c r="E19" s="32"/>
      <c r="F19" s="88"/>
      <c r="G19" s="88"/>
      <c r="H19" s="88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8"/>
      <c r="V19" s="48"/>
      <c r="W19" s="48"/>
      <c r="X19" s="48"/>
      <c r="Y19" s="48"/>
      <c r="Z19" s="48"/>
      <c r="AA19" s="49"/>
      <c r="AB19" s="49"/>
      <c r="AC19" s="49"/>
      <c r="AD19" s="49"/>
      <c r="AE19" s="49"/>
      <c r="AF19" s="49"/>
      <c r="AG19" s="88"/>
      <c r="AH19" s="88"/>
      <c r="AI19" s="88"/>
      <c r="AJ19" s="88"/>
      <c r="AK19" s="88"/>
      <c r="AL19" s="88"/>
      <c r="AM19" s="88"/>
      <c r="AN19" s="88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87"/>
      <c r="BL19" s="87"/>
      <c r="BM19" s="87"/>
      <c r="BN19" s="87"/>
      <c r="BO19" s="87"/>
      <c r="BP19" s="87"/>
      <c r="BQ19" s="87"/>
      <c r="BR19" s="87"/>
      <c r="BS19" s="87"/>
      <c r="BT19" s="87"/>
      <c r="BU19" s="87"/>
      <c r="BV19" s="87"/>
      <c r="BW19" s="87"/>
      <c r="BX19" s="87"/>
      <c r="BY19" s="87"/>
      <c r="BZ19" s="87"/>
      <c r="CA19" s="87"/>
      <c r="CB19" s="87"/>
      <c r="CC19" s="79"/>
      <c r="CD19" s="79"/>
      <c r="CE19" s="87"/>
      <c r="CF19" s="87"/>
      <c r="CG19" s="87"/>
      <c r="CH19" s="87"/>
      <c r="CI19" s="87"/>
      <c r="CJ19" s="87"/>
      <c r="CK19" s="87"/>
      <c r="CL19" s="87"/>
      <c r="CM19" s="87"/>
      <c r="CN19" s="87"/>
      <c r="CO19" s="87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87"/>
      <c r="DA19" s="87"/>
      <c r="DB19" s="87"/>
      <c r="DC19" s="87"/>
      <c r="DD19" s="87"/>
      <c r="DE19" s="87"/>
      <c r="DF19" s="87"/>
      <c r="DG19" s="87"/>
      <c r="DH19" s="87"/>
      <c r="DI19" s="87"/>
      <c r="DJ19" s="87"/>
      <c r="DK19" s="87"/>
      <c r="DL19" s="87"/>
      <c r="DM19" s="87"/>
      <c r="DN19" s="87"/>
      <c r="DO19" s="87"/>
      <c r="DP19" s="87"/>
      <c r="DQ19" s="87"/>
      <c r="DR19" s="87"/>
      <c r="DS19" s="87"/>
      <c r="DT19" s="87"/>
      <c r="DU19" s="87"/>
      <c r="DV19" s="87"/>
      <c r="DW19" s="87"/>
      <c r="DX19" s="87"/>
      <c r="DY19" s="87"/>
      <c r="DZ19" s="87"/>
      <c r="EA19" s="87"/>
      <c r="EB19" s="87"/>
      <c r="EC19" s="87"/>
      <c r="ED19" s="87"/>
      <c r="EE19" s="87"/>
      <c r="EF19" s="87"/>
      <c r="EG19" s="87"/>
      <c r="EH19" s="87"/>
      <c r="EI19" s="87"/>
      <c r="EJ19" s="87"/>
      <c r="EK19" s="87"/>
      <c r="EL19" s="87"/>
      <c r="EM19" s="87"/>
      <c r="EN19" s="87"/>
      <c r="EO19" s="87"/>
      <c r="EP19" s="87"/>
      <c r="EQ19" s="87"/>
      <c r="ER19" s="87"/>
      <c r="ES19" s="87"/>
      <c r="ET19" s="79"/>
      <c r="EU19" s="87"/>
      <c r="EV19" s="87"/>
      <c r="EW19" s="87"/>
      <c r="EX19" s="87"/>
      <c r="EY19" s="87"/>
      <c r="EZ19" s="87"/>
      <c r="FA19" s="87"/>
      <c r="FB19" s="87"/>
      <c r="FC19" s="87"/>
      <c r="FD19" s="87"/>
      <c r="FE19" s="87"/>
      <c r="FF19" s="87"/>
      <c r="FG19" s="87"/>
      <c r="FH19" s="87"/>
      <c r="FI19" s="87"/>
      <c r="FJ19" s="87"/>
      <c r="FK19" s="87"/>
      <c r="FL19" s="87"/>
      <c r="FM19" s="87"/>
      <c r="FN19" s="87"/>
      <c r="FO19" s="87"/>
      <c r="FP19" s="87"/>
      <c r="FQ19" s="87"/>
      <c r="FR19" s="87"/>
      <c r="FS19" s="87"/>
      <c r="FT19" s="87"/>
      <c r="FU19" s="87"/>
      <c r="FV19" s="87"/>
      <c r="FW19" s="87"/>
      <c r="FX19" s="87"/>
      <c r="FY19" s="87"/>
      <c r="FZ19" s="87"/>
      <c r="GA19" s="87"/>
      <c r="GB19" s="87"/>
      <c r="GC19" s="87"/>
      <c r="GD19" s="87"/>
      <c r="GE19" s="87"/>
      <c r="GF19" s="87"/>
      <c r="GG19" s="87"/>
      <c r="GH19" s="87"/>
      <c r="GI19" s="87"/>
      <c r="GJ19" s="87"/>
      <c r="GK19" s="87"/>
      <c r="GL19" s="87"/>
      <c r="GM19" s="87"/>
      <c r="GN19" s="87"/>
      <c r="GO19" s="87"/>
      <c r="GP19" s="87"/>
      <c r="GQ19" s="87"/>
      <c r="GR19" s="87"/>
      <c r="GS19" s="87"/>
      <c r="GT19" s="87"/>
      <c r="GU19" s="87"/>
      <c r="GV19" s="87"/>
      <c r="GW19" s="87"/>
      <c r="GX19" s="87"/>
      <c r="GY19" s="87"/>
      <c r="GZ19" s="87"/>
      <c r="HA19" s="87"/>
      <c r="HB19" s="87"/>
      <c r="HC19" s="87"/>
      <c r="HD19" s="87"/>
      <c r="HE19" s="87"/>
      <c r="HF19" s="87"/>
      <c r="HG19" s="87"/>
      <c r="HH19" s="87"/>
      <c r="HI19" s="87"/>
      <c r="HJ19" s="87"/>
      <c r="HK19" s="87"/>
      <c r="HL19" s="87"/>
      <c r="HM19" s="87"/>
      <c r="HN19" s="87"/>
      <c r="HO19" s="87"/>
      <c r="HP19" s="87"/>
      <c r="HQ19" s="87"/>
      <c r="HR19" s="87"/>
      <c r="HS19" s="87"/>
      <c r="HT19" s="87"/>
      <c r="HU19" s="87"/>
      <c r="HV19" s="87"/>
      <c r="HW19" s="87"/>
      <c r="HX19" s="87"/>
      <c r="HY19" s="87"/>
      <c r="HZ19" s="87"/>
      <c r="IA19" s="87"/>
      <c r="IB19" s="87"/>
      <c r="IC19" s="87"/>
      <c r="ID19" s="87"/>
      <c r="IE19" s="87"/>
      <c r="IF19" s="87"/>
      <c r="IG19" s="87"/>
      <c r="IH19" s="87"/>
      <c r="II19" s="87"/>
      <c r="IJ19" s="87"/>
      <c r="IK19" s="87"/>
      <c r="IL19" s="87"/>
      <c r="IM19" s="87"/>
      <c r="IN19" s="87"/>
      <c r="IO19" s="87"/>
      <c r="IP19" s="87"/>
      <c r="IQ19" s="87"/>
      <c r="IR19" s="87"/>
      <c r="IS19" s="87"/>
      <c r="IT19" s="87"/>
      <c r="IU19" s="87"/>
      <c r="IV19" s="87"/>
      <c r="IW19" s="87"/>
    </row>
    <row r="20" spans="2:257" s="14" customFormat="1" ht="15.6">
      <c r="B20" s="30">
        <v>1.01</v>
      </c>
      <c r="C20" s="38" t="s">
        <v>140</v>
      </c>
      <c r="D20" s="31"/>
      <c r="E20" s="32"/>
      <c r="F20" s="88"/>
      <c r="G20" s="88"/>
      <c r="H20" s="88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34"/>
      <c r="V20" s="34"/>
      <c r="W20" s="49"/>
      <c r="X20" s="48"/>
      <c r="Y20" s="48"/>
      <c r="Z20" s="48"/>
      <c r="AA20" s="34"/>
      <c r="AB20" s="34"/>
      <c r="AC20" s="49"/>
      <c r="AD20" s="49"/>
      <c r="AE20" s="49"/>
      <c r="AF20" s="49"/>
      <c r="AG20" s="88"/>
      <c r="AH20" s="88"/>
      <c r="AI20" s="88"/>
      <c r="AJ20" s="88"/>
      <c r="AK20" s="88"/>
      <c r="AL20" s="88"/>
      <c r="AM20" s="88"/>
      <c r="AN20" s="88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87"/>
      <c r="BK20" s="87"/>
      <c r="BL20" s="87"/>
      <c r="BM20" s="87"/>
      <c r="BN20" s="87"/>
      <c r="BO20" s="87"/>
      <c r="BP20" s="87"/>
      <c r="BQ20" s="87"/>
      <c r="BR20" s="87"/>
      <c r="BS20" s="87"/>
      <c r="BT20" s="87"/>
      <c r="BU20" s="87"/>
      <c r="BV20" s="87"/>
      <c r="BW20" s="87"/>
      <c r="BX20" s="87"/>
      <c r="BY20" s="87"/>
      <c r="BZ20" s="87"/>
      <c r="CA20" s="87"/>
      <c r="CB20" s="87"/>
      <c r="CC20" s="79"/>
      <c r="CD20" s="79"/>
      <c r="CE20" s="87"/>
      <c r="CF20" s="87"/>
      <c r="CG20" s="87"/>
      <c r="CH20" s="87"/>
      <c r="CI20" s="87"/>
      <c r="CJ20" s="87"/>
      <c r="CK20" s="87"/>
      <c r="CL20" s="87"/>
      <c r="CM20" s="87"/>
      <c r="CN20" s="87"/>
      <c r="CO20" s="87"/>
      <c r="CP20" s="87"/>
      <c r="CQ20" s="87"/>
      <c r="CR20" s="87"/>
      <c r="CS20" s="87"/>
      <c r="CT20" s="87"/>
      <c r="CU20" s="87"/>
      <c r="CV20" s="79"/>
      <c r="CW20" s="87"/>
      <c r="CX20" s="87"/>
      <c r="CY20" s="87"/>
      <c r="CZ20" s="87"/>
      <c r="DA20" s="87"/>
      <c r="DB20" s="87"/>
      <c r="DC20" s="87"/>
      <c r="DD20" s="87"/>
      <c r="DE20" s="87"/>
      <c r="DF20" s="87"/>
      <c r="DG20" s="87"/>
      <c r="DH20" s="87"/>
      <c r="DI20" s="87"/>
      <c r="DJ20" s="87"/>
      <c r="DK20" s="87"/>
      <c r="DL20" s="87"/>
      <c r="DM20" s="87"/>
      <c r="DN20" s="87"/>
      <c r="DO20" s="87"/>
      <c r="DP20" s="87"/>
      <c r="DQ20" s="87"/>
      <c r="DR20" s="87"/>
      <c r="DS20" s="87"/>
      <c r="DT20" s="87"/>
      <c r="DU20" s="87"/>
      <c r="DV20" s="87"/>
      <c r="DW20" s="87"/>
      <c r="DX20" s="87"/>
      <c r="DY20" s="87"/>
      <c r="DZ20" s="87"/>
      <c r="EA20" s="87"/>
      <c r="EB20" s="87"/>
      <c r="EC20" s="87"/>
      <c r="ED20" s="87"/>
      <c r="EE20" s="87"/>
      <c r="EF20" s="87"/>
      <c r="EG20" s="87"/>
      <c r="EH20" s="87"/>
      <c r="EI20" s="87"/>
      <c r="EJ20" s="87"/>
      <c r="EK20" s="87"/>
      <c r="EL20" s="87"/>
      <c r="EM20" s="87"/>
      <c r="EN20" s="87"/>
      <c r="EO20" s="87"/>
      <c r="EP20" s="87"/>
      <c r="EQ20" s="87"/>
      <c r="ER20" s="87"/>
      <c r="ES20" s="87"/>
      <c r="ET20" s="79"/>
      <c r="EU20" s="87"/>
      <c r="EV20" s="87"/>
      <c r="EW20" s="87"/>
      <c r="EX20" s="87"/>
      <c r="EY20" s="87"/>
      <c r="EZ20" s="87"/>
      <c r="FA20" s="87"/>
      <c r="FB20" s="87"/>
      <c r="FC20" s="87"/>
      <c r="FD20" s="87"/>
      <c r="FE20" s="87"/>
      <c r="FF20" s="87"/>
      <c r="FG20" s="87"/>
      <c r="FH20" s="87"/>
      <c r="FI20" s="87"/>
      <c r="FJ20" s="87"/>
      <c r="FK20" s="87"/>
      <c r="FL20" s="87"/>
      <c r="FM20" s="87"/>
      <c r="FN20" s="87"/>
      <c r="FO20" s="87"/>
      <c r="FP20" s="87"/>
      <c r="FQ20" s="87"/>
      <c r="FR20" s="87"/>
      <c r="FS20" s="87"/>
      <c r="FT20" s="87"/>
      <c r="FU20" s="87"/>
      <c r="FV20" s="87"/>
      <c r="FW20" s="87"/>
      <c r="FX20" s="87"/>
      <c r="FY20" s="87"/>
      <c r="FZ20" s="87"/>
      <c r="GA20" s="87"/>
      <c r="GB20" s="87"/>
      <c r="GC20" s="87"/>
      <c r="GD20" s="87"/>
      <c r="GE20" s="87"/>
      <c r="GF20" s="87"/>
      <c r="GG20" s="87"/>
      <c r="GH20" s="87"/>
      <c r="GI20" s="87"/>
      <c r="GJ20" s="87"/>
      <c r="GK20" s="87"/>
      <c r="GL20" s="87"/>
      <c r="GM20" s="87"/>
      <c r="GN20" s="87"/>
      <c r="GO20" s="87"/>
      <c r="GP20" s="87"/>
      <c r="GQ20" s="87"/>
      <c r="GR20" s="87"/>
      <c r="GS20" s="87"/>
      <c r="GT20" s="87"/>
      <c r="GU20" s="87"/>
      <c r="GV20" s="87"/>
      <c r="GW20" s="87"/>
      <c r="GX20" s="87"/>
      <c r="GY20" s="87"/>
      <c r="GZ20" s="87"/>
      <c r="HA20" s="87"/>
      <c r="HB20" s="87"/>
      <c r="HC20" s="87"/>
      <c r="HD20" s="87"/>
      <c r="HE20" s="87"/>
      <c r="HF20" s="87"/>
      <c r="HG20" s="87"/>
      <c r="HH20" s="87"/>
      <c r="HI20" s="87"/>
      <c r="HJ20" s="87"/>
      <c r="HK20" s="87"/>
      <c r="HL20" s="87"/>
      <c r="HM20" s="87"/>
      <c r="HN20" s="87"/>
      <c r="HO20" s="87"/>
      <c r="HP20" s="87"/>
      <c r="HQ20" s="87"/>
      <c r="HR20" s="87"/>
      <c r="HS20" s="87"/>
      <c r="HT20" s="87"/>
      <c r="HU20" s="87"/>
      <c r="HV20" s="87"/>
      <c r="HW20" s="87"/>
      <c r="HX20" s="87"/>
      <c r="HY20" s="87"/>
      <c r="HZ20" s="87"/>
      <c r="IA20" s="87"/>
      <c r="IB20" s="87"/>
      <c r="IC20" s="87"/>
      <c r="ID20" s="87"/>
      <c r="IE20" s="87"/>
      <c r="IF20" s="87"/>
      <c r="IG20" s="87"/>
      <c r="IH20" s="87"/>
      <c r="II20" s="87"/>
      <c r="IJ20" s="87"/>
      <c r="IK20" s="87"/>
      <c r="IL20" s="87"/>
      <c r="IM20" s="87"/>
      <c r="IN20" s="87"/>
      <c r="IO20" s="87"/>
      <c r="IP20" s="87"/>
      <c r="IQ20" s="87"/>
      <c r="IR20" s="87"/>
      <c r="IS20" s="87"/>
      <c r="IT20" s="87"/>
      <c r="IU20" s="87"/>
      <c r="IV20" s="87"/>
      <c r="IW20" s="87"/>
    </row>
    <row r="21" spans="2:257" s="14" customFormat="1" ht="15.6">
      <c r="B21" s="30">
        <v>1.01</v>
      </c>
      <c r="C21" s="38" t="s">
        <v>141</v>
      </c>
      <c r="D21" s="31"/>
      <c r="E21" s="32"/>
      <c r="F21" s="88"/>
      <c r="G21" s="88"/>
      <c r="H21" s="88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34"/>
      <c r="V21" s="34"/>
      <c r="W21" s="49"/>
      <c r="X21" s="48"/>
      <c r="Y21" s="48"/>
      <c r="Z21" s="48"/>
      <c r="AA21" s="34"/>
      <c r="AB21" s="34"/>
      <c r="AC21" s="49"/>
      <c r="AD21" s="49"/>
      <c r="AE21" s="49"/>
      <c r="AF21" s="49"/>
      <c r="AG21" s="88"/>
      <c r="AH21" s="88"/>
      <c r="AI21" s="88"/>
      <c r="AJ21" s="88"/>
      <c r="AK21" s="88"/>
      <c r="AL21" s="88"/>
      <c r="AM21" s="88"/>
      <c r="AN21" s="88"/>
      <c r="AO21" s="87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87"/>
      <c r="BK21" s="87"/>
      <c r="BL21" s="87"/>
      <c r="BM21" s="87"/>
      <c r="BN21" s="87"/>
      <c r="BO21" s="87"/>
      <c r="BP21" s="87"/>
      <c r="BQ21" s="87"/>
      <c r="BR21" s="87"/>
      <c r="BS21" s="87"/>
      <c r="BT21" s="87"/>
      <c r="BU21" s="87"/>
      <c r="BV21" s="87"/>
      <c r="BW21" s="87"/>
      <c r="BX21" s="87"/>
      <c r="BY21" s="87"/>
      <c r="BZ21" s="87"/>
      <c r="CA21" s="87"/>
      <c r="CB21" s="87"/>
      <c r="CC21" s="79"/>
      <c r="CD21" s="79"/>
      <c r="CE21" s="87"/>
      <c r="CF21" s="87"/>
      <c r="CG21" s="87"/>
      <c r="CH21" s="87"/>
      <c r="CI21" s="87"/>
      <c r="CJ21" s="87"/>
      <c r="CK21" s="87"/>
      <c r="CL21" s="87"/>
      <c r="CM21" s="87"/>
      <c r="CN21" s="87"/>
      <c r="CO21" s="87"/>
      <c r="CP21" s="87"/>
      <c r="CQ21" s="87"/>
      <c r="CR21" s="87"/>
      <c r="CS21" s="87"/>
      <c r="CT21" s="87"/>
      <c r="CU21" s="87"/>
      <c r="CV21" s="79"/>
      <c r="CW21" s="87"/>
      <c r="CX21" s="87"/>
      <c r="CY21" s="87"/>
      <c r="CZ21" s="87"/>
      <c r="DA21" s="87"/>
      <c r="DB21" s="87"/>
      <c r="DC21" s="87"/>
      <c r="DD21" s="87"/>
      <c r="DE21" s="87"/>
      <c r="DF21" s="87"/>
      <c r="DG21" s="87"/>
      <c r="DH21" s="87"/>
      <c r="DI21" s="87"/>
      <c r="DJ21" s="87"/>
      <c r="DK21" s="87"/>
      <c r="DL21" s="87"/>
      <c r="DM21" s="87"/>
      <c r="DN21" s="87"/>
      <c r="DO21" s="87"/>
      <c r="DP21" s="87"/>
      <c r="DQ21" s="87"/>
      <c r="DR21" s="87"/>
      <c r="DS21" s="87"/>
      <c r="DT21" s="87"/>
      <c r="DU21" s="87"/>
      <c r="DV21" s="87"/>
      <c r="DW21" s="87"/>
      <c r="DX21" s="87"/>
      <c r="DY21" s="87"/>
      <c r="DZ21" s="87"/>
      <c r="EA21" s="87"/>
      <c r="EB21" s="87"/>
      <c r="EC21" s="87"/>
      <c r="ED21" s="87"/>
      <c r="EE21" s="87"/>
      <c r="EF21" s="87"/>
      <c r="EG21" s="87"/>
      <c r="EH21" s="87"/>
      <c r="EI21" s="87"/>
      <c r="EJ21" s="87"/>
      <c r="EK21" s="87"/>
      <c r="EL21" s="87"/>
      <c r="EM21" s="87"/>
      <c r="EN21" s="87"/>
      <c r="EO21" s="87"/>
      <c r="EP21" s="87"/>
      <c r="EQ21" s="87"/>
      <c r="ER21" s="87"/>
      <c r="ES21" s="87"/>
      <c r="ET21" s="79"/>
      <c r="EU21" s="87"/>
      <c r="EV21" s="87"/>
      <c r="EW21" s="87"/>
      <c r="EX21" s="87"/>
      <c r="EY21" s="87"/>
      <c r="EZ21" s="87"/>
      <c r="FA21" s="87"/>
      <c r="FB21" s="87"/>
      <c r="FC21" s="87"/>
      <c r="FD21" s="87"/>
      <c r="FE21" s="87"/>
      <c r="FF21" s="87"/>
      <c r="FG21" s="87"/>
      <c r="FH21" s="87"/>
      <c r="FI21" s="87"/>
      <c r="FJ21" s="87"/>
      <c r="FK21" s="87"/>
      <c r="FL21" s="87"/>
      <c r="FM21" s="87"/>
      <c r="FN21" s="87"/>
      <c r="FO21" s="87"/>
      <c r="FP21" s="87"/>
      <c r="FQ21" s="87"/>
      <c r="FR21" s="87"/>
      <c r="FS21" s="87"/>
      <c r="FT21" s="87"/>
      <c r="FU21" s="87"/>
      <c r="FV21" s="87"/>
      <c r="FW21" s="87"/>
      <c r="FX21" s="87"/>
      <c r="FY21" s="87"/>
      <c r="FZ21" s="87"/>
      <c r="GA21" s="87"/>
      <c r="GB21" s="87"/>
      <c r="GC21" s="87"/>
      <c r="GD21" s="87"/>
      <c r="GE21" s="87"/>
      <c r="GF21" s="87"/>
      <c r="GG21" s="87"/>
      <c r="GH21" s="87"/>
      <c r="GI21" s="87"/>
      <c r="GJ21" s="87"/>
      <c r="GK21" s="87"/>
      <c r="GL21" s="87"/>
      <c r="GM21" s="87"/>
      <c r="GN21" s="87"/>
      <c r="GO21" s="87"/>
      <c r="GP21" s="87"/>
      <c r="GQ21" s="87"/>
      <c r="GR21" s="87"/>
      <c r="GS21" s="87"/>
      <c r="GT21" s="87"/>
      <c r="GU21" s="87"/>
      <c r="GV21" s="87"/>
      <c r="GW21" s="87"/>
      <c r="GX21" s="87"/>
      <c r="GY21" s="87"/>
      <c r="GZ21" s="87"/>
      <c r="HA21" s="87"/>
      <c r="HB21" s="87"/>
      <c r="HC21" s="87"/>
      <c r="HD21" s="87"/>
      <c r="HE21" s="87"/>
      <c r="HF21" s="87"/>
      <c r="HG21" s="87"/>
      <c r="HH21" s="87"/>
      <c r="HI21" s="87"/>
      <c r="HJ21" s="87"/>
      <c r="HK21" s="87"/>
      <c r="HL21" s="87"/>
      <c r="HM21" s="87"/>
      <c r="HN21" s="87"/>
      <c r="HO21" s="87"/>
      <c r="HP21" s="87"/>
      <c r="HQ21" s="87"/>
      <c r="HR21" s="87"/>
      <c r="HS21" s="87"/>
      <c r="HT21" s="87"/>
      <c r="HU21" s="87"/>
      <c r="HV21" s="87"/>
      <c r="HW21" s="87"/>
      <c r="HX21" s="87"/>
      <c r="HY21" s="87"/>
      <c r="HZ21" s="87"/>
      <c r="IA21" s="87"/>
      <c r="IB21" s="87"/>
      <c r="IC21" s="87"/>
      <c r="ID21" s="87"/>
      <c r="IE21" s="87"/>
      <c r="IF21" s="87"/>
      <c r="IG21" s="87"/>
      <c r="IH21" s="87"/>
      <c r="II21" s="87"/>
      <c r="IJ21" s="87"/>
      <c r="IK21" s="87"/>
      <c r="IL21" s="87"/>
      <c r="IM21" s="87"/>
      <c r="IN21" s="87"/>
      <c r="IO21" s="87"/>
      <c r="IP21" s="87"/>
      <c r="IQ21" s="87"/>
      <c r="IR21" s="87"/>
      <c r="IS21" s="87"/>
      <c r="IT21" s="87"/>
      <c r="IU21" s="87"/>
      <c r="IV21" s="87"/>
      <c r="IW21" s="87"/>
    </row>
    <row r="22" spans="2:257" s="14" customFormat="1" ht="15.6">
      <c r="B22" s="30">
        <v>1.01</v>
      </c>
      <c r="C22" s="38" t="s">
        <v>142</v>
      </c>
      <c r="D22" s="31"/>
      <c r="E22" s="32"/>
      <c r="F22" s="88"/>
      <c r="G22" s="88"/>
      <c r="H22" s="88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34"/>
      <c r="V22" s="34"/>
      <c r="W22" s="49"/>
      <c r="X22" s="48"/>
      <c r="Y22" s="48"/>
      <c r="Z22" s="48"/>
      <c r="AA22" s="34"/>
      <c r="AB22" s="34"/>
      <c r="AC22" s="49"/>
      <c r="AD22" s="49"/>
      <c r="AE22" s="49"/>
      <c r="AF22" s="49"/>
      <c r="AG22" s="88"/>
      <c r="AH22" s="88"/>
      <c r="AI22" s="88"/>
      <c r="AJ22" s="88"/>
      <c r="AK22" s="88"/>
      <c r="AL22" s="88"/>
      <c r="AM22" s="88"/>
      <c r="AN22" s="88"/>
      <c r="AO22" s="87"/>
      <c r="AP22" s="87"/>
      <c r="AQ22" s="87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87"/>
      <c r="BF22" s="87"/>
      <c r="BG22" s="87"/>
      <c r="BH22" s="87"/>
      <c r="BI22" s="87"/>
      <c r="BJ22" s="87"/>
      <c r="BK22" s="87"/>
      <c r="BL22" s="87"/>
      <c r="BM22" s="87"/>
      <c r="BN22" s="87"/>
      <c r="BO22" s="87"/>
      <c r="BP22" s="87"/>
      <c r="BQ22" s="87"/>
      <c r="BR22" s="87"/>
      <c r="BS22" s="87"/>
      <c r="BT22" s="87"/>
      <c r="BU22" s="87"/>
      <c r="BV22" s="87"/>
      <c r="BW22" s="87"/>
      <c r="BX22" s="87"/>
      <c r="BY22" s="87"/>
      <c r="BZ22" s="87"/>
      <c r="CA22" s="87"/>
      <c r="CB22" s="87"/>
      <c r="CC22" s="79"/>
      <c r="CD22" s="79"/>
      <c r="CE22" s="87"/>
      <c r="CF22" s="87"/>
      <c r="CG22" s="87"/>
      <c r="CH22" s="87"/>
      <c r="CI22" s="87"/>
      <c r="CJ22" s="87"/>
      <c r="CK22" s="87"/>
      <c r="CL22" s="87"/>
      <c r="CM22" s="87"/>
      <c r="CN22" s="87"/>
      <c r="CO22" s="87"/>
      <c r="CP22" s="87"/>
      <c r="CQ22" s="87"/>
      <c r="CR22" s="87"/>
      <c r="CS22" s="87"/>
      <c r="CT22" s="87"/>
      <c r="CU22" s="87"/>
      <c r="CV22" s="79"/>
      <c r="CW22" s="87"/>
      <c r="CX22" s="87"/>
      <c r="CY22" s="87"/>
      <c r="CZ22" s="87"/>
      <c r="DA22" s="87"/>
      <c r="DB22" s="87"/>
      <c r="DC22" s="87"/>
      <c r="DD22" s="87"/>
      <c r="DE22" s="87"/>
      <c r="DF22" s="87"/>
      <c r="DG22" s="87"/>
      <c r="DH22" s="87"/>
      <c r="DI22" s="87"/>
      <c r="DJ22" s="87"/>
      <c r="DK22" s="87"/>
      <c r="DL22" s="87"/>
      <c r="DM22" s="87"/>
      <c r="DN22" s="87"/>
      <c r="DO22" s="87"/>
      <c r="DP22" s="87"/>
      <c r="DQ22" s="87"/>
      <c r="DR22" s="87"/>
      <c r="DS22" s="87"/>
      <c r="DT22" s="87"/>
      <c r="DU22" s="87"/>
      <c r="DV22" s="87"/>
      <c r="DW22" s="87"/>
      <c r="DX22" s="87"/>
      <c r="DY22" s="87"/>
      <c r="DZ22" s="87"/>
      <c r="EA22" s="87"/>
      <c r="EB22" s="87"/>
      <c r="EC22" s="87"/>
      <c r="ED22" s="87"/>
      <c r="EE22" s="87"/>
      <c r="EF22" s="87"/>
      <c r="EG22" s="87"/>
      <c r="EH22" s="87"/>
      <c r="EI22" s="87"/>
      <c r="EJ22" s="87"/>
      <c r="EK22" s="87"/>
      <c r="EL22" s="87"/>
      <c r="EM22" s="87"/>
      <c r="EN22" s="87"/>
      <c r="EO22" s="87"/>
      <c r="EP22" s="87"/>
      <c r="EQ22" s="87"/>
      <c r="ER22" s="87"/>
      <c r="ES22" s="87"/>
      <c r="ET22" s="79"/>
      <c r="EU22" s="87"/>
      <c r="EV22" s="87"/>
      <c r="EW22" s="87"/>
      <c r="EX22" s="87"/>
      <c r="EY22" s="87"/>
      <c r="EZ22" s="87"/>
      <c r="FA22" s="87"/>
      <c r="FB22" s="87"/>
      <c r="FC22" s="87"/>
      <c r="FD22" s="87"/>
      <c r="FE22" s="87"/>
      <c r="FF22" s="87"/>
      <c r="FG22" s="87"/>
      <c r="FH22" s="87"/>
      <c r="FI22" s="87"/>
      <c r="FJ22" s="87"/>
      <c r="FK22" s="87"/>
      <c r="FL22" s="87"/>
      <c r="FM22" s="87"/>
      <c r="FN22" s="87"/>
      <c r="FO22" s="87"/>
      <c r="FP22" s="87"/>
      <c r="FQ22" s="87"/>
      <c r="FR22" s="87"/>
      <c r="FS22" s="87"/>
      <c r="FT22" s="87"/>
      <c r="FU22" s="87"/>
      <c r="FV22" s="87"/>
      <c r="FW22" s="87"/>
      <c r="FX22" s="87"/>
      <c r="FY22" s="87"/>
      <c r="FZ22" s="87"/>
      <c r="GA22" s="87"/>
      <c r="GB22" s="87"/>
      <c r="GC22" s="87"/>
      <c r="GD22" s="87"/>
      <c r="GE22" s="87"/>
      <c r="GF22" s="87"/>
      <c r="GG22" s="87"/>
      <c r="GH22" s="87"/>
      <c r="GI22" s="87"/>
      <c r="GJ22" s="87"/>
      <c r="GK22" s="87"/>
      <c r="GL22" s="87"/>
      <c r="GM22" s="87"/>
      <c r="GN22" s="87"/>
      <c r="GO22" s="87"/>
      <c r="GP22" s="87"/>
      <c r="GQ22" s="87"/>
      <c r="GR22" s="87"/>
      <c r="GS22" s="87"/>
      <c r="GT22" s="87"/>
      <c r="GU22" s="87"/>
      <c r="GV22" s="87"/>
      <c r="GW22" s="87"/>
      <c r="GX22" s="87"/>
      <c r="GY22" s="87"/>
      <c r="GZ22" s="87"/>
      <c r="HA22" s="87"/>
      <c r="HB22" s="87"/>
      <c r="HC22" s="87"/>
      <c r="HD22" s="87"/>
      <c r="HE22" s="87"/>
      <c r="HF22" s="87"/>
      <c r="HG22" s="87"/>
      <c r="HH22" s="87"/>
      <c r="HI22" s="87"/>
      <c r="HJ22" s="87"/>
      <c r="HK22" s="87"/>
      <c r="HL22" s="87"/>
      <c r="HM22" s="87"/>
      <c r="HN22" s="87"/>
      <c r="HO22" s="87"/>
      <c r="HP22" s="87"/>
      <c r="HQ22" s="87"/>
      <c r="HR22" s="87"/>
      <c r="HS22" s="87"/>
      <c r="HT22" s="87"/>
      <c r="HU22" s="87"/>
      <c r="HV22" s="87"/>
      <c r="HW22" s="87"/>
      <c r="HX22" s="87"/>
      <c r="HY22" s="87"/>
      <c r="HZ22" s="87"/>
      <c r="IA22" s="87"/>
      <c r="IB22" s="87"/>
      <c r="IC22" s="87"/>
      <c r="ID22" s="87"/>
      <c r="IE22" s="87"/>
      <c r="IF22" s="87"/>
      <c r="IG22" s="87"/>
      <c r="IH22" s="87"/>
      <c r="II22" s="87"/>
      <c r="IJ22" s="87"/>
      <c r="IK22" s="87"/>
      <c r="IL22" s="87"/>
      <c r="IM22" s="87"/>
      <c r="IN22" s="87"/>
      <c r="IO22" s="87"/>
      <c r="IP22" s="87"/>
      <c r="IQ22" s="87"/>
      <c r="IR22" s="87"/>
      <c r="IS22" s="87"/>
      <c r="IT22" s="87"/>
      <c r="IU22" s="87"/>
      <c r="IV22" s="87"/>
      <c r="IW22" s="87"/>
    </row>
    <row r="23" spans="2:257" s="14" customFormat="1" ht="15.6">
      <c r="B23" s="30">
        <v>1.01</v>
      </c>
      <c r="C23" s="38" t="s">
        <v>143</v>
      </c>
      <c r="D23" s="31"/>
      <c r="E23" s="32"/>
      <c r="F23" s="88"/>
      <c r="G23" s="88"/>
      <c r="H23" s="88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34"/>
      <c r="V23" s="34"/>
      <c r="W23" s="49"/>
      <c r="X23" s="48"/>
      <c r="Y23" s="48"/>
      <c r="Z23" s="34"/>
      <c r="AA23" s="34"/>
      <c r="AB23" s="34"/>
      <c r="AC23" s="49"/>
      <c r="AD23" s="49"/>
      <c r="AE23" s="49"/>
      <c r="AF23" s="49"/>
      <c r="AG23" s="88"/>
      <c r="AH23" s="88"/>
      <c r="AI23" s="88"/>
      <c r="AJ23" s="88"/>
      <c r="AK23" s="88"/>
      <c r="AL23" s="88"/>
      <c r="AM23" s="88"/>
      <c r="AN23" s="88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7"/>
      <c r="BF23" s="87"/>
      <c r="BG23" s="87"/>
      <c r="BH23" s="87"/>
      <c r="BI23" s="87"/>
      <c r="BJ23" s="87"/>
      <c r="BK23" s="87"/>
      <c r="BL23" s="87"/>
      <c r="BM23" s="87"/>
      <c r="BN23" s="87"/>
      <c r="BO23" s="87"/>
      <c r="BP23" s="87"/>
      <c r="BQ23" s="87"/>
      <c r="BR23" s="87"/>
      <c r="BS23" s="87"/>
      <c r="BT23" s="87"/>
      <c r="BU23" s="87"/>
      <c r="BV23" s="87"/>
      <c r="BW23" s="87"/>
      <c r="BX23" s="87"/>
      <c r="BY23" s="87"/>
      <c r="BZ23" s="87"/>
      <c r="CA23" s="87"/>
      <c r="CB23" s="87"/>
      <c r="CC23" s="79"/>
      <c r="CD23" s="79"/>
      <c r="CE23" s="87"/>
      <c r="CF23" s="87"/>
      <c r="CG23" s="87"/>
      <c r="CH23" s="87"/>
      <c r="CI23" s="87"/>
      <c r="CJ23" s="87"/>
      <c r="CK23" s="87"/>
      <c r="CL23" s="87"/>
      <c r="CM23" s="87"/>
      <c r="CN23" s="87"/>
      <c r="CO23" s="87"/>
      <c r="CP23" s="87"/>
      <c r="CQ23" s="87"/>
      <c r="CR23" s="87"/>
      <c r="CS23" s="87"/>
      <c r="CT23" s="87"/>
      <c r="CU23" s="87"/>
      <c r="CV23" s="79"/>
      <c r="CW23" s="87"/>
      <c r="CX23" s="87"/>
      <c r="CY23" s="87"/>
      <c r="CZ23" s="87"/>
      <c r="DA23" s="87"/>
      <c r="DB23" s="87"/>
      <c r="DC23" s="87"/>
      <c r="DD23" s="87"/>
      <c r="DE23" s="87"/>
      <c r="DF23" s="87"/>
      <c r="DG23" s="87"/>
      <c r="DH23" s="87"/>
      <c r="DI23" s="87"/>
      <c r="DJ23" s="87"/>
      <c r="DK23" s="87"/>
      <c r="DL23" s="87"/>
      <c r="DM23" s="87"/>
      <c r="DN23" s="87"/>
      <c r="DO23" s="87"/>
      <c r="DP23" s="87"/>
      <c r="DQ23" s="87"/>
      <c r="DR23" s="87"/>
      <c r="DS23" s="87"/>
      <c r="DT23" s="87"/>
      <c r="DU23" s="87"/>
      <c r="DV23" s="87"/>
      <c r="DW23" s="87"/>
      <c r="DX23" s="87"/>
      <c r="DY23" s="87"/>
      <c r="DZ23" s="87"/>
      <c r="EA23" s="87"/>
      <c r="EB23" s="87"/>
      <c r="EC23" s="87"/>
      <c r="ED23" s="87"/>
      <c r="EE23" s="87"/>
      <c r="EF23" s="87"/>
      <c r="EG23" s="87"/>
      <c r="EH23" s="87"/>
      <c r="EI23" s="87"/>
      <c r="EJ23" s="87"/>
      <c r="EK23" s="87"/>
      <c r="EL23" s="87"/>
      <c r="EM23" s="87"/>
      <c r="EN23" s="87"/>
      <c r="EO23" s="87"/>
      <c r="EP23" s="87"/>
      <c r="EQ23" s="87"/>
      <c r="ER23" s="87"/>
      <c r="ES23" s="87"/>
      <c r="ET23" s="79"/>
      <c r="EU23" s="87"/>
      <c r="EV23" s="87"/>
      <c r="EW23" s="87"/>
      <c r="EX23" s="87"/>
      <c r="EY23" s="87"/>
      <c r="EZ23" s="87"/>
      <c r="FA23" s="87"/>
      <c r="FB23" s="87"/>
      <c r="FC23" s="87"/>
      <c r="FD23" s="87"/>
      <c r="FE23" s="87"/>
      <c r="FF23" s="87"/>
      <c r="FG23" s="87"/>
      <c r="FH23" s="87"/>
      <c r="FI23" s="87"/>
      <c r="FJ23" s="87"/>
      <c r="FK23" s="87"/>
      <c r="FL23" s="87"/>
      <c r="FM23" s="87"/>
      <c r="FN23" s="87"/>
      <c r="FO23" s="87"/>
      <c r="FP23" s="87"/>
      <c r="FQ23" s="87"/>
      <c r="FR23" s="87"/>
      <c r="FS23" s="87"/>
      <c r="FT23" s="87"/>
      <c r="FU23" s="87"/>
      <c r="FV23" s="87"/>
      <c r="FW23" s="87"/>
      <c r="FX23" s="87"/>
      <c r="FY23" s="87"/>
      <c r="FZ23" s="87"/>
      <c r="GA23" s="87"/>
      <c r="GB23" s="87"/>
      <c r="GC23" s="87"/>
      <c r="GD23" s="87"/>
      <c r="GE23" s="87"/>
      <c r="GF23" s="87"/>
      <c r="GG23" s="87"/>
      <c r="GH23" s="87"/>
      <c r="GI23" s="87"/>
      <c r="GJ23" s="87"/>
      <c r="GK23" s="87"/>
      <c r="GL23" s="87"/>
      <c r="GM23" s="87"/>
      <c r="GN23" s="87"/>
      <c r="GO23" s="87"/>
      <c r="GP23" s="87"/>
      <c r="GQ23" s="87"/>
      <c r="GR23" s="87"/>
      <c r="GS23" s="87"/>
      <c r="GT23" s="87"/>
      <c r="GU23" s="87"/>
      <c r="GV23" s="87"/>
      <c r="GW23" s="87"/>
      <c r="GX23" s="87"/>
      <c r="GY23" s="87"/>
      <c r="GZ23" s="87"/>
      <c r="HA23" s="87"/>
      <c r="HB23" s="87"/>
      <c r="HC23" s="87"/>
      <c r="HD23" s="87"/>
      <c r="HE23" s="87"/>
      <c r="HF23" s="87"/>
      <c r="HG23" s="87"/>
      <c r="HH23" s="87"/>
      <c r="HI23" s="87"/>
      <c r="HJ23" s="87"/>
      <c r="HK23" s="87"/>
      <c r="HL23" s="87"/>
      <c r="HM23" s="87"/>
      <c r="HN23" s="87"/>
      <c r="HO23" s="87"/>
      <c r="HP23" s="87"/>
      <c r="HQ23" s="87"/>
      <c r="HR23" s="87"/>
      <c r="HS23" s="87"/>
      <c r="HT23" s="87"/>
      <c r="HU23" s="87"/>
      <c r="HV23" s="87"/>
      <c r="HW23" s="87"/>
      <c r="HX23" s="87"/>
      <c r="HY23" s="87"/>
      <c r="HZ23" s="87"/>
      <c r="IA23" s="87"/>
      <c r="IB23" s="87"/>
      <c r="IC23" s="87"/>
      <c r="ID23" s="87"/>
      <c r="IE23" s="87"/>
      <c r="IF23" s="87"/>
      <c r="IG23" s="87"/>
      <c r="IH23" s="87"/>
      <c r="II23" s="87"/>
      <c r="IJ23" s="87"/>
      <c r="IK23" s="87"/>
      <c r="IL23" s="87"/>
      <c r="IM23" s="87"/>
      <c r="IN23" s="87"/>
      <c r="IO23" s="87"/>
      <c r="IP23" s="87"/>
      <c r="IQ23" s="87"/>
      <c r="IR23" s="87"/>
      <c r="IS23" s="87"/>
      <c r="IT23" s="87"/>
      <c r="IU23" s="87"/>
      <c r="IV23" s="87"/>
      <c r="IW23" s="87"/>
    </row>
    <row r="24" spans="2:257" s="14" customFormat="1" ht="15.6">
      <c r="B24" s="30">
        <v>1.01</v>
      </c>
      <c r="C24" s="38" t="s">
        <v>144</v>
      </c>
      <c r="D24" s="31"/>
      <c r="E24" s="32"/>
      <c r="F24" s="88"/>
      <c r="G24" s="88"/>
      <c r="H24" s="88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8"/>
      <c r="W24" s="48"/>
      <c r="X24" s="49"/>
      <c r="Y24" s="49"/>
      <c r="Z24" s="49"/>
      <c r="AA24" s="34"/>
      <c r="AB24" s="34"/>
      <c r="AC24" s="49"/>
      <c r="AD24" s="49"/>
      <c r="AE24" s="49"/>
      <c r="AF24" s="49"/>
      <c r="AG24" s="88"/>
      <c r="AH24" s="88"/>
      <c r="AI24" s="88"/>
      <c r="AJ24" s="88"/>
      <c r="AK24" s="88"/>
      <c r="AL24" s="88"/>
      <c r="AM24" s="88"/>
      <c r="AN24" s="88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87"/>
      <c r="BK24" s="87"/>
      <c r="BL24" s="87"/>
      <c r="BM24" s="87"/>
      <c r="BN24" s="87"/>
      <c r="BO24" s="87"/>
      <c r="BP24" s="87"/>
      <c r="BQ24" s="87"/>
      <c r="BR24" s="87"/>
      <c r="BS24" s="87"/>
      <c r="BT24" s="87"/>
      <c r="BU24" s="87"/>
      <c r="BV24" s="87"/>
      <c r="BW24" s="87"/>
      <c r="BX24" s="87"/>
      <c r="BY24" s="87"/>
      <c r="BZ24" s="87"/>
      <c r="CA24" s="87"/>
      <c r="CB24" s="87"/>
      <c r="CC24" s="79"/>
      <c r="CD24" s="79"/>
      <c r="CE24" s="87"/>
      <c r="CF24" s="87"/>
      <c r="CG24" s="87"/>
      <c r="CH24" s="87"/>
      <c r="CI24" s="87"/>
      <c r="CJ24" s="87"/>
      <c r="CK24" s="87"/>
      <c r="CL24" s="87"/>
      <c r="CM24" s="87"/>
      <c r="CN24" s="87"/>
      <c r="CO24" s="87"/>
      <c r="CP24" s="87"/>
      <c r="CQ24" s="87"/>
      <c r="CR24" s="87"/>
      <c r="CS24" s="87"/>
      <c r="CT24" s="87"/>
      <c r="CU24" s="87"/>
      <c r="CV24" s="79"/>
      <c r="CW24" s="87"/>
      <c r="CX24" s="87"/>
      <c r="CY24" s="87"/>
      <c r="CZ24" s="87"/>
      <c r="DA24" s="87"/>
      <c r="DB24" s="87"/>
      <c r="DC24" s="87"/>
      <c r="DD24" s="87"/>
      <c r="DE24" s="87"/>
      <c r="DF24" s="87"/>
      <c r="DG24" s="87"/>
      <c r="DH24" s="87"/>
      <c r="DI24" s="87"/>
      <c r="DJ24" s="87"/>
      <c r="DK24" s="87"/>
      <c r="DL24" s="87"/>
      <c r="DM24" s="87"/>
      <c r="DN24" s="87"/>
      <c r="DO24" s="87"/>
      <c r="DP24" s="87"/>
      <c r="DQ24" s="87"/>
      <c r="DR24" s="87"/>
      <c r="DS24" s="87"/>
      <c r="DT24" s="87"/>
      <c r="DU24" s="87"/>
      <c r="DV24" s="87"/>
      <c r="DW24" s="87"/>
      <c r="DX24" s="87"/>
      <c r="DY24" s="87"/>
      <c r="DZ24" s="87"/>
      <c r="EA24" s="87"/>
      <c r="EB24" s="87"/>
      <c r="EC24" s="87"/>
      <c r="ED24" s="87"/>
      <c r="EE24" s="87"/>
      <c r="EF24" s="87"/>
      <c r="EG24" s="87"/>
      <c r="EH24" s="87"/>
      <c r="EI24" s="87"/>
      <c r="EJ24" s="87"/>
      <c r="EK24" s="87"/>
      <c r="EL24" s="87"/>
      <c r="EM24" s="87"/>
      <c r="EN24" s="87"/>
      <c r="EO24" s="87"/>
      <c r="EP24" s="87"/>
      <c r="EQ24" s="87"/>
      <c r="ER24" s="87"/>
      <c r="ES24" s="87"/>
      <c r="ET24" s="79"/>
      <c r="EU24" s="87"/>
      <c r="EV24" s="87"/>
      <c r="EW24" s="87"/>
      <c r="EX24" s="87"/>
      <c r="EY24" s="87"/>
      <c r="EZ24" s="87"/>
      <c r="FA24" s="87"/>
      <c r="FB24" s="87"/>
      <c r="FC24" s="87"/>
      <c r="FD24" s="87"/>
      <c r="FE24" s="87"/>
      <c r="FF24" s="87"/>
      <c r="FG24" s="87"/>
      <c r="FH24" s="87"/>
      <c r="FI24" s="87"/>
      <c r="FJ24" s="87"/>
      <c r="FK24" s="87"/>
      <c r="FL24" s="87"/>
      <c r="FM24" s="87"/>
      <c r="FN24" s="87"/>
      <c r="FO24" s="87"/>
      <c r="FP24" s="87"/>
      <c r="FQ24" s="87"/>
      <c r="FR24" s="87"/>
      <c r="FS24" s="87"/>
      <c r="FT24" s="87"/>
      <c r="FU24" s="87"/>
      <c r="FV24" s="87"/>
      <c r="FW24" s="87"/>
      <c r="FX24" s="87"/>
      <c r="FY24" s="87"/>
      <c r="FZ24" s="87"/>
      <c r="GA24" s="87"/>
      <c r="GB24" s="87"/>
      <c r="GC24" s="87"/>
      <c r="GD24" s="87"/>
      <c r="GE24" s="87"/>
      <c r="GF24" s="87"/>
      <c r="GG24" s="87"/>
      <c r="GH24" s="87"/>
      <c r="GI24" s="87"/>
      <c r="GJ24" s="87"/>
      <c r="GK24" s="87"/>
      <c r="GL24" s="87"/>
      <c r="GM24" s="87"/>
      <c r="GN24" s="87"/>
      <c r="GO24" s="87"/>
      <c r="GP24" s="87"/>
      <c r="GQ24" s="87"/>
      <c r="GR24" s="87"/>
      <c r="GS24" s="87"/>
      <c r="GT24" s="87"/>
      <c r="GU24" s="87"/>
      <c r="GV24" s="87"/>
      <c r="GW24" s="87"/>
      <c r="GX24" s="87"/>
      <c r="GY24" s="87"/>
      <c r="GZ24" s="87"/>
      <c r="HA24" s="87"/>
      <c r="HB24" s="87"/>
      <c r="HC24" s="87"/>
      <c r="HD24" s="87"/>
      <c r="HE24" s="87"/>
      <c r="HF24" s="87"/>
      <c r="HG24" s="87"/>
      <c r="HH24" s="87"/>
      <c r="HI24" s="87"/>
      <c r="HJ24" s="87"/>
      <c r="HK24" s="87"/>
      <c r="HL24" s="87"/>
      <c r="HM24" s="87"/>
      <c r="HN24" s="87"/>
      <c r="HO24" s="87"/>
      <c r="HP24" s="87"/>
      <c r="HQ24" s="87"/>
      <c r="HR24" s="87"/>
      <c r="HS24" s="87"/>
      <c r="HT24" s="87"/>
      <c r="HU24" s="87"/>
      <c r="HV24" s="87"/>
      <c r="HW24" s="87"/>
      <c r="HX24" s="87"/>
      <c r="HY24" s="87"/>
      <c r="HZ24" s="87"/>
      <c r="IA24" s="87"/>
      <c r="IB24" s="87"/>
      <c r="IC24" s="87"/>
      <c r="ID24" s="87"/>
      <c r="IE24" s="87"/>
      <c r="IF24" s="87"/>
      <c r="IG24" s="87"/>
      <c r="IH24" s="87"/>
      <c r="II24" s="87"/>
      <c r="IJ24" s="87"/>
      <c r="IK24" s="87"/>
      <c r="IL24" s="87"/>
      <c r="IM24" s="87"/>
      <c r="IN24" s="87"/>
      <c r="IO24" s="87"/>
      <c r="IP24" s="87"/>
      <c r="IQ24" s="87"/>
      <c r="IR24" s="87"/>
      <c r="IS24" s="87"/>
      <c r="IT24" s="87"/>
      <c r="IU24" s="87"/>
      <c r="IV24" s="87"/>
      <c r="IW24" s="87"/>
    </row>
    <row r="25" spans="2:257" s="14" customFormat="1" ht="15.6">
      <c r="B25" s="30">
        <v>1.01</v>
      </c>
      <c r="C25" s="38" t="s">
        <v>145</v>
      </c>
      <c r="D25" s="31"/>
      <c r="E25" s="32"/>
      <c r="F25" s="88"/>
      <c r="G25" s="88"/>
      <c r="H25" s="88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8"/>
      <c r="W25" s="49"/>
      <c r="X25" s="49"/>
      <c r="Y25" s="49"/>
      <c r="Z25" s="49"/>
      <c r="AA25" s="34"/>
      <c r="AB25" s="34"/>
      <c r="AC25" s="49"/>
      <c r="AD25" s="49"/>
      <c r="AE25" s="49"/>
      <c r="AF25" s="49"/>
      <c r="AG25" s="88"/>
      <c r="AH25" s="88"/>
      <c r="AI25" s="88"/>
      <c r="AJ25" s="88"/>
      <c r="AK25" s="88"/>
      <c r="AL25" s="88"/>
      <c r="AM25" s="88"/>
      <c r="AN25" s="88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87"/>
      <c r="BF25" s="87"/>
      <c r="BG25" s="87"/>
      <c r="BH25" s="87"/>
      <c r="BI25" s="87"/>
      <c r="BJ25" s="87"/>
      <c r="BK25" s="87"/>
      <c r="BL25" s="87"/>
      <c r="BM25" s="87"/>
      <c r="BN25" s="87"/>
      <c r="BO25" s="87"/>
      <c r="BP25" s="87"/>
      <c r="BQ25" s="87"/>
      <c r="BR25" s="87"/>
      <c r="BS25" s="87"/>
      <c r="BT25" s="87"/>
      <c r="BU25" s="87"/>
      <c r="BV25" s="87"/>
      <c r="BW25" s="87"/>
      <c r="BX25" s="87"/>
      <c r="BY25" s="87"/>
      <c r="BZ25" s="87"/>
      <c r="CA25" s="87"/>
      <c r="CB25" s="87"/>
      <c r="CC25" s="79"/>
      <c r="CD25" s="79"/>
      <c r="CE25" s="87"/>
      <c r="CF25" s="87"/>
      <c r="CG25" s="87"/>
      <c r="CH25" s="87"/>
      <c r="CI25" s="87"/>
      <c r="CJ25" s="87"/>
      <c r="CK25" s="87"/>
      <c r="CL25" s="87"/>
      <c r="CM25" s="87"/>
      <c r="CN25" s="87"/>
      <c r="CO25" s="87"/>
      <c r="CP25" s="87"/>
      <c r="CQ25" s="87"/>
      <c r="CR25" s="87"/>
      <c r="CS25" s="87"/>
      <c r="CT25" s="87"/>
      <c r="CU25" s="87"/>
      <c r="CV25" s="79"/>
      <c r="CW25" s="87"/>
      <c r="CX25" s="87"/>
      <c r="CY25" s="87"/>
      <c r="CZ25" s="87"/>
      <c r="DA25" s="87"/>
      <c r="DB25" s="87"/>
      <c r="DC25" s="87"/>
      <c r="DD25" s="87"/>
      <c r="DE25" s="87"/>
      <c r="DF25" s="87"/>
      <c r="DG25" s="87"/>
      <c r="DH25" s="87"/>
      <c r="DI25" s="87"/>
      <c r="DJ25" s="87"/>
      <c r="DK25" s="87"/>
      <c r="DL25" s="87"/>
      <c r="DM25" s="87"/>
      <c r="DN25" s="87"/>
      <c r="DO25" s="87"/>
      <c r="DP25" s="87"/>
      <c r="DQ25" s="87"/>
      <c r="DR25" s="87"/>
      <c r="DS25" s="87"/>
      <c r="DT25" s="87"/>
      <c r="DU25" s="87"/>
      <c r="DV25" s="87"/>
      <c r="DW25" s="87"/>
      <c r="DX25" s="87"/>
      <c r="DY25" s="87"/>
      <c r="DZ25" s="87"/>
      <c r="EA25" s="87"/>
      <c r="EB25" s="87"/>
      <c r="EC25" s="87"/>
      <c r="ED25" s="87"/>
      <c r="EE25" s="87"/>
      <c r="EF25" s="87"/>
      <c r="EG25" s="87"/>
      <c r="EH25" s="87"/>
      <c r="EI25" s="87"/>
      <c r="EJ25" s="87"/>
      <c r="EK25" s="87"/>
      <c r="EL25" s="87"/>
      <c r="EM25" s="87"/>
      <c r="EN25" s="87"/>
      <c r="EO25" s="87"/>
      <c r="EP25" s="87"/>
      <c r="EQ25" s="87"/>
      <c r="ER25" s="87"/>
      <c r="ES25" s="87"/>
      <c r="ET25" s="79"/>
      <c r="EU25" s="87"/>
      <c r="EV25" s="87"/>
      <c r="EW25" s="87"/>
      <c r="EX25" s="87"/>
      <c r="EY25" s="87"/>
      <c r="EZ25" s="87"/>
      <c r="FA25" s="87"/>
      <c r="FB25" s="87"/>
      <c r="FC25" s="87"/>
      <c r="FD25" s="87"/>
      <c r="FE25" s="87"/>
      <c r="FF25" s="87"/>
      <c r="FG25" s="87"/>
      <c r="FH25" s="87"/>
      <c r="FI25" s="87"/>
      <c r="FJ25" s="87"/>
      <c r="FK25" s="87"/>
      <c r="FL25" s="87"/>
      <c r="FM25" s="87"/>
      <c r="FN25" s="87"/>
      <c r="FO25" s="87"/>
      <c r="FP25" s="87"/>
      <c r="FQ25" s="87"/>
      <c r="FR25" s="87"/>
      <c r="FS25" s="87"/>
      <c r="FT25" s="87"/>
      <c r="FU25" s="87"/>
      <c r="FV25" s="87"/>
      <c r="FW25" s="87"/>
      <c r="FX25" s="87"/>
      <c r="FY25" s="87"/>
      <c r="FZ25" s="87"/>
      <c r="GA25" s="87"/>
      <c r="GB25" s="87"/>
      <c r="GC25" s="87"/>
      <c r="GD25" s="87"/>
      <c r="GE25" s="87"/>
      <c r="GF25" s="87"/>
      <c r="GG25" s="87"/>
      <c r="GH25" s="87"/>
      <c r="GI25" s="87"/>
      <c r="GJ25" s="87"/>
      <c r="GK25" s="87"/>
      <c r="GL25" s="87"/>
      <c r="GM25" s="87"/>
      <c r="GN25" s="87"/>
      <c r="GO25" s="87"/>
      <c r="GP25" s="87"/>
      <c r="GQ25" s="87"/>
      <c r="GR25" s="87"/>
      <c r="GS25" s="87"/>
      <c r="GT25" s="87"/>
      <c r="GU25" s="87"/>
      <c r="GV25" s="87"/>
      <c r="GW25" s="87"/>
      <c r="GX25" s="87"/>
      <c r="GY25" s="87"/>
      <c r="GZ25" s="87"/>
      <c r="HA25" s="87"/>
      <c r="HB25" s="87"/>
      <c r="HC25" s="87"/>
      <c r="HD25" s="87"/>
      <c r="HE25" s="87"/>
      <c r="HF25" s="87"/>
      <c r="HG25" s="87"/>
      <c r="HH25" s="87"/>
      <c r="HI25" s="87"/>
      <c r="HJ25" s="87"/>
      <c r="HK25" s="87"/>
      <c r="HL25" s="87"/>
      <c r="HM25" s="87"/>
      <c r="HN25" s="87"/>
      <c r="HO25" s="87"/>
      <c r="HP25" s="87"/>
      <c r="HQ25" s="87"/>
      <c r="HR25" s="87"/>
      <c r="HS25" s="87"/>
      <c r="HT25" s="87"/>
      <c r="HU25" s="87"/>
      <c r="HV25" s="87"/>
      <c r="HW25" s="87"/>
      <c r="HX25" s="87"/>
      <c r="HY25" s="87"/>
      <c r="HZ25" s="87"/>
      <c r="IA25" s="87"/>
      <c r="IB25" s="87"/>
      <c r="IC25" s="87"/>
      <c r="ID25" s="87"/>
      <c r="IE25" s="87"/>
      <c r="IF25" s="87"/>
      <c r="IG25" s="87"/>
      <c r="IH25" s="87"/>
      <c r="II25" s="87"/>
      <c r="IJ25" s="87"/>
      <c r="IK25" s="87"/>
      <c r="IL25" s="87"/>
      <c r="IM25" s="87"/>
      <c r="IN25" s="87"/>
      <c r="IO25" s="87"/>
      <c r="IP25" s="87"/>
      <c r="IQ25" s="87"/>
      <c r="IR25" s="87"/>
      <c r="IS25" s="87"/>
      <c r="IT25" s="87"/>
      <c r="IU25" s="87"/>
      <c r="IV25" s="87"/>
      <c r="IW25" s="87"/>
    </row>
    <row r="26" spans="2:257" s="14" customFormat="1" ht="15.6">
      <c r="B26" s="30">
        <v>1.01</v>
      </c>
      <c r="C26" s="38" t="s">
        <v>146</v>
      </c>
      <c r="D26" s="31"/>
      <c r="E26" s="32"/>
      <c r="F26" s="88"/>
      <c r="G26" s="88"/>
      <c r="H26" s="88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34"/>
      <c r="W26" s="48"/>
      <c r="X26" s="48"/>
      <c r="Y26" s="48"/>
      <c r="Z26" s="49"/>
      <c r="AA26" s="49"/>
      <c r="AB26" s="49"/>
      <c r="AC26" s="49"/>
      <c r="AD26" s="49"/>
      <c r="AE26" s="49"/>
      <c r="AF26" s="49"/>
      <c r="AG26" s="88"/>
      <c r="AH26" s="88"/>
      <c r="AI26" s="88"/>
      <c r="AJ26" s="88"/>
      <c r="AK26" s="88"/>
      <c r="AL26" s="88"/>
      <c r="AM26" s="88"/>
      <c r="AN26" s="88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87"/>
      <c r="BK26" s="87"/>
      <c r="BL26" s="87"/>
      <c r="BM26" s="87"/>
      <c r="BN26" s="87"/>
      <c r="BO26" s="87"/>
      <c r="BP26" s="87"/>
      <c r="BQ26" s="87"/>
      <c r="BR26" s="87"/>
      <c r="BS26" s="87"/>
      <c r="BT26" s="87"/>
      <c r="BU26" s="87"/>
      <c r="BV26" s="87"/>
      <c r="BW26" s="87"/>
      <c r="BX26" s="87"/>
      <c r="BY26" s="87"/>
      <c r="BZ26" s="87"/>
      <c r="CA26" s="87"/>
      <c r="CB26" s="87"/>
      <c r="CC26" s="79"/>
      <c r="CD26" s="79"/>
      <c r="CE26" s="87"/>
      <c r="CF26" s="87"/>
      <c r="CG26" s="87"/>
      <c r="CH26" s="87"/>
      <c r="CI26" s="87"/>
      <c r="CJ26" s="87"/>
      <c r="CK26" s="87"/>
      <c r="CL26" s="87"/>
      <c r="CM26" s="87"/>
      <c r="CN26" s="87"/>
      <c r="CO26" s="87"/>
      <c r="CP26" s="87"/>
      <c r="CQ26" s="87"/>
      <c r="CR26" s="87"/>
      <c r="CS26" s="87"/>
      <c r="CT26" s="87"/>
      <c r="CU26" s="87"/>
      <c r="CV26" s="79"/>
      <c r="CW26" s="87"/>
      <c r="CX26" s="87"/>
      <c r="CY26" s="87"/>
      <c r="CZ26" s="87"/>
      <c r="DA26" s="87"/>
      <c r="DB26" s="87"/>
      <c r="DC26" s="87"/>
      <c r="DD26" s="87"/>
      <c r="DE26" s="87"/>
      <c r="DF26" s="87"/>
      <c r="DG26" s="87"/>
      <c r="DH26" s="87"/>
      <c r="DI26" s="87"/>
      <c r="DJ26" s="87"/>
      <c r="DK26" s="87"/>
      <c r="DL26" s="87"/>
      <c r="DM26" s="87"/>
      <c r="DN26" s="87"/>
      <c r="DO26" s="87"/>
      <c r="DP26" s="87"/>
      <c r="DQ26" s="87"/>
      <c r="DR26" s="87"/>
      <c r="DS26" s="87"/>
      <c r="DT26" s="87"/>
      <c r="DU26" s="87"/>
      <c r="DV26" s="87"/>
      <c r="DW26" s="87"/>
      <c r="DX26" s="87"/>
      <c r="DY26" s="87"/>
      <c r="DZ26" s="87"/>
      <c r="EA26" s="87"/>
      <c r="EB26" s="87"/>
      <c r="EC26" s="87"/>
      <c r="ED26" s="87"/>
      <c r="EE26" s="87"/>
      <c r="EF26" s="87"/>
      <c r="EG26" s="87"/>
      <c r="EH26" s="87"/>
      <c r="EI26" s="87"/>
      <c r="EJ26" s="87"/>
      <c r="EK26" s="87"/>
      <c r="EL26" s="87"/>
      <c r="EM26" s="87"/>
      <c r="EN26" s="87"/>
      <c r="EO26" s="87"/>
      <c r="EP26" s="87"/>
      <c r="EQ26" s="87"/>
      <c r="ER26" s="87"/>
      <c r="ES26" s="87"/>
      <c r="ET26" s="79"/>
      <c r="EU26" s="87"/>
      <c r="EV26" s="87"/>
      <c r="EW26" s="87"/>
      <c r="EX26" s="87"/>
      <c r="EY26" s="87"/>
      <c r="EZ26" s="87"/>
      <c r="FA26" s="87"/>
      <c r="FB26" s="87"/>
      <c r="FC26" s="87"/>
      <c r="FD26" s="87"/>
      <c r="FE26" s="87"/>
      <c r="FF26" s="87"/>
      <c r="FG26" s="87"/>
      <c r="FH26" s="87"/>
      <c r="FI26" s="87"/>
      <c r="FJ26" s="87"/>
      <c r="FK26" s="87"/>
      <c r="FL26" s="87"/>
      <c r="FM26" s="87"/>
      <c r="FN26" s="87"/>
      <c r="FO26" s="87"/>
      <c r="FP26" s="87"/>
      <c r="FQ26" s="87"/>
      <c r="FR26" s="87"/>
      <c r="FS26" s="87"/>
      <c r="FT26" s="87"/>
      <c r="FU26" s="87"/>
      <c r="FV26" s="87"/>
      <c r="FW26" s="87"/>
      <c r="FX26" s="87"/>
      <c r="FY26" s="87"/>
      <c r="FZ26" s="87"/>
      <c r="GA26" s="87"/>
      <c r="GB26" s="87"/>
      <c r="GC26" s="87"/>
      <c r="GD26" s="87"/>
      <c r="GE26" s="87"/>
      <c r="GF26" s="87"/>
      <c r="GG26" s="87"/>
      <c r="GH26" s="87"/>
      <c r="GI26" s="87"/>
      <c r="GJ26" s="87"/>
      <c r="GK26" s="87"/>
      <c r="GL26" s="87"/>
      <c r="GM26" s="87"/>
      <c r="GN26" s="87"/>
      <c r="GO26" s="87"/>
      <c r="GP26" s="87"/>
      <c r="GQ26" s="87"/>
      <c r="GR26" s="87"/>
      <c r="GS26" s="87"/>
      <c r="GT26" s="87"/>
      <c r="GU26" s="87"/>
      <c r="GV26" s="87"/>
      <c r="GW26" s="87"/>
      <c r="GX26" s="87"/>
      <c r="GY26" s="87"/>
      <c r="GZ26" s="87"/>
      <c r="HA26" s="87"/>
      <c r="HB26" s="87"/>
      <c r="HC26" s="87"/>
      <c r="HD26" s="87"/>
      <c r="HE26" s="87"/>
      <c r="HF26" s="87"/>
      <c r="HG26" s="87"/>
      <c r="HH26" s="87"/>
      <c r="HI26" s="87"/>
      <c r="HJ26" s="87"/>
      <c r="HK26" s="87"/>
      <c r="HL26" s="87"/>
      <c r="HM26" s="87"/>
      <c r="HN26" s="87"/>
      <c r="HO26" s="87"/>
      <c r="HP26" s="87"/>
      <c r="HQ26" s="87"/>
      <c r="HR26" s="87"/>
      <c r="HS26" s="87"/>
      <c r="HT26" s="87"/>
      <c r="HU26" s="87"/>
      <c r="HV26" s="87"/>
      <c r="HW26" s="87"/>
      <c r="HX26" s="87"/>
      <c r="HY26" s="87"/>
      <c r="HZ26" s="87"/>
      <c r="IA26" s="87"/>
      <c r="IB26" s="87"/>
      <c r="IC26" s="87"/>
      <c r="ID26" s="87"/>
      <c r="IE26" s="87"/>
      <c r="IF26" s="87"/>
      <c r="IG26" s="87"/>
      <c r="IH26" s="87"/>
      <c r="II26" s="87"/>
      <c r="IJ26" s="87"/>
      <c r="IK26" s="87"/>
      <c r="IL26" s="87"/>
      <c r="IM26" s="87"/>
      <c r="IN26" s="87"/>
      <c r="IO26" s="87"/>
      <c r="IP26" s="87"/>
      <c r="IQ26" s="87"/>
      <c r="IR26" s="87"/>
      <c r="IS26" s="87"/>
      <c r="IT26" s="87"/>
      <c r="IU26" s="87"/>
      <c r="IV26" s="87"/>
      <c r="IW26" s="87"/>
    </row>
    <row r="27" spans="2:257" s="14" customFormat="1" ht="15.6">
      <c r="B27" s="30">
        <v>1.01</v>
      </c>
      <c r="C27" s="38" t="s">
        <v>147</v>
      </c>
      <c r="D27" s="31"/>
      <c r="E27" s="32"/>
      <c r="F27" s="88"/>
      <c r="G27" s="88"/>
      <c r="H27" s="88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34"/>
      <c r="X27" s="34"/>
      <c r="Y27" s="34"/>
      <c r="Z27" s="48"/>
      <c r="AA27" s="48"/>
      <c r="AB27" s="48"/>
      <c r="AC27" s="48"/>
      <c r="AD27" s="48"/>
      <c r="AE27" s="48"/>
      <c r="AF27" s="34"/>
      <c r="AG27" s="88"/>
      <c r="AH27" s="88"/>
      <c r="AI27" s="88"/>
      <c r="AJ27" s="88"/>
      <c r="AK27" s="88"/>
      <c r="AL27" s="88"/>
      <c r="AM27" s="88"/>
      <c r="AN27" s="88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87"/>
      <c r="BK27" s="87"/>
      <c r="BL27" s="87"/>
      <c r="BM27" s="87"/>
      <c r="BN27" s="87"/>
      <c r="BO27" s="87"/>
      <c r="BP27" s="87"/>
      <c r="BQ27" s="87"/>
      <c r="BR27" s="87"/>
      <c r="BS27" s="87"/>
      <c r="BT27" s="87"/>
      <c r="BU27" s="87"/>
      <c r="BV27" s="87"/>
      <c r="BW27" s="87"/>
      <c r="BX27" s="87"/>
      <c r="BY27" s="87"/>
      <c r="BZ27" s="87"/>
      <c r="CA27" s="87"/>
      <c r="CB27" s="87"/>
      <c r="CC27" s="79"/>
      <c r="CD27" s="79"/>
      <c r="CE27" s="87"/>
      <c r="CF27" s="87"/>
      <c r="CG27" s="87"/>
      <c r="CH27" s="87"/>
      <c r="CI27" s="87"/>
      <c r="CJ27" s="87"/>
      <c r="CK27" s="87"/>
      <c r="CL27" s="87"/>
      <c r="CM27" s="87"/>
      <c r="CN27" s="87"/>
      <c r="CO27" s="87"/>
      <c r="CP27" s="87"/>
      <c r="CQ27" s="87"/>
      <c r="CR27" s="87"/>
      <c r="CS27" s="87"/>
      <c r="CT27" s="87"/>
      <c r="CU27" s="87"/>
      <c r="CV27" s="79"/>
      <c r="CW27" s="87"/>
      <c r="CX27" s="87"/>
      <c r="CY27" s="87"/>
      <c r="CZ27" s="87"/>
      <c r="DA27" s="87"/>
      <c r="DB27" s="87"/>
      <c r="DC27" s="87"/>
      <c r="DD27" s="87"/>
      <c r="DE27" s="87"/>
      <c r="DF27" s="87"/>
      <c r="DG27" s="87"/>
      <c r="DH27" s="87"/>
      <c r="DI27" s="87"/>
      <c r="DJ27" s="87"/>
      <c r="DK27" s="87"/>
      <c r="DL27" s="87"/>
      <c r="DM27" s="87"/>
      <c r="DN27" s="87"/>
      <c r="DO27" s="87"/>
      <c r="DP27" s="87"/>
      <c r="DQ27" s="87"/>
      <c r="DR27" s="87"/>
      <c r="DS27" s="87"/>
      <c r="DT27" s="87"/>
      <c r="DU27" s="87"/>
      <c r="DV27" s="87"/>
      <c r="DW27" s="87"/>
      <c r="DX27" s="87"/>
      <c r="DY27" s="87"/>
      <c r="DZ27" s="87"/>
      <c r="EA27" s="87"/>
      <c r="EB27" s="87"/>
      <c r="EC27" s="87"/>
      <c r="ED27" s="87"/>
      <c r="EE27" s="87"/>
      <c r="EF27" s="87"/>
      <c r="EG27" s="87"/>
      <c r="EH27" s="87"/>
      <c r="EI27" s="87"/>
      <c r="EJ27" s="87"/>
      <c r="EK27" s="87"/>
      <c r="EL27" s="87"/>
      <c r="EM27" s="87"/>
      <c r="EN27" s="87"/>
      <c r="EO27" s="87"/>
      <c r="EP27" s="87"/>
      <c r="EQ27" s="87"/>
      <c r="ER27" s="87"/>
      <c r="ES27" s="87"/>
      <c r="ET27" s="79"/>
      <c r="EU27" s="87"/>
      <c r="EV27" s="87"/>
      <c r="EW27" s="87"/>
      <c r="EX27" s="87"/>
      <c r="EY27" s="87"/>
      <c r="EZ27" s="87"/>
      <c r="FA27" s="87"/>
      <c r="FB27" s="87"/>
      <c r="FC27" s="87"/>
      <c r="FD27" s="87"/>
      <c r="FE27" s="87"/>
      <c r="FF27" s="87"/>
      <c r="FG27" s="87"/>
      <c r="FH27" s="87"/>
      <c r="FI27" s="87"/>
      <c r="FJ27" s="87"/>
      <c r="FK27" s="87"/>
      <c r="FL27" s="87"/>
      <c r="FM27" s="87"/>
      <c r="FN27" s="87"/>
      <c r="FO27" s="87"/>
      <c r="FP27" s="87"/>
      <c r="FQ27" s="87"/>
      <c r="FR27" s="87"/>
      <c r="FS27" s="87"/>
      <c r="FT27" s="87"/>
      <c r="FU27" s="87"/>
      <c r="FV27" s="87"/>
      <c r="FW27" s="87"/>
      <c r="FX27" s="87"/>
      <c r="FY27" s="87"/>
      <c r="FZ27" s="87"/>
      <c r="GA27" s="87"/>
      <c r="GB27" s="87"/>
      <c r="GC27" s="87"/>
      <c r="GD27" s="87"/>
      <c r="GE27" s="87"/>
      <c r="GF27" s="87"/>
      <c r="GG27" s="87"/>
      <c r="GH27" s="87"/>
      <c r="GI27" s="87"/>
      <c r="GJ27" s="87"/>
      <c r="GK27" s="87"/>
      <c r="GL27" s="87"/>
      <c r="GM27" s="87"/>
      <c r="GN27" s="87"/>
      <c r="GO27" s="87"/>
      <c r="GP27" s="87"/>
      <c r="GQ27" s="87"/>
      <c r="GR27" s="87"/>
      <c r="GS27" s="87"/>
      <c r="GT27" s="87"/>
      <c r="GU27" s="87"/>
      <c r="GV27" s="87"/>
      <c r="GW27" s="87"/>
      <c r="GX27" s="87"/>
      <c r="GY27" s="87"/>
      <c r="GZ27" s="87"/>
      <c r="HA27" s="87"/>
      <c r="HB27" s="87"/>
      <c r="HC27" s="87"/>
      <c r="HD27" s="87"/>
      <c r="HE27" s="87"/>
      <c r="HF27" s="87"/>
      <c r="HG27" s="87"/>
      <c r="HH27" s="87"/>
      <c r="HI27" s="87"/>
      <c r="HJ27" s="87"/>
      <c r="HK27" s="87"/>
      <c r="HL27" s="87"/>
      <c r="HM27" s="87"/>
      <c r="HN27" s="87"/>
      <c r="HO27" s="87"/>
      <c r="HP27" s="87"/>
      <c r="HQ27" s="87"/>
      <c r="HR27" s="87"/>
      <c r="HS27" s="87"/>
      <c r="HT27" s="87"/>
      <c r="HU27" s="87"/>
      <c r="HV27" s="87"/>
      <c r="HW27" s="87"/>
      <c r="HX27" s="87"/>
      <c r="HY27" s="87"/>
      <c r="HZ27" s="87"/>
      <c r="IA27" s="87"/>
      <c r="IB27" s="87"/>
      <c r="IC27" s="87"/>
      <c r="ID27" s="87"/>
      <c r="IE27" s="87"/>
      <c r="IF27" s="87"/>
      <c r="IG27" s="87"/>
      <c r="IH27" s="87"/>
      <c r="II27" s="87"/>
      <c r="IJ27" s="87"/>
      <c r="IK27" s="87"/>
      <c r="IL27" s="87"/>
      <c r="IM27" s="87"/>
      <c r="IN27" s="87"/>
      <c r="IO27" s="87"/>
      <c r="IP27" s="87"/>
      <c r="IQ27" s="87"/>
      <c r="IR27" s="87"/>
      <c r="IS27" s="87"/>
      <c r="IT27" s="87"/>
      <c r="IU27" s="87"/>
      <c r="IV27" s="87"/>
      <c r="IW27" s="87"/>
    </row>
    <row r="28" spans="2:257" s="14" customFormat="1" ht="15.6">
      <c r="B28" s="30">
        <v>1.01</v>
      </c>
      <c r="C28" s="38" t="s">
        <v>148</v>
      </c>
      <c r="D28" s="31"/>
      <c r="E28" s="32"/>
      <c r="F28" s="88"/>
      <c r="G28" s="88"/>
      <c r="H28" s="88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34"/>
      <c r="X28" s="34"/>
      <c r="Y28" s="34"/>
      <c r="Z28" s="48"/>
      <c r="AA28" s="48"/>
      <c r="AB28" s="48"/>
      <c r="AC28" s="48"/>
      <c r="AD28" s="48"/>
      <c r="AE28" s="48"/>
      <c r="AF28" s="34"/>
      <c r="AG28" s="88"/>
      <c r="AH28" s="88"/>
      <c r="AI28" s="88"/>
      <c r="AJ28" s="88"/>
      <c r="AK28" s="88"/>
      <c r="AL28" s="88"/>
      <c r="AM28" s="88"/>
      <c r="AN28" s="88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87"/>
      <c r="BK28" s="87"/>
      <c r="BL28" s="87"/>
      <c r="BM28" s="87"/>
      <c r="BN28" s="87"/>
      <c r="BO28" s="87"/>
      <c r="BP28" s="87"/>
      <c r="BQ28" s="87"/>
      <c r="BR28" s="87"/>
      <c r="BS28" s="87"/>
      <c r="BT28" s="87"/>
      <c r="BU28" s="87"/>
      <c r="BV28" s="87"/>
      <c r="BW28" s="87"/>
      <c r="BX28" s="87"/>
      <c r="BY28" s="87"/>
      <c r="BZ28" s="87"/>
      <c r="CA28" s="87"/>
      <c r="CB28" s="87"/>
      <c r="CC28" s="79"/>
      <c r="CD28" s="79"/>
      <c r="CE28" s="87"/>
      <c r="CF28" s="87"/>
      <c r="CG28" s="87"/>
      <c r="CH28" s="87"/>
      <c r="CI28" s="87"/>
      <c r="CJ28" s="87"/>
      <c r="CK28" s="87"/>
      <c r="CL28" s="87"/>
      <c r="CM28" s="87"/>
      <c r="CN28" s="87"/>
      <c r="CO28" s="87"/>
      <c r="CP28" s="87"/>
      <c r="CQ28" s="87"/>
      <c r="CR28" s="87"/>
      <c r="CS28" s="87"/>
      <c r="CT28" s="87"/>
      <c r="CU28" s="87"/>
      <c r="CV28" s="79"/>
      <c r="CW28" s="87"/>
      <c r="CX28" s="87"/>
      <c r="CY28" s="87"/>
      <c r="CZ28" s="87"/>
      <c r="DA28" s="87"/>
      <c r="DB28" s="87"/>
      <c r="DC28" s="87"/>
      <c r="DD28" s="87"/>
      <c r="DE28" s="87"/>
      <c r="DF28" s="87"/>
      <c r="DG28" s="87"/>
      <c r="DH28" s="87"/>
      <c r="DI28" s="87"/>
      <c r="DJ28" s="87"/>
      <c r="DK28" s="87"/>
      <c r="DL28" s="87"/>
      <c r="DM28" s="87"/>
      <c r="DN28" s="87"/>
      <c r="DO28" s="87"/>
      <c r="DP28" s="87"/>
      <c r="DQ28" s="87"/>
      <c r="DR28" s="87"/>
      <c r="DS28" s="87"/>
      <c r="DT28" s="87"/>
      <c r="DU28" s="87"/>
      <c r="DV28" s="87"/>
      <c r="DW28" s="87"/>
      <c r="DX28" s="87"/>
      <c r="DY28" s="87"/>
      <c r="DZ28" s="87"/>
      <c r="EA28" s="87"/>
      <c r="EB28" s="87"/>
      <c r="EC28" s="87"/>
      <c r="ED28" s="87"/>
      <c r="EE28" s="87"/>
      <c r="EF28" s="87"/>
      <c r="EG28" s="87"/>
      <c r="EH28" s="87"/>
      <c r="EI28" s="87"/>
      <c r="EJ28" s="87"/>
      <c r="EK28" s="87"/>
      <c r="EL28" s="87"/>
      <c r="EM28" s="87"/>
      <c r="EN28" s="87"/>
      <c r="EO28" s="87"/>
      <c r="EP28" s="87"/>
      <c r="EQ28" s="87"/>
      <c r="ER28" s="87"/>
      <c r="ES28" s="87"/>
      <c r="ET28" s="79"/>
      <c r="EU28" s="87"/>
      <c r="EV28" s="87"/>
      <c r="EW28" s="87"/>
      <c r="EX28" s="87"/>
      <c r="EY28" s="87"/>
      <c r="EZ28" s="87"/>
      <c r="FA28" s="87"/>
      <c r="FB28" s="87"/>
      <c r="FC28" s="87"/>
      <c r="FD28" s="87"/>
      <c r="FE28" s="87"/>
      <c r="FF28" s="87"/>
      <c r="FG28" s="87"/>
      <c r="FH28" s="87"/>
      <c r="FI28" s="87"/>
      <c r="FJ28" s="87"/>
      <c r="FK28" s="87"/>
      <c r="FL28" s="87"/>
      <c r="FM28" s="87"/>
      <c r="FN28" s="87"/>
      <c r="FO28" s="87"/>
      <c r="FP28" s="87"/>
      <c r="FQ28" s="87"/>
      <c r="FR28" s="87"/>
      <c r="FS28" s="87"/>
      <c r="FT28" s="87"/>
      <c r="FU28" s="87"/>
      <c r="FV28" s="87"/>
      <c r="FW28" s="87"/>
      <c r="FX28" s="87"/>
      <c r="FY28" s="87"/>
      <c r="FZ28" s="87"/>
      <c r="GA28" s="87"/>
      <c r="GB28" s="87"/>
      <c r="GC28" s="87"/>
      <c r="GD28" s="87"/>
      <c r="GE28" s="87"/>
      <c r="GF28" s="87"/>
      <c r="GG28" s="87"/>
      <c r="GH28" s="87"/>
      <c r="GI28" s="87"/>
      <c r="GJ28" s="87"/>
      <c r="GK28" s="87"/>
      <c r="GL28" s="87"/>
      <c r="GM28" s="87"/>
      <c r="GN28" s="87"/>
      <c r="GO28" s="87"/>
      <c r="GP28" s="87"/>
      <c r="GQ28" s="87"/>
      <c r="GR28" s="87"/>
      <c r="GS28" s="87"/>
      <c r="GT28" s="87"/>
      <c r="GU28" s="87"/>
      <c r="GV28" s="87"/>
      <c r="GW28" s="87"/>
      <c r="GX28" s="87"/>
      <c r="GY28" s="87"/>
      <c r="GZ28" s="87"/>
      <c r="HA28" s="87"/>
      <c r="HB28" s="87"/>
      <c r="HC28" s="87"/>
      <c r="HD28" s="87"/>
      <c r="HE28" s="87"/>
      <c r="HF28" s="87"/>
      <c r="HG28" s="87"/>
      <c r="HH28" s="87"/>
      <c r="HI28" s="87"/>
      <c r="HJ28" s="87"/>
      <c r="HK28" s="87"/>
      <c r="HL28" s="87"/>
      <c r="HM28" s="87"/>
      <c r="HN28" s="87"/>
      <c r="HO28" s="87"/>
      <c r="HP28" s="87"/>
      <c r="HQ28" s="87"/>
      <c r="HR28" s="87"/>
      <c r="HS28" s="87"/>
      <c r="HT28" s="87"/>
      <c r="HU28" s="87"/>
      <c r="HV28" s="87"/>
      <c r="HW28" s="87"/>
      <c r="HX28" s="87"/>
      <c r="HY28" s="87"/>
      <c r="HZ28" s="87"/>
      <c r="IA28" s="87"/>
      <c r="IB28" s="87"/>
      <c r="IC28" s="87"/>
      <c r="ID28" s="87"/>
      <c r="IE28" s="87"/>
      <c r="IF28" s="87"/>
      <c r="IG28" s="87"/>
      <c r="IH28" s="87"/>
      <c r="II28" s="87"/>
      <c r="IJ28" s="87"/>
      <c r="IK28" s="87"/>
      <c r="IL28" s="87"/>
      <c r="IM28" s="87"/>
      <c r="IN28" s="87"/>
      <c r="IO28" s="87"/>
      <c r="IP28" s="87"/>
      <c r="IQ28" s="87"/>
      <c r="IR28" s="87"/>
      <c r="IS28" s="87"/>
      <c r="IT28" s="87"/>
      <c r="IU28" s="87"/>
      <c r="IV28" s="87"/>
      <c r="IW28" s="87"/>
    </row>
    <row r="29" spans="2:257" s="14" customFormat="1" ht="15.6">
      <c r="B29" s="30">
        <v>1.01</v>
      </c>
      <c r="C29" s="38" t="s">
        <v>149</v>
      </c>
      <c r="D29" s="31"/>
      <c r="E29" s="32"/>
      <c r="F29" s="88"/>
      <c r="G29" s="88"/>
      <c r="H29" s="88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34"/>
      <c r="X29" s="34"/>
      <c r="Y29" s="34"/>
      <c r="Z29" s="49"/>
      <c r="AA29" s="48"/>
      <c r="AB29" s="48"/>
      <c r="AC29" s="48"/>
      <c r="AD29" s="48"/>
      <c r="AE29" s="48"/>
      <c r="AF29" s="34"/>
      <c r="AG29" s="88"/>
      <c r="AH29" s="88"/>
      <c r="AI29" s="88"/>
      <c r="AJ29" s="88"/>
      <c r="AK29" s="88"/>
      <c r="AL29" s="88"/>
      <c r="AM29" s="88"/>
      <c r="AN29" s="88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87"/>
      <c r="BK29" s="87"/>
      <c r="BL29" s="87"/>
      <c r="BM29" s="87"/>
      <c r="BN29" s="87"/>
      <c r="BO29" s="87"/>
      <c r="BP29" s="87"/>
      <c r="BQ29" s="87"/>
      <c r="BR29" s="87"/>
      <c r="BS29" s="87"/>
      <c r="BT29" s="87"/>
      <c r="BU29" s="87"/>
      <c r="BV29" s="87"/>
      <c r="BW29" s="87"/>
      <c r="BX29" s="87"/>
      <c r="BY29" s="87"/>
      <c r="BZ29" s="87"/>
      <c r="CA29" s="87"/>
      <c r="CB29" s="87"/>
      <c r="CC29" s="79"/>
      <c r="CD29" s="79"/>
      <c r="CE29" s="87"/>
      <c r="CF29" s="87"/>
      <c r="CG29" s="87"/>
      <c r="CH29" s="87"/>
      <c r="CI29" s="87"/>
      <c r="CJ29" s="87"/>
      <c r="CK29" s="87"/>
      <c r="CL29" s="87"/>
      <c r="CM29" s="87"/>
      <c r="CN29" s="87"/>
      <c r="CO29" s="87"/>
      <c r="CP29" s="87"/>
      <c r="CQ29" s="87"/>
      <c r="CR29" s="87"/>
      <c r="CS29" s="87"/>
      <c r="CT29" s="87"/>
      <c r="CU29" s="87"/>
      <c r="CV29" s="79"/>
      <c r="CW29" s="87"/>
      <c r="CX29" s="87"/>
      <c r="CY29" s="87"/>
      <c r="CZ29" s="87"/>
      <c r="DA29" s="87"/>
      <c r="DB29" s="87"/>
      <c r="DC29" s="87"/>
      <c r="DD29" s="87"/>
      <c r="DE29" s="87"/>
      <c r="DF29" s="87"/>
      <c r="DG29" s="87"/>
      <c r="DH29" s="87"/>
      <c r="DI29" s="87"/>
      <c r="DJ29" s="87"/>
      <c r="DK29" s="87"/>
      <c r="DL29" s="87"/>
      <c r="DM29" s="87"/>
      <c r="DN29" s="87"/>
      <c r="DO29" s="87"/>
      <c r="DP29" s="87"/>
      <c r="DQ29" s="87"/>
      <c r="DR29" s="87"/>
      <c r="DS29" s="87"/>
      <c r="DT29" s="87"/>
      <c r="DU29" s="87"/>
      <c r="DV29" s="87"/>
      <c r="DW29" s="87"/>
      <c r="DX29" s="87"/>
      <c r="DY29" s="87"/>
      <c r="DZ29" s="87"/>
      <c r="EA29" s="87"/>
      <c r="EB29" s="87"/>
      <c r="EC29" s="87"/>
      <c r="ED29" s="87"/>
      <c r="EE29" s="87"/>
      <c r="EF29" s="87"/>
      <c r="EG29" s="87"/>
      <c r="EH29" s="87"/>
      <c r="EI29" s="87"/>
      <c r="EJ29" s="87"/>
      <c r="EK29" s="87"/>
      <c r="EL29" s="87"/>
      <c r="EM29" s="87"/>
      <c r="EN29" s="87"/>
      <c r="EO29" s="87"/>
      <c r="EP29" s="87"/>
      <c r="EQ29" s="87"/>
      <c r="ER29" s="87"/>
      <c r="ES29" s="87"/>
      <c r="ET29" s="79"/>
      <c r="EU29" s="87"/>
      <c r="EV29" s="87"/>
      <c r="EW29" s="87"/>
      <c r="EX29" s="87"/>
      <c r="EY29" s="87"/>
      <c r="EZ29" s="87"/>
      <c r="FA29" s="87"/>
      <c r="FB29" s="87"/>
      <c r="FC29" s="87"/>
      <c r="FD29" s="87"/>
      <c r="FE29" s="87"/>
      <c r="FF29" s="87"/>
      <c r="FG29" s="87"/>
      <c r="FH29" s="87"/>
      <c r="FI29" s="87"/>
      <c r="FJ29" s="87"/>
      <c r="FK29" s="87"/>
      <c r="FL29" s="87"/>
      <c r="FM29" s="87"/>
      <c r="FN29" s="87"/>
      <c r="FO29" s="87"/>
      <c r="FP29" s="87"/>
      <c r="FQ29" s="87"/>
      <c r="FR29" s="87"/>
      <c r="FS29" s="87"/>
      <c r="FT29" s="87"/>
      <c r="FU29" s="87"/>
      <c r="FV29" s="87"/>
      <c r="FW29" s="87"/>
      <c r="FX29" s="87"/>
      <c r="FY29" s="87"/>
      <c r="FZ29" s="87"/>
      <c r="GA29" s="87"/>
      <c r="GB29" s="87"/>
      <c r="GC29" s="87"/>
      <c r="GD29" s="87"/>
      <c r="GE29" s="87"/>
      <c r="GF29" s="87"/>
      <c r="GG29" s="87"/>
      <c r="GH29" s="87"/>
      <c r="GI29" s="87"/>
      <c r="GJ29" s="87"/>
      <c r="GK29" s="87"/>
      <c r="GL29" s="87"/>
      <c r="GM29" s="87"/>
      <c r="GN29" s="87"/>
      <c r="GO29" s="87"/>
      <c r="GP29" s="87"/>
      <c r="GQ29" s="87"/>
      <c r="GR29" s="87"/>
      <c r="GS29" s="87"/>
      <c r="GT29" s="87"/>
      <c r="GU29" s="87"/>
      <c r="GV29" s="87"/>
      <c r="GW29" s="87"/>
      <c r="GX29" s="87"/>
      <c r="GY29" s="87"/>
      <c r="GZ29" s="87"/>
      <c r="HA29" s="87"/>
      <c r="HB29" s="87"/>
      <c r="HC29" s="87"/>
      <c r="HD29" s="87"/>
      <c r="HE29" s="87"/>
      <c r="HF29" s="87"/>
      <c r="HG29" s="87"/>
      <c r="HH29" s="87"/>
      <c r="HI29" s="87"/>
      <c r="HJ29" s="87"/>
      <c r="HK29" s="87"/>
      <c r="HL29" s="87"/>
      <c r="HM29" s="87"/>
      <c r="HN29" s="87"/>
      <c r="HO29" s="87"/>
      <c r="HP29" s="87"/>
      <c r="HQ29" s="87"/>
      <c r="HR29" s="87"/>
      <c r="HS29" s="87"/>
      <c r="HT29" s="87"/>
      <c r="HU29" s="87"/>
      <c r="HV29" s="87"/>
      <c r="HW29" s="87"/>
      <c r="HX29" s="87"/>
      <c r="HY29" s="87"/>
      <c r="HZ29" s="87"/>
      <c r="IA29" s="87"/>
      <c r="IB29" s="87"/>
      <c r="IC29" s="87"/>
      <c r="ID29" s="87"/>
      <c r="IE29" s="87"/>
      <c r="IF29" s="87"/>
      <c r="IG29" s="87"/>
      <c r="IH29" s="87"/>
      <c r="II29" s="87"/>
      <c r="IJ29" s="87"/>
      <c r="IK29" s="87"/>
      <c r="IL29" s="87"/>
      <c r="IM29" s="87"/>
      <c r="IN29" s="87"/>
      <c r="IO29" s="87"/>
      <c r="IP29" s="87"/>
      <c r="IQ29" s="87"/>
      <c r="IR29" s="87"/>
      <c r="IS29" s="87"/>
      <c r="IT29" s="87"/>
      <c r="IU29" s="87"/>
      <c r="IV29" s="87"/>
      <c r="IW29" s="87"/>
    </row>
    <row r="30" spans="2:257" s="14" customFormat="1" ht="15.6">
      <c r="B30" s="30">
        <v>1.01</v>
      </c>
      <c r="C30" s="38" t="s">
        <v>150</v>
      </c>
      <c r="D30" s="31"/>
      <c r="E30" s="32"/>
      <c r="F30" s="88"/>
      <c r="G30" s="88"/>
      <c r="H30" s="88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34"/>
      <c r="X30" s="34"/>
      <c r="Y30" s="34"/>
      <c r="Z30" s="49"/>
      <c r="AA30" s="48"/>
      <c r="AB30" s="48"/>
      <c r="AC30" s="48"/>
      <c r="AD30" s="48"/>
      <c r="AE30" s="48"/>
      <c r="AF30" s="34"/>
      <c r="AG30" s="88"/>
      <c r="AH30" s="88"/>
      <c r="AI30" s="88"/>
      <c r="AJ30" s="88"/>
      <c r="AK30" s="88"/>
      <c r="AL30" s="88"/>
      <c r="AM30" s="88"/>
      <c r="AN30" s="88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87"/>
      <c r="BK30" s="87"/>
      <c r="BL30" s="87"/>
      <c r="BM30" s="87"/>
      <c r="BN30" s="87"/>
      <c r="BO30" s="87"/>
      <c r="BP30" s="87"/>
      <c r="BQ30" s="87"/>
      <c r="BR30" s="87"/>
      <c r="BS30" s="87"/>
      <c r="BT30" s="87"/>
      <c r="BU30" s="87"/>
      <c r="BV30" s="87"/>
      <c r="BW30" s="87"/>
      <c r="BX30" s="87"/>
      <c r="BY30" s="87"/>
      <c r="BZ30" s="87"/>
      <c r="CA30" s="87"/>
      <c r="CB30" s="87"/>
      <c r="CC30" s="79"/>
      <c r="CD30" s="79"/>
      <c r="CE30" s="87"/>
      <c r="CF30" s="87"/>
      <c r="CG30" s="87"/>
      <c r="CH30" s="87"/>
      <c r="CI30" s="87"/>
      <c r="CJ30" s="87"/>
      <c r="CK30" s="87"/>
      <c r="CL30" s="87"/>
      <c r="CM30" s="87"/>
      <c r="CN30" s="87"/>
      <c r="CO30" s="87"/>
      <c r="CP30" s="87"/>
      <c r="CQ30" s="87"/>
      <c r="CR30" s="87"/>
      <c r="CS30" s="87"/>
      <c r="CT30" s="87"/>
      <c r="CU30" s="87"/>
      <c r="CV30" s="79"/>
      <c r="CW30" s="87"/>
      <c r="CX30" s="87"/>
      <c r="CY30" s="87"/>
      <c r="CZ30" s="87"/>
      <c r="DA30" s="87"/>
      <c r="DB30" s="87"/>
      <c r="DC30" s="87"/>
      <c r="DD30" s="87"/>
      <c r="DE30" s="87"/>
      <c r="DF30" s="87"/>
      <c r="DG30" s="87"/>
      <c r="DH30" s="87"/>
      <c r="DI30" s="87"/>
      <c r="DJ30" s="87"/>
      <c r="DK30" s="87"/>
      <c r="DL30" s="87"/>
      <c r="DM30" s="87"/>
      <c r="DN30" s="87"/>
      <c r="DO30" s="87"/>
      <c r="DP30" s="87"/>
      <c r="DQ30" s="87"/>
      <c r="DR30" s="87"/>
      <c r="DS30" s="87"/>
      <c r="DT30" s="87"/>
      <c r="DU30" s="87"/>
      <c r="DV30" s="87"/>
      <c r="DW30" s="87"/>
      <c r="DX30" s="87"/>
      <c r="DY30" s="87"/>
      <c r="DZ30" s="87"/>
      <c r="EA30" s="87"/>
      <c r="EB30" s="87"/>
      <c r="EC30" s="87"/>
      <c r="ED30" s="87"/>
      <c r="EE30" s="87"/>
      <c r="EF30" s="87"/>
      <c r="EG30" s="87"/>
      <c r="EH30" s="87"/>
      <c r="EI30" s="87"/>
      <c r="EJ30" s="87"/>
      <c r="EK30" s="87"/>
      <c r="EL30" s="87"/>
      <c r="EM30" s="87"/>
      <c r="EN30" s="87"/>
      <c r="EO30" s="87"/>
      <c r="EP30" s="87"/>
      <c r="EQ30" s="87"/>
      <c r="ER30" s="87"/>
      <c r="ES30" s="87"/>
      <c r="ET30" s="79"/>
      <c r="EU30" s="87"/>
      <c r="EV30" s="87"/>
      <c r="EW30" s="87"/>
      <c r="EX30" s="87"/>
      <c r="EY30" s="87"/>
      <c r="EZ30" s="87"/>
      <c r="FA30" s="87"/>
      <c r="FB30" s="87"/>
      <c r="FC30" s="87"/>
      <c r="FD30" s="87"/>
      <c r="FE30" s="87"/>
      <c r="FF30" s="87"/>
      <c r="FG30" s="87"/>
      <c r="FH30" s="87"/>
      <c r="FI30" s="87"/>
      <c r="FJ30" s="87"/>
      <c r="FK30" s="87"/>
      <c r="FL30" s="87"/>
      <c r="FM30" s="87"/>
      <c r="FN30" s="87"/>
      <c r="FO30" s="87"/>
      <c r="FP30" s="87"/>
      <c r="FQ30" s="87"/>
      <c r="FR30" s="87"/>
      <c r="FS30" s="87"/>
      <c r="FT30" s="87"/>
      <c r="FU30" s="87"/>
      <c r="FV30" s="87"/>
      <c r="FW30" s="87"/>
      <c r="FX30" s="87"/>
      <c r="FY30" s="87"/>
      <c r="FZ30" s="87"/>
      <c r="GA30" s="87"/>
      <c r="GB30" s="87"/>
      <c r="GC30" s="87"/>
      <c r="GD30" s="87"/>
      <c r="GE30" s="87"/>
      <c r="GF30" s="87"/>
      <c r="GG30" s="87"/>
      <c r="GH30" s="87"/>
      <c r="GI30" s="87"/>
      <c r="GJ30" s="87"/>
      <c r="GK30" s="87"/>
      <c r="GL30" s="87"/>
      <c r="GM30" s="87"/>
      <c r="GN30" s="87"/>
      <c r="GO30" s="87"/>
      <c r="GP30" s="87"/>
      <c r="GQ30" s="87"/>
      <c r="GR30" s="87"/>
      <c r="GS30" s="87"/>
      <c r="GT30" s="87"/>
      <c r="GU30" s="87"/>
      <c r="GV30" s="87"/>
      <c r="GW30" s="87"/>
      <c r="GX30" s="87"/>
      <c r="GY30" s="87"/>
      <c r="GZ30" s="87"/>
      <c r="HA30" s="87"/>
      <c r="HB30" s="87"/>
      <c r="HC30" s="87"/>
      <c r="HD30" s="87"/>
      <c r="HE30" s="87"/>
      <c r="HF30" s="87"/>
      <c r="HG30" s="87"/>
      <c r="HH30" s="87"/>
      <c r="HI30" s="87"/>
      <c r="HJ30" s="87"/>
      <c r="HK30" s="87"/>
      <c r="HL30" s="87"/>
      <c r="HM30" s="87"/>
      <c r="HN30" s="87"/>
      <c r="HO30" s="87"/>
      <c r="HP30" s="87"/>
      <c r="HQ30" s="87"/>
      <c r="HR30" s="87"/>
      <c r="HS30" s="87"/>
      <c r="HT30" s="87"/>
      <c r="HU30" s="87"/>
      <c r="HV30" s="87"/>
      <c r="HW30" s="87"/>
      <c r="HX30" s="87"/>
      <c r="HY30" s="87"/>
      <c r="HZ30" s="87"/>
      <c r="IA30" s="87"/>
      <c r="IB30" s="87"/>
      <c r="IC30" s="87"/>
      <c r="ID30" s="87"/>
      <c r="IE30" s="87"/>
      <c r="IF30" s="87"/>
      <c r="IG30" s="87"/>
      <c r="IH30" s="87"/>
      <c r="II30" s="87"/>
      <c r="IJ30" s="87"/>
      <c r="IK30" s="87"/>
      <c r="IL30" s="87"/>
      <c r="IM30" s="87"/>
      <c r="IN30" s="87"/>
      <c r="IO30" s="87"/>
      <c r="IP30" s="87"/>
      <c r="IQ30" s="87"/>
      <c r="IR30" s="87"/>
      <c r="IS30" s="87"/>
      <c r="IT30" s="87"/>
      <c r="IU30" s="87"/>
      <c r="IV30" s="87"/>
      <c r="IW30" s="87"/>
    </row>
    <row r="31" spans="2:257" s="14" customFormat="1" ht="15.6">
      <c r="B31" s="30">
        <v>1.01</v>
      </c>
      <c r="C31" s="38" t="s">
        <v>151</v>
      </c>
      <c r="D31" s="31"/>
      <c r="E31" s="32"/>
      <c r="F31" s="88"/>
      <c r="G31" s="88"/>
      <c r="H31" s="88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34"/>
      <c r="X31" s="34"/>
      <c r="Y31" s="34"/>
      <c r="Z31" s="49"/>
      <c r="AA31" s="49"/>
      <c r="AB31" s="49"/>
      <c r="AC31" s="48"/>
      <c r="AD31" s="48"/>
      <c r="AE31" s="48"/>
      <c r="AF31" s="34"/>
      <c r="AG31" s="88"/>
      <c r="AH31" s="88"/>
      <c r="AI31" s="88"/>
      <c r="AJ31" s="88"/>
      <c r="AK31" s="88"/>
      <c r="AL31" s="88"/>
      <c r="AM31" s="88"/>
      <c r="AN31" s="88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87"/>
      <c r="BK31" s="87"/>
      <c r="BL31" s="87"/>
      <c r="BM31" s="87"/>
      <c r="BN31" s="87"/>
      <c r="BO31" s="87"/>
      <c r="BP31" s="87"/>
      <c r="BQ31" s="87"/>
      <c r="BR31" s="87"/>
      <c r="BS31" s="87"/>
      <c r="BT31" s="87"/>
      <c r="BU31" s="87"/>
      <c r="BV31" s="87"/>
      <c r="BW31" s="87"/>
      <c r="BX31" s="87"/>
      <c r="BY31" s="87"/>
      <c r="BZ31" s="87"/>
      <c r="CA31" s="87"/>
      <c r="CB31" s="87"/>
      <c r="CC31" s="79"/>
      <c r="CD31" s="79"/>
      <c r="CE31" s="87"/>
      <c r="CF31" s="87"/>
      <c r="CG31" s="87"/>
      <c r="CH31" s="87"/>
      <c r="CI31" s="87"/>
      <c r="CJ31" s="87"/>
      <c r="CK31" s="87"/>
      <c r="CL31" s="87"/>
      <c r="CM31" s="87"/>
      <c r="CN31" s="87"/>
      <c r="CO31" s="87"/>
      <c r="CP31" s="87"/>
      <c r="CQ31" s="87"/>
      <c r="CR31" s="87"/>
      <c r="CS31" s="87"/>
      <c r="CT31" s="87"/>
      <c r="CU31" s="87"/>
      <c r="CV31" s="79"/>
      <c r="CW31" s="87"/>
      <c r="CX31" s="87"/>
      <c r="CY31" s="87"/>
      <c r="CZ31" s="87"/>
      <c r="DA31" s="87"/>
      <c r="DB31" s="87"/>
      <c r="DC31" s="87"/>
      <c r="DD31" s="87"/>
      <c r="DE31" s="87"/>
      <c r="DF31" s="87"/>
      <c r="DG31" s="87"/>
      <c r="DH31" s="87"/>
      <c r="DI31" s="87"/>
      <c r="DJ31" s="87"/>
      <c r="DK31" s="87"/>
      <c r="DL31" s="87"/>
      <c r="DM31" s="87"/>
      <c r="DN31" s="87"/>
      <c r="DO31" s="87"/>
      <c r="DP31" s="87"/>
      <c r="DQ31" s="87"/>
      <c r="DR31" s="87"/>
      <c r="DS31" s="87"/>
      <c r="DT31" s="87"/>
      <c r="DU31" s="87"/>
      <c r="DV31" s="87"/>
      <c r="DW31" s="87"/>
      <c r="DX31" s="87"/>
      <c r="DY31" s="87"/>
      <c r="DZ31" s="87"/>
      <c r="EA31" s="87"/>
      <c r="EB31" s="87"/>
      <c r="EC31" s="87"/>
      <c r="ED31" s="87"/>
      <c r="EE31" s="87"/>
      <c r="EF31" s="87"/>
      <c r="EG31" s="87"/>
      <c r="EH31" s="87"/>
      <c r="EI31" s="87"/>
      <c r="EJ31" s="87"/>
      <c r="EK31" s="87"/>
      <c r="EL31" s="87"/>
      <c r="EM31" s="87"/>
      <c r="EN31" s="87"/>
      <c r="EO31" s="87"/>
      <c r="EP31" s="87"/>
      <c r="EQ31" s="87"/>
      <c r="ER31" s="87"/>
      <c r="ES31" s="87"/>
      <c r="ET31" s="79"/>
      <c r="EU31" s="87"/>
      <c r="EV31" s="87"/>
      <c r="EW31" s="87"/>
      <c r="EX31" s="87"/>
      <c r="EY31" s="87"/>
      <c r="EZ31" s="87"/>
      <c r="FA31" s="87"/>
      <c r="FB31" s="87"/>
      <c r="FC31" s="87"/>
      <c r="FD31" s="87"/>
      <c r="FE31" s="87"/>
      <c r="FF31" s="87"/>
      <c r="FG31" s="87"/>
      <c r="FH31" s="87"/>
      <c r="FI31" s="87"/>
      <c r="FJ31" s="87"/>
      <c r="FK31" s="87"/>
      <c r="FL31" s="87"/>
      <c r="FM31" s="87"/>
      <c r="FN31" s="87"/>
      <c r="FO31" s="87"/>
      <c r="FP31" s="87"/>
      <c r="FQ31" s="87"/>
      <c r="FR31" s="87"/>
      <c r="FS31" s="87"/>
      <c r="FT31" s="87"/>
      <c r="FU31" s="87"/>
      <c r="FV31" s="87"/>
      <c r="FW31" s="87"/>
      <c r="FX31" s="87"/>
      <c r="FY31" s="87"/>
      <c r="FZ31" s="87"/>
      <c r="GA31" s="87"/>
      <c r="GB31" s="87"/>
      <c r="GC31" s="87"/>
      <c r="GD31" s="87"/>
      <c r="GE31" s="87"/>
      <c r="GF31" s="87"/>
      <c r="GG31" s="87"/>
      <c r="GH31" s="87"/>
      <c r="GI31" s="87"/>
      <c r="GJ31" s="87"/>
      <c r="GK31" s="87"/>
      <c r="GL31" s="87"/>
      <c r="GM31" s="87"/>
      <c r="GN31" s="87"/>
      <c r="GO31" s="87"/>
      <c r="GP31" s="87"/>
      <c r="GQ31" s="87"/>
      <c r="GR31" s="87"/>
      <c r="GS31" s="87"/>
      <c r="GT31" s="87"/>
      <c r="GU31" s="87"/>
      <c r="GV31" s="87"/>
      <c r="GW31" s="87"/>
      <c r="GX31" s="87"/>
      <c r="GY31" s="87"/>
      <c r="GZ31" s="87"/>
      <c r="HA31" s="87"/>
      <c r="HB31" s="87"/>
      <c r="HC31" s="87"/>
      <c r="HD31" s="87"/>
      <c r="HE31" s="87"/>
      <c r="HF31" s="87"/>
      <c r="HG31" s="87"/>
      <c r="HH31" s="87"/>
      <c r="HI31" s="87"/>
      <c r="HJ31" s="87"/>
      <c r="HK31" s="87"/>
      <c r="HL31" s="87"/>
      <c r="HM31" s="87"/>
      <c r="HN31" s="87"/>
      <c r="HO31" s="87"/>
      <c r="HP31" s="87"/>
      <c r="HQ31" s="87"/>
      <c r="HR31" s="87"/>
      <c r="HS31" s="87"/>
      <c r="HT31" s="87"/>
      <c r="HU31" s="87"/>
      <c r="HV31" s="87"/>
      <c r="HW31" s="87"/>
      <c r="HX31" s="87"/>
      <c r="HY31" s="87"/>
      <c r="HZ31" s="87"/>
      <c r="IA31" s="87"/>
      <c r="IB31" s="87"/>
      <c r="IC31" s="87"/>
      <c r="ID31" s="87"/>
      <c r="IE31" s="87"/>
      <c r="IF31" s="87"/>
      <c r="IG31" s="87"/>
      <c r="IH31" s="87"/>
      <c r="II31" s="87"/>
      <c r="IJ31" s="87"/>
      <c r="IK31" s="87"/>
      <c r="IL31" s="87"/>
      <c r="IM31" s="87"/>
      <c r="IN31" s="87"/>
      <c r="IO31" s="87"/>
      <c r="IP31" s="87"/>
      <c r="IQ31" s="87"/>
      <c r="IR31" s="87"/>
      <c r="IS31" s="87"/>
      <c r="IT31" s="87"/>
      <c r="IU31" s="87"/>
      <c r="IV31" s="87"/>
      <c r="IW31" s="87"/>
    </row>
    <row r="32" spans="2:257" s="14" customFormat="1" ht="15.6">
      <c r="B32" s="30">
        <v>1.01</v>
      </c>
      <c r="C32" s="38" t="s">
        <v>152</v>
      </c>
      <c r="D32" s="31"/>
      <c r="E32" s="32"/>
      <c r="F32" s="88"/>
      <c r="G32" s="88"/>
      <c r="H32" s="88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8"/>
      <c r="AF32" s="48"/>
      <c r="AG32" s="88"/>
      <c r="AH32" s="88"/>
      <c r="AI32" s="88"/>
      <c r="AJ32" s="88"/>
      <c r="AK32" s="88"/>
      <c r="AL32" s="88"/>
      <c r="AM32" s="88"/>
      <c r="AN32" s="88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87"/>
      <c r="BK32" s="87"/>
      <c r="BL32" s="87"/>
      <c r="BM32" s="87"/>
      <c r="BN32" s="87"/>
      <c r="BO32" s="87"/>
      <c r="BP32" s="87"/>
      <c r="BQ32" s="87"/>
      <c r="BR32" s="87"/>
      <c r="BS32" s="87"/>
      <c r="BT32" s="87"/>
      <c r="BU32" s="87"/>
      <c r="BV32" s="87"/>
      <c r="BW32" s="87"/>
      <c r="BX32" s="87"/>
      <c r="BY32" s="87"/>
      <c r="BZ32" s="87"/>
      <c r="CA32" s="87"/>
      <c r="CB32" s="87"/>
      <c r="CC32" s="79"/>
      <c r="CD32" s="79"/>
      <c r="CE32" s="87"/>
      <c r="CF32" s="87"/>
      <c r="CG32" s="87"/>
      <c r="CH32" s="87"/>
      <c r="CI32" s="87"/>
      <c r="CJ32" s="87"/>
      <c r="CK32" s="87"/>
      <c r="CL32" s="87"/>
      <c r="CM32" s="87"/>
      <c r="CN32" s="87"/>
      <c r="CO32" s="87"/>
      <c r="CP32" s="87"/>
      <c r="CQ32" s="87"/>
      <c r="CR32" s="87"/>
      <c r="CS32" s="87"/>
      <c r="CT32" s="87"/>
      <c r="CU32" s="87"/>
      <c r="CV32" s="79"/>
      <c r="CW32" s="87"/>
      <c r="CX32" s="87"/>
      <c r="CY32" s="87"/>
      <c r="CZ32" s="87"/>
      <c r="DA32" s="87"/>
      <c r="DB32" s="87"/>
      <c r="DC32" s="87"/>
      <c r="DD32" s="87"/>
      <c r="DE32" s="87"/>
      <c r="DF32" s="87"/>
      <c r="DG32" s="87"/>
      <c r="DH32" s="87"/>
      <c r="DI32" s="87"/>
      <c r="DJ32" s="87"/>
      <c r="DK32" s="87"/>
      <c r="DL32" s="87"/>
      <c r="DM32" s="87"/>
      <c r="DN32" s="87"/>
      <c r="DO32" s="87"/>
      <c r="DP32" s="87"/>
      <c r="DQ32" s="87"/>
      <c r="DR32" s="87"/>
      <c r="DS32" s="87"/>
      <c r="DT32" s="87"/>
      <c r="DU32" s="87"/>
      <c r="DV32" s="87"/>
      <c r="DW32" s="87"/>
      <c r="DX32" s="87"/>
      <c r="DY32" s="87"/>
      <c r="DZ32" s="87"/>
      <c r="EA32" s="87"/>
      <c r="EB32" s="87"/>
      <c r="EC32" s="87"/>
      <c r="ED32" s="87"/>
      <c r="EE32" s="87"/>
      <c r="EF32" s="87"/>
      <c r="EG32" s="87"/>
      <c r="EH32" s="87"/>
      <c r="EI32" s="87"/>
      <c r="EJ32" s="87"/>
      <c r="EK32" s="87"/>
      <c r="EL32" s="87"/>
      <c r="EM32" s="87"/>
      <c r="EN32" s="87"/>
      <c r="EO32" s="87"/>
      <c r="EP32" s="87"/>
      <c r="EQ32" s="87"/>
      <c r="ER32" s="87"/>
      <c r="ES32" s="87"/>
      <c r="ET32" s="79"/>
      <c r="EU32" s="87"/>
      <c r="EV32" s="87"/>
      <c r="EW32" s="87"/>
      <c r="EX32" s="87"/>
      <c r="EY32" s="87"/>
      <c r="EZ32" s="87"/>
      <c r="FA32" s="87"/>
      <c r="FB32" s="87"/>
      <c r="FC32" s="87"/>
      <c r="FD32" s="87"/>
      <c r="FE32" s="87"/>
      <c r="FF32" s="87"/>
      <c r="FG32" s="87"/>
      <c r="FH32" s="87"/>
      <c r="FI32" s="87"/>
      <c r="FJ32" s="87"/>
      <c r="FK32" s="87"/>
      <c r="FL32" s="87"/>
      <c r="FM32" s="87"/>
      <c r="FN32" s="87"/>
      <c r="FO32" s="87"/>
      <c r="FP32" s="87"/>
      <c r="FQ32" s="87"/>
      <c r="FR32" s="87"/>
      <c r="FS32" s="87"/>
      <c r="FT32" s="87"/>
      <c r="FU32" s="87"/>
      <c r="FV32" s="87"/>
      <c r="FW32" s="87"/>
      <c r="FX32" s="87"/>
      <c r="FY32" s="87"/>
      <c r="FZ32" s="87"/>
      <c r="GA32" s="87"/>
      <c r="GB32" s="87"/>
      <c r="GC32" s="87"/>
      <c r="GD32" s="87"/>
      <c r="GE32" s="87"/>
      <c r="GF32" s="87"/>
      <c r="GG32" s="87"/>
      <c r="GH32" s="87"/>
      <c r="GI32" s="87"/>
      <c r="GJ32" s="87"/>
      <c r="GK32" s="87"/>
      <c r="GL32" s="87"/>
      <c r="GM32" s="87"/>
      <c r="GN32" s="87"/>
      <c r="GO32" s="87"/>
      <c r="GP32" s="87"/>
      <c r="GQ32" s="87"/>
      <c r="GR32" s="87"/>
      <c r="GS32" s="87"/>
      <c r="GT32" s="87"/>
      <c r="GU32" s="87"/>
      <c r="GV32" s="87"/>
      <c r="GW32" s="87"/>
      <c r="GX32" s="87"/>
      <c r="GY32" s="87"/>
      <c r="GZ32" s="87"/>
      <c r="HA32" s="87"/>
      <c r="HB32" s="87"/>
      <c r="HC32" s="87"/>
      <c r="HD32" s="87"/>
      <c r="HE32" s="87"/>
      <c r="HF32" s="87"/>
      <c r="HG32" s="87"/>
      <c r="HH32" s="87"/>
      <c r="HI32" s="87"/>
      <c r="HJ32" s="87"/>
      <c r="HK32" s="87"/>
      <c r="HL32" s="87"/>
      <c r="HM32" s="87"/>
      <c r="HN32" s="87"/>
      <c r="HO32" s="87"/>
      <c r="HP32" s="87"/>
      <c r="HQ32" s="87"/>
      <c r="HR32" s="87"/>
      <c r="HS32" s="87"/>
      <c r="HT32" s="87"/>
      <c r="HU32" s="87"/>
      <c r="HV32" s="87"/>
      <c r="HW32" s="87"/>
      <c r="HX32" s="87"/>
      <c r="HY32" s="87"/>
      <c r="HZ32" s="87"/>
      <c r="IA32" s="87"/>
      <c r="IB32" s="87"/>
      <c r="IC32" s="87"/>
      <c r="ID32" s="87"/>
      <c r="IE32" s="87"/>
      <c r="IF32" s="87"/>
      <c r="IG32" s="87"/>
      <c r="IH32" s="87"/>
      <c r="II32" s="87"/>
      <c r="IJ32" s="87"/>
      <c r="IK32" s="87"/>
      <c r="IL32" s="87"/>
      <c r="IM32" s="87"/>
      <c r="IN32" s="87"/>
      <c r="IO32" s="87"/>
      <c r="IP32" s="87"/>
      <c r="IQ32" s="87"/>
      <c r="IR32" s="87"/>
      <c r="IS32" s="87"/>
      <c r="IT32" s="87"/>
      <c r="IU32" s="87"/>
      <c r="IV32" s="87"/>
      <c r="IW32" s="87"/>
    </row>
    <row r="33" spans="2:257" s="14" customFormat="1" ht="16.2" thickBot="1">
      <c r="B33" s="30">
        <v>1.01</v>
      </c>
      <c r="C33" s="38" t="s">
        <v>153</v>
      </c>
      <c r="D33" s="31"/>
      <c r="E33" s="32"/>
      <c r="F33" s="88"/>
      <c r="G33" s="88"/>
      <c r="H33" s="88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8"/>
      <c r="AF33" s="48"/>
      <c r="AG33" s="88"/>
      <c r="AH33" s="88"/>
      <c r="AI33" s="88"/>
      <c r="AJ33" s="88"/>
      <c r="AK33" s="88"/>
      <c r="AL33" s="88"/>
      <c r="AM33" s="88"/>
      <c r="AN33" s="88"/>
      <c r="AO33" s="87"/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7"/>
      <c r="BF33" s="87"/>
      <c r="BG33" s="87"/>
      <c r="BH33" s="87"/>
      <c r="BI33" s="87"/>
      <c r="BJ33" s="87"/>
      <c r="BK33" s="87"/>
      <c r="BL33" s="87"/>
      <c r="BM33" s="87"/>
      <c r="BN33" s="87"/>
      <c r="BO33" s="87"/>
      <c r="BP33" s="87"/>
      <c r="BQ33" s="87"/>
      <c r="BR33" s="87"/>
      <c r="BS33" s="87"/>
      <c r="BT33" s="87"/>
      <c r="BU33" s="87"/>
      <c r="BV33" s="87"/>
      <c r="BW33" s="87"/>
      <c r="BX33" s="87"/>
      <c r="BY33" s="87"/>
      <c r="BZ33" s="87"/>
      <c r="CA33" s="87"/>
      <c r="CB33" s="87"/>
      <c r="CC33" s="79"/>
      <c r="CD33" s="79"/>
      <c r="CE33" s="87"/>
      <c r="CF33" s="87"/>
      <c r="CG33" s="87"/>
      <c r="CH33" s="87"/>
      <c r="CI33" s="87"/>
      <c r="CJ33" s="87"/>
      <c r="CK33" s="87"/>
      <c r="CL33" s="87"/>
      <c r="CM33" s="87"/>
      <c r="CN33" s="87"/>
      <c r="CO33" s="87"/>
      <c r="CP33" s="87"/>
      <c r="CQ33" s="87"/>
      <c r="CR33" s="87"/>
      <c r="CS33" s="87"/>
      <c r="CT33" s="87"/>
      <c r="CU33" s="87"/>
      <c r="CV33" s="79"/>
      <c r="CW33" s="87"/>
      <c r="CX33" s="87"/>
      <c r="CY33" s="87"/>
      <c r="CZ33" s="87"/>
      <c r="DA33" s="87"/>
      <c r="DB33" s="87"/>
      <c r="DC33" s="87"/>
      <c r="DD33" s="87"/>
      <c r="DE33" s="87"/>
      <c r="DF33" s="87"/>
      <c r="DG33" s="87"/>
      <c r="DH33" s="87"/>
      <c r="DI33" s="87"/>
      <c r="DJ33" s="87"/>
      <c r="DK33" s="87"/>
      <c r="DL33" s="87"/>
      <c r="DM33" s="87"/>
      <c r="DN33" s="87"/>
      <c r="DO33" s="87"/>
      <c r="DP33" s="87"/>
      <c r="DQ33" s="87"/>
      <c r="DR33" s="87"/>
      <c r="DS33" s="87"/>
      <c r="DT33" s="87"/>
      <c r="DU33" s="87"/>
      <c r="DV33" s="87"/>
      <c r="DW33" s="87"/>
      <c r="DX33" s="87"/>
      <c r="DY33" s="87"/>
      <c r="DZ33" s="87"/>
      <c r="EA33" s="87"/>
      <c r="EB33" s="87"/>
      <c r="EC33" s="87"/>
      <c r="ED33" s="87"/>
      <c r="EE33" s="87"/>
      <c r="EF33" s="87"/>
      <c r="EG33" s="87"/>
      <c r="EH33" s="87"/>
      <c r="EI33" s="87"/>
      <c r="EJ33" s="87"/>
      <c r="EK33" s="87"/>
      <c r="EL33" s="87"/>
      <c r="EM33" s="87"/>
      <c r="EN33" s="87"/>
      <c r="EO33" s="87"/>
      <c r="EP33" s="87"/>
      <c r="EQ33" s="87"/>
      <c r="ER33" s="87"/>
      <c r="ES33" s="87"/>
      <c r="ET33" s="79"/>
      <c r="EU33" s="87"/>
      <c r="EV33" s="87"/>
      <c r="EW33" s="87"/>
      <c r="EX33" s="87"/>
      <c r="EY33" s="87"/>
      <c r="EZ33" s="87"/>
      <c r="FA33" s="87"/>
      <c r="FB33" s="87"/>
      <c r="FC33" s="87"/>
      <c r="FD33" s="87"/>
      <c r="FE33" s="87"/>
      <c r="FF33" s="87"/>
      <c r="FG33" s="87"/>
      <c r="FH33" s="87"/>
      <c r="FI33" s="87"/>
      <c r="FJ33" s="87"/>
      <c r="FK33" s="87"/>
      <c r="FL33" s="87"/>
      <c r="FM33" s="87"/>
      <c r="FN33" s="87"/>
      <c r="FO33" s="87"/>
      <c r="FP33" s="87"/>
      <c r="FQ33" s="87"/>
      <c r="FR33" s="87"/>
      <c r="FS33" s="87"/>
      <c r="FT33" s="87"/>
      <c r="FU33" s="87"/>
      <c r="FV33" s="87"/>
      <c r="FW33" s="87"/>
      <c r="FX33" s="87"/>
      <c r="FY33" s="87"/>
      <c r="FZ33" s="87"/>
      <c r="GA33" s="87"/>
      <c r="GB33" s="87"/>
      <c r="GC33" s="87"/>
      <c r="GD33" s="87"/>
      <c r="GE33" s="87"/>
      <c r="GF33" s="87"/>
      <c r="GG33" s="87"/>
      <c r="GH33" s="87"/>
      <c r="GI33" s="87"/>
      <c r="GJ33" s="87"/>
      <c r="GK33" s="87"/>
      <c r="GL33" s="87"/>
      <c r="GM33" s="87"/>
      <c r="GN33" s="87"/>
      <c r="GO33" s="87"/>
      <c r="GP33" s="87"/>
      <c r="GQ33" s="87"/>
      <c r="GR33" s="87"/>
      <c r="GS33" s="87"/>
      <c r="GT33" s="87"/>
      <c r="GU33" s="87"/>
      <c r="GV33" s="87"/>
      <c r="GW33" s="87"/>
      <c r="GX33" s="87"/>
      <c r="GY33" s="87"/>
      <c r="GZ33" s="87"/>
      <c r="HA33" s="87"/>
      <c r="HB33" s="87"/>
      <c r="HC33" s="87"/>
      <c r="HD33" s="87"/>
      <c r="HE33" s="87"/>
      <c r="HF33" s="87"/>
      <c r="HG33" s="87"/>
      <c r="HH33" s="87"/>
      <c r="HI33" s="87"/>
      <c r="HJ33" s="87"/>
      <c r="HK33" s="87"/>
      <c r="HL33" s="87"/>
      <c r="HM33" s="87"/>
      <c r="HN33" s="87"/>
      <c r="HO33" s="87"/>
      <c r="HP33" s="87"/>
      <c r="HQ33" s="87"/>
      <c r="HR33" s="87"/>
      <c r="HS33" s="87"/>
      <c r="HT33" s="87"/>
      <c r="HU33" s="87"/>
      <c r="HV33" s="87"/>
      <c r="HW33" s="87"/>
      <c r="HX33" s="87"/>
      <c r="HY33" s="87"/>
      <c r="HZ33" s="87"/>
      <c r="IA33" s="87"/>
      <c r="IB33" s="87"/>
      <c r="IC33" s="87"/>
      <c r="ID33" s="87"/>
      <c r="IE33" s="87"/>
      <c r="IF33" s="87"/>
      <c r="IG33" s="87"/>
      <c r="IH33" s="87"/>
      <c r="II33" s="87"/>
      <c r="IJ33" s="87"/>
      <c r="IK33" s="87"/>
      <c r="IL33" s="87"/>
      <c r="IM33" s="87"/>
      <c r="IN33" s="87"/>
      <c r="IO33" s="87"/>
      <c r="IP33" s="87"/>
      <c r="IQ33" s="87"/>
      <c r="IR33" s="87"/>
      <c r="IS33" s="87"/>
      <c r="IT33" s="87"/>
      <c r="IU33" s="87"/>
      <c r="IV33" s="87"/>
      <c r="IW33" s="87"/>
    </row>
    <row r="34" spans="2:257" s="14" customFormat="1" ht="15" thickBot="1">
      <c r="B34" s="30">
        <v>2</v>
      </c>
      <c r="C34" s="33" t="s">
        <v>12</v>
      </c>
      <c r="D34" s="34"/>
      <c r="E34" s="34"/>
      <c r="F34" s="34"/>
      <c r="G34" s="34"/>
      <c r="H34" s="34"/>
      <c r="I34" s="34"/>
      <c r="J34" s="34"/>
      <c r="K34" s="34"/>
      <c r="L34" s="35"/>
      <c r="M34" s="34"/>
      <c r="N34" s="34"/>
      <c r="O34" s="34"/>
      <c r="P34" s="34"/>
      <c r="Q34" s="34"/>
      <c r="R34" s="36"/>
      <c r="S34" s="34"/>
      <c r="T34" s="34"/>
      <c r="U34" s="34"/>
      <c r="V34" s="34"/>
      <c r="W34" s="34"/>
      <c r="X34" s="36"/>
      <c r="Y34" s="35"/>
      <c r="Z34" s="35"/>
      <c r="AA34" s="35"/>
      <c r="AB34" s="35"/>
      <c r="AC34" s="35"/>
      <c r="AD34" s="36"/>
      <c r="AE34" s="36"/>
      <c r="AF34" s="35"/>
      <c r="AG34" s="36"/>
      <c r="AH34" s="35"/>
      <c r="AI34" s="35"/>
      <c r="AJ34" s="36"/>
      <c r="AK34" s="35"/>
      <c r="AL34" s="35"/>
      <c r="AM34" s="35"/>
      <c r="AN34" s="35"/>
      <c r="AO34" s="35"/>
      <c r="AP34" s="36"/>
      <c r="AQ34" s="35"/>
      <c r="AR34" s="35"/>
      <c r="AS34" s="35"/>
      <c r="AT34" s="35"/>
      <c r="AU34" s="35"/>
      <c r="AV34" s="36"/>
      <c r="AW34" s="35"/>
      <c r="AX34" s="35"/>
      <c r="AY34" s="35"/>
      <c r="AZ34" s="35"/>
      <c r="BA34" s="35"/>
      <c r="BB34" s="36"/>
      <c r="BC34" s="35"/>
      <c r="BD34" s="35"/>
      <c r="BE34" s="35"/>
      <c r="BF34" s="35"/>
      <c r="BG34" s="35"/>
      <c r="BH34" s="36"/>
      <c r="BI34" s="35"/>
      <c r="BJ34" s="35"/>
      <c r="BK34" s="35"/>
      <c r="BL34" s="35"/>
      <c r="BM34" s="35"/>
      <c r="BN34" s="36"/>
      <c r="BO34" s="35"/>
      <c r="BP34" s="35"/>
      <c r="BQ34" s="35"/>
      <c r="BR34" s="35"/>
      <c r="BS34" s="35"/>
      <c r="BT34" s="36"/>
      <c r="BU34" s="35"/>
      <c r="BV34" s="34"/>
      <c r="BW34" s="34"/>
      <c r="BX34" s="35"/>
      <c r="BY34" s="34"/>
      <c r="BZ34" s="34"/>
      <c r="CA34" s="34"/>
      <c r="CB34" s="34"/>
      <c r="CC34" s="35"/>
      <c r="CD34" s="35"/>
      <c r="CE34" s="34"/>
      <c r="CF34" s="35"/>
      <c r="CG34" s="34"/>
      <c r="CH34" s="34"/>
      <c r="CI34" s="34"/>
      <c r="CJ34" s="34"/>
      <c r="CK34" s="34"/>
      <c r="CL34" s="34"/>
      <c r="CM34" s="34"/>
      <c r="CN34" s="34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  <c r="EY34" s="35"/>
      <c r="EZ34" s="35"/>
      <c r="FA34" s="35"/>
      <c r="FB34" s="35"/>
      <c r="FC34" s="35"/>
      <c r="FD34" s="35"/>
      <c r="FE34" s="35"/>
      <c r="FF34" s="35"/>
      <c r="FG34" s="35"/>
      <c r="FH34" s="35"/>
      <c r="FI34" s="35"/>
      <c r="FJ34" s="35"/>
      <c r="FK34" s="35"/>
      <c r="FL34" s="35"/>
      <c r="FM34" s="35"/>
      <c r="FN34" s="35"/>
      <c r="FO34" s="35"/>
      <c r="FP34" s="35"/>
      <c r="FQ34" s="35"/>
      <c r="FR34" s="35"/>
      <c r="FS34" s="35"/>
      <c r="FT34" s="35"/>
      <c r="FU34" s="35"/>
      <c r="FV34" s="35"/>
      <c r="FW34" s="35"/>
      <c r="FX34" s="87"/>
      <c r="FY34" s="87"/>
      <c r="FZ34" s="87"/>
      <c r="GA34" s="87"/>
      <c r="GB34" s="87"/>
      <c r="GC34" s="87"/>
      <c r="GD34" s="87"/>
      <c r="GE34" s="87"/>
      <c r="GF34" s="87"/>
      <c r="GG34" s="87"/>
      <c r="GH34" s="87"/>
      <c r="GI34" s="87"/>
      <c r="GJ34" s="87"/>
      <c r="GK34" s="87"/>
      <c r="GL34" s="87"/>
      <c r="GM34" s="87"/>
      <c r="GN34" s="87"/>
      <c r="GO34" s="87"/>
      <c r="GP34" s="87"/>
      <c r="GQ34" s="87"/>
      <c r="GR34" s="87"/>
      <c r="GS34" s="87"/>
      <c r="GT34" s="87"/>
      <c r="GU34" s="87"/>
      <c r="GV34" s="87"/>
      <c r="GW34" s="87"/>
      <c r="GX34" s="87"/>
      <c r="GY34" s="87"/>
      <c r="GZ34" s="87"/>
      <c r="HA34" s="87"/>
      <c r="HB34" s="87"/>
      <c r="HC34" s="87"/>
      <c r="HD34" s="87"/>
      <c r="HE34" s="87"/>
      <c r="HF34" s="87"/>
      <c r="HG34" s="87"/>
      <c r="HH34" s="87"/>
      <c r="HI34" s="87"/>
      <c r="HJ34" s="87"/>
      <c r="HK34" s="87"/>
      <c r="HL34" s="87"/>
      <c r="HM34" s="87"/>
      <c r="HN34" s="87"/>
      <c r="HO34" s="87"/>
      <c r="HP34" s="87"/>
      <c r="HQ34" s="87"/>
      <c r="HR34" s="87"/>
      <c r="HS34" s="87"/>
      <c r="HT34" s="87"/>
      <c r="HU34" s="87"/>
      <c r="HV34" s="87"/>
      <c r="HW34" s="87"/>
      <c r="HX34" s="87"/>
      <c r="HY34" s="87"/>
      <c r="HZ34" s="87"/>
      <c r="IA34" s="87"/>
      <c r="IB34" s="87"/>
      <c r="IC34" s="87"/>
      <c r="ID34" s="87"/>
      <c r="IE34" s="87"/>
      <c r="IF34" s="87"/>
      <c r="IG34" s="87"/>
      <c r="IH34" s="87"/>
      <c r="II34" s="87"/>
      <c r="IJ34" s="87"/>
      <c r="IK34" s="87"/>
      <c r="IL34" s="87"/>
      <c r="IM34" s="87"/>
      <c r="IN34" s="87"/>
      <c r="IO34" s="87"/>
      <c r="IP34" s="87"/>
      <c r="IQ34" s="87"/>
      <c r="IR34" s="87"/>
      <c r="IS34" s="87"/>
      <c r="IT34" s="87"/>
      <c r="IU34" s="87"/>
      <c r="IV34" s="87"/>
      <c r="IW34" s="87"/>
    </row>
    <row r="35" spans="2:257" s="15" customFormat="1" ht="14.4">
      <c r="B35" s="30">
        <v>2.0099999999999998</v>
      </c>
      <c r="C35" s="37" t="s">
        <v>13</v>
      </c>
      <c r="D35" s="34"/>
      <c r="E35" s="34"/>
      <c r="F35" s="34"/>
      <c r="G35" s="34"/>
      <c r="H35" s="34"/>
      <c r="I35" s="34"/>
      <c r="J35" s="34"/>
      <c r="K35" s="34"/>
      <c r="L35" s="35"/>
      <c r="M35" s="34"/>
      <c r="N35" s="34"/>
      <c r="O35" s="34"/>
      <c r="P35" s="34"/>
      <c r="Q35" s="34"/>
      <c r="R35" s="36"/>
      <c r="S35" s="34"/>
      <c r="T35" s="34"/>
      <c r="U35" s="34"/>
      <c r="V35" s="34"/>
      <c r="W35" s="34"/>
      <c r="X35" s="36"/>
      <c r="Y35" s="35"/>
      <c r="Z35" s="35"/>
      <c r="AA35" s="35"/>
      <c r="AB35" s="35"/>
      <c r="AC35" s="35"/>
      <c r="AD35" s="36"/>
      <c r="AE35" s="36"/>
      <c r="AF35" s="35"/>
      <c r="AG35" s="41"/>
      <c r="AH35" s="41"/>
      <c r="AI35" s="35"/>
      <c r="AJ35" s="35"/>
      <c r="AK35" s="35"/>
      <c r="AL35" s="35"/>
      <c r="AM35" s="35"/>
      <c r="AN35" s="35"/>
      <c r="AO35" s="35"/>
      <c r="AP35" s="36"/>
      <c r="AQ35" s="35"/>
      <c r="AR35" s="35"/>
      <c r="AS35" s="35"/>
      <c r="AT35" s="35"/>
      <c r="AU35" s="35"/>
      <c r="AV35" s="36"/>
      <c r="AW35" s="35"/>
      <c r="AX35" s="35"/>
      <c r="AY35" s="35"/>
      <c r="AZ35" s="35"/>
      <c r="BA35" s="35"/>
      <c r="BB35" s="36"/>
      <c r="BC35" s="35"/>
      <c r="BD35" s="35"/>
      <c r="BE35" s="35"/>
      <c r="BF35" s="35"/>
      <c r="BG35" s="35"/>
      <c r="BH35" s="36"/>
      <c r="BI35" s="35"/>
      <c r="BJ35" s="35"/>
      <c r="BK35" s="35"/>
      <c r="BL35" s="35"/>
      <c r="BM35" s="35"/>
      <c r="BN35" s="36"/>
      <c r="BO35" s="35"/>
      <c r="BP35" s="35"/>
      <c r="BQ35" s="35"/>
      <c r="BR35" s="35"/>
      <c r="BS35" s="35"/>
      <c r="BT35" s="36"/>
      <c r="BU35" s="35"/>
      <c r="BV35" s="34"/>
      <c r="BW35" s="34"/>
      <c r="BX35" s="35"/>
      <c r="BY35" s="34"/>
      <c r="BZ35" s="34"/>
      <c r="CA35" s="34"/>
      <c r="CB35" s="34"/>
      <c r="CC35" s="35"/>
      <c r="CD35" s="35"/>
      <c r="CE35" s="34"/>
      <c r="CF35" s="35"/>
      <c r="CG35" s="34"/>
      <c r="CH35" s="34"/>
      <c r="CI35" s="34"/>
      <c r="CJ35" s="34"/>
      <c r="CK35" s="34"/>
      <c r="CL35" s="34"/>
      <c r="CM35" s="34"/>
      <c r="CN35" s="34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79"/>
      <c r="FY35" s="79"/>
      <c r="FZ35" s="79"/>
      <c r="GA35" s="79"/>
      <c r="GB35" s="79"/>
      <c r="GC35" s="79"/>
      <c r="GD35" s="79"/>
      <c r="GE35" s="79"/>
      <c r="GF35" s="79"/>
      <c r="GG35" s="79"/>
      <c r="GH35" s="79"/>
      <c r="GI35" s="79"/>
      <c r="GJ35" s="79"/>
      <c r="GK35" s="79"/>
      <c r="GL35" s="79"/>
      <c r="GM35" s="79"/>
      <c r="GN35" s="79"/>
      <c r="GO35" s="79"/>
      <c r="GP35" s="79"/>
      <c r="GQ35" s="79"/>
      <c r="GR35" s="79"/>
      <c r="GS35" s="79"/>
      <c r="GT35" s="79"/>
      <c r="GU35" s="79"/>
      <c r="GV35" s="79"/>
      <c r="GW35" s="79"/>
      <c r="GX35" s="79"/>
      <c r="GY35" s="79"/>
      <c r="GZ35" s="79"/>
      <c r="HA35" s="79"/>
      <c r="HB35" s="79"/>
      <c r="HC35" s="79"/>
      <c r="HD35" s="79"/>
      <c r="HE35" s="79"/>
      <c r="HF35" s="79"/>
      <c r="HG35" s="79"/>
      <c r="HH35" s="79"/>
      <c r="HI35" s="79"/>
      <c r="HJ35" s="79"/>
      <c r="HK35" s="79"/>
      <c r="HL35" s="79"/>
      <c r="HM35" s="79"/>
      <c r="HN35" s="79"/>
      <c r="HO35" s="79"/>
      <c r="HP35" s="79"/>
      <c r="HQ35" s="79"/>
      <c r="HR35" s="79"/>
      <c r="HS35" s="79"/>
      <c r="HT35" s="79"/>
      <c r="HU35" s="79"/>
      <c r="HV35" s="79"/>
      <c r="HW35" s="79"/>
      <c r="HX35" s="79"/>
      <c r="HY35" s="79"/>
      <c r="HZ35" s="79"/>
      <c r="IA35" s="79"/>
      <c r="IB35" s="79"/>
      <c r="IC35" s="79"/>
      <c r="ID35" s="79"/>
      <c r="IE35" s="79"/>
      <c r="IF35" s="79"/>
      <c r="IG35" s="79"/>
      <c r="IH35" s="79"/>
      <c r="II35" s="79"/>
      <c r="IJ35" s="79"/>
      <c r="IK35" s="79"/>
      <c r="IL35" s="79"/>
      <c r="IM35" s="79"/>
      <c r="IN35" s="79"/>
      <c r="IO35" s="79"/>
      <c r="IP35" s="79"/>
      <c r="IQ35" s="79"/>
      <c r="IR35" s="79"/>
      <c r="IS35" s="79"/>
      <c r="IT35" s="79"/>
      <c r="IU35" s="79"/>
      <c r="IV35" s="79"/>
      <c r="IW35" s="79"/>
    </row>
    <row r="36" spans="2:257" s="15" customFormat="1" ht="14.4">
      <c r="B36" s="30">
        <f>+B35+0.01</f>
        <v>2.0199999999999996</v>
      </c>
      <c r="C36" s="38" t="s">
        <v>14</v>
      </c>
      <c r="D36" s="34"/>
      <c r="E36" s="34"/>
      <c r="F36" s="34"/>
      <c r="G36" s="34"/>
      <c r="H36" s="34"/>
      <c r="I36" s="34"/>
      <c r="J36" s="34"/>
      <c r="K36" s="34"/>
      <c r="L36" s="35"/>
      <c r="M36" s="34"/>
      <c r="N36" s="34"/>
      <c r="O36" s="34"/>
      <c r="P36" s="34"/>
      <c r="Q36" s="34"/>
      <c r="R36" s="36"/>
      <c r="S36" s="34"/>
      <c r="T36" s="34"/>
      <c r="U36" s="34"/>
      <c r="V36" s="34"/>
      <c r="W36" s="34"/>
      <c r="X36" s="36"/>
      <c r="Y36" s="34"/>
      <c r="Z36" s="34"/>
      <c r="AA36" s="34"/>
      <c r="AB36" s="34"/>
      <c r="AC36" s="34"/>
      <c r="AD36" s="36"/>
      <c r="AE36" s="36"/>
      <c r="AF36" s="34"/>
      <c r="AG36" s="36"/>
      <c r="AH36" s="41"/>
      <c r="AI36" s="41"/>
      <c r="AJ36" s="41"/>
      <c r="AK36" s="34"/>
      <c r="AL36" s="34"/>
      <c r="AM36" s="34"/>
      <c r="AN36" s="34"/>
      <c r="AO36" s="34"/>
      <c r="AP36" s="36"/>
      <c r="AQ36" s="34"/>
      <c r="AR36" s="34"/>
      <c r="AS36" s="34"/>
      <c r="AT36" s="34"/>
      <c r="AU36" s="34"/>
      <c r="AV36" s="36"/>
      <c r="AW36" s="34"/>
      <c r="AX36" s="34"/>
      <c r="AY36" s="34"/>
      <c r="AZ36" s="34"/>
      <c r="BA36" s="34"/>
      <c r="BB36" s="36"/>
      <c r="BC36" s="34"/>
      <c r="BD36" s="34"/>
      <c r="BE36" s="34"/>
      <c r="BF36" s="34"/>
      <c r="BG36" s="34"/>
      <c r="BH36" s="36"/>
      <c r="BI36" s="34"/>
      <c r="BJ36" s="34"/>
      <c r="BK36" s="34"/>
      <c r="BL36" s="34"/>
      <c r="BM36" s="34"/>
      <c r="BN36" s="36"/>
      <c r="BO36" s="34"/>
      <c r="BP36" s="34"/>
      <c r="BQ36" s="34"/>
      <c r="BR36" s="34"/>
      <c r="BS36" s="34"/>
      <c r="BT36" s="36"/>
      <c r="BU36" s="35"/>
      <c r="BV36" s="34"/>
      <c r="BW36" s="34"/>
      <c r="BX36" s="35"/>
      <c r="BY36" s="34"/>
      <c r="BZ36" s="34"/>
      <c r="CA36" s="34"/>
      <c r="CB36" s="34"/>
      <c r="CC36" s="35"/>
      <c r="CD36" s="35"/>
      <c r="CE36" s="34"/>
      <c r="CF36" s="35"/>
      <c r="CG36" s="34"/>
      <c r="CH36" s="34"/>
      <c r="CI36" s="34"/>
      <c r="CJ36" s="34"/>
      <c r="CK36" s="34"/>
      <c r="CL36" s="34"/>
      <c r="CM36" s="34"/>
      <c r="CN36" s="34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  <c r="FN36" s="35"/>
      <c r="FO36" s="35"/>
      <c r="FP36" s="35"/>
      <c r="FQ36" s="35"/>
      <c r="FR36" s="35"/>
      <c r="FS36" s="35"/>
      <c r="FT36" s="35"/>
      <c r="FU36" s="35"/>
      <c r="FV36" s="35"/>
      <c r="FW36" s="35"/>
      <c r="FX36" s="79"/>
      <c r="FY36" s="79"/>
      <c r="FZ36" s="79"/>
      <c r="GA36" s="79"/>
      <c r="GB36" s="79"/>
      <c r="GC36" s="79"/>
      <c r="GD36" s="79"/>
      <c r="GE36" s="79"/>
      <c r="GF36" s="79"/>
      <c r="GG36" s="79"/>
      <c r="GH36" s="79"/>
      <c r="GI36" s="79"/>
      <c r="GJ36" s="79"/>
      <c r="GK36" s="79"/>
      <c r="GL36" s="79"/>
      <c r="GM36" s="79"/>
      <c r="GN36" s="79"/>
      <c r="GO36" s="79"/>
      <c r="GP36" s="79"/>
      <c r="GQ36" s="79"/>
      <c r="GR36" s="79"/>
      <c r="GS36" s="79"/>
      <c r="GT36" s="79"/>
      <c r="GU36" s="79"/>
      <c r="GV36" s="79"/>
      <c r="GW36" s="79"/>
      <c r="GX36" s="79"/>
      <c r="GY36" s="79"/>
      <c r="GZ36" s="79"/>
      <c r="HA36" s="79"/>
      <c r="HB36" s="79"/>
      <c r="HC36" s="79"/>
      <c r="HD36" s="79"/>
      <c r="HE36" s="79"/>
      <c r="HF36" s="79"/>
      <c r="HG36" s="79"/>
      <c r="HH36" s="79"/>
      <c r="HI36" s="79"/>
      <c r="HJ36" s="79"/>
      <c r="HK36" s="79"/>
      <c r="HL36" s="79"/>
      <c r="HM36" s="79"/>
      <c r="HN36" s="79"/>
      <c r="HO36" s="79"/>
      <c r="HP36" s="79"/>
      <c r="HQ36" s="79"/>
      <c r="HR36" s="79"/>
      <c r="HS36" s="79"/>
      <c r="HT36" s="79"/>
      <c r="HU36" s="79"/>
      <c r="HV36" s="79"/>
      <c r="HW36" s="79"/>
      <c r="HX36" s="79"/>
      <c r="HY36" s="79"/>
      <c r="HZ36" s="79"/>
      <c r="IA36" s="79"/>
      <c r="IB36" s="79"/>
      <c r="IC36" s="79"/>
      <c r="ID36" s="79"/>
      <c r="IE36" s="79"/>
      <c r="IF36" s="79"/>
      <c r="IG36" s="79"/>
      <c r="IH36" s="79"/>
      <c r="II36" s="79"/>
      <c r="IJ36" s="79"/>
      <c r="IK36" s="79"/>
      <c r="IL36" s="79"/>
      <c r="IM36" s="79"/>
      <c r="IN36" s="79"/>
      <c r="IO36" s="79"/>
      <c r="IP36" s="79"/>
      <c r="IQ36" s="79"/>
      <c r="IR36" s="79"/>
      <c r="IS36" s="79"/>
      <c r="IT36" s="79"/>
      <c r="IU36" s="79"/>
      <c r="IV36" s="79"/>
      <c r="IW36" s="79"/>
    </row>
    <row r="37" spans="2:257" s="15" customFormat="1" ht="14.4">
      <c r="B37" s="30">
        <f t="shared" ref="B37:B100" si="254">+B36+0.01</f>
        <v>2.0299999999999994</v>
      </c>
      <c r="C37" s="38" t="s">
        <v>15</v>
      </c>
      <c r="D37" s="34"/>
      <c r="E37" s="34"/>
      <c r="F37" s="34"/>
      <c r="G37" s="34"/>
      <c r="H37" s="34"/>
      <c r="I37" s="34"/>
      <c r="J37" s="34"/>
      <c r="K37" s="34"/>
      <c r="L37" s="35"/>
      <c r="M37" s="34"/>
      <c r="N37" s="34"/>
      <c r="O37" s="34"/>
      <c r="P37" s="34"/>
      <c r="Q37" s="34"/>
      <c r="R37" s="36"/>
      <c r="S37" s="34"/>
      <c r="T37" s="34"/>
      <c r="U37" s="34"/>
      <c r="V37" s="34"/>
      <c r="W37" s="34"/>
      <c r="X37" s="36"/>
      <c r="Y37" s="34"/>
      <c r="Z37" s="34"/>
      <c r="AA37" s="34"/>
      <c r="AB37" s="34"/>
      <c r="AC37" s="34"/>
      <c r="AD37" s="36"/>
      <c r="AE37" s="36"/>
      <c r="AF37" s="34"/>
      <c r="AG37" s="36"/>
      <c r="AH37" s="34"/>
      <c r="AI37" s="54"/>
      <c r="AJ37" s="54"/>
      <c r="AK37" s="54"/>
      <c r="AL37" s="34"/>
      <c r="AM37" s="34"/>
      <c r="AN37" s="34"/>
      <c r="AO37" s="34"/>
      <c r="AP37" s="36"/>
      <c r="AQ37" s="34"/>
      <c r="AR37" s="34"/>
      <c r="AS37" s="34"/>
      <c r="AT37" s="34"/>
      <c r="AU37" s="34"/>
      <c r="AV37" s="36"/>
      <c r="AW37" s="34"/>
      <c r="AX37" s="34"/>
      <c r="AY37" s="34"/>
      <c r="AZ37" s="34"/>
      <c r="BA37" s="34"/>
      <c r="BB37" s="36"/>
      <c r="BC37" s="34"/>
      <c r="BD37" s="34"/>
      <c r="BE37" s="34"/>
      <c r="BF37" s="34"/>
      <c r="BG37" s="34"/>
      <c r="BH37" s="36"/>
      <c r="BI37" s="34"/>
      <c r="BJ37" s="34"/>
      <c r="BK37" s="34"/>
      <c r="BL37" s="34"/>
      <c r="BM37" s="34"/>
      <c r="BN37" s="36"/>
      <c r="BO37" s="34"/>
      <c r="BP37" s="34"/>
      <c r="BQ37" s="34"/>
      <c r="BR37" s="34"/>
      <c r="BS37" s="34"/>
      <c r="BT37" s="36"/>
      <c r="BU37" s="35"/>
      <c r="BV37" s="34"/>
      <c r="BW37" s="34"/>
      <c r="BX37" s="35"/>
      <c r="BY37" s="34"/>
      <c r="BZ37" s="34"/>
      <c r="CA37" s="34"/>
      <c r="CB37" s="34"/>
      <c r="CC37" s="35"/>
      <c r="CD37" s="35"/>
      <c r="CE37" s="34"/>
      <c r="CF37" s="35"/>
      <c r="CG37" s="34"/>
      <c r="CH37" s="34"/>
      <c r="CI37" s="34"/>
      <c r="CJ37" s="34"/>
      <c r="CK37" s="34"/>
      <c r="CL37" s="34"/>
      <c r="CM37" s="34"/>
      <c r="CN37" s="34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  <c r="EY37" s="35"/>
      <c r="EZ37" s="35"/>
      <c r="FA37" s="35"/>
      <c r="FB37" s="35"/>
      <c r="FC37" s="35"/>
      <c r="FD37" s="35"/>
      <c r="FE37" s="35"/>
      <c r="FF37" s="35"/>
      <c r="FG37" s="35"/>
      <c r="FH37" s="35"/>
      <c r="FI37" s="35"/>
      <c r="FJ37" s="35"/>
      <c r="FK37" s="35"/>
      <c r="FL37" s="35"/>
      <c r="FM37" s="35"/>
      <c r="FN37" s="35"/>
      <c r="FO37" s="35"/>
      <c r="FP37" s="35"/>
      <c r="FQ37" s="35"/>
      <c r="FR37" s="35"/>
      <c r="FS37" s="35"/>
      <c r="FT37" s="35"/>
      <c r="FU37" s="35"/>
      <c r="FV37" s="35"/>
      <c r="FW37" s="35"/>
      <c r="FX37" s="79"/>
      <c r="FY37" s="79"/>
      <c r="FZ37" s="79"/>
      <c r="GA37" s="79"/>
      <c r="GB37" s="79"/>
      <c r="GC37" s="79"/>
      <c r="GD37" s="79"/>
      <c r="GE37" s="79"/>
      <c r="GF37" s="79"/>
      <c r="GG37" s="79"/>
      <c r="GH37" s="79"/>
      <c r="GI37" s="79"/>
      <c r="GJ37" s="79"/>
      <c r="GK37" s="79"/>
      <c r="GL37" s="79"/>
      <c r="GM37" s="79"/>
      <c r="GN37" s="79"/>
      <c r="GO37" s="79"/>
      <c r="GP37" s="79"/>
      <c r="GQ37" s="79"/>
      <c r="GR37" s="79"/>
      <c r="GS37" s="79"/>
      <c r="GT37" s="79"/>
      <c r="GU37" s="79"/>
      <c r="GV37" s="79"/>
      <c r="GW37" s="79"/>
      <c r="GX37" s="79"/>
      <c r="GY37" s="79"/>
      <c r="GZ37" s="79"/>
      <c r="HA37" s="79"/>
      <c r="HB37" s="79"/>
      <c r="HC37" s="79"/>
      <c r="HD37" s="79"/>
      <c r="HE37" s="79"/>
      <c r="HF37" s="79"/>
      <c r="HG37" s="79"/>
      <c r="HH37" s="79"/>
      <c r="HI37" s="79"/>
      <c r="HJ37" s="79"/>
      <c r="HK37" s="79"/>
      <c r="HL37" s="79"/>
      <c r="HM37" s="79"/>
      <c r="HN37" s="79"/>
      <c r="HO37" s="79"/>
      <c r="HP37" s="79"/>
      <c r="HQ37" s="79"/>
      <c r="HR37" s="79"/>
      <c r="HS37" s="79"/>
      <c r="HT37" s="79"/>
      <c r="HU37" s="79"/>
      <c r="HV37" s="79"/>
      <c r="HW37" s="79"/>
      <c r="HX37" s="79"/>
      <c r="HY37" s="79"/>
      <c r="HZ37" s="79"/>
      <c r="IA37" s="79"/>
      <c r="IB37" s="79"/>
      <c r="IC37" s="79"/>
      <c r="ID37" s="79"/>
      <c r="IE37" s="79"/>
      <c r="IF37" s="79"/>
      <c r="IG37" s="79"/>
      <c r="IH37" s="79"/>
      <c r="II37" s="79"/>
      <c r="IJ37" s="79"/>
      <c r="IK37" s="79"/>
      <c r="IL37" s="79"/>
      <c r="IM37" s="79"/>
      <c r="IN37" s="79"/>
      <c r="IO37" s="79"/>
      <c r="IP37" s="79"/>
      <c r="IQ37" s="79"/>
      <c r="IR37" s="79"/>
      <c r="IS37" s="79"/>
      <c r="IT37" s="79"/>
      <c r="IU37" s="79"/>
      <c r="IV37" s="79"/>
      <c r="IW37" s="79"/>
    </row>
    <row r="38" spans="2:257" s="15" customFormat="1" ht="14.4">
      <c r="B38" s="30">
        <f t="shared" si="254"/>
        <v>2.0399999999999991</v>
      </c>
      <c r="C38" s="38" t="s">
        <v>16</v>
      </c>
      <c r="D38" s="34"/>
      <c r="E38" s="34"/>
      <c r="F38" s="34"/>
      <c r="G38" s="34"/>
      <c r="H38" s="34"/>
      <c r="I38" s="34"/>
      <c r="J38" s="34"/>
      <c r="K38" s="34"/>
      <c r="L38" s="35"/>
      <c r="M38" s="34"/>
      <c r="N38" s="34"/>
      <c r="O38" s="34"/>
      <c r="P38" s="34"/>
      <c r="Q38" s="34"/>
      <c r="R38" s="36"/>
      <c r="S38" s="34"/>
      <c r="T38" s="34"/>
      <c r="U38" s="34"/>
      <c r="V38" s="34"/>
      <c r="W38" s="34"/>
      <c r="X38" s="36"/>
      <c r="Y38" s="34"/>
      <c r="Z38" s="34"/>
      <c r="AA38" s="34"/>
      <c r="AB38" s="34"/>
      <c r="AC38" s="34"/>
      <c r="AD38" s="36"/>
      <c r="AE38" s="36"/>
      <c r="AF38" s="34"/>
      <c r="AG38" s="36"/>
      <c r="AH38" s="34"/>
      <c r="AI38" s="34"/>
      <c r="AJ38" s="41" t="s">
        <v>183</v>
      </c>
      <c r="AK38" s="41" t="s">
        <v>184</v>
      </c>
      <c r="AL38" s="41" t="s">
        <v>185</v>
      </c>
      <c r="AM38" s="41" t="s">
        <v>186</v>
      </c>
      <c r="AN38" s="34"/>
      <c r="AO38" s="34"/>
      <c r="AP38" s="36"/>
      <c r="AQ38" s="34"/>
      <c r="AR38" s="34"/>
      <c r="AS38" s="34"/>
      <c r="AT38" s="34"/>
      <c r="AU38" s="34"/>
      <c r="AV38" s="36"/>
      <c r="AW38" s="34"/>
      <c r="AX38" s="34"/>
      <c r="AY38" s="34"/>
      <c r="AZ38" s="34"/>
      <c r="BA38" s="34"/>
      <c r="BB38" s="36"/>
      <c r="BC38" s="34"/>
      <c r="BD38" s="34"/>
      <c r="BE38" s="34"/>
      <c r="BF38" s="34"/>
      <c r="BG38" s="34"/>
      <c r="BH38" s="36"/>
      <c r="BI38" s="34"/>
      <c r="BJ38" s="34"/>
      <c r="BK38" s="34"/>
      <c r="BL38" s="34"/>
      <c r="BM38" s="34"/>
      <c r="BN38" s="36"/>
      <c r="BO38" s="34"/>
      <c r="BP38" s="34"/>
      <c r="BQ38" s="34"/>
      <c r="BR38" s="34"/>
      <c r="BS38" s="34"/>
      <c r="BT38" s="36"/>
      <c r="BU38" s="35"/>
      <c r="BV38" s="34"/>
      <c r="BW38" s="34"/>
      <c r="BX38" s="35"/>
      <c r="BY38" s="34"/>
      <c r="BZ38" s="34"/>
      <c r="CA38" s="34"/>
      <c r="CB38" s="34"/>
      <c r="CC38" s="35"/>
      <c r="CD38" s="35"/>
      <c r="CE38" s="34"/>
      <c r="CF38" s="35"/>
      <c r="CG38" s="34"/>
      <c r="CH38" s="34"/>
      <c r="CI38" s="34"/>
      <c r="CJ38" s="34"/>
      <c r="CK38" s="34"/>
      <c r="CL38" s="34"/>
      <c r="CM38" s="34"/>
      <c r="CN38" s="34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I38" s="35"/>
      <c r="FJ38" s="35"/>
      <c r="FK38" s="35"/>
      <c r="FL38" s="35"/>
      <c r="FM38" s="35"/>
      <c r="FN38" s="35"/>
      <c r="FO38" s="35"/>
      <c r="FP38" s="35"/>
      <c r="FQ38" s="35"/>
      <c r="FR38" s="35"/>
      <c r="FS38" s="35"/>
      <c r="FT38" s="35"/>
      <c r="FU38" s="35"/>
      <c r="FV38" s="35"/>
      <c r="FW38" s="35"/>
      <c r="FX38" s="79"/>
      <c r="FY38" s="79"/>
      <c r="FZ38" s="79"/>
      <c r="GA38" s="79"/>
      <c r="GB38" s="79"/>
      <c r="GC38" s="79"/>
      <c r="GD38" s="79"/>
      <c r="GE38" s="79"/>
      <c r="GF38" s="79"/>
      <c r="GG38" s="79"/>
      <c r="GH38" s="79"/>
      <c r="GI38" s="79"/>
      <c r="GJ38" s="79"/>
      <c r="GK38" s="79"/>
      <c r="GL38" s="79"/>
      <c r="GM38" s="79"/>
      <c r="GN38" s="79"/>
      <c r="GO38" s="79"/>
      <c r="GP38" s="79"/>
      <c r="GQ38" s="79"/>
      <c r="GR38" s="79"/>
      <c r="GS38" s="79"/>
      <c r="GT38" s="79"/>
      <c r="GU38" s="79"/>
      <c r="GV38" s="79"/>
      <c r="GW38" s="79"/>
      <c r="GX38" s="79"/>
      <c r="GY38" s="79"/>
      <c r="GZ38" s="79"/>
      <c r="HA38" s="79"/>
      <c r="HB38" s="79"/>
      <c r="HC38" s="79"/>
      <c r="HD38" s="79"/>
      <c r="HE38" s="79"/>
      <c r="HF38" s="79"/>
      <c r="HG38" s="79"/>
      <c r="HH38" s="79"/>
      <c r="HI38" s="79"/>
      <c r="HJ38" s="79"/>
      <c r="HK38" s="79"/>
      <c r="HL38" s="79"/>
      <c r="HM38" s="79"/>
      <c r="HN38" s="79"/>
      <c r="HO38" s="79"/>
      <c r="HP38" s="79"/>
      <c r="HQ38" s="79"/>
      <c r="HR38" s="79"/>
      <c r="HS38" s="79"/>
      <c r="HT38" s="79"/>
      <c r="HU38" s="79"/>
      <c r="HV38" s="79"/>
      <c r="HW38" s="79"/>
      <c r="HX38" s="79"/>
      <c r="HY38" s="79"/>
      <c r="HZ38" s="79"/>
      <c r="IA38" s="79"/>
      <c r="IB38" s="79"/>
      <c r="IC38" s="79"/>
      <c r="ID38" s="79"/>
      <c r="IE38" s="79"/>
      <c r="IF38" s="79"/>
      <c r="IG38" s="79"/>
      <c r="IH38" s="79"/>
      <c r="II38" s="79"/>
      <c r="IJ38" s="79"/>
      <c r="IK38" s="79"/>
      <c r="IL38" s="79"/>
      <c r="IM38" s="79"/>
      <c r="IN38" s="79"/>
      <c r="IO38" s="79"/>
      <c r="IP38" s="79"/>
      <c r="IQ38" s="79"/>
      <c r="IR38" s="79"/>
      <c r="IS38" s="79"/>
      <c r="IT38" s="79"/>
      <c r="IU38" s="79"/>
      <c r="IV38" s="79"/>
      <c r="IW38" s="79"/>
    </row>
    <row r="39" spans="2:257" s="15" customFormat="1" ht="14.4">
      <c r="B39" s="30">
        <f t="shared" si="254"/>
        <v>2.0499999999999989</v>
      </c>
      <c r="C39" s="38" t="s">
        <v>17</v>
      </c>
      <c r="D39" s="34"/>
      <c r="E39" s="34"/>
      <c r="F39" s="34"/>
      <c r="G39" s="34"/>
      <c r="H39" s="34"/>
      <c r="I39" s="34"/>
      <c r="J39" s="34"/>
      <c r="K39" s="34"/>
      <c r="L39" s="35"/>
      <c r="M39" s="34"/>
      <c r="N39" s="34"/>
      <c r="O39" s="34"/>
      <c r="P39" s="34"/>
      <c r="Q39" s="34"/>
      <c r="R39" s="36"/>
      <c r="S39" s="34"/>
      <c r="T39" s="34"/>
      <c r="U39" s="34"/>
      <c r="V39" s="34"/>
      <c r="W39" s="34"/>
      <c r="X39" s="36"/>
      <c r="Y39" s="34"/>
      <c r="Z39" s="34"/>
      <c r="AA39" s="34"/>
      <c r="AB39" s="34"/>
      <c r="AC39" s="34"/>
      <c r="AD39" s="36"/>
      <c r="AE39" s="36"/>
      <c r="AF39" s="34"/>
      <c r="AG39" s="36"/>
      <c r="AH39" s="34"/>
      <c r="AI39" s="34"/>
      <c r="AJ39" s="36"/>
      <c r="AK39" s="41" t="s">
        <v>183</v>
      </c>
      <c r="AL39" s="41" t="s">
        <v>184</v>
      </c>
      <c r="AM39" s="41" t="s">
        <v>185</v>
      </c>
      <c r="AN39" s="41" t="s">
        <v>186</v>
      </c>
      <c r="AO39" s="34"/>
      <c r="AP39" s="36"/>
      <c r="AQ39" s="34"/>
      <c r="AR39" s="34"/>
      <c r="AS39" s="34"/>
      <c r="AT39" s="34"/>
      <c r="AU39" s="34"/>
      <c r="AV39" s="36"/>
      <c r="AW39" s="34"/>
      <c r="AX39" s="34"/>
      <c r="AY39" s="34"/>
      <c r="AZ39" s="34"/>
      <c r="BA39" s="34"/>
      <c r="BB39" s="36"/>
      <c r="BC39" s="34"/>
      <c r="BD39" s="34"/>
      <c r="BE39" s="34"/>
      <c r="BF39" s="34"/>
      <c r="BG39" s="34"/>
      <c r="BH39" s="36"/>
      <c r="BI39" s="34"/>
      <c r="BJ39" s="34"/>
      <c r="BK39" s="34"/>
      <c r="BL39" s="34"/>
      <c r="BM39" s="34"/>
      <c r="BN39" s="36"/>
      <c r="BO39" s="34"/>
      <c r="BP39" s="34"/>
      <c r="BQ39" s="34"/>
      <c r="BR39" s="34"/>
      <c r="BS39" s="34"/>
      <c r="BT39" s="36"/>
      <c r="BU39" s="35"/>
      <c r="BV39" s="34"/>
      <c r="BW39" s="34"/>
      <c r="BX39" s="35"/>
      <c r="BY39" s="34"/>
      <c r="BZ39" s="34"/>
      <c r="CA39" s="34"/>
      <c r="CB39" s="34"/>
      <c r="CC39" s="35"/>
      <c r="CD39" s="35"/>
      <c r="CE39" s="34"/>
      <c r="CF39" s="35"/>
      <c r="CG39" s="34"/>
      <c r="CH39" s="34"/>
      <c r="CI39" s="34"/>
      <c r="CJ39" s="34"/>
      <c r="CK39" s="34"/>
      <c r="CL39" s="34"/>
      <c r="CM39" s="34"/>
      <c r="CN39" s="34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5"/>
      <c r="FQ39" s="35"/>
      <c r="FR39" s="35"/>
      <c r="FS39" s="35"/>
      <c r="FT39" s="35"/>
      <c r="FU39" s="35"/>
      <c r="FV39" s="35"/>
      <c r="FW39" s="35"/>
      <c r="FX39" s="79"/>
      <c r="FY39" s="79"/>
      <c r="FZ39" s="79"/>
      <c r="GA39" s="79"/>
      <c r="GB39" s="79"/>
      <c r="GC39" s="79"/>
      <c r="GD39" s="79"/>
      <c r="GE39" s="79"/>
      <c r="GF39" s="79"/>
      <c r="GG39" s="79"/>
      <c r="GH39" s="79"/>
      <c r="GI39" s="79"/>
      <c r="GJ39" s="79"/>
      <c r="GK39" s="79"/>
      <c r="GL39" s="79"/>
      <c r="GM39" s="79"/>
      <c r="GN39" s="79"/>
      <c r="GO39" s="79"/>
      <c r="GP39" s="79"/>
      <c r="GQ39" s="79"/>
      <c r="GR39" s="79"/>
      <c r="GS39" s="79"/>
      <c r="GT39" s="79"/>
      <c r="GU39" s="79"/>
      <c r="GV39" s="79"/>
      <c r="GW39" s="79"/>
      <c r="GX39" s="79"/>
      <c r="GY39" s="79"/>
      <c r="GZ39" s="79"/>
      <c r="HA39" s="79"/>
      <c r="HB39" s="79"/>
      <c r="HC39" s="79"/>
      <c r="HD39" s="79"/>
      <c r="HE39" s="79"/>
      <c r="HF39" s="79"/>
      <c r="HG39" s="79"/>
      <c r="HH39" s="79"/>
      <c r="HI39" s="79"/>
      <c r="HJ39" s="79"/>
      <c r="HK39" s="79"/>
      <c r="HL39" s="79"/>
      <c r="HM39" s="79"/>
      <c r="HN39" s="79"/>
      <c r="HO39" s="79"/>
      <c r="HP39" s="79"/>
      <c r="HQ39" s="79"/>
      <c r="HR39" s="79"/>
      <c r="HS39" s="79"/>
      <c r="HT39" s="79"/>
      <c r="HU39" s="79"/>
      <c r="HV39" s="79"/>
      <c r="HW39" s="79"/>
      <c r="HX39" s="79"/>
      <c r="HY39" s="79"/>
      <c r="HZ39" s="79"/>
      <c r="IA39" s="79"/>
      <c r="IB39" s="79"/>
      <c r="IC39" s="79"/>
      <c r="ID39" s="79"/>
      <c r="IE39" s="79"/>
      <c r="IF39" s="79"/>
      <c r="IG39" s="79"/>
      <c r="IH39" s="79"/>
      <c r="II39" s="79"/>
      <c r="IJ39" s="79"/>
      <c r="IK39" s="79"/>
      <c r="IL39" s="79"/>
      <c r="IM39" s="79"/>
      <c r="IN39" s="79"/>
      <c r="IO39" s="79"/>
      <c r="IP39" s="79"/>
      <c r="IQ39" s="79"/>
      <c r="IR39" s="79"/>
      <c r="IS39" s="79"/>
      <c r="IT39" s="79"/>
      <c r="IU39" s="79"/>
      <c r="IV39" s="79"/>
      <c r="IW39" s="79"/>
    </row>
    <row r="40" spans="2:257" s="15" customFormat="1" ht="14.4">
      <c r="B40" s="30">
        <f t="shared" si="254"/>
        <v>2.0599999999999987</v>
      </c>
      <c r="C40" s="38" t="s">
        <v>18</v>
      </c>
      <c r="D40" s="34"/>
      <c r="E40" s="34"/>
      <c r="F40" s="34"/>
      <c r="G40" s="34"/>
      <c r="H40" s="34"/>
      <c r="I40" s="34"/>
      <c r="J40" s="34"/>
      <c r="K40" s="34"/>
      <c r="L40" s="35"/>
      <c r="M40" s="34"/>
      <c r="N40" s="34"/>
      <c r="O40" s="34"/>
      <c r="P40" s="34"/>
      <c r="Q40" s="34"/>
      <c r="R40" s="36"/>
      <c r="S40" s="34"/>
      <c r="T40" s="34"/>
      <c r="U40" s="34"/>
      <c r="V40" s="34"/>
      <c r="W40" s="34"/>
      <c r="X40" s="36"/>
      <c r="Y40" s="34"/>
      <c r="Z40" s="34"/>
      <c r="AA40" s="34"/>
      <c r="AB40" s="34"/>
      <c r="AC40" s="34"/>
      <c r="AD40" s="36"/>
      <c r="AE40" s="36"/>
      <c r="AF40" s="34"/>
      <c r="AG40" s="36"/>
      <c r="AH40" s="34"/>
      <c r="AI40" s="34"/>
      <c r="AJ40" s="36"/>
      <c r="AK40" s="34"/>
      <c r="AL40" s="41" t="s">
        <v>183</v>
      </c>
      <c r="AM40" s="41" t="s">
        <v>184</v>
      </c>
      <c r="AN40" s="41" t="s">
        <v>185</v>
      </c>
      <c r="AO40" s="41" t="s">
        <v>186</v>
      </c>
      <c r="AP40" s="36"/>
      <c r="AQ40" s="34"/>
      <c r="AR40" s="34"/>
      <c r="AS40" s="34"/>
      <c r="AT40" s="34"/>
      <c r="AU40" s="34"/>
      <c r="AV40" s="36"/>
      <c r="AW40" s="34"/>
      <c r="AX40" s="34"/>
      <c r="AY40" s="34"/>
      <c r="AZ40" s="34"/>
      <c r="BA40" s="34"/>
      <c r="BB40" s="36"/>
      <c r="BC40" s="34"/>
      <c r="BD40" s="34"/>
      <c r="BE40" s="34"/>
      <c r="BF40" s="34"/>
      <c r="BG40" s="34"/>
      <c r="BH40" s="36"/>
      <c r="BI40" s="34"/>
      <c r="BJ40" s="34"/>
      <c r="BK40" s="34"/>
      <c r="BL40" s="34"/>
      <c r="BM40" s="34"/>
      <c r="BN40" s="36"/>
      <c r="BO40" s="34"/>
      <c r="BP40" s="34"/>
      <c r="BQ40" s="34"/>
      <c r="BR40" s="34"/>
      <c r="BS40" s="34"/>
      <c r="BT40" s="36"/>
      <c r="BU40" s="35"/>
      <c r="BV40" s="34"/>
      <c r="BW40" s="34"/>
      <c r="BX40" s="35"/>
      <c r="BY40" s="34"/>
      <c r="BZ40" s="34"/>
      <c r="CA40" s="34"/>
      <c r="CB40" s="34"/>
      <c r="CC40" s="35"/>
      <c r="CD40" s="35"/>
      <c r="CE40" s="34"/>
      <c r="CF40" s="35"/>
      <c r="CG40" s="34"/>
      <c r="CH40" s="34"/>
      <c r="CI40" s="34"/>
      <c r="CJ40" s="34"/>
      <c r="CK40" s="34"/>
      <c r="CL40" s="34"/>
      <c r="CM40" s="34"/>
      <c r="CN40" s="34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  <c r="EY40" s="35"/>
      <c r="EZ40" s="35"/>
      <c r="FA40" s="35"/>
      <c r="FB40" s="35"/>
      <c r="FC40" s="35"/>
      <c r="FD40" s="35"/>
      <c r="FE40" s="35"/>
      <c r="FF40" s="35"/>
      <c r="FG40" s="35"/>
      <c r="FH40" s="35"/>
      <c r="FI40" s="35"/>
      <c r="FJ40" s="35"/>
      <c r="FK40" s="35"/>
      <c r="FL40" s="35"/>
      <c r="FM40" s="35"/>
      <c r="FN40" s="35"/>
      <c r="FO40" s="35"/>
      <c r="FP40" s="35"/>
      <c r="FQ40" s="35"/>
      <c r="FR40" s="35"/>
      <c r="FS40" s="35"/>
      <c r="FT40" s="35"/>
      <c r="FU40" s="35"/>
      <c r="FV40" s="35"/>
      <c r="FW40" s="35"/>
      <c r="FX40" s="79"/>
      <c r="FY40" s="79"/>
      <c r="FZ40" s="79"/>
      <c r="GA40" s="79"/>
      <c r="GB40" s="79"/>
      <c r="GC40" s="79"/>
      <c r="GD40" s="79"/>
      <c r="GE40" s="79"/>
      <c r="GF40" s="79"/>
      <c r="GG40" s="79"/>
      <c r="GH40" s="79"/>
      <c r="GI40" s="79"/>
      <c r="GJ40" s="79"/>
      <c r="GK40" s="79"/>
      <c r="GL40" s="79"/>
      <c r="GM40" s="79"/>
      <c r="GN40" s="79"/>
      <c r="GO40" s="79"/>
      <c r="GP40" s="79"/>
      <c r="GQ40" s="79"/>
      <c r="GR40" s="79"/>
      <c r="GS40" s="79"/>
      <c r="GT40" s="79"/>
      <c r="GU40" s="79"/>
      <c r="GV40" s="79"/>
      <c r="GW40" s="79"/>
      <c r="GX40" s="79"/>
      <c r="GY40" s="79"/>
      <c r="GZ40" s="79"/>
      <c r="HA40" s="79"/>
      <c r="HB40" s="79"/>
      <c r="HC40" s="79"/>
      <c r="HD40" s="79"/>
      <c r="HE40" s="79"/>
      <c r="HF40" s="79"/>
      <c r="HG40" s="79"/>
      <c r="HH40" s="79"/>
      <c r="HI40" s="79"/>
      <c r="HJ40" s="79"/>
      <c r="HK40" s="79"/>
      <c r="HL40" s="79"/>
      <c r="HM40" s="79"/>
      <c r="HN40" s="79"/>
      <c r="HO40" s="79"/>
      <c r="HP40" s="79"/>
      <c r="HQ40" s="79"/>
      <c r="HR40" s="79"/>
      <c r="HS40" s="79"/>
      <c r="HT40" s="79"/>
      <c r="HU40" s="79"/>
      <c r="HV40" s="79"/>
      <c r="HW40" s="79"/>
      <c r="HX40" s="79"/>
      <c r="HY40" s="79"/>
      <c r="HZ40" s="79"/>
      <c r="IA40" s="79"/>
      <c r="IB40" s="79"/>
      <c r="IC40" s="79"/>
      <c r="ID40" s="79"/>
      <c r="IE40" s="79"/>
      <c r="IF40" s="79"/>
      <c r="IG40" s="79"/>
      <c r="IH40" s="79"/>
      <c r="II40" s="79"/>
      <c r="IJ40" s="79"/>
      <c r="IK40" s="79"/>
      <c r="IL40" s="79"/>
      <c r="IM40" s="79"/>
      <c r="IN40" s="79"/>
      <c r="IO40" s="79"/>
      <c r="IP40" s="79"/>
      <c r="IQ40" s="79"/>
      <c r="IR40" s="79"/>
      <c r="IS40" s="79"/>
      <c r="IT40" s="79"/>
      <c r="IU40" s="79"/>
      <c r="IV40" s="79"/>
      <c r="IW40" s="79"/>
    </row>
    <row r="41" spans="2:257" s="15" customFormat="1" ht="14.4">
      <c r="B41" s="30">
        <f t="shared" si="254"/>
        <v>2.0699999999999985</v>
      </c>
      <c r="C41" s="38" t="s">
        <v>19</v>
      </c>
      <c r="D41" s="34"/>
      <c r="E41" s="34"/>
      <c r="F41" s="34"/>
      <c r="G41" s="34"/>
      <c r="H41" s="34"/>
      <c r="I41" s="34"/>
      <c r="J41" s="34"/>
      <c r="K41" s="34"/>
      <c r="L41" s="35"/>
      <c r="M41" s="34"/>
      <c r="N41" s="34"/>
      <c r="O41" s="34"/>
      <c r="P41" s="34"/>
      <c r="Q41" s="34"/>
      <c r="R41" s="36"/>
      <c r="S41" s="34"/>
      <c r="T41" s="34"/>
      <c r="U41" s="34"/>
      <c r="V41" s="34"/>
      <c r="W41" s="34"/>
      <c r="X41" s="36"/>
      <c r="Y41" s="34"/>
      <c r="Z41" s="34"/>
      <c r="AA41" s="34"/>
      <c r="AB41" s="34"/>
      <c r="AC41" s="34"/>
      <c r="AD41" s="36"/>
      <c r="AE41" s="36"/>
      <c r="AF41" s="34"/>
      <c r="AG41" s="36"/>
      <c r="AH41" s="34"/>
      <c r="AI41" s="34"/>
      <c r="AJ41" s="36"/>
      <c r="AK41" s="34"/>
      <c r="AL41" s="34"/>
      <c r="AM41" s="34"/>
      <c r="AN41" s="41" t="s">
        <v>183</v>
      </c>
      <c r="AO41" s="41" t="s">
        <v>184</v>
      </c>
      <c r="AP41" s="41" t="s">
        <v>185</v>
      </c>
      <c r="AQ41" s="41" t="s">
        <v>186</v>
      </c>
      <c r="AR41" s="34"/>
      <c r="AS41" s="34"/>
      <c r="AT41" s="34"/>
      <c r="AU41" s="34"/>
      <c r="AV41" s="34"/>
      <c r="AW41" s="36"/>
      <c r="AX41" s="34"/>
      <c r="AY41" s="34"/>
      <c r="AZ41" s="34"/>
      <c r="BA41" s="34"/>
      <c r="BB41" s="36"/>
      <c r="BC41" s="34"/>
      <c r="BD41" s="34"/>
      <c r="BE41" s="34"/>
      <c r="BF41" s="34"/>
      <c r="BG41" s="34"/>
      <c r="BH41" s="36"/>
      <c r="BI41" s="34"/>
      <c r="BJ41" s="34"/>
      <c r="BK41" s="34"/>
      <c r="BL41" s="34"/>
      <c r="BM41" s="34"/>
      <c r="BN41" s="36"/>
      <c r="BO41" s="34"/>
      <c r="BP41" s="34"/>
      <c r="BQ41" s="34"/>
      <c r="BR41" s="34"/>
      <c r="BS41" s="34"/>
      <c r="BT41" s="36"/>
      <c r="BU41" s="35"/>
      <c r="BV41" s="34"/>
      <c r="BW41" s="34"/>
      <c r="BX41" s="35"/>
      <c r="BY41" s="34"/>
      <c r="BZ41" s="34"/>
      <c r="CA41" s="34"/>
      <c r="CB41" s="34"/>
      <c r="CC41" s="35"/>
      <c r="CD41" s="35"/>
      <c r="CE41" s="34"/>
      <c r="CF41" s="35"/>
      <c r="CG41" s="34"/>
      <c r="CH41" s="34"/>
      <c r="CI41" s="34"/>
      <c r="CJ41" s="34"/>
      <c r="CK41" s="34"/>
      <c r="CL41" s="34"/>
      <c r="CM41" s="34"/>
      <c r="CN41" s="34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  <c r="FS41" s="35"/>
      <c r="FT41" s="35"/>
      <c r="FU41" s="35"/>
      <c r="FV41" s="35"/>
      <c r="FW41" s="35"/>
      <c r="FX41" s="79"/>
      <c r="FY41" s="79"/>
      <c r="FZ41" s="79"/>
      <c r="GA41" s="79"/>
      <c r="GB41" s="79"/>
      <c r="GC41" s="79"/>
      <c r="GD41" s="79"/>
      <c r="GE41" s="79"/>
      <c r="GF41" s="79"/>
      <c r="GG41" s="79"/>
      <c r="GH41" s="79"/>
      <c r="GI41" s="79"/>
      <c r="GJ41" s="79"/>
      <c r="GK41" s="79"/>
      <c r="GL41" s="79"/>
      <c r="GM41" s="79"/>
      <c r="GN41" s="79"/>
      <c r="GO41" s="79"/>
      <c r="GP41" s="79"/>
      <c r="GQ41" s="79"/>
      <c r="GR41" s="79"/>
      <c r="GS41" s="79"/>
      <c r="GT41" s="79"/>
      <c r="GU41" s="79"/>
      <c r="GV41" s="79"/>
      <c r="GW41" s="79"/>
      <c r="GX41" s="79"/>
      <c r="GY41" s="79"/>
      <c r="GZ41" s="79"/>
      <c r="HA41" s="79"/>
      <c r="HB41" s="79"/>
      <c r="HC41" s="79"/>
      <c r="HD41" s="79"/>
      <c r="HE41" s="79"/>
      <c r="HF41" s="79"/>
      <c r="HG41" s="79"/>
      <c r="HH41" s="79"/>
      <c r="HI41" s="79"/>
      <c r="HJ41" s="79"/>
      <c r="HK41" s="79"/>
      <c r="HL41" s="79"/>
      <c r="HM41" s="79"/>
      <c r="HN41" s="79"/>
      <c r="HO41" s="79"/>
      <c r="HP41" s="79"/>
      <c r="HQ41" s="79"/>
      <c r="HR41" s="79"/>
      <c r="HS41" s="79"/>
      <c r="HT41" s="79"/>
      <c r="HU41" s="79"/>
      <c r="HV41" s="79"/>
      <c r="HW41" s="79"/>
      <c r="HX41" s="79"/>
      <c r="HY41" s="79"/>
      <c r="HZ41" s="79"/>
      <c r="IA41" s="79"/>
      <c r="IB41" s="79"/>
      <c r="IC41" s="79"/>
      <c r="ID41" s="79"/>
      <c r="IE41" s="79"/>
      <c r="IF41" s="79"/>
      <c r="IG41" s="79"/>
      <c r="IH41" s="79"/>
      <c r="II41" s="79"/>
      <c r="IJ41" s="79"/>
      <c r="IK41" s="79"/>
      <c r="IL41" s="79"/>
      <c r="IM41" s="79"/>
      <c r="IN41" s="79"/>
      <c r="IO41" s="79"/>
      <c r="IP41" s="79"/>
      <c r="IQ41" s="79"/>
      <c r="IR41" s="79"/>
      <c r="IS41" s="79"/>
      <c r="IT41" s="79"/>
      <c r="IU41" s="79"/>
      <c r="IV41" s="79"/>
      <c r="IW41" s="79"/>
    </row>
    <row r="42" spans="2:257" s="15" customFormat="1" ht="14.4">
      <c r="B42" s="30">
        <f t="shared" si="254"/>
        <v>2.0799999999999983</v>
      </c>
      <c r="C42" s="38" t="s">
        <v>20</v>
      </c>
      <c r="D42" s="34"/>
      <c r="E42" s="34"/>
      <c r="F42" s="34"/>
      <c r="G42" s="34"/>
      <c r="H42" s="34"/>
      <c r="I42" s="34"/>
      <c r="J42" s="34"/>
      <c r="K42" s="34"/>
      <c r="L42" s="35"/>
      <c r="M42" s="34"/>
      <c r="N42" s="34"/>
      <c r="O42" s="34"/>
      <c r="P42" s="34"/>
      <c r="Q42" s="34"/>
      <c r="R42" s="36"/>
      <c r="S42" s="34"/>
      <c r="T42" s="34"/>
      <c r="U42" s="34"/>
      <c r="V42" s="34"/>
      <c r="W42" s="34"/>
      <c r="X42" s="36"/>
      <c r="Y42" s="34"/>
      <c r="Z42" s="34"/>
      <c r="AA42" s="34"/>
      <c r="AB42" s="34"/>
      <c r="AC42" s="34"/>
      <c r="AD42" s="36"/>
      <c r="AE42" s="36"/>
      <c r="AF42" s="34"/>
      <c r="AG42" s="36"/>
      <c r="AH42" s="34"/>
      <c r="AI42" s="34"/>
      <c r="AJ42" s="36"/>
      <c r="AK42" s="34"/>
      <c r="AL42" s="34"/>
      <c r="AM42" s="34"/>
      <c r="AN42" s="34"/>
      <c r="AO42" s="41" t="s">
        <v>183</v>
      </c>
      <c r="AP42" s="41" t="s">
        <v>184</v>
      </c>
      <c r="AQ42" s="41" t="s">
        <v>185</v>
      </c>
      <c r="AR42" s="41" t="s">
        <v>186</v>
      </c>
      <c r="AS42" s="34"/>
      <c r="AT42" s="34"/>
      <c r="AU42" s="34"/>
      <c r="AV42" s="34"/>
      <c r="AW42" s="36"/>
      <c r="AX42" s="34"/>
      <c r="AY42" s="34"/>
      <c r="AZ42" s="34"/>
      <c r="BA42" s="34"/>
      <c r="BB42" s="36"/>
      <c r="BC42" s="34"/>
      <c r="BD42" s="34"/>
      <c r="BE42" s="34"/>
      <c r="BF42" s="34"/>
      <c r="BG42" s="34"/>
      <c r="BH42" s="36"/>
      <c r="BI42" s="34"/>
      <c r="BJ42" s="34"/>
      <c r="BK42" s="34"/>
      <c r="BL42" s="34"/>
      <c r="BM42" s="34"/>
      <c r="BN42" s="36"/>
      <c r="BO42" s="34"/>
      <c r="BP42" s="34"/>
      <c r="BQ42" s="34"/>
      <c r="BR42" s="34"/>
      <c r="BS42" s="34"/>
      <c r="BT42" s="36"/>
      <c r="BU42" s="35"/>
      <c r="BV42" s="34"/>
      <c r="BW42" s="34"/>
      <c r="BX42" s="35"/>
      <c r="BY42" s="34"/>
      <c r="BZ42" s="34"/>
      <c r="CA42" s="34"/>
      <c r="CB42" s="34"/>
      <c r="CC42" s="35"/>
      <c r="CD42" s="35"/>
      <c r="CE42" s="34"/>
      <c r="CF42" s="35"/>
      <c r="CG42" s="34"/>
      <c r="CH42" s="34"/>
      <c r="CI42" s="34"/>
      <c r="CJ42" s="34"/>
      <c r="CK42" s="34"/>
      <c r="CL42" s="34"/>
      <c r="CM42" s="34"/>
      <c r="CN42" s="34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35"/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5"/>
      <c r="FQ42" s="35"/>
      <c r="FR42" s="35"/>
      <c r="FS42" s="35"/>
      <c r="FT42" s="35"/>
      <c r="FU42" s="35"/>
      <c r="FV42" s="35"/>
      <c r="FW42" s="35"/>
      <c r="FX42" s="79"/>
      <c r="FY42" s="79"/>
      <c r="FZ42" s="79"/>
      <c r="GA42" s="79"/>
      <c r="GB42" s="79"/>
      <c r="GC42" s="79"/>
      <c r="GD42" s="79"/>
      <c r="GE42" s="79"/>
      <c r="GF42" s="79"/>
      <c r="GG42" s="79"/>
      <c r="GH42" s="79"/>
      <c r="GI42" s="79"/>
      <c r="GJ42" s="79"/>
      <c r="GK42" s="79"/>
      <c r="GL42" s="79"/>
      <c r="GM42" s="79"/>
      <c r="GN42" s="79"/>
      <c r="GO42" s="79"/>
      <c r="GP42" s="79"/>
      <c r="GQ42" s="79"/>
      <c r="GR42" s="79"/>
      <c r="GS42" s="79"/>
      <c r="GT42" s="79"/>
      <c r="GU42" s="79"/>
      <c r="GV42" s="79"/>
      <c r="GW42" s="79"/>
      <c r="GX42" s="79"/>
      <c r="GY42" s="79"/>
      <c r="GZ42" s="79"/>
      <c r="HA42" s="79"/>
      <c r="HB42" s="79"/>
      <c r="HC42" s="79"/>
      <c r="HD42" s="79"/>
      <c r="HE42" s="79"/>
      <c r="HF42" s="79"/>
      <c r="HG42" s="79"/>
      <c r="HH42" s="79"/>
      <c r="HI42" s="79"/>
      <c r="HJ42" s="79"/>
      <c r="HK42" s="79"/>
      <c r="HL42" s="79"/>
      <c r="HM42" s="79"/>
      <c r="HN42" s="79"/>
      <c r="HO42" s="79"/>
      <c r="HP42" s="79"/>
      <c r="HQ42" s="79"/>
      <c r="HR42" s="79"/>
      <c r="HS42" s="79"/>
      <c r="HT42" s="79"/>
      <c r="HU42" s="79"/>
      <c r="HV42" s="79"/>
      <c r="HW42" s="79"/>
      <c r="HX42" s="79"/>
      <c r="HY42" s="79"/>
      <c r="HZ42" s="79"/>
      <c r="IA42" s="79"/>
      <c r="IB42" s="79"/>
      <c r="IC42" s="79"/>
      <c r="ID42" s="79"/>
      <c r="IE42" s="79"/>
      <c r="IF42" s="79"/>
      <c r="IG42" s="79"/>
      <c r="IH42" s="79"/>
      <c r="II42" s="79"/>
      <c r="IJ42" s="79"/>
      <c r="IK42" s="79"/>
      <c r="IL42" s="79"/>
      <c r="IM42" s="79"/>
      <c r="IN42" s="79"/>
      <c r="IO42" s="79"/>
      <c r="IP42" s="79"/>
      <c r="IQ42" s="79"/>
      <c r="IR42" s="79"/>
      <c r="IS42" s="79"/>
      <c r="IT42" s="79"/>
      <c r="IU42" s="79"/>
      <c r="IV42" s="79"/>
      <c r="IW42" s="79"/>
    </row>
    <row r="43" spans="2:257" s="15" customFormat="1" ht="14.4">
      <c r="B43" s="30">
        <f t="shared" si="254"/>
        <v>2.0899999999999981</v>
      </c>
      <c r="C43" s="38" t="s">
        <v>21</v>
      </c>
      <c r="D43" s="34"/>
      <c r="E43" s="34"/>
      <c r="F43" s="34"/>
      <c r="G43" s="34"/>
      <c r="H43" s="34"/>
      <c r="I43" s="34"/>
      <c r="J43" s="34"/>
      <c r="K43" s="34"/>
      <c r="L43" s="35"/>
      <c r="M43" s="34"/>
      <c r="N43" s="34"/>
      <c r="O43" s="34"/>
      <c r="P43" s="34"/>
      <c r="Q43" s="34"/>
      <c r="R43" s="36"/>
      <c r="S43" s="34"/>
      <c r="T43" s="34"/>
      <c r="U43" s="34"/>
      <c r="V43" s="34"/>
      <c r="W43" s="34"/>
      <c r="X43" s="36"/>
      <c r="Y43" s="34"/>
      <c r="Z43" s="34"/>
      <c r="AA43" s="34"/>
      <c r="AB43" s="34"/>
      <c r="AC43" s="34"/>
      <c r="AD43" s="36"/>
      <c r="AE43" s="36"/>
      <c r="AF43" s="34"/>
      <c r="AG43" s="36"/>
      <c r="AH43" s="34"/>
      <c r="AI43" s="34"/>
      <c r="AJ43" s="36"/>
      <c r="AK43" s="34"/>
      <c r="AL43" s="34"/>
      <c r="AM43" s="34"/>
      <c r="AN43" s="34"/>
      <c r="AO43" s="34"/>
      <c r="AP43" s="41" t="s">
        <v>183</v>
      </c>
      <c r="AQ43" s="41" t="s">
        <v>184</v>
      </c>
      <c r="AR43" s="41" t="s">
        <v>185</v>
      </c>
      <c r="AS43" s="41" t="s">
        <v>186</v>
      </c>
      <c r="AT43" s="34"/>
      <c r="AU43" s="34"/>
      <c r="AV43" s="34"/>
      <c r="AW43" s="36"/>
      <c r="AX43" s="34"/>
      <c r="AY43" s="34"/>
      <c r="AZ43" s="34"/>
      <c r="BA43" s="34"/>
      <c r="BB43" s="36"/>
      <c r="BC43" s="34"/>
      <c r="BD43" s="34"/>
      <c r="BE43" s="34"/>
      <c r="BF43" s="34"/>
      <c r="BG43" s="34"/>
      <c r="BH43" s="36"/>
      <c r="BI43" s="34"/>
      <c r="BJ43" s="34"/>
      <c r="BK43" s="34"/>
      <c r="BL43" s="34"/>
      <c r="BM43" s="34"/>
      <c r="BN43" s="36"/>
      <c r="BO43" s="34"/>
      <c r="BP43" s="34"/>
      <c r="BQ43" s="34"/>
      <c r="BR43" s="34"/>
      <c r="BS43" s="34"/>
      <c r="BT43" s="36"/>
      <c r="BU43" s="35"/>
      <c r="BV43" s="34"/>
      <c r="BW43" s="34"/>
      <c r="BX43" s="35"/>
      <c r="BY43" s="34"/>
      <c r="BZ43" s="34"/>
      <c r="CA43" s="34"/>
      <c r="CB43" s="34"/>
      <c r="CC43" s="35"/>
      <c r="CD43" s="35"/>
      <c r="CE43" s="34"/>
      <c r="CF43" s="35"/>
      <c r="CG43" s="34"/>
      <c r="CH43" s="34"/>
      <c r="CI43" s="34"/>
      <c r="CJ43" s="34"/>
      <c r="CK43" s="34"/>
      <c r="CL43" s="34"/>
      <c r="CM43" s="34"/>
      <c r="CN43" s="34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  <c r="EY43" s="35"/>
      <c r="EZ43" s="35"/>
      <c r="FA43" s="35"/>
      <c r="FB43" s="35"/>
      <c r="FC43" s="35"/>
      <c r="FD43" s="35"/>
      <c r="FE43" s="35"/>
      <c r="FF43" s="35"/>
      <c r="FG43" s="35"/>
      <c r="FH43" s="35"/>
      <c r="FI43" s="35"/>
      <c r="FJ43" s="35"/>
      <c r="FK43" s="35"/>
      <c r="FL43" s="35"/>
      <c r="FM43" s="35"/>
      <c r="FN43" s="35"/>
      <c r="FO43" s="35"/>
      <c r="FP43" s="35"/>
      <c r="FQ43" s="35"/>
      <c r="FR43" s="35"/>
      <c r="FS43" s="35"/>
      <c r="FT43" s="35"/>
      <c r="FU43" s="35"/>
      <c r="FV43" s="35"/>
      <c r="FW43" s="35"/>
      <c r="FX43" s="79"/>
      <c r="FY43" s="79"/>
      <c r="FZ43" s="79"/>
      <c r="GA43" s="79"/>
      <c r="GB43" s="79"/>
      <c r="GC43" s="79"/>
      <c r="GD43" s="79"/>
      <c r="GE43" s="79"/>
      <c r="GF43" s="79"/>
      <c r="GG43" s="79"/>
      <c r="GH43" s="79"/>
      <c r="GI43" s="79"/>
      <c r="GJ43" s="79"/>
      <c r="GK43" s="79"/>
      <c r="GL43" s="79"/>
      <c r="GM43" s="79"/>
      <c r="GN43" s="79"/>
      <c r="GO43" s="79"/>
      <c r="GP43" s="79"/>
      <c r="GQ43" s="79"/>
      <c r="GR43" s="79"/>
      <c r="GS43" s="79"/>
      <c r="GT43" s="79"/>
      <c r="GU43" s="79"/>
      <c r="GV43" s="79"/>
      <c r="GW43" s="79"/>
      <c r="GX43" s="79"/>
      <c r="GY43" s="79"/>
      <c r="GZ43" s="79"/>
      <c r="HA43" s="79"/>
      <c r="HB43" s="79"/>
      <c r="HC43" s="79"/>
      <c r="HD43" s="79"/>
      <c r="HE43" s="79"/>
      <c r="HF43" s="79"/>
      <c r="HG43" s="79"/>
      <c r="HH43" s="79"/>
      <c r="HI43" s="79"/>
      <c r="HJ43" s="79"/>
      <c r="HK43" s="79"/>
      <c r="HL43" s="79"/>
      <c r="HM43" s="79"/>
      <c r="HN43" s="79"/>
      <c r="HO43" s="79"/>
      <c r="HP43" s="79"/>
      <c r="HQ43" s="79"/>
      <c r="HR43" s="79"/>
      <c r="HS43" s="79"/>
      <c r="HT43" s="79"/>
      <c r="HU43" s="79"/>
      <c r="HV43" s="79"/>
      <c r="HW43" s="79"/>
      <c r="HX43" s="79"/>
      <c r="HY43" s="79"/>
      <c r="HZ43" s="79"/>
      <c r="IA43" s="79"/>
      <c r="IB43" s="79"/>
      <c r="IC43" s="79"/>
      <c r="ID43" s="79"/>
      <c r="IE43" s="79"/>
      <c r="IF43" s="79"/>
      <c r="IG43" s="79"/>
      <c r="IH43" s="79"/>
      <c r="II43" s="79"/>
      <c r="IJ43" s="79"/>
      <c r="IK43" s="79"/>
      <c r="IL43" s="79"/>
      <c r="IM43" s="79"/>
      <c r="IN43" s="79"/>
      <c r="IO43" s="79"/>
      <c r="IP43" s="79"/>
      <c r="IQ43" s="79"/>
      <c r="IR43" s="79"/>
      <c r="IS43" s="79"/>
      <c r="IT43" s="79"/>
      <c r="IU43" s="79"/>
      <c r="IV43" s="79"/>
      <c r="IW43" s="79"/>
    </row>
    <row r="44" spans="2:257" s="15" customFormat="1" ht="14.4">
      <c r="B44" s="30">
        <f t="shared" si="254"/>
        <v>2.0999999999999979</v>
      </c>
      <c r="C44" s="38" t="s">
        <v>22</v>
      </c>
      <c r="D44" s="34"/>
      <c r="E44" s="34"/>
      <c r="F44" s="34"/>
      <c r="G44" s="34"/>
      <c r="H44" s="34"/>
      <c r="I44" s="34"/>
      <c r="J44" s="34"/>
      <c r="K44" s="34"/>
      <c r="L44" s="35"/>
      <c r="M44" s="34"/>
      <c r="N44" s="34"/>
      <c r="O44" s="34"/>
      <c r="P44" s="34"/>
      <c r="Q44" s="34"/>
      <c r="R44" s="36"/>
      <c r="S44" s="34"/>
      <c r="T44" s="34"/>
      <c r="U44" s="34"/>
      <c r="V44" s="34"/>
      <c r="W44" s="34"/>
      <c r="X44" s="36"/>
      <c r="Y44" s="34"/>
      <c r="Z44" s="34"/>
      <c r="AA44" s="34"/>
      <c r="AB44" s="34"/>
      <c r="AC44" s="34"/>
      <c r="AD44" s="36"/>
      <c r="AE44" s="36"/>
      <c r="AF44" s="34"/>
      <c r="AG44" s="36"/>
      <c r="AH44" s="34"/>
      <c r="AI44" s="34"/>
      <c r="AJ44" s="36"/>
      <c r="AK44" s="34"/>
      <c r="AL44" s="34"/>
      <c r="AM44" s="34"/>
      <c r="AN44" s="34"/>
      <c r="AO44" s="34"/>
      <c r="AP44" s="34"/>
      <c r="AQ44" s="41" t="s">
        <v>183</v>
      </c>
      <c r="AR44" s="41" t="s">
        <v>184</v>
      </c>
      <c r="AS44" s="41" t="s">
        <v>185</v>
      </c>
      <c r="AT44" s="41" t="s">
        <v>186</v>
      </c>
      <c r="AU44" s="34"/>
      <c r="AV44" s="34"/>
      <c r="AW44" s="36"/>
      <c r="AX44" s="34"/>
      <c r="AY44" s="34"/>
      <c r="AZ44" s="34"/>
      <c r="BA44" s="34"/>
      <c r="BB44" s="36"/>
      <c r="BC44" s="34"/>
      <c r="BD44" s="34"/>
      <c r="BE44" s="34"/>
      <c r="BF44" s="34"/>
      <c r="BG44" s="34"/>
      <c r="BH44" s="36"/>
      <c r="BI44" s="34"/>
      <c r="BJ44" s="34"/>
      <c r="BK44" s="34"/>
      <c r="BL44" s="34"/>
      <c r="BM44" s="34"/>
      <c r="BN44" s="36"/>
      <c r="BO44" s="34"/>
      <c r="BP44" s="34"/>
      <c r="BQ44" s="34"/>
      <c r="BR44" s="34"/>
      <c r="BS44" s="34"/>
      <c r="BT44" s="36"/>
      <c r="BU44" s="35"/>
      <c r="BV44" s="34"/>
      <c r="BW44" s="34"/>
      <c r="BX44" s="35"/>
      <c r="BY44" s="34"/>
      <c r="BZ44" s="34"/>
      <c r="CA44" s="34"/>
      <c r="CB44" s="34"/>
      <c r="CC44" s="35"/>
      <c r="CD44" s="35"/>
      <c r="CE44" s="34"/>
      <c r="CF44" s="35"/>
      <c r="CG44" s="34"/>
      <c r="CH44" s="34"/>
      <c r="CI44" s="34"/>
      <c r="CJ44" s="34"/>
      <c r="CK44" s="34"/>
      <c r="CL44" s="34"/>
      <c r="CM44" s="34"/>
      <c r="CN44" s="34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  <c r="EY44" s="35"/>
      <c r="EZ44" s="35"/>
      <c r="FA44" s="35"/>
      <c r="FB44" s="35"/>
      <c r="FC44" s="35"/>
      <c r="FD44" s="35"/>
      <c r="FE44" s="35"/>
      <c r="FF44" s="35"/>
      <c r="FG44" s="35"/>
      <c r="FH44" s="35"/>
      <c r="FI44" s="35"/>
      <c r="FJ44" s="35"/>
      <c r="FK44" s="35"/>
      <c r="FL44" s="35"/>
      <c r="FM44" s="35"/>
      <c r="FN44" s="35"/>
      <c r="FO44" s="35"/>
      <c r="FP44" s="35"/>
      <c r="FQ44" s="35"/>
      <c r="FR44" s="35"/>
      <c r="FS44" s="35"/>
      <c r="FT44" s="35"/>
      <c r="FU44" s="35"/>
      <c r="FV44" s="35"/>
      <c r="FW44" s="35"/>
      <c r="FX44" s="79"/>
      <c r="FY44" s="79"/>
      <c r="FZ44" s="79"/>
      <c r="GA44" s="79"/>
      <c r="GB44" s="79"/>
      <c r="GC44" s="79"/>
      <c r="GD44" s="79"/>
      <c r="GE44" s="79"/>
      <c r="GF44" s="79"/>
      <c r="GG44" s="79"/>
      <c r="GH44" s="79"/>
      <c r="GI44" s="79"/>
      <c r="GJ44" s="79"/>
      <c r="GK44" s="79"/>
      <c r="GL44" s="79"/>
      <c r="GM44" s="79"/>
      <c r="GN44" s="79"/>
      <c r="GO44" s="79"/>
      <c r="GP44" s="79"/>
      <c r="GQ44" s="79"/>
      <c r="GR44" s="79"/>
      <c r="GS44" s="79"/>
      <c r="GT44" s="79"/>
      <c r="GU44" s="79"/>
      <c r="GV44" s="79"/>
      <c r="GW44" s="79"/>
      <c r="GX44" s="79"/>
      <c r="GY44" s="79"/>
      <c r="GZ44" s="79"/>
      <c r="HA44" s="79"/>
      <c r="HB44" s="79"/>
      <c r="HC44" s="79"/>
      <c r="HD44" s="79"/>
      <c r="HE44" s="79"/>
      <c r="HF44" s="79"/>
      <c r="HG44" s="79"/>
      <c r="HH44" s="79"/>
      <c r="HI44" s="79"/>
      <c r="HJ44" s="79"/>
      <c r="HK44" s="79"/>
      <c r="HL44" s="79"/>
      <c r="HM44" s="79"/>
      <c r="HN44" s="79"/>
      <c r="HO44" s="79"/>
      <c r="HP44" s="79"/>
      <c r="HQ44" s="79"/>
      <c r="HR44" s="79"/>
      <c r="HS44" s="79"/>
      <c r="HT44" s="79"/>
      <c r="HU44" s="79"/>
      <c r="HV44" s="79"/>
      <c r="HW44" s="79"/>
      <c r="HX44" s="79"/>
      <c r="HY44" s="79"/>
      <c r="HZ44" s="79"/>
      <c r="IA44" s="79"/>
      <c r="IB44" s="79"/>
      <c r="IC44" s="79"/>
      <c r="ID44" s="79"/>
      <c r="IE44" s="79"/>
      <c r="IF44" s="79"/>
      <c r="IG44" s="79"/>
      <c r="IH44" s="79"/>
      <c r="II44" s="79"/>
      <c r="IJ44" s="79"/>
      <c r="IK44" s="79"/>
      <c r="IL44" s="79"/>
      <c r="IM44" s="79"/>
      <c r="IN44" s="79"/>
      <c r="IO44" s="79"/>
      <c r="IP44" s="79"/>
      <c r="IQ44" s="79"/>
      <c r="IR44" s="79"/>
      <c r="IS44" s="79"/>
      <c r="IT44" s="79"/>
      <c r="IU44" s="79"/>
      <c r="IV44" s="79"/>
      <c r="IW44" s="79"/>
    </row>
    <row r="45" spans="2:257" s="15" customFormat="1" ht="14.4">
      <c r="B45" s="30">
        <f t="shared" si="254"/>
        <v>2.1099999999999977</v>
      </c>
      <c r="C45" s="38" t="s">
        <v>23</v>
      </c>
      <c r="D45" s="34"/>
      <c r="E45" s="34"/>
      <c r="F45" s="34"/>
      <c r="G45" s="34"/>
      <c r="H45" s="34"/>
      <c r="I45" s="34"/>
      <c r="J45" s="34"/>
      <c r="K45" s="34"/>
      <c r="L45" s="35"/>
      <c r="M45" s="34"/>
      <c r="N45" s="34"/>
      <c r="O45" s="34"/>
      <c r="P45" s="34"/>
      <c r="Q45" s="34"/>
      <c r="R45" s="36"/>
      <c r="S45" s="34"/>
      <c r="T45" s="34"/>
      <c r="U45" s="34"/>
      <c r="V45" s="34"/>
      <c r="W45" s="34"/>
      <c r="X45" s="36"/>
      <c r="Y45" s="34"/>
      <c r="Z45" s="34"/>
      <c r="AA45" s="34"/>
      <c r="AB45" s="34"/>
      <c r="AC45" s="34"/>
      <c r="AD45" s="36"/>
      <c r="AE45" s="36"/>
      <c r="AF45" s="34"/>
      <c r="AG45" s="36"/>
      <c r="AH45" s="34"/>
      <c r="AI45" s="34"/>
      <c r="AJ45" s="36"/>
      <c r="AK45" s="34"/>
      <c r="AL45" s="34"/>
      <c r="AM45" s="34"/>
      <c r="AN45" s="34"/>
      <c r="AO45" s="34"/>
      <c r="AP45" s="34"/>
      <c r="AQ45" s="36"/>
      <c r="AR45" s="41" t="s">
        <v>183</v>
      </c>
      <c r="AS45" s="41" t="s">
        <v>184</v>
      </c>
      <c r="AT45" s="41" t="s">
        <v>185</v>
      </c>
      <c r="AU45" s="41" t="s">
        <v>186</v>
      </c>
      <c r="AV45" s="34"/>
      <c r="AW45" s="36"/>
      <c r="AX45" s="34"/>
      <c r="AY45" s="34"/>
      <c r="AZ45" s="34"/>
      <c r="BA45" s="34"/>
      <c r="BB45" s="36"/>
      <c r="BC45" s="34"/>
      <c r="BD45" s="34"/>
      <c r="BE45" s="34"/>
      <c r="BF45" s="34"/>
      <c r="BG45" s="34"/>
      <c r="BH45" s="36"/>
      <c r="BI45" s="34"/>
      <c r="BJ45" s="34"/>
      <c r="BK45" s="34"/>
      <c r="BL45" s="34"/>
      <c r="BM45" s="34"/>
      <c r="BN45" s="36"/>
      <c r="BO45" s="34"/>
      <c r="BP45" s="34"/>
      <c r="BQ45" s="34"/>
      <c r="BR45" s="34"/>
      <c r="BS45" s="34"/>
      <c r="BT45" s="36"/>
      <c r="BU45" s="35"/>
      <c r="BV45" s="34"/>
      <c r="BW45" s="34"/>
      <c r="BX45" s="35"/>
      <c r="BY45" s="34"/>
      <c r="BZ45" s="34"/>
      <c r="CA45" s="34"/>
      <c r="CB45" s="34"/>
      <c r="CC45" s="35"/>
      <c r="CD45" s="35"/>
      <c r="CE45" s="34"/>
      <c r="CF45" s="35"/>
      <c r="CG45" s="34"/>
      <c r="CH45" s="34"/>
      <c r="CI45" s="34"/>
      <c r="CJ45" s="34"/>
      <c r="CK45" s="34"/>
      <c r="CL45" s="34"/>
      <c r="CM45" s="34"/>
      <c r="CN45" s="34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35"/>
      <c r="FK45" s="35"/>
      <c r="FL45" s="35"/>
      <c r="FM45" s="35"/>
      <c r="FN45" s="35"/>
      <c r="FO45" s="35"/>
      <c r="FP45" s="35"/>
      <c r="FQ45" s="35"/>
      <c r="FR45" s="35"/>
      <c r="FS45" s="35"/>
      <c r="FT45" s="35"/>
      <c r="FU45" s="35"/>
      <c r="FV45" s="35"/>
      <c r="FW45" s="35"/>
      <c r="FX45" s="79"/>
      <c r="FY45" s="79"/>
      <c r="FZ45" s="79"/>
      <c r="GA45" s="79"/>
      <c r="GB45" s="79"/>
      <c r="GC45" s="79"/>
      <c r="GD45" s="79"/>
      <c r="GE45" s="79"/>
      <c r="GF45" s="79"/>
      <c r="GG45" s="79"/>
      <c r="GH45" s="79"/>
      <c r="GI45" s="79"/>
      <c r="GJ45" s="79"/>
      <c r="GK45" s="79"/>
      <c r="GL45" s="79"/>
      <c r="GM45" s="79"/>
      <c r="GN45" s="79"/>
      <c r="GO45" s="79"/>
      <c r="GP45" s="79"/>
      <c r="GQ45" s="79"/>
      <c r="GR45" s="79"/>
      <c r="GS45" s="79"/>
      <c r="GT45" s="79"/>
      <c r="GU45" s="79"/>
      <c r="GV45" s="79"/>
      <c r="GW45" s="79"/>
      <c r="GX45" s="79"/>
      <c r="GY45" s="79"/>
      <c r="GZ45" s="79"/>
      <c r="HA45" s="79"/>
      <c r="HB45" s="79"/>
      <c r="HC45" s="79"/>
      <c r="HD45" s="79"/>
      <c r="HE45" s="79"/>
      <c r="HF45" s="79"/>
      <c r="HG45" s="79"/>
      <c r="HH45" s="79"/>
      <c r="HI45" s="79"/>
      <c r="HJ45" s="79"/>
      <c r="HK45" s="79"/>
      <c r="HL45" s="79"/>
      <c r="HM45" s="79"/>
      <c r="HN45" s="79"/>
      <c r="HO45" s="79"/>
      <c r="HP45" s="79"/>
      <c r="HQ45" s="79"/>
      <c r="HR45" s="79"/>
      <c r="HS45" s="79"/>
      <c r="HT45" s="79"/>
      <c r="HU45" s="79"/>
      <c r="HV45" s="79"/>
      <c r="HW45" s="79"/>
      <c r="HX45" s="79"/>
      <c r="HY45" s="79"/>
      <c r="HZ45" s="79"/>
      <c r="IA45" s="79"/>
      <c r="IB45" s="79"/>
      <c r="IC45" s="79"/>
      <c r="ID45" s="79"/>
      <c r="IE45" s="79"/>
      <c r="IF45" s="79"/>
      <c r="IG45" s="79"/>
      <c r="IH45" s="79"/>
      <c r="II45" s="79"/>
      <c r="IJ45" s="79"/>
      <c r="IK45" s="79"/>
      <c r="IL45" s="79"/>
      <c r="IM45" s="79"/>
      <c r="IN45" s="79"/>
      <c r="IO45" s="79"/>
      <c r="IP45" s="79"/>
      <c r="IQ45" s="79"/>
      <c r="IR45" s="79"/>
      <c r="IS45" s="79"/>
      <c r="IT45" s="79"/>
      <c r="IU45" s="79"/>
      <c r="IV45" s="79"/>
      <c r="IW45" s="79"/>
    </row>
    <row r="46" spans="2:257" s="15" customFormat="1" ht="14.4">
      <c r="B46" s="30">
        <f t="shared" si="254"/>
        <v>2.1199999999999974</v>
      </c>
      <c r="C46" s="38" t="s">
        <v>24</v>
      </c>
      <c r="D46" s="34"/>
      <c r="E46" s="34"/>
      <c r="F46" s="34"/>
      <c r="G46" s="34"/>
      <c r="H46" s="34"/>
      <c r="I46" s="34"/>
      <c r="J46" s="34"/>
      <c r="K46" s="34"/>
      <c r="L46" s="35"/>
      <c r="M46" s="34"/>
      <c r="N46" s="34"/>
      <c r="O46" s="34"/>
      <c r="P46" s="34"/>
      <c r="Q46" s="34"/>
      <c r="R46" s="36"/>
      <c r="S46" s="34"/>
      <c r="T46" s="34"/>
      <c r="U46" s="34"/>
      <c r="V46" s="34"/>
      <c r="W46" s="34"/>
      <c r="X46" s="36"/>
      <c r="Y46" s="34"/>
      <c r="Z46" s="34"/>
      <c r="AA46" s="34"/>
      <c r="AB46" s="34"/>
      <c r="AC46" s="34"/>
      <c r="AD46" s="36"/>
      <c r="AE46" s="36"/>
      <c r="AF46" s="34"/>
      <c r="AG46" s="36"/>
      <c r="AH46" s="34"/>
      <c r="AI46" s="34"/>
      <c r="AJ46" s="36"/>
      <c r="AK46" s="34"/>
      <c r="AL46" s="34"/>
      <c r="AM46" s="34"/>
      <c r="AN46" s="34"/>
      <c r="AO46" s="34"/>
      <c r="AP46" s="34"/>
      <c r="AQ46" s="36"/>
      <c r="AR46" s="34"/>
      <c r="AS46" s="41" t="s">
        <v>183</v>
      </c>
      <c r="AT46" s="41" t="s">
        <v>184</v>
      </c>
      <c r="AU46" s="41" t="s">
        <v>185</v>
      </c>
      <c r="AV46" s="41" t="s">
        <v>186</v>
      </c>
      <c r="AW46" s="36"/>
      <c r="AX46" s="34"/>
      <c r="AY46" s="34"/>
      <c r="AZ46" s="34"/>
      <c r="BA46" s="34"/>
      <c r="BB46" s="36"/>
      <c r="BC46" s="34"/>
      <c r="BD46" s="34"/>
      <c r="BE46" s="34"/>
      <c r="BF46" s="34"/>
      <c r="BG46" s="34"/>
      <c r="BH46" s="36"/>
      <c r="BI46" s="34"/>
      <c r="BJ46" s="34"/>
      <c r="BK46" s="34"/>
      <c r="BL46" s="34"/>
      <c r="BM46" s="34"/>
      <c r="BN46" s="36"/>
      <c r="BO46" s="34"/>
      <c r="BP46" s="34"/>
      <c r="BQ46" s="34"/>
      <c r="BR46" s="34"/>
      <c r="BS46" s="34"/>
      <c r="BT46" s="36"/>
      <c r="BU46" s="35"/>
      <c r="BV46" s="34"/>
      <c r="BW46" s="34"/>
      <c r="BX46" s="35"/>
      <c r="BY46" s="34"/>
      <c r="BZ46" s="34"/>
      <c r="CA46" s="34"/>
      <c r="CB46" s="34"/>
      <c r="CC46" s="35"/>
      <c r="CD46" s="35"/>
      <c r="CE46" s="34"/>
      <c r="CF46" s="35"/>
      <c r="CG46" s="34"/>
      <c r="CH46" s="34"/>
      <c r="CI46" s="34"/>
      <c r="CJ46" s="34"/>
      <c r="CK46" s="34"/>
      <c r="CL46" s="34"/>
      <c r="CM46" s="34"/>
      <c r="CN46" s="34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N46" s="35"/>
      <c r="FO46" s="35"/>
      <c r="FP46" s="35"/>
      <c r="FQ46" s="35"/>
      <c r="FR46" s="35"/>
      <c r="FS46" s="35"/>
      <c r="FT46" s="35"/>
      <c r="FU46" s="35"/>
      <c r="FV46" s="35"/>
      <c r="FW46" s="35"/>
      <c r="FX46" s="79"/>
      <c r="FY46" s="79"/>
      <c r="FZ46" s="79"/>
      <c r="GA46" s="79"/>
      <c r="GB46" s="79"/>
      <c r="GC46" s="79"/>
      <c r="GD46" s="79"/>
      <c r="GE46" s="79"/>
      <c r="GF46" s="79"/>
      <c r="GG46" s="79"/>
      <c r="GH46" s="79"/>
      <c r="GI46" s="79"/>
      <c r="GJ46" s="79"/>
      <c r="GK46" s="79"/>
      <c r="GL46" s="79"/>
      <c r="GM46" s="79"/>
      <c r="GN46" s="79"/>
      <c r="GO46" s="79"/>
      <c r="GP46" s="79"/>
      <c r="GQ46" s="79"/>
      <c r="GR46" s="79"/>
      <c r="GS46" s="79"/>
      <c r="GT46" s="79"/>
      <c r="GU46" s="79"/>
      <c r="GV46" s="79"/>
      <c r="GW46" s="79"/>
      <c r="GX46" s="79"/>
      <c r="GY46" s="79"/>
      <c r="GZ46" s="79"/>
      <c r="HA46" s="79"/>
      <c r="HB46" s="79"/>
      <c r="HC46" s="79"/>
      <c r="HD46" s="79"/>
      <c r="HE46" s="79"/>
      <c r="HF46" s="79"/>
      <c r="HG46" s="79"/>
      <c r="HH46" s="79"/>
      <c r="HI46" s="79"/>
      <c r="HJ46" s="79"/>
      <c r="HK46" s="79"/>
      <c r="HL46" s="79"/>
      <c r="HM46" s="79"/>
      <c r="HN46" s="79"/>
      <c r="HO46" s="79"/>
      <c r="HP46" s="79"/>
      <c r="HQ46" s="79"/>
      <c r="HR46" s="79"/>
      <c r="HS46" s="79"/>
      <c r="HT46" s="79"/>
      <c r="HU46" s="79"/>
      <c r="HV46" s="79"/>
      <c r="HW46" s="79"/>
      <c r="HX46" s="79"/>
      <c r="HY46" s="79"/>
      <c r="HZ46" s="79"/>
      <c r="IA46" s="79"/>
      <c r="IB46" s="79"/>
      <c r="IC46" s="79"/>
      <c r="ID46" s="79"/>
      <c r="IE46" s="79"/>
      <c r="IF46" s="79"/>
      <c r="IG46" s="79"/>
      <c r="IH46" s="79"/>
      <c r="II46" s="79"/>
      <c r="IJ46" s="79"/>
      <c r="IK46" s="79"/>
      <c r="IL46" s="79"/>
      <c r="IM46" s="79"/>
      <c r="IN46" s="79"/>
      <c r="IO46" s="79"/>
      <c r="IP46" s="79"/>
      <c r="IQ46" s="79"/>
      <c r="IR46" s="79"/>
      <c r="IS46" s="79"/>
      <c r="IT46" s="79"/>
      <c r="IU46" s="79"/>
      <c r="IV46" s="79"/>
      <c r="IW46" s="79"/>
    </row>
    <row r="47" spans="2:257" s="14" customFormat="1" ht="14.4">
      <c r="B47" s="30">
        <f t="shared" si="254"/>
        <v>2.1299999999999972</v>
      </c>
      <c r="C47" s="39" t="s">
        <v>25</v>
      </c>
      <c r="D47" s="34"/>
      <c r="E47" s="34"/>
      <c r="F47" s="34"/>
      <c r="G47" s="34"/>
      <c r="H47" s="34"/>
      <c r="I47" s="34"/>
      <c r="J47" s="34"/>
      <c r="K47" s="34"/>
      <c r="L47" s="35"/>
      <c r="M47" s="34"/>
      <c r="N47" s="34"/>
      <c r="O47" s="34"/>
      <c r="P47" s="34"/>
      <c r="Q47" s="34"/>
      <c r="R47" s="36"/>
      <c r="S47" s="34"/>
      <c r="T47" s="34"/>
      <c r="U47" s="34"/>
      <c r="V47" s="34"/>
      <c r="W47" s="34"/>
      <c r="X47" s="36"/>
      <c r="Y47" s="34"/>
      <c r="Z47" s="34"/>
      <c r="AA47" s="34"/>
      <c r="AB47" s="34"/>
      <c r="AC47" s="34"/>
      <c r="AD47" s="36"/>
      <c r="AE47" s="36"/>
      <c r="AF47" s="34"/>
      <c r="AG47" s="36"/>
      <c r="AH47" s="34"/>
      <c r="AI47" s="34"/>
      <c r="AJ47" s="36"/>
      <c r="AK47" s="34"/>
      <c r="AL47" s="34"/>
      <c r="AM47" s="34"/>
      <c r="AN47" s="34"/>
      <c r="AO47" s="34"/>
      <c r="AP47" s="34"/>
      <c r="AQ47" s="36"/>
      <c r="AR47" s="34"/>
      <c r="AS47" s="34"/>
      <c r="AT47" s="41" t="s">
        <v>183</v>
      </c>
      <c r="AU47" s="41" t="s">
        <v>184</v>
      </c>
      <c r="AV47" s="41" t="s">
        <v>185</v>
      </c>
      <c r="AW47" s="41" t="s">
        <v>186</v>
      </c>
      <c r="AX47" s="34"/>
      <c r="AY47" s="34"/>
      <c r="AZ47" s="34"/>
      <c r="BA47" s="34"/>
      <c r="BB47" s="36"/>
      <c r="BC47" s="34"/>
      <c r="BD47" s="34"/>
      <c r="BE47" s="34"/>
      <c r="BF47" s="34"/>
      <c r="BG47" s="34"/>
      <c r="BH47" s="36"/>
      <c r="BI47" s="34"/>
      <c r="BJ47" s="34"/>
      <c r="BK47" s="34"/>
      <c r="BL47" s="34"/>
      <c r="BM47" s="34"/>
      <c r="BN47" s="36"/>
      <c r="BO47" s="34"/>
      <c r="BP47" s="34"/>
      <c r="BQ47" s="34"/>
      <c r="BR47" s="34"/>
      <c r="BS47" s="34"/>
      <c r="BT47" s="36"/>
      <c r="BU47" s="35"/>
      <c r="BV47" s="34"/>
      <c r="BW47" s="34"/>
      <c r="BX47" s="35"/>
      <c r="BY47" s="34"/>
      <c r="BZ47" s="34"/>
      <c r="CA47" s="34"/>
      <c r="CB47" s="34"/>
      <c r="CC47" s="35"/>
      <c r="CD47" s="35"/>
      <c r="CE47" s="34"/>
      <c r="CF47" s="35"/>
      <c r="CG47" s="34"/>
      <c r="CH47" s="34"/>
      <c r="CI47" s="34"/>
      <c r="CJ47" s="34"/>
      <c r="CK47" s="34"/>
      <c r="CL47" s="34"/>
      <c r="CM47" s="34"/>
      <c r="CN47" s="34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  <c r="EF47" s="35"/>
      <c r="EG47" s="35"/>
      <c r="EH47" s="35"/>
      <c r="EI47" s="35"/>
      <c r="EJ47" s="35"/>
      <c r="EK47" s="35"/>
      <c r="EL47" s="35"/>
      <c r="EM47" s="35"/>
      <c r="EN47" s="35"/>
      <c r="EO47" s="35"/>
      <c r="EP47" s="35"/>
      <c r="EQ47" s="35"/>
      <c r="ER47" s="35"/>
      <c r="ES47" s="35"/>
      <c r="ET47" s="35"/>
      <c r="EU47" s="35"/>
      <c r="EV47" s="35"/>
      <c r="EW47" s="35"/>
      <c r="EX47" s="35"/>
      <c r="EY47" s="35"/>
      <c r="EZ47" s="35"/>
      <c r="FA47" s="35"/>
      <c r="FB47" s="35"/>
      <c r="FC47" s="35"/>
      <c r="FD47" s="35"/>
      <c r="FE47" s="35"/>
      <c r="FF47" s="35"/>
      <c r="FG47" s="35"/>
      <c r="FH47" s="35"/>
      <c r="FI47" s="35"/>
      <c r="FJ47" s="35"/>
      <c r="FK47" s="35"/>
      <c r="FL47" s="35"/>
      <c r="FM47" s="35"/>
      <c r="FN47" s="35"/>
      <c r="FO47" s="35"/>
      <c r="FP47" s="35"/>
      <c r="FQ47" s="35"/>
      <c r="FR47" s="35"/>
      <c r="FS47" s="35"/>
      <c r="FT47" s="35"/>
      <c r="FU47" s="35"/>
      <c r="FV47" s="35"/>
      <c r="FW47" s="35"/>
      <c r="FX47" s="87"/>
      <c r="FY47" s="87"/>
      <c r="FZ47" s="87"/>
      <c r="GA47" s="87"/>
      <c r="GB47" s="87"/>
      <c r="GC47" s="87"/>
      <c r="GD47" s="87"/>
      <c r="GE47" s="87"/>
      <c r="GF47" s="87"/>
      <c r="GG47" s="87"/>
      <c r="GH47" s="87"/>
      <c r="GI47" s="87"/>
      <c r="GJ47" s="87"/>
      <c r="GK47" s="87"/>
      <c r="GL47" s="87"/>
      <c r="GM47" s="87"/>
      <c r="GN47" s="87"/>
      <c r="GO47" s="87"/>
      <c r="GP47" s="87"/>
      <c r="GQ47" s="87"/>
      <c r="GR47" s="87"/>
      <c r="GS47" s="87"/>
      <c r="GT47" s="87"/>
      <c r="GU47" s="87"/>
      <c r="GV47" s="87"/>
      <c r="GW47" s="87"/>
      <c r="GX47" s="87"/>
      <c r="GY47" s="87"/>
      <c r="GZ47" s="87"/>
      <c r="HA47" s="87"/>
      <c r="HB47" s="87"/>
      <c r="HC47" s="87"/>
      <c r="HD47" s="87"/>
      <c r="HE47" s="87"/>
      <c r="HF47" s="87"/>
      <c r="HG47" s="87"/>
      <c r="HH47" s="87"/>
      <c r="HI47" s="87"/>
      <c r="HJ47" s="87"/>
      <c r="HK47" s="87"/>
      <c r="HL47" s="87"/>
      <c r="HM47" s="87"/>
      <c r="HN47" s="87"/>
      <c r="HO47" s="87"/>
      <c r="HP47" s="87"/>
      <c r="HQ47" s="87"/>
      <c r="HR47" s="87"/>
      <c r="HS47" s="87"/>
      <c r="HT47" s="87"/>
      <c r="HU47" s="87"/>
      <c r="HV47" s="87"/>
      <c r="HW47" s="87"/>
      <c r="HX47" s="87"/>
      <c r="HY47" s="87"/>
      <c r="HZ47" s="87"/>
      <c r="IA47" s="87"/>
      <c r="IB47" s="87"/>
      <c r="IC47" s="87"/>
      <c r="ID47" s="87"/>
      <c r="IE47" s="87"/>
      <c r="IF47" s="87"/>
      <c r="IG47" s="87"/>
      <c r="IH47" s="87"/>
      <c r="II47" s="87"/>
      <c r="IJ47" s="87"/>
      <c r="IK47" s="87"/>
      <c r="IL47" s="87"/>
      <c r="IM47" s="87"/>
      <c r="IN47" s="87"/>
      <c r="IO47" s="87"/>
      <c r="IP47" s="87"/>
      <c r="IQ47" s="87"/>
      <c r="IR47" s="87"/>
      <c r="IS47" s="87"/>
      <c r="IT47" s="87"/>
      <c r="IU47" s="87"/>
      <c r="IV47" s="87"/>
      <c r="IW47" s="87"/>
    </row>
    <row r="48" spans="2:257" s="15" customFormat="1" ht="14.4">
      <c r="B48" s="30">
        <f t="shared" si="254"/>
        <v>2.139999999999997</v>
      </c>
      <c r="C48" s="39" t="s">
        <v>26</v>
      </c>
      <c r="D48" s="34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6"/>
      <c r="S48" s="35"/>
      <c r="T48" s="35"/>
      <c r="U48" s="35"/>
      <c r="V48" s="35"/>
      <c r="W48" s="35"/>
      <c r="X48" s="36"/>
      <c r="Y48" s="35"/>
      <c r="Z48" s="35"/>
      <c r="AA48" s="35"/>
      <c r="AB48" s="35"/>
      <c r="AC48" s="35"/>
      <c r="AD48" s="36"/>
      <c r="AE48" s="36"/>
      <c r="AF48" s="35"/>
      <c r="AG48" s="36"/>
      <c r="AH48" s="35"/>
      <c r="AI48" s="35"/>
      <c r="AJ48" s="36"/>
      <c r="AK48" s="35"/>
      <c r="AL48" s="35"/>
      <c r="AM48" s="35"/>
      <c r="AN48" s="35"/>
      <c r="AO48" s="35"/>
      <c r="AP48" s="35"/>
      <c r="AQ48" s="36"/>
      <c r="AR48" s="35"/>
      <c r="AS48" s="35"/>
      <c r="AT48" s="35"/>
      <c r="AU48" s="41" t="s">
        <v>183</v>
      </c>
      <c r="AV48" s="41" t="s">
        <v>184</v>
      </c>
      <c r="AW48" s="41" t="s">
        <v>185</v>
      </c>
      <c r="AX48" s="41" t="s">
        <v>186</v>
      </c>
      <c r="AY48" s="35"/>
      <c r="AZ48" s="35"/>
      <c r="BA48" s="35"/>
      <c r="BB48" s="36"/>
      <c r="BC48" s="35"/>
      <c r="BD48" s="35"/>
      <c r="BE48" s="35"/>
      <c r="BF48" s="35"/>
      <c r="BG48" s="35"/>
      <c r="BH48" s="36"/>
      <c r="BI48" s="35"/>
      <c r="BJ48" s="35"/>
      <c r="BK48" s="35"/>
      <c r="BL48" s="35"/>
      <c r="BM48" s="35"/>
      <c r="BN48" s="36"/>
      <c r="BO48" s="35"/>
      <c r="BP48" s="35"/>
      <c r="BQ48" s="35"/>
      <c r="BR48" s="35"/>
      <c r="BS48" s="35"/>
      <c r="BT48" s="36"/>
      <c r="BU48" s="35"/>
      <c r="BV48" s="35"/>
      <c r="BW48" s="35"/>
      <c r="BX48" s="35"/>
      <c r="BY48" s="34"/>
      <c r="BZ48" s="34"/>
      <c r="CA48" s="34"/>
      <c r="CB48" s="34"/>
      <c r="CC48" s="35"/>
      <c r="CD48" s="35"/>
      <c r="CE48" s="34"/>
      <c r="CF48" s="35"/>
      <c r="CG48" s="34"/>
      <c r="CH48" s="34"/>
      <c r="CI48" s="34"/>
      <c r="CJ48" s="34"/>
      <c r="CK48" s="34"/>
      <c r="CL48" s="34"/>
      <c r="CM48" s="34"/>
      <c r="CN48" s="34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  <c r="DL48" s="35"/>
      <c r="DM48" s="35"/>
      <c r="DN48" s="35"/>
      <c r="DO48" s="35"/>
      <c r="DP48" s="35"/>
      <c r="DQ48" s="35"/>
      <c r="DR48" s="35"/>
      <c r="DS48" s="35"/>
      <c r="DT48" s="35"/>
      <c r="DU48" s="35"/>
      <c r="DV48" s="35"/>
      <c r="DW48" s="35"/>
      <c r="DX48" s="35"/>
      <c r="DY48" s="35"/>
      <c r="DZ48" s="35"/>
      <c r="EA48" s="35"/>
      <c r="EB48" s="35"/>
      <c r="EC48" s="35"/>
      <c r="ED48" s="35"/>
      <c r="EE48" s="35"/>
      <c r="EF48" s="35"/>
      <c r="EG48" s="35"/>
      <c r="EH48" s="35"/>
      <c r="EI48" s="35"/>
      <c r="EJ48" s="35"/>
      <c r="EK48" s="35"/>
      <c r="EL48" s="35"/>
      <c r="EM48" s="35"/>
      <c r="EN48" s="35"/>
      <c r="EO48" s="35"/>
      <c r="EP48" s="35"/>
      <c r="EQ48" s="35"/>
      <c r="ER48" s="35"/>
      <c r="ES48" s="35"/>
      <c r="ET48" s="35"/>
      <c r="EU48" s="35"/>
      <c r="EV48" s="35"/>
      <c r="EW48" s="35"/>
      <c r="EX48" s="35"/>
      <c r="EY48" s="35"/>
      <c r="EZ48" s="35"/>
      <c r="FA48" s="35"/>
      <c r="FB48" s="35"/>
      <c r="FC48" s="35"/>
      <c r="FD48" s="35"/>
      <c r="FE48" s="35"/>
      <c r="FF48" s="35"/>
      <c r="FG48" s="35"/>
      <c r="FH48" s="35"/>
      <c r="FI48" s="35"/>
      <c r="FJ48" s="35"/>
      <c r="FK48" s="35"/>
      <c r="FL48" s="35"/>
      <c r="FM48" s="35"/>
      <c r="FN48" s="35"/>
      <c r="FO48" s="35"/>
      <c r="FP48" s="35"/>
      <c r="FQ48" s="35"/>
      <c r="FR48" s="35"/>
      <c r="FS48" s="35"/>
      <c r="FT48" s="35"/>
      <c r="FU48" s="35"/>
      <c r="FV48" s="35"/>
      <c r="FW48" s="35"/>
      <c r="FX48" s="79"/>
      <c r="FY48" s="79"/>
      <c r="FZ48" s="79"/>
      <c r="GA48" s="79"/>
      <c r="GB48" s="79"/>
      <c r="GC48" s="79"/>
      <c r="GD48" s="79"/>
      <c r="GE48" s="79"/>
      <c r="GF48" s="79"/>
      <c r="GG48" s="79"/>
      <c r="GH48" s="79"/>
      <c r="GI48" s="79"/>
      <c r="GJ48" s="79"/>
      <c r="GK48" s="79"/>
      <c r="GL48" s="79"/>
      <c r="GM48" s="79"/>
      <c r="GN48" s="79"/>
      <c r="GO48" s="79"/>
      <c r="GP48" s="79"/>
      <c r="GQ48" s="79"/>
      <c r="GR48" s="79"/>
      <c r="GS48" s="79"/>
      <c r="GT48" s="79"/>
      <c r="GU48" s="79"/>
      <c r="GV48" s="79"/>
      <c r="GW48" s="79"/>
      <c r="GX48" s="79"/>
      <c r="GY48" s="79"/>
      <c r="GZ48" s="79"/>
      <c r="HA48" s="79"/>
      <c r="HB48" s="79"/>
      <c r="HC48" s="79"/>
      <c r="HD48" s="79"/>
      <c r="HE48" s="79"/>
      <c r="HF48" s="79"/>
      <c r="HG48" s="79"/>
      <c r="HH48" s="79"/>
      <c r="HI48" s="79"/>
      <c r="HJ48" s="79"/>
      <c r="HK48" s="79"/>
      <c r="HL48" s="79"/>
      <c r="HM48" s="79"/>
      <c r="HN48" s="79"/>
      <c r="HO48" s="79"/>
      <c r="HP48" s="79"/>
      <c r="HQ48" s="79"/>
      <c r="HR48" s="79"/>
      <c r="HS48" s="79"/>
      <c r="HT48" s="79"/>
      <c r="HU48" s="79"/>
      <c r="HV48" s="79"/>
      <c r="HW48" s="79"/>
      <c r="HX48" s="79"/>
      <c r="HY48" s="79"/>
      <c r="HZ48" s="79"/>
      <c r="IA48" s="79"/>
      <c r="IB48" s="79"/>
      <c r="IC48" s="79"/>
      <c r="ID48" s="79"/>
      <c r="IE48" s="79"/>
      <c r="IF48" s="79"/>
      <c r="IG48" s="79"/>
      <c r="IH48" s="79"/>
      <c r="II48" s="79"/>
      <c r="IJ48" s="79"/>
      <c r="IK48" s="79"/>
      <c r="IL48" s="79"/>
      <c r="IM48" s="79"/>
      <c r="IN48" s="79"/>
      <c r="IO48" s="79"/>
      <c r="IP48" s="79"/>
      <c r="IQ48" s="79"/>
      <c r="IR48" s="79"/>
      <c r="IS48" s="79"/>
      <c r="IT48" s="79"/>
      <c r="IU48" s="79"/>
      <c r="IV48" s="79"/>
      <c r="IW48" s="79"/>
    </row>
    <row r="49" spans="2:257" s="15" customFormat="1" ht="15" thickBot="1">
      <c r="B49" s="30">
        <f t="shared" si="254"/>
        <v>2.1499999999999968</v>
      </c>
      <c r="C49" s="39" t="s">
        <v>27</v>
      </c>
      <c r="D49" s="34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6"/>
      <c r="S49" s="35"/>
      <c r="T49" s="35"/>
      <c r="U49" s="35"/>
      <c r="V49" s="35"/>
      <c r="W49" s="35"/>
      <c r="X49" s="36"/>
      <c r="Y49" s="35"/>
      <c r="Z49" s="35"/>
      <c r="AA49" s="35"/>
      <c r="AB49" s="35"/>
      <c r="AC49" s="35"/>
      <c r="AD49" s="36"/>
      <c r="AE49" s="36"/>
      <c r="AF49" s="35"/>
      <c r="AG49" s="36"/>
      <c r="AH49" s="35"/>
      <c r="AI49" s="35"/>
      <c r="AJ49" s="36"/>
      <c r="AK49" s="35"/>
      <c r="AL49" s="35"/>
      <c r="AM49" s="35"/>
      <c r="AN49" s="35"/>
      <c r="AO49" s="35"/>
      <c r="AP49" s="35"/>
      <c r="AQ49" s="36"/>
      <c r="AR49" s="35"/>
      <c r="AS49" s="35"/>
      <c r="AT49" s="35"/>
      <c r="AU49" s="35"/>
      <c r="AV49" s="41" t="s">
        <v>183</v>
      </c>
      <c r="AW49" s="41" t="s">
        <v>184</v>
      </c>
      <c r="AX49" s="41" t="s">
        <v>185</v>
      </c>
      <c r="AY49" s="41" t="s">
        <v>186</v>
      </c>
      <c r="AZ49" s="41" t="s">
        <v>186</v>
      </c>
      <c r="BA49" s="35"/>
      <c r="BB49" s="36"/>
      <c r="BC49" s="35"/>
      <c r="BD49" s="35"/>
      <c r="BE49" s="35"/>
      <c r="BF49" s="35"/>
      <c r="BG49" s="35"/>
      <c r="BH49" s="36"/>
      <c r="BI49" s="35"/>
      <c r="BJ49" s="35"/>
      <c r="BK49" s="35"/>
      <c r="BL49" s="35"/>
      <c r="BM49" s="35"/>
      <c r="BN49" s="36"/>
      <c r="BO49" s="35"/>
      <c r="BP49" s="35"/>
      <c r="BQ49" s="35"/>
      <c r="BR49" s="35"/>
      <c r="BS49" s="35"/>
      <c r="BT49" s="36"/>
      <c r="BU49" s="35"/>
      <c r="BV49" s="35"/>
      <c r="BW49" s="35"/>
      <c r="BX49" s="35"/>
      <c r="BY49" s="34"/>
      <c r="BZ49" s="34"/>
      <c r="CA49" s="34"/>
      <c r="CB49" s="34"/>
      <c r="CC49" s="35"/>
      <c r="CD49" s="35"/>
      <c r="CE49" s="34"/>
      <c r="CF49" s="35"/>
      <c r="CG49" s="34"/>
      <c r="CH49" s="34"/>
      <c r="CI49" s="34"/>
      <c r="CJ49" s="34"/>
      <c r="CK49" s="34"/>
      <c r="CL49" s="34"/>
      <c r="CM49" s="34"/>
      <c r="CN49" s="34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35"/>
      <c r="DP49" s="35"/>
      <c r="DQ49" s="35"/>
      <c r="DR49" s="35"/>
      <c r="DS49" s="35"/>
      <c r="DT49" s="35"/>
      <c r="DU49" s="35"/>
      <c r="DV49" s="35"/>
      <c r="DW49" s="35"/>
      <c r="DX49" s="35"/>
      <c r="DY49" s="35"/>
      <c r="DZ49" s="35"/>
      <c r="EA49" s="35"/>
      <c r="EB49" s="35"/>
      <c r="EC49" s="35"/>
      <c r="ED49" s="35"/>
      <c r="EE49" s="35"/>
      <c r="EF49" s="35"/>
      <c r="EG49" s="35"/>
      <c r="EH49" s="35"/>
      <c r="EI49" s="35"/>
      <c r="EJ49" s="35"/>
      <c r="EK49" s="35"/>
      <c r="EL49" s="35"/>
      <c r="EM49" s="35"/>
      <c r="EN49" s="35"/>
      <c r="EO49" s="35"/>
      <c r="EP49" s="35"/>
      <c r="EQ49" s="35"/>
      <c r="ER49" s="35"/>
      <c r="ES49" s="35"/>
      <c r="ET49" s="35"/>
      <c r="EU49" s="35"/>
      <c r="EV49" s="35"/>
      <c r="EW49" s="35"/>
      <c r="EX49" s="35"/>
      <c r="EY49" s="35"/>
      <c r="EZ49" s="35"/>
      <c r="FA49" s="35"/>
      <c r="FB49" s="35"/>
      <c r="FC49" s="35"/>
      <c r="FD49" s="35"/>
      <c r="FE49" s="35"/>
      <c r="FF49" s="35"/>
      <c r="FG49" s="35"/>
      <c r="FH49" s="35"/>
      <c r="FI49" s="35"/>
      <c r="FJ49" s="35"/>
      <c r="FK49" s="35"/>
      <c r="FL49" s="35"/>
      <c r="FM49" s="35"/>
      <c r="FN49" s="35"/>
      <c r="FO49" s="35"/>
      <c r="FP49" s="35"/>
      <c r="FQ49" s="35"/>
      <c r="FR49" s="35"/>
      <c r="FS49" s="35"/>
      <c r="FT49" s="35"/>
      <c r="FU49" s="35"/>
      <c r="FV49" s="35"/>
      <c r="FW49" s="35"/>
      <c r="FX49" s="79"/>
      <c r="FY49" s="79"/>
      <c r="FZ49" s="79"/>
      <c r="GA49" s="79"/>
      <c r="GB49" s="79"/>
      <c r="GC49" s="79"/>
      <c r="GD49" s="79"/>
      <c r="GE49" s="79"/>
      <c r="GF49" s="79"/>
      <c r="GG49" s="79"/>
      <c r="GH49" s="79"/>
      <c r="GI49" s="79"/>
      <c r="GJ49" s="79"/>
      <c r="GK49" s="79"/>
      <c r="GL49" s="79"/>
      <c r="GM49" s="79"/>
      <c r="GN49" s="79"/>
      <c r="GO49" s="79"/>
      <c r="GP49" s="79"/>
      <c r="GQ49" s="79"/>
      <c r="GR49" s="79"/>
      <c r="GS49" s="79"/>
      <c r="GT49" s="79"/>
      <c r="GU49" s="79"/>
      <c r="GV49" s="79"/>
      <c r="GW49" s="79"/>
      <c r="GX49" s="79"/>
      <c r="GY49" s="79"/>
      <c r="GZ49" s="79"/>
      <c r="HA49" s="79"/>
      <c r="HB49" s="79"/>
      <c r="HC49" s="79"/>
      <c r="HD49" s="79"/>
      <c r="HE49" s="79"/>
      <c r="HF49" s="79"/>
      <c r="HG49" s="79"/>
      <c r="HH49" s="79"/>
      <c r="HI49" s="79"/>
      <c r="HJ49" s="79"/>
      <c r="HK49" s="79"/>
      <c r="HL49" s="79"/>
      <c r="HM49" s="79"/>
      <c r="HN49" s="79"/>
      <c r="HO49" s="79"/>
      <c r="HP49" s="79"/>
      <c r="HQ49" s="79"/>
      <c r="HR49" s="79"/>
      <c r="HS49" s="79"/>
      <c r="HT49" s="79"/>
      <c r="HU49" s="79"/>
      <c r="HV49" s="79"/>
      <c r="HW49" s="79"/>
      <c r="HX49" s="79"/>
      <c r="HY49" s="79"/>
      <c r="HZ49" s="79"/>
      <c r="IA49" s="79"/>
      <c r="IB49" s="79"/>
      <c r="IC49" s="79"/>
      <c r="ID49" s="79"/>
      <c r="IE49" s="79"/>
      <c r="IF49" s="79"/>
      <c r="IG49" s="79"/>
      <c r="IH49" s="79"/>
      <c r="II49" s="79"/>
      <c r="IJ49" s="79"/>
      <c r="IK49" s="79"/>
      <c r="IL49" s="79"/>
      <c r="IM49" s="79"/>
      <c r="IN49" s="79"/>
      <c r="IO49" s="79"/>
      <c r="IP49" s="79"/>
      <c r="IQ49" s="79"/>
      <c r="IR49" s="79"/>
      <c r="IS49" s="79"/>
      <c r="IT49" s="79"/>
      <c r="IU49" s="79"/>
      <c r="IV49" s="79"/>
      <c r="IW49" s="79"/>
    </row>
    <row r="50" spans="2:257" s="15" customFormat="1" ht="15" thickBot="1">
      <c r="B50" s="30">
        <v>3</v>
      </c>
      <c r="C50" s="33" t="s">
        <v>28</v>
      </c>
      <c r="D50" s="40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6"/>
      <c r="S50" s="35"/>
      <c r="T50" s="35"/>
      <c r="U50" s="35"/>
      <c r="V50" s="35"/>
      <c r="W50" s="35"/>
      <c r="X50" s="36"/>
      <c r="Y50" s="35"/>
      <c r="Z50" s="35"/>
      <c r="AA50" s="35"/>
      <c r="AB50" s="35"/>
      <c r="AC50" s="35"/>
      <c r="AD50" s="36"/>
      <c r="AE50" s="36"/>
      <c r="AF50" s="35"/>
      <c r="AG50" s="36"/>
      <c r="AH50" s="35"/>
      <c r="AI50" s="35"/>
      <c r="AJ50" s="36"/>
      <c r="AK50" s="35"/>
      <c r="AL50" s="35"/>
      <c r="AM50" s="35"/>
      <c r="AN50" s="35"/>
      <c r="AO50" s="35"/>
      <c r="AP50" s="36"/>
      <c r="AQ50" s="35"/>
      <c r="AR50" s="35"/>
      <c r="AS50" s="35"/>
      <c r="AT50" s="35"/>
      <c r="AU50" s="35"/>
      <c r="AV50" s="36"/>
      <c r="AW50" s="35"/>
      <c r="AX50" s="35"/>
      <c r="AY50" s="35"/>
      <c r="AZ50" s="35"/>
      <c r="BA50" s="35"/>
      <c r="BB50" s="36"/>
      <c r="BC50" s="35"/>
      <c r="BD50" s="35"/>
      <c r="BE50" s="35"/>
      <c r="BF50" s="35"/>
      <c r="BG50" s="35"/>
      <c r="BH50" s="36"/>
      <c r="BI50" s="35"/>
      <c r="BJ50" s="35"/>
      <c r="BK50" s="35"/>
      <c r="BL50" s="35"/>
      <c r="BM50" s="35"/>
      <c r="BN50" s="36"/>
      <c r="BO50" s="35"/>
      <c r="BP50" s="35"/>
      <c r="BQ50" s="35"/>
      <c r="BR50" s="35"/>
      <c r="BS50" s="35"/>
      <c r="BT50" s="36"/>
      <c r="BU50" s="35"/>
      <c r="BV50" s="35"/>
      <c r="BW50" s="35"/>
      <c r="BX50" s="35"/>
      <c r="BY50" s="34"/>
      <c r="BZ50" s="34"/>
      <c r="CA50" s="34"/>
      <c r="CB50" s="34"/>
      <c r="CC50" s="35"/>
      <c r="CD50" s="35"/>
      <c r="CE50" s="34"/>
      <c r="CF50" s="35"/>
      <c r="CG50" s="34"/>
      <c r="CH50" s="34"/>
      <c r="CI50" s="34"/>
      <c r="CJ50" s="34"/>
      <c r="CK50" s="34"/>
      <c r="CL50" s="34"/>
      <c r="CM50" s="34"/>
      <c r="CN50" s="34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  <c r="FS50" s="35"/>
      <c r="FT50" s="35"/>
      <c r="FU50" s="35"/>
      <c r="FV50" s="35"/>
      <c r="FW50" s="35"/>
      <c r="FX50" s="79"/>
      <c r="FY50" s="79"/>
      <c r="FZ50" s="79"/>
      <c r="GA50" s="79"/>
      <c r="GB50" s="79"/>
      <c r="GC50" s="79"/>
      <c r="GD50" s="79"/>
      <c r="GE50" s="79"/>
      <c r="GF50" s="79"/>
      <c r="GG50" s="79"/>
      <c r="GH50" s="79"/>
      <c r="GI50" s="79"/>
      <c r="GJ50" s="79"/>
      <c r="GK50" s="79"/>
      <c r="GL50" s="79"/>
      <c r="GM50" s="79"/>
      <c r="GN50" s="79"/>
      <c r="GO50" s="79"/>
      <c r="GP50" s="79"/>
      <c r="GQ50" s="79"/>
      <c r="GR50" s="79"/>
      <c r="GS50" s="79"/>
      <c r="GT50" s="79"/>
      <c r="GU50" s="79"/>
      <c r="GV50" s="79"/>
      <c r="GW50" s="79"/>
      <c r="GX50" s="79"/>
      <c r="GY50" s="79"/>
      <c r="GZ50" s="79"/>
      <c r="HA50" s="79"/>
      <c r="HB50" s="79"/>
      <c r="HC50" s="79"/>
      <c r="HD50" s="79"/>
      <c r="HE50" s="79"/>
      <c r="HF50" s="79"/>
      <c r="HG50" s="79"/>
      <c r="HH50" s="79"/>
      <c r="HI50" s="79"/>
      <c r="HJ50" s="79"/>
      <c r="HK50" s="79"/>
      <c r="HL50" s="79"/>
      <c r="HM50" s="79"/>
      <c r="HN50" s="79"/>
      <c r="HO50" s="79"/>
      <c r="HP50" s="79"/>
      <c r="HQ50" s="79"/>
      <c r="HR50" s="79"/>
      <c r="HS50" s="79"/>
      <c r="HT50" s="79"/>
      <c r="HU50" s="79"/>
      <c r="HV50" s="79"/>
      <c r="HW50" s="79"/>
      <c r="HX50" s="79"/>
      <c r="HY50" s="79"/>
      <c r="HZ50" s="79"/>
      <c r="IA50" s="79"/>
      <c r="IB50" s="79"/>
      <c r="IC50" s="79"/>
      <c r="ID50" s="79"/>
      <c r="IE50" s="79"/>
      <c r="IF50" s="79"/>
      <c r="IG50" s="79"/>
      <c r="IH50" s="79"/>
      <c r="II50" s="79"/>
      <c r="IJ50" s="79"/>
      <c r="IK50" s="79"/>
      <c r="IL50" s="79"/>
      <c r="IM50" s="79"/>
      <c r="IN50" s="79"/>
      <c r="IO50" s="79"/>
      <c r="IP50" s="79"/>
      <c r="IQ50" s="79"/>
      <c r="IR50" s="79"/>
      <c r="IS50" s="79"/>
      <c r="IT50" s="79"/>
      <c r="IU50" s="79"/>
      <c r="IV50" s="79"/>
      <c r="IW50" s="79"/>
    </row>
    <row r="51" spans="2:257" s="15" customFormat="1" ht="14.4">
      <c r="B51" s="30">
        <f t="shared" si="254"/>
        <v>3.01</v>
      </c>
      <c r="C51" s="37" t="s">
        <v>29</v>
      </c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73" t="s">
        <v>187</v>
      </c>
      <c r="BB51" s="73" t="s">
        <v>187</v>
      </c>
      <c r="BC51" s="73" t="s">
        <v>30</v>
      </c>
      <c r="BD51" s="73"/>
      <c r="BE51" s="73" t="s">
        <v>31</v>
      </c>
      <c r="BF51" s="73"/>
      <c r="BG51" s="73" t="s">
        <v>32</v>
      </c>
      <c r="BH51" s="79"/>
      <c r="BI51" s="79"/>
      <c r="BJ51" s="79"/>
      <c r="BK51" s="79"/>
      <c r="BL51" s="79"/>
      <c r="BM51" s="79"/>
      <c r="BN51" s="79"/>
      <c r="BO51" s="79"/>
      <c r="BP51" s="79"/>
      <c r="BQ51" s="79"/>
      <c r="BR51" s="79"/>
      <c r="BS51" s="79"/>
      <c r="BT51" s="79"/>
      <c r="BU51" s="79"/>
      <c r="BV51" s="79"/>
      <c r="BW51" s="79"/>
      <c r="BX51" s="79"/>
      <c r="BY51" s="79"/>
      <c r="BZ51" s="79"/>
      <c r="CA51" s="79"/>
      <c r="CB51" s="79"/>
      <c r="CC51" s="79"/>
      <c r="CD51" s="79"/>
      <c r="CE51" s="79"/>
      <c r="CF51" s="35"/>
      <c r="CG51" s="34"/>
      <c r="CH51" s="34"/>
      <c r="CI51" s="34"/>
      <c r="CJ51" s="34"/>
      <c r="CK51" s="34"/>
      <c r="CL51" s="34"/>
      <c r="CM51" s="34"/>
      <c r="CN51" s="34"/>
      <c r="CO51" s="35"/>
      <c r="CP51" s="35"/>
      <c r="CQ51" s="35"/>
      <c r="CR51" s="73"/>
      <c r="CS51" s="73" t="s">
        <v>32</v>
      </c>
      <c r="CT51" s="73"/>
      <c r="CU51" s="74" t="s">
        <v>188</v>
      </c>
      <c r="CV51" s="79"/>
      <c r="CW51" s="74" t="s">
        <v>188</v>
      </c>
      <c r="CX51" s="74" t="s">
        <v>189</v>
      </c>
      <c r="CY51" s="74" t="s">
        <v>189</v>
      </c>
      <c r="CZ51" s="74" t="s">
        <v>190</v>
      </c>
      <c r="DA51" s="74" t="s">
        <v>191</v>
      </c>
      <c r="DB51" s="75" t="s">
        <v>192</v>
      </c>
      <c r="DC51" s="75"/>
      <c r="DD51" s="75" t="s">
        <v>193</v>
      </c>
      <c r="DE51" s="75" t="s">
        <v>194</v>
      </c>
      <c r="DF51" s="75" t="s">
        <v>195</v>
      </c>
      <c r="DG51" s="76" t="s">
        <v>196</v>
      </c>
      <c r="DH51" s="76" t="s">
        <v>197</v>
      </c>
      <c r="DI51" s="76"/>
      <c r="DJ51" s="76" t="s">
        <v>198</v>
      </c>
      <c r="DK51" s="76" t="s">
        <v>199</v>
      </c>
      <c r="DL51" s="77" t="s">
        <v>33</v>
      </c>
      <c r="DM51" s="77" t="s">
        <v>34</v>
      </c>
      <c r="DN51" s="77" t="s">
        <v>35</v>
      </c>
      <c r="DO51" s="77"/>
      <c r="DP51" s="77" t="s">
        <v>36</v>
      </c>
      <c r="DQ51" s="78" t="s">
        <v>200</v>
      </c>
      <c r="DR51" s="78" t="s">
        <v>201</v>
      </c>
      <c r="DS51" s="78" t="s">
        <v>202</v>
      </c>
      <c r="DT51" s="78" t="s">
        <v>203</v>
      </c>
      <c r="DU51" s="78"/>
      <c r="DV51" s="79"/>
      <c r="DW51" s="79"/>
      <c r="DX51" s="79"/>
      <c r="DY51" s="79"/>
      <c r="DZ51" s="79"/>
      <c r="EA51" s="79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79"/>
      <c r="GV51" s="79"/>
      <c r="GW51" s="79"/>
      <c r="GX51" s="79"/>
      <c r="GY51" s="79"/>
      <c r="GZ51" s="79"/>
      <c r="HA51" s="79"/>
      <c r="HB51" s="79"/>
      <c r="HC51" s="79"/>
      <c r="HD51" s="79"/>
      <c r="HE51" s="79"/>
      <c r="HF51" s="79"/>
      <c r="HG51" s="79"/>
      <c r="HH51" s="79"/>
      <c r="HI51" s="79"/>
      <c r="HJ51" s="79"/>
      <c r="HK51" s="79"/>
      <c r="HL51" s="79"/>
      <c r="HM51" s="79"/>
      <c r="HN51" s="79"/>
      <c r="HO51" s="79"/>
      <c r="HP51" s="79"/>
      <c r="HQ51" s="79"/>
      <c r="HR51" s="79"/>
      <c r="HS51" s="79"/>
      <c r="HT51" s="79"/>
      <c r="HU51" s="79"/>
      <c r="HV51" s="79"/>
      <c r="HW51" s="79"/>
      <c r="HX51" s="79"/>
      <c r="HY51" s="79"/>
      <c r="HZ51" s="79"/>
      <c r="IA51" s="79"/>
      <c r="IB51" s="79"/>
      <c r="IC51" s="79"/>
      <c r="ID51" s="79"/>
      <c r="IE51" s="79"/>
      <c r="IF51" s="79"/>
      <c r="IG51" s="79"/>
      <c r="IH51" s="79"/>
      <c r="II51" s="79"/>
      <c r="IJ51" s="79"/>
      <c r="IK51" s="79"/>
      <c r="IL51" s="79"/>
      <c r="IM51" s="79"/>
      <c r="IN51" s="79"/>
      <c r="IO51" s="79"/>
      <c r="IP51" s="79"/>
      <c r="IQ51" s="79"/>
      <c r="IR51" s="79"/>
      <c r="IS51" s="79"/>
      <c r="IT51" s="79"/>
      <c r="IU51" s="79"/>
      <c r="IV51" s="79"/>
      <c r="IW51" s="79"/>
    </row>
    <row r="52" spans="2:257" s="15" customFormat="1" ht="14.4">
      <c r="B52" s="30">
        <f t="shared" si="254"/>
        <v>3.0199999999999996</v>
      </c>
      <c r="C52" s="38" t="s">
        <v>37</v>
      </c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73" t="s">
        <v>187</v>
      </c>
      <c r="BC52" s="73" t="s">
        <v>30</v>
      </c>
      <c r="BD52" s="73"/>
      <c r="BE52" s="73" t="s">
        <v>31</v>
      </c>
      <c r="BF52" s="73"/>
      <c r="BG52" s="73" t="s">
        <v>32</v>
      </c>
      <c r="BH52" s="79"/>
      <c r="BI52" s="79"/>
      <c r="BJ52" s="79"/>
      <c r="BK52" s="79"/>
      <c r="BL52" s="79"/>
      <c r="BM52" s="79"/>
      <c r="BN52" s="79"/>
      <c r="BO52" s="79"/>
      <c r="BP52" s="79"/>
      <c r="BQ52" s="79"/>
      <c r="BR52" s="79"/>
      <c r="BS52" s="79"/>
      <c r="BT52" s="79"/>
      <c r="BU52" s="79"/>
      <c r="BV52" s="79"/>
      <c r="BW52" s="79"/>
      <c r="BX52" s="79"/>
      <c r="BY52" s="79"/>
      <c r="BZ52" s="79"/>
      <c r="CA52" s="79"/>
      <c r="CB52" s="79"/>
      <c r="CC52" s="79"/>
      <c r="CD52" s="79"/>
      <c r="CE52" s="79"/>
      <c r="CF52" s="35"/>
      <c r="CG52" s="34"/>
      <c r="CH52" s="34"/>
      <c r="CI52" s="34"/>
      <c r="CJ52" s="34"/>
      <c r="CK52" s="34"/>
      <c r="CL52" s="34"/>
      <c r="CM52" s="34"/>
      <c r="CN52" s="34"/>
      <c r="CO52" s="35"/>
      <c r="CP52" s="35"/>
      <c r="CQ52" s="35"/>
      <c r="CR52" s="73"/>
      <c r="CS52" s="73" t="s">
        <v>32</v>
      </c>
      <c r="CT52" s="73"/>
      <c r="CU52" s="74" t="s">
        <v>188</v>
      </c>
      <c r="CV52" s="79"/>
      <c r="CW52" s="74" t="s">
        <v>188</v>
      </c>
      <c r="CX52" s="74" t="s">
        <v>189</v>
      </c>
      <c r="CY52" s="74" t="s">
        <v>189</v>
      </c>
      <c r="CZ52" s="74" t="s">
        <v>190</v>
      </c>
      <c r="DA52" s="74" t="s">
        <v>191</v>
      </c>
      <c r="DB52" s="75" t="s">
        <v>192</v>
      </c>
      <c r="DC52" s="75"/>
      <c r="DD52" s="75" t="s">
        <v>193</v>
      </c>
      <c r="DE52" s="75" t="s">
        <v>194</v>
      </c>
      <c r="DF52" s="75" t="s">
        <v>195</v>
      </c>
      <c r="DG52" s="76" t="s">
        <v>196</v>
      </c>
      <c r="DH52" s="76" t="s">
        <v>197</v>
      </c>
      <c r="DI52" s="76"/>
      <c r="DJ52" s="76" t="s">
        <v>198</v>
      </c>
      <c r="DK52" s="76" t="s">
        <v>199</v>
      </c>
      <c r="DL52" s="77" t="s">
        <v>33</v>
      </c>
      <c r="DM52" s="77" t="s">
        <v>34</v>
      </c>
      <c r="DN52" s="77" t="s">
        <v>35</v>
      </c>
      <c r="DO52" s="77"/>
      <c r="DP52" s="77" t="s">
        <v>36</v>
      </c>
      <c r="DQ52" s="78" t="s">
        <v>200</v>
      </c>
      <c r="DR52" s="78" t="s">
        <v>201</v>
      </c>
      <c r="DS52" s="78" t="s">
        <v>202</v>
      </c>
      <c r="DT52" s="78" t="s">
        <v>203</v>
      </c>
      <c r="DU52" s="78"/>
      <c r="DV52" s="79"/>
      <c r="DW52" s="79"/>
      <c r="DX52" s="79"/>
      <c r="DY52" s="79"/>
      <c r="DZ52" s="79"/>
      <c r="EA52" s="79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79"/>
      <c r="GV52" s="79"/>
      <c r="GW52" s="79"/>
      <c r="GX52" s="79"/>
      <c r="GY52" s="79"/>
      <c r="GZ52" s="79"/>
      <c r="HA52" s="79"/>
      <c r="HB52" s="79"/>
      <c r="HC52" s="79"/>
      <c r="HD52" s="79"/>
      <c r="HE52" s="79"/>
      <c r="HF52" s="79"/>
      <c r="HG52" s="79"/>
      <c r="HH52" s="79"/>
      <c r="HI52" s="79"/>
      <c r="HJ52" s="79"/>
      <c r="HK52" s="79"/>
      <c r="HL52" s="79"/>
      <c r="HM52" s="79"/>
      <c r="HN52" s="79"/>
      <c r="HO52" s="79"/>
      <c r="HP52" s="79"/>
      <c r="HQ52" s="79"/>
      <c r="HR52" s="79"/>
      <c r="HS52" s="79"/>
      <c r="HT52" s="79"/>
      <c r="HU52" s="79"/>
      <c r="HV52" s="79"/>
      <c r="HW52" s="79"/>
      <c r="HX52" s="79"/>
      <c r="HY52" s="79"/>
      <c r="HZ52" s="79"/>
      <c r="IA52" s="79"/>
      <c r="IB52" s="79"/>
      <c r="IC52" s="79"/>
      <c r="ID52" s="79"/>
      <c r="IE52" s="79"/>
      <c r="IF52" s="79"/>
      <c r="IG52" s="79"/>
      <c r="IH52" s="79"/>
      <c r="II52" s="79"/>
      <c r="IJ52" s="79"/>
      <c r="IK52" s="79"/>
      <c r="IL52" s="79"/>
      <c r="IM52" s="79"/>
      <c r="IN52" s="79"/>
      <c r="IO52" s="79"/>
      <c r="IP52" s="79"/>
      <c r="IQ52" s="79"/>
      <c r="IR52" s="79"/>
      <c r="IS52" s="79"/>
      <c r="IT52" s="79"/>
      <c r="IU52" s="79"/>
      <c r="IV52" s="79"/>
      <c r="IW52" s="79"/>
    </row>
    <row r="53" spans="2:257" s="15" customFormat="1" ht="14.4">
      <c r="B53" s="30">
        <f t="shared" si="254"/>
        <v>3.0299999999999994</v>
      </c>
      <c r="C53" s="38" t="s">
        <v>38</v>
      </c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73" t="s">
        <v>187</v>
      </c>
      <c r="BC53" s="73" t="s">
        <v>30</v>
      </c>
      <c r="BD53" s="73"/>
      <c r="BE53" s="73" t="s">
        <v>31</v>
      </c>
      <c r="BF53" s="73"/>
      <c r="BG53" s="73" t="s">
        <v>32</v>
      </c>
      <c r="BH53" s="79"/>
      <c r="BI53" s="79"/>
      <c r="BJ53" s="79"/>
      <c r="BK53" s="79"/>
      <c r="BL53" s="79"/>
      <c r="BM53" s="79"/>
      <c r="BN53" s="79"/>
      <c r="BO53" s="79"/>
      <c r="BP53" s="79"/>
      <c r="BQ53" s="79"/>
      <c r="BR53" s="79"/>
      <c r="BS53" s="79"/>
      <c r="BT53" s="79"/>
      <c r="BU53" s="79"/>
      <c r="BV53" s="79"/>
      <c r="BW53" s="79"/>
      <c r="BX53" s="79"/>
      <c r="BY53" s="79"/>
      <c r="BZ53" s="79"/>
      <c r="CA53" s="79"/>
      <c r="CB53" s="79"/>
      <c r="CC53" s="79"/>
      <c r="CD53" s="79"/>
      <c r="CE53" s="79"/>
      <c r="CF53" s="35"/>
      <c r="CG53" s="34"/>
      <c r="CH53" s="34"/>
      <c r="CI53" s="34"/>
      <c r="CJ53" s="34"/>
      <c r="CK53" s="34"/>
      <c r="CL53" s="34"/>
      <c r="CM53" s="34"/>
      <c r="CN53" s="34"/>
      <c r="CO53" s="35"/>
      <c r="CP53" s="35"/>
      <c r="CQ53" s="35"/>
      <c r="CR53" s="73"/>
      <c r="CS53" s="73" t="s">
        <v>32</v>
      </c>
      <c r="CT53" s="73"/>
      <c r="CU53" s="74" t="s">
        <v>188</v>
      </c>
      <c r="CV53" s="79"/>
      <c r="CW53" s="74" t="s">
        <v>188</v>
      </c>
      <c r="CX53" s="74" t="s">
        <v>189</v>
      </c>
      <c r="CY53" s="74" t="s">
        <v>189</v>
      </c>
      <c r="CZ53" s="74" t="s">
        <v>190</v>
      </c>
      <c r="DA53" s="74" t="s">
        <v>191</v>
      </c>
      <c r="DB53" s="75" t="s">
        <v>192</v>
      </c>
      <c r="DC53" s="75"/>
      <c r="DD53" s="75" t="s">
        <v>193</v>
      </c>
      <c r="DE53" s="75" t="s">
        <v>194</v>
      </c>
      <c r="DF53" s="75" t="s">
        <v>195</v>
      </c>
      <c r="DG53" s="76" t="s">
        <v>196</v>
      </c>
      <c r="DH53" s="76" t="s">
        <v>197</v>
      </c>
      <c r="DI53" s="76"/>
      <c r="DJ53" s="76" t="s">
        <v>198</v>
      </c>
      <c r="DK53" s="76" t="s">
        <v>199</v>
      </c>
      <c r="DL53" s="77" t="s">
        <v>33</v>
      </c>
      <c r="DM53" s="77" t="s">
        <v>34</v>
      </c>
      <c r="DN53" s="77" t="s">
        <v>35</v>
      </c>
      <c r="DO53" s="77"/>
      <c r="DP53" s="77" t="s">
        <v>36</v>
      </c>
      <c r="DQ53" s="78" t="s">
        <v>200</v>
      </c>
      <c r="DR53" s="78" t="s">
        <v>201</v>
      </c>
      <c r="DS53" s="78" t="s">
        <v>202</v>
      </c>
      <c r="DT53" s="78" t="s">
        <v>203</v>
      </c>
      <c r="DU53" s="78"/>
      <c r="DV53" s="79"/>
      <c r="DW53" s="79"/>
      <c r="DX53" s="79"/>
      <c r="DY53" s="79"/>
      <c r="DZ53" s="79"/>
      <c r="EA53" s="79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79"/>
      <c r="GV53" s="79"/>
      <c r="GW53" s="79"/>
      <c r="GX53" s="79"/>
      <c r="GY53" s="79"/>
      <c r="GZ53" s="79"/>
      <c r="HA53" s="79"/>
      <c r="HB53" s="79"/>
      <c r="HC53" s="79"/>
      <c r="HD53" s="79"/>
      <c r="HE53" s="79"/>
      <c r="HF53" s="79"/>
      <c r="HG53" s="79"/>
      <c r="HH53" s="79"/>
      <c r="HI53" s="79"/>
      <c r="HJ53" s="79"/>
      <c r="HK53" s="79"/>
      <c r="HL53" s="79"/>
      <c r="HM53" s="79"/>
      <c r="HN53" s="79"/>
      <c r="HO53" s="79"/>
      <c r="HP53" s="79"/>
      <c r="HQ53" s="79"/>
      <c r="HR53" s="79"/>
      <c r="HS53" s="79"/>
      <c r="HT53" s="79"/>
      <c r="HU53" s="79"/>
      <c r="HV53" s="79"/>
      <c r="HW53" s="79"/>
      <c r="HX53" s="79"/>
      <c r="HY53" s="79"/>
      <c r="HZ53" s="79"/>
      <c r="IA53" s="79"/>
      <c r="IB53" s="79"/>
      <c r="IC53" s="79"/>
      <c r="ID53" s="79"/>
      <c r="IE53" s="79"/>
      <c r="IF53" s="79"/>
      <c r="IG53" s="79"/>
      <c r="IH53" s="79"/>
      <c r="II53" s="79"/>
      <c r="IJ53" s="79"/>
      <c r="IK53" s="79"/>
      <c r="IL53" s="79"/>
      <c r="IM53" s="79"/>
      <c r="IN53" s="79"/>
      <c r="IO53" s="79"/>
      <c r="IP53" s="79"/>
      <c r="IQ53" s="79"/>
      <c r="IR53" s="79"/>
      <c r="IS53" s="79"/>
      <c r="IT53" s="79"/>
      <c r="IU53" s="79"/>
      <c r="IV53" s="79"/>
      <c r="IW53" s="79"/>
    </row>
    <row r="54" spans="2:257" s="15" customFormat="1" ht="14.4">
      <c r="B54" s="30">
        <f t="shared" si="254"/>
        <v>3.0399999999999991</v>
      </c>
      <c r="C54" s="38" t="s">
        <v>39</v>
      </c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73" t="s">
        <v>187</v>
      </c>
      <c r="BC54" s="73" t="s">
        <v>30</v>
      </c>
      <c r="BD54" s="73"/>
      <c r="BE54" s="73" t="s">
        <v>31</v>
      </c>
      <c r="BF54" s="73"/>
      <c r="BG54" s="73" t="s">
        <v>32</v>
      </c>
      <c r="BH54" s="79"/>
      <c r="BI54" s="79"/>
      <c r="BJ54" s="79"/>
      <c r="BK54" s="79"/>
      <c r="BL54" s="79"/>
      <c r="BM54" s="79"/>
      <c r="BN54" s="79"/>
      <c r="BO54" s="79"/>
      <c r="BP54" s="79"/>
      <c r="BQ54" s="79"/>
      <c r="BR54" s="79"/>
      <c r="BS54" s="79"/>
      <c r="BT54" s="79"/>
      <c r="BU54" s="79"/>
      <c r="BV54" s="79"/>
      <c r="BW54" s="79"/>
      <c r="BX54" s="79"/>
      <c r="BY54" s="79"/>
      <c r="BZ54" s="79"/>
      <c r="CA54" s="79"/>
      <c r="CB54" s="79"/>
      <c r="CC54" s="79"/>
      <c r="CD54" s="79"/>
      <c r="CE54" s="79"/>
      <c r="CF54" s="35"/>
      <c r="CG54" s="34"/>
      <c r="CH54" s="34"/>
      <c r="CI54" s="34"/>
      <c r="CJ54" s="34"/>
      <c r="CK54" s="34"/>
      <c r="CL54" s="34"/>
      <c r="CM54" s="34"/>
      <c r="CN54" s="34"/>
      <c r="CO54" s="35"/>
      <c r="CP54" s="35"/>
      <c r="CQ54" s="35"/>
      <c r="CR54" s="73"/>
      <c r="CS54" s="73" t="s">
        <v>32</v>
      </c>
      <c r="CT54" s="73"/>
      <c r="CU54" s="74" t="s">
        <v>188</v>
      </c>
      <c r="CV54" s="79"/>
      <c r="CW54" s="74" t="s">
        <v>188</v>
      </c>
      <c r="CX54" s="74" t="s">
        <v>189</v>
      </c>
      <c r="CY54" s="74" t="s">
        <v>189</v>
      </c>
      <c r="CZ54" s="74" t="s">
        <v>190</v>
      </c>
      <c r="DA54" s="74" t="s">
        <v>191</v>
      </c>
      <c r="DB54" s="75" t="s">
        <v>192</v>
      </c>
      <c r="DC54" s="75"/>
      <c r="DD54" s="75" t="s">
        <v>193</v>
      </c>
      <c r="DE54" s="75" t="s">
        <v>194</v>
      </c>
      <c r="DF54" s="75" t="s">
        <v>195</v>
      </c>
      <c r="DG54" s="76" t="s">
        <v>196</v>
      </c>
      <c r="DH54" s="76" t="s">
        <v>197</v>
      </c>
      <c r="DI54" s="76"/>
      <c r="DJ54" s="76" t="s">
        <v>198</v>
      </c>
      <c r="DK54" s="76" t="s">
        <v>199</v>
      </c>
      <c r="DL54" s="77" t="s">
        <v>33</v>
      </c>
      <c r="DM54" s="77" t="s">
        <v>34</v>
      </c>
      <c r="DN54" s="77" t="s">
        <v>35</v>
      </c>
      <c r="DO54" s="77"/>
      <c r="DP54" s="77" t="s">
        <v>36</v>
      </c>
      <c r="DQ54" s="78" t="s">
        <v>200</v>
      </c>
      <c r="DR54" s="78" t="s">
        <v>201</v>
      </c>
      <c r="DS54" s="78" t="s">
        <v>202</v>
      </c>
      <c r="DT54" s="78" t="s">
        <v>203</v>
      </c>
      <c r="DU54" s="78"/>
      <c r="DV54" s="79"/>
      <c r="DW54" s="79"/>
      <c r="DX54" s="79"/>
      <c r="DY54" s="79"/>
      <c r="DZ54" s="79"/>
      <c r="EA54" s="79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79"/>
      <c r="GV54" s="79"/>
      <c r="GW54" s="79"/>
      <c r="GX54" s="79"/>
      <c r="GY54" s="79"/>
      <c r="GZ54" s="79"/>
      <c r="HA54" s="79"/>
      <c r="HB54" s="79"/>
      <c r="HC54" s="79"/>
      <c r="HD54" s="79"/>
      <c r="HE54" s="79"/>
      <c r="HF54" s="79"/>
      <c r="HG54" s="79"/>
      <c r="HH54" s="79"/>
      <c r="HI54" s="79"/>
      <c r="HJ54" s="79"/>
      <c r="HK54" s="79"/>
      <c r="HL54" s="79"/>
      <c r="HM54" s="79"/>
      <c r="HN54" s="79"/>
      <c r="HO54" s="79"/>
      <c r="HP54" s="79"/>
      <c r="HQ54" s="79"/>
      <c r="HR54" s="79"/>
      <c r="HS54" s="79"/>
      <c r="HT54" s="79"/>
      <c r="HU54" s="79"/>
      <c r="HV54" s="79"/>
      <c r="HW54" s="79"/>
      <c r="HX54" s="79"/>
      <c r="HY54" s="79"/>
      <c r="HZ54" s="79"/>
      <c r="IA54" s="79"/>
      <c r="IB54" s="79"/>
      <c r="IC54" s="79"/>
      <c r="ID54" s="79"/>
      <c r="IE54" s="79"/>
      <c r="IF54" s="79"/>
      <c r="IG54" s="79"/>
      <c r="IH54" s="79"/>
      <c r="II54" s="79"/>
      <c r="IJ54" s="79"/>
      <c r="IK54" s="79"/>
      <c r="IL54" s="79"/>
      <c r="IM54" s="79"/>
      <c r="IN54" s="79"/>
      <c r="IO54" s="79"/>
      <c r="IP54" s="79"/>
      <c r="IQ54" s="79"/>
      <c r="IR54" s="79"/>
      <c r="IS54" s="79"/>
      <c r="IT54" s="79"/>
      <c r="IU54" s="79"/>
      <c r="IV54" s="79"/>
      <c r="IW54" s="79"/>
    </row>
    <row r="55" spans="2:257" s="15" customFormat="1" ht="14.4">
      <c r="B55" s="30">
        <f t="shared" si="254"/>
        <v>3.0499999999999989</v>
      </c>
      <c r="C55" s="38" t="s">
        <v>40</v>
      </c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6"/>
      <c r="BC55" s="81" t="s">
        <v>187</v>
      </c>
      <c r="BD55" s="81"/>
      <c r="BE55" s="81" t="s">
        <v>30</v>
      </c>
      <c r="BF55" s="81"/>
      <c r="BG55" s="81" t="s">
        <v>31</v>
      </c>
      <c r="BH55" s="79"/>
      <c r="BI55" s="79"/>
      <c r="BJ55" s="79"/>
      <c r="BK55" s="79"/>
      <c r="BL55" s="79"/>
      <c r="BM55" s="79"/>
      <c r="BN55" s="79"/>
      <c r="BO55" s="79"/>
      <c r="BP55" s="79"/>
      <c r="BQ55" s="79"/>
      <c r="BR55" s="79"/>
      <c r="BS55" s="79"/>
      <c r="BT55" s="79"/>
      <c r="BU55" s="79"/>
      <c r="BV55" s="79"/>
      <c r="BW55" s="79"/>
      <c r="BX55" s="79"/>
      <c r="BY55" s="79"/>
      <c r="BZ55" s="79"/>
      <c r="CA55" s="79"/>
      <c r="CB55" s="79"/>
      <c r="CC55" s="79"/>
      <c r="CD55" s="79"/>
      <c r="CE55" s="79"/>
      <c r="CF55" s="35"/>
      <c r="CG55" s="34"/>
      <c r="CH55" s="34"/>
      <c r="CI55" s="34"/>
      <c r="CJ55" s="34"/>
      <c r="CK55" s="34"/>
      <c r="CL55" s="34"/>
      <c r="CM55" s="34"/>
      <c r="CN55" s="34"/>
      <c r="CO55" s="35"/>
      <c r="CP55" s="35"/>
      <c r="CQ55" s="35"/>
      <c r="CR55" s="80"/>
      <c r="CS55" s="80"/>
      <c r="CT55" s="80"/>
      <c r="CU55" s="81" t="s">
        <v>32</v>
      </c>
      <c r="CV55" s="79"/>
      <c r="CW55" s="74"/>
      <c r="CX55" s="74" t="s">
        <v>188</v>
      </c>
      <c r="CY55" s="74" t="s">
        <v>188</v>
      </c>
      <c r="CZ55" s="74" t="s">
        <v>189</v>
      </c>
      <c r="DA55" s="74" t="s">
        <v>190</v>
      </c>
      <c r="DB55" s="74" t="s">
        <v>191</v>
      </c>
      <c r="DC55" s="74"/>
      <c r="DD55" s="75" t="s">
        <v>192</v>
      </c>
      <c r="DE55" s="75" t="s">
        <v>193</v>
      </c>
      <c r="DF55" s="75" t="s">
        <v>194</v>
      </c>
      <c r="DG55" s="75" t="s">
        <v>195</v>
      </c>
      <c r="DH55" s="76" t="s">
        <v>196</v>
      </c>
      <c r="DI55" s="76"/>
      <c r="DJ55" s="76" t="s">
        <v>197</v>
      </c>
      <c r="DK55" s="76" t="s">
        <v>198</v>
      </c>
      <c r="DL55" s="76" t="s">
        <v>199</v>
      </c>
      <c r="DM55" s="77" t="s">
        <v>33</v>
      </c>
      <c r="DN55" s="77" t="s">
        <v>34</v>
      </c>
      <c r="DO55" s="77"/>
      <c r="DP55" s="77" t="s">
        <v>35</v>
      </c>
      <c r="DQ55" s="77" t="s">
        <v>36</v>
      </c>
      <c r="DR55" s="78" t="s">
        <v>200</v>
      </c>
      <c r="DS55" s="78" t="s">
        <v>201</v>
      </c>
      <c r="DT55" s="78" t="s">
        <v>202</v>
      </c>
      <c r="DU55" s="78"/>
      <c r="DV55" s="78" t="s">
        <v>203</v>
      </c>
      <c r="DW55" s="79"/>
      <c r="DX55" s="79"/>
      <c r="DY55" s="79"/>
      <c r="DZ55" s="79"/>
      <c r="EA55" s="79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79"/>
      <c r="GV55" s="79"/>
      <c r="GW55" s="79"/>
      <c r="GX55" s="79"/>
      <c r="GY55" s="79"/>
      <c r="GZ55" s="79"/>
      <c r="HA55" s="79"/>
      <c r="HB55" s="79"/>
      <c r="HC55" s="79"/>
      <c r="HD55" s="79"/>
      <c r="HE55" s="79"/>
      <c r="HF55" s="79"/>
      <c r="HG55" s="79"/>
      <c r="HH55" s="79"/>
      <c r="HI55" s="79"/>
      <c r="HJ55" s="79"/>
      <c r="HK55" s="79"/>
      <c r="HL55" s="79"/>
      <c r="HM55" s="79"/>
      <c r="HN55" s="79"/>
      <c r="HO55" s="79"/>
      <c r="HP55" s="79"/>
      <c r="HQ55" s="79"/>
      <c r="HR55" s="79"/>
      <c r="HS55" s="79"/>
      <c r="HT55" s="79"/>
      <c r="HU55" s="79"/>
      <c r="HV55" s="79"/>
      <c r="HW55" s="79"/>
      <c r="HX55" s="79"/>
      <c r="HY55" s="79"/>
      <c r="HZ55" s="79"/>
      <c r="IA55" s="79"/>
      <c r="IB55" s="79"/>
      <c r="IC55" s="79"/>
      <c r="ID55" s="79"/>
      <c r="IE55" s="79"/>
      <c r="IF55" s="79"/>
      <c r="IG55" s="79"/>
      <c r="IH55" s="79"/>
      <c r="II55" s="79"/>
      <c r="IJ55" s="79"/>
      <c r="IK55" s="79"/>
      <c r="IL55" s="79"/>
      <c r="IM55" s="79"/>
      <c r="IN55" s="79"/>
      <c r="IO55" s="79"/>
      <c r="IP55" s="79"/>
      <c r="IQ55" s="79"/>
      <c r="IR55" s="79"/>
      <c r="IS55" s="79"/>
      <c r="IT55" s="79"/>
      <c r="IU55" s="79"/>
      <c r="IV55" s="79"/>
      <c r="IW55" s="79"/>
    </row>
    <row r="56" spans="2:257" s="15" customFormat="1" ht="14.4">
      <c r="B56" s="30">
        <f t="shared" si="254"/>
        <v>3.0599999999999987</v>
      </c>
      <c r="C56" s="38" t="s">
        <v>41</v>
      </c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6"/>
      <c r="BC56" s="73" t="s">
        <v>187</v>
      </c>
      <c r="BD56" s="73"/>
      <c r="BE56" s="73" t="s">
        <v>30</v>
      </c>
      <c r="BF56" s="73"/>
      <c r="BG56" s="73" t="s">
        <v>31</v>
      </c>
      <c r="BH56" s="79"/>
      <c r="BI56" s="79"/>
      <c r="BJ56" s="79"/>
      <c r="BK56" s="79"/>
      <c r="BL56" s="79"/>
      <c r="BM56" s="79"/>
      <c r="BN56" s="79"/>
      <c r="BO56" s="79"/>
      <c r="BP56" s="79"/>
      <c r="BQ56" s="79"/>
      <c r="BR56" s="79"/>
      <c r="BS56" s="79"/>
      <c r="BT56" s="79"/>
      <c r="BU56" s="79"/>
      <c r="BV56" s="79"/>
      <c r="BW56" s="79"/>
      <c r="BX56" s="79"/>
      <c r="BY56" s="79"/>
      <c r="BZ56" s="79"/>
      <c r="CA56" s="79"/>
      <c r="CB56" s="79"/>
      <c r="CC56" s="79"/>
      <c r="CD56" s="79"/>
      <c r="CE56" s="79"/>
      <c r="CF56" s="35"/>
      <c r="CG56" s="34"/>
      <c r="CH56" s="34"/>
      <c r="CI56" s="34"/>
      <c r="CJ56" s="34"/>
      <c r="CK56" s="34"/>
      <c r="CL56" s="34"/>
      <c r="CM56" s="34"/>
      <c r="CN56" s="34"/>
      <c r="CO56" s="35"/>
      <c r="CP56" s="35"/>
      <c r="CQ56" s="35"/>
      <c r="CR56" s="82"/>
      <c r="CS56" s="82"/>
      <c r="CT56" s="82"/>
      <c r="CU56" s="73" t="s">
        <v>32</v>
      </c>
      <c r="CV56" s="79"/>
      <c r="CW56" s="74"/>
      <c r="CX56" s="74" t="s">
        <v>188</v>
      </c>
      <c r="CY56" s="74" t="s">
        <v>188</v>
      </c>
      <c r="CZ56" s="74" t="s">
        <v>189</v>
      </c>
      <c r="DA56" s="74" t="s">
        <v>190</v>
      </c>
      <c r="DB56" s="74" t="s">
        <v>191</v>
      </c>
      <c r="DC56" s="74"/>
      <c r="DD56" s="74" t="s">
        <v>192</v>
      </c>
      <c r="DE56" s="75" t="s">
        <v>193</v>
      </c>
      <c r="DF56" s="75" t="s">
        <v>194</v>
      </c>
      <c r="DG56" s="75" t="s">
        <v>195</v>
      </c>
      <c r="DH56" s="76" t="s">
        <v>196</v>
      </c>
      <c r="DI56" s="76"/>
      <c r="DJ56" s="76" t="s">
        <v>197</v>
      </c>
      <c r="DK56" s="76" t="s">
        <v>198</v>
      </c>
      <c r="DL56" s="76" t="s">
        <v>219</v>
      </c>
      <c r="DM56" s="77" t="s">
        <v>33</v>
      </c>
      <c r="DN56" s="77" t="s">
        <v>34</v>
      </c>
      <c r="DO56" s="77"/>
      <c r="DP56" s="77" t="s">
        <v>35</v>
      </c>
      <c r="DQ56" s="77" t="s">
        <v>36</v>
      </c>
      <c r="DR56" s="78" t="s">
        <v>200</v>
      </c>
      <c r="DS56" s="78" t="s">
        <v>201</v>
      </c>
      <c r="DT56" s="78" t="s">
        <v>202</v>
      </c>
      <c r="DU56" s="78"/>
      <c r="DV56" s="78" t="s">
        <v>203</v>
      </c>
      <c r="DW56" s="79"/>
      <c r="DX56" s="79"/>
      <c r="DY56" s="79"/>
      <c r="DZ56" s="79"/>
      <c r="EA56" s="79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79"/>
      <c r="GV56" s="79"/>
      <c r="GW56" s="79"/>
      <c r="GX56" s="79"/>
      <c r="GY56" s="79"/>
      <c r="GZ56" s="79"/>
      <c r="HA56" s="79"/>
      <c r="HB56" s="79"/>
      <c r="HC56" s="79"/>
      <c r="HD56" s="79"/>
      <c r="HE56" s="79"/>
      <c r="HF56" s="79"/>
      <c r="HG56" s="79"/>
      <c r="HH56" s="79"/>
      <c r="HI56" s="79"/>
      <c r="HJ56" s="79"/>
      <c r="HK56" s="79"/>
      <c r="HL56" s="79"/>
      <c r="HM56" s="79"/>
      <c r="HN56" s="79"/>
      <c r="HO56" s="79"/>
      <c r="HP56" s="79"/>
      <c r="HQ56" s="79"/>
      <c r="HR56" s="79"/>
      <c r="HS56" s="79"/>
      <c r="HT56" s="79"/>
      <c r="HU56" s="79"/>
      <c r="HV56" s="79"/>
      <c r="HW56" s="79"/>
      <c r="HX56" s="79"/>
      <c r="HY56" s="79"/>
      <c r="HZ56" s="79"/>
      <c r="IA56" s="79"/>
      <c r="IB56" s="79"/>
      <c r="IC56" s="79"/>
      <c r="ID56" s="79"/>
      <c r="IE56" s="79"/>
      <c r="IF56" s="79"/>
      <c r="IG56" s="79"/>
      <c r="IH56" s="79"/>
      <c r="II56" s="79"/>
      <c r="IJ56" s="79"/>
      <c r="IK56" s="79"/>
      <c r="IL56" s="79"/>
      <c r="IM56" s="79"/>
      <c r="IN56" s="79"/>
      <c r="IO56" s="79"/>
      <c r="IP56" s="79"/>
      <c r="IQ56" s="79"/>
      <c r="IR56" s="79"/>
      <c r="IS56" s="79"/>
      <c r="IT56" s="79"/>
      <c r="IU56" s="79"/>
      <c r="IV56" s="79"/>
      <c r="IW56" s="79"/>
    </row>
    <row r="57" spans="2:257" s="15" customFormat="1" ht="14.4">
      <c r="B57" s="30">
        <f t="shared" si="254"/>
        <v>3.0699999999999985</v>
      </c>
      <c r="C57" s="38" t="s">
        <v>42</v>
      </c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79"/>
      <c r="BA57" s="79"/>
      <c r="BB57" s="36"/>
      <c r="BC57" s="35"/>
      <c r="BD57" s="79"/>
      <c r="BE57" s="73" t="s">
        <v>187</v>
      </c>
      <c r="BF57" s="73"/>
      <c r="BG57" s="81" t="s">
        <v>30</v>
      </c>
      <c r="BH57" s="79"/>
      <c r="BI57" s="79"/>
      <c r="BJ57" s="79"/>
      <c r="BK57" s="79"/>
      <c r="BL57" s="79"/>
      <c r="BM57" s="79"/>
      <c r="BN57" s="79"/>
      <c r="BO57" s="79"/>
      <c r="BP57" s="79"/>
      <c r="BQ57" s="79"/>
      <c r="BR57" s="79"/>
      <c r="BS57" s="79"/>
      <c r="BT57" s="79"/>
      <c r="BU57" s="79"/>
      <c r="BV57" s="79"/>
      <c r="BW57" s="79"/>
      <c r="BX57" s="79"/>
      <c r="BY57" s="79"/>
      <c r="BZ57" s="79"/>
      <c r="CA57" s="79"/>
      <c r="CB57" s="79"/>
      <c r="CC57" s="79"/>
      <c r="CD57" s="79"/>
      <c r="CE57" s="79"/>
      <c r="CF57" s="35"/>
      <c r="CG57" s="34"/>
      <c r="CH57" s="34"/>
      <c r="CI57" s="34"/>
      <c r="CJ57" s="34"/>
      <c r="CK57" s="34"/>
      <c r="CL57" s="34"/>
      <c r="CM57" s="34"/>
      <c r="CN57" s="34"/>
      <c r="CO57" s="35"/>
      <c r="CP57" s="35"/>
      <c r="CQ57" s="35"/>
      <c r="CR57" s="82"/>
      <c r="CS57" s="82"/>
      <c r="CT57" s="82"/>
      <c r="CU57" s="73"/>
      <c r="CV57" s="79"/>
      <c r="CW57" s="73"/>
      <c r="CX57" s="74"/>
      <c r="CY57" s="74"/>
      <c r="CZ57" s="74" t="s">
        <v>188</v>
      </c>
      <c r="DA57" s="74" t="s">
        <v>189</v>
      </c>
      <c r="DB57" s="74" t="s">
        <v>190</v>
      </c>
      <c r="DC57" s="74"/>
      <c r="DD57" s="74" t="s">
        <v>191</v>
      </c>
      <c r="DE57" s="75" t="s">
        <v>192</v>
      </c>
      <c r="DF57" s="75" t="s">
        <v>193</v>
      </c>
      <c r="DG57" s="75" t="s">
        <v>194</v>
      </c>
      <c r="DH57" s="75" t="s">
        <v>195</v>
      </c>
      <c r="DI57" s="75"/>
      <c r="DJ57" s="76" t="s">
        <v>196</v>
      </c>
      <c r="DK57" s="76" t="s">
        <v>197</v>
      </c>
      <c r="DL57" s="76" t="s">
        <v>198</v>
      </c>
      <c r="DM57" s="76" t="s">
        <v>199</v>
      </c>
      <c r="DN57" s="77" t="s">
        <v>33</v>
      </c>
      <c r="DO57" s="77"/>
      <c r="DP57" s="77" t="s">
        <v>34</v>
      </c>
      <c r="DQ57" s="77" t="s">
        <v>35</v>
      </c>
      <c r="DR57" s="77" t="s">
        <v>36</v>
      </c>
      <c r="DS57" s="78" t="s">
        <v>200</v>
      </c>
      <c r="DT57" s="78" t="s">
        <v>201</v>
      </c>
      <c r="DU57" s="78"/>
      <c r="DV57" s="78" t="s">
        <v>202</v>
      </c>
      <c r="DW57" s="78" t="s">
        <v>203</v>
      </c>
      <c r="DX57" s="79"/>
      <c r="DY57" s="79"/>
      <c r="DZ57" s="79"/>
      <c r="EA57" s="79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79"/>
      <c r="GV57" s="79"/>
      <c r="GW57" s="79"/>
      <c r="GX57" s="79"/>
      <c r="GY57" s="79"/>
      <c r="GZ57" s="79"/>
      <c r="HA57" s="79"/>
      <c r="HB57" s="79"/>
      <c r="HC57" s="79"/>
      <c r="HD57" s="79"/>
      <c r="HE57" s="79"/>
      <c r="HF57" s="79"/>
      <c r="HG57" s="79"/>
      <c r="HH57" s="79"/>
      <c r="HI57" s="79"/>
      <c r="HJ57" s="79"/>
      <c r="HK57" s="79"/>
      <c r="HL57" s="79"/>
      <c r="HM57" s="79"/>
      <c r="HN57" s="79"/>
      <c r="HO57" s="79"/>
      <c r="HP57" s="79"/>
      <c r="HQ57" s="79"/>
      <c r="HR57" s="79"/>
      <c r="HS57" s="79"/>
      <c r="HT57" s="79"/>
      <c r="HU57" s="79"/>
      <c r="HV57" s="79"/>
      <c r="HW57" s="79"/>
      <c r="HX57" s="79"/>
      <c r="HY57" s="79"/>
      <c r="HZ57" s="79"/>
      <c r="IA57" s="79"/>
      <c r="IB57" s="79"/>
      <c r="IC57" s="79"/>
      <c r="ID57" s="79"/>
      <c r="IE57" s="79"/>
      <c r="IF57" s="79"/>
      <c r="IG57" s="79"/>
      <c r="IH57" s="79"/>
      <c r="II57" s="79"/>
      <c r="IJ57" s="79"/>
      <c r="IK57" s="79"/>
      <c r="IL57" s="79"/>
      <c r="IM57" s="79"/>
      <c r="IN57" s="79"/>
      <c r="IO57" s="79"/>
      <c r="IP57" s="79"/>
      <c r="IQ57" s="79"/>
      <c r="IR57" s="79"/>
      <c r="IS57" s="79"/>
      <c r="IT57" s="79"/>
      <c r="IU57" s="79"/>
      <c r="IV57" s="79"/>
      <c r="IW57" s="79"/>
    </row>
    <row r="58" spans="2:257" s="15" customFormat="1" ht="14.4">
      <c r="B58" s="30">
        <f t="shared" si="254"/>
        <v>3.0799999999999983</v>
      </c>
      <c r="C58" s="38" t="s">
        <v>43</v>
      </c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79"/>
      <c r="BA58" s="79"/>
      <c r="BB58" s="36"/>
      <c r="BC58" s="35"/>
      <c r="BD58" s="79"/>
      <c r="BE58" s="73" t="s">
        <v>187</v>
      </c>
      <c r="BF58" s="73"/>
      <c r="BG58" s="73" t="s">
        <v>30</v>
      </c>
      <c r="BH58" s="79"/>
      <c r="BI58" s="79"/>
      <c r="BJ58" s="79"/>
      <c r="BK58" s="79"/>
      <c r="BL58" s="79"/>
      <c r="BM58" s="79"/>
      <c r="BN58" s="79"/>
      <c r="BO58" s="79"/>
      <c r="BP58" s="79"/>
      <c r="BQ58" s="79"/>
      <c r="BR58" s="79"/>
      <c r="BS58" s="79"/>
      <c r="BT58" s="79"/>
      <c r="BU58" s="79"/>
      <c r="BV58" s="79"/>
      <c r="BW58" s="79"/>
      <c r="BX58" s="79"/>
      <c r="BY58" s="79"/>
      <c r="BZ58" s="79"/>
      <c r="CA58" s="79"/>
      <c r="CB58" s="79"/>
      <c r="CC58" s="79"/>
      <c r="CD58" s="79"/>
      <c r="CE58" s="79"/>
      <c r="CF58" s="35"/>
      <c r="CG58" s="34"/>
      <c r="CH58" s="34"/>
      <c r="CI58" s="34"/>
      <c r="CJ58" s="34"/>
      <c r="CK58" s="34"/>
      <c r="CL58" s="34"/>
      <c r="CM58" s="34"/>
      <c r="CN58" s="34"/>
      <c r="CO58" s="35"/>
      <c r="CP58" s="35"/>
      <c r="CQ58" s="35"/>
      <c r="CR58" s="82"/>
      <c r="CS58" s="82"/>
      <c r="CT58" s="82"/>
      <c r="CU58" s="73"/>
      <c r="CV58" s="79"/>
      <c r="CW58" s="73"/>
      <c r="CX58" s="74"/>
      <c r="CY58" s="74"/>
      <c r="CZ58" s="74" t="s">
        <v>188</v>
      </c>
      <c r="DA58" s="74" t="s">
        <v>189</v>
      </c>
      <c r="DB58" s="74" t="s">
        <v>190</v>
      </c>
      <c r="DC58" s="74"/>
      <c r="DD58" s="74" t="s">
        <v>191</v>
      </c>
      <c r="DE58" s="75" t="s">
        <v>192</v>
      </c>
      <c r="DF58" s="75" t="s">
        <v>193</v>
      </c>
      <c r="DG58" s="75" t="s">
        <v>194</v>
      </c>
      <c r="DH58" s="75" t="s">
        <v>195</v>
      </c>
      <c r="DI58" s="75"/>
      <c r="DJ58" s="76" t="s">
        <v>196</v>
      </c>
      <c r="DK58" s="76" t="s">
        <v>197</v>
      </c>
      <c r="DL58" s="76" t="s">
        <v>198</v>
      </c>
      <c r="DM58" s="76" t="s">
        <v>199</v>
      </c>
      <c r="DN58" s="77" t="s">
        <v>33</v>
      </c>
      <c r="DO58" s="77"/>
      <c r="DP58" s="77" t="s">
        <v>34</v>
      </c>
      <c r="DQ58" s="77" t="s">
        <v>35</v>
      </c>
      <c r="DR58" s="77" t="s">
        <v>36</v>
      </c>
      <c r="DS58" s="78" t="s">
        <v>200</v>
      </c>
      <c r="DT58" s="78" t="s">
        <v>201</v>
      </c>
      <c r="DU58" s="78"/>
      <c r="DV58" s="78" t="s">
        <v>202</v>
      </c>
      <c r="DW58" s="78" t="s">
        <v>203</v>
      </c>
      <c r="DX58" s="79"/>
      <c r="DY58" s="79"/>
      <c r="DZ58" s="79"/>
      <c r="EA58" s="79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79"/>
      <c r="GV58" s="79"/>
      <c r="GW58" s="79"/>
      <c r="GX58" s="79"/>
      <c r="GY58" s="79"/>
      <c r="GZ58" s="79"/>
      <c r="HA58" s="79"/>
      <c r="HB58" s="79"/>
      <c r="HC58" s="79"/>
      <c r="HD58" s="79"/>
      <c r="HE58" s="79"/>
      <c r="HF58" s="79"/>
      <c r="HG58" s="79"/>
      <c r="HH58" s="79"/>
      <c r="HI58" s="79"/>
      <c r="HJ58" s="79"/>
      <c r="HK58" s="79"/>
      <c r="HL58" s="79"/>
      <c r="HM58" s="79"/>
      <c r="HN58" s="79"/>
      <c r="HO58" s="79"/>
      <c r="HP58" s="79"/>
      <c r="HQ58" s="79"/>
      <c r="HR58" s="79"/>
      <c r="HS58" s="79"/>
      <c r="HT58" s="79"/>
      <c r="HU58" s="79"/>
      <c r="HV58" s="79"/>
      <c r="HW58" s="79"/>
      <c r="HX58" s="79"/>
      <c r="HY58" s="79"/>
      <c r="HZ58" s="79"/>
      <c r="IA58" s="79"/>
      <c r="IB58" s="79"/>
      <c r="IC58" s="79"/>
      <c r="ID58" s="79"/>
      <c r="IE58" s="79"/>
      <c r="IF58" s="79"/>
      <c r="IG58" s="79"/>
      <c r="IH58" s="79"/>
      <c r="II58" s="79"/>
      <c r="IJ58" s="79"/>
      <c r="IK58" s="79"/>
      <c r="IL58" s="79"/>
      <c r="IM58" s="79"/>
      <c r="IN58" s="79"/>
      <c r="IO58" s="79"/>
      <c r="IP58" s="79"/>
      <c r="IQ58" s="79"/>
      <c r="IR58" s="79"/>
      <c r="IS58" s="79"/>
      <c r="IT58" s="79"/>
      <c r="IU58" s="79"/>
      <c r="IV58" s="79"/>
      <c r="IW58" s="79"/>
    </row>
    <row r="59" spans="2:257" s="15" customFormat="1" ht="14.4">
      <c r="B59" s="30">
        <f t="shared" si="254"/>
        <v>3.0899999999999981</v>
      </c>
      <c r="C59" s="38" t="s">
        <v>44</v>
      </c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79"/>
      <c r="BA59" s="79"/>
      <c r="BB59" s="36"/>
      <c r="BC59" s="35"/>
      <c r="BD59" s="79"/>
      <c r="BE59" s="79"/>
      <c r="BF59" s="79"/>
      <c r="BG59" s="73" t="s">
        <v>187</v>
      </c>
      <c r="BH59" s="79"/>
      <c r="BI59" s="79"/>
      <c r="BJ59" s="79"/>
      <c r="BK59" s="79"/>
      <c r="BL59" s="79"/>
      <c r="BM59" s="79"/>
      <c r="BN59" s="79"/>
      <c r="BO59" s="79"/>
      <c r="BP59" s="79"/>
      <c r="BQ59" s="79"/>
      <c r="BR59" s="79"/>
      <c r="BS59" s="79"/>
      <c r="BT59" s="79"/>
      <c r="BU59" s="79"/>
      <c r="BV59" s="79"/>
      <c r="BW59" s="79"/>
      <c r="BX59" s="79"/>
      <c r="BY59" s="79"/>
      <c r="BZ59" s="79"/>
      <c r="CA59" s="79"/>
      <c r="CB59" s="79"/>
      <c r="CC59" s="79"/>
      <c r="CD59" s="79"/>
      <c r="CE59" s="79"/>
      <c r="CF59" s="35"/>
      <c r="CG59" s="34"/>
      <c r="CH59" s="34"/>
      <c r="CI59" s="34"/>
      <c r="CJ59" s="34"/>
      <c r="CK59" s="34"/>
      <c r="CL59" s="34"/>
      <c r="CM59" s="34"/>
      <c r="CN59" s="34"/>
      <c r="CO59" s="35"/>
      <c r="CP59" s="35"/>
      <c r="CQ59" s="35"/>
      <c r="CR59" s="73"/>
      <c r="CS59" s="73" t="s">
        <v>187</v>
      </c>
      <c r="CT59" s="73"/>
      <c r="CU59" s="73" t="s">
        <v>30</v>
      </c>
      <c r="CV59" s="79"/>
      <c r="CW59" s="73" t="s">
        <v>30</v>
      </c>
      <c r="CX59" s="73" t="s">
        <v>31</v>
      </c>
      <c r="CY59" s="73" t="s">
        <v>32</v>
      </c>
      <c r="CZ59" s="74" t="s">
        <v>188</v>
      </c>
      <c r="DA59" s="74" t="s">
        <v>189</v>
      </c>
      <c r="DB59" s="74" t="s">
        <v>190</v>
      </c>
      <c r="DC59" s="74"/>
      <c r="DD59" s="74" t="s">
        <v>191</v>
      </c>
      <c r="DE59" s="75" t="s">
        <v>192</v>
      </c>
      <c r="DF59" s="75" t="s">
        <v>193</v>
      </c>
      <c r="DG59" s="75" t="s">
        <v>194</v>
      </c>
      <c r="DH59" s="75" t="s">
        <v>195</v>
      </c>
      <c r="DI59" s="75"/>
      <c r="DJ59" s="76" t="s">
        <v>196</v>
      </c>
      <c r="DK59" s="76" t="s">
        <v>197</v>
      </c>
      <c r="DL59" s="76" t="s">
        <v>198</v>
      </c>
      <c r="DM59" s="76" t="s">
        <v>199</v>
      </c>
      <c r="DN59" s="77" t="s">
        <v>33</v>
      </c>
      <c r="DO59" s="77"/>
      <c r="DP59" s="77" t="s">
        <v>34</v>
      </c>
      <c r="DQ59" s="77" t="s">
        <v>35</v>
      </c>
      <c r="DR59" s="77" t="s">
        <v>36</v>
      </c>
      <c r="DS59" s="78" t="s">
        <v>200</v>
      </c>
      <c r="DT59" s="78" t="s">
        <v>201</v>
      </c>
      <c r="DU59" s="78"/>
      <c r="DV59" s="78" t="s">
        <v>202</v>
      </c>
      <c r="DW59" s="78" t="s">
        <v>203</v>
      </c>
      <c r="DX59" s="79"/>
      <c r="DY59" s="79"/>
      <c r="DZ59" s="79"/>
      <c r="EA59" s="79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79"/>
      <c r="GV59" s="79"/>
      <c r="GW59" s="79"/>
      <c r="GX59" s="79"/>
      <c r="GY59" s="79"/>
      <c r="GZ59" s="79"/>
      <c r="HA59" s="79"/>
      <c r="HB59" s="79"/>
      <c r="HC59" s="79"/>
      <c r="HD59" s="79"/>
      <c r="HE59" s="79"/>
      <c r="HF59" s="79"/>
      <c r="HG59" s="79"/>
      <c r="HH59" s="79"/>
      <c r="HI59" s="79"/>
      <c r="HJ59" s="79"/>
      <c r="HK59" s="79"/>
      <c r="HL59" s="79"/>
      <c r="HM59" s="79"/>
      <c r="HN59" s="79"/>
      <c r="HO59" s="79"/>
      <c r="HP59" s="79"/>
      <c r="HQ59" s="79"/>
      <c r="HR59" s="79"/>
      <c r="HS59" s="79"/>
      <c r="HT59" s="79"/>
      <c r="HU59" s="79"/>
      <c r="HV59" s="79"/>
      <c r="HW59" s="79"/>
      <c r="HX59" s="79"/>
      <c r="HY59" s="79"/>
      <c r="HZ59" s="79"/>
      <c r="IA59" s="79"/>
      <c r="IB59" s="79"/>
      <c r="IC59" s="79"/>
      <c r="ID59" s="79"/>
      <c r="IE59" s="79"/>
      <c r="IF59" s="79"/>
      <c r="IG59" s="79"/>
      <c r="IH59" s="79"/>
      <c r="II59" s="79"/>
      <c r="IJ59" s="79"/>
      <c r="IK59" s="79"/>
      <c r="IL59" s="79"/>
      <c r="IM59" s="79"/>
      <c r="IN59" s="79"/>
      <c r="IO59" s="79"/>
      <c r="IP59" s="79"/>
      <c r="IQ59" s="79"/>
      <c r="IR59" s="79"/>
      <c r="IS59" s="79"/>
      <c r="IT59" s="79"/>
      <c r="IU59" s="79"/>
      <c r="IV59" s="79"/>
      <c r="IW59" s="79"/>
    </row>
    <row r="60" spans="2:257" s="15" customFormat="1" ht="14.4">
      <c r="B60" s="30">
        <f t="shared" si="254"/>
        <v>3.0999999999999979</v>
      </c>
      <c r="C60" s="38" t="s">
        <v>45</v>
      </c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79"/>
      <c r="BA60" s="79"/>
      <c r="BB60" s="36"/>
      <c r="BC60" s="35"/>
      <c r="BD60" s="79"/>
      <c r="BE60" s="79"/>
      <c r="BF60" s="79"/>
      <c r="BG60" s="73" t="s">
        <v>187</v>
      </c>
      <c r="BH60" s="79"/>
      <c r="BI60" s="79"/>
      <c r="BJ60" s="79"/>
      <c r="BK60" s="79"/>
      <c r="BL60" s="79"/>
      <c r="BM60" s="79"/>
      <c r="BN60" s="79"/>
      <c r="BO60" s="79"/>
      <c r="BP60" s="79"/>
      <c r="BQ60" s="79"/>
      <c r="BR60" s="79"/>
      <c r="BS60" s="79"/>
      <c r="BT60" s="79"/>
      <c r="BU60" s="79"/>
      <c r="BV60" s="79"/>
      <c r="BW60" s="79"/>
      <c r="BX60" s="79"/>
      <c r="BY60" s="79"/>
      <c r="BZ60" s="79"/>
      <c r="CA60" s="79"/>
      <c r="CB60" s="79"/>
      <c r="CC60" s="79"/>
      <c r="CD60" s="79"/>
      <c r="CE60" s="79"/>
      <c r="CF60" s="35"/>
      <c r="CG60" s="34"/>
      <c r="CH60" s="34"/>
      <c r="CI60" s="34"/>
      <c r="CJ60" s="34"/>
      <c r="CK60" s="34"/>
      <c r="CL60" s="34"/>
      <c r="CM60" s="34"/>
      <c r="CN60" s="34"/>
      <c r="CO60" s="35"/>
      <c r="CP60" s="35"/>
      <c r="CQ60" s="35"/>
      <c r="CR60" s="73"/>
      <c r="CS60" s="73" t="s">
        <v>187</v>
      </c>
      <c r="CT60" s="73"/>
      <c r="CU60" s="73" t="s">
        <v>30</v>
      </c>
      <c r="CV60" s="79"/>
      <c r="CW60" s="73" t="s">
        <v>30</v>
      </c>
      <c r="CX60" s="73" t="s">
        <v>31</v>
      </c>
      <c r="CY60" s="73" t="s">
        <v>32</v>
      </c>
      <c r="CZ60" s="74" t="s">
        <v>188</v>
      </c>
      <c r="DA60" s="74" t="s">
        <v>189</v>
      </c>
      <c r="DB60" s="74" t="s">
        <v>190</v>
      </c>
      <c r="DC60" s="74"/>
      <c r="DD60" s="74" t="s">
        <v>191</v>
      </c>
      <c r="DE60" s="75" t="s">
        <v>192</v>
      </c>
      <c r="DF60" s="75" t="s">
        <v>193</v>
      </c>
      <c r="DG60" s="75" t="s">
        <v>194</v>
      </c>
      <c r="DH60" s="75" t="s">
        <v>195</v>
      </c>
      <c r="DI60" s="75"/>
      <c r="DJ60" s="76" t="s">
        <v>196</v>
      </c>
      <c r="DK60" s="76" t="s">
        <v>197</v>
      </c>
      <c r="DL60" s="76" t="s">
        <v>198</v>
      </c>
      <c r="DM60" s="76" t="s">
        <v>199</v>
      </c>
      <c r="DN60" s="77" t="s">
        <v>33</v>
      </c>
      <c r="DO60" s="77"/>
      <c r="DP60" s="77" t="s">
        <v>34</v>
      </c>
      <c r="DQ60" s="77" t="s">
        <v>35</v>
      </c>
      <c r="DR60" s="77" t="s">
        <v>36</v>
      </c>
      <c r="DS60" s="78" t="s">
        <v>200</v>
      </c>
      <c r="DT60" s="78" t="s">
        <v>201</v>
      </c>
      <c r="DU60" s="78"/>
      <c r="DV60" s="78" t="s">
        <v>202</v>
      </c>
      <c r="DW60" s="78" t="s">
        <v>203</v>
      </c>
      <c r="DX60" s="79"/>
      <c r="DY60" s="79"/>
      <c r="DZ60" s="79"/>
      <c r="EA60" s="79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79"/>
      <c r="GV60" s="79"/>
      <c r="GW60" s="79"/>
      <c r="GX60" s="79"/>
      <c r="GY60" s="79"/>
      <c r="GZ60" s="79"/>
      <c r="HA60" s="79"/>
      <c r="HB60" s="79"/>
      <c r="HC60" s="79"/>
      <c r="HD60" s="79"/>
      <c r="HE60" s="79"/>
      <c r="HF60" s="79"/>
      <c r="HG60" s="79"/>
      <c r="HH60" s="79"/>
      <c r="HI60" s="79"/>
      <c r="HJ60" s="79"/>
      <c r="HK60" s="79"/>
      <c r="HL60" s="79"/>
      <c r="HM60" s="79"/>
      <c r="HN60" s="79"/>
      <c r="HO60" s="79"/>
      <c r="HP60" s="79"/>
      <c r="HQ60" s="79"/>
      <c r="HR60" s="79"/>
      <c r="HS60" s="79"/>
      <c r="HT60" s="79"/>
      <c r="HU60" s="79"/>
      <c r="HV60" s="79"/>
      <c r="HW60" s="79"/>
      <c r="HX60" s="79"/>
      <c r="HY60" s="79"/>
      <c r="HZ60" s="79"/>
      <c r="IA60" s="79"/>
      <c r="IB60" s="79"/>
      <c r="IC60" s="79"/>
      <c r="ID60" s="79"/>
      <c r="IE60" s="79"/>
      <c r="IF60" s="79"/>
      <c r="IG60" s="79"/>
      <c r="IH60" s="79"/>
      <c r="II60" s="79"/>
      <c r="IJ60" s="79"/>
      <c r="IK60" s="79"/>
      <c r="IL60" s="79"/>
      <c r="IM60" s="79"/>
      <c r="IN60" s="79"/>
      <c r="IO60" s="79"/>
      <c r="IP60" s="79"/>
      <c r="IQ60" s="79"/>
      <c r="IR60" s="79"/>
      <c r="IS60" s="79"/>
      <c r="IT60" s="79"/>
      <c r="IU60" s="79"/>
      <c r="IV60" s="79"/>
      <c r="IW60" s="79"/>
    </row>
    <row r="61" spans="2:257" s="15" customFormat="1" ht="14.4">
      <c r="B61" s="30">
        <f t="shared" si="254"/>
        <v>3.1099999999999977</v>
      </c>
      <c r="C61" s="38" t="s">
        <v>46</v>
      </c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79"/>
      <c r="BA61" s="79"/>
      <c r="BB61" s="36"/>
      <c r="BC61" s="35"/>
      <c r="BD61" s="79"/>
      <c r="BE61" s="79"/>
      <c r="BF61" s="79"/>
      <c r="BG61" s="73" t="s">
        <v>187</v>
      </c>
      <c r="BH61" s="79"/>
      <c r="BI61" s="79"/>
      <c r="BJ61" s="79"/>
      <c r="BK61" s="79"/>
      <c r="BL61" s="79"/>
      <c r="BM61" s="79"/>
      <c r="BN61" s="79"/>
      <c r="BO61" s="79"/>
      <c r="BP61" s="79"/>
      <c r="BQ61" s="79"/>
      <c r="BR61" s="79"/>
      <c r="BS61" s="79"/>
      <c r="BT61" s="79"/>
      <c r="BU61" s="79"/>
      <c r="BV61" s="79"/>
      <c r="BW61" s="79"/>
      <c r="BX61" s="79"/>
      <c r="BY61" s="79"/>
      <c r="BZ61" s="79"/>
      <c r="CA61" s="79"/>
      <c r="CB61" s="79"/>
      <c r="CC61" s="79"/>
      <c r="CD61" s="79"/>
      <c r="CE61" s="79"/>
      <c r="CF61" s="35"/>
      <c r="CG61" s="34"/>
      <c r="CH61" s="34"/>
      <c r="CI61" s="34"/>
      <c r="CJ61" s="34"/>
      <c r="CK61" s="34"/>
      <c r="CL61" s="34"/>
      <c r="CM61" s="34"/>
      <c r="CN61" s="34"/>
      <c r="CO61" s="35"/>
      <c r="CP61" s="35"/>
      <c r="CQ61" s="35"/>
      <c r="CR61" s="73"/>
      <c r="CS61" s="73" t="s">
        <v>187</v>
      </c>
      <c r="CT61" s="73"/>
      <c r="CU61" s="73" t="s">
        <v>30</v>
      </c>
      <c r="CV61" s="79"/>
      <c r="CW61" s="73" t="s">
        <v>30</v>
      </c>
      <c r="CX61" s="73" t="s">
        <v>31</v>
      </c>
      <c r="CY61" s="73" t="s">
        <v>32</v>
      </c>
      <c r="CZ61" s="74" t="s">
        <v>188</v>
      </c>
      <c r="DA61" s="74" t="s">
        <v>189</v>
      </c>
      <c r="DB61" s="74" t="s">
        <v>190</v>
      </c>
      <c r="DC61" s="74"/>
      <c r="DD61" s="74" t="s">
        <v>191</v>
      </c>
      <c r="DE61" s="75" t="s">
        <v>192</v>
      </c>
      <c r="DF61" s="75" t="s">
        <v>193</v>
      </c>
      <c r="DG61" s="75" t="s">
        <v>194</v>
      </c>
      <c r="DH61" s="75" t="s">
        <v>195</v>
      </c>
      <c r="DI61" s="75"/>
      <c r="DJ61" s="76" t="s">
        <v>196</v>
      </c>
      <c r="DK61" s="76" t="s">
        <v>197</v>
      </c>
      <c r="DL61" s="76" t="s">
        <v>198</v>
      </c>
      <c r="DM61" s="76" t="s">
        <v>199</v>
      </c>
      <c r="DN61" s="77" t="s">
        <v>33</v>
      </c>
      <c r="DO61" s="77"/>
      <c r="DP61" s="77" t="s">
        <v>34</v>
      </c>
      <c r="DQ61" s="77" t="s">
        <v>35</v>
      </c>
      <c r="DR61" s="77" t="s">
        <v>36</v>
      </c>
      <c r="DS61" s="78" t="s">
        <v>200</v>
      </c>
      <c r="DT61" s="78" t="s">
        <v>201</v>
      </c>
      <c r="DU61" s="78"/>
      <c r="DV61" s="78" t="s">
        <v>202</v>
      </c>
      <c r="DW61" s="78" t="s">
        <v>203</v>
      </c>
      <c r="DX61" s="79"/>
      <c r="DY61" s="79"/>
      <c r="DZ61" s="79"/>
      <c r="EA61" s="79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79"/>
      <c r="GV61" s="79"/>
      <c r="GW61" s="79"/>
      <c r="GX61" s="79"/>
      <c r="GY61" s="79"/>
      <c r="GZ61" s="79"/>
      <c r="HA61" s="79"/>
      <c r="HB61" s="79"/>
      <c r="HC61" s="79"/>
      <c r="HD61" s="79"/>
      <c r="HE61" s="79"/>
      <c r="HF61" s="79"/>
      <c r="HG61" s="79"/>
      <c r="HH61" s="79"/>
      <c r="HI61" s="79"/>
      <c r="HJ61" s="79"/>
      <c r="HK61" s="79"/>
      <c r="HL61" s="79"/>
      <c r="HM61" s="79"/>
      <c r="HN61" s="79"/>
      <c r="HO61" s="79"/>
      <c r="HP61" s="79"/>
      <c r="HQ61" s="79"/>
      <c r="HR61" s="79"/>
      <c r="HS61" s="79"/>
      <c r="HT61" s="79"/>
      <c r="HU61" s="79"/>
      <c r="HV61" s="79"/>
      <c r="HW61" s="79"/>
      <c r="HX61" s="79"/>
      <c r="HY61" s="79"/>
      <c r="HZ61" s="79"/>
      <c r="IA61" s="79"/>
      <c r="IB61" s="79"/>
      <c r="IC61" s="79"/>
      <c r="ID61" s="79"/>
      <c r="IE61" s="79"/>
      <c r="IF61" s="79"/>
      <c r="IG61" s="79"/>
      <c r="IH61" s="79"/>
      <c r="II61" s="79"/>
      <c r="IJ61" s="79"/>
      <c r="IK61" s="79"/>
      <c r="IL61" s="79"/>
      <c r="IM61" s="79"/>
      <c r="IN61" s="79"/>
      <c r="IO61" s="79"/>
      <c r="IP61" s="79"/>
      <c r="IQ61" s="79"/>
      <c r="IR61" s="79"/>
      <c r="IS61" s="79"/>
      <c r="IT61" s="79"/>
      <c r="IU61" s="79"/>
      <c r="IV61" s="79"/>
      <c r="IW61" s="79"/>
    </row>
    <row r="62" spans="2:257" s="15" customFormat="1" ht="14.4">
      <c r="B62" s="30">
        <f t="shared" si="254"/>
        <v>3.1199999999999974</v>
      </c>
      <c r="C62" s="38" t="s">
        <v>47</v>
      </c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79"/>
      <c r="BA62" s="79"/>
      <c r="BB62" s="79"/>
      <c r="BC62" s="79"/>
      <c r="BD62" s="79"/>
      <c r="BE62" s="79"/>
      <c r="BF62" s="79"/>
      <c r="BG62" s="79"/>
      <c r="BH62" s="79"/>
      <c r="BI62" s="79"/>
      <c r="BJ62" s="79"/>
      <c r="BK62" s="79"/>
      <c r="BL62" s="79"/>
      <c r="BM62" s="79"/>
      <c r="BN62" s="79"/>
      <c r="BO62" s="79"/>
      <c r="BP62" s="79"/>
      <c r="BQ62" s="79"/>
      <c r="BR62" s="79"/>
      <c r="BS62" s="79"/>
      <c r="BT62" s="79"/>
      <c r="BU62" s="79"/>
      <c r="BV62" s="79"/>
      <c r="BW62" s="79"/>
      <c r="BX62" s="79"/>
      <c r="BY62" s="79"/>
      <c r="BZ62" s="79"/>
      <c r="CA62" s="79"/>
      <c r="CB62" s="79"/>
      <c r="CC62" s="79"/>
      <c r="CD62" s="79"/>
      <c r="CE62" s="79"/>
      <c r="CF62" s="35"/>
      <c r="CG62" s="34"/>
      <c r="CH62" s="34"/>
      <c r="CI62" s="34"/>
      <c r="CJ62" s="34"/>
      <c r="CK62" s="34"/>
      <c r="CL62" s="34"/>
      <c r="CM62" s="34"/>
      <c r="CN62" s="34"/>
      <c r="CO62" s="35"/>
      <c r="CP62" s="35"/>
      <c r="CQ62" s="35"/>
      <c r="CR62" s="79"/>
      <c r="CS62" s="82"/>
      <c r="CT62" s="82"/>
      <c r="CU62" s="73" t="s">
        <v>187</v>
      </c>
      <c r="CV62" s="79"/>
      <c r="CW62" s="73" t="s">
        <v>187</v>
      </c>
      <c r="CX62" s="73" t="s">
        <v>30</v>
      </c>
      <c r="CY62" s="73" t="s">
        <v>31</v>
      </c>
      <c r="CZ62" s="73" t="s">
        <v>32</v>
      </c>
      <c r="DA62" s="74" t="s">
        <v>188</v>
      </c>
      <c r="DB62" s="74" t="s">
        <v>189</v>
      </c>
      <c r="DC62" s="74"/>
      <c r="DD62" s="74" t="s">
        <v>190</v>
      </c>
      <c r="DE62" s="74" t="s">
        <v>191</v>
      </c>
      <c r="DF62" s="75" t="s">
        <v>192</v>
      </c>
      <c r="DG62" s="75" t="s">
        <v>193</v>
      </c>
      <c r="DH62" s="75" t="s">
        <v>194</v>
      </c>
      <c r="DI62" s="75"/>
      <c r="DJ62" s="75" t="s">
        <v>195</v>
      </c>
      <c r="DK62" s="76" t="s">
        <v>196</v>
      </c>
      <c r="DL62" s="76" t="s">
        <v>197</v>
      </c>
      <c r="DM62" s="76" t="s">
        <v>198</v>
      </c>
      <c r="DN62" s="76" t="s">
        <v>199</v>
      </c>
      <c r="DO62" s="76"/>
      <c r="DP62" s="77" t="s">
        <v>33</v>
      </c>
      <c r="DQ62" s="77" t="s">
        <v>34</v>
      </c>
      <c r="DR62" s="77" t="s">
        <v>35</v>
      </c>
      <c r="DS62" s="77" t="s">
        <v>36</v>
      </c>
      <c r="DT62" s="78" t="s">
        <v>200</v>
      </c>
      <c r="DU62" s="78"/>
      <c r="DV62" s="78" t="s">
        <v>201</v>
      </c>
      <c r="DW62" s="78" t="s">
        <v>202</v>
      </c>
      <c r="DX62" s="78" t="s">
        <v>203</v>
      </c>
      <c r="DY62" s="79"/>
      <c r="DZ62" s="79"/>
      <c r="EA62" s="79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79"/>
      <c r="GV62" s="79"/>
      <c r="GW62" s="79"/>
      <c r="GX62" s="79"/>
      <c r="GY62" s="79"/>
      <c r="GZ62" s="79"/>
      <c r="HA62" s="79"/>
      <c r="HB62" s="79"/>
      <c r="HC62" s="79"/>
      <c r="HD62" s="79"/>
      <c r="HE62" s="79"/>
      <c r="HF62" s="79"/>
      <c r="HG62" s="79"/>
      <c r="HH62" s="79"/>
      <c r="HI62" s="79"/>
      <c r="HJ62" s="79"/>
      <c r="HK62" s="79"/>
      <c r="HL62" s="79"/>
      <c r="HM62" s="79"/>
      <c r="HN62" s="79"/>
      <c r="HO62" s="79"/>
      <c r="HP62" s="79"/>
      <c r="HQ62" s="79"/>
      <c r="HR62" s="79"/>
      <c r="HS62" s="79"/>
      <c r="HT62" s="79"/>
      <c r="HU62" s="79"/>
      <c r="HV62" s="79"/>
      <c r="HW62" s="79"/>
      <c r="HX62" s="79"/>
      <c r="HY62" s="79"/>
      <c r="HZ62" s="79"/>
      <c r="IA62" s="79"/>
      <c r="IB62" s="79"/>
      <c r="IC62" s="79"/>
      <c r="ID62" s="79"/>
      <c r="IE62" s="79"/>
      <c r="IF62" s="79"/>
      <c r="IG62" s="79"/>
      <c r="IH62" s="79"/>
      <c r="II62" s="79"/>
      <c r="IJ62" s="79"/>
      <c r="IK62" s="79"/>
      <c r="IL62" s="79"/>
      <c r="IM62" s="79"/>
      <c r="IN62" s="79"/>
      <c r="IO62" s="79"/>
      <c r="IP62" s="79"/>
      <c r="IQ62" s="79"/>
      <c r="IR62" s="79"/>
      <c r="IS62" s="79"/>
      <c r="IT62" s="79"/>
      <c r="IU62" s="79"/>
      <c r="IV62" s="79"/>
      <c r="IW62" s="79"/>
    </row>
    <row r="63" spans="2:257" s="15" customFormat="1" ht="14.4">
      <c r="B63" s="30">
        <f t="shared" si="254"/>
        <v>3.1299999999999972</v>
      </c>
      <c r="C63" s="38" t="s">
        <v>48</v>
      </c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79"/>
      <c r="BA63" s="79"/>
      <c r="BB63" s="79"/>
      <c r="BC63" s="79"/>
      <c r="BD63" s="79"/>
      <c r="BE63" s="79"/>
      <c r="BF63" s="79"/>
      <c r="BG63" s="79"/>
      <c r="BH63" s="79"/>
      <c r="BI63" s="79"/>
      <c r="BJ63" s="79"/>
      <c r="BK63" s="79"/>
      <c r="BL63" s="79"/>
      <c r="BM63" s="79"/>
      <c r="BN63" s="79"/>
      <c r="BO63" s="79"/>
      <c r="BP63" s="79"/>
      <c r="BQ63" s="79"/>
      <c r="BR63" s="79"/>
      <c r="BS63" s="79"/>
      <c r="BT63" s="79"/>
      <c r="BU63" s="79"/>
      <c r="BV63" s="79"/>
      <c r="BW63" s="79"/>
      <c r="BX63" s="79"/>
      <c r="BY63" s="79"/>
      <c r="BZ63" s="79"/>
      <c r="CA63" s="79"/>
      <c r="CB63" s="79"/>
      <c r="CC63" s="79"/>
      <c r="CD63" s="79"/>
      <c r="CE63" s="79"/>
      <c r="CF63" s="35"/>
      <c r="CG63" s="34"/>
      <c r="CH63" s="34"/>
      <c r="CI63" s="34"/>
      <c r="CJ63" s="34"/>
      <c r="CK63" s="34"/>
      <c r="CL63" s="34"/>
      <c r="CM63" s="34"/>
      <c r="CN63" s="34"/>
      <c r="CO63" s="35"/>
      <c r="CP63" s="35"/>
      <c r="CQ63" s="35"/>
      <c r="CR63" s="79"/>
      <c r="CS63" s="82"/>
      <c r="CT63" s="82"/>
      <c r="CU63" s="73" t="s">
        <v>187</v>
      </c>
      <c r="CV63" s="79"/>
      <c r="CW63" s="73" t="s">
        <v>187</v>
      </c>
      <c r="CX63" s="73" t="s">
        <v>30</v>
      </c>
      <c r="CY63" s="73" t="s">
        <v>31</v>
      </c>
      <c r="CZ63" s="73" t="s">
        <v>32</v>
      </c>
      <c r="DA63" s="74" t="s">
        <v>188</v>
      </c>
      <c r="DB63" s="74" t="s">
        <v>189</v>
      </c>
      <c r="DC63" s="74"/>
      <c r="DD63" s="74" t="s">
        <v>190</v>
      </c>
      <c r="DE63" s="74" t="s">
        <v>191</v>
      </c>
      <c r="DF63" s="75" t="s">
        <v>192</v>
      </c>
      <c r="DG63" s="75" t="s">
        <v>193</v>
      </c>
      <c r="DH63" s="75" t="s">
        <v>194</v>
      </c>
      <c r="DI63" s="75"/>
      <c r="DJ63" s="75" t="s">
        <v>195</v>
      </c>
      <c r="DK63" s="76" t="s">
        <v>196</v>
      </c>
      <c r="DL63" s="76" t="s">
        <v>197</v>
      </c>
      <c r="DM63" s="76" t="s">
        <v>198</v>
      </c>
      <c r="DN63" s="76" t="s">
        <v>199</v>
      </c>
      <c r="DO63" s="76"/>
      <c r="DP63" s="77" t="s">
        <v>33</v>
      </c>
      <c r="DQ63" s="77" t="s">
        <v>34</v>
      </c>
      <c r="DR63" s="77" t="s">
        <v>35</v>
      </c>
      <c r="DS63" s="77" t="s">
        <v>36</v>
      </c>
      <c r="DT63" s="78" t="s">
        <v>200</v>
      </c>
      <c r="DU63" s="78"/>
      <c r="DV63" s="78" t="s">
        <v>201</v>
      </c>
      <c r="DW63" s="78" t="s">
        <v>202</v>
      </c>
      <c r="DX63" s="78" t="s">
        <v>203</v>
      </c>
      <c r="DY63" s="79"/>
      <c r="DZ63" s="79"/>
      <c r="EA63" s="79"/>
      <c r="EB63" s="35"/>
      <c r="EC63" s="35"/>
      <c r="ED63" s="35"/>
      <c r="EE63" s="35"/>
      <c r="EF63" s="35"/>
      <c r="EG63" s="35"/>
      <c r="EH63" s="35"/>
      <c r="EI63" s="35"/>
      <c r="EJ63" s="35"/>
      <c r="EK63" s="35"/>
      <c r="EL63" s="35"/>
      <c r="EM63" s="35"/>
      <c r="EN63" s="35"/>
      <c r="EO63" s="35"/>
      <c r="EP63" s="35"/>
      <c r="EQ63" s="35"/>
      <c r="ER63" s="35"/>
      <c r="ES63" s="35"/>
      <c r="ET63" s="35"/>
      <c r="EU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K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  <c r="GB63" s="35"/>
      <c r="GC63" s="35"/>
      <c r="GD63" s="35"/>
      <c r="GE63" s="35"/>
      <c r="GF63" s="35"/>
      <c r="GG63" s="35"/>
      <c r="GH63" s="35"/>
      <c r="GI63" s="35"/>
      <c r="GJ63" s="35"/>
      <c r="GK63" s="35"/>
      <c r="GL63" s="35"/>
      <c r="GM63" s="35"/>
      <c r="GN63" s="35"/>
      <c r="GO63" s="35"/>
      <c r="GP63" s="35"/>
      <c r="GQ63" s="35"/>
      <c r="GR63" s="35"/>
      <c r="GS63" s="35"/>
      <c r="GT63" s="35"/>
      <c r="GU63" s="79"/>
      <c r="GV63" s="79"/>
      <c r="GW63" s="79"/>
      <c r="GX63" s="79"/>
      <c r="GY63" s="79"/>
      <c r="GZ63" s="79"/>
      <c r="HA63" s="79"/>
      <c r="HB63" s="79"/>
      <c r="HC63" s="79"/>
      <c r="HD63" s="79"/>
      <c r="HE63" s="79"/>
      <c r="HF63" s="79"/>
      <c r="HG63" s="79"/>
      <c r="HH63" s="79"/>
      <c r="HI63" s="79"/>
      <c r="HJ63" s="79"/>
      <c r="HK63" s="79"/>
      <c r="HL63" s="79"/>
      <c r="HM63" s="79"/>
      <c r="HN63" s="79"/>
      <c r="HO63" s="79"/>
      <c r="HP63" s="79"/>
      <c r="HQ63" s="79"/>
      <c r="HR63" s="79"/>
      <c r="HS63" s="79"/>
      <c r="HT63" s="79"/>
      <c r="HU63" s="79"/>
      <c r="HV63" s="79"/>
      <c r="HW63" s="79"/>
      <c r="HX63" s="79"/>
      <c r="HY63" s="79"/>
      <c r="HZ63" s="79"/>
      <c r="IA63" s="79"/>
      <c r="IB63" s="79"/>
      <c r="IC63" s="79"/>
      <c r="ID63" s="79"/>
      <c r="IE63" s="79"/>
      <c r="IF63" s="79"/>
      <c r="IG63" s="79"/>
      <c r="IH63" s="79"/>
      <c r="II63" s="79"/>
      <c r="IJ63" s="79"/>
      <c r="IK63" s="79"/>
      <c r="IL63" s="79"/>
      <c r="IM63" s="79"/>
      <c r="IN63" s="79"/>
      <c r="IO63" s="79"/>
      <c r="IP63" s="79"/>
      <c r="IQ63" s="79"/>
      <c r="IR63" s="79"/>
      <c r="IS63" s="79"/>
      <c r="IT63" s="79"/>
      <c r="IU63" s="79"/>
      <c r="IV63" s="79"/>
      <c r="IW63" s="79"/>
    </row>
    <row r="64" spans="2:257" s="15" customFormat="1" ht="14.4">
      <c r="B64" s="30">
        <f t="shared" si="254"/>
        <v>3.139999999999997</v>
      </c>
      <c r="C64" s="38" t="s">
        <v>49</v>
      </c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79"/>
      <c r="BA64" s="79"/>
      <c r="BB64" s="79"/>
      <c r="BC64" s="79"/>
      <c r="BD64" s="79"/>
      <c r="BE64" s="79"/>
      <c r="BF64" s="79"/>
      <c r="BG64" s="79"/>
      <c r="BH64" s="79"/>
      <c r="BI64" s="79"/>
      <c r="BJ64" s="79"/>
      <c r="BK64" s="79"/>
      <c r="BL64" s="79"/>
      <c r="BM64" s="79"/>
      <c r="BN64" s="79"/>
      <c r="BO64" s="79"/>
      <c r="BP64" s="79"/>
      <c r="BQ64" s="79"/>
      <c r="BR64" s="79"/>
      <c r="BS64" s="79"/>
      <c r="BT64" s="79"/>
      <c r="BU64" s="79"/>
      <c r="BV64" s="79"/>
      <c r="BW64" s="79"/>
      <c r="BX64" s="79"/>
      <c r="BY64" s="79"/>
      <c r="BZ64" s="79"/>
      <c r="CA64" s="79"/>
      <c r="CB64" s="79"/>
      <c r="CC64" s="79"/>
      <c r="CD64" s="79"/>
      <c r="CE64" s="79"/>
      <c r="CF64" s="35"/>
      <c r="CG64" s="34"/>
      <c r="CH64" s="34"/>
      <c r="CI64" s="34"/>
      <c r="CJ64" s="34"/>
      <c r="CK64" s="34"/>
      <c r="CL64" s="34"/>
      <c r="CM64" s="34"/>
      <c r="CN64" s="34"/>
      <c r="CO64" s="35"/>
      <c r="CP64" s="35"/>
      <c r="CQ64" s="35"/>
      <c r="CR64" s="79"/>
      <c r="CS64" s="82"/>
      <c r="CT64" s="82"/>
      <c r="CU64" s="73" t="s">
        <v>187</v>
      </c>
      <c r="CV64" s="79"/>
      <c r="CW64" s="73" t="s">
        <v>187</v>
      </c>
      <c r="CX64" s="73" t="s">
        <v>30</v>
      </c>
      <c r="CY64" s="73" t="s">
        <v>31</v>
      </c>
      <c r="CZ64" s="73" t="s">
        <v>32</v>
      </c>
      <c r="DA64" s="74" t="s">
        <v>188</v>
      </c>
      <c r="DB64" s="74" t="s">
        <v>189</v>
      </c>
      <c r="DC64" s="74"/>
      <c r="DD64" s="74" t="s">
        <v>190</v>
      </c>
      <c r="DE64" s="74" t="s">
        <v>191</v>
      </c>
      <c r="DF64" s="75" t="s">
        <v>192</v>
      </c>
      <c r="DG64" s="75" t="s">
        <v>193</v>
      </c>
      <c r="DH64" s="75" t="s">
        <v>194</v>
      </c>
      <c r="DI64" s="75"/>
      <c r="DJ64" s="75" t="s">
        <v>193</v>
      </c>
      <c r="DK64" s="76" t="s">
        <v>196</v>
      </c>
      <c r="DL64" s="76" t="s">
        <v>197</v>
      </c>
      <c r="DM64" s="76" t="s">
        <v>198</v>
      </c>
      <c r="DN64" s="76" t="s">
        <v>199</v>
      </c>
      <c r="DO64" s="76"/>
      <c r="DP64" s="77" t="s">
        <v>33</v>
      </c>
      <c r="DQ64" s="77" t="s">
        <v>34</v>
      </c>
      <c r="DR64" s="77" t="s">
        <v>35</v>
      </c>
      <c r="DS64" s="77" t="s">
        <v>36</v>
      </c>
      <c r="DT64" s="78" t="s">
        <v>200</v>
      </c>
      <c r="DU64" s="78"/>
      <c r="DV64" s="78" t="s">
        <v>201</v>
      </c>
      <c r="DW64" s="78" t="s">
        <v>202</v>
      </c>
      <c r="DX64" s="78" t="s">
        <v>203</v>
      </c>
      <c r="DY64" s="79"/>
      <c r="DZ64" s="79"/>
      <c r="EA64" s="79"/>
      <c r="EB64" s="35"/>
      <c r="EC64" s="35"/>
      <c r="ED64" s="35"/>
      <c r="EE64" s="35"/>
      <c r="EF64" s="35"/>
      <c r="EG64" s="35"/>
      <c r="EH64" s="35"/>
      <c r="EI64" s="35"/>
      <c r="EJ64" s="35"/>
      <c r="EK64" s="35"/>
      <c r="EL64" s="35"/>
      <c r="EM64" s="35"/>
      <c r="EN64" s="35"/>
      <c r="EO64" s="35"/>
      <c r="EP64" s="35"/>
      <c r="EQ64" s="35"/>
      <c r="ER64" s="35"/>
      <c r="ES64" s="35"/>
      <c r="ET64" s="35"/>
      <c r="EU64" s="35"/>
      <c r="EV64" s="35"/>
      <c r="EW64" s="35"/>
      <c r="EX64" s="35"/>
      <c r="EY64" s="35"/>
      <c r="EZ64" s="35"/>
      <c r="FA64" s="35"/>
      <c r="FB64" s="35"/>
      <c r="FC64" s="35"/>
      <c r="FD64" s="35"/>
      <c r="FE64" s="35"/>
      <c r="FF64" s="35"/>
      <c r="FG64" s="35"/>
      <c r="FH64" s="35"/>
      <c r="FI64" s="35"/>
      <c r="FJ64" s="35"/>
      <c r="FK64" s="35"/>
      <c r="FL64" s="35"/>
      <c r="FM64" s="35"/>
      <c r="FN64" s="35"/>
      <c r="FO64" s="35"/>
      <c r="FP64" s="35"/>
      <c r="FQ64" s="35"/>
      <c r="FR64" s="35"/>
      <c r="FS64" s="35"/>
      <c r="FT64" s="35"/>
      <c r="FU64" s="35"/>
      <c r="FV64" s="35"/>
      <c r="FW64" s="35"/>
      <c r="FX64" s="35"/>
      <c r="FY64" s="35"/>
      <c r="FZ64" s="35"/>
      <c r="GA64" s="35"/>
      <c r="GB64" s="35"/>
      <c r="GC64" s="35"/>
      <c r="GD64" s="35"/>
      <c r="GE64" s="35"/>
      <c r="GF64" s="35"/>
      <c r="GG64" s="35"/>
      <c r="GH64" s="35"/>
      <c r="GI64" s="35"/>
      <c r="GJ64" s="35"/>
      <c r="GK64" s="35"/>
      <c r="GL64" s="35"/>
      <c r="GM64" s="35"/>
      <c r="GN64" s="35"/>
      <c r="GO64" s="35"/>
      <c r="GP64" s="35"/>
      <c r="GQ64" s="35"/>
      <c r="GR64" s="35"/>
      <c r="GS64" s="35"/>
      <c r="GT64" s="35"/>
      <c r="GU64" s="79"/>
      <c r="GV64" s="79"/>
      <c r="GW64" s="79"/>
      <c r="GX64" s="79"/>
      <c r="GY64" s="79"/>
      <c r="GZ64" s="79"/>
      <c r="HA64" s="79"/>
      <c r="HB64" s="79"/>
      <c r="HC64" s="79"/>
      <c r="HD64" s="79"/>
      <c r="HE64" s="79"/>
      <c r="HF64" s="79"/>
      <c r="HG64" s="79"/>
      <c r="HH64" s="79"/>
      <c r="HI64" s="79"/>
      <c r="HJ64" s="79"/>
      <c r="HK64" s="79"/>
      <c r="HL64" s="79"/>
      <c r="HM64" s="79"/>
      <c r="HN64" s="79"/>
      <c r="HO64" s="79"/>
      <c r="HP64" s="79"/>
      <c r="HQ64" s="79"/>
      <c r="HR64" s="79"/>
      <c r="HS64" s="79"/>
      <c r="HT64" s="79"/>
      <c r="HU64" s="79"/>
      <c r="HV64" s="79"/>
      <c r="HW64" s="79"/>
      <c r="HX64" s="79"/>
      <c r="HY64" s="79"/>
      <c r="HZ64" s="79"/>
      <c r="IA64" s="79"/>
      <c r="IB64" s="79"/>
      <c r="IC64" s="79"/>
      <c r="ID64" s="79"/>
      <c r="IE64" s="79"/>
      <c r="IF64" s="79"/>
      <c r="IG64" s="79"/>
      <c r="IH64" s="79"/>
      <c r="II64" s="79"/>
      <c r="IJ64" s="79"/>
      <c r="IK64" s="79"/>
      <c r="IL64" s="79"/>
      <c r="IM64" s="79"/>
      <c r="IN64" s="79"/>
      <c r="IO64" s="79"/>
      <c r="IP64" s="79"/>
      <c r="IQ64" s="79"/>
      <c r="IR64" s="79"/>
      <c r="IS64" s="79"/>
      <c r="IT64" s="79"/>
      <c r="IU64" s="79"/>
      <c r="IV64" s="79"/>
      <c r="IW64" s="79"/>
    </row>
    <row r="65" spans="2:257" s="15" customFormat="1" ht="14.4">
      <c r="B65" s="30">
        <f t="shared" si="254"/>
        <v>3.1499999999999968</v>
      </c>
      <c r="C65" s="38" t="s">
        <v>50</v>
      </c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79"/>
      <c r="BA65" s="79"/>
      <c r="BB65" s="79"/>
      <c r="BC65" s="79"/>
      <c r="BD65" s="79"/>
      <c r="BE65" s="79"/>
      <c r="BF65" s="79"/>
      <c r="BG65" s="79"/>
      <c r="BH65" s="79"/>
      <c r="BI65" s="79"/>
      <c r="BJ65" s="79"/>
      <c r="BK65" s="79"/>
      <c r="BL65" s="79"/>
      <c r="BM65" s="79"/>
      <c r="BN65" s="79"/>
      <c r="BO65" s="79"/>
      <c r="BP65" s="79"/>
      <c r="BQ65" s="79"/>
      <c r="BR65" s="79"/>
      <c r="BS65" s="79"/>
      <c r="BT65" s="79"/>
      <c r="BU65" s="79"/>
      <c r="BV65" s="79"/>
      <c r="BW65" s="79"/>
      <c r="BX65" s="79"/>
      <c r="BY65" s="79"/>
      <c r="BZ65" s="79"/>
      <c r="CA65" s="79"/>
      <c r="CB65" s="79"/>
      <c r="CC65" s="79"/>
      <c r="CD65" s="79"/>
      <c r="CE65" s="79"/>
      <c r="CF65" s="35"/>
      <c r="CG65" s="34"/>
      <c r="CH65" s="34"/>
      <c r="CI65" s="34"/>
      <c r="CJ65" s="34"/>
      <c r="CK65" s="34"/>
      <c r="CL65" s="34"/>
      <c r="CM65" s="34"/>
      <c r="CN65" s="34"/>
      <c r="CO65" s="35"/>
      <c r="CP65" s="35"/>
      <c r="CQ65" s="35"/>
      <c r="CR65" s="79"/>
      <c r="CS65" s="79"/>
      <c r="CT65" s="79"/>
      <c r="CU65" s="79"/>
      <c r="CV65" s="79"/>
      <c r="CW65" s="35"/>
      <c r="CX65" s="73" t="s">
        <v>187</v>
      </c>
      <c r="CY65" s="73" t="s">
        <v>30</v>
      </c>
      <c r="CZ65" s="73" t="s">
        <v>31</v>
      </c>
      <c r="DA65" s="73" t="s">
        <v>32</v>
      </c>
      <c r="DB65" s="74" t="s">
        <v>188</v>
      </c>
      <c r="DC65" s="74"/>
      <c r="DD65" s="74" t="s">
        <v>189</v>
      </c>
      <c r="DE65" s="74" t="s">
        <v>190</v>
      </c>
      <c r="DF65" s="74" t="s">
        <v>191</v>
      </c>
      <c r="DG65" s="75" t="s">
        <v>192</v>
      </c>
      <c r="DH65" s="75" t="s">
        <v>193</v>
      </c>
      <c r="DI65" s="75"/>
      <c r="DJ65" s="75" t="s">
        <v>194</v>
      </c>
      <c r="DK65" s="75" t="s">
        <v>195</v>
      </c>
      <c r="DL65" s="76" t="s">
        <v>196</v>
      </c>
      <c r="DM65" s="76" t="s">
        <v>197</v>
      </c>
      <c r="DN65" s="76" t="s">
        <v>198</v>
      </c>
      <c r="DO65" s="76"/>
      <c r="DP65" s="76" t="s">
        <v>199</v>
      </c>
      <c r="DQ65" s="77" t="s">
        <v>33</v>
      </c>
      <c r="DR65" s="77" t="s">
        <v>34</v>
      </c>
      <c r="DS65" s="77" t="s">
        <v>35</v>
      </c>
      <c r="DT65" s="77" t="s">
        <v>36</v>
      </c>
      <c r="DU65" s="77"/>
      <c r="DV65" s="78" t="s">
        <v>200</v>
      </c>
      <c r="DW65" s="78" t="s">
        <v>201</v>
      </c>
      <c r="DX65" s="78" t="s">
        <v>202</v>
      </c>
      <c r="DY65" s="78" t="s">
        <v>203</v>
      </c>
      <c r="DZ65" s="78"/>
      <c r="EA65" s="79"/>
      <c r="EB65" s="35"/>
      <c r="EC65" s="35"/>
      <c r="ED65" s="35"/>
      <c r="EE65" s="35"/>
      <c r="EF65" s="35"/>
      <c r="EG65" s="35"/>
      <c r="EH65" s="35"/>
      <c r="EI65" s="35"/>
      <c r="EJ65" s="35"/>
      <c r="EK65" s="35"/>
      <c r="EL65" s="35"/>
      <c r="EM65" s="35"/>
      <c r="EN65" s="35"/>
      <c r="EO65" s="35"/>
      <c r="EP65" s="35"/>
      <c r="EQ65" s="35"/>
      <c r="ER65" s="35"/>
      <c r="ES65" s="35"/>
      <c r="ET65" s="35"/>
      <c r="EU65" s="35"/>
      <c r="EV65" s="35"/>
      <c r="EW65" s="35"/>
      <c r="EX65" s="35"/>
      <c r="EY65" s="35"/>
      <c r="EZ65" s="35"/>
      <c r="FA65" s="35"/>
      <c r="FB65" s="35"/>
      <c r="FC65" s="35"/>
      <c r="FD65" s="35"/>
      <c r="FE65" s="35"/>
      <c r="FF65" s="35"/>
      <c r="FG65" s="35"/>
      <c r="FH65" s="35"/>
      <c r="FI65" s="35"/>
      <c r="FJ65" s="35"/>
      <c r="FK65" s="35"/>
      <c r="FL65" s="35"/>
      <c r="FM65" s="35"/>
      <c r="FN65" s="35"/>
      <c r="FO65" s="35"/>
      <c r="FP65" s="35"/>
      <c r="FQ65" s="35"/>
      <c r="FR65" s="35"/>
      <c r="FS65" s="35"/>
      <c r="FT65" s="35"/>
      <c r="FU65" s="35"/>
      <c r="FV65" s="35"/>
      <c r="FW65" s="35"/>
      <c r="FX65" s="35"/>
      <c r="FY65" s="35"/>
      <c r="FZ65" s="35"/>
      <c r="GA65" s="35"/>
      <c r="GB65" s="35"/>
      <c r="GC65" s="35"/>
      <c r="GD65" s="35"/>
      <c r="GE65" s="35"/>
      <c r="GF65" s="35"/>
      <c r="GG65" s="35"/>
      <c r="GH65" s="35"/>
      <c r="GI65" s="35"/>
      <c r="GJ65" s="35"/>
      <c r="GK65" s="35"/>
      <c r="GL65" s="35"/>
      <c r="GM65" s="35"/>
      <c r="GN65" s="35"/>
      <c r="GO65" s="35"/>
      <c r="GP65" s="35"/>
      <c r="GQ65" s="35"/>
      <c r="GR65" s="35"/>
      <c r="GS65" s="35"/>
      <c r="GT65" s="35"/>
      <c r="GU65" s="79"/>
      <c r="GV65" s="79"/>
      <c r="GW65" s="79"/>
      <c r="GX65" s="79"/>
      <c r="GY65" s="79"/>
      <c r="GZ65" s="79"/>
      <c r="HA65" s="79"/>
      <c r="HB65" s="79"/>
      <c r="HC65" s="79"/>
      <c r="HD65" s="79"/>
      <c r="HE65" s="79"/>
      <c r="HF65" s="79"/>
      <c r="HG65" s="79"/>
      <c r="HH65" s="79"/>
      <c r="HI65" s="79"/>
      <c r="HJ65" s="79"/>
      <c r="HK65" s="79"/>
      <c r="HL65" s="79"/>
      <c r="HM65" s="79"/>
      <c r="HN65" s="79"/>
      <c r="HO65" s="79"/>
      <c r="HP65" s="79"/>
      <c r="HQ65" s="79"/>
      <c r="HR65" s="79"/>
      <c r="HS65" s="79"/>
      <c r="HT65" s="79"/>
      <c r="HU65" s="79"/>
      <c r="HV65" s="79"/>
      <c r="HW65" s="79"/>
      <c r="HX65" s="79"/>
      <c r="HY65" s="79"/>
      <c r="HZ65" s="79"/>
      <c r="IA65" s="79"/>
      <c r="IB65" s="79"/>
      <c r="IC65" s="79"/>
      <c r="ID65" s="79"/>
      <c r="IE65" s="79"/>
      <c r="IF65" s="79"/>
      <c r="IG65" s="79"/>
      <c r="IH65" s="79"/>
      <c r="II65" s="79"/>
      <c r="IJ65" s="79"/>
      <c r="IK65" s="79"/>
      <c r="IL65" s="79"/>
      <c r="IM65" s="79"/>
      <c r="IN65" s="79"/>
      <c r="IO65" s="79"/>
      <c r="IP65" s="79"/>
      <c r="IQ65" s="79"/>
      <c r="IR65" s="79"/>
      <c r="IS65" s="79"/>
      <c r="IT65" s="79"/>
      <c r="IU65" s="79"/>
      <c r="IV65" s="79"/>
      <c r="IW65" s="79"/>
    </row>
    <row r="66" spans="2:257" s="15" customFormat="1" ht="14.4">
      <c r="B66" s="30">
        <f t="shared" si="254"/>
        <v>3.1599999999999966</v>
      </c>
      <c r="C66" s="38" t="s">
        <v>51</v>
      </c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79"/>
      <c r="BA66" s="79"/>
      <c r="BB66" s="79"/>
      <c r="BC66" s="79"/>
      <c r="BD66" s="79"/>
      <c r="BE66" s="79"/>
      <c r="BF66" s="79"/>
      <c r="BG66" s="79"/>
      <c r="BH66" s="79"/>
      <c r="BI66" s="79"/>
      <c r="BJ66" s="79"/>
      <c r="BK66" s="79"/>
      <c r="BL66" s="79"/>
      <c r="BM66" s="79"/>
      <c r="BN66" s="79"/>
      <c r="BO66" s="79"/>
      <c r="BP66" s="79"/>
      <c r="BQ66" s="79"/>
      <c r="BR66" s="79"/>
      <c r="BS66" s="79"/>
      <c r="BT66" s="79"/>
      <c r="BU66" s="79"/>
      <c r="BV66" s="79"/>
      <c r="BW66" s="79"/>
      <c r="BX66" s="79"/>
      <c r="BY66" s="79"/>
      <c r="BZ66" s="79"/>
      <c r="CA66" s="79"/>
      <c r="CB66" s="79"/>
      <c r="CC66" s="79"/>
      <c r="CD66" s="79"/>
      <c r="CE66" s="79"/>
      <c r="CF66" s="35"/>
      <c r="CG66" s="34"/>
      <c r="CH66" s="34"/>
      <c r="CI66" s="34"/>
      <c r="CJ66" s="34"/>
      <c r="CK66" s="34"/>
      <c r="CL66" s="34"/>
      <c r="CM66" s="34"/>
      <c r="CN66" s="34"/>
      <c r="CO66" s="35"/>
      <c r="CP66" s="35"/>
      <c r="CQ66" s="35"/>
      <c r="CR66" s="79"/>
      <c r="CS66" s="79"/>
      <c r="CT66" s="79"/>
      <c r="CU66" s="79"/>
      <c r="CV66" s="79"/>
      <c r="CW66" s="35"/>
      <c r="CX66" s="73" t="s">
        <v>187</v>
      </c>
      <c r="CY66" s="73" t="s">
        <v>30</v>
      </c>
      <c r="CZ66" s="73" t="s">
        <v>31</v>
      </c>
      <c r="DA66" s="73" t="s">
        <v>32</v>
      </c>
      <c r="DB66" s="74" t="s">
        <v>188</v>
      </c>
      <c r="DC66" s="74"/>
      <c r="DD66" s="74" t="s">
        <v>189</v>
      </c>
      <c r="DE66" s="74" t="s">
        <v>190</v>
      </c>
      <c r="DF66" s="74" t="s">
        <v>191</v>
      </c>
      <c r="DG66" s="75" t="s">
        <v>192</v>
      </c>
      <c r="DH66" s="75" t="s">
        <v>193</v>
      </c>
      <c r="DI66" s="75"/>
      <c r="DJ66" s="75" t="s">
        <v>194</v>
      </c>
      <c r="DK66" s="75" t="s">
        <v>195</v>
      </c>
      <c r="DL66" s="76" t="s">
        <v>196</v>
      </c>
      <c r="DM66" s="76" t="s">
        <v>197</v>
      </c>
      <c r="DN66" s="76" t="s">
        <v>198</v>
      </c>
      <c r="DO66" s="76"/>
      <c r="DP66" s="76" t="s">
        <v>199</v>
      </c>
      <c r="DQ66" s="77" t="s">
        <v>33</v>
      </c>
      <c r="DR66" s="77" t="s">
        <v>34</v>
      </c>
      <c r="DS66" s="77" t="s">
        <v>35</v>
      </c>
      <c r="DT66" s="77" t="s">
        <v>36</v>
      </c>
      <c r="DU66" s="77"/>
      <c r="DV66" s="78" t="s">
        <v>200</v>
      </c>
      <c r="DW66" s="78" t="s">
        <v>201</v>
      </c>
      <c r="DX66" s="78" t="s">
        <v>202</v>
      </c>
      <c r="DY66" s="78" t="s">
        <v>203</v>
      </c>
      <c r="DZ66" s="78"/>
      <c r="EA66" s="79"/>
      <c r="EB66" s="35"/>
      <c r="EC66" s="35"/>
      <c r="ED66" s="35"/>
      <c r="EE66" s="35"/>
      <c r="EF66" s="35"/>
      <c r="EG66" s="35"/>
      <c r="EH66" s="35"/>
      <c r="EI66" s="35"/>
      <c r="EJ66" s="35"/>
      <c r="EK66" s="35"/>
      <c r="EL66" s="35"/>
      <c r="EM66" s="35"/>
      <c r="EN66" s="35"/>
      <c r="EO66" s="35"/>
      <c r="EP66" s="35"/>
      <c r="EQ66" s="35"/>
      <c r="ER66" s="35"/>
      <c r="ES66" s="35"/>
      <c r="ET66" s="35"/>
      <c r="EU66" s="35"/>
      <c r="EV66" s="35"/>
      <c r="EW66" s="35"/>
      <c r="EX66" s="35"/>
      <c r="EY66" s="35"/>
      <c r="EZ66" s="35"/>
      <c r="FA66" s="35"/>
      <c r="FB66" s="35"/>
      <c r="FC66" s="35"/>
      <c r="FD66" s="35"/>
      <c r="FE66" s="35"/>
      <c r="FF66" s="35"/>
      <c r="FG66" s="35"/>
      <c r="FH66" s="35"/>
      <c r="FI66" s="35"/>
      <c r="FJ66" s="35"/>
      <c r="FK66" s="35"/>
      <c r="FL66" s="35"/>
      <c r="FM66" s="35"/>
      <c r="FN66" s="35"/>
      <c r="FO66" s="35"/>
      <c r="FP66" s="35"/>
      <c r="FQ66" s="35"/>
      <c r="FR66" s="35"/>
      <c r="FS66" s="35"/>
      <c r="FT66" s="35"/>
      <c r="FU66" s="35"/>
      <c r="FV66" s="35"/>
      <c r="FW66" s="35"/>
      <c r="FX66" s="35"/>
      <c r="FY66" s="35"/>
      <c r="FZ66" s="35"/>
      <c r="GA66" s="35"/>
      <c r="GB66" s="35"/>
      <c r="GC66" s="35"/>
      <c r="GD66" s="35"/>
      <c r="GE66" s="35"/>
      <c r="GF66" s="35"/>
      <c r="GG66" s="35"/>
      <c r="GH66" s="35"/>
      <c r="GI66" s="35"/>
      <c r="GJ66" s="35"/>
      <c r="GK66" s="35"/>
      <c r="GL66" s="35"/>
      <c r="GM66" s="35"/>
      <c r="GN66" s="35"/>
      <c r="GO66" s="35"/>
      <c r="GP66" s="35"/>
      <c r="GQ66" s="35"/>
      <c r="GR66" s="35"/>
      <c r="GS66" s="35"/>
      <c r="GT66" s="35"/>
      <c r="GU66" s="79"/>
      <c r="GV66" s="79"/>
      <c r="GW66" s="79"/>
      <c r="GX66" s="79"/>
      <c r="GY66" s="79"/>
      <c r="GZ66" s="79"/>
      <c r="HA66" s="79"/>
      <c r="HB66" s="79"/>
      <c r="HC66" s="79"/>
      <c r="HD66" s="79"/>
      <c r="HE66" s="79"/>
      <c r="HF66" s="79"/>
      <c r="HG66" s="79"/>
      <c r="HH66" s="79"/>
      <c r="HI66" s="79"/>
      <c r="HJ66" s="79"/>
      <c r="HK66" s="79"/>
      <c r="HL66" s="79"/>
      <c r="HM66" s="79"/>
      <c r="HN66" s="79"/>
      <c r="HO66" s="79"/>
      <c r="HP66" s="79"/>
      <c r="HQ66" s="79"/>
      <c r="HR66" s="79"/>
      <c r="HS66" s="79"/>
      <c r="HT66" s="79"/>
      <c r="HU66" s="79"/>
      <c r="HV66" s="79"/>
      <c r="HW66" s="79"/>
      <c r="HX66" s="79"/>
      <c r="HY66" s="79"/>
      <c r="HZ66" s="79"/>
      <c r="IA66" s="79"/>
      <c r="IB66" s="79"/>
      <c r="IC66" s="79"/>
      <c r="ID66" s="79"/>
      <c r="IE66" s="79"/>
      <c r="IF66" s="79"/>
      <c r="IG66" s="79"/>
      <c r="IH66" s="79"/>
      <c r="II66" s="79"/>
      <c r="IJ66" s="79"/>
      <c r="IK66" s="79"/>
      <c r="IL66" s="79"/>
      <c r="IM66" s="79"/>
      <c r="IN66" s="79"/>
      <c r="IO66" s="79"/>
      <c r="IP66" s="79"/>
      <c r="IQ66" s="79"/>
      <c r="IR66" s="79"/>
      <c r="IS66" s="79"/>
      <c r="IT66" s="79"/>
      <c r="IU66" s="79"/>
      <c r="IV66" s="79"/>
      <c r="IW66" s="79"/>
    </row>
    <row r="67" spans="2:257" s="15" customFormat="1" ht="14.4">
      <c r="B67" s="30">
        <f t="shared" si="254"/>
        <v>3.1699999999999964</v>
      </c>
      <c r="C67" s="38" t="s">
        <v>52</v>
      </c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79"/>
      <c r="BA67" s="79"/>
      <c r="BB67" s="79"/>
      <c r="BC67" s="79"/>
      <c r="BD67" s="79"/>
      <c r="BE67" s="79"/>
      <c r="BF67" s="79"/>
      <c r="BG67" s="79"/>
      <c r="BH67" s="79"/>
      <c r="BI67" s="79"/>
      <c r="BJ67" s="79"/>
      <c r="BK67" s="79"/>
      <c r="BL67" s="79"/>
      <c r="BM67" s="79"/>
      <c r="BN67" s="79"/>
      <c r="BO67" s="79"/>
      <c r="BP67" s="79"/>
      <c r="BQ67" s="79"/>
      <c r="BR67" s="79"/>
      <c r="BS67" s="79"/>
      <c r="BT67" s="79"/>
      <c r="BU67" s="79"/>
      <c r="BV67" s="79"/>
      <c r="BW67" s="79"/>
      <c r="BX67" s="79"/>
      <c r="BY67" s="79"/>
      <c r="BZ67" s="79"/>
      <c r="CA67" s="79"/>
      <c r="CB67" s="79"/>
      <c r="CC67" s="79"/>
      <c r="CD67" s="79"/>
      <c r="CE67" s="79"/>
      <c r="CF67" s="35"/>
      <c r="CG67" s="34"/>
      <c r="CH67" s="34"/>
      <c r="CI67" s="34"/>
      <c r="CJ67" s="34"/>
      <c r="CK67" s="34"/>
      <c r="CL67" s="34"/>
      <c r="CM67" s="34"/>
      <c r="CN67" s="34"/>
      <c r="CO67" s="35"/>
      <c r="CP67" s="35"/>
      <c r="CQ67" s="35"/>
      <c r="CR67" s="79"/>
      <c r="CS67" s="79"/>
      <c r="CT67" s="79"/>
      <c r="CU67" s="79"/>
      <c r="CV67" s="79"/>
      <c r="CW67" s="35"/>
      <c r="CX67" s="73" t="s">
        <v>187</v>
      </c>
      <c r="CY67" s="73" t="s">
        <v>30</v>
      </c>
      <c r="CZ67" s="73" t="s">
        <v>31</v>
      </c>
      <c r="DA67" s="73" t="s">
        <v>32</v>
      </c>
      <c r="DB67" s="74" t="s">
        <v>188</v>
      </c>
      <c r="DC67" s="74"/>
      <c r="DD67" s="74" t="s">
        <v>189</v>
      </c>
      <c r="DE67" s="74" t="s">
        <v>190</v>
      </c>
      <c r="DF67" s="74" t="s">
        <v>191</v>
      </c>
      <c r="DG67" s="75" t="s">
        <v>192</v>
      </c>
      <c r="DH67" s="75" t="s">
        <v>193</v>
      </c>
      <c r="DI67" s="75"/>
      <c r="DJ67" s="75" t="s">
        <v>194</v>
      </c>
      <c r="DK67" s="75" t="s">
        <v>195</v>
      </c>
      <c r="DL67" s="76" t="s">
        <v>196</v>
      </c>
      <c r="DM67" s="76" t="s">
        <v>197</v>
      </c>
      <c r="DN67" s="76" t="s">
        <v>198</v>
      </c>
      <c r="DO67" s="76"/>
      <c r="DP67" s="76" t="s">
        <v>199</v>
      </c>
      <c r="DQ67" s="77" t="s">
        <v>33</v>
      </c>
      <c r="DR67" s="77" t="s">
        <v>34</v>
      </c>
      <c r="DS67" s="77" t="s">
        <v>35</v>
      </c>
      <c r="DT67" s="77" t="s">
        <v>36</v>
      </c>
      <c r="DU67" s="77"/>
      <c r="DV67" s="78" t="s">
        <v>200</v>
      </c>
      <c r="DW67" s="78" t="s">
        <v>201</v>
      </c>
      <c r="DX67" s="78" t="s">
        <v>202</v>
      </c>
      <c r="DY67" s="78" t="s">
        <v>203</v>
      </c>
      <c r="DZ67" s="78"/>
      <c r="EA67" s="79"/>
      <c r="EB67" s="35"/>
      <c r="EC67" s="35"/>
      <c r="ED67" s="35"/>
      <c r="EE67" s="35"/>
      <c r="EF67" s="35"/>
      <c r="EG67" s="35"/>
      <c r="EH67" s="35"/>
      <c r="EI67" s="35"/>
      <c r="EJ67" s="35"/>
      <c r="EK67" s="35"/>
      <c r="EL67" s="35"/>
      <c r="EM67" s="35"/>
      <c r="EN67" s="35"/>
      <c r="EO67" s="35"/>
      <c r="EP67" s="35"/>
      <c r="EQ67" s="35"/>
      <c r="ER67" s="35"/>
      <c r="ES67" s="35"/>
      <c r="ET67" s="35"/>
      <c r="EU67" s="35"/>
      <c r="EV67" s="35"/>
      <c r="EW67" s="35"/>
      <c r="EX67" s="35"/>
      <c r="EY67" s="35"/>
      <c r="EZ67" s="35"/>
      <c r="FA67" s="35"/>
      <c r="FB67" s="35"/>
      <c r="FC67" s="35"/>
      <c r="FD67" s="35"/>
      <c r="FE67" s="35"/>
      <c r="FF67" s="35"/>
      <c r="FG67" s="35"/>
      <c r="FH67" s="35"/>
      <c r="FI67" s="35"/>
      <c r="FJ67" s="35"/>
      <c r="FK67" s="35"/>
      <c r="FL67" s="35"/>
      <c r="FM67" s="35"/>
      <c r="FN67" s="35"/>
      <c r="FO67" s="35"/>
      <c r="FP67" s="35"/>
      <c r="FQ67" s="35"/>
      <c r="FR67" s="35"/>
      <c r="FS67" s="35"/>
      <c r="FT67" s="35"/>
      <c r="FU67" s="35"/>
      <c r="FV67" s="35"/>
      <c r="FW67" s="35"/>
      <c r="FX67" s="35"/>
      <c r="FY67" s="35"/>
      <c r="FZ67" s="35"/>
      <c r="GA67" s="35"/>
      <c r="GB67" s="35"/>
      <c r="GC67" s="35"/>
      <c r="GD67" s="35"/>
      <c r="GE67" s="35"/>
      <c r="GF67" s="35"/>
      <c r="GG67" s="35"/>
      <c r="GH67" s="35"/>
      <c r="GI67" s="35"/>
      <c r="GJ67" s="35"/>
      <c r="GK67" s="35"/>
      <c r="GL67" s="35"/>
      <c r="GM67" s="35"/>
      <c r="GN67" s="35"/>
      <c r="GO67" s="35"/>
      <c r="GP67" s="35"/>
      <c r="GQ67" s="35"/>
      <c r="GR67" s="35"/>
      <c r="GS67" s="35"/>
      <c r="GT67" s="35"/>
      <c r="GU67" s="79"/>
      <c r="GV67" s="79"/>
      <c r="GW67" s="79"/>
      <c r="GX67" s="79"/>
      <c r="GY67" s="79"/>
      <c r="GZ67" s="79"/>
      <c r="HA67" s="79"/>
      <c r="HB67" s="79"/>
      <c r="HC67" s="79"/>
      <c r="HD67" s="79"/>
      <c r="HE67" s="79"/>
      <c r="HF67" s="79"/>
      <c r="HG67" s="79"/>
      <c r="HH67" s="79"/>
      <c r="HI67" s="79"/>
      <c r="HJ67" s="79"/>
      <c r="HK67" s="79"/>
      <c r="HL67" s="79"/>
      <c r="HM67" s="79"/>
      <c r="HN67" s="79"/>
      <c r="HO67" s="79"/>
      <c r="HP67" s="79"/>
      <c r="HQ67" s="79"/>
      <c r="HR67" s="79"/>
      <c r="HS67" s="79"/>
      <c r="HT67" s="79"/>
      <c r="HU67" s="79"/>
      <c r="HV67" s="79"/>
      <c r="HW67" s="79"/>
      <c r="HX67" s="79"/>
      <c r="HY67" s="79"/>
      <c r="HZ67" s="79"/>
      <c r="IA67" s="79"/>
      <c r="IB67" s="79"/>
      <c r="IC67" s="79"/>
      <c r="ID67" s="79"/>
      <c r="IE67" s="79"/>
      <c r="IF67" s="79"/>
      <c r="IG67" s="79"/>
      <c r="IH67" s="79"/>
      <c r="II67" s="79"/>
      <c r="IJ67" s="79"/>
      <c r="IK67" s="79"/>
      <c r="IL67" s="79"/>
      <c r="IM67" s="79"/>
      <c r="IN67" s="79"/>
      <c r="IO67" s="79"/>
      <c r="IP67" s="79"/>
      <c r="IQ67" s="79"/>
      <c r="IR67" s="79"/>
      <c r="IS67" s="79"/>
      <c r="IT67" s="79"/>
      <c r="IU67" s="79"/>
      <c r="IV67" s="79"/>
      <c r="IW67" s="79"/>
    </row>
    <row r="68" spans="2:257" s="27" customFormat="1" ht="14.4">
      <c r="B68" s="30">
        <f t="shared" si="254"/>
        <v>3.1799999999999962</v>
      </c>
      <c r="C68" s="38" t="s">
        <v>53</v>
      </c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79"/>
      <c r="BA68" s="79"/>
      <c r="BB68" s="79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35"/>
      <c r="CG68" s="34"/>
      <c r="CH68" s="34"/>
      <c r="CI68" s="34"/>
      <c r="CJ68" s="34"/>
      <c r="CK68" s="34"/>
      <c r="CL68" s="34"/>
      <c r="CM68" s="34"/>
      <c r="CN68" s="34"/>
      <c r="CO68" s="35"/>
      <c r="CP68" s="35"/>
      <c r="CQ68" s="35"/>
      <c r="CR68" s="83"/>
      <c r="CS68" s="83"/>
      <c r="CT68" s="83"/>
      <c r="CU68" s="83"/>
      <c r="CV68" s="79"/>
      <c r="CW68" s="35"/>
      <c r="CX68" s="73" t="s">
        <v>187</v>
      </c>
      <c r="CY68" s="73" t="s">
        <v>30</v>
      </c>
      <c r="CZ68" s="73" t="s">
        <v>31</v>
      </c>
      <c r="DA68" s="73" t="s">
        <v>32</v>
      </c>
      <c r="DB68" s="74" t="s">
        <v>188</v>
      </c>
      <c r="DC68" s="74"/>
      <c r="DD68" s="74" t="s">
        <v>189</v>
      </c>
      <c r="DE68" s="74" t="s">
        <v>190</v>
      </c>
      <c r="DF68" s="74" t="s">
        <v>191</v>
      </c>
      <c r="DG68" s="75" t="s">
        <v>192</v>
      </c>
      <c r="DH68" s="75" t="s">
        <v>193</v>
      </c>
      <c r="DI68" s="75"/>
      <c r="DJ68" s="75" t="s">
        <v>194</v>
      </c>
      <c r="DK68" s="75" t="s">
        <v>195</v>
      </c>
      <c r="DL68" s="76" t="s">
        <v>196</v>
      </c>
      <c r="DM68" s="76" t="s">
        <v>197</v>
      </c>
      <c r="DN68" s="76" t="s">
        <v>198</v>
      </c>
      <c r="DO68" s="76"/>
      <c r="DP68" s="76" t="s">
        <v>199</v>
      </c>
      <c r="DQ68" s="77" t="s">
        <v>33</v>
      </c>
      <c r="DR68" s="77" t="s">
        <v>34</v>
      </c>
      <c r="DS68" s="77" t="s">
        <v>35</v>
      </c>
      <c r="DT68" s="77" t="s">
        <v>36</v>
      </c>
      <c r="DU68" s="77"/>
      <c r="DV68" s="78" t="s">
        <v>200</v>
      </c>
      <c r="DW68" s="78" t="s">
        <v>201</v>
      </c>
      <c r="DX68" s="78" t="s">
        <v>202</v>
      </c>
      <c r="DY68" s="78" t="s">
        <v>203</v>
      </c>
      <c r="DZ68" s="78"/>
      <c r="EA68" s="79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  <c r="EQ68" s="35"/>
      <c r="ER68" s="35"/>
      <c r="ES68" s="35"/>
      <c r="ET68" s="35"/>
      <c r="EU68" s="35"/>
      <c r="EV68" s="35"/>
      <c r="EW68" s="35"/>
      <c r="EX68" s="35"/>
      <c r="EY68" s="35"/>
      <c r="EZ68" s="35"/>
      <c r="FA68" s="35"/>
      <c r="FB68" s="35"/>
      <c r="FC68" s="35"/>
      <c r="FD68" s="35"/>
      <c r="FE68" s="35"/>
      <c r="FF68" s="35"/>
      <c r="FG68" s="35"/>
      <c r="FH68" s="35"/>
      <c r="FI68" s="35"/>
      <c r="FJ68" s="35"/>
      <c r="FK68" s="35"/>
      <c r="FL68" s="35"/>
      <c r="FM68" s="35"/>
      <c r="FN68" s="35"/>
      <c r="FO68" s="35"/>
      <c r="FP68" s="35"/>
      <c r="FQ68" s="35"/>
      <c r="FR68" s="35"/>
      <c r="FS68" s="35"/>
      <c r="FT68" s="35"/>
      <c r="FU68" s="35"/>
      <c r="FV68" s="35"/>
      <c r="FW68" s="35"/>
      <c r="FX68" s="35"/>
      <c r="FY68" s="35"/>
      <c r="FZ68" s="35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  <c r="GL68" s="35"/>
      <c r="GM68" s="35"/>
      <c r="GN68" s="35"/>
      <c r="GO68" s="35"/>
      <c r="GP68" s="35"/>
      <c r="GQ68" s="35"/>
      <c r="GR68" s="35"/>
      <c r="GS68" s="35"/>
      <c r="GT68" s="35"/>
      <c r="GU68" s="83"/>
      <c r="GV68" s="83"/>
      <c r="GW68" s="83"/>
      <c r="GX68" s="83"/>
      <c r="GY68" s="83"/>
      <c r="GZ68" s="83"/>
      <c r="HA68" s="83"/>
      <c r="HB68" s="83"/>
      <c r="HC68" s="83"/>
      <c r="HD68" s="83"/>
      <c r="HE68" s="83"/>
      <c r="HF68" s="83"/>
      <c r="HG68" s="83"/>
      <c r="HH68" s="83"/>
      <c r="HI68" s="83"/>
      <c r="HJ68" s="83"/>
      <c r="HK68" s="83"/>
      <c r="HL68" s="83"/>
      <c r="HM68" s="83"/>
      <c r="HN68" s="83"/>
      <c r="HO68" s="83"/>
      <c r="HP68" s="83"/>
      <c r="HQ68" s="83"/>
      <c r="HR68" s="83"/>
      <c r="HS68" s="83"/>
      <c r="HT68" s="83"/>
      <c r="HU68" s="83"/>
      <c r="HV68" s="83"/>
      <c r="HW68" s="83"/>
      <c r="HX68" s="83"/>
      <c r="HY68" s="83"/>
      <c r="HZ68" s="83"/>
      <c r="IA68" s="83"/>
      <c r="IB68" s="83"/>
      <c r="IC68" s="83"/>
      <c r="ID68" s="83"/>
      <c r="IE68" s="83"/>
      <c r="IF68" s="83"/>
      <c r="IG68" s="83"/>
      <c r="IH68" s="83"/>
      <c r="II68" s="83"/>
      <c r="IJ68" s="83"/>
      <c r="IK68" s="83"/>
      <c r="IL68" s="83"/>
      <c r="IM68" s="83"/>
      <c r="IN68" s="83"/>
      <c r="IO68" s="83"/>
      <c r="IP68" s="83"/>
      <c r="IQ68" s="83"/>
      <c r="IR68" s="83"/>
      <c r="IS68" s="83"/>
      <c r="IT68" s="83"/>
      <c r="IU68" s="83"/>
      <c r="IV68" s="83"/>
      <c r="IW68" s="83"/>
    </row>
    <row r="69" spans="2:257" s="15" customFormat="1" ht="14.4">
      <c r="B69" s="30">
        <f t="shared" si="254"/>
        <v>3.1899999999999959</v>
      </c>
      <c r="C69" s="38" t="s">
        <v>54</v>
      </c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79"/>
      <c r="BA69" s="79"/>
      <c r="BB69" s="79"/>
      <c r="BC69" s="79"/>
      <c r="BD69" s="79"/>
      <c r="BE69" s="79"/>
      <c r="BF69" s="79"/>
      <c r="BG69" s="79"/>
      <c r="BH69" s="79"/>
      <c r="BI69" s="79"/>
      <c r="BJ69" s="79"/>
      <c r="BK69" s="79"/>
      <c r="BL69" s="79"/>
      <c r="BM69" s="79"/>
      <c r="BN69" s="79"/>
      <c r="BO69" s="79"/>
      <c r="BP69" s="79"/>
      <c r="BQ69" s="79"/>
      <c r="BR69" s="79"/>
      <c r="BS69" s="79"/>
      <c r="BT69" s="79"/>
      <c r="BU69" s="79"/>
      <c r="BV69" s="79"/>
      <c r="BW69" s="79"/>
      <c r="BX69" s="79"/>
      <c r="BY69" s="79"/>
      <c r="BZ69" s="79"/>
      <c r="CA69" s="79"/>
      <c r="CB69" s="79"/>
      <c r="CC69" s="79"/>
      <c r="CD69" s="79"/>
      <c r="CE69" s="79"/>
      <c r="CF69" s="35"/>
      <c r="CG69" s="34"/>
      <c r="CH69" s="34"/>
      <c r="CI69" s="34"/>
      <c r="CJ69" s="34"/>
      <c r="CK69" s="34"/>
      <c r="CL69" s="34"/>
      <c r="CM69" s="34"/>
      <c r="CN69" s="34"/>
      <c r="CO69" s="35"/>
      <c r="CP69" s="35"/>
      <c r="CQ69" s="35"/>
      <c r="CR69" s="79"/>
      <c r="CS69" s="79"/>
      <c r="CT69" s="79"/>
      <c r="CU69" s="79"/>
      <c r="CV69" s="79"/>
      <c r="CW69" s="35"/>
      <c r="CX69" s="73" t="s">
        <v>187</v>
      </c>
      <c r="CY69" s="73" t="s">
        <v>30</v>
      </c>
      <c r="CZ69" s="73" t="s">
        <v>31</v>
      </c>
      <c r="DA69" s="73" t="s">
        <v>32</v>
      </c>
      <c r="DB69" s="74" t="s">
        <v>188</v>
      </c>
      <c r="DC69" s="74"/>
      <c r="DD69" s="74" t="s">
        <v>189</v>
      </c>
      <c r="DE69" s="74" t="s">
        <v>190</v>
      </c>
      <c r="DF69" s="74" t="s">
        <v>191</v>
      </c>
      <c r="DG69" s="75" t="s">
        <v>192</v>
      </c>
      <c r="DH69" s="75" t="s">
        <v>193</v>
      </c>
      <c r="DI69" s="75"/>
      <c r="DJ69" s="75" t="s">
        <v>194</v>
      </c>
      <c r="DK69" s="75" t="s">
        <v>195</v>
      </c>
      <c r="DL69" s="76" t="s">
        <v>196</v>
      </c>
      <c r="DM69" s="76" t="s">
        <v>197</v>
      </c>
      <c r="DN69" s="76" t="s">
        <v>198</v>
      </c>
      <c r="DO69" s="76"/>
      <c r="DP69" s="76" t="s">
        <v>199</v>
      </c>
      <c r="DQ69" s="77" t="s">
        <v>33</v>
      </c>
      <c r="DR69" s="77" t="s">
        <v>34</v>
      </c>
      <c r="DS69" s="77" t="s">
        <v>35</v>
      </c>
      <c r="DT69" s="77" t="s">
        <v>36</v>
      </c>
      <c r="DU69" s="77"/>
      <c r="DV69" s="78" t="s">
        <v>200</v>
      </c>
      <c r="DW69" s="78" t="s">
        <v>201</v>
      </c>
      <c r="DX69" s="78" t="s">
        <v>202</v>
      </c>
      <c r="DY69" s="78" t="s">
        <v>203</v>
      </c>
      <c r="DZ69" s="78"/>
      <c r="EA69" s="79"/>
      <c r="EB69" s="35"/>
      <c r="EC69" s="35"/>
      <c r="ED69" s="35"/>
      <c r="EE69" s="35"/>
      <c r="EF69" s="35"/>
      <c r="EG69" s="35"/>
      <c r="EH69" s="35"/>
      <c r="EI69" s="35"/>
      <c r="EJ69" s="35"/>
      <c r="EK69" s="35"/>
      <c r="EL69" s="35"/>
      <c r="EM69" s="35"/>
      <c r="EN69" s="35"/>
      <c r="EO69" s="35"/>
      <c r="EP69" s="35"/>
      <c r="EQ69" s="35"/>
      <c r="ER69" s="35"/>
      <c r="ES69" s="35"/>
      <c r="ET69" s="35"/>
      <c r="EU69" s="35"/>
      <c r="EV69" s="35"/>
      <c r="EW69" s="35"/>
      <c r="EX69" s="35"/>
      <c r="EY69" s="35"/>
      <c r="EZ69" s="35"/>
      <c r="FA69" s="35"/>
      <c r="FB69" s="35"/>
      <c r="FC69" s="35"/>
      <c r="FD69" s="35"/>
      <c r="FE69" s="35"/>
      <c r="FF69" s="35"/>
      <c r="FG69" s="35"/>
      <c r="FH69" s="35"/>
      <c r="FI69" s="35"/>
      <c r="FJ69" s="35"/>
      <c r="FK69" s="35"/>
      <c r="FL69" s="35"/>
      <c r="FM69" s="35"/>
      <c r="FN69" s="35"/>
      <c r="FO69" s="35"/>
      <c r="FP69" s="35"/>
      <c r="FQ69" s="35"/>
      <c r="FR69" s="35"/>
      <c r="FS69" s="35"/>
      <c r="FT69" s="35"/>
      <c r="FU69" s="35"/>
      <c r="FV69" s="35"/>
      <c r="FW69" s="35"/>
      <c r="FX69" s="35"/>
      <c r="FY69" s="35"/>
      <c r="FZ69" s="35"/>
      <c r="GA69" s="35"/>
      <c r="GB69" s="35"/>
      <c r="GC69" s="35"/>
      <c r="GD69" s="35"/>
      <c r="GE69" s="35"/>
      <c r="GF69" s="35"/>
      <c r="GG69" s="35"/>
      <c r="GH69" s="35"/>
      <c r="GI69" s="35"/>
      <c r="GJ69" s="35"/>
      <c r="GK69" s="35"/>
      <c r="GL69" s="35"/>
      <c r="GM69" s="35"/>
      <c r="GN69" s="35"/>
      <c r="GO69" s="35"/>
      <c r="GP69" s="35"/>
      <c r="GQ69" s="35"/>
      <c r="GR69" s="35"/>
      <c r="GS69" s="35"/>
      <c r="GT69" s="35"/>
      <c r="GU69" s="79"/>
      <c r="GV69" s="79"/>
      <c r="GW69" s="79"/>
      <c r="GX69" s="79"/>
      <c r="GY69" s="79"/>
      <c r="GZ69" s="79"/>
      <c r="HA69" s="79"/>
      <c r="HB69" s="79"/>
      <c r="HC69" s="79"/>
      <c r="HD69" s="79"/>
      <c r="HE69" s="79"/>
      <c r="HF69" s="79"/>
      <c r="HG69" s="79"/>
      <c r="HH69" s="79"/>
      <c r="HI69" s="79"/>
      <c r="HJ69" s="79"/>
      <c r="HK69" s="79"/>
      <c r="HL69" s="79"/>
      <c r="HM69" s="79"/>
      <c r="HN69" s="79"/>
      <c r="HO69" s="79"/>
      <c r="HP69" s="79"/>
      <c r="HQ69" s="79"/>
      <c r="HR69" s="79"/>
      <c r="HS69" s="79"/>
      <c r="HT69" s="79"/>
      <c r="HU69" s="79"/>
      <c r="HV69" s="79"/>
      <c r="HW69" s="79"/>
      <c r="HX69" s="79"/>
      <c r="HY69" s="79"/>
      <c r="HZ69" s="79"/>
      <c r="IA69" s="79"/>
      <c r="IB69" s="79"/>
      <c r="IC69" s="79"/>
      <c r="ID69" s="79"/>
      <c r="IE69" s="79"/>
      <c r="IF69" s="79"/>
      <c r="IG69" s="79"/>
      <c r="IH69" s="79"/>
      <c r="II69" s="79"/>
      <c r="IJ69" s="79"/>
      <c r="IK69" s="79"/>
      <c r="IL69" s="79"/>
      <c r="IM69" s="79"/>
      <c r="IN69" s="79"/>
      <c r="IO69" s="79"/>
      <c r="IP69" s="79"/>
      <c r="IQ69" s="79"/>
      <c r="IR69" s="79"/>
      <c r="IS69" s="79"/>
      <c r="IT69" s="79"/>
      <c r="IU69" s="79"/>
      <c r="IV69" s="79"/>
      <c r="IW69" s="79"/>
    </row>
    <row r="70" spans="2:257" s="27" customFormat="1" ht="14.4">
      <c r="B70" s="30">
        <f t="shared" si="254"/>
        <v>3.1999999999999957</v>
      </c>
      <c r="C70" s="38" t="s">
        <v>55</v>
      </c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79"/>
      <c r="BA70" s="79"/>
      <c r="BB70" s="79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83"/>
      <c r="BT70" s="83"/>
      <c r="BU70" s="83"/>
      <c r="BV70" s="83"/>
      <c r="BW70" s="83"/>
      <c r="BX70" s="83"/>
      <c r="BY70" s="83"/>
      <c r="BZ70" s="83"/>
      <c r="CA70" s="83"/>
      <c r="CB70" s="83"/>
      <c r="CC70" s="83"/>
      <c r="CD70" s="83"/>
      <c r="CE70" s="83"/>
      <c r="CF70" s="35"/>
      <c r="CG70" s="34"/>
      <c r="CH70" s="34"/>
      <c r="CI70" s="34"/>
      <c r="CJ70" s="34"/>
      <c r="CK70" s="34"/>
      <c r="CL70" s="34"/>
      <c r="CM70" s="34"/>
      <c r="CN70" s="34"/>
      <c r="CO70" s="35"/>
      <c r="CP70" s="35"/>
      <c r="CQ70" s="35"/>
      <c r="CR70" s="83"/>
      <c r="CS70" s="83"/>
      <c r="CT70" s="83"/>
      <c r="CU70" s="83"/>
      <c r="CV70" s="79"/>
      <c r="CW70" s="35"/>
      <c r="CX70" s="79"/>
      <c r="CY70" s="73" t="s">
        <v>187</v>
      </c>
      <c r="CZ70" s="73" t="s">
        <v>30</v>
      </c>
      <c r="DA70" s="73" t="s">
        <v>31</v>
      </c>
      <c r="DB70" s="73" t="s">
        <v>32</v>
      </c>
      <c r="DC70" s="73"/>
      <c r="DD70" s="74" t="s">
        <v>188</v>
      </c>
      <c r="DE70" s="74" t="s">
        <v>189</v>
      </c>
      <c r="DF70" s="74" t="s">
        <v>190</v>
      </c>
      <c r="DG70" s="74" t="s">
        <v>191</v>
      </c>
      <c r="DH70" s="75" t="s">
        <v>192</v>
      </c>
      <c r="DI70" s="75"/>
      <c r="DJ70" s="75" t="s">
        <v>193</v>
      </c>
      <c r="DK70" s="75" t="s">
        <v>194</v>
      </c>
      <c r="DL70" s="75" t="s">
        <v>195</v>
      </c>
      <c r="DM70" s="76" t="s">
        <v>196</v>
      </c>
      <c r="DN70" s="76" t="s">
        <v>197</v>
      </c>
      <c r="DO70" s="76"/>
      <c r="DP70" s="76" t="s">
        <v>198</v>
      </c>
      <c r="DQ70" s="76" t="s">
        <v>199</v>
      </c>
      <c r="DR70" s="77" t="s">
        <v>33</v>
      </c>
      <c r="DS70" s="77" t="s">
        <v>34</v>
      </c>
      <c r="DT70" s="77" t="s">
        <v>35</v>
      </c>
      <c r="DU70" s="77"/>
      <c r="DV70" s="77" t="s">
        <v>36</v>
      </c>
      <c r="DW70" s="78" t="s">
        <v>200</v>
      </c>
      <c r="DX70" s="78" t="s">
        <v>201</v>
      </c>
      <c r="DY70" s="78" t="s">
        <v>202</v>
      </c>
      <c r="DZ70" s="78" t="s">
        <v>203</v>
      </c>
      <c r="EA70" s="78"/>
      <c r="EB70" s="35"/>
      <c r="EC70" s="35"/>
      <c r="ED70" s="35"/>
      <c r="EE70" s="35"/>
      <c r="EF70" s="35"/>
      <c r="EG70" s="35"/>
      <c r="EH70" s="35"/>
      <c r="EI70" s="35"/>
      <c r="EJ70" s="35"/>
      <c r="EK70" s="35"/>
      <c r="EL70" s="35"/>
      <c r="EM70" s="35"/>
      <c r="EN70" s="35"/>
      <c r="EO70" s="35"/>
      <c r="EP70" s="35"/>
      <c r="EQ70" s="35"/>
      <c r="ER70" s="35"/>
      <c r="ES70" s="35"/>
      <c r="ET70" s="35"/>
      <c r="EU70" s="35"/>
      <c r="EV70" s="35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  <c r="FN70" s="35"/>
      <c r="FO70" s="35"/>
      <c r="FP70" s="35"/>
      <c r="FQ70" s="35"/>
      <c r="FR70" s="35"/>
      <c r="FS70" s="35"/>
      <c r="FT70" s="35"/>
      <c r="FU70" s="35"/>
      <c r="FV70" s="35"/>
      <c r="FW70" s="35"/>
      <c r="FX70" s="35"/>
      <c r="FY70" s="35"/>
      <c r="FZ70" s="35"/>
      <c r="GA70" s="35"/>
      <c r="GB70" s="35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83"/>
      <c r="GV70" s="83"/>
      <c r="GW70" s="83"/>
      <c r="GX70" s="83"/>
      <c r="GY70" s="83"/>
      <c r="GZ70" s="83"/>
      <c r="HA70" s="83"/>
      <c r="HB70" s="83"/>
      <c r="HC70" s="83"/>
      <c r="HD70" s="83"/>
      <c r="HE70" s="83"/>
      <c r="HF70" s="83"/>
      <c r="HG70" s="83"/>
      <c r="HH70" s="83"/>
      <c r="HI70" s="83"/>
      <c r="HJ70" s="83"/>
      <c r="HK70" s="83"/>
      <c r="HL70" s="83"/>
      <c r="HM70" s="83"/>
      <c r="HN70" s="83"/>
      <c r="HO70" s="83"/>
      <c r="HP70" s="83"/>
      <c r="HQ70" s="83"/>
      <c r="HR70" s="83"/>
      <c r="HS70" s="83"/>
      <c r="HT70" s="83"/>
      <c r="HU70" s="83"/>
      <c r="HV70" s="83"/>
      <c r="HW70" s="83"/>
      <c r="HX70" s="83"/>
      <c r="HY70" s="83"/>
      <c r="HZ70" s="83"/>
      <c r="IA70" s="83"/>
      <c r="IB70" s="83"/>
      <c r="IC70" s="83"/>
      <c r="ID70" s="83"/>
      <c r="IE70" s="83"/>
      <c r="IF70" s="83"/>
      <c r="IG70" s="83"/>
      <c r="IH70" s="83"/>
      <c r="II70" s="83"/>
      <c r="IJ70" s="83"/>
      <c r="IK70" s="83"/>
      <c r="IL70" s="83"/>
      <c r="IM70" s="83"/>
      <c r="IN70" s="83"/>
      <c r="IO70" s="83"/>
      <c r="IP70" s="83"/>
      <c r="IQ70" s="83"/>
      <c r="IR70" s="83"/>
      <c r="IS70" s="83"/>
      <c r="IT70" s="83"/>
      <c r="IU70" s="83"/>
      <c r="IV70" s="83"/>
      <c r="IW70" s="83"/>
    </row>
    <row r="71" spans="2:257" s="15" customFormat="1" ht="14.4">
      <c r="B71" s="30">
        <f t="shared" si="254"/>
        <v>3.2099999999999955</v>
      </c>
      <c r="C71" s="38" t="s">
        <v>56</v>
      </c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79"/>
      <c r="BA71" s="79"/>
      <c r="BB71" s="79"/>
      <c r="BC71" s="79"/>
      <c r="BD71" s="79"/>
      <c r="BE71" s="79"/>
      <c r="BF71" s="79"/>
      <c r="BG71" s="79"/>
      <c r="BH71" s="79"/>
      <c r="BI71" s="79"/>
      <c r="BJ71" s="79"/>
      <c r="BK71" s="79"/>
      <c r="BL71" s="79"/>
      <c r="BM71" s="79"/>
      <c r="BN71" s="79"/>
      <c r="BO71" s="79"/>
      <c r="BP71" s="79"/>
      <c r="BQ71" s="79"/>
      <c r="BR71" s="79"/>
      <c r="BS71" s="79"/>
      <c r="BT71" s="79"/>
      <c r="BU71" s="79"/>
      <c r="BV71" s="79"/>
      <c r="BW71" s="79"/>
      <c r="BX71" s="79"/>
      <c r="BY71" s="79"/>
      <c r="BZ71" s="79"/>
      <c r="CA71" s="79"/>
      <c r="CB71" s="79"/>
      <c r="CC71" s="79"/>
      <c r="CD71" s="79"/>
      <c r="CE71" s="79"/>
      <c r="CF71" s="35"/>
      <c r="CG71" s="34"/>
      <c r="CH71" s="34"/>
      <c r="CI71" s="34"/>
      <c r="CJ71" s="34"/>
      <c r="CK71" s="34"/>
      <c r="CL71" s="34"/>
      <c r="CM71" s="34"/>
      <c r="CN71" s="34"/>
      <c r="CO71" s="35"/>
      <c r="CP71" s="35"/>
      <c r="CQ71" s="35"/>
      <c r="CR71" s="79"/>
      <c r="CS71" s="79"/>
      <c r="CT71" s="79"/>
      <c r="CU71" s="79"/>
      <c r="CV71" s="79"/>
      <c r="CW71" s="35"/>
      <c r="CX71" s="79"/>
      <c r="CY71" s="79"/>
      <c r="CZ71" s="73" t="s">
        <v>187</v>
      </c>
      <c r="DA71" s="73" t="s">
        <v>30</v>
      </c>
      <c r="DB71" s="73" t="s">
        <v>31</v>
      </c>
      <c r="DC71" s="73"/>
      <c r="DD71" s="73" t="s">
        <v>32</v>
      </c>
      <c r="DE71" s="74" t="s">
        <v>188</v>
      </c>
      <c r="DF71" s="74" t="s">
        <v>189</v>
      </c>
      <c r="DG71" s="74" t="s">
        <v>190</v>
      </c>
      <c r="DH71" s="74" t="s">
        <v>191</v>
      </c>
      <c r="DI71" s="74"/>
      <c r="DJ71" s="75" t="s">
        <v>192</v>
      </c>
      <c r="DK71" s="75" t="s">
        <v>193</v>
      </c>
      <c r="DL71" s="75" t="s">
        <v>194</v>
      </c>
      <c r="DM71" s="75" t="s">
        <v>195</v>
      </c>
      <c r="DN71" s="76" t="s">
        <v>196</v>
      </c>
      <c r="DO71" s="76"/>
      <c r="DP71" s="76" t="s">
        <v>197</v>
      </c>
      <c r="DQ71" s="76" t="s">
        <v>198</v>
      </c>
      <c r="DR71" s="76" t="s">
        <v>199</v>
      </c>
      <c r="DS71" s="77" t="s">
        <v>33</v>
      </c>
      <c r="DT71" s="77" t="s">
        <v>34</v>
      </c>
      <c r="DU71" s="77"/>
      <c r="DV71" s="77" t="s">
        <v>35</v>
      </c>
      <c r="DW71" s="77" t="s">
        <v>36</v>
      </c>
      <c r="DX71" s="78" t="s">
        <v>200</v>
      </c>
      <c r="DY71" s="78" t="s">
        <v>201</v>
      </c>
      <c r="DZ71" s="78" t="s">
        <v>202</v>
      </c>
      <c r="EA71" s="78"/>
      <c r="EB71" s="59" t="s">
        <v>203</v>
      </c>
      <c r="EC71" s="35"/>
      <c r="ED71" s="35"/>
      <c r="EE71" s="35"/>
      <c r="EF71" s="35"/>
      <c r="EG71" s="35"/>
      <c r="EH71" s="35"/>
      <c r="EI71" s="35"/>
      <c r="EJ71" s="35"/>
      <c r="EK71" s="35"/>
      <c r="EL71" s="35"/>
      <c r="EM71" s="35"/>
      <c r="EN71" s="35"/>
      <c r="EO71" s="35"/>
      <c r="EP71" s="35"/>
      <c r="EQ71" s="35"/>
      <c r="ER71" s="35"/>
      <c r="ES71" s="35"/>
      <c r="ET71" s="35"/>
      <c r="EU71" s="35"/>
      <c r="EV71" s="35"/>
      <c r="EW71" s="35"/>
      <c r="EX71" s="35"/>
      <c r="EY71" s="35"/>
      <c r="EZ71" s="35"/>
      <c r="FA71" s="35"/>
      <c r="FB71" s="35"/>
      <c r="FC71" s="35"/>
      <c r="FD71" s="35"/>
      <c r="FE71" s="35"/>
      <c r="FF71" s="35"/>
      <c r="FG71" s="35"/>
      <c r="FH71" s="35"/>
      <c r="FI71" s="35"/>
      <c r="FJ71" s="35"/>
      <c r="FK71" s="35"/>
      <c r="FL71" s="35"/>
      <c r="FM71" s="35"/>
      <c r="FN71" s="35"/>
      <c r="FO71" s="35"/>
      <c r="FP71" s="35"/>
      <c r="FQ71" s="35"/>
      <c r="FR71" s="35"/>
      <c r="FS71" s="35"/>
      <c r="FT71" s="35"/>
      <c r="FU71" s="35"/>
      <c r="FV71" s="35"/>
      <c r="FW71" s="35"/>
      <c r="FX71" s="35"/>
      <c r="FY71" s="35"/>
      <c r="FZ71" s="35"/>
      <c r="GA71" s="35"/>
      <c r="GB71" s="35"/>
      <c r="GC71" s="35"/>
      <c r="GD71" s="35"/>
      <c r="GE71" s="35"/>
      <c r="GF71" s="35"/>
      <c r="GG71" s="35"/>
      <c r="GH71" s="35"/>
      <c r="GI71" s="35"/>
      <c r="GJ71" s="35"/>
      <c r="GK71" s="35"/>
      <c r="GL71" s="35"/>
      <c r="GM71" s="35"/>
      <c r="GN71" s="35"/>
      <c r="GO71" s="35"/>
      <c r="GP71" s="35"/>
      <c r="GQ71" s="35"/>
      <c r="GR71" s="35"/>
      <c r="GS71" s="35"/>
      <c r="GT71" s="79"/>
      <c r="GU71" s="79"/>
      <c r="GV71" s="79"/>
      <c r="GW71" s="79"/>
      <c r="GX71" s="79"/>
      <c r="GY71" s="79"/>
      <c r="GZ71" s="79"/>
      <c r="HA71" s="79"/>
      <c r="HB71" s="79"/>
      <c r="HC71" s="79"/>
      <c r="HD71" s="79"/>
      <c r="HE71" s="79"/>
      <c r="HF71" s="79"/>
      <c r="HG71" s="79"/>
      <c r="HH71" s="79"/>
      <c r="HI71" s="79"/>
      <c r="HJ71" s="79"/>
      <c r="HK71" s="79"/>
      <c r="HL71" s="79"/>
      <c r="HM71" s="79"/>
      <c r="HN71" s="79"/>
      <c r="HO71" s="79"/>
      <c r="HP71" s="79"/>
      <c r="HQ71" s="79"/>
      <c r="HR71" s="79"/>
      <c r="HS71" s="79"/>
      <c r="HT71" s="79"/>
      <c r="HU71" s="79"/>
      <c r="HV71" s="79"/>
      <c r="HW71" s="79"/>
      <c r="HX71" s="79"/>
      <c r="HY71" s="79"/>
      <c r="HZ71" s="79"/>
      <c r="IA71" s="79"/>
      <c r="IB71" s="79"/>
      <c r="IC71" s="79"/>
      <c r="ID71" s="79"/>
      <c r="IE71" s="79"/>
      <c r="IF71" s="79"/>
      <c r="IG71" s="79"/>
      <c r="IH71" s="79"/>
      <c r="II71" s="79"/>
      <c r="IJ71" s="79"/>
      <c r="IK71" s="79"/>
      <c r="IL71" s="79"/>
      <c r="IM71" s="79"/>
      <c r="IN71" s="79"/>
      <c r="IO71" s="79"/>
      <c r="IP71" s="79"/>
      <c r="IQ71" s="79"/>
      <c r="IR71" s="79"/>
      <c r="IS71" s="79"/>
      <c r="IT71" s="79"/>
      <c r="IU71" s="79"/>
      <c r="IV71" s="79"/>
      <c r="IW71" s="79"/>
    </row>
    <row r="72" spans="2:257" s="15" customFormat="1" ht="15" thickBot="1">
      <c r="B72" s="30">
        <f t="shared" si="254"/>
        <v>3.2199999999999953</v>
      </c>
      <c r="C72" s="39" t="s">
        <v>50</v>
      </c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79"/>
      <c r="BA72" s="79"/>
      <c r="BB72" s="79"/>
      <c r="BC72" s="79"/>
      <c r="BD72" s="79"/>
      <c r="BE72" s="79"/>
      <c r="BF72" s="79"/>
      <c r="BG72" s="79"/>
      <c r="BH72" s="79"/>
      <c r="BI72" s="79"/>
      <c r="BJ72" s="79"/>
      <c r="BK72" s="79"/>
      <c r="BL72" s="79"/>
      <c r="BM72" s="79"/>
      <c r="BN72" s="79"/>
      <c r="BO72" s="79"/>
      <c r="BP72" s="79"/>
      <c r="BQ72" s="79"/>
      <c r="BR72" s="79"/>
      <c r="BS72" s="79"/>
      <c r="BT72" s="79"/>
      <c r="BU72" s="79"/>
      <c r="BV72" s="79"/>
      <c r="BW72" s="79"/>
      <c r="BX72" s="79"/>
      <c r="BY72" s="79"/>
      <c r="BZ72" s="79"/>
      <c r="CA72" s="79"/>
      <c r="CB72" s="79"/>
      <c r="CC72" s="79"/>
      <c r="CD72" s="79"/>
      <c r="CE72" s="79"/>
      <c r="CF72" s="35"/>
      <c r="CG72" s="34"/>
      <c r="CH72" s="34"/>
      <c r="CI72" s="34"/>
      <c r="CJ72" s="34"/>
      <c r="CK72" s="34"/>
      <c r="CL72" s="34"/>
      <c r="CM72" s="34"/>
      <c r="CN72" s="34"/>
      <c r="CO72" s="35"/>
      <c r="CP72" s="35"/>
      <c r="CQ72" s="35"/>
      <c r="CR72" s="79"/>
      <c r="CS72" s="79"/>
      <c r="CT72" s="79"/>
      <c r="CU72" s="79"/>
      <c r="CV72" s="79"/>
      <c r="CW72" s="35"/>
      <c r="CX72" s="79"/>
      <c r="CY72" s="79"/>
      <c r="CZ72" s="73" t="s">
        <v>187</v>
      </c>
      <c r="DA72" s="73" t="s">
        <v>30</v>
      </c>
      <c r="DB72" s="73" t="s">
        <v>31</v>
      </c>
      <c r="DC72" s="73"/>
      <c r="DD72" s="73" t="s">
        <v>32</v>
      </c>
      <c r="DE72" s="74" t="s">
        <v>188</v>
      </c>
      <c r="DF72" s="74" t="s">
        <v>189</v>
      </c>
      <c r="DG72" s="74" t="s">
        <v>190</v>
      </c>
      <c r="DH72" s="74" t="s">
        <v>191</v>
      </c>
      <c r="DI72" s="74"/>
      <c r="DJ72" s="75" t="s">
        <v>192</v>
      </c>
      <c r="DK72" s="75" t="s">
        <v>193</v>
      </c>
      <c r="DL72" s="75" t="s">
        <v>194</v>
      </c>
      <c r="DM72" s="75" t="s">
        <v>195</v>
      </c>
      <c r="DN72" s="76" t="s">
        <v>196</v>
      </c>
      <c r="DO72" s="76"/>
      <c r="DP72" s="76" t="s">
        <v>197</v>
      </c>
      <c r="DQ72" s="76" t="s">
        <v>198</v>
      </c>
      <c r="DR72" s="76" t="s">
        <v>199</v>
      </c>
      <c r="DS72" s="77" t="s">
        <v>33</v>
      </c>
      <c r="DT72" s="77" t="s">
        <v>34</v>
      </c>
      <c r="DU72" s="77"/>
      <c r="DV72" s="77" t="s">
        <v>35</v>
      </c>
      <c r="DW72" s="77" t="s">
        <v>36</v>
      </c>
      <c r="DX72" s="78" t="s">
        <v>200</v>
      </c>
      <c r="DY72" s="78" t="s">
        <v>201</v>
      </c>
      <c r="DZ72" s="78" t="s">
        <v>202</v>
      </c>
      <c r="EA72" s="78"/>
      <c r="EB72" s="59" t="s">
        <v>203</v>
      </c>
      <c r="EC72" s="35"/>
      <c r="ED72" s="35"/>
      <c r="EE72" s="35"/>
      <c r="EF72" s="35"/>
      <c r="EG72" s="35"/>
      <c r="EH72" s="35"/>
      <c r="EI72" s="35"/>
      <c r="EJ72" s="35"/>
      <c r="EK72" s="35"/>
      <c r="EL72" s="35"/>
      <c r="EM72" s="35"/>
      <c r="EN72" s="35"/>
      <c r="EO72" s="35"/>
      <c r="EP72" s="35"/>
      <c r="EQ72" s="35"/>
      <c r="ER72" s="35"/>
      <c r="ES72" s="35"/>
      <c r="ET72" s="35"/>
      <c r="EU72" s="35"/>
      <c r="EV72" s="35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  <c r="FN72" s="35"/>
      <c r="FO72" s="35"/>
      <c r="FP72" s="35"/>
      <c r="FQ72" s="35"/>
      <c r="FR72" s="35"/>
      <c r="FS72" s="35"/>
      <c r="FT72" s="35"/>
      <c r="FU72" s="35"/>
      <c r="FV72" s="35"/>
      <c r="FW72" s="35"/>
      <c r="FX72" s="35"/>
      <c r="FY72" s="35"/>
      <c r="FZ72" s="35"/>
      <c r="GA72" s="35"/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  <c r="GT72" s="79"/>
      <c r="GU72" s="79"/>
      <c r="GV72" s="79"/>
      <c r="GW72" s="79"/>
      <c r="GX72" s="79"/>
      <c r="GY72" s="79"/>
      <c r="GZ72" s="79"/>
      <c r="HA72" s="79"/>
      <c r="HB72" s="79"/>
      <c r="HC72" s="79"/>
      <c r="HD72" s="79"/>
      <c r="HE72" s="79"/>
      <c r="HF72" s="79"/>
      <c r="HG72" s="79"/>
      <c r="HH72" s="79"/>
      <c r="HI72" s="79"/>
      <c r="HJ72" s="79"/>
      <c r="HK72" s="79"/>
      <c r="HL72" s="79"/>
      <c r="HM72" s="79"/>
      <c r="HN72" s="79"/>
      <c r="HO72" s="79"/>
      <c r="HP72" s="79"/>
      <c r="HQ72" s="79"/>
      <c r="HR72" s="79"/>
      <c r="HS72" s="79"/>
      <c r="HT72" s="79"/>
      <c r="HU72" s="79"/>
      <c r="HV72" s="79"/>
      <c r="HW72" s="79"/>
      <c r="HX72" s="79"/>
      <c r="HY72" s="79"/>
      <c r="HZ72" s="79"/>
      <c r="IA72" s="79"/>
      <c r="IB72" s="79"/>
      <c r="IC72" s="79"/>
      <c r="ID72" s="79"/>
      <c r="IE72" s="79"/>
      <c r="IF72" s="79"/>
      <c r="IG72" s="79"/>
      <c r="IH72" s="79"/>
      <c r="II72" s="79"/>
      <c r="IJ72" s="79"/>
      <c r="IK72" s="79"/>
      <c r="IL72" s="79"/>
      <c r="IM72" s="79"/>
      <c r="IN72" s="79"/>
      <c r="IO72" s="79"/>
      <c r="IP72" s="79"/>
      <c r="IQ72" s="79"/>
      <c r="IR72" s="79"/>
      <c r="IS72" s="79"/>
      <c r="IT72" s="79"/>
      <c r="IU72" s="79"/>
      <c r="IV72" s="79"/>
      <c r="IW72" s="79"/>
    </row>
    <row r="73" spans="2:257" s="15" customFormat="1" ht="15" thickBot="1">
      <c r="B73" s="30">
        <v>4</v>
      </c>
      <c r="C73" s="33" t="s">
        <v>57</v>
      </c>
      <c r="D73" s="34"/>
      <c r="E73" s="34"/>
      <c r="F73" s="34"/>
      <c r="G73" s="34"/>
      <c r="H73" s="34"/>
      <c r="I73" s="34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79"/>
      <c r="BD73" s="79"/>
      <c r="BE73" s="79"/>
      <c r="BF73" s="79"/>
      <c r="BG73" s="79"/>
      <c r="BH73" s="79"/>
      <c r="BI73" s="79"/>
      <c r="BJ73" s="79"/>
      <c r="BK73" s="79"/>
      <c r="BL73" s="79"/>
      <c r="BM73" s="79"/>
      <c r="BN73" s="79"/>
      <c r="BO73" s="79"/>
      <c r="BP73" s="79"/>
      <c r="BQ73" s="79"/>
      <c r="BR73" s="79"/>
      <c r="BS73" s="79"/>
      <c r="BT73" s="79"/>
      <c r="BU73" s="79"/>
      <c r="BV73" s="79"/>
      <c r="BW73" s="79"/>
      <c r="BX73" s="79"/>
      <c r="BY73" s="79"/>
      <c r="BZ73" s="79"/>
      <c r="CA73" s="79"/>
      <c r="CB73" s="79"/>
      <c r="CC73" s="79"/>
      <c r="CD73" s="79"/>
      <c r="CE73" s="79"/>
      <c r="CF73" s="35"/>
      <c r="CG73" s="34"/>
      <c r="CH73" s="34"/>
      <c r="CI73" s="34"/>
      <c r="CJ73" s="34"/>
      <c r="CK73" s="34"/>
      <c r="CL73" s="34"/>
      <c r="CM73" s="34"/>
      <c r="CN73" s="34"/>
      <c r="CO73" s="35"/>
      <c r="CP73" s="35"/>
      <c r="CQ73" s="35"/>
      <c r="CR73" s="79"/>
      <c r="CS73" s="79"/>
      <c r="CT73" s="79"/>
      <c r="CU73" s="79"/>
      <c r="CV73" s="35"/>
      <c r="CW73" s="35"/>
      <c r="CX73" s="35"/>
      <c r="CY73" s="35"/>
      <c r="CZ73" s="35"/>
      <c r="DA73" s="35"/>
      <c r="DB73" s="35"/>
      <c r="DC73" s="79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  <c r="ER73" s="35"/>
      <c r="ES73" s="35"/>
      <c r="ET73" s="35"/>
      <c r="EU73" s="35"/>
      <c r="EV73" s="35"/>
      <c r="EW73" s="35"/>
      <c r="EX73" s="35"/>
      <c r="EY73" s="35"/>
      <c r="EZ73" s="35"/>
      <c r="FA73" s="35"/>
      <c r="FB73" s="35"/>
      <c r="FC73" s="35"/>
      <c r="FD73" s="35"/>
      <c r="FE73" s="35"/>
      <c r="FF73" s="35"/>
      <c r="FG73" s="35"/>
      <c r="FH73" s="35"/>
      <c r="FI73" s="35"/>
      <c r="FJ73" s="35"/>
      <c r="FK73" s="35"/>
      <c r="FL73" s="35"/>
      <c r="FM73" s="35"/>
      <c r="FN73" s="35"/>
      <c r="FO73" s="35"/>
      <c r="FP73" s="35"/>
      <c r="FQ73" s="35"/>
      <c r="FR73" s="35"/>
      <c r="FS73" s="35"/>
      <c r="FT73" s="35"/>
      <c r="FU73" s="35"/>
      <c r="FV73" s="35"/>
      <c r="FW73" s="35"/>
      <c r="FX73" s="35"/>
      <c r="FY73" s="35"/>
      <c r="FZ73" s="35"/>
      <c r="GA73" s="35"/>
      <c r="GB73" s="35"/>
      <c r="GC73" s="35"/>
      <c r="GD73" s="35"/>
      <c r="GE73" s="35"/>
      <c r="GF73" s="35"/>
      <c r="GG73" s="35"/>
      <c r="GH73" s="35"/>
      <c r="GI73" s="35"/>
      <c r="GJ73" s="35"/>
      <c r="GK73" s="35"/>
      <c r="GL73" s="35"/>
      <c r="GM73" s="35"/>
      <c r="GN73" s="35"/>
      <c r="GO73" s="35"/>
      <c r="GP73" s="35"/>
      <c r="GQ73" s="35"/>
      <c r="GR73" s="35"/>
      <c r="GS73" s="35"/>
      <c r="GT73" s="79"/>
      <c r="GU73" s="79"/>
      <c r="GV73" s="79"/>
      <c r="GW73" s="79"/>
      <c r="GX73" s="79"/>
      <c r="GY73" s="79"/>
      <c r="GZ73" s="79"/>
      <c r="HA73" s="79"/>
      <c r="HB73" s="79"/>
      <c r="HC73" s="79"/>
      <c r="HD73" s="79"/>
      <c r="HE73" s="79"/>
      <c r="HF73" s="79"/>
      <c r="HG73" s="79"/>
      <c r="HH73" s="79"/>
      <c r="HI73" s="79"/>
      <c r="HJ73" s="79"/>
      <c r="HK73" s="79"/>
      <c r="HL73" s="79"/>
      <c r="HM73" s="79"/>
      <c r="HN73" s="79"/>
      <c r="HO73" s="79"/>
      <c r="HP73" s="79"/>
      <c r="HQ73" s="79"/>
      <c r="HR73" s="79"/>
      <c r="HS73" s="79"/>
      <c r="HT73" s="79"/>
      <c r="HU73" s="79"/>
      <c r="HV73" s="79"/>
      <c r="HW73" s="79"/>
      <c r="HX73" s="79"/>
      <c r="HY73" s="79"/>
      <c r="HZ73" s="79"/>
      <c r="IA73" s="79"/>
      <c r="IB73" s="79"/>
      <c r="IC73" s="79"/>
      <c r="ID73" s="79"/>
      <c r="IE73" s="79"/>
      <c r="IF73" s="79"/>
      <c r="IG73" s="79"/>
      <c r="IH73" s="79"/>
      <c r="II73" s="79"/>
      <c r="IJ73" s="79"/>
      <c r="IK73" s="79"/>
      <c r="IL73" s="79"/>
      <c r="IM73" s="79"/>
      <c r="IN73" s="79"/>
      <c r="IO73" s="79"/>
      <c r="IP73" s="79"/>
      <c r="IQ73" s="79"/>
      <c r="IR73" s="79"/>
      <c r="IS73" s="79"/>
      <c r="IT73" s="79"/>
      <c r="IU73" s="79"/>
      <c r="IV73" s="79"/>
      <c r="IW73" s="79"/>
    </row>
    <row r="74" spans="2:257" s="15" customFormat="1" ht="14.4">
      <c r="B74" s="30">
        <f t="shared" si="254"/>
        <v>4.01</v>
      </c>
      <c r="C74" s="37" t="s">
        <v>58</v>
      </c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79"/>
      <c r="BD74" s="79"/>
      <c r="BE74" s="79"/>
      <c r="BF74" s="79"/>
      <c r="BG74" s="79"/>
      <c r="BH74" s="79"/>
      <c r="BI74" s="79"/>
      <c r="BJ74" s="79"/>
      <c r="BK74" s="79"/>
      <c r="BL74" s="79"/>
      <c r="BM74" s="79"/>
      <c r="BN74" s="79"/>
      <c r="BO74" s="79"/>
      <c r="BP74" s="79"/>
      <c r="BQ74" s="79"/>
      <c r="BR74" s="79"/>
      <c r="BS74" s="79"/>
      <c r="BT74" s="79"/>
      <c r="BU74" s="79"/>
      <c r="BV74" s="79"/>
      <c r="BW74" s="79"/>
      <c r="BX74" s="79"/>
      <c r="BY74" s="79"/>
      <c r="BZ74" s="79"/>
      <c r="CA74" s="79"/>
      <c r="CB74" s="79"/>
      <c r="CC74" s="79"/>
      <c r="CD74" s="79"/>
      <c r="CE74" s="79"/>
      <c r="CF74" s="35"/>
      <c r="CG74" s="34"/>
      <c r="CH74" s="34"/>
      <c r="CI74" s="34"/>
      <c r="CJ74" s="34"/>
      <c r="CK74" s="34"/>
      <c r="CL74" s="34"/>
      <c r="CM74" s="34"/>
      <c r="CN74" s="34"/>
      <c r="CO74" s="35"/>
      <c r="CP74" s="35"/>
      <c r="CQ74" s="35"/>
      <c r="CR74" s="79"/>
      <c r="CS74" s="79"/>
      <c r="CT74" s="79"/>
      <c r="CU74" s="79"/>
      <c r="CV74" s="35"/>
      <c r="CW74" s="35"/>
      <c r="CX74" s="35"/>
      <c r="CY74" s="35"/>
      <c r="CZ74" s="35"/>
      <c r="DA74" s="35"/>
      <c r="DB74" s="35"/>
      <c r="DC74" s="79"/>
      <c r="DD74" s="55" t="s">
        <v>187</v>
      </c>
      <c r="DE74" s="55" t="s">
        <v>30</v>
      </c>
      <c r="DF74" s="55" t="s">
        <v>31</v>
      </c>
      <c r="DG74" s="55" t="s">
        <v>32</v>
      </c>
      <c r="DH74" s="56" t="s">
        <v>188</v>
      </c>
      <c r="DI74" s="56"/>
      <c r="DJ74" s="56" t="s">
        <v>189</v>
      </c>
      <c r="DK74" s="56" t="s">
        <v>190</v>
      </c>
      <c r="DL74" s="56" t="s">
        <v>191</v>
      </c>
      <c r="DM74" s="57" t="s">
        <v>192</v>
      </c>
      <c r="DN74" s="57" t="s">
        <v>193</v>
      </c>
      <c r="DO74" s="57"/>
      <c r="DP74" s="57" t="s">
        <v>194</v>
      </c>
      <c r="DQ74" s="57" t="s">
        <v>195</v>
      </c>
      <c r="DR74" s="58" t="s">
        <v>196</v>
      </c>
      <c r="DS74" s="58" t="s">
        <v>197</v>
      </c>
      <c r="DT74" s="58" t="s">
        <v>198</v>
      </c>
      <c r="DU74" s="58"/>
      <c r="DV74" s="58" t="s">
        <v>199</v>
      </c>
      <c r="DW74" s="42" t="s">
        <v>33</v>
      </c>
      <c r="DX74" s="42" t="s">
        <v>34</v>
      </c>
      <c r="DY74" s="42" t="s">
        <v>35</v>
      </c>
      <c r="DZ74" s="42" t="s">
        <v>36</v>
      </c>
      <c r="EA74" s="42"/>
      <c r="EB74" s="59" t="s">
        <v>200</v>
      </c>
      <c r="EC74" s="59" t="s">
        <v>201</v>
      </c>
      <c r="ED74" s="59" t="s">
        <v>202</v>
      </c>
      <c r="EE74" s="59" t="s">
        <v>203</v>
      </c>
      <c r="EF74" s="59"/>
      <c r="EG74" s="35"/>
      <c r="EH74" s="35"/>
      <c r="EI74" s="35"/>
      <c r="EJ74" s="35"/>
      <c r="EK74" s="35"/>
      <c r="EL74" s="35"/>
      <c r="EM74" s="35"/>
      <c r="EN74" s="35"/>
      <c r="EO74" s="35"/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  <c r="FS74" s="3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79"/>
      <c r="GU74" s="79"/>
      <c r="GV74" s="79"/>
      <c r="GW74" s="79"/>
      <c r="GX74" s="79"/>
      <c r="GY74" s="79"/>
      <c r="GZ74" s="79"/>
      <c r="HA74" s="79"/>
      <c r="HB74" s="79"/>
      <c r="HC74" s="79"/>
      <c r="HD74" s="79"/>
      <c r="HE74" s="79"/>
      <c r="HF74" s="79"/>
      <c r="HG74" s="79"/>
      <c r="HH74" s="79"/>
      <c r="HI74" s="79"/>
      <c r="HJ74" s="79"/>
      <c r="HK74" s="79"/>
      <c r="HL74" s="79"/>
      <c r="HM74" s="79"/>
      <c r="HN74" s="79"/>
      <c r="HO74" s="79"/>
      <c r="HP74" s="79"/>
      <c r="HQ74" s="79"/>
      <c r="HR74" s="79"/>
      <c r="HS74" s="79"/>
      <c r="HT74" s="79"/>
      <c r="HU74" s="79"/>
      <c r="HV74" s="79"/>
      <c r="HW74" s="79"/>
      <c r="HX74" s="79"/>
      <c r="HY74" s="79"/>
      <c r="HZ74" s="79"/>
      <c r="IA74" s="79"/>
      <c r="IB74" s="79"/>
      <c r="IC74" s="79"/>
      <c r="ID74" s="79"/>
      <c r="IE74" s="79"/>
      <c r="IF74" s="79"/>
      <c r="IG74" s="79"/>
      <c r="IH74" s="79"/>
      <c r="II74" s="79"/>
      <c r="IJ74" s="79"/>
      <c r="IK74" s="79"/>
      <c r="IL74" s="79"/>
      <c r="IM74" s="79"/>
      <c r="IN74" s="79"/>
      <c r="IO74" s="79"/>
      <c r="IP74" s="79"/>
      <c r="IQ74" s="79"/>
      <c r="IR74" s="79"/>
      <c r="IS74" s="79"/>
      <c r="IT74" s="79"/>
      <c r="IU74" s="79"/>
      <c r="IV74" s="79"/>
      <c r="IW74" s="79"/>
    </row>
    <row r="75" spans="2:257" s="15" customFormat="1" ht="14.4">
      <c r="B75" s="30">
        <f t="shared" si="254"/>
        <v>4.0199999999999996</v>
      </c>
      <c r="C75" s="38" t="s">
        <v>59</v>
      </c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79"/>
      <c r="BD75" s="79"/>
      <c r="BE75" s="79"/>
      <c r="BF75" s="79"/>
      <c r="BG75" s="79"/>
      <c r="BH75" s="79"/>
      <c r="BI75" s="79"/>
      <c r="BJ75" s="79"/>
      <c r="BK75" s="79"/>
      <c r="BL75" s="79"/>
      <c r="BM75" s="79"/>
      <c r="BN75" s="79"/>
      <c r="BO75" s="79"/>
      <c r="BP75" s="79"/>
      <c r="BQ75" s="79"/>
      <c r="BR75" s="79"/>
      <c r="BS75" s="79"/>
      <c r="BT75" s="79"/>
      <c r="BU75" s="79"/>
      <c r="BV75" s="79"/>
      <c r="BW75" s="79"/>
      <c r="BX75" s="79"/>
      <c r="BY75" s="79"/>
      <c r="BZ75" s="79"/>
      <c r="CA75" s="79"/>
      <c r="CB75" s="79"/>
      <c r="CC75" s="79"/>
      <c r="CD75" s="79"/>
      <c r="CE75" s="79"/>
      <c r="CF75" s="35"/>
      <c r="CG75" s="34"/>
      <c r="CH75" s="34"/>
      <c r="CI75" s="34"/>
      <c r="CJ75" s="34"/>
      <c r="CK75" s="34"/>
      <c r="CL75" s="34"/>
      <c r="CM75" s="34"/>
      <c r="CN75" s="34"/>
      <c r="CO75" s="35"/>
      <c r="CP75" s="35"/>
      <c r="CQ75" s="35"/>
      <c r="CR75" s="79"/>
      <c r="CS75" s="79"/>
      <c r="CT75" s="79"/>
      <c r="CU75" s="79"/>
      <c r="CV75" s="35"/>
      <c r="CW75" s="35"/>
      <c r="CX75" s="35"/>
      <c r="CY75" s="35"/>
      <c r="CZ75" s="35"/>
      <c r="DA75" s="35"/>
      <c r="DB75" s="35"/>
      <c r="DC75" s="79"/>
      <c r="DD75" s="55" t="s">
        <v>187</v>
      </c>
      <c r="DE75" s="55" t="s">
        <v>30</v>
      </c>
      <c r="DF75" s="55" t="s">
        <v>31</v>
      </c>
      <c r="DG75" s="55" t="s">
        <v>32</v>
      </c>
      <c r="DH75" s="56" t="s">
        <v>188</v>
      </c>
      <c r="DI75" s="56"/>
      <c r="DJ75" s="56" t="s">
        <v>189</v>
      </c>
      <c r="DK75" s="56" t="s">
        <v>190</v>
      </c>
      <c r="DL75" s="56" t="s">
        <v>191</v>
      </c>
      <c r="DM75" s="57" t="s">
        <v>192</v>
      </c>
      <c r="DN75" s="57" t="s">
        <v>193</v>
      </c>
      <c r="DO75" s="57"/>
      <c r="DP75" s="57" t="s">
        <v>194</v>
      </c>
      <c r="DQ75" s="57" t="s">
        <v>195</v>
      </c>
      <c r="DR75" s="58" t="s">
        <v>196</v>
      </c>
      <c r="DS75" s="58" t="s">
        <v>197</v>
      </c>
      <c r="DT75" s="58" t="s">
        <v>198</v>
      </c>
      <c r="DU75" s="58"/>
      <c r="DV75" s="58" t="s">
        <v>199</v>
      </c>
      <c r="DW75" s="42" t="s">
        <v>33</v>
      </c>
      <c r="DX75" s="42" t="s">
        <v>34</v>
      </c>
      <c r="DY75" s="42" t="s">
        <v>35</v>
      </c>
      <c r="DZ75" s="42" t="s">
        <v>36</v>
      </c>
      <c r="EA75" s="42"/>
      <c r="EB75" s="59" t="s">
        <v>200</v>
      </c>
      <c r="EC75" s="59" t="s">
        <v>201</v>
      </c>
      <c r="ED75" s="59" t="s">
        <v>202</v>
      </c>
      <c r="EE75" s="59" t="s">
        <v>203</v>
      </c>
      <c r="EF75" s="59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  <c r="ER75" s="35"/>
      <c r="ES75" s="35"/>
      <c r="ET75" s="35"/>
      <c r="EU75" s="35"/>
      <c r="EV75" s="35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  <c r="FS75" s="3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79"/>
      <c r="GU75" s="79"/>
      <c r="GV75" s="79"/>
      <c r="GW75" s="79"/>
      <c r="GX75" s="79"/>
      <c r="GY75" s="79"/>
      <c r="GZ75" s="79"/>
      <c r="HA75" s="79"/>
      <c r="HB75" s="79"/>
      <c r="HC75" s="79"/>
      <c r="HD75" s="79"/>
      <c r="HE75" s="79"/>
      <c r="HF75" s="79"/>
      <c r="HG75" s="79"/>
      <c r="HH75" s="79"/>
      <c r="HI75" s="79"/>
      <c r="HJ75" s="79"/>
      <c r="HK75" s="79"/>
      <c r="HL75" s="79"/>
      <c r="HM75" s="79"/>
      <c r="HN75" s="79"/>
      <c r="HO75" s="79"/>
      <c r="HP75" s="79"/>
      <c r="HQ75" s="79"/>
      <c r="HR75" s="79"/>
      <c r="HS75" s="79"/>
      <c r="HT75" s="79"/>
      <c r="HU75" s="79"/>
      <c r="HV75" s="79"/>
      <c r="HW75" s="79"/>
      <c r="HX75" s="79"/>
      <c r="HY75" s="79"/>
      <c r="HZ75" s="79"/>
      <c r="IA75" s="79"/>
      <c r="IB75" s="79"/>
      <c r="IC75" s="79"/>
      <c r="ID75" s="79"/>
      <c r="IE75" s="79"/>
      <c r="IF75" s="79"/>
      <c r="IG75" s="79"/>
      <c r="IH75" s="79"/>
      <c r="II75" s="79"/>
      <c r="IJ75" s="79"/>
      <c r="IK75" s="79"/>
      <c r="IL75" s="79"/>
      <c r="IM75" s="79"/>
      <c r="IN75" s="79"/>
      <c r="IO75" s="79"/>
      <c r="IP75" s="79"/>
      <c r="IQ75" s="79"/>
      <c r="IR75" s="79"/>
      <c r="IS75" s="79"/>
      <c r="IT75" s="79"/>
      <c r="IU75" s="79"/>
      <c r="IV75" s="79"/>
      <c r="IW75" s="79"/>
    </row>
    <row r="76" spans="2:257" s="15" customFormat="1" ht="14.4">
      <c r="B76" s="30">
        <f t="shared" si="254"/>
        <v>4.0299999999999994</v>
      </c>
      <c r="C76" s="37" t="s">
        <v>60</v>
      </c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79"/>
      <c r="BD76" s="79"/>
      <c r="BE76" s="79"/>
      <c r="BF76" s="79"/>
      <c r="BG76" s="79"/>
      <c r="BH76" s="79"/>
      <c r="BI76" s="79"/>
      <c r="BJ76" s="79"/>
      <c r="BK76" s="79"/>
      <c r="BL76" s="79"/>
      <c r="BM76" s="79"/>
      <c r="BN76" s="79"/>
      <c r="BO76" s="79"/>
      <c r="BP76" s="79"/>
      <c r="BQ76" s="79"/>
      <c r="BR76" s="79"/>
      <c r="BS76" s="79"/>
      <c r="BT76" s="79"/>
      <c r="BU76" s="79"/>
      <c r="BV76" s="79"/>
      <c r="BW76" s="79"/>
      <c r="BX76" s="79"/>
      <c r="BY76" s="79"/>
      <c r="BZ76" s="79"/>
      <c r="CA76" s="79"/>
      <c r="CB76" s="79"/>
      <c r="CC76" s="79"/>
      <c r="CD76" s="79"/>
      <c r="CE76" s="79"/>
      <c r="CF76" s="35"/>
      <c r="CG76" s="34"/>
      <c r="CH76" s="34"/>
      <c r="CI76" s="34"/>
      <c r="CJ76" s="34"/>
      <c r="CK76" s="34"/>
      <c r="CL76" s="34"/>
      <c r="CM76" s="34"/>
      <c r="CN76" s="34"/>
      <c r="CO76" s="35"/>
      <c r="CP76" s="35"/>
      <c r="CQ76" s="35"/>
      <c r="CR76" s="79"/>
      <c r="CS76" s="79"/>
      <c r="CT76" s="79"/>
      <c r="CU76" s="79"/>
      <c r="CV76" s="35"/>
      <c r="CW76" s="35"/>
      <c r="CX76" s="35"/>
      <c r="CY76" s="35"/>
      <c r="CZ76" s="35"/>
      <c r="DA76" s="35"/>
      <c r="DB76" s="35"/>
      <c r="DC76" s="79"/>
      <c r="DD76" s="55" t="s">
        <v>187</v>
      </c>
      <c r="DE76" s="55" t="s">
        <v>30</v>
      </c>
      <c r="DF76" s="55" t="s">
        <v>31</v>
      </c>
      <c r="DG76" s="55" t="s">
        <v>32</v>
      </c>
      <c r="DH76" s="56" t="s">
        <v>188</v>
      </c>
      <c r="DI76" s="56"/>
      <c r="DJ76" s="56" t="s">
        <v>189</v>
      </c>
      <c r="DK76" s="56" t="s">
        <v>190</v>
      </c>
      <c r="DL76" s="56" t="s">
        <v>191</v>
      </c>
      <c r="DM76" s="57" t="s">
        <v>192</v>
      </c>
      <c r="DN76" s="57" t="s">
        <v>193</v>
      </c>
      <c r="DO76" s="57"/>
      <c r="DP76" s="57" t="s">
        <v>194</v>
      </c>
      <c r="DQ76" s="57" t="s">
        <v>195</v>
      </c>
      <c r="DR76" s="58" t="s">
        <v>196</v>
      </c>
      <c r="DS76" s="58" t="s">
        <v>197</v>
      </c>
      <c r="DT76" s="58" t="s">
        <v>198</v>
      </c>
      <c r="DU76" s="58"/>
      <c r="DV76" s="58" t="s">
        <v>199</v>
      </c>
      <c r="DW76" s="42" t="s">
        <v>33</v>
      </c>
      <c r="DX76" s="42" t="s">
        <v>34</v>
      </c>
      <c r="DY76" s="42" t="s">
        <v>35</v>
      </c>
      <c r="DZ76" s="42" t="s">
        <v>36</v>
      </c>
      <c r="EA76" s="42"/>
      <c r="EB76" s="59" t="s">
        <v>200</v>
      </c>
      <c r="EC76" s="59" t="s">
        <v>201</v>
      </c>
      <c r="ED76" s="59" t="s">
        <v>202</v>
      </c>
      <c r="EE76" s="59" t="s">
        <v>203</v>
      </c>
      <c r="EF76" s="59"/>
      <c r="EG76" s="35"/>
      <c r="EH76" s="35"/>
      <c r="EI76" s="35"/>
      <c r="EJ76" s="35"/>
      <c r="EK76" s="35"/>
      <c r="EL76" s="35"/>
      <c r="EM76" s="35"/>
      <c r="EN76" s="35"/>
      <c r="EO76" s="35"/>
      <c r="EP76" s="35"/>
      <c r="EQ76" s="35"/>
      <c r="ER76" s="35"/>
      <c r="ES76" s="35"/>
      <c r="ET76" s="35"/>
      <c r="EU76" s="35"/>
      <c r="EV76" s="35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  <c r="FS76" s="3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79"/>
      <c r="GU76" s="79"/>
      <c r="GV76" s="79"/>
      <c r="GW76" s="79"/>
      <c r="GX76" s="79"/>
      <c r="GY76" s="79"/>
      <c r="GZ76" s="79"/>
      <c r="HA76" s="79"/>
      <c r="HB76" s="79"/>
      <c r="HC76" s="79"/>
      <c r="HD76" s="79"/>
      <c r="HE76" s="79"/>
      <c r="HF76" s="79"/>
      <c r="HG76" s="79"/>
      <c r="HH76" s="79"/>
      <c r="HI76" s="79"/>
      <c r="HJ76" s="79"/>
      <c r="HK76" s="79"/>
      <c r="HL76" s="79"/>
      <c r="HM76" s="79"/>
      <c r="HN76" s="79"/>
      <c r="HO76" s="79"/>
      <c r="HP76" s="79"/>
      <c r="HQ76" s="79"/>
      <c r="HR76" s="79"/>
      <c r="HS76" s="79"/>
      <c r="HT76" s="79"/>
      <c r="HU76" s="79"/>
      <c r="HV76" s="79"/>
      <c r="HW76" s="79"/>
      <c r="HX76" s="79"/>
      <c r="HY76" s="79"/>
      <c r="HZ76" s="79"/>
      <c r="IA76" s="79"/>
      <c r="IB76" s="79"/>
      <c r="IC76" s="79"/>
      <c r="ID76" s="79"/>
      <c r="IE76" s="79"/>
      <c r="IF76" s="79"/>
      <c r="IG76" s="79"/>
      <c r="IH76" s="79"/>
      <c r="II76" s="79"/>
      <c r="IJ76" s="79"/>
      <c r="IK76" s="79"/>
      <c r="IL76" s="79"/>
      <c r="IM76" s="79"/>
      <c r="IN76" s="79"/>
      <c r="IO76" s="79"/>
      <c r="IP76" s="79"/>
      <c r="IQ76" s="79"/>
      <c r="IR76" s="79"/>
      <c r="IS76" s="79"/>
      <c r="IT76" s="79"/>
      <c r="IU76" s="79"/>
      <c r="IV76" s="79"/>
      <c r="IW76" s="79"/>
    </row>
    <row r="77" spans="2:257" s="15" customFormat="1" ht="14.4">
      <c r="B77" s="30">
        <f t="shared" si="254"/>
        <v>4.0399999999999991</v>
      </c>
      <c r="C77" s="37" t="s">
        <v>61</v>
      </c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79"/>
      <c r="BD77" s="79"/>
      <c r="BE77" s="79"/>
      <c r="BF77" s="79"/>
      <c r="BG77" s="79"/>
      <c r="BH77" s="79"/>
      <c r="BI77" s="79"/>
      <c r="BJ77" s="79"/>
      <c r="BK77" s="79"/>
      <c r="BL77" s="79"/>
      <c r="BM77" s="79"/>
      <c r="BN77" s="79"/>
      <c r="BO77" s="79"/>
      <c r="BP77" s="79"/>
      <c r="BQ77" s="79"/>
      <c r="BR77" s="79"/>
      <c r="BS77" s="79"/>
      <c r="BT77" s="79"/>
      <c r="BU77" s="79"/>
      <c r="BV77" s="79"/>
      <c r="BW77" s="79"/>
      <c r="BX77" s="79"/>
      <c r="BY77" s="79"/>
      <c r="BZ77" s="79"/>
      <c r="CA77" s="79"/>
      <c r="CB77" s="79"/>
      <c r="CC77" s="79"/>
      <c r="CD77" s="79"/>
      <c r="CE77" s="79"/>
      <c r="CF77" s="35"/>
      <c r="CG77" s="34"/>
      <c r="CH77" s="34"/>
      <c r="CI77" s="34"/>
      <c r="CJ77" s="34"/>
      <c r="CK77" s="34"/>
      <c r="CL77" s="34"/>
      <c r="CM77" s="34"/>
      <c r="CN77" s="34"/>
      <c r="CO77" s="35"/>
      <c r="CP77" s="35"/>
      <c r="CQ77" s="35"/>
      <c r="CR77" s="79"/>
      <c r="CS77" s="79"/>
      <c r="CT77" s="79"/>
      <c r="CU77" s="79"/>
      <c r="CV77" s="35"/>
      <c r="CW77" s="35"/>
      <c r="CX77" s="35"/>
      <c r="CY77" s="35"/>
      <c r="CZ77" s="35"/>
      <c r="DA77" s="35"/>
      <c r="DB77" s="35"/>
      <c r="DC77" s="79"/>
      <c r="DD77" s="35"/>
      <c r="DE77" s="55" t="s">
        <v>187</v>
      </c>
      <c r="DF77" s="55" t="s">
        <v>30</v>
      </c>
      <c r="DG77" s="55" t="s">
        <v>31</v>
      </c>
      <c r="DH77" s="55" t="s">
        <v>32</v>
      </c>
      <c r="DI77" s="55"/>
      <c r="DJ77" s="56" t="s">
        <v>188</v>
      </c>
      <c r="DK77" s="56" t="s">
        <v>189</v>
      </c>
      <c r="DL77" s="56" t="s">
        <v>190</v>
      </c>
      <c r="DM77" s="56" t="s">
        <v>191</v>
      </c>
      <c r="DN77" s="57" t="s">
        <v>192</v>
      </c>
      <c r="DO77" s="57"/>
      <c r="DP77" s="57" t="s">
        <v>193</v>
      </c>
      <c r="DQ77" s="57" t="s">
        <v>194</v>
      </c>
      <c r="DR77" s="57" t="s">
        <v>195</v>
      </c>
      <c r="DS77" s="58" t="s">
        <v>196</v>
      </c>
      <c r="DT77" s="58" t="s">
        <v>197</v>
      </c>
      <c r="DU77" s="58"/>
      <c r="DV77" s="58" t="s">
        <v>198</v>
      </c>
      <c r="DW77" s="58" t="s">
        <v>199</v>
      </c>
      <c r="DX77" s="42" t="s">
        <v>33</v>
      </c>
      <c r="DY77" s="42" t="s">
        <v>34</v>
      </c>
      <c r="DZ77" s="42" t="s">
        <v>35</v>
      </c>
      <c r="EA77" s="42"/>
      <c r="EB77" s="42" t="s">
        <v>36</v>
      </c>
      <c r="EC77" s="59" t="s">
        <v>200</v>
      </c>
      <c r="ED77" s="59" t="s">
        <v>201</v>
      </c>
      <c r="EE77" s="59" t="s">
        <v>202</v>
      </c>
      <c r="EF77" s="59" t="s">
        <v>203</v>
      </c>
      <c r="EG77" s="59"/>
      <c r="EH77" s="35"/>
      <c r="EI77" s="35"/>
      <c r="EJ77" s="35"/>
      <c r="EK77" s="35"/>
      <c r="EL77" s="35"/>
      <c r="EM77" s="35"/>
      <c r="EN77" s="35"/>
      <c r="EO77" s="35"/>
      <c r="EP77" s="35"/>
      <c r="EQ77" s="35"/>
      <c r="ER77" s="35"/>
      <c r="ES77" s="35"/>
      <c r="ET77" s="35"/>
      <c r="EU77" s="35"/>
      <c r="EV77" s="35"/>
      <c r="EW77" s="35"/>
      <c r="EX77" s="35"/>
      <c r="EY77" s="35"/>
      <c r="EZ77" s="35"/>
      <c r="FA77" s="35"/>
      <c r="FB77" s="35"/>
      <c r="FC77" s="35"/>
      <c r="FD77" s="35"/>
      <c r="FE77" s="35"/>
      <c r="FF77" s="35"/>
      <c r="FG77" s="35"/>
      <c r="FH77" s="35"/>
      <c r="FI77" s="35"/>
      <c r="FJ77" s="35"/>
      <c r="FK77" s="35"/>
      <c r="FL77" s="35"/>
      <c r="FM77" s="35"/>
      <c r="FN77" s="35"/>
      <c r="FO77" s="35"/>
      <c r="FP77" s="35"/>
      <c r="FQ77" s="35"/>
      <c r="FR77" s="35"/>
      <c r="FS77" s="35"/>
      <c r="FT77" s="35"/>
      <c r="FU77" s="35"/>
      <c r="FV77" s="35"/>
      <c r="FW77" s="35"/>
      <c r="FX77" s="35"/>
      <c r="FY77" s="35"/>
      <c r="FZ77" s="35"/>
      <c r="GA77" s="35"/>
      <c r="GB77" s="35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  <c r="GT77" s="35"/>
      <c r="GU77" s="79"/>
      <c r="GV77" s="79"/>
      <c r="GW77" s="79"/>
      <c r="GX77" s="79"/>
      <c r="GY77" s="79"/>
      <c r="GZ77" s="79"/>
      <c r="HA77" s="79"/>
      <c r="HB77" s="79"/>
      <c r="HC77" s="79"/>
      <c r="HD77" s="79"/>
      <c r="HE77" s="79"/>
      <c r="HF77" s="79"/>
      <c r="HG77" s="79"/>
      <c r="HH77" s="79"/>
      <c r="HI77" s="79"/>
      <c r="HJ77" s="79"/>
      <c r="HK77" s="79"/>
      <c r="HL77" s="79"/>
      <c r="HM77" s="79"/>
      <c r="HN77" s="79"/>
      <c r="HO77" s="79"/>
      <c r="HP77" s="79"/>
      <c r="HQ77" s="79"/>
      <c r="HR77" s="79"/>
      <c r="HS77" s="79"/>
      <c r="HT77" s="79"/>
      <c r="HU77" s="79"/>
      <c r="HV77" s="79"/>
      <c r="HW77" s="79"/>
      <c r="HX77" s="79"/>
      <c r="HY77" s="79"/>
      <c r="HZ77" s="79"/>
      <c r="IA77" s="79"/>
      <c r="IB77" s="79"/>
      <c r="IC77" s="79"/>
      <c r="ID77" s="79"/>
      <c r="IE77" s="79"/>
      <c r="IF77" s="79"/>
      <c r="IG77" s="79"/>
      <c r="IH77" s="79"/>
      <c r="II77" s="79"/>
      <c r="IJ77" s="79"/>
      <c r="IK77" s="79"/>
      <c r="IL77" s="79"/>
      <c r="IM77" s="79"/>
      <c r="IN77" s="79"/>
      <c r="IO77" s="79"/>
      <c r="IP77" s="79"/>
      <c r="IQ77" s="79"/>
      <c r="IR77" s="79"/>
      <c r="IS77" s="79"/>
      <c r="IT77" s="79"/>
      <c r="IU77" s="79"/>
      <c r="IV77" s="79"/>
      <c r="IW77" s="79"/>
    </row>
    <row r="78" spans="2:257" s="15" customFormat="1" ht="14.4">
      <c r="B78" s="30">
        <f t="shared" si="254"/>
        <v>4.0499999999999989</v>
      </c>
      <c r="C78" s="37" t="s">
        <v>62</v>
      </c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79"/>
      <c r="BD78" s="79"/>
      <c r="BE78" s="79"/>
      <c r="BF78" s="79"/>
      <c r="BG78" s="79"/>
      <c r="BH78" s="79"/>
      <c r="BI78" s="79"/>
      <c r="BJ78" s="79"/>
      <c r="BK78" s="79"/>
      <c r="BL78" s="79"/>
      <c r="BM78" s="79"/>
      <c r="BN78" s="79"/>
      <c r="BO78" s="79"/>
      <c r="BP78" s="79"/>
      <c r="BQ78" s="79"/>
      <c r="BR78" s="79"/>
      <c r="BS78" s="79"/>
      <c r="BT78" s="79"/>
      <c r="BU78" s="79"/>
      <c r="BV78" s="79"/>
      <c r="BW78" s="79"/>
      <c r="BX78" s="79"/>
      <c r="BY78" s="79"/>
      <c r="BZ78" s="79"/>
      <c r="CA78" s="79"/>
      <c r="CB78" s="79"/>
      <c r="CC78" s="79"/>
      <c r="CD78" s="79"/>
      <c r="CE78" s="79"/>
      <c r="CF78" s="35"/>
      <c r="CG78" s="34"/>
      <c r="CH78" s="34"/>
      <c r="CI78" s="34"/>
      <c r="CJ78" s="34"/>
      <c r="CK78" s="34"/>
      <c r="CL78" s="34"/>
      <c r="CM78" s="34"/>
      <c r="CN78" s="34"/>
      <c r="CO78" s="35"/>
      <c r="CP78" s="35"/>
      <c r="CQ78" s="35"/>
      <c r="CR78" s="79"/>
      <c r="CS78" s="79"/>
      <c r="CT78" s="79"/>
      <c r="CU78" s="79"/>
      <c r="CV78" s="35"/>
      <c r="CW78" s="35"/>
      <c r="CX78" s="35"/>
      <c r="CY78" s="35"/>
      <c r="CZ78" s="35"/>
      <c r="DA78" s="35"/>
      <c r="DB78" s="35"/>
      <c r="DC78" s="79"/>
      <c r="DD78" s="35"/>
      <c r="DE78" s="35"/>
      <c r="DF78" s="55" t="s">
        <v>187</v>
      </c>
      <c r="DG78" s="55" t="s">
        <v>30</v>
      </c>
      <c r="DH78" s="55" t="s">
        <v>31</v>
      </c>
      <c r="DI78" s="55"/>
      <c r="DJ78" s="55" t="s">
        <v>32</v>
      </c>
      <c r="DK78" s="56" t="s">
        <v>188</v>
      </c>
      <c r="DL78" s="56" t="s">
        <v>189</v>
      </c>
      <c r="DM78" s="56" t="s">
        <v>190</v>
      </c>
      <c r="DN78" s="56" t="s">
        <v>191</v>
      </c>
      <c r="DO78" s="56"/>
      <c r="DP78" s="57" t="s">
        <v>192</v>
      </c>
      <c r="DQ78" s="57" t="s">
        <v>193</v>
      </c>
      <c r="DR78" s="57" t="s">
        <v>194</v>
      </c>
      <c r="DS78" s="57" t="s">
        <v>195</v>
      </c>
      <c r="DT78" s="58" t="s">
        <v>196</v>
      </c>
      <c r="DU78" s="58"/>
      <c r="DV78" s="58" t="s">
        <v>197</v>
      </c>
      <c r="DW78" s="58" t="s">
        <v>198</v>
      </c>
      <c r="DX78" s="58" t="s">
        <v>199</v>
      </c>
      <c r="DY78" s="42" t="s">
        <v>33</v>
      </c>
      <c r="DZ78" s="42" t="s">
        <v>34</v>
      </c>
      <c r="EA78" s="42"/>
      <c r="EB78" s="42" t="s">
        <v>35</v>
      </c>
      <c r="EC78" s="42" t="s">
        <v>36</v>
      </c>
      <c r="ED78" s="59" t="s">
        <v>200</v>
      </c>
      <c r="EE78" s="59" t="s">
        <v>201</v>
      </c>
      <c r="EF78" s="59" t="s">
        <v>202</v>
      </c>
      <c r="EG78" s="59"/>
      <c r="EH78" s="59" t="s">
        <v>203</v>
      </c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5"/>
      <c r="ET78" s="35"/>
      <c r="EU78" s="35"/>
      <c r="EV78" s="35"/>
      <c r="EW78" s="35"/>
      <c r="EX78" s="35"/>
      <c r="EY78" s="35"/>
      <c r="EZ78" s="35"/>
      <c r="FA78" s="35"/>
      <c r="FB78" s="35"/>
      <c r="FC78" s="35"/>
      <c r="FD78" s="35"/>
      <c r="FE78" s="35"/>
      <c r="FF78" s="35"/>
      <c r="FG78" s="35"/>
      <c r="FH78" s="35"/>
      <c r="FI78" s="35"/>
      <c r="FJ78" s="35"/>
      <c r="FK78" s="35"/>
      <c r="FL78" s="35"/>
      <c r="FM78" s="35"/>
      <c r="FN78" s="35"/>
      <c r="FO78" s="35"/>
      <c r="FP78" s="35"/>
      <c r="FQ78" s="35"/>
      <c r="FR78" s="35"/>
      <c r="FS78" s="35"/>
      <c r="FT78" s="35"/>
      <c r="FU78" s="35"/>
      <c r="FV78" s="35"/>
      <c r="FW78" s="35"/>
      <c r="FX78" s="35"/>
      <c r="FY78" s="35"/>
      <c r="FZ78" s="35"/>
      <c r="GA78" s="35"/>
      <c r="GB78" s="35"/>
      <c r="GC78" s="35"/>
      <c r="GD78" s="35"/>
      <c r="GE78" s="35"/>
      <c r="GF78" s="35"/>
      <c r="GG78" s="35"/>
      <c r="GH78" s="35"/>
      <c r="GI78" s="35"/>
      <c r="GJ78" s="35"/>
      <c r="GK78" s="35"/>
      <c r="GL78" s="35"/>
      <c r="GM78" s="35"/>
      <c r="GN78" s="35"/>
      <c r="GO78" s="35"/>
      <c r="GP78" s="35"/>
      <c r="GQ78" s="35"/>
      <c r="GR78" s="35"/>
      <c r="GS78" s="35"/>
      <c r="GT78" s="35"/>
      <c r="GU78" s="79"/>
      <c r="GV78" s="79"/>
      <c r="GW78" s="79"/>
      <c r="GX78" s="79"/>
      <c r="GY78" s="79"/>
      <c r="GZ78" s="79"/>
      <c r="HA78" s="79"/>
      <c r="HB78" s="79"/>
      <c r="HC78" s="79"/>
      <c r="HD78" s="79"/>
      <c r="HE78" s="79"/>
      <c r="HF78" s="79"/>
      <c r="HG78" s="79"/>
      <c r="HH78" s="79"/>
      <c r="HI78" s="79"/>
      <c r="HJ78" s="79"/>
      <c r="HK78" s="79"/>
      <c r="HL78" s="79"/>
      <c r="HM78" s="79"/>
      <c r="HN78" s="79"/>
      <c r="HO78" s="79"/>
      <c r="HP78" s="79"/>
      <c r="HQ78" s="79"/>
      <c r="HR78" s="79"/>
      <c r="HS78" s="79"/>
      <c r="HT78" s="79"/>
      <c r="HU78" s="79"/>
      <c r="HV78" s="79"/>
      <c r="HW78" s="79"/>
      <c r="HX78" s="79"/>
      <c r="HY78" s="79"/>
      <c r="HZ78" s="79"/>
      <c r="IA78" s="79"/>
      <c r="IB78" s="79"/>
      <c r="IC78" s="79"/>
      <c r="ID78" s="79"/>
      <c r="IE78" s="79"/>
      <c r="IF78" s="79"/>
      <c r="IG78" s="79"/>
      <c r="IH78" s="79"/>
      <c r="II78" s="79"/>
      <c r="IJ78" s="79"/>
      <c r="IK78" s="79"/>
      <c r="IL78" s="79"/>
      <c r="IM78" s="79"/>
      <c r="IN78" s="79"/>
      <c r="IO78" s="79"/>
      <c r="IP78" s="79"/>
      <c r="IQ78" s="79"/>
      <c r="IR78" s="79"/>
      <c r="IS78" s="79"/>
      <c r="IT78" s="79"/>
      <c r="IU78" s="79"/>
      <c r="IV78" s="79"/>
      <c r="IW78" s="79"/>
    </row>
    <row r="79" spans="2:257" s="15" customFormat="1" ht="14.4">
      <c r="B79" s="30">
        <f t="shared" si="254"/>
        <v>4.0599999999999987</v>
      </c>
      <c r="C79" s="37" t="s">
        <v>63</v>
      </c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79"/>
      <c r="BD79" s="79"/>
      <c r="BE79" s="79"/>
      <c r="BF79" s="79"/>
      <c r="BG79" s="79"/>
      <c r="BH79" s="79"/>
      <c r="BI79" s="79"/>
      <c r="BJ79" s="79"/>
      <c r="BK79" s="79"/>
      <c r="BL79" s="79"/>
      <c r="BM79" s="79"/>
      <c r="BN79" s="79"/>
      <c r="BO79" s="79"/>
      <c r="BP79" s="79"/>
      <c r="BQ79" s="79"/>
      <c r="BR79" s="79"/>
      <c r="BS79" s="79"/>
      <c r="BT79" s="79"/>
      <c r="BU79" s="79"/>
      <c r="BV79" s="79"/>
      <c r="BW79" s="79"/>
      <c r="BX79" s="79"/>
      <c r="BY79" s="79"/>
      <c r="BZ79" s="79"/>
      <c r="CA79" s="79"/>
      <c r="CB79" s="79"/>
      <c r="CC79" s="79"/>
      <c r="CD79" s="79"/>
      <c r="CE79" s="79"/>
      <c r="CF79" s="35"/>
      <c r="CG79" s="34"/>
      <c r="CH79" s="34"/>
      <c r="CI79" s="34"/>
      <c r="CJ79" s="34"/>
      <c r="CK79" s="34"/>
      <c r="CL79" s="34"/>
      <c r="CM79" s="34"/>
      <c r="CN79" s="34"/>
      <c r="CO79" s="35"/>
      <c r="CP79" s="35"/>
      <c r="CQ79" s="35"/>
      <c r="CR79" s="79"/>
      <c r="CS79" s="79"/>
      <c r="CT79" s="79"/>
      <c r="CU79" s="79"/>
      <c r="CV79" s="35"/>
      <c r="CW79" s="35"/>
      <c r="CX79" s="35"/>
      <c r="CY79" s="35"/>
      <c r="CZ79" s="35"/>
      <c r="DA79" s="35"/>
      <c r="DB79" s="79"/>
      <c r="DC79" s="35"/>
      <c r="DD79" s="35"/>
      <c r="DE79" s="35"/>
      <c r="DF79" s="35"/>
      <c r="DG79" s="35"/>
      <c r="DH79" s="79"/>
      <c r="DI79" s="35"/>
      <c r="DJ79" s="35"/>
      <c r="DK79" s="55" t="s">
        <v>187</v>
      </c>
      <c r="DL79" s="55" t="s">
        <v>30</v>
      </c>
      <c r="DM79" s="55" t="s">
        <v>31</v>
      </c>
      <c r="DN79" s="55" t="s">
        <v>32</v>
      </c>
      <c r="DO79" s="55"/>
      <c r="DP79" s="56" t="s">
        <v>188</v>
      </c>
      <c r="DQ79" s="56" t="s">
        <v>189</v>
      </c>
      <c r="DR79" s="56" t="s">
        <v>190</v>
      </c>
      <c r="DS79" s="56" t="s">
        <v>191</v>
      </c>
      <c r="DT79" s="57" t="s">
        <v>192</v>
      </c>
      <c r="DU79" s="57"/>
      <c r="DV79" s="57" t="s">
        <v>193</v>
      </c>
      <c r="DW79" s="57" t="s">
        <v>194</v>
      </c>
      <c r="DX79" s="57" t="s">
        <v>195</v>
      </c>
      <c r="DY79" s="58" t="s">
        <v>196</v>
      </c>
      <c r="DZ79" s="58" t="s">
        <v>197</v>
      </c>
      <c r="EA79" s="58"/>
      <c r="EB79" s="58" t="s">
        <v>198</v>
      </c>
      <c r="EC79" s="58" t="s">
        <v>199</v>
      </c>
      <c r="ED79" s="42" t="s">
        <v>33</v>
      </c>
      <c r="EE79" s="42" t="s">
        <v>34</v>
      </c>
      <c r="EF79" s="42" t="s">
        <v>35</v>
      </c>
      <c r="EG79" s="42"/>
      <c r="EH79" s="42" t="s">
        <v>36</v>
      </c>
      <c r="EI79" s="59" t="s">
        <v>200</v>
      </c>
      <c r="EJ79" s="59" t="s">
        <v>201</v>
      </c>
      <c r="EK79" s="59" t="s">
        <v>202</v>
      </c>
      <c r="EL79" s="59" t="s">
        <v>203</v>
      </c>
      <c r="EM79" s="59"/>
      <c r="EN79" s="35"/>
      <c r="EO79" s="35"/>
      <c r="EP79" s="35"/>
      <c r="EQ79" s="35"/>
      <c r="ER79" s="35"/>
      <c r="ES79" s="35"/>
      <c r="ET79" s="35"/>
      <c r="EU79" s="35"/>
      <c r="EV79" s="35"/>
      <c r="EW79" s="35"/>
      <c r="EX79" s="35"/>
      <c r="EY79" s="35"/>
      <c r="EZ79" s="35"/>
      <c r="FA79" s="35"/>
      <c r="FB79" s="35"/>
      <c r="FC79" s="35"/>
      <c r="FD79" s="35"/>
      <c r="FE79" s="35"/>
      <c r="FF79" s="35"/>
      <c r="FG79" s="35"/>
      <c r="FH79" s="35"/>
      <c r="FI79" s="35"/>
      <c r="FJ79" s="35"/>
      <c r="FK79" s="35"/>
      <c r="FL79" s="35"/>
      <c r="FM79" s="35"/>
      <c r="FN79" s="35"/>
      <c r="FO79" s="35"/>
      <c r="FP79" s="35"/>
      <c r="FQ79" s="35"/>
      <c r="FR79" s="35"/>
      <c r="FS79" s="35"/>
      <c r="FT79" s="35"/>
      <c r="FU79" s="35"/>
      <c r="FV79" s="35"/>
      <c r="FW79" s="35"/>
      <c r="FX79" s="35"/>
      <c r="FY79" s="35"/>
      <c r="FZ79" s="35"/>
      <c r="GA79" s="35"/>
      <c r="GB79" s="35"/>
      <c r="GC79" s="35"/>
      <c r="GD79" s="35"/>
      <c r="GE79" s="35"/>
      <c r="GF79" s="35"/>
      <c r="GG79" s="35"/>
      <c r="GH79" s="35"/>
      <c r="GI79" s="35"/>
      <c r="GJ79" s="35"/>
      <c r="GK79" s="35"/>
      <c r="GL79" s="35"/>
      <c r="GM79" s="35"/>
      <c r="GN79" s="35"/>
      <c r="GO79" s="35"/>
      <c r="GP79" s="35"/>
      <c r="GQ79" s="35"/>
      <c r="GR79" s="35"/>
      <c r="GS79" s="35"/>
      <c r="GT79" s="35"/>
      <c r="GU79" s="35"/>
      <c r="GV79" s="79"/>
      <c r="GW79" s="79"/>
      <c r="GX79" s="79"/>
      <c r="GY79" s="79"/>
      <c r="GZ79" s="79"/>
      <c r="HA79" s="79"/>
      <c r="HB79" s="79"/>
      <c r="HC79" s="79"/>
      <c r="HD79" s="79"/>
      <c r="HE79" s="79"/>
      <c r="HF79" s="79"/>
      <c r="HG79" s="79"/>
      <c r="HH79" s="79"/>
      <c r="HI79" s="79"/>
      <c r="HJ79" s="79"/>
      <c r="HK79" s="79"/>
      <c r="HL79" s="79"/>
      <c r="HM79" s="79"/>
      <c r="HN79" s="79"/>
      <c r="HO79" s="79"/>
      <c r="HP79" s="79"/>
      <c r="HQ79" s="79"/>
      <c r="HR79" s="79"/>
      <c r="HS79" s="79"/>
      <c r="HT79" s="79"/>
      <c r="HU79" s="79"/>
      <c r="HV79" s="79"/>
      <c r="HW79" s="79"/>
      <c r="HX79" s="79"/>
      <c r="HY79" s="79"/>
      <c r="HZ79" s="79"/>
      <c r="IA79" s="79"/>
      <c r="IB79" s="79"/>
      <c r="IC79" s="79"/>
      <c r="ID79" s="79"/>
      <c r="IE79" s="79"/>
      <c r="IF79" s="79"/>
      <c r="IG79" s="79"/>
      <c r="IH79" s="79"/>
      <c r="II79" s="79"/>
      <c r="IJ79" s="79"/>
      <c r="IK79" s="79"/>
      <c r="IL79" s="79"/>
      <c r="IM79" s="79"/>
      <c r="IN79" s="79"/>
      <c r="IO79" s="79"/>
      <c r="IP79" s="79"/>
      <c r="IQ79" s="79"/>
      <c r="IR79" s="79"/>
      <c r="IS79" s="79"/>
      <c r="IT79" s="79"/>
      <c r="IU79" s="79"/>
      <c r="IV79" s="79"/>
      <c r="IW79" s="79"/>
    </row>
    <row r="80" spans="2:257" s="15" customFormat="1" ht="14.4">
      <c r="B80" s="30">
        <f t="shared" si="254"/>
        <v>4.0699999999999985</v>
      </c>
      <c r="C80" s="37" t="s">
        <v>64</v>
      </c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79"/>
      <c r="BD80" s="79"/>
      <c r="BE80" s="79"/>
      <c r="BF80" s="79"/>
      <c r="BG80" s="79"/>
      <c r="BH80" s="79"/>
      <c r="BI80" s="79"/>
      <c r="BJ80" s="79"/>
      <c r="BK80" s="79"/>
      <c r="BL80" s="79"/>
      <c r="BM80" s="79"/>
      <c r="BN80" s="79"/>
      <c r="BO80" s="79"/>
      <c r="BP80" s="79"/>
      <c r="BQ80" s="79"/>
      <c r="BR80" s="79"/>
      <c r="BS80" s="79"/>
      <c r="BT80" s="79"/>
      <c r="BU80" s="79"/>
      <c r="BV80" s="79"/>
      <c r="BW80" s="79"/>
      <c r="BX80" s="79"/>
      <c r="BY80" s="79"/>
      <c r="BZ80" s="79"/>
      <c r="CA80" s="79"/>
      <c r="CB80" s="79"/>
      <c r="CC80" s="79"/>
      <c r="CD80" s="79"/>
      <c r="CE80" s="79"/>
      <c r="CF80" s="35"/>
      <c r="CG80" s="34"/>
      <c r="CH80" s="34"/>
      <c r="CI80" s="34"/>
      <c r="CJ80" s="34"/>
      <c r="CK80" s="34"/>
      <c r="CL80" s="34"/>
      <c r="CM80" s="34"/>
      <c r="CN80" s="34"/>
      <c r="CO80" s="35"/>
      <c r="CP80" s="35"/>
      <c r="CQ80" s="35"/>
      <c r="CR80" s="79"/>
      <c r="CS80" s="79"/>
      <c r="CT80" s="79"/>
      <c r="CU80" s="79"/>
      <c r="CV80" s="35"/>
      <c r="CW80" s="35"/>
      <c r="CX80" s="35"/>
      <c r="CY80" s="35"/>
      <c r="CZ80" s="35"/>
      <c r="DA80" s="35"/>
      <c r="DB80" s="79"/>
      <c r="DC80" s="35"/>
      <c r="DD80" s="35"/>
      <c r="DE80" s="35"/>
      <c r="DF80" s="35"/>
      <c r="DG80" s="35"/>
      <c r="DH80" s="79"/>
      <c r="DI80" s="35"/>
      <c r="DJ80" s="35"/>
      <c r="DK80" s="55" t="s">
        <v>187</v>
      </c>
      <c r="DL80" s="55" t="s">
        <v>30</v>
      </c>
      <c r="DM80" s="55" t="s">
        <v>31</v>
      </c>
      <c r="DN80" s="55" t="s">
        <v>32</v>
      </c>
      <c r="DO80" s="55"/>
      <c r="DP80" s="56" t="s">
        <v>188</v>
      </c>
      <c r="DQ80" s="56" t="s">
        <v>189</v>
      </c>
      <c r="DR80" s="56" t="s">
        <v>190</v>
      </c>
      <c r="DS80" s="56" t="s">
        <v>191</v>
      </c>
      <c r="DT80" s="57" t="s">
        <v>192</v>
      </c>
      <c r="DU80" s="57"/>
      <c r="DV80" s="57" t="s">
        <v>193</v>
      </c>
      <c r="DW80" s="57" t="s">
        <v>194</v>
      </c>
      <c r="DX80" s="57" t="s">
        <v>195</v>
      </c>
      <c r="DY80" s="58" t="s">
        <v>196</v>
      </c>
      <c r="DZ80" s="58" t="s">
        <v>197</v>
      </c>
      <c r="EA80" s="58"/>
      <c r="EB80" s="58" t="s">
        <v>198</v>
      </c>
      <c r="EC80" s="58" t="s">
        <v>199</v>
      </c>
      <c r="ED80" s="42" t="s">
        <v>33</v>
      </c>
      <c r="EE80" s="42" t="s">
        <v>34</v>
      </c>
      <c r="EF80" s="42" t="s">
        <v>35</v>
      </c>
      <c r="EG80" s="42"/>
      <c r="EH80" s="42" t="s">
        <v>36</v>
      </c>
      <c r="EI80" s="59" t="s">
        <v>200</v>
      </c>
      <c r="EJ80" s="59" t="s">
        <v>201</v>
      </c>
      <c r="EK80" s="59" t="s">
        <v>202</v>
      </c>
      <c r="EL80" s="59" t="s">
        <v>203</v>
      </c>
      <c r="EM80" s="59"/>
      <c r="EN80" s="35"/>
      <c r="EO80" s="35"/>
      <c r="EP80" s="35"/>
      <c r="EQ80" s="35"/>
      <c r="ER80" s="35"/>
      <c r="ES80" s="35"/>
      <c r="ET80" s="35"/>
      <c r="EU80" s="35"/>
      <c r="EV80" s="35"/>
      <c r="EW80" s="35"/>
      <c r="EX80" s="35"/>
      <c r="EY80" s="35"/>
      <c r="EZ80" s="35"/>
      <c r="FA80" s="35"/>
      <c r="FB80" s="35"/>
      <c r="FC80" s="35"/>
      <c r="FD80" s="35"/>
      <c r="FE80" s="35"/>
      <c r="FF80" s="35"/>
      <c r="FG80" s="35"/>
      <c r="FH80" s="35"/>
      <c r="FI80" s="35"/>
      <c r="FJ80" s="35"/>
      <c r="FK80" s="35"/>
      <c r="FL80" s="35"/>
      <c r="FM80" s="35"/>
      <c r="FN80" s="35"/>
      <c r="FO80" s="35"/>
      <c r="FP80" s="35"/>
      <c r="FQ80" s="35"/>
      <c r="FR80" s="35"/>
      <c r="FS80" s="35"/>
      <c r="FT80" s="35"/>
      <c r="FU80" s="35"/>
      <c r="FV80" s="35"/>
      <c r="FW80" s="35"/>
      <c r="FX80" s="35"/>
      <c r="FY80" s="35"/>
      <c r="FZ80" s="35"/>
      <c r="GA80" s="35"/>
      <c r="GB80" s="35"/>
      <c r="GC80" s="35"/>
      <c r="GD80" s="35"/>
      <c r="GE80" s="35"/>
      <c r="GF80" s="35"/>
      <c r="GG80" s="35"/>
      <c r="GH80" s="35"/>
      <c r="GI80" s="35"/>
      <c r="GJ80" s="35"/>
      <c r="GK80" s="35"/>
      <c r="GL80" s="35"/>
      <c r="GM80" s="35"/>
      <c r="GN80" s="35"/>
      <c r="GO80" s="35"/>
      <c r="GP80" s="35"/>
      <c r="GQ80" s="35"/>
      <c r="GR80" s="35"/>
      <c r="GS80" s="35"/>
      <c r="GT80" s="35"/>
      <c r="GU80" s="35"/>
      <c r="GV80" s="79"/>
      <c r="GW80" s="79"/>
      <c r="GX80" s="79"/>
      <c r="GY80" s="79"/>
      <c r="GZ80" s="79"/>
      <c r="HA80" s="79"/>
      <c r="HB80" s="79"/>
      <c r="HC80" s="79"/>
      <c r="HD80" s="79"/>
      <c r="HE80" s="79"/>
      <c r="HF80" s="79"/>
      <c r="HG80" s="79"/>
      <c r="HH80" s="79"/>
      <c r="HI80" s="79"/>
      <c r="HJ80" s="79"/>
      <c r="HK80" s="79"/>
      <c r="HL80" s="79"/>
      <c r="HM80" s="79"/>
      <c r="HN80" s="79"/>
      <c r="HO80" s="79"/>
      <c r="HP80" s="79"/>
      <c r="HQ80" s="79"/>
      <c r="HR80" s="79"/>
      <c r="HS80" s="79"/>
      <c r="HT80" s="79"/>
      <c r="HU80" s="79"/>
      <c r="HV80" s="79"/>
      <c r="HW80" s="79"/>
      <c r="HX80" s="79"/>
      <c r="HY80" s="79"/>
      <c r="HZ80" s="79"/>
      <c r="IA80" s="79"/>
      <c r="IB80" s="79"/>
      <c r="IC80" s="79"/>
      <c r="ID80" s="79"/>
      <c r="IE80" s="79"/>
      <c r="IF80" s="79"/>
      <c r="IG80" s="79"/>
      <c r="IH80" s="79"/>
      <c r="II80" s="79"/>
      <c r="IJ80" s="79"/>
      <c r="IK80" s="79"/>
      <c r="IL80" s="79"/>
      <c r="IM80" s="79"/>
      <c r="IN80" s="79"/>
      <c r="IO80" s="79"/>
      <c r="IP80" s="79"/>
      <c r="IQ80" s="79"/>
      <c r="IR80" s="79"/>
      <c r="IS80" s="79"/>
      <c r="IT80" s="79"/>
      <c r="IU80" s="79"/>
      <c r="IV80" s="79"/>
      <c r="IW80" s="79"/>
    </row>
    <row r="81" spans="2:257" s="15" customFormat="1" ht="14.4">
      <c r="B81" s="30">
        <f t="shared" si="254"/>
        <v>4.0799999999999983</v>
      </c>
      <c r="C81" s="37" t="s">
        <v>65</v>
      </c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79"/>
      <c r="BD81" s="79"/>
      <c r="BE81" s="79"/>
      <c r="BF81" s="79"/>
      <c r="BG81" s="79"/>
      <c r="BH81" s="79"/>
      <c r="BI81" s="79"/>
      <c r="BJ81" s="79"/>
      <c r="BK81" s="79"/>
      <c r="BL81" s="79"/>
      <c r="BM81" s="79"/>
      <c r="BN81" s="79"/>
      <c r="BO81" s="79"/>
      <c r="BP81" s="79"/>
      <c r="BQ81" s="79"/>
      <c r="BR81" s="79"/>
      <c r="BS81" s="79"/>
      <c r="BT81" s="79"/>
      <c r="BU81" s="79"/>
      <c r="BV81" s="79"/>
      <c r="BW81" s="79"/>
      <c r="BX81" s="79"/>
      <c r="BY81" s="79"/>
      <c r="BZ81" s="79"/>
      <c r="CA81" s="79"/>
      <c r="CB81" s="79"/>
      <c r="CC81" s="79"/>
      <c r="CD81" s="79"/>
      <c r="CE81" s="79"/>
      <c r="CF81" s="35"/>
      <c r="CG81" s="34"/>
      <c r="CH81" s="34"/>
      <c r="CI81" s="34"/>
      <c r="CJ81" s="34"/>
      <c r="CK81" s="34"/>
      <c r="CL81" s="34"/>
      <c r="CM81" s="34"/>
      <c r="CN81" s="34"/>
      <c r="CO81" s="35"/>
      <c r="CP81" s="35"/>
      <c r="CQ81" s="35"/>
      <c r="CR81" s="79"/>
      <c r="CS81" s="79"/>
      <c r="CT81" s="79"/>
      <c r="CU81" s="79"/>
      <c r="CV81" s="35"/>
      <c r="CW81" s="35"/>
      <c r="CX81" s="35"/>
      <c r="CY81" s="35"/>
      <c r="CZ81" s="35"/>
      <c r="DA81" s="35"/>
      <c r="DB81" s="79"/>
      <c r="DC81" s="35"/>
      <c r="DD81" s="35"/>
      <c r="DE81" s="35"/>
      <c r="DF81" s="35"/>
      <c r="DG81" s="35"/>
      <c r="DH81" s="79"/>
      <c r="DI81" s="35"/>
      <c r="DJ81" s="35"/>
      <c r="DK81" s="55" t="s">
        <v>187</v>
      </c>
      <c r="DL81" s="55" t="s">
        <v>30</v>
      </c>
      <c r="DM81" s="55" t="s">
        <v>31</v>
      </c>
      <c r="DN81" s="55" t="s">
        <v>32</v>
      </c>
      <c r="DO81" s="55"/>
      <c r="DP81" s="56" t="s">
        <v>188</v>
      </c>
      <c r="DQ81" s="56" t="s">
        <v>189</v>
      </c>
      <c r="DR81" s="56" t="s">
        <v>190</v>
      </c>
      <c r="DS81" s="56" t="s">
        <v>191</v>
      </c>
      <c r="DT81" s="57" t="s">
        <v>192</v>
      </c>
      <c r="DU81" s="57"/>
      <c r="DV81" s="57" t="s">
        <v>193</v>
      </c>
      <c r="DW81" s="57" t="s">
        <v>194</v>
      </c>
      <c r="DX81" s="57" t="s">
        <v>195</v>
      </c>
      <c r="DY81" s="58" t="s">
        <v>196</v>
      </c>
      <c r="DZ81" s="58" t="s">
        <v>197</v>
      </c>
      <c r="EA81" s="58"/>
      <c r="EB81" s="58" t="s">
        <v>198</v>
      </c>
      <c r="EC81" s="58" t="s">
        <v>199</v>
      </c>
      <c r="ED81" s="42" t="s">
        <v>33</v>
      </c>
      <c r="EE81" s="42" t="s">
        <v>34</v>
      </c>
      <c r="EF81" s="42" t="s">
        <v>35</v>
      </c>
      <c r="EG81" s="42"/>
      <c r="EH81" s="42" t="s">
        <v>36</v>
      </c>
      <c r="EI81" s="59" t="s">
        <v>200</v>
      </c>
      <c r="EJ81" s="59" t="s">
        <v>201</v>
      </c>
      <c r="EK81" s="59" t="s">
        <v>202</v>
      </c>
      <c r="EL81" s="59" t="s">
        <v>203</v>
      </c>
      <c r="EM81" s="59"/>
      <c r="EN81" s="35"/>
      <c r="EO81" s="35"/>
      <c r="EP81" s="35"/>
      <c r="EQ81" s="35"/>
      <c r="ER81" s="35"/>
      <c r="ES81" s="35"/>
      <c r="ET81" s="35"/>
      <c r="EU81" s="35"/>
      <c r="EV81" s="35"/>
      <c r="EW81" s="35"/>
      <c r="EX81" s="35"/>
      <c r="EY81" s="35"/>
      <c r="EZ81" s="35"/>
      <c r="FA81" s="35"/>
      <c r="FB81" s="35"/>
      <c r="FC81" s="35"/>
      <c r="FD81" s="35"/>
      <c r="FE81" s="35"/>
      <c r="FF81" s="35"/>
      <c r="FG81" s="35"/>
      <c r="FH81" s="35"/>
      <c r="FI81" s="35"/>
      <c r="FJ81" s="35"/>
      <c r="FK81" s="35"/>
      <c r="FL81" s="35"/>
      <c r="FM81" s="35"/>
      <c r="FN81" s="35"/>
      <c r="FO81" s="35"/>
      <c r="FP81" s="35"/>
      <c r="FQ81" s="35"/>
      <c r="FR81" s="35"/>
      <c r="FS81" s="35"/>
      <c r="FT81" s="35"/>
      <c r="FU81" s="35"/>
      <c r="FV81" s="35"/>
      <c r="FW81" s="35"/>
      <c r="FX81" s="35"/>
      <c r="FY81" s="35"/>
      <c r="FZ81" s="35"/>
      <c r="GA81" s="35"/>
      <c r="GB81" s="35"/>
      <c r="GC81" s="35"/>
      <c r="GD81" s="35"/>
      <c r="GE81" s="35"/>
      <c r="GF81" s="35"/>
      <c r="GG81" s="35"/>
      <c r="GH81" s="35"/>
      <c r="GI81" s="35"/>
      <c r="GJ81" s="35"/>
      <c r="GK81" s="35"/>
      <c r="GL81" s="35"/>
      <c r="GM81" s="35"/>
      <c r="GN81" s="35"/>
      <c r="GO81" s="35"/>
      <c r="GP81" s="35"/>
      <c r="GQ81" s="35"/>
      <c r="GR81" s="35"/>
      <c r="GS81" s="35"/>
      <c r="GT81" s="35"/>
      <c r="GU81" s="35"/>
      <c r="GV81" s="79"/>
      <c r="GW81" s="79"/>
      <c r="GX81" s="79"/>
      <c r="GY81" s="79"/>
      <c r="GZ81" s="79"/>
      <c r="HA81" s="79"/>
      <c r="HB81" s="79"/>
      <c r="HC81" s="79"/>
      <c r="HD81" s="79"/>
      <c r="HE81" s="79"/>
      <c r="HF81" s="79"/>
      <c r="HG81" s="79"/>
      <c r="HH81" s="79"/>
      <c r="HI81" s="79"/>
      <c r="HJ81" s="79"/>
      <c r="HK81" s="79"/>
      <c r="HL81" s="79"/>
      <c r="HM81" s="79"/>
      <c r="HN81" s="79"/>
      <c r="HO81" s="79"/>
      <c r="HP81" s="79"/>
      <c r="HQ81" s="79"/>
      <c r="HR81" s="79"/>
      <c r="HS81" s="79"/>
      <c r="HT81" s="79"/>
      <c r="HU81" s="79"/>
      <c r="HV81" s="79"/>
      <c r="HW81" s="79"/>
      <c r="HX81" s="79"/>
      <c r="HY81" s="79"/>
      <c r="HZ81" s="79"/>
      <c r="IA81" s="79"/>
      <c r="IB81" s="79"/>
      <c r="IC81" s="79"/>
      <c r="ID81" s="79"/>
      <c r="IE81" s="79"/>
      <c r="IF81" s="79"/>
      <c r="IG81" s="79"/>
      <c r="IH81" s="79"/>
      <c r="II81" s="79"/>
      <c r="IJ81" s="79"/>
      <c r="IK81" s="79"/>
      <c r="IL81" s="79"/>
      <c r="IM81" s="79"/>
      <c r="IN81" s="79"/>
      <c r="IO81" s="79"/>
      <c r="IP81" s="79"/>
      <c r="IQ81" s="79"/>
      <c r="IR81" s="79"/>
      <c r="IS81" s="79"/>
      <c r="IT81" s="79"/>
      <c r="IU81" s="79"/>
      <c r="IV81" s="79"/>
      <c r="IW81" s="79"/>
    </row>
    <row r="82" spans="2:257" s="15" customFormat="1" ht="14.4">
      <c r="B82" s="30">
        <f t="shared" si="254"/>
        <v>4.0899999999999981</v>
      </c>
      <c r="C82" s="37" t="s">
        <v>216</v>
      </c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79"/>
      <c r="BD82" s="79"/>
      <c r="BE82" s="79"/>
      <c r="BF82" s="79"/>
      <c r="BG82" s="79"/>
      <c r="BH82" s="79"/>
      <c r="BI82" s="79"/>
      <c r="BJ82" s="79"/>
      <c r="BK82" s="79"/>
      <c r="BL82" s="79"/>
      <c r="BM82" s="79"/>
      <c r="BN82" s="79"/>
      <c r="BO82" s="79"/>
      <c r="BP82" s="79"/>
      <c r="BQ82" s="79"/>
      <c r="BR82" s="79"/>
      <c r="BS82" s="79"/>
      <c r="BT82" s="79"/>
      <c r="BU82" s="79"/>
      <c r="BV82" s="79"/>
      <c r="BW82" s="79"/>
      <c r="BX82" s="79"/>
      <c r="BY82" s="79"/>
      <c r="BZ82" s="79"/>
      <c r="CA82" s="79"/>
      <c r="CB82" s="79"/>
      <c r="CC82" s="79"/>
      <c r="CD82" s="79"/>
      <c r="CE82" s="79"/>
      <c r="CF82" s="35"/>
      <c r="CG82" s="34"/>
      <c r="CH82" s="34"/>
      <c r="CI82" s="34"/>
      <c r="CJ82" s="34"/>
      <c r="CK82" s="34"/>
      <c r="CL82" s="34"/>
      <c r="CM82" s="34"/>
      <c r="CN82" s="34"/>
      <c r="CO82" s="35"/>
      <c r="CP82" s="35"/>
      <c r="CQ82" s="35"/>
      <c r="CR82" s="79"/>
      <c r="CS82" s="79"/>
      <c r="CT82" s="79"/>
      <c r="CU82" s="79"/>
      <c r="CV82" s="35"/>
      <c r="CW82" s="35"/>
      <c r="CX82" s="35"/>
      <c r="CY82" s="35"/>
      <c r="CZ82" s="35"/>
      <c r="DA82" s="35"/>
      <c r="DB82" s="79"/>
      <c r="DC82" s="35"/>
      <c r="DD82" s="35"/>
      <c r="DE82" s="35"/>
      <c r="DF82" s="35"/>
      <c r="DG82" s="35"/>
      <c r="DH82" s="79"/>
      <c r="DI82" s="35"/>
      <c r="DJ82" s="35"/>
      <c r="DK82" s="55" t="s">
        <v>187</v>
      </c>
      <c r="DL82" s="55" t="s">
        <v>30</v>
      </c>
      <c r="DM82" s="55" t="s">
        <v>31</v>
      </c>
      <c r="DN82" s="55" t="s">
        <v>32</v>
      </c>
      <c r="DO82" s="55"/>
      <c r="DP82" s="56" t="s">
        <v>188</v>
      </c>
      <c r="DQ82" s="56" t="s">
        <v>189</v>
      </c>
      <c r="DR82" s="56" t="s">
        <v>190</v>
      </c>
      <c r="DS82" s="56" t="s">
        <v>191</v>
      </c>
      <c r="DT82" s="57" t="s">
        <v>192</v>
      </c>
      <c r="DU82" s="57"/>
      <c r="DV82" s="57" t="s">
        <v>193</v>
      </c>
      <c r="DW82" s="57" t="s">
        <v>194</v>
      </c>
      <c r="DX82" s="57" t="s">
        <v>195</v>
      </c>
      <c r="DY82" s="58" t="s">
        <v>196</v>
      </c>
      <c r="DZ82" s="58" t="s">
        <v>197</v>
      </c>
      <c r="EA82" s="58"/>
      <c r="EB82" s="58" t="s">
        <v>198</v>
      </c>
      <c r="EC82" s="58" t="s">
        <v>199</v>
      </c>
      <c r="ED82" s="42" t="s">
        <v>33</v>
      </c>
      <c r="EE82" s="42" t="s">
        <v>34</v>
      </c>
      <c r="EF82" s="42" t="s">
        <v>35</v>
      </c>
      <c r="EG82" s="42"/>
      <c r="EH82" s="42" t="s">
        <v>36</v>
      </c>
      <c r="EI82" s="59" t="s">
        <v>200</v>
      </c>
      <c r="EJ82" s="59" t="s">
        <v>201</v>
      </c>
      <c r="EK82" s="59" t="s">
        <v>202</v>
      </c>
      <c r="EL82" s="59" t="s">
        <v>203</v>
      </c>
      <c r="EM82" s="59"/>
      <c r="EN82" s="35"/>
      <c r="EO82" s="35"/>
      <c r="EP82" s="35"/>
      <c r="EQ82" s="35"/>
      <c r="ER82" s="35"/>
      <c r="ES82" s="35"/>
      <c r="ET82" s="35"/>
      <c r="EU82" s="35"/>
      <c r="EV82" s="35"/>
      <c r="EW82" s="35"/>
      <c r="EX82" s="35"/>
      <c r="EY82" s="35"/>
      <c r="EZ82" s="35"/>
      <c r="FA82" s="35"/>
      <c r="FB82" s="35"/>
      <c r="FC82" s="35"/>
      <c r="FD82" s="35"/>
      <c r="FE82" s="35"/>
      <c r="FF82" s="35"/>
      <c r="FG82" s="35"/>
      <c r="FH82" s="35"/>
      <c r="FI82" s="35"/>
      <c r="FJ82" s="35"/>
      <c r="FK82" s="35"/>
      <c r="FL82" s="35"/>
      <c r="FM82" s="35"/>
      <c r="FN82" s="35"/>
      <c r="FO82" s="35"/>
      <c r="FP82" s="35"/>
      <c r="FQ82" s="35"/>
      <c r="FR82" s="35"/>
      <c r="FS82" s="35"/>
      <c r="FT82" s="35"/>
      <c r="FU82" s="35"/>
      <c r="FV82" s="35"/>
      <c r="FW82" s="35"/>
      <c r="FX82" s="35"/>
      <c r="FY82" s="35"/>
      <c r="FZ82" s="35"/>
      <c r="GA82" s="35"/>
      <c r="GB82" s="35"/>
      <c r="GC82" s="35"/>
      <c r="GD82" s="35"/>
      <c r="GE82" s="35"/>
      <c r="GF82" s="35"/>
      <c r="GG82" s="35"/>
      <c r="GH82" s="35"/>
      <c r="GI82" s="35"/>
      <c r="GJ82" s="35"/>
      <c r="GK82" s="35"/>
      <c r="GL82" s="35"/>
      <c r="GM82" s="35"/>
      <c r="GN82" s="35"/>
      <c r="GO82" s="35"/>
      <c r="GP82" s="35"/>
      <c r="GQ82" s="35"/>
      <c r="GR82" s="35"/>
      <c r="GS82" s="35"/>
      <c r="GT82" s="35"/>
      <c r="GU82" s="35"/>
      <c r="GV82" s="79"/>
      <c r="GW82" s="79"/>
      <c r="GX82" s="79"/>
      <c r="GY82" s="79"/>
      <c r="GZ82" s="79"/>
      <c r="HA82" s="79"/>
      <c r="HB82" s="79"/>
      <c r="HC82" s="79"/>
      <c r="HD82" s="79"/>
      <c r="HE82" s="79"/>
      <c r="HF82" s="79"/>
      <c r="HG82" s="79"/>
      <c r="HH82" s="79"/>
      <c r="HI82" s="79"/>
      <c r="HJ82" s="79"/>
      <c r="HK82" s="79"/>
      <c r="HL82" s="79"/>
      <c r="HM82" s="79"/>
      <c r="HN82" s="79"/>
      <c r="HO82" s="79"/>
      <c r="HP82" s="79"/>
      <c r="HQ82" s="79"/>
      <c r="HR82" s="79"/>
      <c r="HS82" s="79"/>
      <c r="HT82" s="79"/>
      <c r="HU82" s="79"/>
      <c r="HV82" s="79"/>
      <c r="HW82" s="79"/>
      <c r="HX82" s="79"/>
      <c r="HY82" s="79"/>
      <c r="HZ82" s="79"/>
      <c r="IA82" s="79"/>
      <c r="IB82" s="79"/>
      <c r="IC82" s="79"/>
      <c r="ID82" s="79"/>
      <c r="IE82" s="79"/>
      <c r="IF82" s="79"/>
      <c r="IG82" s="79"/>
      <c r="IH82" s="79"/>
      <c r="II82" s="79"/>
      <c r="IJ82" s="79"/>
      <c r="IK82" s="79"/>
      <c r="IL82" s="79"/>
      <c r="IM82" s="79"/>
      <c r="IN82" s="79"/>
      <c r="IO82" s="79"/>
      <c r="IP82" s="79"/>
      <c r="IQ82" s="79"/>
      <c r="IR82" s="79"/>
      <c r="IS82" s="79"/>
      <c r="IT82" s="79"/>
      <c r="IU82" s="79"/>
      <c r="IV82" s="79"/>
      <c r="IW82" s="79"/>
    </row>
    <row r="83" spans="2:257" s="15" customFormat="1" ht="14.4">
      <c r="B83" s="30">
        <f t="shared" si="254"/>
        <v>4.0999999999999979</v>
      </c>
      <c r="C83" s="37" t="s">
        <v>217</v>
      </c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79"/>
      <c r="BD83" s="79"/>
      <c r="BE83" s="79"/>
      <c r="BF83" s="79"/>
      <c r="BG83" s="79"/>
      <c r="BH83" s="79"/>
      <c r="BI83" s="79"/>
      <c r="BJ83" s="79"/>
      <c r="BK83" s="79"/>
      <c r="BL83" s="79"/>
      <c r="BM83" s="79"/>
      <c r="BN83" s="79"/>
      <c r="BO83" s="79"/>
      <c r="BP83" s="79"/>
      <c r="BQ83" s="79"/>
      <c r="BR83" s="79"/>
      <c r="BS83" s="79"/>
      <c r="BT83" s="79"/>
      <c r="BU83" s="79"/>
      <c r="BV83" s="79"/>
      <c r="BW83" s="79"/>
      <c r="BX83" s="79"/>
      <c r="BY83" s="79"/>
      <c r="BZ83" s="79"/>
      <c r="CA83" s="79"/>
      <c r="CB83" s="79"/>
      <c r="CC83" s="79"/>
      <c r="CD83" s="79"/>
      <c r="CE83" s="79"/>
      <c r="CF83" s="35"/>
      <c r="CG83" s="34"/>
      <c r="CH83" s="34"/>
      <c r="CI83" s="34"/>
      <c r="CJ83" s="34"/>
      <c r="CK83" s="34"/>
      <c r="CL83" s="34"/>
      <c r="CM83" s="34"/>
      <c r="CN83" s="34"/>
      <c r="CO83" s="35"/>
      <c r="CP83" s="35"/>
      <c r="CQ83" s="35"/>
      <c r="CR83" s="79"/>
      <c r="CS83" s="79"/>
      <c r="CT83" s="79"/>
      <c r="CU83" s="79"/>
      <c r="CV83" s="35"/>
      <c r="CW83" s="35"/>
      <c r="CX83" s="35"/>
      <c r="CY83" s="35"/>
      <c r="CZ83" s="35"/>
      <c r="DA83" s="35"/>
      <c r="DB83" s="79"/>
      <c r="DC83" s="35"/>
      <c r="DD83" s="35"/>
      <c r="DE83" s="35"/>
      <c r="DF83" s="35"/>
      <c r="DG83" s="35"/>
      <c r="DH83" s="79"/>
      <c r="DI83" s="35"/>
      <c r="DJ83" s="35"/>
      <c r="DK83" s="35"/>
      <c r="DL83" s="55" t="s">
        <v>187</v>
      </c>
      <c r="DM83" s="55" t="s">
        <v>30</v>
      </c>
      <c r="DN83" s="55" t="s">
        <v>31</v>
      </c>
      <c r="DO83" s="55"/>
      <c r="DP83" s="55" t="s">
        <v>32</v>
      </c>
      <c r="DQ83" s="56" t="s">
        <v>188</v>
      </c>
      <c r="DR83" s="56" t="s">
        <v>189</v>
      </c>
      <c r="DS83" s="56" t="s">
        <v>190</v>
      </c>
      <c r="DT83" s="56" t="s">
        <v>191</v>
      </c>
      <c r="DU83" s="56"/>
      <c r="DV83" s="57" t="s">
        <v>192</v>
      </c>
      <c r="DW83" s="57" t="s">
        <v>193</v>
      </c>
      <c r="DX83" s="57" t="s">
        <v>194</v>
      </c>
      <c r="DY83" s="57" t="s">
        <v>195</v>
      </c>
      <c r="DZ83" s="58" t="s">
        <v>196</v>
      </c>
      <c r="EA83" s="58"/>
      <c r="EB83" s="58" t="s">
        <v>197</v>
      </c>
      <c r="EC83" s="58" t="s">
        <v>198</v>
      </c>
      <c r="ED83" s="58" t="s">
        <v>199</v>
      </c>
      <c r="EE83" s="42" t="s">
        <v>33</v>
      </c>
      <c r="EF83" s="42" t="s">
        <v>34</v>
      </c>
      <c r="EG83" s="42"/>
      <c r="EH83" s="42" t="s">
        <v>35</v>
      </c>
      <c r="EI83" s="42" t="s">
        <v>36</v>
      </c>
      <c r="EJ83" s="59" t="s">
        <v>200</v>
      </c>
      <c r="EK83" s="59" t="s">
        <v>201</v>
      </c>
      <c r="EL83" s="59" t="s">
        <v>202</v>
      </c>
      <c r="EM83" s="59"/>
      <c r="EN83" s="59" t="s">
        <v>203</v>
      </c>
      <c r="EO83" s="35"/>
      <c r="EP83" s="35"/>
      <c r="EQ83" s="35"/>
      <c r="ER83" s="35"/>
      <c r="ES83" s="35"/>
      <c r="ET83" s="35"/>
      <c r="EU83" s="35"/>
      <c r="EV83" s="35"/>
      <c r="EW83" s="35"/>
      <c r="EX83" s="35"/>
      <c r="EY83" s="35"/>
      <c r="EZ83" s="35"/>
      <c r="FA83" s="35"/>
      <c r="FB83" s="35"/>
      <c r="FC83" s="35"/>
      <c r="FD83" s="35"/>
      <c r="FE83" s="35"/>
      <c r="FF83" s="35"/>
      <c r="FG83" s="35"/>
      <c r="FH83" s="35"/>
      <c r="FI83" s="35"/>
      <c r="FJ83" s="35"/>
      <c r="FK83" s="35"/>
      <c r="FL83" s="35"/>
      <c r="FM83" s="35"/>
      <c r="FN83" s="35"/>
      <c r="FO83" s="35"/>
      <c r="FP83" s="35"/>
      <c r="FQ83" s="35"/>
      <c r="FR83" s="35"/>
      <c r="FS83" s="35"/>
      <c r="FT83" s="35"/>
      <c r="FU83" s="35"/>
      <c r="FV83" s="35"/>
      <c r="FW83" s="35"/>
      <c r="FX83" s="35"/>
      <c r="FY83" s="35"/>
      <c r="FZ83" s="35"/>
      <c r="GA83" s="35"/>
      <c r="GB83" s="35"/>
      <c r="GC83" s="35"/>
      <c r="GD83" s="35"/>
      <c r="GE83" s="35"/>
      <c r="GF83" s="35"/>
      <c r="GG83" s="35"/>
      <c r="GH83" s="35"/>
      <c r="GI83" s="35"/>
      <c r="GJ83" s="35"/>
      <c r="GK83" s="35"/>
      <c r="GL83" s="35"/>
      <c r="GM83" s="35"/>
      <c r="GN83" s="35"/>
      <c r="GO83" s="35"/>
      <c r="GP83" s="35"/>
      <c r="GQ83" s="35"/>
      <c r="GR83" s="35"/>
      <c r="GS83" s="35"/>
      <c r="GT83" s="35"/>
      <c r="GU83" s="35"/>
      <c r="GV83" s="79"/>
      <c r="GW83" s="79"/>
      <c r="GX83" s="79"/>
      <c r="GY83" s="79"/>
      <c r="GZ83" s="79"/>
      <c r="HA83" s="79"/>
      <c r="HB83" s="79"/>
      <c r="HC83" s="79"/>
      <c r="HD83" s="79"/>
      <c r="HE83" s="79"/>
      <c r="HF83" s="79"/>
      <c r="HG83" s="79"/>
      <c r="HH83" s="79"/>
      <c r="HI83" s="79"/>
      <c r="HJ83" s="79"/>
      <c r="HK83" s="79"/>
      <c r="HL83" s="79"/>
      <c r="HM83" s="79"/>
      <c r="HN83" s="79"/>
      <c r="HO83" s="79"/>
      <c r="HP83" s="79"/>
      <c r="HQ83" s="79"/>
      <c r="HR83" s="79"/>
      <c r="HS83" s="79"/>
      <c r="HT83" s="79"/>
      <c r="HU83" s="79"/>
      <c r="HV83" s="79"/>
      <c r="HW83" s="79"/>
      <c r="HX83" s="79"/>
      <c r="HY83" s="79"/>
      <c r="HZ83" s="79"/>
      <c r="IA83" s="79"/>
      <c r="IB83" s="79"/>
      <c r="IC83" s="79"/>
      <c r="ID83" s="79"/>
      <c r="IE83" s="79"/>
      <c r="IF83" s="79"/>
      <c r="IG83" s="79"/>
      <c r="IH83" s="79"/>
      <c r="II83" s="79"/>
      <c r="IJ83" s="79"/>
      <c r="IK83" s="79"/>
      <c r="IL83" s="79"/>
      <c r="IM83" s="79"/>
      <c r="IN83" s="79"/>
      <c r="IO83" s="79"/>
      <c r="IP83" s="79"/>
      <c r="IQ83" s="79"/>
      <c r="IR83" s="79"/>
      <c r="IS83" s="79"/>
      <c r="IT83" s="79"/>
      <c r="IU83" s="79"/>
      <c r="IV83" s="79"/>
      <c r="IW83" s="79"/>
    </row>
    <row r="84" spans="2:257" s="15" customFormat="1" ht="14.4">
      <c r="B84" s="30">
        <f t="shared" si="254"/>
        <v>4.1099999999999977</v>
      </c>
      <c r="C84" s="37" t="s">
        <v>66</v>
      </c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79"/>
      <c r="BD84" s="79"/>
      <c r="BE84" s="79"/>
      <c r="BF84" s="79"/>
      <c r="BG84" s="79"/>
      <c r="BH84" s="79"/>
      <c r="BI84" s="79"/>
      <c r="BJ84" s="79"/>
      <c r="BK84" s="79"/>
      <c r="BL84" s="79"/>
      <c r="BM84" s="79"/>
      <c r="BN84" s="79"/>
      <c r="BO84" s="79"/>
      <c r="BP84" s="79"/>
      <c r="BQ84" s="79"/>
      <c r="BR84" s="79"/>
      <c r="BS84" s="79"/>
      <c r="BT84" s="79"/>
      <c r="BU84" s="79"/>
      <c r="BV84" s="79"/>
      <c r="BW84" s="79"/>
      <c r="BX84" s="79"/>
      <c r="BY84" s="79"/>
      <c r="BZ84" s="79"/>
      <c r="CA84" s="79"/>
      <c r="CB84" s="79"/>
      <c r="CC84" s="79"/>
      <c r="CD84" s="79"/>
      <c r="CE84" s="79"/>
      <c r="CF84" s="35"/>
      <c r="CG84" s="34"/>
      <c r="CH84" s="34"/>
      <c r="CI84" s="34"/>
      <c r="CJ84" s="34"/>
      <c r="CK84" s="34"/>
      <c r="CL84" s="34"/>
      <c r="CM84" s="34"/>
      <c r="CN84" s="34"/>
      <c r="CO84" s="35"/>
      <c r="CP84" s="35"/>
      <c r="CQ84" s="35"/>
      <c r="CR84" s="79"/>
      <c r="CS84" s="79"/>
      <c r="CT84" s="79"/>
      <c r="CU84" s="79"/>
      <c r="CV84" s="35"/>
      <c r="CW84" s="35"/>
      <c r="CX84" s="35"/>
      <c r="CY84" s="35"/>
      <c r="CZ84" s="35"/>
      <c r="DA84" s="35"/>
      <c r="DB84" s="79"/>
      <c r="DC84" s="35"/>
      <c r="DD84" s="35"/>
      <c r="DE84" s="35"/>
      <c r="DF84" s="35"/>
      <c r="DG84" s="35"/>
      <c r="DH84" s="79"/>
      <c r="DI84" s="35"/>
      <c r="DJ84" s="35"/>
      <c r="DK84" s="35"/>
      <c r="DL84" s="55" t="s">
        <v>187</v>
      </c>
      <c r="DM84" s="55" t="s">
        <v>30</v>
      </c>
      <c r="DN84" s="55" t="s">
        <v>31</v>
      </c>
      <c r="DO84" s="55"/>
      <c r="DP84" s="55" t="s">
        <v>32</v>
      </c>
      <c r="DQ84" s="56" t="s">
        <v>188</v>
      </c>
      <c r="DR84" s="56" t="s">
        <v>189</v>
      </c>
      <c r="DS84" s="56" t="s">
        <v>190</v>
      </c>
      <c r="DT84" s="56" t="s">
        <v>191</v>
      </c>
      <c r="DU84" s="56"/>
      <c r="DV84" s="57" t="s">
        <v>192</v>
      </c>
      <c r="DW84" s="57" t="s">
        <v>193</v>
      </c>
      <c r="DX84" s="57" t="s">
        <v>194</v>
      </c>
      <c r="DY84" s="57" t="s">
        <v>195</v>
      </c>
      <c r="DZ84" s="58" t="s">
        <v>196</v>
      </c>
      <c r="EA84" s="58"/>
      <c r="EB84" s="58" t="s">
        <v>197</v>
      </c>
      <c r="EC84" s="58" t="s">
        <v>198</v>
      </c>
      <c r="ED84" s="58" t="s">
        <v>199</v>
      </c>
      <c r="EE84" s="42" t="s">
        <v>33</v>
      </c>
      <c r="EF84" s="42" t="s">
        <v>34</v>
      </c>
      <c r="EG84" s="42"/>
      <c r="EH84" s="42" t="s">
        <v>35</v>
      </c>
      <c r="EI84" s="42" t="s">
        <v>36</v>
      </c>
      <c r="EJ84" s="59" t="s">
        <v>200</v>
      </c>
      <c r="EK84" s="59" t="s">
        <v>201</v>
      </c>
      <c r="EL84" s="59" t="s">
        <v>202</v>
      </c>
      <c r="EM84" s="59"/>
      <c r="EN84" s="59" t="s">
        <v>203</v>
      </c>
      <c r="EO84" s="35"/>
      <c r="EP84" s="35"/>
      <c r="EQ84" s="35"/>
      <c r="ER84" s="35"/>
      <c r="ES84" s="35"/>
      <c r="ET84" s="35"/>
      <c r="EU84" s="35"/>
      <c r="EV84" s="35"/>
      <c r="EW84" s="35"/>
      <c r="EX84" s="35"/>
      <c r="EY84" s="35"/>
      <c r="EZ84" s="35"/>
      <c r="FA84" s="35"/>
      <c r="FB84" s="35"/>
      <c r="FC84" s="35"/>
      <c r="FD84" s="35"/>
      <c r="FE84" s="35"/>
      <c r="FF84" s="35"/>
      <c r="FG84" s="35"/>
      <c r="FH84" s="35"/>
      <c r="FI84" s="35"/>
      <c r="FJ84" s="35"/>
      <c r="FK84" s="35"/>
      <c r="FL84" s="35"/>
      <c r="FM84" s="35"/>
      <c r="FN84" s="35"/>
      <c r="FO84" s="35"/>
      <c r="FP84" s="35"/>
      <c r="FQ84" s="35"/>
      <c r="FR84" s="35"/>
      <c r="FS84" s="35"/>
      <c r="FT84" s="35"/>
      <c r="FU84" s="35"/>
      <c r="FV84" s="35"/>
      <c r="FW84" s="35"/>
      <c r="FX84" s="35"/>
      <c r="FY84" s="35"/>
      <c r="FZ84" s="35"/>
      <c r="GA84" s="35"/>
      <c r="GB84" s="35"/>
      <c r="GC84" s="35"/>
      <c r="GD84" s="35"/>
      <c r="GE84" s="35"/>
      <c r="GF84" s="35"/>
      <c r="GG84" s="35"/>
      <c r="GH84" s="35"/>
      <c r="GI84" s="35"/>
      <c r="GJ84" s="35"/>
      <c r="GK84" s="35"/>
      <c r="GL84" s="35"/>
      <c r="GM84" s="35"/>
      <c r="GN84" s="35"/>
      <c r="GO84" s="35"/>
      <c r="GP84" s="35"/>
      <c r="GQ84" s="35"/>
      <c r="GR84" s="35"/>
      <c r="GS84" s="35"/>
      <c r="GT84" s="35"/>
      <c r="GU84" s="35"/>
      <c r="GV84" s="79"/>
      <c r="GW84" s="79"/>
      <c r="GX84" s="79"/>
      <c r="GY84" s="79"/>
      <c r="GZ84" s="79"/>
      <c r="HA84" s="79"/>
      <c r="HB84" s="79"/>
      <c r="HC84" s="79"/>
      <c r="HD84" s="79"/>
      <c r="HE84" s="79"/>
      <c r="HF84" s="79"/>
      <c r="HG84" s="79"/>
      <c r="HH84" s="79"/>
      <c r="HI84" s="79"/>
      <c r="HJ84" s="79"/>
      <c r="HK84" s="79"/>
      <c r="HL84" s="79"/>
      <c r="HM84" s="79"/>
      <c r="HN84" s="79"/>
      <c r="HO84" s="79"/>
      <c r="HP84" s="79"/>
      <c r="HQ84" s="79"/>
      <c r="HR84" s="79"/>
      <c r="HS84" s="79"/>
      <c r="HT84" s="79"/>
      <c r="HU84" s="79"/>
      <c r="HV84" s="79"/>
      <c r="HW84" s="79"/>
      <c r="HX84" s="79"/>
      <c r="HY84" s="79"/>
      <c r="HZ84" s="79"/>
      <c r="IA84" s="79"/>
      <c r="IB84" s="79"/>
      <c r="IC84" s="79"/>
      <c r="ID84" s="79"/>
      <c r="IE84" s="79"/>
      <c r="IF84" s="79"/>
      <c r="IG84" s="79"/>
      <c r="IH84" s="79"/>
      <c r="II84" s="79"/>
      <c r="IJ84" s="79"/>
      <c r="IK84" s="79"/>
      <c r="IL84" s="79"/>
      <c r="IM84" s="79"/>
      <c r="IN84" s="79"/>
      <c r="IO84" s="79"/>
      <c r="IP84" s="79"/>
      <c r="IQ84" s="79"/>
      <c r="IR84" s="79"/>
      <c r="IS84" s="79"/>
      <c r="IT84" s="79"/>
      <c r="IU84" s="79"/>
      <c r="IV84" s="79"/>
      <c r="IW84" s="79"/>
    </row>
    <row r="85" spans="2:257" s="15" customFormat="1" ht="14.4">
      <c r="B85" s="30">
        <f t="shared" si="254"/>
        <v>4.1199999999999974</v>
      </c>
      <c r="C85" s="37" t="s">
        <v>67</v>
      </c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79"/>
      <c r="BD85" s="79"/>
      <c r="BE85" s="79"/>
      <c r="BF85" s="79"/>
      <c r="BG85" s="79"/>
      <c r="BH85" s="79"/>
      <c r="BI85" s="79"/>
      <c r="BJ85" s="79"/>
      <c r="BK85" s="79"/>
      <c r="BL85" s="79"/>
      <c r="BM85" s="79"/>
      <c r="BN85" s="79"/>
      <c r="BO85" s="79"/>
      <c r="BP85" s="79"/>
      <c r="BQ85" s="79"/>
      <c r="BR85" s="79"/>
      <c r="BS85" s="79"/>
      <c r="BT85" s="79"/>
      <c r="BU85" s="79"/>
      <c r="BV85" s="79"/>
      <c r="BW85" s="79"/>
      <c r="BX85" s="79"/>
      <c r="BY85" s="79"/>
      <c r="BZ85" s="79"/>
      <c r="CA85" s="79"/>
      <c r="CB85" s="79"/>
      <c r="CC85" s="79"/>
      <c r="CD85" s="79"/>
      <c r="CE85" s="79"/>
      <c r="CF85" s="35"/>
      <c r="CG85" s="34"/>
      <c r="CH85" s="34"/>
      <c r="CI85" s="34"/>
      <c r="CJ85" s="34"/>
      <c r="CK85" s="34"/>
      <c r="CL85" s="34"/>
      <c r="CM85" s="34"/>
      <c r="CN85" s="34"/>
      <c r="CO85" s="35"/>
      <c r="CP85" s="35"/>
      <c r="CQ85" s="35"/>
      <c r="CR85" s="79"/>
      <c r="CS85" s="79"/>
      <c r="CT85" s="79"/>
      <c r="CU85" s="79"/>
      <c r="CV85" s="35"/>
      <c r="CW85" s="35"/>
      <c r="CX85" s="35"/>
      <c r="CY85" s="35"/>
      <c r="CZ85" s="35"/>
      <c r="DA85" s="35"/>
      <c r="DB85" s="79"/>
      <c r="DC85" s="35"/>
      <c r="DD85" s="35"/>
      <c r="DE85" s="35"/>
      <c r="DF85" s="35"/>
      <c r="DG85" s="35"/>
      <c r="DH85" s="79"/>
      <c r="DI85" s="35"/>
      <c r="DJ85" s="35"/>
      <c r="DK85" s="35"/>
      <c r="DL85" s="55" t="s">
        <v>187</v>
      </c>
      <c r="DM85" s="55" t="s">
        <v>30</v>
      </c>
      <c r="DN85" s="55" t="s">
        <v>31</v>
      </c>
      <c r="DO85" s="55"/>
      <c r="DP85" s="55" t="s">
        <v>32</v>
      </c>
      <c r="DQ85" s="56" t="s">
        <v>188</v>
      </c>
      <c r="DR85" s="56" t="s">
        <v>189</v>
      </c>
      <c r="DS85" s="56" t="s">
        <v>190</v>
      </c>
      <c r="DT85" s="56" t="s">
        <v>191</v>
      </c>
      <c r="DU85" s="56"/>
      <c r="DV85" s="57" t="s">
        <v>192</v>
      </c>
      <c r="DW85" s="57" t="s">
        <v>193</v>
      </c>
      <c r="DX85" s="57" t="s">
        <v>194</v>
      </c>
      <c r="DY85" s="57" t="s">
        <v>195</v>
      </c>
      <c r="DZ85" s="58" t="s">
        <v>196</v>
      </c>
      <c r="EA85" s="58"/>
      <c r="EB85" s="58" t="s">
        <v>197</v>
      </c>
      <c r="EC85" s="58" t="s">
        <v>198</v>
      </c>
      <c r="ED85" s="58" t="s">
        <v>199</v>
      </c>
      <c r="EE85" s="42" t="s">
        <v>33</v>
      </c>
      <c r="EF85" s="42" t="s">
        <v>34</v>
      </c>
      <c r="EG85" s="42"/>
      <c r="EH85" s="42" t="s">
        <v>35</v>
      </c>
      <c r="EI85" s="42" t="s">
        <v>36</v>
      </c>
      <c r="EJ85" s="59" t="s">
        <v>200</v>
      </c>
      <c r="EK85" s="59" t="s">
        <v>201</v>
      </c>
      <c r="EL85" s="59" t="s">
        <v>202</v>
      </c>
      <c r="EM85" s="59"/>
      <c r="EN85" s="59" t="s">
        <v>203</v>
      </c>
      <c r="EO85" s="35"/>
      <c r="EP85" s="35"/>
      <c r="EQ85" s="35"/>
      <c r="ER85" s="35"/>
      <c r="ES85" s="35"/>
      <c r="ET85" s="35"/>
      <c r="EU85" s="35"/>
      <c r="EV85" s="35"/>
      <c r="EW85" s="35"/>
      <c r="EX85" s="35"/>
      <c r="EY85" s="35"/>
      <c r="EZ85" s="35"/>
      <c r="FA85" s="35"/>
      <c r="FB85" s="35"/>
      <c r="FC85" s="35"/>
      <c r="FD85" s="35"/>
      <c r="FE85" s="35"/>
      <c r="FF85" s="35"/>
      <c r="FG85" s="35"/>
      <c r="FH85" s="35"/>
      <c r="FI85" s="35"/>
      <c r="FJ85" s="35"/>
      <c r="FK85" s="35"/>
      <c r="FL85" s="35"/>
      <c r="FM85" s="35"/>
      <c r="FN85" s="35"/>
      <c r="FO85" s="35"/>
      <c r="FP85" s="35"/>
      <c r="FQ85" s="35"/>
      <c r="FR85" s="35"/>
      <c r="FS85" s="35"/>
      <c r="FT85" s="35"/>
      <c r="FU85" s="35"/>
      <c r="FV85" s="35"/>
      <c r="FW85" s="35"/>
      <c r="FX85" s="35"/>
      <c r="FY85" s="35"/>
      <c r="FZ85" s="35"/>
      <c r="GA85" s="35"/>
      <c r="GB85" s="35"/>
      <c r="GC85" s="35"/>
      <c r="GD85" s="35"/>
      <c r="GE85" s="35"/>
      <c r="GF85" s="35"/>
      <c r="GG85" s="35"/>
      <c r="GH85" s="35"/>
      <c r="GI85" s="35"/>
      <c r="GJ85" s="35"/>
      <c r="GK85" s="35"/>
      <c r="GL85" s="35"/>
      <c r="GM85" s="35"/>
      <c r="GN85" s="35"/>
      <c r="GO85" s="35"/>
      <c r="GP85" s="35"/>
      <c r="GQ85" s="35"/>
      <c r="GR85" s="35"/>
      <c r="GS85" s="35"/>
      <c r="GT85" s="35"/>
      <c r="GU85" s="35"/>
      <c r="GV85" s="79"/>
      <c r="GW85" s="79"/>
      <c r="GX85" s="79"/>
      <c r="GY85" s="79"/>
      <c r="GZ85" s="79"/>
      <c r="HA85" s="79"/>
      <c r="HB85" s="79"/>
      <c r="HC85" s="79"/>
      <c r="HD85" s="79"/>
      <c r="HE85" s="79"/>
      <c r="HF85" s="79"/>
      <c r="HG85" s="79"/>
      <c r="HH85" s="79"/>
      <c r="HI85" s="79"/>
      <c r="HJ85" s="79"/>
      <c r="HK85" s="79"/>
      <c r="HL85" s="79"/>
      <c r="HM85" s="79"/>
      <c r="HN85" s="79"/>
      <c r="HO85" s="79"/>
      <c r="HP85" s="79"/>
      <c r="HQ85" s="79"/>
      <c r="HR85" s="79"/>
      <c r="HS85" s="79"/>
      <c r="HT85" s="79"/>
      <c r="HU85" s="79"/>
      <c r="HV85" s="79"/>
      <c r="HW85" s="79"/>
      <c r="HX85" s="79"/>
      <c r="HY85" s="79"/>
      <c r="HZ85" s="79"/>
      <c r="IA85" s="79"/>
      <c r="IB85" s="79"/>
      <c r="IC85" s="79"/>
      <c r="ID85" s="79"/>
      <c r="IE85" s="79"/>
      <c r="IF85" s="79"/>
      <c r="IG85" s="79"/>
      <c r="IH85" s="79"/>
      <c r="II85" s="79"/>
      <c r="IJ85" s="79"/>
      <c r="IK85" s="79"/>
      <c r="IL85" s="79"/>
      <c r="IM85" s="79"/>
      <c r="IN85" s="79"/>
      <c r="IO85" s="79"/>
      <c r="IP85" s="79"/>
      <c r="IQ85" s="79"/>
      <c r="IR85" s="79"/>
      <c r="IS85" s="79"/>
      <c r="IT85" s="79"/>
      <c r="IU85" s="79"/>
      <c r="IV85" s="79"/>
      <c r="IW85" s="79"/>
    </row>
    <row r="86" spans="2:257" s="15" customFormat="1" ht="14.4">
      <c r="B86" s="30">
        <f t="shared" si="254"/>
        <v>4.1299999999999972</v>
      </c>
      <c r="C86" s="37" t="s">
        <v>68</v>
      </c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79"/>
      <c r="BD86" s="79"/>
      <c r="BE86" s="79"/>
      <c r="BF86" s="79"/>
      <c r="BG86" s="79"/>
      <c r="BH86" s="79"/>
      <c r="BI86" s="79"/>
      <c r="BJ86" s="79"/>
      <c r="BK86" s="79"/>
      <c r="BL86" s="79"/>
      <c r="BM86" s="79"/>
      <c r="BN86" s="79"/>
      <c r="BO86" s="79"/>
      <c r="BP86" s="79"/>
      <c r="BQ86" s="79"/>
      <c r="BR86" s="79"/>
      <c r="BS86" s="79"/>
      <c r="BT86" s="79"/>
      <c r="BU86" s="79"/>
      <c r="BV86" s="79"/>
      <c r="BW86" s="79"/>
      <c r="BX86" s="79"/>
      <c r="BY86" s="79"/>
      <c r="BZ86" s="79"/>
      <c r="CA86" s="79"/>
      <c r="CB86" s="79"/>
      <c r="CC86" s="79"/>
      <c r="CD86" s="79"/>
      <c r="CE86" s="79"/>
      <c r="CF86" s="35"/>
      <c r="CG86" s="34"/>
      <c r="CH86" s="34"/>
      <c r="CI86" s="34"/>
      <c r="CJ86" s="34"/>
      <c r="CK86" s="34"/>
      <c r="CL86" s="34"/>
      <c r="CM86" s="34"/>
      <c r="CN86" s="34"/>
      <c r="CO86" s="35"/>
      <c r="CP86" s="35"/>
      <c r="CQ86" s="35"/>
      <c r="CR86" s="79"/>
      <c r="CS86" s="79"/>
      <c r="CT86" s="79"/>
      <c r="CU86" s="79"/>
      <c r="CV86" s="35"/>
      <c r="CW86" s="35"/>
      <c r="CX86" s="35"/>
      <c r="CY86" s="35"/>
      <c r="CZ86" s="35"/>
      <c r="DA86" s="35"/>
      <c r="DB86" s="79"/>
      <c r="DC86" s="35"/>
      <c r="DD86" s="35"/>
      <c r="DE86" s="35"/>
      <c r="DF86" s="35"/>
      <c r="DG86" s="35"/>
      <c r="DH86" s="79"/>
      <c r="DI86" s="35"/>
      <c r="DJ86" s="35"/>
      <c r="DK86" s="35"/>
      <c r="DL86" s="55" t="s">
        <v>187</v>
      </c>
      <c r="DM86" s="55" t="s">
        <v>30</v>
      </c>
      <c r="DN86" s="55" t="s">
        <v>31</v>
      </c>
      <c r="DO86" s="55"/>
      <c r="DP86" s="55" t="s">
        <v>32</v>
      </c>
      <c r="DQ86" s="56" t="s">
        <v>188</v>
      </c>
      <c r="DR86" s="56" t="s">
        <v>189</v>
      </c>
      <c r="DS86" s="56" t="s">
        <v>190</v>
      </c>
      <c r="DT86" s="56" t="s">
        <v>191</v>
      </c>
      <c r="DU86" s="56"/>
      <c r="DV86" s="57" t="s">
        <v>192</v>
      </c>
      <c r="DW86" s="57" t="s">
        <v>193</v>
      </c>
      <c r="DX86" s="57" t="s">
        <v>194</v>
      </c>
      <c r="DY86" s="57" t="s">
        <v>195</v>
      </c>
      <c r="DZ86" s="58" t="s">
        <v>196</v>
      </c>
      <c r="EA86" s="58"/>
      <c r="EB86" s="58" t="s">
        <v>197</v>
      </c>
      <c r="EC86" s="58" t="s">
        <v>198</v>
      </c>
      <c r="ED86" s="58" t="s">
        <v>199</v>
      </c>
      <c r="EE86" s="42" t="s">
        <v>33</v>
      </c>
      <c r="EF86" s="42" t="s">
        <v>34</v>
      </c>
      <c r="EG86" s="42"/>
      <c r="EH86" s="42" t="s">
        <v>35</v>
      </c>
      <c r="EI86" s="42" t="s">
        <v>36</v>
      </c>
      <c r="EJ86" s="59" t="s">
        <v>200</v>
      </c>
      <c r="EK86" s="59" t="s">
        <v>201</v>
      </c>
      <c r="EL86" s="59" t="s">
        <v>202</v>
      </c>
      <c r="EM86" s="59"/>
      <c r="EN86" s="59" t="s">
        <v>203</v>
      </c>
      <c r="EO86" s="35"/>
      <c r="EP86" s="35"/>
      <c r="EQ86" s="35"/>
      <c r="ER86" s="35"/>
      <c r="ES86" s="35"/>
      <c r="ET86" s="35"/>
      <c r="EU86" s="35"/>
      <c r="EV86" s="35"/>
      <c r="EW86" s="35"/>
      <c r="EX86" s="35"/>
      <c r="EY86" s="35"/>
      <c r="EZ86" s="35"/>
      <c r="FA86" s="35"/>
      <c r="FB86" s="35"/>
      <c r="FC86" s="35"/>
      <c r="FD86" s="35"/>
      <c r="FE86" s="35"/>
      <c r="FF86" s="35"/>
      <c r="FG86" s="35"/>
      <c r="FH86" s="35"/>
      <c r="FI86" s="35"/>
      <c r="FJ86" s="35"/>
      <c r="FK86" s="35"/>
      <c r="FL86" s="35"/>
      <c r="FM86" s="35"/>
      <c r="FN86" s="35"/>
      <c r="FO86" s="35"/>
      <c r="FP86" s="35"/>
      <c r="FQ86" s="35"/>
      <c r="FR86" s="35"/>
      <c r="FS86" s="35"/>
      <c r="FT86" s="35"/>
      <c r="FU86" s="35"/>
      <c r="FV86" s="35"/>
      <c r="FW86" s="35"/>
      <c r="FX86" s="35"/>
      <c r="FY86" s="35"/>
      <c r="FZ86" s="35"/>
      <c r="GA86" s="35"/>
      <c r="GB86" s="35"/>
      <c r="GC86" s="35"/>
      <c r="GD86" s="35"/>
      <c r="GE86" s="35"/>
      <c r="GF86" s="35"/>
      <c r="GG86" s="35"/>
      <c r="GH86" s="35"/>
      <c r="GI86" s="35"/>
      <c r="GJ86" s="35"/>
      <c r="GK86" s="35"/>
      <c r="GL86" s="35"/>
      <c r="GM86" s="35"/>
      <c r="GN86" s="35"/>
      <c r="GO86" s="35"/>
      <c r="GP86" s="35"/>
      <c r="GQ86" s="35"/>
      <c r="GR86" s="35"/>
      <c r="GS86" s="35"/>
      <c r="GT86" s="35"/>
      <c r="GU86" s="35"/>
      <c r="GV86" s="79"/>
      <c r="GW86" s="79"/>
      <c r="GX86" s="79"/>
      <c r="GY86" s="79"/>
      <c r="GZ86" s="79"/>
      <c r="HA86" s="79"/>
      <c r="HB86" s="79"/>
      <c r="HC86" s="79"/>
      <c r="HD86" s="79"/>
      <c r="HE86" s="79"/>
      <c r="HF86" s="79"/>
      <c r="HG86" s="79"/>
      <c r="HH86" s="79"/>
      <c r="HI86" s="79"/>
      <c r="HJ86" s="79"/>
      <c r="HK86" s="79"/>
      <c r="HL86" s="79"/>
      <c r="HM86" s="79"/>
      <c r="HN86" s="79"/>
      <c r="HO86" s="79"/>
      <c r="HP86" s="79"/>
      <c r="HQ86" s="79"/>
      <c r="HR86" s="79"/>
      <c r="HS86" s="79"/>
      <c r="HT86" s="79"/>
      <c r="HU86" s="79"/>
      <c r="HV86" s="79"/>
      <c r="HW86" s="79"/>
      <c r="HX86" s="79"/>
      <c r="HY86" s="79"/>
      <c r="HZ86" s="79"/>
      <c r="IA86" s="79"/>
      <c r="IB86" s="79"/>
      <c r="IC86" s="79"/>
      <c r="ID86" s="79"/>
      <c r="IE86" s="79"/>
      <c r="IF86" s="79"/>
      <c r="IG86" s="79"/>
      <c r="IH86" s="79"/>
      <c r="II86" s="79"/>
      <c r="IJ86" s="79"/>
      <c r="IK86" s="79"/>
      <c r="IL86" s="79"/>
      <c r="IM86" s="79"/>
      <c r="IN86" s="79"/>
      <c r="IO86" s="79"/>
      <c r="IP86" s="79"/>
      <c r="IQ86" s="79"/>
      <c r="IR86" s="79"/>
      <c r="IS86" s="79"/>
      <c r="IT86" s="79"/>
      <c r="IU86" s="79"/>
      <c r="IV86" s="79"/>
      <c r="IW86" s="79"/>
    </row>
    <row r="87" spans="2:257" s="15" customFormat="1" ht="14.4">
      <c r="B87" s="30">
        <f t="shared" si="254"/>
        <v>4.139999999999997</v>
      </c>
      <c r="C87" s="37" t="s">
        <v>69</v>
      </c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79"/>
      <c r="BD87" s="79"/>
      <c r="BE87" s="79"/>
      <c r="BF87" s="79"/>
      <c r="BG87" s="79"/>
      <c r="BH87" s="79"/>
      <c r="BI87" s="79"/>
      <c r="BJ87" s="79"/>
      <c r="BK87" s="79"/>
      <c r="BL87" s="79"/>
      <c r="BM87" s="79"/>
      <c r="BN87" s="79"/>
      <c r="BO87" s="79"/>
      <c r="BP87" s="79"/>
      <c r="BQ87" s="79"/>
      <c r="BR87" s="79"/>
      <c r="BS87" s="79"/>
      <c r="BT87" s="79"/>
      <c r="BU87" s="79"/>
      <c r="BV87" s="79"/>
      <c r="BW87" s="79"/>
      <c r="BX87" s="79"/>
      <c r="BY87" s="79"/>
      <c r="BZ87" s="79"/>
      <c r="CA87" s="79"/>
      <c r="CB87" s="79"/>
      <c r="CC87" s="79"/>
      <c r="CD87" s="79"/>
      <c r="CE87" s="79"/>
      <c r="CF87" s="35"/>
      <c r="CG87" s="34"/>
      <c r="CH87" s="34"/>
      <c r="CI87" s="34"/>
      <c r="CJ87" s="34"/>
      <c r="CK87" s="34"/>
      <c r="CL87" s="34"/>
      <c r="CM87" s="34"/>
      <c r="CN87" s="34"/>
      <c r="CO87" s="35"/>
      <c r="CP87" s="35"/>
      <c r="CQ87" s="35"/>
      <c r="CR87" s="79"/>
      <c r="CS87" s="79"/>
      <c r="CT87" s="79"/>
      <c r="CU87" s="79"/>
      <c r="CV87" s="35"/>
      <c r="CW87" s="35"/>
      <c r="CX87" s="35"/>
      <c r="CY87" s="35"/>
      <c r="CZ87" s="35"/>
      <c r="DA87" s="35"/>
      <c r="DB87" s="79"/>
      <c r="DC87" s="35"/>
      <c r="DD87" s="35"/>
      <c r="DE87" s="35"/>
      <c r="DF87" s="35"/>
      <c r="DG87" s="35"/>
      <c r="DH87" s="79"/>
      <c r="DI87" s="35"/>
      <c r="DJ87" s="35"/>
      <c r="DK87" s="35"/>
      <c r="DL87" s="35"/>
      <c r="DM87" s="55" t="s">
        <v>187</v>
      </c>
      <c r="DN87" s="55" t="s">
        <v>30</v>
      </c>
      <c r="DO87" s="55"/>
      <c r="DP87" s="55" t="s">
        <v>31</v>
      </c>
      <c r="DQ87" s="55" t="s">
        <v>32</v>
      </c>
      <c r="DR87" s="56" t="s">
        <v>188</v>
      </c>
      <c r="DS87" s="56" t="s">
        <v>189</v>
      </c>
      <c r="DT87" s="56" t="s">
        <v>190</v>
      </c>
      <c r="DU87" s="56"/>
      <c r="DV87" s="56" t="s">
        <v>191</v>
      </c>
      <c r="DW87" s="57" t="s">
        <v>192</v>
      </c>
      <c r="DX87" s="57" t="s">
        <v>193</v>
      </c>
      <c r="DY87" s="57" t="s">
        <v>194</v>
      </c>
      <c r="DZ87" s="57" t="s">
        <v>195</v>
      </c>
      <c r="EA87" s="57"/>
      <c r="EB87" s="58" t="s">
        <v>196</v>
      </c>
      <c r="EC87" s="58" t="s">
        <v>197</v>
      </c>
      <c r="ED87" s="58" t="s">
        <v>198</v>
      </c>
      <c r="EE87" s="58" t="s">
        <v>199</v>
      </c>
      <c r="EF87" s="42" t="s">
        <v>33</v>
      </c>
      <c r="EG87" s="42"/>
      <c r="EH87" s="42" t="s">
        <v>34</v>
      </c>
      <c r="EI87" s="42" t="s">
        <v>35</v>
      </c>
      <c r="EJ87" s="42" t="s">
        <v>36</v>
      </c>
      <c r="EK87" s="59" t="s">
        <v>200</v>
      </c>
      <c r="EL87" s="59" t="s">
        <v>201</v>
      </c>
      <c r="EM87" s="59"/>
      <c r="EN87" s="59" t="s">
        <v>202</v>
      </c>
      <c r="EO87" s="59" t="s">
        <v>203</v>
      </c>
      <c r="EP87" s="35"/>
      <c r="EQ87" s="35"/>
      <c r="ER87" s="35"/>
      <c r="ES87" s="35"/>
      <c r="ET87" s="35"/>
      <c r="EU87" s="35"/>
      <c r="EV87" s="35"/>
      <c r="EW87" s="35"/>
      <c r="EX87" s="35"/>
      <c r="EY87" s="35"/>
      <c r="EZ87" s="35"/>
      <c r="FA87" s="35"/>
      <c r="FB87" s="35"/>
      <c r="FC87" s="35"/>
      <c r="FD87" s="35"/>
      <c r="FE87" s="35"/>
      <c r="FF87" s="35"/>
      <c r="FG87" s="35"/>
      <c r="FH87" s="35"/>
      <c r="FI87" s="35"/>
      <c r="FJ87" s="35"/>
      <c r="FK87" s="35"/>
      <c r="FL87" s="35"/>
      <c r="FM87" s="35"/>
      <c r="FN87" s="35"/>
      <c r="FO87" s="35"/>
      <c r="FP87" s="35"/>
      <c r="FQ87" s="35"/>
      <c r="FR87" s="35"/>
      <c r="FS87" s="35"/>
      <c r="FT87" s="35"/>
      <c r="FU87" s="35"/>
      <c r="FV87" s="35"/>
      <c r="FW87" s="35"/>
      <c r="FX87" s="35"/>
      <c r="FY87" s="35"/>
      <c r="FZ87" s="35"/>
      <c r="GA87" s="35"/>
      <c r="GB87" s="35"/>
      <c r="GC87" s="35"/>
      <c r="GD87" s="35"/>
      <c r="GE87" s="35"/>
      <c r="GF87" s="35"/>
      <c r="GG87" s="35"/>
      <c r="GH87" s="35"/>
      <c r="GI87" s="35"/>
      <c r="GJ87" s="35"/>
      <c r="GK87" s="35"/>
      <c r="GL87" s="35"/>
      <c r="GM87" s="35"/>
      <c r="GN87" s="35"/>
      <c r="GO87" s="35"/>
      <c r="GP87" s="35"/>
      <c r="GQ87" s="35"/>
      <c r="GR87" s="35"/>
      <c r="GS87" s="35"/>
      <c r="GT87" s="35"/>
      <c r="GU87" s="35"/>
      <c r="GV87" s="79"/>
      <c r="GW87" s="79"/>
      <c r="GX87" s="79"/>
      <c r="GY87" s="79"/>
      <c r="GZ87" s="79"/>
      <c r="HA87" s="79"/>
      <c r="HB87" s="79"/>
      <c r="HC87" s="79"/>
      <c r="HD87" s="79"/>
      <c r="HE87" s="79"/>
      <c r="HF87" s="79"/>
      <c r="HG87" s="79"/>
      <c r="HH87" s="79"/>
      <c r="HI87" s="79"/>
      <c r="HJ87" s="79"/>
      <c r="HK87" s="79"/>
      <c r="HL87" s="79"/>
      <c r="HM87" s="79"/>
      <c r="HN87" s="79"/>
      <c r="HO87" s="79"/>
      <c r="HP87" s="79"/>
      <c r="HQ87" s="79"/>
      <c r="HR87" s="79"/>
      <c r="HS87" s="79"/>
      <c r="HT87" s="79"/>
      <c r="HU87" s="79"/>
      <c r="HV87" s="79"/>
      <c r="HW87" s="79"/>
      <c r="HX87" s="79"/>
      <c r="HY87" s="79"/>
      <c r="HZ87" s="79"/>
      <c r="IA87" s="79"/>
      <c r="IB87" s="79"/>
      <c r="IC87" s="79"/>
      <c r="ID87" s="79"/>
      <c r="IE87" s="79"/>
      <c r="IF87" s="79"/>
      <c r="IG87" s="79"/>
      <c r="IH87" s="79"/>
      <c r="II87" s="79"/>
      <c r="IJ87" s="79"/>
      <c r="IK87" s="79"/>
      <c r="IL87" s="79"/>
      <c r="IM87" s="79"/>
      <c r="IN87" s="79"/>
      <c r="IO87" s="79"/>
      <c r="IP87" s="79"/>
      <c r="IQ87" s="79"/>
      <c r="IR87" s="79"/>
      <c r="IS87" s="79"/>
      <c r="IT87" s="79"/>
      <c r="IU87" s="79"/>
      <c r="IV87" s="79"/>
      <c r="IW87" s="79"/>
    </row>
    <row r="88" spans="2:257" s="15" customFormat="1" ht="14.4">
      <c r="B88" s="30">
        <f t="shared" si="254"/>
        <v>4.1499999999999968</v>
      </c>
      <c r="C88" s="37" t="s">
        <v>70</v>
      </c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79"/>
      <c r="BD88" s="79"/>
      <c r="BE88" s="79"/>
      <c r="BF88" s="79"/>
      <c r="BG88" s="79"/>
      <c r="BH88" s="79"/>
      <c r="BI88" s="79"/>
      <c r="BJ88" s="79"/>
      <c r="BK88" s="79"/>
      <c r="BL88" s="79"/>
      <c r="BM88" s="79"/>
      <c r="BN88" s="79"/>
      <c r="BO88" s="79"/>
      <c r="BP88" s="79"/>
      <c r="BQ88" s="79"/>
      <c r="BR88" s="79"/>
      <c r="BS88" s="79"/>
      <c r="BT88" s="79"/>
      <c r="BU88" s="79"/>
      <c r="BV88" s="79"/>
      <c r="BW88" s="79"/>
      <c r="BX88" s="79"/>
      <c r="BY88" s="79"/>
      <c r="BZ88" s="79"/>
      <c r="CA88" s="79"/>
      <c r="CB88" s="79"/>
      <c r="CC88" s="79"/>
      <c r="CD88" s="79"/>
      <c r="CE88" s="79"/>
      <c r="CF88" s="35"/>
      <c r="CG88" s="34"/>
      <c r="CH88" s="34"/>
      <c r="CI88" s="34"/>
      <c r="CJ88" s="34"/>
      <c r="CK88" s="34"/>
      <c r="CL88" s="34"/>
      <c r="CM88" s="34"/>
      <c r="CN88" s="34"/>
      <c r="CO88" s="35"/>
      <c r="CP88" s="35"/>
      <c r="CQ88" s="35"/>
      <c r="CR88" s="79"/>
      <c r="CS88" s="79"/>
      <c r="CT88" s="79"/>
      <c r="CU88" s="79"/>
      <c r="CV88" s="35"/>
      <c r="CW88" s="35"/>
      <c r="CX88" s="35"/>
      <c r="CY88" s="35"/>
      <c r="CZ88" s="35"/>
      <c r="DA88" s="35"/>
      <c r="DB88" s="79"/>
      <c r="DC88" s="35"/>
      <c r="DD88" s="35"/>
      <c r="DE88" s="35"/>
      <c r="DF88" s="35"/>
      <c r="DG88" s="35"/>
      <c r="DH88" s="79"/>
      <c r="DI88" s="35"/>
      <c r="DJ88" s="35"/>
      <c r="DK88" s="35"/>
      <c r="DL88" s="35"/>
      <c r="DM88" s="35"/>
      <c r="DN88" s="55" t="s">
        <v>187</v>
      </c>
      <c r="DO88" s="55"/>
      <c r="DP88" s="55" t="s">
        <v>30</v>
      </c>
      <c r="DQ88" s="55" t="s">
        <v>31</v>
      </c>
      <c r="DR88" s="55" t="s">
        <v>32</v>
      </c>
      <c r="DS88" s="56" t="s">
        <v>188</v>
      </c>
      <c r="DT88" s="56" t="s">
        <v>189</v>
      </c>
      <c r="DU88" s="56"/>
      <c r="DV88" s="56" t="s">
        <v>190</v>
      </c>
      <c r="DW88" s="56" t="s">
        <v>191</v>
      </c>
      <c r="DX88" s="57" t="s">
        <v>192</v>
      </c>
      <c r="DY88" s="57" t="s">
        <v>193</v>
      </c>
      <c r="DZ88" s="57" t="s">
        <v>194</v>
      </c>
      <c r="EA88" s="57"/>
      <c r="EB88" s="57" t="s">
        <v>195</v>
      </c>
      <c r="EC88" s="58" t="s">
        <v>196</v>
      </c>
      <c r="ED88" s="58" t="s">
        <v>197</v>
      </c>
      <c r="EE88" s="58" t="s">
        <v>198</v>
      </c>
      <c r="EF88" s="58" t="s">
        <v>199</v>
      </c>
      <c r="EG88" s="58"/>
      <c r="EH88" s="42" t="s">
        <v>33</v>
      </c>
      <c r="EI88" s="42" t="s">
        <v>34</v>
      </c>
      <c r="EJ88" s="42" t="s">
        <v>35</v>
      </c>
      <c r="EK88" s="42" t="s">
        <v>36</v>
      </c>
      <c r="EL88" s="59" t="s">
        <v>200</v>
      </c>
      <c r="EM88" s="42"/>
      <c r="EN88" s="59" t="s">
        <v>201</v>
      </c>
      <c r="EO88" s="59" t="s">
        <v>202</v>
      </c>
      <c r="EP88" s="59" t="s">
        <v>203</v>
      </c>
      <c r="EQ88" s="35"/>
      <c r="ER88" s="35"/>
      <c r="ES88" s="35"/>
      <c r="ET88" s="35"/>
      <c r="EU88" s="35"/>
      <c r="EV88" s="35"/>
      <c r="EW88" s="35"/>
      <c r="EX88" s="35"/>
      <c r="EY88" s="35"/>
      <c r="EZ88" s="35"/>
      <c r="FA88" s="35"/>
      <c r="FB88" s="35"/>
      <c r="FC88" s="35"/>
      <c r="FD88" s="35"/>
      <c r="FE88" s="35"/>
      <c r="FF88" s="35"/>
      <c r="FG88" s="35"/>
      <c r="FH88" s="35"/>
      <c r="FI88" s="35"/>
      <c r="FJ88" s="35"/>
      <c r="FK88" s="35"/>
      <c r="FL88" s="35"/>
      <c r="FM88" s="35"/>
      <c r="FN88" s="35"/>
      <c r="FO88" s="35"/>
      <c r="FP88" s="35"/>
      <c r="FQ88" s="35"/>
      <c r="FR88" s="35"/>
      <c r="FS88" s="35"/>
      <c r="FT88" s="35"/>
      <c r="FU88" s="35"/>
      <c r="FV88" s="35"/>
      <c r="FW88" s="35"/>
      <c r="FX88" s="35"/>
      <c r="FY88" s="35"/>
      <c r="FZ88" s="35"/>
      <c r="GA88" s="35"/>
      <c r="GB88" s="35"/>
      <c r="GC88" s="35"/>
      <c r="GD88" s="35"/>
      <c r="GE88" s="35"/>
      <c r="GF88" s="35"/>
      <c r="GG88" s="35"/>
      <c r="GH88" s="35"/>
      <c r="GI88" s="35"/>
      <c r="GJ88" s="35"/>
      <c r="GK88" s="35"/>
      <c r="GL88" s="35"/>
      <c r="GM88" s="35"/>
      <c r="GN88" s="35"/>
      <c r="GO88" s="35"/>
      <c r="GP88" s="35"/>
      <c r="GQ88" s="35"/>
      <c r="GR88" s="35"/>
      <c r="GS88" s="35"/>
      <c r="GT88" s="35"/>
      <c r="GU88" s="35"/>
      <c r="GV88" s="79"/>
      <c r="GW88" s="79"/>
      <c r="GX88" s="79"/>
      <c r="GY88" s="79"/>
      <c r="GZ88" s="79"/>
      <c r="HA88" s="79"/>
      <c r="HB88" s="79"/>
      <c r="HC88" s="79"/>
      <c r="HD88" s="79"/>
      <c r="HE88" s="79"/>
      <c r="HF88" s="79"/>
      <c r="HG88" s="79"/>
      <c r="HH88" s="79"/>
      <c r="HI88" s="79"/>
      <c r="HJ88" s="79"/>
      <c r="HK88" s="79"/>
      <c r="HL88" s="79"/>
      <c r="HM88" s="79"/>
      <c r="HN88" s="79"/>
      <c r="HO88" s="79"/>
      <c r="HP88" s="79"/>
      <c r="HQ88" s="79"/>
      <c r="HR88" s="79"/>
      <c r="HS88" s="79"/>
      <c r="HT88" s="79"/>
      <c r="HU88" s="79"/>
      <c r="HV88" s="79"/>
      <c r="HW88" s="79"/>
      <c r="HX88" s="79"/>
      <c r="HY88" s="79"/>
      <c r="HZ88" s="79"/>
      <c r="IA88" s="79"/>
      <c r="IB88" s="79"/>
      <c r="IC88" s="79"/>
      <c r="ID88" s="79"/>
      <c r="IE88" s="79"/>
      <c r="IF88" s="79"/>
      <c r="IG88" s="79"/>
      <c r="IH88" s="79"/>
      <c r="II88" s="79"/>
      <c r="IJ88" s="79"/>
      <c r="IK88" s="79"/>
      <c r="IL88" s="79"/>
      <c r="IM88" s="79"/>
      <c r="IN88" s="79"/>
      <c r="IO88" s="79"/>
      <c r="IP88" s="79"/>
      <c r="IQ88" s="79"/>
      <c r="IR88" s="79"/>
      <c r="IS88" s="79"/>
      <c r="IT88" s="79"/>
      <c r="IU88" s="79"/>
      <c r="IV88" s="79"/>
      <c r="IW88" s="79"/>
    </row>
    <row r="89" spans="2:257" s="15" customFormat="1" ht="14.4">
      <c r="B89" s="30">
        <f t="shared" si="254"/>
        <v>4.1599999999999966</v>
      </c>
      <c r="C89" s="91" t="s">
        <v>71</v>
      </c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79"/>
      <c r="BD89" s="79"/>
      <c r="BE89" s="79"/>
      <c r="BF89" s="79"/>
      <c r="BG89" s="79"/>
      <c r="BH89" s="79"/>
      <c r="BI89" s="79"/>
      <c r="BJ89" s="79"/>
      <c r="BK89" s="79"/>
      <c r="BL89" s="79"/>
      <c r="BM89" s="79"/>
      <c r="BN89" s="79"/>
      <c r="BO89" s="79"/>
      <c r="BP89" s="79"/>
      <c r="BQ89" s="79"/>
      <c r="BR89" s="79"/>
      <c r="BS89" s="79"/>
      <c r="BT89" s="79"/>
      <c r="BU89" s="79"/>
      <c r="BV89" s="79"/>
      <c r="BW89" s="79"/>
      <c r="BX89" s="79"/>
      <c r="BY89" s="79"/>
      <c r="BZ89" s="79"/>
      <c r="CA89" s="79"/>
      <c r="CB89" s="79"/>
      <c r="CC89" s="79"/>
      <c r="CD89" s="79"/>
      <c r="CE89" s="79"/>
      <c r="CF89" s="35"/>
      <c r="CG89" s="34"/>
      <c r="CH89" s="34"/>
      <c r="CI89" s="34"/>
      <c r="CJ89" s="34"/>
      <c r="CK89" s="34"/>
      <c r="CL89" s="34"/>
      <c r="CM89" s="34"/>
      <c r="CN89" s="34"/>
      <c r="CO89" s="35"/>
      <c r="CP89" s="35"/>
      <c r="CQ89" s="35"/>
      <c r="CR89" s="79"/>
      <c r="CS89" s="79"/>
      <c r="CT89" s="79"/>
      <c r="CU89" s="79"/>
      <c r="CV89" s="35"/>
      <c r="CW89" s="35"/>
      <c r="CX89" s="35"/>
      <c r="CY89" s="35"/>
      <c r="CZ89" s="35"/>
      <c r="DA89" s="35"/>
      <c r="DB89" s="79"/>
      <c r="DC89" s="35"/>
      <c r="DD89" s="35"/>
      <c r="DE89" s="35"/>
      <c r="DF89" s="35"/>
      <c r="DG89" s="35"/>
      <c r="DH89" s="79"/>
      <c r="DI89" s="35"/>
      <c r="DJ89" s="35"/>
      <c r="DK89" s="35"/>
      <c r="DL89" s="35"/>
      <c r="DM89" s="35"/>
      <c r="DN89" s="55" t="s">
        <v>187</v>
      </c>
      <c r="DO89" s="55"/>
      <c r="DP89" s="55" t="s">
        <v>30</v>
      </c>
      <c r="DQ89" s="55" t="s">
        <v>31</v>
      </c>
      <c r="DR89" s="55" t="s">
        <v>32</v>
      </c>
      <c r="DS89" s="56" t="s">
        <v>188</v>
      </c>
      <c r="DT89" s="56" t="s">
        <v>189</v>
      </c>
      <c r="DU89" s="56"/>
      <c r="DV89" s="56" t="s">
        <v>190</v>
      </c>
      <c r="DW89" s="56" t="s">
        <v>191</v>
      </c>
      <c r="DX89" s="57" t="s">
        <v>192</v>
      </c>
      <c r="DY89" s="57" t="s">
        <v>193</v>
      </c>
      <c r="DZ89" s="57" t="s">
        <v>194</v>
      </c>
      <c r="EA89" s="57"/>
      <c r="EB89" s="57" t="s">
        <v>195</v>
      </c>
      <c r="EC89" s="58" t="s">
        <v>196</v>
      </c>
      <c r="ED89" s="58" t="s">
        <v>197</v>
      </c>
      <c r="EE89" s="58" t="s">
        <v>198</v>
      </c>
      <c r="EF89" s="58" t="s">
        <v>199</v>
      </c>
      <c r="EG89" s="58"/>
      <c r="EH89" s="42" t="s">
        <v>33</v>
      </c>
      <c r="EI89" s="42" t="s">
        <v>34</v>
      </c>
      <c r="EJ89" s="42" t="s">
        <v>35</v>
      </c>
      <c r="EK89" s="42" t="s">
        <v>36</v>
      </c>
      <c r="EL89" s="59" t="s">
        <v>200</v>
      </c>
      <c r="EM89" s="42"/>
      <c r="EN89" s="59" t="s">
        <v>201</v>
      </c>
      <c r="EO89" s="59" t="s">
        <v>202</v>
      </c>
      <c r="EP89" s="59" t="s">
        <v>203</v>
      </c>
      <c r="EQ89" s="35"/>
      <c r="ER89" s="35"/>
      <c r="ES89" s="35"/>
      <c r="ET89" s="35"/>
      <c r="EU89" s="35"/>
      <c r="EV89" s="35"/>
      <c r="EW89" s="35"/>
      <c r="EX89" s="35"/>
      <c r="EY89" s="35"/>
      <c r="EZ89" s="35"/>
      <c r="FA89" s="35"/>
      <c r="FB89" s="35"/>
      <c r="FC89" s="35"/>
      <c r="FD89" s="35"/>
      <c r="FE89" s="35"/>
      <c r="FF89" s="35"/>
      <c r="FG89" s="35"/>
      <c r="FH89" s="35"/>
      <c r="FI89" s="35"/>
      <c r="FJ89" s="35"/>
      <c r="FK89" s="35"/>
      <c r="FL89" s="35"/>
      <c r="FM89" s="35"/>
      <c r="FN89" s="35"/>
      <c r="FO89" s="35"/>
      <c r="FP89" s="35"/>
      <c r="FQ89" s="35"/>
      <c r="FR89" s="35"/>
      <c r="FS89" s="35"/>
      <c r="FT89" s="35"/>
      <c r="FU89" s="35"/>
      <c r="FV89" s="35"/>
      <c r="FW89" s="35"/>
      <c r="FX89" s="35"/>
      <c r="FY89" s="35"/>
      <c r="FZ89" s="35"/>
      <c r="GA89" s="35"/>
      <c r="GB89" s="35"/>
      <c r="GC89" s="35"/>
      <c r="GD89" s="35"/>
      <c r="GE89" s="35"/>
      <c r="GF89" s="35"/>
      <c r="GG89" s="35"/>
      <c r="GH89" s="35"/>
      <c r="GI89" s="35"/>
      <c r="GJ89" s="35"/>
      <c r="GK89" s="35"/>
      <c r="GL89" s="35"/>
      <c r="GM89" s="35"/>
      <c r="GN89" s="35"/>
      <c r="GO89" s="35"/>
      <c r="GP89" s="35"/>
      <c r="GQ89" s="35"/>
      <c r="GR89" s="35"/>
      <c r="GS89" s="35"/>
      <c r="GT89" s="35"/>
      <c r="GU89" s="35"/>
      <c r="GV89" s="79"/>
      <c r="GW89" s="79"/>
      <c r="GX89" s="79"/>
      <c r="GY89" s="79"/>
      <c r="GZ89" s="79"/>
      <c r="HA89" s="79"/>
      <c r="HB89" s="79"/>
      <c r="HC89" s="79"/>
      <c r="HD89" s="79"/>
      <c r="HE89" s="79"/>
      <c r="HF89" s="79"/>
      <c r="HG89" s="79"/>
      <c r="HH89" s="79"/>
      <c r="HI89" s="79"/>
      <c r="HJ89" s="79"/>
      <c r="HK89" s="79"/>
      <c r="HL89" s="79"/>
      <c r="HM89" s="79"/>
      <c r="HN89" s="79"/>
      <c r="HO89" s="79"/>
      <c r="HP89" s="79"/>
      <c r="HQ89" s="79"/>
      <c r="HR89" s="79"/>
      <c r="HS89" s="79"/>
      <c r="HT89" s="79"/>
      <c r="HU89" s="79"/>
      <c r="HV89" s="79"/>
      <c r="HW89" s="79"/>
      <c r="HX89" s="79"/>
      <c r="HY89" s="79"/>
      <c r="HZ89" s="79"/>
      <c r="IA89" s="79"/>
      <c r="IB89" s="79"/>
      <c r="IC89" s="79"/>
      <c r="ID89" s="79"/>
      <c r="IE89" s="79"/>
      <c r="IF89" s="79"/>
      <c r="IG89" s="79"/>
      <c r="IH89" s="79"/>
      <c r="II89" s="79"/>
      <c r="IJ89" s="79"/>
      <c r="IK89" s="79"/>
      <c r="IL89" s="79"/>
      <c r="IM89" s="79"/>
      <c r="IN89" s="79"/>
      <c r="IO89" s="79"/>
      <c r="IP89" s="79"/>
      <c r="IQ89" s="79"/>
      <c r="IR89" s="79"/>
      <c r="IS89" s="79"/>
      <c r="IT89" s="79"/>
      <c r="IU89" s="79"/>
      <c r="IV89" s="79"/>
      <c r="IW89" s="79"/>
    </row>
    <row r="90" spans="2:257" s="15" customFormat="1" ht="14.4">
      <c r="B90" s="30">
        <f t="shared" si="254"/>
        <v>4.1699999999999964</v>
      </c>
      <c r="C90" s="37" t="s">
        <v>72</v>
      </c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79"/>
      <c r="BD90" s="79"/>
      <c r="BE90" s="79"/>
      <c r="BF90" s="79"/>
      <c r="BG90" s="79"/>
      <c r="BH90" s="79"/>
      <c r="BI90" s="79"/>
      <c r="BJ90" s="79"/>
      <c r="BK90" s="79"/>
      <c r="BL90" s="79"/>
      <c r="BM90" s="79"/>
      <c r="BN90" s="79"/>
      <c r="BO90" s="79"/>
      <c r="BP90" s="79"/>
      <c r="BQ90" s="79"/>
      <c r="BR90" s="79"/>
      <c r="BS90" s="79"/>
      <c r="BT90" s="79"/>
      <c r="BU90" s="79"/>
      <c r="BV90" s="79"/>
      <c r="BW90" s="79"/>
      <c r="BX90" s="79"/>
      <c r="BY90" s="79"/>
      <c r="BZ90" s="79"/>
      <c r="CA90" s="79"/>
      <c r="CB90" s="79"/>
      <c r="CC90" s="79"/>
      <c r="CD90" s="79"/>
      <c r="CE90" s="79"/>
      <c r="CF90" s="35"/>
      <c r="CG90" s="34"/>
      <c r="CH90" s="34"/>
      <c r="CI90" s="34"/>
      <c r="CJ90" s="34"/>
      <c r="CK90" s="34"/>
      <c r="CL90" s="34"/>
      <c r="CM90" s="34"/>
      <c r="CN90" s="34"/>
      <c r="CO90" s="35"/>
      <c r="CP90" s="35"/>
      <c r="CQ90" s="35"/>
      <c r="CR90" s="79"/>
      <c r="CS90" s="79"/>
      <c r="CT90" s="79"/>
      <c r="CU90" s="79"/>
      <c r="CV90" s="35"/>
      <c r="CW90" s="35"/>
      <c r="CX90" s="35"/>
      <c r="CY90" s="35"/>
      <c r="CZ90" s="35"/>
      <c r="DA90" s="35"/>
      <c r="DB90" s="79"/>
      <c r="DC90" s="35"/>
      <c r="DD90" s="35"/>
      <c r="DE90" s="35"/>
      <c r="DF90" s="35"/>
      <c r="DG90" s="35"/>
      <c r="DH90" s="79"/>
      <c r="DI90" s="35"/>
      <c r="DJ90" s="35"/>
      <c r="DK90" s="35"/>
      <c r="DL90" s="35"/>
      <c r="DM90" s="35"/>
      <c r="DN90" s="79"/>
      <c r="DO90" s="35"/>
      <c r="DP90" s="55" t="s">
        <v>187</v>
      </c>
      <c r="DQ90" s="55" t="s">
        <v>30</v>
      </c>
      <c r="DR90" s="55" t="s">
        <v>31</v>
      </c>
      <c r="DS90" s="55" t="s">
        <v>32</v>
      </c>
      <c r="DT90" s="56" t="s">
        <v>188</v>
      </c>
      <c r="DU90" s="56"/>
      <c r="DV90" s="56" t="s">
        <v>189</v>
      </c>
      <c r="DW90" s="56" t="s">
        <v>190</v>
      </c>
      <c r="DX90" s="56" t="s">
        <v>191</v>
      </c>
      <c r="DY90" s="57" t="s">
        <v>192</v>
      </c>
      <c r="DZ90" s="57" t="s">
        <v>193</v>
      </c>
      <c r="EA90" s="57"/>
      <c r="EB90" s="57" t="s">
        <v>194</v>
      </c>
      <c r="EC90" s="57" t="s">
        <v>195</v>
      </c>
      <c r="ED90" s="58" t="s">
        <v>196</v>
      </c>
      <c r="EE90" s="58" t="s">
        <v>197</v>
      </c>
      <c r="EF90" s="58" t="s">
        <v>198</v>
      </c>
      <c r="EG90" s="58"/>
      <c r="EH90" s="58" t="s">
        <v>199</v>
      </c>
      <c r="EI90" s="42" t="s">
        <v>33</v>
      </c>
      <c r="EJ90" s="42" t="s">
        <v>34</v>
      </c>
      <c r="EK90" s="42" t="s">
        <v>35</v>
      </c>
      <c r="EL90" s="42" t="s">
        <v>36</v>
      </c>
      <c r="EM90" s="42"/>
      <c r="EN90" s="59" t="s">
        <v>200</v>
      </c>
      <c r="EO90" s="59" t="s">
        <v>201</v>
      </c>
      <c r="EP90" s="59" t="s">
        <v>202</v>
      </c>
      <c r="EQ90" s="59" t="s">
        <v>203</v>
      </c>
      <c r="ER90" s="59"/>
      <c r="ES90" s="35"/>
      <c r="ET90" s="35"/>
      <c r="EU90" s="35"/>
      <c r="EV90" s="35"/>
      <c r="EW90" s="35"/>
      <c r="EX90" s="35"/>
      <c r="EY90" s="35"/>
      <c r="EZ90" s="35"/>
      <c r="FA90" s="35"/>
      <c r="FB90" s="35"/>
      <c r="FC90" s="35"/>
      <c r="FD90" s="35"/>
      <c r="FE90" s="35"/>
      <c r="FF90" s="35"/>
      <c r="FG90" s="35"/>
      <c r="FH90" s="35"/>
      <c r="FI90" s="35"/>
      <c r="FJ90" s="35"/>
      <c r="FK90" s="35"/>
      <c r="FL90" s="35"/>
      <c r="FM90" s="35"/>
      <c r="FN90" s="35"/>
      <c r="FO90" s="35"/>
      <c r="FP90" s="35"/>
      <c r="FQ90" s="35"/>
      <c r="FR90" s="35"/>
      <c r="FS90" s="35"/>
      <c r="FT90" s="35"/>
      <c r="FU90" s="35"/>
      <c r="FV90" s="35"/>
      <c r="FW90" s="35"/>
      <c r="FX90" s="35"/>
      <c r="FY90" s="35"/>
      <c r="FZ90" s="35"/>
      <c r="GA90" s="35"/>
      <c r="GB90" s="35"/>
      <c r="GC90" s="35"/>
      <c r="GD90" s="35"/>
      <c r="GE90" s="35"/>
      <c r="GF90" s="35"/>
      <c r="GG90" s="35"/>
      <c r="GH90" s="35"/>
      <c r="GI90" s="35"/>
      <c r="GJ90" s="35"/>
      <c r="GK90" s="35"/>
      <c r="GL90" s="35"/>
      <c r="GM90" s="35"/>
      <c r="GN90" s="35"/>
      <c r="GO90" s="35"/>
      <c r="GP90" s="35"/>
      <c r="GQ90" s="35"/>
      <c r="GR90" s="35"/>
      <c r="GS90" s="35"/>
      <c r="GT90" s="35"/>
      <c r="GU90" s="35"/>
      <c r="GV90" s="79"/>
      <c r="GW90" s="79"/>
      <c r="GX90" s="79"/>
      <c r="GY90" s="79"/>
      <c r="GZ90" s="79"/>
      <c r="HA90" s="79"/>
      <c r="HB90" s="79"/>
      <c r="HC90" s="79"/>
      <c r="HD90" s="79"/>
      <c r="HE90" s="79"/>
      <c r="HF90" s="79"/>
      <c r="HG90" s="79"/>
      <c r="HH90" s="79"/>
      <c r="HI90" s="79"/>
      <c r="HJ90" s="79"/>
      <c r="HK90" s="79"/>
      <c r="HL90" s="79"/>
      <c r="HM90" s="79"/>
      <c r="HN90" s="79"/>
      <c r="HO90" s="79"/>
      <c r="HP90" s="79"/>
      <c r="HQ90" s="79"/>
      <c r="HR90" s="79"/>
      <c r="HS90" s="79"/>
      <c r="HT90" s="79"/>
      <c r="HU90" s="79"/>
      <c r="HV90" s="79"/>
      <c r="HW90" s="79"/>
      <c r="HX90" s="79"/>
      <c r="HY90" s="79"/>
      <c r="HZ90" s="79"/>
      <c r="IA90" s="79"/>
      <c r="IB90" s="79"/>
      <c r="IC90" s="79"/>
      <c r="ID90" s="79"/>
      <c r="IE90" s="79"/>
      <c r="IF90" s="79"/>
      <c r="IG90" s="79"/>
      <c r="IH90" s="79"/>
      <c r="II90" s="79"/>
      <c r="IJ90" s="79"/>
      <c r="IK90" s="79"/>
      <c r="IL90" s="79"/>
      <c r="IM90" s="79"/>
      <c r="IN90" s="79"/>
      <c r="IO90" s="79"/>
      <c r="IP90" s="79"/>
      <c r="IQ90" s="79"/>
      <c r="IR90" s="79"/>
      <c r="IS90" s="79"/>
      <c r="IT90" s="79"/>
      <c r="IU90" s="79"/>
      <c r="IV90" s="79"/>
      <c r="IW90" s="79"/>
    </row>
    <row r="91" spans="2:257" s="15" customFormat="1" ht="14.4">
      <c r="B91" s="30">
        <f t="shared" si="254"/>
        <v>4.1799999999999962</v>
      </c>
      <c r="C91" s="37" t="s">
        <v>73</v>
      </c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79"/>
      <c r="BD91" s="79"/>
      <c r="BE91" s="79"/>
      <c r="BF91" s="79"/>
      <c r="BG91" s="79"/>
      <c r="BH91" s="79"/>
      <c r="BI91" s="79"/>
      <c r="BJ91" s="79"/>
      <c r="BK91" s="79"/>
      <c r="BL91" s="79"/>
      <c r="BM91" s="79"/>
      <c r="BN91" s="79"/>
      <c r="BO91" s="79"/>
      <c r="BP91" s="79"/>
      <c r="BQ91" s="79"/>
      <c r="BR91" s="79"/>
      <c r="BS91" s="79"/>
      <c r="BT91" s="79"/>
      <c r="BU91" s="79"/>
      <c r="BV91" s="79"/>
      <c r="BW91" s="79"/>
      <c r="BX91" s="79"/>
      <c r="BY91" s="79"/>
      <c r="BZ91" s="79"/>
      <c r="CA91" s="79"/>
      <c r="CB91" s="79"/>
      <c r="CC91" s="79"/>
      <c r="CD91" s="79"/>
      <c r="CE91" s="79"/>
      <c r="CF91" s="35"/>
      <c r="CG91" s="34"/>
      <c r="CH91" s="34"/>
      <c r="CI91" s="34"/>
      <c r="CJ91" s="34"/>
      <c r="CK91" s="34"/>
      <c r="CL91" s="34"/>
      <c r="CM91" s="34"/>
      <c r="CN91" s="34"/>
      <c r="CO91" s="35"/>
      <c r="CP91" s="35"/>
      <c r="CQ91" s="35"/>
      <c r="CR91" s="79"/>
      <c r="CS91" s="79"/>
      <c r="CT91" s="79"/>
      <c r="CU91" s="79"/>
      <c r="CV91" s="35"/>
      <c r="CW91" s="35"/>
      <c r="CX91" s="35"/>
      <c r="CY91" s="35"/>
      <c r="CZ91" s="35"/>
      <c r="DA91" s="35"/>
      <c r="DB91" s="79"/>
      <c r="DC91" s="35"/>
      <c r="DD91" s="35"/>
      <c r="DE91" s="35"/>
      <c r="DF91" s="35"/>
      <c r="DG91" s="35"/>
      <c r="DH91" s="79"/>
      <c r="DI91" s="35"/>
      <c r="DJ91" s="35"/>
      <c r="DK91" s="35"/>
      <c r="DL91" s="35"/>
      <c r="DM91" s="35"/>
      <c r="DN91" s="79"/>
      <c r="DO91" s="35"/>
      <c r="DP91" s="55" t="s">
        <v>187</v>
      </c>
      <c r="DQ91" s="55" t="s">
        <v>30</v>
      </c>
      <c r="DR91" s="55" t="s">
        <v>31</v>
      </c>
      <c r="DS91" s="55" t="s">
        <v>32</v>
      </c>
      <c r="DT91" s="56" t="s">
        <v>188</v>
      </c>
      <c r="DU91" s="56"/>
      <c r="DV91" s="56" t="s">
        <v>189</v>
      </c>
      <c r="DW91" s="56" t="s">
        <v>190</v>
      </c>
      <c r="DX91" s="56" t="s">
        <v>191</v>
      </c>
      <c r="DY91" s="57" t="s">
        <v>192</v>
      </c>
      <c r="DZ91" s="57" t="s">
        <v>193</v>
      </c>
      <c r="EA91" s="57"/>
      <c r="EB91" s="57" t="s">
        <v>194</v>
      </c>
      <c r="EC91" s="57" t="s">
        <v>195</v>
      </c>
      <c r="ED91" s="58" t="s">
        <v>196</v>
      </c>
      <c r="EE91" s="58" t="s">
        <v>197</v>
      </c>
      <c r="EF91" s="58" t="s">
        <v>198</v>
      </c>
      <c r="EG91" s="58"/>
      <c r="EH91" s="58" t="s">
        <v>199</v>
      </c>
      <c r="EI91" s="42" t="s">
        <v>33</v>
      </c>
      <c r="EJ91" s="42" t="s">
        <v>34</v>
      </c>
      <c r="EK91" s="42" t="s">
        <v>35</v>
      </c>
      <c r="EL91" s="42" t="s">
        <v>36</v>
      </c>
      <c r="EM91" s="42"/>
      <c r="EN91" s="59" t="s">
        <v>200</v>
      </c>
      <c r="EO91" s="59" t="s">
        <v>201</v>
      </c>
      <c r="EP91" s="59" t="s">
        <v>202</v>
      </c>
      <c r="EQ91" s="59" t="s">
        <v>203</v>
      </c>
      <c r="ER91" s="59"/>
      <c r="ES91" s="35"/>
      <c r="ET91" s="35"/>
      <c r="EU91" s="35"/>
      <c r="EV91" s="35"/>
      <c r="EW91" s="35"/>
      <c r="EX91" s="35"/>
      <c r="EY91" s="35"/>
      <c r="EZ91" s="35"/>
      <c r="FA91" s="35"/>
      <c r="FB91" s="35"/>
      <c r="FC91" s="35"/>
      <c r="FD91" s="35"/>
      <c r="FE91" s="35"/>
      <c r="FF91" s="35"/>
      <c r="FG91" s="35"/>
      <c r="FH91" s="35"/>
      <c r="FI91" s="35"/>
      <c r="FJ91" s="35"/>
      <c r="FK91" s="35"/>
      <c r="FL91" s="35"/>
      <c r="FM91" s="35"/>
      <c r="FN91" s="35"/>
      <c r="FO91" s="35"/>
      <c r="FP91" s="35"/>
      <c r="FQ91" s="35"/>
      <c r="FR91" s="35"/>
      <c r="FS91" s="35"/>
      <c r="FT91" s="35"/>
      <c r="FU91" s="35"/>
      <c r="FV91" s="35"/>
      <c r="FW91" s="35"/>
      <c r="FX91" s="35"/>
      <c r="FY91" s="35"/>
      <c r="FZ91" s="35"/>
      <c r="GA91" s="35"/>
      <c r="GB91" s="35"/>
      <c r="GC91" s="35"/>
      <c r="GD91" s="35"/>
      <c r="GE91" s="35"/>
      <c r="GF91" s="35"/>
      <c r="GG91" s="35"/>
      <c r="GH91" s="35"/>
      <c r="GI91" s="35"/>
      <c r="GJ91" s="35"/>
      <c r="GK91" s="35"/>
      <c r="GL91" s="35"/>
      <c r="GM91" s="35"/>
      <c r="GN91" s="35"/>
      <c r="GO91" s="35"/>
      <c r="GP91" s="35"/>
      <c r="GQ91" s="35"/>
      <c r="GR91" s="35"/>
      <c r="GS91" s="35"/>
      <c r="GT91" s="35"/>
      <c r="GU91" s="35"/>
      <c r="GV91" s="79"/>
      <c r="GW91" s="79"/>
      <c r="GX91" s="79"/>
      <c r="GY91" s="79"/>
      <c r="GZ91" s="79"/>
      <c r="HA91" s="79"/>
      <c r="HB91" s="79"/>
      <c r="HC91" s="79"/>
      <c r="HD91" s="79"/>
      <c r="HE91" s="79"/>
      <c r="HF91" s="79"/>
      <c r="HG91" s="79"/>
      <c r="HH91" s="79"/>
      <c r="HI91" s="79"/>
      <c r="HJ91" s="79"/>
      <c r="HK91" s="79"/>
      <c r="HL91" s="79"/>
      <c r="HM91" s="79"/>
      <c r="HN91" s="79"/>
      <c r="HO91" s="79"/>
      <c r="HP91" s="79"/>
      <c r="HQ91" s="79"/>
      <c r="HR91" s="79"/>
      <c r="HS91" s="79"/>
      <c r="HT91" s="79"/>
      <c r="HU91" s="79"/>
      <c r="HV91" s="79"/>
      <c r="HW91" s="79"/>
      <c r="HX91" s="79"/>
      <c r="HY91" s="79"/>
      <c r="HZ91" s="79"/>
      <c r="IA91" s="79"/>
      <c r="IB91" s="79"/>
      <c r="IC91" s="79"/>
      <c r="ID91" s="79"/>
      <c r="IE91" s="79"/>
      <c r="IF91" s="79"/>
      <c r="IG91" s="79"/>
      <c r="IH91" s="79"/>
      <c r="II91" s="79"/>
      <c r="IJ91" s="79"/>
      <c r="IK91" s="79"/>
      <c r="IL91" s="79"/>
      <c r="IM91" s="79"/>
      <c r="IN91" s="79"/>
      <c r="IO91" s="79"/>
      <c r="IP91" s="79"/>
      <c r="IQ91" s="79"/>
      <c r="IR91" s="79"/>
      <c r="IS91" s="79"/>
      <c r="IT91" s="79"/>
      <c r="IU91" s="79"/>
      <c r="IV91" s="79"/>
      <c r="IW91" s="79"/>
    </row>
    <row r="92" spans="2:257" s="15" customFormat="1" ht="14.4">
      <c r="B92" s="30">
        <f t="shared" si="254"/>
        <v>4.1899999999999959</v>
      </c>
      <c r="C92" s="37" t="s">
        <v>74</v>
      </c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79"/>
      <c r="BD92" s="79"/>
      <c r="BE92" s="79"/>
      <c r="BF92" s="79"/>
      <c r="BG92" s="79"/>
      <c r="BH92" s="79"/>
      <c r="BI92" s="79"/>
      <c r="BJ92" s="79"/>
      <c r="BK92" s="79"/>
      <c r="BL92" s="79"/>
      <c r="BM92" s="79"/>
      <c r="BN92" s="79"/>
      <c r="BO92" s="79"/>
      <c r="BP92" s="79"/>
      <c r="BQ92" s="79"/>
      <c r="BR92" s="79"/>
      <c r="BS92" s="79"/>
      <c r="BT92" s="79"/>
      <c r="BU92" s="79"/>
      <c r="BV92" s="79"/>
      <c r="BW92" s="79"/>
      <c r="BX92" s="79"/>
      <c r="BY92" s="79"/>
      <c r="BZ92" s="79"/>
      <c r="CA92" s="79"/>
      <c r="CB92" s="79"/>
      <c r="CC92" s="79"/>
      <c r="CD92" s="79"/>
      <c r="CE92" s="79"/>
      <c r="CF92" s="35"/>
      <c r="CG92" s="34"/>
      <c r="CH92" s="34"/>
      <c r="CI92" s="34"/>
      <c r="CJ92" s="34"/>
      <c r="CK92" s="34"/>
      <c r="CL92" s="34"/>
      <c r="CM92" s="34"/>
      <c r="CN92" s="34"/>
      <c r="CO92" s="35"/>
      <c r="CP92" s="35"/>
      <c r="CQ92" s="35"/>
      <c r="CR92" s="79"/>
      <c r="CS92" s="79"/>
      <c r="CT92" s="79"/>
      <c r="CU92" s="79"/>
      <c r="CV92" s="35"/>
      <c r="CW92" s="35"/>
      <c r="CX92" s="35"/>
      <c r="CY92" s="35"/>
      <c r="CZ92" s="35"/>
      <c r="DA92" s="35"/>
      <c r="DB92" s="79"/>
      <c r="DC92" s="35"/>
      <c r="DD92" s="35"/>
      <c r="DE92" s="35"/>
      <c r="DF92" s="35"/>
      <c r="DG92" s="35"/>
      <c r="DH92" s="79"/>
      <c r="DI92" s="35"/>
      <c r="DJ92" s="35"/>
      <c r="DK92" s="35"/>
      <c r="DL92" s="35"/>
      <c r="DM92" s="35"/>
      <c r="DN92" s="79"/>
      <c r="DO92" s="35"/>
      <c r="DP92" s="35"/>
      <c r="DQ92" s="55" t="s">
        <v>187</v>
      </c>
      <c r="DR92" s="55" t="s">
        <v>30</v>
      </c>
      <c r="DS92" s="55" t="s">
        <v>31</v>
      </c>
      <c r="DT92" s="55" t="s">
        <v>32</v>
      </c>
      <c r="DU92" s="55"/>
      <c r="DV92" s="56" t="s">
        <v>188</v>
      </c>
      <c r="DW92" s="56" t="s">
        <v>189</v>
      </c>
      <c r="DX92" s="56" t="s">
        <v>190</v>
      </c>
      <c r="DY92" s="56" t="s">
        <v>191</v>
      </c>
      <c r="DZ92" s="57" t="s">
        <v>192</v>
      </c>
      <c r="EA92" s="57"/>
      <c r="EB92" s="57" t="s">
        <v>193</v>
      </c>
      <c r="EC92" s="57" t="s">
        <v>194</v>
      </c>
      <c r="ED92" s="57" t="s">
        <v>195</v>
      </c>
      <c r="EE92" s="58" t="s">
        <v>196</v>
      </c>
      <c r="EF92" s="58" t="s">
        <v>197</v>
      </c>
      <c r="EG92" s="58"/>
      <c r="EH92" s="58" t="s">
        <v>198</v>
      </c>
      <c r="EI92" s="58" t="s">
        <v>199</v>
      </c>
      <c r="EJ92" s="42" t="s">
        <v>33</v>
      </c>
      <c r="EK92" s="42" t="s">
        <v>34</v>
      </c>
      <c r="EL92" s="42" t="s">
        <v>35</v>
      </c>
      <c r="EM92" s="42"/>
      <c r="EN92" s="42" t="s">
        <v>36</v>
      </c>
      <c r="EO92" s="59" t="s">
        <v>200</v>
      </c>
      <c r="EP92" s="59" t="s">
        <v>201</v>
      </c>
      <c r="EQ92" s="59" t="s">
        <v>202</v>
      </c>
      <c r="ER92" s="59" t="s">
        <v>203</v>
      </c>
      <c r="ES92" s="59"/>
      <c r="ET92" s="35"/>
      <c r="EU92" s="35"/>
      <c r="EV92" s="35"/>
      <c r="EW92" s="35"/>
      <c r="EX92" s="35"/>
      <c r="EY92" s="35"/>
      <c r="EZ92" s="35"/>
      <c r="FA92" s="35"/>
      <c r="FB92" s="35"/>
      <c r="FC92" s="35"/>
      <c r="FD92" s="35"/>
      <c r="FE92" s="35"/>
      <c r="FF92" s="35"/>
      <c r="FG92" s="35"/>
      <c r="FH92" s="35"/>
      <c r="FI92" s="35"/>
      <c r="FJ92" s="35"/>
      <c r="FK92" s="35"/>
      <c r="FL92" s="35"/>
      <c r="FM92" s="35"/>
      <c r="FN92" s="35"/>
      <c r="FO92" s="35"/>
      <c r="FP92" s="35"/>
      <c r="FQ92" s="35"/>
      <c r="FR92" s="35"/>
      <c r="FS92" s="35"/>
      <c r="FT92" s="35"/>
      <c r="FU92" s="35"/>
      <c r="FV92" s="35"/>
      <c r="FW92" s="35"/>
      <c r="FX92" s="35"/>
      <c r="FY92" s="35"/>
      <c r="FZ92" s="35"/>
      <c r="GA92" s="35"/>
      <c r="GB92" s="35"/>
      <c r="GC92" s="35"/>
      <c r="GD92" s="35"/>
      <c r="GE92" s="35"/>
      <c r="GF92" s="35"/>
      <c r="GG92" s="35"/>
      <c r="GH92" s="35"/>
      <c r="GI92" s="35"/>
      <c r="GJ92" s="35"/>
      <c r="GK92" s="35"/>
      <c r="GL92" s="35"/>
      <c r="GM92" s="35"/>
      <c r="GN92" s="35"/>
      <c r="GO92" s="35"/>
      <c r="GP92" s="35"/>
      <c r="GQ92" s="35"/>
      <c r="GR92" s="35"/>
      <c r="GS92" s="35"/>
      <c r="GT92" s="35"/>
      <c r="GU92" s="35"/>
      <c r="GV92" s="35"/>
      <c r="GW92" s="79"/>
      <c r="GX92" s="79"/>
      <c r="GY92" s="79"/>
      <c r="GZ92" s="79"/>
      <c r="HA92" s="79"/>
      <c r="HB92" s="79"/>
      <c r="HC92" s="79"/>
      <c r="HD92" s="79"/>
      <c r="HE92" s="79"/>
      <c r="HF92" s="79"/>
      <c r="HG92" s="79"/>
      <c r="HH92" s="79"/>
      <c r="HI92" s="79"/>
      <c r="HJ92" s="79"/>
      <c r="HK92" s="79"/>
      <c r="HL92" s="79"/>
      <c r="HM92" s="79"/>
      <c r="HN92" s="79"/>
      <c r="HO92" s="79"/>
      <c r="HP92" s="79"/>
      <c r="HQ92" s="79"/>
      <c r="HR92" s="79"/>
      <c r="HS92" s="79"/>
      <c r="HT92" s="79"/>
      <c r="HU92" s="79"/>
      <c r="HV92" s="79"/>
      <c r="HW92" s="79"/>
      <c r="HX92" s="79"/>
      <c r="HY92" s="79"/>
      <c r="HZ92" s="79"/>
      <c r="IA92" s="79"/>
      <c r="IB92" s="79"/>
      <c r="IC92" s="79"/>
      <c r="ID92" s="79"/>
      <c r="IE92" s="79"/>
      <c r="IF92" s="79"/>
      <c r="IG92" s="79"/>
      <c r="IH92" s="79"/>
      <c r="II92" s="79"/>
      <c r="IJ92" s="79"/>
      <c r="IK92" s="79"/>
      <c r="IL92" s="79"/>
      <c r="IM92" s="79"/>
      <c r="IN92" s="79"/>
      <c r="IO92" s="79"/>
      <c r="IP92" s="79"/>
      <c r="IQ92" s="79"/>
      <c r="IR92" s="79"/>
      <c r="IS92" s="79"/>
      <c r="IT92" s="79"/>
      <c r="IU92" s="79"/>
      <c r="IV92" s="79"/>
      <c r="IW92" s="79"/>
    </row>
    <row r="93" spans="2:257" s="15" customFormat="1" ht="14.4">
      <c r="B93" s="30">
        <f t="shared" si="254"/>
        <v>4.1999999999999957</v>
      </c>
      <c r="C93" s="37" t="s">
        <v>75</v>
      </c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79"/>
      <c r="BD93" s="79"/>
      <c r="BE93" s="79"/>
      <c r="BF93" s="79"/>
      <c r="BG93" s="79"/>
      <c r="BH93" s="79"/>
      <c r="BI93" s="79"/>
      <c r="BJ93" s="79"/>
      <c r="BK93" s="79"/>
      <c r="BL93" s="79"/>
      <c r="BM93" s="79"/>
      <c r="BN93" s="79"/>
      <c r="BO93" s="79"/>
      <c r="BP93" s="79"/>
      <c r="BQ93" s="79"/>
      <c r="BR93" s="79"/>
      <c r="BS93" s="79"/>
      <c r="BT93" s="79"/>
      <c r="BU93" s="79"/>
      <c r="BV93" s="79"/>
      <c r="BW93" s="79"/>
      <c r="BX93" s="79"/>
      <c r="BY93" s="79"/>
      <c r="BZ93" s="79"/>
      <c r="CA93" s="79"/>
      <c r="CB93" s="79"/>
      <c r="CC93" s="79"/>
      <c r="CD93" s="79"/>
      <c r="CE93" s="79"/>
      <c r="CF93" s="35"/>
      <c r="CG93" s="34"/>
      <c r="CH93" s="34"/>
      <c r="CI93" s="34"/>
      <c r="CJ93" s="34"/>
      <c r="CK93" s="34"/>
      <c r="CL93" s="34"/>
      <c r="CM93" s="34"/>
      <c r="CN93" s="34"/>
      <c r="CO93" s="35"/>
      <c r="CP93" s="35"/>
      <c r="CQ93" s="35"/>
      <c r="CR93" s="79"/>
      <c r="CS93" s="79"/>
      <c r="CT93" s="79"/>
      <c r="CU93" s="79"/>
      <c r="CV93" s="35"/>
      <c r="CW93" s="35"/>
      <c r="CX93" s="35"/>
      <c r="CY93" s="35"/>
      <c r="CZ93" s="35"/>
      <c r="DA93" s="35"/>
      <c r="DB93" s="79"/>
      <c r="DC93" s="35"/>
      <c r="DD93" s="35"/>
      <c r="DE93" s="35"/>
      <c r="DF93" s="35"/>
      <c r="DG93" s="35"/>
      <c r="DH93" s="79"/>
      <c r="DI93" s="35"/>
      <c r="DJ93" s="35"/>
      <c r="DK93" s="35"/>
      <c r="DL93" s="35"/>
      <c r="DM93" s="35"/>
      <c r="DN93" s="79"/>
      <c r="DO93" s="35"/>
      <c r="DP93" s="35"/>
      <c r="DQ93" s="35"/>
      <c r="DR93" s="55" t="s">
        <v>187</v>
      </c>
      <c r="DS93" s="55" t="s">
        <v>30</v>
      </c>
      <c r="DT93" s="55" t="s">
        <v>31</v>
      </c>
      <c r="DU93" s="55"/>
      <c r="DV93" s="55" t="s">
        <v>32</v>
      </c>
      <c r="DW93" s="56" t="s">
        <v>188</v>
      </c>
      <c r="DX93" s="56" t="s">
        <v>189</v>
      </c>
      <c r="DY93" s="56" t="s">
        <v>190</v>
      </c>
      <c r="DZ93" s="56" t="s">
        <v>191</v>
      </c>
      <c r="EA93" s="56"/>
      <c r="EB93" s="57" t="s">
        <v>192</v>
      </c>
      <c r="EC93" s="57" t="s">
        <v>193</v>
      </c>
      <c r="ED93" s="57" t="s">
        <v>194</v>
      </c>
      <c r="EE93" s="57" t="s">
        <v>195</v>
      </c>
      <c r="EF93" s="58" t="s">
        <v>196</v>
      </c>
      <c r="EG93" s="58"/>
      <c r="EH93" s="58" t="s">
        <v>197</v>
      </c>
      <c r="EI93" s="58" t="s">
        <v>198</v>
      </c>
      <c r="EJ93" s="58" t="s">
        <v>199</v>
      </c>
      <c r="EK93" s="42" t="s">
        <v>33</v>
      </c>
      <c r="EL93" s="42" t="s">
        <v>34</v>
      </c>
      <c r="EM93" s="42"/>
      <c r="EN93" s="42" t="s">
        <v>35</v>
      </c>
      <c r="EO93" s="42" t="s">
        <v>36</v>
      </c>
      <c r="EP93" s="59" t="s">
        <v>200</v>
      </c>
      <c r="EQ93" s="59" t="s">
        <v>201</v>
      </c>
      <c r="ER93" s="59" t="s">
        <v>202</v>
      </c>
      <c r="ES93" s="59"/>
      <c r="ET93" s="35"/>
      <c r="EU93" s="59" t="s">
        <v>203</v>
      </c>
      <c r="EV93" s="35"/>
      <c r="EW93" s="35"/>
      <c r="EX93" s="35"/>
      <c r="EY93" s="35"/>
      <c r="EZ93" s="35"/>
      <c r="FA93" s="35"/>
      <c r="FB93" s="35"/>
      <c r="FC93" s="35"/>
      <c r="FD93" s="35"/>
      <c r="FE93" s="35"/>
      <c r="FF93" s="35"/>
      <c r="FG93" s="35"/>
      <c r="FH93" s="35"/>
      <c r="FI93" s="35"/>
      <c r="FJ93" s="35"/>
      <c r="FK93" s="35"/>
      <c r="FL93" s="35"/>
      <c r="FM93" s="35"/>
      <c r="FN93" s="35"/>
      <c r="FO93" s="35"/>
      <c r="FP93" s="35"/>
      <c r="FQ93" s="35"/>
      <c r="FR93" s="35"/>
      <c r="FS93" s="35"/>
      <c r="FT93" s="35"/>
      <c r="FU93" s="35"/>
      <c r="FV93" s="35"/>
      <c r="FW93" s="35"/>
      <c r="FX93" s="35"/>
      <c r="FY93" s="35"/>
      <c r="FZ93" s="35"/>
      <c r="GA93" s="35"/>
      <c r="GB93" s="35"/>
      <c r="GC93" s="35"/>
      <c r="GD93" s="35"/>
      <c r="GE93" s="35"/>
      <c r="GF93" s="35"/>
      <c r="GG93" s="35"/>
      <c r="GH93" s="35"/>
      <c r="GI93" s="35"/>
      <c r="GJ93" s="35"/>
      <c r="GK93" s="35"/>
      <c r="GL93" s="35"/>
      <c r="GM93" s="35"/>
      <c r="GN93" s="35"/>
      <c r="GO93" s="35"/>
      <c r="GP93" s="35"/>
      <c r="GQ93" s="35"/>
      <c r="GR93" s="35"/>
      <c r="GS93" s="35"/>
      <c r="GT93" s="35"/>
      <c r="GU93" s="35"/>
      <c r="GV93" s="35"/>
      <c r="GW93" s="79"/>
      <c r="GX93" s="79"/>
      <c r="GY93" s="79"/>
      <c r="GZ93" s="79"/>
      <c r="HA93" s="79"/>
      <c r="HB93" s="79"/>
      <c r="HC93" s="79"/>
      <c r="HD93" s="79"/>
      <c r="HE93" s="79"/>
      <c r="HF93" s="79"/>
      <c r="HG93" s="79"/>
      <c r="HH93" s="79"/>
      <c r="HI93" s="79"/>
      <c r="HJ93" s="79"/>
      <c r="HK93" s="79"/>
      <c r="HL93" s="79"/>
      <c r="HM93" s="79"/>
      <c r="HN93" s="79"/>
      <c r="HO93" s="79"/>
      <c r="HP93" s="79"/>
      <c r="HQ93" s="79"/>
      <c r="HR93" s="79"/>
      <c r="HS93" s="79"/>
      <c r="HT93" s="79"/>
      <c r="HU93" s="79"/>
      <c r="HV93" s="79"/>
      <c r="HW93" s="79"/>
      <c r="HX93" s="79"/>
      <c r="HY93" s="79"/>
      <c r="HZ93" s="79"/>
      <c r="IA93" s="79"/>
      <c r="IB93" s="79"/>
      <c r="IC93" s="79"/>
      <c r="ID93" s="79"/>
      <c r="IE93" s="79"/>
      <c r="IF93" s="79"/>
      <c r="IG93" s="79"/>
      <c r="IH93" s="79"/>
      <c r="II93" s="79"/>
      <c r="IJ93" s="79"/>
      <c r="IK93" s="79"/>
      <c r="IL93" s="79"/>
      <c r="IM93" s="79"/>
      <c r="IN93" s="79"/>
      <c r="IO93" s="79"/>
      <c r="IP93" s="79"/>
      <c r="IQ93" s="79"/>
      <c r="IR93" s="79"/>
      <c r="IS93" s="79"/>
      <c r="IT93" s="79"/>
      <c r="IU93" s="79"/>
      <c r="IV93" s="79"/>
      <c r="IW93" s="79"/>
    </row>
    <row r="94" spans="2:257" s="15" customFormat="1" ht="15" thickBot="1">
      <c r="B94" s="30">
        <f t="shared" si="254"/>
        <v>4.2099999999999955</v>
      </c>
      <c r="C94" s="39" t="s">
        <v>76</v>
      </c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79"/>
      <c r="BD94" s="79"/>
      <c r="BE94" s="79"/>
      <c r="BF94" s="79"/>
      <c r="BG94" s="79"/>
      <c r="BH94" s="79"/>
      <c r="BI94" s="79"/>
      <c r="BJ94" s="79"/>
      <c r="BK94" s="79"/>
      <c r="BL94" s="79"/>
      <c r="BM94" s="79"/>
      <c r="BN94" s="79"/>
      <c r="BO94" s="79"/>
      <c r="BP94" s="79"/>
      <c r="BQ94" s="79"/>
      <c r="BR94" s="79"/>
      <c r="BS94" s="79"/>
      <c r="BT94" s="79"/>
      <c r="BU94" s="79"/>
      <c r="BV94" s="79"/>
      <c r="BW94" s="79"/>
      <c r="BX94" s="79"/>
      <c r="BY94" s="79"/>
      <c r="BZ94" s="79"/>
      <c r="CA94" s="79"/>
      <c r="CB94" s="79"/>
      <c r="CC94" s="79"/>
      <c r="CD94" s="79"/>
      <c r="CE94" s="79"/>
      <c r="CF94" s="35"/>
      <c r="CG94" s="34"/>
      <c r="CH94" s="34"/>
      <c r="CI94" s="34"/>
      <c r="CJ94" s="34"/>
      <c r="CK94" s="34"/>
      <c r="CL94" s="34"/>
      <c r="CM94" s="34"/>
      <c r="CN94" s="34"/>
      <c r="CO94" s="35"/>
      <c r="CP94" s="35"/>
      <c r="CQ94" s="35"/>
      <c r="CR94" s="79"/>
      <c r="CS94" s="79"/>
      <c r="CT94" s="79"/>
      <c r="CU94" s="79"/>
      <c r="CV94" s="35"/>
      <c r="CW94" s="35"/>
      <c r="CX94" s="35"/>
      <c r="CY94" s="35"/>
      <c r="CZ94" s="35"/>
      <c r="DA94" s="35"/>
      <c r="DB94" s="79"/>
      <c r="DC94" s="35"/>
      <c r="DD94" s="35"/>
      <c r="DE94" s="35"/>
      <c r="DF94" s="35"/>
      <c r="DG94" s="35"/>
      <c r="DH94" s="79"/>
      <c r="DI94" s="35"/>
      <c r="DJ94" s="35"/>
      <c r="DK94" s="35"/>
      <c r="DL94" s="35"/>
      <c r="DM94" s="35"/>
      <c r="DN94" s="79"/>
      <c r="DO94" s="35"/>
      <c r="DP94" s="35"/>
      <c r="DQ94" s="35"/>
      <c r="DR94" s="35"/>
      <c r="DS94" s="55" t="s">
        <v>187</v>
      </c>
      <c r="DT94" s="55" t="s">
        <v>30</v>
      </c>
      <c r="DU94" s="55"/>
      <c r="DV94" s="55" t="s">
        <v>31</v>
      </c>
      <c r="DW94" s="55" t="s">
        <v>32</v>
      </c>
      <c r="DX94" s="56" t="s">
        <v>188</v>
      </c>
      <c r="DY94" s="56" t="s">
        <v>189</v>
      </c>
      <c r="DZ94" s="56" t="s">
        <v>190</v>
      </c>
      <c r="EA94" s="56"/>
      <c r="EB94" s="56" t="s">
        <v>191</v>
      </c>
      <c r="EC94" s="57" t="s">
        <v>192</v>
      </c>
      <c r="ED94" s="57" t="s">
        <v>193</v>
      </c>
      <c r="EE94" s="57" t="s">
        <v>194</v>
      </c>
      <c r="EF94" s="57" t="s">
        <v>195</v>
      </c>
      <c r="EG94" s="57"/>
      <c r="EH94" s="58" t="s">
        <v>196</v>
      </c>
      <c r="EI94" s="58" t="s">
        <v>197</v>
      </c>
      <c r="EJ94" s="58" t="s">
        <v>198</v>
      </c>
      <c r="EK94" s="58" t="s">
        <v>199</v>
      </c>
      <c r="EL94" s="42" t="s">
        <v>33</v>
      </c>
      <c r="EM94" s="58"/>
      <c r="EN94" s="42" t="s">
        <v>34</v>
      </c>
      <c r="EO94" s="42" t="s">
        <v>35</v>
      </c>
      <c r="EP94" s="42" t="s">
        <v>36</v>
      </c>
      <c r="EQ94" s="59" t="s">
        <v>200</v>
      </c>
      <c r="ER94" s="59" t="s">
        <v>201</v>
      </c>
      <c r="ES94" s="59"/>
      <c r="ET94" s="35"/>
      <c r="EU94" s="59" t="s">
        <v>202</v>
      </c>
      <c r="EV94" s="59" t="s">
        <v>203</v>
      </c>
      <c r="EW94" s="35"/>
      <c r="EX94" s="35"/>
      <c r="EY94" s="35"/>
      <c r="EZ94" s="35"/>
      <c r="FA94" s="35"/>
      <c r="FB94" s="35"/>
      <c r="FC94" s="35"/>
      <c r="FD94" s="35"/>
      <c r="FE94" s="35"/>
      <c r="FF94" s="35"/>
      <c r="FG94" s="35"/>
      <c r="FH94" s="35"/>
      <c r="FI94" s="35"/>
      <c r="FJ94" s="35"/>
      <c r="FK94" s="35"/>
      <c r="FL94" s="35"/>
      <c r="FM94" s="35"/>
      <c r="FN94" s="35"/>
      <c r="FO94" s="35"/>
      <c r="FP94" s="35"/>
      <c r="FQ94" s="35"/>
      <c r="FR94" s="35"/>
      <c r="FS94" s="35"/>
      <c r="FT94" s="35"/>
      <c r="FU94" s="35"/>
      <c r="FV94" s="35"/>
      <c r="FW94" s="35"/>
      <c r="FX94" s="35"/>
      <c r="FY94" s="35"/>
      <c r="FZ94" s="35"/>
      <c r="GA94" s="35"/>
      <c r="GB94" s="35"/>
      <c r="GC94" s="35"/>
      <c r="GD94" s="35"/>
      <c r="GE94" s="35"/>
      <c r="GF94" s="35"/>
      <c r="GG94" s="35"/>
      <c r="GH94" s="35"/>
      <c r="GI94" s="35"/>
      <c r="GJ94" s="35"/>
      <c r="GK94" s="35"/>
      <c r="GL94" s="35"/>
      <c r="GM94" s="35"/>
      <c r="GN94" s="35"/>
      <c r="GO94" s="35"/>
      <c r="GP94" s="35"/>
      <c r="GQ94" s="35"/>
      <c r="GR94" s="35"/>
      <c r="GS94" s="35"/>
      <c r="GT94" s="35"/>
      <c r="GU94" s="35"/>
      <c r="GV94" s="35"/>
      <c r="GW94" s="79"/>
      <c r="GX94" s="79"/>
      <c r="GY94" s="79"/>
      <c r="GZ94" s="79"/>
      <c r="HA94" s="79"/>
      <c r="HB94" s="79"/>
      <c r="HC94" s="79"/>
      <c r="HD94" s="79"/>
      <c r="HE94" s="79"/>
      <c r="HF94" s="79"/>
      <c r="HG94" s="79"/>
      <c r="HH94" s="79"/>
      <c r="HI94" s="79"/>
      <c r="HJ94" s="79"/>
      <c r="HK94" s="79"/>
      <c r="HL94" s="79"/>
      <c r="HM94" s="79"/>
      <c r="HN94" s="79"/>
      <c r="HO94" s="79"/>
      <c r="HP94" s="79"/>
      <c r="HQ94" s="79"/>
      <c r="HR94" s="79"/>
      <c r="HS94" s="79"/>
      <c r="HT94" s="79"/>
      <c r="HU94" s="79"/>
      <c r="HV94" s="79"/>
      <c r="HW94" s="79"/>
      <c r="HX94" s="79"/>
      <c r="HY94" s="79"/>
      <c r="HZ94" s="79"/>
      <c r="IA94" s="79"/>
      <c r="IB94" s="79"/>
      <c r="IC94" s="79"/>
      <c r="ID94" s="79"/>
      <c r="IE94" s="79"/>
      <c r="IF94" s="79"/>
      <c r="IG94" s="79"/>
      <c r="IH94" s="79"/>
      <c r="II94" s="79"/>
      <c r="IJ94" s="79"/>
      <c r="IK94" s="79"/>
      <c r="IL94" s="79"/>
      <c r="IM94" s="79"/>
      <c r="IN94" s="79"/>
      <c r="IO94" s="79"/>
      <c r="IP94" s="79"/>
      <c r="IQ94" s="79"/>
      <c r="IR94" s="79"/>
      <c r="IS94" s="79"/>
      <c r="IT94" s="79"/>
      <c r="IU94" s="79"/>
      <c r="IV94" s="79"/>
      <c r="IW94" s="79"/>
    </row>
    <row r="95" spans="2:257" s="15" customFormat="1" ht="15" thickBot="1">
      <c r="B95" s="30">
        <v>5</v>
      </c>
      <c r="C95" s="33" t="s">
        <v>77</v>
      </c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79"/>
      <c r="BD95" s="79"/>
      <c r="BE95" s="79"/>
      <c r="BF95" s="79"/>
      <c r="BG95" s="79"/>
      <c r="BH95" s="79"/>
      <c r="BI95" s="79"/>
      <c r="BJ95" s="79"/>
      <c r="BK95" s="79"/>
      <c r="BL95" s="79"/>
      <c r="BM95" s="79"/>
      <c r="BN95" s="79"/>
      <c r="BO95" s="79"/>
      <c r="BP95" s="79"/>
      <c r="BQ95" s="79"/>
      <c r="BR95" s="79"/>
      <c r="BS95" s="79"/>
      <c r="BT95" s="79"/>
      <c r="BU95" s="79"/>
      <c r="BV95" s="79"/>
      <c r="BW95" s="79"/>
      <c r="BX95" s="79"/>
      <c r="BY95" s="79"/>
      <c r="BZ95" s="79"/>
      <c r="CA95" s="79"/>
      <c r="CB95" s="79"/>
      <c r="CC95" s="79"/>
      <c r="CD95" s="79"/>
      <c r="CE95" s="79"/>
      <c r="CF95" s="35"/>
      <c r="CG95" s="34"/>
      <c r="CH95" s="34"/>
      <c r="CI95" s="34"/>
      <c r="CJ95" s="34"/>
      <c r="CK95" s="34"/>
      <c r="CL95" s="34"/>
      <c r="CM95" s="34"/>
      <c r="CN95" s="34"/>
      <c r="CO95" s="35"/>
      <c r="CP95" s="35"/>
      <c r="CQ95" s="35"/>
      <c r="CR95" s="79"/>
      <c r="CS95" s="79"/>
      <c r="CT95" s="79"/>
      <c r="CU95" s="79"/>
      <c r="CV95" s="35"/>
      <c r="CW95" s="35"/>
      <c r="CX95" s="35"/>
      <c r="CY95" s="35"/>
      <c r="CZ95" s="35"/>
      <c r="DA95" s="35"/>
      <c r="DB95" s="79"/>
      <c r="DC95" s="35"/>
      <c r="DD95" s="35"/>
      <c r="DE95" s="35"/>
      <c r="DF95" s="35"/>
      <c r="DG95" s="35"/>
      <c r="DH95" s="79"/>
      <c r="DI95" s="35"/>
      <c r="DJ95" s="35"/>
      <c r="DK95" s="35"/>
      <c r="DL95" s="35"/>
      <c r="DM95" s="35"/>
      <c r="DN95" s="79"/>
      <c r="DO95" s="35"/>
      <c r="DP95" s="35"/>
      <c r="DQ95" s="35"/>
      <c r="DR95" s="35"/>
      <c r="DS95" s="35"/>
      <c r="DT95" s="79"/>
      <c r="DU95" s="35"/>
      <c r="DV95" s="35"/>
      <c r="DW95" s="35"/>
      <c r="DX95" s="35"/>
      <c r="DY95" s="35"/>
      <c r="DZ95" s="79"/>
      <c r="EA95" s="35"/>
      <c r="EB95" s="35"/>
      <c r="EC95" s="35"/>
      <c r="ED95" s="35"/>
      <c r="EE95" s="35"/>
      <c r="EF95" s="35"/>
      <c r="EG95" s="35"/>
      <c r="EH95" s="35"/>
      <c r="EI95" s="35"/>
      <c r="EJ95" s="35"/>
      <c r="EK95" s="35"/>
      <c r="EL95" s="35"/>
      <c r="EM95" s="35"/>
      <c r="EN95" s="35"/>
      <c r="EO95" s="35"/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  <c r="FK95" s="35"/>
      <c r="FL95" s="35"/>
      <c r="FM95" s="35"/>
      <c r="FN95" s="35"/>
      <c r="FO95" s="35"/>
      <c r="FP95" s="35"/>
      <c r="FQ95" s="35"/>
      <c r="FR95" s="35"/>
      <c r="FS95" s="35"/>
      <c r="FT95" s="35"/>
      <c r="FU95" s="35"/>
      <c r="FV95" s="35"/>
      <c r="FW95" s="35"/>
      <c r="FX95" s="35"/>
      <c r="FY95" s="35"/>
      <c r="FZ95" s="35"/>
      <c r="GA95" s="35"/>
      <c r="GB95" s="35"/>
      <c r="GC95" s="35"/>
      <c r="GD95" s="35"/>
      <c r="GE95" s="35"/>
      <c r="GF95" s="35"/>
      <c r="GG95" s="35"/>
      <c r="GH95" s="35"/>
      <c r="GI95" s="35"/>
      <c r="GJ95" s="35"/>
      <c r="GK95" s="35"/>
      <c r="GL95" s="35"/>
      <c r="GM95" s="35"/>
      <c r="GN95" s="35"/>
      <c r="GO95" s="35"/>
      <c r="GP95" s="35"/>
      <c r="GQ95" s="35"/>
      <c r="GR95" s="35"/>
      <c r="GS95" s="35"/>
      <c r="GT95" s="35"/>
      <c r="GU95" s="35"/>
      <c r="GV95" s="35"/>
      <c r="GW95" s="79"/>
      <c r="GX95" s="79"/>
      <c r="GY95" s="79"/>
      <c r="GZ95" s="79"/>
      <c r="HA95" s="79"/>
      <c r="HB95" s="79"/>
      <c r="HC95" s="79"/>
      <c r="HD95" s="79"/>
      <c r="HE95" s="79"/>
      <c r="HF95" s="79"/>
      <c r="HG95" s="79"/>
      <c r="HH95" s="79"/>
      <c r="HI95" s="79"/>
      <c r="HJ95" s="79"/>
      <c r="HK95" s="79"/>
      <c r="HL95" s="79"/>
      <c r="HM95" s="79"/>
      <c r="HN95" s="79"/>
      <c r="HO95" s="79"/>
      <c r="HP95" s="79"/>
      <c r="HQ95" s="79"/>
      <c r="HR95" s="79"/>
      <c r="HS95" s="79"/>
      <c r="HT95" s="79"/>
      <c r="HU95" s="79"/>
      <c r="HV95" s="79"/>
      <c r="HW95" s="79"/>
      <c r="HX95" s="79"/>
      <c r="HY95" s="79"/>
      <c r="HZ95" s="79"/>
      <c r="IA95" s="79"/>
      <c r="IB95" s="79"/>
      <c r="IC95" s="79"/>
      <c r="ID95" s="79"/>
      <c r="IE95" s="79"/>
      <c r="IF95" s="79"/>
      <c r="IG95" s="79"/>
      <c r="IH95" s="79"/>
      <c r="II95" s="79"/>
      <c r="IJ95" s="79"/>
      <c r="IK95" s="79"/>
      <c r="IL95" s="79"/>
      <c r="IM95" s="79"/>
      <c r="IN95" s="79"/>
      <c r="IO95" s="79"/>
      <c r="IP95" s="79"/>
      <c r="IQ95" s="79"/>
      <c r="IR95" s="79"/>
      <c r="IS95" s="79"/>
      <c r="IT95" s="79"/>
      <c r="IU95" s="79"/>
      <c r="IV95" s="79"/>
      <c r="IW95" s="79"/>
    </row>
    <row r="96" spans="2:257" s="27" customFormat="1" ht="14.4">
      <c r="B96" s="30">
        <f t="shared" si="254"/>
        <v>5.01</v>
      </c>
      <c r="C96" s="37" t="s">
        <v>218</v>
      </c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83"/>
      <c r="BD96" s="83"/>
      <c r="BE96" s="83"/>
      <c r="BF96" s="83"/>
      <c r="BG96" s="83"/>
      <c r="BH96" s="83"/>
      <c r="BI96" s="83"/>
      <c r="BJ96" s="83"/>
      <c r="BK96" s="83"/>
      <c r="BL96" s="83"/>
      <c r="BM96" s="83"/>
      <c r="BN96" s="83"/>
      <c r="BO96" s="83"/>
      <c r="BP96" s="83"/>
      <c r="BQ96" s="83"/>
      <c r="BR96" s="83"/>
      <c r="BS96" s="83"/>
      <c r="BT96" s="83"/>
      <c r="BU96" s="83"/>
      <c r="BV96" s="83"/>
      <c r="BW96" s="83"/>
      <c r="BX96" s="83"/>
      <c r="BY96" s="83"/>
      <c r="BZ96" s="83"/>
      <c r="CA96" s="83"/>
      <c r="CB96" s="83"/>
      <c r="CC96" s="83"/>
      <c r="CD96" s="83"/>
      <c r="CE96" s="83"/>
      <c r="CF96" s="35"/>
      <c r="CG96" s="34"/>
      <c r="CH96" s="34"/>
      <c r="CI96" s="34"/>
      <c r="CJ96" s="34"/>
      <c r="CK96" s="34"/>
      <c r="CL96" s="34"/>
      <c r="CM96" s="34"/>
      <c r="CN96" s="34"/>
      <c r="CO96" s="35"/>
      <c r="CP96" s="35"/>
      <c r="CQ96" s="35"/>
      <c r="CR96" s="83"/>
      <c r="CS96" s="83"/>
      <c r="CT96" s="83"/>
      <c r="CU96" s="83"/>
      <c r="CV96" s="35"/>
      <c r="CW96" s="35"/>
      <c r="CX96" s="35"/>
      <c r="CY96" s="35"/>
      <c r="CZ96" s="35"/>
      <c r="DA96" s="35"/>
      <c r="DB96" s="83"/>
      <c r="DC96" s="35"/>
      <c r="DD96" s="35"/>
      <c r="DE96" s="35"/>
      <c r="DF96" s="35"/>
      <c r="DG96" s="35"/>
      <c r="DH96" s="83"/>
      <c r="DI96" s="35"/>
      <c r="DJ96" s="35"/>
      <c r="DK96" s="35"/>
      <c r="DL96" s="35"/>
      <c r="DM96" s="35"/>
      <c r="DN96" s="83"/>
      <c r="DO96" s="35"/>
      <c r="DP96" s="35"/>
      <c r="DQ96" s="35"/>
      <c r="DR96" s="35"/>
      <c r="DS96" s="35"/>
      <c r="DT96" s="83"/>
      <c r="DU96" s="35"/>
      <c r="DV96" s="35"/>
      <c r="DW96" s="35"/>
      <c r="DX96" s="35"/>
      <c r="DY96" s="35"/>
      <c r="DZ96" s="55" t="s">
        <v>187</v>
      </c>
      <c r="EA96" s="55"/>
      <c r="EB96" s="55" t="s">
        <v>30</v>
      </c>
      <c r="EC96" s="55" t="s">
        <v>31</v>
      </c>
      <c r="ED96" s="55" t="s">
        <v>32</v>
      </c>
      <c r="EE96" s="56" t="s">
        <v>188</v>
      </c>
      <c r="EF96" s="56" t="s">
        <v>189</v>
      </c>
      <c r="EG96" s="56"/>
      <c r="EH96" s="56" t="s">
        <v>190</v>
      </c>
      <c r="EI96" s="56" t="s">
        <v>191</v>
      </c>
      <c r="EJ96" s="57" t="s">
        <v>192</v>
      </c>
      <c r="EK96" s="57" t="s">
        <v>193</v>
      </c>
      <c r="EL96" s="57" t="s">
        <v>194</v>
      </c>
      <c r="EM96" s="57"/>
      <c r="EN96" s="57" t="s">
        <v>195</v>
      </c>
      <c r="EO96" s="58" t="s">
        <v>196</v>
      </c>
      <c r="EP96" s="58" t="s">
        <v>197</v>
      </c>
      <c r="EQ96" s="58" t="s">
        <v>198</v>
      </c>
      <c r="ER96" s="58" t="s">
        <v>199</v>
      </c>
      <c r="ES96" s="58"/>
      <c r="ET96" s="35"/>
      <c r="EU96" s="42" t="s">
        <v>33</v>
      </c>
      <c r="EV96" s="42" t="s">
        <v>34</v>
      </c>
      <c r="EW96" s="42" t="s">
        <v>35</v>
      </c>
      <c r="EX96" s="42" t="s">
        <v>36</v>
      </c>
      <c r="EY96" s="42"/>
      <c r="EZ96" s="59" t="s">
        <v>200</v>
      </c>
      <c r="FA96" s="59" t="s">
        <v>201</v>
      </c>
      <c r="FB96" s="59" t="s">
        <v>202</v>
      </c>
      <c r="FC96" s="59" t="s">
        <v>203</v>
      </c>
      <c r="FD96" s="35"/>
      <c r="FE96" s="35"/>
      <c r="FF96" s="35"/>
      <c r="FG96" s="35"/>
      <c r="FH96" s="35"/>
      <c r="FI96" s="35"/>
      <c r="FJ96" s="35"/>
      <c r="FK96" s="35"/>
      <c r="FL96" s="35"/>
      <c r="FM96" s="35"/>
      <c r="FN96" s="35"/>
      <c r="FO96" s="35"/>
      <c r="FP96" s="35"/>
      <c r="FQ96" s="35"/>
      <c r="FR96" s="35"/>
      <c r="FS96" s="35"/>
      <c r="FT96" s="35"/>
      <c r="FU96" s="35"/>
      <c r="FV96" s="35"/>
      <c r="FW96" s="35"/>
      <c r="FX96" s="35"/>
      <c r="FY96" s="35"/>
      <c r="FZ96" s="35"/>
      <c r="GA96" s="35"/>
      <c r="GB96" s="35"/>
      <c r="GC96" s="35"/>
      <c r="GD96" s="35"/>
      <c r="GE96" s="35"/>
      <c r="GF96" s="35"/>
      <c r="GG96" s="35"/>
      <c r="GH96" s="35"/>
      <c r="GI96" s="35"/>
      <c r="GJ96" s="35"/>
      <c r="GK96" s="35"/>
      <c r="GL96" s="35"/>
      <c r="GM96" s="35"/>
      <c r="GN96" s="35"/>
      <c r="GO96" s="35"/>
      <c r="GP96" s="35"/>
      <c r="GQ96" s="35"/>
      <c r="GR96" s="35"/>
      <c r="GS96" s="35"/>
      <c r="GT96" s="35"/>
      <c r="GU96" s="35"/>
      <c r="GV96" s="35"/>
      <c r="GW96" s="35"/>
      <c r="GX96" s="83"/>
      <c r="GY96" s="83"/>
      <c r="GZ96" s="83"/>
      <c r="HA96" s="83"/>
      <c r="HB96" s="83"/>
      <c r="HC96" s="83"/>
      <c r="HD96" s="83"/>
      <c r="HE96" s="83"/>
      <c r="HF96" s="83"/>
      <c r="HG96" s="83"/>
      <c r="HH96" s="83"/>
      <c r="HI96" s="83"/>
      <c r="HJ96" s="83"/>
      <c r="HK96" s="83"/>
      <c r="HL96" s="83"/>
      <c r="HM96" s="83"/>
      <c r="HN96" s="83"/>
      <c r="HO96" s="83"/>
      <c r="HP96" s="83"/>
      <c r="HQ96" s="83"/>
      <c r="HR96" s="83"/>
      <c r="HS96" s="83"/>
      <c r="HT96" s="83"/>
      <c r="HU96" s="83"/>
      <c r="HV96" s="83"/>
      <c r="HW96" s="83"/>
      <c r="HX96" s="83"/>
      <c r="HY96" s="83"/>
      <c r="HZ96" s="83"/>
      <c r="IA96" s="83"/>
      <c r="IB96" s="83"/>
      <c r="IC96" s="83"/>
      <c r="ID96" s="83"/>
      <c r="IE96" s="83"/>
      <c r="IF96" s="83"/>
      <c r="IG96" s="83"/>
      <c r="IH96" s="83"/>
      <c r="II96" s="83"/>
      <c r="IJ96" s="83"/>
      <c r="IK96" s="83"/>
      <c r="IL96" s="83"/>
      <c r="IM96" s="83"/>
      <c r="IN96" s="83"/>
      <c r="IO96" s="83"/>
      <c r="IP96" s="83"/>
      <c r="IQ96" s="83"/>
      <c r="IR96" s="83"/>
      <c r="IS96" s="83"/>
      <c r="IT96" s="83"/>
      <c r="IU96" s="83"/>
      <c r="IV96" s="83"/>
      <c r="IW96" s="83"/>
    </row>
    <row r="97" spans="2:257" s="15" customFormat="1" ht="14.4">
      <c r="B97" s="30">
        <f t="shared" si="254"/>
        <v>5.0199999999999996</v>
      </c>
      <c r="C97" s="38" t="s">
        <v>78</v>
      </c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79"/>
      <c r="BD97" s="79"/>
      <c r="BE97" s="79"/>
      <c r="BF97" s="79"/>
      <c r="BG97" s="79"/>
      <c r="BH97" s="79"/>
      <c r="BI97" s="79"/>
      <c r="BJ97" s="79"/>
      <c r="BK97" s="79"/>
      <c r="BL97" s="79"/>
      <c r="BM97" s="79"/>
      <c r="BN97" s="79"/>
      <c r="BO97" s="79"/>
      <c r="BP97" s="79"/>
      <c r="BQ97" s="79"/>
      <c r="BR97" s="79"/>
      <c r="BS97" s="79"/>
      <c r="BT97" s="79"/>
      <c r="BU97" s="79"/>
      <c r="BV97" s="79"/>
      <c r="BW97" s="79"/>
      <c r="BX97" s="79"/>
      <c r="BY97" s="79"/>
      <c r="BZ97" s="79"/>
      <c r="CA97" s="79"/>
      <c r="CB97" s="79"/>
      <c r="CC97" s="79"/>
      <c r="CD97" s="79"/>
      <c r="CE97" s="79"/>
      <c r="CF97" s="35"/>
      <c r="CG97" s="34"/>
      <c r="CH97" s="34"/>
      <c r="CI97" s="34"/>
      <c r="CJ97" s="34"/>
      <c r="CK97" s="34"/>
      <c r="CL97" s="34"/>
      <c r="CM97" s="34"/>
      <c r="CN97" s="34"/>
      <c r="CO97" s="35"/>
      <c r="CP97" s="35"/>
      <c r="CQ97" s="35"/>
      <c r="CR97" s="79"/>
      <c r="CS97" s="79"/>
      <c r="CT97" s="79"/>
      <c r="CU97" s="79"/>
      <c r="CV97" s="35"/>
      <c r="CW97" s="35"/>
      <c r="CX97" s="35"/>
      <c r="CY97" s="35"/>
      <c r="CZ97" s="35"/>
      <c r="DA97" s="35"/>
      <c r="DB97" s="79"/>
      <c r="DC97" s="35"/>
      <c r="DD97" s="35"/>
      <c r="DE97" s="35"/>
      <c r="DF97" s="35"/>
      <c r="DG97" s="35"/>
      <c r="DH97" s="79"/>
      <c r="DI97" s="35"/>
      <c r="DJ97" s="35"/>
      <c r="DK97" s="35"/>
      <c r="DL97" s="35"/>
      <c r="DM97" s="35"/>
      <c r="DN97" s="79"/>
      <c r="DO97" s="35"/>
      <c r="DP97" s="35"/>
      <c r="DQ97" s="35"/>
      <c r="DR97" s="35"/>
      <c r="DS97" s="35"/>
      <c r="DT97" s="79"/>
      <c r="DU97" s="35"/>
      <c r="DV97" s="35"/>
      <c r="DW97" s="35"/>
      <c r="DX97" s="35"/>
      <c r="DY97" s="35"/>
      <c r="DZ97" s="55" t="s">
        <v>187</v>
      </c>
      <c r="EA97" s="55"/>
      <c r="EB97" s="55" t="s">
        <v>30</v>
      </c>
      <c r="EC97" s="55" t="s">
        <v>31</v>
      </c>
      <c r="ED97" s="55" t="s">
        <v>32</v>
      </c>
      <c r="EE97" s="56" t="s">
        <v>188</v>
      </c>
      <c r="EF97" s="56" t="s">
        <v>189</v>
      </c>
      <c r="EG97" s="56"/>
      <c r="EH97" s="56" t="s">
        <v>190</v>
      </c>
      <c r="EI97" s="56" t="s">
        <v>191</v>
      </c>
      <c r="EJ97" s="57" t="s">
        <v>192</v>
      </c>
      <c r="EK97" s="57" t="s">
        <v>193</v>
      </c>
      <c r="EL97" s="57" t="s">
        <v>194</v>
      </c>
      <c r="EM97" s="57"/>
      <c r="EN97" s="57" t="s">
        <v>195</v>
      </c>
      <c r="EO97" s="58" t="s">
        <v>196</v>
      </c>
      <c r="EP97" s="58" t="s">
        <v>197</v>
      </c>
      <c r="EQ97" s="58" t="s">
        <v>198</v>
      </c>
      <c r="ER97" s="58" t="s">
        <v>199</v>
      </c>
      <c r="ES97" s="58"/>
      <c r="ET97" s="35"/>
      <c r="EU97" s="42" t="s">
        <v>33</v>
      </c>
      <c r="EV97" s="42" t="s">
        <v>34</v>
      </c>
      <c r="EW97" s="42" t="s">
        <v>35</v>
      </c>
      <c r="EX97" s="42" t="s">
        <v>36</v>
      </c>
      <c r="EY97" s="42"/>
      <c r="EZ97" s="59" t="s">
        <v>200</v>
      </c>
      <c r="FA97" s="59" t="s">
        <v>201</v>
      </c>
      <c r="FB97" s="59" t="s">
        <v>202</v>
      </c>
      <c r="FC97" s="59" t="s">
        <v>203</v>
      </c>
      <c r="FD97" s="35"/>
      <c r="FE97" s="35"/>
      <c r="FF97" s="35"/>
      <c r="FG97" s="35"/>
      <c r="FH97" s="35"/>
      <c r="FI97" s="35"/>
      <c r="FJ97" s="35"/>
      <c r="FK97" s="35"/>
      <c r="FL97" s="35"/>
      <c r="FM97" s="35"/>
      <c r="FN97" s="35"/>
      <c r="FO97" s="35"/>
      <c r="FP97" s="35"/>
      <c r="FQ97" s="35"/>
      <c r="FR97" s="35"/>
      <c r="FS97" s="35"/>
      <c r="FT97" s="35"/>
      <c r="FU97" s="35"/>
      <c r="FV97" s="35"/>
      <c r="FW97" s="35"/>
      <c r="FX97" s="35"/>
      <c r="FY97" s="35"/>
      <c r="FZ97" s="35"/>
      <c r="GA97" s="35"/>
      <c r="GB97" s="35"/>
      <c r="GC97" s="35"/>
      <c r="GD97" s="35"/>
      <c r="GE97" s="35"/>
      <c r="GF97" s="35"/>
      <c r="GG97" s="35"/>
      <c r="GH97" s="35"/>
      <c r="GI97" s="35"/>
      <c r="GJ97" s="35"/>
      <c r="GK97" s="35"/>
      <c r="GL97" s="35"/>
      <c r="GM97" s="35"/>
      <c r="GN97" s="35"/>
      <c r="GO97" s="35"/>
      <c r="GP97" s="35"/>
      <c r="GQ97" s="35"/>
      <c r="GR97" s="35"/>
      <c r="GS97" s="35"/>
      <c r="GT97" s="35"/>
      <c r="GU97" s="35"/>
      <c r="GV97" s="35"/>
      <c r="GW97" s="35"/>
      <c r="GX97" s="79"/>
      <c r="GY97" s="79"/>
      <c r="GZ97" s="79"/>
      <c r="HA97" s="79"/>
      <c r="HB97" s="79"/>
      <c r="HC97" s="79"/>
      <c r="HD97" s="79"/>
      <c r="HE97" s="79"/>
      <c r="HF97" s="79"/>
      <c r="HG97" s="79"/>
      <c r="HH97" s="79"/>
      <c r="HI97" s="79"/>
      <c r="HJ97" s="79"/>
      <c r="HK97" s="79"/>
      <c r="HL97" s="79"/>
      <c r="HM97" s="79"/>
      <c r="HN97" s="79"/>
      <c r="HO97" s="79"/>
      <c r="HP97" s="79"/>
      <c r="HQ97" s="79"/>
      <c r="HR97" s="79"/>
      <c r="HS97" s="79"/>
      <c r="HT97" s="79"/>
      <c r="HU97" s="79"/>
      <c r="HV97" s="79"/>
      <c r="HW97" s="79"/>
      <c r="HX97" s="79"/>
      <c r="HY97" s="79"/>
      <c r="HZ97" s="79"/>
      <c r="IA97" s="79"/>
      <c r="IB97" s="79"/>
      <c r="IC97" s="79"/>
      <c r="ID97" s="79"/>
      <c r="IE97" s="79"/>
      <c r="IF97" s="79"/>
      <c r="IG97" s="79"/>
      <c r="IH97" s="79"/>
      <c r="II97" s="79"/>
      <c r="IJ97" s="79"/>
      <c r="IK97" s="79"/>
      <c r="IL97" s="79"/>
      <c r="IM97" s="79"/>
      <c r="IN97" s="79"/>
      <c r="IO97" s="79"/>
      <c r="IP97" s="79"/>
      <c r="IQ97" s="79"/>
      <c r="IR97" s="79"/>
      <c r="IS97" s="79"/>
      <c r="IT97" s="79"/>
      <c r="IU97" s="79"/>
      <c r="IV97" s="79"/>
      <c r="IW97" s="79"/>
    </row>
    <row r="98" spans="2:257" s="27" customFormat="1" ht="14.4">
      <c r="B98" s="30">
        <f t="shared" si="254"/>
        <v>5.0299999999999994</v>
      </c>
      <c r="C98" s="38" t="s">
        <v>79</v>
      </c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83"/>
      <c r="BD98" s="83"/>
      <c r="BE98" s="83"/>
      <c r="BF98" s="83"/>
      <c r="BG98" s="83"/>
      <c r="BH98" s="83"/>
      <c r="BI98" s="83"/>
      <c r="BJ98" s="83"/>
      <c r="BK98" s="83"/>
      <c r="BL98" s="83"/>
      <c r="BM98" s="83"/>
      <c r="BN98" s="83"/>
      <c r="BO98" s="83"/>
      <c r="BP98" s="83"/>
      <c r="BQ98" s="83"/>
      <c r="BR98" s="83"/>
      <c r="BS98" s="83"/>
      <c r="BT98" s="83"/>
      <c r="BU98" s="83"/>
      <c r="BV98" s="83"/>
      <c r="BW98" s="83"/>
      <c r="BX98" s="83"/>
      <c r="BY98" s="83"/>
      <c r="BZ98" s="83"/>
      <c r="CA98" s="83"/>
      <c r="CB98" s="83"/>
      <c r="CC98" s="83"/>
      <c r="CD98" s="83"/>
      <c r="CE98" s="83"/>
      <c r="CF98" s="35"/>
      <c r="CG98" s="34"/>
      <c r="CH98" s="34"/>
      <c r="CI98" s="34"/>
      <c r="CJ98" s="34"/>
      <c r="CK98" s="34"/>
      <c r="CL98" s="34"/>
      <c r="CM98" s="34"/>
      <c r="CN98" s="34"/>
      <c r="CO98" s="35"/>
      <c r="CP98" s="35"/>
      <c r="CQ98" s="35"/>
      <c r="CR98" s="83"/>
      <c r="CS98" s="83"/>
      <c r="CT98" s="83"/>
      <c r="CU98" s="83"/>
      <c r="CV98" s="35"/>
      <c r="CW98" s="35"/>
      <c r="CX98" s="35"/>
      <c r="CY98" s="35"/>
      <c r="CZ98" s="35"/>
      <c r="DA98" s="35"/>
      <c r="DB98" s="83"/>
      <c r="DC98" s="35"/>
      <c r="DD98" s="35"/>
      <c r="DE98" s="35"/>
      <c r="DF98" s="35"/>
      <c r="DG98" s="35"/>
      <c r="DH98" s="83"/>
      <c r="DI98" s="35"/>
      <c r="DJ98" s="35"/>
      <c r="DK98" s="35"/>
      <c r="DL98" s="35"/>
      <c r="DM98" s="35"/>
      <c r="DN98" s="83"/>
      <c r="DO98" s="35"/>
      <c r="DP98" s="35"/>
      <c r="DQ98" s="35"/>
      <c r="DR98" s="35"/>
      <c r="DS98" s="35"/>
      <c r="DT98" s="83"/>
      <c r="DU98" s="35"/>
      <c r="DV98" s="35"/>
      <c r="DW98" s="35"/>
      <c r="DX98" s="35"/>
      <c r="DY98" s="35"/>
      <c r="DZ98" s="83"/>
      <c r="EA98" s="35"/>
      <c r="EB98" s="55" t="s">
        <v>187</v>
      </c>
      <c r="EC98" s="55" t="s">
        <v>30</v>
      </c>
      <c r="ED98" s="55" t="s">
        <v>31</v>
      </c>
      <c r="EE98" s="55" t="s">
        <v>32</v>
      </c>
      <c r="EF98" s="56" t="s">
        <v>188</v>
      </c>
      <c r="EG98" s="56"/>
      <c r="EH98" s="56" t="s">
        <v>189</v>
      </c>
      <c r="EI98" s="56" t="s">
        <v>190</v>
      </c>
      <c r="EJ98" s="56" t="s">
        <v>191</v>
      </c>
      <c r="EK98" s="57" t="s">
        <v>192</v>
      </c>
      <c r="EL98" s="57" t="s">
        <v>193</v>
      </c>
      <c r="EM98" s="57"/>
      <c r="EN98" s="57" t="s">
        <v>194</v>
      </c>
      <c r="EO98" s="57" t="s">
        <v>195</v>
      </c>
      <c r="EP98" s="58" t="s">
        <v>196</v>
      </c>
      <c r="EQ98" s="58" t="s">
        <v>197</v>
      </c>
      <c r="ER98" s="58" t="s">
        <v>198</v>
      </c>
      <c r="ES98" s="58"/>
      <c r="ET98" s="35"/>
      <c r="EU98" s="58" t="s">
        <v>199</v>
      </c>
      <c r="EV98" s="42" t="s">
        <v>33</v>
      </c>
      <c r="EW98" s="42" t="s">
        <v>34</v>
      </c>
      <c r="EX98" s="42" t="s">
        <v>35</v>
      </c>
      <c r="EY98" s="42"/>
      <c r="EZ98" s="42" t="s">
        <v>36</v>
      </c>
      <c r="FA98" s="59" t="s">
        <v>200</v>
      </c>
      <c r="FB98" s="59" t="s">
        <v>201</v>
      </c>
      <c r="FC98" s="59" t="s">
        <v>202</v>
      </c>
      <c r="FD98" s="59" t="s">
        <v>203</v>
      </c>
      <c r="FE98" s="59"/>
      <c r="FF98" s="35"/>
      <c r="FG98" s="35"/>
      <c r="FH98" s="35"/>
      <c r="FI98" s="35"/>
      <c r="FJ98" s="35"/>
      <c r="FK98" s="35"/>
      <c r="FL98" s="35"/>
      <c r="FM98" s="35"/>
      <c r="FN98" s="35"/>
      <c r="FO98" s="35"/>
      <c r="FP98" s="35"/>
      <c r="FQ98" s="35"/>
      <c r="FR98" s="35"/>
      <c r="FS98" s="35"/>
      <c r="FT98" s="35"/>
      <c r="FU98" s="35"/>
      <c r="FV98" s="35"/>
      <c r="FW98" s="35"/>
      <c r="FX98" s="35"/>
      <c r="FY98" s="35"/>
      <c r="FZ98" s="35"/>
      <c r="GA98" s="35"/>
      <c r="GB98" s="35"/>
      <c r="GC98" s="35"/>
      <c r="GD98" s="35"/>
      <c r="GE98" s="35"/>
      <c r="GF98" s="35"/>
      <c r="GG98" s="35"/>
      <c r="GH98" s="35"/>
      <c r="GI98" s="35"/>
      <c r="GJ98" s="35"/>
      <c r="GK98" s="35"/>
      <c r="GL98" s="35"/>
      <c r="GM98" s="35"/>
      <c r="GN98" s="35"/>
      <c r="GO98" s="35"/>
      <c r="GP98" s="35"/>
      <c r="GQ98" s="35"/>
      <c r="GR98" s="35"/>
      <c r="GS98" s="35"/>
      <c r="GT98" s="35"/>
      <c r="GU98" s="35"/>
      <c r="GV98" s="35"/>
      <c r="GW98" s="35"/>
      <c r="GX98" s="83"/>
      <c r="GY98" s="83"/>
      <c r="GZ98" s="83"/>
      <c r="HA98" s="83"/>
      <c r="HB98" s="83"/>
      <c r="HC98" s="83"/>
      <c r="HD98" s="83"/>
      <c r="HE98" s="83"/>
      <c r="HF98" s="83"/>
      <c r="HG98" s="83"/>
      <c r="HH98" s="83"/>
      <c r="HI98" s="83"/>
      <c r="HJ98" s="83"/>
      <c r="HK98" s="83"/>
      <c r="HL98" s="83"/>
      <c r="HM98" s="83"/>
      <c r="HN98" s="83"/>
      <c r="HO98" s="83"/>
      <c r="HP98" s="83"/>
      <c r="HQ98" s="83"/>
      <c r="HR98" s="83"/>
      <c r="HS98" s="83"/>
      <c r="HT98" s="83"/>
      <c r="HU98" s="83"/>
      <c r="HV98" s="83"/>
      <c r="HW98" s="83"/>
      <c r="HX98" s="83"/>
      <c r="HY98" s="83"/>
      <c r="HZ98" s="83"/>
      <c r="IA98" s="83"/>
      <c r="IB98" s="83"/>
      <c r="IC98" s="83"/>
      <c r="ID98" s="83"/>
      <c r="IE98" s="83"/>
      <c r="IF98" s="83"/>
      <c r="IG98" s="83"/>
      <c r="IH98" s="83"/>
      <c r="II98" s="83"/>
      <c r="IJ98" s="83"/>
      <c r="IK98" s="83"/>
      <c r="IL98" s="83"/>
      <c r="IM98" s="83"/>
      <c r="IN98" s="83"/>
      <c r="IO98" s="83"/>
      <c r="IP98" s="83"/>
      <c r="IQ98" s="83"/>
      <c r="IR98" s="83"/>
      <c r="IS98" s="83"/>
      <c r="IT98" s="83"/>
      <c r="IU98" s="83"/>
      <c r="IV98" s="83"/>
      <c r="IW98" s="83"/>
    </row>
    <row r="99" spans="2:257" s="28" customFormat="1" ht="14.4">
      <c r="B99" s="30">
        <f t="shared" si="254"/>
        <v>5.0399999999999991</v>
      </c>
      <c r="C99" s="38" t="s">
        <v>80</v>
      </c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84"/>
      <c r="BD99" s="84"/>
      <c r="BE99" s="84"/>
      <c r="BF99" s="84"/>
      <c r="BG99" s="84"/>
      <c r="BH99" s="84"/>
      <c r="BI99" s="84"/>
      <c r="BJ99" s="84"/>
      <c r="BK99" s="84"/>
      <c r="BL99" s="84"/>
      <c r="BM99" s="84"/>
      <c r="BN99" s="84"/>
      <c r="BO99" s="84"/>
      <c r="BP99" s="84"/>
      <c r="BQ99" s="84"/>
      <c r="BR99" s="84"/>
      <c r="BS99" s="84"/>
      <c r="BT99" s="84"/>
      <c r="BU99" s="84"/>
      <c r="BV99" s="84"/>
      <c r="BW99" s="84"/>
      <c r="BX99" s="84"/>
      <c r="BY99" s="84"/>
      <c r="BZ99" s="84"/>
      <c r="CA99" s="84"/>
      <c r="CB99" s="84"/>
      <c r="CC99" s="84"/>
      <c r="CD99" s="84"/>
      <c r="CE99" s="84"/>
      <c r="CF99" s="35"/>
      <c r="CG99" s="34"/>
      <c r="CH99" s="34"/>
      <c r="CI99" s="34"/>
      <c r="CJ99" s="34"/>
      <c r="CK99" s="34"/>
      <c r="CL99" s="34"/>
      <c r="CM99" s="34"/>
      <c r="CN99" s="34"/>
      <c r="CO99" s="35"/>
      <c r="CP99" s="35"/>
      <c r="CQ99" s="35"/>
      <c r="CR99" s="84"/>
      <c r="CS99" s="84"/>
      <c r="CT99" s="84"/>
      <c r="CU99" s="84"/>
      <c r="CV99" s="35"/>
      <c r="CW99" s="35"/>
      <c r="CX99" s="35"/>
      <c r="CY99" s="35"/>
      <c r="CZ99" s="35"/>
      <c r="DA99" s="35"/>
      <c r="DB99" s="84"/>
      <c r="DC99" s="35"/>
      <c r="DD99" s="35"/>
      <c r="DE99" s="35"/>
      <c r="DF99" s="35"/>
      <c r="DG99" s="35"/>
      <c r="DH99" s="84"/>
      <c r="DI99" s="35"/>
      <c r="DJ99" s="35"/>
      <c r="DK99" s="35"/>
      <c r="DL99" s="35"/>
      <c r="DM99" s="35"/>
      <c r="DN99" s="84"/>
      <c r="DO99" s="35"/>
      <c r="DP99" s="35"/>
      <c r="DQ99" s="35"/>
      <c r="DR99" s="35"/>
      <c r="DS99" s="35"/>
      <c r="DT99" s="84"/>
      <c r="DU99" s="35"/>
      <c r="DV99" s="35"/>
      <c r="DW99" s="35"/>
      <c r="DX99" s="35"/>
      <c r="DY99" s="35"/>
      <c r="DZ99" s="84"/>
      <c r="EA99" s="35"/>
      <c r="EB99" s="35"/>
      <c r="EC99" s="55" t="s">
        <v>187</v>
      </c>
      <c r="ED99" s="55" t="s">
        <v>30</v>
      </c>
      <c r="EE99" s="55" t="s">
        <v>31</v>
      </c>
      <c r="EF99" s="55" t="s">
        <v>32</v>
      </c>
      <c r="EG99" s="55"/>
      <c r="EH99" s="56" t="s">
        <v>188</v>
      </c>
      <c r="EI99" s="56" t="s">
        <v>189</v>
      </c>
      <c r="EJ99" s="56" t="s">
        <v>190</v>
      </c>
      <c r="EK99" s="56" t="s">
        <v>191</v>
      </c>
      <c r="EL99" s="57" t="s">
        <v>192</v>
      </c>
      <c r="EM99" s="56"/>
      <c r="EN99" s="57" t="s">
        <v>193</v>
      </c>
      <c r="EO99" s="57" t="s">
        <v>194</v>
      </c>
      <c r="EP99" s="57" t="s">
        <v>195</v>
      </c>
      <c r="EQ99" s="58" t="s">
        <v>196</v>
      </c>
      <c r="ER99" s="58" t="s">
        <v>197</v>
      </c>
      <c r="ES99" s="58"/>
      <c r="ET99" s="35"/>
      <c r="EU99" s="58" t="s">
        <v>198</v>
      </c>
      <c r="EV99" s="58" t="s">
        <v>199</v>
      </c>
      <c r="EW99" s="42" t="s">
        <v>33</v>
      </c>
      <c r="EX99" s="42" t="s">
        <v>34</v>
      </c>
      <c r="EY99" s="42"/>
      <c r="EZ99" s="42" t="s">
        <v>35</v>
      </c>
      <c r="FA99" s="42" t="s">
        <v>36</v>
      </c>
      <c r="FB99" s="59" t="s">
        <v>200</v>
      </c>
      <c r="FC99" s="59" t="s">
        <v>201</v>
      </c>
      <c r="FD99" s="59" t="s">
        <v>202</v>
      </c>
      <c r="FE99" s="59"/>
      <c r="FF99" s="59" t="s">
        <v>203</v>
      </c>
      <c r="FG99" s="35"/>
      <c r="FH99" s="35"/>
      <c r="FI99" s="35"/>
      <c r="FJ99" s="35"/>
      <c r="FK99" s="35"/>
      <c r="FL99" s="35"/>
      <c r="FM99" s="35"/>
      <c r="FN99" s="35"/>
      <c r="FO99" s="35"/>
      <c r="FP99" s="35"/>
      <c r="FQ99" s="35"/>
      <c r="FR99" s="35"/>
      <c r="FS99" s="35"/>
      <c r="FT99" s="35"/>
      <c r="FU99" s="35"/>
      <c r="FV99" s="35"/>
      <c r="FW99" s="35"/>
      <c r="FX99" s="35"/>
      <c r="FY99" s="35"/>
      <c r="FZ99" s="35"/>
      <c r="GA99" s="35"/>
      <c r="GB99" s="35"/>
      <c r="GC99" s="35"/>
      <c r="GD99" s="35"/>
      <c r="GE99" s="35"/>
      <c r="GF99" s="35"/>
      <c r="GG99" s="35"/>
      <c r="GH99" s="35"/>
      <c r="GI99" s="35"/>
      <c r="GJ99" s="35"/>
      <c r="GK99" s="35"/>
      <c r="GL99" s="35"/>
      <c r="GM99" s="35"/>
      <c r="GN99" s="35"/>
      <c r="GO99" s="35"/>
      <c r="GP99" s="35"/>
      <c r="GQ99" s="35"/>
      <c r="GR99" s="35"/>
      <c r="GS99" s="35"/>
      <c r="GT99" s="35"/>
      <c r="GU99" s="35"/>
      <c r="GV99" s="35"/>
      <c r="GW99" s="35"/>
      <c r="GX99" s="35"/>
      <c r="GY99" s="35"/>
      <c r="GZ99" s="84"/>
      <c r="HA99" s="84"/>
      <c r="HB99" s="84"/>
      <c r="HC99" s="84"/>
      <c r="HD99" s="84"/>
      <c r="HE99" s="84"/>
      <c r="HF99" s="84"/>
      <c r="HG99" s="84"/>
      <c r="HH99" s="84"/>
      <c r="HI99" s="84"/>
      <c r="HJ99" s="84"/>
      <c r="HK99" s="84"/>
      <c r="HL99" s="84"/>
      <c r="HM99" s="84"/>
      <c r="HN99" s="84"/>
      <c r="HO99" s="84"/>
      <c r="HP99" s="84"/>
      <c r="HQ99" s="84"/>
      <c r="HR99" s="84"/>
      <c r="HS99" s="84"/>
      <c r="HT99" s="84"/>
      <c r="HU99" s="84"/>
      <c r="HV99" s="84"/>
      <c r="HW99" s="84"/>
      <c r="HX99" s="84"/>
      <c r="HY99" s="84"/>
      <c r="HZ99" s="84"/>
      <c r="IA99" s="84"/>
      <c r="IB99" s="84"/>
      <c r="IC99" s="84"/>
      <c r="ID99" s="84"/>
      <c r="IE99" s="84"/>
      <c r="IF99" s="84"/>
      <c r="IG99" s="84"/>
      <c r="IH99" s="84"/>
      <c r="II99" s="84"/>
      <c r="IJ99" s="84"/>
      <c r="IK99" s="84"/>
      <c r="IL99" s="84"/>
      <c r="IM99" s="84"/>
      <c r="IN99" s="84"/>
      <c r="IO99" s="84"/>
      <c r="IP99" s="84"/>
      <c r="IQ99" s="84"/>
      <c r="IR99" s="84"/>
      <c r="IS99" s="84"/>
      <c r="IT99" s="84"/>
      <c r="IU99" s="84"/>
      <c r="IV99" s="84"/>
      <c r="IW99" s="84"/>
    </row>
    <row r="100" spans="2:257" s="28" customFormat="1" ht="14.4">
      <c r="B100" s="30">
        <f t="shared" si="254"/>
        <v>5.0499999999999989</v>
      </c>
      <c r="C100" s="38" t="s">
        <v>81</v>
      </c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  <c r="BM100" s="84"/>
      <c r="BN100" s="84"/>
      <c r="BO100" s="84"/>
      <c r="BP100" s="84"/>
      <c r="BQ100" s="84"/>
      <c r="BR100" s="84"/>
      <c r="BS100" s="84"/>
      <c r="BT100" s="84"/>
      <c r="BU100" s="84"/>
      <c r="BV100" s="84"/>
      <c r="BW100" s="84"/>
      <c r="BX100" s="84"/>
      <c r="BY100" s="84"/>
      <c r="BZ100" s="84"/>
      <c r="CA100" s="84"/>
      <c r="CB100" s="84"/>
      <c r="CC100" s="84"/>
      <c r="CD100" s="84"/>
      <c r="CE100" s="84"/>
      <c r="CF100" s="35"/>
      <c r="CG100" s="34"/>
      <c r="CH100" s="34"/>
      <c r="CI100" s="34"/>
      <c r="CJ100" s="34"/>
      <c r="CK100" s="34"/>
      <c r="CL100" s="34"/>
      <c r="CM100" s="34"/>
      <c r="CN100" s="34"/>
      <c r="CO100" s="35"/>
      <c r="CP100" s="35"/>
      <c r="CQ100" s="35"/>
      <c r="CR100" s="84"/>
      <c r="CS100" s="84"/>
      <c r="CT100" s="84"/>
      <c r="CU100" s="84"/>
      <c r="CV100" s="35"/>
      <c r="CW100" s="35"/>
      <c r="CX100" s="35"/>
      <c r="CY100" s="35"/>
      <c r="CZ100" s="35"/>
      <c r="DA100" s="35"/>
      <c r="DB100" s="84"/>
      <c r="DC100" s="35"/>
      <c r="DD100" s="35"/>
      <c r="DE100" s="35"/>
      <c r="DF100" s="35"/>
      <c r="DG100" s="35"/>
      <c r="DH100" s="84"/>
      <c r="DI100" s="35"/>
      <c r="DJ100" s="35"/>
      <c r="DK100" s="35"/>
      <c r="DL100" s="35"/>
      <c r="DM100" s="35"/>
      <c r="DN100" s="84"/>
      <c r="DO100" s="35"/>
      <c r="DP100" s="35"/>
      <c r="DQ100" s="35"/>
      <c r="DR100" s="35"/>
      <c r="DS100" s="35"/>
      <c r="DT100" s="84"/>
      <c r="DU100" s="35"/>
      <c r="DV100" s="35"/>
      <c r="DW100" s="35"/>
      <c r="DX100" s="35"/>
      <c r="DY100" s="35"/>
      <c r="DZ100" s="84"/>
      <c r="EA100" s="35"/>
      <c r="EB100" s="35"/>
      <c r="EC100" s="35"/>
      <c r="ED100" s="55" t="s">
        <v>187</v>
      </c>
      <c r="EE100" s="55" t="s">
        <v>30</v>
      </c>
      <c r="EF100" s="55" t="s">
        <v>31</v>
      </c>
      <c r="EG100" s="55"/>
      <c r="EH100" s="55" t="s">
        <v>32</v>
      </c>
      <c r="EI100" s="56" t="s">
        <v>188</v>
      </c>
      <c r="EJ100" s="56" t="s">
        <v>189</v>
      </c>
      <c r="EK100" s="56" t="s">
        <v>190</v>
      </c>
      <c r="EL100" s="56" t="s">
        <v>191</v>
      </c>
      <c r="EM100" s="56"/>
      <c r="EN100" s="57" t="s">
        <v>192</v>
      </c>
      <c r="EO100" s="57" t="s">
        <v>193</v>
      </c>
      <c r="EP100" s="57" t="s">
        <v>194</v>
      </c>
      <c r="EQ100" s="57" t="s">
        <v>195</v>
      </c>
      <c r="ER100" s="58" t="s">
        <v>196</v>
      </c>
      <c r="ES100" s="58"/>
      <c r="ET100" s="35"/>
      <c r="EU100" s="58" t="s">
        <v>197</v>
      </c>
      <c r="EV100" s="58" t="s">
        <v>198</v>
      </c>
      <c r="EW100" s="58" t="s">
        <v>199</v>
      </c>
      <c r="EX100" s="42" t="s">
        <v>33</v>
      </c>
      <c r="EY100" s="42"/>
      <c r="EZ100" s="42" t="s">
        <v>34</v>
      </c>
      <c r="FA100" s="42" t="s">
        <v>35</v>
      </c>
      <c r="FB100" s="42" t="s">
        <v>36</v>
      </c>
      <c r="FC100" s="59" t="s">
        <v>200</v>
      </c>
      <c r="FD100" s="59" t="s">
        <v>201</v>
      </c>
      <c r="FE100" s="59"/>
      <c r="FF100" s="59" t="s">
        <v>202</v>
      </c>
      <c r="FG100" s="59" t="s">
        <v>203</v>
      </c>
      <c r="FH100" s="35"/>
      <c r="FI100" s="35"/>
      <c r="FJ100" s="35"/>
      <c r="FK100" s="35"/>
      <c r="FL100" s="35"/>
      <c r="FM100" s="35"/>
      <c r="FN100" s="35"/>
      <c r="FO100" s="35"/>
      <c r="FP100" s="35"/>
      <c r="FQ100" s="35"/>
      <c r="FR100" s="35"/>
      <c r="FS100" s="35"/>
      <c r="FT100" s="35"/>
      <c r="FU100" s="35"/>
      <c r="FV100" s="35"/>
      <c r="FW100" s="35"/>
      <c r="FX100" s="35"/>
      <c r="FY100" s="35"/>
      <c r="FZ100" s="35"/>
      <c r="GA100" s="35"/>
      <c r="GB100" s="35"/>
      <c r="GC100" s="35"/>
      <c r="GD100" s="35"/>
      <c r="GE100" s="35"/>
      <c r="GF100" s="35"/>
      <c r="GG100" s="35"/>
      <c r="GH100" s="35"/>
      <c r="GI100" s="35"/>
      <c r="GJ100" s="35"/>
      <c r="GK100" s="35"/>
      <c r="GL100" s="35"/>
      <c r="GM100" s="35"/>
      <c r="GN100" s="35"/>
      <c r="GO100" s="35"/>
      <c r="GP100" s="35"/>
      <c r="GQ100" s="35"/>
      <c r="GR100" s="35"/>
      <c r="GS100" s="35"/>
      <c r="GT100" s="35"/>
      <c r="GU100" s="35"/>
      <c r="GV100" s="35"/>
      <c r="GW100" s="35"/>
      <c r="GX100" s="35"/>
      <c r="GY100" s="35"/>
      <c r="GZ100" s="84"/>
      <c r="HA100" s="84"/>
      <c r="HB100" s="84"/>
      <c r="HC100" s="84"/>
      <c r="HD100" s="84"/>
      <c r="HE100" s="84"/>
      <c r="HF100" s="84"/>
      <c r="HG100" s="84"/>
      <c r="HH100" s="84"/>
      <c r="HI100" s="84"/>
      <c r="HJ100" s="84"/>
      <c r="HK100" s="84"/>
      <c r="HL100" s="84"/>
      <c r="HM100" s="84"/>
      <c r="HN100" s="84"/>
      <c r="HO100" s="84"/>
      <c r="HP100" s="84"/>
      <c r="HQ100" s="84"/>
      <c r="HR100" s="84"/>
      <c r="HS100" s="84"/>
      <c r="HT100" s="84"/>
      <c r="HU100" s="84"/>
      <c r="HV100" s="84"/>
      <c r="HW100" s="84"/>
      <c r="HX100" s="84"/>
      <c r="HY100" s="84"/>
      <c r="HZ100" s="84"/>
      <c r="IA100" s="84"/>
      <c r="IB100" s="84"/>
      <c r="IC100" s="84"/>
      <c r="ID100" s="84"/>
      <c r="IE100" s="84"/>
      <c r="IF100" s="84"/>
      <c r="IG100" s="84"/>
      <c r="IH100" s="84"/>
      <c r="II100" s="84"/>
      <c r="IJ100" s="84"/>
      <c r="IK100" s="84"/>
      <c r="IL100" s="84"/>
      <c r="IM100" s="84"/>
      <c r="IN100" s="84"/>
      <c r="IO100" s="84"/>
      <c r="IP100" s="84"/>
      <c r="IQ100" s="84"/>
      <c r="IR100" s="84"/>
      <c r="IS100" s="84"/>
      <c r="IT100" s="84"/>
      <c r="IU100" s="84"/>
      <c r="IV100" s="84"/>
      <c r="IW100" s="84"/>
    </row>
    <row r="101" spans="2:257" s="28" customFormat="1" ht="14.4">
      <c r="B101" s="30">
        <f t="shared" ref="B101:B154" si="255">+B100+0.01</f>
        <v>5.0599999999999987</v>
      </c>
      <c r="C101" s="38" t="s">
        <v>82</v>
      </c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  <c r="BM101" s="84"/>
      <c r="BN101" s="84"/>
      <c r="BO101" s="84"/>
      <c r="BP101" s="84"/>
      <c r="BQ101" s="84"/>
      <c r="BR101" s="84"/>
      <c r="BS101" s="84"/>
      <c r="BT101" s="84"/>
      <c r="BU101" s="84"/>
      <c r="BV101" s="84"/>
      <c r="BW101" s="84"/>
      <c r="BX101" s="84"/>
      <c r="BY101" s="84"/>
      <c r="BZ101" s="84"/>
      <c r="CA101" s="84"/>
      <c r="CB101" s="84"/>
      <c r="CC101" s="84"/>
      <c r="CD101" s="84"/>
      <c r="CE101" s="84"/>
      <c r="CF101" s="35"/>
      <c r="CG101" s="34"/>
      <c r="CH101" s="34"/>
      <c r="CI101" s="34"/>
      <c r="CJ101" s="34"/>
      <c r="CK101" s="34"/>
      <c r="CL101" s="34"/>
      <c r="CM101" s="34"/>
      <c r="CN101" s="34"/>
      <c r="CO101" s="35"/>
      <c r="CP101" s="35"/>
      <c r="CQ101" s="35"/>
      <c r="CR101" s="84"/>
      <c r="CS101" s="84"/>
      <c r="CT101" s="84"/>
      <c r="CU101" s="84"/>
      <c r="CV101" s="35"/>
      <c r="CW101" s="35"/>
      <c r="CX101" s="35"/>
      <c r="CY101" s="35"/>
      <c r="CZ101" s="35"/>
      <c r="DA101" s="35"/>
      <c r="DB101" s="84"/>
      <c r="DC101" s="35"/>
      <c r="DD101" s="35"/>
      <c r="DE101" s="35"/>
      <c r="DF101" s="35"/>
      <c r="DG101" s="35"/>
      <c r="DH101" s="84"/>
      <c r="DI101" s="35"/>
      <c r="DJ101" s="35"/>
      <c r="DK101" s="35"/>
      <c r="DL101" s="35"/>
      <c r="DM101" s="35"/>
      <c r="DN101" s="84"/>
      <c r="DO101" s="35"/>
      <c r="DP101" s="35"/>
      <c r="DQ101" s="35"/>
      <c r="DR101" s="35"/>
      <c r="DS101" s="35"/>
      <c r="DT101" s="84"/>
      <c r="DU101" s="35"/>
      <c r="DV101" s="35"/>
      <c r="DW101" s="35"/>
      <c r="DX101" s="35"/>
      <c r="DY101" s="35"/>
      <c r="DZ101" s="84"/>
      <c r="EA101" s="35"/>
      <c r="EB101" s="35"/>
      <c r="EC101" s="35"/>
      <c r="ED101" s="35"/>
      <c r="EE101" s="55" t="s">
        <v>187</v>
      </c>
      <c r="EF101" s="55" t="s">
        <v>30</v>
      </c>
      <c r="EG101" s="55"/>
      <c r="EH101" s="55" t="s">
        <v>31</v>
      </c>
      <c r="EI101" s="55" t="s">
        <v>32</v>
      </c>
      <c r="EJ101" s="56" t="s">
        <v>188</v>
      </c>
      <c r="EK101" s="56" t="s">
        <v>189</v>
      </c>
      <c r="EL101" s="56" t="s">
        <v>190</v>
      </c>
      <c r="EM101" s="56"/>
      <c r="EN101" s="56" t="s">
        <v>191</v>
      </c>
      <c r="EO101" s="57" t="s">
        <v>192</v>
      </c>
      <c r="EP101" s="57" t="s">
        <v>193</v>
      </c>
      <c r="EQ101" s="57" t="s">
        <v>194</v>
      </c>
      <c r="ER101" s="57" t="s">
        <v>195</v>
      </c>
      <c r="ES101" s="57"/>
      <c r="ET101" s="35"/>
      <c r="EU101" s="58" t="s">
        <v>196</v>
      </c>
      <c r="EV101" s="58" t="s">
        <v>197</v>
      </c>
      <c r="EW101" s="58" t="s">
        <v>198</v>
      </c>
      <c r="EX101" s="58" t="s">
        <v>199</v>
      </c>
      <c r="EY101" s="58"/>
      <c r="EZ101" s="42" t="s">
        <v>33</v>
      </c>
      <c r="FA101" s="42" t="s">
        <v>34</v>
      </c>
      <c r="FB101" s="42" t="s">
        <v>35</v>
      </c>
      <c r="FC101" s="42" t="s">
        <v>36</v>
      </c>
      <c r="FD101" s="59" t="s">
        <v>200</v>
      </c>
      <c r="FE101" s="59"/>
      <c r="FF101" s="59" t="s">
        <v>201</v>
      </c>
      <c r="FG101" s="59" t="s">
        <v>202</v>
      </c>
      <c r="FH101" s="59" t="s">
        <v>203</v>
      </c>
      <c r="FI101" s="35"/>
      <c r="FJ101" s="35"/>
      <c r="FK101" s="35"/>
      <c r="FL101" s="35"/>
      <c r="FM101" s="35"/>
      <c r="FN101" s="35"/>
      <c r="FO101" s="35"/>
      <c r="FP101" s="35"/>
      <c r="FQ101" s="35"/>
      <c r="FR101" s="35"/>
      <c r="FS101" s="35"/>
      <c r="FT101" s="35"/>
      <c r="FU101" s="35"/>
      <c r="FV101" s="35"/>
      <c r="FW101" s="35"/>
      <c r="FX101" s="35"/>
      <c r="FY101" s="35"/>
      <c r="FZ101" s="35"/>
      <c r="GA101" s="35"/>
      <c r="GB101" s="35"/>
      <c r="GC101" s="35"/>
      <c r="GD101" s="35"/>
      <c r="GE101" s="35"/>
      <c r="GF101" s="35"/>
      <c r="GG101" s="35"/>
      <c r="GH101" s="35"/>
      <c r="GI101" s="35"/>
      <c r="GJ101" s="35"/>
      <c r="GK101" s="35"/>
      <c r="GL101" s="35"/>
      <c r="GM101" s="35"/>
      <c r="GN101" s="35"/>
      <c r="GO101" s="35"/>
      <c r="GP101" s="35"/>
      <c r="GQ101" s="35"/>
      <c r="GR101" s="35"/>
      <c r="GS101" s="35"/>
      <c r="GT101" s="35"/>
      <c r="GU101" s="35"/>
      <c r="GV101" s="35"/>
      <c r="GW101" s="35"/>
      <c r="GX101" s="35"/>
      <c r="GY101" s="35"/>
      <c r="GZ101" s="84"/>
      <c r="HA101" s="84"/>
      <c r="HB101" s="84"/>
      <c r="HC101" s="84"/>
      <c r="HD101" s="84"/>
      <c r="HE101" s="84"/>
      <c r="HF101" s="84"/>
      <c r="HG101" s="84"/>
      <c r="HH101" s="84"/>
      <c r="HI101" s="84"/>
      <c r="HJ101" s="84"/>
      <c r="HK101" s="84"/>
      <c r="HL101" s="84"/>
      <c r="HM101" s="84"/>
      <c r="HN101" s="84"/>
      <c r="HO101" s="84"/>
      <c r="HP101" s="84"/>
      <c r="HQ101" s="84"/>
      <c r="HR101" s="84"/>
      <c r="HS101" s="84"/>
      <c r="HT101" s="84"/>
      <c r="HU101" s="84"/>
      <c r="HV101" s="84"/>
      <c r="HW101" s="84"/>
      <c r="HX101" s="84"/>
      <c r="HY101" s="84"/>
      <c r="HZ101" s="84"/>
      <c r="IA101" s="84"/>
      <c r="IB101" s="84"/>
      <c r="IC101" s="84"/>
      <c r="ID101" s="84"/>
      <c r="IE101" s="84"/>
      <c r="IF101" s="84"/>
      <c r="IG101" s="84"/>
      <c r="IH101" s="84"/>
      <c r="II101" s="84"/>
      <c r="IJ101" s="84"/>
      <c r="IK101" s="84"/>
      <c r="IL101" s="84"/>
      <c r="IM101" s="84"/>
      <c r="IN101" s="84"/>
      <c r="IO101" s="84"/>
      <c r="IP101" s="84"/>
      <c r="IQ101" s="84"/>
      <c r="IR101" s="84"/>
      <c r="IS101" s="84"/>
      <c r="IT101" s="84"/>
      <c r="IU101" s="84"/>
      <c r="IV101" s="84"/>
      <c r="IW101" s="84"/>
    </row>
    <row r="102" spans="2:257" s="28" customFormat="1" ht="14.4">
      <c r="B102" s="30">
        <f t="shared" si="255"/>
        <v>5.0699999999999985</v>
      </c>
      <c r="C102" s="38" t="s">
        <v>83</v>
      </c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  <c r="BM102" s="84"/>
      <c r="BN102" s="84"/>
      <c r="BO102" s="84"/>
      <c r="BP102" s="84"/>
      <c r="BQ102" s="84"/>
      <c r="BR102" s="84"/>
      <c r="BS102" s="84"/>
      <c r="BT102" s="84"/>
      <c r="BU102" s="84"/>
      <c r="BV102" s="84"/>
      <c r="BW102" s="84"/>
      <c r="BX102" s="84"/>
      <c r="BY102" s="84"/>
      <c r="BZ102" s="84"/>
      <c r="CA102" s="84"/>
      <c r="CB102" s="84"/>
      <c r="CC102" s="84"/>
      <c r="CD102" s="84"/>
      <c r="CE102" s="84"/>
      <c r="CF102" s="35"/>
      <c r="CG102" s="34"/>
      <c r="CH102" s="34"/>
      <c r="CI102" s="34"/>
      <c r="CJ102" s="34"/>
      <c r="CK102" s="34"/>
      <c r="CL102" s="34"/>
      <c r="CM102" s="34"/>
      <c r="CN102" s="34"/>
      <c r="CO102" s="35"/>
      <c r="CP102" s="35"/>
      <c r="CQ102" s="35"/>
      <c r="CR102" s="84"/>
      <c r="CS102" s="84"/>
      <c r="CT102" s="84"/>
      <c r="CU102" s="84"/>
      <c r="CV102" s="35"/>
      <c r="CW102" s="35"/>
      <c r="CX102" s="35"/>
      <c r="CY102" s="35"/>
      <c r="CZ102" s="35"/>
      <c r="DA102" s="35"/>
      <c r="DB102" s="84"/>
      <c r="DC102" s="35"/>
      <c r="DD102" s="35"/>
      <c r="DE102" s="35"/>
      <c r="DF102" s="35"/>
      <c r="DG102" s="35"/>
      <c r="DH102" s="84"/>
      <c r="DI102" s="35"/>
      <c r="DJ102" s="35"/>
      <c r="DK102" s="35"/>
      <c r="DL102" s="35"/>
      <c r="DM102" s="35"/>
      <c r="DN102" s="84"/>
      <c r="DO102" s="35"/>
      <c r="DP102" s="35"/>
      <c r="DQ102" s="35"/>
      <c r="DR102" s="35"/>
      <c r="DS102" s="35"/>
      <c r="DT102" s="84"/>
      <c r="DU102" s="35"/>
      <c r="DV102" s="35"/>
      <c r="DW102" s="35"/>
      <c r="DX102" s="35"/>
      <c r="DY102" s="35"/>
      <c r="DZ102" s="84"/>
      <c r="EA102" s="35"/>
      <c r="EB102" s="35"/>
      <c r="EC102" s="35"/>
      <c r="ED102" s="35"/>
      <c r="EE102" s="35"/>
      <c r="EF102" s="55" t="s">
        <v>187</v>
      </c>
      <c r="EG102" s="55"/>
      <c r="EH102" s="55" t="s">
        <v>30</v>
      </c>
      <c r="EI102" s="55" t="s">
        <v>31</v>
      </c>
      <c r="EJ102" s="55" t="s">
        <v>32</v>
      </c>
      <c r="EK102" s="56" t="s">
        <v>188</v>
      </c>
      <c r="EL102" s="56" t="s">
        <v>189</v>
      </c>
      <c r="EM102" s="56"/>
      <c r="EN102" s="56" t="s">
        <v>190</v>
      </c>
      <c r="EO102" s="56" t="s">
        <v>191</v>
      </c>
      <c r="EP102" s="57" t="s">
        <v>192</v>
      </c>
      <c r="EQ102" s="57" t="s">
        <v>193</v>
      </c>
      <c r="ER102" s="57" t="s">
        <v>194</v>
      </c>
      <c r="ES102" s="57"/>
      <c r="ET102" s="35"/>
      <c r="EU102" s="57" t="s">
        <v>195</v>
      </c>
      <c r="EV102" s="58" t="s">
        <v>196</v>
      </c>
      <c r="EW102" s="58" t="s">
        <v>197</v>
      </c>
      <c r="EX102" s="58" t="s">
        <v>198</v>
      </c>
      <c r="EY102" s="58"/>
      <c r="EZ102" s="58" t="s">
        <v>199</v>
      </c>
      <c r="FA102" s="42" t="s">
        <v>33</v>
      </c>
      <c r="FB102" s="42" t="s">
        <v>34</v>
      </c>
      <c r="FC102" s="42" t="s">
        <v>35</v>
      </c>
      <c r="FD102" s="42" t="s">
        <v>36</v>
      </c>
      <c r="FE102" s="42"/>
      <c r="FF102" s="59" t="s">
        <v>200</v>
      </c>
      <c r="FG102" s="59" t="s">
        <v>201</v>
      </c>
      <c r="FH102" s="59" t="s">
        <v>202</v>
      </c>
      <c r="FI102" s="59" t="s">
        <v>203</v>
      </c>
      <c r="FJ102" s="59"/>
      <c r="FK102" s="35"/>
      <c r="FL102" s="35"/>
      <c r="FM102" s="35"/>
      <c r="FN102" s="35"/>
      <c r="FO102" s="35"/>
      <c r="FP102" s="35"/>
      <c r="FQ102" s="35"/>
      <c r="FR102" s="35"/>
      <c r="FS102" s="35"/>
      <c r="FT102" s="35"/>
      <c r="FU102" s="35"/>
      <c r="FV102" s="35"/>
      <c r="FW102" s="35"/>
      <c r="FX102" s="35"/>
      <c r="FY102" s="35"/>
      <c r="FZ102" s="35"/>
      <c r="GA102" s="35"/>
      <c r="GB102" s="35"/>
      <c r="GC102" s="35"/>
      <c r="GD102" s="35"/>
      <c r="GE102" s="35"/>
      <c r="GF102" s="35"/>
      <c r="GG102" s="35"/>
      <c r="GH102" s="35"/>
      <c r="GI102" s="35"/>
      <c r="GJ102" s="35"/>
      <c r="GK102" s="35"/>
      <c r="GL102" s="35"/>
      <c r="GM102" s="35"/>
      <c r="GN102" s="35"/>
      <c r="GO102" s="35"/>
      <c r="GP102" s="35"/>
      <c r="GQ102" s="35"/>
      <c r="GR102" s="35"/>
      <c r="GS102" s="35"/>
      <c r="GT102" s="35"/>
      <c r="GU102" s="35"/>
      <c r="GV102" s="35"/>
      <c r="GW102" s="35"/>
      <c r="GX102" s="35"/>
      <c r="GY102" s="35"/>
      <c r="GZ102" s="84"/>
      <c r="HA102" s="84"/>
      <c r="HB102" s="84"/>
      <c r="HC102" s="84"/>
      <c r="HD102" s="84"/>
      <c r="HE102" s="84"/>
      <c r="HF102" s="84"/>
      <c r="HG102" s="84"/>
      <c r="HH102" s="84"/>
      <c r="HI102" s="84"/>
      <c r="HJ102" s="84"/>
      <c r="HK102" s="84"/>
      <c r="HL102" s="84"/>
      <c r="HM102" s="84"/>
      <c r="HN102" s="84"/>
      <c r="HO102" s="84"/>
      <c r="HP102" s="84"/>
      <c r="HQ102" s="84"/>
      <c r="HR102" s="84"/>
      <c r="HS102" s="84"/>
      <c r="HT102" s="84"/>
      <c r="HU102" s="84"/>
      <c r="HV102" s="84"/>
      <c r="HW102" s="84"/>
      <c r="HX102" s="84"/>
      <c r="HY102" s="84"/>
      <c r="HZ102" s="84"/>
      <c r="IA102" s="84"/>
      <c r="IB102" s="84"/>
      <c r="IC102" s="84"/>
      <c r="ID102" s="84"/>
      <c r="IE102" s="84"/>
      <c r="IF102" s="84"/>
      <c r="IG102" s="84"/>
      <c r="IH102" s="84"/>
      <c r="II102" s="84"/>
      <c r="IJ102" s="84"/>
      <c r="IK102" s="84"/>
      <c r="IL102" s="84"/>
      <c r="IM102" s="84"/>
      <c r="IN102" s="84"/>
      <c r="IO102" s="84"/>
      <c r="IP102" s="84"/>
      <c r="IQ102" s="84"/>
      <c r="IR102" s="84"/>
      <c r="IS102" s="84"/>
      <c r="IT102" s="84"/>
      <c r="IU102" s="84"/>
      <c r="IV102" s="84"/>
      <c r="IW102" s="84"/>
    </row>
    <row r="103" spans="2:257" s="27" customFormat="1" ht="14.4">
      <c r="B103" s="30">
        <f t="shared" si="255"/>
        <v>5.0799999999999983</v>
      </c>
      <c r="C103" s="38" t="s">
        <v>84</v>
      </c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83"/>
      <c r="BD103" s="83"/>
      <c r="BE103" s="83"/>
      <c r="BF103" s="83"/>
      <c r="BG103" s="83"/>
      <c r="BH103" s="83"/>
      <c r="BI103" s="83"/>
      <c r="BJ103" s="83"/>
      <c r="BK103" s="83"/>
      <c r="BL103" s="83"/>
      <c r="BM103" s="83"/>
      <c r="BN103" s="83"/>
      <c r="BO103" s="83"/>
      <c r="BP103" s="83"/>
      <c r="BQ103" s="83"/>
      <c r="BR103" s="83"/>
      <c r="BS103" s="83"/>
      <c r="BT103" s="83"/>
      <c r="BU103" s="83"/>
      <c r="BV103" s="83"/>
      <c r="BW103" s="83"/>
      <c r="BX103" s="83"/>
      <c r="BY103" s="83"/>
      <c r="BZ103" s="83"/>
      <c r="CA103" s="83"/>
      <c r="CB103" s="83"/>
      <c r="CC103" s="83"/>
      <c r="CD103" s="83"/>
      <c r="CE103" s="83"/>
      <c r="CF103" s="35"/>
      <c r="CG103" s="34"/>
      <c r="CH103" s="34"/>
      <c r="CI103" s="34"/>
      <c r="CJ103" s="34"/>
      <c r="CK103" s="34"/>
      <c r="CL103" s="34"/>
      <c r="CM103" s="34"/>
      <c r="CN103" s="34"/>
      <c r="CO103" s="35"/>
      <c r="CP103" s="35"/>
      <c r="CQ103" s="35"/>
      <c r="CR103" s="83"/>
      <c r="CS103" s="83"/>
      <c r="CT103" s="83"/>
      <c r="CU103" s="83"/>
      <c r="CV103" s="35"/>
      <c r="CW103" s="35"/>
      <c r="CX103" s="35"/>
      <c r="CY103" s="35"/>
      <c r="CZ103" s="35"/>
      <c r="DA103" s="35"/>
      <c r="DB103" s="83"/>
      <c r="DC103" s="35"/>
      <c r="DD103" s="35"/>
      <c r="DE103" s="35"/>
      <c r="DF103" s="35"/>
      <c r="DG103" s="35"/>
      <c r="DH103" s="83"/>
      <c r="DI103" s="35"/>
      <c r="DJ103" s="35"/>
      <c r="DK103" s="35"/>
      <c r="DL103" s="35"/>
      <c r="DM103" s="35"/>
      <c r="DN103" s="83"/>
      <c r="DO103" s="35"/>
      <c r="DP103" s="35"/>
      <c r="DQ103" s="35"/>
      <c r="DR103" s="35"/>
      <c r="DS103" s="35"/>
      <c r="DT103" s="83"/>
      <c r="DU103" s="35"/>
      <c r="DV103" s="35"/>
      <c r="DW103" s="35"/>
      <c r="DX103" s="35"/>
      <c r="DY103" s="35"/>
      <c r="DZ103" s="83"/>
      <c r="EA103" s="35"/>
      <c r="EB103" s="35"/>
      <c r="EC103" s="35"/>
      <c r="ED103" s="35"/>
      <c r="EE103" s="35"/>
      <c r="EF103" s="83"/>
      <c r="EG103" s="35"/>
      <c r="EH103" s="55" t="s">
        <v>187</v>
      </c>
      <c r="EI103" s="55" t="s">
        <v>30</v>
      </c>
      <c r="EJ103" s="55" t="s">
        <v>31</v>
      </c>
      <c r="EK103" s="55" t="s">
        <v>32</v>
      </c>
      <c r="EL103" s="56" t="s">
        <v>188</v>
      </c>
      <c r="EM103" s="55"/>
      <c r="EN103" s="56" t="s">
        <v>189</v>
      </c>
      <c r="EO103" s="56" t="s">
        <v>190</v>
      </c>
      <c r="EP103" s="56" t="s">
        <v>191</v>
      </c>
      <c r="EQ103" s="57" t="s">
        <v>192</v>
      </c>
      <c r="ER103" s="57" t="s">
        <v>193</v>
      </c>
      <c r="ES103" s="57"/>
      <c r="ET103" s="35"/>
      <c r="EU103" s="57" t="s">
        <v>194</v>
      </c>
      <c r="EV103" s="57" t="s">
        <v>195</v>
      </c>
      <c r="EW103" s="58" t="s">
        <v>196</v>
      </c>
      <c r="EX103" s="58" t="s">
        <v>197</v>
      </c>
      <c r="EY103" s="58"/>
      <c r="EZ103" s="58" t="s">
        <v>198</v>
      </c>
      <c r="FA103" s="58" t="s">
        <v>199</v>
      </c>
      <c r="FB103" s="42" t="s">
        <v>33</v>
      </c>
      <c r="FC103" s="42" t="s">
        <v>34</v>
      </c>
      <c r="FD103" s="42" t="s">
        <v>35</v>
      </c>
      <c r="FE103" s="42"/>
      <c r="FF103" s="42" t="s">
        <v>36</v>
      </c>
      <c r="FG103" s="59" t="s">
        <v>200</v>
      </c>
      <c r="FH103" s="59" t="s">
        <v>201</v>
      </c>
      <c r="FI103" s="59" t="s">
        <v>202</v>
      </c>
      <c r="FJ103" s="59" t="s">
        <v>203</v>
      </c>
      <c r="FK103" s="59"/>
      <c r="FL103" s="35"/>
      <c r="FM103" s="35"/>
      <c r="FN103" s="35"/>
      <c r="FO103" s="35"/>
      <c r="FP103" s="35"/>
      <c r="FQ103" s="35"/>
      <c r="FR103" s="35"/>
      <c r="FS103" s="35"/>
      <c r="FT103" s="35"/>
      <c r="FU103" s="35"/>
      <c r="FV103" s="35"/>
      <c r="FW103" s="35"/>
      <c r="FX103" s="35"/>
      <c r="FY103" s="35"/>
      <c r="FZ103" s="35"/>
      <c r="GA103" s="35"/>
      <c r="GB103" s="35"/>
      <c r="GC103" s="35"/>
      <c r="GD103" s="35"/>
      <c r="GE103" s="35"/>
      <c r="GF103" s="35"/>
      <c r="GG103" s="35"/>
      <c r="GH103" s="35"/>
      <c r="GI103" s="35"/>
      <c r="GJ103" s="35"/>
      <c r="GK103" s="35"/>
      <c r="GL103" s="35"/>
      <c r="GM103" s="35"/>
      <c r="GN103" s="35"/>
      <c r="GO103" s="35"/>
      <c r="GP103" s="35"/>
      <c r="GQ103" s="35"/>
      <c r="GR103" s="35"/>
      <c r="GS103" s="35"/>
      <c r="GT103" s="35"/>
      <c r="GU103" s="35"/>
      <c r="GV103" s="35"/>
      <c r="GW103" s="35"/>
      <c r="GX103" s="35"/>
      <c r="GY103" s="35"/>
      <c r="GZ103" s="35"/>
      <c r="HA103" s="83"/>
      <c r="HB103" s="83"/>
      <c r="HC103" s="83"/>
      <c r="HD103" s="83"/>
      <c r="HE103" s="83"/>
      <c r="HF103" s="83"/>
      <c r="HG103" s="83"/>
      <c r="HH103" s="83"/>
      <c r="HI103" s="83"/>
      <c r="HJ103" s="83"/>
      <c r="HK103" s="83"/>
      <c r="HL103" s="83"/>
      <c r="HM103" s="83"/>
      <c r="HN103" s="83"/>
      <c r="HO103" s="83"/>
      <c r="HP103" s="83"/>
      <c r="HQ103" s="83"/>
      <c r="HR103" s="83"/>
      <c r="HS103" s="83"/>
      <c r="HT103" s="83"/>
      <c r="HU103" s="83"/>
      <c r="HV103" s="83"/>
      <c r="HW103" s="83"/>
      <c r="HX103" s="83"/>
      <c r="HY103" s="83"/>
      <c r="HZ103" s="83"/>
      <c r="IA103" s="83"/>
      <c r="IB103" s="83"/>
      <c r="IC103" s="83"/>
      <c r="ID103" s="83"/>
      <c r="IE103" s="83"/>
      <c r="IF103" s="83"/>
      <c r="IG103" s="83"/>
      <c r="IH103" s="83"/>
      <c r="II103" s="83"/>
      <c r="IJ103" s="83"/>
      <c r="IK103" s="83"/>
      <c r="IL103" s="83"/>
      <c r="IM103" s="83"/>
      <c r="IN103" s="83"/>
      <c r="IO103" s="83"/>
      <c r="IP103" s="83"/>
      <c r="IQ103" s="83"/>
      <c r="IR103" s="83"/>
      <c r="IS103" s="83"/>
      <c r="IT103" s="83"/>
      <c r="IU103" s="83"/>
      <c r="IV103" s="83"/>
      <c r="IW103" s="83"/>
    </row>
    <row r="104" spans="2:257" s="28" customFormat="1" ht="14.4">
      <c r="B104" s="30">
        <f t="shared" si="255"/>
        <v>5.0899999999999981</v>
      </c>
      <c r="C104" s="38" t="s">
        <v>85</v>
      </c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  <c r="BM104" s="84"/>
      <c r="BN104" s="84"/>
      <c r="BO104" s="84"/>
      <c r="BP104" s="84"/>
      <c r="BQ104" s="84"/>
      <c r="BR104" s="84"/>
      <c r="BS104" s="84"/>
      <c r="BT104" s="84"/>
      <c r="BU104" s="84"/>
      <c r="BV104" s="84"/>
      <c r="BW104" s="84"/>
      <c r="BX104" s="84"/>
      <c r="BY104" s="84"/>
      <c r="BZ104" s="84"/>
      <c r="CA104" s="84"/>
      <c r="CB104" s="84"/>
      <c r="CC104" s="84"/>
      <c r="CD104" s="84"/>
      <c r="CE104" s="84"/>
      <c r="CF104" s="35"/>
      <c r="CG104" s="34"/>
      <c r="CH104" s="34"/>
      <c r="CI104" s="34"/>
      <c r="CJ104" s="34"/>
      <c r="CK104" s="34"/>
      <c r="CL104" s="34"/>
      <c r="CM104" s="34"/>
      <c r="CN104" s="34"/>
      <c r="CO104" s="35"/>
      <c r="CP104" s="35"/>
      <c r="CQ104" s="35"/>
      <c r="CR104" s="84"/>
      <c r="CS104" s="84"/>
      <c r="CT104" s="84"/>
      <c r="CU104" s="84"/>
      <c r="CV104" s="35"/>
      <c r="CW104" s="35"/>
      <c r="CX104" s="35"/>
      <c r="CY104" s="35"/>
      <c r="CZ104" s="35"/>
      <c r="DA104" s="35"/>
      <c r="DB104" s="84"/>
      <c r="DC104" s="35"/>
      <c r="DD104" s="35"/>
      <c r="DE104" s="35"/>
      <c r="DF104" s="35"/>
      <c r="DG104" s="35"/>
      <c r="DH104" s="84"/>
      <c r="DI104" s="35"/>
      <c r="DJ104" s="35"/>
      <c r="DK104" s="35"/>
      <c r="DL104" s="35"/>
      <c r="DM104" s="35"/>
      <c r="DN104" s="84"/>
      <c r="DO104" s="35"/>
      <c r="DP104" s="35"/>
      <c r="DQ104" s="35"/>
      <c r="DR104" s="35"/>
      <c r="DS104" s="35"/>
      <c r="DT104" s="84"/>
      <c r="DU104" s="35"/>
      <c r="DV104" s="35"/>
      <c r="DW104" s="35"/>
      <c r="DX104" s="35"/>
      <c r="DY104" s="35"/>
      <c r="DZ104" s="84"/>
      <c r="EA104" s="35"/>
      <c r="EB104" s="35"/>
      <c r="EC104" s="35"/>
      <c r="ED104" s="35"/>
      <c r="EE104" s="35"/>
      <c r="EF104" s="84"/>
      <c r="EG104" s="35"/>
      <c r="EH104" s="55" t="s">
        <v>187</v>
      </c>
      <c r="EI104" s="55" t="s">
        <v>30</v>
      </c>
      <c r="EJ104" s="55" t="s">
        <v>31</v>
      </c>
      <c r="EK104" s="55" t="s">
        <v>32</v>
      </c>
      <c r="EL104" s="56" t="s">
        <v>188</v>
      </c>
      <c r="EM104" s="55"/>
      <c r="EN104" s="56" t="s">
        <v>189</v>
      </c>
      <c r="EO104" s="56" t="s">
        <v>190</v>
      </c>
      <c r="EP104" s="56" t="s">
        <v>191</v>
      </c>
      <c r="EQ104" s="57" t="s">
        <v>192</v>
      </c>
      <c r="ER104" s="57" t="s">
        <v>193</v>
      </c>
      <c r="ES104" s="57"/>
      <c r="ET104" s="35"/>
      <c r="EU104" s="57" t="s">
        <v>194</v>
      </c>
      <c r="EV104" s="57" t="s">
        <v>195</v>
      </c>
      <c r="EW104" s="58" t="s">
        <v>196</v>
      </c>
      <c r="EX104" s="58" t="s">
        <v>197</v>
      </c>
      <c r="EY104" s="58"/>
      <c r="EZ104" s="58" t="s">
        <v>198</v>
      </c>
      <c r="FA104" s="58" t="s">
        <v>199</v>
      </c>
      <c r="FB104" s="42" t="s">
        <v>33</v>
      </c>
      <c r="FC104" s="42" t="s">
        <v>34</v>
      </c>
      <c r="FD104" s="42" t="s">
        <v>35</v>
      </c>
      <c r="FE104" s="42"/>
      <c r="FF104" s="42" t="s">
        <v>36</v>
      </c>
      <c r="FG104" s="59" t="s">
        <v>200</v>
      </c>
      <c r="FH104" s="59" t="s">
        <v>201</v>
      </c>
      <c r="FI104" s="59" t="s">
        <v>202</v>
      </c>
      <c r="FJ104" s="59" t="s">
        <v>203</v>
      </c>
      <c r="FK104" s="59"/>
      <c r="FL104" s="35"/>
      <c r="FM104" s="35"/>
      <c r="FN104" s="35"/>
      <c r="FO104" s="35"/>
      <c r="FP104" s="35"/>
      <c r="FQ104" s="35"/>
      <c r="FR104" s="35"/>
      <c r="FS104" s="35"/>
      <c r="FT104" s="35"/>
      <c r="FU104" s="35"/>
      <c r="FV104" s="35"/>
      <c r="FW104" s="35"/>
      <c r="FX104" s="35"/>
      <c r="FY104" s="35"/>
      <c r="FZ104" s="35"/>
      <c r="GA104" s="35"/>
      <c r="GB104" s="35"/>
      <c r="GC104" s="35"/>
      <c r="GD104" s="35"/>
      <c r="GE104" s="35"/>
      <c r="GF104" s="35"/>
      <c r="GG104" s="35"/>
      <c r="GH104" s="35"/>
      <c r="GI104" s="35"/>
      <c r="GJ104" s="35"/>
      <c r="GK104" s="35"/>
      <c r="GL104" s="35"/>
      <c r="GM104" s="35"/>
      <c r="GN104" s="35"/>
      <c r="GO104" s="35"/>
      <c r="GP104" s="35"/>
      <c r="GQ104" s="35"/>
      <c r="GR104" s="35"/>
      <c r="GS104" s="35"/>
      <c r="GT104" s="35"/>
      <c r="GU104" s="35"/>
      <c r="GV104" s="35"/>
      <c r="GW104" s="35"/>
      <c r="GX104" s="35"/>
      <c r="GY104" s="35"/>
      <c r="GZ104" s="35"/>
      <c r="HA104" s="84"/>
      <c r="HB104" s="84"/>
      <c r="HC104" s="84"/>
      <c r="HD104" s="84"/>
      <c r="HE104" s="84"/>
      <c r="HF104" s="84"/>
      <c r="HG104" s="84"/>
      <c r="HH104" s="84"/>
      <c r="HI104" s="84"/>
      <c r="HJ104" s="84"/>
      <c r="HK104" s="84"/>
      <c r="HL104" s="84"/>
      <c r="HM104" s="84"/>
      <c r="HN104" s="84"/>
      <c r="HO104" s="84"/>
      <c r="HP104" s="84"/>
      <c r="HQ104" s="84"/>
      <c r="HR104" s="84"/>
      <c r="HS104" s="84"/>
      <c r="HT104" s="84"/>
      <c r="HU104" s="84"/>
      <c r="HV104" s="84"/>
      <c r="HW104" s="84"/>
      <c r="HX104" s="84"/>
      <c r="HY104" s="84"/>
      <c r="HZ104" s="84"/>
      <c r="IA104" s="84"/>
      <c r="IB104" s="84"/>
      <c r="IC104" s="84"/>
      <c r="ID104" s="84"/>
      <c r="IE104" s="84"/>
      <c r="IF104" s="84"/>
      <c r="IG104" s="84"/>
      <c r="IH104" s="84"/>
      <c r="II104" s="84"/>
      <c r="IJ104" s="84"/>
      <c r="IK104" s="84"/>
      <c r="IL104" s="84"/>
      <c r="IM104" s="84"/>
      <c r="IN104" s="84"/>
      <c r="IO104" s="84"/>
      <c r="IP104" s="84"/>
      <c r="IQ104" s="84"/>
      <c r="IR104" s="84"/>
      <c r="IS104" s="84"/>
      <c r="IT104" s="84"/>
      <c r="IU104" s="84"/>
      <c r="IV104" s="84"/>
      <c r="IW104" s="84"/>
    </row>
    <row r="105" spans="2:257" s="28" customFormat="1" ht="14.4">
      <c r="B105" s="30">
        <f t="shared" si="255"/>
        <v>5.0999999999999979</v>
      </c>
      <c r="C105" s="38" t="s">
        <v>86</v>
      </c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  <c r="BR105" s="84"/>
      <c r="BS105" s="84"/>
      <c r="BT105" s="84"/>
      <c r="BU105" s="84"/>
      <c r="BV105" s="84"/>
      <c r="BW105" s="84"/>
      <c r="BX105" s="84"/>
      <c r="BY105" s="84"/>
      <c r="BZ105" s="84"/>
      <c r="CA105" s="84"/>
      <c r="CB105" s="84"/>
      <c r="CC105" s="84"/>
      <c r="CD105" s="84"/>
      <c r="CE105" s="84"/>
      <c r="CF105" s="35"/>
      <c r="CG105" s="34"/>
      <c r="CH105" s="34"/>
      <c r="CI105" s="34"/>
      <c r="CJ105" s="34"/>
      <c r="CK105" s="34"/>
      <c r="CL105" s="34"/>
      <c r="CM105" s="34"/>
      <c r="CN105" s="34"/>
      <c r="CO105" s="35"/>
      <c r="CP105" s="35"/>
      <c r="CQ105" s="35"/>
      <c r="CR105" s="84"/>
      <c r="CS105" s="84"/>
      <c r="CT105" s="84"/>
      <c r="CU105" s="84"/>
      <c r="CV105" s="35"/>
      <c r="CW105" s="35"/>
      <c r="CX105" s="35"/>
      <c r="CY105" s="35"/>
      <c r="CZ105" s="35"/>
      <c r="DA105" s="35"/>
      <c r="DB105" s="84"/>
      <c r="DC105" s="35"/>
      <c r="DD105" s="35"/>
      <c r="DE105" s="35"/>
      <c r="DF105" s="35"/>
      <c r="DG105" s="35"/>
      <c r="DH105" s="84"/>
      <c r="DI105" s="35"/>
      <c r="DJ105" s="35"/>
      <c r="DK105" s="35"/>
      <c r="DL105" s="35"/>
      <c r="DM105" s="35"/>
      <c r="DN105" s="84"/>
      <c r="DO105" s="35"/>
      <c r="DP105" s="35"/>
      <c r="DQ105" s="35"/>
      <c r="DR105" s="35"/>
      <c r="DS105" s="35"/>
      <c r="DT105" s="84"/>
      <c r="DU105" s="35"/>
      <c r="DV105" s="35"/>
      <c r="DW105" s="35"/>
      <c r="DX105" s="35"/>
      <c r="DY105" s="35"/>
      <c r="DZ105" s="84"/>
      <c r="EA105" s="35"/>
      <c r="EB105" s="35"/>
      <c r="EC105" s="35"/>
      <c r="ED105" s="35"/>
      <c r="EE105" s="35"/>
      <c r="EF105" s="84"/>
      <c r="EG105" s="35"/>
      <c r="EH105" s="35"/>
      <c r="EI105" s="55" t="s">
        <v>187</v>
      </c>
      <c r="EJ105" s="55" t="s">
        <v>30</v>
      </c>
      <c r="EK105" s="55" t="s">
        <v>31</v>
      </c>
      <c r="EL105" s="55" t="s">
        <v>32</v>
      </c>
      <c r="EM105" s="55"/>
      <c r="EN105" s="56" t="s">
        <v>188</v>
      </c>
      <c r="EO105" s="56" t="s">
        <v>189</v>
      </c>
      <c r="EP105" s="56" t="s">
        <v>190</v>
      </c>
      <c r="EQ105" s="56" t="s">
        <v>191</v>
      </c>
      <c r="ER105" s="57" t="s">
        <v>192</v>
      </c>
      <c r="ES105" s="57"/>
      <c r="ET105" s="35"/>
      <c r="EU105" s="57" t="s">
        <v>193</v>
      </c>
      <c r="EV105" s="57" t="s">
        <v>194</v>
      </c>
      <c r="EW105" s="57" t="s">
        <v>195</v>
      </c>
      <c r="EX105" s="58" t="s">
        <v>196</v>
      </c>
      <c r="EY105" s="58"/>
      <c r="EZ105" s="58" t="s">
        <v>197</v>
      </c>
      <c r="FA105" s="58" t="s">
        <v>198</v>
      </c>
      <c r="FB105" s="58" t="s">
        <v>199</v>
      </c>
      <c r="FC105" s="42" t="s">
        <v>33</v>
      </c>
      <c r="FD105" s="42" t="s">
        <v>34</v>
      </c>
      <c r="FE105" s="42"/>
      <c r="FF105" s="42" t="s">
        <v>35</v>
      </c>
      <c r="FG105" s="42" t="s">
        <v>36</v>
      </c>
      <c r="FH105" s="59" t="s">
        <v>200</v>
      </c>
      <c r="FI105" s="59" t="s">
        <v>201</v>
      </c>
      <c r="FJ105" s="59" t="s">
        <v>202</v>
      </c>
      <c r="FK105" s="59"/>
      <c r="FL105" s="59" t="s">
        <v>203</v>
      </c>
      <c r="FM105" s="35"/>
      <c r="FN105" s="35"/>
      <c r="FO105" s="35"/>
      <c r="FP105" s="35"/>
      <c r="FQ105" s="35"/>
      <c r="FR105" s="35"/>
      <c r="FS105" s="35"/>
      <c r="FT105" s="35"/>
      <c r="FU105" s="35"/>
      <c r="FV105" s="35"/>
      <c r="FW105" s="35"/>
      <c r="FX105" s="35"/>
      <c r="FY105" s="35"/>
      <c r="FZ105" s="35"/>
      <c r="GA105" s="35"/>
      <c r="GB105" s="35"/>
      <c r="GC105" s="35"/>
      <c r="GD105" s="35"/>
      <c r="GE105" s="35"/>
      <c r="GF105" s="35"/>
      <c r="GG105" s="35"/>
      <c r="GH105" s="35"/>
      <c r="GI105" s="35"/>
      <c r="GJ105" s="35"/>
      <c r="GK105" s="35"/>
      <c r="GL105" s="35"/>
      <c r="GM105" s="35"/>
      <c r="GN105" s="35"/>
      <c r="GO105" s="35"/>
      <c r="GP105" s="35"/>
      <c r="GQ105" s="35"/>
      <c r="GR105" s="35"/>
      <c r="GS105" s="35"/>
      <c r="GT105" s="35"/>
      <c r="GU105" s="35"/>
      <c r="GV105" s="35"/>
      <c r="GW105" s="35"/>
      <c r="GX105" s="35"/>
      <c r="GY105" s="35"/>
      <c r="GZ105" s="35"/>
      <c r="HA105" s="84"/>
      <c r="HB105" s="84"/>
      <c r="HC105" s="84"/>
      <c r="HD105" s="84"/>
      <c r="HE105" s="84"/>
      <c r="HF105" s="84"/>
      <c r="HG105" s="84"/>
      <c r="HH105" s="84"/>
      <c r="HI105" s="84"/>
      <c r="HJ105" s="84"/>
      <c r="HK105" s="84"/>
      <c r="HL105" s="84"/>
      <c r="HM105" s="84"/>
      <c r="HN105" s="84"/>
      <c r="HO105" s="84"/>
      <c r="HP105" s="84"/>
      <c r="HQ105" s="84"/>
      <c r="HR105" s="84"/>
      <c r="HS105" s="84"/>
      <c r="HT105" s="84"/>
      <c r="HU105" s="84"/>
      <c r="HV105" s="84"/>
      <c r="HW105" s="84"/>
      <c r="HX105" s="84"/>
      <c r="HY105" s="84"/>
      <c r="HZ105" s="84"/>
      <c r="IA105" s="84"/>
      <c r="IB105" s="84"/>
      <c r="IC105" s="84"/>
      <c r="ID105" s="84"/>
      <c r="IE105" s="84"/>
      <c r="IF105" s="84"/>
      <c r="IG105" s="84"/>
      <c r="IH105" s="84"/>
      <c r="II105" s="84"/>
      <c r="IJ105" s="84"/>
      <c r="IK105" s="84"/>
      <c r="IL105" s="84"/>
      <c r="IM105" s="84"/>
      <c r="IN105" s="84"/>
      <c r="IO105" s="84"/>
      <c r="IP105" s="84"/>
      <c r="IQ105" s="84"/>
      <c r="IR105" s="84"/>
      <c r="IS105" s="84"/>
      <c r="IT105" s="84"/>
      <c r="IU105" s="84"/>
      <c r="IV105" s="84"/>
      <c r="IW105" s="84"/>
    </row>
    <row r="106" spans="2:257" s="28" customFormat="1" ht="14.4">
      <c r="B106" s="30">
        <f t="shared" si="255"/>
        <v>5.1099999999999977</v>
      </c>
      <c r="C106" s="38" t="s">
        <v>87</v>
      </c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  <c r="BM106" s="84"/>
      <c r="BN106" s="84"/>
      <c r="BO106" s="84"/>
      <c r="BP106" s="84"/>
      <c r="BQ106" s="84"/>
      <c r="BR106" s="84"/>
      <c r="BS106" s="84"/>
      <c r="BT106" s="84"/>
      <c r="BU106" s="84"/>
      <c r="BV106" s="84"/>
      <c r="BW106" s="84"/>
      <c r="BX106" s="84"/>
      <c r="BY106" s="84"/>
      <c r="BZ106" s="84"/>
      <c r="CA106" s="84"/>
      <c r="CB106" s="84"/>
      <c r="CC106" s="84"/>
      <c r="CD106" s="84"/>
      <c r="CE106" s="84"/>
      <c r="CF106" s="35"/>
      <c r="CG106" s="34"/>
      <c r="CH106" s="34"/>
      <c r="CI106" s="34"/>
      <c r="CJ106" s="34"/>
      <c r="CK106" s="34"/>
      <c r="CL106" s="34"/>
      <c r="CM106" s="34"/>
      <c r="CN106" s="34"/>
      <c r="CO106" s="35"/>
      <c r="CP106" s="35"/>
      <c r="CQ106" s="35"/>
      <c r="CR106" s="84"/>
      <c r="CS106" s="84"/>
      <c r="CT106" s="84"/>
      <c r="CU106" s="84"/>
      <c r="CV106" s="35"/>
      <c r="CW106" s="35"/>
      <c r="CX106" s="35"/>
      <c r="CY106" s="35"/>
      <c r="CZ106" s="35"/>
      <c r="DA106" s="35"/>
      <c r="DB106" s="84"/>
      <c r="DC106" s="35"/>
      <c r="DD106" s="35"/>
      <c r="DE106" s="35"/>
      <c r="DF106" s="35"/>
      <c r="DG106" s="35"/>
      <c r="DH106" s="84"/>
      <c r="DI106" s="35"/>
      <c r="DJ106" s="35"/>
      <c r="DK106" s="35"/>
      <c r="DL106" s="35"/>
      <c r="DM106" s="35"/>
      <c r="DN106" s="84"/>
      <c r="DO106" s="35"/>
      <c r="DP106" s="35"/>
      <c r="DQ106" s="35"/>
      <c r="DR106" s="35"/>
      <c r="DS106" s="35"/>
      <c r="DT106" s="84"/>
      <c r="DU106" s="35"/>
      <c r="DV106" s="35"/>
      <c r="DW106" s="35"/>
      <c r="DX106" s="35"/>
      <c r="DY106" s="35"/>
      <c r="DZ106" s="84"/>
      <c r="EA106" s="35"/>
      <c r="EB106" s="35"/>
      <c r="EC106" s="35"/>
      <c r="ED106" s="35"/>
      <c r="EE106" s="35"/>
      <c r="EF106" s="84"/>
      <c r="EG106" s="35"/>
      <c r="EH106" s="35"/>
      <c r="EI106" s="35"/>
      <c r="EJ106" s="55" t="s">
        <v>187</v>
      </c>
      <c r="EK106" s="55" t="s">
        <v>30</v>
      </c>
      <c r="EL106" s="55" t="s">
        <v>31</v>
      </c>
      <c r="EM106" s="55"/>
      <c r="EN106" s="55" t="s">
        <v>32</v>
      </c>
      <c r="EO106" s="56" t="s">
        <v>188</v>
      </c>
      <c r="EP106" s="56" t="s">
        <v>189</v>
      </c>
      <c r="EQ106" s="56" t="s">
        <v>190</v>
      </c>
      <c r="ER106" s="56" t="s">
        <v>191</v>
      </c>
      <c r="ES106" s="56"/>
      <c r="ET106" s="35"/>
      <c r="EU106" s="57" t="s">
        <v>192</v>
      </c>
      <c r="EV106" s="57" t="s">
        <v>193</v>
      </c>
      <c r="EW106" s="57" t="s">
        <v>194</v>
      </c>
      <c r="EX106" s="57" t="s">
        <v>195</v>
      </c>
      <c r="EY106" s="57"/>
      <c r="EZ106" s="58" t="s">
        <v>196</v>
      </c>
      <c r="FA106" s="58" t="s">
        <v>197</v>
      </c>
      <c r="FB106" s="58" t="s">
        <v>198</v>
      </c>
      <c r="FC106" s="58" t="s">
        <v>199</v>
      </c>
      <c r="FD106" s="42" t="s">
        <v>33</v>
      </c>
      <c r="FE106" s="42"/>
      <c r="FF106" s="42" t="s">
        <v>34</v>
      </c>
      <c r="FG106" s="42" t="s">
        <v>35</v>
      </c>
      <c r="FH106" s="42" t="s">
        <v>36</v>
      </c>
      <c r="FI106" s="59" t="s">
        <v>200</v>
      </c>
      <c r="FJ106" s="59" t="s">
        <v>201</v>
      </c>
      <c r="FK106" s="59"/>
      <c r="FL106" s="59" t="s">
        <v>202</v>
      </c>
      <c r="FM106" s="59" t="s">
        <v>203</v>
      </c>
      <c r="FN106" s="35"/>
      <c r="FO106" s="35"/>
      <c r="FP106" s="35"/>
      <c r="FQ106" s="35"/>
      <c r="FR106" s="35"/>
      <c r="FS106" s="35"/>
      <c r="FT106" s="35"/>
      <c r="FU106" s="35"/>
      <c r="FV106" s="35"/>
      <c r="FW106" s="35"/>
      <c r="FX106" s="35"/>
      <c r="FY106" s="35"/>
      <c r="FZ106" s="35"/>
      <c r="GA106" s="35"/>
      <c r="GB106" s="35"/>
      <c r="GC106" s="35"/>
      <c r="GD106" s="35"/>
      <c r="GE106" s="35"/>
      <c r="GF106" s="35"/>
      <c r="GG106" s="35"/>
      <c r="GH106" s="35"/>
      <c r="GI106" s="35"/>
      <c r="GJ106" s="35"/>
      <c r="GK106" s="35"/>
      <c r="GL106" s="35"/>
      <c r="GM106" s="35"/>
      <c r="GN106" s="35"/>
      <c r="GO106" s="35"/>
      <c r="GP106" s="35"/>
      <c r="GQ106" s="35"/>
      <c r="GR106" s="35"/>
      <c r="GS106" s="35"/>
      <c r="GT106" s="35"/>
      <c r="GU106" s="35"/>
      <c r="GV106" s="35"/>
      <c r="GW106" s="35"/>
      <c r="GX106" s="35"/>
      <c r="GY106" s="35"/>
      <c r="GZ106" s="35"/>
      <c r="HA106" s="84"/>
      <c r="HB106" s="84"/>
      <c r="HC106" s="84"/>
      <c r="HD106" s="84"/>
      <c r="HE106" s="84"/>
      <c r="HF106" s="84"/>
      <c r="HG106" s="84"/>
      <c r="HH106" s="84"/>
      <c r="HI106" s="84"/>
      <c r="HJ106" s="84"/>
      <c r="HK106" s="84"/>
      <c r="HL106" s="84"/>
      <c r="HM106" s="84"/>
      <c r="HN106" s="84"/>
      <c r="HO106" s="84"/>
      <c r="HP106" s="84"/>
      <c r="HQ106" s="84"/>
      <c r="HR106" s="84"/>
      <c r="HS106" s="84"/>
      <c r="HT106" s="84"/>
      <c r="HU106" s="84"/>
      <c r="HV106" s="84"/>
      <c r="HW106" s="84"/>
      <c r="HX106" s="84"/>
      <c r="HY106" s="84"/>
      <c r="HZ106" s="84"/>
      <c r="IA106" s="84"/>
      <c r="IB106" s="84"/>
      <c r="IC106" s="84"/>
      <c r="ID106" s="84"/>
      <c r="IE106" s="84"/>
      <c r="IF106" s="84"/>
      <c r="IG106" s="84"/>
      <c r="IH106" s="84"/>
      <c r="II106" s="84"/>
      <c r="IJ106" s="84"/>
      <c r="IK106" s="84"/>
      <c r="IL106" s="84"/>
      <c r="IM106" s="84"/>
      <c r="IN106" s="84"/>
      <c r="IO106" s="84"/>
      <c r="IP106" s="84"/>
      <c r="IQ106" s="84"/>
      <c r="IR106" s="84"/>
      <c r="IS106" s="84"/>
      <c r="IT106" s="84"/>
      <c r="IU106" s="84"/>
      <c r="IV106" s="84"/>
      <c r="IW106" s="84"/>
    </row>
    <row r="107" spans="2:257" s="28" customFormat="1" ht="14.4">
      <c r="B107" s="30">
        <f t="shared" si="255"/>
        <v>5.1199999999999974</v>
      </c>
      <c r="C107" s="38" t="s">
        <v>88</v>
      </c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  <c r="BN107" s="84"/>
      <c r="BO107" s="84"/>
      <c r="BP107" s="84"/>
      <c r="BQ107" s="84"/>
      <c r="BR107" s="84"/>
      <c r="BS107" s="84"/>
      <c r="BT107" s="84"/>
      <c r="BU107" s="84"/>
      <c r="BV107" s="84"/>
      <c r="BW107" s="84"/>
      <c r="BX107" s="84"/>
      <c r="BY107" s="84"/>
      <c r="BZ107" s="84"/>
      <c r="CA107" s="84"/>
      <c r="CB107" s="84"/>
      <c r="CC107" s="84"/>
      <c r="CD107" s="84"/>
      <c r="CE107" s="84"/>
      <c r="CF107" s="35"/>
      <c r="CG107" s="34"/>
      <c r="CH107" s="34"/>
      <c r="CI107" s="34"/>
      <c r="CJ107" s="34"/>
      <c r="CK107" s="34"/>
      <c r="CL107" s="34"/>
      <c r="CM107" s="34"/>
      <c r="CN107" s="34"/>
      <c r="CO107" s="35"/>
      <c r="CP107" s="35"/>
      <c r="CQ107" s="35"/>
      <c r="CR107" s="84"/>
      <c r="CS107" s="84"/>
      <c r="CT107" s="84"/>
      <c r="CU107" s="84"/>
      <c r="CV107" s="35"/>
      <c r="CW107" s="35"/>
      <c r="CX107" s="35"/>
      <c r="CY107" s="35"/>
      <c r="CZ107" s="35"/>
      <c r="DA107" s="35"/>
      <c r="DB107" s="84"/>
      <c r="DC107" s="35"/>
      <c r="DD107" s="35"/>
      <c r="DE107" s="35"/>
      <c r="DF107" s="35"/>
      <c r="DG107" s="35"/>
      <c r="DH107" s="84"/>
      <c r="DI107" s="35"/>
      <c r="DJ107" s="35"/>
      <c r="DK107" s="35"/>
      <c r="DL107" s="35"/>
      <c r="DM107" s="35"/>
      <c r="DN107" s="84"/>
      <c r="DO107" s="35"/>
      <c r="DP107" s="35"/>
      <c r="DQ107" s="35"/>
      <c r="DR107" s="35"/>
      <c r="DS107" s="35"/>
      <c r="DT107" s="84"/>
      <c r="DU107" s="35"/>
      <c r="DV107" s="35"/>
      <c r="DW107" s="35"/>
      <c r="DX107" s="35"/>
      <c r="DY107" s="35"/>
      <c r="DZ107" s="84"/>
      <c r="EA107" s="35"/>
      <c r="EB107" s="35"/>
      <c r="EC107" s="35"/>
      <c r="ED107" s="35"/>
      <c r="EE107" s="35"/>
      <c r="EF107" s="84"/>
      <c r="EG107" s="35"/>
      <c r="EH107" s="35"/>
      <c r="EI107" s="35"/>
      <c r="EJ107" s="35"/>
      <c r="EK107" s="55" t="s">
        <v>187</v>
      </c>
      <c r="EL107" s="55" t="s">
        <v>30</v>
      </c>
      <c r="EM107" s="55"/>
      <c r="EN107" s="55" t="s">
        <v>31</v>
      </c>
      <c r="EO107" s="55" t="s">
        <v>32</v>
      </c>
      <c r="EP107" s="56" t="s">
        <v>188</v>
      </c>
      <c r="EQ107" s="56" t="s">
        <v>189</v>
      </c>
      <c r="ER107" s="56" t="s">
        <v>190</v>
      </c>
      <c r="ES107" s="56"/>
      <c r="ET107" s="35"/>
      <c r="EU107" s="56" t="s">
        <v>191</v>
      </c>
      <c r="EV107" s="57" t="s">
        <v>192</v>
      </c>
      <c r="EW107" s="57" t="s">
        <v>193</v>
      </c>
      <c r="EX107" s="57" t="s">
        <v>194</v>
      </c>
      <c r="EY107" s="57"/>
      <c r="EZ107" s="57" t="s">
        <v>195</v>
      </c>
      <c r="FA107" s="58" t="s">
        <v>196</v>
      </c>
      <c r="FB107" s="58" t="s">
        <v>197</v>
      </c>
      <c r="FC107" s="58" t="s">
        <v>198</v>
      </c>
      <c r="FD107" s="58" t="s">
        <v>199</v>
      </c>
      <c r="FE107" s="58"/>
      <c r="FF107" s="42" t="s">
        <v>33</v>
      </c>
      <c r="FG107" s="42" t="s">
        <v>34</v>
      </c>
      <c r="FH107" s="42" t="s">
        <v>35</v>
      </c>
      <c r="FI107" s="42" t="s">
        <v>36</v>
      </c>
      <c r="FJ107" s="59" t="s">
        <v>200</v>
      </c>
      <c r="FK107" s="59"/>
      <c r="FL107" s="59" t="s">
        <v>201</v>
      </c>
      <c r="FM107" s="59" t="s">
        <v>202</v>
      </c>
      <c r="FN107" s="59" t="s">
        <v>203</v>
      </c>
      <c r="FO107" s="35"/>
      <c r="FP107" s="35"/>
      <c r="FQ107" s="35"/>
      <c r="FR107" s="35"/>
      <c r="FS107" s="35"/>
      <c r="FT107" s="35"/>
      <c r="FU107" s="35"/>
      <c r="FV107" s="35"/>
      <c r="FW107" s="35"/>
      <c r="FX107" s="35"/>
      <c r="FY107" s="35"/>
      <c r="FZ107" s="35"/>
      <c r="GA107" s="35"/>
      <c r="GB107" s="35"/>
      <c r="GC107" s="35"/>
      <c r="GD107" s="35"/>
      <c r="GE107" s="35"/>
      <c r="GF107" s="35"/>
      <c r="GG107" s="35"/>
      <c r="GH107" s="35"/>
      <c r="GI107" s="35"/>
      <c r="GJ107" s="35"/>
      <c r="GK107" s="35"/>
      <c r="GL107" s="35"/>
      <c r="GM107" s="35"/>
      <c r="GN107" s="35"/>
      <c r="GO107" s="35"/>
      <c r="GP107" s="35"/>
      <c r="GQ107" s="35"/>
      <c r="GR107" s="35"/>
      <c r="GS107" s="35"/>
      <c r="GT107" s="35"/>
      <c r="GU107" s="35"/>
      <c r="GV107" s="35"/>
      <c r="GW107" s="35"/>
      <c r="GX107" s="35"/>
      <c r="GY107" s="35"/>
      <c r="GZ107" s="35"/>
      <c r="HA107" s="84"/>
      <c r="HB107" s="84"/>
      <c r="HC107" s="84"/>
      <c r="HD107" s="84"/>
      <c r="HE107" s="84"/>
      <c r="HF107" s="84"/>
      <c r="HG107" s="84"/>
      <c r="HH107" s="84"/>
      <c r="HI107" s="84"/>
      <c r="HJ107" s="84"/>
      <c r="HK107" s="84"/>
      <c r="HL107" s="84"/>
      <c r="HM107" s="84"/>
      <c r="HN107" s="84"/>
      <c r="HO107" s="84"/>
      <c r="HP107" s="84"/>
      <c r="HQ107" s="84"/>
      <c r="HR107" s="84"/>
      <c r="HS107" s="84"/>
      <c r="HT107" s="84"/>
      <c r="HU107" s="84"/>
      <c r="HV107" s="84"/>
      <c r="HW107" s="84"/>
      <c r="HX107" s="84"/>
      <c r="HY107" s="84"/>
      <c r="HZ107" s="84"/>
      <c r="IA107" s="84"/>
      <c r="IB107" s="84"/>
      <c r="IC107" s="84"/>
      <c r="ID107" s="84"/>
      <c r="IE107" s="84"/>
      <c r="IF107" s="84"/>
      <c r="IG107" s="84"/>
      <c r="IH107" s="84"/>
      <c r="II107" s="84"/>
      <c r="IJ107" s="84"/>
      <c r="IK107" s="84"/>
      <c r="IL107" s="84"/>
      <c r="IM107" s="84"/>
      <c r="IN107" s="84"/>
      <c r="IO107" s="84"/>
      <c r="IP107" s="84"/>
      <c r="IQ107" s="84"/>
      <c r="IR107" s="84"/>
      <c r="IS107" s="84"/>
      <c r="IT107" s="84"/>
      <c r="IU107" s="84"/>
      <c r="IV107" s="84"/>
      <c r="IW107" s="84"/>
    </row>
    <row r="108" spans="2:257" s="28" customFormat="1" ht="14.4">
      <c r="B108" s="30">
        <f t="shared" si="255"/>
        <v>5.1299999999999972</v>
      </c>
      <c r="C108" s="38" t="s">
        <v>89</v>
      </c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  <c r="BN108" s="84"/>
      <c r="BO108" s="84"/>
      <c r="BP108" s="84"/>
      <c r="BQ108" s="84"/>
      <c r="BR108" s="84"/>
      <c r="BS108" s="84"/>
      <c r="BT108" s="84"/>
      <c r="BU108" s="84"/>
      <c r="BV108" s="84"/>
      <c r="BW108" s="84"/>
      <c r="BX108" s="84"/>
      <c r="BY108" s="84"/>
      <c r="BZ108" s="84"/>
      <c r="CA108" s="84"/>
      <c r="CB108" s="84"/>
      <c r="CC108" s="84"/>
      <c r="CD108" s="84"/>
      <c r="CE108" s="84"/>
      <c r="CF108" s="35"/>
      <c r="CG108" s="34"/>
      <c r="CH108" s="34"/>
      <c r="CI108" s="34"/>
      <c r="CJ108" s="34"/>
      <c r="CK108" s="34"/>
      <c r="CL108" s="34"/>
      <c r="CM108" s="34"/>
      <c r="CN108" s="34"/>
      <c r="CO108" s="35"/>
      <c r="CP108" s="35"/>
      <c r="CQ108" s="35"/>
      <c r="CR108" s="84"/>
      <c r="CS108" s="84"/>
      <c r="CT108" s="84"/>
      <c r="CU108" s="84"/>
      <c r="CV108" s="35"/>
      <c r="CW108" s="84"/>
      <c r="CX108" s="35"/>
      <c r="CY108" s="35"/>
      <c r="CZ108" s="35"/>
      <c r="DA108" s="35"/>
      <c r="DB108" s="35"/>
      <c r="DC108" s="84"/>
      <c r="DD108" s="35"/>
      <c r="DE108" s="35"/>
      <c r="DF108" s="35"/>
      <c r="DG108" s="35"/>
      <c r="DH108" s="35"/>
      <c r="DI108" s="84"/>
      <c r="DJ108" s="35"/>
      <c r="DK108" s="35"/>
      <c r="DL108" s="35"/>
      <c r="DM108" s="35"/>
      <c r="DN108" s="35"/>
      <c r="DO108" s="84"/>
      <c r="DP108" s="35"/>
      <c r="DQ108" s="35"/>
      <c r="DR108" s="35"/>
      <c r="DS108" s="35"/>
      <c r="DT108" s="35"/>
      <c r="DU108" s="84"/>
      <c r="DV108" s="35"/>
      <c r="DW108" s="35"/>
      <c r="DX108" s="35"/>
      <c r="DY108" s="35"/>
      <c r="DZ108" s="35"/>
      <c r="EA108" s="84"/>
      <c r="EB108" s="35"/>
      <c r="EC108" s="35"/>
      <c r="ED108" s="35"/>
      <c r="EE108" s="35"/>
      <c r="EF108" s="35"/>
      <c r="EG108" s="84"/>
      <c r="EH108" s="35"/>
      <c r="EI108" s="35"/>
      <c r="EJ108" s="35"/>
      <c r="EK108" s="35"/>
      <c r="EL108" s="55" t="s">
        <v>187</v>
      </c>
      <c r="EM108" s="84"/>
      <c r="EN108" s="55" t="s">
        <v>30</v>
      </c>
      <c r="EO108" s="55" t="s">
        <v>31</v>
      </c>
      <c r="EP108" s="55" t="s">
        <v>32</v>
      </c>
      <c r="EQ108" s="56" t="s">
        <v>188</v>
      </c>
      <c r="ER108" s="56" t="s">
        <v>189</v>
      </c>
      <c r="ES108" s="56"/>
      <c r="ET108" s="35"/>
      <c r="EU108" s="56" t="s">
        <v>190</v>
      </c>
      <c r="EV108" s="56" t="s">
        <v>191</v>
      </c>
      <c r="EW108" s="57" t="s">
        <v>192</v>
      </c>
      <c r="EX108" s="57" t="s">
        <v>193</v>
      </c>
      <c r="EY108" s="57"/>
      <c r="EZ108" s="57" t="s">
        <v>194</v>
      </c>
      <c r="FA108" s="57" t="s">
        <v>195</v>
      </c>
      <c r="FB108" s="58" t="s">
        <v>196</v>
      </c>
      <c r="FC108" s="58" t="s">
        <v>197</v>
      </c>
      <c r="FD108" s="58" t="s">
        <v>198</v>
      </c>
      <c r="FE108" s="58"/>
      <c r="FF108" s="58" t="s">
        <v>199</v>
      </c>
      <c r="FG108" s="42" t="s">
        <v>33</v>
      </c>
      <c r="FH108" s="42" t="s">
        <v>34</v>
      </c>
      <c r="FI108" s="42" t="s">
        <v>35</v>
      </c>
      <c r="FJ108" s="42" t="s">
        <v>36</v>
      </c>
      <c r="FK108" s="42"/>
      <c r="FL108" s="59" t="s">
        <v>200</v>
      </c>
      <c r="FM108" s="59" t="s">
        <v>201</v>
      </c>
      <c r="FN108" s="59" t="s">
        <v>202</v>
      </c>
      <c r="FO108" s="59" t="s">
        <v>203</v>
      </c>
      <c r="FP108" s="59"/>
      <c r="FQ108" s="35"/>
      <c r="FR108" s="35"/>
      <c r="FS108" s="35"/>
      <c r="FT108" s="35"/>
      <c r="FU108" s="35"/>
      <c r="FV108" s="35"/>
      <c r="FW108" s="35"/>
      <c r="FX108" s="35"/>
      <c r="FY108" s="35"/>
      <c r="FZ108" s="35"/>
      <c r="GA108" s="35"/>
      <c r="GB108" s="35"/>
      <c r="GC108" s="35"/>
      <c r="GD108" s="35"/>
      <c r="GE108" s="35"/>
      <c r="GF108" s="35"/>
      <c r="GG108" s="35"/>
      <c r="GH108" s="35"/>
      <c r="GI108" s="35"/>
      <c r="GJ108" s="35"/>
      <c r="GK108" s="35"/>
      <c r="GL108" s="35"/>
      <c r="GM108" s="35"/>
      <c r="GN108" s="35"/>
      <c r="GO108" s="35"/>
      <c r="GP108" s="35"/>
      <c r="GQ108" s="35"/>
      <c r="GR108" s="35"/>
      <c r="GS108" s="35"/>
      <c r="GT108" s="35"/>
      <c r="GU108" s="35"/>
      <c r="GV108" s="35"/>
      <c r="GW108" s="35"/>
      <c r="GX108" s="35"/>
      <c r="GY108" s="35"/>
      <c r="GZ108" s="35"/>
      <c r="HA108" s="84"/>
      <c r="HB108" s="84"/>
      <c r="HC108" s="84"/>
      <c r="HD108" s="84"/>
      <c r="HE108" s="84"/>
      <c r="HF108" s="84"/>
      <c r="HG108" s="84"/>
      <c r="HH108" s="84"/>
      <c r="HI108" s="84"/>
      <c r="HJ108" s="84"/>
      <c r="HK108" s="84"/>
      <c r="HL108" s="84"/>
      <c r="HM108" s="84"/>
      <c r="HN108" s="84"/>
      <c r="HO108" s="84"/>
      <c r="HP108" s="84"/>
      <c r="HQ108" s="84"/>
      <c r="HR108" s="84"/>
      <c r="HS108" s="84"/>
      <c r="HT108" s="84"/>
      <c r="HU108" s="84"/>
      <c r="HV108" s="84"/>
      <c r="HW108" s="84"/>
      <c r="HX108" s="84"/>
      <c r="HY108" s="84"/>
      <c r="HZ108" s="84"/>
      <c r="IA108" s="84"/>
      <c r="IB108" s="84"/>
      <c r="IC108" s="84"/>
      <c r="ID108" s="84"/>
      <c r="IE108" s="84"/>
      <c r="IF108" s="84"/>
      <c r="IG108" s="84"/>
      <c r="IH108" s="84"/>
      <c r="II108" s="84"/>
      <c r="IJ108" s="84"/>
      <c r="IK108" s="84"/>
      <c r="IL108" s="84"/>
      <c r="IM108" s="84"/>
      <c r="IN108" s="84"/>
      <c r="IO108" s="84"/>
      <c r="IP108" s="84"/>
      <c r="IQ108" s="84"/>
      <c r="IR108" s="84"/>
      <c r="IS108" s="84"/>
      <c r="IT108" s="84"/>
      <c r="IU108" s="84"/>
      <c r="IV108" s="84"/>
      <c r="IW108" s="84"/>
    </row>
    <row r="109" spans="2:257" s="28" customFormat="1" ht="14.4">
      <c r="B109" s="30">
        <f t="shared" si="255"/>
        <v>5.139999999999997</v>
      </c>
      <c r="C109" s="38" t="s">
        <v>90</v>
      </c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  <c r="BM109" s="84"/>
      <c r="BN109" s="84"/>
      <c r="BO109" s="84"/>
      <c r="BP109" s="84"/>
      <c r="BQ109" s="84"/>
      <c r="BR109" s="84"/>
      <c r="BS109" s="84"/>
      <c r="BT109" s="84"/>
      <c r="BU109" s="84"/>
      <c r="BV109" s="84"/>
      <c r="BW109" s="84"/>
      <c r="BX109" s="84"/>
      <c r="BY109" s="84"/>
      <c r="BZ109" s="84"/>
      <c r="CA109" s="84"/>
      <c r="CB109" s="84"/>
      <c r="CC109" s="84"/>
      <c r="CD109" s="84"/>
      <c r="CE109" s="84"/>
      <c r="CF109" s="35"/>
      <c r="CG109" s="34"/>
      <c r="CH109" s="34"/>
      <c r="CI109" s="34"/>
      <c r="CJ109" s="34"/>
      <c r="CK109" s="34"/>
      <c r="CL109" s="34"/>
      <c r="CM109" s="34"/>
      <c r="CN109" s="34"/>
      <c r="CO109" s="35"/>
      <c r="CP109" s="35"/>
      <c r="CQ109" s="35"/>
      <c r="CR109" s="84"/>
      <c r="CS109" s="84"/>
      <c r="CT109" s="84"/>
      <c r="CU109" s="84"/>
      <c r="CV109" s="35"/>
      <c r="CW109" s="84"/>
      <c r="CX109" s="35"/>
      <c r="CY109" s="35"/>
      <c r="CZ109" s="35"/>
      <c r="DA109" s="35"/>
      <c r="DB109" s="35"/>
      <c r="DC109" s="84"/>
      <c r="DD109" s="35"/>
      <c r="DE109" s="35"/>
      <c r="DF109" s="35"/>
      <c r="DG109" s="35"/>
      <c r="DH109" s="35"/>
      <c r="DI109" s="84"/>
      <c r="DJ109" s="35"/>
      <c r="DK109" s="35"/>
      <c r="DL109" s="35"/>
      <c r="DM109" s="35"/>
      <c r="DN109" s="35"/>
      <c r="DO109" s="84"/>
      <c r="DP109" s="35"/>
      <c r="DQ109" s="35"/>
      <c r="DR109" s="35"/>
      <c r="DS109" s="35"/>
      <c r="DT109" s="35"/>
      <c r="DU109" s="84"/>
      <c r="DV109" s="35"/>
      <c r="DW109" s="35"/>
      <c r="DX109" s="35"/>
      <c r="DY109" s="35"/>
      <c r="DZ109" s="35"/>
      <c r="EA109" s="84"/>
      <c r="EB109" s="35"/>
      <c r="EC109" s="35"/>
      <c r="ED109" s="35"/>
      <c r="EE109" s="35"/>
      <c r="EF109" s="35"/>
      <c r="EG109" s="84"/>
      <c r="EH109" s="35"/>
      <c r="EI109" s="35"/>
      <c r="EJ109" s="35"/>
      <c r="EK109" s="35"/>
      <c r="EL109" s="35"/>
      <c r="EM109" s="84"/>
      <c r="EN109" s="55" t="s">
        <v>187</v>
      </c>
      <c r="EO109" s="55" t="s">
        <v>30</v>
      </c>
      <c r="EP109" s="55" t="s">
        <v>31</v>
      </c>
      <c r="EQ109" s="55" t="s">
        <v>32</v>
      </c>
      <c r="ER109" s="56" t="s">
        <v>188</v>
      </c>
      <c r="ES109" s="56"/>
      <c r="ET109" s="35"/>
      <c r="EU109" s="56" t="s">
        <v>189</v>
      </c>
      <c r="EV109" s="56" t="s">
        <v>190</v>
      </c>
      <c r="EW109" s="56" t="s">
        <v>191</v>
      </c>
      <c r="EX109" s="57" t="s">
        <v>192</v>
      </c>
      <c r="EY109" s="57"/>
      <c r="EZ109" s="57" t="s">
        <v>193</v>
      </c>
      <c r="FA109" s="57" t="s">
        <v>194</v>
      </c>
      <c r="FB109" s="57" t="s">
        <v>195</v>
      </c>
      <c r="FC109" s="58" t="s">
        <v>196</v>
      </c>
      <c r="FD109" s="58" t="s">
        <v>197</v>
      </c>
      <c r="FE109" s="58"/>
      <c r="FF109" s="58" t="s">
        <v>198</v>
      </c>
      <c r="FG109" s="58" t="s">
        <v>199</v>
      </c>
      <c r="FH109" s="42" t="s">
        <v>33</v>
      </c>
      <c r="FI109" s="42" t="s">
        <v>34</v>
      </c>
      <c r="FJ109" s="42" t="s">
        <v>35</v>
      </c>
      <c r="FK109" s="42"/>
      <c r="FL109" s="42" t="s">
        <v>36</v>
      </c>
      <c r="FM109" s="59" t="s">
        <v>200</v>
      </c>
      <c r="FN109" s="59" t="s">
        <v>201</v>
      </c>
      <c r="FO109" s="59" t="s">
        <v>202</v>
      </c>
      <c r="FP109" s="59" t="s">
        <v>203</v>
      </c>
      <c r="FQ109" s="59"/>
      <c r="FR109" s="35"/>
      <c r="FS109" s="35"/>
      <c r="FT109" s="35"/>
      <c r="FU109" s="35"/>
      <c r="FV109" s="35"/>
      <c r="FW109" s="35"/>
      <c r="FX109" s="35"/>
      <c r="FY109" s="35"/>
      <c r="FZ109" s="35"/>
      <c r="GA109" s="35"/>
      <c r="GB109" s="35"/>
      <c r="GC109" s="35"/>
      <c r="GD109" s="35"/>
      <c r="GE109" s="35"/>
      <c r="GF109" s="35"/>
      <c r="GG109" s="35"/>
      <c r="GH109" s="35"/>
      <c r="GI109" s="35"/>
      <c r="GJ109" s="35"/>
      <c r="GK109" s="35"/>
      <c r="GL109" s="35"/>
      <c r="GM109" s="35"/>
      <c r="GN109" s="35"/>
      <c r="GO109" s="35"/>
      <c r="GP109" s="35"/>
      <c r="GQ109" s="35"/>
      <c r="GR109" s="35"/>
      <c r="GS109" s="35"/>
      <c r="GT109" s="35"/>
      <c r="GU109" s="35"/>
      <c r="GV109" s="35"/>
      <c r="GW109" s="35"/>
      <c r="GX109" s="35"/>
      <c r="GY109" s="35"/>
      <c r="GZ109" s="35"/>
      <c r="HA109" s="35"/>
      <c r="HB109" s="84"/>
      <c r="HC109" s="84"/>
      <c r="HD109" s="84"/>
      <c r="HE109" s="84"/>
      <c r="HF109" s="84"/>
      <c r="HG109" s="84"/>
      <c r="HH109" s="84"/>
      <c r="HI109" s="84"/>
      <c r="HJ109" s="84"/>
      <c r="HK109" s="84"/>
      <c r="HL109" s="84"/>
      <c r="HM109" s="84"/>
      <c r="HN109" s="84"/>
      <c r="HO109" s="84"/>
      <c r="HP109" s="84"/>
      <c r="HQ109" s="84"/>
      <c r="HR109" s="84"/>
      <c r="HS109" s="84"/>
      <c r="HT109" s="84"/>
      <c r="HU109" s="84"/>
      <c r="HV109" s="84"/>
      <c r="HW109" s="84"/>
      <c r="HX109" s="84"/>
      <c r="HY109" s="84"/>
      <c r="HZ109" s="84"/>
      <c r="IA109" s="84"/>
      <c r="IB109" s="84"/>
      <c r="IC109" s="84"/>
      <c r="ID109" s="84"/>
      <c r="IE109" s="84"/>
      <c r="IF109" s="84"/>
      <c r="IG109" s="84"/>
      <c r="IH109" s="84"/>
      <c r="II109" s="84"/>
      <c r="IJ109" s="84"/>
      <c r="IK109" s="84"/>
      <c r="IL109" s="84"/>
      <c r="IM109" s="84"/>
      <c r="IN109" s="84"/>
      <c r="IO109" s="84"/>
      <c r="IP109" s="84"/>
      <c r="IQ109" s="84"/>
      <c r="IR109" s="84"/>
      <c r="IS109" s="84"/>
      <c r="IT109" s="84"/>
      <c r="IU109" s="84"/>
      <c r="IV109" s="84"/>
      <c r="IW109" s="84"/>
    </row>
    <row r="110" spans="2:257" s="28" customFormat="1" ht="14.4">
      <c r="B110" s="30">
        <f t="shared" si="255"/>
        <v>5.1499999999999968</v>
      </c>
      <c r="C110" s="38" t="s">
        <v>91</v>
      </c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  <c r="BM110" s="84"/>
      <c r="BN110" s="84"/>
      <c r="BO110" s="84"/>
      <c r="BP110" s="84"/>
      <c r="BQ110" s="84"/>
      <c r="BR110" s="84"/>
      <c r="BS110" s="84"/>
      <c r="BT110" s="84"/>
      <c r="BU110" s="84"/>
      <c r="BV110" s="84"/>
      <c r="BW110" s="84"/>
      <c r="BX110" s="84"/>
      <c r="BY110" s="84"/>
      <c r="BZ110" s="84"/>
      <c r="CA110" s="84"/>
      <c r="CB110" s="84"/>
      <c r="CC110" s="84"/>
      <c r="CD110" s="84"/>
      <c r="CE110" s="84"/>
      <c r="CF110" s="35"/>
      <c r="CG110" s="34"/>
      <c r="CH110" s="34"/>
      <c r="CI110" s="34"/>
      <c r="CJ110" s="34"/>
      <c r="CK110" s="34"/>
      <c r="CL110" s="34"/>
      <c r="CM110" s="34"/>
      <c r="CN110" s="34"/>
      <c r="CO110" s="35"/>
      <c r="CP110" s="35"/>
      <c r="CQ110" s="35"/>
      <c r="CR110" s="84"/>
      <c r="CS110" s="84"/>
      <c r="CT110" s="84"/>
      <c r="CU110" s="84"/>
      <c r="CV110" s="35"/>
      <c r="CW110" s="84"/>
      <c r="CX110" s="35"/>
      <c r="CY110" s="35"/>
      <c r="CZ110" s="35"/>
      <c r="DA110" s="35"/>
      <c r="DB110" s="35"/>
      <c r="DC110" s="84"/>
      <c r="DD110" s="35"/>
      <c r="DE110" s="35"/>
      <c r="DF110" s="35"/>
      <c r="DG110" s="35"/>
      <c r="DH110" s="35"/>
      <c r="DI110" s="84"/>
      <c r="DJ110" s="35"/>
      <c r="DK110" s="35"/>
      <c r="DL110" s="35"/>
      <c r="DM110" s="35"/>
      <c r="DN110" s="35"/>
      <c r="DO110" s="84"/>
      <c r="DP110" s="35"/>
      <c r="DQ110" s="35"/>
      <c r="DR110" s="35"/>
      <c r="DS110" s="35"/>
      <c r="DT110" s="35"/>
      <c r="DU110" s="84"/>
      <c r="DV110" s="35"/>
      <c r="DW110" s="35"/>
      <c r="DX110" s="35"/>
      <c r="DY110" s="35"/>
      <c r="DZ110" s="35"/>
      <c r="EA110" s="84"/>
      <c r="EB110" s="35"/>
      <c r="EC110" s="35"/>
      <c r="ED110" s="35"/>
      <c r="EE110" s="35"/>
      <c r="EF110" s="35"/>
      <c r="EG110" s="84"/>
      <c r="EH110" s="35"/>
      <c r="EI110" s="35"/>
      <c r="EJ110" s="35"/>
      <c r="EK110" s="35"/>
      <c r="EL110" s="35"/>
      <c r="EM110" s="84"/>
      <c r="EN110" s="35"/>
      <c r="EO110" s="55" t="s">
        <v>187</v>
      </c>
      <c r="EP110" s="55" t="s">
        <v>30</v>
      </c>
      <c r="EQ110" s="55" t="s">
        <v>31</v>
      </c>
      <c r="ER110" s="55" t="s">
        <v>32</v>
      </c>
      <c r="ES110" s="55"/>
      <c r="ET110" s="35"/>
      <c r="EU110" s="56" t="s">
        <v>188</v>
      </c>
      <c r="EV110" s="56" t="s">
        <v>189</v>
      </c>
      <c r="EW110" s="56" t="s">
        <v>190</v>
      </c>
      <c r="EX110" s="56" t="s">
        <v>191</v>
      </c>
      <c r="EY110" s="56"/>
      <c r="EZ110" s="57" t="s">
        <v>192</v>
      </c>
      <c r="FA110" s="57" t="s">
        <v>193</v>
      </c>
      <c r="FB110" s="57" t="s">
        <v>194</v>
      </c>
      <c r="FC110" s="57" t="s">
        <v>195</v>
      </c>
      <c r="FD110" s="58" t="s">
        <v>196</v>
      </c>
      <c r="FE110" s="58"/>
      <c r="FF110" s="58" t="s">
        <v>197</v>
      </c>
      <c r="FG110" s="58" t="s">
        <v>198</v>
      </c>
      <c r="FH110" s="58" t="s">
        <v>199</v>
      </c>
      <c r="FI110" s="42" t="s">
        <v>33</v>
      </c>
      <c r="FJ110" s="42" t="s">
        <v>34</v>
      </c>
      <c r="FK110" s="42"/>
      <c r="FL110" s="42" t="s">
        <v>35</v>
      </c>
      <c r="FM110" s="42" t="s">
        <v>36</v>
      </c>
      <c r="FN110" s="59" t="s">
        <v>200</v>
      </c>
      <c r="FO110" s="59" t="s">
        <v>201</v>
      </c>
      <c r="FP110" s="59" t="s">
        <v>202</v>
      </c>
      <c r="FQ110" s="59"/>
      <c r="FR110" s="59" t="s">
        <v>203</v>
      </c>
      <c r="FS110" s="35"/>
      <c r="FT110" s="35"/>
      <c r="FU110" s="35"/>
      <c r="FV110" s="35"/>
      <c r="FW110" s="35"/>
      <c r="FX110" s="35"/>
      <c r="FY110" s="35"/>
      <c r="FZ110" s="35"/>
      <c r="GA110" s="35"/>
      <c r="GB110" s="35"/>
      <c r="GC110" s="35"/>
      <c r="GD110" s="35"/>
      <c r="GE110" s="35"/>
      <c r="GF110" s="35"/>
      <c r="GG110" s="35"/>
      <c r="GH110" s="35"/>
      <c r="GI110" s="35"/>
      <c r="GJ110" s="35"/>
      <c r="GK110" s="35"/>
      <c r="GL110" s="35"/>
      <c r="GM110" s="35"/>
      <c r="GN110" s="35"/>
      <c r="GO110" s="35"/>
      <c r="GP110" s="35"/>
      <c r="GQ110" s="35"/>
      <c r="GR110" s="35"/>
      <c r="GS110" s="35"/>
      <c r="GT110" s="35"/>
      <c r="GU110" s="35"/>
      <c r="GV110" s="35"/>
      <c r="GW110" s="35"/>
      <c r="GX110" s="35"/>
      <c r="GY110" s="35"/>
      <c r="GZ110" s="35"/>
      <c r="HA110" s="35"/>
      <c r="HB110" s="84"/>
      <c r="HC110" s="84"/>
      <c r="HD110" s="84"/>
      <c r="HE110" s="84"/>
      <c r="HF110" s="84"/>
      <c r="HG110" s="84"/>
      <c r="HH110" s="84"/>
      <c r="HI110" s="84"/>
      <c r="HJ110" s="84"/>
      <c r="HK110" s="84"/>
      <c r="HL110" s="84"/>
      <c r="HM110" s="84"/>
      <c r="HN110" s="84"/>
      <c r="HO110" s="84"/>
      <c r="HP110" s="84"/>
      <c r="HQ110" s="84"/>
      <c r="HR110" s="84"/>
      <c r="HS110" s="84"/>
      <c r="HT110" s="84"/>
      <c r="HU110" s="84"/>
      <c r="HV110" s="84"/>
      <c r="HW110" s="84"/>
      <c r="HX110" s="84"/>
      <c r="HY110" s="84"/>
      <c r="HZ110" s="84"/>
      <c r="IA110" s="84"/>
      <c r="IB110" s="84"/>
      <c r="IC110" s="84"/>
      <c r="ID110" s="84"/>
      <c r="IE110" s="84"/>
      <c r="IF110" s="84"/>
      <c r="IG110" s="84"/>
      <c r="IH110" s="84"/>
      <c r="II110" s="84"/>
      <c r="IJ110" s="84"/>
      <c r="IK110" s="84"/>
      <c r="IL110" s="84"/>
      <c r="IM110" s="84"/>
      <c r="IN110" s="84"/>
      <c r="IO110" s="84"/>
      <c r="IP110" s="84"/>
      <c r="IQ110" s="84"/>
      <c r="IR110" s="84"/>
      <c r="IS110" s="84"/>
      <c r="IT110" s="84"/>
      <c r="IU110" s="84"/>
      <c r="IV110" s="84"/>
      <c r="IW110" s="84"/>
    </row>
    <row r="111" spans="2:257" s="27" customFormat="1" ht="14.4">
      <c r="B111" s="30">
        <f t="shared" si="255"/>
        <v>5.1599999999999966</v>
      </c>
      <c r="C111" s="38" t="s">
        <v>92</v>
      </c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83"/>
      <c r="BD111" s="83"/>
      <c r="BE111" s="83"/>
      <c r="BF111" s="83"/>
      <c r="BG111" s="83"/>
      <c r="BH111" s="83"/>
      <c r="BI111" s="83"/>
      <c r="BJ111" s="83"/>
      <c r="BK111" s="83"/>
      <c r="BL111" s="83"/>
      <c r="BM111" s="83"/>
      <c r="BN111" s="83"/>
      <c r="BO111" s="83"/>
      <c r="BP111" s="83"/>
      <c r="BQ111" s="83"/>
      <c r="BR111" s="83"/>
      <c r="BS111" s="83"/>
      <c r="BT111" s="83"/>
      <c r="BU111" s="83"/>
      <c r="BV111" s="83"/>
      <c r="BW111" s="83"/>
      <c r="BX111" s="83"/>
      <c r="BY111" s="83"/>
      <c r="BZ111" s="83"/>
      <c r="CA111" s="83"/>
      <c r="CB111" s="83"/>
      <c r="CC111" s="83"/>
      <c r="CD111" s="83"/>
      <c r="CE111" s="83"/>
      <c r="CF111" s="35"/>
      <c r="CG111" s="34"/>
      <c r="CH111" s="34"/>
      <c r="CI111" s="34"/>
      <c r="CJ111" s="34"/>
      <c r="CK111" s="34"/>
      <c r="CL111" s="34"/>
      <c r="CM111" s="34"/>
      <c r="CN111" s="34"/>
      <c r="CO111" s="35"/>
      <c r="CP111" s="35"/>
      <c r="CQ111" s="35"/>
      <c r="CR111" s="83"/>
      <c r="CS111" s="83"/>
      <c r="CT111" s="83"/>
      <c r="CU111" s="83"/>
      <c r="CV111" s="35"/>
      <c r="CW111" s="83"/>
      <c r="CX111" s="35"/>
      <c r="CY111" s="35"/>
      <c r="CZ111" s="35"/>
      <c r="DA111" s="35"/>
      <c r="DB111" s="35"/>
      <c r="DC111" s="83"/>
      <c r="DD111" s="35"/>
      <c r="DE111" s="35"/>
      <c r="DF111" s="35"/>
      <c r="DG111" s="35"/>
      <c r="DH111" s="35"/>
      <c r="DI111" s="83"/>
      <c r="DJ111" s="35"/>
      <c r="DK111" s="35"/>
      <c r="DL111" s="35"/>
      <c r="DM111" s="35"/>
      <c r="DN111" s="35"/>
      <c r="DO111" s="83"/>
      <c r="DP111" s="35"/>
      <c r="DQ111" s="35"/>
      <c r="DR111" s="35"/>
      <c r="DS111" s="35"/>
      <c r="DT111" s="35"/>
      <c r="DU111" s="83"/>
      <c r="DV111" s="35"/>
      <c r="DW111" s="35"/>
      <c r="DX111" s="35"/>
      <c r="DY111" s="35"/>
      <c r="DZ111" s="35"/>
      <c r="EA111" s="83"/>
      <c r="EB111" s="35"/>
      <c r="EC111" s="35"/>
      <c r="ED111" s="35"/>
      <c r="EE111" s="35"/>
      <c r="EF111" s="35"/>
      <c r="EG111" s="83"/>
      <c r="EH111" s="35"/>
      <c r="EI111" s="35"/>
      <c r="EJ111" s="35"/>
      <c r="EK111" s="35"/>
      <c r="EL111" s="35"/>
      <c r="EM111" s="83"/>
      <c r="EN111" s="35"/>
      <c r="EO111" s="35"/>
      <c r="EP111" s="55" t="s">
        <v>187</v>
      </c>
      <c r="EQ111" s="55" t="s">
        <v>30</v>
      </c>
      <c r="ER111" s="55" t="s">
        <v>31</v>
      </c>
      <c r="ES111" s="55"/>
      <c r="ET111" s="35"/>
      <c r="EU111" s="55" t="s">
        <v>32</v>
      </c>
      <c r="EV111" s="56" t="s">
        <v>188</v>
      </c>
      <c r="EW111" s="56" t="s">
        <v>189</v>
      </c>
      <c r="EX111" s="56" t="s">
        <v>190</v>
      </c>
      <c r="EY111" s="56"/>
      <c r="EZ111" s="56" t="s">
        <v>191</v>
      </c>
      <c r="FA111" s="57" t="s">
        <v>192</v>
      </c>
      <c r="FB111" s="57" t="s">
        <v>193</v>
      </c>
      <c r="FC111" s="57" t="s">
        <v>194</v>
      </c>
      <c r="FD111" s="57" t="s">
        <v>195</v>
      </c>
      <c r="FE111" s="57"/>
      <c r="FF111" s="58" t="s">
        <v>196</v>
      </c>
      <c r="FG111" s="58" t="s">
        <v>197</v>
      </c>
      <c r="FH111" s="58" t="s">
        <v>198</v>
      </c>
      <c r="FI111" s="58" t="s">
        <v>199</v>
      </c>
      <c r="FJ111" s="42" t="s">
        <v>33</v>
      </c>
      <c r="FK111" s="42"/>
      <c r="FL111" s="42" t="s">
        <v>34</v>
      </c>
      <c r="FM111" s="42" t="s">
        <v>35</v>
      </c>
      <c r="FN111" s="42" t="s">
        <v>36</v>
      </c>
      <c r="FO111" s="59" t="s">
        <v>200</v>
      </c>
      <c r="FP111" s="59" t="s">
        <v>201</v>
      </c>
      <c r="FQ111" s="59"/>
      <c r="FR111" s="59" t="s">
        <v>202</v>
      </c>
      <c r="FS111" s="35"/>
      <c r="FT111" s="35"/>
      <c r="FU111" s="59" t="s">
        <v>203</v>
      </c>
      <c r="FV111" s="35"/>
      <c r="FW111" s="35"/>
      <c r="FX111" s="35"/>
      <c r="FY111" s="35"/>
      <c r="FZ111" s="35"/>
      <c r="GA111" s="35"/>
      <c r="GB111" s="35"/>
      <c r="GC111" s="35"/>
      <c r="GD111" s="35"/>
      <c r="GE111" s="35"/>
      <c r="GF111" s="35"/>
      <c r="GG111" s="35"/>
      <c r="GH111" s="35"/>
      <c r="GI111" s="35"/>
      <c r="GJ111" s="35"/>
      <c r="GK111" s="35"/>
      <c r="GL111" s="35"/>
      <c r="GM111" s="35"/>
      <c r="GN111" s="35"/>
      <c r="GO111" s="35"/>
      <c r="GP111" s="35"/>
      <c r="GQ111" s="35"/>
      <c r="GR111" s="35"/>
      <c r="GS111" s="35"/>
      <c r="GT111" s="35"/>
      <c r="GU111" s="35"/>
      <c r="GV111" s="35"/>
      <c r="GW111" s="35"/>
      <c r="GX111" s="35"/>
      <c r="GY111" s="35"/>
      <c r="GZ111" s="35"/>
      <c r="HA111" s="35"/>
      <c r="HB111" s="83"/>
      <c r="HC111" s="83"/>
      <c r="HD111" s="83"/>
      <c r="HE111" s="83"/>
      <c r="HF111" s="83"/>
      <c r="HG111" s="83"/>
      <c r="HH111" s="83"/>
      <c r="HI111" s="83"/>
      <c r="HJ111" s="83"/>
      <c r="HK111" s="83"/>
      <c r="HL111" s="83"/>
      <c r="HM111" s="83"/>
      <c r="HN111" s="83"/>
      <c r="HO111" s="83"/>
      <c r="HP111" s="83"/>
      <c r="HQ111" s="83"/>
      <c r="HR111" s="83"/>
      <c r="HS111" s="83"/>
      <c r="HT111" s="83"/>
      <c r="HU111" s="83"/>
      <c r="HV111" s="83"/>
      <c r="HW111" s="83"/>
      <c r="HX111" s="83"/>
      <c r="HY111" s="83"/>
      <c r="HZ111" s="83"/>
      <c r="IA111" s="83"/>
      <c r="IB111" s="83"/>
      <c r="IC111" s="83"/>
      <c r="ID111" s="83"/>
      <c r="IE111" s="83"/>
      <c r="IF111" s="83"/>
      <c r="IG111" s="83"/>
      <c r="IH111" s="83"/>
      <c r="II111" s="83"/>
      <c r="IJ111" s="83"/>
      <c r="IK111" s="83"/>
      <c r="IL111" s="83"/>
      <c r="IM111" s="83"/>
      <c r="IN111" s="83"/>
      <c r="IO111" s="83"/>
      <c r="IP111" s="83"/>
      <c r="IQ111" s="83"/>
      <c r="IR111" s="83"/>
      <c r="IS111" s="83"/>
      <c r="IT111" s="83"/>
      <c r="IU111" s="83"/>
      <c r="IV111" s="83"/>
      <c r="IW111" s="83"/>
    </row>
    <row r="112" spans="2:257" s="28" customFormat="1" ht="14.4">
      <c r="B112" s="30">
        <f t="shared" si="255"/>
        <v>5.1699999999999964</v>
      </c>
      <c r="C112" s="38" t="s">
        <v>93</v>
      </c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  <c r="BM112" s="84"/>
      <c r="BN112" s="84"/>
      <c r="BO112" s="84"/>
      <c r="BP112" s="84"/>
      <c r="BQ112" s="84"/>
      <c r="BR112" s="84"/>
      <c r="BS112" s="84"/>
      <c r="BT112" s="84"/>
      <c r="BU112" s="84"/>
      <c r="BV112" s="84"/>
      <c r="BW112" s="84"/>
      <c r="BX112" s="84"/>
      <c r="BY112" s="84"/>
      <c r="BZ112" s="84"/>
      <c r="CA112" s="84"/>
      <c r="CB112" s="84"/>
      <c r="CC112" s="84"/>
      <c r="CD112" s="84"/>
      <c r="CE112" s="84"/>
      <c r="CF112" s="35"/>
      <c r="CG112" s="34"/>
      <c r="CH112" s="34"/>
      <c r="CI112" s="34"/>
      <c r="CJ112" s="34"/>
      <c r="CK112" s="34"/>
      <c r="CL112" s="34"/>
      <c r="CM112" s="34"/>
      <c r="CN112" s="34"/>
      <c r="CO112" s="35"/>
      <c r="CP112" s="35"/>
      <c r="CQ112" s="35"/>
      <c r="CR112" s="84"/>
      <c r="CS112" s="84"/>
      <c r="CT112" s="84"/>
      <c r="CU112" s="84"/>
      <c r="CV112" s="35"/>
      <c r="CW112" s="84"/>
      <c r="CX112" s="35"/>
      <c r="CY112" s="35"/>
      <c r="CZ112" s="35"/>
      <c r="DA112" s="35"/>
      <c r="DB112" s="35"/>
      <c r="DC112" s="84"/>
      <c r="DD112" s="35"/>
      <c r="DE112" s="35"/>
      <c r="DF112" s="35"/>
      <c r="DG112" s="35"/>
      <c r="DH112" s="35"/>
      <c r="DI112" s="84"/>
      <c r="DJ112" s="35"/>
      <c r="DK112" s="35"/>
      <c r="DL112" s="35"/>
      <c r="DM112" s="35"/>
      <c r="DN112" s="35"/>
      <c r="DO112" s="84"/>
      <c r="DP112" s="35"/>
      <c r="DQ112" s="35"/>
      <c r="DR112" s="35"/>
      <c r="DS112" s="35"/>
      <c r="DT112" s="35"/>
      <c r="DU112" s="84"/>
      <c r="DV112" s="35"/>
      <c r="DW112" s="35"/>
      <c r="DX112" s="35"/>
      <c r="DY112" s="35"/>
      <c r="DZ112" s="35"/>
      <c r="EA112" s="84"/>
      <c r="EB112" s="35"/>
      <c r="EC112" s="35"/>
      <c r="ED112" s="35"/>
      <c r="EE112" s="35"/>
      <c r="EF112" s="35"/>
      <c r="EG112" s="84"/>
      <c r="EH112" s="35"/>
      <c r="EI112" s="35"/>
      <c r="EJ112" s="35"/>
      <c r="EK112" s="35"/>
      <c r="EL112" s="35"/>
      <c r="EM112" s="84"/>
      <c r="EN112" s="35"/>
      <c r="EO112" s="35"/>
      <c r="EP112" s="55" t="s">
        <v>187</v>
      </c>
      <c r="EQ112" s="55" t="s">
        <v>30</v>
      </c>
      <c r="ER112" s="55" t="s">
        <v>31</v>
      </c>
      <c r="ES112" s="55"/>
      <c r="ET112" s="35"/>
      <c r="EU112" s="55" t="s">
        <v>32</v>
      </c>
      <c r="EV112" s="56" t="s">
        <v>188</v>
      </c>
      <c r="EW112" s="56" t="s">
        <v>189</v>
      </c>
      <c r="EX112" s="56" t="s">
        <v>190</v>
      </c>
      <c r="EY112" s="56"/>
      <c r="EZ112" s="56" t="s">
        <v>191</v>
      </c>
      <c r="FA112" s="57" t="s">
        <v>192</v>
      </c>
      <c r="FB112" s="57" t="s">
        <v>193</v>
      </c>
      <c r="FC112" s="57" t="s">
        <v>194</v>
      </c>
      <c r="FD112" s="57" t="s">
        <v>195</v>
      </c>
      <c r="FE112" s="57"/>
      <c r="FF112" s="58" t="s">
        <v>196</v>
      </c>
      <c r="FG112" s="58" t="s">
        <v>197</v>
      </c>
      <c r="FH112" s="58" t="s">
        <v>198</v>
      </c>
      <c r="FI112" s="58" t="s">
        <v>199</v>
      </c>
      <c r="FJ112" s="42" t="s">
        <v>33</v>
      </c>
      <c r="FK112" s="42"/>
      <c r="FL112" s="42" t="s">
        <v>34</v>
      </c>
      <c r="FM112" s="42" t="s">
        <v>35</v>
      </c>
      <c r="FN112" s="42" t="s">
        <v>36</v>
      </c>
      <c r="FO112" s="59" t="s">
        <v>200</v>
      </c>
      <c r="FP112" s="59" t="s">
        <v>201</v>
      </c>
      <c r="FQ112" s="59"/>
      <c r="FR112" s="59" t="s">
        <v>202</v>
      </c>
      <c r="FS112" s="35"/>
      <c r="FT112" s="35"/>
      <c r="FU112" s="59" t="s">
        <v>203</v>
      </c>
      <c r="FV112" s="35"/>
      <c r="FW112" s="35"/>
      <c r="FX112" s="35"/>
      <c r="FY112" s="35"/>
      <c r="FZ112" s="35"/>
      <c r="GA112" s="35"/>
      <c r="GB112" s="35"/>
      <c r="GC112" s="35"/>
      <c r="GD112" s="35"/>
      <c r="GE112" s="35"/>
      <c r="GF112" s="35"/>
      <c r="GG112" s="35"/>
      <c r="GH112" s="35"/>
      <c r="GI112" s="35"/>
      <c r="GJ112" s="35"/>
      <c r="GK112" s="35"/>
      <c r="GL112" s="35"/>
      <c r="GM112" s="35"/>
      <c r="GN112" s="35"/>
      <c r="GO112" s="35"/>
      <c r="GP112" s="35"/>
      <c r="GQ112" s="35"/>
      <c r="GR112" s="35"/>
      <c r="GS112" s="35"/>
      <c r="GT112" s="35"/>
      <c r="GU112" s="35"/>
      <c r="GV112" s="35"/>
      <c r="GW112" s="35"/>
      <c r="GX112" s="35"/>
      <c r="GY112" s="35"/>
      <c r="GZ112" s="35"/>
      <c r="HA112" s="35"/>
      <c r="HB112" s="84"/>
      <c r="HC112" s="84"/>
      <c r="HD112" s="84"/>
      <c r="HE112" s="84"/>
      <c r="HF112" s="84"/>
      <c r="HG112" s="84"/>
      <c r="HH112" s="84"/>
      <c r="HI112" s="84"/>
      <c r="HJ112" s="84"/>
      <c r="HK112" s="84"/>
      <c r="HL112" s="84"/>
      <c r="HM112" s="84"/>
      <c r="HN112" s="84"/>
      <c r="HO112" s="84"/>
      <c r="HP112" s="84"/>
      <c r="HQ112" s="84"/>
      <c r="HR112" s="84"/>
      <c r="HS112" s="84"/>
      <c r="HT112" s="84"/>
      <c r="HU112" s="84"/>
      <c r="HV112" s="84"/>
      <c r="HW112" s="84"/>
      <c r="HX112" s="84"/>
      <c r="HY112" s="84"/>
      <c r="HZ112" s="84"/>
      <c r="IA112" s="84"/>
      <c r="IB112" s="84"/>
      <c r="IC112" s="84"/>
      <c r="ID112" s="84"/>
      <c r="IE112" s="84"/>
      <c r="IF112" s="84"/>
      <c r="IG112" s="84"/>
      <c r="IH112" s="84"/>
      <c r="II112" s="84"/>
      <c r="IJ112" s="84"/>
      <c r="IK112" s="84"/>
      <c r="IL112" s="84"/>
      <c r="IM112" s="84"/>
      <c r="IN112" s="84"/>
      <c r="IO112" s="84"/>
      <c r="IP112" s="84"/>
      <c r="IQ112" s="84"/>
      <c r="IR112" s="84"/>
      <c r="IS112" s="84"/>
      <c r="IT112" s="84"/>
      <c r="IU112" s="84"/>
      <c r="IV112" s="84"/>
      <c r="IW112" s="84"/>
    </row>
    <row r="113" spans="2:257" s="28" customFormat="1" ht="14.4">
      <c r="B113" s="30">
        <f t="shared" si="255"/>
        <v>5.1799999999999962</v>
      </c>
      <c r="C113" s="38" t="s">
        <v>94</v>
      </c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  <c r="BM113" s="84"/>
      <c r="BN113" s="84"/>
      <c r="BO113" s="84"/>
      <c r="BP113" s="84"/>
      <c r="BQ113" s="84"/>
      <c r="BR113" s="84"/>
      <c r="BS113" s="84"/>
      <c r="BT113" s="84"/>
      <c r="BU113" s="84"/>
      <c r="BV113" s="84"/>
      <c r="BW113" s="84"/>
      <c r="BX113" s="84"/>
      <c r="BY113" s="84"/>
      <c r="BZ113" s="84"/>
      <c r="CA113" s="84"/>
      <c r="CB113" s="84"/>
      <c r="CC113" s="84"/>
      <c r="CD113" s="84"/>
      <c r="CE113" s="84"/>
      <c r="CF113" s="35"/>
      <c r="CG113" s="34"/>
      <c r="CH113" s="34"/>
      <c r="CI113" s="34"/>
      <c r="CJ113" s="34"/>
      <c r="CK113" s="34"/>
      <c r="CL113" s="34"/>
      <c r="CM113" s="34"/>
      <c r="CN113" s="34"/>
      <c r="CO113" s="35"/>
      <c r="CP113" s="35"/>
      <c r="CQ113" s="35"/>
      <c r="CR113" s="84"/>
      <c r="CS113" s="84"/>
      <c r="CT113" s="84"/>
      <c r="CU113" s="84"/>
      <c r="CV113" s="35"/>
      <c r="CW113" s="84"/>
      <c r="CX113" s="35"/>
      <c r="CY113" s="35"/>
      <c r="CZ113" s="35"/>
      <c r="DA113" s="35"/>
      <c r="DB113" s="35"/>
      <c r="DC113" s="84"/>
      <c r="DD113" s="35"/>
      <c r="DE113" s="35"/>
      <c r="DF113" s="35"/>
      <c r="DG113" s="35"/>
      <c r="DH113" s="35"/>
      <c r="DI113" s="84"/>
      <c r="DJ113" s="35"/>
      <c r="DK113" s="35"/>
      <c r="DL113" s="35"/>
      <c r="DM113" s="35"/>
      <c r="DN113" s="35"/>
      <c r="DO113" s="84"/>
      <c r="DP113" s="35"/>
      <c r="DQ113" s="35"/>
      <c r="DR113" s="35"/>
      <c r="DS113" s="35"/>
      <c r="DT113" s="35"/>
      <c r="DU113" s="84"/>
      <c r="DV113" s="35"/>
      <c r="DW113" s="35"/>
      <c r="DX113" s="35"/>
      <c r="DY113" s="35"/>
      <c r="DZ113" s="35"/>
      <c r="EA113" s="84"/>
      <c r="EB113" s="35"/>
      <c r="EC113" s="35"/>
      <c r="ED113" s="35"/>
      <c r="EE113" s="35"/>
      <c r="EF113" s="35"/>
      <c r="EG113" s="84"/>
      <c r="EH113" s="35"/>
      <c r="EI113" s="35"/>
      <c r="EJ113" s="35"/>
      <c r="EK113" s="35"/>
      <c r="EL113" s="35"/>
      <c r="EM113" s="84"/>
      <c r="EN113" s="35"/>
      <c r="EO113" s="35"/>
      <c r="EP113" s="35"/>
      <c r="EQ113" s="55" t="s">
        <v>187</v>
      </c>
      <c r="ER113" s="55" t="s">
        <v>30</v>
      </c>
      <c r="ES113" s="55"/>
      <c r="ET113" s="35"/>
      <c r="EU113" s="55" t="s">
        <v>31</v>
      </c>
      <c r="EV113" s="55" t="s">
        <v>32</v>
      </c>
      <c r="EW113" s="56" t="s">
        <v>188</v>
      </c>
      <c r="EX113" s="56" t="s">
        <v>189</v>
      </c>
      <c r="EY113" s="56"/>
      <c r="EZ113" s="56" t="s">
        <v>190</v>
      </c>
      <c r="FA113" s="56" t="s">
        <v>191</v>
      </c>
      <c r="FB113" s="57" t="s">
        <v>192</v>
      </c>
      <c r="FC113" s="57" t="s">
        <v>193</v>
      </c>
      <c r="FD113" s="57" t="s">
        <v>194</v>
      </c>
      <c r="FE113" s="57"/>
      <c r="FF113" s="57" t="s">
        <v>195</v>
      </c>
      <c r="FG113" s="58" t="s">
        <v>196</v>
      </c>
      <c r="FH113" s="58" t="s">
        <v>197</v>
      </c>
      <c r="FI113" s="58" t="s">
        <v>198</v>
      </c>
      <c r="FJ113" s="58" t="s">
        <v>199</v>
      </c>
      <c r="FK113" s="58"/>
      <c r="FL113" s="42" t="s">
        <v>33</v>
      </c>
      <c r="FM113" s="42" t="s">
        <v>34</v>
      </c>
      <c r="FN113" s="42" t="s">
        <v>35</v>
      </c>
      <c r="FO113" s="42" t="s">
        <v>36</v>
      </c>
      <c r="FP113" s="59" t="s">
        <v>200</v>
      </c>
      <c r="FQ113" s="59"/>
      <c r="FR113" s="59" t="s">
        <v>201</v>
      </c>
      <c r="FS113" s="35"/>
      <c r="FT113" s="35"/>
      <c r="FU113" s="59" t="s">
        <v>202</v>
      </c>
      <c r="FV113" s="59" t="s">
        <v>203</v>
      </c>
      <c r="FW113" s="35"/>
      <c r="FX113" s="35"/>
      <c r="FY113" s="35"/>
      <c r="FZ113" s="35"/>
      <c r="GA113" s="35"/>
      <c r="GB113" s="35"/>
      <c r="GC113" s="35"/>
      <c r="GD113" s="35"/>
      <c r="GE113" s="35"/>
      <c r="GF113" s="35"/>
      <c r="GG113" s="35"/>
      <c r="GH113" s="35"/>
      <c r="GI113" s="35"/>
      <c r="GJ113" s="35"/>
      <c r="GK113" s="35"/>
      <c r="GL113" s="35"/>
      <c r="GM113" s="35"/>
      <c r="GN113" s="35"/>
      <c r="GO113" s="35"/>
      <c r="GP113" s="35"/>
      <c r="GQ113" s="35"/>
      <c r="GR113" s="35"/>
      <c r="GS113" s="35"/>
      <c r="GT113" s="35"/>
      <c r="GU113" s="35"/>
      <c r="GV113" s="35"/>
      <c r="GW113" s="35"/>
      <c r="GX113" s="35"/>
      <c r="GY113" s="35"/>
      <c r="GZ113" s="35"/>
      <c r="HA113" s="35"/>
      <c r="HB113" s="84"/>
      <c r="HC113" s="84"/>
      <c r="HD113" s="84"/>
      <c r="HE113" s="84"/>
      <c r="HF113" s="84"/>
      <c r="HG113" s="84"/>
      <c r="HH113" s="84"/>
      <c r="HI113" s="84"/>
      <c r="HJ113" s="84"/>
      <c r="HK113" s="84"/>
      <c r="HL113" s="84"/>
      <c r="HM113" s="84"/>
      <c r="HN113" s="84"/>
      <c r="HO113" s="84"/>
      <c r="HP113" s="84"/>
      <c r="HQ113" s="84"/>
      <c r="HR113" s="84"/>
      <c r="HS113" s="84"/>
      <c r="HT113" s="84"/>
      <c r="HU113" s="84"/>
      <c r="HV113" s="84"/>
      <c r="HW113" s="84"/>
      <c r="HX113" s="84"/>
      <c r="HY113" s="84"/>
      <c r="HZ113" s="84"/>
      <c r="IA113" s="84"/>
      <c r="IB113" s="84"/>
      <c r="IC113" s="84"/>
      <c r="ID113" s="84"/>
      <c r="IE113" s="84"/>
      <c r="IF113" s="84"/>
      <c r="IG113" s="84"/>
      <c r="IH113" s="84"/>
      <c r="II113" s="84"/>
      <c r="IJ113" s="84"/>
      <c r="IK113" s="84"/>
      <c r="IL113" s="84"/>
      <c r="IM113" s="84"/>
      <c r="IN113" s="84"/>
      <c r="IO113" s="84"/>
      <c r="IP113" s="84"/>
      <c r="IQ113" s="84"/>
      <c r="IR113" s="84"/>
      <c r="IS113" s="84"/>
      <c r="IT113" s="84"/>
      <c r="IU113" s="84"/>
      <c r="IV113" s="84"/>
      <c r="IW113" s="84"/>
    </row>
    <row r="114" spans="2:257" s="28" customFormat="1" ht="14.4">
      <c r="B114" s="30">
        <f t="shared" si="255"/>
        <v>5.1899999999999959</v>
      </c>
      <c r="C114" s="43" t="s">
        <v>95</v>
      </c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  <c r="BM114" s="84"/>
      <c r="BN114" s="84"/>
      <c r="BO114" s="84"/>
      <c r="BP114" s="84"/>
      <c r="BQ114" s="84"/>
      <c r="BR114" s="84"/>
      <c r="BS114" s="84"/>
      <c r="BT114" s="84"/>
      <c r="BU114" s="84"/>
      <c r="BV114" s="84"/>
      <c r="BW114" s="84"/>
      <c r="BX114" s="84"/>
      <c r="BY114" s="84"/>
      <c r="BZ114" s="84"/>
      <c r="CA114" s="84"/>
      <c r="CB114" s="84"/>
      <c r="CC114" s="84"/>
      <c r="CD114" s="84"/>
      <c r="CE114" s="84"/>
      <c r="CF114" s="35"/>
      <c r="CG114" s="34"/>
      <c r="CH114" s="34"/>
      <c r="CI114" s="34"/>
      <c r="CJ114" s="34"/>
      <c r="CK114" s="34"/>
      <c r="CL114" s="34"/>
      <c r="CM114" s="34"/>
      <c r="CN114" s="34"/>
      <c r="CO114" s="35"/>
      <c r="CP114" s="35"/>
      <c r="CQ114" s="35"/>
      <c r="CR114" s="84"/>
      <c r="CS114" s="84"/>
      <c r="CT114" s="84"/>
      <c r="CU114" s="84"/>
      <c r="CV114" s="35"/>
      <c r="CW114" s="84"/>
      <c r="CX114" s="35"/>
      <c r="CY114" s="35"/>
      <c r="CZ114" s="35"/>
      <c r="DA114" s="35"/>
      <c r="DB114" s="35"/>
      <c r="DC114" s="84"/>
      <c r="DD114" s="35"/>
      <c r="DE114" s="35"/>
      <c r="DF114" s="35"/>
      <c r="DG114" s="35"/>
      <c r="DH114" s="35"/>
      <c r="DI114" s="84"/>
      <c r="DJ114" s="35"/>
      <c r="DK114" s="35"/>
      <c r="DL114" s="35"/>
      <c r="DM114" s="35"/>
      <c r="DN114" s="35"/>
      <c r="DO114" s="84"/>
      <c r="DP114" s="35"/>
      <c r="DQ114" s="35"/>
      <c r="DR114" s="35"/>
      <c r="DS114" s="35"/>
      <c r="DT114" s="35"/>
      <c r="DU114" s="84"/>
      <c r="DV114" s="35"/>
      <c r="DW114" s="35"/>
      <c r="DX114" s="35"/>
      <c r="DY114" s="35"/>
      <c r="DZ114" s="35"/>
      <c r="EA114" s="84"/>
      <c r="EB114" s="35"/>
      <c r="EC114" s="35"/>
      <c r="ED114" s="35"/>
      <c r="EE114" s="35"/>
      <c r="EF114" s="35"/>
      <c r="EG114" s="84"/>
      <c r="EH114" s="35"/>
      <c r="EI114" s="35"/>
      <c r="EJ114" s="35"/>
      <c r="EK114" s="35"/>
      <c r="EL114" s="35"/>
      <c r="EM114" s="84"/>
      <c r="EN114" s="35"/>
      <c r="EO114" s="35"/>
      <c r="EP114" s="35"/>
      <c r="EQ114" s="35"/>
      <c r="ER114" s="55" t="s">
        <v>187</v>
      </c>
      <c r="ES114" s="55"/>
      <c r="ET114" s="35"/>
      <c r="EU114" s="55" t="s">
        <v>30</v>
      </c>
      <c r="EV114" s="55" t="s">
        <v>31</v>
      </c>
      <c r="EW114" s="55" t="s">
        <v>32</v>
      </c>
      <c r="EX114" s="56" t="s">
        <v>188</v>
      </c>
      <c r="EY114" s="56"/>
      <c r="EZ114" s="56" t="s">
        <v>189</v>
      </c>
      <c r="FA114" s="56" t="s">
        <v>190</v>
      </c>
      <c r="FB114" s="56" t="s">
        <v>191</v>
      </c>
      <c r="FC114" s="57" t="s">
        <v>192</v>
      </c>
      <c r="FD114" s="57" t="s">
        <v>193</v>
      </c>
      <c r="FE114" s="57"/>
      <c r="FF114" s="57" t="s">
        <v>194</v>
      </c>
      <c r="FG114" s="57" t="s">
        <v>195</v>
      </c>
      <c r="FH114" s="58" t="s">
        <v>196</v>
      </c>
      <c r="FI114" s="58" t="s">
        <v>197</v>
      </c>
      <c r="FJ114" s="58" t="s">
        <v>198</v>
      </c>
      <c r="FK114" s="58"/>
      <c r="FL114" s="58" t="s">
        <v>199</v>
      </c>
      <c r="FM114" s="42" t="s">
        <v>33</v>
      </c>
      <c r="FN114" s="42" t="s">
        <v>34</v>
      </c>
      <c r="FO114" s="42" t="s">
        <v>35</v>
      </c>
      <c r="FP114" s="42" t="s">
        <v>36</v>
      </c>
      <c r="FQ114" s="42"/>
      <c r="FR114" s="59" t="s">
        <v>200</v>
      </c>
      <c r="FS114" s="35"/>
      <c r="FT114" s="35"/>
      <c r="FU114" s="59" t="s">
        <v>201</v>
      </c>
      <c r="FV114" s="59" t="s">
        <v>202</v>
      </c>
      <c r="FW114" s="59"/>
      <c r="FX114" s="59" t="s">
        <v>203</v>
      </c>
      <c r="FY114" s="35"/>
      <c r="FZ114" s="35"/>
      <c r="GA114" s="35"/>
      <c r="GB114" s="35"/>
      <c r="GC114" s="35"/>
      <c r="GD114" s="35"/>
      <c r="GE114" s="35"/>
      <c r="GF114" s="35"/>
      <c r="GG114" s="35"/>
      <c r="GH114" s="35"/>
      <c r="GI114" s="35"/>
      <c r="GJ114" s="35"/>
      <c r="GK114" s="35"/>
      <c r="GL114" s="35"/>
      <c r="GM114" s="35"/>
      <c r="GN114" s="35"/>
      <c r="GO114" s="35"/>
      <c r="GP114" s="35"/>
      <c r="GQ114" s="35"/>
      <c r="GR114" s="35"/>
      <c r="GS114" s="35"/>
      <c r="GT114" s="35"/>
      <c r="GU114" s="35"/>
      <c r="GV114" s="35"/>
      <c r="GW114" s="35"/>
      <c r="GX114" s="35"/>
      <c r="GY114" s="35"/>
      <c r="GZ114" s="35"/>
      <c r="HA114" s="35"/>
      <c r="HB114" s="84"/>
      <c r="HC114" s="84"/>
      <c r="HD114" s="84"/>
      <c r="HE114" s="84"/>
      <c r="HF114" s="84"/>
      <c r="HG114" s="84"/>
      <c r="HH114" s="84"/>
      <c r="HI114" s="84"/>
      <c r="HJ114" s="84"/>
      <c r="HK114" s="84"/>
      <c r="HL114" s="84"/>
      <c r="HM114" s="84"/>
      <c r="HN114" s="84"/>
      <c r="HO114" s="84"/>
      <c r="HP114" s="84"/>
      <c r="HQ114" s="84"/>
      <c r="HR114" s="84"/>
      <c r="HS114" s="84"/>
      <c r="HT114" s="84"/>
      <c r="HU114" s="84"/>
      <c r="HV114" s="84"/>
      <c r="HW114" s="84"/>
      <c r="HX114" s="84"/>
      <c r="HY114" s="84"/>
      <c r="HZ114" s="84"/>
      <c r="IA114" s="84"/>
      <c r="IB114" s="84"/>
      <c r="IC114" s="84"/>
      <c r="ID114" s="84"/>
      <c r="IE114" s="84"/>
      <c r="IF114" s="84"/>
      <c r="IG114" s="84"/>
      <c r="IH114" s="84"/>
      <c r="II114" s="84"/>
      <c r="IJ114" s="84"/>
      <c r="IK114" s="84"/>
      <c r="IL114" s="84"/>
      <c r="IM114" s="84"/>
      <c r="IN114" s="84"/>
      <c r="IO114" s="84"/>
      <c r="IP114" s="84"/>
      <c r="IQ114" s="84"/>
      <c r="IR114" s="84"/>
      <c r="IS114" s="84"/>
      <c r="IT114" s="84"/>
      <c r="IU114" s="84"/>
      <c r="IV114" s="84"/>
      <c r="IW114" s="84"/>
    </row>
    <row r="115" spans="2:257" s="28" customFormat="1" ht="14.4">
      <c r="B115" s="30">
        <f t="shared" si="255"/>
        <v>5.1999999999999957</v>
      </c>
      <c r="C115" s="44" t="s">
        <v>96</v>
      </c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84"/>
      <c r="BD115" s="84"/>
      <c r="BE115" s="84"/>
      <c r="BF115" s="84"/>
      <c r="BG115" s="84"/>
      <c r="BH115" s="84"/>
      <c r="BI115" s="84"/>
      <c r="BJ115" s="84"/>
      <c r="BK115" s="84"/>
      <c r="BL115" s="84"/>
      <c r="BM115" s="84"/>
      <c r="BN115" s="84"/>
      <c r="BO115" s="84"/>
      <c r="BP115" s="84"/>
      <c r="BQ115" s="84"/>
      <c r="BR115" s="84"/>
      <c r="BS115" s="84"/>
      <c r="BT115" s="84"/>
      <c r="BU115" s="84"/>
      <c r="BV115" s="84"/>
      <c r="BW115" s="84"/>
      <c r="BX115" s="84"/>
      <c r="BY115" s="84"/>
      <c r="BZ115" s="84"/>
      <c r="CA115" s="84"/>
      <c r="CB115" s="84"/>
      <c r="CC115" s="84"/>
      <c r="CD115" s="84"/>
      <c r="CE115" s="84"/>
      <c r="CF115" s="35"/>
      <c r="CG115" s="34"/>
      <c r="CH115" s="34"/>
      <c r="CI115" s="34"/>
      <c r="CJ115" s="34"/>
      <c r="CK115" s="34"/>
      <c r="CL115" s="34"/>
      <c r="CM115" s="34"/>
      <c r="CN115" s="34"/>
      <c r="CO115" s="35"/>
      <c r="CP115" s="35"/>
      <c r="CQ115" s="35"/>
      <c r="CR115" s="84"/>
      <c r="CS115" s="84"/>
      <c r="CT115" s="84"/>
      <c r="CU115" s="84"/>
      <c r="CV115" s="35"/>
      <c r="CW115" s="84"/>
      <c r="CX115" s="35"/>
      <c r="CY115" s="35"/>
      <c r="CZ115" s="35"/>
      <c r="DA115" s="35"/>
      <c r="DB115" s="35"/>
      <c r="DC115" s="84"/>
      <c r="DD115" s="35"/>
      <c r="DE115" s="35"/>
      <c r="DF115" s="35"/>
      <c r="DG115" s="35"/>
      <c r="DH115" s="35"/>
      <c r="DI115" s="84"/>
      <c r="DJ115" s="35"/>
      <c r="DK115" s="35"/>
      <c r="DL115" s="35"/>
      <c r="DM115" s="35"/>
      <c r="DN115" s="35"/>
      <c r="DO115" s="84"/>
      <c r="DP115" s="35"/>
      <c r="DQ115" s="35"/>
      <c r="DR115" s="35"/>
      <c r="DS115" s="35"/>
      <c r="DT115" s="35"/>
      <c r="DU115" s="84"/>
      <c r="DV115" s="35"/>
      <c r="DW115" s="35"/>
      <c r="DX115" s="35"/>
      <c r="DY115" s="35"/>
      <c r="DZ115" s="35"/>
      <c r="EA115" s="84"/>
      <c r="EB115" s="35"/>
      <c r="EC115" s="35"/>
      <c r="ED115" s="35"/>
      <c r="EE115" s="35"/>
      <c r="EF115" s="35"/>
      <c r="EG115" s="84"/>
      <c r="EH115" s="35"/>
      <c r="EI115" s="35"/>
      <c r="EJ115" s="35"/>
      <c r="EK115" s="35"/>
      <c r="EL115" s="35"/>
      <c r="EM115" s="84"/>
      <c r="EN115" s="35"/>
      <c r="EO115" s="35"/>
      <c r="EP115" s="35"/>
      <c r="EQ115" s="35"/>
      <c r="ER115" s="35"/>
      <c r="ES115" s="35"/>
      <c r="ET115" s="35"/>
      <c r="EU115" s="55" t="s">
        <v>187</v>
      </c>
      <c r="EV115" s="55" t="s">
        <v>30</v>
      </c>
      <c r="EW115" s="55" t="s">
        <v>31</v>
      </c>
      <c r="EX115" s="55" t="s">
        <v>32</v>
      </c>
      <c r="EY115" s="55"/>
      <c r="EZ115" s="56" t="s">
        <v>188</v>
      </c>
      <c r="FA115" s="56" t="s">
        <v>189</v>
      </c>
      <c r="FB115" s="56" t="s">
        <v>190</v>
      </c>
      <c r="FC115" s="56" t="s">
        <v>191</v>
      </c>
      <c r="FD115" s="57" t="s">
        <v>192</v>
      </c>
      <c r="FE115" s="57"/>
      <c r="FF115" s="57" t="s">
        <v>193</v>
      </c>
      <c r="FG115" s="57" t="s">
        <v>194</v>
      </c>
      <c r="FH115" s="57" t="s">
        <v>195</v>
      </c>
      <c r="FI115" s="58" t="s">
        <v>196</v>
      </c>
      <c r="FJ115" s="58" t="s">
        <v>197</v>
      </c>
      <c r="FK115" s="58"/>
      <c r="FL115" s="58" t="s">
        <v>198</v>
      </c>
      <c r="FM115" s="58" t="s">
        <v>199</v>
      </c>
      <c r="FN115" s="42" t="s">
        <v>33</v>
      </c>
      <c r="FO115" s="42" t="s">
        <v>34</v>
      </c>
      <c r="FP115" s="42" t="s">
        <v>35</v>
      </c>
      <c r="FQ115" s="42"/>
      <c r="FR115" s="42" t="s">
        <v>36</v>
      </c>
      <c r="FS115" s="35"/>
      <c r="FT115" s="35"/>
      <c r="FU115" s="59" t="s">
        <v>200</v>
      </c>
      <c r="FV115" s="59" t="s">
        <v>201</v>
      </c>
      <c r="FW115" s="59"/>
      <c r="FX115" s="59" t="s">
        <v>202</v>
      </c>
      <c r="FY115" s="59" t="s">
        <v>203</v>
      </c>
      <c r="FZ115" s="35"/>
      <c r="GA115" s="35"/>
      <c r="GB115" s="35"/>
      <c r="GC115" s="35"/>
      <c r="GD115" s="35"/>
      <c r="GE115" s="35"/>
      <c r="GF115" s="35"/>
      <c r="GG115" s="35"/>
      <c r="GH115" s="35"/>
      <c r="GI115" s="35"/>
      <c r="GJ115" s="35"/>
      <c r="GK115" s="35"/>
      <c r="GL115" s="35"/>
      <c r="GM115" s="35"/>
      <c r="GN115" s="35"/>
      <c r="GO115" s="35"/>
      <c r="GP115" s="35"/>
      <c r="GQ115" s="35"/>
      <c r="GR115" s="35"/>
      <c r="GS115" s="35"/>
      <c r="GT115" s="35"/>
      <c r="GU115" s="35"/>
      <c r="GV115" s="35"/>
      <c r="GW115" s="35"/>
      <c r="GX115" s="35"/>
      <c r="GY115" s="35"/>
      <c r="GZ115" s="35"/>
      <c r="HA115" s="35"/>
      <c r="HB115" s="35"/>
      <c r="HC115" s="84"/>
      <c r="HD115" s="84"/>
      <c r="HE115" s="84"/>
      <c r="HF115" s="84"/>
      <c r="HG115" s="84"/>
      <c r="HH115" s="84"/>
      <c r="HI115" s="84"/>
      <c r="HJ115" s="84"/>
      <c r="HK115" s="84"/>
      <c r="HL115" s="84"/>
      <c r="HM115" s="84"/>
      <c r="HN115" s="84"/>
      <c r="HO115" s="84"/>
      <c r="HP115" s="84"/>
      <c r="HQ115" s="84"/>
      <c r="HR115" s="84"/>
      <c r="HS115" s="84"/>
      <c r="HT115" s="84"/>
      <c r="HU115" s="84"/>
      <c r="HV115" s="84"/>
      <c r="HW115" s="84"/>
      <c r="HX115" s="84"/>
      <c r="HY115" s="84"/>
      <c r="HZ115" s="84"/>
      <c r="IA115" s="84"/>
      <c r="IB115" s="84"/>
      <c r="IC115" s="84"/>
      <c r="ID115" s="84"/>
      <c r="IE115" s="84"/>
      <c r="IF115" s="84"/>
      <c r="IG115" s="84"/>
      <c r="IH115" s="84"/>
      <c r="II115" s="84"/>
      <c r="IJ115" s="84"/>
      <c r="IK115" s="84"/>
      <c r="IL115" s="84"/>
      <c r="IM115" s="84"/>
      <c r="IN115" s="84"/>
      <c r="IO115" s="84"/>
      <c r="IP115" s="84"/>
      <c r="IQ115" s="84"/>
      <c r="IR115" s="84"/>
      <c r="IS115" s="84"/>
      <c r="IT115" s="84"/>
      <c r="IU115" s="84"/>
      <c r="IV115" s="84"/>
      <c r="IW115" s="84"/>
    </row>
    <row r="116" spans="2:257" s="28" customFormat="1" ht="14.4">
      <c r="B116" s="30">
        <f t="shared" si="255"/>
        <v>5.2099999999999955</v>
      </c>
      <c r="C116" s="44" t="s">
        <v>97</v>
      </c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84"/>
      <c r="BD116" s="84"/>
      <c r="BE116" s="84"/>
      <c r="BF116" s="84"/>
      <c r="BG116" s="84"/>
      <c r="BH116" s="84"/>
      <c r="BI116" s="84"/>
      <c r="BJ116" s="84"/>
      <c r="BK116" s="84"/>
      <c r="BL116" s="84"/>
      <c r="BM116" s="84"/>
      <c r="BN116" s="84"/>
      <c r="BO116" s="84"/>
      <c r="BP116" s="84"/>
      <c r="BQ116" s="84"/>
      <c r="BR116" s="84"/>
      <c r="BS116" s="84"/>
      <c r="BT116" s="84"/>
      <c r="BU116" s="84"/>
      <c r="BV116" s="84"/>
      <c r="BW116" s="84"/>
      <c r="BX116" s="84"/>
      <c r="BY116" s="84"/>
      <c r="BZ116" s="84"/>
      <c r="CA116" s="84"/>
      <c r="CB116" s="84"/>
      <c r="CC116" s="84"/>
      <c r="CD116" s="84"/>
      <c r="CE116" s="84"/>
      <c r="CF116" s="35"/>
      <c r="CG116" s="34"/>
      <c r="CH116" s="34"/>
      <c r="CI116" s="34"/>
      <c r="CJ116" s="34"/>
      <c r="CK116" s="34"/>
      <c r="CL116" s="34"/>
      <c r="CM116" s="34"/>
      <c r="CN116" s="34"/>
      <c r="CO116" s="35"/>
      <c r="CP116" s="35"/>
      <c r="CQ116" s="35"/>
      <c r="CR116" s="84"/>
      <c r="CS116" s="84"/>
      <c r="CT116" s="84"/>
      <c r="CU116" s="84"/>
      <c r="CV116" s="35"/>
      <c r="CW116" s="84"/>
      <c r="CX116" s="35"/>
      <c r="CY116" s="35"/>
      <c r="CZ116" s="35"/>
      <c r="DA116" s="35"/>
      <c r="DB116" s="35"/>
      <c r="DC116" s="84"/>
      <c r="DD116" s="35"/>
      <c r="DE116" s="35"/>
      <c r="DF116" s="35"/>
      <c r="DG116" s="35"/>
      <c r="DH116" s="35"/>
      <c r="DI116" s="84"/>
      <c r="DJ116" s="35"/>
      <c r="DK116" s="35"/>
      <c r="DL116" s="35"/>
      <c r="DM116" s="35"/>
      <c r="DN116" s="35"/>
      <c r="DO116" s="84"/>
      <c r="DP116" s="35"/>
      <c r="DQ116" s="35"/>
      <c r="DR116" s="35"/>
      <c r="DS116" s="35"/>
      <c r="DT116" s="35"/>
      <c r="DU116" s="84"/>
      <c r="DV116" s="35"/>
      <c r="DW116" s="35"/>
      <c r="DX116" s="35"/>
      <c r="DY116" s="35"/>
      <c r="DZ116" s="35"/>
      <c r="EA116" s="84"/>
      <c r="EB116" s="35"/>
      <c r="EC116" s="35"/>
      <c r="ED116" s="35"/>
      <c r="EE116" s="35"/>
      <c r="EF116" s="35"/>
      <c r="EG116" s="84"/>
      <c r="EH116" s="35"/>
      <c r="EI116" s="35"/>
      <c r="EJ116" s="35"/>
      <c r="EK116" s="35"/>
      <c r="EL116" s="35"/>
      <c r="EM116" s="84"/>
      <c r="EN116" s="35"/>
      <c r="EO116" s="35"/>
      <c r="EP116" s="35"/>
      <c r="EQ116" s="35"/>
      <c r="ER116" s="35"/>
      <c r="ES116" s="84"/>
      <c r="ET116" s="35"/>
      <c r="EU116" s="35"/>
      <c r="EV116" s="55" t="s">
        <v>187</v>
      </c>
      <c r="EW116" s="55" t="s">
        <v>30</v>
      </c>
      <c r="EX116" s="55" t="s">
        <v>31</v>
      </c>
      <c r="EY116" s="55"/>
      <c r="EZ116" s="55" t="s">
        <v>32</v>
      </c>
      <c r="FA116" s="56" t="s">
        <v>188</v>
      </c>
      <c r="FB116" s="56" t="s">
        <v>189</v>
      </c>
      <c r="FC116" s="56" t="s">
        <v>190</v>
      </c>
      <c r="FD116" s="56" t="s">
        <v>191</v>
      </c>
      <c r="FE116" s="56"/>
      <c r="FF116" s="57" t="s">
        <v>192</v>
      </c>
      <c r="FG116" s="57" t="s">
        <v>193</v>
      </c>
      <c r="FH116" s="57" t="s">
        <v>194</v>
      </c>
      <c r="FI116" s="57" t="s">
        <v>195</v>
      </c>
      <c r="FJ116" s="58" t="s">
        <v>196</v>
      </c>
      <c r="FK116" s="58"/>
      <c r="FL116" s="58" t="s">
        <v>197</v>
      </c>
      <c r="FM116" s="58" t="s">
        <v>198</v>
      </c>
      <c r="FN116" s="58" t="s">
        <v>199</v>
      </c>
      <c r="FO116" s="42" t="s">
        <v>33</v>
      </c>
      <c r="FP116" s="42" t="s">
        <v>34</v>
      </c>
      <c r="FQ116" s="42"/>
      <c r="FR116" s="42" t="s">
        <v>35</v>
      </c>
      <c r="FS116" s="35"/>
      <c r="FT116" s="35"/>
      <c r="FU116" s="42" t="s">
        <v>36</v>
      </c>
      <c r="FV116" s="59" t="s">
        <v>200</v>
      </c>
      <c r="FW116" s="59"/>
      <c r="FX116" s="59" t="s">
        <v>201</v>
      </c>
      <c r="FY116" s="59" t="s">
        <v>202</v>
      </c>
      <c r="FZ116" s="59" t="s">
        <v>203</v>
      </c>
      <c r="GA116" s="35"/>
      <c r="GB116" s="35"/>
      <c r="GC116" s="35"/>
      <c r="GD116" s="35"/>
      <c r="GE116" s="35"/>
      <c r="GF116" s="35"/>
      <c r="GG116" s="35"/>
      <c r="GH116" s="35"/>
      <c r="GI116" s="35"/>
      <c r="GJ116" s="35"/>
      <c r="GK116" s="35"/>
      <c r="GL116" s="35"/>
      <c r="GM116" s="35"/>
      <c r="GN116" s="35"/>
      <c r="GO116" s="35"/>
      <c r="GP116" s="35"/>
      <c r="GQ116" s="35"/>
      <c r="GR116" s="35"/>
      <c r="GS116" s="35"/>
      <c r="GT116" s="35"/>
      <c r="GU116" s="35"/>
      <c r="GV116" s="35"/>
      <c r="GW116" s="35"/>
      <c r="GX116" s="35"/>
      <c r="GY116" s="35"/>
      <c r="GZ116" s="35"/>
      <c r="HA116" s="35"/>
      <c r="HB116" s="35"/>
      <c r="HC116" s="84"/>
      <c r="HD116" s="84"/>
      <c r="HE116" s="84"/>
      <c r="HF116" s="84"/>
      <c r="HG116" s="84"/>
      <c r="HH116" s="84"/>
      <c r="HI116" s="84"/>
      <c r="HJ116" s="84"/>
      <c r="HK116" s="84"/>
      <c r="HL116" s="84"/>
      <c r="HM116" s="84"/>
      <c r="HN116" s="84"/>
      <c r="HO116" s="84"/>
      <c r="HP116" s="84"/>
      <c r="HQ116" s="84"/>
      <c r="HR116" s="84"/>
      <c r="HS116" s="84"/>
      <c r="HT116" s="84"/>
      <c r="HU116" s="84"/>
      <c r="HV116" s="84"/>
      <c r="HW116" s="84"/>
      <c r="HX116" s="84"/>
      <c r="HY116" s="84"/>
      <c r="HZ116" s="84"/>
      <c r="IA116" s="84"/>
      <c r="IB116" s="84"/>
      <c r="IC116" s="84"/>
      <c r="ID116" s="84"/>
      <c r="IE116" s="84"/>
      <c r="IF116" s="84"/>
      <c r="IG116" s="84"/>
      <c r="IH116" s="84"/>
      <c r="II116" s="84"/>
      <c r="IJ116" s="84"/>
      <c r="IK116" s="84"/>
      <c r="IL116" s="84"/>
      <c r="IM116" s="84"/>
      <c r="IN116" s="84"/>
      <c r="IO116" s="84"/>
      <c r="IP116" s="84"/>
      <c r="IQ116" s="84"/>
      <c r="IR116" s="84"/>
      <c r="IS116" s="84"/>
      <c r="IT116" s="84"/>
      <c r="IU116" s="84"/>
      <c r="IV116" s="84"/>
      <c r="IW116" s="84"/>
    </row>
    <row r="117" spans="2:257" s="28" customFormat="1" ht="14.4">
      <c r="B117" s="30">
        <f t="shared" si="255"/>
        <v>5.2199999999999953</v>
      </c>
      <c r="C117" s="44" t="s">
        <v>98</v>
      </c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84"/>
      <c r="BD117" s="84"/>
      <c r="BE117" s="84"/>
      <c r="BF117" s="84"/>
      <c r="BG117" s="84"/>
      <c r="BH117" s="84"/>
      <c r="BI117" s="84"/>
      <c r="BJ117" s="84"/>
      <c r="BK117" s="84"/>
      <c r="BL117" s="84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84"/>
      <c r="CC117" s="84"/>
      <c r="CD117" s="84"/>
      <c r="CE117" s="84"/>
      <c r="CF117" s="35"/>
      <c r="CG117" s="34"/>
      <c r="CH117" s="34"/>
      <c r="CI117" s="34"/>
      <c r="CJ117" s="34"/>
      <c r="CK117" s="34"/>
      <c r="CL117" s="34"/>
      <c r="CM117" s="34"/>
      <c r="CN117" s="34"/>
      <c r="CO117" s="35"/>
      <c r="CP117" s="35"/>
      <c r="CQ117" s="35"/>
      <c r="CR117" s="84"/>
      <c r="CS117" s="84"/>
      <c r="CT117" s="84"/>
      <c r="CU117" s="84"/>
      <c r="CV117" s="35"/>
      <c r="CW117" s="84"/>
      <c r="CX117" s="35"/>
      <c r="CY117" s="35"/>
      <c r="CZ117" s="35"/>
      <c r="DA117" s="35"/>
      <c r="DB117" s="35"/>
      <c r="DC117" s="84"/>
      <c r="DD117" s="35"/>
      <c r="DE117" s="35"/>
      <c r="DF117" s="35"/>
      <c r="DG117" s="35"/>
      <c r="DH117" s="35"/>
      <c r="DI117" s="84"/>
      <c r="DJ117" s="35"/>
      <c r="DK117" s="35"/>
      <c r="DL117" s="35"/>
      <c r="DM117" s="35"/>
      <c r="DN117" s="35"/>
      <c r="DO117" s="84"/>
      <c r="DP117" s="35"/>
      <c r="DQ117" s="35"/>
      <c r="DR117" s="35"/>
      <c r="DS117" s="35"/>
      <c r="DT117" s="35"/>
      <c r="DU117" s="84"/>
      <c r="DV117" s="35"/>
      <c r="DW117" s="35"/>
      <c r="DX117" s="35"/>
      <c r="DY117" s="35"/>
      <c r="DZ117" s="35"/>
      <c r="EA117" s="84"/>
      <c r="EB117" s="35"/>
      <c r="EC117" s="35"/>
      <c r="ED117" s="35"/>
      <c r="EE117" s="35"/>
      <c r="EF117" s="35"/>
      <c r="EG117" s="84"/>
      <c r="EH117" s="35"/>
      <c r="EI117" s="35"/>
      <c r="EJ117" s="35"/>
      <c r="EK117" s="35"/>
      <c r="EL117" s="35"/>
      <c r="EM117" s="84"/>
      <c r="EN117" s="35"/>
      <c r="EO117" s="35"/>
      <c r="EP117" s="35"/>
      <c r="EQ117" s="35"/>
      <c r="ER117" s="35"/>
      <c r="ES117" s="84"/>
      <c r="ET117" s="35"/>
      <c r="EU117" s="35"/>
      <c r="EV117" s="35"/>
      <c r="EW117" s="55" t="s">
        <v>187</v>
      </c>
      <c r="EX117" s="55" t="s">
        <v>30</v>
      </c>
      <c r="EY117" s="55"/>
      <c r="EZ117" s="55" t="s">
        <v>31</v>
      </c>
      <c r="FA117" s="55" t="s">
        <v>32</v>
      </c>
      <c r="FB117" s="56" t="s">
        <v>188</v>
      </c>
      <c r="FC117" s="56" t="s">
        <v>189</v>
      </c>
      <c r="FD117" s="56" t="s">
        <v>190</v>
      </c>
      <c r="FE117" s="56"/>
      <c r="FF117" s="56" t="s">
        <v>191</v>
      </c>
      <c r="FG117" s="57" t="s">
        <v>192</v>
      </c>
      <c r="FH117" s="57" t="s">
        <v>193</v>
      </c>
      <c r="FI117" s="57" t="s">
        <v>194</v>
      </c>
      <c r="FJ117" s="57" t="s">
        <v>195</v>
      </c>
      <c r="FK117" s="57"/>
      <c r="FL117" s="58" t="s">
        <v>196</v>
      </c>
      <c r="FM117" s="58" t="s">
        <v>197</v>
      </c>
      <c r="FN117" s="58" t="s">
        <v>198</v>
      </c>
      <c r="FO117" s="58" t="s">
        <v>199</v>
      </c>
      <c r="FP117" s="42" t="s">
        <v>33</v>
      </c>
      <c r="FQ117" s="42"/>
      <c r="FR117" s="42" t="s">
        <v>34</v>
      </c>
      <c r="FS117" s="35"/>
      <c r="FT117" s="35"/>
      <c r="FU117" s="42" t="s">
        <v>35</v>
      </c>
      <c r="FV117" s="42" t="s">
        <v>36</v>
      </c>
      <c r="FW117" s="59"/>
      <c r="FX117" s="59" t="s">
        <v>200</v>
      </c>
      <c r="FY117" s="59" t="s">
        <v>201</v>
      </c>
      <c r="FZ117" s="59" t="s">
        <v>202</v>
      </c>
      <c r="GA117" s="59" t="s">
        <v>203</v>
      </c>
      <c r="GB117" s="35"/>
      <c r="GC117" s="35"/>
      <c r="GD117" s="35"/>
      <c r="GE117" s="35"/>
      <c r="GF117" s="35"/>
      <c r="GG117" s="35"/>
      <c r="GH117" s="35"/>
      <c r="GI117" s="35"/>
      <c r="GJ117" s="35"/>
      <c r="GK117" s="35"/>
      <c r="GL117" s="35"/>
      <c r="GM117" s="35"/>
      <c r="GN117" s="35"/>
      <c r="GO117" s="35"/>
      <c r="GP117" s="35"/>
      <c r="GQ117" s="35"/>
      <c r="GR117" s="35"/>
      <c r="GS117" s="35"/>
      <c r="GT117" s="35"/>
      <c r="GU117" s="35"/>
      <c r="GV117" s="35"/>
      <c r="GW117" s="35"/>
      <c r="GX117" s="35"/>
      <c r="GY117" s="35"/>
      <c r="GZ117" s="35"/>
      <c r="HA117" s="35"/>
      <c r="HB117" s="35"/>
      <c r="HC117" s="84"/>
      <c r="HD117" s="84"/>
      <c r="HE117" s="84"/>
      <c r="HF117" s="84"/>
      <c r="HG117" s="84"/>
      <c r="HH117" s="84"/>
      <c r="HI117" s="84"/>
      <c r="HJ117" s="84"/>
      <c r="HK117" s="84"/>
      <c r="HL117" s="84"/>
      <c r="HM117" s="84"/>
      <c r="HN117" s="84"/>
      <c r="HO117" s="84"/>
      <c r="HP117" s="84"/>
      <c r="HQ117" s="84"/>
      <c r="HR117" s="84"/>
      <c r="HS117" s="84"/>
      <c r="HT117" s="84"/>
      <c r="HU117" s="84"/>
      <c r="HV117" s="84"/>
      <c r="HW117" s="84"/>
      <c r="HX117" s="84"/>
      <c r="HY117" s="84"/>
      <c r="HZ117" s="84"/>
      <c r="IA117" s="84"/>
      <c r="IB117" s="84"/>
      <c r="IC117" s="84"/>
      <c r="ID117" s="84"/>
      <c r="IE117" s="84"/>
      <c r="IF117" s="84"/>
      <c r="IG117" s="84"/>
      <c r="IH117" s="84"/>
      <c r="II117" s="84"/>
      <c r="IJ117" s="84"/>
      <c r="IK117" s="84"/>
      <c r="IL117" s="84"/>
      <c r="IM117" s="84"/>
      <c r="IN117" s="84"/>
      <c r="IO117" s="84"/>
      <c r="IP117" s="84"/>
      <c r="IQ117" s="84"/>
      <c r="IR117" s="84"/>
      <c r="IS117" s="84"/>
      <c r="IT117" s="84"/>
      <c r="IU117" s="84"/>
      <c r="IV117" s="84"/>
      <c r="IW117" s="84"/>
    </row>
    <row r="118" spans="2:257" s="28" customFormat="1" ht="14.4">
      <c r="B118" s="30">
        <f t="shared" si="255"/>
        <v>5.2299999999999951</v>
      </c>
      <c r="C118" s="38" t="s">
        <v>99</v>
      </c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84"/>
      <c r="BD118" s="84"/>
      <c r="BE118" s="84"/>
      <c r="BF118" s="84"/>
      <c r="BG118" s="84"/>
      <c r="BH118" s="84"/>
      <c r="BI118" s="84"/>
      <c r="BJ118" s="84"/>
      <c r="BK118" s="84"/>
      <c r="BL118" s="84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B118" s="84"/>
      <c r="CC118" s="84"/>
      <c r="CD118" s="84"/>
      <c r="CE118" s="84"/>
      <c r="CF118" s="35"/>
      <c r="CG118" s="34"/>
      <c r="CH118" s="34"/>
      <c r="CI118" s="34"/>
      <c r="CJ118" s="34"/>
      <c r="CK118" s="34"/>
      <c r="CL118" s="34"/>
      <c r="CM118" s="34"/>
      <c r="CN118" s="34"/>
      <c r="CO118" s="35"/>
      <c r="CP118" s="35"/>
      <c r="CQ118" s="35"/>
      <c r="CR118" s="84"/>
      <c r="CS118" s="84"/>
      <c r="CT118" s="84"/>
      <c r="CU118" s="84"/>
      <c r="CV118" s="35"/>
      <c r="CW118" s="84"/>
      <c r="CX118" s="35"/>
      <c r="CY118" s="35"/>
      <c r="CZ118" s="35"/>
      <c r="DA118" s="35"/>
      <c r="DB118" s="35"/>
      <c r="DC118" s="84"/>
      <c r="DD118" s="35"/>
      <c r="DE118" s="35"/>
      <c r="DF118" s="35"/>
      <c r="DG118" s="35"/>
      <c r="DH118" s="35"/>
      <c r="DI118" s="84"/>
      <c r="DJ118" s="35"/>
      <c r="DK118" s="35"/>
      <c r="DL118" s="35"/>
      <c r="DM118" s="35"/>
      <c r="DN118" s="35"/>
      <c r="DO118" s="84"/>
      <c r="DP118" s="35"/>
      <c r="DQ118" s="35"/>
      <c r="DR118" s="35"/>
      <c r="DS118" s="35"/>
      <c r="DT118" s="35"/>
      <c r="DU118" s="84"/>
      <c r="DV118" s="35"/>
      <c r="DW118" s="35"/>
      <c r="DX118" s="35"/>
      <c r="DY118" s="35"/>
      <c r="DZ118" s="35"/>
      <c r="EA118" s="84"/>
      <c r="EB118" s="35"/>
      <c r="EC118" s="35"/>
      <c r="ED118" s="35"/>
      <c r="EE118" s="35"/>
      <c r="EF118" s="35"/>
      <c r="EG118" s="84"/>
      <c r="EH118" s="35"/>
      <c r="EI118" s="35"/>
      <c r="EJ118" s="35"/>
      <c r="EK118" s="35"/>
      <c r="EL118" s="35"/>
      <c r="EM118" s="84"/>
      <c r="EN118" s="35"/>
      <c r="EO118" s="35"/>
      <c r="EP118" s="35"/>
      <c r="EQ118" s="35"/>
      <c r="ER118" s="35"/>
      <c r="ES118" s="84"/>
      <c r="ET118" s="35"/>
      <c r="EU118" s="35"/>
      <c r="EV118" s="35"/>
      <c r="EW118" s="35"/>
      <c r="EX118" s="55" t="s">
        <v>187</v>
      </c>
      <c r="EY118" s="55"/>
      <c r="EZ118" s="55" t="s">
        <v>30</v>
      </c>
      <c r="FA118" s="55" t="s">
        <v>31</v>
      </c>
      <c r="FB118" s="55" t="s">
        <v>32</v>
      </c>
      <c r="FC118" s="56" t="s">
        <v>188</v>
      </c>
      <c r="FD118" s="56" t="s">
        <v>189</v>
      </c>
      <c r="FE118" s="56"/>
      <c r="FF118" s="56" t="s">
        <v>190</v>
      </c>
      <c r="FG118" s="56" t="s">
        <v>191</v>
      </c>
      <c r="FH118" s="57" t="s">
        <v>192</v>
      </c>
      <c r="FI118" s="57" t="s">
        <v>193</v>
      </c>
      <c r="FJ118" s="57" t="s">
        <v>194</v>
      </c>
      <c r="FK118" s="57"/>
      <c r="FL118" s="57" t="s">
        <v>195</v>
      </c>
      <c r="FM118" s="58" t="s">
        <v>196</v>
      </c>
      <c r="FN118" s="58" t="s">
        <v>197</v>
      </c>
      <c r="FO118" s="58" t="s">
        <v>198</v>
      </c>
      <c r="FP118" s="58" t="s">
        <v>199</v>
      </c>
      <c r="FQ118" s="58"/>
      <c r="FR118" s="42" t="s">
        <v>33</v>
      </c>
      <c r="FS118" s="35"/>
      <c r="FT118" s="35"/>
      <c r="FU118" s="42" t="s">
        <v>34</v>
      </c>
      <c r="FV118" s="42" t="s">
        <v>35</v>
      </c>
      <c r="FW118" s="42"/>
      <c r="FX118" s="42" t="s">
        <v>36</v>
      </c>
      <c r="FY118" s="59" t="s">
        <v>200</v>
      </c>
      <c r="FZ118" s="59" t="s">
        <v>201</v>
      </c>
      <c r="GA118" s="59" t="s">
        <v>202</v>
      </c>
      <c r="GB118" s="59" t="s">
        <v>203</v>
      </c>
      <c r="GC118" s="35"/>
      <c r="GD118" s="35"/>
      <c r="GE118" s="35"/>
      <c r="GF118" s="35"/>
      <c r="GG118" s="35"/>
      <c r="GH118" s="35"/>
      <c r="GI118" s="35"/>
      <c r="GJ118" s="35"/>
      <c r="GK118" s="35"/>
      <c r="GL118" s="35"/>
      <c r="GM118" s="35"/>
      <c r="GN118" s="35"/>
      <c r="GO118" s="35"/>
      <c r="GP118" s="35"/>
      <c r="GQ118" s="35"/>
      <c r="GR118" s="35"/>
      <c r="GS118" s="35"/>
      <c r="GT118" s="35"/>
      <c r="GU118" s="35"/>
      <c r="GV118" s="35"/>
      <c r="GW118" s="35"/>
      <c r="GX118" s="35"/>
      <c r="GY118" s="35"/>
      <c r="GZ118" s="35"/>
      <c r="HA118" s="35"/>
      <c r="HB118" s="35"/>
      <c r="HC118" s="84"/>
      <c r="HD118" s="84"/>
      <c r="HE118" s="84"/>
      <c r="HF118" s="84"/>
      <c r="HG118" s="84"/>
      <c r="HH118" s="84"/>
      <c r="HI118" s="84"/>
      <c r="HJ118" s="84"/>
      <c r="HK118" s="84"/>
      <c r="HL118" s="84"/>
      <c r="HM118" s="84"/>
      <c r="HN118" s="84"/>
      <c r="HO118" s="84"/>
      <c r="HP118" s="84"/>
      <c r="HQ118" s="84"/>
      <c r="HR118" s="84"/>
      <c r="HS118" s="84"/>
      <c r="HT118" s="84"/>
      <c r="HU118" s="84"/>
      <c r="HV118" s="84"/>
      <c r="HW118" s="84"/>
      <c r="HX118" s="84"/>
      <c r="HY118" s="84"/>
      <c r="HZ118" s="84"/>
      <c r="IA118" s="84"/>
      <c r="IB118" s="84"/>
      <c r="IC118" s="84"/>
      <c r="ID118" s="84"/>
      <c r="IE118" s="84"/>
      <c r="IF118" s="84"/>
      <c r="IG118" s="84"/>
      <c r="IH118" s="84"/>
      <c r="II118" s="84"/>
      <c r="IJ118" s="84"/>
      <c r="IK118" s="84"/>
      <c r="IL118" s="84"/>
      <c r="IM118" s="84"/>
      <c r="IN118" s="84"/>
      <c r="IO118" s="84"/>
      <c r="IP118" s="84"/>
      <c r="IQ118" s="84"/>
      <c r="IR118" s="84"/>
      <c r="IS118" s="84"/>
      <c r="IT118" s="84"/>
      <c r="IU118" s="84"/>
      <c r="IV118" s="84"/>
      <c r="IW118" s="84"/>
    </row>
    <row r="119" spans="2:257" s="28" customFormat="1" ht="14.4">
      <c r="B119" s="30">
        <f t="shared" si="255"/>
        <v>5.2399999999999949</v>
      </c>
      <c r="C119" s="44" t="s">
        <v>100</v>
      </c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84"/>
      <c r="CC119" s="84"/>
      <c r="CD119" s="84"/>
      <c r="CE119" s="84"/>
      <c r="CF119" s="35"/>
      <c r="CG119" s="34"/>
      <c r="CH119" s="34"/>
      <c r="CI119" s="34"/>
      <c r="CJ119" s="34"/>
      <c r="CK119" s="34"/>
      <c r="CL119" s="34"/>
      <c r="CM119" s="34"/>
      <c r="CN119" s="34"/>
      <c r="CO119" s="35"/>
      <c r="CP119" s="35"/>
      <c r="CQ119" s="35"/>
      <c r="CR119" s="84"/>
      <c r="CS119" s="84"/>
      <c r="CT119" s="84"/>
      <c r="CU119" s="84"/>
      <c r="CV119" s="35"/>
      <c r="CW119" s="84"/>
      <c r="CX119" s="35"/>
      <c r="CY119" s="35"/>
      <c r="CZ119" s="35"/>
      <c r="DA119" s="35"/>
      <c r="DB119" s="35"/>
      <c r="DC119" s="84"/>
      <c r="DD119" s="35"/>
      <c r="DE119" s="35"/>
      <c r="DF119" s="35"/>
      <c r="DG119" s="35"/>
      <c r="DH119" s="35"/>
      <c r="DI119" s="84"/>
      <c r="DJ119" s="35"/>
      <c r="DK119" s="35"/>
      <c r="DL119" s="35"/>
      <c r="DM119" s="35"/>
      <c r="DN119" s="35"/>
      <c r="DO119" s="84"/>
      <c r="DP119" s="35"/>
      <c r="DQ119" s="35"/>
      <c r="DR119" s="35"/>
      <c r="DS119" s="35"/>
      <c r="DT119" s="35"/>
      <c r="DU119" s="84"/>
      <c r="DV119" s="35"/>
      <c r="DW119" s="35"/>
      <c r="DX119" s="35"/>
      <c r="DY119" s="35"/>
      <c r="DZ119" s="35"/>
      <c r="EA119" s="84"/>
      <c r="EB119" s="35"/>
      <c r="EC119" s="35"/>
      <c r="ED119" s="35"/>
      <c r="EE119" s="35"/>
      <c r="EF119" s="35"/>
      <c r="EG119" s="84"/>
      <c r="EH119" s="35"/>
      <c r="EI119" s="35"/>
      <c r="EJ119" s="35"/>
      <c r="EK119" s="35"/>
      <c r="EL119" s="35"/>
      <c r="EM119" s="84"/>
      <c r="EN119" s="35"/>
      <c r="EO119" s="35"/>
      <c r="EP119" s="35"/>
      <c r="EQ119" s="35"/>
      <c r="ER119" s="35"/>
      <c r="ES119" s="84"/>
      <c r="ET119" s="35"/>
      <c r="EU119" s="35"/>
      <c r="EV119" s="35"/>
      <c r="EW119" s="35"/>
      <c r="EX119" s="55" t="s">
        <v>187</v>
      </c>
      <c r="EY119" s="55"/>
      <c r="EZ119" s="55" t="s">
        <v>30</v>
      </c>
      <c r="FA119" s="55" t="s">
        <v>31</v>
      </c>
      <c r="FB119" s="55" t="s">
        <v>32</v>
      </c>
      <c r="FC119" s="56" t="s">
        <v>188</v>
      </c>
      <c r="FD119" s="56" t="s">
        <v>189</v>
      </c>
      <c r="FE119" s="56"/>
      <c r="FF119" s="56" t="s">
        <v>190</v>
      </c>
      <c r="FG119" s="56" t="s">
        <v>191</v>
      </c>
      <c r="FH119" s="57" t="s">
        <v>192</v>
      </c>
      <c r="FI119" s="57" t="s">
        <v>193</v>
      </c>
      <c r="FJ119" s="57" t="s">
        <v>194</v>
      </c>
      <c r="FK119" s="57"/>
      <c r="FL119" s="57" t="s">
        <v>195</v>
      </c>
      <c r="FM119" s="58" t="s">
        <v>196</v>
      </c>
      <c r="FN119" s="58" t="s">
        <v>197</v>
      </c>
      <c r="FO119" s="58" t="s">
        <v>198</v>
      </c>
      <c r="FP119" s="58" t="s">
        <v>199</v>
      </c>
      <c r="FQ119" s="58"/>
      <c r="FR119" s="42" t="s">
        <v>33</v>
      </c>
      <c r="FS119" s="35"/>
      <c r="FT119" s="35"/>
      <c r="FU119" s="42" t="s">
        <v>34</v>
      </c>
      <c r="FV119" s="42" t="s">
        <v>35</v>
      </c>
      <c r="FW119" s="42"/>
      <c r="FX119" s="42" t="s">
        <v>36</v>
      </c>
      <c r="FY119" s="59" t="s">
        <v>200</v>
      </c>
      <c r="FZ119" s="59" t="s">
        <v>201</v>
      </c>
      <c r="GA119" s="59" t="s">
        <v>202</v>
      </c>
      <c r="GB119" s="59" t="s">
        <v>203</v>
      </c>
      <c r="GC119" s="35"/>
      <c r="GD119" s="35"/>
      <c r="GE119" s="35"/>
      <c r="GF119" s="35"/>
      <c r="GG119" s="35"/>
      <c r="GH119" s="35"/>
      <c r="GI119" s="35"/>
      <c r="GJ119" s="35"/>
      <c r="GK119" s="35"/>
      <c r="GL119" s="35"/>
      <c r="GM119" s="35"/>
      <c r="GN119" s="35"/>
      <c r="GO119" s="35"/>
      <c r="GP119" s="35"/>
      <c r="GQ119" s="35"/>
      <c r="GR119" s="35"/>
      <c r="GS119" s="35"/>
      <c r="GT119" s="35"/>
      <c r="GU119" s="35"/>
      <c r="GV119" s="35"/>
      <c r="GW119" s="35"/>
      <c r="GX119" s="35"/>
      <c r="GY119" s="35"/>
      <c r="GZ119" s="35"/>
      <c r="HA119" s="35"/>
      <c r="HB119" s="35"/>
      <c r="HC119" s="84"/>
      <c r="HD119" s="84"/>
      <c r="HE119" s="84"/>
      <c r="HF119" s="84"/>
      <c r="HG119" s="84"/>
      <c r="HH119" s="84"/>
      <c r="HI119" s="84"/>
      <c r="HJ119" s="84"/>
      <c r="HK119" s="84"/>
      <c r="HL119" s="84"/>
      <c r="HM119" s="84"/>
      <c r="HN119" s="84"/>
      <c r="HO119" s="84"/>
      <c r="HP119" s="84"/>
      <c r="HQ119" s="84"/>
      <c r="HR119" s="84"/>
      <c r="HS119" s="84"/>
      <c r="HT119" s="84"/>
      <c r="HU119" s="84"/>
      <c r="HV119" s="84"/>
      <c r="HW119" s="84"/>
      <c r="HX119" s="84"/>
      <c r="HY119" s="84"/>
      <c r="HZ119" s="84"/>
      <c r="IA119" s="84"/>
      <c r="IB119" s="84"/>
      <c r="IC119" s="84"/>
      <c r="ID119" s="84"/>
      <c r="IE119" s="84"/>
      <c r="IF119" s="84"/>
      <c r="IG119" s="84"/>
      <c r="IH119" s="84"/>
      <c r="II119" s="84"/>
      <c r="IJ119" s="84"/>
      <c r="IK119" s="84"/>
      <c r="IL119" s="84"/>
      <c r="IM119" s="84"/>
      <c r="IN119" s="84"/>
      <c r="IO119" s="84"/>
      <c r="IP119" s="84"/>
      <c r="IQ119" s="84"/>
      <c r="IR119" s="84"/>
      <c r="IS119" s="84"/>
      <c r="IT119" s="84"/>
      <c r="IU119" s="84"/>
      <c r="IV119" s="84"/>
      <c r="IW119" s="84"/>
    </row>
    <row r="120" spans="2:257" s="28" customFormat="1" ht="14.4">
      <c r="B120" s="30">
        <f t="shared" si="255"/>
        <v>5.2499999999999947</v>
      </c>
      <c r="C120" s="44" t="s">
        <v>101</v>
      </c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84"/>
      <c r="CC120" s="84"/>
      <c r="CD120" s="84"/>
      <c r="CE120" s="84"/>
      <c r="CF120" s="35"/>
      <c r="CG120" s="34"/>
      <c r="CH120" s="34"/>
      <c r="CI120" s="34"/>
      <c r="CJ120" s="34"/>
      <c r="CK120" s="34"/>
      <c r="CL120" s="34"/>
      <c r="CM120" s="34"/>
      <c r="CN120" s="34"/>
      <c r="CO120" s="35"/>
      <c r="CP120" s="35"/>
      <c r="CQ120" s="35"/>
      <c r="CR120" s="84"/>
      <c r="CS120" s="84"/>
      <c r="CT120" s="84"/>
      <c r="CU120" s="84"/>
      <c r="CV120" s="35"/>
      <c r="CW120" s="84"/>
      <c r="CX120" s="35"/>
      <c r="CY120" s="35"/>
      <c r="CZ120" s="35"/>
      <c r="DA120" s="35"/>
      <c r="DB120" s="35"/>
      <c r="DC120" s="84"/>
      <c r="DD120" s="35"/>
      <c r="DE120" s="35"/>
      <c r="DF120" s="35"/>
      <c r="DG120" s="35"/>
      <c r="DH120" s="35"/>
      <c r="DI120" s="84"/>
      <c r="DJ120" s="35"/>
      <c r="DK120" s="35"/>
      <c r="DL120" s="35"/>
      <c r="DM120" s="35"/>
      <c r="DN120" s="35"/>
      <c r="DO120" s="84"/>
      <c r="DP120" s="35"/>
      <c r="DQ120" s="35"/>
      <c r="DR120" s="35"/>
      <c r="DS120" s="35"/>
      <c r="DT120" s="35"/>
      <c r="DU120" s="84"/>
      <c r="DV120" s="35"/>
      <c r="DW120" s="35"/>
      <c r="DX120" s="35"/>
      <c r="DY120" s="35"/>
      <c r="DZ120" s="35"/>
      <c r="EA120" s="84"/>
      <c r="EB120" s="35"/>
      <c r="EC120" s="35"/>
      <c r="ED120" s="35"/>
      <c r="EE120" s="35"/>
      <c r="EF120" s="35"/>
      <c r="EG120" s="84"/>
      <c r="EH120" s="35"/>
      <c r="EI120" s="35"/>
      <c r="EJ120" s="35"/>
      <c r="EK120" s="35"/>
      <c r="EL120" s="35"/>
      <c r="EM120" s="84"/>
      <c r="EN120" s="35"/>
      <c r="EO120" s="35"/>
      <c r="EP120" s="35"/>
      <c r="EQ120" s="35"/>
      <c r="ER120" s="35"/>
      <c r="ES120" s="84"/>
      <c r="ET120" s="35"/>
      <c r="EU120" s="35"/>
      <c r="EV120" s="35"/>
      <c r="EW120" s="35"/>
      <c r="EX120" s="35"/>
      <c r="EY120" s="84"/>
      <c r="EZ120" s="55" t="s">
        <v>187</v>
      </c>
      <c r="FA120" s="55" t="s">
        <v>30</v>
      </c>
      <c r="FB120" s="55" t="s">
        <v>31</v>
      </c>
      <c r="FC120" s="55" t="s">
        <v>32</v>
      </c>
      <c r="FD120" s="56" t="s">
        <v>188</v>
      </c>
      <c r="FE120" s="56"/>
      <c r="FF120" s="56" t="s">
        <v>189</v>
      </c>
      <c r="FG120" s="56" t="s">
        <v>190</v>
      </c>
      <c r="FH120" s="56" t="s">
        <v>191</v>
      </c>
      <c r="FI120" s="57" t="s">
        <v>192</v>
      </c>
      <c r="FJ120" s="57" t="s">
        <v>193</v>
      </c>
      <c r="FK120" s="57"/>
      <c r="FL120" s="57" t="s">
        <v>194</v>
      </c>
      <c r="FM120" s="57" t="s">
        <v>195</v>
      </c>
      <c r="FN120" s="58" t="s">
        <v>196</v>
      </c>
      <c r="FO120" s="58" t="s">
        <v>197</v>
      </c>
      <c r="FP120" s="58" t="s">
        <v>198</v>
      </c>
      <c r="FQ120" s="58"/>
      <c r="FR120" s="58" t="s">
        <v>199</v>
      </c>
      <c r="FS120" s="35"/>
      <c r="FT120" s="35"/>
      <c r="FU120" s="42" t="s">
        <v>33</v>
      </c>
      <c r="FV120" s="42" t="s">
        <v>34</v>
      </c>
      <c r="FW120" s="42"/>
      <c r="FX120" s="42" t="s">
        <v>35</v>
      </c>
      <c r="FY120" s="42" t="s">
        <v>36</v>
      </c>
      <c r="FZ120" s="59" t="s">
        <v>200</v>
      </c>
      <c r="GA120" s="59" t="s">
        <v>201</v>
      </c>
      <c r="GB120" s="59" t="s">
        <v>202</v>
      </c>
      <c r="GC120" s="59"/>
      <c r="GD120" s="59" t="s">
        <v>203</v>
      </c>
      <c r="GE120" s="35"/>
      <c r="GF120" s="35"/>
      <c r="GG120" s="35"/>
      <c r="GH120" s="35"/>
      <c r="GI120" s="35"/>
      <c r="GJ120" s="35"/>
      <c r="GK120" s="35"/>
      <c r="GL120" s="35"/>
      <c r="GM120" s="35"/>
      <c r="GN120" s="35"/>
      <c r="GO120" s="35"/>
      <c r="GP120" s="35"/>
      <c r="GQ120" s="35"/>
      <c r="GR120" s="35"/>
      <c r="GS120" s="35"/>
      <c r="GT120" s="35"/>
      <c r="GU120" s="35"/>
      <c r="GV120" s="35"/>
      <c r="GW120" s="35"/>
      <c r="GX120" s="35"/>
      <c r="GY120" s="35"/>
      <c r="GZ120" s="35"/>
      <c r="HA120" s="35"/>
      <c r="HB120" s="35"/>
      <c r="HC120" s="35"/>
      <c r="HD120" s="84"/>
      <c r="HE120" s="84"/>
      <c r="HF120" s="84"/>
      <c r="HG120" s="84"/>
      <c r="HH120" s="84"/>
      <c r="HI120" s="84"/>
      <c r="HJ120" s="84"/>
      <c r="HK120" s="84"/>
      <c r="HL120" s="84"/>
      <c r="HM120" s="84"/>
      <c r="HN120" s="84"/>
      <c r="HO120" s="84"/>
      <c r="HP120" s="84"/>
      <c r="HQ120" s="84"/>
      <c r="HR120" s="84"/>
      <c r="HS120" s="84"/>
      <c r="HT120" s="84"/>
      <c r="HU120" s="84"/>
      <c r="HV120" s="84"/>
      <c r="HW120" s="84"/>
      <c r="HX120" s="84"/>
      <c r="HY120" s="84"/>
      <c r="HZ120" s="84"/>
      <c r="IA120" s="84"/>
      <c r="IB120" s="84"/>
      <c r="IC120" s="84"/>
      <c r="ID120" s="84"/>
      <c r="IE120" s="84"/>
      <c r="IF120" s="84"/>
      <c r="IG120" s="84"/>
      <c r="IH120" s="84"/>
      <c r="II120" s="84"/>
      <c r="IJ120" s="84"/>
      <c r="IK120" s="84"/>
      <c r="IL120" s="84"/>
      <c r="IM120" s="84"/>
      <c r="IN120" s="84"/>
      <c r="IO120" s="84"/>
      <c r="IP120" s="84"/>
      <c r="IQ120" s="84"/>
      <c r="IR120" s="84"/>
      <c r="IS120" s="84"/>
      <c r="IT120" s="84"/>
      <c r="IU120" s="84"/>
      <c r="IV120" s="84"/>
      <c r="IW120" s="84"/>
    </row>
    <row r="121" spans="2:257" s="28" customFormat="1" ht="14.4">
      <c r="B121" s="30">
        <f t="shared" si="255"/>
        <v>5.2599999999999945</v>
      </c>
      <c r="C121" s="38" t="s">
        <v>102</v>
      </c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84"/>
      <c r="CC121" s="84"/>
      <c r="CD121" s="84"/>
      <c r="CE121" s="84"/>
      <c r="CF121" s="35"/>
      <c r="CG121" s="34"/>
      <c r="CH121" s="34"/>
      <c r="CI121" s="34"/>
      <c r="CJ121" s="34"/>
      <c r="CK121" s="34"/>
      <c r="CL121" s="34"/>
      <c r="CM121" s="34"/>
      <c r="CN121" s="34"/>
      <c r="CO121" s="35"/>
      <c r="CP121" s="35"/>
      <c r="CQ121" s="35"/>
      <c r="CR121" s="84"/>
      <c r="CS121" s="84"/>
      <c r="CT121" s="84"/>
      <c r="CU121" s="84"/>
      <c r="CV121" s="35"/>
      <c r="CW121" s="84"/>
      <c r="CX121" s="35"/>
      <c r="CY121" s="35"/>
      <c r="CZ121" s="35"/>
      <c r="DA121" s="35"/>
      <c r="DB121" s="35"/>
      <c r="DC121" s="84"/>
      <c r="DD121" s="35"/>
      <c r="DE121" s="35"/>
      <c r="DF121" s="35"/>
      <c r="DG121" s="35"/>
      <c r="DH121" s="35"/>
      <c r="DI121" s="84"/>
      <c r="DJ121" s="35"/>
      <c r="DK121" s="35"/>
      <c r="DL121" s="35"/>
      <c r="DM121" s="35"/>
      <c r="DN121" s="35"/>
      <c r="DO121" s="84"/>
      <c r="DP121" s="35"/>
      <c r="DQ121" s="35"/>
      <c r="DR121" s="35"/>
      <c r="DS121" s="35"/>
      <c r="DT121" s="35"/>
      <c r="DU121" s="84"/>
      <c r="DV121" s="35"/>
      <c r="DW121" s="35"/>
      <c r="DX121" s="35"/>
      <c r="DY121" s="35"/>
      <c r="DZ121" s="35"/>
      <c r="EA121" s="84"/>
      <c r="EB121" s="35"/>
      <c r="EC121" s="35"/>
      <c r="ED121" s="35"/>
      <c r="EE121" s="35"/>
      <c r="EF121" s="35"/>
      <c r="EG121" s="84"/>
      <c r="EH121" s="35"/>
      <c r="EI121" s="35"/>
      <c r="EJ121" s="35"/>
      <c r="EK121" s="35"/>
      <c r="EL121" s="35"/>
      <c r="EM121" s="84"/>
      <c r="EN121" s="35"/>
      <c r="EO121" s="35"/>
      <c r="EP121" s="35"/>
      <c r="EQ121" s="35"/>
      <c r="ER121" s="35"/>
      <c r="ES121" s="84"/>
      <c r="ET121" s="35"/>
      <c r="EU121" s="35"/>
      <c r="EV121" s="35"/>
      <c r="EW121" s="35"/>
      <c r="EX121" s="35"/>
      <c r="EY121" s="84"/>
      <c r="EZ121" s="35"/>
      <c r="FA121" s="55" t="s">
        <v>187</v>
      </c>
      <c r="FB121" s="55" t="s">
        <v>30</v>
      </c>
      <c r="FC121" s="55" t="s">
        <v>31</v>
      </c>
      <c r="FD121" s="55" t="s">
        <v>32</v>
      </c>
      <c r="FE121" s="55"/>
      <c r="FF121" s="56" t="s">
        <v>188</v>
      </c>
      <c r="FG121" s="56" t="s">
        <v>189</v>
      </c>
      <c r="FH121" s="56" t="s">
        <v>190</v>
      </c>
      <c r="FI121" s="56" t="s">
        <v>191</v>
      </c>
      <c r="FJ121" s="57" t="s">
        <v>192</v>
      </c>
      <c r="FK121" s="57"/>
      <c r="FL121" s="57" t="s">
        <v>193</v>
      </c>
      <c r="FM121" s="57" t="s">
        <v>194</v>
      </c>
      <c r="FN121" s="57" t="s">
        <v>195</v>
      </c>
      <c r="FO121" s="58" t="s">
        <v>196</v>
      </c>
      <c r="FP121" s="58" t="s">
        <v>197</v>
      </c>
      <c r="FQ121" s="58"/>
      <c r="FR121" s="58" t="s">
        <v>198</v>
      </c>
      <c r="FS121" s="35"/>
      <c r="FT121" s="35"/>
      <c r="FU121" s="58" t="s">
        <v>199</v>
      </c>
      <c r="FV121" s="42" t="s">
        <v>33</v>
      </c>
      <c r="FW121" s="42"/>
      <c r="FX121" s="42" t="s">
        <v>34</v>
      </c>
      <c r="FY121" s="42" t="s">
        <v>35</v>
      </c>
      <c r="FZ121" s="42" t="s">
        <v>36</v>
      </c>
      <c r="GA121" s="59" t="s">
        <v>200</v>
      </c>
      <c r="GB121" s="59" t="s">
        <v>201</v>
      </c>
      <c r="GC121" s="59"/>
      <c r="GD121" s="59" t="s">
        <v>202</v>
      </c>
      <c r="GE121" s="59" t="s">
        <v>203</v>
      </c>
      <c r="GF121" s="35"/>
      <c r="GG121" s="35"/>
      <c r="GH121" s="35"/>
      <c r="GI121" s="35"/>
      <c r="GJ121" s="35"/>
      <c r="GK121" s="35"/>
      <c r="GL121" s="35"/>
      <c r="GM121" s="35"/>
      <c r="GN121" s="35"/>
      <c r="GO121" s="35"/>
      <c r="GP121" s="35"/>
      <c r="GQ121" s="35"/>
      <c r="GR121" s="35"/>
      <c r="GS121" s="35"/>
      <c r="GT121" s="35"/>
      <c r="GU121" s="35"/>
      <c r="GV121" s="35"/>
      <c r="GW121" s="35"/>
      <c r="GX121" s="35"/>
      <c r="GY121" s="35"/>
      <c r="GZ121" s="35"/>
      <c r="HA121" s="35"/>
      <c r="HB121" s="35"/>
      <c r="HC121" s="35"/>
      <c r="HD121" s="84"/>
      <c r="HE121" s="84"/>
      <c r="HF121" s="84"/>
      <c r="HG121" s="84"/>
      <c r="HH121" s="84"/>
      <c r="HI121" s="84"/>
      <c r="HJ121" s="84"/>
      <c r="HK121" s="84"/>
      <c r="HL121" s="84"/>
      <c r="HM121" s="84"/>
      <c r="HN121" s="84"/>
      <c r="HO121" s="84"/>
      <c r="HP121" s="84"/>
      <c r="HQ121" s="84"/>
      <c r="HR121" s="84"/>
      <c r="HS121" s="84"/>
      <c r="HT121" s="84"/>
      <c r="HU121" s="84"/>
      <c r="HV121" s="84"/>
      <c r="HW121" s="84"/>
      <c r="HX121" s="84"/>
      <c r="HY121" s="84"/>
      <c r="HZ121" s="84"/>
      <c r="IA121" s="84"/>
      <c r="IB121" s="84"/>
      <c r="IC121" s="84"/>
      <c r="ID121" s="84"/>
      <c r="IE121" s="84"/>
      <c r="IF121" s="84"/>
      <c r="IG121" s="84"/>
      <c r="IH121" s="84"/>
      <c r="II121" s="84"/>
      <c r="IJ121" s="84"/>
      <c r="IK121" s="84"/>
      <c r="IL121" s="84"/>
      <c r="IM121" s="84"/>
      <c r="IN121" s="84"/>
      <c r="IO121" s="84"/>
      <c r="IP121" s="84"/>
      <c r="IQ121" s="84"/>
      <c r="IR121" s="84"/>
      <c r="IS121" s="84"/>
      <c r="IT121" s="84"/>
      <c r="IU121" s="84"/>
      <c r="IV121" s="84"/>
      <c r="IW121" s="84"/>
    </row>
    <row r="122" spans="2:257" s="28" customFormat="1" ht="14.4">
      <c r="B122" s="30">
        <f t="shared" si="255"/>
        <v>5.2699999999999942</v>
      </c>
      <c r="C122" s="44" t="s">
        <v>103</v>
      </c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84"/>
      <c r="BD122" s="84"/>
      <c r="BE122" s="84"/>
      <c r="BF122" s="84"/>
      <c r="BG122" s="84"/>
      <c r="BH122" s="84"/>
      <c r="BI122" s="84"/>
      <c r="BJ122" s="84"/>
      <c r="BK122" s="84"/>
      <c r="BL122" s="84"/>
      <c r="BM122" s="84"/>
      <c r="BN122" s="84"/>
      <c r="BO122" s="84"/>
      <c r="BP122" s="84"/>
      <c r="BQ122" s="84"/>
      <c r="BR122" s="84"/>
      <c r="BS122" s="84"/>
      <c r="BT122" s="84"/>
      <c r="BU122" s="84"/>
      <c r="BV122" s="84"/>
      <c r="BW122" s="84"/>
      <c r="BX122" s="84"/>
      <c r="BY122" s="84"/>
      <c r="BZ122" s="84"/>
      <c r="CA122" s="84"/>
      <c r="CB122" s="84"/>
      <c r="CC122" s="84"/>
      <c r="CD122" s="84"/>
      <c r="CE122" s="84"/>
      <c r="CF122" s="35"/>
      <c r="CG122" s="34"/>
      <c r="CH122" s="34"/>
      <c r="CI122" s="34"/>
      <c r="CJ122" s="34"/>
      <c r="CK122" s="34"/>
      <c r="CL122" s="34"/>
      <c r="CM122" s="34"/>
      <c r="CN122" s="34"/>
      <c r="CO122" s="35"/>
      <c r="CP122" s="35"/>
      <c r="CQ122" s="35"/>
      <c r="CR122" s="84"/>
      <c r="CS122" s="84"/>
      <c r="CT122" s="84"/>
      <c r="CU122" s="84"/>
      <c r="CV122" s="35"/>
      <c r="CW122" s="84"/>
      <c r="CX122" s="35"/>
      <c r="CY122" s="35"/>
      <c r="CZ122" s="35"/>
      <c r="DA122" s="35"/>
      <c r="DB122" s="35"/>
      <c r="DC122" s="84"/>
      <c r="DD122" s="35"/>
      <c r="DE122" s="35"/>
      <c r="DF122" s="35"/>
      <c r="DG122" s="35"/>
      <c r="DH122" s="35"/>
      <c r="DI122" s="84"/>
      <c r="DJ122" s="35"/>
      <c r="DK122" s="35"/>
      <c r="DL122" s="35"/>
      <c r="DM122" s="35"/>
      <c r="DN122" s="35"/>
      <c r="DO122" s="84"/>
      <c r="DP122" s="35"/>
      <c r="DQ122" s="35"/>
      <c r="DR122" s="35"/>
      <c r="DS122" s="35"/>
      <c r="DT122" s="35"/>
      <c r="DU122" s="84"/>
      <c r="DV122" s="35"/>
      <c r="DW122" s="35"/>
      <c r="DX122" s="35"/>
      <c r="DY122" s="35"/>
      <c r="DZ122" s="35"/>
      <c r="EA122" s="84"/>
      <c r="EB122" s="35"/>
      <c r="EC122" s="35"/>
      <c r="ED122" s="35"/>
      <c r="EE122" s="35"/>
      <c r="EF122" s="35"/>
      <c r="EG122" s="84"/>
      <c r="EH122" s="35"/>
      <c r="EI122" s="35"/>
      <c r="EJ122" s="35"/>
      <c r="EK122" s="35"/>
      <c r="EL122" s="35"/>
      <c r="EM122" s="84"/>
      <c r="EN122" s="35"/>
      <c r="EO122" s="35"/>
      <c r="EP122" s="35"/>
      <c r="EQ122" s="35"/>
      <c r="ER122" s="35"/>
      <c r="ES122" s="84"/>
      <c r="ET122" s="35"/>
      <c r="EU122" s="35"/>
      <c r="EV122" s="35"/>
      <c r="EW122" s="35"/>
      <c r="EX122" s="35"/>
      <c r="EY122" s="84"/>
      <c r="EZ122" s="35"/>
      <c r="FA122" s="35"/>
      <c r="FB122" s="55" t="s">
        <v>187</v>
      </c>
      <c r="FC122" s="55" t="s">
        <v>30</v>
      </c>
      <c r="FD122" s="55" t="s">
        <v>31</v>
      </c>
      <c r="FE122" s="55"/>
      <c r="FF122" s="55" t="s">
        <v>32</v>
      </c>
      <c r="FG122" s="56" t="s">
        <v>188</v>
      </c>
      <c r="FH122" s="56" t="s">
        <v>189</v>
      </c>
      <c r="FI122" s="56" t="s">
        <v>190</v>
      </c>
      <c r="FJ122" s="56" t="s">
        <v>191</v>
      </c>
      <c r="FK122" s="56"/>
      <c r="FL122" s="57" t="s">
        <v>192</v>
      </c>
      <c r="FM122" s="57" t="s">
        <v>193</v>
      </c>
      <c r="FN122" s="57" t="s">
        <v>194</v>
      </c>
      <c r="FO122" s="57" t="s">
        <v>195</v>
      </c>
      <c r="FP122" s="58" t="s">
        <v>196</v>
      </c>
      <c r="FQ122" s="58"/>
      <c r="FR122" s="58" t="s">
        <v>197</v>
      </c>
      <c r="FS122" s="35"/>
      <c r="FT122" s="35"/>
      <c r="FU122" s="58" t="s">
        <v>198</v>
      </c>
      <c r="FV122" s="58" t="s">
        <v>199</v>
      </c>
      <c r="FW122" s="42"/>
      <c r="FX122" s="42" t="s">
        <v>33</v>
      </c>
      <c r="FY122" s="42" t="s">
        <v>34</v>
      </c>
      <c r="FZ122" s="42" t="s">
        <v>35</v>
      </c>
      <c r="GA122" s="42" t="s">
        <v>36</v>
      </c>
      <c r="GB122" s="59" t="s">
        <v>200</v>
      </c>
      <c r="GC122" s="59"/>
      <c r="GD122" s="59" t="s">
        <v>201</v>
      </c>
      <c r="GE122" s="59" t="s">
        <v>202</v>
      </c>
      <c r="GF122" s="59" t="s">
        <v>203</v>
      </c>
      <c r="GG122" s="35"/>
      <c r="GH122" s="35"/>
      <c r="GI122" s="35"/>
      <c r="GJ122" s="35"/>
      <c r="GK122" s="35"/>
      <c r="GL122" s="35"/>
      <c r="GM122" s="35"/>
      <c r="GN122" s="35"/>
      <c r="GO122" s="35"/>
      <c r="GP122" s="35"/>
      <c r="GQ122" s="35"/>
      <c r="GR122" s="35"/>
      <c r="GS122" s="35"/>
      <c r="GT122" s="35"/>
      <c r="GU122" s="35"/>
      <c r="GV122" s="35"/>
      <c r="GW122" s="35"/>
      <c r="GX122" s="35"/>
      <c r="GY122" s="35"/>
      <c r="GZ122" s="35"/>
      <c r="HA122" s="35"/>
      <c r="HB122" s="35"/>
      <c r="HC122" s="35"/>
      <c r="HD122" s="35"/>
      <c r="HE122" s="84"/>
      <c r="HF122" s="84"/>
      <c r="HG122" s="84"/>
      <c r="HH122" s="84"/>
      <c r="HI122" s="84"/>
      <c r="HJ122" s="84"/>
      <c r="HK122" s="84"/>
      <c r="HL122" s="84"/>
      <c r="HM122" s="84"/>
      <c r="HN122" s="84"/>
      <c r="HO122" s="84"/>
      <c r="HP122" s="84"/>
      <c r="HQ122" s="84"/>
      <c r="HR122" s="84"/>
      <c r="HS122" s="84"/>
      <c r="HT122" s="84"/>
      <c r="HU122" s="84"/>
      <c r="HV122" s="84"/>
      <c r="HW122" s="84"/>
      <c r="HX122" s="84"/>
      <c r="HY122" s="84"/>
      <c r="HZ122" s="84"/>
      <c r="IA122" s="84"/>
      <c r="IB122" s="84"/>
      <c r="IC122" s="84"/>
      <c r="ID122" s="84"/>
      <c r="IE122" s="84"/>
      <c r="IF122" s="84"/>
      <c r="IG122" s="84"/>
      <c r="IH122" s="84"/>
      <c r="II122" s="84"/>
      <c r="IJ122" s="84"/>
      <c r="IK122" s="84"/>
      <c r="IL122" s="84"/>
      <c r="IM122" s="84"/>
      <c r="IN122" s="84"/>
      <c r="IO122" s="84"/>
      <c r="IP122" s="84"/>
      <c r="IQ122" s="84"/>
      <c r="IR122" s="84"/>
      <c r="IS122" s="84"/>
      <c r="IT122" s="84"/>
      <c r="IU122" s="84"/>
      <c r="IV122" s="84"/>
      <c r="IW122" s="84"/>
    </row>
    <row r="123" spans="2:257" s="28" customFormat="1" ht="14.4">
      <c r="B123" s="30">
        <f t="shared" si="255"/>
        <v>5.279999999999994</v>
      </c>
      <c r="C123" s="44" t="s">
        <v>104</v>
      </c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84"/>
      <c r="BD123" s="84"/>
      <c r="BE123" s="84"/>
      <c r="BF123" s="84"/>
      <c r="BG123" s="84"/>
      <c r="BH123" s="84"/>
      <c r="BI123" s="84"/>
      <c r="BJ123" s="84"/>
      <c r="BK123" s="84"/>
      <c r="BL123" s="84"/>
      <c r="BM123" s="84"/>
      <c r="BN123" s="84"/>
      <c r="BO123" s="84"/>
      <c r="BP123" s="84"/>
      <c r="BQ123" s="84"/>
      <c r="BR123" s="84"/>
      <c r="BS123" s="84"/>
      <c r="BT123" s="84"/>
      <c r="BU123" s="84"/>
      <c r="BV123" s="84"/>
      <c r="BW123" s="84"/>
      <c r="BX123" s="84"/>
      <c r="BY123" s="84"/>
      <c r="BZ123" s="84"/>
      <c r="CA123" s="84"/>
      <c r="CB123" s="84"/>
      <c r="CC123" s="84"/>
      <c r="CD123" s="84"/>
      <c r="CE123" s="84"/>
      <c r="CF123" s="35"/>
      <c r="CG123" s="34"/>
      <c r="CH123" s="34"/>
      <c r="CI123" s="34"/>
      <c r="CJ123" s="34"/>
      <c r="CK123" s="34"/>
      <c r="CL123" s="34"/>
      <c r="CM123" s="34"/>
      <c r="CN123" s="34"/>
      <c r="CO123" s="35"/>
      <c r="CP123" s="35"/>
      <c r="CQ123" s="35"/>
      <c r="CR123" s="84"/>
      <c r="CS123" s="84"/>
      <c r="CT123" s="84"/>
      <c r="CU123" s="84"/>
      <c r="CV123" s="35"/>
      <c r="CW123" s="84"/>
      <c r="CX123" s="35"/>
      <c r="CY123" s="35"/>
      <c r="CZ123" s="35"/>
      <c r="DA123" s="35"/>
      <c r="DB123" s="35"/>
      <c r="DC123" s="84"/>
      <c r="DD123" s="35"/>
      <c r="DE123" s="35"/>
      <c r="DF123" s="35"/>
      <c r="DG123" s="35"/>
      <c r="DH123" s="35"/>
      <c r="DI123" s="84"/>
      <c r="DJ123" s="35"/>
      <c r="DK123" s="35"/>
      <c r="DL123" s="35"/>
      <c r="DM123" s="35"/>
      <c r="DN123" s="35"/>
      <c r="DO123" s="84"/>
      <c r="DP123" s="35"/>
      <c r="DQ123" s="35"/>
      <c r="DR123" s="35"/>
      <c r="DS123" s="35"/>
      <c r="DT123" s="35"/>
      <c r="DU123" s="84"/>
      <c r="DV123" s="35"/>
      <c r="DW123" s="35"/>
      <c r="DX123" s="35"/>
      <c r="DY123" s="35"/>
      <c r="DZ123" s="35"/>
      <c r="EA123" s="84"/>
      <c r="EB123" s="35"/>
      <c r="EC123" s="35"/>
      <c r="ED123" s="35"/>
      <c r="EE123" s="35"/>
      <c r="EF123" s="35"/>
      <c r="EG123" s="84"/>
      <c r="EH123" s="35"/>
      <c r="EI123" s="35"/>
      <c r="EJ123" s="35"/>
      <c r="EK123" s="35"/>
      <c r="EL123" s="35"/>
      <c r="EM123" s="84"/>
      <c r="EN123" s="35"/>
      <c r="EO123" s="35"/>
      <c r="EP123" s="35"/>
      <c r="EQ123" s="35"/>
      <c r="ER123" s="35"/>
      <c r="ES123" s="84"/>
      <c r="ET123" s="35"/>
      <c r="EU123" s="35"/>
      <c r="EV123" s="35"/>
      <c r="EW123" s="35"/>
      <c r="EX123" s="35"/>
      <c r="EY123" s="84"/>
      <c r="EZ123" s="35"/>
      <c r="FA123" s="35"/>
      <c r="FB123" s="35"/>
      <c r="FC123" s="55" t="s">
        <v>187</v>
      </c>
      <c r="FD123" s="55" t="s">
        <v>30</v>
      </c>
      <c r="FE123" s="55"/>
      <c r="FF123" s="55" t="s">
        <v>31</v>
      </c>
      <c r="FG123" s="55" t="s">
        <v>32</v>
      </c>
      <c r="FH123" s="56" t="s">
        <v>188</v>
      </c>
      <c r="FI123" s="56" t="s">
        <v>189</v>
      </c>
      <c r="FJ123" s="56" t="s">
        <v>190</v>
      </c>
      <c r="FK123" s="56"/>
      <c r="FL123" s="56" t="s">
        <v>191</v>
      </c>
      <c r="FM123" s="57" t="s">
        <v>192</v>
      </c>
      <c r="FN123" s="57" t="s">
        <v>193</v>
      </c>
      <c r="FO123" s="57" t="s">
        <v>194</v>
      </c>
      <c r="FP123" s="57" t="s">
        <v>195</v>
      </c>
      <c r="FQ123" s="57"/>
      <c r="FR123" s="58" t="s">
        <v>196</v>
      </c>
      <c r="FS123" s="35"/>
      <c r="FT123" s="35"/>
      <c r="FU123" s="58" t="s">
        <v>197</v>
      </c>
      <c r="FV123" s="58" t="s">
        <v>198</v>
      </c>
      <c r="FW123" s="58"/>
      <c r="FX123" s="58" t="s">
        <v>199</v>
      </c>
      <c r="FY123" s="42" t="s">
        <v>33</v>
      </c>
      <c r="FZ123" s="42" t="s">
        <v>34</v>
      </c>
      <c r="GA123" s="42" t="s">
        <v>35</v>
      </c>
      <c r="GB123" s="42" t="s">
        <v>36</v>
      </c>
      <c r="GC123" s="59"/>
      <c r="GD123" s="59" t="s">
        <v>200</v>
      </c>
      <c r="GE123" s="59" t="s">
        <v>201</v>
      </c>
      <c r="GF123" s="59" t="s">
        <v>202</v>
      </c>
      <c r="GG123" s="59" t="s">
        <v>203</v>
      </c>
      <c r="GH123" s="35"/>
      <c r="GI123" s="35"/>
      <c r="GJ123" s="35"/>
      <c r="GK123" s="35"/>
      <c r="GL123" s="35"/>
      <c r="GM123" s="35"/>
      <c r="GN123" s="35"/>
      <c r="GO123" s="35"/>
      <c r="GP123" s="35"/>
      <c r="GQ123" s="35"/>
      <c r="GR123" s="35"/>
      <c r="GS123" s="35"/>
      <c r="GT123" s="35"/>
      <c r="GU123" s="35"/>
      <c r="GV123" s="35"/>
      <c r="GW123" s="35"/>
      <c r="GX123" s="35"/>
      <c r="GY123" s="35"/>
      <c r="GZ123" s="35"/>
      <c r="HA123" s="35"/>
      <c r="HB123" s="35"/>
      <c r="HC123" s="35"/>
      <c r="HD123" s="35"/>
      <c r="HE123" s="84"/>
      <c r="HF123" s="84"/>
      <c r="HG123" s="84"/>
      <c r="HH123" s="84"/>
      <c r="HI123" s="84"/>
      <c r="HJ123" s="84"/>
      <c r="HK123" s="84"/>
      <c r="HL123" s="84"/>
      <c r="HM123" s="84"/>
      <c r="HN123" s="84"/>
      <c r="HO123" s="84"/>
      <c r="HP123" s="84"/>
      <c r="HQ123" s="84"/>
      <c r="HR123" s="84"/>
      <c r="HS123" s="84"/>
      <c r="HT123" s="84"/>
      <c r="HU123" s="84"/>
      <c r="HV123" s="84"/>
      <c r="HW123" s="84"/>
      <c r="HX123" s="84"/>
      <c r="HY123" s="84"/>
      <c r="HZ123" s="84"/>
      <c r="IA123" s="84"/>
      <c r="IB123" s="84"/>
      <c r="IC123" s="84"/>
      <c r="ID123" s="84"/>
      <c r="IE123" s="84"/>
      <c r="IF123" s="84"/>
      <c r="IG123" s="84"/>
      <c r="IH123" s="84"/>
      <c r="II123" s="84"/>
      <c r="IJ123" s="84"/>
      <c r="IK123" s="84"/>
      <c r="IL123" s="84"/>
      <c r="IM123" s="84"/>
      <c r="IN123" s="84"/>
      <c r="IO123" s="84"/>
      <c r="IP123" s="84"/>
      <c r="IQ123" s="84"/>
      <c r="IR123" s="84"/>
      <c r="IS123" s="84"/>
      <c r="IT123" s="84"/>
      <c r="IU123" s="84"/>
      <c r="IV123" s="84"/>
      <c r="IW123" s="84"/>
    </row>
    <row r="124" spans="2:257" s="28" customFormat="1" ht="14.4">
      <c r="B124" s="30">
        <f t="shared" si="255"/>
        <v>5.2899999999999938</v>
      </c>
      <c r="C124" s="44" t="s">
        <v>105</v>
      </c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84"/>
      <c r="BD124" s="84"/>
      <c r="BE124" s="84"/>
      <c r="BF124" s="84"/>
      <c r="BG124" s="84"/>
      <c r="BH124" s="84"/>
      <c r="BI124" s="84"/>
      <c r="BJ124" s="84"/>
      <c r="BK124" s="84"/>
      <c r="BL124" s="84"/>
      <c r="BM124" s="84"/>
      <c r="BN124" s="84"/>
      <c r="BO124" s="84"/>
      <c r="BP124" s="84"/>
      <c r="BQ124" s="84"/>
      <c r="BR124" s="84"/>
      <c r="BS124" s="84"/>
      <c r="BT124" s="84"/>
      <c r="BU124" s="84"/>
      <c r="BV124" s="84"/>
      <c r="BW124" s="84"/>
      <c r="BX124" s="84"/>
      <c r="BY124" s="84"/>
      <c r="BZ124" s="84"/>
      <c r="CA124" s="84"/>
      <c r="CB124" s="84"/>
      <c r="CC124" s="84"/>
      <c r="CD124" s="84"/>
      <c r="CE124" s="84"/>
      <c r="CF124" s="35"/>
      <c r="CG124" s="34"/>
      <c r="CH124" s="34"/>
      <c r="CI124" s="34"/>
      <c r="CJ124" s="34"/>
      <c r="CK124" s="34"/>
      <c r="CL124" s="34"/>
      <c r="CM124" s="34"/>
      <c r="CN124" s="34"/>
      <c r="CO124" s="35"/>
      <c r="CP124" s="35"/>
      <c r="CQ124" s="35"/>
      <c r="CR124" s="84"/>
      <c r="CS124" s="84"/>
      <c r="CT124" s="84"/>
      <c r="CU124" s="84"/>
      <c r="CV124" s="35"/>
      <c r="CW124" s="84"/>
      <c r="CX124" s="35"/>
      <c r="CY124" s="35"/>
      <c r="CZ124" s="35"/>
      <c r="DA124" s="35"/>
      <c r="DB124" s="35"/>
      <c r="DC124" s="84"/>
      <c r="DD124" s="35"/>
      <c r="DE124" s="35"/>
      <c r="DF124" s="35"/>
      <c r="DG124" s="35"/>
      <c r="DH124" s="35"/>
      <c r="DI124" s="84"/>
      <c r="DJ124" s="35"/>
      <c r="DK124" s="35"/>
      <c r="DL124" s="35"/>
      <c r="DM124" s="35"/>
      <c r="DN124" s="35"/>
      <c r="DO124" s="84"/>
      <c r="DP124" s="35"/>
      <c r="DQ124" s="35"/>
      <c r="DR124" s="35"/>
      <c r="DS124" s="35"/>
      <c r="DT124" s="35"/>
      <c r="DU124" s="84"/>
      <c r="DV124" s="35"/>
      <c r="DW124" s="35"/>
      <c r="DX124" s="35"/>
      <c r="DY124" s="35"/>
      <c r="DZ124" s="35"/>
      <c r="EA124" s="84"/>
      <c r="EB124" s="35"/>
      <c r="EC124" s="35"/>
      <c r="ED124" s="35"/>
      <c r="EE124" s="35"/>
      <c r="EF124" s="35"/>
      <c r="EG124" s="84"/>
      <c r="EH124" s="35"/>
      <c r="EI124" s="35"/>
      <c r="EJ124" s="35"/>
      <c r="EK124" s="35"/>
      <c r="EL124" s="35"/>
      <c r="EM124" s="84"/>
      <c r="EN124" s="35"/>
      <c r="EO124" s="35"/>
      <c r="EP124" s="35"/>
      <c r="EQ124" s="35"/>
      <c r="ER124" s="35"/>
      <c r="ES124" s="84"/>
      <c r="ET124" s="35"/>
      <c r="EU124" s="35"/>
      <c r="EV124" s="35"/>
      <c r="EW124" s="35"/>
      <c r="EX124" s="35"/>
      <c r="EY124" s="84"/>
      <c r="EZ124" s="35"/>
      <c r="FA124" s="35"/>
      <c r="FB124" s="35"/>
      <c r="FC124" s="35"/>
      <c r="FD124" s="55" t="s">
        <v>187</v>
      </c>
      <c r="FE124" s="55"/>
      <c r="FF124" s="55" t="s">
        <v>30</v>
      </c>
      <c r="FG124" s="55" t="s">
        <v>31</v>
      </c>
      <c r="FH124" s="55" t="s">
        <v>32</v>
      </c>
      <c r="FI124" s="56" t="s">
        <v>188</v>
      </c>
      <c r="FJ124" s="56" t="s">
        <v>189</v>
      </c>
      <c r="FK124" s="56"/>
      <c r="FL124" s="56" t="s">
        <v>190</v>
      </c>
      <c r="FM124" s="56" t="s">
        <v>191</v>
      </c>
      <c r="FN124" s="57" t="s">
        <v>192</v>
      </c>
      <c r="FO124" s="57" t="s">
        <v>193</v>
      </c>
      <c r="FP124" s="57" t="s">
        <v>194</v>
      </c>
      <c r="FQ124" s="57"/>
      <c r="FR124" s="57" t="s">
        <v>195</v>
      </c>
      <c r="FS124" s="35"/>
      <c r="FT124" s="35"/>
      <c r="FU124" s="58" t="s">
        <v>196</v>
      </c>
      <c r="FV124" s="58" t="s">
        <v>197</v>
      </c>
      <c r="FW124" s="58"/>
      <c r="FX124" s="58" t="s">
        <v>198</v>
      </c>
      <c r="FY124" s="58" t="s">
        <v>199</v>
      </c>
      <c r="FZ124" s="42" t="s">
        <v>33</v>
      </c>
      <c r="GA124" s="42" t="s">
        <v>34</v>
      </c>
      <c r="GB124" s="42" t="s">
        <v>35</v>
      </c>
      <c r="GC124" s="42"/>
      <c r="GD124" s="42" t="s">
        <v>36</v>
      </c>
      <c r="GE124" s="59" t="s">
        <v>200</v>
      </c>
      <c r="GF124" s="59" t="s">
        <v>201</v>
      </c>
      <c r="GG124" s="59" t="s">
        <v>202</v>
      </c>
      <c r="GH124" s="59" t="s">
        <v>203</v>
      </c>
      <c r="GI124" s="59"/>
      <c r="GJ124" s="35"/>
      <c r="GK124" s="35"/>
      <c r="GL124" s="35"/>
      <c r="GM124" s="35"/>
      <c r="GN124" s="35"/>
      <c r="GO124" s="35"/>
      <c r="GP124" s="35"/>
      <c r="GQ124" s="35"/>
      <c r="GR124" s="35"/>
      <c r="GS124" s="35"/>
      <c r="GT124" s="35"/>
      <c r="GU124" s="35"/>
      <c r="GV124" s="35"/>
      <c r="GW124" s="35"/>
      <c r="GX124" s="35"/>
      <c r="GY124" s="35"/>
      <c r="GZ124" s="35"/>
      <c r="HA124" s="35"/>
      <c r="HB124" s="35"/>
      <c r="HC124" s="35"/>
      <c r="HD124" s="35"/>
      <c r="HE124" s="84"/>
      <c r="HF124" s="84"/>
      <c r="HG124" s="84"/>
      <c r="HH124" s="84"/>
      <c r="HI124" s="84"/>
      <c r="HJ124" s="84"/>
      <c r="HK124" s="84"/>
      <c r="HL124" s="84"/>
      <c r="HM124" s="84"/>
      <c r="HN124" s="84"/>
      <c r="HO124" s="84"/>
      <c r="HP124" s="84"/>
      <c r="HQ124" s="84"/>
      <c r="HR124" s="84"/>
      <c r="HS124" s="84"/>
      <c r="HT124" s="84"/>
      <c r="HU124" s="84"/>
      <c r="HV124" s="84"/>
      <c r="HW124" s="84"/>
      <c r="HX124" s="84"/>
      <c r="HY124" s="84"/>
      <c r="HZ124" s="84"/>
      <c r="IA124" s="84"/>
      <c r="IB124" s="84"/>
      <c r="IC124" s="84"/>
      <c r="ID124" s="84"/>
      <c r="IE124" s="84"/>
      <c r="IF124" s="84"/>
      <c r="IG124" s="84"/>
      <c r="IH124" s="84"/>
      <c r="II124" s="84"/>
      <c r="IJ124" s="84"/>
      <c r="IK124" s="84"/>
      <c r="IL124" s="84"/>
      <c r="IM124" s="84"/>
      <c r="IN124" s="84"/>
      <c r="IO124" s="84"/>
      <c r="IP124" s="84"/>
      <c r="IQ124" s="84"/>
      <c r="IR124" s="84"/>
      <c r="IS124" s="84"/>
      <c r="IT124" s="84"/>
      <c r="IU124" s="84"/>
      <c r="IV124" s="84"/>
      <c r="IW124" s="84"/>
    </row>
    <row r="125" spans="2:257" s="28" customFormat="1" ht="14.4">
      <c r="B125" s="30">
        <f t="shared" si="255"/>
        <v>5.2999999999999936</v>
      </c>
      <c r="C125" s="44" t="s">
        <v>106</v>
      </c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84"/>
      <c r="BD125" s="84"/>
      <c r="BE125" s="84"/>
      <c r="BF125" s="84"/>
      <c r="BG125" s="84"/>
      <c r="BH125" s="84"/>
      <c r="BI125" s="84"/>
      <c r="BJ125" s="84"/>
      <c r="BK125" s="84"/>
      <c r="BL125" s="84"/>
      <c r="BM125" s="84"/>
      <c r="BN125" s="84"/>
      <c r="BO125" s="84"/>
      <c r="BP125" s="84"/>
      <c r="BQ125" s="84"/>
      <c r="BR125" s="84"/>
      <c r="BS125" s="84"/>
      <c r="BT125" s="84"/>
      <c r="BU125" s="84"/>
      <c r="BV125" s="84"/>
      <c r="BW125" s="84"/>
      <c r="BX125" s="84"/>
      <c r="BY125" s="84"/>
      <c r="BZ125" s="84"/>
      <c r="CA125" s="84"/>
      <c r="CB125" s="84"/>
      <c r="CC125" s="84"/>
      <c r="CD125" s="84"/>
      <c r="CE125" s="84"/>
      <c r="CF125" s="35"/>
      <c r="CG125" s="34"/>
      <c r="CH125" s="34"/>
      <c r="CI125" s="34"/>
      <c r="CJ125" s="34"/>
      <c r="CK125" s="34"/>
      <c r="CL125" s="34"/>
      <c r="CM125" s="34"/>
      <c r="CN125" s="34"/>
      <c r="CO125" s="35"/>
      <c r="CP125" s="35"/>
      <c r="CQ125" s="35"/>
      <c r="CR125" s="84"/>
      <c r="CS125" s="84"/>
      <c r="CT125" s="84"/>
      <c r="CU125" s="84"/>
      <c r="CV125" s="35"/>
      <c r="CW125" s="84"/>
      <c r="CX125" s="35"/>
      <c r="CY125" s="35"/>
      <c r="CZ125" s="35"/>
      <c r="DA125" s="35"/>
      <c r="DB125" s="35"/>
      <c r="DC125" s="84"/>
      <c r="DD125" s="35"/>
      <c r="DE125" s="35"/>
      <c r="DF125" s="35"/>
      <c r="DG125" s="35"/>
      <c r="DH125" s="35"/>
      <c r="DI125" s="84"/>
      <c r="DJ125" s="35"/>
      <c r="DK125" s="35"/>
      <c r="DL125" s="35"/>
      <c r="DM125" s="35"/>
      <c r="DN125" s="35"/>
      <c r="DO125" s="84"/>
      <c r="DP125" s="35"/>
      <c r="DQ125" s="35"/>
      <c r="DR125" s="35"/>
      <c r="DS125" s="35"/>
      <c r="DT125" s="35"/>
      <c r="DU125" s="84"/>
      <c r="DV125" s="35"/>
      <c r="DW125" s="35"/>
      <c r="DX125" s="35"/>
      <c r="DY125" s="35"/>
      <c r="DZ125" s="35"/>
      <c r="EA125" s="84"/>
      <c r="EB125" s="35"/>
      <c r="EC125" s="35"/>
      <c r="ED125" s="35"/>
      <c r="EE125" s="35"/>
      <c r="EF125" s="35"/>
      <c r="EG125" s="84"/>
      <c r="EH125" s="35"/>
      <c r="EI125" s="35"/>
      <c r="EJ125" s="35"/>
      <c r="EK125" s="35"/>
      <c r="EL125" s="35"/>
      <c r="EM125" s="84"/>
      <c r="EN125" s="35"/>
      <c r="EO125" s="35"/>
      <c r="EP125" s="35"/>
      <c r="EQ125" s="35"/>
      <c r="ER125" s="35"/>
      <c r="ES125" s="84"/>
      <c r="ET125" s="35"/>
      <c r="EU125" s="35"/>
      <c r="EV125" s="35"/>
      <c r="EW125" s="35"/>
      <c r="EX125" s="84"/>
      <c r="EY125" s="35"/>
      <c r="EZ125" s="35"/>
      <c r="FA125" s="35"/>
      <c r="FB125" s="35"/>
      <c r="FC125" s="35"/>
      <c r="FD125" s="84"/>
      <c r="FE125" s="84"/>
      <c r="FF125" s="55" t="s">
        <v>187</v>
      </c>
      <c r="FG125" s="55" t="s">
        <v>30</v>
      </c>
      <c r="FH125" s="55" t="s">
        <v>31</v>
      </c>
      <c r="FI125" s="55" t="s">
        <v>32</v>
      </c>
      <c r="FJ125" s="56" t="s">
        <v>188</v>
      </c>
      <c r="FK125" s="56"/>
      <c r="FL125" s="56" t="s">
        <v>189</v>
      </c>
      <c r="FM125" s="56" t="s">
        <v>190</v>
      </c>
      <c r="FN125" s="56" t="s">
        <v>191</v>
      </c>
      <c r="FO125" s="57" t="s">
        <v>192</v>
      </c>
      <c r="FP125" s="57" t="s">
        <v>193</v>
      </c>
      <c r="FQ125" s="57"/>
      <c r="FR125" s="57" t="s">
        <v>194</v>
      </c>
      <c r="FS125" s="35"/>
      <c r="FT125" s="35"/>
      <c r="FU125" s="57" t="s">
        <v>195</v>
      </c>
      <c r="FV125" s="58" t="s">
        <v>196</v>
      </c>
      <c r="FW125" s="58"/>
      <c r="FX125" s="58" t="s">
        <v>197</v>
      </c>
      <c r="FY125" s="58" t="s">
        <v>198</v>
      </c>
      <c r="FZ125" s="58" t="s">
        <v>199</v>
      </c>
      <c r="GA125" s="42" t="s">
        <v>33</v>
      </c>
      <c r="GB125" s="42" t="s">
        <v>34</v>
      </c>
      <c r="GC125" s="42"/>
      <c r="GD125" s="42" t="s">
        <v>35</v>
      </c>
      <c r="GE125" s="42" t="s">
        <v>36</v>
      </c>
      <c r="GF125" s="59" t="s">
        <v>200</v>
      </c>
      <c r="GG125" s="59" t="s">
        <v>201</v>
      </c>
      <c r="GH125" s="59" t="s">
        <v>202</v>
      </c>
      <c r="GI125" s="59"/>
      <c r="GJ125" s="59" t="s">
        <v>203</v>
      </c>
      <c r="GK125" s="35"/>
      <c r="GL125" s="35"/>
      <c r="GM125" s="35"/>
      <c r="GN125" s="35"/>
      <c r="GO125" s="35"/>
      <c r="GP125" s="35"/>
      <c r="GQ125" s="35"/>
      <c r="GR125" s="35"/>
      <c r="GS125" s="35"/>
      <c r="GT125" s="35"/>
      <c r="GU125" s="35"/>
      <c r="GV125" s="35"/>
      <c r="GW125" s="35"/>
      <c r="GX125" s="35"/>
      <c r="GY125" s="35"/>
      <c r="GZ125" s="35"/>
      <c r="HA125" s="35"/>
      <c r="HB125" s="35"/>
      <c r="HC125" s="35"/>
      <c r="HD125" s="35"/>
      <c r="HE125" s="84"/>
      <c r="HF125" s="84"/>
      <c r="HG125" s="84"/>
      <c r="HH125" s="84"/>
      <c r="HI125" s="84"/>
      <c r="HJ125" s="84"/>
      <c r="HK125" s="84"/>
      <c r="HL125" s="84"/>
      <c r="HM125" s="84"/>
      <c r="HN125" s="84"/>
      <c r="HO125" s="84"/>
      <c r="HP125" s="84"/>
      <c r="HQ125" s="84"/>
      <c r="HR125" s="84"/>
      <c r="HS125" s="84"/>
      <c r="HT125" s="84"/>
      <c r="HU125" s="84"/>
      <c r="HV125" s="84"/>
      <c r="HW125" s="84"/>
      <c r="HX125" s="84"/>
      <c r="HY125" s="84"/>
      <c r="HZ125" s="84"/>
      <c r="IA125" s="84"/>
      <c r="IB125" s="84"/>
      <c r="IC125" s="84"/>
      <c r="ID125" s="84"/>
      <c r="IE125" s="84"/>
      <c r="IF125" s="84"/>
      <c r="IG125" s="84"/>
      <c r="IH125" s="84"/>
      <c r="II125" s="84"/>
      <c r="IJ125" s="84"/>
      <c r="IK125" s="84"/>
      <c r="IL125" s="84"/>
      <c r="IM125" s="84"/>
      <c r="IN125" s="84"/>
      <c r="IO125" s="84"/>
      <c r="IP125" s="84"/>
      <c r="IQ125" s="84"/>
      <c r="IR125" s="84"/>
      <c r="IS125" s="84"/>
      <c r="IT125" s="84"/>
      <c r="IU125" s="84"/>
      <c r="IV125" s="84"/>
      <c r="IW125" s="84"/>
    </row>
    <row r="126" spans="2:257" s="28" customFormat="1" ht="14.4">
      <c r="B126" s="30">
        <f t="shared" si="255"/>
        <v>5.3099999999999934</v>
      </c>
      <c r="C126" s="44" t="s">
        <v>107</v>
      </c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84"/>
      <c r="BD126" s="84"/>
      <c r="BE126" s="84"/>
      <c r="BF126" s="84"/>
      <c r="BG126" s="84"/>
      <c r="BH126" s="84"/>
      <c r="BI126" s="84"/>
      <c r="BJ126" s="84"/>
      <c r="BK126" s="84"/>
      <c r="BL126" s="84"/>
      <c r="BM126" s="84"/>
      <c r="BN126" s="84"/>
      <c r="BO126" s="84"/>
      <c r="BP126" s="84"/>
      <c r="BQ126" s="84"/>
      <c r="BR126" s="84"/>
      <c r="BS126" s="84"/>
      <c r="BT126" s="84"/>
      <c r="BU126" s="84"/>
      <c r="BV126" s="84"/>
      <c r="BW126" s="84"/>
      <c r="BX126" s="84"/>
      <c r="BY126" s="84"/>
      <c r="BZ126" s="84"/>
      <c r="CA126" s="84"/>
      <c r="CB126" s="84"/>
      <c r="CC126" s="84"/>
      <c r="CD126" s="84"/>
      <c r="CE126" s="84"/>
      <c r="CF126" s="35"/>
      <c r="CG126" s="34"/>
      <c r="CH126" s="34"/>
      <c r="CI126" s="34"/>
      <c r="CJ126" s="34"/>
      <c r="CK126" s="34"/>
      <c r="CL126" s="34"/>
      <c r="CM126" s="34"/>
      <c r="CN126" s="34"/>
      <c r="CO126" s="35"/>
      <c r="CP126" s="35"/>
      <c r="CQ126" s="35"/>
      <c r="CR126" s="84"/>
      <c r="CS126" s="84"/>
      <c r="CT126" s="84"/>
      <c r="CU126" s="84"/>
      <c r="CV126" s="35"/>
      <c r="CW126" s="84"/>
      <c r="CX126" s="35"/>
      <c r="CY126" s="35"/>
      <c r="CZ126" s="35"/>
      <c r="DA126" s="35"/>
      <c r="DB126" s="35"/>
      <c r="DC126" s="84"/>
      <c r="DD126" s="35"/>
      <c r="DE126" s="35"/>
      <c r="DF126" s="35"/>
      <c r="DG126" s="35"/>
      <c r="DH126" s="35"/>
      <c r="DI126" s="84"/>
      <c r="DJ126" s="35"/>
      <c r="DK126" s="35"/>
      <c r="DL126" s="35"/>
      <c r="DM126" s="35"/>
      <c r="DN126" s="35"/>
      <c r="DO126" s="84"/>
      <c r="DP126" s="35"/>
      <c r="DQ126" s="35"/>
      <c r="DR126" s="35"/>
      <c r="DS126" s="35"/>
      <c r="DT126" s="35"/>
      <c r="DU126" s="84"/>
      <c r="DV126" s="35"/>
      <c r="DW126" s="35"/>
      <c r="DX126" s="35"/>
      <c r="DY126" s="35"/>
      <c r="DZ126" s="35"/>
      <c r="EA126" s="84"/>
      <c r="EB126" s="35"/>
      <c r="EC126" s="35"/>
      <c r="ED126" s="35"/>
      <c r="EE126" s="35"/>
      <c r="EF126" s="35"/>
      <c r="EG126" s="84"/>
      <c r="EH126" s="35"/>
      <c r="EI126" s="35"/>
      <c r="EJ126" s="35"/>
      <c r="EK126" s="35"/>
      <c r="EL126" s="35"/>
      <c r="EM126" s="84"/>
      <c r="EN126" s="35"/>
      <c r="EO126" s="35"/>
      <c r="EP126" s="35"/>
      <c r="EQ126" s="35"/>
      <c r="ER126" s="35"/>
      <c r="ES126" s="84"/>
      <c r="ET126" s="35"/>
      <c r="EU126" s="35"/>
      <c r="EV126" s="35"/>
      <c r="EW126" s="35"/>
      <c r="EX126" s="84"/>
      <c r="EY126" s="35"/>
      <c r="EZ126" s="35"/>
      <c r="FA126" s="35"/>
      <c r="FB126" s="35"/>
      <c r="FC126" s="35"/>
      <c r="FD126" s="84"/>
      <c r="FE126" s="84"/>
      <c r="FF126" s="55" t="s">
        <v>187</v>
      </c>
      <c r="FG126" s="55" t="s">
        <v>30</v>
      </c>
      <c r="FH126" s="55" t="s">
        <v>31</v>
      </c>
      <c r="FI126" s="55" t="s">
        <v>32</v>
      </c>
      <c r="FJ126" s="56" t="s">
        <v>188</v>
      </c>
      <c r="FK126" s="56"/>
      <c r="FL126" s="56" t="s">
        <v>189</v>
      </c>
      <c r="FM126" s="56" t="s">
        <v>190</v>
      </c>
      <c r="FN126" s="56" t="s">
        <v>191</v>
      </c>
      <c r="FO126" s="57" t="s">
        <v>192</v>
      </c>
      <c r="FP126" s="57" t="s">
        <v>193</v>
      </c>
      <c r="FQ126" s="57"/>
      <c r="FR126" s="57" t="s">
        <v>194</v>
      </c>
      <c r="FS126" s="35"/>
      <c r="FT126" s="35"/>
      <c r="FU126" s="57" t="s">
        <v>195</v>
      </c>
      <c r="FV126" s="58" t="s">
        <v>196</v>
      </c>
      <c r="FW126" s="58"/>
      <c r="FX126" s="58" t="s">
        <v>197</v>
      </c>
      <c r="FY126" s="58" t="s">
        <v>198</v>
      </c>
      <c r="FZ126" s="58" t="s">
        <v>199</v>
      </c>
      <c r="GA126" s="42" t="s">
        <v>33</v>
      </c>
      <c r="GB126" s="42" t="s">
        <v>34</v>
      </c>
      <c r="GC126" s="42"/>
      <c r="GD126" s="42" t="s">
        <v>35</v>
      </c>
      <c r="GE126" s="42" t="s">
        <v>36</v>
      </c>
      <c r="GF126" s="59" t="s">
        <v>200</v>
      </c>
      <c r="GG126" s="59" t="s">
        <v>201</v>
      </c>
      <c r="GH126" s="59" t="s">
        <v>202</v>
      </c>
      <c r="GI126" s="59"/>
      <c r="GJ126" s="59" t="s">
        <v>203</v>
      </c>
      <c r="GK126" s="35"/>
      <c r="GL126" s="35"/>
      <c r="GM126" s="35"/>
      <c r="GN126" s="35"/>
      <c r="GO126" s="35"/>
      <c r="GP126" s="35"/>
      <c r="GQ126" s="35"/>
      <c r="GR126" s="35"/>
      <c r="GS126" s="35"/>
      <c r="GT126" s="35"/>
      <c r="GU126" s="35"/>
      <c r="GV126" s="35"/>
      <c r="GW126" s="35"/>
      <c r="GX126" s="35"/>
      <c r="GY126" s="35"/>
      <c r="GZ126" s="35"/>
      <c r="HA126" s="35"/>
      <c r="HB126" s="35"/>
      <c r="HC126" s="35"/>
      <c r="HD126" s="35"/>
      <c r="HE126" s="84"/>
      <c r="HF126" s="84"/>
      <c r="HG126" s="84"/>
      <c r="HH126" s="84"/>
      <c r="HI126" s="84"/>
      <c r="HJ126" s="84"/>
      <c r="HK126" s="84"/>
      <c r="HL126" s="84"/>
      <c r="HM126" s="84"/>
      <c r="HN126" s="84"/>
      <c r="HO126" s="84"/>
      <c r="HP126" s="84"/>
      <c r="HQ126" s="84"/>
      <c r="HR126" s="84"/>
      <c r="HS126" s="84"/>
      <c r="HT126" s="84"/>
      <c r="HU126" s="84"/>
      <c r="HV126" s="84"/>
      <c r="HW126" s="84"/>
      <c r="HX126" s="84"/>
      <c r="HY126" s="84"/>
      <c r="HZ126" s="84"/>
      <c r="IA126" s="84"/>
      <c r="IB126" s="84"/>
      <c r="IC126" s="84"/>
      <c r="ID126" s="84"/>
      <c r="IE126" s="84"/>
      <c r="IF126" s="84"/>
      <c r="IG126" s="84"/>
      <c r="IH126" s="84"/>
      <c r="II126" s="84"/>
      <c r="IJ126" s="84"/>
      <c r="IK126" s="84"/>
      <c r="IL126" s="84"/>
      <c r="IM126" s="84"/>
      <c r="IN126" s="84"/>
      <c r="IO126" s="84"/>
      <c r="IP126" s="84"/>
      <c r="IQ126" s="84"/>
      <c r="IR126" s="84"/>
      <c r="IS126" s="84"/>
      <c r="IT126" s="84"/>
      <c r="IU126" s="84"/>
      <c r="IV126" s="84"/>
      <c r="IW126" s="84"/>
    </row>
    <row r="127" spans="2:257" s="28" customFormat="1" ht="14.4">
      <c r="B127" s="30">
        <f t="shared" si="255"/>
        <v>5.3199999999999932</v>
      </c>
      <c r="C127" s="44" t="s">
        <v>108</v>
      </c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84"/>
      <c r="BD127" s="84"/>
      <c r="BE127" s="84"/>
      <c r="BF127" s="84"/>
      <c r="BG127" s="84"/>
      <c r="BH127" s="84"/>
      <c r="BI127" s="84"/>
      <c r="BJ127" s="84"/>
      <c r="BK127" s="84"/>
      <c r="BL127" s="84"/>
      <c r="BM127" s="84"/>
      <c r="BN127" s="84"/>
      <c r="BO127" s="84"/>
      <c r="BP127" s="84"/>
      <c r="BQ127" s="84"/>
      <c r="BR127" s="84"/>
      <c r="BS127" s="84"/>
      <c r="BT127" s="84"/>
      <c r="BU127" s="84"/>
      <c r="BV127" s="84"/>
      <c r="BW127" s="84"/>
      <c r="BX127" s="84"/>
      <c r="BY127" s="84"/>
      <c r="BZ127" s="84"/>
      <c r="CA127" s="84"/>
      <c r="CB127" s="84"/>
      <c r="CC127" s="84"/>
      <c r="CD127" s="84"/>
      <c r="CE127" s="84"/>
      <c r="CF127" s="35"/>
      <c r="CG127" s="34"/>
      <c r="CH127" s="34"/>
      <c r="CI127" s="34"/>
      <c r="CJ127" s="34"/>
      <c r="CK127" s="34"/>
      <c r="CL127" s="34"/>
      <c r="CM127" s="34"/>
      <c r="CN127" s="34"/>
      <c r="CO127" s="35"/>
      <c r="CP127" s="35"/>
      <c r="CQ127" s="35"/>
      <c r="CR127" s="84"/>
      <c r="CS127" s="84"/>
      <c r="CT127" s="84"/>
      <c r="CU127" s="84"/>
      <c r="CV127" s="35"/>
      <c r="CW127" s="84"/>
      <c r="CX127" s="35"/>
      <c r="CY127" s="35"/>
      <c r="CZ127" s="35"/>
      <c r="DA127" s="35"/>
      <c r="DB127" s="35"/>
      <c r="DC127" s="84"/>
      <c r="DD127" s="35"/>
      <c r="DE127" s="35"/>
      <c r="DF127" s="35"/>
      <c r="DG127" s="35"/>
      <c r="DH127" s="35"/>
      <c r="DI127" s="84"/>
      <c r="DJ127" s="35"/>
      <c r="DK127" s="35"/>
      <c r="DL127" s="35"/>
      <c r="DM127" s="35"/>
      <c r="DN127" s="35"/>
      <c r="DO127" s="84"/>
      <c r="DP127" s="35"/>
      <c r="DQ127" s="35"/>
      <c r="DR127" s="35"/>
      <c r="DS127" s="35"/>
      <c r="DT127" s="35"/>
      <c r="DU127" s="84"/>
      <c r="DV127" s="35"/>
      <c r="DW127" s="35"/>
      <c r="DX127" s="35"/>
      <c r="DY127" s="35"/>
      <c r="DZ127" s="35"/>
      <c r="EA127" s="84"/>
      <c r="EB127" s="35"/>
      <c r="EC127" s="35"/>
      <c r="ED127" s="35"/>
      <c r="EE127" s="35"/>
      <c r="EF127" s="35"/>
      <c r="EG127" s="84"/>
      <c r="EH127" s="35"/>
      <c r="EI127" s="35"/>
      <c r="EJ127" s="35"/>
      <c r="EK127" s="35"/>
      <c r="EL127" s="35"/>
      <c r="EM127" s="84"/>
      <c r="EN127" s="35"/>
      <c r="EO127" s="35"/>
      <c r="EP127" s="35"/>
      <c r="EQ127" s="35"/>
      <c r="ER127" s="35"/>
      <c r="ES127" s="84"/>
      <c r="ET127" s="35"/>
      <c r="EU127" s="35"/>
      <c r="EV127" s="35"/>
      <c r="EW127" s="35"/>
      <c r="EX127" s="84"/>
      <c r="EY127" s="35"/>
      <c r="EZ127" s="35"/>
      <c r="FA127" s="35"/>
      <c r="FB127" s="35"/>
      <c r="FC127" s="35"/>
      <c r="FD127" s="84"/>
      <c r="FE127" s="84"/>
      <c r="FF127" s="35"/>
      <c r="FG127" s="55" t="s">
        <v>187</v>
      </c>
      <c r="FH127" s="55" t="s">
        <v>30</v>
      </c>
      <c r="FI127" s="55" t="s">
        <v>31</v>
      </c>
      <c r="FJ127" s="55" t="s">
        <v>32</v>
      </c>
      <c r="FK127" s="55"/>
      <c r="FL127" s="56" t="s">
        <v>188</v>
      </c>
      <c r="FM127" s="56" t="s">
        <v>189</v>
      </c>
      <c r="FN127" s="56" t="s">
        <v>190</v>
      </c>
      <c r="FO127" s="56" t="s">
        <v>191</v>
      </c>
      <c r="FP127" s="57" t="s">
        <v>192</v>
      </c>
      <c r="FQ127" s="57"/>
      <c r="FR127" s="57" t="s">
        <v>193</v>
      </c>
      <c r="FS127" s="35"/>
      <c r="FT127" s="35"/>
      <c r="FU127" s="57" t="s">
        <v>194</v>
      </c>
      <c r="FV127" s="57" t="s">
        <v>195</v>
      </c>
      <c r="FW127" s="58"/>
      <c r="FX127" s="58" t="s">
        <v>196</v>
      </c>
      <c r="FY127" s="58" t="s">
        <v>197</v>
      </c>
      <c r="FZ127" s="58" t="s">
        <v>198</v>
      </c>
      <c r="GA127" s="58" t="s">
        <v>199</v>
      </c>
      <c r="GB127" s="42" t="s">
        <v>33</v>
      </c>
      <c r="GC127" s="42"/>
      <c r="GD127" s="42" t="s">
        <v>34</v>
      </c>
      <c r="GE127" s="42" t="s">
        <v>35</v>
      </c>
      <c r="GF127" s="42" t="s">
        <v>36</v>
      </c>
      <c r="GG127" s="59" t="s">
        <v>200</v>
      </c>
      <c r="GH127" s="59" t="s">
        <v>201</v>
      </c>
      <c r="GI127" s="59"/>
      <c r="GJ127" s="59" t="s">
        <v>202</v>
      </c>
      <c r="GK127" s="59" t="s">
        <v>203</v>
      </c>
      <c r="GL127" s="35"/>
      <c r="GM127" s="35"/>
      <c r="GN127" s="35"/>
      <c r="GO127" s="35"/>
      <c r="GP127" s="35"/>
      <c r="GQ127" s="35"/>
      <c r="GR127" s="35"/>
      <c r="GS127" s="35"/>
      <c r="GT127" s="35"/>
      <c r="GU127" s="35"/>
      <c r="GV127" s="35"/>
      <c r="GW127" s="35"/>
      <c r="GX127" s="35"/>
      <c r="GY127" s="35"/>
      <c r="GZ127" s="35"/>
      <c r="HA127" s="35"/>
      <c r="HB127" s="35"/>
      <c r="HC127" s="35"/>
      <c r="HD127" s="35"/>
      <c r="HE127" s="35"/>
      <c r="HF127" s="84"/>
      <c r="HG127" s="84"/>
      <c r="HH127" s="84"/>
      <c r="HI127" s="84"/>
      <c r="HJ127" s="84"/>
      <c r="HK127" s="84"/>
      <c r="HL127" s="84"/>
      <c r="HM127" s="84"/>
      <c r="HN127" s="84"/>
      <c r="HO127" s="84"/>
      <c r="HP127" s="84"/>
      <c r="HQ127" s="84"/>
      <c r="HR127" s="84"/>
      <c r="HS127" s="84"/>
      <c r="HT127" s="84"/>
      <c r="HU127" s="84"/>
      <c r="HV127" s="84"/>
      <c r="HW127" s="84"/>
      <c r="HX127" s="84"/>
      <c r="HY127" s="84"/>
      <c r="HZ127" s="84"/>
      <c r="IA127" s="84"/>
      <c r="IB127" s="84"/>
      <c r="IC127" s="84"/>
      <c r="ID127" s="84"/>
      <c r="IE127" s="84"/>
      <c r="IF127" s="84"/>
      <c r="IG127" s="84"/>
      <c r="IH127" s="84"/>
      <c r="II127" s="84"/>
      <c r="IJ127" s="84"/>
      <c r="IK127" s="84"/>
      <c r="IL127" s="84"/>
      <c r="IM127" s="84"/>
      <c r="IN127" s="84"/>
      <c r="IO127" s="84"/>
      <c r="IP127" s="84"/>
      <c r="IQ127" s="84"/>
      <c r="IR127" s="84"/>
      <c r="IS127" s="84"/>
      <c r="IT127" s="84"/>
      <c r="IU127" s="84"/>
      <c r="IV127" s="84"/>
      <c r="IW127" s="84"/>
    </row>
    <row r="128" spans="2:257" s="28" customFormat="1" ht="14.4">
      <c r="B128" s="30">
        <f t="shared" si="255"/>
        <v>5.329999999999993</v>
      </c>
      <c r="C128" s="44" t="s">
        <v>109</v>
      </c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84"/>
      <c r="BD128" s="84"/>
      <c r="BE128" s="84"/>
      <c r="BF128" s="84"/>
      <c r="BG128" s="84"/>
      <c r="BH128" s="84"/>
      <c r="BI128" s="84"/>
      <c r="BJ128" s="84"/>
      <c r="BK128" s="84"/>
      <c r="BL128" s="84"/>
      <c r="BM128" s="84"/>
      <c r="BN128" s="84"/>
      <c r="BO128" s="84"/>
      <c r="BP128" s="84"/>
      <c r="BQ128" s="84"/>
      <c r="BR128" s="84"/>
      <c r="BS128" s="84"/>
      <c r="BT128" s="84"/>
      <c r="BU128" s="84"/>
      <c r="BV128" s="84"/>
      <c r="BW128" s="84"/>
      <c r="BX128" s="84"/>
      <c r="BY128" s="84"/>
      <c r="BZ128" s="84"/>
      <c r="CA128" s="84"/>
      <c r="CB128" s="84"/>
      <c r="CC128" s="84"/>
      <c r="CD128" s="84"/>
      <c r="CE128" s="84"/>
      <c r="CF128" s="35"/>
      <c r="CG128" s="34"/>
      <c r="CH128" s="34"/>
      <c r="CI128" s="34"/>
      <c r="CJ128" s="34"/>
      <c r="CK128" s="34"/>
      <c r="CL128" s="34"/>
      <c r="CM128" s="34"/>
      <c r="CN128" s="34"/>
      <c r="CO128" s="35"/>
      <c r="CP128" s="35"/>
      <c r="CQ128" s="35"/>
      <c r="CR128" s="84"/>
      <c r="CS128" s="84"/>
      <c r="CT128" s="84"/>
      <c r="CU128" s="84"/>
      <c r="CV128" s="35"/>
      <c r="CW128" s="84"/>
      <c r="CX128" s="35"/>
      <c r="CY128" s="35"/>
      <c r="CZ128" s="35"/>
      <c r="DA128" s="35"/>
      <c r="DB128" s="35"/>
      <c r="DC128" s="84"/>
      <c r="DD128" s="35"/>
      <c r="DE128" s="35"/>
      <c r="DF128" s="35"/>
      <c r="DG128" s="35"/>
      <c r="DH128" s="35"/>
      <c r="DI128" s="84"/>
      <c r="DJ128" s="35"/>
      <c r="DK128" s="35"/>
      <c r="DL128" s="35"/>
      <c r="DM128" s="35"/>
      <c r="DN128" s="35"/>
      <c r="DO128" s="84"/>
      <c r="DP128" s="35"/>
      <c r="DQ128" s="35"/>
      <c r="DR128" s="35"/>
      <c r="DS128" s="35"/>
      <c r="DT128" s="35"/>
      <c r="DU128" s="84"/>
      <c r="DV128" s="35"/>
      <c r="DW128" s="35"/>
      <c r="DX128" s="35"/>
      <c r="DY128" s="35"/>
      <c r="DZ128" s="35"/>
      <c r="EA128" s="84"/>
      <c r="EB128" s="35"/>
      <c r="EC128" s="35"/>
      <c r="ED128" s="35"/>
      <c r="EE128" s="35"/>
      <c r="EF128" s="35"/>
      <c r="EG128" s="84"/>
      <c r="EH128" s="35"/>
      <c r="EI128" s="35"/>
      <c r="EJ128" s="35"/>
      <c r="EK128" s="35"/>
      <c r="EL128" s="35"/>
      <c r="EM128" s="84"/>
      <c r="EN128" s="35"/>
      <c r="EO128" s="35"/>
      <c r="EP128" s="35"/>
      <c r="EQ128" s="35"/>
      <c r="ER128" s="35"/>
      <c r="ES128" s="84"/>
      <c r="ET128" s="35"/>
      <c r="EU128" s="35"/>
      <c r="EV128" s="35"/>
      <c r="EW128" s="35"/>
      <c r="EX128" s="84"/>
      <c r="EY128" s="35"/>
      <c r="EZ128" s="35"/>
      <c r="FA128" s="35"/>
      <c r="FB128" s="35"/>
      <c r="FC128" s="35"/>
      <c r="FD128" s="84"/>
      <c r="FE128" s="84"/>
      <c r="FF128" s="35"/>
      <c r="FG128" s="35"/>
      <c r="FH128" s="55" t="s">
        <v>187</v>
      </c>
      <c r="FI128" s="55" t="s">
        <v>30</v>
      </c>
      <c r="FJ128" s="55" t="s">
        <v>31</v>
      </c>
      <c r="FK128" s="55"/>
      <c r="FL128" s="55" t="s">
        <v>32</v>
      </c>
      <c r="FM128" s="56" t="s">
        <v>188</v>
      </c>
      <c r="FN128" s="56" t="s">
        <v>189</v>
      </c>
      <c r="FO128" s="56" t="s">
        <v>190</v>
      </c>
      <c r="FP128" s="56" t="s">
        <v>191</v>
      </c>
      <c r="FQ128" s="56"/>
      <c r="FR128" s="57" t="s">
        <v>192</v>
      </c>
      <c r="FS128" s="35"/>
      <c r="FT128" s="35"/>
      <c r="FU128" s="57" t="s">
        <v>193</v>
      </c>
      <c r="FV128" s="57" t="s">
        <v>194</v>
      </c>
      <c r="FW128" s="57"/>
      <c r="FX128" s="57" t="s">
        <v>195</v>
      </c>
      <c r="FY128" s="58" t="s">
        <v>196</v>
      </c>
      <c r="FZ128" s="58" t="s">
        <v>197</v>
      </c>
      <c r="GA128" s="58" t="s">
        <v>198</v>
      </c>
      <c r="GB128" s="58" t="s">
        <v>199</v>
      </c>
      <c r="GC128" s="42"/>
      <c r="GD128" s="42" t="s">
        <v>33</v>
      </c>
      <c r="GE128" s="42" t="s">
        <v>34</v>
      </c>
      <c r="GF128" s="42" t="s">
        <v>35</v>
      </c>
      <c r="GG128" s="42" t="s">
        <v>36</v>
      </c>
      <c r="GH128" s="59" t="s">
        <v>200</v>
      </c>
      <c r="GI128" s="59"/>
      <c r="GJ128" s="59" t="s">
        <v>201</v>
      </c>
      <c r="GK128" s="59" t="s">
        <v>202</v>
      </c>
      <c r="GL128" s="59" t="s">
        <v>203</v>
      </c>
      <c r="GM128" s="35"/>
      <c r="GN128" s="35"/>
      <c r="GO128" s="35"/>
      <c r="GP128" s="35"/>
      <c r="GQ128" s="35"/>
      <c r="GR128" s="35"/>
      <c r="GS128" s="35"/>
      <c r="GT128" s="35"/>
      <c r="GU128" s="35"/>
      <c r="GV128" s="35"/>
      <c r="GW128" s="35"/>
      <c r="GX128" s="35"/>
      <c r="GY128" s="35"/>
      <c r="GZ128" s="35"/>
      <c r="HA128" s="35"/>
      <c r="HB128" s="35"/>
      <c r="HC128" s="35"/>
      <c r="HD128" s="35"/>
      <c r="HE128" s="35"/>
      <c r="HF128" s="84"/>
      <c r="HG128" s="84"/>
      <c r="HH128" s="84"/>
      <c r="HI128" s="84"/>
      <c r="HJ128" s="84"/>
      <c r="HK128" s="84"/>
      <c r="HL128" s="84"/>
      <c r="HM128" s="84"/>
      <c r="HN128" s="84"/>
      <c r="HO128" s="84"/>
      <c r="HP128" s="84"/>
      <c r="HQ128" s="84"/>
      <c r="HR128" s="84"/>
      <c r="HS128" s="84"/>
      <c r="HT128" s="84"/>
      <c r="HU128" s="84"/>
      <c r="HV128" s="84"/>
      <c r="HW128" s="84"/>
      <c r="HX128" s="84"/>
      <c r="HY128" s="84"/>
      <c r="HZ128" s="84"/>
      <c r="IA128" s="84"/>
      <c r="IB128" s="84"/>
      <c r="IC128" s="84"/>
      <c r="ID128" s="84"/>
      <c r="IE128" s="84"/>
      <c r="IF128" s="84"/>
      <c r="IG128" s="84"/>
      <c r="IH128" s="84"/>
      <c r="II128" s="84"/>
      <c r="IJ128" s="84"/>
      <c r="IK128" s="84"/>
      <c r="IL128" s="84"/>
      <c r="IM128" s="84"/>
      <c r="IN128" s="84"/>
      <c r="IO128" s="84"/>
      <c r="IP128" s="84"/>
      <c r="IQ128" s="84"/>
      <c r="IR128" s="84"/>
      <c r="IS128" s="84"/>
      <c r="IT128" s="84"/>
      <c r="IU128" s="84"/>
      <c r="IV128" s="84"/>
      <c r="IW128" s="84"/>
    </row>
    <row r="129" spans="2:257" s="28" customFormat="1" ht="14.4">
      <c r="B129" s="30">
        <f t="shared" si="255"/>
        <v>5.3399999999999928</v>
      </c>
      <c r="C129" s="44" t="s">
        <v>110</v>
      </c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84"/>
      <c r="BD129" s="84"/>
      <c r="BE129" s="84"/>
      <c r="BF129" s="84"/>
      <c r="BG129" s="84"/>
      <c r="BH129" s="84"/>
      <c r="BI129" s="84"/>
      <c r="BJ129" s="84"/>
      <c r="BK129" s="84"/>
      <c r="BL129" s="84"/>
      <c r="BM129" s="84"/>
      <c r="BN129" s="84"/>
      <c r="BO129" s="84"/>
      <c r="BP129" s="84"/>
      <c r="BQ129" s="84"/>
      <c r="BR129" s="84"/>
      <c r="BS129" s="84"/>
      <c r="BT129" s="84"/>
      <c r="BU129" s="84"/>
      <c r="BV129" s="84"/>
      <c r="BW129" s="84"/>
      <c r="BX129" s="84"/>
      <c r="BY129" s="84"/>
      <c r="BZ129" s="84"/>
      <c r="CA129" s="84"/>
      <c r="CB129" s="84"/>
      <c r="CC129" s="84"/>
      <c r="CD129" s="84"/>
      <c r="CE129" s="84"/>
      <c r="CF129" s="35"/>
      <c r="CG129" s="34"/>
      <c r="CH129" s="34"/>
      <c r="CI129" s="34"/>
      <c r="CJ129" s="34"/>
      <c r="CK129" s="34"/>
      <c r="CL129" s="34"/>
      <c r="CM129" s="34"/>
      <c r="CN129" s="34"/>
      <c r="CO129" s="35"/>
      <c r="CP129" s="35"/>
      <c r="CQ129" s="35"/>
      <c r="CR129" s="84"/>
      <c r="CS129" s="84"/>
      <c r="CT129" s="84"/>
      <c r="CU129" s="84"/>
      <c r="CV129" s="35"/>
      <c r="CW129" s="84"/>
      <c r="CX129" s="35"/>
      <c r="CY129" s="35"/>
      <c r="CZ129" s="35"/>
      <c r="DA129" s="35"/>
      <c r="DB129" s="35"/>
      <c r="DC129" s="84"/>
      <c r="DD129" s="35"/>
      <c r="DE129" s="35"/>
      <c r="DF129" s="35"/>
      <c r="DG129" s="35"/>
      <c r="DH129" s="35"/>
      <c r="DI129" s="84"/>
      <c r="DJ129" s="35"/>
      <c r="DK129" s="35"/>
      <c r="DL129" s="35"/>
      <c r="DM129" s="35"/>
      <c r="DN129" s="35"/>
      <c r="DO129" s="84"/>
      <c r="DP129" s="35"/>
      <c r="DQ129" s="35"/>
      <c r="DR129" s="35"/>
      <c r="DS129" s="35"/>
      <c r="DT129" s="35"/>
      <c r="DU129" s="84"/>
      <c r="DV129" s="35"/>
      <c r="DW129" s="35"/>
      <c r="DX129" s="35"/>
      <c r="DY129" s="35"/>
      <c r="DZ129" s="35"/>
      <c r="EA129" s="84"/>
      <c r="EB129" s="35"/>
      <c r="EC129" s="35"/>
      <c r="ED129" s="35"/>
      <c r="EE129" s="35"/>
      <c r="EF129" s="35"/>
      <c r="EG129" s="84"/>
      <c r="EH129" s="35"/>
      <c r="EI129" s="35"/>
      <c r="EJ129" s="35"/>
      <c r="EK129" s="35"/>
      <c r="EL129" s="35"/>
      <c r="EM129" s="84"/>
      <c r="EN129" s="35"/>
      <c r="EO129" s="35"/>
      <c r="EP129" s="35"/>
      <c r="EQ129" s="35"/>
      <c r="ER129" s="35"/>
      <c r="ES129" s="84"/>
      <c r="ET129" s="35"/>
      <c r="EU129" s="35"/>
      <c r="EV129" s="35"/>
      <c r="EW129" s="35"/>
      <c r="EX129" s="84"/>
      <c r="EY129" s="35"/>
      <c r="EZ129" s="35"/>
      <c r="FA129" s="35"/>
      <c r="FB129" s="35"/>
      <c r="FC129" s="35"/>
      <c r="FD129" s="84"/>
      <c r="FE129" s="84"/>
      <c r="FF129" s="35"/>
      <c r="FG129" s="35"/>
      <c r="FH129" s="35"/>
      <c r="FI129" s="55" t="s">
        <v>187</v>
      </c>
      <c r="FJ129" s="55" t="s">
        <v>30</v>
      </c>
      <c r="FK129" s="55"/>
      <c r="FL129" s="55" t="s">
        <v>31</v>
      </c>
      <c r="FM129" s="55" t="s">
        <v>32</v>
      </c>
      <c r="FN129" s="56" t="s">
        <v>188</v>
      </c>
      <c r="FO129" s="56" t="s">
        <v>189</v>
      </c>
      <c r="FP129" s="56" t="s">
        <v>190</v>
      </c>
      <c r="FQ129" s="56"/>
      <c r="FR129" s="56" t="s">
        <v>191</v>
      </c>
      <c r="FS129" s="35"/>
      <c r="FT129" s="35"/>
      <c r="FU129" s="57" t="s">
        <v>192</v>
      </c>
      <c r="FV129" s="57" t="s">
        <v>193</v>
      </c>
      <c r="FW129" s="57"/>
      <c r="FX129" s="57" t="s">
        <v>194</v>
      </c>
      <c r="FY129" s="57" t="s">
        <v>195</v>
      </c>
      <c r="FZ129" s="58" t="s">
        <v>196</v>
      </c>
      <c r="GA129" s="58" t="s">
        <v>197</v>
      </c>
      <c r="GB129" s="58" t="s">
        <v>198</v>
      </c>
      <c r="GC129" s="58"/>
      <c r="GD129" s="58" t="s">
        <v>199</v>
      </c>
      <c r="GE129" s="42" t="s">
        <v>33</v>
      </c>
      <c r="GF129" s="42" t="s">
        <v>34</v>
      </c>
      <c r="GG129" s="42" t="s">
        <v>35</v>
      </c>
      <c r="GH129" s="42" t="s">
        <v>36</v>
      </c>
      <c r="GI129" s="42"/>
      <c r="GJ129" s="59" t="s">
        <v>200</v>
      </c>
      <c r="GK129" s="59" t="s">
        <v>201</v>
      </c>
      <c r="GL129" s="59" t="s">
        <v>202</v>
      </c>
      <c r="GM129" s="59" t="s">
        <v>203</v>
      </c>
      <c r="GN129" s="35"/>
      <c r="GO129" s="35"/>
      <c r="GP129" s="35"/>
      <c r="GQ129" s="35"/>
      <c r="GR129" s="35"/>
      <c r="GS129" s="35"/>
      <c r="GT129" s="35"/>
      <c r="GU129" s="35"/>
      <c r="GV129" s="35"/>
      <c r="GW129" s="35"/>
      <c r="GX129" s="35"/>
      <c r="GY129" s="35"/>
      <c r="GZ129" s="35"/>
      <c r="HA129" s="35"/>
      <c r="HB129" s="35"/>
      <c r="HC129" s="35"/>
      <c r="HD129" s="35"/>
      <c r="HE129" s="35"/>
      <c r="HF129" s="84"/>
      <c r="HG129" s="84"/>
      <c r="HH129" s="84"/>
      <c r="HI129" s="84"/>
      <c r="HJ129" s="84"/>
      <c r="HK129" s="84"/>
      <c r="HL129" s="84"/>
      <c r="HM129" s="84"/>
      <c r="HN129" s="84"/>
      <c r="HO129" s="84"/>
      <c r="HP129" s="84"/>
      <c r="HQ129" s="84"/>
      <c r="HR129" s="84"/>
      <c r="HS129" s="84"/>
      <c r="HT129" s="84"/>
      <c r="HU129" s="84"/>
      <c r="HV129" s="84"/>
      <c r="HW129" s="84"/>
      <c r="HX129" s="84"/>
      <c r="HY129" s="84"/>
      <c r="HZ129" s="84"/>
      <c r="IA129" s="84"/>
      <c r="IB129" s="84"/>
      <c r="IC129" s="84"/>
      <c r="ID129" s="84"/>
      <c r="IE129" s="84"/>
      <c r="IF129" s="84"/>
      <c r="IG129" s="84"/>
      <c r="IH129" s="84"/>
      <c r="II129" s="84"/>
      <c r="IJ129" s="84"/>
      <c r="IK129" s="84"/>
      <c r="IL129" s="84"/>
      <c r="IM129" s="84"/>
      <c r="IN129" s="84"/>
      <c r="IO129" s="84"/>
      <c r="IP129" s="84"/>
      <c r="IQ129" s="84"/>
      <c r="IR129" s="84"/>
      <c r="IS129" s="84"/>
      <c r="IT129" s="84"/>
      <c r="IU129" s="84"/>
      <c r="IV129" s="84"/>
      <c r="IW129" s="84"/>
    </row>
    <row r="130" spans="2:257" s="28" customFormat="1" ht="14.4">
      <c r="B130" s="30">
        <f t="shared" si="255"/>
        <v>5.3499999999999925</v>
      </c>
      <c r="C130" s="44" t="s">
        <v>111</v>
      </c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84"/>
      <c r="BD130" s="84"/>
      <c r="BE130" s="84"/>
      <c r="BF130" s="84"/>
      <c r="BG130" s="84"/>
      <c r="BH130" s="84"/>
      <c r="BI130" s="84"/>
      <c r="BJ130" s="84"/>
      <c r="BK130" s="84"/>
      <c r="BL130" s="84"/>
      <c r="BM130" s="84"/>
      <c r="BN130" s="84"/>
      <c r="BO130" s="84"/>
      <c r="BP130" s="84"/>
      <c r="BQ130" s="84"/>
      <c r="BR130" s="84"/>
      <c r="BS130" s="84"/>
      <c r="BT130" s="84"/>
      <c r="BU130" s="84"/>
      <c r="BV130" s="84"/>
      <c r="BW130" s="84"/>
      <c r="BX130" s="84"/>
      <c r="BY130" s="84"/>
      <c r="BZ130" s="84"/>
      <c r="CA130" s="84"/>
      <c r="CB130" s="84"/>
      <c r="CC130" s="84"/>
      <c r="CD130" s="84"/>
      <c r="CE130" s="84"/>
      <c r="CF130" s="35"/>
      <c r="CG130" s="34"/>
      <c r="CH130" s="34"/>
      <c r="CI130" s="34"/>
      <c r="CJ130" s="34"/>
      <c r="CK130" s="34"/>
      <c r="CL130" s="34"/>
      <c r="CM130" s="34"/>
      <c r="CN130" s="34"/>
      <c r="CO130" s="35"/>
      <c r="CP130" s="35"/>
      <c r="CQ130" s="35"/>
      <c r="CR130" s="84"/>
      <c r="CS130" s="84"/>
      <c r="CT130" s="84"/>
      <c r="CU130" s="84"/>
      <c r="CV130" s="35"/>
      <c r="CW130" s="84"/>
      <c r="CX130" s="35"/>
      <c r="CY130" s="35"/>
      <c r="CZ130" s="35"/>
      <c r="DA130" s="35"/>
      <c r="DB130" s="35"/>
      <c r="DC130" s="84"/>
      <c r="DD130" s="35"/>
      <c r="DE130" s="35"/>
      <c r="DF130" s="35"/>
      <c r="DG130" s="35"/>
      <c r="DH130" s="35"/>
      <c r="DI130" s="84"/>
      <c r="DJ130" s="35"/>
      <c r="DK130" s="35"/>
      <c r="DL130" s="35"/>
      <c r="DM130" s="35"/>
      <c r="DN130" s="35"/>
      <c r="DO130" s="84"/>
      <c r="DP130" s="35"/>
      <c r="DQ130" s="35"/>
      <c r="DR130" s="35"/>
      <c r="DS130" s="35"/>
      <c r="DT130" s="35"/>
      <c r="DU130" s="84"/>
      <c r="DV130" s="35"/>
      <c r="DW130" s="35"/>
      <c r="DX130" s="35"/>
      <c r="DY130" s="35"/>
      <c r="DZ130" s="35"/>
      <c r="EA130" s="84"/>
      <c r="EB130" s="35"/>
      <c r="EC130" s="35"/>
      <c r="ED130" s="35"/>
      <c r="EE130" s="35"/>
      <c r="EF130" s="35"/>
      <c r="EG130" s="84"/>
      <c r="EH130" s="35"/>
      <c r="EI130" s="35"/>
      <c r="EJ130" s="35"/>
      <c r="EK130" s="35"/>
      <c r="EL130" s="35"/>
      <c r="EM130" s="84"/>
      <c r="EN130" s="35"/>
      <c r="EO130" s="35"/>
      <c r="EP130" s="35"/>
      <c r="EQ130" s="35"/>
      <c r="ER130" s="35"/>
      <c r="ES130" s="84"/>
      <c r="ET130" s="35"/>
      <c r="EU130" s="35"/>
      <c r="EV130" s="35"/>
      <c r="EW130" s="35"/>
      <c r="EX130" s="84"/>
      <c r="EY130" s="35"/>
      <c r="EZ130" s="35"/>
      <c r="FA130" s="35"/>
      <c r="FB130" s="35"/>
      <c r="FC130" s="35"/>
      <c r="FD130" s="84"/>
      <c r="FE130" s="84"/>
      <c r="FF130" s="35"/>
      <c r="FG130" s="35"/>
      <c r="FH130" s="35"/>
      <c r="FI130" s="35"/>
      <c r="FJ130" s="55" t="s">
        <v>187</v>
      </c>
      <c r="FK130" s="55"/>
      <c r="FL130" s="55" t="s">
        <v>30</v>
      </c>
      <c r="FM130" s="55" t="s">
        <v>31</v>
      </c>
      <c r="FN130" s="55" t="s">
        <v>32</v>
      </c>
      <c r="FO130" s="56" t="s">
        <v>188</v>
      </c>
      <c r="FP130" s="56" t="s">
        <v>189</v>
      </c>
      <c r="FQ130" s="56"/>
      <c r="FR130" s="56" t="s">
        <v>190</v>
      </c>
      <c r="FS130" s="35"/>
      <c r="FT130" s="35"/>
      <c r="FU130" s="56" t="s">
        <v>191</v>
      </c>
      <c r="FV130" s="57" t="s">
        <v>192</v>
      </c>
      <c r="FW130" s="57"/>
      <c r="FX130" s="57" t="s">
        <v>193</v>
      </c>
      <c r="FY130" s="57" t="s">
        <v>194</v>
      </c>
      <c r="FZ130" s="57" t="s">
        <v>195</v>
      </c>
      <c r="GA130" s="58" t="s">
        <v>196</v>
      </c>
      <c r="GB130" s="58" t="s">
        <v>197</v>
      </c>
      <c r="GC130" s="58"/>
      <c r="GD130" s="58" t="s">
        <v>198</v>
      </c>
      <c r="GE130" s="58" t="s">
        <v>199</v>
      </c>
      <c r="GF130" s="42" t="s">
        <v>33</v>
      </c>
      <c r="GG130" s="42" t="s">
        <v>34</v>
      </c>
      <c r="GH130" s="42" t="s">
        <v>35</v>
      </c>
      <c r="GI130" s="42"/>
      <c r="GJ130" s="42" t="s">
        <v>36</v>
      </c>
      <c r="GK130" s="59" t="s">
        <v>200</v>
      </c>
      <c r="GL130" s="59" t="s">
        <v>201</v>
      </c>
      <c r="GM130" s="59" t="s">
        <v>202</v>
      </c>
      <c r="GN130" s="59" t="s">
        <v>203</v>
      </c>
      <c r="GO130" s="59"/>
      <c r="GP130" s="35"/>
      <c r="GQ130" s="35"/>
      <c r="GR130" s="35"/>
      <c r="GS130" s="35"/>
      <c r="GT130" s="35"/>
      <c r="GU130" s="35"/>
      <c r="GV130" s="35"/>
      <c r="GW130" s="35"/>
      <c r="GX130" s="35"/>
      <c r="GY130" s="35"/>
      <c r="GZ130" s="35"/>
      <c r="HA130" s="35"/>
      <c r="HB130" s="35"/>
      <c r="HC130" s="35"/>
      <c r="HD130" s="35"/>
      <c r="HE130" s="35"/>
      <c r="HF130" s="84"/>
      <c r="HG130" s="84"/>
      <c r="HH130" s="84"/>
      <c r="HI130" s="84"/>
      <c r="HJ130" s="84"/>
      <c r="HK130" s="84"/>
      <c r="HL130" s="84"/>
      <c r="HM130" s="84"/>
      <c r="HN130" s="84"/>
      <c r="HO130" s="84"/>
      <c r="HP130" s="84"/>
      <c r="HQ130" s="84"/>
      <c r="HR130" s="84"/>
      <c r="HS130" s="84"/>
      <c r="HT130" s="84"/>
      <c r="HU130" s="84"/>
      <c r="HV130" s="84"/>
      <c r="HW130" s="84"/>
      <c r="HX130" s="84"/>
      <c r="HY130" s="84"/>
      <c r="HZ130" s="84"/>
      <c r="IA130" s="84"/>
      <c r="IB130" s="84"/>
      <c r="IC130" s="84"/>
      <c r="ID130" s="84"/>
      <c r="IE130" s="84"/>
      <c r="IF130" s="84"/>
      <c r="IG130" s="84"/>
      <c r="IH130" s="84"/>
      <c r="II130" s="84"/>
      <c r="IJ130" s="84"/>
      <c r="IK130" s="84"/>
      <c r="IL130" s="84"/>
      <c r="IM130" s="84"/>
      <c r="IN130" s="84"/>
      <c r="IO130" s="84"/>
      <c r="IP130" s="84"/>
      <c r="IQ130" s="84"/>
      <c r="IR130" s="84"/>
      <c r="IS130" s="84"/>
      <c r="IT130" s="84"/>
      <c r="IU130" s="84"/>
      <c r="IV130" s="84"/>
      <c r="IW130" s="84"/>
    </row>
    <row r="131" spans="2:257" s="28" customFormat="1" ht="14.4">
      <c r="B131" s="30">
        <f t="shared" si="255"/>
        <v>5.3599999999999923</v>
      </c>
      <c r="C131" s="44" t="s">
        <v>112</v>
      </c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84"/>
      <c r="BD131" s="84"/>
      <c r="BE131" s="84"/>
      <c r="BF131" s="84"/>
      <c r="BG131" s="84"/>
      <c r="BH131" s="84"/>
      <c r="BI131" s="84"/>
      <c r="BJ131" s="84"/>
      <c r="BK131" s="84"/>
      <c r="BL131" s="84"/>
      <c r="BM131" s="84"/>
      <c r="BN131" s="84"/>
      <c r="BO131" s="84"/>
      <c r="BP131" s="84"/>
      <c r="BQ131" s="84"/>
      <c r="BR131" s="84"/>
      <c r="BS131" s="84"/>
      <c r="BT131" s="84"/>
      <c r="BU131" s="84"/>
      <c r="BV131" s="84"/>
      <c r="BW131" s="84"/>
      <c r="BX131" s="84"/>
      <c r="BY131" s="84"/>
      <c r="BZ131" s="84"/>
      <c r="CA131" s="84"/>
      <c r="CB131" s="84"/>
      <c r="CC131" s="84"/>
      <c r="CD131" s="84"/>
      <c r="CE131" s="84"/>
      <c r="CF131" s="35"/>
      <c r="CG131" s="34"/>
      <c r="CH131" s="34"/>
      <c r="CI131" s="34"/>
      <c r="CJ131" s="34"/>
      <c r="CK131" s="34"/>
      <c r="CL131" s="34"/>
      <c r="CM131" s="34"/>
      <c r="CN131" s="34"/>
      <c r="CO131" s="35"/>
      <c r="CP131" s="35"/>
      <c r="CQ131" s="35"/>
      <c r="CR131" s="84"/>
      <c r="CS131" s="84"/>
      <c r="CT131" s="84"/>
      <c r="CU131" s="84"/>
      <c r="CV131" s="35"/>
      <c r="CW131" s="84"/>
      <c r="CX131" s="35"/>
      <c r="CY131" s="35"/>
      <c r="CZ131" s="35"/>
      <c r="DA131" s="35"/>
      <c r="DB131" s="35"/>
      <c r="DC131" s="84"/>
      <c r="DD131" s="35"/>
      <c r="DE131" s="35"/>
      <c r="DF131" s="35"/>
      <c r="DG131" s="35"/>
      <c r="DH131" s="35"/>
      <c r="DI131" s="84"/>
      <c r="DJ131" s="35"/>
      <c r="DK131" s="35"/>
      <c r="DL131" s="35"/>
      <c r="DM131" s="35"/>
      <c r="DN131" s="35"/>
      <c r="DO131" s="84"/>
      <c r="DP131" s="35"/>
      <c r="DQ131" s="35"/>
      <c r="DR131" s="35"/>
      <c r="DS131" s="35"/>
      <c r="DT131" s="35"/>
      <c r="DU131" s="84"/>
      <c r="DV131" s="35"/>
      <c r="DW131" s="35"/>
      <c r="DX131" s="35"/>
      <c r="DY131" s="35"/>
      <c r="DZ131" s="35"/>
      <c r="EA131" s="84"/>
      <c r="EB131" s="34"/>
      <c r="EC131" s="34"/>
      <c r="ED131" s="34"/>
      <c r="EE131" s="35"/>
      <c r="EF131" s="35"/>
      <c r="EG131" s="84"/>
      <c r="EH131" s="35"/>
      <c r="EI131" s="35"/>
      <c r="EJ131" s="35"/>
      <c r="EK131" s="35"/>
      <c r="EL131" s="35"/>
      <c r="EM131" s="84"/>
      <c r="EN131" s="35"/>
      <c r="EO131" s="35"/>
      <c r="EP131" s="35"/>
      <c r="EQ131" s="35"/>
      <c r="ER131" s="35"/>
      <c r="ES131" s="84"/>
      <c r="ET131" s="35"/>
      <c r="EU131" s="35"/>
      <c r="EV131" s="35"/>
      <c r="EW131" s="35"/>
      <c r="EX131" s="84"/>
      <c r="EY131" s="35"/>
      <c r="EZ131" s="35"/>
      <c r="FA131" s="35"/>
      <c r="FB131" s="35"/>
      <c r="FC131" s="35"/>
      <c r="FD131" s="84"/>
      <c r="FE131" s="84"/>
      <c r="FF131" s="35"/>
      <c r="FG131" s="35"/>
      <c r="FH131" s="35"/>
      <c r="FI131" s="35"/>
      <c r="FJ131" s="84"/>
      <c r="FK131" s="35"/>
      <c r="FL131" s="55" t="s">
        <v>187</v>
      </c>
      <c r="FM131" s="55" t="s">
        <v>30</v>
      </c>
      <c r="FN131" s="55" t="s">
        <v>31</v>
      </c>
      <c r="FO131" s="55" t="s">
        <v>32</v>
      </c>
      <c r="FP131" s="56" t="s">
        <v>188</v>
      </c>
      <c r="FQ131" s="56"/>
      <c r="FR131" s="56" t="s">
        <v>189</v>
      </c>
      <c r="FS131" s="35"/>
      <c r="FT131" s="35"/>
      <c r="FU131" s="56" t="s">
        <v>190</v>
      </c>
      <c r="FV131" s="56" t="s">
        <v>191</v>
      </c>
      <c r="FW131" s="57"/>
      <c r="FX131" s="57" t="s">
        <v>192</v>
      </c>
      <c r="FY131" s="57" t="s">
        <v>193</v>
      </c>
      <c r="FZ131" s="57" t="s">
        <v>194</v>
      </c>
      <c r="GA131" s="57" t="s">
        <v>195</v>
      </c>
      <c r="GB131" s="58" t="s">
        <v>196</v>
      </c>
      <c r="GC131" s="58"/>
      <c r="GD131" s="58" t="s">
        <v>197</v>
      </c>
      <c r="GE131" s="58" t="s">
        <v>198</v>
      </c>
      <c r="GF131" s="58" t="s">
        <v>199</v>
      </c>
      <c r="GG131" s="42" t="s">
        <v>33</v>
      </c>
      <c r="GH131" s="42" t="s">
        <v>34</v>
      </c>
      <c r="GI131" s="42"/>
      <c r="GJ131" s="42" t="s">
        <v>35</v>
      </c>
      <c r="GK131" s="42" t="s">
        <v>36</v>
      </c>
      <c r="GL131" s="59" t="s">
        <v>200</v>
      </c>
      <c r="GM131" s="59" t="s">
        <v>201</v>
      </c>
      <c r="GN131" s="59" t="s">
        <v>202</v>
      </c>
      <c r="GO131" s="59"/>
      <c r="GP131" s="59" t="s">
        <v>203</v>
      </c>
      <c r="GQ131" s="35"/>
      <c r="GR131" s="35"/>
      <c r="GS131" s="35"/>
      <c r="GT131" s="35"/>
      <c r="GU131" s="35"/>
      <c r="GV131" s="35"/>
      <c r="GW131" s="35"/>
      <c r="GX131" s="35"/>
      <c r="GY131" s="35"/>
      <c r="GZ131" s="35"/>
      <c r="HA131" s="35"/>
      <c r="HB131" s="35"/>
      <c r="HC131" s="35"/>
      <c r="HD131" s="35"/>
      <c r="HE131" s="35"/>
      <c r="HF131" s="35"/>
      <c r="HG131" s="84"/>
      <c r="HH131" s="84"/>
      <c r="HI131" s="84"/>
      <c r="HJ131" s="84"/>
      <c r="HK131" s="84"/>
      <c r="HL131" s="84"/>
      <c r="HM131" s="84"/>
      <c r="HN131" s="84"/>
      <c r="HO131" s="84"/>
      <c r="HP131" s="84"/>
      <c r="HQ131" s="84"/>
      <c r="HR131" s="84"/>
      <c r="HS131" s="84"/>
      <c r="HT131" s="84"/>
      <c r="HU131" s="84"/>
      <c r="HV131" s="84"/>
      <c r="HW131" s="84"/>
      <c r="HX131" s="84"/>
      <c r="HY131" s="84"/>
      <c r="HZ131" s="84"/>
      <c r="IA131" s="84"/>
      <c r="IB131" s="84"/>
      <c r="IC131" s="84"/>
      <c r="ID131" s="84"/>
      <c r="IE131" s="84"/>
      <c r="IF131" s="84"/>
      <c r="IG131" s="84"/>
      <c r="IH131" s="84"/>
      <c r="II131" s="84"/>
      <c r="IJ131" s="84"/>
      <c r="IK131" s="84"/>
      <c r="IL131" s="84"/>
      <c r="IM131" s="84"/>
      <c r="IN131" s="84"/>
      <c r="IO131" s="84"/>
      <c r="IP131" s="84"/>
      <c r="IQ131" s="84"/>
      <c r="IR131" s="84"/>
      <c r="IS131" s="84"/>
      <c r="IT131" s="84"/>
      <c r="IU131" s="84"/>
      <c r="IV131" s="84"/>
      <c r="IW131" s="84"/>
    </row>
    <row r="132" spans="2:257" s="28" customFormat="1" ht="14.4">
      <c r="B132" s="30">
        <f t="shared" si="255"/>
        <v>5.3699999999999921</v>
      </c>
      <c r="C132" s="44" t="s">
        <v>113</v>
      </c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  <c r="BM132" s="84"/>
      <c r="BN132" s="84"/>
      <c r="BO132" s="84"/>
      <c r="BP132" s="84"/>
      <c r="BQ132" s="84"/>
      <c r="BR132" s="84"/>
      <c r="BS132" s="84"/>
      <c r="BT132" s="84"/>
      <c r="BU132" s="84"/>
      <c r="BV132" s="84"/>
      <c r="BW132" s="84"/>
      <c r="BX132" s="84"/>
      <c r="BY132" s="84"/>
      <c r="BZ132" s="84"/>
      <c r="CA132" s="84"/>
      <c r="CB132" s="84"/>
      <c r="CC132" s="84"/>
      <c r="CD132" s="84"/>
      <c r="CE132" s="84"/>
      <c r="CF132" s="35"/>
      <c r="CG132" s="34"/>
      <c r="CH132" s="34"/>
      <c r="CI132" s="34"/>
      <c r="CJ132" s="34"/>
      <c r="CK132" s="34"/>
      <c r="CL132" s="34"/>
      <c r="CM132" s="34"/>
      <c r="CN132" s="34"/>
      <c r="CO132" s="35"/>
      <c r="CP132" s="35"/>
      <c r="CQ132" s="35"/>
      <c r="CR132" s="84"/>
      <c r="CS132" s="84"/>
      <c r="CT132" s="84"/>
      <c r="CU132" s="84"/>
      <c r="CV132" s="35"/>
      <c r="CW132" s="84"/>
      <c r="CX132" s="35"/>
      <c r="CY132" s="35"/>
      <c r="CZ132" s="35"/>
      <c r="DA132" s="35"/>
      <c r="DB132" s="35"/>
      <c r="DC132" s="84"/>
      <c r="DD132" s="35"/>
      <c r="DE132" s="35"/>
      <c r="DF132" s="35"/>
      <c r="DG132" s="35"/>
      <c r="DH132" s="35"/>
      <c r="DI132" s="84"/>
      <c r="DJ132" s="35"/>
      <c r="DK132" s="35"/>
      <c r="DL132" s="35"/>
      <c r="DM132" s="35"/>
      <c r="DN132" s="35"/>
      <c r="DO132" s="84"/>
      <c r="DP132" s="35"/>
      <c r="DQ132" s="35"/>
      <c r="DR132" s="35"/>
      <c r="DS132" s="35"/>
      <c r="DT132" s="35"/>
      <c r="DU132" s="84"/>
      <c r="DV132" s="35"/>
      <c r="DW132" s="35"/>
      <c r="DX132" s="35"/>
      <c r="DY132" s="35"/>
      <c r="DZ132" s="35"/>
      <c r="EA132" s="84"/>
      <c r="EB132" s="35"/>
      <c r="EC132" s="35"/>
      <c r="ED132" s="35"/>
      <c r="EE132" s="35"/>
      <c r="EF132" s="35"/>
      <c r="EG132" s="84"/>
      <c r="EH132" s="35"/>
      <c r="EI132" s="35"/>
      <c r="EJ132" s="35"/>
      <c r="EK132" s="35"/>
      <c r="EL132" s="35"/>
      <c r="EM132" s="84"/>
      <c r="EN132" s="35"/>
      <c r="EO132" s="35"/>
      <c r="EP132" s="35"/>
      <c r="EQ132" s="35"/>
      <c r="ER132" s="35"/>
      <c r="ES132" s="84"/>
      <c r="ET132" s="35"/>
      <c r="EU132" s="35"/>
      <c r="EV132" s="35"/>
      <c r="EW132" s="35"/>
      <c r="EX132" s="84"/>
      <c r="EY132" s="35"/>
      <c r="EZ132" s="35"/>
      <c r="FA132" s="35"/>
      <c r="FB132" s="35"/>
      <c r="FC132" s="35"/>
      <c r="FD132" s="84"/>
      <c r="FE132" s="84"/>
      <c r="FF132" s="35"/>
      <c r="FG132" s="35"/>
      <c r="FH132" s="35"/>
      <c r="FI132" s="35"/>
      <c r="FJ132" s="84"/>
      <c r="FK132" s="35"/>
      <c r="FL132" s="35"/>
      <c r="FM132" s="55" t="s">
        <v>187</v>
      </c>
      <c r="FN132" s="55" t="s">
        <v>30</v>
      </c>
      <c r="FO132" s="55" t="s">
        <v>31</v>
      </c>
      <c r="FP132" s="55" t="s">
        <v>32</v>
      </c>
      <c r="FQ132" s="55"/>
      <c r="FR132" s="56" t="s">
        <v>188</v>
      </c>
      <c r="FS132" s="35"/>
      <c r="FT132" s="35"/>
      <c r="FU132" s="56" t="s">
        <v>189</v>
      </c>
      <c r="FV132" s="56" t="s">
        <v>190</v>
      </c>
      <c r="FW132" s="56"/>
      <c r="FX132" s="56" t="s">
        <v>191</v>
      </c>
      <c r="FY132" s="57" t="s">
        <v>192</v>
      </c>
      <c r="FZ132" s="57" t="s">
        <v>193</v>
      </c>
      <c r="GA132" s="57" t="s">
        <v>194</v>
      </c>
      <c r="GB132" s="57" t="s">
        <v>195</v>
      </c>
      <c r="GC132" s="58"/>
      <c r="GD132" s="58" t="s">
        <v>196</v>
      </c>
      <c r="GE132" s="58" t="s">
        <v>197</v>
      </c>
      <c r="GF132" s="58" t="s">
        <v>198</v>
      </c>
      <c r="GG132" s="58" t="s">
        <v>199</v>
      </c>
      <c r="GH132" s="42" t="s">
        <v>33</v>
      </c>
      <c r="GI132" s="42"/>
      <c r="GJ132" s="42" t="s">
        <v>34</v>
      </c>
      <c r="GK132" s="42" t="s">
        <v>35</v>
      </c>
      <c r="GL132" s="42" t="s">
        <v>36</v>
      </c>
      <c r="GM132" s="59" t="s">
        <v>200</v>
      </c>
      <c r="GN132" s="59" t="s">
        <v>201</v>
      </c>
      <c r="GO132" s="59"/>
      <c r="GP132" s="59" t="s">
        <v>202</v>
      </c>
      <c r="GQ132" s="59" t="s">
        <v>203</v>
      </c>
      <c r="GR132" s="35"/>
      <c r="GS132" s="35"/>
      <c r="GT132" s="35"/>
      <c r="GU132" s="35"/>
      <c r="GV132" s="35"/>
      <c r="GW132" s="35"/>
      <c r="GX132" s="35"/>
      <c r="GY132" s="35"/>
      <c r="GZ132" s="35"/>
      <c r="HA132" s="35"/>
      <c r="HB132" s="35"/>
      <c r="HC132" s="35"/>
      <c r="HD132" s="35"/>
      <c r="HE132" s="35"/>
      <c r="HF132" s="35"/>
      <c r="HG132" s="84"/>
      <c r="HH132" s="84"/>
      <c r="HI132" s="84"/>
      <c r="HJ132" s="84"/>
      <c r="HK132" s="84"/>
      <c r="HL132" s="84"/>
      <c r="HM132" s="84"/>
      <c r="HN132" s="84"/>
      <c r="HO132" s="84"/>
      <c r="HP132" s="84"/>
      <c r="HQ132" s="84"/>
      <c r="HR132" s="84"/>
      <c r="HS132" s="84"/>
      <c r="HT132" s="84"/>
      <c r="HU132" s="84"/>
      <c r="HV132" s="84"/>
      <c r="HW132" s="84"/>
      <c r="HX132" s="84"/>
      <c r="HY132" s="84"/>
      <c r="HZ132" s="84"/>
      <c r="IA132" s="84"/>
      <c r="IB132" s="84"/>
      <c r="IC132" s="84"/>
      <c r="ID132" s="84"/>
      <c r="IE132" s="84"/>
      <c r="IF132" s="84"/>
      <c r="IG132" s="84"/>
      <c r="IH132" s="84"/>
      <c r="II132" s="84"/>
      <c r="IJ132" s="84"/>
      <c r="IK132" s="84"/>
      <c r="IL132" s="84"/>
      <c r="IM132" s="84"/>
      <c r="IN132" s="84"/>
      <c r="IO132" s="84"/>
      <c r="IP132" s="84"/>
      <c r="IQ132" s="84"/>
      <c r="IR132" s="84"/>
      <c r="IS132" s="84"/>
      <c r="IT132" s="84"/>
      <c r="IU132" s="84"/>
      <c r="IV132" s="84"/>
      <c r="IW132" s="84"/>
    </row>
    <row r="133" spans="2:257" s="28" customFormat="1" ht="14.4">
      <c r="B133" s="30">
        <f t="shared" si="255"/>
        <v>5.3799999999999919</v>
      </c>
      <c r="C133" s="44" t="s">
        <v>114</v>
      </c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  <c r="BM133" s="84"/>
      <c r="BN133" s="84"/>
      <c r="BO133" s="84"/>
      <c r="BP133" s="84"/>
      <c r="BQ133" s="84"/>
      <c r="BR133" s="84"/>
      <c r="BS133" s="84"/>
      <c r="BT133" s="84"/>
      <c r="BU133" s="84"/>
      <c r="BV133" s="84"/>
      <c r="BW133" s="84"/>
      <c r="BX133" s="84"/>
      <c r="BY133" s="84"/>
      <c r="BZ133" s="84"/>
      <c r="CA133" s="84"/>
      <c r="CB133" s="84"/>
      <c r="CC133" s="84"/>
      <c r="CD133" s="84"/>
      <c r="CE133" s="84"/>
      <c r="CF133" s="35"/>
      <c r="CG133" s="34"/>
      <c r="CH133" s="34"/>
      <c r="CI133" s="34"/>
      <c r="CJ133" s="34"/>
      <c r="CK133" s="34"/>
      <c r="CL133" s="34"/>
      <c r="CM133" s="34"/>
      <c r="CN133" s="34"/>
      <c r="CO133" s="35"/>
      <c r="CP133" s="35"/>
      <c r="CQ133" s="35"/>
      <c r="CR133" s="84"/>
      <c r="CS133" s="84"/>
      <c r="CT133" s="84"/>
      <c r="CU133" s="84"/>
      <c r="CV133" s="35"/>
      <c r="CW133" s="84"/>
      <c r="CX133" s="35"/>
      <c r="CY133" s="35"/>
      <c r="CZ133" s="35"/>
      <c r="DA133" s="35"/>
      <c r="DB133" s="35"/>
      <c r="DC133" s="84"/>
      <c r="DD133" s="35"/>
      <c r="DE133" s="35"/>
      <c r="DF133" s="35"/>
      <c r="DG133" s="35"/>
      <c r="DH133" s="35"/>
      <c r="DI133" s="84"/>
      <c r="DJ133" s="35"/>
      <c r="DK133" s="35"/>
      <c r="DL133" s="35"/>
      <c r="DM133" s="35"/>
      <c r="DN133" s="35"/>
      <c r="DO133" s="84"/>
      <c r="DP133" s="35"/>
      <c r="DQ133" s="35"/>
      <c r="DR133" s="35"/>
      <c r="DS133" s="35"/>
      <c r="DT133" s="35"/>
      <c r="DU133" s="84"/>
      <c r="DV133" s="35"/>
      <c r="DW133" s="35"/>
      <c r="DX133" s="35"/>
      <c r="DY133" s="35"/>
      <c r="DZ133" s="35"/>
      <c r="EA133" s="84"/>
      <c r="EB133" s="35"/>
      <c r="EC133" s="35"/>
      <c r="ED133" s="35"/>
      <c r="EE133" s="35"/>
      <c r="EF133" s="35"/>
      <c r="EG133" s="84"/>
      <c r="EH133" s="35"/>
      <c r="EI133" s="35"/>
      <c r="EJ133" s="35"/>
      <c r="EK133" s="35"/>
      <c r="EL133" s="35"/>
      <c r="EM133" s="84"/>
      <c r="EN133" s="35"/>
      <c r="EO133" s="35"/>
      <c r="EP133" s="35"/>
      <c r="EQ133" s="35"/>
      <c r="ER133" s="35"/>
      <c r="ES133" s="84"/>
      <c r="ET133" s="35"/>
      <c r="EU133" s="35"/>
      <c r="EV133" s="35"/>
      <c r="EW133" s="35"/>
      <c r="EX133" s="84"/>
      <c r="EY133" s="35"/>
      <c r="EZ133" s="35"/>
      <c r="FA133" s="35"/>
      <c r="FB133" s="35"/>
      <c r="FC133" s="35"/>
      <c r="FD133" s="84"/>
      <c r="FE133" s="84"/>
      <c r="FF133" s="35"/>
      <c r="FG133" s="35"/>
      <c r="FH133" s="35"/>
      <c r="FI133" s="35"/>
      <c r="FJ133" s="84"/>
      <c r="FK133" s="35"/>
      <c r="FL133" s="35"/>
      <c r="FM133" s="55" t="s">
        <v>187</v>
      </c>
      <c r="FN133" s="55" t="s">
        <v>30</v>
      </c>
      <c r="FO133" s="55" t="s">
        <v>31</v>
      </c>
      <c r="FP133" s="55" t="s">
        <v>32</v>
      </c>
      <c r="FQ133" s="55"/>
      <c r="FR133" s="56" t="s">
        <v>188</v>
      </c>
      <c r="FS133" s="35"/>
      <c r="FT133" s="35"/>
      <c r="FU133" s="56" t="s">
        <v>189</v>
      </c>
      <c r="FV133" s="56" t="s">
        <v>190</v>
      </c>
      <c r="FW133" s="56"/>
      <c r="FX133" s="56" t="s">
        <v>191</v>
      </c>
      <c r="FY133" s="57" t="s">
        <v>192</v>
      </c>
      <c r="FZ133" s="57" t="s">
        <v>193</v>
      </c>
      <c r="GA133" s="57" t="s">
        <v>194</v>
      </c>
      <c r="GB133" s="57" t="s">
        <v>195</v>
      </c>
      <c r="GC133" s="58"/>
      <c r="GD133" s="58" t="s">
        <v>196</v>
      </c>
      <c r="GE133" s="58" t="s">
        <v>197</v>
      </c>
      <c r="GF133" s="58" t="s">
        <v>198</v>
      </c>
      <c r="GG133" s="58" t="s">
        <v>199</v>
      </c>
      <c r="GH133" s="42" t="s">
        <v>33</v>
      </c>
      <c r="GI133" s="42"/>
      <c r="GJ133" s="42" t="s">
        <v>34</v>
      </c>
      <c r="GK133" s="42" t="s">
        <v>35</v>
      </c>
      <c r="GL133" s="42" t="s">
        <v>36</v>
      </c>
      <c r="GM133" s="59" t="s">
        <v>200</v>
      </c>
      <c r="GN133" s="59" t="s">
        <v>201</v>
      </c>
      <c r="GO133" s="59"/>
      <c r="GP133" s="59" t="s">
        <v>202</v>
      </c>
      <c r="GQ133" s="59" t="s">
        <v>203</v>
      </c>
      <c r="GR133" s="35"/>
      <c r="GS133" s="35"/>
      <c r="GT133" s="35"/>
      <c r="GU133" s="35"/>
      <c r="GV133" s="35"/>
      <c r="GW133" s="35"/>
      <c r="GX133" s="35"/>
      <c r="GY133" s="35"/>
      <c r="GZ133" s="35"/>
      <c r="HA133" s="35"/>
      <c r="HB133" s="35"/>
      <c r="HC133" s="35"/>
      <c r="HD133" s="35"/>
      <c r="HE133" s="35"/>
      <c r="HF133" s="35"/>
      <c r="HG133" s="84"/>
      <c r="HH133" s="84"/>
      <c r="HI133" s="84"/>
      <c r="HJ133" s="84"/>
      <c r="HK133" s="84"/>
      <c r="HL133" s="84"/>
      <c r="HM133" s="84"/>
      <c r="HN133" s="84"/>
      <c r="HO133" s="84"/>
      <c r="HP133" s="84"/>
      <c r="HQ133" s="84"/>
      <c r="HR133" s="84"/>
      <c r="HS133" s="84"/>
      <c r="HT133" s="84"/>
      <c r="HU133" s="84"/>
      <c r="HV133" s="84"/>
      <c r="HW133" s="84"/>
      <c r="HX133" s="84"/>
      <c r="HY133" s="84"/>
      <c r="HZ133" s="84"/>
      <c r="IA133" s="84"/>
      <c r="IB133" s="84"/>
      <c r="IC133" s="84"/>
      <c r="ID133" s="84"/>
      <c r="IE133" s="84"/>
      <c r="IF133" s="84"/>
      <c r="IG133" s="84"/>
      <c r="IH133" s="84"/>
      <c r="II133" s="84"/>
      <c r="IJ133" s="84"/>
      <c r="IK133" s="84"/>
      <c r="IL133" s="84"/>
      <c r="IM133" s="84"/>
      <c r="IN133" s="84"/>
      <c r="IO133" s="84"/>
      <c r="IP133" s="84"/>
      <c r="IQ133" s="84"/>
      <c r="IR133" s="84"/>
      <c r="IS133" s="84"/>
      <c r="IT133" s="84"/>
      <c r="IU133" s="84"/>
      <c r="IV133" s="84"/>
      <c r="IW133" s="84"/>
    </row>
    <row r="134" spans="2:257" s="28" customFormat="1" ht="14.4">
      <c r="B134" s="30">
        <f t="shared" si="255"/>
        <v>5.3899999999999917</v>
      </c>
      <c r="C134" s="44" t="s">
        <v>115</v>
      </c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  <c r="BM134" s="84"/>
      <c r="BN134" s="84"/>
      <c r="BO134" s="84"/>
      <c r="BP134" s="84"/>
      <c r="BQ134" s="84"/>
      <c r="BR134" s="84"/>
      <c r="BS134" s="84"/>
      <c r="BT134" s="84"/>
      <c r="BU134" s="84"/>
      <c r="BV134" s="84"/>
      <c r="BW134" s="84"/>
      <c r="BX134" s="84"/>
      <c r="BY134" s="84"/>
      <c r="BZ134" s="84"/>
      <c r="CA134" s="84"/>
      <c r="CB134" s="84"/>
      <c r="CC134" s="84"/>
      <c r="CD134" s="84"/>
      <c r="CE134" s="84"/>
      <c r="CF134" s="35"/>
      <c r="CG134" s="34"/>
      <c r="CH134" s="34"/>
      <c r="CI134" s="34"/>
      <c r="CJ134" s="34"/>
      <c r="CK134" s="34"/>
      <c r="CL134" s="34"/>
      <c r="CM134" s="34"/>
      <c r="CN134" s="34"/>
      <c r="CO134" s="35"/>
      <c r="CP134" s="35"/>
      <c r="CQ134" s="35"/>
      <c r="CR134" s="84"/>
      <c r="CS134" s="84"/>
      <c r="CT134" s="84"/>
      <c r="CU134" s="84"/>
      <c r="CV134" s="35"/>
      <c r="CW134" s="84"/>
      <c r="CX134" s="35"/>
      <c r="CY134" s="35"/>
      <c r="CZ134" s="35"/>
      <c r="DA134" s="35"/>
      <c r="DB134" s="35"/>
      <c r="DC134" s="84"/>
      <c r="DD134" s="35"/>
      <c r="DE134" s="35"/>
      <c r="DF134" s="35"/>
      <c r="DG134" s="35"/>
      <c r="DH134" s="35"/>
      <c r="DI134" s="84"/>
      <c r="DJ134" s="35"/>
      <c r="DK134" s="35"/>
      <c r="DL134" s="35"/>
      <c r="DM134" s="35"/>
      <c r="DN134" s="35"/>
      <c r="DO134" s="84"/>
      <c r="DP134" s="35"/>
      <c r="DQ134" s="35"/>
      <c r="DR134" s="35"/>
      <c r="DS134" s="35"/>
      <c r="DT134" s="35"/>
      <c r="DU134" s="84"/>
      <c r="DV134" s="35"/>
      <c r="DW134" s="35"/>
      <c r="DX134" s="35"/>
      <c r="DY134" s="35"/>
      <c r="DZ134" s="35"/>
      <c r="EA134" s="84"/>
      <c r="EB134" s="35"/>
      <c r="EC134" s="35"/>
      <c r="ED134" s="35"/>
      <c r="EE134" s="35"/>
      <c r="EF134" s="35"/>
      <c r="EG134" s="84"/>
      <c r="EH134" s="35"/>
      <c r="EI134" s="35"/>
      <c r="EJ134" s="35"/>
      <c r="EK134" s="35"/>
      <c r="EL134" s="35"/>
      <c r="EM134" s="84"/>
      <c r="EN134" s="35"/>
      <c r="EO134" s="35"/>
      <c r="EP134" s="35"/>
      <c r="EQ134" s="35"/>
      <c r="ER134" s="35"/>
      <c r="ES134" s="84"/>
      <c r="ET134" s="35"/>
      <c r="EU134" s="35"/>
      <c r="EV134" s="35"/>
      <c r="EW134" s="35"/>
      <c r="EX134" s="84"/>
      <c r="EY134" s="35"/>
      <c r="EZ134" s="35"/>
      <c r="FA134" s="35"/>
      <c r="FB134" s="35"/>
      <c r="FC134" s="35"/>
      <c r="FD134" s="84"/>
      <c r="FE134" s="84"/>
      <c r="FF134" s="35"/>
      <c r="FG134" s="35"/>
      <c r="FH134" s="35"/>
      <c r="FI134" s="35"/>
      <c r="FJ134" s="84"/>
      <c r="FK134" s="35"/>
      <c r="FL134" s="35"/>
      <c r="FM134" s="35"/>
      <c r="FN134" s="55" t="s">
        <v>187</v>
      </c>
      <c r="FO134" s="55" t="s">
        <v>30</v>
      </c>
      <c r="FP134" s="55" t="s">
        <v>31</v>
      </c>
      <c r="FQ134" s="55"/>
      <c r="FR134" s="55" t="s">
        <v>32</v>
      </c>
      <c r="FS134" s="35"/>
      <c r="FT134" s="35"/>
      <c r="FU134" s="56" t="s">
        <v>188</v>
      </c>
      <c r="FV134" s="56" t="s">
        <v>189</v>
      </c>
      <c r="FW134" s="56"/>
      <c r="FX134" s="56" t="s">
        <v>190</v>
      </c>
      <c r="FY134" s="56" t="s">
        <v>191</v>
      </c>
      <c r="FZ134" s="57" t="s">
        <v>192</v>
      </c>
      <c r="GA134" s="57" t="s">
        <v>193</v>
      </c>
      <c r="GB134" s="57" t="s">
        <v>194</v>
      </c>
      <c r="GC134" s="57"/>
      <c r="GD134" s="57" t="s">
        <v>195</v>
      </c>
      <c r="GE134" s="58" t="s">
        <v>196</v>
      </c>
      <c r="GF134" s="58" t="s">
        <v>197</v>
      </c>
      <c r="GG134" s="58" t="s">
        <v>198</v>
      </c>
      <c r="GH134" s="58" t="s">
        <v>199</v>
      </c>
      <c r="GI134" s="58"/>
      <c r="GJ134" s="42" t="s">
        <v>33</v>
      </c>
      <c r="GK134" s="42" t="s">
        <v>34</v>
      </c>
      <c r="GL134" s="42" t="s">
        <v>35</v>
      </c>
      <c r="GM134" s="42" t="s">
        <v>36</v>
      </c>
      <c r="GN134" s="59" t="s">
        <v>200</v>
      </c>
      <c r="GO134" s="59"/>
      <c r="GP134" s="59" t="s">
        <v>201</v>
      </c>
      <c r="GQ134" s="59" t="s">
        <v>202</v>
      </c>
      <c r="GR134" s="59" t="s">
        <v>203</v>
      </c>
      <c r="GS134" s="35"/>
      <c r="GT134" s="35"/>
      <c r="GU134" s="35"/>
      <c r="GV134" s="35"/>
      <c r="GW134" s="35"/>
      <c r="GX134" s="35"/>
      <c r="GY134" s="35"/>
      <c r="GZ134" s="35"/>
      <c r="HA134" s="35"/>
      <c r="HB134" s="35"/>
      <c r="HC134" s="35"/>
      <c r="HD134" s="35"/>
      <c r="HE134" s="35"/>
      <c r="HF134" s="35"/>
      <c r="HG134" s="84"/>
      <c r="HH134" s="84"/>
      <c r="HI134" s="84"/>
      <c r="HJ134" s="84"/>
      <c r="HK134" s="84"/>
      <c r="HL134" s="84"/>
      <c r="HM134" s="84"/>
      <c r="HN134" s="84"/>
      <c r="HO134" s="84"/>
      <c r="HP134" s="84"/>
      <c r="HQ134" s="84"/>
      <c r="HR134" s="84"/>
      <c r="HS134" s="84"/>
      <c r="HT134" s="84"/>
      <c r="HU134" s="84"/>
      <c r="HV134" s="84"/>
      <c r="HW134" s="84"/>
      <c r="HX134" s="84"/>
      <c r="HY134" s="84"/>
      <c r="HZ134" s="84"/>
      <c r="IA134" s="84"/>
      <c r="IB134" s="84"/>
      <c r="IC134" s="84"/>
      <c r="ID134" s="84"/>
      <c r="IE134" s="84"/>
      <c r="IF134" s="84"/>
      <c r="IG134" s="84"/>
      <c r="IH134" s="84"/>
      <c r="II134" s="84"/>
      <c r="IJ134" s="84"/>
      <c r="IK134" s="84"/>
      <c r="IL134" s="84"/>
      <c r="IM134" s="84"/>
      <c r="IN134" s="84"/>
      <c r="IO134" s="84"/>
      <c r="IP134" s="84"/>
      <c r="IQ134" s="84"/>
      <c r="IR134" s="84"/>
      <c r="IS134" s="84"/>
      <c r="IT134" s="84"/>
      <c r="IU134" s="84"/>
      <c r="IV134" s="84"/>
      <c r="IW134" s="84"/>
    </row>
    <row r="135" spans="2:257" s="28" customFormat="1" ht="14.4">
      <c r="B135" s="30">
        <f t="shared" si="255"/>
        <v>5.3999999999999915</v>
      </c>
      <c r="C135" s="45" t="s">
        <v>116</v>
      </c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4"/>
      <c r="BP135" s="84"/>
      <c r="BQ135" s="84"/>
      <c r="BR135" s="84"/>
      <c r="BS135" s="84"/>
      <c r="BT135" s="84"/>
      <c r="BU135" s="84"/>
      <c r="BV135" s="84"/>
      <c r="BW135" s="84"/>
      <c r="BX135" s="84"/>
      <c r="BY135" s="84"/>
      <c r="BZ135" s="84"/>
      <c r="CA135" s="84"/>
      <c r="CB135" s="84"/>
      <c r="CC135" s="84"/>
      <c r="CD135" s="84"/>
      <c r="CE135" s="84"/>
      <c r="CF135" s="35"/>
      <c r="CG135" s="34"/>
      <c r="CH135" s="34"/>
      <c r="CI135" s="34"/>
      <c r="CJ135" s="34"/>
      <c r="CK135" s="34"/>
      <c r="CL135" s="34"/>
      <c r="CM135" s="34"/>
      <c r="CN135" s="34"/>
      <c r="CO135" s="35"/>
      <c r="CP135" s="35"/>
      <c r="CQ135" s="35"/>
      <c r="CR135" s="84"/>
      <c r="CS135" s="84"/>
      <c r="CT135" s="84"/>
      <c r="CU135" s="84"/>
      <c r="CV135" s="35"/>
      <c r="CW135" s="84"/>
      <c r="CX135" s="35"/>
      <c r="CY135" s="35"/>
      <c r="CZ135" s="35"/>
      <c r="DA135" s="35"/>
      <c r="DB135" s="35"/>
      <c r="DC135" s="84"/>
      <c r="DD135" s="35"/>
      <c r="DE135" s="35"/>
      <c r="DF135" s="35"/>
      <c r="DG135" s="35"/>
      <c r="DH135" s="35"/>
      <c r="DI135" s="84"/>
      <c r="DJ135" s="35"/>
      <c r="DK135" s="35"/>
      <c r="DL135" s="35"/>
      <c r="DM135" s="35"/>
      <c r="DN135" s="35"/>
      <c r="DO135" s="84"/>
      <c r="DP135" s="35"/>
      <c r="DQ135" s="35"/>
      <c r="DR135" s="35"/>
      <c r="DS135" s="35"/>
      <c r="DT135" s="35"/>
      <c r="DU135" s="84"/>
      <c r="DV135" s="35"/>
      <c r="DW135" s="35"/>
      <c r="DX135" s="35"/>
      <c r="DY135" s="35"/>
      <c r="DZ135" s="35"/>
      <c r="EA135" s="84"/>
      <c r="EB135" s="35"/>
      <c r="EC135" s="35"/>
      <c r="ED135" s="35"/>
      <c r="EE135" s="35"/>
      <c r="EF135" s="35"/>
      <c r="EG135" s="84"/>
      <c r="EH135" s="35"/>
      <c r="EI135" s="35"/>
      <c r="EJ135" s="35"/>
      <c r="EK135" s="35"/>
      <c r="EL135" s="35"/>
      <c r="EM135" s="84"/>
      <c r="EN135" s="35"/>
      <c r="EO135" s="35"/>
      <c r="EP135" s="35"/>
      <c r="EQ135" s="35"/>
      <c r="ER135" s="35"/>
      <c r="ES135" s="84"/>
      <c r="ET135" s="35"/>
      <c r="EU135" s="35"/>
      <c r="EV135" s="35"/>
      <c r="EW135" s="35"/>
      <c r="EX135" s="84"/>
      <c r="EY135" s="35"/>
      <c r="EZ135" s="35"/>
      <c r="FA135" s="35"/>
      <c r="FB135" s="35"/>
      <c r="FC135" s="35"/>
      <c r="FD135" s="84"/>
      <c r="FE135" s="84"/>
      <c r="FF135" s="35"/>
      <c r="FG135" s="35"/>
      <c r="FH135" s="35"/>
      <c r="FI135" s="35"/>
      <c r="FJ135" s="84"/>
      <c r="FK135" s="35"/>
      <c r="FL135" s="35"/>
      <c r="FM135" s="35"/>
      <c r="FN135" s="35"/>
      <c r="FO135" s="55" t="s">
        <v>187</v>
      </c>
      <c r="FP135" s="55" t="s">
        <v>30</v>
      </c>
      <c r="FQ135" s="55"/>
      <c r="FR135" s="55" t="s">
        <v>31</v>
      </c>
      <c r="FS135" s="35"/>
      <c r="FT135" s="35"/>
      <c r="FU135" s="55" t="s">
        <v>32</v>
      </c>
      <c r="FV135" s="56" t="s">
        <v>188</v>
      </c>
      <c r="FW135" s="56"/>
      <c r="FX135" s="56" t="s">
        <v>189</v>
      </c>
      <c r="FY135" s="56" t="s">
        <v>190</v>
      </c>
      <c r="FZ135" s="56" t="s">
        <v>191</v>
      </c>
      <c r="GA135" s="57" t="s">
        <v>192</v>
      </c>
      <c r="GB135" s="57" t="s">
        <v>193</v>
      </c>
      <c r="GC135" s="57"/>
      <c r="GD135" s="57" t="s">
        <v>194</v>
      </c>
      <c r="GE135" s="57" t="s">
        <v>195</v>
      </c>
      <c r="GF135" s="58" t="s">
        <v>196</v>
      </c>
      <c r="GG135" s="58" t="s">
        <v>197</v>
      </c>
      <c r="GH135" s="58" t="s">
        <v>198</v>
      </c>
      <c r="GI135" s="58"/>
      <c r="GJ135" s="58" t="s">
        <v>199</v>
      </c>
      <c r="GK135" s="42" t="s">
        <v>33</v>
      </c>
      <c r="GL135" s="42" t="s">
        <v>34</v>
      </c>
      <c r="GM135" s="42" t="s">
        <v>35</v>
      </c>
      <c r="GN135" s="42" t="s">
        <v>36</v>
      </c>
      <c r="GO135" s="42"/>
      <c r="GP135" s="59" t="s">
        <v>200</v>
      </c>
      <c r="GQ135" s="59" t="s">
        <v>201</v>
      </c>
      <c r="GR135" s="59" t="s">
        <v>202</v>
      </c>
      <c r="GS135" s="59" t="s">
        <v>203</v>
      </c>
      <c r="GT135" s="35"/>
      <c r="GU135" s="35"/>
      <c r="GV135" s="35"/>
      <c r="GW135" s="35"/>
      <c r="GX135" s="35"/>
      <c r="GY135" s="35"/>
      <c r="GZ135" s="35"/>
      <c r="HA135" s="35"/>
      <c r="HB135" s="35"/>
      <c r="HC135" s="35"/>
      <c r="HD135" s="35"/>
      <c r="HE135" s="35"/>
      <c r="HF135" s="35"/>
      <c r="HG135" s="84"/>
      <c r="HH135" s="84"/>
      <c r="HI135" s="84"/>
      <c r="HJ135" s="84"/>
      <c r="HK135" s="84"/>
      <c r="HL135" s="84"/>
      <c r="HM135" s="84"/>
      <c r="HN135" s="84"/>
      <c r="HO135" s="84"/>
      <c r="HP135" s="84"/>
      <c r="HQ135" s="84"/>
      <c r="HR135" s="84"/>
      <c r="HS135" s="84"/>
      <c r="HT135" s="84"/>
      <c r="HU135" s="84"/>
      <c r="HV135" s="84"/>
      <c r="HW135" s="84"/>
      <c r="HX135" s="84"/>
      <c r="HY135" s="84"/>
      <c r="HZ135" s="84"/>
      <c r="IA135" s="84"/>
      <c r="IB135" s="84"/>
      <c r="IC135" s="84"/>
      <c r="ID135" s="84"/>
      <c r="IE135" s="84"/>
      <c r="IF135" s="84"/>
      <c r="IG135" s="84"/>
      <c r="IH135" s="84"/>
      <c r="II135" s="84"/>
      <c r="IJ135" s="84"/>
      <c r="IK135" s="84"/>
      <c r="IL135" s="84"/>
      <c r="IM135" s="84"/>
      <c r="IN135" s="84"/>
      <c r="IO135" s="84"/>
      <c r="IP135" s="84"/>
      <c r="IQ135" s="84"/>
      <c r="IR135" s="84"/>
      <c r="IS135" s="84"/>
      <c r="IT135" s="84"/>
      <c r="IU135" s="84"/>
      <c r="IV135" s="84"/>
      <c r="IW135" s="84"/>
    </row>
    <row r="136" spans="2:257" s="28" customFormat="1" ht="14.4">
      <c r="B136" s="30">
        <f t="shared" si="255"/>
        <v>5.4099999999999913</v>
      </c>
      <c r="C136" s="44" t="s">
        <v>221</v>
      </c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  <c r="BM136" s="84"/>
      <c r="BN136" s="84"/>
      <c r="BO136" s="84"/>
      <c r="BP136" s="84"/>
      <c r="BQ136" s="84"/>
      <c r="BR136" s="84"/>
      <c r="BS136" s="84"/>
      <c r="BT136" s="84"/>
      <c r="BU136" s="84"/>
      <c r="BV136" s="84"/>
      <c r="BW136" s="84"/>
      <c r="BX136" s="84"/>
      <c r="BY136" s="84"/>
      <c r="BZ136" s="84"/>
      <c r="CA136" s="84"/>
      <c r="CB136" s="84"/>
      <c r="CC136" s="84"/>
      <c r="CD136" s="84"/>
      <c r="CE136" s="34"/>
      <c r="CF136" s="35"/>
      <c r="CG136" s="34"/>
      <c r="CH136" s="34"/>
      <c r="CI136" s="34"/>
      <c r="CJ136" s="34"/>
      <c r="CK136" s="34"/>
      <c r="CL136" s="34"/>
      <c r="CM136" s="34"/>
      <c r="CN136" s="34"/>
      <c r="CO136" s="35"/>
      <c r="CP136" s="35"/>
      <c r="CQ136" s="35"/>
      <c r="CR136" s="35"/>
      <c r="CS136" s="84"/>
      <c r="CT136" s="84"/>
      <c r="CU136" s="84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  <c r="DL136" s="35"/>
      <c r="DM136" s="35"/>
      <c r="DN136" s="35"/>
      <c r="DO136" s="35"/>
      <c r="DP136" s="35"/>
      <c r="DQ136" s="35"/>
      <c r="DR136" s="35"/>
      <c r="DS136" s="35"/>
      <c r="DT136" s="35"/>
      <c r="DU136" s="35"/>
      <c r="DV136" s="35"/>
      <c r="DW136" s="35"/>
      <c r="DX136" s="35"/>
      <c r="DY136" s="35"/>
      <c r="DZ136" s="35"/>
      <c r="EA136" s="35"/>
      <c r="EB136" s="35"/>
      <c r="EC136" s="35"/>
      <c r="ED136" s="35"/>
      <c r="EE136" s="35"/>
      <c r="EF136" s="35"/>
      <c r="EG136" s="35"/>
      <c r="EH136" s="35"/>
      <c r="EI136" s="35"/>
      <c r="EJ136" s="35"/>
      <c r="EK136" s="35"/>
      <c r="EL136" s="35"/>
      <c r="EM136" s="35"/>
      <c r="EN136" s="35"/>
      <c r="EO136" s="35"/>
      <c r="EP136" s="35"/>
      <c r="EQ136" s="35"/>
      <c r="ER136" s="35"/>
      <c r="ES136" s="35"/>
      <c r="ET136" s="35"/>
      <c r="EU136" s="35"/>
      <c r="EV136" s="35"/>
      <c r="EW136" s="35"/>
      <c r="EX136" s="35"/>
      <c r="EY136" s="35"/>
      <c r="EZ136" s="35"/>
      <c r="FA136" s="35"/>
      <c r="FB136" s="35"/>
      <c r="FC136" s="35"/>
      <c r="FD136" s="35"/>
      <c r="FE136" s="35"/>
      <c r="FF136" s="35"/>
      <c r="FG136" s="35"/>
      <c r="FH136" s="59" t="s">
        <v>222</v>
      </c>
      <c r="FI136" s="59" t="s">
        <v>222</v>
      </c>
      <c r="FJ136" s="59" t="s">
        <v>222</v>
      </c>
      <c r="FK136" s="59" t="s">
        <v>222</v>
      </c>
      <c r="FL136" s="59" t="s">
        <v>222</v>
      </c>
      <c r="FM136" s="59" t="s">
        <v>222</v>
      </c>
      <c r="FN136" s="59" t="s">
        <v>222</v>
      </c>
      <c r="FO136" s="59" t="s">
        <v>222</v>
      </c>
      <c r="FP136" s="59" t="s">
        <v>222</v>
      </c>
      <c r="FQ136" s="59" t="s">
        <v>222</v>
      </c>
      <c r="FR136" s="59" t="s">
        <v>222</v>
      </c>
      <c r="FS136" s="35"/>
      <c r="FT136" s="35"/>
      <c r="FU136" s="59" t="s">
        <v>222</v>
      </c>
      <c r="FV136" s="59" t="s">
        <v>222</v>
      </c>
      <c r="FW136" s="59" t="s">
        <v>222</v>
      </c>
      <c r="FX136" s="59" t="s">
        <v>222</v>
      </c>
      <c r="FY136" s="59" t="s">
        <v>222</v>
      </c>
      <c r="FZ136" s="59" t="s">
        <v>222</v>
      </c>
      <c r="GA136" s="59" t="s">
        <v>222</v>
      </c>
      <c r="GB136" s="59" t="s">
        <v>222</v>
      </c>
      <c r="GC136" s="59" t="s">
        <v>222</v>
      </c>
      <c r="GD136" s="59" t="s">
        <v>222</v>
      </c>
      <c r="GE136" s="59" t="s">
        <v>222</v>
      </c>
      <c r="GF136" s="59" t="s">
        <v>222</v>
      </c>
      <c r="GG136" s="59" t="s">
        <v>222</v>
      </c>
      <c r="GH136" s="59" t="s">
        <v>222</v>
      </c>
      <c r="GI136" s="59" t="s">
        <v>222</v>
      </c>
      <c r="GJ136" s="59" t="s">
        <v>222</v>
      </c>
      <c r="GK136" s="59" t="s">
        <v>222</v>
      </c>
      <c r="GL136" s="59" t="s">
        <v>222</v>
      </c>
      <c r="GM136" s="59" t="s">
        <v>222</v>
      </c>
      <c r="GN136" s="59" t="s">
        <v>222</v>
      </c>
      <c r="GO136" s="59" t="s">
        <v>222</v>
      </c>
      <c r="GP136" s="59" t="s">
        <v>222</v>
      </c>
      <c r="GQ136" s="59" t="s">
        <v>222</v>
      </c>
      <c r="GR136" s="59" t="s">
        <v>222</v>
      </c>
      <c r="GS136" s="59" t="s">
        <v>222</v>
      </c>
      <c r="GT136" s="59" t="s">
        <v>222</v>
      </c>
      <c r="GU136" s="59" t="s">
        <v>222</v>
      </c>
      <c r="GV136" s="59" t="s">
        <v>222</v>
      </c>
      <c r="GW136" s="59" t="s">
        <v>222</v>
      </c>
      <c r="GX136" s="59" t="s">
        <v>222</v>
      </c>
      <c r="GY136" s="59" t="s">
        <v>222</v>
      </c>
      <c r="GZ136" s="59" t="s">
        <v>222</v>
      </c>
      <c r="HA136" s="59" t="s">
        <v>222</v>
      </c>
      <c r="HB136" s="59" t="s">
        <v>222</v>
      </c>
      <c r="HC136" s="59" t="s">
        <v>222</v>
      </c>
      <c r="HD136" s="59" t="s">
        <v>222</v>
      </c>
      <c r="HE136" s="59" t="s">
        <v>222</v>
      </c>
      <c r="HF136" s="59" t="s">
        <v>222</v>
      </c>
      <c r="HG136" s="59" t="s">
        <v>222</v>
      </c>
      <c r="HH136" s="59" t="s">
        <v>222</v>
      </c>
      <c r="HI136" s="59" t="s">
        <v>222</v>
      </c>
      <c r="HJ136" s="35"/>
      <c r="HK136" s="35"/>
      <c r="HL136" s="35"/>
      <c r="HM136" s="35"/>
      <c r="HN136" s="35"/>
      <c r="HO136" s="35"/>
      <c r="HP136" s="84"/>
      <c r="HQ136" s="84"/>
      <c r="HR136" s="84"/>
      <c r="HS136" s="84"/>
      <c r="HT136" s="84"/>
      <c r="HU136" s="84"/>
      <c r="HV136" s="84"/>
      <c r="HW136" s="84"/>
      <c r="HX136" s="84"/>
      <c r="HY136" s="84"/>
      <c r="HZ136" s="84"/>
      <c r="IA136" s="84"/>
      <c r="IB136" s="84"/>
      <c r="IC136" s="84"/>
      <c r="ID136" s="84"/>
      <c r="IE136" s="84"/>
      <c r="IF136" s="84"/>
      <c r="IG136" s="84"/>
      <c r="IH136" s="84"/>
      <c r="II136" s="84"/>
      <c r="IJ136" s="84"/>
      <c r="IK136" s="35"/>
      <c r="IL136" s="35"/>
      <c r="IM136" s="35"/>
      <c r="IN136" s="35"/>
      <c r="IO136" s="35"/>
      <c r="IP136" s="35"/>
      <c r="IQ136" s="35"/>
      <c r="IR136" s="84"/>
      <c r="IS136" s="84"/>
      <c r="IT136" s="84"/>
      <c r="IU136" s="84"/>
      <c r="IV136" s="84"/>
      <c r="IW136" s="84"/>
    </row>
    <row r="137" spans="2:257" s="28" customFormat="1" ht="15" thickBot="1">
      <c r="B137" s="30">
        <f t="shared" si="255"/>
        <v>5.419999999999991</v>
      </c>
      <c r="C137" s="93" t="s">
        <v>223</v>
      </c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  <c r="BM137" s="84"/>
      <c r="BN137" s="84"/>
      <c r="BO137" s="84"/>
      <c r="BP137" s="84"/>
      <c r="BQ137" s="84"/>
      <c r="BR137" s="84"/>
      <c r="BS137" s="84"/>
      <c r="BT137" s="84"/>
      <c r="BU137" s="84"/>
      <c r="BV137" s="84"/>
      <c r="BW137" s="84"/>
      <c r="BX137" s="84"/>
      <c r="BY137" s="84"/>
      <c r="BZ137" s="84"/>
      <c r="CA137" s="84"/>
      <c r="CB137" s="84"/>
      <c r="CC137" s="84"/>
      <c r="CD137" s="84"/>
      <c r="CE137" s="34"/>
      <c r="CF137" s="35"/>
      <c r="CG137" s="34"/>
      <c r="CH137" s="34"/>
      <c r="CI137" s="34"/>
      <c r="CJ137" s="34"/>
      <c r="CK137" s="34"/>
      <c r="CL137" s="34"/>
      <c r="CM137" s="34"/>
      <c r="CN137" s="34"/>
      <c r="CO137" s="35"/>
      <c r="CP137" s="35"/>
      <c r="CQ137" s="35"/>
      <c r="CR137" s="35"/>
      <c r="CS137" s="84"/>
      <c r="CT137" s="84"/>
      <c r="CU137" s="84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35"/>
      <c r="DR137" s="35"/>
      <c r="DS137" s="35"/>
      <c r="DT137" s="35"/>
      <c r="DU137" s="35"/>
      <c r="DV137" s="35"/>
      <c r="DW137" s="35"/>
      <c r="DX137" s="35"/>
      <c r="DY137" s="35"/>
      <c r="DZ137" s="35"/>
      <c r="EA137" s="35"/>
      <c r="EB137" s="35"/>
      <c r="EC137" s="35"/>
      <c r="ED137" s="35"/>
      <c r="EE137" s="35"/>
      <c r="EF137" s="35"/>
      <c r="EG137" s="35"/>
      <c r="EH137" s="35"/>
      <c r="EI137" s="35"/>
      <c r="EJ137" s="35"/>
      <c r="EK137" s="35"/>
      <c r="EL137" s="35"/>
      <c r="EM137" s="35"/>
      <c r="EN137" s="35"/>
      <c r="EO137" s="35"/>
      <c r="EP137" s="35"/>
      <c r="EQ137" s="35"/>
      <c r="ER137" s="35"/>
      <c r="ES137" s="35"/>
      <c r="ET137" s="35"/>
      <c r="EU137" s="35"/>
      <c r="EV137" s="35"/>
      <c r="EW137" s="35"/>
      <c r="EX137" s="35"/>
      <c r="EY137" s="35"/>
      <c r="EZ137" s="35"/>
      <c r="FA137" s="35"/>
      <c r="FB137" s="35"/>
      <c r="FC137" s="35"/>
      <c r="FD137" s="35"/>
      <c r="FE137" s="35"/>
      <c r="FF137" s="35"/>
      <c r="FG137" s="35"/>
      <c r="FH137" s="35"/>
      <c r="FI137" s="35"/>
      <c r="FJ137" s="35"/>
      <c r="FK137" s="35"/>
      <c r="FL137" s="35"/>
      <c r="FM137" s="35"/>
      <c r="FN137" s="35"/>
      <c r="FO137" s="35"/>
      <c r="FP137" s="35"/>
      <c r="FQ137" s="35"/>
      <c r="FR137" s="35"/>
      <c r="FS137" s="35"/>
      <c r="FT137" s="35"/>
      <c r="FU137" s="35"/>
      <c r="FV137" s="35"/>
      <c r="FW137" s="35"/>
      <c r="FX137" s="35"/>
      <c r="FY137" s="35"/>
      <c r="FZ137" s="35"/>
      <c r="GA137" s="35"/>
      <c r="GB137" s="35"/>
      <c r="GC137" s="35"/>
      <c r="GD137" s="35"/>
      <c r="GE137" s="35"/>
      <c r="GF137" s="35"/>
      <c r="GG137" s="35"/>
      <c r="GH137" s="35"/>
      <c r="GI137" s="35"/>
      <c r="GJ137" s="35"/>
      <c r="GK137" s="35"/>
      <c r="GL137" s="35"/>
      <c r="GM137" s="35"/>
      <c r="GN137" s="35"/>
      <c r="GO137" s="35"/>
      <c r="GP137" s="35"/>
      <c r="GQ137" s="35"/>
      <c r="GR137" s="35"/>
      <c r="GS137" s="35"/>
      <c r="GT137" s="35"/>
      <c r="GU137" s="35"/>
      <c r="GV137" s="35"/>
      <c r="GW137" s="35"/>
      <c r="GX137" s="35"/>
      <c r="GY137" s="35"/>
      <c r="GZ137" s="35"/>
      <c r="HA137" s="35"/>
      <c r="HB137" s="35"/>
      <c r="HC137" s="35"/>
      <c r="HD137" s="35"/>
      <c r="HE137" s="35"/>
      <c r="HF137" s="35"/>
      <c r="HG137" s="35"/>
      <c r="HH137" s="84"/>
      <c r="HI137" s="35"/>
      <c r="HJ137" s="59" t="s">
        <v>224</v>
      </c>
      <c r="HK137" s="59" t="s">
        <v>224</v>
      </c>
      <c r="HL137" s="59" t="s">
        <v>224</v>
      </c>
      <c r="HM137" s="59" t="s">
        <v>224</v>
      </c>
      <c r="HN137" s="59" t="s">
        <v>224</v>
      </c>
      <c r="HO137" s="59" t="s">
        <v>224</v>
      </c>
      <c r="HP137" s="84"/>
      <c r="HQ137" s="84"/>
      <c r="HR137" s="84"/>
      <c r="HS137" s="84"/>
      <c r="HT137" s="84"/>
      <c r="HU137" s="84"/>
      <c r="HV137" s="84"/>
      <c r="HW137" s="84"/>
      <c r="HX137" s="84"/>
      <c r="HY137" s="84"/>
      <c r="HZ137" s="84"/>
      <c r="IA137" s="84"/>
      <c r="IB137" s="84"/>
      <c r="IC137" s="84"/>
      <c r="ID137" s="84"/>
      <c r="IE137" s="84"/>
      <c r="IF137" s="84"/>
      <c r="IG137" s="84"/>
      <c r="IH137" s="84"/>
      <c r="II137" s="84"/>
      <c r="IJ137" s="84"/>
      <c r="IK137" s="35"/>
      <c r="IL137" s="35"/>
      <c r="IM137" s="35"/>
      <c r="IN137" s="35"/>
      <c r="IO137" s="35"/>
      <c r="IP137" s="35"/>
      <c r="IQ137" s="35"/>
      <c r="IR137" s="84"/>
      <c r="IS137" s="84"/>
      <c r="IT137" s="84"/>
      <c r="IU137" s="84"/>
      <c r="IV137" s="84"/>
      <c r="IW137" s="84"/>
    </row>
    <row r="138" spans="2:257" s="28" customFormat="1" ht="15" thickBot="1">
      <c r="B138" s="30">
        <v>6</v>
      </c>
      <c r="C138" s="46" t="s">
        <v>117</v>
      </c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84"/>
      <c r="BD138" s="84"/>
      <c r="BE138" s="84"/>
      <c r="BF138" s="84"/>
      <c r="BG138" s="84"/>
      <c r="BH138" s="84"/>
      <c r="BI138" s="84"/>
      <c r="BJ138" s="84"/>
      <c r="BK138" s="84"/>
      <c r="BL138" s="84"/>
      <c r="BM138" s="84"/>
      <c r="BN138" s="84"/>
      <c r="BO138" s="84"/>
      <c r="BP138" s="84"/>
      <c r="BQ138" s="84"/>
      <c r="BR138" s="84"/>
      <c r="BS138" s="84"/>
      <c r="BT138" s="84"/>
      <c r="BU138" s="84"/>
      <c r="BV138" s="84"/>
      <c r="BW138" s="84"/>
      <c r="BX138" s="84"/>
      <c r="BY138" s="84"/>
      <c r="BZ138" s="84"/>
      <c r="CA138" s="84"/>
      <c r="CB138" s="84"/>
      <c r="CC138" s="84"/>
      <c r="CD138" s="84"/>
      <c r="CE138" s="84"/>
      <c r="CF138" s="35"/>
      <c r="CG138" s="34"/>
      <c r="CH138" s="34"/>
      <c r="CI138" s="34"/>
      <c r="CJ138" s="34"/>
      <c r="CK138" s="34"/>
      <c r="CL138" s="34"/>
      <c r="CM138" s="34"/>
      <c r="CN138" s="34"/>
      <c r="CO138" s="35"/>
      <c r="CP138" s="35"/>
      <c r="CQ138" s="35"/>
      <c r="CR138" s="84"/>
      <c r="CS138" s="84"/>
      <c r="CT138" s="84"/>
      <c r="CU138" s="84"/>
      <c r="CV138" s="35"/>
      <c r="CW138" s="84"/>
      <c r="CX138" s="35"/>
      <c r="CY138" s="35"/>
      <c r="CZ138" s="35"/>
      <c r="DA138" s="35"/>
      <c r="DB138" s="35"/>
      <c r="DC138" s="84"/>
      <c r="DD138" s="35"/>
      <c r="DE138" s="35"/>
      <c r="DF138" s="35"/>
      <c r="DG138" s="35"/>
      <c r="DH138" s="35"/>
      <c r="DI138" s="84"/>
      <c r="DJ138" s="35"/>
      <c r="DK138" s="35"/>
      <c r="DL138" s="35"/>
      <c r="DM138" s="35"/>
      <c r="DN138" s="35"/>
      <c r="DO138" s="84"/>
      <c r="DP138" s="35"/>
      <c r="DQ138" s="35"/>
      <c r="DR138" s="35"/>
      <c r="DS138" s="35"/>
      <c r="DT138" s="35"/>
      <c r="DU138" s="84"/>
      <c r="DV138" s="35"/>
      <c r="DW138" s="35"/>
      <c r="DX138" s="35"/>
      <c r="DY138" s="35"/>
      <c r="DZ138" s="35"/>
      <c r="EA138" s="84"/>
      <c r="EB138" s="35"/>
      <c r="EC138" s="35"/>
      <c r="ED138" s="35"/>
      <c r="EE138" s="35"/>
      <c r="EF138" s="35"/>
      <c r="EG138" s="84"/>
      <c r="EH138" s="35"/>
      <c r="EI138" s="35"/>
      <c r="EJ138" s="35"/>
      <c r="EK138" s="35"/>
      <c r="EL138" s="35"/>
      <c r="EM138" s="84"/>
      <c r="EN138" s="35"/>
      <c r="EO138" s="35"/>
      <c r="EP138" s="35"/>
      <c r="EQ138" s="35"/>
      <c r="ER138" s="35"/>
      <c r="ES138" s="84"/>
      <c r="ET138" s="35"/>
      <c r="EU138" s="35"/>
      <c r="EV138" s="35"/>
      <c r="EW138" s="35"/>
      <c r="EX138" s="84"/>
      <c r="EY138" s="35"/>
      <c r="EZ138" s="35"/>
      <c r="FA138" s="35"/>
      <c r="FB138" s="35"/>
      <c r="FC138" s="35"/>
      <c r="FD138" s="84"/>
      <c r="FE138" s="84"/>
      <c r="FF138" s="35"/>
      <c r="FG138" s="35"/>
      <c r="FH138" s="35"/>
      <c r="FI138" s="35"/>
      <c r="FJ138" s="84"/>
      <c r="FK138" s="35"/>
      <c r="FL138" s="35"/>
      <c r="FM138" s="35"/>
      <c r="FN138" s="35"/>
      <c r="FO138" s="35"/>
      <c r="FP138" s="35"/>
      <c r="FQ138" s="35"/>
      <c r="FR138" s="35"/>
      <c r="FS138" s="35"/>
      <c r="FT138" s="35"/>
      <c r="FU138" s="35"/>
      <c r="FV138" s="35"/>
      <c r="FW138" s="35"/>
      <c r="FX138" s="35"/>
      <c r="FY138" s="35"/>
      <c r="FZ138" s="35"/>
      <c r="GA138" s="35"/>
      <c r="GB138" s="35"/>
      <c r="GC138" s="35"/>
      <c r="GD138" s="35"/>
      <c r="GE138" s="35"/>
      <c r="GF138" s="35"/>
      <c r="GG138" s="35"/>
      <c r="GH138" s="35"/>
      <c r="GI138" s="35"/>
      <c r="GJ138" s="35"/>
      <c r="GK138" s="35"/>
      <c r="GL138" s="35"/>
      <c r="GM138" s="35"/>
      <c r="GN138" s="35"/>
      <c r="GO138" s="35"/>
      <c r="GP138" s="35"/>
      <c r="GQ138" s="35"/>
      <c r="GR138" s="35"/>
      <c r="GS138" s="35"/>
      <c r="GT138" s="35"/>
      <c r="GU138" s="35"/>
      <c r="GV138" s="35"/>
      <c r="GW138" s="35"/>
      <c r="GX138" s="35"/>
      <c r="GY138" s="35"/>
      <c r="GZ138" s="35"/>
      <c r="HA138" s="35"/>
      <c r="HB138" s="35"/>
      <c r="HC138" s="35"/>
      <c r="HD138" s="35"/>
      <c r="HE138" s="35"/>
      <c r="HF138" s="35"/>
      <c r="HG138" s="84"/>
      <c r="HH138" s="84"/>
      <c r="HI138" s="84"/>
      <c r="HJ138" s="84"/>
      <c r="HK138" s="84"/>
      <c r="HL138" s="84"/>
      <c r="HM138" s="84"/>
      <c r="HN138" s="84"/>
      <c r="HO138" s="84"/>
      <c r="HP138" s="84"/>
      <c r="HQ138" s="84"/>
      <c r="HR138" s="84"/>
      <c r="HS138" s="84"/>
      <c r="HT138" s="84"/>
      <c r="HU138" s="84"/>
      <c r="HV138" s="84"/>
      <c r="HW138" s="84"/>
      <c r="HX138" s="84"/>
      <c r="HY138" s="84"/>
      <c r="HZ138" s="84"/>
      <c r="IA138" s="84"/>
      <c r="IB138" s="84"/>
      <c r="IC138" s="84"/>
      <c r="ID138" s="84"/>
      <c r="IE138" s="84"/>
      <c r="IF138" s="84"/>
      <c r="IG138" s="84"/>
      <c r="IH138" s="84"/>
      <c r="II138" s="84"/>
      <c r="IJ138" s="84"/>
      <c r="IK138" s="84"/>
      <c r="IL138" s="84"/>
      <c r="IM138" s="84"/>
      <c r="IN138" s="84"/>
      <c r="IO138" s="84"/>
      <c r="IP138" s="84"/>
      <c r="IQ138" s="84"/>
      <c r="IR138" s="84"/>
      <c r="IS138" s="84"/>
      <c r="IT138" s="84"/>
      <c r="IU138" s="84"/>
      <c r="IV138" s="84"/>
      <c r="IW138" s="84"/>
    </row>
    <row r="139" spans="2:257" s="28" customFormat="1" ht="14.4">
      <c r="B139" s="30">
        <f t="shared" si="255"/>
        <v>6.01</v>
      </c>
      <c r="C139" s="38" t="s">
        <v>118</v>
      </c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  <c r="BM139" s="84"/>
      <c r="BN139" s="84"/>
      <c r="BO139" s="84"/>
      <c r="BP139" s="84"/>
      <c r="BQ139" s="84"/>
      <c r="BR139" s="84"/>
      <c r="BS139" s="84"/>
      <c r="BT139" s="84"/>
      <c r="BU139" s="84"/>
      <c r="BV139" s="84"/>
      <c r="BW139" s="84"/>
      <c r="BX139" s="84"/>
      <c r="BY139" s="84"/>
      <c r="BZ139" s="84"/>
      <c r="CA139" s="84"/>
      <c r="CB139" s="84"/>
      <c r="CC139" s="84"/>
      <c r="CD139" s="84"/>
      <c r="CE139" s="84"/>
      <c r="CF139" s="35"/>
      <c r="CG139" s="34"/>
      <c r="CH139" s="34"/>
      <c r="CI139" s="34"/>
      <c r="CJ139" s="34"/>
      <c r="CK139" s="34"/>
      <c r="CL139" s="34"/>
      <c r="CM139" s="34"/>
      <c r="CN139" s="34"/>
      <c r="CO139" s="35"/>
      <c r="CP139" s="35"/>
      <c r="CQ139" s="35"/>
      <c r="CR139" s="84"/>
      <c r="CS139" s="84"/>
      <c r="CT139" s="84"/>
      <c r="CU139" s="84"/>
      <c r="CV139" s="35"/>
      <c r="CW139" s="84"/>
      <c r="CX139" s="35"/>
      <c r="CY139" s="35"/>
      <c r="CZ139" s="35"/>
      <c r="DA139" s="35"/>
      <c r="DB139" s="35"/>
      <c r="DC139" s="84"/>
      <c r="DD139" s="35"/>
      <c r="DE139" s="35"/>
      <c r="DF139" s="35"/>
      <c r="DG139" s="35"/>
      <c r="DH139" s="35"/>
      <c r="DI139" s="84"/>
      <c r="DJ139" s="35"/>
      <c r="DK139" s="35"/>
      <c r="DL139" s="35"/>
      <c r="DM139" s="35"/>
      <c r="DN139" s="35"/>
      <c r="DO139" s="84"/>
      <c r="DP139" s="35"/>
      <c r="DQ139" s="35"/>
      <c r="DR139" s="35"/>
      <c r="DS139" s="35"/>
      <c r="DT139" s="35"/>
      <c r="DU139" s="84"/>
      <c r="DV139" s="35"/>
      <c r="DW139" s="35"/>
      <c r="DX139" s="35"/>
      <c r="DY139" s="35"/>
      <c r="DZ139" s="35"/>
      <c r="EA139" s="84"/>
      <c r="EB139" s="35"/>
      <c r="EC139" s="35"/>
      <c r="ED139" s="35"/>
      <c r="EE139" s="35"/>
      <c r="EF139" s="35"/>
      <c r="EG139" s="84"/>
      <c r="EH139" s="35"/>
      <c r="EI139" s="35"/>
      <c r="EJ139" s="35"/>
      <c r="EK139" s="35"/>
      <c r="EL139" s="35"/>
      <c r="EM139" s="84"/>
      <c r="EN139" s="35"/>
      <c r="EO139" s="35"/>
      <c r="EP139" s="35"/>
      <c r="EQ139" s="35"/>
      <c r="ER139" s="35"/>
      <c r="ES139" s="84"/>
      <c r="ET139" s="35"/>
      <c r="EU139" s="35"/>
      <c r="EV139" s="35"/>
      <c r="EW139" s="35"/>
      <c r="EX139" s="84"/>
      <c r="EY139" s="35"/>
      <c r="EZ139" s="35"/>
      <c r="FA139" s="35"/>
      <c r="FB139" s="35"/>
      <c r="FC139" s="35"/>
      <c r="FD139" s="84"/>
      <c r="FE139" s="84"/>
      <c r="FF139" s="35"/>
      <c r="FG139" s="35"/>
      <c r="FH139" s="35"/>
      <c r="FI139" s="35"/>
      <c r="FJ139" s="84"/>
      <c r="FK139" s="35"/>
      <c r="FL139" s="35"/>
      <c r="FM139" s="35"/>
      <c r="FN139" s="35"/>
      <c r="FO139" s="35"/>
      <c r="FP139" s="35"/>
      <c r="FQ139" s="35"/>
      <c r="FR139" s="35"/>
      <c r="FS139" s="35"/>
      <c r="FT139" s="35"/>
      <c r="FU139" s="35"/>
      <c r="FV139" s="35"/>
      <c r="FW139" s="35"/>
      <c r="FX139" s="35"/>
      <c r="FY139" s="35"/>
      <c r="FZ139" s="35"/>
      <c r="GA139" s="35"/>
      <c r="GB139" s="35"/>
      <c r="GC139" s="35"/>
      <c r="GD139" s="35"/>
      <c r="GE139" s="35"/>
      <c r="GF139" s="55" t="s">
        <v>187</v>
      </c>
      <c r="GG139" s="55" t="s">
        <v>30</v>
      </c>
      <c r="GH139" s="55" t="s">
        <v>31</v>
      </c>
      <c r="GI139" s="55"/>
      <c r="GJ139" s="55" t="s">
        <v>32</v>
      </c>
      <c r="GK139" s="56" t="s">
        <v>188</v>
      </c>
      <c r="GL139" s="56" t="s">
        <v>189</v>
      </c>
      <c r="GM139" s="56" t="s">
        <v>190</v>
      </c>
      <c r="GN139" s="56" t="s">
        <v>191</v>
      </c>
      <c r="GO139" s="57"/>
      <c r="GP139" s="57" t="s">
        <v>192</v>
      </c>
      <c r="GQ139" s="57" t="s">
        <v>193</v>
      </c>
      <c r="GR139" s="57" t="s">
        <v>194</v>
      </c>
      <c r="GS139" s="57" t="s">
        <v>195</v>
      </c>
      <c r="GT139" s="58" t="s">
        <v>196</v>
      </c>
      <c r="GU139" s="58" t="s">
        <v>197</v>
      </c>
      <c r="GV139" s="58" t="s">
        <v>197</v>
      </c>
      <c r="GW139" s="58" t="s">
        <v>198</v>
      </c>
      <c r="GX139" s="58" t="s">
        <v>199</v>
      </c>
      <c r="GY139" s="42" t="s">
        <v>33</v>
      </c>
      <c r="GZ139" s="42" t="s">
        <v>34</v>
      </c>
      <c r="HA139" s="42" t="s">
        <v>35</v>
      </c>
      <c r="HB139" s="42" t="s">
        <v>35</v>
      </c>
      <c r="HC139" s="42" t="s">
        <v>36</v>
      </c>
      <c r="HD139" s="59" t="s">
        <v>200</v>
      </c>
      <c r="HE139" s="59" t="s">
        <v>201</v>
      </c>
      <c r="HF139" s="59" t="s">
        <v>202</v>
      </c>
      <c r="HG139" s="59" t="s">
        <v>203</v>
      </c>
      <c r="HH139" s="59" t="s">
        <v>203</v>
      </c>
      <c r="HI139" s="35"/>
      <c r="HJ139" s="35"/>
      <c r="HK139" s="35"/>
      <c r="HL139" s="35"/>
      <c r="HM139" s="35"/>
      <c r="HN139" s="35"/>
      <c r="HO139" s="35"/>
      <c r="HP139" s="35"/>
      <c r="HQ139" s="35"/>
      <c r="HR139" s="35"/>
      <c r="HS139" s="35"/>
      <c r="HT139" s="84"/>
      <c r="HU139" s="84"/>
      <c r="HV139" s="84"/>
      <c r="HW139" s="84"/>
      <c r="HX139" s="84"/>
      <c r="HY139" s="84"/>
      <c r="HZ139" s="84"/>
      <c r="IA139" s="84"/>
      <c r="IB139" s="84"/>
      <c r="IC139" s="84"/>
      <c r="ID139" s="84"/>
      <c r="IE139" s="84"/>
      <c r="IF139" s="84"/>
      <c r="IG139" s="84"/>
      <c r="IH139" s="84"/>
      <c r="II139" s="84"/>
      <c r="IJ139" s="84"/>
      <c r="IK139" s="84"/>
      <c r="IL139" s="84"/>
      <c r="IM139" s="84"/>
      <c r="IN139" s="84"/>
      <c r="IO139" s="84"/>
      <c r="IP139" s="84"/>
      <c r="IQ139" s="84"/>
      <c r="IR139" s="84"/>
      <c r="IS139" s="84"/>
      <c r="IT139" s="84"/>
      <c r="IU139" s="84"/>
      <c r="IV139" s="84"/>
      <c r="IW139" s="84"/>
    </row>
    <row r="140" spans="2:257" s="28" customFormat="1" ht="14.4">
      <c r="B140" s="30">
        <f t="shared" si="255"/>
        <v>6.02</v>
      </c>
      <c r="C140" s="38" t="s">
        <v>119</v>
      </c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35"/>
      <c r="BB140" s="35"/>
      <c r="BC140" s="84"/>
      <c r="BD140" s="84"/>
      <c r="BE140" s="84"/>
      <c r="BF140" s="84"/>
      <c r="BG140" s="84"/>
      <c r="BH140" s="84"/>
      <c r="BI140" s="84"/>
      <c r="BJ140" s="84"/>
      <c r="BK140" s="84"/>
      <c r="BL140" s="84"/>
      <c r="BM140" s="84"/>
      <c r="BN140" s="84"/>
      <c r="BO140" s="84"/>
      <c r="BP140" s="84"/>
      <c r="BQ140" s="84"/>
      <c r="BR140" s="84"/>
      <c r="BS140" s="84"/>
      <c r="BT140" s="84"/>
      <c r="BU140" s="84"/>
      <c r="BV140" s="84"/>
      <c r="BW140" s="84"/>
      <c r="BX140" s="84"/>
      <c r="BY140" s="84"/>
      <c r="BZ140" s="84"/>
      <c r="CA140" s="84"/>
      <c r="CB140" s="84"/>
      <c r="CC140" s="84"/>
      <c r="CD140" s="84"/>
      <c r="CE140" s="84"/>
      <c r="CF140" s="35"/>
      <c r="CG140" s="34"/>
      <c r="CH140" s="34"/>
      <c r="CI140" s="34"/>
      <c r="CJ140" s="34"/>
      <c r="CK140" s="34"/>
      <c r="CL140" s="34"/>
      <c r="CM140" s="34"/>
      <c r="CN140" s="34"/>
      <c r="CO140" s="35"/>
      <c r="CP140" s="35"/>
      <c r="CQ140" s="35"/>
      <c r="CR140" s="84"/>
      <c r="CS140" s="84"/>
      <c r="CT140" s="84"/>
      <c r="CU140" s="84"/>
      <c r="CV140" s="35"/>
      <c r="CW140" s="84"/>
      <c r="CX140" s="35"/>
      <c r="CY140" s="35"/>
      <c r="CZ140" s="35"/>
      <c r="DA140" s="35"/>
      <c r="DB140" s="35"/>
      <c r="DC140" s="84"/>
      <c r="DD140" s="35"/>
      <c r="DE140" s="35"/>
      <c r="DF140" s="35"/>
      <c r="DG140" s="35"/>
      <c r="DH140" s="35"/>
      <c r="DI140" s="84"/>
      <c r="DJ140" s="35"/>
      <c r="DK140" s="35"/>
      <c r="DL140" s="35"/>
      <c r="DM140" s="35"/>
      <c r="DN140" s="35"/>
      <c r="DO140" s="84"/>
      <c r="DP140" s="35"/>
      <c r="DQ140" s="35"/>
      <c r="DR140" s="35"/>
      <c r="DS140" s="35"/>
      <c r="DT140" s="35"/>
      <c r="DU140" s="84"/>
      <c r="DV140" s="35"/>
      <c r="DW140" s="35"/>
      <c r="DX140" s="35"/>
      <c r="DY140" s="35"/>
      <c r="DZ140" s="35"/>
      <c r="EA140" s="84"/>
      <c r="EB140" s="35"/>
      <c r="EC140" s="35"/>
      <c r="ED140" s="35"/>
      <c r="EE140" s="35"/>
      <c r="EF140" s="35"/>
      <c r="EG140" s="84"/>
      <c r="EH140" s="35"/>
      <c r="EI140" s="35"/>
      <c r="EJ140" s="35"/>
      <c r="EK140" s="35"/>
      <c r="EL140" s="35"/>
      <c r="EM140" s="84"/>
      <c r="EN140" s="35"/>
      <c r="EO140" s="35"/>
      <c r="EP140" s="35"/>
      <c r="EQ140" s="35"/>
      <c r="ER140" s="35"/>
      <c r="ES140" s="84"/>
      <c r="ET140" s="35"/>
      <c r="EU140" s="35"/>
      <c r="EV140" s="35"/>
      <c r="EW140" s="35"/>
      <c r="EX140" s="84"/>
      <c r="EY140" s="35"/>
      <c r="EZ140" s="35"/>
      <c r="FA140" s="35"/>
      <c r="FB140" s="35"/>
      <c r="FC140" s="35"/>
      <c r="FD140" s="84"/>
      <c r="FE140" s="84"/>
      <c r="FF140" s="35"/>
      <c r="FG140" s="35"/>
      <c r="FH140" s="35"/>
      <c r="FI140" s="35"/>
      <c r="FJ140" s="84"/>
      <c r="FK140" s="35"/>
      <c r="FL140" s="35"/>
      <c r="FM140" s="35"/>
      <c r="FN140" s="35"/>
      <c r="FO140" s="35"/>
      <c r="FP140" s="35"/>
      <c r="FQ140" s="35"/>
      <c r="FR140" s="35"/>
      <c r="FS140" s="35"/>
      <c r="FT140" s="35"/>
      <c r="FU140" s="35"/>
      <c r="FV140" s="35"/>
      <c r="FW140" s="35"/>
      <c r="FX140" s="35"/>
      <c r="FY140" s="35"/>
      <c r="FZ140" s="35"/>
      <c r="GA140" s="35"/>
      <c r="GB140" s="35"/>
      <c r="GC140" s="35"/>
      <c r="GD140" s="35"/>
      <c r="GE140" s="35"/>
      <c r="GF140" s="35"/>
      <c r="GG140" s="55" t="s">
        <v>187</v>
      </c>
      <c r="GH140" s="55" t="s">
        <v>30</v>
      </c>
      <c r="GI140" s="55"/>
      <c r="GJ140" s="55" t="s">
        <v>31</v>
      </c>
      <c r="GK140" s="55" t="s">
        <v>32</v>
      </c>
      <c r="GL140" s="56" t="s">
        <v>188</v>
      </c>
      <c r="GM140" s="56" t="s">
        <v>189</v>
      </c>
      <c r="GN140" s="56" t="s">
        <v>190</v>
      </c>
      <c r="GO140" s="56"/>
      <c r="GP140" s="56" t="s">
        <v>191</v>
      </c>
      <c r="GQ140" s="57" t="s">
        <v>192</v>
      </c>
      <c r="GR140" s="57" t="s">
        <v>193</v>
      </c>
      <c r="GS140" s="57" t="s">
        <v>194</v>
      </c>
      <c r="GT140" s="57" t="s">
        <v>195</v>
      </c>
      <c r="GU140" s="58" t="s">
        <v>196</v>
      </c>
      <c r="GV140" s="58" t="s">
        <v>196</v>
      </c>
      <c r="GW140" s="58" t="s">
        <v>197</v>
      </c>
      <c r="GX140" s="58" t="s">
        <v>198</v>
      </c>
      <c r="GY140" s="58" t="s">
        <v>199</v>
      </c>
      <c r="GZ140" s="42" t="s">
        <v>33</v>
      </c>
      <c r="HA140" s="42" t="s">
        <v>34</v>
      </c>
      <c r="HB140" s="42" t="s">
        <v>34</v>
      </c>
      <c r="HC140" s="42" t="s">
        <v>35</v>
      </c>
      <c r="HD140" s="42" t="s">
        <v>36</v>
      </c>
      <c r="HE140" s="59" t="s">
        <v>200</v>
      </c>
      <c r="HF140" s="59" t="s">
        <v>201</v>
      </c>
      <c r="HG140" s="59" t="s">
        <v>202</v>
      </c>
      <c r="HH140" s="59" t="s">
        <v>202</v>
      </c>
      <c r="HI140" s="59" t="s">
        <v>203</v>
      </c>
      <c r="HJ140" s="35"/>
      <c r="HK140" s="35"/>
      <c r="HL140" s="35"/>
      <c r="HM140" s="35"/>
      <c r="HN140" s="35"/>
      <c r="HO140" s="35"/>
      <c r="HP140" s="35"/>
      <c r="HQ140" s="35"/>
      <c r="HR140" s="35"/>
      <c r="HS140" s="35"/>
      <c r="HT140" s="35"/>
      <c r="HU140" s="84"/>
      <c r="HV140" s="84"/>
      <c r="HW140" s="84"/>
      <c r="HX140" s="84"/>
      <c r="HY140" s="84"/>
      <c r="HZ140" s="84"/>
      <c r="IA140" s="84"/>
      <c r="IB140" s="84"/>
      <c r="IC140" s="84"/>
      <c r="ID140" s="84"/>
      <c r="IE140" s="84"/>
      <c r="IF140" s="84"/>
      <c r="IG140" s="84"/>
      <c r="IH140" s="84"/>
      <c r="II140" s="84"/>
      <c r="IJ140" s="84"/>
      <c r="IK140" s="84"/>
      <c r="IL140" s="84"/>
      <c r="IM140" s="84"/>
      <c r="IN140" s="84"/>
      <c r="IO140" s="84"/>
      <c r="IP140" s="84"/>
      <c r="IQ140" s="84"/>
      <c r="IR140" s="84"/>
      <c r="IS140" s="84"/>
      <c r="IT140" s="84"/>
      <c r="IU140" s="84"/>
      <c r="IV140" s="84"/>
      <c r="IW140" s="84"/>
    </row>
    <row r="141" spans="2:257" s="28" customFormat="1" ht="14.4">
      <c r="B141" s="30">
        <f t="shared" si="255"/>
        <v>6.0299999999999994</v>
      </c>
      <c r="C141" s="38" t="s">
        <v>120</v>
      </c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  <c r="BC141" s="84"/>
      <c r="BD141" s="84"/>
      <c r="BE141" s="84"/>
      <c r="BF141" s="84"/>
      <c r="BG141" s="84"/>
      <c r="BH141" s="84"/>
      <c r="BI141" s="84"/>
      <c r="BJ141" s="84"/>
      <c r="BK141" s="84"/>
      <c r="BL141" s="84"/>
      <c r="BM141" s="84"/>
      <c r="BN141" s="84"/>
      <c r="BO141" s="84"/>
      <c r="BP141" s="84"/>
      <c r="BQ141" s="84"/>
      <c r="BR141" s="84"/>
      <c r="BS141" s="84"/>
      <c r="BT141" s="84"/>
      <c r="BU141" s="84"/>
      <c r="BV141" s="84"/>
      <c r="BW141" s="84"/>
      <c r="BX141" s="84"/>
      <c r="BY141" s="84"/>
      <c r="BZ141" s="84"/>
      <c r="CA141" s="84"/>
      <c r="CB141" s="84"/>
      <c r="CC141" s="84"/>
      <c r="CD141" s="84"/>
      <c r="CE141" s="84"/>
      <c r="CF141" s="35"/>
      <c r="CG141" s="34"/>
      <c r="CH141" s="34"/>
      <c r="CI141" s="34"/>
      <c r="CJ141" s="34"/>
      <c r="CK141" s="34"/>
      <c r="CL141" s="34"/>
      <c r="CM141" s="34"/>
      <c r="CN141" s="34"/>
      <c r="CO141" s="35"/>
      <c r="CP141" s="35"/>
      <c r="CQ141" s="35"/>
      <c r="CR141" s="84"/>
      <c r="CS141" s="84"/>
      <c r="CT141" s="84"/>
      <c r="CU141" s="84"/>
      <c r="CV141" s="35"/>
      <c r="CW141" s="84"/>
      <c r="CX141" s="35"/>
      <c r="CY141" s="35"/>
      <c r="CZ141" s="35"/>
      <c r="DA141" s="35"/>
      <c r="DB141" s="35"/>
      <c r="DC141" s="84"/>
      <c r="DD141" s="35"/>
      <c r="DE141" s="35"/>
      <c r="DF141" s="35"/>
      <c r="DG141" s="35"/>
      <c r="DH141" s="35"/>
      <c r="DI141" s="84"/>
      <c r="DJ141" s="35"/>
      <c r="DK141" s="35"/>
      <c r="DL141" s="35"/>
      <c r="DM141" s="35"/>
      <c r="DN141" s="35"/>
      <c r="DO141" s="84"/>
      <c r="DP141" s="35"/>
      <c r="DQ141" s="35"/>
      <c r="DR141" s="35"/>
      <c r="DS141" s="35"/>
      <c r="DT141" s="35"/>
      <c r="DU141" s="84"/>
      <c r="DV141" s="35"/>
      <c r="DW141" s="35"/>
      <c r="DX141" s="35"/>
      <c r="DY141" s="35"/>
      <c r="DZ141" s="35"/>
      <c r="EA141" s="84"/>
      <c r="EB141" s="35"/>
      <c r="EC141" s="35"/>
      <c r="ED141" s="35"/>
      <c r="EE141" s="35"/>
      <c r="EF141" s="35"/>
      <c r="EG141" s="84"/>
      <c r="EH141" s="35"/>
      <c r="EI141" s="35"/>
      <c r="EJ141" s="35"/>
      <c r="EK141" s="35"/>
      <c r="EL141" s="35"/>
      <c r="EM141" s="84"/>
      <c r="EN141" s="35"/>
      <c r="EO141" s="35"/>
      <c r="EP141" s="35"/>
      <c r="EQ141" s="35"/>
      <c r="ER141" s="35"/>
      <c r="ES141" s="84"/>
      <c r="ET141" s="35"/>
      <c r="EU141" s="35"/>
      <c r="EV141" s="35"/>
      <c r="EW141" s="35"/>
      <c r="EX141" s="84"/>
      <c r="EY141" s="35"/>
      <c r="EZ141" s="35"/>
      <c r="FA141" s="35"/>
      <c r="FB141" s="35"/>
      <c r="FC141" s="35"/>
      <c r="FD141" s="84"/>
      <c r="FE141" s="84"/>
      <c r="FF141" s="35"/>
      <c r="FG141" s="35"/>
      <c r="FH141" s="35"/>
      <c r="FI141" s="35"/>
      <c r="FJ141" s="84"/>
      <c r="FK141" s="35"/>
      <c r="FL141" s="35"/>
      <c r="FM141" s="47"/>
      <c r="FN141" s="47"/>
      <c r="FO141" s="47"/>
      <c r="FP141" s="47"/>
      <c r="FQ141" s="47"/>
      <c r="FR141" s="47"/>
      <c r="FS141" s="47"/>
      <c r="FT141" s="47"/>
      <c r="FU141" s="47"/>
      <c r="FV141" s="47"/>
      <c r="FW141" s="47"/>
      <c r="FX141" s="47"/>
      <c r="FY141" s="47"/>
      <c r="FZ141" s="47"/>
      <c r="GA141" s="47"/>
      <c r="GB141" s="47"/>
      <c r="GC141" s="47"/>
      <c r="GD141" s="47"/>
      <c r="GE141" s="47"/>
      <c r="GF141" s="47"/>
      <c r="GG141" s="55" t="s">
        <v>187</v>
      </c>
      <c r="GH141" s="55" t="s">
        <v>30</v>
      </c>
      <c r="GI141" s="55"/>
      <c r="GJ141" s="55" t="s">
        <v>31</v>
      </c>
      <c r="GK141" s="55" t="s">
        <v>32</v>
      </c>
      <c r="GL141" s="56" t="s">
        <v>188</v>
      </c>
      <c r="GM141" s="56" t="s">
        <v>189</v>
      </c>
      <c r="GN141" s="56" t="s">
        <v>190</v>
      </c>
      <c r="GO141" s="56"/>
      <c r="GP141" s="56" t="s">
        <v>191</v>
      </c>
      <c r="GQ141" s="57" t="s">
        <v>192</v>
      </c>
      <c r="GR141" s="57" t="s">
        <v>193</v>
      </c>
      <c r="GS141" s="57" t="s">
        <v>194</v>
      </c>
      <c r="GT141" s="57" t="s">
        <v>195</v>
      </c>
      <c r="GU141" s="58" t="s">
        <v>196</v>
      </c>
      <c r="GV141" s="58" t="s">
        <v>196</v>
      </c>
      <c r="GW141" s="58" t="s">
        <v>197</v>
      </c>
      <c r="GX141" s="58" t="s">
        <v>198</v>
      </c>
      <c r="GY141" s="58" t="s">
        <v>199</v>
      </c>
      <c r="GZ141" s="42" t="s">
        <v>33</v>
      </c>
      <c r="HA141" s="42" t="s">
        <v>34</v>
      </c>
      <c r="HB141" s="42" t="s">
        <v>34</v>
      </c>
      <c r="HC141" s="42" t="s">
        <v>35</v>
      </c>
      <c r="HD141" s="42" t="s">
        <v>36</v>
      </c>
      <c r="HE141" s="59" t="s">
        <v>200</v>
      </c>
      <c r="HF141" s="59" t="s">
        <v>201</v>
      </c>
      <c r="HG141" s="59" t="s">
        <v>202</v>
      </c>
      <c r="HH141" s="59" t="s">
        <v>202</v>
      </c>
      <c r="HI141" s="59" t="s">
        <v>203</v>
      </c>
      <c r="HJ141" s="35"/>
      <c r="HK141" s="35"/>
      <c r="HL141" s="35"/>
      <c r="HM141" s="35"/>
      <c r="HN141" s="35"/>
      <c r="HO141" s="35"/>
      <c r="HP141" s="35"/>
      <c r="HQ141" s="35"/>
      <c r="HR141" s="35"/>
      <c r="HS141" s="35"/>
      <c r="HT141" s="35"/>
      <c r="HU141" s="84"/>
      <c r="HV141" s="84"/>
      <c r="HW141" s="84"/>
      <c r="HX141" s="84"/>
      <c r="HY141" s="84"/>
      <c r="HZ141" s="84"/>
      <c r="IA141" s="84"/>
      <c r="IB141" s="84"/>
      <c r="IC141" s="84"/>
      <c r="ID141" s="84"/>
      <c r="IE141" s="84"/>
      <c r="IF141" s="84"/>
      <c r="IG141" s="84"/>
      <c r="IH141" s="84"/>
      <c r="II141" s="84"/>
      <c r="IJ141" s="84"/>
      <c r="IK141" s="84"/>
      <c r="IL141" s="84"/>
      <c r="IM141" s="84"/>
      <c r="IN141" s="84"/>
      <c r="IO141" s="84"/>
      <c r="IP141" s="84"/>
      <c r="IQ141" s="84"/>
      <c r="IR141" s="84"/>
      <c r="IS141" s="84"/>
      <c r="IT141" s="84"/>
      <c r="IU141" s="84"/>
      <c r="IV141" s="84"/>
      <c r="IW141" s="84"/>
    </row>
    <row r="142" spans="2:257" s="28" customFormat="1" ht="14.4">
      <c r="B142" s="30">
        <f t="shared" si="255"/>
        <v>6.0399999999999991</v>
      </c>
      <c r="C142" s="38" t="s">
        <v>121</v>
      </c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  <c r="BA142" s="35"/>
      <c r="BB142" s="35"/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  <c r="BM142" s="84"/>
      <c r="BN142" s="84"/>
      <c r="BO142" s="84"/>
      <c r="BP142" s="84"/>
      <c r="BQ142" s="84"/>
      <c r="BR142" s="84"/>
      <c r="BS142" s="84"/>
      <c r="BT142" s="84"/>
      <c r="BU142" s="84"/>
      <c r="BV142" s="84"/>
      <c r="BW142" s="84"/>
      <c r="BX142" s="84"/>
      <c r="BY142" s="84"/>
      <c r="BZ142" s="84"/>
      <c r="CA142" s="84"/>
      <c r="CB142" s="84"/>
      <c r="CC142" s="84"/>
      <c r="CD142" s="84"/>
      <c r="CE142" s="84"/>
      <c r="CF142" s="35"/>
      <c r="CG142" s="34"/>
      <c r="CH142" s="34"/>
      <c r="CI142" s="34"/>
      <c r="CJ142" s="34"/>
      <c r="CK142" s="34"/>
      <c r="CL142" s="34"/>
      <c r="CM142" s="34"/>
      <c r="CN142" s="34"/>
      <c r="CO142" s="35"/>
      <c r="CP142" s="35"/>
      <c r="CQ142" s="35"/>
      <c r="CR142" s="84"/>
      <c r="CS142" s="84"/>
      <c r="CT142" s="84"/>
      <c r="CU142" s="84"/>
      <c r="CV142" s="35"/>
      <c r="CW142" s="84"/>
      <c r="CX142" s="35"/>
      <c r="CY142" s="35"/>
      <c r="CZ142" s="35"/>
      <c r="DA142" s="35"/>
      <c r="DB142" s="35"/>
      <c r="DC142" s="84"/>
      <c r="DD142" s="35"/>
      <c r="DE142" s="35"/>
      <c r="DF142" s="35"/>
      <c r="DG142" s="35"/>
      <c r="DH142" s="35"/>
      <c r="DI142" s="84"/>
      <c r="DJ142" s="35"/>
      <c r="DK142" s="35"/>
      <c r="DL142" s="35"/>
      <c r="DM142" s="35"/>
      <c r="DN142" s="35"/>
      <c r="DO142" s="84"/>
      <c r="DP142" s="35"/>
      <c r="DQ142" s="35"/>
      <c r="DR142" s="35"/>
      <c r="DS142" s="35"/>
      <c r="DT142" s="35"/>
      <c r="DU142" s="84"/>
      <c r="DV142" s="35"/>
      <c r="DW142" s="35"/>
      <c r="DX142" s="35"/>
      <c r="DY142" s="35"/>
      <c r="DZ142" s="35"/>
      <c r="EA142" s="84"/>
      <c r="EB142" s="35"/>
      <c r="EC142" s="35"/>
      <c r="ED142" s="35"/>
      <c r="EE142" s="35"/>
      <c r="EF142" s="35"/>
      <c r="EG142" s="84"/>
      <c r="EH142" s="35"/>
      <c r="EI142" s="35"/>
      <c r="EJ142" s="35"/>
      <c r="EK142" s="35"/>
      <c r="EL142" s="35"/>
      <c r="EM142" s="84"/>
      <c r="EN142" s="35"/>
      <c r="EO142" s="35"/>
      <c r="EP142" s="35"/>
      <c r="EQ142" s="35"/>
      <c r="ER142" s="35"/>
      <c r="ES142" s="84"/>
      <c r="ET142" s="35"/>
      <c r="EU142" s="35"/>
      <c r="EV142" s="35"/>
      <c r="EW142" s="35"/>
      <c r="EX142" s="35"/>
      <c r="EY142" s="84"/>
      <c r="EZ142" s="35"/>
      <c r="FA142" s="35"/>
      <c r="FB142" s="35"/>
      <c r="FC142" s="35"/>
      <c r="FD142" s="35"/>
      <c r="FE142" s="84"/>
      <c r="FF142" s="84"/>
      <c r="FG142" s="35"/>
      <c r="FH142" s="35"/>
      <c r="FI142" s="35"/>
      <c r="FJ142" s="35"/>
      <c r="FK142" s="84"/>
      <c r="FL142" s="35"/>
      <c r="FM142" s="35"/>
      <c r="FN142" s="35"/>
      <c r="FO142" s="35"/>
      <c r="FP142" s="35"/>
      <c r="FQ142" s="35"/>
      <c r="FR142" s="35"/>
      <c r="FS142" s="35"/>
      <c r="FT142" s="35"/>
      <c r="FU142" s="35"/>
      <c r="FV142" s="35"/>
      <c r="FW142" s="35"/>
      <c r="FX142" s="35"/>
      <c r="FY142" s="35"/>
      <c r="FZ142" s="35"/>
      <c r="GA142" s="35"/>
      <c r="GB142" s="35"/>
      <c r="GC142" s="35"/>
      <c r="GD142" s="35"/>
      <c r="GE142" s="35"/>
      <c r="GF142" s="35"/>
      <c r="GG142" s="35"/>
      <c r="GH142" s="55" t="s">
        <v>187</v>
      </c>
      <c r="GI142" s="55"/>
      <c r="GJ142" s="55" t="s">
        <v>30</v>
      </c>
      <c r="GK142" s="55" t="s">
        <v>31</v>
      </c>
      <c r="GL142" s="55" t="s">
        <v>32</v>
      </c>
      <c r="GM142" s="56" t="s">
        <v>188</v>
      </c>
      <c r="GN142" s="56" t="s">
        <v>189</v>
      </c>
      <c r="GO142" s="56"/>
      <c r="GP142" s="56" t="s">
        <v>190</v>
      </c>
      <c r="GQ142" s="56" t="s">
        <v>191</v>
      </c>
      <c r="GR142" s="57" t="s">
        <v>192</v>
      </c>
      <c r="GS142" s="57" t="s">
        <v>193</v>
      </c>
      <c r="GT142" s="57" t="s">
        <v>194</v>
      </c>
      <c r="GU142" s="57" t="s">
        <v>195</v>
      </c>
      <c r="GV142" s="57" t="s">
        <v>195</v>
      </c>
      <c r="GW142" s="58" t="s">
        <v>196</v>
      </c>
      <c r="GX142" s="58" t="s">
        <v>197</v>
      </c>
      <c r="GY142" s="58" t="s">
        <v>198</v>
      </c>
      <c r="GZ142" s="58" t="s">
        <v>199</v>
      </c>
      <c r="HA142" s="42" t="s">
        <v>33</v>
      </c>
      <c r="HB142" s="42" t="s">
        <v>33</v>
      </c>
      <c r="HC142" s="42" t="s">
        <v>34</v>
      </c>
      <c r="HD142" s="42" t="s">
        <v>35</v>
      </c>
      <c r="HE142" s="42" t="s">
        <v>36</v>
      </c>
      <c r="HF142" s="59" t="s">
        <v>200</v>
      </c>
      <c r="HG142" s="59" t="s">
        <v>201</v>
      </c>
      <c r="HH142" s="59" t="s">
        <v>201</v>
      </c>
      <c r="HI142" s="59" t="s">
        <v>202</v>
      </c>
      <c r="HJ142" s="59" t="s">
        <v>203</v>
      </c>
      <c r="HK142" s="35"/>
      <c r="HL142" s="35"/>
      <c r="HM142" s="35"/>
      <c r="HN142" s="35"/>
      <c r="HO142" s="35"/>
      <c r="HP142" s="35"/>
      <c r="HQ142" s="35"/>
      <c r="HR142" s="35"/>
      <c r="HS142" s="35"/>
      <c r="HT142" s="35"/>
      <c r="HU142" s="84"/>
      <c r="HV142" s="84"/>
      <c r="HW142" s="84"/>
      <c r="HX142" s="84"/>
      <c r="HY142" s="84"/>
      <c r="HZ142" s="84"/>
      <c r="IA142" s="84"/>
      <c r="IB142" s="84"/>
      <c r="IC142" s="84"/>
      <c r="ID142" s="84"/>
      <c r="IE142" s="84"/>
      <c r="IF142" s="84"/>
      <c r="IG142" s="84"/>
      <c r="IH142" s="84"/>
      <c r="II142" s="84"/>
      <c r="IJ142" s="84"/>
      <c r="IK142" s="84"/>
      <c r="IL142" s="84"/>
      <c r="IM142" s="84"/>
      <c r="IN142" s="84"/>
      <c r="IO142" s="84"/>
      <c r="IP142" s="84"/>
      <c r="IQ142" s="84"/>
      <c r="IR142" s="84"/>
      <c r="IS142" s="84"/>
      <c r="IT142" s="84"/>
      <c r="IU142" s="84"/>
      <c r="IV142" s="84"/>
      <c r="IW142" s="84"/>
    </row>
    <row r="143" spans="2:257" s="28" customFormat="1" ht="14.4">
      <c r="B143" s="30">
        <f t="shared" si="255"/>
        <v>6.0499999999999989</v>
      </c>
      <c r="C143" s="38" t="s">
        <v>122</v>
      </c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/>
      <c r="BB143" s="35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4"/>
      <c r="BP143" s="84"/>
      <c r="BQ143" s="84"/>
      <c r="BR143" s="84"/>
      <c r="BS143" s="84"/>
      <c r="BT143" s="84"/>
      <c r="BU143" s="84"/>
      <c r="BV143" s="84"/>
      <c r="BW143" s="84"/>
      <c r="BX143" s="84"/>
      <c r="BY143" s="84"/>
      <c r="BZ143" s="84"/>
      <c r="CA143" s="84"/>
      <c r="CB143" s="84"/>
      <c r="CC143" s="84"/>
      <c r="CD143" s="84"/>
      <c r="CE143" s="84"/>
      <c r="CF143" s="35"/>
      <c r="CG143" s="34"/>
      <c r="CH143" s="34"/>
      <c r="CI143" s="34"/>
      <c r="CJ143" s="34"/>
      <c r="CK143" s="34"/>
      <c r="CL143" s="34"/>
      <c r="CM143" s="34"/>
      <c r="CN143" s="34"/>
      <c r="CO143" s="35"/>
      <c r="CP143" s="35"/>
      <c r="CQ143" s="35"/>
      <c r="CR143" s="84"/>
      <c r="CS143" s="84"/>
      <c r="CT143" s="84"/>
      <c r="CU143" s="84"/>
      <c r="CV143" s="35"/>
      <c r="CW143" s="84"/>
      <c r="CX143" s="35"/>
      <c r="CY143" s="35"/>
      <c r="CZ143" s="35"/>
      <c r="DA143" s="35"/>
      <c r="DB143" s="35"/>
      <c r="DC143" s="84"/>
      <c r="DD143" s="35"/>
      <c r="DE143" s="35"/>
      <c r="DF143" s="35"/>
      <c r="DG143" s="35"/>
      <c r="DH143" s="35"/>
      <c r="DI143" s="84"/>
      <c r="DJ143" s="35"/>
      <c r="DK143" s="35"/>
      <c r="DL143" s="35"/>
      <c r="DM143" s="35"/>
      <c r="DN143" s="35"/>
      <c r="DO143" s="84"/>
      <c r="DP143" s="35"/>
      <c r="DQ143" s="35"/>
      <c r="DR143" s="35"/>
      <c r="DS143" s="35"/>
      <c r="DT143" s="35"/>
      <c r="DU143" s="84"/>
      <c r="DV143" s="35"/>
      <c r="DW143" s="35"/>
      <c r="DX143" s="35"/>
      <c r="DY143" s="35"/>
      <c r="DZ143" s="35"/>
      <c r="EA143" s="84"/>
      <c r="EB143" s="35"/>
      <c r="EC143" s="35"/>
      <c r="ED143" s="35"/>
      <c r="EE143" s="35"/>
      <c r="EF143" s="35"/>
      <c r="EG143" s="84"/>
      <c r="EH143" s="35"/>
      <c r="EI143" s="35"/>
      <c r="EJ143" s="35"/>
      <c r="EK143" s="35"/>
      <c r="EL143" s="35"/>
      <c r="EM143" s="84"/>
      <c r="EN143" s="35"/>
      <c r="EO143" s="35"/>
      <c r="EP143" s="35"/>
      <c r="EQ143" s="35"/>
      <c r="ER143" s="35"/>
      <c r="ES143" s="84"/>
      <c r="ET143" s="35"/>
      <c r="EU143" s="35"/>
      <c r="EV143" s="35"/>
      <c r="EW143" s="35"/>
      <c r="EX143" s="35"/>
      <c r="EY143" s="84"/>
      <c r="EZ143" s="35"/>
      <c r="FA143" s="35"/>
      <c r="FB143" s="35"/>
      <c r="FC143" s="35"/>
      <c r="FD143" s="35"/>
      <c r="FE143" s="84"/>
      <c r="FF143" s="84"/>
      <c r="FG143" s="35"/>
      <c r="FH143" s="35"/>
      <c r="FI143" s="35"/>
      <c r="FJ143" s="35"/>
      <c r="FK143" s="84"/>
      <c r="FL143" s="35"/>
      <c r="FM143" s="35"/>
      <c r="FN143" s="35"/>
      <c r="FO143" s="35"/>
      <c r="FP143" s="35"/>
      <c r="FQ143" s="35"/>
      <c r="FR143" s="35"/>
      <c r="FS143" s="35"/>
      <c r="FT143" s="35"/>
      <c r="FU143" s="35"/>
      <c r="FV143" s="35"/>
      <c r="FW143" s="35"/>
      <c r="FX143" s="35"/>
      <c r="FY143" s="84"/>
      <c r="FZ143" s="84"/>
      <c r="GA143" s="84"/>
      <c r="GB143" s="84"/>
      <c r="GC143" s="84"/>
      <c r="GD143" s="84"/>
      <c r="GE143" s="84"/>
      <c r="GF143" s="35"/>
      <c r="GG143" s="35"/>
      <c r="GH143" s="35"/>
      <c r="GI143" s="35"/>
      <c r="GJ143" s="55" t="s">
        <v>187</v>
      </c>
      <c r="GK143" s="55" t="s">
        <v>30</v>
      </c>
      <c r="GL143" s="55" t="s">
        <v>31</v>
      </c>
      <c r="GM143" s="55" t="s">
        <v>32</v>
      </c>
      <c r="GN143" s="56" t="s">
        <v>188</v>
      </c>
      <c r="GO143" s="56"/>
      <c r="GP143" s="56" t="s">
        <v>189</v>
      </c>
      <c r="GQ143" s="56" t="s">
        <v>190</v>
      </c>
      <c r="GR143" s="56" t="s">
        <v>191</v>
      </c>
      <c r="GS143" s="57" t="s">
        <v>192</v>
      </c>
      <c r="GT143" s="57" t="s">
        <v>193</v>
      </c>
      <c r="GU143" s="57" t="s">
        <v>194</v>
      </c>
      <c r="GV143" s="57" t="s">
        <v>194</v>
      </c>
      <c r="GW143" s="57" t="s">
        <v>195</v>
      </c>
      <c r="GX143" s="58" t="s">
        <v>196</v>
      </c>
      <c r="GY143" s="58" t="s">
        <v>197</v>
      </c>
      <c r="GZ143" s="58" t="s">
        <v>198</v>
      </c>
      <c r="HA143" s="58" t="s">
        <v>199</v>
      </c>
      <c r="HB143" s="58" t="s">
        <v>199</v>
      </c>
      <c r="HC143" s="42" t="s">
        <v>33</v>
      </c>
      <c r="HD143" s="42" t="s">
        <v>34</v>
      </c>
      <c r="HE143" s="42" t="s">
        <v>35</v>
      </c>
      <c r="HF143" s="42" t="s">
        <v>36</v>
      </c>
      <c r="HG143" s="59" t="s">
        <v>200</v>
      </c>
      <c r="HH143" s="59" t="s">
        <v>200</v>
      </c>
      <c r="HI143" s="59" t="s">
        <v>201</v>
      </c>
      <c r="HJ143" s="59" t="s">
        <v>202</v>
      </c>
      <c r="HK143" s="59" t="s">
        <v>203</v>
      </c>
      <c r="HL143" s="35"/>
      <c r="HM143" s="35"/>
      <c r="HN143" s="35"/>
      <c r="HO143" s="35"/>
      <c r="HP143" s="35"/>
      <c r="HQ143" s="35"/>
      <c r="HR143" s="35"/>
      <c r="HS143" s="35"/>
      <c r="HT143" s="84"/>
      <c r="HU143" s="84"/>
      <c r="HV143" s="84"/>
      <c r="HW143" s="84"/>
      <c r="HX143" s="84"/>
      <c r="HY143" s="84"/>
      <c r="HZ143" s="84"/>
      <c r="IA143" s="84"/>
      <c r="IB143" s="84"/>
      <c r="IC143" s="84"/>
      <c r="ID143" s="84"/>
      <c r="IE143" s="84"/>
      <c r="IF143" s="84"/>
      <c r="IG143" s="84"/>
      <c r="IH143" s="84"/>
      <c r="II143" s="84"/>
      <c r="IJ143" s="84"/>
      <c r="IK143" s="84"/>
      <c r="IL143" s="84"/>
      <c r="IM143" s="84"/>
      <c r="IN143" s="84"/>
      <c r="IO143" s="84"/>
      <c r="IP143" s="84"/>
      <c r="IQ143" s="84"/>
      <c r="IR143" s="84"/>
      <c r="IS143" s="84"/>
      <c r="IT143" s="84"/>
      <c r="IU143" s="84"/>
      <c r="IV143" s="84"/>
      <c r="IW143" s="84"/>
    </row>
    <row r="144" spans="2:257" s="28" customFormat="1" ht="14.4">
      <c r="B144" s="30">
        <f t="shared" si="255"/>
        <v>6.0599999999999987</v>
      </c>
      <c r="C144" s="38" t="s">
        <v>123</v>
      </c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  <c r="BM144" s="84"/>
      <c r="BN144" s="84"/>
      <c r="BO144" s="84"/>
      <c r="BP144" s="84"/>
      <c r="BQ144" s="84"/>
      <c r="BR144" s="84"/>
      <c r="BS144" s="84"/>
      <c r="BT144" s="84"/>
      <c r="BU144" s="84"/>
      <c r="BV144" s="84"/>
      <c r="BW144" s="84"/>
      <c r="BX144" s="84"/>
      <c r="BY144" s="84"/>
      <c r="BZ144" s="84"/>
      <c r="CA144" s="84"/>
      <c r="CB144" s="84"/>
      <c r="CC144" s="84"/>
      <c r="CD144" s="84"/>
      <c r="CE144" s="84"/>
      <c r="CF144" s="35"/>
      <c r="CG144" s="34"/>
      <c r="CH144" s="34"/>
      <c r="CI144" s="34"/>
      <c r="CJ144" s="34"/>
      <c r="CK144" s="34"/>
      <c r="CL144" s="34"/>
      <c r="CM144" s="34"/>
      <c r="CN144" s="34"/>
      <c r="CO144" s="35"/>
      <c r="CP144" s="35"/>
      <c r="CQ144" s="35"/>
      <c r="CR144" s="84"/>
      <c r="CS144" s="84"/>
      <c r="CT144" s="84"/>
      <c r="CU144" s="84"/>
      <c r="CV144" s="35"/>
      <c r="CW144" s="84"/>
      <c r="CX144" s="35"/>
      <c r="CY144" s="35"/>
      <c r="CZ144" s="35"/>
      <c r="DA144" s="35"/>
      <c r="DB144" s="35"/>
      <c r="DC144" s="84"/>
      <c r="DD144" s="35"/>
      <c r="DE144" s="35"/>
      <c r="DF144" s="35"/>
      <c r="DG144" s="35"/>
      <c r="DH144" s="35"/>
      <c r="DI144" s="84"/>
      <c r="DJ144" s="35"/>
      <c r="DK144" s="35"/>
      <c r="DL144" s="35"/>
      <c r="DM144" s="35"/>
      <c r="DN144" s="35"/>
      <c r="DO144" s="84"/>
      <c r="DP144" s="35"/>
      <c r="DQ144" s="35"/>
      <c r="DR144" s="35"/>
      <c r="DS144" s="35"/>
      <c r="DT144" s="35"/>
      <c r="DU144" s="84"/>
      <c r="DV144" s="35"/>
      <c r="DW144" s="35"/>
      <c r="DX144" s="35"/>
      <c r="DY144" s="35"/>
      <c r="DZ144" s="35"/>
      <c r="EA144" s="84"/>
      <c r="EB144" s="35"/>
      <c r="EC144" s="35"/>
      <c r="ED144" s="35"/>
      <c r="EE144" s="35"/>
      <c r="EF144" s="35"/>
      <c r="EG144" s="84"/>
      <c r="EH144" s="35"/>
      <c r="EI144" s="35"/>
      <c r="EJ144" s="35"/>
      <c r="EK144" s="35"/>
      <c r="EL144" s="35"/>
      <c r="EM144" s="84"/>
      <c r="EN144" s="35"/>
      <c r="EO144" s="35"/>
      <c r="EP144" s="35"/>
      <c r="EQ144" s="35"/>
      <c r="ER144" s="35"/>
      <c r="ES144" s="84"/>
      <c r="ET144" s="35"/>
      <c r="EU144" s="35"/>
      <c r="EV144" s="35"/>
      <c r="EW144" s="35"/>
      <c r="EX144" s="35"/>
      <c r="EY144" s="84"/>
      <c r="EZ144" s="35"/>
      <c r="FA144" s="35"/>
      <c r="FB144" s="35"/>
      <c r="FC144" s="35"/>
      <c r="FD144" s="35"/>
      <c r="FE144" s="84"/>
      <c r="FF144" s="84"/>
      <c r="FG144" s="35"/>
      <c r="FH144" s="35"/>
      <c r="FI144" s="35"/>
      <c r="FJ144" s="35"/>
      <c r="FK144" s="84"/>
      <c r="FL144" s="35"/>
      <c r="FM144" s="35"/>
      <c r="FN144" s="35"/>
      <c r="FO144" s="35"/>
      <c r="FP144" s="35"/>
      <c r="FQ144" s="35"/>
      <c r="FR144" s="35"/>
      <c r="FS144" s="35"/>
      <c r="FT144" s="35"/>
      <c r="FU144" s="35"/>
      <c r="FV144" s="35"/>
      <c r="FW144" s="35"/>
      <c r="FX144" s="35"/>
      <c r="FY144" s="84"/>
      <c r="FZ144" s="84"/>
      <c r="GA144" s="84"/>
      <c r="GB144" s="84"/>
      <c r="GC144" s="84"/>
      <c r="GD144" s="84"/>
      <c r="GE144" s="84"/>
      <c r="GF144" s="35"/>
      <c r="GG144" s="35"/>
      <c r="GH144" s="35"/>
      <c r="GI144" s="35"/>
      <c r="GJ144" s="55" t="s">
        <v>187</v>
      </c>
      <c r="GK144" s="55" t="s">
        <v>30</v>
      </c>
      <c r="GL144" s="55" t="s">
        <v>31</v>
      </c>
      <c r="GM144" s="55" t="s">
        <v>32</v>
      </c>
      <c r="GN144" s="56" t="s">
        <v>188</v>
      </c>
      <c r="GO144" s="56"/>
      <c r="GP144" s="56" t="s">
        <v>189</v>
      </c>
      <c r="GQ144" s="56" t="s">
        <v>190</v>
      </c>
      <c r="GR144" s="56" t="s">
        <v>191</v>
      </c>
      <c r="GS144" s="57" t="s">
        <v>192</v>
      </c>
      <c r="GT144" s="57" t="s">
        <v>193</v>
      </c>
      <c r="GU144" s="57" t="s">
        <v>194</v>
      </c>
      <c r="GV144" s="57" t="s">
        <v>194</v>
      </c>
      <c r="GW144" s="57" t="s">
        <v>195</v>
      </c>
      <c r="GX144" s="58" t="s">
        <v>196</v>
      </c>
      <c r="GY144" s="58" t="s">
        <v>197</v>
      </c>
      <c r="GZ144" s="58" t="s">
        <v>198</v>
      </c>
      <c r="HA144" s="58" t="s">
        <v>199</v>
      </c>
      <c r="HB144" s="58" t="s">
        <v>199</v>
      </c>
      <c r="HC144" s="42" t="s">
        <v>33</v>
      </c>
      <c r="HD144" s="42" t="s">
        <v>34</v>
      </c>
      <c r="HE144" s="42" t="s">
        <v>35</v>
      </c>
      <c r="HF144" s="42" t="s">
        <v>36</v>
      </c>
      <c r="HG144" s="59" t="s">
        <v>200</v>
      </c>
      <c r="HH144" s="59" t="s">
        <v>200</v>
      </c>
      <c r="HI144" s="59" t="s">
        <v>201</v>
      </c>
      <c r="HJ144" s="59" t="s">
        <v>202</v>
      </c>
      <c r="HK144" s="59" t="s">
        <v>203</v>
      </c>
      <c r="HL144" s="35"/>
      <c r="HM144" s="35"/>
      <c r="HN144" s="35"/>
      <c r="HO144" s="35"/>
      <c r="HP144" s="35"/>
      <c r="HQ144" s="35"/>
      <c r="HR144" s="35"/>
      <c r="HS144" s="35"/>
      <c r="HT144" s="84"/>
      <c r="HU144" s="84"/>
      <c r="HV144" s="84"/>
      <c r="HW144" s="84"/>
      <c r="HX144" s="84"/>
      <c r="HY144" s="84"/>
      <c r="HZ144" s="84"/>
      <c r="IA144" s="84"/>
      <c r="IB144" s="84"/>
      <c r="IC144" s="84"/>
      <c r="ID144" s="84"/>
      <c r="IE144" s="84"/>
      <c r="IF144" s="84"/>
      <c r="IG144" s="84"/>
      <c r="IH144" s="84"/>
      <c r="II144" s="84"/>
      <c r="IJ144" s="84"/>
      <c r="IK144" s="84"/>
      <c r="IL144" s="84"/>
      <c r="IM144" s="84"/>
      <c r="IN144" s="84"/>
      <c r="IO144" s="84"/>
      <c r="IP144" s="84"/>
      <c r="IQ144" s="84"/>
      <c r="IR144" s="84"/>
      <c r="IS144" s="84"/>
      <c r="IT144" s="84"/>
      <c r="IU144" s="84"/>
      <c r="IV144" s="84"/>
      <c r="IW144" s="84"/>
    </row>
    <row r="145" spans="2:257" s="28" customFormat="1" ht="14.4">
      <c r="B145" s="30">
        <f t="shared" si="255"/>
        <v>6.0699999999999985</v>
      </c>
      <c r="C145" s="38" t="s">
        <v>124</v>
      </c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  <c r="BM145" s="84"/>
      <c r="BN145" s="84"/>
      <c r="BO145" s="84"/>
      <c r="BP145" s="84"/>
      <c r="BQ145" s="84"/>
      <c r="BR145" s="84"/>
      <c r="BS145" s="84"/>
      <c r="BT145" s="84"/>
      <c r="BU145" s="84"/>
      <c r="BV145" s="84"/>
      <c r="BW145" s="84"/>
      <c r="BX145" s="84"/>
      <c r="BY145" s="84"/>
      <c r="BZ145" s="84"/>
      <c r="CA145" s="84"/>
      <c r="CB145" s="84"/>
      <c r="CC145" s="84"/>
      <c r="CD145" s="84"/>
      <c r="CE145" s="84"/>
      <c r="CF145" s="35"/>
      <c r="CG145" s="34"/>
      <c r="CH145" s="34"/>
      <c r="CI145" s="34"/>
      <c r="CJ145" s="34"/>
      <c r="CK145" s="34"/>
      <c r="CL145" s="34"/>
      <c r="CM145" s="34"/>
      <c r="CN145" s="34"/>
      <c r="CO145" s="35"/>
      <c r="CP145" s="35"/>
      <c r="CQ145" s="35"/>
      <c r="CR145" s="84"/>
      <c r="CS145" s="84"/>
      <c r="CT145" s="84"/>
      <c r="CU145" s="84"/>
      <c r="CV145" s="35"/>
      <c r="CW145" s="84"/>
      <c r="CX145" s="35"/>
      <c r="CY145" s="35"/>
      <c r="CZ145" s="35"/>
      <c r="DA145" s="35"/>
      <c r="DB145" s="35"/>
      <c r="DC145" s="84"/>
      <c r="DD145" s="35"/>
      <c r="DE145" s="35"/>
      <c r="DF145" s="35"/>
      <c r="DG145" s="35"/>
      <c r="DH145" s="35"/>
      <c r="DI145" s="84"/>
      <c r="DJ145" s="35"/>
      <c r="DK145" s="35"/>
      <c r="DL145" s="35"/>
      <c r="DM145" s="35"/>
      <c r="DN145" s="35"/>
      <c r="DO145" s="84"/>
      <c r="DP145" s="35"/>
      <c r="DQ145" s="35"/>
      <c r="DR145" s="35"/>
      <c r="DS145" s="35"/>
      <c r="DT145" s="35"/>
      <c r="DU145" s="84"/>
      <c r="DV145" s="35"/>
      <c r="DW145" s="35"/>
      <c r="DX145" s="35"/>
      <c r="DY145" s="35"/>
      <c r="DZ145" s="35"/>
      <c r="EA145" s="84"/>
      <c r="EB145" s="35"/>
      <c r="EC145" s="35"/>
      <c r="ED145" s="35"/>
      <c r="EE145" s="35"/>
      <c r="EF145" s="35"/>
      <c r="EG145" s="84"/>
      <c r="EH145" s="35"/>
      <c r="EI145" s="35"/>
      <c r="EJ145" s="35"/>
      <c r="EK145" s="35"/>
      <c r="EL145" s="35"/>
      <c r="EM145" s="84"/>
      <c r="EN145" s="35"/>
      <c r="EO145" s="35"/>
      <c r="EP145" s="35"/>
      <c r="EQ145" s="35"/>
      <c r="ER145" s="35"/>
      <c r="ES145" s="84"/>
      <c r="ET145" s="35"/>
      <c r="EU145" s="35"/>
      <c r="EV145" s="35"/>
      <c r="EW145" s="35"/>
      <c r="EX145" s="35"/>
      <c r="EY145" s="84"/>
      <c r="EZ145" s="35"/>
      <c r="FA145" s="35"/>
      <c r="FB145" s="35"/>
      <c r="FC145" s="35"/>
      <c r="FD145" s="35"/>
      <c r="FE145" s="84"/>
      <c r="FF145" s="84"/>
      <c r="FG145" s="35"/>
      <c r="FH145" s="35"/>
      <c r="FI145" s="35"/>
      <c r="FJ145" s="35"/>
      <c r="FK145" s="84"/>
      <c r="FL145" s="35"/>
      <c r="FM145" s="35"/>
      <c r="FN145" s="35"/>
      <c r="FO145" s="35"/>
      <c r="FP145" s="35"/>
      <c r="FQ145" s="35"/>
      <c r="FR145" s="35"/>
      <c r="FS145" s="35"/>
      <c r="FT145" s="35"/>
      <c r="FU145" s="35"/>
      <c r="FV145" s="35"/>
      <c r="FW145" s="35"/>
      <c r="FX145" s="35"/>
      <c r="FY145" s="84"/>
      <c r="FZ145" s="84"/>
      <c r="GA145" s="84"/>
      <c r="GB145" s="84"/>
      <c r="GC145" s="84"/>
      <c r="GD145" s="84"/>
      <c r="GE145" s="84"/>
      <c r="GF145" s="35"/>
      <c r="GG145" s="35"/>
      <c r="GH145" s="35"/>
      <c r="GI145" s="35"/>
      <c r="GJ145" s="55" t="s">
        <v>187</v>
      </c>
      <c r="GK145" s="55" t="s">
        <v>30</v>
      </c>
      <c r="GL145" s="55" t="s">
        <v>31</v>
      </c>
      <c r="GM145" s="55" t="s">
        <v>32</v>
      </c>
      <c r="GN145" s="56" t="s">
        <v>188</v>
      </c>
      <c r="GO145" s="56"/>
      <c r="GP145" s="56" t="s">
        <v>189</v>
      </c>
      <c r="GQ145" s="56" t="s">
        <v>190</v>
      </c>
      <c r="GR145" s="56" t="s">
        <v>191</v>
      </c>
      <c r="GS145" s="57" t="s">
        <v>192</v>
      </c>
      <c r="GT145" s="57" t="s">
        <v>193</v>
      </c>
      <c r="GU145" s="57" t="s">
        <v>194</v>
      </c>
      <c r="GV145" s="57" t="s">
        <v>194</v>
      </c>
      <c r="GW145" s="57" t="s">
        <v>195</v>
      </c>
      <c r="GX145" s="58" t="s">
        <v>196</v>
      </c>
      <c r="GY145" s="58" t="s">
        <v>197</v>
      </c>
      <c r="GZ145" s="58" t="s">
        <v>198</v>
      </c>
      <c r="HA145" s="58" t="s">
        <v>199</v>
      </c>
      <c r="HB145" s="58" t="s">
        <v>199</v>
      </c>
      <c r="HC145" s="42" t="s">
        <v>33</v>
      </c>
      <c r="HD145" s="42" t="s">
        <v>34</v>
      </c>
      <c r="HE145" s="42" t="s">
        <v>35</v>
      </c>
      <c r="HF145" s="42" t="s">
        <v>36</v>
      </c>
      <c r="HG145" s="59" t="s">
        <v>200</v>
      </c>
      <c r="HH145" s="59" t="s">
        <v>200</v>
      </c>
      <c r="HI145" s="59" t="s">
        <v>201</v>
      </c>
      <c r="HJ145" s="59" t="s">
        <v>202</v>
      </c>
      <c r="HK145" s="59" t="s">
        <v>203</v>
      </c>
      <c r="HL145" s="35"/>
      <c r="HM145" s="35"/>
      <c r="HN145" s="35"/>
      <c r="HO145" s="35"/>
      <c r="HP145" s="35"/>
      <c r="HQ145" s="35"/>
      <c r="HR145" s="35"/>
      <c r="HS145" s="35"/>
      <c r="HT145" s="84"/>
      <c r="HU145" s="84"/>
      <c r="HV145" s="84"/>
      <c r="HW145" s="84"/>
      <c r="HX145" s="84"/>
      <c r="HY145" s="84"/>
      <c r="HZ145" s="84"/>
      <c r="IA145" s="84"/>
      <c r="IB145" s="84"/>
      <c r="IC145" s="84"/>
      <c r="ID145" s="84"/>
      <c r="IE145" s="84"/>
      <c r="IF145" s="84"/>
      <c r="IG145" s="84"/>
      <c r="IH145" s="84"/>
      <c r="II145" s="84"/>
      <c r="IJ145" s="84"/>
      <c r="IK145" s="84"/>
      <c r="IL145" s="84"/>
      <c r="IM145" s="84"/>
      <c r="IN145" s="84"/>
      <c r="IO145" s="84"/>
      <c r="IP145" s="84"/>
      <c r="IQ145" s="84"/>
      <c r="IR145" s="84"/>
      <c r="IS145" s="84"/>
      <c r="IT145" s="84"/>
      <c r="IU145" s="84"/>
      <c r="IV145" s="84"/>
      <c r="IW145" s="84"/>
    </row>
    <row r="146" spans="2:257" s="28" customFormat="1" ht="14.4">
      <c r="B146" s="30">
        <f t="shared" si="255"/>
        <v>6.0799999999999983</v>
      </c>
      <c r="C146" s="38" t="s">
        <v>125</v>
      </c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  <c r="BM146" s="84"/>
      <c r="BN146" s="84"/>
      <c r="BO146" s="84"/>
      <c r="BP146" s="84"/>
      <c r="BQ146" s="84"/>
      <c r="BR146" s="84"/>
      <c r="BS146" s="84"/>
      <c r="BT146" s="84"/>
      <c r="BU146" s="84"/>
      <c r="BV146" s="84"/>
      <c r="BW146" s="84"/>
      <c r="BX146" s="84"/>
      <c r="BY146" s="84"/>
      <c r="BZ146" s="84"/>
      <c r="CA146" s="84"/>
      <c r="CB146" s="84"/>
      <c r="CC146" s="84"/>
      <c r="CD146" s="84"/>
      <c r="CE146" s="84"/>
      <c r="CF146" s="35"/>
      <c r="CG146" s="34"/>
      <c r="CH146" s="34"/>
      <c r="CI146" s="34"/>
      <c r="CJ146" s="34"/>
      <c r="CK146" s="34"/>
      <c r="CL146" s="34"/>
      <c r="CM146" s="34"/>
      <c r="CN146" s="34"/>
      <c r="CO146" s="35"/>
      <c r="CP146" s="35"/>
      <c r="CQ146" s="35"/>
      <c r="CR146" s="84"/>
      <c r="CS146" s="84"/>
      <c r="CT146" s="84"/>
      <c r="CU146" s="84"/>
      <c r="CV146" s="35"/>
      <c r="CW146" s="84"/>
      <c r="CX146" s="35"/>
      <c r="CY146" s="35"/>
      <c r="CZ146" s="35"/>
      <c r="DA146" s="35"/>
      <c r="DB146" s="35"/>
      <c r="DC146" s="84"/>
      <c r="DD146" s="35"/>
      <c r="DE146" s="35"/>
      <c r="DF146" s="35"/>
      <c r="DG146" s="35"/>
      <c r="DH146" s="35"/>
      <c r="DI146" s="84"/>
      <c r="DJ146" s="35"/>
      <c r="DK146" s="35"/>
      <c r="DL146" s="35"/>
      <c r="DM146" s="35"/>
      <c r="DN146" s="35"/>
      <c r="DO146" s="84"/>
      <c r="DP146" s="35"/>
      <c r="DQ146" s="35"/>
      <c r="DR146" s="35"/>
      <c r="DS146" s="35"/>
      <c r="DT146" s="35"/>
      <c r="DU146" s="84"/>
      <c r="DV146" s="35"/>
      <c r="DW146" s="35"/>
      <c r="DX146" s="35"/>
      <c r="DY146" s="35"/>
      <c r="DZ146" s="35"/>
      <c r="EA146" s="84"/>
      <c r="EB146" s="35"/>
      <c r="EC146" s="35"/>
      <c r="ED146" s="35"/>
      <c r="EE146" s="35"/>
      <c r="EF146" s="35"/>
      <c r="EG146" s="84"/>
      <c r="EH146" s="35"/>
      <c r="EI146" s="35"/>
      <c r="EJ146" s="35"/>
      <c r="EK146" s="35"/>
      <c r="EL146" s="35"/>
      <c r="EM146" s="84"/>
      <c r="EN146" s="35"/>
      <c r="EO146" s="35"/>
      <c r="EP146" s="35"/>
      <c r="EQ146" s="35"/>
      <c r="ER146" s="35"/>
      <c r="ES146" s="84"/>
      <c r="ET146" s="35"/>
      <c r="EU146" s="35"/>
      <c r="EV146" s="35"/>
      <c r="EW146" s="35"/>
      <c r="EX146" s="35"/>
      <c r="EY146" s="84"/>
      <c r="EZ146" s="35"/>
      <c r="FA146" s="35"/>
      <c r="FB146" s="35"/>
      <c r="FC146" s="35"/>
      <c r="FD146" s="35"/>
      <c r="FE146" s="84"/>
      <c r="FF146" s="84"/>
      <c r="FG146" s="35"/>
      <c r="FH146" s="35"/>
      <c r="FI146" s="35"/>
      <c r="FJ146" s="35"/>
      <c r="FK146" s="84"/>
      <c r="FL146" s="35"/>
      <c r="FM146" s="35"/>
      <c r="FN146" s="35"/>
      <c r="FO146" s="35"/>
      <c r="FP146" s="35"/>
      <c r="FQ146" s="35"/>
      <c r="FR146" s="35"/>
      <c r="FS146" s="35"/>
      <c r="FT146" s="35"/>
      <c r="FU146" s="35"/>
      <c r="FV146" s="35"/>
      <c r="FW146" s="35"/>
      <c r="FX146" s="35"/>
      <c r="FY146" s="84"/>
      <c r="FZ146" s="84"/>
      <c r="GA146" s="84"/>
      <c r="GB146" s="84"/>
      <c r="GC146" s="84"/>
      <c r="GD146" s="84"/>
      <c r="GE146" s="84"/>
      <c r="GF146" s="35"/>
      <c r="GG146" s="35"/>
      <c r="GH146" s="35"/>
      <c r="GI146" s="35"/>
      <c r="GJ146" s="55"/>
      <c r="GK146" s="55" t="s">
        <v>187</v>
      </c>
      <c r="GL146" s="55" t="s">
        <v>30</v>
      </c>
      <c r="GM146" s="55" t="s">
        <v>31</v>
      </c>
      <c r="GN146" s="55" t="s">
        <v>32</v>
      </c>
      <c r="GO146" s="56"/>
      <c r="GP146" s="56" t="s">
        <v>188</v>
      </c>
      <c r="GQ146" s="56" t="s">
        <v>189</v>
      </c>
      <c r="GR146" s="56" t="s">
        <v>190</v>
      </c>
      <c r="GS146" s="56" t="s">
        <v>191</v>
      </c>
      <c r="GT146" s="57" t="s">
        <v>192</v>
      </c>
      <c r="GU146" s="57" t="s">
        <v>193</v>
      </c>
      <c r="GV146" s="57" t="s">
        <v>193</v>
      </c>
      <c r="GW146" s="57" t="s">
        <v>194</v>
      </c>
      <c r="GX146" s="57" t="s">
        <v>195</v>
      </c>
      <c r="GY146" s="58" t="s">
        <v>196</v>
      </c>
      <c r="GZ146" s="58" t="s">
        <v>197</v>
      </c>
      <c r="HA146" s="58" t="s">
        <v>198</v>
      </c>
      <c r="HB146" s="58" t="s">
        <v>198</v>
      </c>
      <c r="HC146" s="58" t="s">
        <v>199</v>
      </c>
      <c r="HD146" s="42" t="s">
        <v>33</v>
      </c>
      <c r="HE146" s="42" t="s">
        <v>34</v>
      </c>
      <c r="HF146" s="42" t="s">
        <v>35</v>
      </c>
      <c r="HG146" s="42" t="s">
        <v>36</v>
      </c>
      <c r="HH146" s="42" t="s">
        <v>36</v>
      </c>
      <c r="HI146" s="59" t="s">
        <v>200</v>
      </c>
      <c r="HJ146" s="59" t="s">
        <v>201</v>
      </c>
      <c r="HK146" s="59" t="s">
        <v>202</v>
      </c>
      <c r="HL146" s="59" t="s">
        <v>203</v>
      </c>
      <c r="HM146" s="35"/>
      <c r="HN146" s="35"/>
      <c r="HO146" s="35"/>
      <c r="HP146" s="35"/>
      <c r="HQ146" s="35"/>
      <c r="HR146" s="35"/>
      <c r="HS146" s="35"/>
      <c r="HT146" s="84"/>
      <c r="HU146" s="84"/>
      <c r="HV146" s="84"/>
      <c r="HW146" s="84"/>
      <c r="HX146" s="84"/>
      <c r="HY146" s="84"/>
      <c r="HZ146" s="84"/>
      <c r="IA146" s="84"/>
      <c r="IB146" s="84"/>
      <c r="IC146" s="84"/>
      <c r="ID146" s="84"/>
      <c r="IE146" s="84"/>
      <c r="IF146" s="84"/>
      <c r="IG146" s="84"/>
      <c r="IH146" s="84"/>
      <c r="II146" s="84"/>
      <c r="IJ146" s="84"/>
      <c r="IK146" s="84"/>
      <c r="IL146" s="84"/>
      <c r="IM146" s="84"/>
      <c r="IN146" s="84"/>
      <c r="IO146" s="84"/>
      <c r="IP146" s="84"/>
      <c r="IQ146" s="84"/>
      <c r="IR146" s="84"/>
      <c r="IS146" s="84"/>
      <c r="IT146" s="84"/>
      <c r="IU146" s="84"/>
      <c r="IV146" s="84"/>
      <c r="IW146" s="84"/>
    </row>
    <row r="147" spans="2:257" s="28" customFormat="1" ht="14.4">
      <c r="B147" s="30">
        <f t="shared" si="255"/>
        <v>6.0899999999999981</v>
      </c>
      <c r="C147" s="38" t="s">
        <v>126</v>
      </c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35"/>
      <c r="BB147" s="35"/>
      <c r="BC147" s="84"/>
      <c r="BD147" s="84"/>
      <c r="BE147" s="84"/>
      <c r="BF147" s="84"/>
      <c r="BG147" s="84"/>
      <c r="BH147" s="84"/>
      <c r="BI147" s="84"/>
      <c r="BJ147" s="84"/>
      <c r="BK147" s="84"/>
      <c r="BL147" s="84"/>
      <c r="BM147" s="84"/>
      <c r="BN147" s="84"/>
      <c r="BO147" s="84"/>
      <c r="BP147" s="84"/>
      <c r="BQ147" s="84"/>
      <c r="BR147" s="84"/>
      <c r="BS147" s="84"/>
      <c r="BT147" s="84"/>
      <c r="BU147" s="84"/>
      <c r="BV147" s="84"/>
      <c r="BW147" s="84"/>
      <c r="BX147" s="84"/>
      <c r="BY147" s="84"/>
      <c r="BZ147" s="84"/>
      <c r="CA147" s="84"/>
      <c r="CB147" s="84"/>
      <c r="CC147" s="84"/>
      <c r="CD147" s="84"/>
      <c r="CE147" s="84"/>
      <c r="CF147" s="35"/>
      <c r="CG147" s="34"/>
      <c r="CH147" s="34"/>
      <c r="CI147" s="34"/>
      <c r="CJ147" s="34"/>
      <c r="CK147" s="34"/>
      <c r="CL147" s="34"/>
      <c r="CM147" s="34"/>
      <c r="CN147" s="34"/>
      <c r="CO147" s="35"/>
      <c r="CP147" s="35"/>
      <c r="CQ147" s="35"/>
      <c r="CR147" s="84"/>
      <c r="CS147" s="84"/>
      <c r="CT147" s="84"/>
      <c r="CU147" s="84"/>
      <c r="CV147" s="35"/>
      <c r="CW147" s="84"/>
      <c r="CX147" s="35"/>
      <c r="CY147" s="35"/>
      <c r="CZ147" s="35"/>
      <c r="DA147" s="35"/>
      <c r="DB147" s="35"/>
      <c r="DC147" s="84"/>
      <c r="DD147" s="35"/>
      <c r="DE147" s="35"/>
      <c r="DF147" s="35"/>
      <c r="DG147" s="35"/>
      <c r="DH147" s="35"/>
      <c r="DI147" s="84"/>
      <c r="DJ147" s="35"/>
      <c r="DK147" s="35"/>
      <c r="DL147" s="35"/>
      <c r="DM147" s="35"/>
      <c r="DN147" s="35"/>
      <c r="DO147" s="84"/>
      <c r="DP147" s="35"/>
      <c r="DQ147" s="35"/>
      <c r="DR147" s="35"/>
      <c r="DS147" s="35"/>
      <c r="DT147" s="35"/>
      <c r="DU147" s="84"/>
      <c r="DV147" s="35"/>
      <c r="DW147" s="35"/>
      <c r="DX147" s="35"/>
      <c r="DY147" s="35"/>
      <c r="DZ147" s="35"/>
      <c r="EA147" s="84"/>
      <c r="EB147" s="35"/>
      <c r="EC147" s="35"/>
      <c r="ED147" s="35"/>
      <c r="EE147" s="35"/>
      <c r="EF147" s="35"/>
      <c r="EG147" s="84"/>
      <c r="EH147" s="35"/>
      <c r="EI147" s="35"/>
      <c r="EJ147" s="35"/>
      <c r="EK147" s="35"/>
      <c r="EL147" s="35"/>
      <c r="EM147" s="84"/>
      <c r="EN147" s="35"/>
      <c r="EO147" s="35"/>
      <c r="EP147" s="35"/>
      <c r="EQ147" s="35"/>
      <c r="ER147" s="35"/>
      <c r="ES147" s="84"/>
      <c r="ET147" s="35"/>
      <c r="EU147" s="35"/>
      <c r="EV147" s="35"/>
      <c r="EW147" s="35"/>
      <c r="EX147" s="35"/>
      <c r="EY147" s="84"/>
      <c r="EZ147" s="35"/>
      <c r="FA147" s="35"/>
      <c r="FB147" s="35"/>
      <c r="FC147" s="35"/>
      <c r="FD147" s="35"/>
      <c r="FE147" s="84"/>
      <c r="FF147" s="84"/>
      <c r="FG147" s="35"/>
      <c r="FH147" s="35"/>
      <c r="FI147" s="35"/>
      <c r="FJ147" s="35"/>
      <c r="FK147" s="84"/>
      <c r="FL147" s="35"/>
      <c r="FM147" s="35"/>
      <c r="FN147" s="35"/>
      <c r="FO147" s="35"/>
      <c r="FP147" s="35"/>
      <c r="FQ147" s="35"/>
      <c r="FR147" s="35"/>
      <c r="FS147" s="35"/>
      <c r="FT147" s="35"/>
      <c r="FU147" s="35"/>
      <c r="FV147" s="35"/>
      <c r="FW147" s="35"/>
      <c r="FX147" s="35"/>
      <c r="FY147" s="84"/>
      <c r="FZ147" s="84"/>
      <c r="GA147" s="84"/>
      <c r="GB147" s="84"/>
      <c r="GC147" s="84"/>
      <c r="GD147" s="84"/>
      <c r="GE147" s="84"/>
      <c r="GF147" s="35"/>
      <c r="GG147" s="35"/>
      <c r="GH147" s="35"/>
      <c r="GI147" s="35"/>
      <c r="GJ147" s="35"/>
      <c r="GK147" s="84"/>
      <c r="GL147" s="55" t="s">
        <v>187</v>
      </c>
      <c r="GM147" s="55" t="s">
        <v>30</v>
      </c>
      <c r="GN147" s="55" t="s">
        <v>31</v>
      </c>
      <c r="GO147" s="55"/>
      <c r="GP147" s="55" t="s">
        <v>32</v>
      </c>
      <c r="GQ147" s="56" t="s">
        <v>188</v>
      </c>
      <c r="GR147" s="56" t="s">
        <v>189</v>
      </c>
      <c r="GS147" s="56" t="s">
        <v>190</v>
      </c>
      <c r="GT147" s="56" t="s">
        <v>191</v>
      </c>
      <c r="GU147" s="57" t="s">
        <v>192</v>
      </c>
      <c r="GV147" s="57" t="s">
        <v>192</v>
      </c>
      <c r="GW147" s="57" t="s">
        <v>193</v>
      </c>
      <c r="GX147" s="57" t="s">
        <v>194</v>
      </c>
      <c r="GY147" s="57" t="s">
        <v>195</v>
      </c>
      <c r="GZ147" s="58" t="s">
        <v>196</v>
      </c>
      <c r="HA147" s="58" t="s">
        <v>197</v>
      </c>
      <c r="HB147" s="58" t="s">
        <v>197</v>
      </c>
      <c r="HC147" s="58" t="s">
        <v>198</v>
      </c>
      <c r="HD147" s="58" t="s">
        <v>199</v>
      </c>
      <c r="HE147" s="42" t="s">
        <v>33</v>
      </c>
      <c r="HF147" s="42" t="s">
        <v>34</v>
      </c>
      <c r="HG147" s="42" t="s">
        <v>35</v>
      </c>
      <c r="HH147" s="42" t="s">
        <v>35</v>
      </c>
      <c r="HI147" s="42" t="s">
        <v>36</v>
      </c>
      <c r="HJ147" s="59" t="s">
        <v>200</v>
      </c>
      <c r="HK147" s="59" t="s">
        <v>201</v>
      </c>
      <c r="HL147" s="59" t="s">
        <v>202</v>
      </c>
      <c r="HM147" s="59" t="s">
        <v>203</v>
      </c>
      <c r="HN147" s="59" t="s">
        <v>203</v>
      </c>
      <c r="HO147" s="35"/>
      <c r="HP147" s="35"/>
      <c r="HQ147" s="35"/>
      <c r="HR147" s="35"/>
      <c r="HS147" s="35"/>
      <c r="HT147" s="84"/>
      <c r="HU147" s="84"/>
      <c r="HV147" s="84"/>
      <c r="HW147" s="84"/>
      <c r="HX147" s="84"/>
      <c r="HY147" s="84"/>
      <c r="HZ147" s="84"/>
      <c r="IA147" s="84"/>
      <c r="IB147" s="84"/>
      <c r="IC147" s="84"/>
      <c r="ID147" s="84"/>
      <c r="IE147" s="84"/>
      <c r="IF147" s="84"/>
      <c r="IG147" s="84"/>
      <c r="IH147" s="84"/>
      <c r="II147" s="84"/>
      <c r="IJ147" s="84"/>
      <c r="IK147" s="84"/>
      <c r="IL147" s="84"/>
      <c r="IM147" s="84"/>
      <c r="IN147" s="84"/>
      <c r="IO147" s="84"/>
      <c r="IP147" s="84"/>
      <c r="IQ147" s="84"/>
      <c r="IR147" s="84"/>
      <c r="IS147" s="84"/>
      <c r="IT147" s="84"/>
      <c r="IU147" s="84"/>
      <c r="IV147" s="84"/>
      <c r="IW147" s="84"/>
    </row>
    <row r="148" spans="2:257" s="28" customFormat="1" ht="14.4">
      <c r="B148" s="30">
        <f t="shared" si="255"/>
        <v>6.0999999999999979</v>
      </c>
      <c r="C148" s="38" t="s">
        <v>127</v>
      </c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  <c r="BC148" s="84"/>
      <c r="BD148" s="84"/>
      <c r="BE148" s="84"/>
      <c r="BF148" s="84"/>
      <c r="BG148" s="84"/>
      <c r="BH148" s="84"/>
      <c r="BI148" s="84"/>
      <c r="BJ148" s="84"/>
      <c r="BK148" s="84"/>
      <c r="BL148" s="84"/>
      <c r="BM148" s="84"/>
      <c r="BN148" s="84"/>
      <c r="BO148" s="84"/>
      <c r="BP148" s="84"/>
      <c r="BQ148" s="84"/>
      <c r="BR148" s="84"/>
      <c r="BS148" s="84"/>
      <c r="BT148" s="84"/>
      <c r="BU148" s="84"/>
      <c r="BV148" s="84"/>
      <c r="BW148" s="84"/>
      <c r="BX148" s="84"/>
      <c r="BY148" s="84"/>
      <c r="BZ148" s="84"/>
      <c r="CA148" s="84"/>
      <c r="CB148" s="84"/>
      <c r="CC148" s="84"/>
      <c r="CD148" s="84"/>
      <c r="CE148" s="84"/>
      <c r="CF148" s="35"/>
      <c r="CG148" s="34"/>
      <c r="CH148" s="34"/>
      <c r="CI148" s="34"/>
      <c r="CJ148" s="34"/>
      <c r="CK148" s="34"/>
      <c r="CL148" s="34"/>
      <c r="CM148" s="34"/>
      <c r="CN148" s="34"/>
      <c r="CO148" s="35"/>
      <c r="CP148" s="35"/>
      <c r="CQ148" s="35"/>
      <c r="CR148" s="84"/>
      <c r="CS148" s="84"/>
      <c r="CT148" s="84"/>
      <c r="CU148" s="84"/>
      <c r="CV148" s="35"/>
      <c r="CW148" s="84"/>
      <c r="CX148" s="35"/>
      <c r="CY148" s="35"/>
      <c r="CZ148" s="35"/>
      <c r="DA148" s="35"/>
      <c r="DB148" s="35"/>
      <c r="DC148" s="84"/>
      <c r="DD148" s="35"/>
      <c r="DE148" s="35"/>
      <c r="DF148" s="35"/>
      <c r="DG148" s="35"/>
      <c r="DH148" s="35"/>
      <c r="DI148" s="84"/>
      <c r="DJ148" s="35"/>
      <c r="DK148" s="35"/>
      <c r="DL148" s="35"/>
      <c r="DM148" s="35"/>
      <c r="DN148" s="35"/>
      <c r="DO148" s="84"/>
      <c r="DP148" s="35"/>
      <c r="DQ148" s="35"/>
      <c r="DR148" s="35"/>
      <c r="DS148" s="35"/>
      <c r="DT148" s="35"/>
      <c r="DU148" s="84"/>
      <c r="DV148" s="35"/>
      <c r="DW148" s="35"/>
      <c r="DX148" s="35"/>
      <c r="DY148" s="35"/>
      <c r="DZ148" s="35"/>
      <c r="EA148" s="84"/>
      <c r="EB148" s="35"/>
      <c r="EC148" s="35"/>
      <c r="ED148" s="35"/>
      <c r="EE148" s="35"/>
      <c r="EF148" s="35"/>
      <c r="EG148" s="84"/>
      <c r="EH148" s="35"/>
      <c r="EI148" s="35"/>
      <c r="EJ148" s="35"/>
      <c r="EK148" s="35"/>
      <c r="EL148" s="35"/>
      <c r="EM148" s="84"/>
      <c r="EN148" s="35"/>
      <c r="EO148" s="35"/>
      <c r="EP148" s="35"/>
      <c r="EQ148" s="35"/>
      <c r="ER148" s="35"/>
      <c r="ES148" s="84"/>
      <c r="ET148" s="35"/>
      <c r="EU148" s="35"/>
      <c r="EV148" s="35"/>
      <c r="EW148" s="35"/>
      <c r="EX148" s="35"/>
      <c r="EY148" s="84"/>
      <c r="EZ148" s="35"/>
      <c r="FA148" s="35"/>
      <c r="FB148" s="35"/>
      <c r="FC148" s="35"/>
      <c r="FD148" s="35"/>
      <c r="FE148" s="84"/>
      <c r="FF148" s="84"/>
      <c r="FG148" s="35"/>
      <c r="FH148" s="35"/>
      <c r="FI148" s="35"/>
      <c r="FJ148" s="35"/>
      <c r="FK148" s="84"/>
      <c r="FL148" s="35"/>
      <c r="FM148" s="35"/>
      <c r="FN148" s="35"/>
      <c r="FO148" s="35"/>
      <c r="FP148" s="35"/>
      <c r="FQ148" s="35"/>
      <c r="FR148" s="35"/>
      <c r="FS148" s="35"/>
      <c r="FT148" s="35"/>
      <c r="FU148" s="35"/>
      <c r="FV148" s="35"/>
      <c r="FW148" s="35"/>
      <c r="FX148" s="35"/>
      <c r="FY148" s="84"/>
      <c r="FZ148" s="84"/>
      <c r="GA148" s="84"/>
      <c r="GB148" s="84"/>
      <c r="GC148" s="84"/>
      <c r="GD148" s="84"/>
      <c r="GE148" s="84"/>
      <c r="GF148" s="35"/>
      <c r="GG148" s="35"/>
      <c r="GH148" s="35"/>
      <c r="GI148" s="35"/>
      <c r="GJ148" s="35"/>
      <c r="GK148" s="84"/>
      <c r="GL148" s="35"/>
      <c r="GM148" s="55" t="s">
        <v>187</v>
      </c>
      <c r="GN148" s="55" t="s">
        <v>30</v>
      </c>
      <c r="GO148" s="55"/>
      <c r="GP148" s="55" t="s">
        <v>31</v>
      </c>
      <c r="GQ148" s="55" t="s">
        <v>32</v>
      </c>
      <c r="GR148" s="56" t="s">
        <v>188</v>
      </c>
      <c r="GS148" s="56" t="s">
        <v>189</v>
      </c>
      <c r="GT148" s="56" t="s">
        <v>190</v>
      </c>
      <c r="GU148" s="56" t="s">
        <v>191</v>
      </c>
      <c r="GV148" s="56" t="s">
        <v>191</v>
      </c>
      <c r="GW148" s="57" t="s">
        <v>192</v>
      </c>
      <c r="GX148" s="57" t="s">
        <v>193</v>
      </c>
      <c r="GY148" s="57" t="s">
        <v>194</v>
      </c>
      <c r="GZ148" s="57" t="s">
        <v>195</v>
      </c>
      <c r="HA148" s="58" t="s">
        <v>196</v>
      </c>
      <c r="HB148" s="58" t="s">
        <v>196</v>
      </c>
      <c r="HC148" s="58" t="s">
        <v>197</v>
      </c>
      <c r="HD148" s="58" t="s">
        <v>198</v>
      </c>
      <c r="HE148" s="58" t="s">
        <v>199</v>
      </c>
      <c r="HF148" s="42" t="s">
        <v>33</v>
      </c>
      <c r="HG148" s="42" t="s">
        <v>34</v>
      </c>
      <c r="HH148" s="42" t="s">
        <v>34</v>
      </c>
      <c r="HI148" s="42" t="s">
        <v>35</v>
      </c>
      <c r="HJ148" s="42" t="s">
        <v>36</v>
      </c>
      <c r="HK148" s="59" t="s">
        <v>200</v>
      </c>
      <c r="HL148" s="59" t="s">
        <v>201</v>
      </c>
      <c r="HM148" s="59" t="s">
        <v>202</v>
      </c>
      <c r="HN148" s="59" t="s">
        <v>202</v>
      </c>
      <c r="HO148" s="59" t="s">
        <v>203</v>
      </c>
      <c r="HP148" s="35"/>
      <c r="HQ148" s="35"/>
      <c r="HR148" s="35"/>
      <c r="HS148" s="35"/>
      <c r="HT148" s="35"/>
      <c r="HU148" s="84"/>
      <c r="HV148" s="84"/>
      <c r="HW148" s="84"/>
      <c r="HX148" s="84"/>
      <c r="HY148" s="84"/>
      <c r="HZ148" s="84"/>
      <c r="IA148" s="84"/>
      <c r="IB148" s="84"/>
      <c r="IC148" s="84"/>
      <c r="ID148" s="84"/>
      <c r="IE148" s="84"/>
      <c r="IF148" s="84"/>
      <c r="IG148" s="84"/>
      <c r="IH148" s="84"/>
      <c r="II148" s="84"/>
      <c r="IJ148" s="84"/>
      <c r="IK148" s="84"/>
      <c r="IL148" s="84"/>
      <c r="IM148" s="84"/>
      <c r="IN148" s="84"/>
      <c r="IO148" s="84"/>
      <c r="IP148" s="84"/>
      <c r="IQ148" s="84"/>
      <c r="IR148" s="84"/>
      <c r="IS148" s="84"/>
      <c r="IT148" s="84"/>
      <c r="IU148" s="84"/>
      <c r="IV148" s="84"/>
      <c r="IW148" s="84"/>
    </row>
    <row r="149" spans="2:257" s="28" customFormat="1" ht="14.4">
      <c r="B149" s="30">
        <f t="shared" si="255"/>
        <v>6.1099999999999977</v>
      </c>
      <c r="C149" s="38" t="s">
        <v>128</v>
      </c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35"/>
      <c r="BB149" s="35"/>
      <c r="BC149" s="84"/>
      <c r="BD149" s="84"/>
      <c r="BE149" s="84"/>
      <c r="BF149" s="84"/>
      <c r="BG149" s="84"/>
      <c r="BH149" s="84"/>
      <c r="BI149" s="84"/>
      <c r="BJ149" s="84"/>
      <c r="BK149" s="84"/>
      <c r="BL149" s="84"/>
      <c r="BM149" s="84"/>
      <c r="BN149" s="84"/>
      <c r="BO149" s="84"/>
      <c r="BP149" s="84"/>
      <c r="BQ149" s="84"/>
      <c r="BR149" s="84"/>
      <c r="BS149" s="84"/>
      <c r="BT149" s="84"/>
      <c r="BU149" s="84"/>
      <c r="BV149" s="84"/>
      <c r="BW149" s="84"/>
      <c r="BX149" s="84"/>
      <c r="BY149" s="84"/>
      <c r="BZ149" s="84"/>
      <c r="CA149" s="84"/>
      <c r="CB149" s="84"/>
      <c r="CC149" s="84"/>
      <c r="CD149" s="84"/>
      <c r="CE149" s="84"/>
      <c r="CF149" s="35"/>
      <c r="CG149" s="34"/>
      <c r="CH149" s="34"/>
      <c r="CI149" s="34"/>
      <c r="CJ149" s="34"/>
      <c r="CK149" s="34"/>
      <c r="CL149" s="34"/>
      <c r="CM149" s="34"/>
      <c r="CN149" s="34"/>
      <c r="CO149" s="35"/>
      <c r="CP149" s="35"/>
      <c r="CQ149" s="35"/>
      <c r="CR149" s="84"/>
      <c r="CS149" s="84"/>
      <c r="CT149" s="84"/>
      <c r="CU149" s="84"/>
      <c r="CV149" s="35"/>
      <c r="CW149" s="84"/>
      <c r="CX149" s="35"/>
      <c r="CY149" s="35"/>
      <c r="CZ149" s="35"/>
      <c r="DA149" s="35"/>
      <c r="DB149" s="35"/>
      <c r="DC149" s="84"/>
      <c r="DD149" s="35"/>
      <c r="DE149" s="35"/>
      <c r="DF149" s="35"/>
      <c r="DG149" s="35"/>
      <c r="DH149" s="35"/>
      <c r="DI149" s="84"/>
      <c r="DJ149" s="35"/>
      <c r="DK149" s="35"/>
      <c r="DL149" s="35"/>
      <c r="DM149" s="35"/>
      <c r="DN149" s="35"/>
      <c r="DO149" s="84"/>
      <c r="DP149" s="35"/>
      <c r="DQ149" s="35"/>
      <c r="DR149" s="35"/>
      <c r="DS149" s="35"/>
      <c r="DT149" s="35"/>
      <c r="DU149" s="84"/>
      <c r="DV149" s="35"/>
      <c r="DW149" s="35"/>
      <c r="DX149" s="35"/>
      <c r="DY149" s="35"/>
      <c r="DZ149" s="35"/>
      <c r="EA149" s="84"/>
      <c r="EB149" s="35"/>
      <c r="EC149" s="35"/>
      <c r="ED149" s="35"/>
      <c r="EE149" s="35"/>
      <c r="EF149" s="35"/>
      <c r="EG149" s="84"/>
      <c r="EH149" s="35"/>
      <c r="EI149" s="35"/>
      <c r="EJ149" s="35"/>
      <c r="EK149" s="35"/>
      <c r="EL149" s="35"/>
      <c r="EM149" s="84"/>
      <c r="EN149" s="35"/>
      <c r="EO149" s="35"/>
      <c r="EP149" s="35"/>
      <c r="EQ149" s="35"/>
      <c r="ER149" s="35"/>
      <c r="ES149" s="84"/>
      <c r="ET149" s="35"/>
      <c r="EU149" s="35"/>
      <c r="EV149" s="35"/>
      <c r="EW149" s="35"/>
      <c r="EX149" s="35"/>
      <c r="EY149" s="84"/>
      <c r="EZ149" s="35"/>
      <c r="FA149" s="35"/>
      <c r="FB149" s="35"/>
      <c r="FC149" s="35"/>
      <c r="FD149" s="35"/>
      <c r="FE149" s="84"/>
      <c r="FF149" s="84"/>
      <c r="FG149" s="35"/>
      <c r="FH149" s="35"/>
      <c r="FI149" s="35"/>
      <c r="FJ149" s="35"/>
      <c r="FK149" s="84"/>
      <c r="FL149" s="35"/>
      <c r="FM149" s="35"/>
      <c r="FN149" s="35"/>
      <c r="FO149" s="35"/>
      <c r="FP149" s="35"/>
      <c r="FQ149" s="35"/>
      <c r="FR149" s="35"/>
      <c r="FS149" s="35"/>
      <c r="FT149" s="35"/>
      <c r="FU149" s="35"/>
      <c r="FV149" s="35"/>
      <c r="FW149" s="35"/>
      <c r="FX149" s="35"/>
      <c r="FY149" s="84"/>
      <c r="FZ149" s="84"/>
      <c r="GA149" s="84"/>
      <c r="GB149" s="84"/>
      <c r="GC149" s="84"/>
      <c r="GD149" s="84"/>
      <c r="GE149" s="84"/>
      <c r="GF149" s="35"/>
      <c r="GG149" s="35"/>
      <c r="GH149" s="35"/>
      <c r="GI149" s="35"/>
      <c r="GJ149" s="35"/>
      <c r="GK149" s="84"/>
      <c r="GL149" s="35"/>
      <c r="GM149" s="35"/>
      <c r="GN149" s="55" t="s">
        <v>187</v>
      </c>
      <c r="GO149" s="55"/>
      <c r="GP149" s="55" t="s">
        <v>30</v>
      </c>
      <c r="GQ149" s="55" t="s">
        <v>31</v>
      </c>
      <c r="GR149" s="55" t="s">
        <v>32</v>
      </c>
      <c r="GS149" s="56" t="s">
        <v>188</v>
      </c>
      <c r="GT149" s="56" t="s">
        <v>189</v>
      </c>
      <c r="GU149" s="56" t="s">
        <v>190</v>
      </c>
      <c r="GV149" s="56" t="s">
        <v>190</v>
      </c>
      <c r="GW149" s="56" t="s">
        <v>191</v>
      </c>
      <c r="GX149" s="57" t="s">
        <v>192</v>
      </c>
      <c r="GY149" s="57" t="s">
        <v>193</v>
      </c>
      <c r="GZ149" s="57" t="s">
        <v>194</v>
      </c>
      <c r="HA149" s="57" t="s">
        <v>195</v>
      </c>
      <c r="HB149" s="57" t="s">
        <v>195</v>
      </c>
      <c r="HC149" s="58" t="s">
        <v>196</v>
      </c>
      <c r="HD149" s="58" t="s">
        <v>197</v>
      </c>
      <c r="HE149" s="58" t="s">
        <v>198</v>
      </c>
      <c r="HF149" s="58" t="s">
        <v>199</v>
      </c>
      <c r="HG149" s="42" t="s">
        <v>33</v>
      </c>
      <c r="HH149" s="42" t="s">
        <v>33</v>
      </c>
      <c r="HI149" s="42" t="s">
        <v>34</v>
      </c>
      <c r="HJ149" s="42" t="s">
        <v>35</v>
      </c>
      <c r="HK149" s="42" t="s">
        <v>36</v>
      </c>
      <c r="HL149" s="59" t="s">
        <v>200</v>
      </c>
      <c r="HM149" s="59" t="s">
        <v>201</v>
      </c>
      <c r="HN149" s="59" t="s">
        <v>201</v>
      </c>
      <c r="HO149" s="59" t="s">
        <v>202</v>
      </c>
      <c r="HP149" s="59" t="s">
        <v>203</v>
      </c>
      <c r="HQ149" s="35"/>
      <c r="HR149" s="35"/>
      <c r="HS149" s="35"/>
      <c r="HT149" s="35"/>
      <c r="HU149" s="84"/>
      <c r="HV149" s="84"/>
      <c r="HW149" s="84"/>
      <c r="HX149" s="84"/>
      <c r="HY149" s="84"/>
      <c r="HZ149" s="84"/>
      <c r="IA149" s="84"/>
      <c r="IB149" s="84"/>
      <c r="IC149" s="84"/>
      <c r="ID149" s="84"/>
      <c r="IE149" s="84"/>
      <c r="IF149" s="84"/>
      <c r="IG149" s="84"/>
      <c r="IH149" s="84"/>
      <c r="II149" s="84"/>
      <c r="IJ149" s="84"/>
      <c r="IK149" s="84"/>
      <c r="IL149" s="84"/>
      <c r="IM149" s="84"/>
      <c r="IN149" s="84"/>
      <c r="IO149" s="84"/>
      <c r="IP149" s="84"/>
      <c r="IQ149" s="84"/>
      <c r="IR149" s="84"/>
      <c r="IS149" s="84"/>
      <c r="IT149" s="84"/>
      <c r="IU149" s="84"/>
      <c r="IV149" s="84"/>
      <c r="IW149" s="84"/>
    </row>
    <row r="150" spans="2:257" s="28" customFormat="1" ht="14.4">
      <c r="B150" s="30">
        <f t="shared" si="255"/>
        <v>6.1199999999999974</v>
      </c>
      <c r="C150" s="44" t="s">
        <v>129</v>
      </c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  <c r="BM150" s="84"/>
      <c r="BN150" s="84"/>
      <c r="BO150" s="84"/>
      <c r="BP150" s="84"/>
      <c r="BQ150" s="84"/>
      <c r="BR150" s="84"/>
      <c r="BS150" s="84"/>
      <c r="BT150" s="84"/>
      <c r="BU150" s="84"/>
      <c r="BV150" s="84"/>
      <c r="BW150" s="84"/>
      <c r="BX150" s="84"/>
      <c r="BY150" s="84"/>
      <c r="BZ150" s="84"/>
      <c r="CA150" s="84"/>
      <c r="CB150" s="84"/>
      <c r="CC150" s="84"/>
      <c r="CD150" s="84"/>
      <c r="CE150" s="84"/>
      <c r="CF150" s="35"/>
      <c r="CG150" s="34"/>
      <c r="CH150" s="34"/>
      <c r="CI150" s="34"/>
      <c r="CJ150" s="34"/>
      <c r="CK150" s="34"/>
      <c r="CL150" s="34"/>
      <c r="CM150" s="34"/>
      <c r="CN150" s="34"/>
      <c r="CO150" s="35"/>
      <c r="CP150" s="35"/>
      <c r="CQ150" s="35"/>
      <c r="CR150" s="84"/>
      <c r="CS150" s="84"/>
      <c r="CT150" s="84"/>
      <c r="CU150" s="84"/>
      <c r="CV150" s="35"/>
      <c r="CW150" s="84"/>
      <c r="CX150" s="35"/>
      <c r="CY150" s="35"/>
      <c r="CZ150" s="35"/>
      <c r="DA150" s="35"/>
      <c r="DB150" s="35"/>
      <c r="DC150" s="84"/>
      <c r="DD150" s="35"/>
      <c r="DE150" s="35"/>
      <c r="DF150" s="35"/>
      <c r="DG150" s="35"/>
      <c r="DH150" s="35"/>
      <c r="DI150" s="84"/>
      <c r="DJ150" s="35"/>
      <c r="DK150" s="35"/>
      <c r="DL150" s="35"/>
      <c r="DM150" s="35"/>
      <c r="DN150" s="35"/>
      <c r="DO150" s="84"/>
      <c r="DP150" s="35"/>
      <c r="DQ150" s="35"/>
      <c r="DR150" s="35"/>
      <c r="DS150" s="35"/>
      <c r="DT150" s="35"/>
      <c r="DU150" s="84"/>
      <c r="DV150" s="35"/>
      <c r="DW150" s="35"/>
      <c r="DX150" s="35"/>
      <c r="DY150" s="35"/>
      <c r="DZ150" s="35"/>
      <c r="EA150" s="84"/>
      <c r="EB150" s="35"/>
      <c r="EC150" s="35"/>
      <c r="ED150" s="35"/>
      <c r="EE150" s="35"/>
      <c r="EF150" s="35"/>
      <c r="EG150" s="84"/>
      <c r="EH150" s="35"/>
      <c r="EI150" s="35"/>
      <c r="EJ150" s="35"/>
      <c r="EK150" s="35"/>
      <c r="EL150" s="35"/>
      <c r="EM150" s="84"/>
      <c r="EN150" s="35"/>
      <c r="EO150" s="35"/>
      <c r="EP150" s="35"/>
      <c r="EQ150" s="35"/>
      <c r="ER150" s="35"/>
      <c r="ES150" s="84"/>
      <c r="ET150" s="35"/>
      <c r="EU150" s="35"/>
      <c r="EV150" s="35"/>
      <c r="EW150" s="35"/>
      <c r="EX150" s="35"/>
      <c r="EY150" s="84"/>
      <c r="EZ150" s="35"/>
      <c r="FA150" s="35"/>
      <c r="FB150" s="35"/>
      <c r="FC150" s="35"/>
      <c r="FD150" s="35"/>
      <c r="FE150" s="84"/>
      <c r="FF150" s="84"/>
      <c r="FG150" s="35"/>
      <c r="FH150" s="35"/>
      <c r="FI150" s="35"/>
      <c r="FJ150" s="35"/>
      <c r="FK150" s="84"/>
      <c r="FL150" s="35"/>
      <c r="FM150" s="35"/>
      <c r="FN150" s="35"/>
      <c r="FO150" s="35"/>
      <c r="FP150" s="35"/>
      <c r="FQ150" s="35"/>
      <c r="FR150" s="35"/>
      <c r="FS150" s="35"/>
      <c r="FT150" s="35"/>
      <c r="FU150" s="35"/>
      <c r="FV150" s="35"/>
      <c r="FW150" s="35"/>
      <c r="FX150" s="35"/>
      <c r="FY150" s="84"/>
      <c r="FZ150" s="84"/>
      <c r="GA150" s="84"/>
      <c r="GB150" s="84"/>
      <c r="GC150" s="84"/>
      <c r="GD150" s="84"/>
      <c r="GE150" s="84"/>
      <c r="GF150" s="35"/>
      <c r="GG150" s="35"/>
      <c r="GH150" s="35"/>
      <c r="GI150" s="35"/>
      <c r="GJ150" s="35"/>
      <c r="GK150" s="84"/>
      <c r="GL150" s="35"/>
      <c r="GM150" s="35"/>
      <c r="GN150" s="35"/>
      <c r="GO150" s="55"/>
      <c r="GP150" s="55" t="s">
        <v>187</v>
      </c>
      <c r="GQ150" s="55" t="s">
        <v>30</v>
      </c>
      <c r="GR150" s="55" t="s">
        <v>31</v>
      </c>
      <c r="GS150" s="55" t="s">
        <v>32</v>
      </c>
      <c r="GT150" s="56" t="s">
        <v>188</v>
      </c>
      <c r="GU150" s="56" t="s">
        <v>189</v>
      </c>
      <c r="GV150" s="56" t="s">
        <v>189</v>
      </c>
      <c r="GW150" s="56" t="s">
        <v>190</v>
      </c>
      <c r="GX150" s="56" t="s">
        <v>191</v>
      </c>
      <c r="GY150" s="57" t="s">
        <v>192</v>
      </c>
      <c r="GZ150" s="57" t="s">
        <v>193</v>
      </c>
      <c r="HA150" s="57" t="s">
        <v>194</v>
      </c>
      <c r="HB150" s="57" t="s">
        <v>194</v>
      </c>
      <c r="HC150" s="57" t="s">
        <v>195</v>
      </c>
      <c r="HD150" s="58" t="s">
        <v>196</v>
      </c>
      <c r="HE150" s="58" t="s">
        <v>197</v>
      </c>
      <c r="HF150" s="58" t="s">
        <v>198</v>
      </c>
      <c r="HG150" s="58" t="s">
        <v>199</v>
      </c>
      <c r="HH150" s="58" t="s">
        <v>199</v>
      </c>
      <c r="HI150" s="42" t="s">
        <v>33</v>
      </c>
      <c r="HJ150" s="42" t="s">
        <v>34</v>
      </c>
      <c r="HK150" s="42" t="s">
        <v>35</v>
      </c>
      <c r="HL150" s="42" t="s">
        <v>36</v>
      </c>
      <c r="HM150" s="59" t="s">
        <v>200</v>
      </c>
      <c r="HN150" s="59" t="s">
        <v>200</v>
      </c>
      <c r="HO150" s="59" t="s">
        <v>201</v>
      </c>
      <c r="HP150" s="59" t="s">
        <v>202</v>
      </c>
      <c r="HQ150" s="59" t="s">
        <v>203</v>
      </c>
      <c r="HR150" s="35"/>
      <c r="HS150" s="35"/>
      <c r="HT150" s="35"/>
      <c r="HU150" s="84"/>
      <c r="HV150" s="84"/>
      <c r="HW150" s="84"/>
      <c r="HX150" s="84"/>
      <c r="HY150" s="84"/>
      <c r="HZ150" s="84"/>
      <c r="IA150" s="84"/>
      <c r="IB150" s="84"/>
      <c r="IC150" s="84"/>
      <c r="ID150" s="84"/>
      <c r="IE150" s="84"/>
      <c r="IF150" s="84"/>
      <c r="IG150" s="84"/>
      <c r="IH150" s="84"/>
      <c r="II150" s="84"/>
      <c r="IJ150" s="84"/>
      <c r="IK150" s="84"/>
      <c r="IL150" s="84"/>
      <c r="IM150" s="84"/>
      <c r="IN150" s="84"/>
      <c r="IO150" s="84"/>
      <c r="IP150" s="84"/>
      <c r="IQ150" s="84"/>
      <c r="IR150" s="84"/>
      <c r="IS150" s="84"/>
      <c r="IT150" s="84"/>
      <c r="IU150" s="84"/>
      <c r="IV150" s="84"/>
      <c r="IW150" s="84"/>
    </row>
    <row r="151" spans="2:257" s="28" customFormat="1" ht="15" thickBot="1">
      <c r="B151" s="30">
        <f t="shared" si="255"/>
        <v>6.1299999999999972</v>
      </c>
      <c r="C151" s="92" t="s">
        <v>130</v>
      </c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4"/>
      <c r="BP151" s="84"/>
      <c r="BQ151" s="84"/>
      <c r="BR151" s="84"/>
      <c r="BS151" s="84"/>
      <c r="BT151" s="84"/>
      <c r="BU151" s="84"/>
      <c r="BV151" s="84"/>
      <c r="BW151" s="84"/>
      <c r="BX151" s="84"/>
      <c r="BY151" s="84"/>
      <c r="BZ151" s="84"/>
      <c r="CA151" s="84"/>
      <c r="CB151" s="84"/>
      <c r="CC151" s="84"/>
      <c r="CD151" s="84"/>
      <c r="CE151" s="84"/>
      <c r="CF151" s="35"/>
      <c r="CG151" s="34"/>
      <c r="CH151" s="34"/>
      <c r="CI151" s="34"/>
      <c r="CJ151" s="34"/>
      <c r="CK151" s="34"/>
      <c r="CL151" s="34"/>
      <c r="CM151" s="34"/>
      <c r="CN151" s="34"/>
      <c r="CO151" s="35"/>
      <c r="CP151" s="35"/>
      <c r="CQ151" s="35"/>
      <c r="CR151" s="84"/>
      <c r="CS151" s="84"/>
      <c r="CT151" s="84"/>
      <c r="CU151" s="84"/>
      <c r="CV151" s="35"/>
      <c r="CW151" s="84"/>
      <c r="CX151" s="35"/>
      <c r="CY151" s="35"/>
      <c r="CZ151" s="35"/>
      <c r="DA151" s="35"/>
      <c r="DB151" s="35"/>
      <c r="DC151" s="84"/>
      <c r="DD151" s="35"/>
      <c r="DE151" s="35"/>
      <c r="DF151" s="35"/>
      <c r="DG151" s="35"/>
      <c r="DH151" s="35"/>
      <c r="DI151" s="84"/>
      <c r="DJ151" s="35"/>
      <c r="DK151" s="35"/>
      <c r="DL151" s="35"/>
      <c r="DM151" s="35"/>
      <c r="DN151" s="35"/>
      <c r="DO151" s="84"/>
      <c r="DP151" s="35"/>
      <c r="DQ151" s="35"/>
      <c r="DR151" s="35"/>
      <c r="DS151" s="35"/>
      <c r="DT151" s="35"/>
      <c r="DU151" s="84"/>
      <c r="DV151" s="35"/>
      <c r="DW151" s="35"/>
      <c r="DX151" s="35"/>
      <c r="DY151" s="35"/>
      <c r="DZ151" s="35"/>
      <c r="EA151" s="84"/>
      <c r="EB151" s="35"/>
      <c r="EC151" s="35"/>
      <c r="ED151" s="35"/>
      <c r="EE151" s="35"/>
      <c r="EF151" s="35"/>
      <c r="EG151" s="84"/>
      <c r="EH151" s="35"/>
      <c r="EI151" s="35"/>
      <c r="EJ151" s="35"/>
      <c r="EK151" s="35"/>
      <c r="EL151" s="35"/>
      <c r="EM151" s="84"/>
      <c r="EN151" s="35"/>
      <c r="EO151" s="35"/>
      <c r="EP151" s="35"/>
      <c r="EQ151" s="35"/>
      <c r="ER151" s="35"/>
      <c r="ES151" s="84"/>
      <c r="ET151" s="35"/>
      <c r="EU151" s="35"/>
      <c r="EV151" s="35"/>
      <c r="EW151" s="35"/>
      <c r="EX151" s="35"/>
      <c r="EY151" s="84"/>
      <c r="EZ151" s="35"/>
      <c r="FA151" s="35"/>
      <c r="FB151" s="35"/>
      <c r="FC151" s="35"/>
      <c r="FD151" s="35"/>
      <c r="FE151" s="84"/>
      <c r="FF151" s="84"/>
      <c r="FG151" s="35"/>
      <c r="FH151" s="35"/>
      <c r="FI151" s="35"/>
      <c r="FJ151" s="35"/>
      <c r="FK151" s="84"/>
      <c r="FL151" s="35"/>
      <c r="FM151" s="35"/>
      <c r="FN151" s="35"/>
      <c r="FO151" s="35"/>
      <c r="FP151" s="35"/>
      <c r="FQ151" s="35"/>
      <c r="FR151" s="35"/>
      <c r="FS151" s="35"/>
      <c r="FT151" s="35"/>
      <c r="FU151" s="35"/>
      <c r="FV151" s="35"/>
      <c r="FW151" s="35"/>
      <c r="FX151" s="35"/>
      <c r="FY151" s="84"/>
      <c r="FZ151" s="84"/>
      <c r="GA151" s="84"/>
      <c r="GB151" s="84"/>
      <c r="GC151" s="84"/>
      <c r="GD151" s="84"/>
      <c r="GE151" s="84"/>
      <c r="GF151" s="35"/>
      <c r="GG151" s="35"/>
      <c r="GH151" s="35"/>
      <c r="GI151" s="35"/>
      <c r="GJ151" s="35"/>
      <c r="GK151" s="84"/>
      <c r="GL151" s="35"/>
      <c r="GM151" s="35"/>
      <c r="GN151" s="35"/>
      <c r="GO151" s="35"/>
      <c r="GP151" s="55"/>
      <c r="GQ151" s="55" t="s">
        <v>187</v>
      </c>
      <c r="GR151" s="55" t="s">
        <v>30</v>
      </c>
      <c r="GS151" s="55" t="s">
        <v>31</v>
      </c>
      <c r="GT151" s="55" t="s">
        <v>32</v>
      </c>
      <c r="GU151" s="56" t="s">
        <v>188</v>
      </c>
      <c r="GV151" s="56" t="s">
        <v>188</v>
      </c>
      <c r="GW151" s="56" t="s">
        <v>189</v>
      </c>
      <c r="GX151" s="56" t="s">
        <v>190</v>
      </c>
      <c r="GY151" s="56" t="s">
        <v>191</v>
      </c>
      <c r="GZ151" s="57" t="s">
        <v>192</v>
      </c>
      <c r="HA151" s="57" t="s">
        <v>193</v>
      </c>
      <c r="HB151" s="57" t="s">
        <v>193</v>
      </c>
      <c r="HC151" s="57" t="s">
        <v>194</v>
      </c>
      <c r="HD151" s="57" t="s">
        <v>195</v>
      </c>
      <c r="HE151" s="58" t="s">
        <v>196</v>
      </c>
      <c r="HF151" s="58" t="s">
        <v>197</v>
      </c>
      <c r="HG151" s="58" t="s">
        <v>198</v>
      </c>
      <c r="HH151" s="58" t="s">
        <v>198</v>
      </c>
      <c r="HI151" s="58" t="s">
        <v>199</v>
      </c>
      <c r="HJ151" s="42" t="s">
        <v>33</v>
      </c>
      <c r="HK151" s="42" t="s">
        <v>34</v>
      </c>
      <c r="HL151" s="42" t="s">
        <v>35</v>
      </c>
      <c r="HM151" s="42" t="s">
        <v>36</v>
      </c>
      <c r="HN151" s="42" t="s">
        <v>36</v>
      </c>
      <c r="HO151" s="59" t="s">
        <v>200</v>
      </c>
      <c r="HP151" s="59" t="s">
        <v>201</v>
      </c>
      <c r="HQ151" s="59" t="s">
        <v>202</v>
      </c>
      <c r="HR151" s="59" t="s">
        <v>203</v>
      </c>
      <c r="HS151" s="35"/>
      <c r="HT151" s="35"/>
      <c r="HU151" s="84"/>
      <c r="HV151" s="84"/>
      <c r="HW151" s="84"/>
      <c r="HX151" s="84"/>
      <c r="HY151" s="84"/>
      <c r="HZ151" s="84"/>
      <c r="IA151" s="84"/>
      <c r="IB151" s="84"/>
      <c r="IC151" s="84"/>
      <c r="ID151" s="84"/>
      <c r="IE151" s="84"/>
      <c r="IF151" s="84"/>
      <c r="IG151" s="84"/>
      <c r="IH151" s="84"/>
      <c r="II151" s="84"/>
      <c r="IJ151" s="84"/>
      <c r="IK151" s="84"/>
      <c r="IL151" s="84"/>
      <c r="IM151" s="84"/>
      <c r="IN151" s="84"/>
      <c r="IO151" s="84"/>
      <c r="IP151" s="84"/>
      <c r="IQ151" s="84"/>
      <c r="IR151" s="84"/>
      <c r="IS151" s="84"/>
      <c r="IT151" s="84"/>
      <c r="IU151" s="84"/>
      <c r="IV151" s="84"/>
      <c r="IW151" s="84"/>
    </row>
    <row r="152" spans="2:257" s="28" customFormat="1" ht="14.4">
      <c r="B152" s="30">
        <f t="shared" si="255"/>
        <v>6.139999999999997</v>
      </c>
      <c r="C152" s="45" t="s">
        <v>131</v>
      </c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  <c r="BC152" s="84"/>
      <c r="BD152" s="84"/>
      <c r="BE152" s="84"/>
      <c r="BF152" s="84"/>
      <c r="BG152" s="84"/>
      <c r="BH152" s="84"/>
      <c r="BI152" s="84"/>
      <c r="BJ152" s="84"/>
      <c r="BK152" s="84"/>
      <c r="BL152" s="84"/>
      <c r="BM152" s="84"/>
      <c r="BN152" s="84"/>
      <c r="BO152" s="84"/>
      <c r="BP152" s="84"/>
      <c r="BQ152" s="84"/>
      <c r="BR152" s="84"/>
      <c r="BS152" s="84"/>
      <c r="BT152" s="84"/>
      <c r="BU152" s="84"/>
      <c r="BV152" s="84"/>
      <c r="BW152" s="84"/>
      <c r="BX152" s="84"/>
      <c r="BY152" s="84"/>
      <c r="BZ152" s="84"/>
      <c r="CA152" s="84"/>
      <c r="CB152" s="84"/>
      <c r="CC152" s="84"/>
      <c r="CD152" s="84"/>
      <c r="CE152" s="84"/>
      <c r="CF152" s="35"/>
      <c r="CG152" s="34"/>
      <c r="CH152" s="34"/>
      <c r="CI152" s="34"/>
      <c r="CJ152" s="34"/>
      <c r="CK152" s="34"/>
      <c r="CL152" s="34"/>
      <c r="CM152" s="34"/>
      <c r="CN152" s="34"/>
      <c r="CO152" s="35"/>
      <c r="CP152" s="35"/>
      <c r="CQ152" s="35"/>
      <c r="CR152" s="84"/>
      <c r="CS152" s="84"/>
      <c r="CT152" s="84"/>
      <c r="CU152" s="84"/>
      <c r="CV152" s="35"/>
      <c r="CW152" s="84"/>
      <c r="CX152" s="35"/>
      <c r="CY152" s="35"/>
      <c r="CZ152" s="35"/>
      <c r="DA152" s="35"/>
      <c r="DB152" s="35"/>
      <c r="DC152" s="84"/>
      <c r="DD152" s="35"/>
      <c r="DE152" s="35"/>
      <c r="DF152" s="35"/>
      <c r="DG152" s="35"/>
      <c r="DH152" s="35"/>
      <c r="DI152" s="84"/>
      <c r="DJ152" s="35"/>
      <c r="DK152" s="35"/>
      <c r="DL152" s="35"/>
      <c r="DM152" s="35"/>
      <c r="DN152" s="35"/>
      <c r="DO152" s="84"/>
      <c r="DP152" s="35"/>
      <c r="DQ152" s="35"/>
      <c r="DR152" s="35"/>
      <c r="DS152" s="35"/>
      <c r="DT152" s="35"/>
      <c r="DU152" s="84"/>
      <c r="DV152" s="35"/>
      <c r="DW152" s="35"/>
      <c r="DX152" s="35"/>
      <c r="DY152" s="35"/>
      <c r="DZ152" s="35"/>
      <c r="EA152" s="84"/>
      <c r="EB152" s="35"/>
      <c r="EC152" s="35"/>
      <c r="ED152" s="35"/>
      <c r="EE152" s="35"/>
      <c r="EF152" s="35"/>
      <c r="EG152" s="84"/>
      <c r="EH152" s="35"/>
      <c r="EI152" s="35"/>
      <c r="EJ152" s="35"/>
      <c r="EK152" s="35"/>
      <c r="EL152" s="35"/>
      <c r="EM152" s="84"/>
      <c r="EN152" s="35"/>
      <c r="EO152" s="35"/>
      <c r="EP152" s="35"/>
      <c r="EQ152" s="35"/>
      <c r="ER152" s="35"/>
      <c r="ES152" s="84"/>
      <c r="ET152" s="35"/>
      <c r="EU152" s="35"/>
      <c r="EV152" s="35"/>
      <c r="EW152" s="35"/>
      <c r="EX152" s="35"/>
      <c r="EY152" s="84"/>
      <c r="EZ152" s="35"/>
      <c r="FA152" s="35"/>
      <c r="FB152" s="35"/>
      <c r="FC152" s="35"/>
      <c r="FD152" s="35"/>
      <c r="FE152" s="84"/>
      <c r="FF152" s="84"/>
      <c r="FG152" s="35"/>
      <c r="FH152" s="35"/>
      <c r="FI152" s="35"/>
      <c r="FJ152" s="35"/>
      <c r="FK152" s="84"/>
      <c r="FL152" s="35"/>
      <c r="FM152" s="35"/>
      <c r="FN152" s="35"/>
      <c r="FO152" s="35"/>
      <c r="FP152" s="35"/>
      <c r="FQ152" s="35"/>
      <c r="FR152" s="35"/>
      <c r="FS152" s="35"/>
      <c r="FT152" s="35"/>
      <c r="FU152" s="35"/>
      <c r="FV152" s="35"/>
      <c r="FW152" s="35"/>
      <c r="FX152" s="35"/>
      <c r="FY152" s="84"/>
      <c r="FZ152" s="84"/>
      <c r="GA152" s="84"/>
      <c r="GB152" s="84"/>
      <c r="GC152" s="84"/>
      <c r="GD152" s="84"/>
      <c r="GE152" s="84"/>
      <c r="GF152" s="35"/>
      <c r="GG152" s="35"/>
      <c r="GH152" s="35"/>
      <c r="GI152" s="35"/>
      <c r="GJ152" s="35"/>
      <c r="GK152" s="84"/>
      <c r="GL152" s="35"/>
      <c r="GM152" s="35"/>
      <c r="GN152" s="35"/>
      <c r="GO152" s="35"/>
      <c r="GP152" s="55"/>
      <c r="GQ152" s="55" t="s">
        <v>187</v>
      </c>
      <c r="GR152" s="55" t="s">
        <v>30</v>
      </c>
      <c r="GS152" s="55" t="s">
        <v>31</v>
      </c>
      <c r="GT152" s="55" t="s">
        <v>32</v>
      </c>
      <c r="GU152" s="56" t="s">
        <v>188</v>
      </c>
      <c r="GV152" s="56" t="s">
        <v>188</v>
      </c>
      <c r="GW152" s="56" t="s">
        <v>189</v>
      </c>
      <c r="GX152" s="56" t="s">
        <v>190</v>
      </c>
      <c r="GY152" s="56" t="s">
        <v>191</v>
      </c>
      <c r="GZ152" s="57" t="s">
        <v>192</v>
      </c>
      <c r="HA152" s="57" t="s">
        <v>193</v>
      </c>
      <c r="HB152" s="57" t="s">
        <v>193</v>
      </c>
      <c r="HC152" s="57" t="s">
        <v>194</v>
      </c>
      <c r="HD152" s="57" t="s">
        <v>195</v>
      </c>
      <c r="HE152" s="58" t="s">
        <v>196</v>
      </c>
      <c r="HF152" s="58" t="s">
        <v>197</v>
      </c>
      <c r="HG152" s="58" t="s">
        <v>198</v>
      </c>
      <c r="HH152" s="58" t="s">
        <v>198</v>
      </c>
      <c r="HI152" s="58" t="s">
        <v>199</v>
      </c>
      <c r="HJ152" s="42" t="s">
        <v>33</v>
      </c>
      <c r="HK152" s="42" t="s">
        <v>34</v>
      </c>
      <c r="HL152" s="42" t="s">
        <v>35</v>
      </c>
      <c r="HM152" s="42" t="s">
        <v>36</v>
      </c>
      <c r="HN152" s="42" t="s">
        <v>36</v>
      </c>
      <c r="HO152" s="59" t="s">
        <v>200</v>
      </c>
      <c r="HP152" s="59" t="s">
        <v>201</v>
      </c>
      <c r="HQ152" s="59" t="s">
        <v>202</v>
      </c>
      <c r="HR152" s="59" t="s">
        <v>203</v>
      </c>
      <c r="HS152" s="35"/>
      <c r="HT152" s="35"/>
      <c r="HU152" s="84"/>
      <c r="HV152" s="84"/>
      <c r="HW152" s="84"/>
      <c r="HX152" s="84"/>
      <c r="HY152" s="84"/>
      <c r="HZ152" s="84"/>
      <c r="IA152" s="84"/>
      <c r="IB152" s="84"/>
      <c r="IC152" s="84"/>
      <c r="ID152" s="84"/>
      <c r="IE152" s="84"/>
      <c r="IF152" s="84"/>
      <c r="IG152" s="84"/>
      <c r="IH152" s="84"/>
      <c r="II152" s="84"/>
      <c r="IJ152" s="84"/>
      <c r="IK152" s="84"/>
      <c r="IL152" s="84"/>
      <c r="IM152" s="84"/>
      <c r="IN152" s="84"/>
      <c r="IO152" s="84"/>
      <c r="IP152" s="84"/>
      <c r="IQ152" s="84"/>
      <c r="IR152" s="84"/>
      <c r="IS152" s="84"/>
      <c r="IT152" s="84"/>
      <c r="IU152" s="84"/>
      <c r="IV152" s="84"/>
      <c r="IW152" s="84"/>
    </row>
    <row r="153" spans="2:257" s="28" customFormat="1" ht="14.4">
      <c r="B153" s="30">
        <f t="shared" si="255"/>
        <v>6.1499999999999968</v>
      </c>
      <c r="C153" s="44" t="s">
        <v>132</v>
      </c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  <c r="BC153" s="84"/>
      <c r="BD153" s="84"/>
      <c r="BE153" s="84"/>
      <c r="BF153" s="84"/>
      <c r="BG153" s="84"/>
      <c r="BH153" s="84"/>
      <c r="BI153" s="84"/>
      <c r="BJ153" s="84"/>
      <c r="BK153" s="84"/>
      <c r="BL153" s="84"/>
      <c r="BM153" s="84"/>
      <c r="BN153" s="84"/>
      <c r="BO153" s="84"/>
      <c r="BP153" s="84"/>
      <c r="BQ153" s="84"/>
      <c r="BR153" s="84"/>
      <c r="BS153" s="84"/>
      <c r="BT153" s="84"/>
      <c r="BU153" s="84"/>
      <c r="BV153" s="84"/>
      <c r="BW153" s="84"/>
      <c r="BX153" s="84"/>
      <c r="BY153" s="84"/>
      <c r="BZ153" s="84"/>
      <c r="CA153" s="84"/>
      <c r="CB153" s="84"/>
      <c r="CC153" s="84"/>
      <c r="CD153" s="84"/>
      <c r="CE153" s="84"/>
      <c r="CF153" s="35"/>
      <c r="CG153" s="34"/>
      <c r="CH153" s="34"/>
      <c r="CI153" s="34"/>
      <c r="CJ153" s="34"/>
      <c r="CK153" s="34"/>
      <c r="CL153" s="34"/>
      <c r="CM153" s="34"/>
      <c r="CN153" s="34"/>
      <c r="CO153" s="35"/>
      <c r="CP153" s="35"/>
      <c r="CQ153" s="35"/>
      <c r="CR153" s="84"/>
      <c r="CS153" s="84"/>
      <c r="CT153" s="84"/>
      <c r="CU153" s="84"/>
      <c r="CV153" s="35"/>
      <c r="CW153" s="84"/>
      <c r="CX153" s="35"/>
      <c r="CY153" s="35"/>
      <c r="CZ153" s="35"/>
      <c r="DA153" s="35"/>
      <c r="DB153" s="35"/>
      <c r="DC153" s="84"/>
      <c r="DD153" s="35"/>
      <c r="DE153" s="35"/>
      <c r="DF153" s="35"/>
      <c r="DG153" s="35"/>
      <c r="DH153" s="35"/>
      <c r="DI153" s="84"/>
      <c r="DJ153" s="35"/>
      <c r="DK153" s="35"/>
      <c r="DL153" s="35"/>
      <c r="DM153" s="35"/>
      <c r="DN153" s="35"/>
      <c r="DO153" s="84"/>
      <c r="DP153" s="35"/>
      <c r="DQ153" s="35"/>
      <c r="DR153" s="35"/>
      <c r="DS153" s="35"/>
      <c r="DT153" s="35"/>
      <c r="DU153" s="84"/>
      <c r="DV153" s="35"/>
      <c r="DW153" s="35"/>
      <c r="DX153" s="35"/>
      <c r="DY153" s="35"/>
      <c r="DZ153" s="35"/>
      <c r="EA153" s="84"/>
      <c r="EB153" s="35"/>
      <c r="EC153" s="35"/>
      <c r="ED153" s="35"/>
      <c r="EE153" s="35"/>
      <c r="EF153" s="35"/>
      <c r="EG153" s="84"/>
      <c r="EH153" s="35"/>
      <c r="EI153" s="35"/>
      <c r="EJ153" s="35"/>
      <c r="EK153" s="35"/>
      <c r="EL153" s="35"/>
      <c r="EM153" s="84"/>
      <c r="EN153" s="35"/>
      <c r="EO153" s="35"/>
      <c r="EP153" s="35"/>
      <c r="EQ153" s="35"/>
      <c r="ER153" s="35"/>
      <c r="ES153" s="84"/>
      <c r="ET153" s="35"/>
      <c r="EU153" s="35"/>
      <c r="EV153" s="35"/>
      <c r="EW153" s="35"/>
      <c r="EX153" s="35"/>
      <c r="EY153" s="84"/>
      <c r="EZ153" s="35"/>
      <c r="FA153" s="35"/>
      <c r="FB153" s="35"/>
      <c r="FC153" s="35"/>
      <c r="FD153" s="35"/>
      <c r="FE153" s="84"/>
      <c r="FF153" s="84"/>
      <c r="FG153" s="35"/>
      <c r="FH153" s="35"/>
      <c r="FI153" s="35"/>
      <c r="FJ153" s="35"/>
      <c r="FK153" s="84"/>
      <c r="FL153" s="35"/>
      <c r="FM153" s="35"/>
      <c r="FN153" s="35"/>
      <c r="FO153" s="35"/>
      <c r="FP153" s="35"/>
      <c r="FQ153" s="35"/>
      <c r="FR153" s="35"/>
      <c r="FS153" s="35"/>
      <c r="FT153" s="35"/>
      <c r="FU153" s="35"/>
      <c r="FV153" s="35"/>
      <c r="FW153" s="35"/>
      <c r="FX153" s="35"/>
      <c r="FY153" s="84"/>
      <c r="FZ153" s="84"/>
      <c r="GA153" s="84"/>
      <c r="GB153" s="84"/>
      <c r="GC153" s="84"/>
      <c r="GD153" s="84"/>
      <c r="GE153" s="84"/>
      <c r="GF153" s="35"/>
      <c r="GG153" s="35"/>
      <c r="GH153" s="35"/>
      <c r="GI153" s="35"/>
      <c r="GJ153" s="35"/>
      <c r="GK153" s="84"/>
      <c r="GL153" s="35"/>
      <c r="GM153" s="35"/>
      <c r="GN153" s="35"/>
      <c r="GO153" s="35"/>
      <c r="GP153" s="35"/>
      <c r="GQ153" s="84"/>
      <c r="GR153" s="55" t="s">
        <v>187</v>
      </c>
      <c r="GS153" s="55" t="s">
        <v>30</v>
      </c>
      <c r="GT153" s="55" t="s">
        <v>31</v>
      </c>
      <c r="GU153" s="55" t="s">
        <v>32</v>
      </c>
      <c r="GV153" s="55" t="s">
        <v>32</v>
      </c>
      <c r="GW153" s="56" t="s">
        <v>188</v>
      </c>
      <c r="GX153" s="56" t="s">
        <v>189</v>
      </c>
      <c r="GY153" s="56" t="s">
        <v>190</v>
      </c>
      <c r="GZ153" s="56" t="s">
        <v>191</v>
      </c>
      <c r="HA153" s="57" t="s">
        <v>192</v>
      </c>
      <c r="HB153" s="57" t="s">
        <v>192</v>
      </c>
      <c r="HC153" s="57" t="s">
        <v>193</v>
      </c>
      <c r="HD153" s="57" t="s">
        <v>194</v>
      </c>
      <c r="HE153" s="57" t="s">
        <v>195</v>
      </c>
      <c r="HF153" s="58" t="s">
        <v>196</v>
      </c>
      <c r="HG153" s="58" t="s">
        <v>197</v>
      </c>
      <c r="HH153" s="58" t="s">
        <v>197</v>
      </c>
      <c r="HI153" s="58" t="s">
        <v>198</v>
      </c>
      <c r="HJ153" s="58" t="s">
        <v>199</v>
      </c>
      <c r="HK153" s="42" t="s">
        <v>33</v>
      </c>
      <c r="HL153" s="42" t="s">
        <v>34</v>
      </c>
      <c r="HM153" s="42" t="s">
        <v>35</v>
      </c>
      <c r="HN153" s="42" t="s">
        <v>35</v>
      </c>
      <c r="HO153" s="42" t="s">
        <v>36</v>
      </c>
      <c r="HP153" s="59" t="s">
        <v>200</v>
      </c>
      <c r="HQ153" s="59" t="s">
        <v>201</v>
      </c>
      <c r="HR153" s="59" t="s">
        <v>202</v>
      </c>
      <c r="HS153" s="59" t="s">
        <v>203</v>
      </c>
      <c r="HT153" s="35"/>
      <c r="HU153" s="84"/>
      <c r="HV153" s="84"/>
      <c r="HW153" s="84"/>
      <c r="HX153" s="84"/>
      <c r="HY153" s="84"/>
      <c r="HZ153" s="84"/>
      <c r="IA153" s="84"/>
      <c r="IB153" s="84"/>
      <c r="IC153" s="84"/>
      <c r="ID153" s="84"/>
      <c r="IE153" s="84"/>
      <c r="IF153" s="84"/>
      <c r="IG153" s="84"/>
      <c r="IH153" s="84"/>
      <c r="II153" s="84"/>
      <c r="IJ153" s="84"/>
      <c r="IK153" s="84"/>
      <c r="IL153" s="84"/>
      <c r="IM153" s="84"/>
      <c r="IN153" s="84"/>
      <c r="IO153" s="84"/>
      <c r="IP153" s="84"/>
      <c r="IQ153" s="84"/>
      <c r="IR153" s="84"/>
      <c r="IS153" s="84"/>
      <c r="IT153" s="84"/>
      <c r="IU153" s="84"/>
      <c r="IV153" s="84"/>
      <c r="IW153" s="84"/>
    </row>
    <row r="154" spans="2:257" s="28" customFormat="1" ht="15" thickBot="1">
      <c r="B154" s="30">
        <f t="shared" si="255"/>
        <v>6.1599999999999966</v>
      </c>
      <c r="C154" s="92" t="s">
        <v>133</v>
      </c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  <c r="BC154" s="84"/>
      <c r="BD154" s="84"/>
      <c r="BE154" s="84"/>
      <c r="BF154" s="84"/>
      <c r="BG154" s="84"/>
      <c r="BH154" s="84"/>
      <c r="BI154" s="84"/>
      <c r="BJ154" s="84"/>
      <c r="BK154" s="84"/>
      <c r="BL154" s="84"/>
      <c r="BM154" s="84"/>
      <c r="BN154" s="84"/>
      <c r="BO154" s="84"/>
      <c r="BP154" s="84"/>
      <c r="BQ154" s="84"/>
      <c r="BR154" s="84"/>
      <c r="BS154" s="84"/>
      <c r="BT154" s="84"/>
      <c r="BU154" s="84"/>
      <c r="BV154" s="84"/>
      <c r="BW154" s="84"/>
      <c r="BX154" s="84"/>
      <c r="BY154" s="84"/>
      <c r="BZ154" s="84"/>
      <c r="CA154" s="84"/>
      <c r="CB154" s="84"/>
      <c r="CC154" s="84"/>
      <c r="CD154" s="84"/>
      <c r="CE154" s="84"/>
      <c r="CF154" s="35"/>
      <c r="CG154" s="34"/>
      <c r="CH154" s="34"/>
      <c r="CI154" s="34"/>
      <c r="CJ154" s="34"/>
      <c r="CK154" s="34"/>
      <c r="CL154" s="34"/>
      <c r="CM154" s="34"/>
      <c r="CN154" s="34"/>
      <c r="CO154" s="35"/>
      <c r="CP154" s="35"/>
      <c r="CQ154" s="35"/>
      <c r="CR154" s="84"/>
      <c r="CS154" s="84"/>
      <c r="CT154" s="84"/>
      <c r="CU154" s="84"/>
      <c r="CV154" s="35"/>
      <c r="CW154" s="84"/>
      <c r="CX154" s="35"/>
      <c r="CY154" s="35"/>
      <c r="CZ154" s="35"/>
      <c r="DA154" s="35"/>
      <c r="DB154" s="35"/>
      <c r="DC154" s="84"/>
      <c r="DD154" s="35"/>
      <c r="DE154" s="35"/>
      <c r="DF154" s="35"/>
      <c r="DG154" s="35"/>
      <c r="DH154" s="35"/>
      <c r="DI154" s="84"/>
      <c r="DJ154" s="35"/>
      <c r="DK154" s="35"/>
      <c r="DL154" s="35"/>
      <c r="DM154" s="35"/>
      <c r="DN154" s="35"/>
      <c r="DO154" s="84"/>
      <c r="DP154" s="35"/>
      <c r="DQ154" s="35"/>
      <c r="DR154" s="35"/>
      <c r="DS154" s="35"/>
      <c r="DT154" s="35"/>
      <c r="DU154" s="84"/>
      <c r="DV154" s="35"/>
      <c r="DW154" s="35"/>
      <c r="DX154" s="35"/>
      <c r="DY154" s="35"/>
      <c r="DZ154" s="35"/>
      <c r="EA154" s="84"/>
      <c r="EB154" s="35"/>
      <c r="EC154" s="35"/>
      <c r="ED154" s="35"/>
      <c r="EE154" s="35"/>
      <c r="EF154" s="35"/>
      <c r="EG154" s="84"/>
      <c r="EH154" s="35"/>
      <c r="EI154" s="35"/>
      <c r="EJ154" s="35"/>
      <c r="EK154" s="35"/>
      <c r="EL154" s="35"/>
      <c r="EM154" s="84"/>
      <c r="EN154" s="35"/>
      <c r="EO154" s="35"/>
      <c r="EP154" s="35"/>
      <c r="EQ154" s="35"/>
      <c r="ER154" s="35"/>
      <c r="ES154" s="84"/>
      <c r="ET154" s="35"/>
      <c r="EU154" s="35"/>
      <c r="EV154" s="35"/>
      <c r="EW154" s="35"/>
      <c r="EX154" s="35"/>
      <c r="EY154" s="84"/>
      <c r="EZ154" s="35"/>
      <c r="FA154" s="35"/>
      <c r="FB154" s="35"/>
      <c r="FC154" s="35"/>
      <c r="FD154" s="35"/>
      <c r="FE154" s="84"/>
      <c r="FF154" s="84"/>
      <c r="FG154" s="35"/>
      <c r="FH154" s="35"/>
      <c r="FI154" s="35"/>
      <c r="FJ154" s="35"/>
      <c r="FK154" s="84"/>
      <c r="FL154" s="35"/>
      <c r="FM154" s="35"/>
      <c r="FN154" s="35"/>
      <c r="FO154" s="35"/>
      <c r="FP154" s="35"/>
      <c r="FQ154" s="35"/>
      <c r="FR154" s="35"/>
      <c r="FS154" s="35"/>
      <c r="FT154" s="35"/>
      <c r="FU154" s="35"/>
      <c r="FV154" s="35"/>
      <c r="FW154" s="35"/>
      <c r="FX154" s="35"/>
      <c r="FY154" s="84"/>
      <c r="FZ154" s="84"/>
      <c r="GA154" s="84"/>
      <c r="GB154" s="84"/>
      <c r="GC154" s="84"/>
      <c r="GD154" s="84"/>
      <c r="GE154" s="84"/>
      <c r="GF154" s="35"/>
      <c r="GG154" s="35"/>
      <c r="GH154" s="35"/>
      <c r="GI154" s="35"/>
      <c r="GJ154" s="84"/>
      <c r="GK154" s="35"/>
      <c r="GL154" s="35"/>
      <c r="GM154" s="35"/>
      <c r="GN154" s="35"/>
      <c r="GO154" s="35"/>
      <c r="GP154" s="84"/>
      <c r="GQ154" s="35"/>
      <c r="GR154" s="84"/>
      <c r="GS154" s="55" t="s">
        <v>187</v>
      </c>
      <c r="GT154" s="55" t="s">
        <v>30</v>
      </c>
      <c r="GU154" s="55" t="s">
        <v>31</v>
      </c>
      <c r="GV154" s="55" t="s">
        <v>31</v>
      </c>
      <c r="GW154" s="55" t="s">
        <v>32</v>
      </c>
      <c r="GX154" s="56" t="s">
        <v>188</v>
      </c>
      <c r="GY154" s="56" t="s">
        <v>189</v>
      </c>
      <c r="GZ154" s="56" t="s">
        <v>190</v>
      </c>
      <c r="HA154" s="56" t="s">
        <v>191</v>
      </c>
      <c r="HB154" s="56" t="s">
        <v>226</v>
      </c>
      <c r="HC154" s="57" t="s">
        <v>192</v>
      </c>
      <c r="HD154" s="57" t="s">
        <v>193</v>
      </c>
      <c r="HE154" s="57" t="s">
        <v>194</v>
      </c>
      <c r="HF154" s="57" t="s">
        <v>195</v>
      </c>
      <c r="HG154" s="58" t="s">
        <v>196</v>
      </c>
      <c r="HH154" s="58" t="s">
        <v>196</v>
      </c>
      <c r="HI154" s="58" t="s">
        <v>197</v>
      </c>
      <c r="HJ154" s="58" t="s">
        <v>198</v>
      </c>
      <c r="HK154" s="58" t="s">
        <v>199</v>
      </c>
      <c r="HL154" s="42" t="s">
        <v>33</v>
      </c>
      <c r="HM154" s="42" t="s">
        <v>34</v>
      </c>
      <c r="HN154" s="42" t="s">
        <v>34</v>
      </c>
      <c r="HO154" s="42" t="s">
        <v>35</v>
      </c>
      <c r="HP154" s="42" t="s">
        <v>36</v>
      </c>
      <c r="HQ154" s="59" t="s">
        <v>200</v>
      </c>
      <c r="HR154" s="59" t="s">
        <v>201</v>
      </c>
      <c r="HS154" s="59" t="s">
        <v>202</v>
      </c>
      <c r="HT154" s="59" t="s">
        <v>203</v>
      </c>
      <c r="HU154" s="84"/>
      <c r="HV154" s="84"/>
      <c r="HW154" s="84"/>
      <c r="HX154" s="84"/>
      <c r="HY154" s="84"/>
      <c r="HZ154" s="84"/>
      <c r="IA154" s="84"/>
      <c r="IB154" s="84"/>
      <c r="IC154" s="84"/>
      <c r="ID154" s="84"/>
      <c r="IE154" s="84"/>
      <c r="IF154" s="84"/>
      <c r="IG154" s="84"/>
      <c r="IH154" s="84"/>
      <c r="II154" s="84"/>
      <c r="IJ154" s="84"/>
      <c r="IK154" s="84"/>
      <c r="IL154" s="84"/>
      <c r="IM154" s="84"/>
      <c r="IN154" s="84"/>
      <c r="IO154" s="84"/>
      <c r="IP154" s="84"/>
      <c r="IQ154" s="84"/>
      <c r="IR154" s="84"/>
      <c r="IS154" s="84"/>
      <c r="IT154" s="84"/>
      <c r="IU154" s="84"/>
      <c r="IV154" s="84"/>
      <c r="IW154" s="84"/>
    </row>
    <row r="155" spans="2:257" s="6" customFormat="1">
      <c r="B155" s="21"/>
      <c r="D155" s="22"/>
      <c r="E155" s="23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CI155" s="24"/>
      <c r="CJ155" s="24"/>
      <c r="CK155" s="24"/>
      <c r="CL155" s="24"/>
      <c r="CM155" s="24"/>
      <c r="CN155" s="24"/>
      <c r="CU155" s="24"/>
      <c r="CV155" s="24"/>
      <c r="CW155" s="24"/>
      <c r="CX155" s="24"/>
      <c r="CY155" s="24"/>
      <c r="CZ155" s="24"/>
      <c r="DE155" s="24"/>
      <c r="DF155" s="24"/>
      <c r="DG155" s="24"/>
      <c r="DH155" s="24"/>
      <c r="DI155" s="24"/>
      <c r="DJ155" s="24"/>
      <c r="DP155" s="24"/>
      <c r="DQ155" s="24"/>
      <c r="DR155" s="24"/>
      <c r="DS155" s="24"/>
      <c r="DT155" s="24"/>
      <c r="DU155" s="24"/>
    </row>
    <row r="156" spans="2:257" s="6" customFormat="1">
      <c r="B156" s="21"/>
      <c r="D156" s="22"/>
      <c r="E156" s="23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CI156" s="24"/>
      <c r="CJ156" s="24"/>
      <c r="CK156" s="24"/>
      <c r="CL156" s="24"/>
      <c r="CM156" s="24"/>
      <c r="CN156" s="24"/>
      <c r="CU156" s="24"/>
      <c r="CV156" s="24"/>
      <c r="CW156" s="24"/>
      <c r="CX156" s="24"/>
      <c r="CY156" s="24"/>
      <c r="CZ156" s="24"/>
      <c r="DE156" s="24"/>
      <c r="DF156" s="24"/>
      <c r="DG156" s="24"/>
      <c r="DH156" s="24"/>
      <c r="DI156" s="24"/>
      <c r="DJ156" s="24"/>
      <c r="DP156" s="24"/>
      <c r="DQ156" s="24"/>
      <c r="DR156" s="24"/>
      <c r="DS156" s="24"/>
      <c r="DT156" s="24"/>
      <c r="DU156" s="24"/>
    </row>
    <row r="157" spans="2:257" s="6" customFormat="1">
      <c r="B157" s="21"/>
      <c r="D157" s="22"/>
      <c r="E157" s="23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CI157" s="24"/>
      <c r="CJ157" s="24"/>
      <c r="CK157" s="24"/>
      <c r="CL157" s="24"/>
      <c r="CM157" s="24"/>
      <c r="CN157" s="24"/>
      <c r="CU157" s="24"/>
      <c r="CV157" s="24"/>
      <c r="CW157" s="24"/>
      <c r="CX157" s="24"/>
      <c r="CY157" s="24"/>
      <c r="CZ157" s="24"/>
      <c r="DE157" s="24"/>
      <c r="DF157" s="24"/>
      <c r="DG157" s="24"/>
      <c r="DH157" s="24"/>
      <c r="DI157" s="24"/>
      <c r="DJ157" s="24"/>
      <c r="DP157" s="24"/>
      <c r="DQ157" s="24"/>
      <c r="DR157" s="24"/>
      <c r="DS157" s="24"/>
      <c r="DT157" s="24"/>
      <c r="DU157" s="24"/>
    </row>
    <row r="158" spans="2:257" s="6" customFormat="1">
      <c r="B158" s="21"/>
      <c r="D158" s="22"/>
      <c r="E158" s="23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CI158" s="24"/>
      <c r="CJ158" s="24"/>
      <c r="CK158" s="24"/>
      <c r="CL158" s="24"/>
      <c r="CM158" s="24"/>
      <c r="CN158" s="24"/>
      <c r="CU158" s="24"/>
      <c r="CV158" s="24"/>
      <c r="CW158" s="24"/>
      <c r="CX158" s="24"/>
      <c r="CY158" s="24"/>
      <c r="CZ158" s="24"/>
      <c r="DE158" s="24"/>
      <c r="DF158" s="24"/>
      <c r="DG158" s="24"/>
      <c r="DH158" s="24"/>
      <c r="DI158" s="24"/>
      <c r="DJ158" s="24"/>
      <c r="DP158" s="24"/>
      <c r="DQ158" s="24"/>
      <c r="DR158" s="24"/>
      <c r="DS158" s="24"/>
      <c r="DT158" s="24"/>
      <c r="DU158" s="24"/>
    </row>
    <row r="159" spans="2:257" s="6" customFormat="1">
      <c r="B159" s="21"/>
      <c r="D159" s="22"/>
      <c r="E159" s="23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CI159" s="24"/>
      <c r="CJ159" s="24"/>
      <c r="CK159" s="24"/>
      <c r="CL159" s="24"/>
      <c r="CM159" s="24"/>
      <c r="CN159" s="24"/>
      <c r="CU159" s="24"/>
      <c r="CV159" s="24"/>
      <c r="CW159" s="24"/>
      <c r="CX159" s="24"/>
      <c r="CY159" s="24"/>
      <c r="CZ159" s="24"/>
      <c r="DE159" s="24"/>
      <c r="DF159" s="24"/>
      <c r="DG159" s="24"/>
      <c r="DH159" s="24"/>
      <c r="DI159" s="24"/>
      <c r="DJ159" s="24"/>
      <c r="DP159" s="24"/>
      <c r="DQ159" s="24"/>
      <c r="DR159" s="24"/>
      <c r="DS159" s="24"/>
      <c r="DT159" s="24"/>
      <c r="DU159" s="24"/>
    </row>
    <row r="160" spans="2:257" s="6" customFormat="1">
      <c r="B160" s="21"/>
      <c r="D160" s="22"/>
      <c r="E160" s="23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CI160" s="24"/>
      <c r="CJ160" s="24"/>
      <c r="CK160" s="24"/>
      <c r="CL160" s="24"/>
      <c r="CM160" s="24"/>
      <c r="CN160" s="24"/>
      <c r="CU160" s="24"/>
      <c r="CV160" s="24"/>
      <c r="CW160" s="24"/>
      <c r="CX160" s="24"/>
      <c r="CY160" s="24"/>
      <c r="CZ160" s="24"/>
      <c r="DE160" s="24"/>
      <c r="DF160" s="24"/>
      <c r="DG160" s="24"/>
      <c r="DH160" s="24"/>
      <c r="DI160" s="24"/>
      <c r="DJ160" s="24"/>
      <c r="DP160" s="24"/>
      <c r="DQ160" s="24"/>
      <c r="DR160" s="24"/>
      <c r="DS160" s="24"/>
      <c r="DT160" s="24"/>
      <c r="DU160" s="24"/>
    </row>
    <row r="161" spans="2:125" s="6" customFormat="1">
      <c r="B161" s="21"/>
      <c r="D161" s="22"/>
      <c r="E161" s="23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CI161" s="24"/>
      <c r="CJ161" s="24"/>
      <c r="CK161" s="24"/>
      <c r="CL161" s="24"/>
      <c r="CM161" s="24"/>
      <c r="CN161" s="24"/>
      <c r="CU161" s="24"/>
      <c r="CV161" s="24"/>
      <c r="CW161" s="24"/>
      <c r="CX161" s="24"/>
      <c r="CY161" s="24"/>
      <c r="CZ161" s="24"/>
      <c r="DE161" s="24"/>
      <c r="DF161" s="24"/>
      <c r="DG161" s="24"/>
      <c r="DH161" s="24"/>
      <c r="DI161" s="24"/>
      <c r="DJ161" s="24"/>
      <c r="DP161" s="24"/>
      <c r="DQ161" s="24"/>
      <c r="DR161" s="24"/>
      <c r="DS161" s="24"/>
      <c r="DT161" s="24"/>
      <c r="DU161" s="24"/>
    </row>
    <row r="162" spans="2:125" s="6" customFormat="1">
      <c r="B162" s="21"/>
      <c r="D162" s="22"/>
      <c r="E162" s="23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CI162" s="24"/>
      <c r="CJ162" s="24"/>
      <c r="CK162" s="24"/>
      <c r="CL162" s="24"/>
      <c r="CM162" s="24"/>
      <c r="CN162" s="24"/>
      <c r="CU162" s="24"/>
      <c r="CV162" s="24"/>
      <c r="CW162" s="24"/>
      <c r="CX162" s="24"/>
      <c r="CY162" s="24"/>
      <c r="CZ162" s="24"/>
      <c r="DE162" s="24"/>
      <c r="DF162" s="24"/>
      <c r="DG162" s="24"/>
      <c r="DH162" s="24"/>
      <c r="DI162" s="24"/>
      <c r="DJ162" s="24"/>
      <c r="DP162" s="24"/>
      <c r="DQ162" s="24"/>
      <c r="DR162" s="24"/>
      <c r="DS162" s="24"/>
      <c r="DT162" s="24"/>
      <c r="DU162" s="24"/>
    </row>
    <row r="163" spans="2:125" s="6" customFormat="1">
      <c r="B163" s="21"/>
      <c r="D163" s="22"/>
      <c r="E163" s="23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CI163" s="24"/>
      <c r="CJ163" s="24"/>
      <c r="CK163" s="24"/>
      <c r="CL163" s="24"/>
      <c r="CM163" s="24"/>
      <c r="CN163" s="24"/>
      <c r="CU163" s="24"/>
      <c r="CV163" s="24"/>
      <c r="CW163" s="24"/>
      <c r="CX163" s="24"/>
      <c r="CY163" s="24"/>
      <c r="CZ163" s="24"/>
      <c r="DE163" s="24"/>
      <c r="DF163" s="24"/>
      <c r="DG163" s="24"/>
      <c r="DH163" s="24"/>
      <c r="DI163" s="24"/>
      <c r="DJ163" s="24"/>
      <c r="DP163" s="24"/>
      <c r="DQ163" s="24"/>
      <c r="DR163" s="24"/>
      <c r="DS163" s="24"/>
      <c r="DT163" s="24"/>
      <c r="DU163" s="24"/>
    </row>
    <row r="164" spans="2:125" s="6" customFormat="1">
      <c r="B164" s="21"/>
      <c r="D164" s="22"/>
      <c r="E164" s="23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CI164" s="24"/>
      <c r="CJ164" s="24"/>
      <c r="CK164" s="24"/>
      <c r="CL164" s="24"/>
      <c r="CM164" s="24"/>
      <c r="CN164" s="24"/>
      <c r="CU164" s="24"/>
      <c r="CV164" s="24"/>
      <c r="CW164" s="24"/>
      <c r="CX164" s="24"/>
      <c r="CY164" s="24"/>
      <c r="CZ164" s="24"/>
      <c r="DE164" s="24"/>
      <c r="DF164" s="24"/>
      <c r="DG164" s="24"/>
      <c r="DH164" s="24"/>
      <c r="DI164" s="24"/>
      <c r="DJ164" s="24"/>
      <c r="DP164" s="24"/>
      <c r="DQ164" s="24"/>
      <c r="DR164" s="24"/>
      <c r="DS164" s="24"/>
      <c r="DT164" s="24"/>
      <c r="DU164" s="24"/>
    </row>
    <row r="165" spans="2:125" s="6" customFormat="1">
      <c r="B165" s="21"/>
      <c r="D165" s="22"/>
      <c r="E165" s="23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CI165" s="24"/>
      <c r="CJ165" s="24"/>
      <c r="CK165" s="24"/>
      <c r="CL165" s="24"/>
      <c r="CM165" s="24"/>
      <c r="CN165" s="24"/>
      <c r="CU165" s="24"/>
      <c r="CV165" s="24"/>
      <c r="CW165" s="24"/>
      <c r="CX165" s="24"/>
      <c r="CY165" s="24"/>
      <c r="CZ165" s="24"/>
      <c r="DE165" s="24"/>
      <c r="DF165" s="24"/>
      <c r="DG165" s="24"/>
      <c r="DH165" s="24"/>
      <c r="DI165" s="24"/>
      <c r="DJ165" s="24"/>
      <c r="DP165" s="24"/>
      <c r="DQ165" s="24"/>
      <c r="DR165" s="24"/>
      <c r="DS165" s="24"/>
      <c r="DT165" s="24"/>
      <c r="DU165" s="24"/>
    </row>
    <row r="166" spans="2:125" s="6" customFormat="1">
      <c r="B166" s="21"/>
      <c r="D166" s="22"/>
      <c r="E166" s="23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CD166" s="24"/>
      <c r="CE166" s="24"/>
      <c r="CF166" s="24"/>
      <c r="CG166" s="24"/>
      <c r="CH166" s="24"/>
      <c r="CI166" s="24"/>
      <c r="CP166" s="24"/>
      <c r="CQ166" s="24"/>
      <c r="CR166" s="24"/>
      <c r="CS166" s="24"/>
      <c r="CT166" s="24"/>
      <c r="CU166" s="24"/>
      <c r="DB166" s="24"/>
      <c r="DC166" s="24"/>
      <c r="DD166" s="24"/>
      <c r="DE166" s="24"/>
      <c r="DL166" s="24"/>
      <c r="DM166" s="24"/>
      <c r="DN166" s="24"/>
      <c r="DO166" s="24"/>
      <c r="DP166" s="24"/>
    </row>
    <row r="167" spans="2:125" s="6" customFormat="1">
      <c r="B167" s="21"/>
      <c r="D167" s="22"/>
      <c r="E167" s="23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CD167" s="24"/>
      <c r="CE167" s="24"/>
      <c r="CF167" s="24"/>
      <c r="CG167" s="24"/>
      <c r="CH167" s="24"/>
      <c r="CI167" s="24"/>
      <c r="CP167" s="24"/>
      <c r="CQ167" s="24"/>
      <c r="CR167" s="24"/>
      <c r="CS167" s="24"/>
      <c r="CT167" s="24"/>
      <c r="CU167" s="24"/>
      <c r="DB167" s="24"/>
      <c r="DC167" s="24"/>
      <c r="DD167" s="24"/>
      <c r="DE167" s="24"/>
      <c r="DL167" s="24"/>
      <c r="DM167" s="24"/>
      <c r="DN167" s="24"/>
      <c r="DO167" s="24"/>
      <c r="DP167" s="24"/>
    </row>
    <row r="168" spans="2:125" s="6" customFormat="1">
      <c r="B168" s="21"/>
      <c r="D168" s="22"/>
      <c r="E168" s="23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CD168" s="24"/>
      <c r="CE168" s="24"/>
      <c r="CF168" s="24"/>
      <c r="CG168" s="24"/>
      <c r="CH168" s="24"/>
      <c r="CI168" s="24"/>
      <c r="CP168" s="24"/>
      <c r="CQ168" s="24"/>
      <c r="CR168" s="24"/>
      <c r="CS168" s="24"/>
      <c r="CT168" s="24"/>
      <c r="CU168" s="24"/>
      <c r="DB168" s="24"/>
      <c r="DC168" s="24"/>
      <c r="DD168" s="24"/>
      <c r="DE168" s="24"/>
      <c r="DL168" s="24"/>
      <c r="DM168" s="24"/>
      <c r="DN168" s="24"/>
      <c r="DO168" s="24"/>
      <c r="DP168" s="24"/>
    </row>
    <row r="169" spans="2:125" s="6" customFormat="1">
      <c r="B169" s="21"/>
      <c r="D169" s="22"/>
      <c r="E169" s="23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CD169" s="24"/>
      <c r="CE169" s="24"/>
      <c r="CF169" s="24"/>
      <c r="CG169" s="24"/>
      <c r="CH169" s="24"/>
      <c r="CI169" s="24"/>
      <c r="CP169" s="24"/>
      <c r="CQ169" s="24"/>
      <c r="CR169" s="24"/>
      <c r="CS169" s="24"/>
      <c r="CT169" s="24"/>
      <c r="CU169" s="24"/>
      <c r="DB169" s="24"/>
      <c r="DC169" s="24"/>
      <c r="DD169" s="24"/>
      <c r="DE169" s="24"/>
      <c r="DL169" s="24"/>
      <c r="DM169" s="24"/>
      <c r="DN169" s="24"/>
      <c r="DO169" s="24"/>
      <c r="DP169" s="24"/>
    </row>
    <row r="170" spans="2:125" s="6" customFormat="1">
      <c r="B170" s="21"/>
      <c r="D170" s="22"/>
      <c r="E170" s="23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CD170" s="24"/>
      <c r="CE170" s="24"/>
      <c r="CF170" s="24"/>
      <c r="CG170" s="24"/>
      <c r="CH170" s="24"/>
      <c r="CI170" s="24"/>
      <c r="CP170" s="24"/>
      <c r="CQ170" s="24"/>
      <c r="CR170" s="24"/>
      <c r="CS170" s="24"/>
      <c r="CT170" s="24"/>
      <c r="CU170" s="24"/>
      <c r="DB170" s="24"/>
      <c r="DC170" s="24"/>
      <c r="DD170" s="24"/>
      <c r="DE170" s="24"/>
      <c r="DL170" s="24"/>
      <c r="DM170" s="24"/>
      <c r="DN170" s="24"/>
      <c r="DO170" s="24"/>
      <c r="DP170" s="24"/>
    </row>
    <row r="171" spans="2:125" s="6" customFormat="1">
      <c r="B171" s="21"/>
      <c r="D171" s="22"/>
      <c r="E171" s="23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CD171" s="24"/>
      <c r="CE171" s="24"/>
      <c r="CF171" s="24"/>
      <c r="CG171" s="24"/>
      <c r="CH171" s="24"/>
      <c r="CI171" s="24"/>
      <c r="CP171" s="24"/>
      <c r="CQ171" s="24"/>
      <c r="CR171" s="24"/>
      <c r="CS171" s="24"/>
      <c r="CT171" s="24"/>
      <c r="CU171" s="24"/>
      <c r="DB171" s="24"/>
      <c r="DC171" s="24"/>
      <c r="DD171" s="24"/>
      <c r="DE171" s="24"/>
      <c r="DL171" s="24"/>
      <c r="DM171" s="24"/>
      <c r="DN171" s="24"/>
      <c r="DO171" s="24"/>
      <c r="DP171" s="24"/>
    </row>
    <row r="172" spans="2:125" s="6" customFormat="1">
      <c r="B172" s="21"/>
      <c r="D172" s="22"/>
      <c r="E172" s="23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CD172" s="24"/>
      <c r="CE172" s="24"/>
      <c r="CF172" s="24"/>
      <c r="CG172" s="24"/>
      <c r="CH172" s="24"/>
      <c r="CI172" s="24"/>
      <c r="CP172" s="24"/>
      <c r="CQ172" s="24"/>
      <c r="CR172" s="24"/>
      <c r="CS172" s="24"/>
      <c r="CT172" s="24"/>
      <c r="CU172" s="24"/>
      <c r="DB172" s="24"/>
      <c r="DC172" s="24"/>
      <c r="DD172" s="24"/>
      <c r="DE172" s="24"/>
      <c r="DL172" s="24"/>
      <c r="DM172" s="24"/>
      <c r="DN172" s="24"/>
      <c r="DO172" s="24"/>
      <c r="DP172" s="24"/>
    </row>
    <row r="173" spans="2:125" s="6" customFormat="1">
      <c r="B173" s="21"/>
      <c r="D173" s="22"/>
      <c r="E173" s="23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CD173" s="24"/>
      <c r="CE173" s="24"/>
      <c r="CF173" s="24"/>
      <c r="CG173" s="24"/>
      <c r="CH173" s="24"/>
      <c r="CI173" s="24"/>
      <c r="CP173" s="24"/>
      <c r="CQ173" s="24"/>
      <c r="CR173" s="24"/>
      <c r="CS173" s="24"/>
      <c r="CT173" s="24"/>
      <c r="CU173" s="24"/>
      <c r="DB173" s="24"/>
      <c r="DC173" s="24"/>
      <c r="DD173" s="24"/>
      <c r="DE173" s="24"/>
      <c r="DL173" s="24"/>
      <c r="DM173" s="24"/>
      <c r="DN173" s="24"/>
      <c r="DO173" s="24"/>
      <c r="DP173" s="24"/>
    </row>
    <row r="174" spans="2:125" s="6" customFormat="1">
      <c r="B174" s="21"/>
      <c r="D174" s="22"/>
      <c r="E174" s="23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CD174" s="24"/>
      <c r="CE174" s="24"/>
      <c r="CF174" s="24"/>
      <c r="CG174" s="24"/>
      <c r="CH174" s="24"/>
      <c r="CI174" s="24"/>
      <c r="CP174" s="24"/>
      <c r="CQ174" s="24"/>
      <c r="CR174" s="24"/>
      <c r="CS174" s="24"/>
      <c r="CT174" s="24"/>
      <c r="CU174" s="24"/>
      <c r="DB174" s="24"/>
      <c r="DC174" s="24"/>
      <c r="DD174" s="24"/>
      <c r="DE174" s="24"/>
      <c r="DL174" s="24"/>
      <c r="DM174" s="24"/>
      <c r="DN174" s="24"/>
      <c r="DO174" s="24"/>
      <c r="DP174" s="24"/>
    </row>
    <row r="175" spans="2:125" s="6" customFormat="1">
      <c r="B175" s="21"/>
      <c r="D175" s="22"/>
      <c r="E175" s="23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CD175" s="24"/>
      <c r="CE175" s="24"/>
      <c r="CF175" s="24"/>
      <c r="CG175" s="24"/>
      <c r="CH175" s="24"/>
      <c r="CI175" s="24"/>
      <c r="CP175" s="24"/>
      <c r="CQ175" s="24"/>
      <c r="CR175" s="24"/>
      <c r="CS175" s="24"/>
      <c r="CT175" s="24"/>
      <c r="CU175" s="24"/>
      <c r="DB175" s="24"/>
      <c r="DC175" s="24"/>
      <c r="DD175" s="24"/>
      <c r="DE175" s="24"/>
      <c r="DL175" s="24"/>
      <c r="DM175" s="24"/>
      <c r="DN175" s="24"/>
      <c r="DO175" s="24"/>
      <c r="DP175" s="24"/>
    </row>
    <row r="176" spans="2:125" s="6" customFormat="1">
      <c r="B176" s="21"/>
      <c r="D176" s="22"/>
      <c r="E176" s="23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CD176" s="24"/>
      <c r="CE176" s="24"/>
      <c r="CF176" s="24"/>
      <c r="CG176" s="24"/>
      <c r="CH176" s="24"/>
      <c r="CI176" s="24"/>
      <c r="CP176" s="24"/>
      <c r="CQ176" s="24"/>
      <c r="CR176" s="24"/>
      <c r="CS176" s="24"/>
      <c r="CT176" s="24"/>
      <c r="CU176" s="24"/>
      <c r="DB176" s="24"/>
      <c r="DC176" s="24"/>
      <c r="DD176" s="24"/>
      <c r="DE176" s="24"/>
      <c r="DL176" s="24"/>
      <c r="DM176" s="24"/>
      <c r="DN176" s="24"/>
      <c r="DO176" s="24"/>
      <c r="DP176" s="24"/>
    </row>
    <row r="177" spans="2:120" s="6" customFormat="1">
      <c r="B177" s="21"/>
      <c r="D177" s="22"/>
      <c r="E177" s="23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CD177" s="24"/>
      <c r="CE177" s="24"/>
      <c r="CF177" s="24"/>
      <c r="CG177" s="24"/>
      <c r="CH177" s="24"/>
      <c r="CI177" s="24"/>
      <c r="CP177" s="24"/>
      <c r="CQ177" s="24"/>
      <c r="CR177" s="24"/>
      <c r="CS177" s="24"/>
      <c r="CT177" s="24"/>
      <c r="CU177" s="24"/>
      <c r="DB177" s="24"/>
      <c r="DC177" s="24"/>
      <c r="DD177" s="24"/>
      <c r="DE177" s="24"/>
      <c r="DL177" s="24"/>
      <c r="DM177" s="24"/>
      <c r="DN177" s="24"/>
      <c r="DO177" s="24"/>
      <c r="DP177" s="24"/>
    </row>
    <row r="178" spans="2:120" s="6" customFormat="1">
      <c r="B178" s="21"/>
      <c r="D178" s="22"/>
      <c r="E178" s="23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CD178" s="24"/>
      <c r="CE178" s="24"/>
      <c r="CF178" s="24"/>
      <c r="CG178" s="24"/>
      <c r="CH178" s="24"/>
      <c r="CI178" s="24"/>
      <c r="CP178" s="24"/>
      <c r="CQ178" s="24"/>
      <c r="CR178" s="24"/>
      <c r="CS178" s="24"/>
      <c r="CT178" s="24"/>
      <c r="CU178" s="24"/>
      <c r="DB178" s="24"/>
      <c r="DC178" s="24"/>
      <c r="DD178" s="24"/>
      <c r="DE178" s="24"/>
      <c r="DL178" s="24"/>
      <c r="DM178" s="24"/>
      <c r="DN178" s="24"/>
      <c r="DO178" s="24"/>
      <c r="DP178" s="24"/>
    </row>
    <row r="179" spans="2:120" s="6" customFormat="1">
      <c r="B179" s="21"/>
      <c r="D179" s="22"/>
      <c r="E179" s="23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CD179" s="24"/>
      <c r="CE179" s="24"/>
      <c r="CF179" s="24"/>
      <c r="CG179" s="24"/>
      <c r="CH179" s="24"/>
      <c r="CI179" s="24"/>
      <c r="CP179" s="24"/>
      <c r="CQ179" s="24"/>
      <c r="CR179" s="24"/>
      <c r="CS179" s="24"/>
      <c r="CT179" s="24"/>
      <c r="CU179" s="24"/>
      <c r="DB179" s="24"/>
      <c r="DC179" s="24"/>
      <c r="DD179" s="24"/>
      <c r="DE179" s="24"/>
      <c r="DL179" s="24"/>
      <c r="DM179" s="24"/>
      <c r="DN179" s="24"/>
      <c r="DO179" s="24"/>
      <c r="DP179" s="24"/>
    </row>
    <row r="180" spans="2:120" s="6" customFormat="1">
      <c r="B180" s="21"/>
      <c r="D180" s="22"/>
      <c r="E180" s="23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CD180" s="24"/>
      <c r="CE180" s="24"/>
      <c r="CF180" s="24"/>
      <c r="CG180" s="24"/>
      <c r="CH180" s="24"/>
      <c r="CI180" s="24"/>
      <c r="CP180" s="24"/>
      <c r="CQ180" s="24"/>
      <c r="CR180" s="24"/>
      <c r="CS180" s="24"/>
      <c r="CT180" s="24"/>
      <c r="CU180" s="24"/>
      <c r="DB180" s="24"/>
      <c r="DC180" s="24"/>
      <c r="DD180" s="24"/>
      <c r="DE180" s="24"/>
      <c r="DL180" s="24"/>
      <c r="DM180" s="24"/>
      <c r="DN180" s="24"/>
      <c r="DO180" s="24"/>
      <c r="DP180" s="24"/>
    </row>
    <row r="181" spans="2:120" s="6" customFormat="1">
      <c r="B181" s="21"/>
      <c r="D181" s="22"/>
      <c r="E181" s="23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CD181" s="24"/>
      <c r="CE181" s="24"/>
      <c r="CF181" s="24"/>
      <c r="CG181" s="24"/>
      <c r="CH181" s="24"/>
      <c r="CI181" s="24"/>
      <c r="CP181" s="24"/>
      <c r="CQ181" s="24"/>
      <c r="CR181" s="24"/>
      <c r="CS181" s="24"/>
      <c r="CT181" s="24"/>
      <c r="CU181" s="24"/>
      <c r="DB181" s="24"/>
      <c r="DC181" s="24"/>
      <c r="DD181" s="24"/>
      <c r="DE181" s="24"/>
      <c r="DL181" s="24"/>
      <c r="DM181" s="24"/>
      <c r="DN181" s="24"/>
      <c r="DO181" s="24"/>
      <c r="DP181" s="24"/>
    </row>
    <row r="182" spans="2:120" s="6" customFormat="1">
      <c r="B182" s="21"/>
      <c r="D182" s="22"/>
      <c r="E182" s="23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CD182" s="24"/>
      <c r="CE182" s="24"/>
      <c r="CF182" s="24"/>
      <c r="CG182" s="24"/>
      <c r="CH182" s="24"/>
      <c r="CI182" s="24"/>
      <c r="CP182" s="24"/>
      <c r="CQ182" s="24"/>
      <c r="CR182" s="24"/>
      <c r="CS182" s="24"/>
      <c r="CT182" s="24"/>
      <c r="CU182" s="24"/>
      <c r="DB182" s="24"/>
      <c r="DC182" s="24"/>
      <c r="DD182" s="24"/>
      <c r="DE182" s="24"/>
      <c r="DL182" s="24"/>
      <c r="DM182" s="24"/>
      <c r="DN182" s="24"/>
      <c r="DO182" s="24"/>
      <c r="DP182" s="24"/>
    </row>
    <row r="183" spans="2:120" s="6" customFormat="1">
      <c r="B183" s="21"/>
      <c r="D183" s="22"/>
      <c r="E183" s="23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CD183" s="24"/>
      <c r="CE183" s="24"/>
      <c r="CF183" s="24"/>
      <c r="CG183" s="24"/>
      <c r="CH183" s="24"/>
      <c r="CI183" s="24"/>
      <c r="CP183" s="24"/>
      <c r="CQ183" s="24"/>
      <c r="CR183" s="24"/>
      <c r="CS183" s="24"/>
      <c r="CT183" s="24"/>
      <c r="CU183" s="24"/>
      <c r="DB183" s="24"/>
      <c r="DC183" s="24"/>
      <c r="DD183" s="24"/>
      <c r="DE183" s="24"/>
      <c r="DL183" s="24"/>
      <c r="DM183" s="24"/>
      <c r="DN183" s="24"/>
      <c r="DO183" s="24"/>
      <c r="DP183" s="24"/>
    </row>
    <row r="184" spans="2:120" s="6" customFormat="1">
      <c r="B184" s="21"/>
      <c r="D184" s="22"/>
      <c r="E184" s="23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CD184" s="24"/>
      <c r="CE184" s="24"/>
      <c r="CF184" s="24"/>
      <c r="CG184" s="24"/>
      <c r="CH184" s="24"/>
      <c r="CI184" s="24"/>
      <c r="CP184" s="24"/>
      <c r="CQ184" s="24"/>
      <c r="CR184" s="24"/>
      <c r="CS184" s="24"/>
      <c r="CT184" s="24"/>
      <c r="CU184" s="24"/>
      <c r="DB184" s="24"/>
      <c r="DC184" s="24"/>
      <c r="DD184" s="24"/>
      <c r="DE184" s="24"/>
      <c r="DL184" s="24"/>
      <c r="DM184" s="24"/>
      <c r="DN184" s="24"/>
      <c r="DO184" s="24"/>
      <c r="DP184" s="24"/>
    </row>
    <row r="185" spans="2:120" s="6" customFormat="1">
      <c r="B185" s="21"/>
      <c r="D185" s="22"/>
      <c r="E185" s="23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CD185" s="24"/>
      <c r="CE185" s="24"/>
      <c r="CF185" s="24"/>
      <c r="CG185" s="24"/>
      <c r="CH185" s="24"/>
      <c r="CI185" s="24"/>
      <c r="CP185" s="24"/>
      <c r="CQ185" s="24"/>
      <c r="CR185" s="24"/>
      <c r="CS185" s="24"/>
      <c r="CT185" s="24"/>
      <c r="CU185" s="24"/>
      <c r="DB185" s="24"/>
      <c r="DC185" s="24"/>
      <c r="DD185" s="24"/>
      <c r="DE185" s="24"/>
      <c r="DL185" s="24"/>
      <c r="DM185" s="24"/>
      <c r="DN185" s="24"/>
      <c r="DO185" s="24"/>
      <c r="DP185" s="24"/>
    </row>
    <row r="186" spans="2:120" s="6" customFormat="1">
      <c r="B186" s="21"/>
      <c r="D186" s="22"/>
      <c r="E186" s="23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CD186" s="24"/>
      <c r="CE186" s="24"/>
      <c r="CF186" s="24"/>
      <c r="CG186" s="24"/>
      <c r="CH186" s="24"/>
      <c r="CI186" s="24"/>
      <c r="CP186" s="24"/>
      <c r="CQ186" s="24"/>
      <c r="CR186" s="24"/>
      <c r="CS186" s="24"/>
      <c r="CT186" s="24"/>
      <c r="CU186" s="24"/>
      <c r="DB186" s="24"/>
      <c r="DC186" s="24"/>
      <c r="DD186" s="24"/>
      <c r="DE186" s="24"/>
      <c r="DL186" s="24"/>
      <c r="DM186" s="24"/>
      <c r="DN186" s="24"/>
      <c r="DO186" s="24"/>
      <c r="DP186" s="24"/>
    </row>
    <row r="187" spans="2:120" s="6" customFormat="1">
      <c r="B187" s="21"/>
      <c r="D187" s="22"/>
      <c r="E187" s="23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CD187" s="24"/>
      <c r="CE187" s="24"/>
      <c r="CF187" s="24"/>
      <c r="CG187" s="24"/>
      <c r="CH187" s="24"/>
      <c r="CI187" s="24"/>
      <c r="CP187" s="24"/>
      <c r="CQ187" s="24"/>
      <c r="CR187" s="24"/>
      <c r="CS187" s="24"/>
      <c r="CT187" s="24"/>
      <c r="CU187" s="24"/>
      <c r="DB187" s="24"/>
      <c r="DC187" s="24"/>
      <c r="DD187" s="24"/>
      <c r="DE187" s="24"/>
      <c r="DL187" s="24"/>
      <c r="DM187" s="24"/>
      <c r="DN187" s="24"/>
      <c r="DO187" s="24"/>
      <c r="DP187" s="24"/>
    </row>
    <row r="188" spans="2:120" s="6" customFormat="1">
      <c r="B188" s="21"/>
      <c r="D188" s="22"/>
      <c r="E188" s="23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CD188" s="24"/>
      <c r="CE188" s="24"/>
      <c r="CF188" s="24"/>
      <c r="CG188" s="24"/>
      <c r="CH188" s="24"/>
      <c r="CI188" s="24"/>
      <c r="CP188" s="24"/>
      <c r="CQ188" s="24"/>
      <c r="CR188" s="24"/>
      <c r="CS188" s="24"/>
      <c r="CT188" s="24"/>
      <c r="CU188" s="24"/>
      <c r="DB188" s="24"/>
      <c r="DC188" s="24"/>
      <c r="DD188" s="24"/>
      <c r="DE188" s="24"/>
      <c r="DL188" s="24"/>
      <c r="DM188" s="24"/>
      <c r="DN188" s="24"/>
      <c r="DO188" s="24"/>
      <c r="DP188" s="24"/>
    </row>
    <row r="189" spans="2:120" s="6" customFormat="1">
      <c r="B189" s="21"/>
      <c r="D189" s="22"/>
      <c r="E189" s="23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CD189" s="24"/>
      <c r="CE189" s="24"/>
      <c r="CF189" s="24"/>
      <c r="CG189" s="24"/>
      <c r="CH189" s="24"/>
      <c r="CI189" s="24"/>
      <c r="CP189" s="24"/>
      <c r="CQ189" s="24"/>
      <c r="CR189" s="24"/>
      <c r="CS189" s="24"/>
      <c r="CT189" s="24"/>
      <c r="CU189" s="24"/>
      <c r="DB189" s="24"/>
      <c r="DC189" s="24"/>
      <c r="DD189" s="24"/>
      <c r="DE189" s="24"/>
      <c r="DL189" s="24"/>
      <c r="DM189" s="24"/>
      <c r="DN189" s="24"/>
      <c r="DO189" s="24"/>
      <c r="DP189" s="24"/>
    </row>
    <row r="190" spans="2:120" s="6" customFormat="1">
      <c r="B190" s="21"/>
      <c r="D190" s="22"/>
      <c r="E190" s="23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CD190" s="24"/>
      <c r="CE190" s="24"/>
      <c r="CF190" s="24"/>
      <c r="CG190" s="24"/>
      <c r="CH190" s="24"/>
      <c r="CI190" s="24"/>
      <c r="CP190" s="24"/>
      <c r="CQ190" s="24"/>
      <c r="CR190" s="24"/>
      <c r="CS190" s="24"/>
      <c r="CT190" s="24"/>
      <c r="CU190" s="24"/>
      <c r="DB190" s="24"/>
      <c r="DC190" s="24"/>
      <c r="DD190" s="24"/>
      <c r="DE190" s="24"/>
      <c r="DL190" s="24"/>
      <c r="DM190" s="24"/>
      <c r="DN190" s="24"/>
      <c r="DO190" s="24"/>
      <c r="DP190" s="24"/>
    </row>
    <row r="191" spans="2:120" s="6" customFormat="1">
      <c r="B191" s="21"/>
      <c r="D191" s="22"/>
      <c r="E191" s="23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CD191" s="24"/>
      <c r="CE191" s="24"/>
      <c r="CF191" s="24"/>
      <c r="CG191" s="24"/>
      <c r="CH191" s="24"/>
      <c r="CI191" s="24"/>
      <c r="CP191" s="24"/>
      <c r="CQ191" s="24"/>
      <c r="CR191" s="24"/>
      <c r="CS191" s="24"/>
      <c r="CT191" s="24"/>
      <c r="CU191" s="24"/>
      <c r="DB191" s="24"/>
      <c r="DC191" s="24"/>
      <c r="DD191" s="24"/>
      <c r="DE191" s="24"/>
      <c r="DL191" s="24"/>
      <c r="DM191" s="24"/>
      <c r="DN191" s="24"/>
      <c r="DO191" s="24"/>
      <c r="DP191" s="24"/>
    </row>
    <row r="192" spans="2:120" s="6" customFormat="1">
      <c r="B192" s="21"/>
      <c r="D192" s="22"/>
      <c r="E192" s="23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CD192" s="24"/>
      <c r="CE192" s="24"/>
      <c r="CF192" s="24"/>
      <c r="CG192" s="24"/>
      <c r="CH192" s="24"/>
      <c r="CI192" s="24"/>
      <c r="CP192" s="24"/>
      <c r="CQ192" s="24"/>
      <c r="CR192" s="24"/>
      <c r="CS192" s="24"/>
      <c r="CT192" s="24"/>
      <c r="CU192" s="24"/>
      <c r="DB192" s="24"/>
      <c r="DC192" s="24"/>
      <c r="DD192" s="24"/>
      <c r="DE192" s="24"/>
      <c r="DL192" s="24"/>
      <c r="DM192" s="24"/>
      <c r="DN192" s="24"/>
      <c r="DO192" s="24"/>
      <c r="DP192" s="24"/>
    </row>
    <row r="193" spans="2:120" s="6" customFormat="1">
      <c r="B193" s="21"/>
      <c r="D193" s="22"/>
      <c r="E193" s="23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CD193" s="24"/>
      <c r="CE193" s="24"/>
      <c r="CF193" s="24"/>
      <c r="CG193" s="24"/>
      <c r="CH193" s="24"/>
      <c r="CI193" s="24"/>
      <c r="CP193" s="24"/>
      <c r="CQ193" s="24"/>
      <c r="CR193" s="24"/>
      <c r="CS193" s="24"/>
      <c r="CT193" s="24"/>
      <c r="CU193" s="24"/>
      <c r="DB193" s="24"/>
      <c r="DC193" s="24"/>
      <c r="DD193" s="24"/>
      <c r="DE193" s="24"/>
      <c r="DL193" s="24"/>
      <c r="DM193" s="24"/>
      <c r="DN193" s="24"/>
      <c r="DO193" s="24"/>
      <c r="DP193" s="24"/>
    </row>
    <row r="194" spans="2:120" s="6" customFormat="1">
      <c r="B194" s="21"/>
      <c r="D194" s="22"/>
      <c r="E194" s="23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CD194" s="24"/>
      <c r="CE194" s="24"/>
      <c r="CF194" s="24"/>
      <c r="CG194" s="24"/>
      <c r="CH194" s="24"/>
      <c r="CI194" s="24"/>
      <c r="CP194" s="24"/>
      <c r="CQ194" s="24"/>
      <c r="CR194" s="24"/>
      <c r="CS194" s="24"/>
      <c r="CT194" s="24"/>
      <c r="CU194" s="24"/>
      <c r="DB194" s="24"/>
      <c r="DC194" s="24"/>
      <c r="DD194" s="24"/>
      <c r="DE194" s="24"/>
      <c r="DL194" s="24"/>
      <c r="DM194" s="24"/>
      <c r="DN194" s="24"/>
      <c r="DO194" s="24"/>
      <c r="DP194" s="24"/>
    </row>
    <row r="195" spans="2:120" s="6" customFormat="1">
      <c r="B195" s="21"/>
      <c r="D195" s="22"/>
      <c r="E195" s="23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CD195" s="24"/>
      <c r="CE195" s="24"/>
      <c r="CF195" s="24"/>
      <c r="CG195" s="24"/>
      <c r="CH195" s="24"/>
      <c r="CI195" s="24"/>
      <c r="CP195" s="24"/>
      <c r="CQ195" s="24"/>
      <c r="CR195" s="24"/>
      <c r="CS195" s="24"/>
      <c r="CT195" s="24"/>
      <c r="CU195" s="24"/>
      <c r="DB195" s="24"/>
      <c r="DC195" s="24"/>
      <c r="DD195" s="24"/>
      <c r="DE195" s="24"/>
      <c r="DL195" s="24"/>
      <c r="DM195" s="24"/>
      <c r="DN195" s="24"/>
      <c r="DO195" s="24"/>
      <c r="DP195" s="24"/>
    </row>
    <row r="196" spans="2:120" s="6" customFormat="1">
      <c r="B196" s="21"/>
      <c r="D196" s="22"/>
      <c r="E196" s="23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CD196" s="24"/>
      <c r="CE196" s="24"/>
      <c r="CF196" s="24"/>
      <c r="CG196" s="24"/>
      <c r="CH196" s="24"/>
      <c r="CI196" s="24"/>
      <c r="CP196" s="24"/>
      <c r="CQ196" s="24"/>
      <c r="CR196" s="24"/>
      <c r="CS196" s="24"/>
      <c r="CT196" s="24"/>
      <c r="CU196" s="24"/>
      <c r="DB196" s="24"/>
      <c r="DC196" s="24"/>
      <c r="DD196" s="24"/>
      <c r="DE196" s="24"/>
      <c r="DL196" s="24"/>
      <c r="DM196" s="24"/>
      <c r="DN196" s="24"/>
      <c r="DO196" s="24"/>
      <c r="DP196" s="24"/>
    </row>
    <row r="197" spans="2:120" s="6" customFormat="1">
      <c r="B197" s="21"/>
      <c r="D197" s="22"/>
      <c r="E197" s="23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CD197" s="24"/>
      <c r="CE197" s="24"/>
      <c r="CF197" s="24"/>
      <c r="CG197" s="24"/>
      <c r="CH197" s="24"/>
      <c r="CI197" s="24"/>
      <c r="CP197" s="24"/>
      <c r="CQ197" s="24"/>
      <c r="CR197" s="24"/>
      <c r="CS197" s="24"/>
      <c r="CT197" s="24"/>
      <c r="CU197" s="24"/>
      <c r="DB197" s="24"/>
      <c r="DC197" s="24"/>
      <c r="DD197" s="24"/>
      <c r="DE197" s="24"/>
      <c r="DL197" s="24"/>
      <c r="DM197" s="24"/>
      <c r="DN197" s="24"/>
      <c r="DO197" s="24"/>
      <c r="DP197" s="24"/>
    </row>
    <row r="198" spans="2:120" s="6" customFormat="1">
      <c r="B198" s="21"/>
      <c r="D198" s="22"/>
      <c r="E198" s="23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CD198" s="24"/>
      <c r="CE198" s="24"/>
      <c r="CF198" s="24"/>
      <c r="CG198" s="24"/>
      <c r="CH198" s="24"/>
      <c r="CI198" s="24"/>
      <c r="CP198" s="24"/>
      <c r="CQ198" s="24"/>
      <c r="CR198" s="24"/>
      <c r="CS198" s="24"/>
      <c r="CT198" s="24"/>
      <c r="CU198" s="24"/>
      <c r="DB198" s="24"/>
      <c r="DC198" s="24"/>
      <c r="DD198" s="24"/>
      <c r="DE198" s="24"/>
      <c r="DL198" s="24"/>
      <c r="DM198" s="24"/>
      <c r="DN198" s="24"/>
      <c r="DO198" s="24"/>
      <c r="DP198" s="24"/>
    </row>
    <row r="199" spans="2:120" s="6" customFormat="1">
      <c r="B199" s="21"/>
      <c r="D199" s="22"/>
      <c r="E199" s="23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CD199" s="24"/>
      <c r="CE199" s="24"/>
      <c r="CF199" s="24"/>
      <c r="CG199" s="24"/>
      <c r="CH199" s="24"/>
      <c r="CI199" s="24"/>
      <c r="CP199" s="24"/>
      <c r="CQ199" s="24"/>
      <c r="CR199" s="24"/>
      <c r="CS199" s="24"/>
      <c r="CT199" s="24"/>
      <c r="CU199" s="24"/>
      <c r="DB199" s="24"/>
      <c r="DC199" s="24"/>
      <c r="DD199" s="24"/>
      <c r="DE199" s="24"/>
      <c r="DL199" s="24"/>
      <c r="DM199" s="24"/>
      <c r="DN199" s="24"/>
      <c r="DO199" s="24"/>
      <c r="DP199" s="24"/>
    </row>
    <row r="200" spans="2:120" s="6" customFormat="1">
      <c r="B200" s="21"/>
      <c r="D200" s="22"/>
      <c r="E200" s="23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CD200" s="24"/>
      <c r="CE200" s="24"/>
      <c r="CF200" s="24"/>
      <c r="CG200" s="24"/>
      <c r="CH200" s="24"/>
      <c r="CI200" s="24"/>
      <c r="CP200" s="24"/>
      <c r="CQ200" s="24"/>
      <c r="CR200" s="24"/>
      <c r="CS200" s="24"/>
      <c r="CT200" s="24"/>
      <c r="CU200" s="24"/>
      <c r="DB200" s="24"/>
      <c r="DC200" s="24"/>
      <c r="DD200" s="24"/>
      <c r="DE200" s="24"/>
      <c r="DL200" s="24"/>
      <c r="DM200" s="24"/>
      <c r="DN200" s="24"/>
      <c r="DO200" s="24"/>
      <c r="DP200" s="24"/>
    </row>
    <row r="201" spans="2:120" s="6" customFormat="1">
      <c r="B201" s="21"/>
      <c r="D201" s="22"/>
      <c r="E201" s="23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CD201" s="24"/>
      <c r="CE201" s="24"/>
      <c r="CF201" s="24"/>
      <c r="CG201" s="24"/>
      <c r="CH201" s="24"/>
      <c r="CI201" s="24"/>
      <c r="CP201" s="24"/>
      <c r="CQ201" s="24"/>
      <c r="CR201" s="24"/>
      <c r="CS201" s="24"/>
      <c r="CT201" s="24"/>
      <c r="CU201" s="24"/>
      <c r="DB201" s="24"/>
      <c r="DC201" s="24"/>
      <c r="DD201" s="24"/>
      <c r="DE201" s="24"/>
      <c r="DL201" s="24"/>
      <c r="DM201" s="24"/>
      <c r="DN201" s="24"/>
      <c r="DO201" s="24"/>
      <c r="DP201" s="24"/>
    </row>
    <row r="202" spans="2:120" s="6" customFormat="1">
      <c r="B202" s="21"/>
      <c r="D202" s="22"/>
      <c r="E202" s="23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CD202" s="24"/>
      <c r="CE202" s="24"/>
      <c r="CF202" s="24"/>
      <c r="CG202" s="24"/>
      <c r="CH202" s="24"/>
      <c r="CI202" s="24"/>
      <c r="CP202" s="24"/>
      <c r="CQ202" s="24"/>
      <c r="CR202" s="24"/>
      <c r="CS202" s="24"/>
      <c r="CT202" s="24"/>
      <c r="CU202" s="24"/>
      <c r="DB202" s="24"/>
      <c r="DC202" s="24"/>
      <c r="DD202" s="24"/>
      <c r="DE202" s="24"/>
      <c r="DL202" s="24"/>
      <c r="DM202" s="24"/>
      <c r="DN202" s="24"/>
      <c r="DO202" s="24"/>
      <c r="DP202" s="24"/>
    </row>
    <row r="203" spans="2:120" s="6" customFormat="1">
      <c r="B203" s="21"/>
      <c r="D203" s="22"/>
      <c r="E203" s="23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CD203" s="24"/>
      <c r="CE203" s="24"/>
      <c r="CF203" s="24"/>
      <c r="CG203" s="24"/>
      <c r="CH203" s="24"/>
      <c r="CI203" s="24"/>
      <c r="CP203" s="24"/>
      <c r="CQ203" s="24"/>
      <c r="CR203" s="24"/>
      <c r="CS203" s="24"/>
      <c r="CT203" s="24"/>
      <c r="CU203" s="24"/>
      <c r="DB203" s="24"/>
      <c r="DC203" s="24"/>
      <c r="DD203" s="24"/>
      <c r="DE203" s="24"/>
      <c r="DL203" s="24"/>
      <c r="DM203" s="24"/>
      <c r="DN203" s="24"/>
      <c r="DO203" s="24"/>
      <c r="DP203" s="24"/>
    </row>
    <row r="204" spans="2:120" s="6" customFormat="1">
      <c r="B204" s="21"/>
      <c r="D204" s="22"/>
      <c r="E204" s="23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CD204" s="24"/>
      <c r="CE204" s="24"/>
      <c r="CF204" s="24"/>
      <c r="CG204" s="24"/>
      <c r="CH204" s="24"/>
      <c r="CI204" s="24"/>
      <c r="CP204" s="24"/>
      <c r="CQ204" s="24"/>
      <c r="CR204" s="24"/>
      <c r="CS204" s="24"/>
      <c r="CT204" s="24"/>
      <c r="CU204" s="24"/>
      <c r="DB204" s="24"/>
      <c r="DC204" s="24"/>
      <c r="DD204" s="24"/>
      <c r="DE204" s="24"/>
      <c r="DL204" s="24"/>
      <c r="DM204" s="24"/>
      <c r="DN204" s="24"/>
      <c r="DO204" s="24"/>
      <c r="DP204" s="24"/>
    </row>
    <row r="205" spans="2:120" s="6" customFormat="1">
      <c r="B205" s="21"/>
      <c r="D205" s="22"/>
      <c r="E205" s="23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CD205" s="24"/>
      <c r="CE205" s="24"/>
      <c r="CF205" s="24"/>
      <c r="CG205" s="24"/>
      <c r="CH205" s="24"/>
      <c r="CI205" s="24"/>
      <c r="CP205" s="24"/>
      <c r="CQ205" s="24"/>
      <c r="CR205" s="24"/>
      <c r="CS205" s="24"/>
      <c r="CT205" s="24"/>
      <c r="CU205" s="24"/>
      <c r="DB205" s="24"/>
      <c r="DC205" s="24"/>
      <c r="DD205" s="24"/>
      <c r="DE205" s="24"/>
      <c r="DL205" s="24"/>
      <c r="DM205" s="24"/>
      <c r="DN205" s="24"/>
      <c r="DO205" s="24"/>
      <c r="DP205" s="24"/>
    </row>
    <row r="206" spans="2:120" s="6" customFormat="1">
      <c r="B206" s="21"/>
      <c r="D206" s="22"/>
      <c r="E206" s="23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CD206" s="24"/>
      <c r="CE206" s="24"/>
      <c r="CF206" s="24"/>
      <c r="CG206" s="24"/>
      <c r="CH206" s="24"/>
      <c r="CI206" s="24"/>
      <c r="CP206" s="24"/>
      <c r="CQ206" s="24"/>
      <c r="CR206" s="24"/>
      <c r="CS206" s="24"/>
      <c r="CT206" s="24"/>
      <c r="CU206" s="24"/>
      <c r="DB206" s="24"/>
      <c r="DC206" s="24"/>
      <c r="DD206" s="24"/>
      <c r="DE206" s="24"/>
      <c r="DL206" s="24"/>
      <c r="DM206" s="24"/>
      <c r="DN206" s="24"/>
      <c r="DO206" s="24"/>
      <c r="DP206" s="24"/>
    </row>
    <row r="207" spans="2:120" s="6" customFormat="1">
      <c r="B207" s="21"/>
      <c r="D207" s="22"/>
      <c r="E207" s="23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CD207" s="24"/>
      <c r="CE207" s="24"/>
      <c r="CF207" s="24"/>
      <c r="CG207" s="24"/>
      <c r="CH207" s="24"/>
      <c r="CI207" s="24"/>
      <c r="CP207" s="24"/>
      <c r="CQ207" s="24"/>
      <c r="CR207" s="24"/>
      <c r="CS207" s="24"/>
      <c r="CT207" s="24"/>
      <c r="CU207" s="24"/>
      <c r="DB207" s="24"/>
      <c r="DC207" s="24"/>
      <c r="DD207" s="24"/>
      <c r="DE207" s="24"/>
      <c r="DL207" s="24"/>
      <c r="DM207" s="24"/>
      <c r="DN207" s="24"/>
      <c r="DO207" s="24"/>
      <c r="DP207" s="24"/>
    </row>
    <row r="208" spans="2:120" s="6" customFormat="1">
      <c r="B208" s="21"/>
      <c r="D208" s="22"/>
      <c r="E208" s="23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R208" s="24"/>
      <c r="AS208" s="24"/>
      <c r="AT208" s="24"/>
      <c r="AU208" s="24"/>
      <c r="AV208" s="24"/>
      <c r="AW208" s="24"/>
      <c r="BD208" s="24"/>
      <c r="BE208" s="24"/>
      <c r="BF208" s="24"/>
      <c r="BG208" s="24"/>
      <c r="BH208" s="24"/>
      <c r="BI208" s="24"/>
      <c r="BP208" s="24"/>
      <c r="BQ208" s="24"/>
      <c r="BR208" s="24"/>
      <c r="BS208" s="24"/>
      <c r="BZ208" s="24"/>
      <c r="CA208" s="24"/>
      <c r="CB208" s="24"/>
      <c r="CC208" s="24"/>
      <c r="CD208" s="24"/>
    </row>
    <row r="209" spans="2:82" s="6" customFormat="1">
      <c r="B209" s="21"/>
      <c r="D209" s="22"/>
      <c r="E209" s="23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R209" s="24"/>
      <c r="AS209" s="24"/>
      <c r="AT209" s="24"/>
      <c r="AU209" s="24"/>
      <c r="AV209" s="24"/>
      <c r="AW209" s="24"/>
      <c r="BD209" s="24"/>
      <c r="BE209" s="24"/>
      <c r="BF209" s="24"/>
      <c r="BG209" s="24"/>
      <c r="BH209" s="24"/>
      <c r="BI209" s="24"/>
      <c r="BP209" s="24"/>
      <c r="BQ209" s="24"/>
      <c r="BR209" s="24"/>
      <c r="BS209" s="24"/>
      <c r="BZ209" s="24"/>
      <c r="CA209" s="24"/>
      <c r="CB209" s="24"/>
      <c r="CC209" s="24"/>
      <c r="CD209" s="24"/>
    </row>
    <row r="210" spans="2:82" s="6" customFormat="1">
      <c r="B210" s="21"/>
      <c r="D210" s="22"/>
      <c r="E210" s="23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R210" s="24"/>
      <c r="AS210" s="24"/>
      <c r="AT210" s="24"/>
      <c r="AU210" s="24"/>
      <c r="AV210" s="24"/>
      <c r="AW210" s="24"/>
      <c r="BD210" s="24"/>
      <c r="BE210" s="24"/>
      <c r="BF210" s="24"/>
      <c r="BG210" s="24"/>
      <c r="BH210" s="24"/>
      <c r="BI210" s="24"/>
      <c r="BP210" s="24"/>
      <c r="BQ210" s="24"/>
      <c r="BR210" s="24"/>
      <c r="BS210" s="24"/>
      <c r="BZ210" s="24"/>
      <c r="CA210" s="24"/>
      <c r="CB210" s="24"/>
      <c r="CC210" s="24"/>
      <c r="CD210" s="24"/>
    </row>
    <row r="211" spans="2:82" s="6" customFormat="1">
      <c r="B211" s="21"/>
      <c r="D211" s="22"/>
      <c r="E211" s="23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R211" s="24"/>
      <c r="AS211" s="24"/>
      <c r="AT211" s="24"/>
      <c r="AU211" s="24"/>
      <c r="AV211" s="24"/>
      <c r="AW211" s="24"/>
      <c r="BD211" s="24"/>
      <c r="BE211" s="24"/>
      <c r="BF211" s="24"/>
      <c r="BG211" s="24"/>
      <c r="BH211" s="24"/>
      <c r="BI211" s="24"/>
      <c r="BP211" s="24"/>
      <c r="BQ211" s="24"/>
      <c r="BR211" s="24"/>
      <c r="BS211" s="24"/>
      <c r="BZ211" s="24"/>
      <c r="CA211" s="24"/>
      <c r="CB211" s="24"/>
      <c r="CC211" s="24"/>
      <c r="CD211" s="24"/>
    </row>
    <row r="212" spans="2:82" s="6" customFormat="1">
      <c r="B212" s="21"/>
      <c r="D212" s="22"/>
      <c r="E212" s="23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R212" s="24"/>
      <c r="AS212" s="24"/>
      <c r="AT212" s="24"/>
      <c r="AU212" s="24"/>
      <c r="AV212" s="24"/>
      <c r="AW212" s="24"/>
      <c r="BD212" s="24"/>
      <c r="BE212" s="24"/>
      <c r="BF212" s="24"/>
      <c r="BG212" s="24"/>
      <c r="BH212" s="24"/>
      <c r="BI212" s="24"/>
      <c r="BP212" s="24"/>
      <c r="BQ212" s="24"/>
      <c r="BR212" s="24"/>
      <c r="BS212" s="24"/>
      <c r="BZ212" s="24"/>
      <c r="CA212" s="24"/>
      <c r="CB212" s="24"/>
      <c r="CC212" s="24"/>
      <c r="CD212" s="24"/>
    </row>
    <row r="213" spans="2:82" s="6" customFormat="1">
      <c r="B213" s="21"/>
      <c r="D213" s="22"/>
      <c r="E213" s="23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R213" s="24"/>
      <c r="AS213" s="24"/>
      <c r="AT213" s="24"/>
      <c r="AU213" s="24"/>
      <c r="AV213" s="24"/>
      <c r="AW213" s="24"/>
      <c r="BD213" s="24"/>
      <c r="BE213" s="24"/>
      <c r="BF213" s="24"/>
      <c r="BG213" s="24"/>
      <c r="BH213" s="24"/>
      <c r="BI213" s="24"/>
      <c r="BP213" s="24"/>
      <c r="BQ213" s="24"/>
      <c r="BR213" s="24"/>
      <c r="BS213" s="24"/>
      <c r="BZ213" s="24"/>
      <c r="CA213" s="24"/>
      <c r="CB213" s="24"/>
      <c r="CC213" s="24"/>
      <c r="CD213" s="24"/>
    </row>
    <row r="214" spans="2:82" s="6" customFormat="1">
      <c r="B214" s="21"/>
      <c r="D214" s="22"/>
      <c r="E214" s="23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R214" s="24"/>
      <c r="AS214" s="24"/>
      <c r="AT214" s="24"/>
      <c r="AU214" s="24"/>
      <c r="AV214" s="24"/>
      <c r="AW214" s="24"/>
      <c r="BD214" s="24"/>
      <c r="BE214" s="24"/>
      <c r="BF214" s="24"/>
      <c r="BG214" s="24"/>
      <c r="BH214" s="24"/>
      <c r="BI214" s="24"/>
      <c r="BP214" s="24"/>
      <c r="BQ214" s="24"/>
      <c r="BR214" s="24"/>
      <c r="BS214" s="24"/>
      <c r="BZ214" s="24"/>
      <c r="CA214" s="24"/>
      <c r="CB214" s="24"/>
      <c r="CC214" s="24"/>
      <c r="CD214" s="24"/>
    </row>
    <row r="215" spans="2:82" s="6" customFormat="1">
      <c r="B215" s="21"/>
      <c r="D215" s="22"/>
      <c r="E215" s="23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R215" s="24"/>
      <c r="AS215" s="24"/>
      <c r="AT215" s="24"/>
      <c r="AU215" s="24"/>
      <c r="AV215" s="24"/>
      <c r="AW215" s="24"/>
      <c r="BD215" s="24"/>
      <c r="BE215" s="24"/>
      <c r="BF215" s="24"/>
      <c r="BG215" s="24"/>
      <c r="BH215" s="24"/>
      <c r="BI215" s="24"/>
      <c r="BP215" s="24"/>
      <c r="BQ215" s="24"/>
      <c r="BR215" s="24"/>
      <c r="BS215" s="24"/>
      <c r="BZ215" s="24"/>
      <c r="CA215" s="24"/>
      <c r="CB215" s="24"/>
      <c r="CC215" s="24"/>
      <c r="CD215" s="24"/>
    </row>
    <row r="216" spans="2:82" s="6" customFormat="1">
      <c r="B216" s="21"/>
      <c r="D216" s="22"/>
      <c r="E216" s="23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R216" s="24"/>
      <c r="AS216" s="24"/>
      <c r="AT216" s="24"/>
      <c r="AU216" s="24"/>
      <c r="AV216" s="24"/>
      <c r="AW216" s="24"/>
      <c r="BD216" s="24"/>
      <c r="BE216" s="24"/>
      <c r="BF216" s="24"/>
      <c r="BG216" s="24"/>
      <c r="BH216" s="24"/>
      <c r="BI216" s="24"/>
      <c r="BP216" s="24"/>
      <c r="BQ216" s="24"/>
      <c r="BR216" s="24"/>
      <c r="BS216" s="24"/>
      <c r="BZ216" s="24"/>
      <c r="CA216" s="24"/>
      <c r="CB216" s="24"/>
      <c r="CC216" s="24"/>
      <c r="CD216" s="24"/>
    </row>
    <row r="217" spans="2:82" s="6" customFormat="1">
      <c r="B217" s="21"/>
      <c r="D217" s="22"/>
      <c r="E217" s="23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R217" s="24"/>
      <c r="AS217" s="24"/>
      <c r="AT217" s="24"/>
      <c r="AU217" s="24"/>
      <c r="AV217" s="24"/>
      <c r="AW217" s="24"/>
      <c r="BD217" s="24"/>
      <c r="BE217" s="24"/>
      <c r="BF217" s="24"/>
      <c r="BG217" s="24"/>
      <c r="BH217" s="24"/>
      <c r="BI217" s="24"/>
      <c r="BP217" s="24"/>
      <c r="BQ217" s="24"/>
      <c r="BR217" s="24"/>
      <c r="BS217" s="24"/>
      <c r="BZ217" s="24"/>
      <c r="CA217" s="24"/>
      <c r="CB217" s="24"/>
      <c r="CC217" s="24"/>
      <c r="CD217" s="24"/>
    </row>
    <row r="218" spans="2:82" s="6" customFormat="1">
      <c r="B218" s="21"/>
      <c r="D218" s="22"/>
      <c r="E218" s="23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R218" s="24"/>
      <c r="AS218" s="24"/>
      <c r="AT218" s="24"/>
      <c r="AU218" s="24"/>
      <c r="AV218" s="24"/>
      <c r="AW218" s="24"/>
      <c r="BD218" s="24"/>
      <c r="BE218" s="24"/>
      <c r="BF218" s="24"/>
      <c r="BG218" s="24"/>
      <c r="BH218" s="24"/>
      <c r="BI218" s="24"/>
      <c r="BP218" s="24"/>
      <c r="BQ218" s="24"/>
      <c r="BR218" s="24"/>
      <c r="BS218" s="24"/>
      <c r="BZ218" s="24"/>
      <c r="CA218" s="24"/>
      <c r="CB218" s="24"/>
      <c r="CC218" s="24"/>
      <c r="CD218" s="24"/>
    </row>
    <row r="219" spans="2:82" s="6" customFormat="1">
      <c r="B219" s="21"/>
      <c r="D219" s="22"/>
      <c r="E219" s="23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R219" s="24"/>
      <c r="AS219" s="24"/>
      <c r="AT219" s="24"/>
      <c r="AU219" s="24"/>
      <c r="AV219" s="24"/>
      <c r="AW219" s="24"/>
      <c r="BD219" s="24"/>
      <c r="BE219" s="24"/>
      <c r="BF219" s="24"/>
      <c r="BG219" s="24"/>
      <c r="BH219" s="24"/>
      <c r="BI219" s="24"/>
      <c r="BP219" s="24"/>
      <c r="BQ219" s="24"/>
      <c r="BR219" s="24"/>
      <c r="BS219" s="24"/>
      <c r="BZ219" s="24"/>
      <c r="CA219" s="24"/>
      <c r="CB219" s="24"/>
      <c r="CC219" s="24"/>
      <c r="CD219" s="24"/>
    </row>
    <row r="220" spans="2:82" s="6" customFormat="1">
      <c r="B220" s="21"/>
      <c r="D220" s="22"/>
      <c r="E220" s="23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R220" s="24"/>
      <c r="AS220" s="24"/>
      <c r="AT220" s="24"/>
      <c r="AU220" s="24"/>
      <c r="AV220" s="24"/>
      <c r="AW220" s="24"/>
      <c r="BD220" s="24"/>
      <c r="BE220" s="24"/>
      <c r="BF220" s="24"/>
      <c r="BG220" s="24"/>
      <c r="BH220" s="24"/>
      <c r="BI220" s="24"/>
      <c r="BP220" s="24"/>
      <c r="BQ220" s="24"/>
      <c r="BR220" s="24"/>
      <c r="BS220" s="24"/>
      <c r="BZ220" s="24"/>
      <c r="CA220" s="24"/>
      <c r="CB220" s="24"/>
      <c r="CC220" s="24"/>
      <c r="CD220" s="24"/>
    </row>
    <row r="221" spans="2:82" s="6" customFormat="1">
      <c r="B221" s="21"/>
      <c r="D221" s="22"/>
      <c r="E221" s="23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R221" s="24"/>
      <c r="AS221" s="24"/>
      <c r="AT221" s="24"/>
      <c r="AU221" s="24"/>
      <c r="AV221" s="24"/>
      <c r="AW221" s="24"/>
      <c r="BD221" s="24"/>
      <c r="BE221" s="24"/>
      <c r="BF221" s="24"/>
      <c r="BG221" s="24"/>
      <c r="BH221" s="24"/>
      <c r="BI221" s="24"/>
      <c r="BP221" s="24"/>
      <c r="BQ221" s="24"/>
      <c r="BR221" s="24"/>
      <c r="BS221" s="24"/>
      <c r="BZ221" s="24"/>
      <c r="CA221" s="24"/>
      <c r="CB221" s="24"/>
      <c r="CC221" s="24"/>
      <c r="CD221" s="24"/>
    </row>
    <row r="222" spans="2:82" s="6" customFormat="1">
      <c r="B222" s="21"/>
      <c r="D222" s="22"/>
      <c r="E222" s="23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R222" s="24"/>
      <c r="AS222" s="24"/>
      <c r="AT222" s="24"/>
      <c r="AU222" s="24"/>
      <c r="AV222" s="24"/>
      <c r="AW222" s="24"/>
      <c r="BD222" s="24"/>
      <c r="BE222" s="24"/>
      <c r="BF222" s="24"/>
      <c r="BG222" s="24"/>
      <c r="BH222" s="24"/>
      <c r="BI222" s="24"/>
      <c r="BP222" s="24"/>
      <c r="BQ222" s="24"/>
      <c r="BR222" s="24"/>
      <c r="BS222" s="24"/>
      <c r="BZ222" s="24"/>
      <c r="CA222" s="24"/>
      <c r="CB222" s="24"/>
      <c r="CC222" s="24"/>
      <c r="CD222" s="24"/>
    </row>
    <row r="223" spans="2:82" s="6" customFormat="1">
      <c r="B223" s="21"/>
      <c r="D223" s="22"/>
      <c r="E223" s="23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R223" s="24"/>
      <c r="AS223" s="24"/>
      <c r="AT223" s="24"/>
      <c r="AU223" s="24"/>
      <c r="AV223" s="24"/>
      <c r="AW223" s="24"/>
      <c r="BD223" s="24"/>
      <c r="BE223" s="24"/>
      <c r="BF223" s="24"/>
      <c r="BG223" s="24"/>
      <c r="BH223" s="24"/>
      <c r="BI223" s="24"/>
      <c r="BP223" s="24"/>
      <c r="BQ223" s="24"/>
      <c r="BR223" s="24"/>
      <c r="BS223" s="24"/>
      <c r="BZ223" s="24"/>
      <c r="CA223" s="24"/>
      <c r="CB223" s="24"/>
      <c r="CC223" s="24"/>
      <c r="CD223" s="24"/>
    </row>
    <row r="224" spans="2:82" s="6" customFormat="1">
      <c r="B224" s="21"/>
      <c r="D224" s="22"/>
      <c r="E224" s="23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R224" s="24"/>
      <c r="AS224" s="24"/>
      <c r="AT224" s="24"/>
      <c r="AU224" s="24"/>
      <c r="AV224" s="24"/>
      <c r="AW224" s="24"/>
      <c r="BD224" s="24"/>
      <c r="BE224" s="24"/>
      <c r="BF224" s="24"/>
      <c r="BG224" s="24"/>
      <c r="BH224" s="24"/>
      <c r="BI224" s="24"/>
      <c r="BP224" s="24"/>
      <c r="BQ224" s="24"/>
      <c r="BR224" s="24"/>
      <c r="BS224" s="24"/>
      <c r="BZ224" s="24"/>
      <c r="CA224" s="24"/>
      <c r="CB224" s="24"/>
      <c r="CC224" s="24"/>
      <c r="CD224" s="24"/>
    </row>
    <row r="225" spans="2:82" s="6" customFormat="1">
      <c r="B225" s="21"/>
      <c r="D225" s="22"/>
      <c r="E225" s="23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R225" s="24"/>
      <c r="AS225" s="24"/>
      <c r="AT225" s="24"/>
      <c r="AU225" s="24"/>
      <c r="AV225" s="24"/>
      <c r="AW225" s="24"/>
      <c r="BD225" s="24"/>
      <c r="BE225" s="24"/>
      <c r="BF225" s="24"/>
      <c r="BG225" s="24"/>
      <c r="BH225" s="24"/>
      <c r="BI225" s="24"/>
      <c r="BP225" s="24"/>
      <c r="BQ225" s="24"/>
      <c r="BR225" s="24"/>
      <c r="BS225" s="24"/>
      <c r="BZ225" s="24"/>
      <c r="CA225" s="24"/>
      <c r="CB225" s="24"/>
      <c r="CC225" s="24"/>
      <c r="CD225" s="24"/>
    </row>
    <row r="226" spans="2:82" s="6" customFormat="1">
      <c r="B226" s="21"/>
      <c r="D226" s="22"/>
      <c r="E226" s="23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R226" s="24"/>
      <c r="AS226" s="24"/>
      <c r="AT226" s="24"/>
      <c r="AU226" s="24"/>
      <c r="AV226" s="24"/>
      <c r="AW226" s="24"/>
      <c r="BD226" s="24"/>
      <c r="BE226" s="24"/>
      <c r="BF226" s="24"/>
      <c r="BG226" s="24"/>
      <c r="BH226" s="24"/>
      <c r="BI226" s="24"/>
      <c r="BP226" s="24"/>
      <c r="BQ226" s="24"/>
      <c r="BR226" s="24"/>
      <c r="BS226" s="24"/>
      <c r="BZ226" s="24"/>
      <c r="CA226" s="24"/>
      <c r="CB226" s="24"/>
      <c r="CC226" s="24"/>
      <c r="CD226" s="24"/>
    </row>
    <row r="227" spans="2:82" s="6" customFormat="1">
      <c r="B227" s="21"/>
      <c r="D227" s="22"/>
      <c r="E227" s="23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R227" s="24"/>
      <c r="AS227" s="24"/>
      <c r="AT227" s="24"/>
      <c r="AU227" s="24"/>
      <c r="AV227" s="24"/>
      <c r="AW227" s="24"/>
      <c r="BD227" s="24"/>
      <c r="BE227" s="24"/>
      <c r="BF227" s="24"/>
      <c r="BG227" s="24"/>
      <c r="BH227" s="24"/>
      <c r="BI227" s="24"/>
      <c r="BP227" s="24"/>
      <c r="BQ227" s="24"/>
      <c r="BR227" s="24"/>
      <c r="BS227" s="24"/>
      <c r="BZ227" s="24"/>
      <c r="CA227" s="24"/>
      <c r="CB227" s="24"/>
      <c r="CC227" s="24"/>
      <c r="CD227" s="24"/>
    </row>
    <row r="228" spans="2:82" s="6" customFormat="1">
      <c r="B228" s="21"/>
      <c r="D228" s="22"/>
      <c r="E228" s="23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R228" s="24"/>
      <c r="AS228" s="24"/>
      <c r="AT228" s="24"/>
      <c r="AU228" s="24"/>
      <c r="AV228" s="24"/>
      <c r="AW228" s="24"/>
      <c r="BD228" s="24"/>
      <c r="BE228" s="24"/>
      <c r="BF228" s="24"/>
      <c r="BG228" s="24"/>
      <c r="BH228" s="24"/>
      <c r="BI228" s="24"/>
      <c r="BP228" s="24"/>
      <c r="BQ228" s="24"/>
      <c r="BR228" s="24"/>
      <c r="BS228" s="24"/>
      <c r="BZ228" s="24"/>
      <c r="CA228" s="24"/>
      <c r="CB228" s="24"/>
      <c r="CC228" s="24"/>
      <c r="CD228" s="24"/>
    </row>
    <row r="229" spans="2:82" s="6" customFormat="1">
      <c r="B229" s="21"/>
      <c r="D229" s="22"/>
      <c r="E229" s="23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R229" s="24"/>
      <c r="AS229" s="24"/>
      <c r="AT229" s="24"/>
      <c r="AU229" s="24"/>
      <c r="AV229" s="24"/>
      <c r="AW229" s="24"/>
      <c r="BD229" s="24"/>
      <c r="BE229" s="24"/>
      <c r="BF229" s="24"/>
      <c r="BG229" s="24"/>
      <c r="BH229" s="24"/>
      <c r="BI229" s="24"/>
      <c r="BP229" s="24"/>
      <c r="BQ229" s="24"/>
      <c r="BR229" s="24"/>
      <c r="BS229" s="24"/>
      <c r="BZ229" s="24"/>
      <c r="CA229" s="24"/>
      <c r="CB229" s="24"/>
      <c r="CC229" s="24"/>
      <c r="CD229" s="24"/>
    </row>
    <row r="230" spans="2:82" s="6" customFormat="1">
      <c r="B230" s="21"/>
      <c r="D230" s="22"/>
      <c r="E230" s="23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R230" s="24"/>
      <c r="AS230" s="24"/>
      <c r="AT230" s="24"/>
      <c r="AU230" s="24"/>
      <c r="AV230" s="24"/>
      <c r="AW230" s="24"/>
      <c r="BD230" s="24"/>
      <c r="BE230" s="24"/>
      <c r="BF230" s="24"/>
      <c r="BG230" s="24"/>
      <c r="BH230" s="24"/>
      <c r="BI230" s="24"/>
      <c r="BP230" s="24"/>
      <c r="BQ230" s="24"/>
      <c r="BR230" s="24"/>
      <c r="BS230" s="24"/>
      <c r="BZ230" s="24"/>
      <c r="CA230" s="24"/>
      <c r="CB230" s="24"/>
      <c r="CC230" s="24"/>
      <c r="CD230" s="24"/>
    </row>
    <row r="231" spans="2:82" s="6" customFormat="1">
      <c r="B231" s="21"/>
      <c r="D231" s="22"/>
      <c r="E231" s="23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R231" s="24"/>
      <c r="AS231" s="24"/>
      <c r="AT231" s="24"/>
      <c r="AU231" s="24"/>
      <c r="AV231" s="24"/>
      <c r="AW231" s="24"/>
      <c r="BD231" s="24"/>
      <c r="BE231" s="24"/>
      <c r="BF231" s="24"/>
      <c r="BG231" s="24"/>
      <c r="BH231" s="24"/>
      <c r="BI231" s="24"/>
      <c r="BP231" s="24"/>
      <c r="BQ231" s="24"/>
      <c r="BR231" s="24"/>
      <c r="BS231" s="24"/>
      <c r="BZ231" s="24"/>
      <c r="CA231" s="24"/>
      <c r="CB231" s="24"/>
      <c r="CC231" s="24"/>
      <c r="CD231" s="24"/>
    </row>
    <row r="232" spans="2:82" s="6" customFormat="1">
      <c r="B232" s="21"/>
      <c r="D232" s="22"/>
      <c r="E232" s="23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R232" s="24"/>
      <c r="AS232" s="24"/>
      <c r="AT232" s="24"/>
      <c r="AU232" s="24"/>
      <c r="AV232" s="24"/>
      <c r="AW232" s="24"/>
      <c r="BD232" s="24"/>
      <c r="BE232" s="24"/>
      <c r="BF232" s="24"/>
      <c r="BG232" s="24"/>
      <c r="BH232" s="24"/>
      <c r="BI232" s="24"/>
      <c r="BP232" s="24"/>
      <c r="BQ232" s="24"/>
      <c r="BR232" s="24"/>
      <c r="BS232" s="24"/>
      <c r="BZ232" s="24"/>
      <c r="CA232" s="24"/>
      <c r="CB232" s="24"/>
      <c r="CC232" s="24"/>
      <c r="CD232" s="24"/>
    </row>
    <row r="233" spans="2:82" s="6" customFormat="1">
      <c r="B233" s="21"/>
      <c r="D233" s="22"/>
      <c r="E233" s="23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R233" s="24"/>
      <c r="AS233" s="24"/>
      <c r="AT233" s="24"/>
      <c r="AU233" s="24"/>
      <c r="AV233" s="24"/>
      <c r="AW233" s="24"/>
      <c r="BD233" s="24"/>
      <c r="BE233" s="24"/>
      <c r="BF233" s="24"/>
      <c r="BG233" s="24"/>
      <c r="BH233" s="24"/>
      <c r="BI233" s="24"/>
      <c r="BP233" s="24"/>
      <c r="BQ233" s="24"/>
      <c r="BR233" s="24"/>
      <c r="BS233" s="24"/>
      <c r="BZ233" s="24"/>
      <c r="CA233" s="24"/>
      <c r="CB233" s="24"/>
      <c r="CC233" s="24"/>
      <c r="CD233" s="24"/>
    </row>
    <row r="234" spans="2:82" s="6" customFormat="1">
      <c r="B234" s="21"/>
      <c r="D234" s="22"/>
      <c r="E234" s="23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R234" s="24"/>
      <c r="AS234" s="24"/>
      <c r="AT234" s="24"/>
      <c r="AU234" s="24"/>
      <c r="AV234" s="24"/>
      <c r="AW234" s="24"/>
      <c r="BD234" s="24"/>
      <c r="BE234" s="24"/>
      <c r="BF234" s="24"/>
      <c r="BG234" s="24"/>
      <c r="BH234" s="24"/>
      <c r="BI234" s="24"/>
      <c r="BP234" s="24"/>
      <c r="BQ234" s="24"/>
      <c r="BR234" s="24"/>
      <c r="BS234" s="24"/>
      <c r="BZ234" s="24"/>
      <c r="CA234" s="24"/>
      <c r="CB234" s="24"/>
      <c r="CC234" s="24"/>
      <c r="CD234" s="24"/>
    </row>
    <row r="235" spans="2:82" s="6" customFormat="1">
      <c r="B235" s="21"/>
      <c r="D235" s="22"/>
      <c r="E235" s="23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R235" s="24"/>
      <c r="AS235" s="24"/>
      <c r="AT235" s="24"/>
      <c r="AU235" s="24"/>
      <c r="AV235" s="24"/>
      <c r="AW235" s="24"/>
      <c r="BD235" s="24"/>
      <c r="BE235" s="24"/>
      <c r="BF235" s="24"/>
      <c r="BG235" s="24"/>
      <c r="BH235" s="24"/>
      <c r="BI235" s="24"/>
      <c r="BP235" s="24"/>
      <c r="BQ235" s="24"/>
      <c r="BR235" s="24"/>
      <c r="BS235" s="24"/>
      <c r="BZ235" s="24"/>
      <c r="CA235" s="24"/>
      <c r="CB235" s="24"/>
      <c r="CC235" s="24"/>
      <c r="CD235" s="24"/>
    </row>
    <row r="236" spans="2:82" s="6" customFormat="1">
      <c r="B236" s="21"/>
      <c r="D236" s="22"/>
      <c r="E236" s="23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R236" s="24"/>
      <c r="AS236" s="24"/>
      <c r="AT236" s="24"/>
      <c r="AU236" s="24"/>
      <c r="AV236" s="24"/>
      <c r="AW236" s="24"/>
      <c r="BD236" s="24"/>
      <c r="BE236" s="24"/>
      <c r="BF236" s="24"/>
      <c r="BG236" s="24"/>
      <c r="BH236" s="24"/>
      <c r="BI236" s="24"/>
      <c r="BP236" s="24"/>
      <c r="BQ236" s="24"/>
      <c r="BR236" s="24"/>
      <c r="BS236" s="24"/>
      <c r="BZ236" s="24"/>
      <c r="CA236" s="24"/>
      <c r="CB236" s="24"/>
      <c r="CC236" s="24"/>
      <c r="CD236" s="24"/>
    </row>
    <row r="237" spans="2:82" s="6" customFormat="1">
      <c r="B237" s="21"/>
      <c r="D237" s="22"/>
      <c r="E237" s="23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R237" s="24"/>
      <c r="AS237" s="24"/>
      <c r="AT237" s="24"/>
      <c r="AU237" s="24"/>
      <c r="AV237" s="24"/>
      <c r="AW237" s="24"/>
      <c r="BD237" s="24"/>
      <c r="BE237" s="24"/>
      <c r="BF237" s="24"/>
      <c r="BG237" s="24"/>
      <c r="BH237" s="24"/>
      <c r="BI237" s="24"/>
      <c r="BP237" s="24"/>
      <c r="BQ237" s="24"/>
      <c r="BR237" s="24"/>
      <c r="BS237" s="24"/>
      <c r="BZ237" s="24"/>
      <c r="CA237" s="24"/>
      <c r="CB237" s="24"/>
      <c r="CC237" s="24"/>
      <c r="CD237" s="24"/>
    </row>
    <row r="238" spans="2:82" s="6" customFormat="1">
      <c r="B238" s="21"/>
      <c r="D238" s="22"/>
      <c r="E238" s="23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R238" s="24"/>
      <c r="AS238" s="24"/>
      <c r="AT238" s="24"/>
      <c r="AU238" s="24"/>
      <c r="AV238" s="24"/>
      <c r="AW238" s="24"/>
      <c r="BD238" s="24"/>
      <c r="BE238" s="24"/>
      <c r="BF238" s="24"/>
      <c r="BG238" s="24"/>
      <c r="BH238" s="24"/>
      <c r="BI238" s="24"/>
      <c r="BP238" s="24"/>
      <c r="BQ238" s="24"/>
      <c r="BR238" s="24"/>
      <c r="BS238" s="24"/>
      <c r="BZ238" s="24"/>
      <c r="CA238" s="24"/>
      <c r="CB238" s="24"/>
      <c r="CC238" s="24"/>
      <c r="CD238" s="24"/>
    </row>
    <row r="239" spans="2:82" s="6" customFormat="1">
      <c r="B239" s="21"/>
      <c r="D239" s="22"/>
      <c r="E239" s="23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R239" s="24"/>
      <c r="AS239" s="24"/>
      <c r="AT239" s="24"/>
      <c r="AU239" s="24"/>
      <c r="AV239" s="24"/>
      <c r="AW239" s="24"/>
      <c r="BD239" s="24"/>
      <c r="BE239" s="24"/>
      <c r="BF239" s="24"/>
      <c r="BG239" s="24"/>
      <c r="BH239" s="24"/>
      <c r="BI239" s="24"/>
      <c r="BP239" s="24"/>
      <c r="BQ239" s="24"/>
      <c r="BR239" s="24"/>
      <c r="BS239" s="24"/>
      <c r="BZ239" s="24"/>
      <c r="CA239" s="24"/>
      <c r="CB239" s="24"/>
      <c r="CC239" s="24"/>
      <c r="CD239" s="24"/>
    </row>
    <row r="240" spans="2:82" s="6" customFormat="1">
      <c r="B240" s="21"/>
      <c r="D240" s="22"/>
      <c r="E240" s="23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R240" s="24"/>
      <c r="AS240" s="24"/>
      <c r="AT240" s="24"/>
      <c r="AU240" s="24"/>
      <c r="AV240" s="24"/>
      <c r="AW240" s="24"/>
      <c r="BD240" s="24"/>
      <c r="BE240" s="24"/>
      <c r="BF240" s="24"/>
      <c r="BG240" s="24"/>
      <c r="BH240" s="24"/>
      <c r="BI240" s="24"/>
      <c r="BP240" s="24"/>
      <c r="BQ240" s="24"/>
      <c r="BR240" s="24"/>
      <c r="BS240" s="24"/>
      <c r="BZ240" s="24"/>
      <c r="CA240" s="24"/>
      <c r="CB240" s="24"/>
      <c r="CC240" s="24"/>
      <c r="CD240" s="24"/>
    </row>
    <row r="241" spans="2:82" s="6" customFormat="1">
      <c r="B241" s="21"/>
      <c r="D241" s="22"/>
      <c r="E241" s="23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R241" s="24"/>
      <c r="AS241" s="24"/>
      <c r="AT241" s="24"/>
      <c r="AU241" s="24"/>
      <c r="AV241" s="24"/>
      <c r="AW241" s="24"/>
      <c r="BD241" s="24"/>
      <c r="BE241" s="24"/>
      <c r="BF241" s="24"/>
      <c r="BG241" s="24"/>
      <c r="BH241" s="24"/>
      <c r="BI241" s="24"/>
      <c r="BP241" s="24"/>
      <c r="BQ241" s="24"/>
      <c r="BR241" s="24"/>
      <c r="BS241" s="24"/>
      <c r="BZ241" s="24"/>
      <c r="CA241" s="24"/>
      <c r="CB241" s="24"/>
      <c r="CC241" s="24"/>
      <c r="CD241" s="24"/>
    </row>
    <row r="242" spans="2:82" s="6" customFormat="1">
      <c r="B242" s="21"/>
      <c r="D242" s="22"/>
      <c r="E242" s="23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R242" s="24"/>
      <c r="AS242" s="24"/>
      <c r="AT242" s="24"/>
      <c r="AU242" s="24"/>
      <c r="AV242" s="24"/>
      <c r="AW242" s="24"/>
      <c r="BD242" s="24"/>
      <c r="BE242" s="24"/>
      <c r="BF242" s="24"/>
      <c r="BG242" s="24"/>
      <c r="BH242" s="24"/>
      <c r="BI242" s="24"/>
      <c r="BP242" s="24"/>
      <c r="BQ242" s="24"/>
      <c r="BR242" s="24"/>
      <c r="BS242" s="24"/>
      <c r="BZ242" s="24"/>
      <c r="CA242" s="24"/>
      <c r="CB242" s="24"/>
      <c r="CC242" s="24"/>
      <c r="CD242" s="24"/>
    </row>
    <row r="243" spans="2:82" s="6" customFormat="1">
      <c r="B243" s="21"/>
      <c r="D243" s="22"/>
      <c r="E243" s="23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R243" s="24"/>
      <c r="AS243" s="24"/>
      <c r="AT243" s="24"/>
      <c r="AU243" s="24"/>
      <c r="AV243" s="24"/>
      <c r="AW243" s="24"/>
      <c r="BD243" s="24"/>
      <c r="BE243" s="24"/>
      <c r="BF243" s="24"/>
      <c r="BG243" s="24"/>
      <c r="BH243" s="24"/>
      <c r="BI243" s="24"/>
      <c r="BP243" s="24"/>
      <c r="BQ243" s="24"/>
      <c r="BR243" s="24"/>
      <c r="BS243" s="24"/>
      <c r="BZ243" s="24"/>
      <c r="CA243" s="24"/>
      <c r="CB243" s="24"/>
      <c r="CC243" s="24"/>
      <c r="CD243" s="24"/>
    </row>
    <row r="244" spans="2:82" s="6" customFormat="1">
      <c r="B244" s="21"/>
      <c r="D244" s="22"/>
      <c r="E244" s="23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R244" s="24"/>
      <c r="AS244" s="24"/>
      <c r="AT244" s="24"/>
      <c r="AU244" s="24"/>
      <c r="AV244" s="24"/>
      <c r="AW244" s="24"/>
      <c r="BD244" s="24"/>
      <c r="BE244" s="24"/>
      <c r="BF244" s="24"/>
      <c r="BG244" s="24"/>
      <c r="BH244" s="24"/>
      <c r="BI244" s="24"/>
      <c r="BP244" s="24"/>
      <c r="BQ244" s="24"/>
      <c r="BR244" s="24"/>
      <c r="BS244" s="24"/>
      <c r="BZ244" s="24"/>
      <c r="CA244" s="24"/>
      <c r="CB244" s="24"/>
      <c r="CC244" s="24"/>
      <c r="CD244" s="24"/>
    </row>
    <row r="245" spans="2:82" s="6" customFormat="1">
      <c r="B245" s="21"/>
      <c r="D245" s="22"/>
      <c r="E245" s="23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R245" s="24"/>
      <c r="AS245" s="24"/>
      <c r="AT245" s="24"/>
      <c r="AU245" s="24"/>
      <c r="AV245" s="24"/>
      <c r="AW245" s="24"/>
      <c r="BD245" s="24"/>
      <c r="BE245" s="24"/>
      <c r="BF245" s="24"/>
      <c r="BG245" s="24"/>
      <c r="BH245" s="24"/>
      <c r="BI245" s="24"/>
      <c r="BP245" s="24"/>
      <c r="BQ245" s="24"/>
      <c r="BR245" s="24"/>
      <c r="BS245" s="24"/>
      <c r="BZ245" s="24"/>
      <c r="CA245" s="24"/>
      <c r="CB245" s="24"/>
      <c r="CC245" s="24"/>
      <c r="CD245" s="24"/>
    </row>
    <row r="246" spans="2:82" s="6" customFormat="1">
      <c r="B246" s="21"/>
      <c r="D246" s="22"/>
      <c r="E246" s="23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R246" s="24"/>
      <c r="AS246" s="24"/>
      <c r="AT246" s="24"/>
      <c r="AU246" s="24"/>
      <c r="AV246" s="24"/>
      <c r="AW246" s="24"/>
      <c r="BD246" s="24"/>
      <c r="BE246" s="24"/>
      <c r="BF246" s="24"/>
      <c r="BG246" s="24"/>
      <c r="BH246" s="24"/>
      <c r="BI246" s="24"/>
      <c r="BP246" s="24"/>
      <c r="BQ246" s="24"/>
      <c r="BR246" s="24"/>
      <c r="BS246" s="24"/>
      <c r="BZ246" s="24"/>
      <c r="CA246" s="24"/>
      <c r="CB246" s="24"/>
      <c r="CC246" s="24"/>
      <c r="CD246" s="24"/>
    </row>
    <row r="247" spans="2:82" s="6" customFormat="1">
      <c r="B247" s="21"/>
      <c r="D247" s="22"/>
      <c r="E247" s="23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R247" s="24"/>
      <c r="AS247" s="24"/>
      <c r="AT247" s="24"/>
      <c r="AU247" s="24"/>
      <c r="AV247" s="24"/>
      <c r="AW247" s="24"/>
      <c r="BD247" s="24"/>
      <c r="BE247" s="24"/>
      <c r="BF247" s="24"/>
      <c r="BG247" s="24"/>
      <c r="BH247" s="24"/>
      <c r="BI247" s="24"/>
      <c r="BP247" s="24"/>
      <c r="BQ247" s="24"/>
      <c r="BR247" s="24"/>
      <c r="BS247" s="24"/>
      <c r="BZ247" s="24"/>
      <c r="CA247" s="24"/>
      <c r="CB247" s="24"/>
      <c r="CC247" s="24"/>
      <c r="CD247" s="24"/>
    </row>
    <row r="248" spans="2:82" s="6" customFormat="1">
      <c r="B248" s="21"/>
      <c r="D248" s="22"/>
      <c r="E248" s="23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R248" s="24"/>
      <c r="AS248" s="24"/>
      <c r="AT248" s="24"/>
      <c r="AU248" s="24"/>
      <c r="AV248" s="24"/>
      <c r="AW248" s="24"/>
      <c r="BD248" s="24"/>
      <c r="BE248" s="24"/>
      <c r="BF248" s="24"/>
      <c r="BG248" s="24"/>
      <c r="BH248" s="24"/>
      <c r="BI248" s="24"/>
      <c r="BP248" s="24"/>
      <c r="BQ248" s="24"/>
      <c r="BR248" s="24"/>
      <c r="BS248" s="24"/>
      <c r="BZ248" s="24"/>
      <c r="CA248" s="24"/>
      <c r="CB248" s="24"/>
      <c r="CC248" s="24"/>
      <c r="CD248" s="24"/>
    </row>
    <row r="249" spans="2:82" s="6" customFormat="1">
      <c r="B249" s="21"/>
      <c r="D249" s="22"/>
      <c r="E249" s="23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R249" s="24"/>
      <c r="AS249" s="24"/>
      <c r="AT249" s="24"/>
      <c r="AU249" s="24"/>
      <c r="AV249" s="24"/>
      <c r="AW249" s="24"/>
      <c r="BD249" s="24"/>
      <c r="BE249" s="24"/>
      <c r="BF249" s="24"/>
      <c r="BG249" s="24"/>
      <c r="BH249" s="24"/>
      <c r="BI249" s="24"/>
      <c r="BP249" s="24"/>
      <c r="BQ249" s="24"/>
      <c r="BR249" s="24"/>
      <c r="BS249" s="24"/>
      <c r="BZ249" s="24"/>
      <c r="CA249" s="24"/>
      <c r="CB249" s="24"/>
      <c r="CC249" s="24"/>
      <c r="CD249" s="24"/>
    </row>
    <row r="250" spans="2:82" s="6" customFormat="1">
      <c r="B250" s="21"/>
      <c r="D250" s="22"/>
      <c r="E250" s="23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R250" s="24"/>
      <c r="AS250" s="24"/>
      <c r="AT250" s="24"/>
      <c r="AU250" s="24"/>
      <c r="AV250" s="24"/>
      <c r="AW250" s="24"/>
      <c r="BD250" s="24"/>
      <c r="BE250" s="24"/>
      <c r="BF250" s="24"/>
      <c r="BG250" s="24"/>
      <c r="BH250" s="24"/>
      <c r="BI250" s="24"/>
      <c r="BP250" s="24"/>
      <c r="BQ250" s="24"/>
      <c r="BR250" s="24"/>
      <c r="BS250" s="24"/>
      <c r="BZ250" s="24"/>
      <c r="CA250" s="24"/>
      <c r="CB250" s="24"/>
      <c r="CC250" s="24"/>
      <c r="CD250" s="24"/>
    </row>
    <row r="251" spans="2:82" s="6" customFormat="1">
      <c r="B251" s="21"/>
      <c r="D251" s="22"/>
      <c r="E251" s="23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R251" s="24"/>
      <c r="AS251" s="24"/>
      <c r="AT251" s="24"/>
      <c r="AU251" s="24"/>
      <c r="AV251" s="24"/>
      <c r="AW251" s="24"/>
      <c r="BD251" s="24"/>
      <c r="BE251" s="24"/>
      <c r="BF251" s="24"/>
      <c r="BG251" s="24"/>
      <c r="BH251" s="24"/>
      <c r="BI251" s="24"/>
      <c r="BP251" s="24"/>
      <c r="BQ251" s="24"/>
      <c r="BR251" s="24"/>
      <c r="BS251" s="24"/>
      <c r="BZ251" s="24"/>
      <c r="CA251" s="24"/>
      <c r="CB251" s="24"/>
      <c r="CC251" s="24"/>
      <c r="CD251" s="24"/>
    </row>
    <row r="252" spans="2:82" s="6" customFormat="1">
      <c r="B252" s="21"/>
      <c r="D252" s="22"/>
      <c r="E252" s="23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R252" s="24"/>
      <c r="AS252" s="24"/>
      <c r="AT252" s="24"/>
      <c r="AU252" s="24"/>
      <c r="AV252" s="24"/>
      <c r="AW252" s="24"/>
      <c r="BD252" s="24"/>
      <c r="BE252" s="24"/>
      <c r="BF252" s="24"/>
      <c r="BG252" s="24"/>
      <c r="BH252" s="24"/>
      <c r="BI252" s="24"/>
      <c r="BP252" s="24"/>
      <c r="BQ252" s="24"/>
      <c r="BR252" s="24"/>
      <c r="BS252" s="24"/>
      <c r="BZ252" s="24"/>
      <c r="CA252" s="24"/>
      <c r="CB252" s="24"/>
      <c r="CC252" s="24"/>
      <c r="CD252" s="24"/>
    </row>
    <row r="253" spans="2:82" s="6" customFormat="1">
      <c r="B253" s="21"/>
      <c r="D253" s="22"/>
      <c r="E253" s="23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R253" s="24"/>
      <c r="AS253" s="24"/>
      <c r="AT253" s="24"/>
      <c r="AU253" s="24"/>
      <c r="AV253" s="24"/>
      <c r="AW253" s="24"/>
      <c r="BD253" s="24"/>
      <c r="BE253" s="24"/>
      <c r="BF253" s="24"/>
      <c r="BG253" s="24"/>
      <c r="BH253" s="24"/>
      <c r="BI253" s="24"/>
      <c r="BP253" s="24"/>
      <c r="BQ253" s="24"/>
      <c r="BR253" s="24"/>
      <c r="BS253" s="24"/>
      <c r="BZ253" s="24"/>
      <c r="CA253" s="24"/>
      <c r="CB253" s="24"/>
      <c r="CC253" s="24"/>
      <c r="CD253" s="24"/>
    </row>
    <row r="254" spans="2:82" s="6" customFormat="1">
      <c r="B254" s="21"/>
      <c r="D254" s="22"/>
      <c r="E254" s="23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R254" s="24"/>
      <c r="AS254" s="24"/>
      <c r="AT254" s="24"/>
      <c r="AU254" s="24"/>
      <c r="AV254" s="24"/>
      <c r="AW254" s="24"/>
      <c r="BD254" s="24"/>
      <c r="BE254" s="24"/>
      <c r="BF254" s="24"/>
      <c r="BG254" s="24"/>
      <c r="BH254" s="24"/>
      <c r="BI254" s="24"/>
      <c r="BP254" s="24"/>
      <c r="BQ254" s="24"/>
      <c r="BR254" s="24"/>
      <c r="BS254" s="24"/>
      <c r="BZ254" s="24"/>
      <c r="CA254" s="24"/>
      <c r="CB254" s="24"/>
      <c r="CC254" s="24"/>
      <c r="CD254" s="24"/>
    </row>
    <row r="255" spans="2:82" s="6" customFormat="1">
      <c r="B255" s="21"/>
      <c r="D255" s="22"/>
      <c r="E255" s="23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R255" s="24"/>
      <c r="AS255" s="24"/>
      <c r="AT255" s="24"/>
      <c r="AU255" s="24"/>
      <c r="AV255" s="24"/>
      <c r="AW255" s="24"/>
      <c r="BD255" s="24"/>
      <c r="BE255" s="24"/>
      <c r="BF255" s="24"/>
      <c r="BG255" s="24"/>
      <c r="BH255" s="24"/>
      <c r="BI255" s="24"/>
      <c r="BP255" s="24"/>
      <c r="BQ255" s="24"/>
      <c r="BR255" s="24"/>
      <c r="BS255" s="24"/>
      <c r="BZ255" s="24"/>
      <c r="CA255" s="24"/>
      <c r="CB255" s="24"/>
      <c r="CC255" s="24"/>
      <c r="CD255" s="24"/>
    </row>
    <row r="256" spans="2:82" s="6" customFormat="1">
      <c r="B256" s="21"/>
      <c r="D256" s="22"/>
      <c r="E256" s="23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R256" s="24"/>
      <c r="AS256" s="24"/>
      <c r="AT256" s="24"/>
      <c r="AU256" s="24"/>
      <c r="AV256" s="24"/>
      <c r="AW256" s="24"/>
      <c r="BD256" s="24"/>
      <c r="BE256" s="24"/>
      <c r="BF256" s="24"/>
      <c r="BG256" s="24"/>
      <c r="BH256" s="24"/>
      <c r="BI256" s="24"/>
      <c r="BP256" s="24"/>
      <c r="BQ256" s="24"/>
      <c r="BR256" s="24"/>
      <c r="BS256" s="24"/>
      <c r="BZ256" s="24"/>
      <c r="CA256" s="24"/>
      <c r="CB256" s="24"/>
      <c r="CC256" s="24"/>
      <c r="CD256" s="24"/>
    </row>
    <row r="257" spans="2:82" s="6" customFormat="1">
      <c r="B257" s="21"/>
      <c r="D257" s="22"/>
      <c r="E257" s="23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R257" s="24"/>
      <c r="AS257" s="24"/>
      <c r="AT257" s="24"/>
      <c r="AU257" s="24"/>
      <c r="AV257" s="24"/>
      <c r="AW257" s="24"/>
      <c r="BD257" s="24"/>
      <c r="BE257" s="24"/>
      <c r="BF257" s="24"/>
      <c r="BG257" s="24"/>
      <c r="BH257" s="24"/>
      <c r="BI257" s="24"/>
      <c r="BP257" s="24"/>
      <c r="BQ257" s="24"/>
      <c r="BR257" s="24"/>
      <c r="BS257" s="24"/>
      <c r="BZ257" s="24"/>
      <c r="CA257" s="24"/>
      <c r="CB257" s="24"/>
      <c r="CC257" s="24"/>
      <c r="CD257" s="24"/>
    </row>
    <row r="258" spans="2:82" s="6" customFormat="1">
      <c r="B258" s="21"/>
      <c r="D258" s="22"/>
      <c r="E258" s="23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R258" s="24"/>
      <c r="AS258" s="24"/>
      <c r="AT258" s="24"/>
      <c r="AU258" s="24"/>
      <c r="AV258" s="24"/>
      <c r="AW258" s="24"/>
      <c r="BD258" s="24"/>
      <c r="BE258" s="24"/>
      <c r="BF258" s="24"/>
      <c r="BG258" s="24"/>
      <c r="BH258" s="24"/>
      <c r="BI258" s="24"/>
      <c r="BP258" s="24"/>
      <c r="BQ258" s="24"/>
      <c r="BR258" s="24"/>
      <c r="BS258" s="24"/>
      <c r="BZ258" s="24"/>
      <c r="CA258" s="24"/>
      <c r="CB258" s="24"/>
      <c r="CC258" s="24"/>
      <c r="CD258" s="24"/>
    </row>
    <row r="259" spans="2:82" s="6" customFormat="1">
      <c r="B259" s="21"/>
      <c r="D259" s="22"/>
      <c r="E259" s="23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R259" s="24"/>
      <c r="AS259" s="24"/>
      <c r="AT259" s="24"/>
      <c r="AU259" s="24"/>
      <c r="AV259" s="24"/>
      <c r="AW259" s="24"/>
      <c r="BD259" s="24"/>
      <c r="BE259" s="24"/>
      <c r="BF259" s="24"/>
      <c r="BG259" s="24"/>
      <c r="BH259" s="24"/>
      <c r="BI259" s="24"/>
      <c r="BP259" s="24"/>
      <c r="BQ259" s="24"/>
      <c r="BR259" s="24"/>
      <c r="BS259" s="24"/>
      <c r="BZ259" s="24"/>
      <c r="CA259" s="24"/>
      <c r="CB259" s="24"/>
      <c r="CC259" s="24"/>
      <c r="CD259" s="24"/>
    </row>
    <row r="260" spans="2:82" s="6" customFormat="1">
      <c r="B260" s="21"/>
      <c r="D260" s="22"/>
      <c r="E260" s="23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R260" s="24"/>
      <c r="AS260" s="24"/>
      <c r="AT260" s="24"/>
      <c r="AU260" s="24"/>
      <c r="AV260" s="24"/>
      <c r="AW260" s="24"/>
      <c r="BD260" s="24"/>
      <c r="BE260" s="24"/>
      <c r="BF260" s="24"/>
      <c r="BG260" s="24"/>
      <c r="BH260" s="24"/>
      <c r="BI260" s="24"/>
      <c r="BP260" s="24"/>
      <c r="BQ260" s="24"/>
      <c r="BR260" s="24"/>
      <c r="BS260" s="24"/>
      <c r="BZ260" s="24"/>
      <c r="CA260" s="24"/>
      <c r="CB260" s="24"/>
      <c r="CC260" s="24"/>
      <c r="CD260" s="24"/>
    </row>
    <row r="261" spans="2:82" s="6" customFormat="1">
      <c r="B261" s="21"/>
      <c r="D261" s="22"/>
      <c r="E261" s="23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R261" s="24"/>
      <c r="AS261" s="24"/>
      <c r="AT261" s="24"/>
      <c r="AU261" s="24"/>
      <c r="AV261" s="24"/>
      <c r="AW261" s="24"/>
      <c r="BD261" s="24"/>
      <c r="BE261" s="24"/>
      <c r="BF261" s="24"/>
      <c r="BG261" s="24"/>
      <c r="BH261" s="24"/>
      <c r="BI261" s="24"/>
      <c r="BP261" s="24"/>
      <c r="BQ261" s="24"/>
      <c r="BR261" s="24"/>
      <c r="BS261" s="24"/>
      <c r="BZ261" s="24"/>
      <c r="CA261" s="24"/>
      <c r="CB261" s="24"/>
      <c r="CC261" s="24"/>
      <c r="CD261" s="24"/>
    </row>
    <row r="262" spans="2:82" s="6" customFormat="1">
      <c r="B262" s="21"/>
      <c r="D262" s="17"/>
      <c r="E262" s="23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R262" s="24"/>
      <c r="AS262" s="24"/>
      <c r="AT262" s="24"/>
      <c r="AU262" s="24"/>
      <c r="AV262" s="24"/>
      <c r="AW262" s="24"/>
      <c r="BD262" s="24"/>
      <c r="BE262" s="24"/>
      <c r="BF262" s="24"/>
      <c r="BG262" s="24"/>
      <c r="BH262" s="24"/>
      <c r="BI262" s="24"/>
      <c r="BP262" s="24"/>
      <c r="BQ262" s="24"/>
      <c r="BR262" s="24"/>
      <c r="BS262" s="24"/>
      <c r="BZ262" s="24"/>
      <c r="CA262" s="24"/>
      <c r="CB262" s="24"/>
      <c r="CC262" s="24"/>
      <c r="CD262" s="24"/>
    </row>
    <row r="263" spans="2:82" s="6" customFormat="1">
      <c r="B263" s="21"/>
      <c r="D263" s="17"/>
      <c r="E263" s="23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R263" s="24"/>
      <c r="AS263" s="24"/>
      <c r="AT263" s="24"/>
      <c r="AU263" s="24"/>
      <c r="AV263" s="24"/>
      <c r="AW263" s="24"/>
      <c r="BD263" s="24"/>
      <c r="BE263" s="24"/>
      <c r="BF263" s="24"/>
      <c r="BG263" s="24"/>
      <c r="BH263" s="24"/>
      <c r="BI263" s="24"/>
      <c r="BP263" s="24"/>
      <c r="BQ263" s="24"/>
      <c r="BR263" s="24"/>
      <c r="BS263" s="24"/>
      <c r="BZ263" s="24"/>
      <c r="CA263" s="24"/>
      <c r="CB263" s="24"/>
      <c r="CC263" s="24"/>
      <c r="CD263" s="24"/>
    </row>
    <row r="264" spans="2:82" s="6" customFormat="1">
      <c r="B264" s="21"/>
      <c r="D264" s="17"/>
      <c r="E264" s="23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R264" s="24"/>
      <c r="AS264" s="24"/>
      <c r="AT264" s="24"/>
      <c r="AU264" s="24"/>
      <c r="AV264" s="24"/>
      <c r="AW264" s="24"/>
      <c r="BD264" s="24"/>
      <c r="BE264" s="24"/>
      <c r="BF264" s="24"/>
      <c r="BG264" s="24"/>
      <c r="BH264" s="24"/>
      <c r="BI264" s="24"/>
      <c r="BP264" s="24"/>
      <c r="BQ264" s="24"/>
      <c r="BR264" s="24"/>
      <c r="BS264" s="24"/>
      <c r="BZ264" s="24"/>
      <c r="CA264" s="24"/>
      <c r="CB264" s="24"/>
      <c r="CC264" s="24"/>
      <c r="CD264" s="24"/>
    </row>
    <row r="265" spans="2:82" s="6" customFormat="1">
      <c r="B265" s="21"/>
      <c r="D265" s="17"/>
      <c r="E265" s="23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R265" s="24"/>
      <c r="AS265" s="24"/>
      <c r="AT265" s="24"/>
      <c r="AU265" s="24"/>
      <c r="AV265" s="24"/>
      <c r="AW265" s="24"/>
      <c r="BD265" s="24"/>
      <c r="BE265" s="24"/>
      <c r="BF265" s="24"/>
      <c r="BG265" s="24"/>
      <c r="BH265" s="24"/>
      <c r="BI265" s="24"/>
      <c r="BP265" s="24"/>
      <c r="BQ265" s="24"/>
      <c r="BR265" s="24"/>
      <c r="BS265" s="24"/>
      <c r="BZ265" s="24"/>
      <c r="CA265" s="24"/>
      <c r="CB265" s="24"/>
      <c r="CC265" s="24"/>
      <c r="CD265" s="24"/>
    </row>
    <row r="266" spans="2:82" s="6" customFormat="1">
      <c r="B266" s="21"/>
      <c r="D266" s="17"/>
      <c r="E266" s="23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R266" s="24"/>
      <c r="AS266" s="24"/>
      <c r="AT266" s="24"/>
      <c r="AU266" s="24"/>
      <c r="AV266" s="24"/>
      <c r="AW266" s="24"/>
      <c r="BD266" s="24"/>
      <c r="BE266" s="24"/>
      <c r="BF266" s="24"/>
      <c r="BG266" s="24"/>
      <c r="BH266" s="24"/>
      <c r="BI266" s="24"/>
      <c r="BP266" s="24"/>
      <c r="BQ266" s="24"/>
      <c r="BR266" s="24"/>
      <c r="BS266" s="24"/>
      <c r="BZ266" s="24"/>
      <c r="CA266" s="24"/>
      <c r="CB266" s="24"/>
      <c r="CC266" s="24"/>
      <c r="CD266" s="24"/>
    </row>
    <row r="267" spans="2:82" s="6" customFormat="1">
      <c r="B267" s="21"/>
      <c r="D267" s="17"/>
      <c r="E267" s="23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R267" s="24"/>
      <c r="AS267" s="24"/>
      <c r="AT267" s="24"/>
      <c r="AU267" s="24"/>
      <c r="AV267" s="24"/>
      <c r="AW267" s="24"/>
      <c r="BD267" s="24"/>
      <c r="BE267" s="24"/>
      <c r="BF267" s="24"/>
      <c r="BG267" s="24"/>
      <c r="BH267" s="24"/>
      <c r="BI267" s="24"/>
      <c r="BP267" s="24"/>
      <c r="BQ267" s="24"/>
      <c r="BR267" s="24"/>
      <c r="BS267" s="24"/>
      <c r="BZ267" s="24"/>
      <c r="CA267" s="24"/>
      <c r="CB267" s="24"/>
      <c r="CC267" s="24"/>
      <c r="CD267" s="24"/>
    </row>
    <row r="268" spans="2:82" s="6" customFormat="1">
      <c r="B268" s="21"/>
      <c r="D268" s="17"/>
      <c r="E268" s="23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R268" s="24"/>
      <c r="AS268" s="24"/>
      <c r="AT268" s="24"/>
      <c r="AU268" s="24"/>
      <c r="AV268" s="24"/>
      <c r="AW268" s="24"/>
      <c r="BD268" s="24"/>
      <c r="BE268" s="24"/>
      <c r="BF268" s="24"/>
      <c r="BG268" s="24"/>
      <c r="BH268" s="24"/>
      <c r="BI268" s="24"/>
      <c r="BP268" s="24"/>
      <c r="BQ268" s="24"/>
      <c r="BR268" s="24"/>
      <c r="BS268" s="24"/>
      <c r="BZ268" s="24"/>
      <c r="CA268" s="24"/>
      <c r="CB268" s="24"/>
      <c r="CC268" s="24"/>
      <c r="CD268" s="24"/>
    </row>
    <row r="269" spans="2:82" s="6" customFormat="1">
      <c r="B269" s="21"/>
      <c r="D269" s="17"/>
      <c r="E269" s="23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R269" s="24"/>
      <c r="AS269" s="24"/>
      <c r="AT269" s="24"/>
      <c r="AU269" s="24"/>
      <c r="AV269" s="24"/>
      <c r="AW269" s="24"/>
      <c r="BD269" s="24"/>
      <c r="BE269" s="24"/>
      <c r="BF269" s="24"/>
      <c r="BG269" s="24"/>
      <c r="BH269" s="24"/>
      <c r="BI269" s="24"/>
      <c r="BP269" s="24"/>
      <c r="BQ269" s="24"/>
      <c r="BR269" s="24"/>
      <c r="BS269" s="24"/>
      <c r="BZ269" s="24"/>
      <c r="CA269" s="24"/>
      <c r="CB269" s="24"/>
      <c r="CC269" s="24"/>
      <c r="CD269" s="24"/>
    </row>
    <row r="270" spans="2:82" s="6" customFormat="1">
      <c r="B270" s="21"/>
      <c r="D270" s="17"/>
      <c r="E270" s="23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R270" s="24"/>
      <c r="AS270" s="24"/>
      <c r="AT270" s="24"/>
      <c r="AU270" s="24"/>
      <c r="AV270" s="24"/>
      <c r="AW270" s="24"/>
      <c r="BD270" s="24"/>
      <c r="BE270" s="24"/>
      <c r="BF270" s="24"/>
      <c r="BG270" s="24"/>
      <c r="BH270" s="24"/>
      <c r="BI270" s="24"/>
      <c r="BP270" s="24"/>
      <c r="BQ270" s="24"/>
      <c r="BR270" s="24"/>
      <c r="BS270" s="24"/>
      <c r="BZ270" s="24"/>
      <c r="CA270" s="24"/>
      <c r="CB270" s="24"/>
      <c r="CC270" s="24"/>
      <c r="CD270" s="24"/>
    </row>
    <row r="271" spans="2:82" s="6" customFormat="1">
      <c r="B271" s="21"/>
      <c r="D271" s="17"/>
      <c r="E271" s="23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R271" s="24"/>
      <c r="AS271" s="24"/>
      <c r="AT271" s="24"/>
      <c r="AU271" s="24"/>
      <c r="AV271" s="24"/>
      <c r="AW271" s="24"/>
      <c r="BD271" s="24"/>
      <c r="BE271" s="24"/>
      <c r="BF271" s="24"/>
      <c r="BG271" s="24"/>
      <c r="BH271" s="24"/>
      <c r="BI271" s="24"/>
      <c r="BP271" s="24"/>
      <c r="BQ271" s="24"/>
      <c r="BR271" s="24"/>
      <c r="BS271" s="24"/>
      <c r="BZ271" s="24"/>
      <c r="CA271" s="24"/>
      <c r="CB271" s="24"/>
      <c r="CC271" s="24"/>
      <c r="CD271" s="24"/>
    </row>
    <row r="272" spans="2:82" s="6" customFormat="1">
      <c r="B272" s="21"/>
      <c r="D272" s="17"/>
      <c r="E272" s="23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R272" s="24"/>
      <c r="AS272" s="24"/>
      <c r="AT272" s="24"/>
      <c r="AU272" s="24"/>
      <c r="AV272" s="24"/>
      <c r="AW272" s="24"/>
      <c r="BD272" s="24"/>
      <c r="BE272" s="24"/>
      <c r="BF272" s="24"/>
      <c r="BG272" s="24"/>
      <c r="BH272" s="24"/>
      <c r="BI272" s="24"/>
      <c r="BP272" s="24"/>
      <c r="BQ272" s="24"/>
      <c r="BR272" s="24"/>
      <c r="BS272" s="24"/>
      <c r="BZ272" s="24"/>
      <c r="CA272" s="24"/>
      <c r="CB272" s="24"/>
      <c r="CC272" s="24"/>
      <c r="CD272" s="24"/>
    </row>
    <row r="273" spans="2:82" s="6" customFormat="1">
      <c r="B273" s="21"/>
      <c r="D273" s="17"/>
      <c r="E273" s="23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R273" s="24"/>
      <c r="AS273" s="24"/>
      <c r="AT273" s="24"/>
      <c r="AU273" s="24"/>
      <c r="AV273" s="24"/>
      <c r="AW273" s="24"/>
      <c r="BD273" s="24"/>
      <c r="BE273" s="24"/>
      <c r="BF273" s="24"/>
      <c r="BG273" s="24"/>
      <c r="BH273" s="24"/>
      <c r="BI273" s="24"/>
      <c r="BP273" s="24"/>
      <c r="BQ273" s="24"/>
      <c r="BR273" s="24"/>
      <c r="BS273" s="24"/>
      <c r="BZ273" s="24"/>
      <c r="CA273" s="24"/>
      <c r="CB273" s="24"/>
      <c r="CC273" s="24"/>
      <c r="CD273" s="24"/>
    </row>
    <row r="274" spans="2:82" s="6" customFormat="1">
      <c r="B274" s="21"/>
      <c r="D274" s="17"/>
      <c r="E274" s="23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R274" s="24"/>
      <c r="AS274" s="24"/>
      <c r="AT274" s="24"/>
      <c r="AU274" s="24"/>
      <c r="AV274" s="24"/>
      <c r="AW274" s="24"/>
      <c r="BD274" s="24"/>
      <c r="BE274" s="24"/>
      <c r="BF274" s="24"/>
      <c r="BG274" s="24"/>
      <c r="BH274" s="24"/>
      <c r="BI274" s="24"/>
      <c r="BP274" s="24"/>
      <c r="BQ274" s="24"/>
      <c r="BR274" s="24"/>
      <c r="BS274" s="24"/>
      <c r="BZ274" s="24"/>
      <c r="CA274" s="24"/>
      <c r="CB274" s="24"/>
      <c r="CC274" s="24"/>
      <c r="CD274" s="24"/>
    </row>
    <row r="275" spans="2:82" s="6" customFormat="1">
      <c r="B275" s="21"/>
      <c r="D275" s="17"/>
      <c r="E275" s="23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R275" s="24"/>
      <c r="AS275" s="24"/>
      <c r="AT275" s="24"/>
      <c r="AU275" s="24"/>
      <c r="AV275" s="24"/>
      <c r="AW275" s="24"/>
      <c r="BD275" s="24"/>
      <c r="BE275" s="24"/>
      <c r="BF275" s="24"/>
      <c r="BG275" s="24"/>
      <c r="BH275" s="24"/>
      <c r="BI275" s="24"/>
      <c r="BP275" s="24"/>
      <c r="BQ275" s="24"/>
      <c r="BR275" s="24"/>
      <c r="BS275" s="24"/>
      <c r="BZ275" s="24"/>
      <c r="CA275" s="24"/>
      <c r="CB275" s="24"/>
      <c r="CC275" s="24"/>
      <c r="CD275" s="24"/>
    </row>
    <row r="276" spans="2:82" s="6" customFormat="1">
      <c r="B276" s="21"/>
      <c r="D276" s="17"/>
      <c r="E276" s="23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R276" s="24"/>
      <c r="AS276" s="24"/>
      <c r="AT276" s="24"/>
      <c r="AU276" s="24"/>
      <c r="AV276" s="24"/>
      <c r="AW276" s="24"/>
      <c r="BD276" s="24"/>
      <c r="BE276" s="24"/>
      <c r="BF276" s="24"/>
      <c r="BG276" s="24"/>
      <c r="BH276" s="24"/>
      <c r="BI276" s="24"/>
      <c r="BP276" s="24"/>
      <c r="BQ276" s="24"/>
      <c r="BR276" s="24"/>
      <c r="BS276" s="24"/>
      <c r="BZ276" s="24"/>
      <c r="CA276" s="24"/>
      <c r="CB276" s="24"/>
      <c r="CC276" s="24"/>
      <c r="CD276" s="24"/>
    </row>
    <row r="277" spans="2:82" s="6" customFormat="1">
      <c r="B277" s="21"/>
      <c r="D277" s="17"/>
      <c r="E277" s="23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R277" s="24"/>
      <c r="AS277" s="24"/>
      <c r="AT277" s="24"/>
      <c r="AU277" s="24"/>
      <c r="AV277" s="24"/>
      <c r="AW277" s="24"/>
      <c r="BD277" s="24"/>
      <c r="BE277" s="24"/>
      <c r="BF277" s="24"/>
      <c r="BG277" s="24"/>
      <c r="BH277" s="24"/>
      <c r="BI277" s="24"/>
      <c r="BP277" s="24"/>
      <c r="BQ277" s="24"/>
      <c r="BR277" s="24"/>
      <c r="BS277" s="24"/>
      <c r="BZ277" s="24"/>
      <c r="CA277" s="24"/>
      <c r="CB277" s="24"/>
      <c r="CC277" s="24"/>
      <c r="CD277" s="24"/>
    </row>
    <row r="278" spans="2:82" s="6" customFormat="1">
      <c r="B278" s="21"/>
      <c r="D278" s="17"/>
      <c r="E278" s="23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R278" s="24"/>
      <c r="AS278" s="24"/>
      <c r="AT278" s="24"/>
      <c r="AU278" s="24"/>
      <c r="AV278" s="24"/>
      <c r="AW278" s="24"/>
      <c r="BD278" s="24"/>
      <c r="BE278" s="24"/>
      <c r="BF278" s="24"/>
      <c r="BG278" s="24"/>
      <c r="BH278" s="24"/>
      <c r="BI278" s="24"/>
      <c r="BP278" s="24"/>
      <c r="BQ278" s="24"/>
      <c r="BR278" s="24"/>
      <c r="BS278" s="24"/>
      <c r="BZ278" s="24"/>
      <c r="CA278" s="24"/>
      <c r="CB278" s="24"/>
      <c r="CC278" s="24"/>
      <c r="CD278" s="24"/>
    </row>
    <row r="279" spans="2:82" s="6" customFormat="1">
      <c r="B279" s="21"/>
      <c r="D279" s="17"/>
      <c r="E279" s="23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R279" s="24"/>
      <c r="AS279" s="24"/>
      <c r="AT279" s="24"/>
      <c r="AU279" s="24"/>
      <c r="AV279" s="24"/>
      <c r="AW279" s="24"/>
      <c r="BD279" s="24"/>
      <c r="BE279" s="24"/>
      <c r="BF279" s="24"/>
      <c r="BG279" s="24"/>
      <c r="BH279" s="24"/>
      <c r="BI279" s="24"/>
      <c r="BP279" s="24"/>
      <c r="BQ279" s="24"/>
      <c r="BR279" s="24"/>
      <c r="BS279" s="24"/>
      <c r="BZ279" s="24"/>
      <c r="CA279" s="24"/>
      <c r="CB279" s="24"/>
      <c r="CC279" s="24"/>
      <c r="CD279" s="24"/>
    </row>
    <row r="280" spans="2:82" s="6" customFormat="1">
      <c r="B280" s="21"/>
      <c r="D280" s="17"/>
      <c r="E280" s="23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R280" s="24"/>
      <c r="AS280" s="24"/>
      <c r="AT280" s="24"/>
      <c r="AU280" s="24"/>
      <c r="AV280" s="24"/>
      <c r="AW280" s="24"/>
      <c r="BD280" s="24"/>
      <c r="BE280" s="24"/>
      <c r="BF280" s="24"/>
      <c r="BG280" s="24"/>
      <c r="BH280" s="24"/>
      <c r="BI280" s="24"/>
      <c r="BP280" s="24"/>
      <c r="BQ280" s="24"/>
      <c r="BR280" s="24"/>
      <c r="BS280" s="24"/>
      <c r="BZ280" s="24"/>
      <c r="CA280" s="24"/>
      <c r="CB280" s="24"/>
      <c r="CC280" s="24"/>
      <c r="CD280" s="24"/>
    </row>
    <row r="281" spans="2:82" s="6" customFormat="1">
      <c r="B281" s="21"/>
      <c r="D281" s="17"/>
      <c r="E281" s="23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R281" s="24"/>
      <c r="AS281" s="24"/>
      <c r="AT281" s="24"/>
      <c r="AU281" s="24"/>
      <c r="AV281" s="24"/>
      <c r="AW281" s="24"/>
      <c r="BD281" s="24"/>
      <c r="BE281" s="24"/>
      <c r="BF281" s="24"/>
      <c r="BG281" s="24"/>
      <c r="BH281" s="24"/>
      <c r="BI281" s="24"/>
      <c r="BP281" s="24"/>
      <c r="BQ281" s="24"/>
      <c r="BR281" s="24"/>
      <c r="BS281" s="24"/>
      <c r="BZ281" s="24"/>
      <c r="CA281" s="24"/>
      <c r="CB281" s="24"/>
      <c r="CC281" s="24"/>
      <c r="CD281" s="24"/>
    </row>
    <row r="282" spans="2:82" s="6" customFormat="1">
      <c r="B282" s="21"/>
      <c r="D282" s="17"/>
      <c r="E282" s="23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R282" s="24"/>
      <c r="AS282" s="24"/>
      <c r="AT282" s="24"/>
      <c r="AU282" s="24"/>
      <c r="AV282" s="24"/>
      <c r="AW282" s="24"/>
      <c r="BD282" s="24"/>
      <c r="BE282" s="24"/>
      <c r="BF282" s="24"/>
      <c r="BG282" s="24"/>
      <c r="BH282" s="24"/>
      <c r="BI282" s="24"/>
      <c r="BP282" s="24"/>
      <c r="BQ282" s="24"/>
      <c r="BR282" s="24"/>
      <c r="BS282" s="24"/>
      <c r="BZ282" s="24"/>
      <c r="CA282" s="24"/>
      <c r="CB282" s="24"/>
      <c r="CC282" s="24"/>
      <c r="CD282" s="24"/>
    </row>
    <row r="283" spans="2:82" s="6" customFormat="1">
      <c r="B283" s="21"/>
      <c r="D283" s="17"/>
      <c r="E283" s="23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R283" s="24"/>
      <c r="AS283" s="24"/>
      <c r="AT283" s="24"/>
      <c r="AU283" s="24"/>
      <c r="AV283" s="24"/>
      <c r="AW283" s="24"/>
      <c r="BD283" s="24"/>
      <c r="BE283" s="24"/>
      <c r="BF283" s="24"/>
      <c r="BG283" s="24"/>
      <c r="BH283" s="24"/>
      <c r="BI283" s="24"/>
      <c r="BP283" s="24"/>
      <c r="BQ283" s="24"/>
      <c r="BR283" s="24"/>
      <c r="BS283" s="24"/>
      <c r="BZ283" s="24"/>
      <c r="CA283" s="24"/>
      <c r="CB283" s="24"/>
      <c r="CC283" s="24"/>
      <c r="CD283" s="24"/>
    </row>
    <row r="284" spans="2:82" s="6" customFormat="1">
      <c r="B284" s="21"/>
      <c r="D284" s="17"/>
      <c r="E284" s="23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R284" s="24"/>
      <c r="AS284" s="24"/>
      <c r="AT284" s="24"/>
      <c r="AU284" s="24"/>
      <c r="AV284" s="24"/>
      <c r="AW284" s="24"/>
      <c r="BD284" s="24"/>
      <c r="BE284" s="24"/>
      <c r="BF284" s="24"/>
      <c r="BG284" s="24"/>
      <c r="BH284" s="24"/>
      <c r="BI284" s="24"/>
      <c r="BP284" s="24"/>
      <c r="BQ284" s="24"/>
      <c r="BR284" s="24"/>
      <c r="BS284" s="24"/>
      <c r="BZ284" s="24"/>
      <c r="CA284" s="24"/>
      <c r="CB284" s="24"/>
      <c r="CC284" s="24"/>
      <c r="CD284" s="24"/>
    </row>
    <row r="285" spans="2:82" s="6" customFormat="1">
      <c r="B285" s="21"/>
      <c r="D285" s="17"/>
      <c r="E285" s="23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R285" s="24"/>
      <c r="AS285" s="24"/>
      <c r="AT285" s="24"/>
      <c r="AU285" s="24"/>
      <c r="AV285" s="24"/>
      <c r="AW285" s="24"/>
      <c r="BD285" s="24"/>
      <c r="BE285" s="24"/>
      <c r="BF285" s="24"/>
      <c r="BG285" s="24"/>
      <c r="BH285" s="24"/>
      <c r="BI285" s="24"/>
      <c r="BP285" s="24"/>
      <c r="BQ285" s="24"/>
      <c r="BR285" s="24"/>
      <c r="BS285" s="24"/>
      <c r="BZ285" s="24"/>
      <c r="CA285" s="24"/>
      <c r="CB285" s="24"/>
      <c r="CC285" s="24"/>
      <c r="CD285" s="24"/>
    </row>
    <row r="286" spans="2:82" s="6" customFormat="1">
      <c r="B286" s="21"/>
      <c r="D286" s="17"/>
      <c r="E286" s="23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R286" s="24"/>
      <c r="AS286" s="24"/>
      <c r="AT286" s="24"/>
      <c r="AU286" s="24"/>
      <c r="AV286" s="24"/>
      <c r="AW286" s="24"/>
      <c r="BD286" s="24"/>
      <c r="BE286" s="24"/>
      <c r="BF286" s="24"/>
      <c r="BG286" s="24"/>
      <c r="BH286" s="24"/>
      <c r="BI286" s="24"/>
      <c r="BP286" s="24"/>
      <c r="BQ286" s="24"/>
      <c r="BR286" s="24"/>
      <c r="BS286" s="24"/>
      <c r="BZ286" s="24"/>
      <c r="CA286" s="24"/>
      <c r="CB286" s="24"/>
      <c r="CC286" s="24"/>
      <c r="CD286" s="24"/>
    </row>
    <row r="287" spans="2:82" s="6" customFormat="1">
      <c r="B287" s="21"/>
      <c r="D287" s="17"/>
      <c r="E287" s="23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R287" s="24"/>
      <c r="AS287" s="24"/>
      <c r="AT287" s="24"/>
      <c r="AU287" s="24"/>
      <c r="AV287" s="24"/>
      <c r="AW287" s="24"/>
      <c r="BD287" s="24"/>
      <c r="BE287" s="24"/>
      <c r="BF287" s="24"/>
      <c r="BG287" s="24"/>
      <c r="BH287" s="24"/>
      <c r="BI287" s="24"/>
      <c r="BP287" s="24"/>
      <c r="BQ287" s="24"/>
      <c r="BR287" s="24"/>
      <c r="BS287" s="24"/>
      <c r="BZ287" s="24"/>
      <c r="CA287" s="24"/>
      <c r="CB287" s="24"/>
      <c r="CC287" s="24"/>
      <c r="CD287" s="24"/>
    </row>
    <row r="288" spans="2:82" s="6" customFormat="1">
      <c r="B288" s="21"/>
      <c r="D288" s="17"/>
      <c r="E288" s="23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R288" s="24"/>
      <c r="AS288" s="24"/>
      <c r="AT288" s="24"/>
      <c r="AU288" s="24"/>
      <c r="AV288" s="24"/>
      <c r="AW288" s="24"/>
      <c r="BD288" s="24"/>
      <c r="BE288" s="24"/>
      <c r="BF288" s="24"/>
      <c r="BG288" s="24"/>
      <c r="BH288" s="24"/>
      <c r="BI288" s="24"/>
      <c r="BP288" s="24"/>
      <c r="BQ288" s="24"/>
      <c r="BR288" s="24"/>
      <c r="BS288" s="24"/>
      <c r="BZ288" s="24"/>
      <c r="CA288" s="24"/>
      <c r="CB288" s="24"/>
      <c r="CC288" s="24"/>
      <c r="CD288" s="24"/>
    </row>
    <row r="289" spans="2:82" s="6" customFormat="1">
      <c r="B289" s="21"/>
      <c r="D289" s="17"/>
      <c r="E289" s="23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R289" s="24"/>
      <c r="AS289" s="24"/>
      <c r="AT289" s="24"/>
      <c r="AU289" s="24"/>
      <c r="AV289" s="24"/>
      <c r="AW289" s="24"/>
      <c r="BD289" s="24"/>
      <c r="BE289" s="24"/>
      <c r="BF289" s="24"/>
      <c r="BG289" s="24"/>
      <c r="BH289" s="24"/>
      <c r="BI289" s="24"/>
      <c r="BP289" s="24"/>
      <c r="BQ289" s="24"/>
      <c r="BR289" s="24"/>
      <c r="BS289" s="24"/>
      <c r="BZ289" s="24"/>
      <c r="CA289" s="24"/>
      <c r="CB289" s="24"/>
      <c r="CC289" s="24"/>
      <c r="CD289" s="24"/>
    </row>
    <row r="290" spans="2:82" s="6" customFormat="1">
      <c r="B290" s="21"/>
      <c r="D290" s="17"/>
      <c r="E290" s="23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R290" s="24"/>
      <c r="AS290" s="24"/>
      <c r="AT290" s="24"/>
      <c r="AU290" s="24"/>
      <c r="AV290" s="24"/>
      <c r="AW290" s="24"/>
      <c r="BD290" s="24"/>
      <c r="BE290" s="24"/>
      <c r="BF290" s="24"/>
      <c r="BG290" s="24"/>
      <c r="BH290" s="24"/>
      <c r="BI290" s="24"/>
      <c r="BP290" s="24"/>
      <c r="BQ290" s="24"/>
      <c r="BR290" s="24"/>
      <c r="BS290" s="24"/>
      <c r="BZ290" s="24"/>
      <c r="CA290" s="24"/>
      <c r="CB290" s="24"/>
      <c r="CC290" s="24"/>
      <c r="CD290" s="24"/>
    </row>
    <row r="291" spans="2:82" s="6" customFormat="1">
      <c r="B291" s="21"/>
      <c r="D291" s="17"/>
      <c r="E291" s="23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R291" s="24"/>
      <c r="AS291" s="24"/>
      <c r="AT291" s="24"/>
      <c r="AU291" s="24"/>
      <c r="AV291" s="24"/>
      <c r="AW291" s="24"/>
      <c r="BD291" s="24"/>
      <c r="BE291" s="24"/>
      <c r="BF291" s="24"/>
      <c r="BG291" s="24"/>
      <c r="BH291" s="24"/>
      <c r="BI291" s="24"/>
      <c r="BP291" s="24"/>
      <c r="BQ291" s="24"/>
      <c r="BR291" s="24"/>
      <c r="BS291" s="24"/>
      <c r="BZ291" s="24"/>
      <c r="CA291" s="24"/>
      <c r="CB291" s="24"/>
      <c r="CC291" s="24"/>
      <c r="CD291" s="24"/>
    </row>
    <row r="292" spans="2:82" s="6" customFormat="1">
      <c r="B292" s="21"/>
      <c r="D292" s="17"/>
      <c r="E292" s="23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R292" s="24"/>
      <c r="AS292" s="24"/>
      <c r="AT292" s="24"/>
      <c r="AU292" s="24"/>
      <c r="AV292" s="24"/>
      <c r="AW292" s="24"/>
      <c r="BD292" s="24"/>
      <c r="BE292" s="24"/>
      <c r="BF292" s="24"/>
      <c r="BG292" s="24"/>
      <c r="BH292" s="24"/>
      <c r="BI292" s="24"/>
      <c r="BP292" s="24"/>
      <c r="BQ292" s="24"/>
      <c r="BR292" s="24"/>
      <c r="BS292" s="24"/>
      <c r="BZ292" s="24"/>
      <c r="CA292" s="24"/>
      <c r="CB292" s="24"/>
      <c r="CC292" s="24"/>
      <c r="CD292" s="24"/>
    </row>
    <row r="293" spans="2:82" s="6" customFormat="1">
      <c r="B293" s="21"/>
      <c r="D293" s="17"/>
      <c r="E293" s="23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R293" s="24"/>
      <c r="AS293" s="24"/>
      <c r="AT293" s="24"/>
      <c r="AU293" s="24"/>
      <c r="AV293" s="24"/>
      <c r="AW293" s="24"/>
      <c r="BD293" s="24"/>
      <c r="BE293" s="24"/>
      <c r="BF293" s="24"/>
      <c r="BG293" s="24"/>
      <c r="BH293" s="24"/>
      <c r="BI293" s="24"/>
      <c r="BP293" s="24"/>
      <c r="BQ293" s="24"/>
      <c r="BR293" s="24"/>
      <c r="BS293" s="24"/>
      <c r="BZ293" s="24"/>
      <c r="CA293" s="24"/>
      <c r="CB293" s="24"/>
      <c r="CC293" s="24"/>
      <c r="CD293" s="24"/>
    </row>
    <row r="294" spans="2:82" s="6" customFormat="1">
      <c r="B294" s="21"/>
      <c r="D294" s="17"/>
      <c r="E294" s="23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R294" s="24"/>
      <c r="AS294" s="24"/>
      <c r="AT294" s="24"/>
      <c r="AU294" s="24"/>
      <c r="AV294" s="24"/>
      <c r="AW294" s="24"/>
      <c r="BD294" s="24"/>
      <c r="BE294" s="24"/>
      <c r="BF294" s="24"/>
      <c r="BG294" s="24"/>
      <c r="BH294" s="24"/>
      <c r="BI294" s="24"/>
      <c r="BP294" s="24"/>
      <c r="BQ294" s="24"/>
      <c r="BR294" s="24"/>
      <c r="BS294" s="24"/>
      <c r="BZ294" s="24"/>
      <c r="CA294" s="24"/>
      <c r="CB294" s="24"/>
      <c r="CC294" s="24"/>
      <c r="CD294" s="24"/>
    </row>
    <row r="295" spans="2:82" s="6" customFormat="1">
      <c r="B295" s="21"/>
      <c r="D295" s="17"/>
      <c r="E295" s="23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R295" s="24"/>
      <c r="AS295" s="24"/>
      <c r="AT295" s="24"/>
      <c r="AU295" s="24"/>
      <c r="AV295" s="24"/>
      <c r="AW295" s="24"/>
      <c r="BD295" s="24"/>
      <c r="BE295" s="24"/>
      <c r="BF295" s="24"/>
      <c r="BG295" s="24"/>
      <c r="BH295" s="24"/>
      <c r="BI295" s="24"/>
      <c r="BP295" s="24"/>
      <c r="BQ295" s="24"/>
      <c r="BR295" s="24"/>
      <c r="BS295" s="24"/>
      <c r="BZ295" s="24"/>
      <c r="CA295" s="24"/>
      <c r="CB295" s="24"/>
      <c r="CC295" s="24"/>
      <c r="CD295" s="24"/>
    </row>
    <row r="296" spans="2:82" s="6" customFormat="1">
      <c r="B296" s="21"/>
      <c r="D296" s="17"/>
      <c r="E296" s="23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R296" s="24"/>
      <c r="AS296" s="24"/>
      <c r="AT296" s="24"/>
      <c r="AU296" s="24"/>
      <c r="AV296" s="24"/>
      <c r="AW296" s="24"/>
      <c r="BD296" s="24"/>
      <c r="BE296" s="24"/>
      <c r="BF296" s="24"/>
      <c r="BG296" s="24"/>
      <c r="BH296" s="24"/>
      <c r="BI296" s="24"/>
      <c r="BP296" s="24"/>
      <c r="BQ296" s="24"/>
      <c r="BR296" s="24"/>
      <c r="BS296" s="24"/>
      <c r="BZ296" s="24"/>
      <c r="CA296" s="24"/>
      <c r="CB296" s="24"/>
      <c r="CC296" s="24"/>
      <c r="CD296" s="24"/>
    </row>
    <row r="297" spans="2:82" s="6" customFormat="1">
      <c r="B297" s="21"/>
      <c r="D297" s="17"/>
      <c r="E297" s="23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R297" s="24"/>
      <c r="AS297" s="24"/>
      <c r="AT297" s="24"/>
      <c r="AU297" s="24"/>
      <c r="AV297" s="24"/>
      <c r="AW297" s="24"/>
      <c r="BD297" s="24"/>
      <c r="BE297" s="24"/>
      <c r="BF297" s="24"/>
      <c r="BG297" s="24"/>
      <c r="BH297" s="24"/>
      <c r="BI297" s="24"/>
      <c r="BP297" s="24"/>
      <c r="BQ297" s="24"/>
      <c r="BR297" s="24"/>
      <c r="BS297" s="24"/>
      <c r="BZ297" s="24"/>
      <c r="CA297" s="24"/>
      <c r="CB297" s="24"/>
      <c r="CC297" s="24"/>
      <c r="CD297" s="24"/>
    </row>
    <row r="298" spans="2:82" s="6" customFormat="1">
      <c r="B298" s="21"/>
      <c r="D298" s="17"/>
      <c r="E298" s="23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R298" s="24"/>
      <c r="AS298" s="24"/>
      <c r="AT298" s="24"/>
      <c r="AU298" s="24"/>
      <c r="AV298" s="24"/>
      <c r="AW298" s="24"/>
      <c r="BD298" s="24"/>
      <c r="BE298" s="24"/>
      <c r="BF298" s="24"/>
      <c r="BG298" s="24"/>
      <c r="BH298" s="24"/>
      <c r="BI298" s="24"/>
      <c r="BP298" s="24"/>
      <c r="BQ298" s="24"/>
      <c r="BR298" s="24"/>
      <c r="BS298" s="24"/>
      <c r="BZ298" s="24"/>
      <c r="CA298" s="24"/>
      <c r="CB298" s="24"/>
      <c r="CC298" s="24"/>
      <c r="CD298" s="24"/>
    </row>
    <row r="299" spans="2:82" s="6" customFormat="1">
      <c r="B299" s="21"/>
      <c r="D299" s="17"/>
      <c r="E299" s="23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R299" s="24"/>
      <c r="AS299" s="24"/>
      <c r="AT299" s="24"/>
      <c r="AU299" s="24"/>
      <c r="AV299" s="24"/>
      <c r="AW299" s="24"/>
      <c r="BD299" s="24"/>
      <c r="BE299" s="24"/>
      <c r="BF299" s="24"/>
      <c r="BG299" s="24"/>
      <c r="BH299" s="24"/>
      <c r="BI299" s="24"/>
      <c r="BP299" s="24"/>
      <c r="BQ299" s="24"/>
      <c r="BR299" s="24"/>
      <c r="BS299" s="24"/>
      <c r="BZ299" s="24"/>
      <c r="CA299" s="24"/>
      <c r="CB299" s="24"/>
      <c r="CC299" s="24"/>
      <c r="CD299" s="24"/>
    </row>
    <row r="300" spans="2:82" s="6" customFormat="1">
      <c r="B300" s="21"/>
      <c r="D300" s="17"/>
      <c r="E300" s="23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R300" s="24"/>
      <c r="AS300" s="24"/>
      <c r="AT300" s="24"/>
      <c r="AU300" s="24"/>
      <c r="AV300" s="24"/>
      <c r="AW300" s="24"/>
      <c r="BD300" s="24"/>
      <c r="BE300" s="24"/>
      <c r="BF300" s="24"/>
      <c r="BG300" s="24"/>
      <c r="BH300" s="24"/>
      <c r="BI300" s="24"/>
      <c r="BP300" s="24"/>
      <c r="BQ300" s="24"/>
      <c r="BR300" s="24"/>
      <c r="BS300" s="24"/>
      <c r="BZ300" s="24"/>
      <c r="CA300" s="24"/>
      <c r="CB300" s="24"/>
      <c r="CC300" s="24"/>
      <c r="CD300" s="24"/>
    </row>
    <row r="301" spans="2:82" s="6" customFormat="1">
      <c r="B301" s="21"/>
      <c r="D301" s="17"/>
      <c r="E301" s="23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R301" s="24"/>
      <c r="AS301" s="24"/>
      <c r="AT301" s="24"/>
      <c r="AU301" s="24"/>
      <c r="AV301" s="24"/>
      <c r="AW301" s="24"/>
      <c r="BD301" s="24"/>
      <c r="BE301" s="24"/>
      <c r="BF301" s="24"/>
      <c r="BG301" s="24"/>
      <c r="BH301" s="24"/>
      <c r="BI301" s="24"/>
      <c r="BP301" s="24"/>
      <c r="BQ301" s="24"/>
      <c r="BR301" s="24"/>
      <c r="BS301" s="24"/>
      <c r="BZ301" s="24"/>
      <c r="CA301" s="24"/>
      <c r="CB301" s="24"/>
      <c r="CC301" s="24"/>
      <c r="CD301" s="24"/>
    </row>
    <row r="302" spans="2:82" s="6" customFormat="1">
      <c r="B302" s="21"/>
      <c r="D302" s="17"/>
      <c r="E302" s="23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R302" s="24"/>
      <c r="AS302" s="24"/>
      <c r="AT302" s="24"/>
      <c r="AU302" s="24"/>
      <c r="AV302" s="24"/>
      <c r="AW302" s="24"/>
      <c r="BD302" s="24"/>
      <c r="BE302" s="24"/>
      <c r="BF302" s="24"/>
      <c r="BG302" s="24"/>
      <c r="BH302" s="24"/>
      <c r="BI302" s="24"/>
      <c r="BP302" s="24"/>
      <c r="BQ302" s="24"/>
      <c r="BR302" s="24"/>
      <c r="BS302" s="24"/>
      <c r="BZ302" s="24"/>
      <c r="CA302" s="24"/>
      <c r="CB302" s="24"/>
      <c r="CC302" s="24"/>
      <c r="CD302" s="24"/>
    </row>
    <row r="303" spans="2:82" s="6" customFormat="1">
      <c r="B303" s="21"/>
      <c r="D303" s="17"/>
      <c r="E303" s="23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R303" s="24"/>
      <c r="AS303" s="24"/>
      <c r="AT303" s="24"/>
      <c r="AU303" s="24"/>
      <c r="AV303" s="24"/>
      <c r="AW303" s="24"/>
      <c r="BD303" s="24"/>
      <c r="BE303" s="24"/>
      <c r="BF303" s="24"/>
      <c r="BG303" s="24"/>
      <c r="BH303" s="24"/>
      <c r="BI303" s="24"/>
      <c r="BP303" s="24"/>
      <c r="BQ303" s="24"/>
      <c r="BR303" s="24"/>
      <c r="BS303" s="24"/>
      <c r="BZ303" s="24"/>
      <c r="CA303" s="24"/>
      <c r="CB303" s="24"/>
      <c r="CC303" s="24"/>
      <c r="CD303" s="24"/>
    </row>
    <row r="304" spans="2:82" s="6" customFormat="1">
      <c r="B304" s="21"/>
      <c r="D304" s="17"/>
      <c r="E304" s="23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R304" s="24"/>
      <c r="AS304" s="24"/>
      <c r="AT304" s="24"/>
      <c r="AU304" s="24"/>
      <c r="AV304" s="24"/>
      <c r="AW304" s="24"/>
      <c r="BD304" s="24"/>
      <c r="BE304" s="24"/>
      <c r="BF304" s="24"/>
      <c r="BG304" s="24"/>
      <c r="BH304" s="24"/>
      <c r="BI304" s="24"/>
      <c r="BP304" s="24"/>
      <c r="BQ304" s="24"/>
      <c r="BR304" s="24"/>
      <c r="BS304" s="24"/>
      <c r="BZ304" s="24"/>
      <c r="CA304" s="24"/>
      <c r="CB304" s="24"/>
      <c r="CC304" s="24"/>
      <c r="CD304" s="24"/>
    </row>
    <row r="305" spans="2:82" s="6" customFormat="1">
      <c r="B305" s="21"/>
      <c r="D305" s="17"/>
      <c r="E305" s="23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R305" s="24"/>
      <c r="AS305" s="24"/>
      <c r="AT305" s="24"/>
      <c r="AU305" s="24"/>
      <c r="AV305" s="24"/>
      <c r="AW305" s="24"/>
      <c r="BD305" s="24"/>
      <c r="BE305" s="24"/>
      <c r="BF305" s="24"/>
      <c r="BG305" s="24"/>
      <c r="BH305" s="24"/>
      <c r="BI305" s="24"/>
      <c r="BP305" s="24"/>
      <c r="BQ305" s="24"/>
      <c r="BR305" s="24"/>
      <c r="BS305" s="24"/>
      <c r="BZ305" s="24"/>
      <c r="CA305" s="24"/>
      <c r="CB305" s="24"/>
      <c r="CC305" s="24"/>
      <c r="CD305" s="24"/>
    </row>
    <row r="306" spans="2:82" s="6" customFormat="1">
      <c r="B306" s="21"/>
      <c r="D306" s="17"/>
      <c r="E306" s="23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R306" s="24"/>
      <c r="AS306" s="24"/>
      <c r="AT306" s="24"/>
      <c r="AU306" s="24"/>
      <c r="AV306" s="24"/>
      <c r="AW306" s="24"/>
      <c r="BD306" s="24"/>
      <c r="BE306" s="24"/>
      <c r="BF306" s="24"/>
      <c r="BG306" s="24"/>
      <c r="BH306" s="24"/>
      <c r="BI306" s="24"/>
      <c r="BP306" s="24"/>
      <c r="BQ306" s="24"/>
      <c r="BR306" s="24"/>
      <c r="BS306" s="24"/>
      <c r="BZ306" s="24"/>
      <c r="CA306" s="24"/>
      <c r="CB306" s="24"/>
      <c r="CC306" s="24"/>
      <c r="CD306" s="24"/>
    </row>
    <row r="307" spans="2:82" s="6" customFormat="1">
      <c r="B307" s="21"/>
      <c r="D307" s="17"/>
      <c r="E307" s="23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R307" s="24"/>
      <c r="AS307" s="24"/>
      <c r="AT307" s="24"/>
      <c r="AU307" s="24"/>
      <c r="AV307" s="24"/>
      <c r="AW307" s="24"/>
      <c r="BD307" s="24"/>
      <c r="BE307" s="24"/>
      <c r="BF307" s="24"/>
      <c r="BG307" s="24"/>
      <c r="BH307" s="24"/>
      <c r="BI307" s="24"/>
      <c r="BP307" s="24"/>
      <c r="BQ307" s="24"/>
      <c r="BR307" s="24"/>
      <c r="BS307" s="24"/>
      <c r="BZ307" s="24"/>
      <c r="CA307" s="24"/>
      <c r="CB307" s="24"/>
      <c r="CC307" s="24"/>
      <c r="CD307" s="24"/>
    </row>
    <row r="308" spans="2:82" s="6" customFormat="1">
      <c r="B308" s="21"/>
      <c r="D308" s="17"/>
      <c r="E308" s="23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R308" s="24"/>
      <c r="AS308" s="24"/>
      <c r="AT308" s="24"/>
      <c r="AU308" s="24"/>
      <c r="AV308" s="24"/>
      <c r="AW308" s="24"/>
      <c r="BD308" s="24"/>
      <c r="BE308" s="24"/>
      <c r="BF308" s="24"/>
      <c r="BG308" s="24"/>
      <c r="BH308" s="24"/>
      <c r="BI308" s="24"/>
      <c r="BP308" s="24"/>
      <c r="BQ308" s="24"/>
      <c r="BR308" s="24"/>
      <c r="BS308" s="24"/>
      <c r="BZ308" s="24"/>
      <c r="CA308" s="24"/>
      <c r="CB308" s="24"/>
      <c r="CC308" s="24"/>
      <c r="CD308" s="24"/>
    </row>
    <row r="309" spans="2:82" s="6" customFormat="1">
      <c r="B309" s="21"/>
      <c r="D309" s="17"/>
      <c r="E309" s="23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R309" s="24"/>
      <c r="AS309" s="24"/>
      <c r="AT309" s="24"/>
      <c r="AU309" s="24"/>
      <c r="AV309" s="24"/>
      <c r="AW309" s="24"/>
      <c r="BD309" s="24"/>
      <c r="BE309" s="24"/>
      <c r="BF309" s="24"/>
      <c r="BG309" s="24"/>
      <c r="BH309" s="24"/>
      <c r="BI309" s="24"/>
      <c r="BP309" s="24"/>
      <c r="BQ309" s="24"/>
      <c r="BR309" s="24"/>
      <c r="BS309" s="24"/>
      <c r="BZ309" s="24"/>
      <c r="CA309" s="24"/>
      <c r="CB309" s="24"/>
      <c r="CC309" s="24"/>
      <c r="CD309" s="24"/>
    </row>
    <row r="310" spans="2:82" s="6" customFormat="1">
      <c r="B310" s="21"/>
      <c r="D310" s="17"/>
      <c r="E310" s="23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R310" s="24"/>
      <c r="AS310" s="24"/>
      <c r="AT310" s="24"/>
      <c r="AU310" s="24"/>
      <c r="AV310" s="24"/>
      <c r="AW310" s="24"/>
      <c r="BD310" s="24"/>
      <c r="BE310" s="24"/>
      <c r="BF310" s="24"/>
      <c r="BG310" s="24"/>
      <c r="BH310" s="24"/>
      <c r="BI310" s="24"/>
      <c r="BP310" s="24"/>
      <c r="BQ310" s="24"/>
      <c r="BR310" s="24"/>
      <c r="BS310" s="24"/>
      <c r="BZ310" s="24"/>
      <c r="CA310" s="24"/>
      <c r="CB310" s="24"/>
      <c r="CC310" s="24"/>
      <c r="CD310" s="24"/>
    </row>
    <row r="311" spans="2:82" s="6" customFormat="1">
      <c r="B311" s="21"/>
      <c r="D311" s="17"/>
      <c r="E311" s="23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R311" s="24"/>
      <c r="AS311" s="24"/>
      <c r="AT311" s="24"/>
      <c r="AU311" s="24"/>
      <c r="AV311" s="24"/>
      <c r="AW311" s="24"/>
      <c r="BD311" s="24"/>
      <c r="BE311" s="24"/>
      <c r="BF311" s="24"/>
      <c r="BG311" s="24"/>
      <c r="BH311" s="24"/>
      <c r="BI311" s="24"/>
      <c r="BP311" s="24"/>
      <c r="BQ311" s="24"/>
      <c r="BR311" s="24"/>
      <c r="BS311" s="24"/>
      <c r="BZ311" s="24"/>
      <c r="CA311" s="24"/>
      <c r="CB311" s="24"/>
      <c r="CC311" s="24"/>
      <c r="CD311" s="24"/>
    </row>
    <row r="312" spans="2:82" s="6" customFormat="1">
      <c r="B312" s="21"/>
      <c r="D312" s="17"/>
      <c r="E312" s="23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R312" s="24"/>
      <c r="AS312" s="24"/>
      <c r="AT312" s="24"/>
      <c r="AU312" s="24"/>
      <c r="AV312" s="24"/>
      <c r="AW312" s="24"/>
      <c r="BD312" s="24"/>
      <c r="BE312" s="24"/>
      <c r="BF312" s="24"/>
      <c r="BG312" s="24"/>
      <c r="BH312" s="24"/>
      <c r="BI312" s="24"/>
      <c r="BP312" s="24"/>
      <c r="BQ312" s="24"/>
      <c r="BR312" s="24"/>
      <c r="BS312" s="24"/>
      <c r="BZ312" s="24"/>
      <c r="CA312" s="24"/>
      <c r="CB312" s="24"/>
      <c r="CC312" s="24"/>
      <c r="CD312" s="24"/>
    </row>
    <row r="313" spans="2:82" s="6" customFormat="1">
      <c r="B313" s="21"/>
      <c r="D313" s="17"/>
      <c r="E313" s="23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R313" s="24"/>
      <c r="AS313" s="24"/>
      <c r="AT313" s="24"/>
      <c r="AU313" s="24"/>
      <c r="AV313" s="24"/>
      <c r="AW313" s="24"/>
      <c r="BD313" s="24"/>
      <c r="BE313" s="24"/>
      <c r="BF313" s="24"/>
      <c r="BG313" s="24"/>
      <c r="BH313" s="24"/>
      <c r="BI313" s="24"/>
      <c r="BP313" s="24"/>
      <c r="BQ313" s="24"/>
      <c r="BR313" s="24"/>
      <c r="BS313" s="24"/>
      <c r="BZ313" s="24"/>
      <c r="CA313" s="24"/>
      <c r="CB313" s="24"/>
      <c r="CC313" s="24"/>
      <c r="CD313" s="24"/>
    </row>
    <row r="314" spans="2:82" s="6" customFormat="1">
      <c r="B314" s="21"/>
      <c r="D314" s="17"/>
      <c r="E314" s="23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R314" s="24"/>
      <c r="AS314" s="24"/>
      <c r="AT314" s="24"/>
      <c r="AU314" s="24"/>
      <c r="AV314" s="24"/>
      <c r="AW314" s="24"/>
      <c r="BD314" s="24"/>
      <c r="BE314" s="24"/>
      <c r="BF314" s="24"/>
      <c r="BG314" s="24"/>
      <c r="BH314" s="24"/>
      <c r="BI314" s="24"/>
      <c r="BP314" s="24"/>
      <c r="BQ314" s="24"/>
      <c r="BR314" s="24"/>
      <c r="BS314" s="24"/>
      <c r="BZ314" s="24"/>
      <c r="CA314" s="24"/>
      <c r="CB314" s="24"/>
      <c r="CC314" s="24"/>
      <c r="CD314" s="24"/>
    </row>
    <row r="315" spans="2:82" s="6" customFormat="1">
      <c r="B315" s="21"/>
      <c r="D315" s="17"/>
      <c r="E315" s="23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R315" s="24"/>
      <c r="AS315" s="24"/>
      <c r="AT315" s="24"/>
      <c r="AU315" s="24"/>
      <c r="AV315" s="24"/>
      <c r="AW315" s="24"/>
      <c r="BD315" s="24"/>
      <c r="BE315" s="24"/>
      <c r="BF315" s="24"/>
      <c r="BG315" s="24"/>
      <c r="BH315" s="24"/>
      <c r="BI315" s="24"/>
      <c r="BP315" s="24"/>
      <c r="BQ315" s="24"/>
      <c r="BR315" s="24"/>
      <c r="BS315" s="24"/>
      <c r="BZ315" s="24"/>
      <c r="CA315" s="24"/>
      <c r="CB315" s="24"/>
      <c r="CC315" s="24"/>
      <c r="CD315" s="24"/>
    </row>
    <row r="316" spans="2:82" s="6" customFormat="1">
      <c r="B316" s="21"/>
      <c r="D316" s="17"/>
      <c r="E316" s="23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R316" s="24"/>
      <c r="AS316" s="24"/>
      <c r="AT316" s="24"/>
      <c r="AU316" s="24"/>
      <c r="AV316" s="24"/>
      <c r="AW316" s="24"/>
      <c r="BD316" s="24"/>
      <c r="BE316" s="24"/>
      <c r="BF316" s="24"/>
      <c r="BG316" s="24"/>
      <c r="BH316" s="24"/>
      <c r="BI316" s="24"/>
      <c r="BP316" s="24"/>
      <c r="BQ316" s="24"/>
      <c r="BR316" s="24"/>
      <c r="BS316" s="24"/>
      <c r="BZ316" s="24"/>
      <c r="CA316" s="24"/>
      <c r="CB316" s="24"/>
      <c r="CC316" s="24"/>
      <c r="CD316" s="24"/>
    </row>
    <row r="317" spans="2:82" s="6" customFormat="1">
      <c r="B317" s="21"/>
      <c r="D317" s="17"/>
      <c r="E317" s="23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R317" s="24"/>
      <c r="AS317" s="24"/>
      <c r="AT317" s="24"/>
      <c r="AU317" s="24"/>
      <c r="AV317" s="24"/>
      <c r="AW317" s="24"/>
      <c r="BD317" s="24"/>
      <c r="BE317" s="24"/>
      <c r="BF317" s="24"/>
      <c r="BG317" s="24"/>
      <c r="BH317" s="24"/>
      <c r="BI317" s="24"/>
      <c r="BP317" s="24"/>
      <c r="BQ317" s="24"/>
      <c r="BR317" s="24"/>
      <c r="BS317" s="24"/>
      <c r="BZ317" s="24"/>
      <c r="CA317" s="24"/>
      <c r="CB317" s="24"/>
      <c r="CC317" s="24"/>
      <c r="CD317" s="24"/>
    </row>
    <row r="318" spans="2:82" s="6" customFormat="1">
      <c r="B318" s="21"/>
      <c r="D318" s="17"/>
      <c r="E318" s="23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R318" s="24"/>
      <c r="AS318" s="24"/>
      <c r="AT318" s="24"/>
      <c r="AU318" s="24"/>
      <c r="AV318" s="24"/>
      <c r="AW318" s="24"/>
      <c r="BD318" s="24"/>
      <c r="BE318" s="24"/>
      <c r="BF318" s="24"/>
      <c r="BG318" s="24"/>
      <c r="BH318" s="24"/>
      <c r="BI318" s="24"/>
      <c r="BP318" s="24"/>
      <c r="BQ318" s="24"/>
      <c r="BR318" s="24"/>
      <c r="BS318" s="24"/>
      <c r="BZ318" s="24"/>
      <c r="CA318" s="24"/>
      <c r="CB318" s="24"/>
      <c r="CC318" s="24"/>
      <c r="CD318" s="24"/>
    </row>
    <row r="319" spans="2:82" s="6" customFormat="1">
      <c r="B319" s="21"/>
      <c r="D319" s="17"/>
      <c r="E319" s="23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R319" s="24"/>
      <c r="AS319" s="24"/>
      <c r="AT319" s="24"/>
      <c r="AU319" s="24"/>
      <c r="AV319" s="24"/>
      <c r="AW319" s="24"/>
      <c r="BD319" s="24"/>
      <c r="BE319" s="24"/>
      <c r="BF319" s="24"/>
      <c r="BG319" s="24"/>
      <c r="BH319" s="24"/>
      <c r="BI319" s="24"/>
      <c r="BP319" s="24"/>
      <c r="BQ319" s="24"/>
      <c r="BR319" s="24"/>
      <c r="BS319" s="24"/>
      <c r="BZ319" s="24"/>
      <c r="CA319" s="24"/>
      <c r="CB319" s="24"/>
      <c r="CC319" s="24"/>
      <c r="CD319" s="24"/>
    </row>
    <row r="320" spans="2:82" s="6" customFormat="1">
      <c r="B320" s="21"/>
      <c r="D320" s="17"/>
      <c r="E320" s="23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R320" s="24"/>
      <c r="AS320" s="24"/>
      <c r="AT320" s="24"/>
      <c r="AU320" s="24"/>
      <c r="AV320" s="24"/>
      <c r="AW320" s="24"/>
      <c r="BD320" s="24"/>
      <c r="BE320" s="24"/>
      <c r="BF320" s="24"/>
      <c r="BG320" s="24"/>
      <c r="BH320" s="24"/>
      <c r="BI320" s="24"/>
      <c r="BP320" s="24"/>
      <c r="BQ320" s="24"/>
      <c r="BR320" s="24"/>
      <c r="BS320" s="24"/>
      <c r="BZ320" s="24"/>
      <c r="CA320" s="24"/>
      <c r="CB320" s="24"/>
      <c r="CC320" s="24"/>
      <c r="CD320" s="24"/>
    </row>
    <row r="321" spans="2:82" s="6" customFormat="1">
      <c r="B321" s="21"/>
      <c r="D321" s="17"/>
      <c r="E321" s="23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R321" s="24"/>
      <c r="AS321" s="24"/>
      <c r="AT321" s="24"/>
      <c r="AU321" s="24"/>
      <c r="AV321" s="24"/>
      <c r="AW321" s="24"/>
      <c r="BD321" s="24"/>
      <c r="BE321" s="24"/>
      <c r="BF321" s="24"/>
      <c r="BG321" s="24"/>
      <c r="BH321" s="24"/>
      <c r="BI321" s="24"/>
      <c r="BP321" s="24"/>
      <c r="BQ321" s="24"/>
      <c r="BR321" s="24"/>
      <c r="BS321" s="24"/>
      <c r="BZ321" s="24"/>
      <c r="CA321" s="24"/>
      <c r="CB321" s="24"/>
      <c r="CC321" s="24"/>
      <c r="CD321" s="24"/>
    </row>
    <row r="322" spans="2:82" s="6" customFormat="1">
      <c r="B322" s="21"/>
      <c r="D322" s="17"/>
      <c r="E322" s="23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R322" s="24"/>
      <c r="AS322" s="24"/>
      <c r="AT322" s="24"/>
      <c r="AU322" s="24"/>
      <c r="AV322" s="24"/>
      <c r="AW322" s="24"/>
      <c r="BD322" s="24"/>
      <c r="BE322" s="24"/>
      <c r="BF322" s="24"/>
      <c r="BG322" s="24"/>
      <c r="BH322" s="24"/>
      <c r="BI322" s="24"/>
      <c r="BP322" s="24"/>
      <c r="BQ322" s="24"/>
      <c r="BR322" s="24"/>
      <c r="BS322" s="24"/>
      <c r="BZ322" s="24"/>
      <c r="CA322" s="24"/>
      <c r="CB322" s="24"/>
      <c r="CC322" s="24"/>
      <c r="CD322" s="24"/>
    </row>
    <row r="323" spans="2:82" s="6" customFormat="1">
      <c r="B323" s="21"/>
      <c r="D323" s="17"/>
      <c r="E323" s="23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R323" s="24"/>
      <c r="AS323" s="24"/>
      <c r="AT323" s="24"/>
      <c r="AU323" s="24"/>
      <c r="AV323" s="24"/>
      <c r="AW323" s="24"/>
      <c r="BD323" s="24"/>
      <c r="BE323" s="24"/>
      <c r="BF323" s="24"/>
      <c r="BG323" s="24"/>
      <c r="BH323" s="24"/>
      <c r="BI323" s="24"/>
      <c r="BP323" s="24"/>
      <c r="BQ323" s="24"/>
      <c r="BR323" s="24"/>
      <c r="BS323" s="24"/>
      <c r="BZ323" s="24"/>
      <c r="CA323" s="24"/>
      <c r="CB323" s="24"/>
      <c r="CC323" s="24"/>
      <c r="CD323" s="24"/>
    </row>
    <row r="324" spans="2:82" s="6" customFormat="1">
      <c r="B324" s="21"/>
      <c r="D324" s="17"/>
      <c r="E324" s="23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R324" s="24"/>
      <c r="AS324" s="24"/>
      <c r="AT324" s="24"/>
      <c r="AU324" s="24"/>
      <c r="AV324" s="24"/>
      <c r="AW324" s="24"/>
      <c r="BD324" s="24"/>
      <c r="BE324" s="24"/>
      <c r="BF324" s="24"/>
      <c r="BG324" s="24"/>
      <c r="BH324" s="24"/>
      <c r="BI324" s="24"/>
      <c r="BP324" s="24"/>
      <c r="BQ324" s="24"/>
      <c r="BR324" s="24"/>
      <c r="BS324" s="24"/>
      <c r="BZ324" s="24"/>
      <c r="CA324" s="24"/>
      <c r="CB324" s="24"/>
      <c r="CC324" s="24"/>
      <c r="CD324" s="24"/>
    </row>
    <row r="325" spans="2:82" s="6" customFormat="1">
      <c r="B325" s="21"/>
      <c r="D325" s="17"/>
      <c r="E325" s="23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R325" s="24"/>
      <c r="AS325" s="24"/>
      <c r="AT325" s="24"/>
      <c r="AU325" s="24"/>
      <c r="AV325" s="24"/>
      <c r="AW325" s="24"/>
      <c r="BD325" s="24"/>
      <c r="BE325" s="24"/>
      <c r="BF325" s="24"/>
      <c r="BG325" s="24"/>
      <c r="BH325" s="24"/>
      <c r="BI325" s="24"/>
      <c r="BP325" s="24"/>
      <c r="BQ325" s="24"/>
      <c r="BR325" s="24"/>
      <c r="BS325" s="24"/>
      <c r="BZ325" s="24"/>
      <c r="CA325" s="24"/>
      <c r="CB325" s="24"/>
      <c r="CC325" s="24"/>
      <c r="CD325" s="24"/>
    </row>
    <row r="326" spans="2:82" s="6" customFormat="1">
      <c r="B326" s="21"/>
      <c r="D326" s="17"/>
      <c r="E326" s="23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R326" s="24"/>
      <c r="AS326" s="24"/>
      <c r="AT326" s="24"/>
      <c r="AU326" s="24"/>
      <c r="AV326" s="24"/>
      <c r="AW326" s="24"/>
      <c r="BD326" s="24"/>
      <c r="BE326" s="24"/>
      <c r="BF326" s="24"/>
      <c r="BG326" s="24"/>
      <c r="BH326" s="24"/>
      <c r="BI326" s="24"/>
      <c r="BP326" s="24"/>
      <c r="BQ326" s="24"/>
      <c r="BR326" s="24"/>
      <c r="BS326" s="24"/>
      <c r="BZ326" s="24"/>
      <c r="CA326" s="24"/>
      <c r="CB326" s="24"/>
      <c r="CC326" s="24"/>
      <c r="CD326" s="24"/>
    </row>
    <row r="327" spans="2:82" s="6" customFormat="1">
      <c r="B327" s="21"/>
      <c r="D327" s="17"/>
      <c r="E327" s="23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R327" s="24"/>
      <c r="AS327" s="24"/>
      <c r="AT327" s="24"/>
      <c r="AU327" s="24"/>
      <c r="AV327" s="24"/>
      <c r="AW327" s="24"/>
      <c r="BD327" s="24"/>
      <c r="BE327" s="24"/>
      <c r="BF327" s="24"/>
      <c r="BG327" s="24"/>
      <c r="BH327" s="24"/>
      <c r="BI327" s="24"/>
      <c r="BP327" s="24"/>
      <c r="BQ327" s="24"/>
      <c r="BR327" s="24"/>
      <c r="BS327" s="24"/>
      <c r="BZ327" s="24"/>
      <c r="CA327" s="24"/>
      <c r="CB327" s="24"/>
      <c r="CC327" s="24"/>
      <c r="CD327" s="24"/>
    </row>
    <row r="328" spans="2:82" s="6" customFormat="1">
      <c r="B328" s="21"/>
      <c r="D328" s="17"/>
      <c r="E328" s="23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R328" s="24"/>
      <c r="AS328" s="24"/>
      <c r="AT328" s="24"/>
      <c r="AU328" s="24"/>
      <c r="AV328" s="24"/>
      <c r="AW328" s="24"/>
      <c r="BD328" s="24"/>
      <c r="BE328" s="24"/>
      <c r="BF328" s="24"/>
      <c r="BG328" s="24"/>
      <c r="BH328" s="24"/>
      <c r="BI328" s="24"/>
      <c r="BP328" s="24"/>
      <c r="BQ328" s="24"/>
      <c r="BR328" s="24"/>
      <c r="BS328" s="24"/>
      <c r="BZ328" s="24"/>
      <c r="CA328" s="24"/>
      <c r="CB328" s="24"/>
      <c r="CC328" s="24"/>
      <c r="CD328" s="24"/>
    </row>
    <row r="329" spans="2:82" s="6" customFormat="1">
      <c r="B329" s="21"/>
      <c r="D329" s="17"/>
      <c r="E329" s="23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R329" s="24"/>
      <c r="AS329" s="24"/>
      <c r="AT329" s="24"/>
      <c r="AU329" s="24"/>
      <c r="AV329" s="24"/>
      <c r="AW329" s="24"/>
      <c r="BD329" s="24"/>
      <c r="BE329" s="24"/>
      <c r="BF329" s="24"/>
      <c r="BG329" s="24"/>
      <c r="BH329" s="24"/>
      <c r="BI329" s="24"/>
      <c r="BP329" s="24"/>
      <c r="BQ329" s="24"/>
      <c r="BR329" s="24"/>
      <c r="BS329" s="24"/>
      <c r="BZ329" s="24"/>
      <c r="CA329" s="24"/>
      <c r="CB329" s="24"/>
      <c r="CC329" s="24"/>
      <c r="CD329" s="24"/>
    </row>
    <row r="330" spans="2:82" s="6" customFormat="1">
      <c r="B330" s="21"/>
      <c r="D330" s="17"/>
      <c r="E330" s="23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R330" s="24"/>
      <c r="AS330" s="24"/>
      <c r="AT330" s="24"/>
      <c r="AU330" s="24"/>
      <c r="AV330" s="24"/>
      <c r="AW330" s="24"/>
      <c r="BD330" s="24"/>
      <c r="BE330" s="24"/>
      <c r="BF330" s="24"/>
      <c r="BG330" s="24"/>
      <c r="BH330" s="24"/>
      <c r="BI330" s="24"/>
      <c r="BP330" s="24"/>
      <c r="BQ330" s="24"/>
      <c r="BR330" s="24"/>
      <c r="BS330" s="24"/>
      <c r="BZ330" s="24"/>
      <c r="CA330" s="24"/>
      <c r="CB330" s="24"/>
      <c r="CC330" s="24"/>
      <c r="CD330" s="24"/>
    </row>
    <row r="331" spans="2:82" s="6" customFormat="1">
      <c r="B331" s="21"/>
      <c r="D331" s="17"/>
      <c r="E331" s="23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R331" s="24"/>
      <c r="AS331" s="24"/>
      <c r="AT331" s="24"/>
      <c r="AU331" s="24"/>
      <c r="AV331" s="24"/>
      <c r="AW331" s="24"/>
      <c r="BD331" s="24"/>
      <c r="BE331" s="24"/>
      <c r="BF331" s="24"/>
      <c r="BG331" s="24"/>
      <c r="BH331" s="24"/>
      <c r="BI331" s="24"/>
      <c r="BP331" s="24"/>
      <c r="BQ331" s="24"/>
      <c r="BR331" s="24"/>
      <c r="BS331" s="24"/>
      <c r="BZ331" s="24"/>
      <c r="CA331" s="24"/>
      <c r="CB331" s="24"/>
      <c r="CC331" s="24"/>
      <c r="CD331" s="24"/>
    </row>
    <row r="332" spans="2:82" s="6" customFormat="1">
      <c r="B332" s="21"/>
      <c r="D332" s="17"/>
      <c r="E332" s="23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R332" s="24"/>
      <c r="AS332" s="24"/>
      <c r="AT332" s="24"/>
      <c r="AU332" s="24"/>
      <c r="AV332" s="24"/>
      <c r="AW332" s="24"/>
      <c r="BD332" s="24"/>
      <c r="BE332" s="24"/>
      <c r="BF332" s="24"/>
      <c r="BG332" s="24"/>
      <c r="BH332" s="24"/>
      <c r="BI332" s="24"/>
      <c r="BP332" s="24"/>
      <c r="BQ332" s="24"/>
      <c r="BR332" s="24"/>
      <c r="BS332" s="24"/>
      <c r="BZ332" s="24"/>
      <c r="CA332" s="24"/>
      <c r="CB332" s="24"/>
      <c r="CC332" s="24"/>
      <c r="CD332" s="24"/>
    </row>
    <row r="333" spans="2:82" s="6" customFormat="1">
      <c r="B333" s="21"/>
      <c r="D333" s="17"/>
      <c r="E333" s="23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R333" s="24"/>
      <c r="AS333" s="24"/>
      <c r="AT333" s="24"/>
      <c r="AU333" s="24"/>
      <c r="AV333" s="24"/>
      <c r="AW333" s="24"/>
      <c r="BD333" s="24"/>
      <c r="BE333" s="24"/>
      <c r="BF333" s="24"/>
      <c r="BG333" s="24"/>
      <c r="BH333" s="24"/>
      <c r="BI333" s="24"/>
      <c r="BP333" s="24"/>
      <c r="BQ333" s="24"/>
      <c r="BR333" s="24"/>
      <c r="BS333" s="24"/>
      <c r="BZ333" s="24"/>
      <c r="CA333" s="24"/>
      <c r="CB333" s="24"/>
      <c r="CC333" s="24"/>
      <c r="CD333" s="24"/>
    </row>
    <row r="334" spans="2:82" s="6" customFormat="1">
      <c r="B334" s="21"/>
      <c r="D334" s="17"/>
      <c r="E334" s="23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R334" s="24"/>
      <c r="AS334" s="24"/>
      <c r="AT334" s="24"/>
      <c r="AU334" s="24"/>
      <c r="AV334" s="24"/>
      <c r="AW334" s="24"/>
      <c r="BD334" s="24"/>
      <c r="BE334" s="24"/>
      <c r="BF334" s="24"/>
      <c r="BG334" s="24"/>
      <c r="BH334" s="24"/>
      <c r="BI334" s="24"/>
      <c r="BP334" s="24"/>
      <c r="BQ334" s="24"/>
      <c r="BR334" s="24"/>
      <c r="BS334" s="24"/>
      <c r="BZ334" s="24"/>
      <c r="CA334" s="24"/>
      <c r="CB334" s="24"/>
      <c r="CC334" s="24"/>
      <c r="CD334" s="24"/>
    </row>
    <row r="335" spans="2:82" s="6" customFormat="1">
      <c r="B335" s="21"/>
      <c r="D335" s="17"/>
      <c r="E335" s="23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R335" s="24"/>
      <c r="AS335" s="24"/>
      <c r="AT335" s="24"/>
      <c r="AU335" s="24"/>
      <c r="AV335" s="24"/>
      <c r="AW335" s="24"/>
      <c r="BD335" s="24"/>
      <c r="BE335" s="24"/>
      <c r="BF335" s="24"/>
      <c r="BG335" s="24"/>
      <c r="BH335" s="24"/>
      <c r="BI335" s="24"/>
      <c r="BP335" s="24"/>
      <c r="BQ335" s="24"/>
      <c r="BR335" s="24"/>
      <c r="BS335" s="24"/>
      <c r="BZ335" s="24"/>
      <c r="CA335" s="24"/>
      <c r="CB335" s="24"/>
      <c r="CC335" s="24"/>
      <c r="CD335" s="24"/>
    </row>
    <row r="336" spans="2:82" s="6" customFormat="1">
      <c r="B336" s="21"/>
      <c r="D336" s="17"/>
      <c r="E336" s="23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R336" s="24"/>
      <c r="AS336" s="24"/>
      <c r="AT336" s="24"/>
      <c r="AU336" s="24"/>
      <c r="AV336" s="24"/>
      <c r="AW336" s="24"/>
      <c r="BD336" s="24"/>
      <c r="BE336" s="24"/>
      <c r="BF336" s="24"/>
      <c r="BG336" s="24"/>
      <c r="BH336" s="24"/>
      <c r="BI336" s="24"/>
      <c r="BP336" s="24"/>
      <c r="BQ336" s="24"/>
      <c r="BR336" s="24"/>
      <c r="BS336" s="24"/>
      <c r="BZ336" s="24"/>
      <c r="CA336" s="24"/>
      <c r="CB336" s="24"/>
      <c r="CC336" s="24"/>
      <c r="CD336" s="24"/>
    </row>
    <row r="337" spans="2:82" s="6" customFormat="1">
      <c r="B337" s="21"/>
      <c r="D337" s="17"/>
      <c r="E337" s="23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R337" s="24"/>
      <c r="AS337" s="24"/>
      <c r="AT337" s="24"/>
      <c r="AU337" s="24"/>
      <c r="AV337" s="24"/>
      <c r="AW337" s="24"/>
      <c r="BD337" s="24"/>
      <c r="BE337" s="24"/>
      <c r="BF337" s="24"/>
      <c r="BG337" s="24"/>
      <c r="BH337" s="24"/>
      <c r="BI337" s="24"/>
      <c r="BP337" s="24"/>
      <c r="BQ337" s="24"/>
      <c r="BR337" s="24"/>
      <c r="BS337" s="24"/>
      <c r="BZ337" s="24"/>
      <c r="CA337" s="24"/>
      <c r="CB337" s="24"/>
      <c r="CC337" s="24"/>
      <c r="CD337" s="24"/>
    </row>
    <row r="338" spans="2:82" s="6" customFormat="1">
      <c r="B338" s="21"/>
      <c r="D338" s="17"/>
      <c r="E338" s="23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R338" s="24"/>
      <c r="AS338" s="24"/>
      <c r="AT338" s="24"/>
      <c r="AU338" s="24"/>
      <c r="AV338" s="24"/>
      <c r="AW338" s="24"/>
      <c r="BD338" s="24"/>
      <c r="BE338" s="24"/>
      <c r="BF338" s="24"/>
      <c r="BG338" s="24"/>
      <c r="BH338" s="24"/>
      <c r="BI338" s="24"/>
      <c r="BP338" s="24"/>
      <c r="BQ338" s="24"/>
      <c r="BR338" s="24"/>
      <c r="BS338" s="24"/>
      <c r="BZ338" s="24"/>
      <c r="CA338" s="24"/>
      <c r="CB338" s="24"/>
      <c r="CC338" s="24"/>
      <c r="CD338" s="24"/>
    </row>
    <row r="339" spans="2:82" s="6" customFormat="1">
      <c r="B339" s="21"/>
      <c r="D339" s="17"/>
      <c r="E339" s="23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R339" s="24"/>
      <c r="AS339" s="24"/>
      <c r="AT339" s="24"/>
      <c r="AU339" s="24"/>
      <c r="AV339" s="24"/>
      <c r="AW339" s="24"/>
      <c r="BD339" s="24"/>
      <c r="BE339" s="24"/>
      <c r="BF339" s="24"/>
      <c r="BG339" s="24"/>
      <c r="BH339" s="24"/>
      <c r="BI339" s="24"/>
      <c r="BP339" s="24"/>
      <c r="BQ339" s="24"/>
      <c r="BR339" s="24"/>
      <c r="BS339" s="24"/>
      <c r="BZ339" s="24"/>
      <c r="CA339" s="24"/>
      <c r="CB339" s="24"/>
      <c r="CC339" s="24"/>
      <c r="CD339" s="24"/>
    </row>
    <row r="340" spans="2:82" s="6" customFormat="1">
      <c r="B340" s="21"/>
      <c r="D340" s="17"/>
      <c r="E340" s="23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R340" s="24"/>
      <c r="AS340" s="24"/>
      <c r="AT340" s="24"/>
      <c r="AU340" s="24"/>
      <c r="AV340" s="24"/>
      <c r="AW340" s="24"/>
      <c r="BD340" s="24"/>
      <c r="BE340" s="24"/>
      <c r="BF340" s="24"/>
      <c r="BG340" s="24"/>
      <c r="BH340" s="24"/>
      <c r="BI340" s="24"/>
      <c r="BP340" s="24"/>
      <c r="BQ340" s="24"/>
      <c r="BR340" s="24"/>
      <c r="BS340" s="24"/>
      <c r="BZ340" s="24"/>
      <c r="CA340" s="24"/>
      <c r="CB340" s="24"/>
      <c r="CC340" s="24"/>
      <c r="CD340" s="24"/>
    </row>
    <row r="341" spans="2:82" s="6" customFormat="1">
      <c r="B341" s="21"/>
      <c r="D341" s="17"/>
      <c r="E341" s="23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R341" s="24"/>
      <c r="AS341" s="24"/>
      <c r="AT341" s="24"/>
      <c r="AU341" s="24"/>
      <c r="AV341" s="24"/>
      <c r="AW341" s="24"/>
      <c r="BD341" s="24"/>
      <c r="BE341" s="24"/>
      <c r="BF341" s="24"/>
      <c r="BG341" s="24"/>
      <c r="BH341" s="24"/>
      <c r="BI341" s="24"/>
      <c r="BP341" s="24"/>
      <c r="BQ341" s="24"/>
      <c r="BR341" s="24"/>
      <c r="BS341" s="24"/>
      <c r="BZ341" s="24"/>
      <c r="CA341" s="24"/>
      <c r="CB341" s="24"/>
      <c r="CC341" s="24"/>
      <c r="CD341" s="24"/>
    </row>
    <row r="342" spans="2:82" s="6" customFormat="1">
      <c r="B342" s="21"/>
      <c r="D342" s="17"/>
      <c r="E342" s="23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R342" s="24"/>
      <c r="AS342" s="24"/>
      <c r="AT342" s="24"/>
      <c r="AU342" s="24"/>
      <c r="AV342" s="24"/>
      <c r="AW342" s="24"/>
      <c r="BD342" s="24"/>
      <c r="BE342" s="24"/>
      <c r="BF342" s="24"/>
      <c r="BG342" s="24"/>
      <c r="BH342" s="24"/>
      <c r="BI342" s="24"/>
      <c r="BP342" s="24"/>
      <c r="BQ342" s="24"/>
      <c r="BR342" s="24"/>
      <c r="BS342" s="24"/>
      <c r="BZ342" s="24"/>
      <c r="CA342" s="24"/>
      <c r="CB342" s="24"/>
      <c r="CC342" s="24"/>
      <c r="CD342" s="24"/>
    </row>
    <row r="343" spans="2:82" s="6" customFormat="1">
      <c r="B343" s="21"/>
      <c r="D343" s="17"/>
      <c r="E343" s="23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R343" s="24"/>
      <c r="AS343" s="24"/>
      <c r="AT343" s="24"/>
      <c r="AU343" s="24"/>
      <c r="AV343" s="24"/>
      <c r="AW343" s="24"/>
      <c r="BD343" s="24"/>
      <c r="BE343" s="24"/>
      <c r="BF343" s="24"/>
      <c r="BG343" s="24"/>
      <c r="BH343" s="24"/>
      <c r="BI343" s="24"/>
      <c r="BP343" s="24"/>
      <c r="BQ343" s="24"/>
      <c r="BR343" s="24"/>
      <c r="BS343" s="24"/>
      <c r="BZ343" s="24"/>
      <c r="CA343" s="24"/>
      <c r="CB343" s="24"/>
      <c r="CC343" s="24"/>
      <c r="CD343" s="24"/>
    </row>
    <row r="344" spans="2:82" s="6" customFormat="1">
      <c r="B344" s="21"/>
      <c r="D344" s="17"/>
      <c r="E344" s="23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R344" s="24"/>
      <c r="AS344" s="24"/>
      <c r="AT344" s="24"/>
      <c r="AU344" s="24"/>
      <c r="AV344" s="24"/>
      <c r="AW344" s="24"/>
      <c r="BD344" s="24"/>
      <c r="BE344" s="24"/>
      <c r="BF344" s="24"/>
      <c r="BG344" s="24"/>
      <c r="BH344" s="24"/>
      <c r="BI344" s="24"/>
      <c r="BP344" s="24"/>
      <c r="BQ344" s="24"/>
      <c r="BR344" s="24"/>
      <c r="BS344" s="24"/>
      <c r="BZ344" s="24"/>
      <c r="CA344" s="24"/>
      <c r="CB344" s="24"/>
      <c r="CC344" s="24"/>
      <c r="CD344" s="24"/>
    </row>
    <row r="345" spans="2:82" s="6" customFormat="1">
      <c r="B345" s="21"/>
      <c r="D345" s="17"/>
      <c r="E345" s="23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R345" s="24"/>
      <c r="AS345" s="24"/>
      <c r="AT345" s="24"/>
      <c r="AU345" s="24"/>
      <c r="AV345" s="24"/>
      <c r="AW345" s="24"/>
      <c r="BD345" s="24"/>
      <c r="BE345" s="24"/>
      <c r="BF345" s="24"/>
      <c r="BG345" s="24"/>
      <c r="BH345" s="24"/>
      <c r="BI345" s="24"/>
      <c r="BP345" s="24"/>
      <c r="BQ345" s="24"/>
      <c r="BR345" s="24"/>
      <c r="BS345" s="24"/>
      <c r="BZ345" s="24"/>
      <c r="CA345" s="24"/>
      <c r="CB345" s="24"/>
      <c r="CC345" s="24"/>
      <c r="CD345" s="24"/>
    </row>
    <row r="346" spans="2:82" s="6" customFormat="1">
      <c r="B346" s="21"/>
      <c r="D346" s="17"/>
      <c r="E346" s="23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R346" s="24"/>
      <c r="AS346" s="24"/>
      <c r="AT346" s="24"/>
      <c r="AU346" s="24"/>
      <c r="AV346" s="24"/>
      <c r="AW346" s="24"/>
      <c r="BD346" s="24"/>
      <c r="BE346" s="24"/>
      <c r="BF346" s="24"/>
      <c r="BG346" s="24"/>
      <c r="BH346" s="24"/>
      <c r="BI346" s="24"/>
      <c r="BP346" s="24"/>
      <c r="BQ346" s="24"/>
      <c r="BR346" s="24"/>
      <c r="BS346" s="24"/>
      <c r="BZ346" s="24"/>
      <c r="CA346" s="24"/>
      <c r="CB346" s="24"/>
      <c r="CC346" s="24"/>
      <c r="CD346" s="24"/>
    </row>
    <row r="347" spans="2:82" s="6" customFormat="1">
      <c r="B347" s="21"/>
      <c r="D347" s="17"/>
      <c r="E347" s="23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R347" s="24"/>
      <c r="AS347" s="24"/>
      <c r="AT347" s="24"/>
      <c r="AU347" s="24"/>
      <c r="AV347" s="24"/>
      <c r="AW347" s="24"/>
      <c r="BD347" s="24"/>
      <c r="BE347" s="24"/>
      <c r="BF347" s="24"/>
      <c r="BG347" s="24"/>
      <c r="BH347" s="24"/>
      <c r="BI347" s="24"/>
      <c r="BP347" s="24"/>
      <c r="BQ347" s="24"/>
      <c r="BR347" s="24"/>
      <c r="BS347" s="24"/>
      <c r="BZ347" s="24"/>
      <c r="CA347" s="24"/>
      <c r="CB347" s="24"/>
      <c r="CC347" s="24"/>
      <c r="CD347" s="24"/>
    </row>
    <row r="348" spans="2:82" s="6" customFormat="1">
      <c r="B348" s="21"/>
      <c r="D348" s="17"/>
      <c r="E348" s="23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R348" s="24"/>
      <c r="AS348" s="24"/>
      <c r="AT348" s="24"/>
      <c r="AU348" s="24"/>
      <c r="AV348" s="24"/>
      <c r="AW348" s="24"/>
      <c r="BD348" s="24"/>
      <c r="BE348" s="24"/>
      <c r="BF348" s="24"/>
      <c r="BG348" s="24"/>
      <c r="BH348" s="24"/>
      <c r="BI348" s="24"/>
      <c r="BP348" s="24"/>
      <c r="BQ348" s="24"/>
      <c r="BR348" s="24"/>
      <c r="BS348" s="24"/>
      <c r="BZ348" s="24"/>
      <c r="CA348" s="24"/>
      <c r="CB348" s="24"/>
      <c r="CC348" s="24"/>
      <c r="CD348" s="24"/>
    </row>
    <row r="349" spans="2:82" s="6" customFormat="1">
      <c r="B349" s="21"/>
      <c r="D349" s="17"/>
      <c r="E349" s="23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R349" s="24"/>
      <c r="AS349" s="24"/>
      <c r="AT349" s="24"/>
      <c r="AU349" s="24"/>
      <c r="AV349" s="24"/>
      <c r="AW349" s="24"/>
      <c r="BD349" s="24"/>
      <c r="BE349" s="24"/>
      <c r="BF349" s="24"/>
      <c r="BG349" s="24"/>
      <c r="BH349" s="24"/>
      <c r="BI349" s="24"/>
      <c r="BP349" s="24"/>
      <c r="BQ349" s="24"/>
      <c r="BR349" s="24"/>
      <c r="BS349" s="24"/>
      <c r="BZ349" s="24"/>
      <c r="CA349" s="24"/>
      <c r="CB349" s="24"/>
      <c r="CC349" s="24"/>
      <c r="CD349" s="24"/>
    </row>
    <row r="350" spans="2:82" s="6" customFormat="1">
      <c r="B350" s="21"/>
      <c r="D350" s="17"/>
      <c r="E350" s="23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R350" s="24"/>
      <c r="AS350" s="24"/>
      <c r="AT350" s="24"/>
      <c r="AU350" s="24"/>
      <c r="AV350" s="24"/>
      <c r="AW350" s="24"/>
      <c r="BD350" s="24"/>
      <c r="BE350" s="24"/>
      <c r="BF350" s="24"/>
      <c r="BG350" s="24"/>
      <c r="BH350" s="24"/>
      <c r="BI350" s="24"/>
      <c r="BP350" s="24"/>
      <c r="BQ350" s="24"/>
      <c r="BR350" s="24"/>
      <c r="BS350" s="24"/>
      <c r="BZ350" s="24"/>
      <c r="CA350" s="24"/>
      <c r="CB350" s="24"/>
      <c r="CC350" s="24"/>
      <c r="CD350" s="24"/>
    </row>
    <row r="351" spans="2:82" s="6" customFormat="1">
      <c r="B351" s="21"/>
      <c r="D351" s="17"/>
      <c r="E351" s="23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R351" s="24"/>
      <c r="AS351" s="24"/>
      <c r="AT351" s="24"/>
      <c r="AU351" s="24"/>
      <c r="AV351" s="24"/>
      <c r="AW351" s="24"/>
      <c r="BD351" s="24"/>
      <c r="BE351" s="24"/>
      <c r="BF351" s="24"/>
      <c r="BG351" s="24"/>
      <c r="BH351" s="24"/>
      <c r="BI351" s="24"/>
      <c r="BP351" s="24"/>
      <c r="BQ351" s="24"/>
      <c r="BR351" s="24"/>
      <c r="BS351" s="24"/>
      <c r="BZ351" s="24"/>
      <c r="CA351" s="24"/>
      <c r="CB351" s="24"/>
      <c r="CC351" s="24"/>
      <c r="CD351" s="24"/>
    </row>
    <row r="352" spans="2:82" s="6" customFormat="1">
      <c r="B352" s="21"/>
      <c r="D352" s="17"/>
      <c r="E352" s="23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R352" s="24"/>
      <c r="AS352" s="24"/>
      <c r="AT352" s="24"/>
      <c r="AU352" s="24"/>
      <c r="AV352" s="24"/>
      <c r="AW352" s="24"/>
      <c r="BD352" s="24"/>
      <c r="BE352" s="24"/>
      <c r="BF352" s="24"/>
      <c r="BG352" s="24"/>
      <c r="BH352" s="24"/>
      <c r="BI352" s="24"/>
      <c r="BP352" s="24"/>
      <c r="BQ352" s="24"/>
      <c r="BR352" s="24"/>
      <c r="BS352" s="24"/>
      <c r="BZ352" s="24"/>
      <c r="CA352" s="24"/>
      <c r="CB352" s="24"/>
      <c r="CC352" s="24"/>
      <c r="CD352" s="24"/>
    </row>
    <row r="353" spans="2:82" s="6" customFormat="1">
      <c r="B353" s="21"/>
      <c r="D353" s="17"/>
      <c r="E353" s="23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R353" s="24"/>
      <c r="AS353" s="24"/>
      <c r="AT353" s="24"/>
      <c r="AU353" s="24"/>
      <c r="AV353" s="24"/>
      <c r="AW353" s="24"/>
      <c r="BD353" s="24"/>
      <c r="BE353" s="24"/>
      <c r="BF353" s="24"/>
      <c r="BG353" s="24"/>
      <c r="BH353" s="24"/>
      <c r="BI353" s="24"/>
      <c r="BP353" s="24"/>
      <c r="BQ353" s="24"/>
      <c r="BR353" s="24"/>
      <c r="BS353" s="24"/>
      <c r="BZ353" s="24"/>
      <c r="CA353" s="24"/>
      <c r="CB353" s="24"/>
      <c r="CC353" s="24"/>
      <c r="CD353" s="24"/>
    </row>
    <row r="354" spans="2:82" s="6" customFormat="1">
      <c r="B354" s="21"/>
      <c r="D354" s="17"/>
      <c r="E354" s="23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R354" s="24"/>
      <c r="AS354" s="24"/>
      <c r="AT354" s="24"/>
      <c r="AU354" s="24"/>
      <c r="AV354" s="24"/>
      <c r="AW354" s="24"/>
      <c r="BD354" s="24"/>
      <c r="BE354" s="24"/>
      <c r="BF354" s="24"/>
      <c r="BG354" s="24"/>
      <c r="BH354" s="24"/>
      <c r="BI354" s="24"/>
      <c r="BP354" s="24"/>
      <c r="BQ354" s="24"/>
      <c r="BR354" s="24"/>
      <c r="BS354" s="24"/>
      <c r="BZ354" s="24"/>
      <c r="CA354" s="24"/>
      <c r="CB354" s="24"/>
      <c r="CC354" s="24"/>
      <c r="CD354" s="24"/>
    </row>
    <row r="355" spans="2:82" s="6" customFormat="1">
      <c r="B355" s="21"/>
      <c r="D355" s="17"/>
      <c r="E355" s="23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R355" s="24"/>
      <c r="AS355" s="24"/>
      <c r="AT355" s="24"/>
      <c r="AU355" s="24"/>
      <c r="AV355" s="24"/>
      <c r="AW355" s="24"/>
      <c r="BD355" s="24"/>
      <c r="BE355" s="24"/>
      <c r="BF355" s="24"/>
      <c r="BG355" s="24"/>
      <c r="BH355" s="24"/>
      <c r="BI355" s="24"/>
      <c r="BP355" s="24"/>
      <c r="BQ355" s="24"/>
      <c r="BR355" s="24"/>
      <c r="BS355" s="24"/>
      <c r="BZ355" s="24"/>
      <c r="CA355" s="24"/>
      <c r="CB355" s="24"/>
      <c r="CC355" s="24"/>
      <c r="CD355" s="24"/>
    </row>
    <row r="356" spans="2:82" s="6" customFormat="1">
      <c r="B356" s="21"/>
      <c r="D356" s="17"/>
      <c r="E356" s="23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R356" s="24"/>
      <c r="AS356" s="24"/>
      <c r="AT356" s="24"/>
      <c r="AU356" s="24"/>
      <c r="AV356" s="24"/>
      <c r="AW356" s="24"/>
      <c r="BD356" s="24"/>
      <c r="BE356" s="24"/>
      <c r="BF356" s="24"/>
      <c r="BG356" s="24"/>
      <c r="BH356" s="24"/>
      <c r="BI356" s="24"/>
      <c r="BP356" s="24"/>
      <c r="BQ356" s="24"/>
      <c r="BR356" s="24"/>
      <c r="BS356" s="24"/>
      <c r="BZ356" s="24"/>
      <c r="CA356" s="24"/>
      <c r="CB356" s="24"/>
      <c r="CC356" s="24"/>
      <c r="CD356" s="24"/>
    </row>
    <row r="357" spans="2:82" s="6" customFormat="1">
      <c r="B357" s="21"/>
      <c r="D357" s="17"/>
      <c r="E357" s="23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R357" s="24"/>
      <c r="AS357" s="24"/>
      <c r="AT357" s="24"/>
      <c r="AU357" s="24"/>
      <c r="AV357" s="24"/>
      <c r="AW357" s="24"/>
      <c r="BD357" s="24"/>
      <c r="BE357" s="24"/>
      <c r="BF357" s="24"/>
      <c r="BG357" s="24"/>
      <c r="BH357" s="24"/>
      <c r="BI357" s="24"/>
      <c r="BP357" s="24"/>
      <c r="BQ357" s="24"/>
      <c r="BR357" s="24"/>
      <c r="BS357" s="24"/>
      <c r="BZ357" s="24"/>
      <c r="CA357" s="24"/>
      <c r="CB357" s="24"/>
      <c r="CC357" s="24"/>
      <c r="CD357" s="24"/>
    </row>
    <row r="358" spans="2:82" s="6" customFormat="1">
      <c r="B358" s="21"/>
      <c r="D358" s="17"/>
      <c r="E358" s="23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R358" s="24"/>
      <c r="AS358" s="24"/>
      <c r="AT358" s="24"/>
      <c r="AU358" s="24"/>
      <c r="AV358" s="24"/>
      <c r="AW358" s="24"/>
      <c r="BD358" s="24"/>
      <c r="BE358" s="24"/>
      <c r="BF358" s="24"/>
      <c r="BG358" s="24"/>
      <c r="BH358" s="24"/>
      <c r="BI358" s="24"/>
      <c r="BP358" s="24"/>
      <c r="BQ358" s="24"/>
      <c r="BR358" s="24"/>
      <c r="BS358" s="24"/>
      <c r="BZ358" s="24"/>
      <c r="CA358" s="24"/>
      <c r="CB358" s="24"/>
      <c r="CC358" s="24"/>
      <c r="CD358" s="24"/>
    </row>
    <row r="359" spans="2:82" s="6" customFormat="1">
      <c r="B359" s="21"/>
      <c r="D359" s="17"/>
      <c r="E359" s="23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R359" s="24"/>
      <c r="AS359" s="24"/>
      <c r="AT359" s="24"/>
      <c r="AU359" s="24"/>
      <c r="AV359" s="24"/>
      <c r="AW359" s="24"/>
      <c r="BD359" s="24"/>
      <c r="BE359" s="24"/>
      <c r="BF359" s="24"/>
      <c r="BG359" s="24"/>
      <c r="BH359" s="24"/>
      <c r="BI359" s="24"/>
      <c r="BP359" s="24"/>
      <c r="BQ359" s="24"/>
      <c r="BR359" s="24"/>
      <c r="BS359" s="24"/>
      <c r="BZ359" s="24"/>
      <c r="CA359" s="24"/>
      <c r="CB359" s="24"/>
      <c r="CC359" s="24"/>
      <c r="CD359" s="24"/>
    </row>
    <row r="360" spans="2:82" s="6" customFormat="1">
      <c r="B360" s="21"/>
      <c r="D360" s="17"/>
      <c r="E360" s="23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R360" s="24"/>
      <c r="AS360" s="24"/>
      <c r="AT360" s="24"/>
      <c r="AU360" s="24"/>
      <c r="AV360" s="24"/>
      <c r="AW360" s="24"/>
      <c r="BD360" s="24"/>
      <c r="BE360" s="24"/>
      <c r="BF360" s="24"/>
      <c r="BG360" s="24"/>
      <c r="BH360" s="24"/>
      <c r="BI360" s="24"/>
      <c r="BP360" s="24"/>
      <c r="BQ360" s="24"/>
      <c r="BR360" s="24"/>
      <c r="BS360" s="24"/>
      <c r="BZ360" s="24"/>
      <c r="CA360" s="24"/>
      <c r="CB360" s="24"/>
      <c r="CC360" s="24"/>
      <c r="CD360" s="24"/>
    </row>
    <row r="361" spans="2:82" s="6" customFormat="1">
      <c r="B361" s="21"/>
      <c r="D361" s="17"/>
      <c r="E361" s="23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R361" s="24"/>
      <c r="AS361" s="24"/>
      <c r="AT361" s="24"/>
      <c r="AU361" s="24"/>
      <c r="AV361" s="24"/>
      <c r="AW361" s="24"/>
      <c r="BD361" s="24"/>
      <c r="BE361" s="24"/>
      <c r="BF361" s="24"/>
      <c r="BG361" s="24"/>
      <c r="BH361" s="24"/>
      <c r="BI361" s="24"/>
      <c r="BP361" s="24"/>
      <c r="BQ361" s="24"/>
      <c r="BR361" s="24"/>
      <c r="BS361" s="24"/>
      <c r="BZ361" s="24"/>
      <c r="CA361" s="24"/>
      <c r="CB361" s="24"/>
      <c r="CC361" s="24"/>
      <c r="CD361" s="24"/>
    </row>
    <row r="362" spans="2:82" s="6" customFormat="1">
      <c r="B362" s="21"/>
      <c r="D362" s="17"/>
      <c r="E362" s="23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R362" s="24"/>
      <c r="AS362" s="24"/>
      <c r="AT362" s="24"/>
      <c r="AU362" s="24"/>
      <c r="AV362" s="24"/>
      <c r="AW362" s="24"/>
      <c r="BD362" s="24"/>
      <c r="BE362" s="24"/>
      <c r="BF362" s="24"/>
      <c r="BG362" s="24"/>
      <c r="BH362" s="24"/>
      <c r="BI362" s="24"/>
      <c r="BP362" s="24"/>
      <c r="BQ362" s="24"/>
      <c r="BR362" s="24"/>
      <c r="BS362" s="24"/>
      <c r="BZ362" s="24"/>
      <c r="CA362" s="24"/>
      <c r="CB362" s="24"/>
      <c r="CC362" s="24"/>
      <c r="CD362" s="24"/>
    </row>
    <row r="363" spans="2:82" s="6" customFormat="1">
      <c r="B363" s="21"/>
      <c r="D363" s="17"/>
      <c r="E363" s="23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R363" s="24"/>
      <c r="AS363" s="24"/>
      <c r="AT363" s="24"/>
      <c r="AU363" s="24"/>
      <c r="AV363" s="24"/>
      <c r="AW363" s="24"/>
      <c r="BD363" s="24"/>
      <c r="BE363" s="24"/>
      <c r="BF363" s="24"/>
      <c r="BG363" s="24"/>
      <c r="BH363" s="24"/>
      <c r="BI363" s="24"/>
      <c r="BP363" s="24"/>
      <c r="BQ363" s="24"/>
      <c r="BR363" s="24"/>
      <c r="BS363" s="24"/>
      <c r="BZ363" s="24"/>
      <c r="CA363" s="24"/>
      <c r="CB363" s="24"/>
      <c r="CC363" s="24"/>
      <c r="CD363" s="24"/>
    </row>
    <row r="364" spans="2:82" s="6" customFormat="1">
      <c r="B364" s="21"/>
      <c r="D364" s="17"/>
      <c r="E364" s="23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R364" s="24"/>
      <c r="AS364" s="24"/>
      <c r="AT364" s="24"/>
      <c r="AU364" s="24"/>
      <c r="AV364" s="24"/>
      <c r="AW364" s="24"/>
      <c r="BD364" s="24"/>
      <c r="BE364" s="24"/>
      <c r="BF364" s="24"/>
      <c r="BG364" s="24"/>
      <c r="BH364" s="24"/>
      <c r="BI364" s="24"/>
      <c r="BP364" s="24"/>
      <c r="BQ364" s="24"/>
      <c r="BR364" s="24"/>
      <c r="BS364" s="24"/>
      <c r="BZ364" s="24"/>
      <c r="CA364" s="24"/>
      <c r="CB364" s="24"/>
      <c r="CC364" s="24"/>
      <c r="CD364" s="24"/>
    </row>
    <row r="365" spans="2:82" s="6" customFormat="1">
      <c r="B365" s="21"/>
      <c r="D365" s="17"/>
      <c r="E365" s="23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R365" s="24"/>
      <c r="AS365" s="24"/>
      <c r="AT365" s="24"/>
      <c r="AU365" s="24"/>
      <c r="AV365" s="24"/>
      <c r="AW365" s="24"/>
      <c r="BD365" s="24"/>
      <c r="BE365" s="24"/>
      <c r="BF365" s="24"/>
      <c r="BG365" s="24"/>
      <c r="BH365" s="24"/>
      <c r="BI365" s="24"/>
      <c r="BP365" s="24"/>
      <c r="BQ365" s="24"/>
      <c r="BR365" s="24"/>
      <c r="BS365" s="24"/>
      <c r="BZ365" s="24"/>
      <c r="CA365" s="24"/>
      <c r="CB365" s="24"/>
      <c r="CC365" s="24"/>
      <c r="CD365" s="24"/>
    </row>
    <row r="366" spans="2:82" s="6" customFormat="1">
      <c r="B366" s="21"/>
      <c r="D366" s="17"/>
      <c r="E366" s="23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R366" s="24"/>
      <c r="AS366" s="24"/>
      <c r="AT366" s="24"/>
      <c r="AU366" s="24"/>
      <c r="AV366" s="24"/>
      <c r="AW366" s="24"/>
      <c r="BD366" s="24"/>
      <c r="BE366" s="24"/>
      <c r="BF366" s="24"/>
      <c r="BG366" s="24"/>
      <c r="BH366" s="24"/>
      <c r="BI366" s="24"/>
      <c r="BP366" s="24"/>
      <c r="BQ366" s="24"/>
      <c r="BR366" s="24"/>
      <c r="BS366" s="24"/>
      <c r="BZ366" s="24"/>
      <c r="CA366" s="24"/>
      <c r="CB366" s="24"/>
      <c r="CC366" s="24"/>
      <c r="CD366" s="24"/>
    </row>
    <row r="367" spans="2:82" s="6" customFormat="1">
      <c r="B367" s="21"/>
      <c r="D367" s="17"/>
      <c r="E367" s="23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R367" s="24"/>
      <c r="AS367" s="24"/>
      <c r="AT367" s="24"/>
      <c r="AU367" s="24"/>
      <c r="AV367" s="24"/>
      <c r="AW367" s="24"/>
      <c r="BD367" s="24"/>
      <c r="BE367" s="24"/>
      <c r="BF367" s="24"/>
      <c r="BG367" s="24"/>
      <c r="BH367" s="24"/>
      <c r="BI367" s="24"/>
      <c r="BP367" s="24"/>
      <c r="BQ367" s="24"/>
      <c r="BR367" s="24"/>
      <c r="BS367" s="24"/>
      <c r="BZ367" s="24"/>
      <c r="CA367" s="24"/>
      <c r="CB367" s="24"/>
      <c r="CC367" s="24"/>
      <c r="CD367" s="24"/>
    </row>
    <row r="368" spans="2:82" s="6" customFormat="1">
      <c r="B368" s="21"/>
      <c r="D368" s="17"/>
      <c r="E368" s="23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R368" s="24"/>
      <c r="AS368" s="24"/>
      <c r="AT368" s="24"/>
      <c r="AU368" s="24"/>
      <c r="AV368" s="24"/>
      <c r="AW368" s="24"/>
      <c r="BD368" s="24"/>
      <c r="BE368" s="24"/>
      <c r="BF368" s="24"/>
      <c r="BG368" s="24"/>
      <c r="BH368" s="24"/>
      <c r="BI368" s="24"/>
      <c r="BP368" s="24"/>
      <c r="BQ368" s="24"/>
      <c r="BR368" s="24"/>
      <c r="BS368" s="24"/>
      <c r="BZ368" s="24"/>
      <c r="CA368" s="24"/>
      <c r="CB368" s="24"/>
      <c r="CC368" s="24"/>
      <c r="CD368" s="24"/>
    </row>
    <row r="369" spans="2:82" s="6" customFormat="1">
      <c r="B369" s="21"/>
      <c r="D369" s="17"/>
      <c r="E369" s="23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R369" s="24"/>
      <c r="AS369" s="24"/>
      <c r="AT369" s="24"/>
      <c r="AU369" s="24"/>
      <c r="AV369" s="24"/>
      <c r="AW369" s="24"/>
      <c r="BD369" s="24"/>
      <c r="BE369" s="24"/>
      <c r="BF369" s="24"/>
      <c r="BG369" s="24"/>
      <c r="BH369" s="24"/>
      <c r="BI369" s="24"/>
      <c r="BP369" s="24"/>
      <c r="BQ369" s="24"/>
      <c r="BR369" s="24"/>
      <c r="BS369" s="24"/>
      <c r="BZ369" s="24"/>
      <c r="CA369" s="24"/>
      <c r="CB369" s="24"/>
      <c r="CC369" s="24"/>
      <c r="CD369" s="24"/>
    </row>
    <row r="370" spans="2:82" s="6" customFormat="1">
      <c r="B370" s="21"/>
      <c r="D370" s="17"/>
      <c r="E370" s="23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R370" s="24"/>
      <c r="AS370" s="24"/>
      <c r="AT370" s="24"/>
      <c r="AU370" s="24"/>
      <c r="AV370" s="24"/>
      <c r="AW370" s="24"/>
      <c r="BD370" s="24"/>
      <c r="BE370" s="24"/>
      <c r="BF370" s="24"/>
      <c r="BG370" s="24"/>
      <c r="BH370" s="24"/>
      <c r="BI370" s="24"/>
      <c r="BP370" s="24"/>
      <c r="BQ370" s="24"/>
      <c r="BR370" s="24"/>
      <c r="BS370" s="24"/>
      <c r="BZ370" s="24"/>
      <c r="CA370" s="24"/>
      <c r="CB370" s="24"/>
      <c r="CC370" s="24"/>
      <c r="CD370" s="24"/>
    </row>
    <row r="371" spans="2:82" s="6" customFormat="1">
      <c r="B371" s="21"/>
      <c r="D371" s="17"/>
      <c r="E371" s="23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R371" s="24"/>
      <c r="AS371" s="24"/>
      <c r="AT371" s="24"/>
      <c r="AU371" s="24"/>
      <c r="AV371" s="24"/>
      <c r="AW371" s="24"/>
      <c r="BD371" s="24"/>
      <c r="BE371" s="24"/>
      <c r="BF371" s="24"/>
      <c r="BG371" s="24"/>
      <c r="BH371" s="24"/>
      <c r="BI371" s="24"/>
      <c r="BP371" s="24"/>
      <c r="BQ371" s="24"/>
      <c r="BR371" s="24"/>
      <c r="BS371" s="24"/>
      <c r="BZ371" s="24"/>
      <c r="CA371" s="24"/>
      <c r="CB371" s="24"/>
      <c r="CC371" s="24"/>
      <c r="CD371" s="24"/>
    </row>
    <row r="372" spans="2:82" s="6" customFormat="1">
      <c r="B372" s="21"/>
      <c r="D372" s="17"/>
      <c r="E372" s="23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R372" s="24"/>
      <c r="AS372" s="24"/>
      <c r="AT372" s="24"/>
      <c r="AU372" s="24"/>
      <c r="AV372" s="24"/>
      <c r="AW372" s="24"/>
      <c r="BD372" s="24"/>
      <c r="BE372" s="24"/>
      <c r="BF372" s="24"/>
      <c r="BG372" s="24"/>
      <c r="BH372" s="24"/>
      <c r="BI372" s="24"/>
      <c r="BP372" s="24"/>
      <c r="BQ372" s="24"/>
      <c r="BR372" s="24"/>
      <c r="BS372" s="24"/>
      <c r="BZ372" s="24"/>
      <c r="CA372" s="24"/>
      <c r="CB372" s="24"/>
      <c r="CC372" s="24"/>
      <c r="CD372" s="24"/>
    </row>
    <row r="373" spans="2:82" s="6" customFormat="1">
      <c r="B373" s="21"/>
      <c r="D373" s="17"/>
      <c r="E373" s="23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R373" s="24"/>
      <c r="AS373" s="24"/>
      <c r="AT373" s="24"/>
      <c r="AU373" s="24"/>
      <c r="AV373" s="24"/>
      <c r="AW373" s="24"/>
      <c r="BD373" s="24"/>
      <c r="BE373" s="24"/>
      <c r="BF373" s="24"/>
      <c r="BG373" s="24"/>
      <c r="BH373" s="24"/>
      <c r="BI373" s="24"/>
      <c r="BP373" s="24"/>
      <c r="BQ373" s="24"/>
      <c r="BR373" s="24"/>
      <c r="BS373" s="24"/>
      <c r="BZ373" s="24"/>
      <c r="CA373" s="24"/>
      <c r="CB373" s="24"/>
      <c r="CC373" s="24"/>
      <c r="CD373" s="24"/>
    </row>
    <row r="374" spans="2:82" s="6" customFormat="1">
      <c r="B374" s="21"/>
      <c r="D374" s="17"/>
      <c r="E374" s="23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R374" s="24"/>
      <c r="AS374" s="24"/>
      <c r="AT374" s="24"/>
      <c r="AU374" s="24"/>
      <c r="AV374" s="24"/>
      <c r="AW374" s="24"/>
      <c r="BD374" s="24"/>
      <c r="BE374" s="24"/>
      <c r="BF374" s="24"/>
      <c r="BG374" s="24"/>
      <c r="BH374" s="24"/>
      <c r="BI374" s="24"/>
      <c r="BP374" s="24"/>
      <c r="BQ374" s="24"/>
      <c r="BR374" s="24"/>
      <c r="BS374" s="24"/>
      <c r="BZ374" s="24"/>
      <c r="CA374" s="24"/>
      <c r="CB374" s="24"/>
      <c r="CC374" s="24"/>
      <c r="CD374" s="24"/>
    </row>
    <row r="375" spans="2:82" s="6" customFormat="1">
      <c r="B375" s="21"/>
      <c r="D375" s="17"/>
      <c r="E375" s="23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R375" s="24"/>
      <c r="AS375" s="24"/>
      <c r="AT375" s="24"/>
      <c r="AU375" s="24"/>
      <c r="AV375" s="24"/>
      <c r="AW375" s="24"/>
      <c r="BD375" s="24"/>
      <c r="BE375" s="24"/>
      <c r="BF375" s="24"/>
      <c r="BG375" s="24"/>
      <c r="BH375" s="24"/>
      <c r="BI375" s="24"/>
      <c r="BP375" s="24"/>
      <c r="BQ375" s="24"/>
      <c r="BR375" s="24"/>
      <c r="BS375" s="24"/>
      <c r="BZ375" s="24"/>
      <c r="CA375" s="24"/>
      <c r="CB375" s="24"/>
      <c r="CC375" s="24"/>
      <c r="CD375" s="24"/>
    </row>
    <row r="376" spans="2:82" s="6" customFormat="1">
      <c r="B376" s="21"/>
      <c r="D376" s="17"/>
      <c r="E376" s="23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R376" s="24"/>
      <c r="AS376" s="24"/>
      <c r="AT376" s="24"/>
      <c r="AU376" s="24"/>
      <c r="AV376" s="24"/>
      <c r="AW376" s="24"/>
      <c r="BD376" s="24"/>
      <c r="BE376" s="24"/>
      <c r="BF376" s="24"/>
      <c r="BG376" s="24"/>
      <c r="BH376" s="24"/>
      <c r="BI376" s="24"/>
      <c r="BP376" s="24"/>
      <c r="BQ376" s="24"/>
      <c r="BR376" s="24"/>
      <c r="BS376" s="24"/>
      <c r="BZ376" s="24"/>
      <c r="CA376" s="24"/>
      <c r="CB376" s="24"/>
      <c r="CC376" s="24"/>
      <c r="CD376" s="24"/>
    </row>
    <row r="377" spans="2:82" s="6" customFormat="1">
      <c r="B377" s="21"/>
      <c r="D377" s="17"/>
      <c r="E377" s="23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R377" s="24"/>
      <c r="AS377" s="24"/>
      <c r="AT377" s="24"/>
      <c r="AU377" s="24"/>
      <c r="AV377" s="24"/>
      <c r="AW377" s="24"/>
      <c r="BD377" s="24"/>
      <c r="BE377" s="24"/>
      <c r="BF377" s="24"/>
      <c r="BG377" s="24"/>
      <c r="BH377" s="24"/>
      <c r="BI377" s="24"/>
      <c r="BP377" s="24"/>
      <c r="BQ377" s="24"/>
      <c r="BR377" s="24"/>
      <c r="BS377" s="24"/>
      <c r="BZ377" s="24"/>
      <c r="CA377" s="24"/>
      <c r="CB377" s="24"/>
      <c r="CC377" s="24"/>
      <c r="CD377" s="24"/>
    </row>
    <row r="378" spans="2:82" s="6" customFormat="1">
      <c r="B378" s="21"/>
      <c r="D378" s="17"/>
      <c r="E378" s="23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R378" s="24"/>
      <c r="AS378" s="24"/>
      <c r="AT378" s="24"/>
      <c r="AU378" s="24"/>
      <c r="AV378" s="24"/>
      <c r="AW378" s="24"/>
      <c r="BD378" s="24"/>
      <c r="BE378" s="24"/>
      <c r="BF378" s="24"/>
      <c r="BG378" s="24"/>
      <c r="BH378" s="24"/>
      <c r="BI378" s="24"/>
      <c r="BP378" s="24"/>
      <c r="BQ378" s="24"/>
      <c r="BR378" s="24"/>
      <c r="BS378" s="24"/>
      <c r="BZ378" s="24"/>
      <c r="CA378" s="24"/>
      <c r="CB378" s="24"/>
      <c r="CC378" s="24"/>
      <c r="CD378" s="24"/>
    </row>
    <row r="379" spans="2:82" s="6" customFormat="1">
      <c r="B379" s="21"/>
      <c r="D379" s="17"/>
      <c r="E379" s="23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R379" s="24"/>
      <c r="AS379" s="24"/>
      <c r="AT379" s="24"/>
      <c r="AU379" s="24"/>
      <c r="AV379" s="24"/>
      <c r="AW379" s="24"/>
      <c r="BD379" s="24"/>
      <c r="BE379" s="24"/>
      <c r="BF379" s="24"/>
      <c r="BG379" s="24"/>
      <c r="BH379" s="24"/>
      <c r="BI379" s="24"/>
      <c r="BP379" s="24"/>
      <c r="BQ379" s="24"/>
      <c r="BR379" s="24"/>
      <c r="BS379" s="24"/>
      <c r="BZ379" s="24"/>
      <c r="CA379" s="24"/>
      <c r="CB379" s="24"/>
      <c r="CC379" s="24"/>
      <c r="CD379" s="24"/>
    </row>
    <row r="380" spans="2:82" s="6" customFormat="1">
      <c r="B380" s="21"/>
      <c r="D380" s="17"/>
      <c r="E380" s="23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R380" s="24"/>
      <c r="AS380" s="24"/>
      <c r="AT380" s="24"/>
      <c r="AU380" s="24"/>
      <c r="AV380" s="24"/>
      <c r="AW380" s="24"/>
      <c r="BD380" s="24"/>
      <c r="BE380" s="24"/>
      <c r="BF380" s="24"/>
      <c r="BG380" s="24"/>
      <c r="BH380" s="24"/>
      <c r="BI380" s="24"/>
      <c r="BP380" s="24"/>
      <c r="BQ380" s="24"/>
      <c r="BR380" s="24"/>
      <c r="BS380" s="24"/>
      <c r="BZ380" s="24"/>
      <c r="CA380" s="24"/>
      <c r="CB380" s="24"/>
      <c r="CC380" s="24"/>
      <c r="CD380" s="24"/>
    </row>
    <row r="381" spans="2:82" s="6" customFormat="1">
      <c r="B381" s="21"/>
      <c r="D381" s="17"/>
      <c r="E381" s="23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R381" s="24"/>
      <c r="AS381" s="24"/>
      <c r="AT381" s="24"/>
      <c r="AU381" s="24"/>
      <c r="AV381" s="24"/>
      <c r="AW381" s="24"/>
      <c r="BD381" s="24"/>
      <c r="BE381" s="24"/>
      <c r="BF381" s="24"/>
      <c r="BG381" s="24"/>
      <c r="BH381" s="24"/>
      <c r="BI381" s="24"/>
      <c r="BP381" s="24"/>
      <c r="BQ381" s="24"/>
      <c r="BR381" s="24"/>
      <c r="BS381" s="24"/>
      <c r="BZ381" s="24"/>
      <c r="CA381" s="24"/>
      <c r="CB381" s="24"/>
      <c r="CC381" s="24"/>
      <c r="CD381" s="24"/>
    </row>
    <row r="382" spans="2:82" s="6" customFormat="1">
      <c r="B382" s="21"/>
      <c r="D382" s="17"/>
      <c r="E382" s="23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R382" s="24"/>
      <c r="AS382" s="24"/>
      <c r="AT382" s="24"/>
      <c r="AU382" s="24"/>
      <c r="AV382" s="24"/>
      <c r="AW382" s="24"/>
      <c r="BD382" s="24"/>
      <c r="BE382" s="24"/>
      <c r="BF382" s="24"/>
      <c r="BG382" s="24"/>
      <c r="BH382" s="24"/>
      <c r="BI382" s="24"/>
      <c r="BP382" s="24"/>
      <c r="BQ382" s="24"/>
      <c r="BR382" s="24"/>
      <c r="BS382" s="24"/>
      <c r="BZ382" s="24"/>
      <c r="CA382" s="24"/>
      <c r="CB382" s="24"/>
      <c r="CC382" s="24"/>
      <c r="CD382" s="24"/>
    </row>
    <row r="383" spans="2:82" s="6" customFormat="1">
      <c r="B383" s="21"/>
      <c r="D383" s="17"/>
      <c r="E383" s="23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R383" s="24"/>
      <c r="AS383" s="24"/>
      <c r="AT383" s="24"/>
      <c r="AU383" s="24"/>
      <c r="AV383" s="24"/>
      <c r="AW383" s="24"/>
      <c r="BD383" s="24"/>
      <c r="BE383" s="24"/>
      <c r="BF383" s="24"/>
      <c r="BG383" s="24"/>
      <c r="BH383" s="24"/>
      <c r="BI383" s="24"/>
      <c r="BP383" s="24"/>
      <c r="BQ383" s="24"/>
      <c r="BR383" s="24"/>
      <c r="BS383" s="24"/>
      <c r="BZ383" s="24"/>
      <c r="CA383" s="24"/>
      <c r="CB383" s="24"/>
      <c r="CC383" s="24"/>
      <c r="CD383" s="24"/>
    </row>
    <row r="384" spans="2:82" s="6" customFormat="1">
      <c r="B384" s="21"/>
      <c r="D384" s="17"/>
      <c r="E384" s="23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R384" s="24"/>
      <c r="AS384" s="24"/>
      <c r="AT384" s="24"/>
      <c r="AU384" s="24"/>
      <c r="AV384" s="24"/>
      <c r="AW384" s="24"/>
      <c r="BD384" s="24"/>
      <c r="BE384" s="24"/>
      <c r="BF384" s="24"/>
      <c r="BG384" s="24"/>
      <c r="BH384" s="24"/>
      <c r="BI384" s="24"/>
      <c r="BP384" s="24"/>
      <c r="BQ384" s="24"/>
      <c r="BR384" s="24"/>
      <c r="BS384" s="24"/>
      <c r="BZ384" s="24"/>
      <c r="CA384" s="24"/>
      <c r="CB384" s="24"/>
      <c r="CC384" s="24"/>
      <c r="CD384" s="24"/>
    </row>
    <row r="385" spans="2:82" s="6" customFormat="1">
      <c r="B385" s="21"/>
      <c r="D385" s="17"/>
      <c r="E385" s="23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R385" s="24"/>
      <c r="AS385" s="24"/>
      <c r="AT385" s="24"/>
      <c r="AU385" s="24"/>
      <c r="AV385" s="24"/>
      <c r="AW385" s="24"/>
      <c r="BD385" s="24"/>
      <c r="BE385" s="24"/>
      <c r="BF385" s="24"/>
      <c r="BG385" s="24"/>
      <c r="BH385" s="24"/>
      <c r="BI385" s="24"/>
      <c r="BP385" s="24"/>
      <c r="BQ385" s="24"/>
      <c r="BR385" s="24"/>
      <c r="BS385" s="24"/>
      <c r="BZ385" s="24"/>
      <c r="CA385" s="24"/>
      <c r="CB385" s="24"/>
      <c r="CC385" s="24"/>
      <c r="CD385" s="24"/>
    </row>
    <row r="386" spans="2:82" s="6" customFormat="1">
      <c r="B386" s="21"/>
      <c r="D386" s="17"/>
      <c r="E386" s="23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R386" s="24"/>
      <c r="AS386" s="24"/>
      <c r="AT386" s="24"/>
      <c r="AU386" s="24"/>
      <c r="AV386" s="24"/>
      <c r="AW386" s="24"/>
      <c r="BD386" s="24"/>
      <c r="BE386" s="24"/>
      <c r="BF386" s="24"/>
      <c r="BG386" s="24"/>
      <c r="BH386" s="24"/>
      <c r="BI386" s="24"/>
      <c r="BP386" s="24"/>
      <c r="BQ386" s="24"/>
      <c r="BR386" s="24"/>
      <c r="BS386" s="24"/>
      <c r="BZ386" s="24"/>
      <c r="CA386" s="24"/>
      <c r="CB386" s="24"/>
      <c r="CC386" s="24"/>
      <c r="CD386" s="24"/>
    </row>
    <row r="387" spans="2:82" s="6" customFormat="1">
      <c r="B387" s="21"/>
      <c r="D387" s="17"/>
      <c r="E387" s="23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R387" s="24"/>
      <c r="AS387" s="24"/>
      <c r="AT387" s="24"/>
      <c r="AU387" s="24"/>
      <c r="AV387" s="24"/>
      <c r="AW387" s="24"/>
      <c r="BD387" s="24"/>
      <c r="BE387" s="24"/>
      <c r="BF387" s="24"/>
      <c r="BG387" s="24"/>
      <c r="BH387" s="24"/>
      <c r="BI387" s="24"/>
      <c r="BP387" s="24"/>
      <c r="BQ387" s="24"/>
      <c r="BR387" s="24"/>
      <c r="BS387" s="24"/>
      <c r="BZ387" s="24"/>
      <c r="CA387" s="24"/>
      <c r="CB387" s="24"/>
      <c r="CC387" s="24"/>
      <c r="CD387" s="24"/>
    </row>
    <row r="388" spans="2:82" s="6" customFormat="1">
      <c r="B388" s="21"/>
      <c r="D388" s="17"/>
      <c r="E388" s="23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R388" s="24"/>
      <c r="AS388" s="24"/>
      <c r="AT388" s="24"/>
      <c r="AU388" s="24"/>
      <c r="AV388" s="24"/>
      <c r="AW388" s="24"/>
      <c r="BD388" s="24"/>
      <c r="BE388" s="24"/>
      <c r="BF388" s="24"/>
      <c r="BG388" s="24"/>
      <c r="BH388" s="24"/>
      <c r="BI388" s="24"/>
      <c r="BP388" s="24"/>
      <c r="BQ388" s="24"/>
      <c r="BR388" s="24"/>
      <c r="BS388" s="24"/>
      <c r="BZ388" s="24"/>
      <c r="CA388" s="24"/>
      <c r="CB388" s="24"/>
      <c r="CC388" s="24"/>
      <c r="CD388" s="24"/>
    </row>
    <row r="389" spans="2:82" s="6" customFormat="1">
      <c r="B389" s="21"/>
      <c r="D389" s="17"/>
      <c r="E389" s="23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R389" s="24"/>
      <c r="AS389" s="24"/>
      <c r="AT389" s="24"/>
      <c r="AU389" s="24"/>
      <c r="AV389" s="24"/>
      <c r="AW389" s="24"/>
      <c r="BD389" s="24"/>
      <c r="BE389" s="24"/>
      <c r="BF389" s="24"/>
      <c r="BG389" s="24"/>
      <c r="BH389" s="24"/>
      <c r="BI389" s="24"/>
      <c r="BP389" s="24"/>
      <c r="BQ389" s="24"/>
      <c r="BR389" s="24"/>
      <c r="BS389" s="24"/>
      <c r="BZ389" s="24"/>
      <c r="CA389" s="24"/>
      <c r="CB389" s="24"/>
      <c r="CC389" s="24"/>
      <c r="CD389" s="24"/>
    </row>
    <row r="390" spans="2:82" s="6" customFormat="1">
      <c r="B390" s="21"/>
      <c r="D390" s="17"/>
      <c r="E390" s="23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R390" s="24"/>
      <c r="AS390" s="24"/>
      <c r="AT390" s="24"/>
      <c r="AU390" s="24"/>
      <c r="AV390" s="24"/>
      <c r="AW390" s="24"/>
      <c r="BD390" s="24"/>
      <c r="BE390" s="24"/>
      <c r="BF390" s="24"/>
      <c r="BG390" s="24"/>
      <c r="BH390" s="24"/>
      <c r="BI390" s="24"/>
      <c r="BP390" s="24"/>
      <c r="BQ390" s="24"/>
      <c r="BR390" s="24"/>
      <c r="BS390" s="24"/>
      <c r="BZ390" s="24"/>
      <c r="CA390" s="24"/>
      <c r="CB390" s="24"/>
      <c r="CC390" s="24"/>
      <c r="CD390" s="24"/>
    </row>
    <row r="391" spans="2:82" s="6" customFormat="1">
      <c r="B391" s="21"/>
      <c r="D391" s="17"/>
      <c r="E391" s="23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R391" s="24"/>
      <c r="AS391" s="24"/>
      <c r="AT391" s="24"/>
      <c r="AU391" s="24"/>
      <c r="AV391" s="24"/>
      <c r="AW391" s="24"/>
      <c r="BD391" s="24"/>
      <c r="BE391" s="24"/>
      <c r="BF391" s="24"/>
      <c r="BG391" s="24"/>
      <c r="BH391" s="24"/>
      <c r="BI391" s="24"/>
      <c r="BP391" s="24"/>
      <c r="BQ391" s="24"/>
      <c r="BR391" s="24"/>
      <c r="BS391" s="24"/>
      <c r="BZ391" s="24"/>
      <c r="CA391" s="24"/>
      <c r="CB391" s="24"/>
      <c r="CC391" s="24"/>
      <c r="CD391" s="24"/>
    </row>
    <row r="392" spans="2:82" s="6" customFormat="1">
      <c r="B392" s="21"/>
      <c r="D392" s="17"/>
      <c r="E392" s="23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R392" s="24"/>
      <c r="AS392" s="24"/>
      <c r="AT392" s="24"/>
      <c r="AU392" s="24"/>
      <c r="AV392" s="24"/>
      <c r="AW392" s="24"/>
      <c r="BD392" s="24"/>
      <c r="BE392" s="24"/>
      <c r="BF392" s="24"/>
      <c r="BG392" s="24"/>
      <c r="BH392" s="24"/>
      <c r="BI392" s="24"/>
      <c r="BP392" s="24"/>
      <c r="BQ392" s="24"/>
      <c r="BR392" s="24"/>
      <c r="BS392" s="24"/>
      <c r="BZ392" s="24"/>
      <c r="CA392" s="24"/>
      <c r="CB392" s="24"/>
      <c r="CC392" s="24"/>
      <c r="CD392" s="24"/>
    </row>
    <row r="393" spans="2:82" s="6" customFormat="1">
      <c r="B393" s="21"/>
      <c r="D393" s="17"/>
      <c r="E393" s="23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R393" s="24"/>
      <c r="AS393" s="24"/>
      <c r="AT393" s="24"/>
      <c r="AU393" s="24"/>
      <c r="AV393" s="24"/>
      <c r="AW393" s="24"/>
      <c r="BD393" s="24"/>
      <c r="BE393" s="24"/>
      <c r="BF393" s="24"/>
      <c r="BG393" s="24"/>
      <c r="BH393" s="24"/>
      <c r="BI393" s="24"/>
      <c r="BP393" s="24"/>
      <c r="BQ393" s="24"/>
      <c r="BR393" s="24"/>
      <c r="BS393" s="24"/>
      <c r="BZ393" s="24"/>
      <c r="CA393" s="24"/>
      <c r="CB393" s="24"/>
      <c r="CC393" s="24"/>
      <c r="CD393" s="24"/>
    </row>
    <row r="394" spans="2:82" s="6" customFormat="1">
      <c r="B394" s="21"/>
      <c r="D394" s="17"/>
      <c r="E394" s="23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R394" s="24"/>
      <c r="AS394" s="24"/>
      <c r="AT394" s="24"/>
      <c r="AU394" s="24"/>
      <c r="AV394" s="24"/>
      <c r="AW394" s="24"/>
      <c r="BD394" s="24"/>
      <c r="BE394" s="24"/>
      <c r="BF394" s="24"/>
      <c r="BG394" s="24"/>
      <c r="BH394" s="24"/>
      <c r="BI394" s="24"/>
      <c r="BP394" s="24"/>
      <c r="BQ394" s="24"/>
      <c r="BR394" s="24"/>
      <c r="BS394" s="24"/>
      <c r="BZ394" s="24"/>
      <c r="CA394" s="24"/>
      <c r="CB394" s="24"/>
      <c r="CC394" s="24"/>
      <c r="CD394" s="24"/>
    </row>
    <row r="395" spans="2:82" s="6" customFormat="1">
      <c r="B395" s="21"/>
      <c r="D395" s="17"/>
      <c r="E395" s="23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R395" s="24"/>
      <c r="AS395" s="24"/>
      <c r="AT395" s="24"/>
      <c r="AU395" s="24"/>
      <c r="AV395" s="24"/>
      <c r="AW395" s="24"/>
      <c r="BD395" s="24"/>
      <c r="BE395" s="24"/>
      <c r="BF395" s="24"/>
      <c r="BG395" s="24"/>
      <c r="BH395" s="24"/>
      <c r="BI395" s="24"/>
      <c r="BP395" s="24"/>
      <c r="BQ395" s="24"/>
      <c r="BR395" s="24"/>
      <c r="BS395" s="24"/>
      <c r="BZ395" s="24"/>
      <c r="CA395" s="24"/>
      <c r="CB395" s="24"/>
      <c r="CC395" s="24"/>
      <c r="CD395" s="24"/>
    </row>
    <row r="396" spans="2:82" s="6" customFormat="1">
      <c r="B396" s="21"/>
      <c r="D396" s="17"/>
      <c r="E396" s="23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R396" s="24"/>
      <c r="AS396" s="24"/>
      <c r="AT396" s="24"/>
      <c r="AU396" s="24"/>
      <c r="AV396" s="24"/>
      <c r="AW396" s="24"/>
      <c r="BD396" s="24"/>
      <c r="BE396" s="24"/>
      <c r="BF396" s="24"/>
      <c r="BG396" s="24"/>
      <c r="BH396" s="24"/>
      <c r="BI396" s="24"/>
      <c r="BP396" s="24"/>
      <c r="BQ396" s="24"/>
      <c r="BR396" s="24"/>
      <c r="BS396" s="24"/>
      <c r="BZ396" s="24"/>
      <c r="CA396" s="24"/>
      <c r="CB396" s="24"/>
      <c r="CC396" s="24"/>
      <c r="CD396" s="24"/>
    </row>
    <row r="397" spans="2:82" s="6" customFormat="1">
      <c r="B397" s="21"/>
      <c r="D397" s="17"/>
      <c r="E397" s="23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R397" s="24"/>
      <c r="AS397" s="24"/>
      <c r="AT397" s="24"/>
      <c r="AU397" s="24"/>
      <c r="AV397" s="24"/>
      <c r="AW397" s="24"/>
      <c r="BD397" s="24"/>
      <c r="BE397" s="24"/>
      <c r="BF397" s="24"/>
      <c r="BG397" s="24"/>
      <c r="BH397" s="24"/>
      <c r="BI397" s="24"/>
      <c r="BP397" s="24"/>
      <c r="BQ397" s="24"/>
      <c r="BR397" s="24"/>
      <c r="BS397" s="24"/>
      <c r="BZ397" s="24"/>
      <c r="CA397" s="24"/>
      <c r="CB397" s="24"/>
      <c r="CC397" s="24"/>
      <c r="CD397" s="24"/>
    </row>
    <row r="398" spans="2:82" s="6" customFormat="1">
      <c r="B398" s="21"/>
      <c r="D398" s="17"/>
      <c r="E398" s="23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R398" s="24"/>
      <c r="AS398" s="24"/>
      <c r="AT398" s="24"/>
      <c r="AU398" s="24"/>
      <c r="AV398" s="24"/>
      <c r="AW398" s="24"/>
      <c r="BD398" s="24"/>
      <c r="BE398" s="24"/>
      <c r="BF398" s="24"/>
      <c r="BG398" s="24"/>
      <c r="BH398" s="24"/>
      <c r="BI398" s="24"/>
      <c r="BP398" s="24"/>
      <c r="BQ398" s="24"/>
      <c r="BR398" s="24"/>
      <c r="BS398" s="24"/>
      <c r="BZ398" s="24"/>
      <c r="CA398" s="24"/>
      <c r="CB398" s="24"/>
      <c r="CC398" s="24"/>
      <c r="CD398" s="24"/>
    </row>
    <row r="399" spans="2:82" s="6" customFormat="1">
      <c r="B399" s="21"/>
      <c r="D399" s="17"/>
      <c r="E399" s="23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R399" s="24"/>
      <c r="AS399" s="24"/>
      <c r="AT399" s="24"/>
      <c r="AU399" s="24"/>
      <c r="AV399" s="24"/>
      <c r="AW399" s="24"/>
      <c r="BD399" s="24"/>
      <c r="BE399" s="24"/>
      <c r="BF399" s="24"/>
      <c r="BG399" s="24"/>
      <c r="BH399" s="24"/>
      <c r="BI399" s="24"/>
      <c r="BP399" s="24"/>
      <c r="BQ399" s="24"/>
      <c r="BR399" s="24"/>
      <c r="BS399" s="24"/>
      <c r="BZ399" s="24"/>
      <c r="CA399" s="24"/>
      <c r="CB399" s="24"/>
      <c r="CC399" s="24"/>
      <c r="CD399" s="24"/>
    </row>
    <row r="400" spans="2:82" s="6" customFormat="1">
      <c r="B400" s="21"/>
      <c r="D400" s="17"/>
      <c r="E400" s="23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R400" s="24"/>
      <c r="AS400" s="24"/>
      <c r="AT400" s="24"/>
      <c r="AU400" s="24"/>
      <c r="AV400" s="24"/>
      <c r="AW400" s="24"/>
      <c r="BD400" s="24"/>
      <c r="BE400" s="24"/>
      <c r="BF400" s="24"/>
      <c r="BG400" s="24"/>
      <c r="BH400" s="24"/>
      <c r="BI400" s="24"/>
      <c r="BP400" s="24"/>
      <c r="BQ400" s="24"/>
      <c r="BR400" s="24"/>
      <c r="BS400" s="24"/>
      <c r="BZ400" s="24"/>
      <c r="CA400" s="24"/>
      <c r="CB400" s="24"/>
      <c r="CC400" s="24"/>
      <c r="CD400" s="24"/>
    </row>
    <row r="401" spans="2:82" s="6" customFormat="1">
      <c r="B401" s="21"/>
      <c r="D401" s="17"/>
      <c r="E401" s="23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R401" s="24"/>
      <c r="AS401" s="24"/>
      <c r="AT401" s="24"/>
      <c r="AU401" s="24"/>
      <c r="AV401" s="24"/>
      <c r="AW401" s="24"/>
      <c r="BD401" s="24"/>
      <c r="BE401" s="24"/>
      <c r="BF401" s="24"/>
      <c r="BG401" s="24"/>
      <c r="BH401" s="24"/>
      <c r="BI401" s="24"/>
      <c r="BP401" s="24"/>
      <c r="BQ401" s="24"/>
      <c r="BR401" s="24"/>
      <c r="BS401" s="24"/>
      <c r="BZ401" s="24"/>
      <c r="CA401" s="24"/>
      <c r="CB401" s="24"/>
      <c r="CC401" s="24"/>
      <c r="CD401" s="24"/>
    </row>
    <row r="402" spans="2:82" s="6" customFormat="1">
      <c r="B402" s="21"/>
      <c r="D402" s="17"/>
      <c r="E402" s="23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R402" s="24"/>
      <c r="AS402" s="24"/>
      <c r="AT402" s="24"/>
      <c r="AU402" s="24"/>
      <c r="AV402" s="24"/>
      <c r="AW402" s="24"/>
      <c r="BD402" s="24"/>
      <c r="BE402" s="24"/>
      <c r="BF402" s="24"/>
      <c r="BG402" s="24"/>
      <c r="BH402" s="24"/>
      <c r="BI402" s="24"/>
      <c r="BP402" s="24"/>
      <c r="BQ402" s="24"/>
      <c r="BR402" s="24"/>
      <c r="BS402" s="24"/>
      <c r="BZ402" s="24"/>
      <c r="CA402" s="24"/>
      <c r="CB402" s="24"/>
      <c r="CC402" s="24"/>
      <c r="CD402" s="24"/>
    </row>
    <row r="403" spans="2:82" s="6" customFormat="1">
      <c r="B403" s="21"/>
      <c r="D403" s="17"/>
      <c r="E403" s="23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R403" s="24"/>
      <c r="AS403" s="24"/>
      <c r="AT403" s="24"/>
      <c r="AU403" s="24"/>
      <c r="AV403" s="24"/>
      <c r="AW403" s="24"/>
      <c r="BD403" s="24"/>
      <c r="BE403" s="24"/>
      <c r="BF403" s="24"/>
      <c r="BG403" s="24"/>
      <c r="BH403" s="24"/>
      <c r="BI403" s="24"/>
      <c r="BP403" s="24"/>
      <c r="BQ403" s="24"/>
      <c r="BR403" s="24"/>
      <c r="BS403" s="24"/>
      <c r="BZ403" s="24"/>
      <c r="CA403" s="24"/>
      <c r="CB403" s="24"/>
      <c r="CC403" s="24"/>
      <c r="CD403" s="24"/>
    </row>
    <row r="404" spans="2:82" s="6" customFormat="1">
      <c r="B404" s="21"/>
      <c r="D404" s="17"/>
      <c r="E404" s="23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R404" s="24"/>
      <c r="AS404" s="24"/>
      <c r="AT404" s="24"/>
      <c r="AU404" s="24"/>
      <c r="AV404" s="24"/>
      <c r="AW404" s="24"/>
      <c r="BD404" s="24"/>
      <c r="BE404" s="24"/>
      <c r="BF404" s="24"/>
      <c r="BG404" s="24"/>
      <c r="BH404" s="24"/>
      <c r="BI404" s="24"/>
      <c r="BP404" s="24"/>
      <c r="BQ404" s="24"/>
      <c r="BR404" s="24"/>
      <c r="BS404" s="24"/>
      <c r="BZ404" s="24"/>
      <c r="CA404" s="24"/>
      <c r="CB404" s="24"/>
      <c r="CC404" s="24"/>
      <c r="CD404" s="24"/>
    </row>
    <row r="405" spans="2:82" s="6" customFormat="1">
      <c r="B405" s="21"/>
      <c r="D405" s="17"/>
      <c r="E405" s="23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R405" s="24"/>
      <c r="AS405" s="24"/>
      <c r="AT405" s="24"/>
      <c r="AU405" s="24"/>
      <c r="AV405" s="24"/>
      <c r="AW405" s="24"/>
      <c r="BD405" s="24"/>
      <c r="BE405" s="24"/>
      <c r="BF405" s="24"/>
      <c r="BG405" s="24"/>
      <c r="BH405" s="24"/>
      <c r="BI405" s="24"/>
      <c r="BP405" s="24"/>
      <c r="BQ405" s="24"/>
      <c r="BR405" s="24"/>
      <c r="BS405" s="24"/>
      <c r="BZ405" s="24"/>
      <c r="CA405" s="24"/>
      <c r="CB405" s="24"/>
      <c r="CC405" s="24"/>
      <c r="CD405" s="24"/>
    </row>
    <row r="406" spans="2:82" s="6" customFormat="1">
      <c r="B406" s="21"/>
      <c r="D406" s="17"/>
      <c r="E406" s="23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R406" s="24"/>
      <c r="AS406" s="24"/>
      <c r="AT406" s="24"/>
      <c r="AU406" s="24"/>
      <c r="AV406" s="24"/>
      <c r="AW406" s="24"/>
      <c r="BD406" s="24"/>
      <c r="BE406" s="24"/>
      <c r="BF406" s="24"/>
      <c r="BG406" s="24"/>
      <c r="BH406" s="24"/>
      <c r="BI406" s="24"/>
      <c r="BP406" s="24"/>
      <c r="BQ406" s="24"/>
      <c r="BR406" s="24"/>
      <c r="BS406" s="24"/>
      <c r="BZ406" s="24"/>
      <c r="CA406" s="24"/>
      <c r="CB406" s="24"/>
      <c r="CC406" s="24"/>
      <c r="CD406" s="24"/>
    </row>
    <row r="407" spans="2:82" s="6" customFormat="1">
      <c r="B407" s="21"/>
      <c r="D407" s="17"/>
      <c r="E407" s="23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R407" s="24"/>
      <c r="AS407" s="24"/>
      <c r="AT407" s="24"/>
      <c r="AU407" s="24"/>
      <c r="AV407" s="24"/>
      <c r="AW407" s="24"/>
      <c r="BD407" s="24"/>
      <c r="BE407" s="24"/>
      <c r="BF407" s="24"/>
      <c r="BG407" s="24"/>
      <c r="BH407" s="24"/>
      <c r="BI407" s="24"/>
      <c r="BP407" s="24"/>
      <c r="BQ407" s="24"/>
      <c r="BR407" s="24"/>
      <c r="BS407" s="24"/>
      <c r="BZ407" s="24"/>
      <c r="CA407" s="24"/>
      <c r="CB407" s="24"/>
      <c r="CC407" s="24"/>
      <c r="CD407" s="24"/>
    </row>
    <row r="408" spans="2:82" s="6" customFormat="1">
      <c r="B408" s="21"/>
      <c r="D408" s="17"/>
      <c r="E408" s="23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R408" s="24"/>
      <c r="AS408" s="24"/>
      <c r="AT408" s="24"/>
      <c r="AU408" s="24"/>
      <c r="AV408" s="24"/>
      <c r="AW408" s="24"/>
      <c r="BD408" s="24"/>
      <c r="BE408" s="24"/>
      <c r="BF408" s="24"/>
      <c r="BG408" s="24"/>
      <c r="BH408" s="24"/>
      <c r="BI408" s="24"/>
      <c r="BP408" s="24"/>
      <c r="BQ408" s="24"/>
      <c r="BR408" s="24"/>
      <c r="BS408" s="24"/>
      <c r="BZ408" s="24"/>
      <c r="CA408" s="24"/>
      <c r="CB408" s="24"/>
      <c r="CC408" s="24"/>
      <c r="CD408" s="24"/>
    </row>
    <row r="409" spans="2:82" s="6" customFormat="1">
      <c r="B409" s="21"/>
      <c r="D409" s="17"/>
      <c r="E409" s="23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R409" s="24"/>
      <c r="AS409" s="24"/>
      <c r="AT409" s="24"/>
      <c r="AU409" s="24"/>
      <c r="AV409" s="24"/>
      <c r="AW409" s="24"/>
      <c r="BD409" s="24"/>
      <c r="BE409" s="24"/>
      <c r="BF409" s="24"/>
      <c r="BG409" s="24"/>
      <c r="BH409" s="24"/>
      <c r="BI409" s="24"/>
      <c r="BP409" s="24"/>
      <c r="BQ409" s="24"/>
      <c r="BR409" s="24"/>
      <c r="BS409" s="24"/>
      <c r="BZ409" s="24"/>
      <c r="CA409" s="24"/>
      <c r="CB409" s="24"/>
      <c r="CC409" s="24"/>
      <c r="CD409" s="24"/>
    </row>
    <row r="410" spans="2:82" s="6" customFormat="1">
      <c r="B410" s="21"/>
      <c r="D410" s="17"/>
      <c r="E410" s="23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R410" s="24"/>
      <c r="AS410" s="24"/>
      <c r="AT410" s="24"/>
      <c r="AU410" s="24"/>
      <c r="AV410" s="24"/>
      <c r="AW410" s="24"/>
      <c r="BD410" s="24"/>
      <c r="BE410" s="24"/>
      <c r="BF410" s="24"/>
      <c r="BG410" s="24"/>
      <c r="BH410" s="24"/>
      <c r="BI410" s="24"/>
      <c r="BP410" s="24"/>
      <c r="BQ410" s="24"/>
      <c r="BR410" s="24"/>
      <c r="BS410" s="24"/>
      <c r="BZ410" s="24"/>
      <c r="CA410" s="24"/>
      <c r="CB410" s="24"/>
      <c r="CC410" s="24"/>
      <c r="CD410" s="24"/>
    </row>
    <row r="411" spans="2:82" s="6" customFormat="1">
      <c r="B411" s="21"/>
      <c r="D411" s="17"/>
      <c r="E411" s="23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R411" s="24"/>
      <c r="AS411" s="24"/>
      <c r="AT411" s="24"/>
      <c r="AU411" s="24"/>
      <c r="AV411" s="24"/>
      <c r="AW411" s="24"/>
      <c r="BD411" s="24"/>
      <c r="BE411" s="24"/>
      <c r="BF411" s="24"/>
      <c r="BG411" s="24"/>
      <c r="BH411" s="24"/>
      <c r="BI411" s="24"/>
      <c r="BP411" s="24"/>
      <c r="BQ411" s="24"/>
      <c r="BR411" s="24"/>
      <c r="BS411" s="24"/>
      <c r="BZ411" s="24"/>
      <c r="CA411" s="24"/>
      <c r="CB411" s="24"/>
      <c r="CC411" s="24"/>
      <c r="CD411" s="24"/>
    </row>
    <row r="412" spans="2:82" s="6" customFormat="1">
      <c r="B412" s="21"/>
      <c r="D412" s="17"/>
      <c r="E412" s="23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R412" s="24"/>
      <c r="AS412" s="24"/>
      <c r="AT412" s="24"/>
      <c r="AU412" s="24"/>
      <c r="AV412" s="24"/>
      <c r="AW412" s="24"/>
      <c r="BD412" s="24"/>
      <c r="BE412" s="24"/>
      <c r="BF412" s="24"/>
      <c r="BG412" s="24"/>
      <c r="BH412" s="24"/>
      <c r="BI412" s="24"/>
      <c r="BP412" s="24"/>
      <c r="BQ412" s="24"/>
      <c r="BR412" s="24"/>
      <c r="BS412" s="24"/>
      <c r="BZ412" s="24"/>
      <c r="CA412" s="24"/>
      <c r="CB412" s="24"/>
      <c r="CC412" s="24"/>
      <c r="CD412" s="24"/>
    </row>
    <row r="413" spans="2:82" s="6" customFormat="1">
      <c r="B413" s="21"/>
      <c r="D413" s="17"/>
      <c r="E413" s="23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R413" s="24"/>
      <c r="AS413" s="24"/>
      <c r="AT413" s="24"/>
      <c r="AU413" s="24"/>
      <c r="AV413" s="24"/>
      <c r="AW413" s="24"/>
      <c r="BD413" s="24"/>
      <c r="BE413" s="24"/>
      <c r="BF413" s="24"/>
      <c r="BG413" s="24"/>
      <c r="BH413" s="24"/>
      <c r="BI413" s="24"/>
      <c r="BP413" s="24"/>
      <c r="BQ413" s="24"/>
      <c r="BR413" s="24"/>
      <c r="BS413" s="24"/>
      <c r="BZ413" s="24"/>
      <c r="CA413" s="24"/>
      <c r="CB413" s="24"/>
      <c r="CC413" s="24"/>
      <c r="CD413" s="24"/>
    </row>
    <row r="414" spans="2:82" s="6" customFormat="1">
      <c r="B414" s="21"/>
      <c r="D414" s="17"/>
      <c r="E414" s="23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R414" s="24"/>
      <c r="AS414" s="24"/>
      <c r="AT414" s="24"/>
      <c r="AU414" s="24"/>
      <c r="AV414" s="24"/>
      <c r="AW414" s="24"/>
      <c r="BD414" s="24"/>
      <c r="BE414" s="24"/>
      <c r="BF414" s="24"/>
      <c r="BG414" s="24"/>
      <c r="BH414" s="24"/>
      <c r="BI414" s="24"/>
      <c r="BP414" s="24"/>
      <c r="BQ414" s="24"/>
      <c r="BR414" s="24"/>
      <c r="BS414" s="24"/>
      <c r="BZ414" s="24"/>
      <c r="CA414" s="24"/>
      <c r="CB414" s="24"/>
      <c r="CC414" s="24"/>
      <c r="CD414" s="24"/>
    </row>
    <row r="415" spans="2:82" s="6" customFormat="1">
      <c r="B415" s="21"/>
      <c r="D415" s="17"/>
      <c r="E415" s="23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R415" s="24"/>
      <c r="AS415" s="24"/>
      <c r="AT415" s="24"/>
      <c r="AU415" s="24"/>
      <c r="AV415" s="24"/>
      <c r="AW415" s="24"/>
      <c r="BD415" s="24"/>
      <c r="BE415" s="24"/>
      <c r="BF415" s="24"/>
      <c r="BG415" s="24"/>
      <c r="BH415" s="24"/>
      <c r="BI415" s="24"/>
      <c r="BP415" s="24"/>
      <c r="BQ415" s="24"/>
      <c r="BR415" s="24"/>
      <c r="BS415" s="24"/>
      <c r="BZ415" s="24"/>
      <c r="CA415" s="24"/>
      <c r="CB415" s="24"/>
      <c r="CC415" s="24"/>
      <c r="CD415" s="24"/>
    </row>
    <row r="416" spans="2:82" s="6" customFormat="1">
      <c r="B416" s="21"/>
      <c r="D416" s="17"/>
      <c r="E416" s="23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R416" s="24"/>
      <c r="AS416" s="24"/>
      <c r="AT416" s="24"/>
      <c r="AU416" s="24"/>
      <c r="AV416" s="24"/>
      <c r="AW416" s="24"/>
      <c r="BD416" s="24"/>
      <c r="BE416" s="24"/>
      <c r="BF416" s="24"/>
      <c r="BG416" s="24"/>
      <c r="BH416" s="24"/>
      <c r="BI416" s="24"/>
      <c r="BP416" s="24"/>
      <c r="BQ416" s="24"/>
      <c r="BR416" s="24"/>
      <c r="BS416" s="24"/>
      <c r="BZ416" s="24"/>
      <c r="CA416" s="24"/>
      <c r="CB416" s="24"/>
      <c r="CC416" s="24"/>
      <c r="CD416" s="24"/>
    </row>
    <row r="417" spans="2:82" s="6" customFormat="1">
      <c r="B417" s="21"/>
      <c r="D417" s="17"/>
      <c r="E417" s="23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R417" s="24"/>
      <c r="AS417" s="24"/>
      <c r="AT417" s="24"/>
      <c r="AU417" s="24"/>
      <c r="AV417" s="24"/>
      <c r="AW417" s="24"/>
      <c r="BD417" s="24"/>
      <c r="BE417" s="24"/>
      <c r="BF417" s="24"/>
      <c r="BG417" s="24"/>
      <c r="BH417" s="24"/>
      <c r="BI417" s="24"/>
      <c r="BP417" s="24"/>
      <c r="BQ417" s="24"/>
      <c r="BR417" s="24"/>
      <c r="BS417" s="24"/>
      <c r="BZ417" s="24"/>
      <c r="CA417" s="24"/>
      <c r="CB417" s="24"/>
      <c r="CC417" s="24"/>
      <c r="CD417" s="24"/>
    </row>
    <row r="418" spans="2:82" s="6" customFormat="1">
      <c r="B418" s="21"/>
      <c r="D418" s="17"/>
      <c r="E418" s="23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R418" s="24"/>
      <c r="AS418" s="24"/>
      <c r="AT418" s="24"/>
      <c r="AU418" s="24"/>
      <c r="AV418" s="24"/>
      <c r="AW418" s="24"/>
      <c r="BD418" s="24"/>
      <c r="BE418" s="24"/>
      <c r="BF418" s="24"/>
      <c r="BG418" s="24"/>
      <c r="BH418" s="24"/>
      <c r="BI418" s="24"/>
      <c r="BP418" s="24"/>
      <c r="BQ418" s="24"/>
      <c r="BR418" s="24"/>
      <c r="BS418" s="24"/>
      <c r="BZ418" s="24"/>
      <c r="CA418" s="24"/>
      <c r="CB418" s="24"/>
      <c r="CC418" s="24"/>
      <c r="CD418" s="24"/>
    </row>
    <row r="419" spans="2:82" s="6" customFormat="1">
      <c r="B419" s="21"/>
      <c r="D419" s="17"/>
      <c r="E419" s="23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R419" s="24"/>
      <c r="AS419" s="24"/>
      <c r="AT419" s="24"/>
      <c r="AU419" s="24"/>
      <c r="AV419" s="24"/>
      <c r="AW419" s="24"/>
      <c r="BD419" s="24"/>
      <c r="BE419" s="24"/>
      <c r="BF419" s="24"/>
      <c r="BG419" s="24"/>
      <c r="BH419" s="24"/>
      <c r="BI419" s="24"/>
      <c r="BP419" s="24"/>
      <c r="BQ419" s="24"/>
      <c r="BR419" s="24"/>
      <c r="BS419" s="24"/>
      <c r="BZ419" s="24"/>
      <c r="CA419" s="24"/>
      <c r="CB419" s="24"/>
      <c r="CC419" s="24"/>
      <c r="CD419" s="24"/>
    </row>
    <row r="420" spans="2:82" s="6" customFormat="1">
      <c r="B420" s="21"/>
      <c r="D420" s="17"/>
      <c r="E420" s="23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R420" s="24"/>
      <c r="AS420" s="24"/>
      <c r="AT420" s="24"/>
      <c r="AU420" s="24"/>
      <c r="AV420" s="24"/>
      <c r="AW420" s="24"/>
      <c r="BD420" s="24"/>
      <c r="BE420" s="24"/>
      <c r="BF420" s="24"/>
      <c r="BG420" s="24"/>
      <c r="BH420" s="24"/>
      <c r="BI420" s="24"/>
      <c r="BP420" s="24"/>
      <c r="BQ420" s="24"/>
      <c r="BR420" s="24"/>
      <c r="BS420" s="24"/>
      <c r="BZ420" s="24"/>
      <c r="CA420" s="24"/>
      <c r="CB420" s="24"/>
      <c r="CC420" s="24"/>
      <c r="CD420" s="24"/>
    </row>
    <row r="421" spans="2:82" s="6" customFormat="1">
      <c r="B421" s="21"/>
      <c r="D421" s="17"/>
      <c r="E421" s="23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R421" s="24"/>
      <c r="AS421" s="24"/>
      <c r="AT421" s="24"/>
      <c r="AU421" s="24"/>
      <c r="AV421" s="24"/>
      <c r="AW421" s="24"/>
      <c r="BD421" s="24"/>
      <c r="BE421" s="24"/>
      <c r="BF421" s="24"/>
      <c r="BG421" s="24"/>
      <c r="BH421" s="24"/>
      <c r="BI421" s="24"/>
      <c r="BP421" s="24"/>
      <c r="BQ421" s="24"/>
      <c r="BR421" s="24"/>
      <c r="BS421" s="24"/>
      <c r="BZ421" s="24"/>
      <c r="CA421" s="24"/>
      <c r="CB421" s="24"/>
      <c r="CC421" s="24"/>
      <c r="CD421" s="24"/>
    </row>
    <row r="422" spans="2:82" s="6" customFormat="1">
      <c r="B422" s="21"/>
      <c r="D422" s="17"/>
      <c r="E422" s="23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R422" s="24"/>
      <c r="AS422" s="24"/>
      <c r="AT422" s="24"/>
      <c r="AU422" s="24"/>
      <c r="AV422" s="24"/>
      <c r="AW422" s="24"/>
      <c r="BD422" s="24"/>
      <c r="BE422" s="24"/>
      <c r="BF422" s="24"/>
      <c r="BG422" s="24"/>
      <c r="BH422" s="24"/>
      <c r="BI422" s="24"/>
      <c r="BP422" s="24"/>
      <c r="BQ422" s="24"/>
      <c r="BR422" s="24"/>
      <c r="BS422" s="24"/>
      <c r="BZ422" s="24"/>
      <c r="CA422" s="24"/>
      <c r="CB422" s="24"/>
      <c r="CC422" s="24"/>
      <c r="CD422" s="24"/>
    </row>
    <row r="423" spans="2:82" s="6" customFormat="1">
      <c r="B423" s="21"/>
      <c r="D423" s="17"/>
      <c r="E423" s="23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R423" s="24"/>
      <c r="AS423" s="24"/>
      <c r="AT423" s="24"/>
      <c r="AU423" s="24"/>
      <c r="AV423" s="24"/>
      <c r="AW423" s="24"/>
      <c r="BD423" s="24"/>
      <c r="BE423" s="24"/>
      <c r="BF423" s="24"/>
      <c r="BG423" s="24"/>
      <c r="BH423" s="24"/>
      <c r="BI423" s="24"/>
      <c r="BP423" s="24"/>
      <c r="BQ423" s="24"/>
      <c r="BR423" s="24"/>
      <c r="BS423" s="24"/>
      <c r="BZ423" s="24"/>
      <c r="CA423" s="24"/>
      <c r="CB423" s="24"/>
      <c r="CC423" s="24"/>
      <c r="CD423" s="24"/>
    </row>
    <row r="424" spans="2:82" s="6" customFormat="1">
      <c r="B424" s="21"/>
      <c r="D424" s="17"/>
      <c r="E424" s="23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R424" s="24"/>
      <c r="AS424" s="24"/>
      <c r="AT424" s="24"/>
      <c r="AU424" s="24"/>
      <c r="AV424" s="24"/>
      <c r="AW424" s="24"/>
      <c r="BD424" s="24"/>
      <c r="BE424" s="24"/>
      <c r="BF424" s="24"/>
      <c r="BG424" s="24"/>
      <c r="BH424" s="24"/>
      <c r="BI424" s="24"/>
      <c r="BP424" s="24"/>
      <c r="BQ424" s="24"/>
      <c r="BR424" s="24"/>
      <c r="BS424" s="24"/>
      <c r="BZ424" s="24"/>
      <c r="CA424" s="24"/>
      <c r="CB424" s="24"/>
      <c r="CC424" s="24"/>
      <c r="CD424" s="24"/>
    </row>
    <row r="425" spans="2:82" s="6" customFormat="1">
      <c r="B425" s="21"/>
      <c r="D425" s="17"/>
      <c r="E425" s="23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R425" s="24"/>
      <c r="AS425" s="24"/>
      <c r="AT425" s="24"/>
      <c r="AU425" s="24"/>
      <c r="AV425" s="24"/>
      <c r="AW425" s="24"/>
      <c r="BD425" s="24"/>
      <c r="BE425" s="24"/>
      <c r="BF425" s="24"/>
      <c r="BG425" s="24"/>
      <c r="BH425" s="24"/>
      <c r="BI425" s="24"/>
      <c r="BP425" s="24"/>
      <c r="BQ425" s="24"/>
      <c r="BR425" s="24"/>
      <c r="BS425" s="24"/>
      <c r="BZ425" s="24"/>
      <c r="CA425" s="24"/>
      <c r="CB425" s="24"/>
      <c r="CC425" s="24"/>
      <c r="CD425" s="24"/>
    </row>
    <row r="426" spans="2:82" s="6" customFormat="1">
      <c r="B426" s="21"/>
      <c r="D426" s="17"/>
      <c r="E426" s="23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R426" s="24"/>
      <c r="AS426" s="24"/>
      <c r="AT426" s="24"/>
      <c r="AU426" s="24"/>
      <c r="AV426" s="24"/>
      <c r="AW426" s="24"/>
      <c r="BD426" s="24"/>
      <c r="BE426" s="24"/>
      <c r="BF426" s="24"/>
      <c r="BG426" s="24"/>
      <c r="BH426" s="24"/>
      <c r="BI426" s="24"/>
      <c r="BP426" s="24"/>
      <c r="BQ426" s="24"/>
      <c r="BR426" s="24"/>
      <c r="BS426" s="24"/>
      <c r="BZ426" s="24"/>
      <c r="CA426" s="24"/>
      <c r="CB426" s="24"/>
      <c r="CC426" s="24"/>
      <c r="CD426" s="24"/>
    </row>
    <row r="427" spans="2:82" s="6" customFormat="1">
      <c r="B427" s="21"/>
      <c r="D427" s="17"/>
      <c r="E427" s="23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R427" s="24"/>
      <c r="AS427" s="24"/>
      <c r="AT427" s="24"/>
      <c r="AU427" s="24"/>
      <c r="AV427" s="24"/>
      <c r="AW427" s="24"/>
      <c r="BD427" s="24"/>
      <c r="BE427" s="24"/>
      <c r="BF427" s="24"/>
      <c r="BG427" s="24"/>
      <c r="BH427" s="24"/>
      <c r="BI427" s="24"/>
      <c r="BP427" s="24"/>
      <c r="BQ427" s="24"/>
      <c r="BR427" s="24"/>
      <c r="BS427" s="24"/>
      <c r="BZ427" s="24"/>
      <c r="CA427" s="24"/>
      <c r="CB427" s="24"/>
      <c r="CC427" s="24"/>
      <c r="CD427" s="24"/>
    </row>
    <row r="428" spans="2:82" s="6" customFormat="1">
      <c r="B428" s="21"/>
      <c r="D428" s="17"/>
      <c r="E428" s="23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R428" s="24"/>
      <c r="AS428" s="24"/>
      <c r="AT428" s="24"/>
      <c r="AU428" s="24"/>
      <c r="AV428" s="24"/>
      <c r="AW428" s="24"/>
      <c r="BD428" s="24"/>
      <c r="BE428" s="24"/>
      <c r="BF428" s="24"/>
      <c r="BG428" s="24"/>
      <c r="BH428" s="24"/>
      <c r="BI428" s="24"/>
      <c r="BP428" s="24"/>
      <c r="BQ428" s="24"/>
      <c r="BR428" s="24"/>
      <c r="BS428" s="24"/>
      <c r="BZ428" s="24"/>
      <c r="CA428" s="24"/>
      <c r="CB428" s="24"/>
      <c r="CC428" s="24"/>
      <c r="CD428" s="24"/>
    </row>
    <row r="429" spans="2:82" s="6" customFormat="1">
      <c r="B429" s="21"/>
      <c r="D429" s="17"/>
      <c r="E429" s="23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R429" s="24"/>
      <c r="AS429" s="24"/>
      <c r="AT429" s="24"/>
      <c r="AU429" s="24"/>
      <c r="AV429" s="24"/>
      <c r="AW429" s="24"/>
      <c r="BD429" s="24"/>
      <c r="BE429" s="24"/>
      <c r="BF429" s="24"/>
      <c r="BG429" s="24"/>
      <c r="BH429" s="24"/>
      <c r="BI429" s="24"/>
      <c r="BP429" s="24"/>
      <c r="BQ429" s="24"/>
      <c r="BR429" s="24"/>
      <c r="BS429" s="24"/>
      <c r="BZ429" s="24"/>
      <c r="CA429" s="24"/>
      <c r="CB429" s="24"/>
      <c r="CC429" s="24"/>
      <c r="CD429" s="24"/>
    </row>
    <row r="430" spans="2:82" s="6" customFormat="1">
      <c r="B430" s="21"/>
      <c r="D430" s="17"/>
      <c r="E430" s="23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R430" s="24"/>
      <c r="AS430" s="24"/>
      <c r="AT430" s="24"/>
      <c r="AU430" s="24"/>
      <c r="AV430" s="24"/>
      <c r="AW430" s="24"/>
      <c r="BD430" s="24"/>
      <c r="BE430" s="24"/>
      <c r="BF430" s="24"/>
      <c r="BG430" s="24"/>
      <c r="BH430" s="24"/>
      <c r="BI430" s="24"/>
      <c r="BP430" s="24"/>
      <c r="BQ430" s="24"/>
      <c r="BR430" s="24"/>
      <c r="BS430" s="24"/>
      <c r="BZ430" s="24"/>
      <c r="CA430" s="24"/>
      <c r="CB430" s="24"/>
      <c r="CC430" s="24"/>
      <c r="CD430" s="24"/>
    </row>
    <row r="431" spans="2:82" s="6" customFormat="1">
      <c r="B431" s="21"/>
      <c r="D431" s="17"/>
      <c r="E431" s="23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R431" s="24"/>
      <c r="AS431" s="24"/>
      <c r="AT431" s="24"/>
      <c r="AU431" s="24"/>
      <c r="AV431" s="24"/>
      <c r="AW431" s="24"/>
      <c r="BD431" s="24"/>
      <c r="BE431" s="24"/>
      <c r="BF431" s="24"/>
      <c r="BG431" s="24"/>
      <c r="BH431" s="24"/>
      <c r="BI431" s="24"/>
      <c r="BP431" s="24"/>
      <c r="BQ431" s="24"/>
      <c r="BR431" s="24"/>
      <c r="BS431" s="24"/>
      <c r="BZ431" s="24"/>
      <c r="CA431" s="24"/>
      <c r="CB431" s="24"/>
      <c r="CC431" s="24"/>
      <c r="CD431" s="24"/>
    </row>
    <row r="432" spans="2:82" s="6" customFormat="1">
      <c r="B432" s="21"/>
      <c r="D432" s="17"/>
      <c r="E432" s="23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R432" s="24"/>
      <c r="AS432" s="24"/>
      <c r="AT432" s="24"/>
      <c r="AU432" s="24"/>
      <c r="AV432" s="24"/>
      <c r="AW432" s="24"/>
      <c r="BD432" s="24"/>
      <c r="BE432" s="24"/>
      <c r="BF432" s="24"/>
      <c r="BG432" s="24"/>
      <c r="BH432" s="24"/>
      <c r="BI432" s="24"/>
      <c r="BP432" s="24"/>
      <c r="BQ432" s="24"/>
      <c r="BR432" s="24"/>
      <c r="BS432" s="24"/>
      <c r="BZ432" s="24"/>
      <c r="CA432" s="24"/>
      <c r="CB432" s="24"/>
      <c r="CC432" s="24"/>
      <c r="CD432" s="24"/>
    </row>
    <row r="433" spans="2:82" s="6" customFormat="1">
      <c r="B433" s="21"/>
      <c r="D433" s="17"/>
      <c r="E433" s="23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R433" s="24"/>
      <c r="AS433" s="24"/>
      <c r="AT433" s="24"/>
      <c r="AU433" s="24"/>
      <c r="AV433" s="24"/>
      <c r="AW433" s="24"/>
      <c r="BD433" s="24"/>
      <c r="BE433" s="24"/>
      <c r="BF433" s="24"/>
      <c r="BG433" s="24"/>
      <c r="BH433" s="24"/>
      <c r="BI433" s="24"/>
      <c r="BP433" s="24"/>
      <c r="BQ433" s="24"/>
      <c r="BR433" s="24"/>
      <c r="BS433" s="24"/>
      <c r="BZ433" s="24"/>
      <c r="CA433" s="24"/>
      <c r="CB433" s="24"/>
      <c r="CC433" s="24"/>
      <c r="CD433" s="24"/>
    </row>
    <row r="434" spans="2:82" s="6" customFormat="1">
      <c r="B434" s="21"/>
      <c r="D434" s="17"/>
      <c r="E434" s="23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R434" s="24"/>
      <c r="AS434" s="24"/>
      <c r="AT434" s="24"/>
      <c r="AU434" s="24"/>
      <c r="AV434" s="24"/>
      <c r="AW434" s="24"/>
      <c r="BD434" s="24"/>
      <c r="BE434" s="24"/>
      <c r="BF434" s="24"/>
      <c r="BG434" s="24"/>
      <c r="BH434" s="24"/>
      <c r="BI434" s="24"/>
      <c r="BP434" s="24"/>
      <c r="BQ434" s="24"/>
      <c r="BR434" s="24"/>
      <c r="BS434" s="24"/>
      <c r="BZ434" s="24"/>
      <c r="CA434" s="24"/>
      <c r="CB434" s="24"/>
      <c r="CC434" s="24"/>
      <c r="CD434" s="24"/>
    </row>
    <row r="435" spans="2:82" s="6" customFormat="1">
      <c r="B435" s="21"/>
      <c r="D435" s="17"/>
      <c r="E435" s="23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R435" s="24"/>
      <c r="AS435" s="24"/>
      <c r="AT435" s="24"/>
      <c r="AU435" s="24"/>
      <c r="AV435" s="24"/>
      <c r="AW435" s="24"/>
      <c r="BD435" s="24"/>
      <c r="BE435" s="24"/>
      <c r="BF435" s="24"/>
      <c r="BG435" s="24"/>
      <c r="BH435" s="24"/>
      <c r="BI435" s="24"/>
      <c r="BP435" s="24"/>
      <c r="BQ435" s="24"/>
      <c r="BR435" s="24"/>
      <c r="BS435" s="24"/>
      <c r="BZ435" s="24"/>
      <c r="CA435" s="24"/>
      <c r="CB435" s="24"/>
      <c r="CC435" s="24"/>
      <c r="CD435" s="24"/>
    </row>
    <row r="436" spans="2:82" s="6" customFormat="1">
      <c r="B436" s="21"/>
      <c r="D436" s="17"/>
      <c r="E436" s="23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R436" s="24"/>
      <c r="AS436" s="24"/>
      <c r="AT436" s="24"/>
      <c r="AU436" s="24"/>
      <c r="AV436" s="24"/>
      <c r="AW436" s="24"/>
      <c r="BD436" s="24"/>
      <c r="BE436" s="24"/>
      <c r="BF436" s="24"/>
      <c r="BG436" s="24"/>
      <c r="BH436" s="24"/>
      <c r="BI436" s="24"/>
      <c r="BP436" s="24"/>
      <c r="BQ436" s="24"/>
      <c r="BR436" s="24"/>
      <c r="BS436" s="24"/>
      <c r="BZ436" s="24"/>
      <c r="CA436" s="24"/>
      <c r="CB436" s="24"/>
      <c r="CC436" s="24"/>
      <c r="CD436" s="24"/>
    </row>
    <row r="437" spans="2:82" s="6" customFormat="1">
      <c r="B437" s="21"/>
      <c r="D437" s="17"/>
      <c r="E437" s="23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R437" s="24"/>
      <c r="AS437" s="24"/>
      <c r="AT437" s="24"/>
      <c r="AU437" s="24"/>
      <c r="AV437" s="24"/>
      <c r="AW437" s="24"/>
      <c r="BD437" s="24"/>
      <c r="BE437" s="24"/>
      <c r="BF437" s="24"/>
      <c r="BG437" s="24"/>
      <c r="BH437" s="24"/>
      <c r="BI437" s="24"/>
      <c r="BP437" s="24"/>
      <c r="BQ437" s="24"/>
      <c r="BR437" s="24"/>
      <c r="BS437" s="24"/>
      <c r="BZ437" s="24"/>
      <c r="CA437" s="24"/>
      <c r="CB437" s="24"/>
      <c r="CC437" s="24"/>
      <c r="CD437" s="24"/>
    </row>
    <row r="438" spans="2:82" s="6" customFormat="1">
      <c r="B438" s="21"/>
      <c r="D438" s="17"/>
      <c r="E438" s="23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R438" s="24"/>
      <c r="AS438" s="24"/>
      <c r="AT438" s="24"/>
      <c r="AU438" s="24"/>
      <c r="AV438" s="24"/>
      <c r="AW438" s="24"/>
      <c r="BD438" s="24"/>
      <c r="BE438" s="24"/>
      <c r="BF438" s="24"/>
      <c r="BG438" s="24"/>
      <c r="BH438" s="24"/>
      <c r="BI438" s="24"/>
      <c r="BP438" s="24"/>
      <c r="BQ438" s="24"/>
      <c r="BR438" s="24"/>
      <c r="BS438" s="24"/>
      <c r="BZ438" s="24"/>
      <c r="CA438" s="24"/>
      <c r="CB438" s="24"/>
      <c r="CC438" s="24"/>
      <c r="CD438" s="24"/>
    </row>
    <row r="439" spans="2:82" s="6" customFormat="1">
      <c r="B439" s="21"/>
      <c r="D439" s="17"/>
      <c r="E439" s="23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R439" s="24"/>
      <c r="AS439" s="24"/>
      <c r="AT439" s="24"/>
      <c r="AU439" s="24"/>
      <c r="AV439" s="24"/>
      <c r="AW439" s="24"/>
      <c r="BD439" s="24"/>
      <c r="BE439" s="24"/>
      <c r="BF439" s="24"/>
      <c r="BG439" s="24"/>
      <c r="BH439" s="24"/>
      <c r="BI439" s="24"/>
      <c r="BP439" s="24"/>
      <c r="BQ439" s="24"/>
      <c r="BR439" s="24"/>
      <c r="BS439" s="24"/>
      <c r="BZ439" s="24"/>
      <c r="CA439" s="24"/>
      <c r="CB439" s="24"/>
      <c r="CC439" s="24"/>
      <c r="CD439" s="24"/>
    </row>
    <row r="440" spans="2:82" s="6" customFormat="1">
      <c r="B440" s="21"/>
      <c r="D440" s="17"/>
      <c r="E440" s="23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R440" s="24"/>
      <c r="AS440" s="24"/>
      <c r="AT440" s="24"/>
      <c r="AU440" s="24"/>
      <c r="AV440" s="24"/>
      <c r="AW440" s="24"/>
      <c r="BD440" s="24"/>
      <c r="BE440" s="24"/>
      <c r="BF440" s="24"/>
      <c r="BG440" s="24"/>
      <c r="BH440" s="24"/>
      <c r="BI440" s="24"/>
      <c r="BP440" s="24"/>
      <c r="BQ440" s="24"/>
      <c r="BR440" s="24"/>
      <c r="BS440" s="24"/>
      <c r="BZ440" s="24"/>
      <c r="CA440" s="24"/>
      <c r="CB440" s="24"/>
      <c r="CC440" s="24"/>
      <c r="CD440" s="24"/>
    </row>
    <row r="441" spans="2:82" s="6" customFormat="1">
      <c r="B441" s="21"/>
      <c r="D441" s="17"/>
      <c r="E441" s="23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R441" s="24"/>
      <c r="AS441" s="24"/>
      <c r="AT441" s="24"/>
      <c r="AU441" s="24"/>
      <c r="AV441" s="24"/>
      <c r="AW441" s="24"/>
      <c r="BD441" s="24"/>
      <c r="BE441" s="24"/>
      <c r="BF441" s="24"/>
      <c r="BG441" s="24"/>
      <c r="BH441" s="24"/>
      <c r="BI441" s="24"/>
      <c r="BP441" s="24"/>
      <c r="BQ441" s="24"/>
      <c r="BR441" s="24"/>
      <c r="BS441" s="24"/>
      <c r="BZ441" s="24"/>
      <c r="CA441" s="24"/>
      <c r="CB441" s="24"/>
      <c r="CC441" s="24"/>
      <c r="CD441" s="24"/>
    </row>
    <row r="442" spans="2:82" s="6" customFormat="1">
      <c r="B442" s="21"/>
      <c r="D442" s="17"/>
      <c r="E442" s="23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R442" s="24"/>
      <c r="AS442" s="24"/>
      <c r="AT442" s="24"/>
      <c r="AU442" s="24"/>
      <c r="AV442" s="24"/>
      <c r="AW442" s="24"/>
      <c r="BD442" s="24"/>
      <c r="BE442" s="24"/>
      <c r="BF442" s="24"/>
      <c r="BG442" s="24"/>
      <c r="BH442" s="24"/>
      <c r="BI442" s="24"/>
      <c r="BP442" s="24"/>
      <c r="BQ442" s="24"/>
      <c r="BR442" s="24"/>
      <c r="BS442" s="24"/>
      <c r="BZ442" s="24"/>
      <c r="CA442" s="24"/>
      <c r="CB442" s="24"/>
      <c r="CC442" s="24"/>
      <c r="CD442" s="24"/>
    </row>
    <row r="443" spans="2:82" s="6" customFormat="1">
      <c r="B443" s="21"/>
      <c r="D443" s="17"/>
      <c r="E443" s="23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R443" s="24"/>
      <c r="AS443" s="24"/>
      <c r="AT443" s="24"/>
      <c r="AU443" s="24"/>
      <c r="AV443" s="24"/>
      <c r="AW443" s="24"/>
      <c r="BD443" s="24"/>
      <c r="BE443" s="24"/>
      <c r="BF443" s="24"/>
      <c r="BG443" s="24"/>
      <c r="BH443" s="24"/>
      <c r="BI443" s="24"/>
      <c r="BP443" s="24"/>
      <c r="BQ443" s="24"/>
      <c r="BR443" s="24"/>
      <c r="BS443" s="24"/>
      <c r="BZ443" s="24"/>
      <c r="CA443" s="24"/>
      <c r="CB443" s="24"/>
      <c r="CC443" s="24"/>
      <c r="CD443" s="24"/>
    </row>
    <row r="444" spans="2:82" s="6" customFormat="1">
      <c r="B444" s="21"/>
      <c r="D444" s="17"/>
      <c r="E444" s="23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R444" s="24"/>
      <c r="AS444" s="24"/>
      <c r="AT444" s="24"/>
      <c r="AU444" s="24"/>
      <c r="AV444" s="24"/>
      <c r="AW444" s="24"/>
      <c r="BD444" s="24"/>
      <c r="BE444" s="24"/>
      <c r="BF444" s="24"/>
      <c r="BG444" s="24"/>
      <c r="BH444" s="24"/>
      <c r="BI444" s="24"/>
      <c r="BP444" s="24"/>
      <c r="BQ444" s="24"/>
      <c r="BR444" s="24"/>
      <c r="BS444" s="24"/>
      <c r="BZ444" s="24"/>
      <c r="CA444" s="24"/>
      <c r="CB444" s="24"/>
      <c r="CC444" s="24"/>
      <c r="CD444" s="24"/>
    </row>
    <row r="445" spans="2:82" s="6" customFormat="1">
      <c r="B445" s="21"/>
      <c r="D445" s="17"/>
      <c r="E445" s="23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R445" s="24"/>
      <c r="AS445" s="24"/>
      <c r="AT445" s="24"/>
      <c r="AU445" s="24"/>
      <c r="AV445" s="24"/>
      <c r="AW445" s="24"/>
      <c r="BD445" s="24"/>
      <c r="BE445" s="24"/>
      <c r="BF445" s="24"/>
      <c r="BG445" s="24"/>
      <c r="BH445" s="24"/>
      <c r="BI445" s="24"/>
      <c r="BP445" s="24"/>
      <c r="BQ445" s="24"/>
      <c r="BR445" s="24"/>
      <c r="BS445" s="24"/>
      <c r="BZ445" s="24"/>
      <c r="CA445" s="24"/>
      <c r="CB445" s="24"/>
      <c r="CC445" s="24"/>
      <c r="CD445" s="24"/>
    </row>
    <row r="446" spans="2:82" s="6" customFormat="1">
      <c r="B446" s="21"/>
      <c r="D446" s="17"/>
      <c r="E446" s="23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R446" s="24"/>
      <c r="AS446" s="24"/>
      <c r="AT446" s="24"/>
      <c r="AU446" s="24"/>
      <c r="AV446" s="24"/>
      <c r="AW446" s="24"/>
      <c r="BD446" s="24"/>
      <c r="BE446" s="24"/>
      <c r="BF446" s="24"/>
      <c r="BG446" s="24"/>
      <c r="BH446" s="24"/>
      <c r="BI446" s="24"/>
      <c r="BP446" s="24"/>
      <c r="BQ446" s="24"/>
      <c r="BR446" s="24"/>
      <c r="BS446" s="24"/>
      <c r="BZ446" s="24"/>
      <c r="CA446" s="24"/>
      <c r="CB446" s="24"/>
      <c r="CC446" s="24"/>
      <c r="CD446" s="24"/>
    </row>
    <row r="447" spans="2:82" s="6" customFormat="1">
      <c r="B447" s="21"/>
      <c r="D447" s="17"/>
      <c r="E447" s="23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R447" s="24"/>
      <c r="AS447" s="24"/>
      <c r="AT447" s="24"/>
      <c r="AU447" s="24"/>
      <c r="AV447" s="24"/>
      <c r="AW447" s="24"/>
      <c r="BD447" s="24"/>
      <c r="BE447" s="24"/>
      <c r="BF447" s="24"/>
      <c r="BG447" s="24"/>
      <c r="BH447" s="24"/>
      <c r="BI447" s="24"/>
      <c r="BP447" s="24"/>
      <c r="BQ447" s="24"/>
      <c r="BR447" s="24"/>
      <c r="BS447" s="24"/>
      <c r="BZ447" s="24"/>
      <c r="CA447" s="24"/>
      <c r="CB447" s="24"/>
      <c r="CC447" s="24"/>
      <c r="CD447" s="24"/>
    </row>
    <row r="448" spans="2:82" s="6" customFormat="1">
      <c r="B448" s="21"/>
      <c r="D448" s="17"/>
      <c r="E448" s="23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R448" s="24"/>
      <c r="AS448" s="24"/>
      <c r="AT448" s="24"/>
      <c r="AU448" s="24"/>
      <c r="AV448" s="24"/>
      <c r="AW448" s="24"/>
      <c r="BD448" s="24"/>
      <c r="BE448" s="24"/>
      <c r="BF448" s="24"/>
      <c r="BG448" s="24"/>
      <c r="BH448" s="24"/>
      <c r="BI448" s="24"/>
      <c r="BP448" s="24"/>
      <c r="BQ448" s="24"/>
      <c r="BR448" s="24"/>
      <c r="BS448" s="24"/>
      <c r="BZ448" s="24"/>
      <c r="CA448" s="24"/>
      <c r="CB448" s="24"/>
      <c r="CC448" s="24"/>
      <c r="CD448" s="24"/>
    </row>
    <row r="449" spans="2:82" s="6" customFormat="1">
      <c r="B449" s="21"/>
      <c r="D449" s="17"/>
      <c r="E449" s="23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R449" s="24"/>
      <c r="AS449" s="24"/>
      <c r="AT449" s="24"/>
      <c r="AU449" s="24"/>
      <c r="AV449" s="24"/>
      <c r="AW449" s="24"/>
      <c r="BD449" s="24"/>
      <c r="BE449" s="24"/>
      <c r="BF449" s="24"/>
      <c r="BG449" s="24"/>
      <c r="BH449" s="24"/>
      <c r="BI449" s="24"/>
      <c r="BP449" s="24"/>
      <c r="BQ449" s="24"/>
      <c r="BR449" s="24"/>
      <c r="BS449" s="24"/>
      <c r="BZ449" s="24"/>
      <c r="CA449" s="24"/>
      <c r="CB449" s="24"/>
      <c r="CC449" s="24"/>
      <c r="CD449" s="24"/>
    </row>
    <row r="450" spans="2:82" s="6" customFormat="1">
      <c r="B450" s="21"/>
      <c r="D450" s="17"/>
      <c r="E450" s="23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R450" s="24"/>
      <c r="AS450" s="24"/>
      <c r="AT450" s="24"/>
      <c r="AU450" s="24"/>
      <c r="AV450" s="24"/>
      <c r="AW450" s="24"/>
      <c r="BD450" s="24"/>
      <c r="BE450" s="24"/>
      <c r="BF450" s="24"/>
      <c r="BG450" s="24"/>
      <c r="BH450" s="24"/>
      <c r="BI450" s="24"/>
      <c r="BP450" s="24"/>
      <c r="BQ450" s="24"/>
      <c r="BR450" s="24"/>
      <c r="BS450" s="24"/>
      <c r="BZ450" s="24"/>
      <c r="CA450" s="24"/>
      <c r="CB450" s="24"/>
      <c r="CC450" s="24"/>
      <c r="CD450" s="24"/>
    </row>
    <row r="451" spans="2:82" s="6" customFormat="1">
      <c r="B451" s="21"/>
      <c r="D451" s="17"/>
      <c r="E451" s="23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R451" s="24"/>
      <c r="AS451" s="24"/>
      <c r="AT451" s="24"/>
      <c r="AU451" s="24"/>
      <c r="AV451" s="24"/>
      <c r="AW451" s="24"/>
      <c r="BD451" s="24"/>
      <c r="BE451" s="24"/>
      <c r="BF451" s="24"/>
      <c r="BG451" s="24"/>
      <c r="BH451" s="24"/>
      <c r="BI451" s="24"/>
      <c r="BP451" s="24"/>
      <c r="BQ451" s="24"/>
      <c r="BR451" s="24"/>
      <c r="BS451" s="24"/>
      <c r="BZ451" s="24"/>
      <c r="CA451" s="24"/>
      <c r="CB451" s="24"/>
      <c r="CC451" s="24"/>
      <c r="CD451" s="24"/>
    </row>
    <row r="452" spans="2:82" s="6" customFormat="1">
      <c r="B452" s="21"/>
      <c r="D452" s="17"/>
      <c r="E452" s="23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R452" s="24"/>
      <c r="AS452" s="24"/>
      <c r="AT452" s="24"/>
      <c r="AU452" s="24"/>
      <c r="AV452" s="24"/>
      <c r="AW452" s="24"/>
      <c r="BD452" s="24"/>
      <c r="BE452" s="24"/>
      <c r="BF452" s="24"/>
      <c r="BG452" s="24"/>
      <c r="BH452" s="24"/>
      <c r="BI452" s="24"/>
      <c r="BP452" s="24"/>
      <c r="BQ452" s="24"/>
      <c r="BR452" s="24"/>
      <c r="BS452" s="24"/>
      <c r="BZ452" s="24"/>
      <c r="CA452" s="24"/>
      <c r="CB452" s="24"/>
      <c r="CC452" s="24"/>
      <c r="CD452" s="24"/>
    </row>
    <row r="453" spans="2:82" s="6" customFormat="1">
      <c r="B453" s="21"/>
      <c r="D453" s="17"/>
      <c r="E453" s="23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R453" s="24"/>
      <c r="AS453" s="24"/>
      <c r="AT453" s="24"/>
      <c r="AU453" s="24"/>
      <c r="AV453" s="24"/>
      <c r="AW453" s="24"/>
      <c r="BD453" s="24"/>
      <c r="BE453" s="24"/>
      <c r="BF453" s="24"/>
      <c r="BG453" s="24"/>
      <c r="BH453" s="24"/>
      <c r="BI453" s="24"/>
      <c r="BP453" s="24"/>
      <c r="BQ453" s="24"/>
      <c r="BR453" s="24"/>
      <c r="BS453" s="24"/>
      <c r="BZ453" s="24"/>
      <c r="CA453" s="24"/>
      <c r="CB453" s="24"/>
      <c r="CC453" s="24"/>
      <c r="CD453" s="24"/>
    </row>
    <row r="454" spans="2:82" s="6" customFormat="1">
      <c r="B454" s="21"/>
      <c r="D454" s="17"/>
      <c r="E454" s="23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R454" s="24"/>
      <c r="AS454" s="24"/>
      <c r="AT454" s="24"/>
      <c r="AU454" s="24"/>
      <c r="AV454" s="24"/>
      <c r="AW454" s="24"/>
      <c r="BD454" s="24"/>
      <c r="BE454" s="24"/>
      <c r="BF454" s="24"/>
      <c r="BG454" s="24"/>
      <c r="BH454" s="24"/>
      <c r="BI454" s="24"/>
      <c r="BP454" s="24"/>
      <c r="BQ454" s="24"/>
      <c r="BR454" s="24"/>
      <c r="BS454" s="24"/>
      <c r="BZ454" s="24"/>
      <c r="CA454" s="24"/>
      <c r="CB454" s="24"/>
      <c r="CC454" s="24"/>
      <c r="CD454" s="24"/>
    </row>
    <row r="455" spans="2:82" s="6" customFormat="1">
      <c r="B455" s="21"/>
      <c r="D455" s="17"/>
      <c r="E455" s="23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R455" s="24"/>
      <c r="AS455" s="24"/>
      <c r="AT455" s="24"/>
      <c r="AU455" s="24"/>
      <c r="AV455" s="24"/>
      <c r="AW455" s="24"/>
      <c r="BD455" s="24"/>
      <c r="BE455" s="24"/>
      <c r="BF455" s="24"/>
      <c r="BG455" s="24"/>
      <c r="BH455" s="24"/>
      <c r="BI455" s="24"/>
      <c r="BP455" s="24"/>
      <c r="BQ455" s="24"/>
      <c r="BR455" s="24"/>
      <c r="BS455" s="24"/>
      <c r="BZ455" s="24"/>
      <c r="CA455" s="24"/>
      <c r="CB455" s="24"/>
      <c r="CC455" s="24"/>
      <c r="CD455" s="24"/>
    </row>
    <row r="456" spans="2:82" s="6" customFormat="1">
      <c r="B456" s="21"/>
      <c r="D456" s="17"/>
      <c r="E456" s="23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R456" s="24"/>
      <c r="AS456" s="24"/>
      <c r="AT456" s="24"/>
      <c r="AU456" s="24"/>
      <c r="AV456" s="24"/>
      <c r="AW456" s="24"/>
      <c r="BD456" s="24"/>
      <c r="BE456" s="24"/>
      <c r="BF456" s="24"/>
      <c r="BG456" s="24"/>
      <c r="BH456" s="24"/>
      <c r="BI456" s="24"/>
      <c r="BP456" s="24"/>
      <c r="BQ456" s="24"/>
      <c r="BR456" s="24"/>
      <c r="BS456" s="24"/>
      <c r="BZ456" s="24"/>
      <c r="CA456" s="24"/>
      <c r="CB456" s="24"/>
      <c r="CC456" s="24"/>
      <c r="CD456" s="24"/>
    </row>
    <row r="457" spans="2:82" s="6" customFormat="1">
      <c r="B457" s="21"/>
      <c r="D457" s="17"/>
      <c r="E457" s="23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R457" s="24"/>
      <c r="AS457" s="24"/>
      <c r="AT457" s="24"/>
      <c r="AU457" s="24"/>
      <c r="AV457" s="24"/>
      <c r="AW457" s="24"/>
      <c r="BD457" s="24"/>
      <c r="BE457" s="24"/>
      <c r="BF457" s="24"/>
      <c r="BG457" s="24"/>
      <c r="BH457" s="24"/>
      <c r="BI457" s="24"/>
      <c r="BP457" s="24"/>
      <c r="BQ457" s="24"/>
      <c r="BR457" s="24"/>
      <c r="BS457" s="24"/>
      <c r="BZ457" s="24"/>
      <c r="CA457" s="24"/>
      <c r="CB457" s="24"/>
      <c r="CC457" s="24"/>
      <c r="CD457" s="24"/>
    </row>
    <row r="458" spans="2:82" s="6" customFormat="1">
      <c r="B458" s="21"/>
      <c r="D458" s="17"/>
      <c r="E458" s="23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R458" s="24"/>
      <c r="AS458" s="24"/>
      <c r="AT458" s="24"/>
      <c r="AU458" s="24"/>
      <c r="AV458" s="24"/>
      <c r="AW458" s="24"/>
      <c r="BD458" s="24"/>
      <c r="BE458" s="24"/>
      <c r="BF458" s="24"/>
      <c r="BG458" s="24"/>
      <c r="BH458" s="24"/>
      <c r="BI458" s="24"/>
      <c r="BP458" s="24"/>
      <c r="BQ458" s="24"/>
      <c r="BR458" s="24"/>
      <c r="BS458" s="24"/>
      <c r="BZ458" s="24"/>
      <c r="CA458" s="24"/>
      <c r="CB458" s="24"/>
      <c r="CC458" s="24"/>
      <c r="CD458" s="24"/>
    </row>
    <row r="459" spans="2:82" s="6" customFormat="1">
      <c r="B459" s="21"/>
      <c r="D459" s="17"/>
      <c r="E459" s="23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R459" s="24"/>
      <c r="AS459" s="24"/>
      <c r="AT459" s="24"/>
      <c r="AU459" s="24"/>
      <c r="AV459" s="24"/>
      <c r="AW459" s="24"/>
      <c r="BD459" s="24"/>
      <c r="BE459" s="24"/>
      <c r="BF459" s="24"/>
      <c r="BG459" s="24"/>
      <c r="BH459" s="24"/>
      <c r="BI459" s="24"/>
      <c r="BP459" s="24"/>
      <c r="BQ459" s="24"/>
      <c r="BR459" s="24"/>
      <c r="BS459" s="24"/>
      <c r="BZ459" s="24"/>
      <c r="CA459" s="24"/>
      <c r="CB459" s="24"/>
      <c r="CC459" s="24"/>
      <c r="CD459" s="24"/>
    </row>
    <row r="460" spans="2:82" s="6" customFormat="1">
      <c r="B460" s="21"/>
      <c r="D460" s="17"/>
      <c r="E460" s="23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R460" s="24"/>
      <c r="AS460" s="24"/>
      <c r="AT460" s="24"/>
      <c r="AU460" s="24"/>
      <c r="AV460" s="24"/>
      <c r="AW460" s="24"/>
      <c r="BD460" s="24"/>
      <c r="BE460" s="24"/>
      <c r="BF460" s="24"/>
      <c r="BG460" s="24"/>
      <c r="BH460" s="24"/>
      <c r="BI460" s="24"/>
      <c r="BP460" s="24"/>
      <c r="BQ460" s="24"/>
      <c r="BR460" s="24"/>
      <c r="BS460" s="24"/>
      <c r="BZ460" s="24"/>
      <c r="CA460" s="24"/>
      <c r="CB460" s="24"/>
      <c r="CC460" s="24"/>
      <c r="CD460" s="24"/>
    </row>
    <row r="461" spans="2:82" s="6" customFormat="1">
      <c r="B461" s="21"/>
      <c r="D461" s="17"/>
      <c r="E461" s="23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R461" s="24"/>
      <c r="AS461" s="24"/>
      <c r="AT461" s="24"/>
      <c r="AU461" s="24"/>
      <c r="AV461" s="24"/>
      <c r="AW461" s="24"/>
      <c r="BD461" s="24"/>
      <c r="BE461" s="24"/>
      <c r="BF461" s="24"/>
      <c r="BG461" s="24"/>
      <c r="BH461" s="24"/>
      <c r="BI461" s="24"/>
      <c r="BP461" s="24"/>
      <c r="BQ461" s="24"/>
      <c r="BR461" s="24"/>
      <c r="BS461" s="24"/>
      <c r="BZ461" s="24"/>
      <c r="CA461" s="24"/>
      <c r="CB461" s="24"/>
      <c r="CC461" s="24"/>
      <c r="CD461" s="24"/>
    </row>
    <row r="462" spans="2:82" s="6" customFormat="1">
      <c r="B462" s="21"/>
      <c r="D462" s="17"/>
      <c r="E462" s="23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R462" s="24"/>
      <c r="AS462" s="24"/>
      <c r="AT462" s="24"/>
      <c r="AU462" s="24"/>
      <c r="AV462" s="24"/>
      <c r="AW462" s="24"/>
      <c r="BD462" s="24"/>
      <c r="BE462" s="24"/>
      <c r="BF462" s="24"/>
      <c r="BG462" s="24"/>
      <c r="BH462" s="24"/>
      <c r="BI462" s="24"/>
      <c r="BP462" s="24"/>
      <c r="BQ462" s="24"/>
      <c r="BR462" s="24"/>
      <c r="BS462" s="24"/>
      <c r="BZ462" s="24"/>
      <c r="CA462" s="24"/>
      <c r="CB462" s="24"/>
      <c r="CC462" s="24"/>
      <c r="CD462" s="24"/>
    </row>
    <row r="463" spans="2:82" s="6" customFormat="1">
      <c r="B463" s="21"/>
      <c r="D463" s="17"/>
      <c r="E463" s="23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R463" s="24"/>
      <c r="AS463" s="24"/>
      <c r="AT463" s="24"/>
      <c r="AU463" s="24"/>
      <c r="AV463" s="24"/>
      <c r="AW463" s="24"/>
      <c r="BD463" s="24"/>
      <c r="BE463" s="24"/>
      <c r="BF463" s="24"/>
      <c r="BG463" s="24"/>
      <c r="BH463" s="24"/>
      <c r="BI463" s="24"/>
      <c r="BP463" s="24"/>
      <c r="BQ463" s="24"/>
      <c r="BR463" s="24"/>
      <c r="BS463" s="24"/>
      <c r="BZ463" s="24"/>
      <c r="CA463" s="24"/>
      <c r="CB463" s="24"/>
      <c r="CC463" s="24"/>
      <c r="CD463" s="24"/>
    </row>
    <row r="464" spans="2:82" s="6" customFormat="1">
      <c r="B464" s="21"/>
      <c r="D464" s="17"/>
      <c r="E464" s="23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R464" s="24"/>
      <c r="AS464" s="24"/>
      <c r="AT464" s="24"/>
      <c r="AU464" s="24"/>
      <c r="AV464" s="24"/>
      <c r="AW464" s="24"/>
      <c r="BD464" s="24"/>
      <c r="BE464" s="24"/>
      <c r="BF464" s="24"/>
      <c r="BG464" s="24"/>
      <c r="BH464" s="24"/>
      <c r="BI464" s="24"/>
      <c r="BP464" s="24"/>
      <c r="BQ464" s="24"/>
      <c r="BR464" s="24"/>
      <c r="BS464" s="24"/>
      <c r="BZ464" s="24"/>
      <c r="CA464" s="24"/>
      <c r="CB464" s="24"/>
      <c r="CC464" s="24"/>
      <c r="CD464" s="24"/>
    </row>
    <row r="465" spans="2:82" s="6" customFormat="1">
      <c r="B465" s="21"/>
      <c r="D465" s="17"/>
      <c r="E465" s="23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R465" s="24"/>
      <c r="AS465" s="24"/>
      <c r="AT465" s="24"/>
      <c r="AU465" s="24"/>
      <c r="AV465" s="24"/>
      <c r="AW465" s="24"/>
      <c r="BD465" s="24"/>
      <c r="BE465" s="24"/>
      <c r="BF465" s="24"/>
      <c r="BG465" s="24"/>
      <c r="BH465" s="24"/>
      <c r="BI465" s="24"/>
      <c r="BP465" s="24"/>
      <c r="BQ465" s="24"/>
      <c r="BR465" s="24"/>
      <c r="BS465" s="24"/>
      <c r="BZ465" s="24"/>
      <c r="CA465" s="24"/>
      <c r="CB465" s="24"/>
      <c r="CC465" s="24"/>
      <c r="CD465" s="24"/>
    </row>
    <row r="466" spans="2:82" s="6" customFormat="1">
      <c r="B466" s="21"/>
      <c r="D466" s="17"/>
      <c r="E466" s="23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R466" s="24"/>
      <c r="AS466" s="24"/>
      <c r="AT466" s="24"/>
      <c r="AU466" s="24"/>
      <c r="AV466" s="24"/>
      <c r="AW466" s="24"/>
      <c r="BD466" s="24"/>
      <c r="BE466" s="24"/>
      <c r="BF466" s="24"/>
      <c r="BG466" s="24"/>
      <c r="BH466" s="24"/>
      <c r="BI466" s="24"/>
      <c r="BP466" s="24"/>
      <c r="BQ466" s="24"/>
      <c r="BR466" s="24"/>
      <c r="BS466" s="24"/>
      <c r="BZ466" s="24"/>
      <c r="CA466" s="24"/>
      <c r="CB466" s="24"/>
      <c r="CC466" s="24"/>
      <c r="CD466" s="24"/>
    </row>
    <row r="467" spans="2:82" s="6" customFormat="1">
      <c r="B467" s="21"/>
      <c r="D467" s="17"/>
      <c r="E467" s="23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R467" s="24"/>
      <c r="AS467" s="24"/>
      <c r="AT467" s="24"/>
      <c r="AU467" s="24"/>
      <c r="AV467" s="24"/>
      <c r="AW467" s="24"/>
      <c r="BD467" s="24"/>
      <c r="BE467" s="24"/>
      <c r="BF467" s="24"/>
      <c r="BG467" s="24"/>
      <c r="BH467" s="24"/>
      <c r="BI467" s="24"/>
      <c r="BP467" s="24"/>
      <c r="BQ467" s="24"/>
      <c r="BR467" s="24"/>
      <c r="BS467" s="24"/>
      <c r="BZ467" s="24"/>
      <c r="CA467" s="24"/>
      <c r="CB467" s="24"/>
      <c r="CC467" s="24"/>
      <c r="CD467" s="24"/>
    </row>
    <row r="468" spans="2:82" s="6" customFormat="1">
      <c r="B468" s="21"/>
      <c r="D468" s="17"/>
      <c r="E468" s="23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R468" s="24"/>
      <c r="AS468" s="24"/>
      <c r="AT468" s="24"/>
      <c r="AU468" s="24"/>
      <c r="AV468" s="24"/>
      <c r="AW468" s="24"/>
      <c r="BD468" s="24"/>
      <c r="BE468" s="24"/>
      <c r="BF468" s="24"/>
      <c r="BG468" s="24"/>
      <c r="BH468" s="24"/>
      <c r="BI468" s="24"/>
      <c r="BP468" s="24"/>
      <c r="BQ468" s="24"/>
      <c r="BR468" s="24"/>
      <c r="BS468" s="24"/>
      <c r="BZ468" s="24"/>
      <c r="CA468" s="24"/>
      <c r="CB468" s="24"/>
      <c r="CC468" s="24"/>
      <c r="CD468" s="24"/>
    </row>
    <row r="469" spans="2:82" s="6" customFormat="1">
      <c r="B469" s="21"/>
      <c r="D469" s="17"/>
      <c r="E469" s="23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R469" s="24"/>
      <c r="AS469" s="24"/>
      <c r="AT469" s="24"/>
      <c r="AU469" s="24"/>
      <c r="AV469" s="24"/>
      <c r="AW469" s="24"/>
      <c r="BD469" s="24"/>
      <c r="BE469" s="24"/>
      <c r="BF469" s="24"/>
      <c r="BG469" s="24"/>
      <c r="BH469" s="24"/>
      <c r="BI469" s="24"/>
      <c r="BP469" s="24"/>
      <c r="BQ469" s="24"/>
      <c r="BR469" s="24"/>
      <c r="BS469" s="24"/>
      <c r="BZ469" s="24"/>
      <c r="CA469" s="24"/>
      <c r="CB469" s="24"/>
      <c r="CC469" s="24"/>
      <c r="CD469" s="24"/>
    </row>
    <row r="470" spans="2:82" s="6" customFormat="1">
      <c r="B470" s="21"/>
      <c r="D470" s="17"/>
      <c r="E470" s="23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R470" s="24"/>
      <c r="AS470" s="24"/>
      <c r="AT470" s="24"/>
      <c r="AU470" s="24"/>
      <c r="AV470" s="24"/>
      <c r="AW470" s="24"/>
      <c r="BD470" s="24"/>
      <c r="BE470" s="24"/>
      <c r="BF470" s="24"/>
      <c r="BG470" s="24"/>
      <c r="BH470" s="24"/>
      <c r="BI470" s="24"/>
      <c r="BP470" s="24"/>
      <c r="BQ470" s="24"/>
      <c r="BR470" s="24"/>
      <c r="BS470" s="24"/>
      <c r="BZ470" s="24"/>
      <c r="CA470" s="24"/>
      <c r="CB470" s="24"/>
      <c r="CC470" s="24"/>
      <c r="CD470" s="24"/>
    </row>
    <row r="471" spans="2:82" s="6" customFormat="1">
      <c r="B471" s="21"/>
      <c r="D471" s="17"/>
      <c r="E471" s="23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R471" s="24"/>
      <c r="AS471" s="24"/>
      <c r="AT471" s="24"/>
      <c r="AU471" s="24"/>
      <c r="AV471" s="24"/>
      <c r="AW471" s="24"/>
      <c r="BD471" s="24"/>
      <c r="BE471" s="24"/>
      <c r="BF471" s="24"/>
      <c r="BG471" s="24"/>
      <c r="BH471" s="24"/>
      <c r="BI471" s="24"/>
      <c r="BP471" s="24"/>
      <c r="BQ471" s="24"/>
      <c r="BR471" s="24"/>
      <c r="BS471" s="24"/>
      <c r="BZ471" s="24"/>
      <c r="CA471" s="24"/>
      <c r="CB471" s="24"/>
      <c r="CC471" s="24"/>
      <c r="CD471" s="24"/>
    </row>
    <row r="472" spans="2:82" s="6" customFormat="1">
      <c r="B472" s="21"/>
      <c r="D472" s="17"/>
      <c r="E472" s="23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R472" s="24"/>
      <c r="AS472" s="24"/>
      <c r="AT472" s="24"/>
      <c r="AU472" s="24"/>
      <c r="AV472" s="24"/>
      <c r="AW472" s="24"/>
      <c r="BD472" s="24"/>
      <c r="BE472" s="24"/>
      <c r="BF472" s="24"/>
      <c r="BG472" s="24"/>
      <c r="BH472" s="24"/>
      <c r="BI472" s="24"/>
      <c r="BP472" s="24"/>
      <c r="BQ472" s="24"/>
      <c r="BR472" s="24"/>
      <c r="BS472" s="24"/>
      <c r="BZ472" s="24"/>
      <c r="CA472" s="24"/>
      <c r="CB472" s="24"/>
      <c r="CC472" s="24"/>
      <c r="CD472" s="24"/>
    </row>
    <row r="473" spans="2:82" s="6" customFormat="1">
      <c r="B473" s="21"/>
      <c r="D473" s="17"/>
      <c r="E473" s="23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R473" s="24"/>
      <c r="AS473" s="24"/>
      <c r="AT473" s="24"/>
      <c r="AU473" s="24"/>
      <c r="AV473" s="24"/>
      <c r="AW473" s="24"/>
      <c r="BD473" s="24"/>
      <c r="BE473" s="24"/>
      <c r="BF473" s="24"/>
      <c r="BG473" s="24"/>
      <c r="BH473" s="24"/>
      <c r="BI473" s="24"/>
      <c r="BP473" s="24"/>
      <c r="BQ473" s="24"/>
      <c r="BR473" s="24"/>
      <c r="BS473" s="24"/>
      <c r="BZ473" s="24"/>
      <c r="CA473" s="24"/>
      <c r="CB473" s="24"/>
      <c r="CC473" s="24"/>
      <c r="CD473" s="24"/>
    </row>
    <row r="474" spans="2:82" s="6" customFormat="1">
      <c r="B474" s="21"/>
      <c r="D474" s="17"/>
      <c r="E474" s="23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R474" s="24"/>
      <c r="AS474" s="24"/>
      <c r="AT474" s="24"/>
      <c r="AU474" s="24"/>
      <c r="AV474" s="24"/>
      <c r="AW474" s="24"/>
      <c r="BD474" s="24"/>
      <c r="BE474" s="24"/>
      <c r="BF474" s="24"/>
      <c r="BG474" s="24"/>
      <c r="BH474" s="24"/>
      <c r="BI474" s="24"/>
      <c r="BP474" s="24"/>
      <c r="BQ474" s="24"/>
      <c r="BR474" s="24"/>
      <c r="BS474" s="24"/>
      <c r="BZ474" s="24"/>
      <c r="CA474" s="24"/>
      <c r="CB474" s="24"/>
      <c r="CC474" s="24"/>
      <c r="CD474" s="24"/>
    </row>
    <row r="475" spans="2:82" s="6" customFormat="1">
      <c r="B475" s="21"/>
      <c r="D475" s="17"/>
      <c r="E475" s="23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R475" s="24"/>
      <c r="AS475" s="24"/>
      <c r="AT475" s="24"/>
      <c r="AU475" s="24"/>
      <c r="AV475" s="24"/>
      <c r="AW475" s="24"/>
      <c r="BD475" s="24"/>
      <c r="BE475" s="24"/>
      <c r="BF475" s="24"/>
      <c r="BG475" s="24"/>
      <c r="BH475" s="24"/>
      <c r="BI475" s="24"/>
      <c r="BP475" s="24"/>
      <c r="BQ475" s="24"/>
      <c r="BR475" s="24"/>
      <c r="BS475" s="24"/>
      <c r="BZ475" s="24"/>
      <c r="CA475" s="24"/>
      <c r="CB475" s="24"/>
      <c r="CC475" s="24"/>
      <c r="CD475" s="24"/>
    </row>
    <row r="476" spans="2:82" s="6" customFormat="1">
      <c r="B476" s="21"/>
      <c r="D476" s="17"/>
      <c r="E476" s="23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R476" s="24"/>
      <c r="AS476" s="24"/>
      <c r="AT476" s="24"/>
      <c r="AU476" s="24"/>
      <c r="AV476" s="24"/>
      <c r="AW476" s="24"/>
      <c r="BD476" s="24"/>
      <c r="BE476" s="24"/>
      <c r="BF476" s="24"/>
      <c r="BG476" s="24"/>
      <c r="BH476" s="24"/>
      <c r="BI476" s="24"/>
      <c r="BP476" s="24"/>
      <c r="BQ476" s="24"/>
      <c r="BR476" s="24"/>
      <c r="BS476" s="24"/>
      <c r="BZ476" s="24"/>
      <c r="CA476" s="24"/>
      <c r="CB476" s="24"/>
      <c r="CC476" s="24"/>
      <c r="CD476" s="24"/>
    </row>
    <row r="477" spans="2:82" s="6" customFormat="1">
      <c r="B477" s="21"/>
      <c r="D477" s="17"/>
      <c r="E477" s="23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R477" s="24"/>
      <c r="AS477" s="24"/>
      <c r="AT477" s="24"/>
      <c r="AU477" s="24"/>
      <c r="AV477" s="24"/>
      <c r="AW477" s="24"/>
      <c r="BD477" s="24"/>
      <c r="BE477" s="24"/>
      <c r="BF477" s="24"/>
      <c r="BG477" s="24"/>
      <c r="BH477" s="24"/>
      <c r="BI477" s="24"/>
      <c r="BP477" s="24"/>
      <c r="BQ477" s="24"/>
      <c r="BR477" s="24"/>
      <c r="BS477" s="24"/>
      <c r="BZ477" s="24"/>
      <c r="CA477" s="24"/>
      <c r="CB477" s="24"/>
      <c r="CC477" s="24"/>
      <c r="CD477" s="24"/>
    </row>
    <row r="478" spans="2:82" s="6" customFormat="1">
      <c r="B478" s="21"/>
      <c r="D478" s="17"/>
      <c r="E478" s="23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R478" s="24"/>
      <c r="AS478" s="24"/>
      <c r="AT478" s="24"/>
      <c r="AU478" s="24"/>
      <c r="AV478" s="24"/>
      <c r="AW478" s="24"/>
      <c r="BD478" s="24"/>
      <c r="BE478" s="24"/>
      <c r="BF478" s="24"/>
      <c r="BG478" s="24"/>
      <c r="BH478" s="24"/>
      <c r="BI478" s="24"/>
      <c r="BP478" s="24"/>
      <c r="BQ478" s="24"/>
      <c r="BR478" s="24"/>
      <c r="BS478" s="24"/>
      <c r="BZ478" s="24"/>
      <c r="CA478" s="24"/>
      <c r="CB478" s="24"/>
      <c r="CC478" s="24"/>
      <c r="CD478" s="24"/>
    </row>
    <row r="479" spans="2:82" s="6" customFormat="1">
      <c r="B479" s="21"/>
      <c r="D479" s="17"/>
      <c r="E479" s="23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R479" s="24"/>
      <c r="AS479" s="24"/>
      <c r="AT479" s="24"/>
      <c r="AU479" s="24"/>
      <c r="AV479" s="24"/>
      <c r="AW479" s="24"/>
      <c r="BD479" s="24"/>
      <c r="BE479" s="24"/>
      <c r="BF479" s="24"/>
      <c r="BG479" s="24"/>
      <c r="BH479" s="24"/>
      <c r="BI479" s="24"/>
      <c r="BP479" s="24"/>
      <c r="BQ479" s="24"/>
      <c r="BR479" s="24"/>
      <c r="BS479" s="24"/>
      <c r="BZ479" s="24"/>
      <c r="CA479" s="24"/>
      <c r="CB479" s="24"/>
      <c r="CC479" s="24"/>
      <c r="CD479" s="24"/>
    </row>
    <row r="480" spans="2:82" s="6" customFormat="1">
      <c r="B480" s="21"/>
      <c r="D480" s="17"/>
      <c r="E480" s="23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R480" s="24"/>
      <c r="AS480" s="24"/>
      <c r="AT480" s="24"/>
      <c r="AU480" s="24"/>
      <c r="AV480" s="24"/>
      <c r="AW480" s="24"/>
      <c r="BD480" s="24"/>
      <c r="BE480" s="24"/>
      <c r="BF480" s="24"/>
      <c r="BG480" s="24"/>
      <c r="BH480" s="24"/>
      <c r="BI480" s="24"/>
      <c r="BP480" s="24"/>
      <c r="BQ480" s="24"/>
      <c r="BR480" s="24"/>
      <c r="BS480" s="24"/>
      <c r="BZ480" s="24"/>
      <c r="CA480" s="24"/>
      <c r="CB480" s="24"/>
      <c r="CC480" s="24"/>
      <c r="CD480" s="24"/>
    </row>
    <row r="481" spans="2:82" s="6" customFormat="1">
      <c r="B481" s="21"/>
      <c r="D481" s="17"/>
      <c r="E481" s="23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R481" s="24"/>
      <c r="AS481" s="24"/>
      <c r="AT481" s="24"/>
      <c r="AU481" s="24"/>
      <c r="AV481" s="24"/>
      <c r="AW481" s="24"/>
      <c r="BD481" s="24"/>
      <c r="BE481" s="24"/>
      <c r="BF481" s="24"/>
      <c r="BG481" s="24"/>
      <c r="BH481" s="24"/>
      <c r="BI481" s="24"/>
      <c r="BP481" s="24"/>
      <c r="BQ481" s="24"/>
      <c r="BR481" s="24"/>
      <c r="BS481" s="24"/>
      <c r="BZ481" s="24"/>
      <c r="CA481" s="24"/>
      <c r="CB481" s="24"/>
      <c r="CC481" s="24"/>
      <c r="CD481" s="24"/>
    </row>
    <row r="482" spans="2:82" s="6" customFormat="1">
      <c r="B482" s="21"/>
      <c r="D482" s="17"/>
      <c r="E482" s="23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R482" s="24"/>
      <c r="AS482" s="24"/>
      <c r="AT482" s="24"/>
      <c r="AU482" s="24"/>
      <c r="AV482" s="24"/>
      <c r="AW482" s="24"/>
      <c r="BD482" s="24"/>
      <c r="BE482" s="24"/>
      <c r="BF482" s="24"/>
      <c r="BG482" s="24"/>
      <c r="BH482" s="24"/>
      <c r="BI482" s="24"/>
      <c r="BP482" s="24"/>
      <c r="BQ482" s="24"/>
      <c r="BR482" s="24"/>
      <c r="BS482" s="24"/>
      <c r="BZ482" s="24"/>
      <c r="CA482" s="24"/>
      <c r="CB482" s="24"/>
      <c r="CC482" s="24"/>
      <c r="CD482" s="24"/>
    </row>
    <row r="483" spans="2:82" s="6" customFormat="1">
      <c r="B483" s="21"/>
      <c r="D483" s="17"/>
      <c r="E483" s="23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R483" s="24"/>
      <c r="AS483" s="24"/>
      <c r="AT483" s="24"/>
      <c r="AU483" s="24"/>
      <c r="AV483" s="24"/>
      <c r="AW483" s="24"/>
      <c r="BD483" s="24"/>
      <c r="BE483" s="24"/>
      <c r="BF483" s="24"/>
      <c r="BG483" s="24"/>
      <c r="BH483" s="24"/>
      <c r="BI483" s="24"/>
      <c r="BP483" s="24"/>
      <c r="BQ483" s="24"/>
      <c r="BR483" s="24"/>
      <c r="BS483" s="24"/>
      <c r="BZ483" s="24"/>
      <c r="CA483" s="24"/>
      <c r="CB483" s="24"/>
      <c r="CC483" s="24"/>
      <c r="CD483" s="24"/>
    </row>
    <row r="484" spans="2:82" s="6" customFormat="1">
      <c r="B484" s="21"/>
      <c r="D484" s="17"/>
      <c r="E484" s="23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R484" s="24"/>
      <c r="AS484" s="24"/>
      <c r="AT484" s="24"/>
      <c r="AU484" s="24"/>
      <c r="AV484" s="24"/>
      <c r="AW484" s="24"/>
      <c r="BD484" s="24"/>
      <c r="BE484" s="24"/>
      <c r="BF484" s="24"/>
      <c r="BG484" s="24"/>
      <c r="BH484" s="24"/>
      <c r="BI484" s="24"/>
      <c r="BP484" s="24"/>
      <c r="BQ484" s="24"/>
      <c r="BR484" s="24"/>
      <c r="BS484" s="24"/>
      <c r="BZ484" s="24"/>
      <c r="CA484" s="24"/>
      <c r="CB484" s="24"/>
      <c r="CC484" s="24"/>
      <c r="CD484" s="24"/>
    </row>
    <row r="485" spans="2:82" s="6" customFormat="1">
      <c r="B485" s="21"/>
      <c r="D485" s="17"/>
      <c r="E485" s="23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R485" s="24"/>
      <c r="AS485" s="24"/>
      <c r="AT485" s="24"/>
      <c r="AU485" s="24"/>
      <c r="AV485" s="24"/>
      <c r="AW485" s="24"/>
      <c r="BD485" s="24"/>
      <c r="BE485" s="24"/>
      <c r="BF485" s="24"/>
      <c r="BG485" s="24"/>
      <c r="BH485" s="24"/>
      <c r="BI485" s="24"/>
      <c r="BP485" s="24"/>
      <c r="BQ485" s="24"/>
      <c r="BR485" s="24"/>
      <c r="BS485" s="24"/>
      <c r="BZ485" s="24"/>
      <c r="CA485" s="24"/>
      <c r="CB485" s="24"/>
      <c r="CC485" s="24"/>
      <c r="CD485" s="24"/>
    </row>
    <row r="486" spans="2:82" s="6" customFormat="1">
      <c r="B486" s="21"/>
      <c r="D486" s="17"/>
      <c r="E486" s="23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R486" s="24"/>
      <c r="AS486" s="24"/>
      <c r="AT486" s="24"/>
      <c r="AU486" s="24"/>
      <c r="AV486" s="24"/>
      <c r="AW486" s="24"/>
      <c r="BD486" s="24"/>
      <c r="BE486" s="24"/>
      <c r="BF486" s="24"/>
      <c r="BG486" s="24"/>
      <c r="BH486" s="24"/>
      <c r="BI486" s="24"/>
      <c r="BP486" s="24"/>
      <c r="BQ486" s="24"/>
      <c r="BR486" s="24"/>
      <c r="BS486" s="24"/>
      <c r="BZ486" s="24"/>
      <c r="CA486" s="24"/>
      <c r="CB486" s="24"/>
      <c r="CC486" s="24"/>
      <c r="CD486" s="24"/>
    </row>
    <row r="487" spans="2:82" s="6" customFormat="1">
      <c r="B487" s="21"/>
      <c r="D487" s="17"/>
      <c r="E487" s="23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R487" s="24"/>
      <c r="AS487" s="24"/>
      <c r="AT487" s="24"/>
      <c r="AU487" s="24"/>
      <c r="AV487" s="24"/>
      <c r="AW487" s="24"/>
      <c r="BD487" s="24"/>
      <c r="BE487" s="24"/>
      <c r="BF487" s="24"/>
      <c r="BG487" s="24"/>
      <c r="BH487" s="24"/>
      <c r="BI487" s="24"/>
      <c r="BP487" s="24"/>
      <c r="BQ487" s="24"/>
      <c r="BR487" s="24"/>
      <c r="BS487" s="24"/>
      <c r="BZ487" s="24"/>
      <c r="CA487" s="24"/>
      <c r="CB487" s="24"/>
      <c r="CC487" s="24"/>
      <c r="CD487" s="24"/>
    </row>
    <row r="488" spans="2:82" s="6" customFormat="1">
      <c r="B488" s="21"/>
      <c r="D488" s="17"/>
      <c r="E488" s="23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R488" s="24"/>
      <c r="AS488" s="24"/>
      <c r="AT488" s="24"/>
      <c r="AU488" s="24"/>
      <c r="AV488" s="24"/>
      <c r="AW488" s="24"/>
      <c r="BD488" s="24"/>
      <c r="BE488" s="24"/>
      <c r="BF488" s="24"/>
      <c r="BG488" s="24"/>
      <c r="BH488" s="24"/>
      <c r="BI488" s="24"/>
      <c r="BP488" s="24"/>
      <c r="BQ488" s="24"/>
      <c r="BR488" s="24"/>
      <c r="BS488" s="24"/>
      <c r="BZ488" s="24"/>
      <c r="CA488" s="24"/>
      <c r="CB488" s="24"/>
      <c r="CC488" s="24"/>
      <c r="CD488" s="24"/>
    </row>
    <row r="489" spans="2:82" s="6" customFormat="1">
      <c r="B489" s="21"/>
      <c r="D489" s="17"/>
      <c r="E489" s="23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R489" s="24"/>
      <c r="AS489" s="24"/>
      <c r="AT489" s="24"/>
      <c r="AU489" s="24"/>
      <c r="AV489" s="24"/>
      <c r="AW489" s="24"/>
      <c r="BD489" s="24"/>
      <c r="BE489" s="24"/>
      <c r="BF489" s="24"/>
      <c r="BG489" s="24"/>
      <c r="BH489" s="24"/>
      <c r="BI489" s="24"/>
      <c r="BP489" s="24"/>
      <c r="BQ489" s="24"/>
      <c r="BR489" s="24"/>
      <c r="BS489" s="24"/>
      <c r="BZ489" s="24"/>
      <c r="CA489" s="24"/>
      <c r="CB489" s="24"/>
      <c r="CC489" s="24"/>
      <c r="CD489" s="24"/>
    </row>
    <row r="490" spans="2:82" s="6" customFormat="1">
      <c r="B490" s="21"/>
      <c r="D490" s="17"/>
      <c r="E490" s="23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R490" s="24"/>
      <c r="AS490" s="24"/>
      <c r="AT490" s="24"/>
      <c r="AU490" s="24"/>
      <c r="AV490" s="24"/>
      <c r="AW490" s="24"/>
      <c r="BD490" s="24"/>
      <c r="BE490" s="24"/>
      <c r="BF490" s="24"/>
      <c r="BG490" s="24"/>
      <c r="BH490" s="24"/>
      <c r="BI490" s="24"/>
      <c r="BP490" s="24"/>
      <c r="BQ490" s="24"/>
      <c r="BR490" s="24"/>
      <c r="BS490" s="24"/>
      <c r="BZ490" s="24"/>
      <c r="CA490" s="24"/>
      <c r="CB490" s="24"/>
      <c r="CC490" s="24"/>
      <c r="CD490" s="24"/>
    </row>
    <row r="491" spans="2:82" s="6" customFormat="1">
      <c r="B491" s="21"/>
      <c r="D491" s="17"/>
      <c r="E491" s="23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R491" s="24"/>
      <c r="AS491" s="24"/>
      <c r="AT491" s="24"/>
      <c r="AU491" s="24"/>
      <c r="AV491" s="24"/>
      <c r="AW491" s="24"/>
      <c r="BD491" s="24"/>
      <c r="BE491" s="24"/>
      <c r="BF491" s="24"/>
      <c r="BG491" s="24"/>
      <c r="BH491" s="24"/>
      <c r="BI491" s="24"/>
      <c r="BP491" s="24"/>
      <c r="BQ491" s="24"/>
      <c r="BR491" s="24"/>
      <c r="BS491" s="24"/>
      <c r="BZ491" s="24"/>
      <c r="CA491" s="24"/>
      <c r="CB491" s="24"/>
      <c r="CC491" s="24"/>
      <c r="CD491" s="24"/>
    </row>
    <row r="492" spans="2:82" s="6" customFormat="1">
      <c r="B492" s="21"/>
      <c r="D492" s="17"/>
      <c r="E492" s="23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R492" s="24"/>
      <c r="AS492" s="24"/>
      <c r="AT492" s="24"/>
      <c r="AU492" s="24"/>
      <c r="AV492" s="24"/>
      <c r="AW492" s="24"/>
      <c r="BD492" s="24"/>
      <c r="BE492" s="24"/>
      <c r="BF492" s="24"/>
      <c r="BG492" s="24"/>
      <c r="BH492" s="24"/>
      <c r="BI492" s="24"/>
      <c r="BP492" s="24"/>
      <c r="BQ492" s="24"/>
      <c r="BR492" s="24"/>
      <c r="BS492" s="24"/>
      <c r="BZ492" s="24"/>
      <c r="CA492" s="24"/>
      <c r="CB492" s="24"/>
      <c r="CC492" s="24"/>
      <c r="CD492" s="24"/>
    </row>
    <row r="493" spans="2:82" s="6" customFormat="1">
      <c r="B493" s="21"/>
      <c r="D493" s="17"/>
      <c r="E493" s="23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R493" s="24"/>
      <c r="AS493" s="24"/>
      <c r="AT493" s="24"/>
      <c r="AU493" s="24"/>
      <c r="AV493" s="24"/>
      <c r="AW493" s="24"/>
      <c r="BD493" s="24"/>
      <c r="BE493" s="24"/>
      <c r="BF493" s="24"/>
      <c r="BG493" s="24"/>
      <c r="BH493" s="24"/>
      <c r="BI493" s="24"/>
      <c r="BP493" s="24"/>
      <c r="BQ493" s="24"/>
      <c r="BR493" s="24"/>
      <c r="BS493" s="24"/>
      <c r="BZ493" s="24"/>
      <c r="CA493" s="24"/>
      <c r="CB493" s="24"/>
      <c r="CC493" s="24"/>
      <c r="CD493" s="24"/>
    </row>
    <row r="494" spans="2:82" s="6" customFormat="1">
      <c r="B494" s="21"/>
      <c r="D494" s="17"/>
      <c r="E494" s="23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R494" s="24"/>
      <c r="AS494" s="24"/>
      <c r="AT494" s="24"/>
      <c r="AU494" s="24"/>
      <c r="AV494" s="24"/>
      <c r="AW494" s="24"/>
      <c r="BD494" s="24"/>
      <c r="BE494" s="24"/>
      <c r="BF494" s="24"/>
      <c r="BG494" s="24"/>
      <c r="BH494" s="24"/>
      <c r="BI494" s="24"/>
      <c r="BP494" s="24"/>
      <c r="BQ494" s="24"/>
      <c r="BR494" s="24"/>
      <c r="BS494" s="24"/>
      <c r="BZ494" s="24"/>
      <c r="CA494" s="24"/>
      <c r="CB494" s="24"/>
      <c r="CC494" s="24"/>
      <c r="CD494" s="24"/>
    </row>
    <row r="495" spans="2:82" s="6" customFormat="1">
      <c r="B495" s="21"/>
      <c r="D495" s="17"/>
      <c r="E495" s="23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R495" s="24"/>
      <c r="AS495" s="24"/>
      <c r="AT495" s="24"/>
      <c r="AU495" s="24"/>
      <c r="AV495" s="24"/>
      <c r="AW495" s="24"/>
      <c r="BD495" s="24"/>
      <c r="BE495" s="24"/>
      <c r="BF495" s="24"/>
      <c r="BG495" s="24"/>
      <c r="BH495" s="24"/>
      <c r="BI495" s="24"/>
      <c r="BP495" s="24"/>
      <c r="BQ495" s="24"/>
      <c r="BR495" s="24"/>
      <c r="BS495" s="24"/>
      <c r="BZ495" s="24"/>
      <c r="CA495" s="24"/>
      <c r="CB495" s="24"/>
      <c r="CC495" s="24"/>
      <c r="CD495" s="24"/>
    </row>
    <row r="496" spans="2:82" s="6" customFormat="1">
      <c r="B496" s="21"/>
      <c r="D496" s="17"/>
      <c r="E496" s="23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R496" s="24"/>
      <c r="AS496" s="24"/>
      <c r="AT496" s="24"/>
      <c r="AU496" s="24"/>
      <c r="AV496" s="24"/>
      <c r="AW496" s="24"/>
      <c r="BD496" s="24"/>
      <c r="BE496" s="24"/>
      <c r="BF496" s="24"/>
      <c r="BG496" s="24"/>
      <c r="BH496" s="24"/>
      <c r="BI496" s="24"/>
      <c r="BP496" s="24"/>
      <c r="BQ496" s="24"/>
      <c r="BR496" s="24"/>
      <c r="BS496" s="24"/>
      <c r="BZ496" s="24"/>
      <c r="CA496" s="24"/>
      <c r="CB496" s="24"/>
      <c r="CC496" s="24"/>
      <c r="CD496" s="24"/>
    </row>
    <row r="497" spans="2:82" s="6" customFormat="1">
      <c r="B497" s="21"/>
      <c r="D497" s="17"/>
      <c r="E497" s="23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R497" s="24"/>
      <c r="AS497" s="24"/>
      <c r="AT497" s="24"/>
      <c r="AU497" s="24"/>
      <c r="AV497" s="24"/>
      <c r="AW497" s="24"/>
      <c r="BD497" s="24"/>
      <c r="BE497" s="24"/>
      <c r="BF497" s="24"/>
      <c r="BG497" s="24"/>
      <c r="BH497" s="24"/>
      <c r="BI497" s="24"/>
      <c r="BP497" s="24"/>
      <c r="BQ497" s="24"/>
      <c r="BR497" s="24"/>
      <c r="BS497" s="24"/>
      <c r="BZ497" s="24"/>
      <c r="CA497" s="24"/>
      <c r="CB497" s="24"/>
      <c r="CC497" s="24"/>
      <c r="CD497" s="24"/>
    </row>
    <row r="498" spans="2:82" s="6" customFormat="1">
      <c r="B498" s="21"/>
      <c r="D498" s="17"/>
      <c r="E498" s="23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R498" s="24"/>
      <c r="AS498" s="24"/>
      <c r="AT498" s="24"/>
      <c r="AU498" s="24"/>
      <c r="AV498" s="24"/>
      <c r="AW498" s="24"/>
      <c r="BD498" s="24"/>
      <c r="BE498" s="24"/>
      <c r="BF498" s="24"/>
      <c r="BG498" s="24"/>
      <c r="BH498" s="24"/>
      <c r="BI498" s="24"/>
      <c r="BP498" s="24"/>
      <c r="BQ498" s="24"/>
      <c r="BR498" s="24"/>
      <c r="BS498" s="24"/>
      <c r="BZ498" s="24"/>
      <c r="CA498" s="24"/>
      <c r="CB498" s="24"/>
      <c r="CC498" s="24"/>
      <c r="CD498" s="24"/>
    </row>
    <row r="499" spans="2:82" s="6" customFormat="1">
      <c r="B499" s="21"/>
      <c r="D499" s="17"/>
      <c r="E499" s="23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R499" s="24"/>
      <c r="AS499" s="24"/>
      <c r="AT499" s="24"/>
      <c r="AU499" s="24"/>
      <c r="AV499" s="24"/>
      <c r="AW499" s="24"/>
      <c r="BD499" s="24"/>
      <c r="BE499" s="24"/>
      <c r="BF499" s="24"/>
      <c r="BG499" s="24"/>
      <c r="BH499" s="24"/>
      <c r="BI499" s="24"/>
      <c r="BP499" s="24"/>
      <c r="BQ499" s="24"/>
      <c r="BR499" s="24"/>
      <c r="BS499" s="24"/>
      <c r="BZ499" s="24"/>
      <c r="CA499" s="24"/>
      <c r="CB499" s="24"/>
      <c r="CC499" s="24"/>
      <c r="CD499" s="24"/>
    </row>
    <row r="500" spans="2:82" s="6" customFormat="1">
      <c r="B500" s="21"/>
      <c r="D500" s="17"/>
      <c r="E500" s="23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R500" s="24"/>
      <c r="AS500" s="24"/>
      <c r="AT500" s="24"/>
      <c r="AU500" s="24"/>
      <c r="AV500" s="24"/>
      <c r="AW500" s="24"/>
      <c r="BD500" s="24"/>
      <c r="BE500" s="24"/>
      <c r="BF500" s="24"/>
      <c r="BG500" s="24"/>
      <c r="BH500" s="24"/>
      <c r="BI500" s="24"/>
      <c r="BP500" s="24"/>
      <c r="BQ500" s="24"/>
      <c r="BR500" s="24"/>
      <c r="BS500" s="24"/>
      <c r="BZ500" s="24"/>
      <c r="CA500" s="24"/>
      <c r="CB500" s="24"/>
      <c r="CC500" s="24"/>
      <c r="CD500" s="24"/>
    </row>
    <row r="501" spans="2:82" s="6" customFormat="1">
      <c r="B501" s="21"/>
      <c r="D501" s="17"/>
      <c r="E501" s="23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R501" s="24"/>
      <c r="AS501" s="24"/>
      <c r="AT501" s="24"/>
      <c r="AU501" s="24"/>
      <c r="AV501" s="24"/>
      <c r="AW501" s="24"/>
      <c r="BD501" s="24"/>
      <c r="BE501" s="24"/>
      <c r="BF501" s="24"/>
      <c r="BG501" s="24"/>
      <c r="BH501" s="24"/>
      <c r="BI501" s="24"/>
      <c r="BP501" s="24"/>
      <c r="BQ501" s="24"/>
      <c r="BR501" s="24"/>
      <c r="BS501" s="24"/>
      <c r="BZ501" s="24"/>
      <c r="CA501" s="24"/>
      <c r="CB501" s="24"/>
      <c r="CC501" s="24"/>
      <c r="CD501" s="24"/>
    </row>
    <row r="502" spans="2:82" s="6" customFormat="1">
      <c r="B502" s="21"/>
      <c r="D502" s="17"/>
      <c r="E502" s="23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R502" s="24"/>
      <c r="AS502" s="24"/>
      <c r="AT502" s="24"/>
      <c r="AU502" s="24"/>
      <c r="AV502" s="24"/>
      <c r="AW502" s="24"/>
      <c r="BD502" s="24"/>
      <c r="BE502" s="24"/>
      <c r="BF502" s="24"/>
      <c r="BG502" s="24"/>
      <c r="BH502" s="24"/>
      <c r="BI502" s="24"/>
      <c r="BP502" s="24"/>
      <c r="BQ502" s="24"/>
      <c r="BR502" s="24"/>
      <c r="BS502" s="24"/>
      <c r="BZ502" s="24"/>
      <c r="CA502" s="24"/>
      <c r="CB502" s="24"/>
      <c r="CC502" s="24"/>
      <c r="CD502" s="24"/>
    </row>
    <row r="503" spans="2:82" s="6" customFormat="1">
      <c r="B503" s="21"/>
      <c r="D503" s="17"/>
      <c r="E503" s="23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R503" s="24"/>
      <c r="AS503" s="24"/>
      <c r="AT503" s="24"/>
      <c r="AU503" s="24"/>
      <c r="AV503" s="24"/>
      <c r="AW503" s="24"/>
      <c r="BD503" s="24"/>
      <c r="BE503" s="24"/>
      <c r="BF503" s="24"/>
      <c r="BG503" s="24"/>
      <c r="BH503" s="24"/>
      <c r="BI503" s="24"/>
      <c r="BP503" s="24"/>
      <c r="BQ503" s="24"/>
      <c r="BR503" s="24"/>
      <c r="BS503" s="24"/>
      <c r="BZ503" s="24"/>
      <c r="CA503" s="24"/>
      <c r="CB503" s="24"/>
      <c r="CC503" s="24"/>
      <c r="CD503" s="24"/>
    </row>
    <row r="504" spans="2:82" s="6" customFormat="1">
      <c r="B504" s="21"/>
      <c r="D504" s="17"/>
      <c r="E504" s="23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R504" s="24"/>
      <c r="AS504" s="24"/>
      <c r="AT504" s="24"/>
      <c r="AU504" s="24"/>
      <c r="AV504" s="24"/>
      <c r="AW504" s="24"/>
      <c r="BD504" s="24"/>
      <c r="BE504" s="24"/>
      <c r="BF504" s="24"/>
      <c r="BG504" s="24"/>
      <c r="BH504" s="24"/>
      <c r="BI504" s="24"/>
      <c r="BP504" s="24"/>
      <c r="BQ504" s="24"/>
      <c r="BR504" s="24"/>
      <c r="BS504" s="24"/>
      <c r="BZ504" s="24"/>
      <c r="CA504" s="24"/>
      <c r="CB504" s="24"/>
      <c r="CC504" s="24"/>
      <c r="CD504" s="24"/>
    </row>
    <row r="505" spans="2:82" s="6" customFormat="1">
      <c r="B505" s="21"/>
      <c r="D505" s="17"/>
      <c r="E505" s="23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R505" s="24"/>
      <c r="AS505" s="24"/>
      <c r="AT505" s="24"/>
      <c r="AU505" s="24"/>
      <c r="AV505" s="24"/>
      <c r="AW505" s="24"/>
      <c r="BD505" s="24"/>
      <c r="BE505" s="24"/>
      <c r="BF505" s="24"/>
      <c r="BG505" s="24"/>
      <c r="BH505" s="24"/>
      <c r="BI505" s="24"/>
      <c r="BP505" s="24"/>
      <c r="BQ505" s="24"/>
      <c r="BR505" s="24"/>
      <c r="BS505" s="24"/>
      <c r="BZ505" s="24"/>
      <c r="CA505" s="24"/>
      <c r="CB505" s="24"/>
      <c r="CC505" s="24"/>
      <c r="CD505" s="24"/>
    </row>
    <row r="506" spans="2:82" s="6" customFormat="1">
      <c r="B506" s="21"/>
      <c r="D506" s="17"/>
      <c r="E506" s="23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R506" s="24"/>
      <c r="AS506" s="24"/>
      <c r="AT506" s="24"/>
      <c r="AU506" s="24"/>
      <c r="AV506" s="24"/>
      <c r="AW506" s="24"/>
      <c r="BD506" s="24"/>
      <c r="BE506" s="24"/>
      <c r="BF506" s="24"/>
      <c r="BG506" s="24"/>
      <c r="BH506" s="24"/>
      <c r="BI506" s="24"/>
      <c r="BP506" s="24"/>
      <c r="BQ506" s="24"/>
      <c r="BR506" s="24"/>
      <c r="BS506" s="24"/>
      <c r="BZ506" s="24"/>
      <c r="CA506" s="24"/>
      <c r="CB506" s="24"/>
      <c r="CC506" s="24"/>
      <c r="CD506" s="24"/>
    </row>
    <row r="507" spans="2:82" s="6" customFormat="1">
      <c r="B507" s="21"/>
      <c r="D507" s="17"/>
      <c r="E507" s="23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R507" s="24"/>
      <c r="AS507" s="24"/>
      <c r="AT507" s="24"/>
      <c r="AU507" s="24"/>
      <c r="AV507" s="24"/>
      <c r="AW507" s="24"/>
      <c r="BD507" s="24"/>
      <c r="BE507" s="24"/>
      <c r="BF507" s="24"/>
      <c r="BG507" s="24"/>
      <c r="BH507" s="24"/>
      <c r="BI507" s="24"/>
      <c r="BP507" s="24"/>
      <c r="BQ507" s="24"/>
      <c r="BR507" s="24"/>
      <c r="BS507" s="24"/>
      <c r="BZ507" s="24"/>
      <c r="CA507" s="24"/>
      <c r="CB507" s="24"/>
      <c r="CC507" s="24"/>
      <c r="CD507" s="24"/>
    </row>
    <row r="508" spans="2:82" s="6" customFormat="1">
      <c r="B508" s="21"/>
      <c r="D508" s="17"/>
      <c r="E508" s="23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R508" s="24"/>
      <c r="AS508" s="24"/>
      <c r="AT508" s="24"/>
      <c r="AU508" s="24"/>
      <c r="AV508" s="24"/>
      <c r="AW508" s="24"/>
      <c r="BD508" s="24"/>
      <c r="BE508" s="24"/>
      <c r="BF508" s="24"/>
      <c r="BG508" s="24"/>
      <c r="BH508" s="24"/>
      <c r="BI508" s="24"/>
      <c r="BP508" s="24"/>
      <c r="BQ508" s="24"/>
      <c r="BR508" s="24"/>
      <c r="BS508" s="24"/>
      <c r="BZ508" s="24"/>
      <c r="CA508" s="24"/>
      <c r="CB508" s="24"/>
      <c r="CC508" s="24"/>
      <c r="CD508" s="24"/>
    </row>
    <row r="509" spans="2:82" s="6" customFormat="1">
      <c r="B509" s="21"/>
      <c r="D509" s="17"/>
      <c r="E509" s="23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R509" s="24"/>
      <c r="AS509" s="24"/>
      <c r="AT509" s="24"/>
      <c r="AU509" s="24"/>
      <c r="AV509" s="24"/>
      <c r="AW509" s="24"/>
      <c r="BD509" s="24"/>
      <c r="BE509" s="24"/>
      <c r="BF509" s="24"/>
      <c r="BG509" s="24"/>
      <c r="BH509" s="24"/>
      <c r="BI509" s="24"/>
      <c r="BP509" s="24"/>
      <c r="BQ509" s="24"/>
      <c r="BR509" s="24"/>
      <c r="BS509" s="24"/>
      <c r="BZ509" s="24"/>
      <c r="CA509" s="24"/>
      <c r="CB509" s="24"/>
      <c r="CC509" s="24"/>
      <c r="CD509" s="24"/>
    </row>
    <row r="510" spans="2:82" s="6" customFormat="1">
      <c r="B510" s="21"/>
      <c r="D510" s="17"/>
      <c r="E510" s="23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R510" s="24"/>
      <c r="AS510" s="24"/>
      <c r="AT510" s="24"/>
      <c r="AU510" s="24"/>
      <c r="AV510" s="24"/>
      <c r="AW510" s="24"/>
      <c r="BD510" s="24"/>
      <c r="BE510" s="24"/>
      <c r="BF510" s="24"/>
      <c r="BG510" s="24"/>
      <c r="BH510" s="24"/>
      <c r="BI510" s="24"/>
      <c r="BP510" s="24"/>
      <c r="BQ510" s="24"/>
      <c r="BR510" s="24"/>
      <c r="BS510" s="24"/>
      <c r="BZ510" s="24"/>
      <c r="CA510" s="24"/>
      <c r="CB510" s="24"/>
      <c r="CC510" s="24"/>
      <c r="CD510" s="24"/>
    </row>
    <row r="511" spans="2:82" s="6" customFormat="1">
      <c r="B511" s="21"/>
      <c r="D511" s="17"/>
      <c r="E511" s="23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R511" s="24"/>
      <c r="AS511" s="24"/>
      <c r="AT511" s="24"/>
      <c r="AU511" s="24"/>
      <c r="AV511" s="24"/>
      <c r="AW511" s="24"/>
      <c r="BD511" s="24"/>
      <c r="BE511" s="24"/>
      <c r="BF511" s="24"/>
      <c r="BG511" s="24"/>
      <c r="BH511" s="24"/>
      <c r="BI511" s="24"/>
      <c r="BP511" s="24"/>
      <c r="BQ511" s="24"/>
      <c r="BR511" s="24"/>
      <c r="BS511" s="24"/>
      <c r="BZ511" s="24"/>
      <c r="CA511" s="24"/>
      <c r="CB511" s="24"/>
      <c r="CC511" s="24"/>
      <c r="CD511" s="24"/>
    </row>
    <row r="512" spans="2:82" s="6" customFormat="1">
      <c r="B512" s="21"/>
      <c r="D512" s="17"/>
      <c r="E512" s="23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R512" s="24"/>
      <c r="AS512" s="24"/>
      <c r="AT512" s="24"/>
      <c r="AU512" s="24"/>
      <c r="AV512" s="24"/>
      <c r="AW512" s="24"/>
      <c r="BD512" s="24"/>
      <c r="BE512" s="24"/>
      <c r="BF512" s="24"/>
      <c r="BG512" s="24"/>
      <c r="BH512" s="24"/>
      <c r="BI512" s="24"/>
      <c r="BP512" s="24"/>
      <c r="BQ512" s="24"/>
      <c r="BR512" s="24"/>
      <c r="BS512" s="24"/>
      <c r="BZ512" s="24"/>
      <c r="CA512" s="24"/>
      <c r="CB512" s="24"/>
      <c r="CC512" s="24"/>
      <c r="CD512" s="24"/>
    </row>
    <row r="513" spans="2:82" s="6" customFormat="1">
      <c r="B513" s="21"/>
      <c r="D513" s="17"/>
      <c r="E513" s="23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R513" s="24"/>
      <c r="AS513" s="24"/>
      <c r="AT513" s="24"/>
      <c r="AU513" s="24"/>
      <c r="AV513" s="24"/>
      <c r="AW513" s="24"/>
      <c r="BD513" s="24"/>
      <c r="BE513" s="24"/>
      <c r="BF513" s="24"/>
      <c r="BG513" s="24"/>
      <c r="BH513" s="24"/>
      <c r="BI513" s="24"/>
      <c r="BP513" s="24"/>
      <c r="BQ513" s="24"/>
      <c r="BR513" s="24"/>
      <c r="BS513" s="24"/>
      <c r="BZ513" s="24"/>
      <c r="CA513" s="24"/>
      <c r="CB513" s="24"/>
      <c r="CC513" s="24"/>
      <c r="CD513" s="24"/>
    </row>
    <row r="514" spans="2:82" s="6" customFormat="1">
      <c r="B514" s="21"/>
      <c r="D514" s="17"/>
      <c r="E514" s="23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R514" s="24"/>
      <c r="AS514" s="24"/>
      <c r="AT514" s="24"/>
      <c r="AU514" s="24"/>
      <c r="AV514" s="24"/>
      <c r="AW514" s="24"/>
      <c r="BD514" s="24"/>
      <c r="BE514" s="24"/>
      <c r="BF514" s="24"/>
      <c r="BG514" s="24"/>
      <c r="BH514" s="24"/>
      <c r="BI514" s="24"/>
      <c r="BP514" s="24"/>
      <c r="BQ514" s="24"/>
      <c r="BR514" s="24"/>
      <c r="BS514" s="24"/>
      <c r="BZ514" s="24"/>
      <c r="CA514" s="24"/>
      <c r="CB514" s="24"/>
      <c r="CC514" s="24"/>
      <c r="CD514" s="24"/>
    </row>
    <row r="515" spans="2:82" s="6" customFormat="1">
      <c r="B515" s="21"/>
      <c r="D515" s="17"/>
      <c r="E515" s="23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R515" s="24"/>
      <c r="AS515" s="24"/>
      <c r="AT515" s="24"/>
      <c r="AU515" s="24"/>
      <c r="AV515" s="24"/>
      <c r="AW515" s="24"/>
      <c r="BD515" s="24"/>
      <c r="BE515" s="24"/>
      <c r="BF515" s="24"/>
      <c r="BG515" s="24"/>
      <c r="BH515" s="24"/>
      <c r="BI515" s="24"/>
      <c r="BP515" s="24"/>
      <c r="BQ515" s="24"/>
      <c r="BR515" s="24"/>
      <c r="BS515" s="24"/>
      <c r="BZ515" s="24"/>
      <c r="CA515" s="24"/>
      <c r="CB515" s="24"/>
      <c r="CC515" s="24"/>
      <c r="CD515" s="24"/>
    </row>
    <row r="516" spans="2:82" s="6" customFormat="1">
      <c r="B516" s="21"/>
      <c r="D516" s="17"/>
      <c r="E516" s="23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R516" s="24"/>
      <c r="AS516" s="24"/>
      <c r="AT516" s="24"/>
      <c r="AU516" s="24"/>
      <c r="AV516" s="24"/>
      <c r="AW516" s="24"/>
      <c r="BD516" s="24"/>
      <c r="BE516" s="24"/>
      <c r="BF516" s="24"/>
      <c r="BG516" s="24"/>
      <c r="BH516" s="24"/>
      <c r="BI516" s="24"/>
      <c r="BP516" s="24"/>
      <c r="BQ516" s="24"/>
      <c r="BR516" s="24"/>
      <c r="BS516" s="24"/>
      <c r="BZ516" s="24"/>
      <c r="CA516" s="24"/>
      <c r="CB516" s="24"/>
      <c r="CC516" s="24"/>
      <c r="CD516" s="24"/>
    </row>
    <row r="517" spans="2:82" s="6" customFormat="1">
      <c r="B517" s="21"/>
      <c r="D517" s="17"/>
      <c r="E517" s="23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R517" s="24"/>
      <c r="AS517" s="24"/>
      <c r="AT517" s="24"/>
      <c r="AU517" s="24"/>
      <c r="AV517" s="24"/>
      <c r="AW517" s="24"/>
      <c r="BD517" s="24"/>
      <c r="BE517" s="24"/>
      <c r="BF517" s="24"/>
      <c r="BG517" s="24"/>
      <c r="BH517" s="24"/>
      <c r="BI517" s="24"/>
      <c r="BP517" s="24"/>
      <c r="BQ517" s="24"/>
      <c r="BR517" s="24"/>
      <c r="BS517" s="24"/>
      <c r="BZ517" s="24"/>
      <c r="CA517" s="24"/>
      <c r="CB517" s="24"/>
      <c r="CC517" s="24"/>
      <c r="CD517" s="24"/>
    </row>
    <row r="518" spans="2:82" s="6" customFormat="1">
      <c r="B518" s="21"/>
      <c r="D518" s="17"/>
      <c r="E518" s="23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R518" s="24"/>
      <c r="AS518" s="24"/>
      <c r="AT518" s="24"/>
      <c r="AU518" s="24"/>
      <c r="AV518" s="24"/>
      <c r="AW518" s="24"/>
      <c r="BD518" s="24"/>
      <c r="BE518" s="24"/>
      <c r="BF518" s="24"/>
      <c r="BG518" s="24"/>
      <c r="BH518" s="24"/>
      <c r="BI518" s="24"/>
      <c r="BP518" s="24"/>
      <c r="BQ518" s="24"/>
      <c r="BR518" s="24"/>
      <c r="BS518" s="24"/>
      <c r="BZ518" s="24"/>
      <c r="CA518" s="24"/>
      <c r="CB518" s="24"/>
      <c r="CC518" s="24"/>
      <c r="CD518" s="24"/>
    </row>
    <row r="519" spans="2:82" s="6" customFormat="1">
      <c r="B519" s="21"/>
      <c r="D519" s="17"/>
      <c r="E519" s="23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R519" s="24"/>
      <c r="AS519" s="24"/>
      <c r="AT519" s="24"/>
      <c r="AU519" s="24"/>
      <c r="AV519" s="24"/>
      <c r="AW519" s="24"/>
      <c r="BD519" s="24"/>
      <c r="BE519" s="24"/>
      <c r="BF519" s="24"/>
      <c r="BG519" s="24"/>
      <c r="BH519" s="24"/>
      <c r="BI519" s="24"/>
      <c r="BP519" s="24"/>
      <c r="BQ519" s="24"/>
      <c r="BR519" s="24"/>
      <c r="BS519" s="24"/>
      <c r="BZ519" s="24"/>
      <c r="CA519" s="24"/>
      <c r="CB519" s="24"/>
      <c r="CC519" s="24"/>
      <c r="CD519" s="24"/>
    </row>
    <row r="520" spans="2:82" s="6" customFormat="1">
      <c r="B520" s="21"/>
      <c r="D520" s="17"/>
      <c r="E520" s="23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R520" s="24"/>
      <c r="AS520" s="24"/>
      <c r="AT520" s="24"/>
      <c r="AU520" s="24"/>
      <c r="AV520" s="24"/>
      <c r="AW520" s="24"/>
      <c r="BD520" s="24"/>
      <c r="BE520" s="24"/>
      <c r="BF520" s="24"/>
      <c r="BG520" s="24"/>
      <c r="BH520" s="24"/>
      <c r="BI520" s="24"/>
      <c r="BP520" s="24"/>
      <c r="BQ520" s="24"/>
      <c r="BR520" s="24"/>
      <c r="BS520" s="24"/>
      <c r="BZ520" s="24"/>
      <c r="CA520" s="24"/>
      <c r="CB520" s="24"/>
      <c r="CC520" s="24"/>
      <c r="CD520" s="24"/>
    </row>
    <row r="521" spans="2:82" s="6" customFormat="1">
      <c r="B521" s="21"/>
      <c r="D521" s="17"/>
      <c r="E521" s="23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R521" s="24"/>
      <c r="AS521" s="24"/>
      <c r="AT521" s="24"/>
      <c r="AU521" s="24"/>
      <c r="AV521" s="24"/>
      <c r="AW521" s="24"/>
      <c r="BD521" s="24"/>
      <c r="BE521" s="24"/>
      <c r="BF521" s="24"/>
      <c r="BG521" s="24"/>
      <c r="BH521" s="24"/>
      <c r="BI521" s="24"/>
      <c r="BP521" s="24"/>
      <c r="BQ521" s="24"/>
      <c r="BR521" s="24"/>
      <c r="BS521" s="24"/>
      <c r="BZ521" s="24"/>
      <c r="CA521" s="24"/>
      <c r="CB521" s="24"/>
      <c r="CC521" s="24"/>
      <c r="CD521" s="24"/>
    </row>
    <row r="522" spans="2:82" s="6" customFormat="1">
      <c r="B522" s="21"/>
      <c r="D522" s="17"/>
      <c r="E522" s="23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R522" s="24"/>
      <c r="AS522" s="24"/>
      <c r="AT522" s="24"/>
      <c r="AU522" s="24"/>
      <c r="AV522" s="24"/>
      <c r="AW522" s="24"/>
      <c r="BD522" s="24"/>
      <c r="BE522" s="24"/>
      <c r="BF522" s="24"/>
      <c r="BG522" s="24"/>
      <c r="BH522" s="24"/>
      <c r="BI522" s="24"/>
      <c r="BP522" s="24"/>
      <c r="BQ522" s="24"/>
      <c r="BR522" s="24"/>
      <c r="BS522" s="24"/>
      <c r="BZ522" s="24"/>
      <c r="CA522" s="24"/>
      <c r="CB522" s="24"/>
      <c r="CC522" s="24"/>
      <c r="CD522" s="24"/>
    </row>
    <row r="523" spans="2:82" s="6" customFormat="1">
      <c r="B523" s="21"/>
      <c r="D523" s="17"/>
      <c r="E523" s="23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R523" s="24"/>
      <c r="AS523" s="24"/>
      <c r="AT523" s="24"/>
      <c r="AU523" s="24"/>
      <c r="AV523" s="24"/>
      <c r="AW523" s="24"/>
      <c r="BD523" s="24"/>
      <c r="BE523" s="24"/>
      <c r="BF523" s="24"/>
      <c r="BG523" s="24"/>
      <c r="BH523" s="24"/>
      <c r="BI523" s="24"/>
      <c r="BP523" s="24"/>
      <c r="BQ523" s="24"/>
      <c r="BR523" s="24"/>
      <c r="BS523" s="24"/>
      <c r="BZ523" s="24"/>
      <c r="CA523" s="24"/>
      <c r="CB523" s="24"/>
      <c r="CC523" s="24"/>
      <c r="CD523" s="24"/>
    </row>
    <row r="524" spans="2:82" s="6" customFormat="1">
      <c r="B524" s="21"/>
      <c r="D524" s="17"/>
      <c r="E524" s="23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R524" s="24"/>
      <c r="AS524" s="24"/>
      <c r="AT524" s="24"/>
      <c r="AU524" s="24"/>
      <c r="AV524" s="24"/>
      <c r="AW524" s="24"/>
      <c r="BD524" s="24"/>
      <c r="BE524" s="24"/>
      <c r="BF524" s="24"/>
      <c r="BG524" s="24"/>
      <c r="BH524" s="24"/>
      <c r="BI524" s="24"/>
      <c r="BP524" s="24"/>
      <c r="BQ524" s="24"/>
      <c r="BR524" s="24"/>
      <c r="BS524" s="24"/>
      <c r="BZ524" s="24"/>
      <c r="CA524" s="24"/>
      <c r="CB524" s="24"/>
      <c r="CC524" s="24"/>
      <c r="CD524" s="24"/>
    </row>
    <row r="525" spans="2:82" s="6" customFormat="1">
      <c r="B525" s="21"/>
      <c r="D525" s="17"/>
      <c r="E525" s="23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R525" s="24"/>
      <c r="AS525" s="24"/>
      <c r="AT525" s="24"/>
      <c r="AU525" s="24"/>
      <c r="AV525" s="24"/>
      <c r="AW525" s="24"/>
      <c r="BD525" s="24"/>
      <c r="BE525" s="24"/>
      <c r="BF525" s="24"/>
      <c r="BG525" s="24"/>
      <c r="BH525" s="24"/>
      <c r="BI525" s="24"/>
      <c r="BP525" s="24"/>
      <c r="BQ525" s="24"/>
      <c r="BR525" s="24"/>
      <c r="BS525" s="24"/>
      <c r="BZ525" s="24"/>
      <c r="CA525" s="24"/>
      <c r="CB525" s="24"/>
      <c r="CC525" s="24"/>
      <c r="CD525" s="24"/>
    </row>
    <row r="526" spans="2:82" s="6" customFormat="1">
      <c r="B526" s="21"/>
      <c r="D526" s="17"/>
      <c r="E526" s="23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R526" s="24"/>
      <c r="AS526" s="24"/>
      <c r="AT526" s="24"/>
      <c r="AU526" s="24"/>
      <c r="AV526" s="24"/>
      <c r="AW526" s="24"/>
      <c r="BD526" s="24"/>
      <c r="BE526" s="24"/>
      <c r="BF526" s="24"/>
      <c r="BG526" s="24"/>
      <c r="BH526" s="24"/>
      <c r="BI526" s="24"/>
      <c r="BP526" s="24"/>
      <c r="BQ526" s="24"/>
      <c r="BR526" s="24"/>
      <c r="BS526" s="24"/>
      <c r="BZ526" s="24"/>
      <c r="CA526" s="24"/>
      <c r="CB526" s="24"/>
      <c r="CC526" s="24"/>
      <c r="CD526" s="24"/>
    </row>
    <row r="527" spans="2:82" s="6" customFormat="1">
      <c r="B527" s="21"/>
      <c r="D527" s="17"/>
      <c r="E527" s="23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R527" s="24"/>
      <c r="AS527" s="24"/>
      <c r="AT527" s="24"/>
      <c r="AU527" s="24"/>
      <c r="AV527" s="24"/>
      <c r="AW527" s="24"/>
      <c r="BD527" s="24"/>
      <c r="BE527" s="24"/>
      <c r="BF527" s="24"/>
      <c r="BG527" s="24"/>
      <c r="BH527" s="24"/>
      <c r="BI527" s="24"/>
      <c r="BP527" s="24"/>
      <c r="BQ527" s="24"/>
      <c r="BR527" s="24"/>
      <c r="BS527" s="24"/>
      <c r="BZ527" s="24"/>
      <c r="CA527" s="24"/>
      <c r="CB527" s="24"/>
      <c r="CC527" s="24"/>
      <c r="CD527" s="24"/>
    </row>
    <row r="528" spans="2:82" s="6" customFormat="1">
      <c r="B528" s="21"/>
      <c r="D528" s="17"/>
      <c r="E528" s="23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R528" s="24"/>
      <c r="AS528" s="24"/>
      <c r="AT528" s="24"/>
      <c r="AU528" s="24"/>
      <c r="AV528" s="24"/>
      <c r="AW528" s="24"/>
      <c r="BD528" s="24"/>
      <c r="BE528" s="24"/>
      <c r="BF528" s="24"/>
      <c r="BG528" s="24"/>
      <c r="BH528" s="24"/>
      <c r="BI528" s="24"/>
      <c r="BP528" s="24"/>
      <c r="BQ528" s="24"/>
      <c r="BR528" s="24"/>
      <c r="BS528" s="24"/>
      <c r="BZ528" s="24"/>
      <c r="CA528" s="24"/>
      <c r="CB528" s="24"/>
      <c r="CC528" s="24"/>
      <c r="CD528" s="24"/>
    </row>
    <row r="529" spans="2:82" s="6" customFormat="1">
      <c r="B529" s="21"/>
      <c r="D529" s="17"/>
      <c r="E529" s="23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R529" s="24"/>
      <c r="AS529" s="24"/>
      <c r="AT529" s="24"/>
      <c r="AU529" s="24"/>
      <c r="AV529" s="24"/>
      <c r="AW529" s="24"/>
      <c r="BD529" s="24"/>
      <c r="BE529" s="24"/>
      <c r="BF529" s="24"/>
      <c r="BG529" s="24"/>
      <c r="BH529" s="24"/>
      <c r="BI529" s="24"/>
      <c r="BP529" s="24"/>
      <c r="BQ529" s="24"/>
      <c r="BR529" s="24"/>
      <c r="BS529" s="24"/>
      <c r="BZ529" s="24"/>
      <c r="CA529" s="24"/>
      <c r="CB529" s="24"/>
      <c r="CC529" s="24"/>
      <c r="CD529" s="24"/>
    </row>
    <row r="530" spans="2:82" s="6" customFormat="1">
      <c r="B530" s="21"/>
      <c r="D530" s="17"/>
      <c r="E530" s="23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R530" s="24"/>
      <c r="AS530" s="24"/>
      <c r="AT530" s="24"/>
      <c r="AU530" s="24"/>
      <c r="AV530" s="24"/>
      <c r="AW530" s="24"/>
      <c r="BD530" s="24"/>
      <c r="BE530" s="24"/>
      <c r="BF530" s="24"/>
      <c r="BG530" s="24"/>
      <c r="BH530" s="24"/>
      <c r="BI530" s="24"/>
      <c r="BP530" s="24"/>
      <c r="BQ530" s="24"/>
      <c r="BR530" s="24"/>
      <c r="BS530" s="24"/>
      <c r="BZ530" s="24"/>
      <c r="CA530" s="24"/>
      <c r="CB530" s="24"/>
      <c r="CC530" s="24"/>
      <c r="CD530" s="24"/>
    </row>
    <row r="531" spans="2:82" s="6" customFormat="1">
      <c r="B531" s="21"/>
      <c r="D531" s="17"/>
      <c r="E531" s="23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R531" s="24"/>
      <c r="AS531" s="24"/>
      <c r="AT531" s="24"/>
      <c r="AU531" s="24"/>
      <c r="AV531" s="24"/>
      <c r="AW531" s="24"/>
      <c r="BD531" s="24"/>
      <c r="BE531" s="24"/>
      <c r="BF531" s="24"/>
      <c r="BG531" s="24"/>
      <c r="BH531" s="24"/>
      <c r="BI531" s="24"/>
      <c r="BP531" s="24"/>
      <c r="BQ531" s="24"/>
      <c r="BR531" s="24"/>
      <c r="BS531" s="24"/>
      <c r="BZ531" s="24"/>
      <c r="CA531" s="24"/>
      <c r="CB531" s="24"/>
      <c r="CC531" s="24"/>
      <c r="CD531" s="24"/>
    </row>
    <row r="532" spans="2:82" s="6" customFormat="1">
      <c r="B532" s="21"/>
      <c r="D532" s="17"/>
      <c r="E532" s="23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R532" s="24"/>
      <c r="AS532" s="24"/>
      <c r="AT532" s="24"/>
      <c r="AU532" s="24"/>
      <c r="AV532" s="24"/>
      <c r="AW532" s="24"/>
      <c r="BD532" s="24"/>
      <c r="BE532" s="24"/>
      <c r="BF532" s="24"/>
      <c r="BG532" s="24"/>
      <c r="BH532" s="24"/>
      <c r="BI532" s="24"/>
      <c r="BP532" s="24"/>
      <c r="BQ532" s="24"/>
      <c r="BR532" s="24"/>
      <c r="BS532" s="24"/>
      <c r="BZ532" s="24"/>
      <c r="CA532" s="24"/>
      <c r="CB532" s="24"/>
      <c r="CC532" s="24"/>
      <c r="CD532" s="24"/>
    </row>
    <row r="533" spans="2:82" s="6" customFormat="1">
      <c r="B533" s="21"/>
      <c r="D533" s="17"/>
      <c r="E533" s="23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R533" s="24"/>
      <c r="AS533" s="24"/>
      <c r="AT533" s="24"/>
      <c r="AU533" s="24"/>
      <c r="AV533" s="24"/>
      <c r="AW533" s="24"/>
      <c r="BD533" s="24"/>
      <c r="BE533" s="24"/>
      <c r="BF533" s="24"/>
      <c r="BG533" s="24"/>
      <c r="BH533" s="24"/>
      <c r="BI533" s="24"/>
      <c r="BP533" s="24"/>
      <c r="BQ533" s="24"/>
      <c r="BR533" s="24"/>
      <c r="BS533" s="24"/>
      <c r="BZ533" s="24"/>
      <c r="CA533" s="24"/>
      <c r="CB533" s="24"/>
      <c r="CC533" s="24"/>
      <c r="CD533" s="24"/>
    </row>
    <row r="534" spans="2:82" s="6" customFormat="1">
      <c r="B534" s="21"/>
      <c r="D534" s="17"/>
      <c r="E534" s="23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R534" s="24"/>
      <c r="AS534" s="24"/>
      <c r="AT534" s="24"/>
      <c r="AU534" s="24"/>
      <c r="AV534" s="24"/>
      <c r="AW534" s="24"/>
      <c r="BD534" s="24"/>
      <c r="BE534" s="24"/>
      <c r="BF534" s="24"/>
      <c r="BG534" s="24"/>
      <c r="BH534" s="24"/>
      <c r="BI534" s="24"/>
      <c r="BP534" s="24"/>
      <c r="BQ534" s="24"/>
      <c r="BR534" s="24"/>
      <c r="BS534" s="24"/>
      <c r="BZ534" s="24"/>
      <c r="CA534" s="24"/>
      <c r="CB534" s="24"/>
      <c r="CC534" s="24"/>
      <c r="CD534" s="24"/>
    </row>
    <row r="535" spans="2:82" s="6" customFormat="1">
      <c r="B535" s="21"/>
      <c r="D535" s="17"/>
      <c r="E535" s="23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R535" s="24"/>
      <c r="AS535" s="24"/>
      <c r="AT535" s="24"/>
      <c r="AU535" s="24"/>
      <c r="AV535" s="24"/>
      <c r="AW535" s="24"/>
      <c r="BD535" s="24"/>
      <c r="BE535" s="24"/>
      <c r="BF535" s="24"/>
      <c r="BG535" s="24"/>
      <c r="BH535" s="24"/>
      <c r="BI535" s="24"/>
      <c r="BP535" s="24"/>
      <c r="BQ535" s="24"/>
      <c r="BR535" s="24"/>
      <c r="BS535" s="24"/>
      <c r="BZ535" s="24"/>
      <c r="CA535" s="24"/>
      <c r="CB535" s="24"/>
      <c r="CC535" s="24"/>
      <c r="CD535" s="24"/>
    </row>
    <row r="536" spans="2:82" s="6" customFormat="1">
      <c r="B536" s="21"/>
      <c r="D536" s="17"/>
      <c r="E536" s="23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R536" s="24"/>
      <c r="AS536" s="24"/>
      <c r="AT536" s="24"/>
      <c r="AU536" s="24"/>
      <c r="AV536" s="24"/>
      <c r="AW536" s="24"/>
      <c r="BD536" s="24"/>
      <c r="BE536" s="24"/>
      <c r="BF536" s="24"/>
      <c r="BG536" s="24"/>
      <c r="BH536" s="24"/>
      <c r="BI536" s="24"/>
      <c r="BP536" s="24"/>
      <c r="BQ536" s="24"/>
      <c r="BR536" s="24"/>
      <c r="BS536" s="24"/>
      <c r="BZ536" s="24"/>
      <c r="CA536" s="24"/>
      <c r="CB536" s="24"/>
      <c r="CC536" s="24"/>
      <c r="CD536" s="24"/>
    </row>
    <row r="537" spans="2:82" s="6" customFormat="1">
      <c r="B537" s="21"/>
      <c r="D537" s="17"/>
      <c r="E537" s="23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R537" s="24"/>
      <c r="AS537" s="24"/>
      <c r="AT537" s="24"/>
      <c r="AU537" s="24"/>
      <c r="AV537" s="24"/>
      <c r="AW537" s="24"/>
      <c r="BD537" s="24"/>
      <c r="BE537" s="24"/>
      <c r="BF537" s="24"/>
      <c r="BG537" s="24"/>
      <c r="BH537" s="24"/>
      <c r="BI537" s="24"/>
      <c r="BP537" s="24"/>
      <c r="BQ537" s="24"/>
      <c r="BR537" s="24"/>
      <c r="BS537" s="24"/>
      <c r="BZ537" s="24"/>
      <c r="CA537" s="24"/>
      <c r="CB537" s="24"/>
      <c r="CC537" s="24"/>
      <c r="CD537" s="24"/>
    </row>
    <row r="538" spans="2:82" s="6" customFormat="1">
      <c r="B538" s="21"/>
      <c r="D538" s="17"/>
      <c r="E538" s="23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R538" s="24"/>
      <c r="AS538" s="24"/>
      <c r="AT538" s="24"/>
      <c r="AU538" s="24"/>
      <c r="AV538" s="24"/>
      <c r="AW538" s="24"/>
      <c r="BD538" s="24"/>
      <c r="BE538" s="24"/>
      <c r="BF538" s="24"/>
      <c r="BG538" s="24"/>
      <c r="BH538" s="24"/>
      <c r="BI538" s="24"/>
      <c r="BP538" s="24"/>
      <c r="BQ538" s="24"/>
      <c r="BR538" s="24"/>
      <c r="BS538" s="24"/>
      <c r="BZ538" s="24"/>
      <c r="CA538" s="24"/>
      <c r="CB538" s="24"/>
      <c r="CC538" s="24"/>
      <c r="CD538" s="24"/>
    </row>
    <row r="539" spans="2:82" s="6" customFormat="1">
      <c r="B539" s="21"/>
      <c r="D539" s="17"/>
      <c r="E539" s="23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R539" s="24"/>
      <c r="AS539" s="24"/>
      <c r="AT539" s="24"/>
      <c r="AU539" s="24"/>
      <c r="AV539" s="24"/>
      <c r="AW539" s="24"/>
      <c r="BD539" s="24"/>
      <c r="BE539" s="24"/>
      <c r="BF539" s="24"/>
      <c r="BG539" s="24"/>
      <c r="BH539" s="24"/>
      <c r="BI539" s="24"/>
      <c r="BP539" s="24"/>
      <c r="BQ539" s="24"/>
      <c r="BR539" s="24"/>
      <c r="BS539" s="24"/>
      <c r="BZ539" s="24"/>
      <c r="CA539" s="24"/>
      <c r="CB539" s="24"/>
      <c r="CC539" s="24"/>
      <c r="CD539" s="24"/>
    </row>
    <row r="540" spans="2:82" s="6" customFormat="1">
      <c r="B540" s="21"/>
      <c r="D540" s="17"/>
      <c r="E540" s="23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R540" s="24"/>
      <c r="AS540" s="24"/>
      <c r="AT540" s="24"/>
      <c r="AU540" s="24"/>
      <c r="AV540" s="24"/>
      <c r="AW540" s="24"/>
      <c r="BD540" s="24"/>
      <c r="BE540" s="24"/>
      <c r="BF540" s="24"/>
      <c r="BG540" s="24"/>
      <c r="BH540" s="24"/>
      <c r="BI540" s="24"/>
      <c r="BP540" s="24"/>
      <c r="BQ540" s="24"/>
      <c r="BR540" s="24"/>
      <c r="BS540" s="24"/>
      <c r="BZ540" s="24"/>
      <c r="CA540" s="24"/>
      <c r="CB540" s="24"/>
      <c r="CC540" s="24"/>
      <c r="CD540" s="24"/>
    </row>
    <row r="541" spans="2:82" s="6" customFormat="1">
      <c r="B541" s="21"/>
      <c r="D541" s="17"/>
      <c r="E541" s="23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R541" s="24"/>
      <c r="AS541" s="24"/>
      <c r="AT541" s="24"/>
      <c r="AU541" s="24"/>
      <c r="AV541" s="24"/>
      <c r="AW541" s="24"/>
      <c r="BD541" s="24"/>
      <c r="BE541" s="24"/>
      <c r="BF541" s="24"/>
      <c r="BG541" s="24"/>
      <c r="BH541" s="24"/>
      <c r="BI541" s="24"/>
      <c r="BP541" s="24"/>
      <c r="BQ541" s="24"/>
      <c r="BR541" s="24"/>
      <c r="BS541" s="24"/>
      <c r="BZ541" s="24"/>
      <c r="CA541" s="24"/>
      <c r="CB541" s="24"/>
      <c r="CC541" s="24"/>
      <c r="CD541" s="24"/>
    </row>
    <row r="542" spans="2:82" s="6" customFormat="1">
      <c r="B542" s="21"/>
      <c r="D542" s="17"/>
      <c r="E542" s="23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R542" s="24"/>
      <c r="AS542" s="24"/>
      <c r="AT542" s="24"/>
      <c r="AU542" s="24"/>
      <c r="AV542" s="24"/>
      <c r="AW542" s="24"/>
      <c r="BD542" s="24"/>
      <c r="BE542" s="24"/>
      <c r="BF542" s="24"/>
      <c r="BG542" s="24"/>
      <c r="BH542" s="24"/>
      <c r="BI542" s="24"/>
      <c r="BP542" s="24"/>
      <c r="BQ542" s="24"/>
      <c r="BR542" s="24"/>
      <c r="BS542" s="24"/>
      <c r="BZ542" s="24"/>
      <c r="CA542" s="24"/>
      <c r="CB542" s="24"/>
      <c r="CC542" s="24"/>
      <c r="CD542" s="24"/>
    </row>
    <row r="543" spans="2:82" s="6" customFormat="1">
      <c r="B543" s="21"/>
      <c r="D543" s="17"/>
      <c r="E543" s="23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R543" s="24"/>
      <c r="AS543" s="24"/>
      <c r="AT543" s="24"/>
      <c r="AU543" s="24"/>
      <c r="AV543" s="24"/>
      <c r="AW543" s="24"/>
      <c r="BD543" s="24"/>
      <c r="BE543" s="24"/>
      <c r="BF543" s="24"/>
      <c r="BG543" s="24"/>
      <c r="BH543" s="24"/>
      <c r="BI543" s="24"/>
      <c r="BP543" s="24"/>
      <c r="BQ543" s="24"/>
      <c r="BR543" s="24"/>
      <c r="BS543" s="24"/>
      <c r="BZ543" s="24"/>
      <c r="CA543" s="24"/>
      <c r="CB543" s="24"/>
      <c r="CC543" s="24"/>
      <c r="CD543" s="24"/>
    </row>
    <row r="544" spans="2:82" s="6" customFormat="1">
      <c r="B544" s="21"/>
      <c r="D544" s="17"/>
      <c r="E544" s="23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R544" s="24"/>
      <c r="AS544" s="24"/>
      <c r="AT544" s="24"/>
      <c r="AU544" s="24"/>
      <c r="AV544" s="24"/>
      <c r="AW544" s="24"/>
      <c r="BD544" s="24"/>
      <c r="BE544" s="24"/>
      <c r="BF544" s="24"/>
      <c r="BG544" s="24"/>
      <c r="BH544" s="24"/>
      <c r="BI544" s="24"/>
      <c r="BP544" s="24"/>
      <c r="BQ544" s="24"/>
      <c r="BR544" s="24"/>
      <c r="BS544" s="24"/>
      <c r="BZ544" s="24"/>
      <c r="CA544" s="24"/>
      <c r="CB544" s="24"/>
      <c r="CC544" s="24"/>
      <c r="CD544" s="24"/>
    </row>
    <row r="545" spans="2:82" s="6" customFormat="1">
      <c r="B545" s="21"/>
      <c r="D545" s="17"/>
      <c r="E545" s="23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R545" s="24"/>
      <c r="AS545" s="24"/>
      <c r="AT545" s="24"/>
      <c r="AU545" s="24"/>
      <c r="AV545" s="24"/>
      <c r="AW545" s="24"/>
      <c r="BD545" s="24"/>
      <c r="BE545" s="24"/>
      <c r="BF545" s="24"/>
      <c r="BG545" s="24"/>
      <c r="BH545" s="24"/>
      <c r="BI545" s="24"/>
      <c r="BP545" s="24"/>
      <c r="BQ545" s="24"/>
      <c r="BR545" s="24"/>
      <c r="BS545" s="24"/>
      <c r="BZ545" s="24"/>
      <c r="CA545" s="24"/>
      <c r="CB545" s="24"/>
      <c r="CC545" s="24"/>
      <c r="CD545" s="24"/>
    </row>
    <row r="546" spans="2:82" s="6" customFormat="1">
      <c r="B546" s="21"/>
      <c r="D546" s="17"/>
      <c r="E546" s="23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R546" s="24"/>
      <c r="AS546" s="24"/>
      <c r="AT546" s="24"/>
      <c r="AU546" s="24"/>
      <c r="AV546" s="24"/>
      <c r="AW546" s="24"/>
      <c r="BD546" s="24"/>
      <c r="BE546" s="24"/>
      <c r="BF546" s="24"/>
      <c r="BG546" s="24"/>
      <c r="BH546" s="24"/>
      <c r="BI546" s="24"/>
      <c r="BP546" s="24"/>
      <c r="BQ546" s="24"/>
      <c r="BR546" s="24"/>
      <c r="BS546" s="24"/>
      <c r="BZ546" s="24"/>
      <c r="CA546" s="24"/>
      <c r="CB546" s="24"/>
      <c r="CC546" s="24"/>
      <c r="CD546" s="24"/>
    </row>
    <row r="547" spans="2:82" s="6" customFormat="1">
      <c r="B547" s="21"/>
      <c r="D547" s="17"/>
      <c r="E547" s="23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R547" s="24"/>
      <c r="AS547" s="24"/>
      <c r="AT547" s="24"/>
      <c r="AU547" s="24"/>
      <c r="AV547" s="24"/>
      <c r="AW547" s="24"/>
      <c r="BD547" s="24"/>
      <c r="BE547" s="24"/>
      <c r="BF547" s="24"/>
      <c r="BG547" s="24"/>
      <c r="BH547" s="24"/>
      <c r="BI547" s="24"/>
      <c r="BP547" s="24"/>
      <c r="BQ547" s="24"/>
      <c r="BR547" s="24"/>
      <c r="BS547" s="24"/>
      <c r="BZ547" s="24"/>
      <c r="CA547" s="24"/>
      <c r="CB547" s="24"/>
      <c r="CC547" s="24"/>
      <c r="CD547" s="24"/>
    </row>
    <row r="548" spans="2:82" s="6" customFormat="1">
      <c r="B548" s="21"/>
      <c r="D548" s="17"/>
      <c r="E548" s="23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R548" s="24"/>
      <c r="AS548" s="24"/>
      <c r="AT548" s="24"/>
      <c r="AU548" s="24"/>
      <c r="AV548" s="24"/>
      <c r="AW548" s="24"/>
      <c r="BD548" s="24"/>
      <c r="BE548" s="24"/>
      <c r="BF548" s="24"/>
      <c r="BG548" s="24"/>
      <c r="BH548" s="24"/>
      <c r="BI548" s="24"/>
      <c r="BP548" s="24"/>
      <c r="BQ548" s="24"/>
      <c r="BR548" s="24"/>
      <c r="BS548" s="24"/>
      <c r="BZ548" s="24"/>
      <c r="CA548" s="24"/>
      <c r="CB548" s="24"/>
      <c r="CC548" s="24"/>
      <c r="CD548" s="24"/>
    </row>
    <row r="549" spans="2:82" s="6" customFormat="1">
      <c r="B549" s="21"/>
      <c r="D549" s="17"/>
      <c r="E549" s="23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R549" s="24"/>
      <c r="AS549" s="24"/>
      <c r="AT549" s="24"/>
      <c r="AU549" s="24"/>
      <c r="AV549" s="24"/>
      <c r="AW549" s="24"/>
      <c r="BD549" s="24"/>
      <c r="BE549" s="24"/>
      <c r="BF549" s="24"/>
      <c r="BG549" s="24"/>
      <c r="BH549" s="24"/>
      <c r="BI549" s="24"/>
      <c r="BP549" s="24"/>
      <c r="BQ549" s="24"/>
      <c r="BR549" s="24"/>
      <c r="BS549" s="24"/>
      <c r="BZ549" s="24"/>
      <c r="CA549" s="24"/>
      <c r="CB549" s="24"/>
      <c r="CC549" s="24"/>
      <c r="CD549" s="24"/>
    </row>
    <row r="550" spans="2:82" s="6" customFormat="1">
      <c r="B550" s="21"/>
      <c r="D550" s="17"/>
      <c r="E550" s="23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R550" s="24"/>
      <c r="AS550" s="24"/>
      <c r="AT550" s="24"/>
      <c r="AU550" s="24"/>
      <c r="AV550" s="24"/>
      <c r="AW550" s="24"/>
      <c r="BD550" s="24"/>
      <c r="BE550" s="24"/>
      <c r="BF550" s="24"/>
      <c r="BG550" s="24"/>
      <c r="BH550" s="24"/>
      <c r="BI550" s="24"/>
      <c r="BP550" s="24"/>
      <c r="BQ550" s="24"/>
      <c r="BR550" s="24"/>
      <c r="BS550" s="24"/>
      <c r="BZ550" s="24"/>
      <c r="CA550" s="24"/>
      <c r="CB550" s="24"/>
      <c r="CC550" s="24"/>
      <c r="CD550" s="24"/>
    </row>
    <row r="551" spans="2:82" s="6" customFormat="1">
      <c r="B551" s="21"/>
      <c r="D551" s="17"/>
      <c r="E551" s="23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R551" s="24"/>
      <c r="AS551" s="24"/>
      <c r="AT551" s="24"/>
      <c r="AU551" s="24"/>
      <c r="AV551" s="24"/>
      <c r="AW551" s="24"/>
      <c r="BD551" s="24"/>
      <c r="BE551" s="24"/>
      <c r="BF551" s="24"/>
      <c r="BG551" s="24"/>
      <c r="BH551" s="24"/>
      <c r="BI551" s="24"/>
      <c r="BP551" s="24"/>
      <c r="BQ551" s="24"/>
      <c r="BR551" s="24"/>
      <c r="BS551" s="24"/>
      <c r="BZ551" s="24"/>
      <c r="CA551" s="24"/>
      <c r="CB551" s="24"/>
      <c r="CC551" s="24"/>
      <c r="CD551" s="24"/>
    </row>
    <row r="552" spans="2:82" s="6" customFormat="1">
      <c r="B552" s="21"/>
      <c r="D552" s="17"/>
      <c r="E552" s="23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R552" s="24"/>
      <c r="AS552" s="24"/>
      <c r="AT552" s="24"/>
      <c r="AU552" s="24"/>
      <c r="AV552" s="24"/>
      <c r="AW552" s="24"/>
      <c r="BD552" s="24"/>
      <c r="BE552" s="24"/>
      <c r="BF552" s="24"/>
      <c r="BG552" s="24"/>
      <c r="BH552" s="24"/>
      <c r="BI552" s="24"/>
      <c r="BP552" s="24"/>
      <c r="BQ552" s="24"/>
      <c r="BR552" s="24"/>
      <c r="BS552" s="24"/>
      <c r="BZ552" s="24"/>
      <c r="CA552" s="24"/>
      <c r="CB552" s="24"/>
      <c r="CC552" s="24"/>
      <c r="CD552" s="24"/>
    </row>
    <row r="553" spans="2:82" s="6" customFormat="1">
      <c r="B553" s="21"/>
      <c r="D553" s="17"/>
      <c r="E553" s="23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R553" s="24"/>
      <c r="AS553" s="24"/>
      <c r="AT553" s="24"/>
      <c r="AU553" s="24"/>
      <c r="AV553" s="24"/>
      <c r="AW553" s="24"/>
      <c r="BD553" s="24"/>
      <c r="BE553" s="24"/>
      <c r="BF553" s="24"/>
      <c r="BG553" s="24"/>
      <c r="BH553" s="24"/>
      <c r="BI553" s="24"/>
      <c r="BP553" s="24"/>
      <c r="BQ553" s="24"/>
      <c r="BR553" s="24"/>
      <c r="BS553" s="24"/>
      <c r="BZ553" s="24"/>
      <c r="CA553" s="24"/>
      <c r="CB553" s="24"/>
      <c r="CC553" s="24"/>
      <c r="CD553" s="24"/>
    </row>
    <row r="554" spans="2:82" s="6" customFormat="1">
      <c r="B554" s="21"/>
      <c r="D554" s="17"/>
      <c r="E554" s="23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R554" s="24"/>
      <c r="AS554" s="24"/>
      <c r="AT554" s="24"/>
      <c r="AU554" s="24"/>
      <c r="AV554" s="24"/>
      <c r="AW554" s="24"/>
      <c r="BD554" s="24"/>
      <c r="BE554" s="24"/>
      <c r="BF554" s="24"/>
      <c r="BG554" s="24"/>
      <c r="BH554" s="24"/>
      <c r="BI554" s="24"/>
      <c r="BP554" s="24"/>
      <c r="BQ554" s="24"/>
      <c r="BR554" s="24"/>
      <c r="BS554" s="24"/>
      <c r="BZ554" s="24"/>
      <c r="CA554" s="24"/>
      <c r="CB554" s="24"/>
      <c r="CC554" s="24"/>
      <c r="CD554" s="24"/>
    </row>
    <row r="555" spans="2:82" s="6" customFormat="1">
      <c r="B555" s="21"/>
      <c r="D555" s="17"/>
      <c r="E555" s="23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R555" s="24"/>
      <c r="AS555" s="24"/>
      <c r="AT555" s="24"/>
      <c r="AU555" s="24"/>
      <c r="AV555" s="24"/>
      <c r="AW555" s="24"/>
      <c r="BD555" s="24"/>
      <c r="BE555" s="24"/>
      <c r="BF555" s="24"/>
      <c r="BG555" s="24"/>
      <c r="BH555" s="24"/>
      <c r="BI555" s="24"/>
      <c r="BP555" s="24"/>
      <c r="BQ555" s="24"/>
      <c r="BR555" s="24"/>
      <c r="BS555" s="24"/>
      <c r="BZ555" s="24"/>
      <c r="CA555" s="24"/>
      <c r="CB555" s="24"/>
      <c r="CC555" s="24"/>
      <c r="CD555" s="24"/>
    </row>
    <row r="556" spans="2:82" s="6" customFormat="1">
      <c r="B556" s="21"/>
      <c r="D556" s="17"/>
      <c r="E556" s="23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R556" s="24"/>
      <c r="AS556" s="24"/>
      <c r="AT556" s="24"/>
      <c r="AU556" s="24"/>
      <c r="AV556" s="24"/>
      <c r="AW556" s="24"/>
      <c r="BD556" s="24"/>
      <c r="BE556" s="24"/>
      <c r="BF556" s="24"/>
      <c r="BG556" s="24"/>
      <c r="BH556" s="24"/>
      <c r="BI556" s="24"/>
      <c r="BP556" s="24"/>
      <c r="BQ556" s="24"/>
      <c r="BR556" s="24"/>
      <c r="BS556" s="24"/>
      <c r="BZ556" s="24"/>
      <c r="CA556" s="24"/>
      <c r="CB556" s="24"/>
      <c r="CC556" s="24"/>
      <c r="CD556" s="24"/>
    </row>
    <row r="557" spans="2:82" s="6" customFormat="1">
      <c r="B557" s="21"/>
      <c r="D557" s="17"/>
      <c r="E557" s="23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R557" s="24"/>
      <c r="AS557" s="24"/>
      <c r="AT557" s="24"/>
      <c r="AU557" s="24"/>
      <c r="AV557" s="24"/>
      <c r="AW557" s="24"/>
      <c r="BD557" s="24"/>
      <c r="BE557" s="24"/>
      <c r="BF557" s="24"/>
      <c r="BG557" s="24"/>
      <c r="BH557" s="24"/>
      <c r="BI557" s="24"/>
      <c r="BP557" s="24"/>
      <c r="BQ557" s="24"/>
      <c r="BR557" s="24"/>
      <c r="BS557" s="24"/>
      <c r="BZ557" s="24"/>
      <c r="CA557" s="24"/>
      <c r="CB557" s="24"/>
      <c r="CC557" s="24"/>
      <c r="CD557" s="24"/>
    </row>
    <row r="558" spans="2:82" s="6" customFormat="1">
      <c r="B558" s="21"/>
      <c r="D558" s="17"/>
      <c r="E558" s="23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R558" s="24"/>
      <c r="AS558" s="24"/>
      <c r="AT558" s="24"/>
      <c r="AU558" s="24"/>
      <c r="AV558" s="24"/>
      <c r="AW558" s="24"/>
      <c r="BD558" s="24"/>
      <c r="BE558" s="24"/>
      <c r="BF558" s="24"/>
      <c r="BG558" s="24"/>
      <c r="BH558" s="24"/>
      <c r="BI558" s="24"/>
      <c r="BP558" s="24"/>
      <c r="BQ558" s="24"/>
      <c r="BR558" s="24"/>
      <c r="BS558" s="24"/>
      <c r="BZ558" s="24"/>
      <c r="CA558" s="24"/>
      <c r="CB558" s="24"/>
      <c r="CC558" s="24"/>
      <c r="CD558" s="24"/>
    </row>
    <row r="559" spans="2:82" s="6" customFormat="1">
      <c r="B559" s="21"/>
      <c r="D559" s="17"/>
      <c r="E559" s="23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R559" s="24"/>
      <c r="AS559" s="24"/>
      <c r="AT559" s="24"/>
      <c r="AU559" s="24"/>
      <c r="AV559" s="24"/>
      <c r="AW559" s="24"/>
      <c r="BD559" s="24"/>
      <c r="BE559" s="24"/>
      <c r="BF559" s="24"/>
      <c r="BG559" s="24"/>
      <c r="BH559" s="24"/>
      <c r="BI559" s="24"/>
      <c r="BP559" s="24"/>
      <c r="BQ559" s="24"/>
      <c r="BR559" s="24"/>
      <c r="BS559" s="24"/>
      <c r="BZ559" s="24"/>
      <c r="CA559" s="24"/>
      <c r="CB559" s="24"/>
      <c r="CC559" s="24"/>
      <c r="CD559" s="24"/>
    </row>
    <row r="560" spans="2:82" s="6" customFormat="1">
      <c r="B560" s="21"/>
      <c r="D560" s="17"/>
      <c r="E560" s="23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R560" s="24"/>
      <c r="AS560" s="24"/>
      <c r="AT560" s="24"/>
      <c r="AU560" s="24"/>
      <c r="AV560" s="24"/>
      <c r="AW560" s="24"/>
      <c r="BD560" s="24"/>
      <c r="BE560" s="24"/>
      <c r="BF560" s="24"/>
      <c r="BG560" s="24"/>
      <c r="BH560" s="24"/>
      <c r="BI560" s="24"/>
      <c r="BP560" s="24"/>
      <c r="BQ560" s="24"/>
      <c r="BR560" s="24"/>
      <c r="BS560" s="24"/>
      <c r="BZ560" s="24"/>
      <c r="CA560" s="24"/>
      <c r="CB560" s="24"/>
      <c r="CC560" s="24"/>
      <c r="CD560" s="24"/>
    </row>
    <row r="561" spans="2:82" s="6" customFormat="1">
      <c r="B561" s="21"/>
      <c r="D561" s="17"/>
      <c r="E561" s="23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R561" s="24"/>
      <c r="AS561" s="24"/>
      <c r="AT561" s="24"/>
      <c r="AU561" s="24"/>
      <c r="AV561" s="24"/>
      <c r="AW561" s="24"/>
      <c r="BD561" s="24"/>
      <c r="BE561" s="24"/>
      <c r="BF561" s="24"/>
      <c r="BG561" s="24"/>
      <c r="BH561" s="24"/>
      <c r="BI561" s="24"/>
      <c r="BP561" s="24"/>
      <c r="BQ561" s="24"/>
      <c r="BR561" s="24"/>
      <c r="BS561" s="24"/>
      <c r="BZ561" s="24"/>
      <c r="CA561" s="24"/>
      <c r="CB561" s="24"/>
      <c r="CC561" s="24"/>
      <c r="CD561" s="24"/>
    </row>
    <row r="562" spans="2:82" s="6" customFormat="1">
      <c r="B562" s="21"/>
      <c r="D562" s="17"/>
      <c r="E562" s="23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R562" s="24"/>
      <c r="AS562" s="24"/>
      <c r="AT562" s="24"/>
      <c r="AU562" s="24"/>
      <c r="AV562" s="24"/>
      <c r="AW562" s="24"/>
      <c r="BD562" s="24"/>
      <c r="BE562" s="24"/>
      <c r="BF562" s="24"/>
      <c r="BG562" s="24"/>
      <c r="BH562" s="24"/>
      <c r="BI562" s="24"/>
      <c r="BP562" s="24"/>
      <c r="BQ562" s="24"/>
      <c r="BR562" s="24"/>
      <c r="BS562" s="24"/>
      <c r="BZ562" s="24"/>
      <c r="CA562" s="24"/>
      <c r="CB562" s="24"/>
      <c r="CC562" s="24"/>
      <c r="CD562" s="24"/>
    </row>
    <row r="563" spans="2:82" s="6" customFormat="1">
      <c r="B563" s="21"/>
      <c r="D563" s="17"/>
      <c r="E563" s="23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R563" s="24"/>
      <c r="AS563" s="24"/>
      <c r="AT563" s="24"/>
      <c r="AU563" s="24"/>
      <c r="AV563" s="24"/>
      <c r="AW563" s="24"/>
      <c r="BD563" s="24"/>
      <c r="BE563" s="24"/>
      <c r="BF563" s="24"/>
      <c r="BG563" s="24"/>
      <c r="BH563" s="24"/>
      <c r="BI563" s="24"/>
      <c r="BP563" s="24"/>
      <c r="BQ563" s="24"/>
      <c r="BR563" s="24"/>
      <c r="BS563" s="24"/>
      <c r="BZ563" s="24"/>
      <c r="CA563" s="24"/>
      <c r="CB563" s="24"/>
      <c r="CC563" s="24"/>
      <c r="CD563" s="24"/>
    </row>
    <row r="564" spans="2:82" s="6" customFormat="1">
      <c r="B564" s="21"/>
      <c r="D564" s="17"/>
      <c r="E564" s="23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R564" s="24"/>
      <c r="AS564" s="24"/>
      <c r="AT564" s="24"/>
      <c r="AU564" s="24"/>
      <c r="AV564" s="24"/>
      <c r="AW564" s="24"/>
      <c r="BD564" s="24"/>
      <c r="BE564" s="24"/>
      <c r="BF564" s="24"/>
      <c r="BG564" s="24"/>
      <c r="BH564" s="24"/>
      <c r="BI564" s="24"/>
      <c r="BP564" s="24"/>
      <c r="BQ564" s="24"/>
      <c r="BR564" s="24"/>
      <c r="BS564" s="24"/>
      <c r="BZ564" s="24"/>
      <c r="CA564" s="24"/>
      <c r="CB564" s="24"/>
      <c r="CC564" s="24"/>
      <c r="CD564" s="24"/>
    </row>
    <row r="565" spans="2:82" s="6" customFormat="1">
      <c r="B565" s="21"/>
      <c r="D565" s="17"/>
      <c r="E565" s="23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R565" s="24"/>
      <c r="AS565" s="24"/>
      <c r="AT565" s="24"/>
      <c r="AU565" s="24"/>
      <c r="AV565" s="24"/>
      <c r="AW565" s="24"/>
      <c r="BD565" s="24"/>
      <c r="BE565" s="24"/>
      <c r="BF565" s="24"/>
      <c r="BG565" s="24"/>
      <c r="BH565" s="24"/>
      <c r="BI565" s="24"/>
      <c r="BP565" s="24"/>
      <c r="BQ565" s="24"/>
      <c r="BR565" s="24"/>
      <c r="BS565" s="24"/>
      <c r="BZ565" s="24"/>
      <c r="CA565" s="24"/>
      <c r="CB565" s="24"/>
      <c r="CC565" s="24"/>
      <c r="CD565" s="24"/>
    </row>
    <row r="566" spans="2:82" s="6" customFormat="1">
      <c r="B566" s="21"/>
      <c r="D566" s="17"/>
      <c r="E566" s="23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R566" s="24"/>
      <c r="AS566" s="24"/>
      <c r="AT566" s="24"/>
      <c r="AU566" s="24"/>
      <c r="AV566" s="24"/>
      <c r="AW566" s="24"/>
      <c r="BD566" s="24"/>
      <c r="BE566" s="24"/>
      <c r="BF566" s="24"/>
      <c r="BG566" s="24"/>
      <c r="BH566" s="24"/>
      <c r="BI566" s="24"/>
      <c r="BP566" s="24"/>
      <c r="BQ566" s="24"/>
      <c r="BR566" s="24"/>
      <c r="BS566" s="24"/>
      <c r="BZ566" s="24"/>
      <c r="CA566" s="24"/>
      <c r="CB566" s="24"/>
      <c r="CC566" s="24"/>
      <c r="CD566" s="24"/>
    </row>
    <row r="567" spans="2:82" s="6" customFormat="1">
      <c r="B567" s="21"/>
      <c r="D567" s="17"/>
      <c r="E567" s="23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R567" s="24"/>
      <c r="AS567" s="24"/>
      <c r="AT567" s="24"/>
      <c r="AU567" s="24"/>
      <c r="AV567" s="24"/>
      <c r="AW567" s="24"/>
      <c r="BD567" s="24"/>
      <c r="BE567" s="24"/>
      <c r="BF567" s="24"/>
      <c r="BG567" s="24"/>
      <c r="BH567" s="24"/>
      <c r="BI567" s="24"/>
      <c r="BP567" s="24"/>
      <c r="BQ567" s="24"/>
      <c r="BR567" s="24"/>
      <c r="BS567" s="24"/>
      <c r="BZ567" s="24"/>
      <c r="CA567" s="24"/>
      <c r="CB567" s="24"/>
      <c r="CC567" s="24"/>
      <c r="CD567" s="24"/>
    </row>
    <row r="568" spans="2:82" s="6" customFormat="1">
      <c r="B568" s="21"/>
      <c r="D568" s="17"/>
      <c r="E568" s="23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R568" s="24"/>
      <c r="AS568" s="24"/>
      <c r="AT568" s="24"/>
      <c r="AU568" s="24"/>
      <c r="AV568" s="24"/>
      <c r="AW568" s="24"/>
      <c r="BD568" s="24"/>
      <c r="BE568" s="24"/>
      <c r="BF568" s="24"/>
      <c r="BG568" s="24"/>
      <c r="BH568" s="24"/>
      <c r="BI568" s="24"/>
      <c r="BP568" s="24"/>
      <c r="BQ568" s="24"/>
      <c r="BR568" s="24"/>
      <c r="BS568" s="24"/>
      <c r="BZ568" s="24"/>
      <c r="CA568" s="24"/>
      <c r="CB568" s="24"/>
      <c r="CC568" s="24"/>
      <c r="CD568" s="24"/>
    </row>
    <row r="569" spans="2:82" s="6" customFormat="1">
      <c r="B569" s="21"/>
      <c r="D569" s="17"/>
      <c r="E569" s="23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R569" s="24"/>
      <c r="AS569" s="24"/>
      <c r="AT569" s="24"/>
      <c r="AU569" s="24"/>
      <c r="AV569" s="24"/>
      <c r="AW569" s="24"/>
      <c r="BD569" s="24"/>
      <c r="BE569" s="24"/>
      <c r="BF569" s="24"/>
      <c r="BG569" s="24"/>
      <c r="BH569" s="24"/>
      <c r="BI569" s="24"/>
      <c r="BP569" s="24"/>
      <c r="BQ569" s="24"/>
      <c r="BR569" s="24"/>
      <c r="BS569" s="24"/>
      <c r="BZ569" s="24"/>
      <c r="CA569" s="24"/>
      <c r="CB569" s="24"/>
      <c r="CC569" s="24"/>
      <c r="CD569" s="24"/>
    </row>
    <row r="570" spans="2:82" s="6" customFormat="1">
      <c r="B570" s="21"/>
      <c r="D570" s="17"/>
      <c r="E570" s="23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R570" s="24"/>
      <c r="AS570" s="24"/>
      <c r="AT570" s="24"/>
      <c r="AU570" s="24"/>
      <c r="AV570" s="24"/>
      <c r="AW570" s="24"/>
      <c r="BD570" s="24"/>
      <c r="BE570" s="24"/>
      <c r="BF570" s="24"/>
      <c r="BG570" s="24"/>
      <c r="BH570" s="24"/>
      <c r="BI570" s="24"/>
      <c r="BP570" s="24"/>
      <c r="BQ570" s="24"/>
      <c r="BR570" s="24"/>
      <c r="BS570" s="24"/>
      <c r="BZ570" s="24"/>
      <c r="CA570" s="24"/>
      <c r="CB570" s="24"/>
      <c r="CC570" s="24"/>
      <c r="CD570" s="24"/>
    </row>
    <row r="571" spans="2:82" s="6" customFormat="1">
      <c r="B571" s="21"/>
      <c r="D571" s="17"/>
      <c r="E571" s="23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R571" s="24"/>
      <c r="AS571" s="24"/>
      <c r="AT571" s="24"/>
      <c r="AU571" s="24"/>
      <c r="AV571" s="24"/>
      <c r="AW571" s="24"/>
      <c r="BD571" s="24"/>
      <c r="BE571" s="24"/>
      <c r="BF571" s="24"/>
      <c r="BG571" s="24"/>
      <c r="BH571" s="24"/>
      <c r="BI571" s="24"/>
      <c r="BP571" s="24"/>
      <c r="BQ571" s="24"/>
      <c r="BR571" s="24"/>
      <c r="BS571" s="24"/>
      <c r="BZ571" s="24"/>
      <c r="CA571" s="24"/>
      <c r="CB571" s="24"/>
      <c r="CC571" s="24"/>
      <c r="CD571" s="24"/>
    </row>
    <row r="572" spans="2:82" s="6" customFormat="1">
      <c r="B572" s="21"/>
      <c r="D572" s="17"/>
      <c r="E572" s="23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R572" s="24"/>
      <c r="AS572" s="24"/>
      <c r="AT572" s="24"/>
      <c r="AU572" s="24"/>
      <c r="AV572" s="24"/>
      <c r="AW572" s="24"/>
      <c r="BD572" s="24"/>
      <c r="BE572" s="24"/>
      <c r="BF572" s="24"/>
      <c r="BG572" s="24"/>
      <c r="BH572" s="24"/>
      <c r="BI572" s="24"/>
      <c r="BP572" s="24"/>
      <c r="BQ572" s="24"/>
      <c r="BR572" s="24"/>
      <c r="BS572" s="24"/>
      <c r="BZ572" s="24"/>
      <c r="CA572" s="24"/>
      <c r="CB572" s="24"/>
      <c r="CC572" s="24"/>
      <c r="CD572" s="24"/>
    </row>
    <row r="573" spans="2:82" s="6" customFormat="1">
      <c r="B573" s="21"/>
      <c r="D573" s="17"/>
      <c r="E573" s="23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R573" s="24"/>
      <c r="AS573" s="24"/>
      <c r="AT573" s="24"/>
      <c r="AU573" s="24"/>
      <c r="AV573" s="24"/>
      <c r="AW573" s="24"/>
      <c r="BD573" s="24"/>
      <c r="BE573" s="24"/>
      <c r="BF573" s="24"/>
      <c r="BG573" s="24"/>
      <c r="BH573" s="24"/>
      <c r="BI573" s="24"/>
      <c r="BP573" s="24"/>
      <c r="BQ573" s="24"/>
      <c r="BR573" s="24"/>
      <c r="BS573" s="24"/>
      <c r="BZ573" s="24"/>
      <c r="CA573" s="24"/>
      <c r="CB573" s="24"/>
      <c r="CC573" s="24"/>
      <c r="CD573" s="24"/>
    </row>
    <row r="574" spans="2:82" s="6" customFormat="1">
      <c r="B574" s="21"/>
      <c r="D574" s="17"/>
      <c r="E574" s="23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R574" s="24"/>
      <c r="AS574" s="24"/>
      <c r="AT574" s="24"/>
      <c r="AU574" s="24"/>
      <c r="AV574" s="24"/>
      <c r="AW574" s="24"/>
      <c r="BD574" s="24"/>
      <c r="BE574" s="24"/>
      <c r="BF574" s="24"/>
      <c r="BG574" s="24"/>
      <c r="BH574" s="24"/>
      <c r="BI574" s="24"/>
      <c r="BP574" s="24"/>
      <c r="BQ574" s="24"/>
      <c r="BR574" s="24"/>
      <c r="BS574" s="24"/>
      <c r="BZ574" s="24"/>
      <c r="CA574" s="24"/>
      <c r="CB574" s="24"/>
      <c r="CC574" s="24"/>
      <c r="CD574" s="24"/>
    </row>
    <row r="575" spans="2:82" s="6" customFormat="1">
      <c r="B575" s="21"/>
      <c r="D575" s="17"/>
      <c r="E575" s="23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R575" s="24"/>
      <c r="AS575" s="24"/>
      <c r="AT575" s="24"/>
      <c r="AU575" s="24"/>
      <c r="AV575" s="24"/>
      <c r="AW575" s="24"/>
      <c r="BD575" s="24"/>
      <c r="BE575" s="24"/>
      <c r="BF575" s="24"/>
      <c r="BG575" s="24"/>
      <c r="BH575" s="24"/>
      <c r="BI575" s="24"/>
      <c r="BP575" s="24"/>
      <c r="BQ575" s="24"/>
      <c r="BR575" s="24"/>
      <c r="BS575" s="24"/>
      <c r="BZ575" s="24"/>
      <c r="CA575" s="24"/>
      <c r="CB575" s="24"/>
      <c r="CC575" s="24"/>
      <c r="CD575" s="24"/>
    </row>
    <row r="576" spans="2:82" s="6" customFormat="1">
      <c r="B576" s="21"/>
      <c r="D576" s="17"/>
      <c r="E576" s="23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R576" s="24"/>
      <c r="AS576" s="24"/>
      <c r="AT576" s="24"/>
      <c r="AU576" s="24"/>
      <c r="AV576" s="24"/>
      <c r="AW576" s="24"/>
      <c r="BD576" s="24"/>
      <c r="BE576" s="24"/>
      <c r="BF576" s="24"/>
      <c r="BG576" s="24"/>
      <c r="BH576" s="24"/>
      <c r="BI576" s="24"/>
      <c r="BP576" s="24"/>
      <c r="BQ576" s="24"/>
      <c r="BR576" s="24"/>
      <c r="BS576" s="24"/>
      <c r="BZ576" s="24"/>
      <c r="CA576" s="24"/>
      <c r="CB576" s="24"/>
      <c r="CC576" s="24"/>
      <c r="CD576" s="24"/>
    </row>
    <row r="577" spans="2:82" s="6" customFormat="1">
      <c r="B577" s="21"/>
      <c r="D577" s="17"/>
      <c r="E577" s="23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R577" s="24"/>
      <c r="AS577" s="24"/>
      <c r="AT577" s="24"/>
      <c r="AU577" s="24"/>
      <c r="AV577" s="24"/>
      <c r="AW577" s="24"/>
      <c r="BD577" s="24"/>
      <c r="BE577" s="24"/>
      <c r="BF577" s="24"/>
      <c r="BG577" s="24"/>
      <c r="BH577" s="24"/>
      <c r="BI577" s="24"/>
      <c r="BP577" s="24"/>
      <c r="BQ577" s="24"/>
      <c r="BR577" s="24"/>
      <c r="BS577" s="24"/>
      <c r="BZ577" s="24"/>
      <c r="CA577" s="24"/>
      <c r="CB577" s="24"/>
      <c r="CC577" s="24"/>
      <c r="CD577" s="24"/>
    </row>
    <row r="578" spans="2:82" s="6" customFormat="1">
      <c r="B578" s="21"/>
      <c r="D578" s="17"/>
      <c r="E578" s="23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R578" s="24"/>
      <c r="AS578" s="24"/>
      <c r="AT578" s="24"/>
      <c r="AU578" s="24"/>
      <c r="AV578" s="24"/>
      <c r="AW578" s="24"/>
      <c r="BD578" s="24"/>
      <c r="BE578" s="24"/>
      <c r="BF578" s="24"/>
      <c r="BG578" s="24"/>
      <c r="BH578" s="24"/>
      <c r="BI578" s="24"/>
      <c r="BP578" s="24"/>
      <c r="BQ578" s="24"/>
      <c r="BR578" s="24"/>
      <c r="BS578" s="24"/>
      <c r="BZ578" s="24"/>
      <c r="CA578" s="24"/>
      <c r="CB578" s="24"/>
      <c r="CC578" s="24"/>
      <c r="CD578" s="24"/>
    </row>
    <row r="579" spans="2:82" s="6" customFormat="1">
      <c r="B579" s="21"/>
      <c r="D579" s="17"/>
      <c r="E579" s="23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R579" s="24"/>
      <c r="AS579" s="24"/>
      <c r="AT579" s="24"/>
      <c r="AU579" s="24"/>
      <c r="AV579" s="24"/>
      <c r="AW579" s="24"/>
      <c r="BD579" s="24"/>
      <c r="BE579" s="24"/>
      <c r="BF579" s="24"/>
      <c r="BG579" s="24"/>
      <c r="BH579" s="24"/>
      <c r="BI579" s="24"/>
      <c r="BP579" s="24"/>
      <c r="BQ579" s="24"/>
      <c r="BR579" s="24"/>
      <c r="BS579" s="24"/>
      <c r="BZ579" s="24"/>
      <c r="CA579" s="24"/>
      <c r="CB579" s="24"/>
      <c r="CC579" s="24"/>
      <c r="CD579" s="24"/>
    </row>
    <row r="580" spans="2:82" s="6" customFormat="1">
      <c r="B580" s="21"/>
      <c r="D580" s="17"/>
      <c r="E580" s="23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R580" s="24"/>
      <c r="AS580" s="24"/>
      <c r="AT580" s="24"/>
      <c r="AU580" s="24"/>
      <c r="AV580" s="24"/>
      <c r="AW580" s="24"/>
      <c r="BD580" s="24"/>
      <c r="BE580" s="24"/>
      <c r="BF580" s="24"/>
      <c r="BG580" s="24"/>
      <c r="BH580" s="24"/>
      <c r="BI580" s="24"/>
      <c r="BP580" s="24"/>
      <c r="BQ580" s="24"/>
      <c r="BR580" s="24"/>
      <c r="BS580" s="24"/>
      <c r="BZ580" s="24"/>
      <c r="CA580" s="24"/>
      <c r="CB580" s="24"/>
      <c r="CC580" s="24"/>
      <c r="CD580" s="24"/>
    </row>
    <row r="581" spans="2:82" s="6" customFormat="1">
      <c r="B581" s="21"/>
      <c r="D581" s="17"/>
      <c r="E581" s="23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R581" s="24"/>
      <c r="AS581" s="24"/>
      <c r="AT581" s="24"/>
      <c r="AU581" s="24"/>
      <c r="AV581" s="24"/>
      <c r="AW581" s="24"/>
      <c r="BD581" s="24"/>
      <c r="BE581" s="24"/>
      <c r="BF581" s="24"/>
      <c r="BG581" s="24"/>
      <c r="BH581" s="24"/>
      <c r="BI581" s="24"/>
      <c r="BP581" s="24"/>
      <c r="BQ581" s="24"/>
      <c r="BR581" s="24"/>
      <c r="BS581" s="24"/>
      <c r="BZ581" s="24"/>
      <c r="CA581" s="24"/>
      <c r="CB581" s="24"/>
      <c r="CC581" s="24"/>
      <c r="CD581" s="24"/>
    </row>
    <row r="582" spans="2:82" s="6" customFormat="1">
      <c r="B582" s="21"/>
      <c r="D582" s="17"/>
      <c r="E582" s="23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R582" s="24"/>
      <c r="AS582" s="24"/>
      <c r="AT582" s="24"/>
      <c r="AU582" s="24"/>
      <c r="AV582" s="24"/>
      <c r="AW582" s="24"/>
      <c r="BD582" s="24"/>
      <c r="BE582" s="24"/>
      <c r="BF582" s="24"/>
      <c r="BG582" s="24"/>
      <c r="BH582" s="24"/>
      <c r="BI582" s="24"/>
      <c r="BP582" s="24"/>
      <c r="BQ582" s="24"/>
      <c r="BR582" s="24"/>
      <c r="BS582" s="24"/>
      <c r="BZ582" s="24"/>
      <c r="CA582" s="24"/>
      <c r="CB582" s="24"/>
      <c r="CC582" s="24"/>
      <c r="CD582" s="24"/>
    </row>
    <row r="583" spans="2:82" s="6" customFormat="1">
      <c r="B583" s="21"/>
      <c r="D583" s="17"/>
      <c r="E583" s="23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R583" s="24"/>
      <c r="AS583" s="24"/>
      <c r="AT583" s="24"/>
      <c r="AU583" s="24"/>
      <c r="AV583" s="24"/>
      <c r="AW583" s="24"/>
      <c r="BD583" s="24"/>
      <c r="BE583" s="24"/>
      <c r="BF583" s="24"/>
      <c r="BG583" s="24"/>
      <c r="BH583" s="24"/>
      <c r="BI583" s="24"/>
      <c r="BP583" s="24"/>
      <c r="BQ583" s="24"/>
      <c r="BR583" s="24"/>
      <c r="BS583" s="24"/>
      <c r="BZ583" s="24"/>
      <c r="CA583" s="24"/>
      <c r="CB583" s="24"/>
      <c r="CC583" s="24"/>
      <c r="CD583" s="24"/>
    </row>
    <row r="584" spans="2:82" s="6" customFormat="1">
      <c r="B584" s="21"/>
      <c r="D584" s="17"/>
      <c r="E584" s="23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R584" s="24"/>
      <c r="AS584" s="24"/>
      <c r="AT584" s="24"/>
      <c r="AU584" s="24"/>
      <c r="AV584" s="24"/>
      <c r="AW584" s="24"/>
      <c r="BD584" s="24"/>
      <c r="BE584" s="24"/>
      <c r="BF584" s="24"/>
      <c r="BG584" s="24"/>
      <c r="BH584" s="24"/>
      <c r="BI584" s="24"/>
      <c r="BP584" s="24"/>
      <c r="BQ584" s="24"/>
      <c r="BR584" s="24"/>
      <c r="BS584" s="24"/>
      <c r="BZ584" s="24"/>
      <c r="CA584" s="24"/>
      <c r="CB584" s="24"/>
      <c r="CC584" s="24"/>
      <c r="CD584" s="24"/>
    </row>
    <row r="585" spans="2:82" s="6" customFormat="1">
      <c r="B585" s="21"/>
      <c r="D585" s="17"/>
      <c r="E585" s="23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R585" s="24"/>
      <c r="AS585" s="24"/>
      <c r="AT585" s="24"/>
      <c r="AU585" s="24"/>
      <c r="AV585" s="24"/>
      <c r="AW585" s="24"/>
      <c r="BD585" s="24"/>
      <c r="BE585" s="24"/>
      <c r="BF585" s="24"/>
      <c r="BG585" s="24"/>
      <c r="BH585" s="24"/>
      <c r="BI585" s="24"/>
      <c r="BP585" s="24"/>
      <c r="BQ585" s="24"/>
      <c r="BR585" s="24"/>
      <c r="BS585" s="24"/>
      <c r="BZ585" s="24"/>
      <c r="CA585" s="24"/>
      <c r="CB585" s="24"/>
      <c r="CC585" s="24"/>
      <c r="CD585" s="24"/>
    </row>
    <row r="586" spans="2:82" s="6" customFormat="1">
      <c r="B586" s="21"/>
      <c r="D586" s="17"/>
      <c r="E586" s="23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R586" s="24"/>
      <c r="AS586" s="24"/>
      <c r="AT586" s="24"/>
      <c r="AU586" s="24"/>
      <c r="AV586" s="24"/>
      <c r="AW586" s="24"/>
      <c r="BD586" s="24"/>
      <c r="BE586" s="24"/>
      <c r="BF586" s="24"/>
      <c r="BG586" s="24"/>
      <c r="BH586" s="24"/>
      <c r="BI586" s="24"/>
      <c r="BP586" s="24"/>
      <c r="BQ586" s="24"/>
      <c r="BR586" s="24"/>
      <c r="BS586" s="24"/>
      <c r="BZ586" s="24"/>
      <c r="CA586" s="24"/>
      <c r="CB586" s="24"/>
      <c r="CC586" s="24"/>
      <c r="CD586" s="24"/>
    </row>
    <row r="587" spans="2:82" s="6" customFormat="1">
      <c r="B587" s="21"/>
      <c r="D587" s="17"/>
      <c r="E587" s="23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R587" s="24"/>
      <c r="AS587" s="24"/>
      <c r="AT587" s="24"/>
      <c r="AU587" s="24"/>
      <c r="AV587" s="24"/>
      <c r="AW587" s="24"/>
      <c r="BD587" s="24"/>
      <c r="BE587" s="24"/>
      <c r="BF587" s="24"/>
      <c r="BG587" s="24"/>
      <c r="BH587" s="24"/>
      <c r="BI587" s="24"/>
      <c r="BP587" s="24"/>
      <c r="BQ587" s="24"/>
      <c r="BR587" s="24"/>
      <c r="BS587" s="24"/>
      <c r="BZ587" s="24"/>
      <c r="CA587" s="24"/>
      <c r="CB587" s="24"/>
      <c r="CC587" s="24"/>
      <c r="CD587" s="24"/>
    </row>
    <row r="588" spans="2:82" s="6" customFormat="1">
      <c r="B588" s="21"/>
      <c r="D588" s="17"/>
      <c r="E588" s="23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R588" s="24"/>
      <c r="AS588" s="24"/>
      <c r="AT588" s="24"/>
      <c r="AU588" s="24"/>
      <c r="AV588" s="24"/>
      <c r="AW588" s="24"/>
      <c r="BD588" s="24"/>
      <c r="BE588" s="24"/>
      <c r="BF588" s="24"/>
      <c r="BG588" s="24"/>
      <c r="BH588" s="24"/>
      <c r="BI588" s="24"/>
      <c r="BP588" s="24"/>
      <c r="BQ588" s="24"/>
      <c r="BR588" s="24"/>
      <c r="BS588" s="24"/>
      <c r="BZ588" s="24"/>
      <c r="CA588" s="24"/>
      <c r="CB588" s="24"/>
      <c r="CC588" s="24"/>
      <c r="CD588" s="24"/>
    </row>
    <row r="589" spans="2:82" s="6" customFormat="1">
      <c r="B589" s="21"/>
      <c r="D589" s="17"/>
      <c r="E589" s="23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R589" s="24"/>
      <c r="AS589" s="24"/>
      <c r="AT589" s="24"/>
      <c r="AU589" s="24"/>
      <c r="AV589" s="24"/>
      <c r="AW589" s="24"/>
      <c r="BD589" s="24"/>
      <c r="BE589" s="24"/>
      <c r="BF589" s="24"/>
      <c r="BG589" s="24"/>
      <c r="BH589" s="24"/>
      <c r="BI589" s="24"/>
      <c r="BP589" s="24"/>
      <c r="BQ589" s="24"/>
      <c r="BR589" s="24"/>
      <c r="BS589" s="24"/>
      <c r="BZ589" s="24"/>
      <c r="CA589" s="24"/>
      <c r="CB589" s="24"/>
      <c r="CC589" s="24"/>
      <c r="CD589" s="24"/>
    </row>
    <row r="590" spans="2:82" s="6" customFormat="1">
      <c r="B590" s="21"/>
      <c r="D590" s="17"/>
      <c r="E590" s="23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R590" s="24"/>
      <c r="AS590" s="24"/>
      <c r="AT590" s="24"/>
      <c r="AU590" s="24"/>
      <c r="AV590" s="24"/>
      <c r="AW590" s="24"/>
      <c r="BD590" s="24"/>
      <c r="BE590" s="24"/>
      <c r="BF590" s="24"/>
      <c r="BG590" s="24"/>
      <c r="BH590" s="24"/>
      <c r="BI590" s="24"/>
      <c r="BP590" s="24"/>
      <c r="BQ590" s="24"/>
      <c r="BR590" s="24"/>
      <c r="BS590" s="24"/>
      <c r="BZ590" s="24"/>
      <c r="CA590" s="24"/>
      <c r="CB590" s="24"/>
      <c r="CC590" s="24"/>
      <c r="CD590" s="24"/>
    </row>
    <row r="591" spans="2:82" s="6" customFormat="1">
      <c r="B591" s="21"/>
      <c r="D591" s="17"/>
      <c r="E591" s="23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R591" s="24"/>
      <c r="AS591" s="24"/>
      <c r="AT591" s="24"/>
      <c r="AU591" s="24"/>
      <c r="AV591" s="24"/>
      <c r="AW591" s="24"/>
      <c r="BD591" s="24"/>
      <c r="BE591" s="24"/>
      <c r="BF591" s="24"/>
      <c r="BG591" s="24"/>
      <c r="BH591" s="24"/>
      <c r="BI591" s="24"/>
      <c r="BP591" s="24"/>
      <c r="BQ591" s="24"/>
      <c r="BR591" s="24"/>
      <c r="BS591" s="24"/>
      <c r="BZ591" s="24"/>
      <c r="CA591" s="24"/>
      <c r="CB591" s="24"/>
      <c r="CC591" s="24"/>
      <c r="CD591" s="24"/>
    </row>
    <row r="592" spans="2:82" s="6" customFormat="1">
      <c r="B592" s="21"/>
      <c r="D592" s="17"/>
      <c r="E592" s="23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R592" s="24"/>
      <c r="AS592" s="24"/>
      <c r="AT592" s="24"/>
      <c r="AU592" s="24"/>
      <c r="AV592" s="24"/>
      <c r="AW592" s="24"/>
      <c r="BD592" s="24"/>
      <c r="BE592" s="24"/>
      <c r="BF592" s="24"/>
      <c r="BG592" s="24"/>
      <c r="BH592" s="24"/>
      <c r="BI592" s="24"/>
      <c r="BP592" s="24"/>
      <c r="BQ592" s="24"/>
      <c r="BR592" s="24"/>
      <c r="BS592" s="24"/>
      <c r="BZ592" s="24"/>
      <c r="CA592" s="24"/>
      <c r="CB592" s="24"/>
      <c r="CC592" s="24"/>
      <c r="CD592" s="24"/>
    </row>
    <row r="593" spans="2:82" s="6" customFormat="1">
      <c r="B593" s="21"/>
      <c r="D593" s="17"/>
      <c r="E593" s="23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R593" s="24"/>
      <c r="AS593" s="24"/>
      <c r="AT593" s="24"/>
      <c r="AU593" s="24"/>
      <c r="AV593" s="24"/>
      <c r="AW593" s="24"/>
      <c r="BD593" s="24"/>
      <c r="BE593" s="24"/>
      <c r="BF593" s="24"/>
      <c r="BG593" s="24"/>
      <c r="BH593" s="24"/>
      <c r="BI593" s="24"/>
      <c r="BP593" s="24"/>
      <c r="BQ593" s="24"/>
      <c r="BR593" s="24"/>
      <c r="BS593" s="24"/>
      <c r="BZ593" s="24"/>
      <c r="CA593" s="24"/>
      <c r="CB593" s="24"/>
      <c r="CC593" s="24"/>
      <c r="CD593" s="24"/>
    </row>
    <row r="594" spans="2:82" s="6" customFormat="1">
      <c r="B594" s="21"/>
      <c r="D594" s="17"/>
      <c r="E594" s="23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R594" s="24"/>
      <c r="AS594" s="24"/>
      <c r="AT594" s="24"/>
      <c r="AU594" s="24"/>
      <c r="AV594" s="24"/>
      <c r="AW594" s="24"/>
      <c r="BD594" s="24"/>
      <c r="BE594" s="24"/>
      <c r="BF594" s="24"/>
      <c r="BG594" s="24"/>
      <c r="BH594" s="24"/>
      <c r="BI594" s="24"/>
      <c r="BP594" s="24"/>
      <c r="BQ594" s="24"/>
      <c r="BR594" s="24"/>
      <c r="BS594" s="24"/>
      <c r="BZ594" s="24"/>
      <c r="CA594" s="24"/>
      <c r="CB594" s="24"/>
      <c r="CC594" s="24"/>
      <c r="CD594" s="24"/>
    </row>
    <row r="595" spans="2:82" s="6" customFormat="1">
      <c r="B595" s="21"/>
      <c r="D595" s="17"/>
      <c r="E595" s="23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R595" s="24"/>
      <c r="AS595" s="24"/>
      <c r="AT595" s="24"/>
      <c r="AU595" s="24"/>
      <c r="AV595" s="24"/>
      <c r="AW595" s="24"/>
      <c r="BD595" s="24"/>
      <c r="BE595" s="24"/>
      <c r="BF595" s="24"/>
      <c r="BG595" s="24"/>
      <c r="BH595" s="24"/>
      <c r="BI595" s="24"/>
      <c r="BP595" s="24"/>
      <c r="BQ595" s="24"/>
      <c r="BR595" s="24"/>
      <c r="BS595" s="24"/>
      <c r="BZ595" s="24"/>
      <c r="CA595" s="24"/>
      <c r="CB595" s="24"/>
      <c r="CC595" s="24"/>
      <c r="CD595" s="24"/>
    </row>
    <row r="596" spans="2:82" s="6" customFormat="1">
      <c r="B596" s="21"/>
      <c r="D596" s="17"/>
      <c r="E596" s="23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R596" s="24"/>
      <c r="AS596" s="24"/>
      <c r="AT596" s="24"/>
      <c r="AU596" s="24"/>
      <c r="AV596" s="24"/>
      <c r="AW596" s="24"/>
      <c r="BD596" s="24"/>
      <c r="BE596" s="24"/>
      <c r="BF596" s="24"/>
      <c r="BG596" s="24"/>
      <c r="BH596" s="24"/>
      <c r="BI596" s="24"/>
      <c r="BP596" s="24"/>
      <c r="BQ596" s="24"/>
      <c r="BR596" s="24"/>
      <c r="BS596" s="24"/>
      <c r="BZ596" s="24"/>
      <c r="CA596" s="24"/>
      <c r="CB596" s="24"/>
      <c r="CC596" s="24"/>
      <c r="CD596" s="24"/>
    </row>
    <row r="597" spans="2:82" s="6" customFormat="1">
      <c r="B597" s="21"/>
      <c r="D597" s="17"/>
      <c r="E597" s="23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R597" s="24"/>
      <c r="AS597" s="24"/>
      <c r="AT597" s="24"/>
      <c r="AU597" s="24"/>
      <c r="AV597" s="24"/>
      <c r="AW597" s="24"/>
      <c r="BD597" s="24"/>
      <c r="BE597" s="24"/>
      <c r="BF597" s="24"/>
      <c r="BG597" s="24"/>
      <c r="BH597" s="24"/>
      <c r="BI597" s="24"/>
      <c r="BP597" s="24"/>
      <c r="BQ597" s="24"/>
      <c r="BR597" s="24"/>
      <c r="BS597" s="24"/>
      <c r="BZ597" s="24"/>
      <c r="CA597" s="24"/>
      <c r="CB597" s="24"/>
      <c r="CC597" s="24"/>
      <c r="CD597" s="24"/>
    </row>
    <row r="598" spans="2:82" s="6" customFormat="1">
      <c r="B598" s="21"/>
      <c r="D598" s="17"/>
      <c r="E598" s="23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R598" s="24"/>
      <c r="AS598" s="24"/>
      <c r="AT598" s="24"/>
      <c r="AU598" s="24"/>
      <c r="AV598" s="24"/>
      <c r="AW598" s="24"/>
      <c r="BD598" s="24"/>
      <c r="BE598" s="24"/>
      <c r="BF598" s="24"/>
      <c r="BG598" s="24"/>
      <c r="BH598" s="24"/>
      <c r="BI598" s="24"/>
      <c r="BP598" s="24"/>
      <c r="BQ598" s="24"/>
      <c r="BR598" s="24"/>
      <c r="BS598" s="24"/>
      <c r="BZ598" s="24"/>
      <c r="CA598" s="24"/>
      <c r="CB598" s="24"/>
      <c r="CC598" s="24"/>
      <c r="CD598" s="24"/>
    </row>
    <row r="599" spans="2:82" s="6" customFormat="1">
      <c r="B599" s="21"/>
      <c r="D599" s="17"/>
      <c r="E599" s="23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R599" s="24"/>
      <c r="AS599" s="24"/>
      <c r="AT599" s="24"/>
      <c r="AU599" s="24"/>
      <c r="AV599" s="24"/>
      <c r="AW599" s="24"/>
      <c r="BD599" s="24"/>
      <c r="BE599" s="24"/>
      <c r="BF599" s="24"/>
      <c r="BG599" s="24"/>
      <c r="BH599" s="24"/>
      <c r="BI599" s="24"/>
      <c r="BP599" s="24"/>
      <c r="BQ599" s="24"/>
      <c r="BR599" s="24"/>
      <c r="BS599" s="24"/>
      <c r="BZ599" s="24"/>
      <c r="CA599" s="24"/>
      <c r="CB599" s="24"/>
      <c r="CC599" s="24"/>
      <c r="CD599" s="24"/>
    </row>
    <row r="600" spans="2:82" s="6" customFormat="1">
      <c r="B600" s="21"/>
      <c r="D600" s="17"/>
      <c r="E600" s="23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R600" s="24"/>
      <c r="AS600" s="24"/>
      <c r="AT600" s="24"/>
      <c r="AU600" s="24"/>
      <c r="AV600" s="24"/>
      <c r="AW600" s="24"/>
      <c r="BD600" s="24"/>
      <c r="BE600" s="24"/>
      <c r="BF600" s="24"/>
      <c r="BG600" s="24"/>
      <c r="BH600" s="24"/>
      <c r="BI600" s="24"/>
      <c r="BP600" s="24"/>
      <c r="BQ600" s="24"/>
      <c r="BR600" s="24"/>
      <c r="BS600" s="24"/>
      <c r="BZ600" s="24"/>
      <c r="CA600" s="24"/>
      <c r="CB600" s="24"/>
      <c r="CC600" s="24"/>
      <c r="CD600" s="24"/>
    </row>
    <row r="601" spans="2:82" s="6" customFormat="1">
      <c r="B601" s="21"/>
      <c r="D601" s="17"/>
      <c r="E601" s="23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R601" s="24"/>
      <c r="AS601" s="24"/>
      <c r="AT601" s="24"/>
      <c r="AU601" s="24"/>
      <c r="AV601" s="24"/>
      <c r="AW601" s="24"/>
      <c r="BD601" s="24"/>
      <c r="BE601" s="24"/>
      <c r="BF601" s="24"/>
      <c r="BG601" s="24"/>
      <c r="BH601" s="24"/>
      <c r="BI601" s="24"/>
      <c r="BP601" s="24"/>
      <c r="BQ601" s="24"/>
      <c r="BR601" s="24"/>
      <c r="BS601" s="24"/>
      <c r="BZ601" s="24"/>
      <c r="CA601" s="24"/>
      <c r="CB601" s="24"/>
      <c r="CC601" s="24"/>
      <c r="CD601" s="24"/>
    </row>
    <row r="602" spans="2:82" s="6" customFormat="1">
      <c r="B602" s="21"/>
      <c r="D602" s="17"/>
      <c r="E602" s="23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R602" s="24"/>
      <c r="AS602" s="24"/>
      <c r="AT602" s="24"/>
      <c r="AU602" s="24"/>
      <c r="AV602" s="24"/>
      <c r="AW602" s="24"/>
      <c r="BD602" s="24"/>
      <c r="BE602" s="24"/>
      <c r="BF602" s="24"/>
      <c r="BG602" s="24"/>
      <c r="BH602" s="24"/>
      <c r="BI602" s="24"/>
      <c r="BP602" s="24"/>
      <c r="BQ602" s="24"/>
      <c r="BR602" s="24"/>
      <c r="BS602" s="24"/>
      <c r="BZ602" s="24"/>
      <c r="CA602" s="24"/>
      <c r="CB602" s="24"/>
      <c r="CC602" s="24"/>
      <c r="CD602" s="24"/>
    </row>
    <row r="603" spans="2:82" s="6" customFormat="1">
      <c r="B603" s="21"/>
      <c r="D603" s="17"/>
      <c r="E603" s="23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R603" s="24"/>
      <c r="AS603" s="24"/>
      <c r="AT603" s="24"/>
      <c r="AU603" s="24"/>
      <c r="AV603" s="24"/>
      <c r="AW603" s="24"/>
      <c r="BD603" s="24"/>
      <c r="BE603" s="24"/>
      <c r="BF603" s="24"/>
      <c r="BG603" s="24"/>
      <c r="BH603" s="24"/>
      <c r="BI603" s="24"/>
      <c r="BP603" s="24"/>
      <c r="BQ603" s="24"/>
      <c r="BR603" s="24"/>
      <c r="BS603" s="24"/>
      <c r="BZ603" s="24"/>
      <c r="CA603" s="24"/>
      <c r="CB603" s="24"/>
      <c r="CC603" s="24"/>
      <c r="CD603" s="24"/>
    </row>
    <row r="604" spans="2:82" s="6" customFormat="1">
      <c r="B604" s="21"/>
      <c r="D604" s="17"/>
      <c r="E604" s="23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R604" s="24"/>
      <c r="AS604" s="24"/>
      <c r="AT604" s="24"/>
      <c r="AU604" s="24"/>
      <c r="AV604" s="24"/>
      <c r="AW604" s="24"/>
      <c r="BD604" s="24"/>
      <c r="BE604" s="24"/>
      <c r="BF604" s="24"/>
      <c r="BG604" s="24"/>
      <c r="BH604" s="24"/>
      <c r="BI604" s="24"/>
      <c r="BP604" s="24"/>
      <c r="BQ604" s="24"/>
      <c r="BR604" s="24"/>
      <c r="BS604" s="24"/>
      <c r="BZ604" s="24"/>
      <c r="CA604" s="24"/>
      <c r="CB604" s="24"/>
      <c r="CC604" s="24"/>
      <c r="CD604" s="24"/>
    </row>
    <row r="605" spans="2:82" s="6" customFormat="1">
      <c r="B605" s="21"/>
      <c r="D605" s="17"/>
      <c r="E605" s="23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R605" s="24"/>
      <c r="AS605" s="24"/>
      <c r="AT605" s="24"/>
      <c r="AU605" s="24"/>
      <c r="AV605" s="24"/>
      <c r="AW605" s="24"/>
      <c r="BD605" s="24"/>
      <c r="BE605" s="24"/>
      <c r="BF605" s="24"/>
      <c r="BG605" s="24"/>
      <c r="BH605" s="24"/>
      <c r="BI605" s="24"/>
      <c r="BP605" s="24"/>
      <c r="BQ605" s="24"/>
      <c r="BR605" s="24"/>
      <c r="BS605" s="24"/>
      <c r="BZ605" s="24"/>
      <c r="CA605" s="24"/>
      <c r="CB605" s="24"/>
      <c r="CC605" s="24"/>
      <c r="CD605" s="24"/>
    </row>
    <row r="606" spans="2:82" s="6" customFormat="1">
      <c r="B606" s="21"/>
      <c r="D606" s="17"/>
      <c r="E606" s="23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R606" s="24"/>
      <c r="AS606" s="24"/>
      <c r="AT606" s="24"/>
      <c r="AU606" s="24"/>
      <c r="AV606" s="24"/>
      <c r="AW606" s="24"/>
      <c r="BD606" s="24"/>
      <c r="BE606" s="24"/>
      <c r="BF606" s="24"/>
      <c r="BG606" s="24"/>
      <c r="BH606" s="24"/>
      <c r="BI606" s="24"/>
      <c r="BP606" s="24"/>
      <c r="BQ606" s="24"/>
      <c r="BR606" s="24"/>
      <c r="BS606" s="24"/>
      <c r="BZ606" s="24"/>
      <c r="CA606" s="24"/>
      <c r="CB606" s="24"/>
      <c r="CC606" s="24"/>
      <c r="CD606" s="24"/>
    </row>
    <row r="607" spans="2:82" s="6" customFormat="1">
      <c r="B607" s="21"/>
      <c r="D607" s="17"/>
      <c r="E607" s="23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R607" s="24"/>
      <c r="AS607" s="24"/>
      <c r="AT607" s="24"/>
      <c r="AU607" s="24"/>
      <c r="AV607" s="24"/>
      <c r="AW607" s="24"/>
      <c r="BD607" s="24"/>
      <c r="BE607" s="24"/>
      <c r="BF607" s="24"/>
      <c r="BG607" s="24"/>
      <c r="BH607" s="24"/>
      <c r="BI607" s="24"/>
      <c r="BP607" s="24"/>
      <c r="BQ607" s="24"/>
      <c r="BR607" s="24"/>
      <c r="BS607" s="24"/>
      <c r="BZ607" s="24"/>
      <c r="CA607" s="24"/>
      <c r="CB607" s="24"/>
      <c r="CC607" s="24"/>
      <c r="CD607" s="24"/>
    </row>
    <row r="608" spans="2:82" s="6" customFormat="1">
      <c r="B608" s="21"/>
      <c r="D608" s="17"/>
      <c r="E608" s="23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R608" s="24"/>
      <c r="AS608" s="24"/>
      <c r="AT608" s="24"/>
      <c r="AU608" s="24"/>
      <c r="AV608" s="24"/>
      <c r="AW608" s="24"/>
      <c r="BD608" s="24"/>
      <c r="BE608" s="24"/>
      <c r="BF608" s="24"/>
      <c r="BG608" s="24"/>
      <c r="BH608" s="24"/>
      <c r="BI608" s="24"/>
      <c r="BP608" s="24"/>
      <c r="BQ608" s="24"/>
      <c r="BR608" s="24"/>
      <c r="BS608" s="24"/>
      <c r="BZ608" s="24"/>
      <c r="CA608" s="24"/>
      <c r="CB608" s="24"/>
      <c r="CC608" s="24"/>
      <c r="CD608" s="24"/>
    </row>
    <row r="609" spans="2:82" s="6" customFormat="1">
      <c r="B609" s="21"/>
      <c r="D609" s="17"/>
      <c r="E609" s="23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R609" s="24"/>
      <c r="AS609" s="24"/>
      <c r="AT609" s="24"/>
      <c r="AU609" s="24"/>
      <c r="AV609" s="24"/>
      <c r="AW609" s="24"/>
      <c r="BD609" s="24"/>
      <c r="BE609" s="24"/>
      <c r="BF609" s="24"/>
      <c r="BG609" s="24"/>
      <c r="BH609" s="24"/>
      <c r="BI609" s="24"/>
      <c r="BP609" s="24"/>
      <c r="BQ609" s="24"/>
      <c r="BR609" s="24"/>
      <c r="BS609" s="24"/>
      <c r="BZ609" s="24"/>
      <c r="CA609" s="24"/>
      <c r="CB609" s="24"/>
      <c r="CC609" s="24"/>
      <c r="CD609" s="24"/>
    </row>
    <row r="610" spans="2:82" s="6" customFormat="1">
      <c r="B610" s="21"/>
      <c r="D610" s="17"/>
      <c r="E610" s="23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R610" s="24"/>
      <c r="AS610" s="24"/>
      <c r="AT610" s="24"/>
      <c r="AU610" s="24"/>
      <c r="AV610" s="24"/>
      <c r="AW610" s="24"/>
      <c r="BD610" s="24"/>
      <c r="BE610" s="24"/>
      <c r="BF610" s="24"/>
      <c r="BG610" s="24"/>
      <c r="BH610" s="24"/>
      <c r="BI610" s="24"/>
      <c r="BP610" s="24"/>
      <c r="BQ610" s="24"/>
      <c r="BR610" s="24"/>
      <c r="BS610" s="24"/>
      <c r="BZ610" s="24"/>
      <c r="CA610" s="24"/>
      <c r="CB610" s="24"/>
      <c r="CC610" s="24"/>
      <c r="CD610" s="24"/>
    </row>
    <row r="611" spans="2:82" s="6" customFormat="1">
      <c r="B611" s="21"/>
      <c r="D611" s="17"/>
      <c r="E611" s="23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R611" s="24"/>
      <c r="AS611" s="24"/>
      <c r="AT611" s="24"/>
      <c r="AU611" s="24"/>
      <c r="AV611" s="24"/>
      <c r="AW611" s="24"/>
      <c r="BD611" s="24"/>
      <c r="BE611" s="24"/>
      <c r="BF611" s="24"/>
      <c r="BG611" s="24"/>
      <c r="BH611" s="24"/>
      <c r="BI611" s="24"/>
      <c r="BP611" s="24"/>
      <c r="BQ611" s="24"/>
      <c r="BR611" s="24"/>
      <c r="BS611" s="24"/>
      <c r="BZ611" s="24"/>
      <c r="CA611" s="24"/>
      <c r="CB611" s="24"/>
      <c r="CC611" s="24"/>
      <c r="CD611" s="24"/>
    </row>
    <row r="612" spans="2:82" s="6" customFormat="1">
      <c r="B612" s="21"/>
      <c r="D612" s="17"/>
      <c r="E612" s="23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R612" s="24"/>
      <c r="AS612" s="24"/>
      <c r="AT612" s="24"/>
      <c r="AU612" s="24"/>
      <c r="AV612" s="24"/>
      <c r="AW612" s="24"/>
      <c r="BD612" s="24"/>
      <c r="BE612" s="24"/>
      <c r="BF612" s="24"/>
      <c r="BG612" s="24"/>
      <c r="BH612" s="24"/>
      <c r="BI612" s="24"/>
      <c r="BP612" s="24"/>
      <c r="BQ612" s="24"/>
      <c r="BR612" s="24"/>
      <c r="BS612" s="24"/>
      <c r="BZ612" s="24"/>
      <c r="CA612" s="24"/>
      <c r="CB612" s="24"/>
      <c r="CC612" s="24"/>
      <c r="CD612" s="24"/>
    </row>
    <row r="613" spans="2:82" s="6" customFormat="1">
      <c r="B613" s="21"/>
      <c r="D613" s="17"/>
      <c r="E613" s="23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R613" s="24"/>
      <c r="AS613" s="24"/>
      <c r="AT613" s="24"/>
      <c r="AU613" s="24"/>
      <c r="AV613" s="24"/>
      <c r="AW613" s="24"/>
      <c r="BD613" s="24"/>
      <c r="BE613" s="24"/>
      <c r="BF613" s="24"/>
      <c r="BG613" s="24"/>
      <c r="BH613" s="24"/>
      <c r="BI613" s="24"/>
      <c r="BP613" s="24"/>
      <c r="BQ613" s="24"/>
      <c r="BR613" s="24"/>
      <c r="BS613" s="24"/>
      <c r="BZ613" s="24"/>
      <c r="CA613" s="24"/>
      <c r="CB613" s="24"/>
      <c r="CC613" s="24"/>
      <c r="CD613" s="24"/>
    </row>
    <row r="614" spans="2:82" s="6" customFormat="1">
      <c r="B614" s="21"/>
      <c r="D614" s="17"/>
      <c r="E614" s="23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R614" s="24"/>
      <c r="AS614" s="24"/>
      <c r="AT614" s="24"/>
      <c r="AU614" s="24"/>
      <c r="AV614" s="24"/>
      <c r="AW614" s="24"/>
      <c r="BD614" s="24"/>
      <c r="BE614" s="24"/>
      <c r="BF614" s="24"/>
      <c r="BG614" s="24"/>
      <c r="BH614" s="24"/>
      <c r="BI614" s="24"/>
      <c r="BP614" s="24"/>
      <c r="BQ614" s="24"/>
      <c r="BR614" s="24"/>
      <c r="BS614" s="24"/>
      <c r="BZ614" s="24"/>
      <c r="CA614" s="24"/>
      <c r="CB614" s="24"/>
      <c r="CC614" s="24"/>
      <c r="CD614" s="24"/>
    </row>
    <row r="615" spans="2:82" s="6" customFormat="1">
      <c r="B615" s="21"/>
      <c r="D615" s="17"/>
      <c r="E615" s="23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R615" s="24"/>
      <c r="AS615" s="24"/>
      <c r="AT615" s="24"/>
      <c r="AU615" s="24"/>
      <c r="AV615" s="24"/>
      <c r="AW615" s="24"/>
      <c r="BD615" s="24"/>
      <c r="BE615" s="24"/>
      <c r="BF615" s="24"/>
      <c r="BG615" s="24"/>
      <c r="BH615" s="24"/>
      <c r="BI615" s="24"/>
      <c r="BP615" s="24"/>
      <c r="BQ615" s="24"/>
      <c r="BR615" s="24"/>
      <c r="BS615" s="24"/>
      <c r="BZ615" s="24"/>
      <c r="CA615" s="24"/>
      <c r="CB615" s="24"/>
      <c r="CC615" s="24"/>
      <c r="CD615" s="24"/>
    </row>
    <row r="616" spans="2:82" s="6" customFormat="1">
      <c r="B616" s="21"/>
      <c r="D616" s="17"/>
      <c r="E616" s="23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R616" s="24"/>
      <c r="AS616" s="24"/>
      <c r="AT616" s="24"/>
      <c r="AU616" s="24"/>
      <c r="AV616" s="24"/>
      <c r="AW616" s="24"/>
      <c r="BD616" s="24"/>
      <c r="BE616" s="24"/>
      <c r="BF616" s="24"/>
      <c r="BG616" s="24"/>
      <c r="BH616" s="24"/>
      <c r="BI616" s="24"/>
      <c r="BP616" s="24"/>
      <c r="BQ616" s="24"/>
      <c r="BR616" s="24"/>
      <c r="BS616" s="24"/>
      <c r="BZ616" s="24"/>
      <c r="CA616" s="24"/>
      <c r="CB616" s="24"/>
      <c r="CC616" s="24"/>
      <c r="CD616" s="24"/>
    </row>
    <row r="617" spans="2:82" s="6" customFormat="1">
      <c r="B617" s="21"/>
      <c r="D617" s="17"/>
      <c r="E617" s="23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R617" s="24"/>
      <c r="AS617" s="24"/>
      <c r="AT617" s="24"/>
      <c r="AU617" s="24"/>
      <c r="AV617" s="24"/>
      <c r="AW617" s="24"/>
      <c r="BD617" s="24"/>
      <c r="BE617" s="24"/>
      <c r="BF617" s="24"/>
      <c r="BG617" s="24"/>
      <c r="BH617" s="24"/>
      <c r="BI617" s="24"/>
      <c r="BP617" s="24"/>
      <c r="BQ617" s="24"/>
      <c r="BR617" s="24"/>
      <c r="BS617" s="24"/>
      <c r="BZ617" s="24"/>
      <c r="CA617" s="24"/>
      <c r="CB617" s="24"/>
      <c r="CC617" s="24"/>
      <c r="CD617" s="24"/>
    </row>
    <row r="618" spans="2:82" s="6" customFormat="1">
      <c r="B618" s="21"/>
      <c r="D618" s="17"/>
      <c r="E618" s="23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R618" s="24"/>
      <c r="AS618" s="24"/>
      <c r="AT618" s="24"/>
      <c r="AU618" s="24"/>
      <c r="AV618" s="24"/>
      <c r="AW618" s="24"/>
      <c r="BD618" s="24"/>
      <c r="BE618" s="24"/>
      <c r="BF618" s="24"/>
      <c r="BG618" s="24"/>
      <c r="BH618" s="24"/>
      <c r="BI618" s="24"/>
      <c r="BP618" s="24"/>
      <c r="BQ618" s="24"/>
      <c r="BR618" s="24"/>
      <c r="BS618" s="24"/>
      <c r="BZ618" s="24"/>
      <c r="CA618" s="24"/>
      <c r="CB618" s="24"/>
      <c r="CC618" s="24"/>
      <c r="CD618" s="24"/>
    </row>
    <row r="619" spans="2:82" s="6" customFormat="1">
      <c r="B619" s="21"/>
      <c r="D619" s="17"/>
      <c r="E619" s="23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R619" s="24"/>
      <c r="AS619" s="24"/>
      <c r="AT619" s="24"/>
      <c r="AU619" s="24"/>
      <c r="AV619" s="24"/>
      <c r="AW619" s="24"/>
      <c r="BD619" s="24"/>
      <c r="BE619" s="24"/>
      <c r="BF619" s="24"/>
      <c r="BG619" s="24"/>
      <c r="BH619" s="24"/>
      <c r="BI619" s="24"/>
      <c r="BP619" s="24"/>
      <c r="BQ619" s="24"/>
      <c r="BR619" s="24"/>
      <c r="BS619" s="24"/>
      <c r="BZ619" s="24"/>
      <c r="CA619" s="24"/>
      <c r="CB619" s="24"/>
      <c r="CC619" s="24"/>
      <c r="CD619" s="24"/>
    </row>
    <row r="620" spans="2:82" s="6" customFormat="1">
      <c r="B620" s="21"/>
      <c r="D620" s="17"/>
      <c r="E620" s="23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R620" s="24"/>
      <c r="AS620" s="24"/>
      <c r="AT620" s="24"/>
      <c r="AU620" s="24"/>
      <c r="AV620" s="24"/>
      <c r="AW620" s="24"/>
      <c r="BD620" s="24"/>
      <c r="BE620" s="24"/>
      <c r="BF620" s="24"/>
      <c r="BG620" s="24"/>
      <c r="BH620" s="24"/>
      <c r="BI620" s="24"/>
      <c r="BP620" s="24"/>
      <c r="BQ620" s="24"/>
      <c r="BR620" s="24"/>
      <c r="BS620" s="24"/>
      <c r="BZ620" s="24"/>
      <c r="CA620" s="24"/>
      <c r="CB620" s="24"/>
      <c r="CC620" s="24"/>
      <c r="CD620" s="24"/>
    </row>
    <row r="621" spans="2:82" s="6" customFormat="1">
      <c r="B621" s="21"/>
      <c r="D621" s="17"/>
      <c r="E621" s="23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R621" s="24"/>
      <c r="AS621" s="24"/>
      <c r="AT621" s="24"/>
      <c r="AU621" s="24"/>
      <c r="AV621" s="24"/>
      <c r="AW621" s="24"/>
      <c r="BD621" s="24"/>
      <c r="BE621" s="24"/>
      <c r="BF621" s="24"/>
      <c r="BG621" s="24"/>
      <c r="BH621" s="24"/>
      <c r="BI621" s="24"/>
      <c r="BP621" s="24"/>
      <c r="BQ621" s="24"/>
      <c r="BR621" s="24"/>
      <c r="BS621" s="24"/>
      <c r="BZ621" s="24"/>
      <c r="CA621" s="24"/>
      <c r="CB621" s="24"/>
      <c r="CC621" s="24"/>
      <c r="CD621" s="24"/>
    </row>
    <row r="622" spans="2:82" s="6" customFormat="1">
      <c r="B622" s="21"/>
      <c r="D622" s="17"/>
      <c r="E622" s="23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R622" s="24"/>
      <c r="AS622" s="24"/>
      <c r="AT622" s="24"/>
      <c r="AU622" s="24"/>
      <c r="AV622" s="24"/>
      <c r="AW622" s="24"/>
      <c r="BD622" s="24"/>
      <c r="BE622" s="24"/>
      <c r="BF622" s="24"/>
      <c r="BG622" s="24"/>
      <c r="BH622" s="24"/>
      <c r="BI622" s="24"/>
      <c r="BP622" s="24"/>
      <c r="BQ622" s="24"/>
      <c r="BR622" s="24"/>
      <c r="BS622" s="24"/>
      <c r="BZ622" s="24"/>
      <c r="CA622" s="24"/>
      <c r="CB622" s="24"/>
      <c r="CC622" s="24"/>
      <c r="CD622" s="24"/>
    </row>
    <row r="623" spans="2:82" s="6" customFormat="1">
      <c r="B623" s="21"/>
      <c r="D623" s="17"/>
      <c r="E623" s="23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R623" s="24"/>
      <c r="AS623" s="24"/>
      <c r="AT623" s="24"/>
      <c r="AU623" s="24"/>
      <c r="AV623" s="24"/>
      <c r="AW623" s="24"/>
      <c r="BD623" s="24"/>
      <c r="BE623" s="24"/>
      <c r="BF623" s="24"/>
      <c r="BG623" s="24"/>
      <c r="BH623" s="24"/>
      <c r="BI623" s="24"/>
      <c r="BP623" s="24"/>
      <c r="BQ623" s="24"/>
      <c r="BR623" s="24"/>
      <c r="BS623" s="24"/>
      <c r="BZ623" s="24"/>
      <c r="CA623" s="24"/>
      <c r="CB623" s="24"/>
      <c r="CC623" s="24"/>
      <c r="CD623" s="24"/>
    </row>
    <row r="624" spans="2:82" s="6" customFormat="1">
      <c r="B624" s="21"/>
      <c r="D624" s="17"/>
      <c r="E624" s="23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R624" s="24"/>
      <c r="AS624" s="24"/>
      <c r="AT624" s="24"/>
      <c r="AU624" s="24"/>
      <c r="AV624" s="24"/>
      <c r="AW624" s="24"/>
      <c r="BD624" s="24"/>
      <c r="BE624" s="24"/>
      <c r="BF624" s="24"/>
      <c r="BG624" s="24"/>
      <c r="BH624" s="24"/>
      <c r="BI624" s="24"/>
      <c r="BP624" s="24"/>
      <c r="BQ624" s="24"/>
      <c r="BR624" s="24"/>
      <c r="BS624" s="24"/>
      <c r="BZ624" s="24"/>
      <c r="CA624" s="24"/>
      <c r="CB624" s="24"/>
      <c r="CC624" s="24"/>
      <c r="CD624" s="24"/>
    </row>
    <row r="625" spans="2:82" s="6" customFormat="1">
      <c r="B625" s="21"/>
      <c r="D625" s="17"/>
      <c r="E625" s="23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R625" s="24"/>
      <c r="AS625" s="24"/>
      <c r="AT625" s="24"/>
      <c r="AU625" s="24"/>
      <c r="AV625" s="24"/>
      <c r="AW625" s="24"/>
      <c r="BD625" s="24"/>
      <c r="BE625" s="24"/>
      <c r="BF625" s="24"/>
      <c r="BG625" s="24"/>
      <c r="BH625" s="24"/>
      <c r="BI625" s="24"/>
      <c r="BP625" s="24"/>
      <c r="BQ625" s="24"/>
      <c r="BR625" s="24"/>
      <c r="BS625" s="24"/>
      <c r="BZ625" s="24"/>
      <c r="CA625" s="24"/>
      <c r="CB625" s="24"/>
      <c r="CC625" s="24"/>
      <c r="CD625" s="24"/>
    </row>
    <row r="626" spans="2:82" s="6" customFormat="1">
      <c r="B626" s="21"/>
      <c r="D626" s="17"/>
      <c r="E626" s="23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R626" s="24"/>
      <c r="AS626" s="24"/>
      <c r="AT626" s="24"/>
      <c r="AU626" s="24"/>
      <c r="AV626" s="24"/>
      <c r="AW626" s="24"/>
      <c r="BD626" s="24"/>
      <c r="BE626" s="24"/>
      <c r="BF626" s="24"/>
      <c r="BG626" s="24"/>
      <c r="BH626" s="24"/>
      <c r="BI626" s="24"/>
      <c r="BP626" s="24"/>
      <c r="BQ626" s="24"/>
      <c r="BR626" s="24"/>
      <c r="BS626" s="24"/>
      <c r="BZ626" s="24"/>
      <c r="CA626" s="24"/>
      <c r="CB626" s="24"/>
      <c r="CC626" s="24"/>
      <c r="CD626" s="24"/>
    </row>
    <row r="627" spans="2:82" s="6" customFormat="1">
      <c r="B627" s="21"/>
      <c r="D627" s="17"/>
      <c r="E627" s="23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R627" s="24"/>
      <c r="AS627" s="24"/>
      <c r="AT627" s="24"/>
      <c r="AU627" s="24"/>
      <c r="AV627" s="24"/>
      <c r="AW627" s="24"/>
      <c r="BD627" s="24"/>
      <c r="BE627" s="24"/>
      <c r="BF627" s="24"/>
      <c r="BG627" s="24"/>
      <c r="BH627" s="24"/>
      <c r="BI627" s="24"/>
      <c r="BP627" s="24"/>
      <c r="BQ627" s="24"/>
      <c r="BR627" s="24"/>
      <c r="BS627" s="24"/>
      <c r="BZ627" s="24"/>
      <c r="CA627" s="24"/>
      <c r="CB627" s="24"/>
      <c r="CC627" s="24"/>
      <c r="CD627" s="24"/>
    </row>
    <row r="628" spans="2:82" s="6" customFormat="1">
      <c r="B628" s="21"/>
      <c r="D628" s="17"/>
      <c r="E628" s="23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R628" s="24"/>
      <c r="AS628" s="24"/>
      <c r="AT628" s="24"/>
      <c r="AU628" s="24"/>
      <c r="AV628" s="24"/>
      <c r="AW628" s="24"/>
      <c r="BD628" s="24"/>
      <c r="BE628" s="24"/>
      <c r="BF628" s="24"/>
      <c r="BG628" s="24"/>
      <c r="BH628" s="24"/>
      <c r="BI628" s="24"/>
      <c r="BP628" s="24"/>
      <c r="BQ628" s="24"/>
      <c r="BR628" s="24"/>
      <c r="BS628" s="24"/>
      <c r="BZ628" s="24"/>
      <c r="CA628" s="24"/>
      <c r="CB628" s="24"/>
      <c r="CC628" s="24"/>
      <c r="CD628" s="24"/>
    </row>
    <row r="629" spans="2:82" s="6" customFormat="1">
      <c r="B629" s="21"/>
      <c r="D629" s="17"/>
      <c r="E629" s="23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R629" s="24"/>
      <c r="AS629" s="24"/>
      <c r="AT629" s="24"/>
      <c r="AU629" s="24"/>
      <c r="AV629" s="24"/>
      <c r="AW629" s="24"/>
      <c r="BD629" s="24"/>
      <c r="BE629" s="24"/>
      <c r="BF629" s="24"/>
      <c r="BG629" s="24"/>
      <c r="BH629" s="24"/>
      <c r="BI629" s="24"/>
      <c r="BP629" s="24"/>
      <c r="BQ629" s="24"/>
      <c r="BR629" s="24"/>
      <c r="BS629" s="24"/>
      <c r="BZ629" s="24"/>
      <c r="CA629" s="24"/>
      <c r="CB629" s="24"/>
      <c r="CC629" s="24"/>
      <c r="CD629" s="24"/>
    </row>
    <row r="630" spans="2:82" s="6" customFormat="1">
      <c r="B630" s="21"/>
      <c r="D630" s="17"/>
      <c r="E630" s="23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R630" s="24"/>
      <c r="AS630" s="24"/>
      <c r="AT630" s="24"/>
      <c r="AU630" s="24"/>
      <c r="AV630" s="24"/>
      <c r="AW630" s="24"/>
      <c r="BD630" s="24"/>
      <c r="BE630" s="24"/>
      <c r="BF630" s="24"/>
      <c r="BG630" s="24"/>
      <c r="BH630" s="24"/>
      <c r="BI630" s="24"/>
      <c r="BP630" s="24"/>
      <c r="BQ630" s="24"/>
      <c r="BR630" s="24"/>
      <c r="BS630" s="24"/>
      <c r="BZ630" s="24"/>
      <c r="CA630" s="24"/>
      <c r="CB630" s="24"/>
      <c r="CC630" s="24"/>
      <c r="CD630" s="24"/>
    </row>
    <row r="631" spans="2:82" s="6" customFormat="1">
      <c r="B631" s="21"/>
      <c r="D631" s="17"/>
      <c r="E631" s="23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R631" s="24"/>
      <c r="AS631" s="24"/>
      <c r="AT631" s="24"/>
      <c r="AU631" s="24"/>
      <c r="AV631" s="24"/>
      <c r="AW631" s="24"/>
      <c r="BD631" s="24"/>
      <c r="BE631" s="24"/>
      <c r="BF631" s="24"/>
      <c r="BG631" s="24"/>
      <c r="BH631" s="24"/>
      <c r="BI631" s="24"/>
      <c r="BP631" s="24"/>
      <c r="BQ631" s="24"/>
      <c r="BR631" s="24"/>
      <c r="BS631" s="24"/>
      <c r="BZ631" s="24"/>
      <c r="CA631" s="24"/>
      <c r="CB631" s="24"/>
      <c r="CC631" s="24"/>
      <c r="CD631" s="24"/>
    </row>
    <row r="632" spans="2:82" s="6" customFormat="1">
      <c r="B632" s="21"/>
      <c r="D632" s="17"/>
      <c r="E632" s="23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R632" s="24"/>
      <c r="AS632" s="24"/>
      <c r="AT632" s="24"/>
      <c r="AU632" s="24"/>
      <c r="AV632" s="24"/>
      <c r="AW632" s="24"/>
      <c r="BD632" s="24"/>
      <c r="BE632" s="24"/>
      <c r="BF632" s="24"/>
      <c r="BG632" s="24"/>
      <c r="BH632" s="24"/>
      <c r="BI632" s="24"/>
      <c r="BP632" s="24"/>
      <c r="BQ632" s="24"/>
      <c r="BR632" s="24"/>
      <c r="BS632" s="24"/>
      <c r="BZ632" s="24"/>
      <c r="CA632" s="24"/>
      <c r="CB632" s="24"/>
      <c r="CC632" s="24"/>
      <c r="CD632" s="24"/>
    </row>
    <row r="633" spans="2:82" s="6" customFormat="1">
      <c r="B633" s="21"/>
      <c r="D633" s="17"/>
      <c r="E633" s="23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R633" s="24"/>
      <c r="AS633" s="24"/>
      <c r="AT633" s="24"/>
      <c r="AU633" s="24"/>
      <c r="AV633" s="24"/>
      <c r="AW633" s="24"/>
      <c r="BD633" s="24"/>
      <c r="BE633" s="24"/>
      <c r="BF633" s="24"/>
      <c r="BG633" s="24"/>
      <c r="BH633" s="24"/>
      <c r="BI633" s="24"/>
      <c r="BP633" s="24"/>
      <c r="BQ633" s="24"/>
      <c r="BR633" s="24"/>
      <c r="BS633" s="24"/>
      <c r="BZ633" s="24"/>
      <c r="CA633" s="24"/>
      <c r="CB633" s="24"/>
      <c r="CC633" s="24"/>
      <c r="CD633" s="24"/>
    </row>
    <row r="634" spans="2:82" s="6" customFormat="1">
      <c r="B634" s="21"/>
      <c r="D634" s="17"/>
      <c r="E634" s="23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R634" s="24"/>
      <c r="AS634" s="24"/>
      <c r="AT634" s="24"/>
      <c r="AU634" s="24"/>
      <c r="AV634" s="24"/>
      <c r="AW634" s="24"/>
      <c r="BD634" s="24"/>
      <c r="BE634" s="24"/>
      <c r="BF634" s="24"/>
      <c r="BG634" s="24"/>
      <c r="BH634" s="24"/>
      <c r="BI634" s="24"/>
      <c r="BP634" s="24"/>
      <c r="BQ634" s="24"/>
      <c r="BR634" s="24"/>
      <c r="BS634" s="24"/>
      <c r="BZ634" s="24"/>
      <c r="CA634" s="24"/>
      <c r="CB634" s="24"/>
      <c r="CC634" s="24"/>
      <c r="CD634" s="24"/>
    </row>
    <row r="635" spans="2:82" s="6" customFormat="1">
      <c r="B635" s="21"/>
      <c r="D635" s="17"/>
      <c r="E635" s="23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R635" s="24"/>
      <c r="AS635" s="24"/>
      <c r="AT635" s="24"/>
      <c r="AU635" s="24"/>
      <c r="AV635" s="24"/>
      <c r="AW635" s="24"/>
      <c r="BD635" s="24"/>
      <c r="BE635" s="24"/>
      <c r="BF635" s="24"/>
      <c r="BG635" s="24"/>
      <c r="BH635" s="24"/>
      <c r="BI635" s="24"/>
      <c r="BP635" s="24"/>
      <c r="BQ635" s="24"/>
      <c r="BR635" s="24"/>
      <c r="BS635" s="24"/>
      <c r="BZ635" s="24"/>
      <c r="CA635" s="24"/>
      <c r="CB635" s="24"/>
      <c r="CC635" s="24"/>
      <c r="CD635" s="24"/>
    </row>
    <row r="636" spans="2:82" s="6" customFormat="1">
      <c r="B636" s="21"/>
      <c r="D636" s="17"/>
      <c r="E636" s="23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R636" s="24"/>
      <c r="AS636" s="24"/>
      <c r="AT636" s="24"/>
      <c r="AU636" s="24"/>
      <c r="AV636" s="24"/>
      <c r="AW636" s="24"/>
      <c r="BD636" s="24"/>
      <c r="BE636" s="24"/>
      <c r="BF636" s="24"/>
      <c r="BG636" s="24"/>
      <c r="BH636" s="24"/>
      <c r="BI636" s="24"/>
      <c r="BP636" s="24"/>
      <c r="BQ636" s="24"/>
      <c r="BR636" s="24"/>
      <c r="BS636" s="24"/>
      <c r="BZ636" s="24"/>
      <c r="CA636" s="24"/>
      <c r="CB636" s="24"/>
      <c r="CC636" s="24"/>
      <c r="CD636" s="24"/>
    </row>
    <row r="637" spans="2:82" s="6" customFormat="1">
      <c r="B637" s="21"/>
      <c r="D637" s="17"/>
      <c r="E637" s="23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R637" s="24"/>
      <c r="AS637" s="24"/>
      <c r="AT637" s="24"/>
      <c r="AU637" s="24"/>
      <c r="AV637" s="24"/>
      <c r="AW637" s="24"/>
      <c r="BD637" s="24"/>
      <c r="BE637" s="24"/>
      <c r="BF637" s="24"/>
      <c r="BG637" s="24"/>
      <c r="BH637" s="24"/>
      <c r="BI637" s="24"/>
      <c r="BP637" s="24"/>
      <c r="BQ637" s="24"/>
      <c r="BR637" s="24"/>
      <c r="BS637" s="24"/>
      <c r="BZ637" s="24"/>
      <c r="CA637" s="24"/>
      <c r="CB637" s="24"/>
      <c r="CC637" s="24"/>
      <c r="CD637" s="24"/>
    </row>
    <row r="638" spans="2:82" s="6" customFormat="1">
      <c r="B638" s="21"/>
      <c r="D638" s="17"/>
      <c r="E638" s="23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R638" s="24"/>
      <c r="AS638" s="24"/>
      <c r="AT638" s="24"/>
      <c r="AU638" s="24"/>
      <c r="AV638" s="24"/>
      <c r="AW638" s="24"/>
      <c r="BD638" s="24"/>
      <c r="BE638" s="24"/>
      <c r="BF638" s="24"/>
      <c r="BG638" s="24"/>
      <c r="BH638" s="24"/>
      <c r="BI638" s="24"/>
      <c r="BP638" s="24"/>
      <c r="BQ638" s="24"/>
      <c r="BR638" s="24"/>
      <c r="BS638" s="24"/>
      <c r="BZ638" s="24"/>
      <c r="CA638" s="24"/>
      <c r="CB638" s="24"/>
      <c r="CC638" s="24"/>
      <c r="CD638" s="24"/>
    </row>
    <row r="639" spans="2:82" s="6" customFormat="1">
      <c r="B639" s="21"/>
      <c r="D639" s="17"/>
      <c r="E639" s="23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R639" s="24"/>
      <c r="AS639" s="24"/>
      <c r="AT639" s="24"/>
      <c r="AU639" s="24"/>
      <c r="AV639" s="24"/>
      <c r="AW639" s="24"/>
      <c r="BD639" s="24"/>
      <c r="BE639" s="24"/>
      <c r="BF639" s="24"/>
      <c r="BG639" s="24"/>
      <c r="BH639" s="24"/>
      <c r="BI639" s="24"/>
      <c r="BP639" s="24"/>
      <c r="BQ639" s="24"/>
      <c r="BR639" s="24"/>
      <c r="BS639" s="24"/>
      <c r="BZ639" s="24"/>
      <c r="CA639" s="24"/>
      <c r="CB639" s="24"/>
      <c r="CC639" s="24"/>
      <c r="CD639" s="24"/>
    </row>
    <row r="640" spans="2:82" s="6" customFormat="1">
      <c r="B640" s="21"/>
      <c r="D640" s="17"/>
      <c r="E640" s="23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R640" s="24"/>
      <c r="AS640" s="24"/>
      <c r="AT640" s="24"/>
      <c r="AU640" s="24"/>
      <c r="AV640" s="24"/>
      <c r="AW640" s="24"/>
      <c r="BD640" s="24"/>
      <c r="BE640" s="24"/>
      <c r="BF640" s="24"/>
      <c r="BG640" s="24"/>
      <c r="BH640" s="24"/>
      <c r="BI640" s="24"/>
      <c r="BP640" s="24"/>
      <c r="BQ640" s="24"/>
      <c r="BR640" s="24"/>
      <c r="BS640" s="24"/>
      <c r="BZ640" s="24"/>
      <c r="CA640" s="24"/>
      <c r="CB640" s="24"/>
      <c r="CC640" s="24"/>
      <c r="CD640" s="24"/>
    </row>
    <row r="641" spans="2:82" s="6" customFormat="1">
      <c r="B641" s="21"/>
      <c r="D641" s="17"/>
      <c r="E641" s="23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R641" s="24"/>
      <c r="AS641" s="24"/>
      <c r="AT641" s="24"/>
      <c r="AU641" s="24"/>
      <c r="AV641" s="24"/>
      <c r="AW641" s="24"/>
      <c r="BD641" s="24"/>
      <c r="BE641" s="24"/>
      <c r="BF641" s="24"/>
      <c r="BG641" s="24"/>
      <c r="BH641" s="24"/>
      <c r="BI641" s="24"/>
      <c r="BP641" s="24"/>
      <c r="BQ641" s="24"/>
      <c r="BR641" s="24"/>
      <c r="BS641" s="24"/>
      <c r="BZ641" s="24"/>
      <c r="CA641" s="24"/>
      <c r="CB641" s="24"/>
      <c r="CC641" s="24"/>
      <c r="CD641" s="24"/>
    </row>
    <row r="642" spans="2:82" s="6" customFormat="1">
      <c r="B642" s="21"/>
      <c r="D642" s="17"/>
      <c r="E642" s="23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R642" s="24"/>
      <c r="AS642" s="24"/>
      <c r="AT642" s="24"/>
      <c r="AU642" s="24"/>
      <c r="AV642" s="24"/>
      <c r="AW642" s="24"/>
      <c r="BD642" s="24"/>
      <c r="BE642" s="24"/>
      <c r="BF642" s="24"/>
      <c r="BG642" s="24"/>
      <c r="BH642" s="24"/>
      <c r="BI642" s="24"/>
      <c r="BP642" s="24"/>
      <c r="BQ642" s="24"/>
      <c r="BR642" s="24"/>
      <c r="BS642" s="24"/>
      <c r="BZ642" s="24"/>
      <c r="CA642" s="24"/>
      <c r="CB642" s="24"/>
      <c r="CC642" s="24"/>
      <c r="CD642" s="24"/>
    </row>
    <row r="643" spans="2:82" s="6" customFormat="1">
      <c r="B643" s="21"/>
      <c r="D643" s="17"/>
      <c r="E643" s="23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R643" s="24"/>
      <c r="AS643" s="24"/>
      <c r="AT643" s="24"/>
      <c r="AU643" s="24"/>
      <c r="AV643" s="24"/>
      <c r="AW643" s="24"/>
      <c r="BD643" s="24"/>
      <c r="BE643" s="24"/>
      <c r="BF643" s="24"/>
      <c r="BG643" s="24"/>
      <c r="BH643" s="24"/>
      <c r="BI643" s="24"/>
      <c r="BP643" s="24"/>
      <c r="BQ643" s="24"/>
      <c r="BR643" s="24"/>
      <c r="BS643" s="24"/>
      <c r="BZ643" s="24"/>
      <c r="CA643" s="24"/>
      <c r="CB643" s="24"/>
      <c r="CC643" s="24"/>
      <c r="CD643" s="24"/>
    </row>
    <row r="644" spans="2:82" s="6" customFormat="1">
      <c r="B644" s="21"/>
      <c r="D644" s="17"/>
      <c r="E644" s="23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R644" s="24"/>
      <c r="AS644" s="24"/>
      <c r="AT644" s="24"/>
      <c r="AU644" s="24"/>
      <c r="AV644" s="24"/>
      <c r="AW644" s="24"/>
      <c r="BD644" s="24"/>
      <c r="BE644" s="24"/>
      <c r="BF644" s="24"/>
      <c r="BG644" s="24"/>
      <c r="BH644" s="24"/>
      <c r="BI644" s="24"/>
      <c r="BP644" s="24"/>
      <c r="BQ644" s="24"/>
      <c r="BR644" s="24"/>
      <c r="BS644" s="24"/>
      <c r="BZ644" s="24"/>
      <c r="CA644" s="24"/>
      <c r="CB644" s="24"/>
      <c r="CC644" s="24"/>
      <c r="CD644" s="24"/>
    </row>
    <row r="645" spans="2:82" s="6" customFormat="1">
      <c r="B645" s="21"/>
      <c r="D645" s="17"/>
      <c r="E645" s="23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R645" s="24"/>
      <c r="AS645" s="24"/>
      <c r="AT645" s="24"/>
      <c r="AU645" s="24"/>
      <c r="AV645" s="24"/>
      <c r="AW645" s="24"/>
      <c r="BD645" s="24"/>
      <c r="BE645" s="24"/>
      <c r="BF645" s="24"/>
      <c r="BG645" s="24"/>
      <c r="BH645" s="24"/>
      <c r="BI645" s="24"/>
      <c r="BP645" s="24"/>
      <c r="BQ645" s="24"/>
      <c r="BR645" s="24"/>
      <c r="BS645" s="24"/>
      <c r="BZ645" s="24"/>
      <c r="CA645" s="24"/>
      <c r="CB645" s="24"/>
      <c r="CC645" s="24"/>
      <c r="CD645" s="24"/>
    </row>
    <row r="646" spans="2:82" s="6" customFormat="1">
      <c r="B646" s="21"/>
      <c r="D646" s="17"/>
      <c r="E646" s="23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R646" s="24"/>
      <c r="AS646" s="24"/>
      <c r="AT646" s="24"/>
      <c r="AU646" s="24"/>
      <c r="AV646" s="24"/>
      <c r="AW646" s="24"/>
      <c r="BD646" s="24"/>
      <c r="BE646" s="24"/>
      <c r="BF646" s="24"/>
      <c r="BG646" s="24"/>
      <c r="BH646" s="24"/>
      <c r="BI646" s="24"/>
      <c r="BP646" s="24"/>
      <c r="BQ646" s="24"/>
      <c r="BR646" s="24"/>
      <c r="BS646" s="24"/>
      <c r="BZ646" s="24"/>
      <c r="CA646" s="24"/>
      <c r="CB646" s="24"/>
      <c r="CC646" s="24"/>
      <c r="CD646" s="24"/>
    </row>
    <row r="647" spans="2:82" s="6" customFormat="1">
      <c r="B647" s="21"/>
      <c r="D647" s="17"/>
      <c r="E647" s="23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R647" s="24"/>
      <c r="AS647" s="24"/>
      <c r="AT647" s="24"/>
      <c r="AU647" s="24"/>
      <c r="AV647" s="24"/>
      <c r="AW647" s="24"/>
      <c r="BD647" s="24"/>
      <c r="BE647" s="24"/>
      <c r="BF647" s="24"/>
      <c r="BG647" s="24"/>
      <c r="BH647" s="24"/>
      <c r="BI647" s="24"/>
      <c r="BP647" s="24"/>
      <c r="BQ647" s="24"/>
      <c r="BR647" s="24"/>
      <c r="BS647" s="24"/>
      <c r="BZ647" s="24"/>
      <c r="CA647" s="24"/>
      <c r="CB647" s="24"/>
      <c r="CC647" s="24"/>
      <c r="CD647" s="24"/>
    </row>
    <row r="648" spans="2:82" s="6" customFormat="1">
      <c r="B648" s="21"/>
      <c r="D648" s="17"/>
      <c r="E648" s="23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R648" s="24"/>
      <c r="AS648" s="24"/>
      <c r="AT648" s="24"/>
      <c r="AU648" s="24"/>
      <c r="AV648" s="24"/>
      <c r="AW648" s="24"/>
      <c r="BD648" s="24"/>
      <c r="BE648" s="24"/>
      <c r="BF648" s="24"/>
      <c r="BG648" s="24"/>
      <c r="BH648" s="24"/>
      <c r="BI648" s="24"/>
      <c r="BP648" s="24"/>
      <c r="BQ648" s="24"/>
      <c r="BR648" s="24"/>
      <c r="BS648" s="24"/>
      <c r="BZ648" s="24"/>
      <c r="CA648" s="24"/>
      <c r="CB648" s="24"/>
      <c r="CC648" s="24"/>
      <c r="CD648" s="24"/>
    </row>
    <row r="649" spans="2:82" s="6" customFormat="1">
      <c r="B649" s="21"/>
      <c r="D649" s="17"/>
      <c r="E649" s="23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R649" s="24"/>
      <c r="AS649" s="24"/>
      <c r="AT649" s="24"/>
      <c r="AU649" s="24"/>
      <c r="AV649" s="24"/>
      <c r="AW649" s="24"/>
      <c r="BD649" s="24"/>
      <c r="BE649" s="24"/>
      <c r="BF649" s="24"/>
      <c r="BG649" s="24"/>
      <c r="BH649" s="24"/>
      <c r="BI649" s="24"/>
      <c r="BP649" s="24"/>
      <c r="BQ649" s="24"/>
      <c r="BR649" s="24"/>
      <c r="BS649" s="24"/>
      <c r="BZ649" s="24"/>
      <c r="CA649" s="24"/>
      <c r="CB649" s="24"/>
      <c r="CC649" s="24"/>
      <c r="CD649" s="24"/>
    </row>
    <row r="650" spans="2:82" s="6" customFormat="1">
      <c r="B650" s="21"/>
      <c r="D650" s="17"/>
      <c r="E650" s="23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R650" s="24"/>
      <c r="AS650" s="24"/>
      <c r="AT650" s="24"/>
      <c r="AU650" s="24"/>
      <c r="AV650" s="24"/>
      <c r="AW650" s="24"/>
      <c r="BD650" s="24"/>
      <c r="BE650" s="24"/>
      <c r="BF650" s="24"/>
      <c r="BG650" s="24"/>
      <c r="BH650" s="24"/>
      <c r="BI650" s="24"/>
      <c r="BP650" s="24"/>
      <c r="BQ650" s="24"/>
      <c r="BR650" s="24"/>
      <c r="BS650" s="24"/>
      <c r="BZ650" s="24"/>
      <c r="CA650" s="24"/>
      <c r="CB650" s="24"/>
      <c r="CC650" s="24"/>
      <c r="CD650" s="24"/>
    </row>
    <row r="651" spans="2:82" s="6" customFormat="1">
      <c r="B651" s="21"/>
      <c r="D651" s="17"/>
      <c r="E651" s="23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R651" s="24"/>
      <c r="AS651" s="24"/>
      <c r="AT651" s="24"/>
      <c r="AU651" s="24"/>
      <c r="AV651" s="24"/>
      <c r="AW651" s="24"/>
      <c r="BD651" s="24"/>
      <c r="BE651" s="24"/>
      <c r="BF651" s="24"/>
      <c r="BG651" s="24"/>
      <c r="BH651" s="24"/>
      <c r="BI651" s="24"/>
      <c r="BP651" s="24"/>
      <c r="BQ651" s="24"/>
      <c r="BR651" s="24"/>
      <c r="BS651" s="24"/>
      <c r="BZ651" s="24"/>
      <c r="CA651" s="24"/>
      <c r="CB651" s="24"/>
      <c r="CC651" s="24"/>
      <c r="CD651" s="24"/>
    </row>
    <row r="652" spans="2:82" s="6" customFormat="1">
      <c r="B652" s="21"/>
      <c r="D652" s="17"/>
      <c r="E652" s="23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R652" s="24"/>
      <c r="AS652" s="24"/>
      <c r="AT652" s="24"/>
      <c r="AU652" s="24"/>
      <c r="AV652" s="24"/>
      <c r="AW652" s="24"/>
      <c r="BD652" s="24"/>
      <c r="BE652" s="24"/>
      <c r="BF652" s="24"/>
      <c r="BG652" s="24"/>
      <c r="BH652" s="24"/>
      <c r="BI652" s="24"/>
      <c r="BP652" s="24"/>
      <c r="BQ652" s="24"/>
      <c r="BR652" s="24"/>
      <c r="BS652" s="24"/>
      <c r="BZ652" s="24"/>
      <c r="CA652" s="24"/>
      <c r="CB652" s="24"/>
      <c r="CC652" s="24"/>
      <c r="CD652" s="24"/>
    </row>
    <row r="653" spans="2:82" s="6" customFormat="1">
      <c r="B653" s="21"/>
      <c r="D653" s="17"/>
      <c r="E653" s="23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R653" s="24"/>
      <c r="AS653" s="24"/>
      <c r="AT653" s="24"/>
      <c r="AU653" s="24"/>
      <c r="AV653" s="24"/>
      <c r="AW653" s="24"/>
      <c r="BD653" s="24"/>
      <c r="BE653" s="24"/>
      <c r="BF653" s="24"/>
      <c r="BG653" s="24"/>
      <c r="BH653" s="24"/>
      <c r="BI653" s="24"/>
      <c r="BP653" s="24"/>
      <c r="BQ653" s="24"/>
      <c r="BR653" s="24"/>
      <c r="BS653" s="24"/>
      <c r="BZ653" s="24"/>
      <c r="CA653" s="24"/>
      <c r="CB653" s="24"/>
      <c r="CC653" s="24"/>
      <c r="CD653" s="24"/>
    </row>
    <row r="654" spans="2:82" s="6" customFormat="1">
      <c r="B654" s="21"/>
      <c r="D654" s="17"/>
      <c r="E654" s="23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R654" s="24"/>
      <c r="AS654" s="24"/>
      <c r="AT654" s="24"/>
      <c r="AU654" s="24"/>
      <c r="AV654" s="24"/>
      <c r="AW654" s="24"/>
      <c r="BD654" s="24"/>
      <c r="BE654" s="24"/>
      <c r="BF654" s="24"/>
      <c r="BG654" s="24"/>
      <c r="BH654" s="24"/>
      <c r="BI654" s="24"/>
      <c r="BP654" s="24"/>
      <c r="BQ654" s="24"/>
      <c r="BR654" s="24"/>
      <c r="BS654" s="24"/>
      <c r="BZ654" s="24"/>
      <c r="CA654" s="24"/>
      <c r="CB654" s="24"/>
      <c r="CC654" s="24"/>
      <c r="CD654" s="24"/>
    </row>
    <row r="655" spans="2:82" s="6" customFormat="1">
      <c r="B655" s="21"/>
      <c r="D655" s="17"/>
      <c r="E655" s="23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R655" s="24"/>
      <c r="AS655" s="24"/>
      <c r="AT655" s="24"/>
      <c r="AU655" s="24"/>
      <c r="AV655" s="24"/>
      <c r="AW655" s="24"/>
      <c r="BD655" s="24"/>
      <c r="BE655" s="24"/>
      <c r="BF655" s="24"/>
      <c r="BG655" s="24"/>
      <c r="BH655" s="24"/>
      <c r="BI655" s="24"/>
      <c r="BP655" s="24"/>
      <c r="BQ655" s="24"/>
      <c r="BR655" s="24"/>
      <c r="BS655" s="24"/>
      <c r="BZ655" s="24"/>
      <c r="CA655" s="24"/>
      <c r="CB655" s="24"/>
      <c r="CC655" s="24"/>
      <c r="CD655" s="24"/>
    </row>
    <row r="656" spans="2:82" s="6" customFormat="1">
      <c r="B656" s="21"/>
      <c r="D656" s="17"/>
      <c r="E656" s="23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R656" s="24"/>
      <c r="AS656" s="24"/>
      <c r="AT656" s="24"/>
      <c r="AU656" s="24"/>
      <c r="AV656" s="24"/>
      <c r="AW656" s="24"/>
      <c r="BD656" s="24"/>
      <c r="BE656" s="24"/>
      <c r="BF656" s="24"/>
      <c r="BG656" s="24"/>
      <c r="BH656" s="24"/>
      <c r="BI656" s="24"/>
      <c r="BP656" s="24"/>
      <c r="BQ656" s="24"/>
      <c r="BR656" s="24"/>
      <c r="BS656" s="24"/>
      <c r="BZ656" s="24"/>
      <c r="CA656" s="24"/>
      <c r="CB656" s="24"/>
      <c r="CC656" s="24"/>
      <c r="CD656" s="24"/>
    </row>
    <row r="657" spans="2:82" s="6" customFormat="1">
      <c r="B657" s="21"/>
      <c r="D657" s="17"/>
      <c r="E657" s="23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R657" s="24"/>
      <c r="AS657" s="24"/>
      <c r="AT657" s="24"/>
      <c r="AU657" s="24"/>
      <c r="AV657" s="24"/>
      <c r="AW657" s="24"/>
      <c r="BD657" s="24"/>
      <c r="BE657" s="24"/>
      <c r="BF657" s="24"/>
      <c r="BG657" s="24"/>
      <c r="BH657" s="24"/>
      <c r="BI657" s="24"/>
      <c r="BP657" s="24"/>
      <c r="BQ657" s="24"/>
      <c r="BR657" s="24"/>
      <c r="BS657" s="24"/>
      <c r="BZ657" s="24"/>
      <c r="CA657" s="24"/>
      <c r="CB657" s="24"/>
      <c r="CC657" s="24"/>
      <c r="CD657" s="24"/>
    </row>
    <row r="658" spans="2:82" s="6" customFormat="1">
      <c r="B658" s="21"/>
      <c r="D658" s="17"/>
      <c r="E658" s="23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R658" s="24"/>
      <c r="AS658" s="24"/>
      <c r="AT658" s="24"/>
      <c r="AU658" s="24"/>
      <c r="AV658" s="24"/>
      <c r="AW658" s="24"/>
      <c r="BD658" s="24"/>
      <c r="BE658" s="24"/>
      <c r="BF658" s="24"/>
      <c r="BG658" s="24"/>
      <c r="BH658" s="24"/>
      <c r="BI658" s="24"/>
      <c r="BP658" s="24"/>
      <c r="BQ658" s="24"/>
      <c r="BR658" s="24"/>
      <c r="BS658" s="24"/>
      <c r="BZ658" s="24"/>
      <c r="CA658" s="24"/>
      <c r="CB658" s="24"/>
      <c r="CC658" s="24"/>
      <c r="CD658" s="24"/>
    </row>
    <row r="659" spans="2:82" s="6" customFormat="1">
      <c r="B659" s="21"/>
      <c r="D659" s="17"/>
      <c r="E659" s="23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R659" s="24"/>
      <c r="AS659" s="24"/>
      <c r="AT659" s="24"/>
      <c r="AU659" s="24"/>
      <c r="AV659" s="24"/>
      <c r="AW659" s="24"/>
      <c r="BD659" s="24"/>
      <c r="BE659" s="24"/>
      <c r="BF659" s="24"/>
      <c r="BG659" s="24"/>
      <c r="BH659" s="24"/>
      <c r="BI659" s="24"/>
      <c r="BP659" s="24"/>
      <c r="BQ659" s="24"/>
      <c r="BR659" s="24"/>
      <c r="BS659" s="24"/>
      <c r="BZ659" s="24"/>
      <c r="CA659" s="24"/>
      <c r="CB659" s="24"/>
      <c r="CC659" s="24"/>
      <c r="CD659" s="24"/>
    </row>
    <row r="660" spans="2:82" s="6" customFormat="1">
      <c r="B660" s="21"/>
      <c r="D660" s="17"/>
      <c r="E660" s="23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R660" s="24"/>
      <c r="AS660" s="24"/>
      <c r="AT660" s="24"/>
      <c r="AU660" s="24"/>
      <c r="AV660" s="24"/>
      <c r="AW660" s="24"/>
      <c r="BD660" s="24"/>
      <c r="BE660" s="24"/>
      <c r="BF660" s="24"/>
      <c r="BG660" s="24"/>
      <c r="BH660" s="24"/>
      <c r="BI660" s="24"/>
      <c r="BP660" s="24"/>
      <c r="BQ660" s="24"/>
      <c r="BR660" s="24"/>
      <c r="BS660" s="24"/>
      <c r="BZ660" s="24"/>
      <c r="CA660" s="24"/>
      <c r="CB660" s="24"/>
      <c r="CC660" s="24"/>
      <c r="CD660" s="24"/>
    </row>
    <row r="661" spans="2:82" s="6" customFormat="1">
      <c r="B661" s="21"/>
      <c r="D661" s="17"/>
      <c r="E661" s="23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R661" s="24"/>
      <c r="AS661" s="24"/>
      <c r="AT661" s="24"/>
      <c r="AU661" s="24"/>
      <c r="AV661" s="24"/>
      <c r="AW661" s="24"/>
      <c r="BD661" s="24"/>
      <c r="BE661" s="24"/>
      <c r="BF661" s="24"/>
      <c r="BG661" s="24"/>
      <c r="BH661" s="24"/>
      <c r="BI661" s="24"/>
      <c r="BP661" s="24"/>
      <c r="BQ661" s="24"/>
      <c r="BR661" s="24"/>
      <c r="BS661" s="24"/>
      <c r="BZ661" s="24"/>
      <c r="CA661" s="24"/>
      <c r="CB661" s="24"/>
      <c r="CC661" s="24"/>
      <c r="CD661" s="24"/>
    </row>
    <row r="662" spans="2:82" s="6" customFormat="1">
      <c r="B662" s="21"/>
      <c r="D662" s="17"/>
      <c r="E662" s="23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R662" s="24"/>
      <c r="AS662" s="24"/>
      <c r="AT662" s="24"/>
      <c r="AU662" s="24"/>
      <c r="AV662" s="24"/>
      <c r="AW662" s="24"/>
      <c r="BD662" s="24"/>
      <c r="BE662" s="24"/>
      <c r="BF662" s="24"/>
      <c r="BG662" s="24"/>
      <c r="BH662" s="24"/>
      <c r="BI662" s="24"/>
      <c r="BP662" s="24"/>
      <c r="BQ662" s="24"/>
      <c r="BR662" s="24"/>
      <c r="BS662" s="24"/>
      <c r="BZ662" s="24"/>
      <c r="CA662" s="24"/>
      <c r="CB662" s="24"/>
      <c r="CC662" s="24"/>
      <c r="CD662" s="24"/>
    </row>
    <row r="663" spans="2:82" s="6" customFormat="1">
      <c r="B663" s="21"/>
      <c r="D663" s="17"/>
      <c r="E663" s="23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R663" s="24"/>
      <c r="AS663" s="24"/>
      <c r="AT663" s="24"/>
      <c r="AU663" s="24"/>
      <c r="AV663" s="24"/>
      <c r="AW663" s="24"/>
      <c r="BD663" s="24"/>
      <c r="BE663" s="24"/>
      <c r="BF663" s="24"/>
      <c r="BG663" s="24"/>
      <c r="BH663" s="24"/>
      <c r="BI663" s="24"/>
      <c r="BP663" s="24"/>
      <c r="BQ663" s="24"/>
      <c r="BR663" s="24"/>
      <c r="BS663" s="24"/>
      <c r="BZ663" s="24"/>
      <c r="CA663" s="24"/>
      <c r="CB663" s="24"/>
      <c r="CC663" s="24"/>
      <c r="CD663" s="24"/>
    </row>
    <row r="664" spans="2:82" s="6" customFormat="1">
      <c r="B664" s="21"/>
      <c r="D664" s="17"/>
      <c r="E664" s="23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R664" s="24"/>
      <c r="AS664" s="24"/>
      <c r="AT664" s="24"/>
      <c r="AU664" s="24"/>
      <c r="AV664" s="24"/>
      <c r="AW664" s="24"/>
      <c r="BD664" s="24"/>
      <c r="BE664" s="24"/>
      <c r="BF664" s="24"/>
      <c r="BG664" s="24"/>
      <c r="BH664" s="24"/>
      <c r="BI664" s="24"/>
      <c r="BP664" s="24"/>
      <c r="BQ664" s="24"/>
      <c r="BR664" s="24"/>
      <c r="BS664" s="24"/>
      <c r="BZ664" s="24"/>
      <c r="CA664" s="24"/>
      <c r="CB664" s="24"/>
      <c r="CC664" s="24"/>
      <c r="CD664" s="24"/>
    </row>
    <row r="665" spans="2:82" s="6" customFormat="1">
      <c r="B665" s="21"/>
      <c r="D665" s="17"/>
      <c r="E665" s="23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R665" s="24"/>
      <c r="AS665" s="24"/>
      <c r="AT665" s="24"/>
      <c r="AU665" s="24"/>
      <c r="AV665" s="24"/>
      <c r="AW665" s="24"/>
      <c r="BD665" s="24"/>
      <c r="BE665" s="24"/>
      <c r="BF665" s="24"/>
      <c r="BG665" s="24"/>
      <c r="BH665" s="24"/>
      <c r="BI665" s="24"/>
      <c r="BP665" s="24"/>
      <c r="BQ665" s="24"/>
      <c r="BR665" s="24"/>
      <c r="BS665" s="24"/>
      <c r="BZ665" s="24"/>
      <c r="CA665" s="24"/>
      <c r="CB665" s="24"/>
      <c r="CC665" s="24"/>
      <c r="CD665" s="24"/>
    </row>
    <row r="666" spans="2:82" s="6" customFormat="1">
      <c r="B666" s="21"/>
      <c r="D666" s="17"/>
      <c r="E666" s="23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R666" s="24"/>
      <c r="AS666" s="24"/>
      <c r="AT666" s="24"/>
      <c r="AU666" s="24"/>
      <c r="AV666" s="24"/>
      <c r="AW666" s="24"/>
      <c r="BD666" s="24"/>
      <c r="BE666" s="24"/>
      <c r="BF666" s="24"/>
      <c r="BG666" s="24"/>
      <c r="BH666" s="24"/>
      <c r="BI666" s="24"/>
      <c r="BP666" s="24"/>
      <c r="BQ666" s="24"/>
      <c r="BR666" s="24"/>
      <c r="BS666" s="24"/>
      <c r="BZ666" s="24"/>
      <c r="CA666" s="24"/>
      <c r="CB666" s="24"/>
      <c r="CC666" s="24"/>
      <c r="CD666" s="24"/>
    </row>
    <row r="667" spans="2:82" s="6" customFormat="1">
      <c r="B667" s="21"/>
      <c r="D667" s="17"/>
      <c r="E667" s="23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R667" s="24"/>
      <c r="AS667" s="24"/>
      <c r="AT667" s="24"/>
      <c r="AU667" s="24"/>
      <c r="AV667" s="24"/>
      <c r="AW667" s="24"/>
      <c r="BD667" s="24"/>
      <c r="BE667" s="24"/>
      <c r="BF667" s="24"/>
      <c r="BG667" s="24"/>
      <c r="BH667" s="24"/>
      <c r="BI667" s="24"/>
      <c r="BP667" s="24"/>
      <c r="BQ667" s="24"/>
      <c r="BR667" s="24"/>
      <c r="BS667" s="24"/>
      <c r="BZ667" s="24"/>
      <c r="CA667" s="24"/>
      <c r="CB667" s="24"/>
      <c r="CC667" s="24"/>
      <c r="CD667" s="24"/>
    </row>
    <row r="668" spans="2:82" s="6" customFormat="1">
      <c r="B668" s="21"/>
      <c r="D668" s="17"/>
      <c r="E668" s="23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R668" s="24"/>
      <c r="AS668" s="24"/>
      <c r="AT668" s="24"/>
      <c r="AU668" s="24"/>
      <c r="AV668" s="24"/>
      <c r="AW668" s="24"/>
      <c r="BD668" s="24"/>
      <c r="BE668" s="24"/>
      <c r="BF668" s="24"/>
      <c r="BG668" s="24"/>
      <c r="BH668" s="24"/>
      <c r="BI668" s="24"/>
      <c r="BP668" s="24"/>
      <c r="BQ668" s="24"/>
      <c r="BR668" s="24"/>
      <c r="BS668" s="24"/>
      <c r="BZ668" s="24"/>
      <c r="CA668" s="24"/>
      <c r="CB668" s="24"/>
      <c r="CC668" s="24"/>
      <c r="CD668" s="24"/>
    </row>
    <row r="669" spans="2:82" s="6" customFormat="1">
      <c r="B669" s="21"/>
      <c r="D669" s="17"/>
      <c r="E669" s="23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R669" s="24"/>
      <c r="AS669" s="24"/>
      <c r="AT669" s="24"/>
      <c r="AU669" s="24"/>
      <c r="AV669" s="24"/>
      <c r="AW669" s="24"/>
      <c r="BD669" s="24"/>
      <c r="BE669" s="24"/>
      <c r="BF669" s="24"/>
      <c r="BG669" s="24"/>
      <c r="BH669" s="24"/>
      <c r="BI669" s="24"/>
      <c r="BP669" s="24"/>
      <c r="BQ669" s="24"/>
      <c r="BR669" s="24"/>
      <c r="BS669" s="24"/>
      <c r="BZ669" s="24"/>
      <c r="CA669" s="24"/>
      <c r="CB669" s="24"/>
      <c r="CC669" s="24"/>
      <c r="CD669" s="24"/>
    </row>
    <row r="670" spans="2:82" s="6" customFormat="1">
      <c r="B670" s="21"/>
      <c r="D670" s="17"/>
      <c r="E670" s="23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R670" s="24"/>
      <c r="AS670" s="24"/>
      <c r="AT670" s="24"/>
      <c r="AU670" s="24"/>
      <c r="AV670" s="24"/>
      <c r="AW670" s="24"/>
      <c r="BD670" s="24"/>
      <c r="BE670" s="24"/>
      <c r="BF670" s="24"/>
      <c r="BG670" s="24"/>
      <c r="BH670" s="24"/>
      <c r="BI670" s="24"/>
      <c r="BP670" s="24"/>
      <c r="BQ670" s="24"/>
      <c r="BR670" s="24"/>
      <c r="BS670" s="24"/>
      <c r="BZ670" s="24"/>
      <c r="CA670" s="24"/>
      <c r="CB670" s="24"/>
      <c r="CC670" s="24"/>
      <c r="CD670" s="24"/>
    </row>
    <row r="671" spans="2:82" s="6" customFormat="1">
      <c r="B671" s="21"/>
      <c r="D671" s="17"/>
      <c r="E671" s="23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R671" s="24"/>
      <c r="AS671" s="24"/>
      <c r="AT671" s="24"/>
      <c r="AU671" s="24"/>
      <c r="AV671" s="24"/>
      <c r="AW671" s="24"/>
      <c r="BD671" s="24"/>
      <c r="BE671" s="24"/>
      <c r="BF671" s="24"/>
      <c r="BG671" s="24"/>
      <c r="BH671" s="24"/>
      <c r="BI671" s="24"/>
      <c r="BP671" s="24"/>
      <c r="BQ671" s="24"/>
      <c r="BR671" s="24"/>
      <c r="BS671" s="24"/>
      <c r="BZ671" s="24"/>
      <c r="CA671" s="24"/>
      <c r="CB671" s="24"/>
      <c r="CC671" s="24"/>
      <c r="CD671" s="24"/>
    </row>
    <row r="672" spans="2:82" s="6" customFormat="1">
      <c r="B672" s="21"/>
      <c r="D672" s="17"/>
      <c r="E672" s="23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R672" s="24"/>
      <c r="AS672" s="24"/>
      <c r="AT672" s="24"/>
      <c r="AU672" s="24"/>
      <c r="AV672" s="24"/>
      <c r="AW672" s="24"/>
      <c r="BD672" s="24"/>
      <c r="BE672" s="24"/>
      <c r="BF672" s="24"/>
      <c r="BG672" s="24"/>
      <c r="BH672" s="24"/>
      <c r="BI672" s="24"/>
      <c r="BP672" s="24"/>
      <c r="BQ672" s="24"/>
      <c r="BR672" s="24"/>
      <c r="BS672" s="24"/>
      <c r="BZ672" s="24"/>
      <c r="CA672" s="24"/>
      <c r="CB672" s="24"/>
      <c r="CC672" s="24"/>
      <c r="CD672" s="24"/>
    </row>
    <row r="673" spans="2:82" s="6" customFormat="1">
      <c r="B673" s="21"/>
      <c r="D673" s="17"/>
      <c r="E673" s="23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R673" s="24"/>
      <c r="AS673" s="24"/>
      <c r="AT673" s="24"/>
      <c r="AU673" s="24"/>
      <c r="AV673" s="24"/>
      <c r="AW673" s="24"/>
      <c r="BD673" s="24"/>
      <c r="BE673" s="24"/>
      <c r="BF673" s="24"/>
      <c r="BG673" s="24"/>
      <c r="BH673" s="24"/>
      <c r="BI673" s="24"/>
      <c r="BP673" s="24"/>
      <c r="BQ673" s="24"/>
      <c r="BR673" s="24"/>
      <c r="BS673" s="24"/>
      <c r="BZ673" s="24"/>
      <c r="CA673" s="24"/>
      <c r="CB673" s="24"/>
      <c r="CC673" s="24"/>
      <c r="CD673" s="24"/>
    </row>
    <row r="674" spans="2:82" s="6" customFormat="1">
      <c r="B674" s="21"/>
      <c r="D674" s="17"/>
      <c r="E674" s="23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R674" s="24"/>
      <c r="AS674" s="24"/>
      <c r="AT674" s="24"/>
      <c r="AU674" s="24"/>
      <c r="AV674" s="24"/>
      <c r="AW674" s="24"/>
      <c r="BD674" s="24"/>
      <c r="BE674" s="24"/>
      <c r="BF674" s="24"/>
      <c r="BG674" s="24"/>
      <c r="BH674" s="24"/>
      <c r="BI674" s="24"/>
      <c r="BP674" s="24"/>
      <c r="BQ674" s="24"/>
      <c r="BR674" s="24"/>
      <c r="BS674" s="24"/>
      <c r="BZ674" s="24"/>
      <c r="CA674" s="24"/>
      <c r="CB674" s="24"/>
      <c r="CC674" s="24"/>
      <c r="CD674" s="24"/>
    </row>
    <row r="675" spans="2:82" s="6" customFormat="1">
      <c r="B675" s="21"/>
      <c r="D675" s="17"/>
      <c r="E675" s="23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R675" s="24"/>
      <c r="AS675" s="24"/>
      <c r="AT675" s="24"/>
      <c r="AU675" s="24"/>
      <c r="AV675" s="24"/>
      <c r="AW675" s="24"/>
      <c r="BD675" s="24"/>
      <c r="BE675" s="24"/>
      <c r="BF675" s="24"/>
      <c r="BG675" s="24"/>
      <c r="BH675" s="24"/>
      <c r="BI675" s="24"/>
      <c r="BP675" s="24"/>
      <c r="BQ675" s="24"/>
      <c r="BR675" s="24"/>
      <c r="BS675" s="24"/>
      <c r="BZ675" s="24"/>
      <c r="CA675" s="24"/>
      <c r="CB675" s="24"/>
      <c r="CC675" s="24"/>
      <c r="CD675" s="24"/>
    </row>
    <row r="676" spans="2:82" s="6" customFormat="1">
      <c r="B676" s="21"/>
      <c r="D676" s="17"/>
      <c r="E676" s="23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R676" s="24"/>
      <c r="AS676" s="24"/>
      <c r="AT676" s="24"/>
      <c r="AU676" s="24"/>
      <c r="AV676" s="24"/>
      <c r="AW676" s="24"/>
      <c r="BD676" s="24"/>
      <c r="BE676" s="24"/>
      <c r="BF676" s="24"/>
      <c r="BG676" s="24"/>
      <c r="BH676" s="24"/>
      <c r="BI676" s="24"/>
      <c r="BP676" s="24"/>
      <c r="BQ676" s="24"/>
      <c r="BR676" s="24"/>
      <c r="BS676" s="24"/>
      <c r="BZ676" s="24"/>
      <c r="CA676" s="24"/>
      <c r="CB676" s="24"/>
      <c r="CC676" s="24"/>
      <c r="CD676" s="24"/>
    </row>
    <row r="677" spans="2:82" s="6" customFormat="1">
      <c r="B677" s="21"/>
      <c r="D677" s="17"/>
      <c r="E677" s="23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R677" s="24"/>
      <c r="AS677" s="24"/>
      <c r="AT677" s="24"/>
      <c r="AU677" s="24"/>
      <c r="AV677" s="24"/>
      <c r="AW677" s="24"/>
      <c r="BD677" s="24"/>
      <c r="BE677" s="24"/>
      <c r="BF677" s="24"/>
      <c r="BG677" s="24"/>
      <c r="BH677" s="24"/>
      <c r="BI677" s="24"/>
      <c r="BP677" s="24"/>
      <c r="BQ677" s="24"/>
      <c r="BR677" s="24"/>
      <c r="BS677" s="24"/>
      <c r="BZ677" s="24"/>
      <c r="CA677" s="24"/>
      <c r="CB677" s="24"/>
      <c r="CC677" s="24"/>
      <c r="CD677" s="24"/>
    </row>
    <row r="678" spans="2:82" s="6" customFormat="1">
      <c r="B678" s="21"/>
      <c r="D678" s="17"/>
      <c r="E678" s="23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R678" s="24"/>
      <c r="AS678" s="24"/>
      <c r="AT678" s="24"/>
      <c r="AU678" s="24"/>
      <c r="AV678" s="24"/>
      <c r="AW678" s="24"/>
      <c r="BD678" s="24"/>
      <c r="BE678" s="24"/>
      <c r="BF678" s="24"/>
      <c r="BG678" s="24"/>
      <c r="BH678" s="24"/>
      <c r="BI678" s="24"/>
      <c r="BP678" s="24"/>
      <c r="BQ678" s="24"/>
      <c r="BR678" s="24"/>
      <c r="BS678" s="24"/>
      <c r="BZ678" s="24"/>
      <c r="CA678" s="24"/>
      <c r="CB678" s="24"/>
      <c r="CC678" s="24"/>
      <c r="CD678" s="24"/>
    </row>
    <row r="679" spans="2:82" s="6" customFormat="1">
      <c r="B679" s="21"/>
      <c r="D679" s="17"/>
      <c r="E679" s="23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R679" s="24"/>
      <c r="AS679" s="24"/>
      <c r="AT679" s="24"/>
      <c r="AU679" s="24"/>
      <c r="AV679" s="24"/>
      <c r="AW679" s="24"/>
      <c r="BD679" s="24"/>
      <c r="BE679" s="24"/>
      <c r="BF679" s="24"/>
      <c r="BG679" s="24"/>
      <c r="BH679" s="24"/>
      <c r="BI679" s="24"/>
      <c r="BP679" s="24"/>
      <c r="BQ679" s="24"/>
      <c r="BR679" s="24"/>
      <c r="BS679" s="24"/>
      <c r="BZ679" s="24"/>
      <c r="CA679" s="24"/>
      <c r="CB679" s="24"/>
      <c r="CC679" s="24"/>
      <c r="CD679" s="24"/>
    </row>
    <row r="680" spans="2:82" s="6" customFormat="1">
      <c r="B680" s="21"/>
      <c r="D680" s="17"/>
      <c r="E680" s="23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R680" s="24"/>
      <c r="AS680" s="24"/>
      <c r="AT680" s="24"/>
      <c r="AU680" s="24"/>
      <c r="AV680" s="24"/>
      <c r="AW680" s="24"/>
      <c r="BD680" s="24"/>
      <c r="BE680" s="24"/>
      <c r="BF680" s="24"/>
      <c r="BG680" s="24"/>
      <c r="BH680" s="24"/>
      <c r="BI680" s="24"/>
      <c r="BP680" s="24"/>
      <c r="BQ680" s="24"/>
      <c r="BR680" s="24"/>
      <c r="BS680" s="24"/>
      <c r="BZ680" s="24"/>
      <c r="CA680" s="24"/>
      <c r="CB680" s="24"/>
      <c r="CC680" s="24"/>
      <c r="CD680" s="24"/>
    </row>
    <row r="681" spans="2:82" s="6" customFormat="1">
      <c r="B681" s="21"/>
      <c r="D681" s="17"/>
      <c r="E681" s="23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R681" s="24"/>
      <c r="AS681" s="24"/>
      <c r="AT681" s="24"/>
      <c r="AU681" s="24"/>
      <c r="AV681" s="24"/>
      <c r="AW681" s="24"/>
      <c r="BD681" s="24"/>
      <c r="BE681" s="24"/>
      <c r="BF681" s="24"/>
      <c r="BG681" s="24"/>
      <c r="BH681" s="24"/>
      <c r="BI681" s="24"/>
      <c r="BP681" s="24"/>
      <c r="BQ681" s="24"/>
      <c r="BR681" s="24"/>
      <c r="BS681" s="24"/>
      <c r="BZ681" s="24"/>
      <c r="CA681" s="24"/>
      <c r="CB681" s="24"/>
      <c r="CC681" s="24"/>
      <c r="CD681" s="24"/>
    </row>
    <row r="682" spans="2:82" s="6" customFormat="1">
      <c r="B682" s="21"/>
      <c r="D682" s="17"/>
      <c r="E682" s="23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R682" s="24"/>
      <c r="AS682" s="24"/>
      <c r="AT682" s="24"/>
      <c r="AU682" s="24"/>
      <c r="AV682" s="24"/>
      <c r="AW682" s="24"/>
      <c r="BD682" s="24"/>
      <c r="BE682" s="24"/>
      <c r="BF682" s="24"/>
      <c r="BG682" s="24"/>
      <c r="BH682" s="24"/>
      <c r="BI682" s="24"/>
      <c r="BP682" s="24"/>
      <c r="BQ682" s="24"/>
      <c r="BR682" s="24"/>
      <c r="BS682" s="24"/>
      <c r="BZ682" s="24"/>
      <c r="CA682" s="24"/>
      <c r="CB682" s="24"/>
      <c r="CC682" s="24"/>
      <c r="CD682" s="24"/>
    </row>
    <row r="683" spans="2:82" s="6" customFormat="1">
      <c r="B683" s="21"/>
      <c r="D683" s="17"/>
      <c r="E683" s="23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R683" s="24"/>
      <c r="AS683" s="24"/>
      <c r="AT683" s="24"/>
      <c r="AU683" s="24"/>
      <c r="AV683" s="24"/>
      <c r="AW683" s="24"/>
      <c r="BD683" s="24"/>
      <c r="BE683" s="24"/>
      <c r="BF683" s="24"/>
      <c r="BG683" s="24"/>
      <c r="BH683" s="24"/>
      <c r="BI683" s="24"/>
      <c r="BP683" s="24"/>
      <c r="BQ683" s="24"/>
      <c r="BR683" s="24"/>
      <c r="BS683" s="24"/>
      <c r="BZ683" s="24"/>
      <c r="CA683" s="24"/>
      <c r="CB683" s="24"/>
      <c r="CC683" s="24"/>
      <c r="CD683" s="24"/>
    </row>
    <row r="684" spans="2:82" s="6" customFormat="1">
      <c r="B684" s="21"/>
      <c r="D684" s="17"/>
      <c r="E684" s="23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R684" s="24"/>
      <c r="AS684" s="24"/>
      <c r="AT684" s="24"/>
      <c r="AU684" s="24"/>
      <c r="AV684" s="24"/>
      <c r="AW684" s="24"/>
      <c r="BD684" s="24"/>
      <c r="BE684" s="24"/>
      <c r="BF684" s="24"/>
      <c r="BG684" s="24"/>
      <c r="BH684" s="24"/>
      <c r="BI684" s="24"/>
      <c r="BP684" s="24"/>
      <c r="BQ684" s="24"/>
      <c r="BR684" s="24"/>
      <c r="BS684" s="24"/>
      <c r="BZ684" s="24"/>
      <c r="CA684" s="24"/>
      <c r="CB684" s="24"/>
      <c r="CC684" s="24"/>
      <c r="CD684" s="24"/>
    </row>
    <row r="685" spans="2:82" s="6" customFormat="1">
      <c r="B685" s="21"/>
      <c r="D685" s="17"/>
      <c r="E685" s="23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R685" s="24"/>
      <c r="AS685" s="24"/>
      <c r="AT685" s="24"/>
      <c r="AU685" s="24"/>
      <c r="AV685" s="24"/>
      <c r="AW685" s="24"/>
      <c r="BD685" s="24"/>
      <c r="BE685" s="24"/>
      <c r="BF685" s="24"/>
      <c r="BG685" s="24"/>
      <c r="BH685" s="24"/>
      <c r="BI685" s="24"/>
      <c r="BP685" s="24"/>
      <c r="BQ685" s="24"/>
      <c r="BR685" s="24"/>
      <c r="BS685" s="24"/>
      <c r="BZ685" s="24"/>
      <c r="CA685" s="24"/>
      <c r="CB685" s="24"/>
      <c r="CC685" s="24"/>
      <c r="CD685" s="24"/>
    </row>
    <row r="686" spans="2:82" s="6" customFormat="1">
      <c r="B686" s="21"/>
      <c r="D686" s="17"/>
      <c r="E686" s="23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R686" s="24"/>
      <c r="AS686" s="24"/>
      <c r="AT686" s="24"/>
      <c r="AU686" s="24"/>
      <c r="AV686" s="24"/>
      <c r="AW686" s="24"/>
      <c r="BD686" s="24"/>
      <c r="BE686" s="24"/>
      <c r="BF686" s="24"/>
      <c r="BG686" s="24"/>
      <c r="BH686" s="24"/>
      <c r="BI686" s="24"/>
      <c r="BP686" s="24"/>
      <c r="BQ686" s="24"/>
      <c r="BR686" s="24"/>
      <c r="BS686" s="24"/>
      <c r="BZ686" s="24"/>
      <c r="CA686" s="24"/>
      <c r="CB686" s="24"/>
      <c r="CC686" s="24"/>
      <c r="CD686" s="24"/>
    </row>
    <row r="687" spans="2:82" s="6" customFormat="1">
      <c r="B687" s="21"/>
      <c r="D687" s="17"/>
      <c r="E687" s="23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R687" s="24"/>
      <c r="AS687" s="24"/>
      <c r="AT687" s="24"/>
      <c r="AU687" s="24"/>
      <c r="AV687" s="24"/>
      <c r="AW687" s="24"/>
      <c r="BD687" s="24"/>
      <c r="BE687" s="24"/>
      <c r="BF687" s="24"/>
      <c r="BG687" s="24"/>
      <c r="BH687" s="24"/>
      <c r="BI687" s="24"/>
      <c r="BP687" s="24"/>
      <c r="BQ687" s="24"/>
      <c r="BR687" s="24"/>
      <c r="BS687" s="24"/>
      <c r="BZ687" s="24"/>
      <c r="CA687" s="24"/>
      <c r="CB687" s="24"/>
      <c r="CC687" s="24"/>
      <c r="CD687" s="24"/>
    </row>
    <row r="688" spans="2:82" s="6" customFormat="1">
      <c r="B688" s="21"/>
      <c r="D688" s="17"/>
      <c r="E688" s="23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R688" s="24"/>
      <c r="AS688" s="24"/>
      <c r="AT688" s="24"/>
      <c r="AU688" s="24"/>
      <c r="AV688" s="24"/>
      <c r="AW688" s="24"/>
      <c r="BD688" s="24"/>
      <c r="BE688" s="24"/>
      <c r="BF688" s="24"/>
      <c r="BG688" s="24"/>
      <c r="BH688" s="24"/>
      <c r="BI688" s="24"/>
      <c r="BP688" s="24"/>
      <c r="BQ688" s="24"/>
      <c r="BR688" s="24"/>
      <c r="BS688" s="24"/>
      <c r="BZ688" s="24"/>
      <c r="CA688" s="24"/>
      <c r="CB688" s="24"/>
      <c r="CC688" s="24"/>
      <c r="CD688" s="24"/>
    </row>
    <row r="689" spans="2:82" s="6" customFormat="1">
      <c r="B689" s="21"/>
      <c r="D689" s="17"/>
      <c r="E689" s="23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R689" s="24"/>
      <c r="AS689" s="24"/>
      <c r="AT689" s="24"/>
      <c r="AU689" s="24"/>
      <c r="AV689" s="24"/>
      <c r="AW689" s="24"/>
      <c r="BD689" s="24"/>
      <c r="BE689" s="24"/>
      <c r="BF689" s="24"/>
      <c r="BG689" s="24"/>
      <c r="BH689" s="24"/>
      <c r="BI689" s="24"/>
      <c r="BP689" s="24"/>
      <c r="BQ689" s="24"/>
      <c r="BR689" s="24"/>
      <c r="BS689" s="24"/>
      <c r="BZ689" s="24"/>
      <c r="CA689" s="24"/>
      <c r="CB689" s="24"/>
      <c r="CC689" s="24"/>
      <c r="CD689" s="24"/>
    </row>
    <row r="690" spans="2:82" s="6" customFormat="1">
      <c r="B690" s="21"/>
      <c r="D690" s="17"/>
      <c r="E690" s="23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R690" s="24"/>
      <c r="AS690" s="24"/>
      <c r="AT690" s="24"/>
      <c r="AU690" s="24"/>
      <c r="AV690" s="24"/>
      <c r="AW690" s="24"/>
      <c r="BD690" s="24"/>
      <c r="BE690" s="24"/>
      <c r="BF690" s="24"/>
      <c r="BG690" s="24"/>
      <c r="BH690" s="24"/>
      <c r="BI690" s="24"/>
      <c r="BP690" s="24"/>
      <c r="BQ690" s="24"/>
      <c r="BR690" s="24"/>
      <c r="BS690" s="24"/>
      <c r="BZ690" s="24"/>
      <c r="CA690" s="24"/>
      <c r="CB690" s="24"/>
      <c r="CC690" s="24"/>
      <c r="CD690" s="24"/>
    </row>
    <row r="691" spans="2:82" s="6" customFormat="1">
      <c r="B691" s="21"/>
      <c r="D691" s="17"/>
      <c r="E691" s="23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R691" s="24"/>
      <c r="AS691" s="24"/>
      <c r="AT691" s="24"/>
      <c r="AU691" s="24"/>
      <c r="AV691" s="24"/>
      <c r="AW691" s="24"/>
      <c r="BD691" s="24"/>
      <c r="BE691" s="24"/>
      <c r="BF691" s="24"/>
      <c r="BG691" s="24"/>
      <c r="BH691" s="24"/>
      <c r="BI691" s="24"/>
      <c r="BP691" s="24"/>
      <c r="BQ691" s="24"/>
      <c r="BR691" s="24"/>
      <c r="BS691" s="24"/>
      <c r="BZ691" s="24"/>
      <c r="CA691" s="24"/>
      <c r="CB691" s="24"/>
      <c r="CC691" s="24"/>
      <c r="CD691" s="24"/>
    </row>
    <row r="692" spans="2:82" s="6" customFormat="1">
      <c r="B692" s="21"/>
      <c r="D692" s="17"/>
      <c r="E692" s="23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R692" s="24"/>
      <c r="AS692" s="24"/>
      <c r="AT692" s="24"/>
      <c r="AU692" s="24"/>
      <c r="AV692" s="24"/>
      <c r="AW692" s="24"/>
      <c r="BD692" s="24"/>
      <c r="BE692" s="24"/>
      <c r="BF692" s="24"/>
      <c r="BG692" s="24"/>
      <c r="BH692" s="24"/>
      <c r="BI692" s="24"/>
      <c r="BP692" s="24"/>
      <c r="BQ692" s="24"/>
      <c r="BR692" s="24"/>
      <c r="BS692" s="24"/>
      <c r="BZ692" s="24"/>
      <c r="CA692" s="24"/>
      <c r="CB692" s="24"/>
      <c r="CC692" s="24"/>
      <c r="CD692" s="24"/>
    </row>
    <row r="693" spans="2:82" s="6" customFormat="1">
      <c r="B693" s="21"/>
      <c r="D693" s="17"/>
      <c r="E693" s="23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R693" s="24"/>
      <c r="AS693" s="24"/>
      <c r="AT693" s="24"/>
      <c r="AU693" s="24"/>
      <c r="AV693" s="24"/>
      <c r="AW693" s="24"/>
      <c r="BD693" s="24"/>
      <c r="BE693" s="24"/>
      <c r="BF693" s="24"/>
      <c r="BG693" s="24"/>
      <c r="BH693" s="24"/>
      <c r="BI693" s="24"/>
      <c r="BP693" s="24"/>
      <c r="BQ693" s="24"/>
      <c r="BR693" s="24"/>
      <c r="BS693" s="24"/>
      <c r="BZ693" s="24"/>
      <c r="CA693" s="24"/>
      <c r="CB693" s="24"/>
      <c r="CC693" s="24"/>
      <c r="CD693" s="24"/>
    </row>
    <row r="694" spans="2:82" s="6" customFormat="1">
      <c r="B694" s="21"/>
      <c r="D694" s="17"/>
      <c r="E694" s="23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R694" s="24"/>
      <c r="AS694" s="24"/>
      <c r="AT694" s="24"/>
      <c r="AU694" s="24"/>
      <c r="AV694" s="24"/>
      <c r="AW694" s="24"/>
      <c r="BD694" s="24"/>
      <c r="BE694" s="24"/>
      <c r="BF694" s="24"/>
      <c r="BG694" s="24"/>
      <c r="BH694" s="24"/>
      <c r="BI694" s="24"/>
      <c r="BP694" s="24"/>
      <c r="BQ694" s="24"/>
      <c r="BR694" s="24"/>
      <c r="BS694" s="24"/>
      <c r="BZ694" s="24"/>
      <c r="CA694" s="24"/>
      <c r="CB694" s="24"/>
      <c r="CC694" s="24"/>
      <c r="CD694" s="24"/>
    </row>
    <row r="695" spans="2:82" s="6" customFormat="1">
      <c r="B695" s="21"/>
      <c r="D695" s="17"/>
      <c r="E695" s="23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R695" s="24"/>
      <c r="AS695" s="24"/>
      <c r="AT695" s="24"/>
      <c r="AU695" s="24"/>
      <c r="AV695" s="24"/>
      <c r="AW695" s="24"/>
      <c r="BD695" s="24"/>
      <c r="BE695" s="24"/>
      <c r="BF695" s="24"/>
      <c r="BG695" s="24"/>
      <c r="BH695" s="24"/>
      <c r="BI695" s="24"/>
      <c r="BP695" s="24"/>
      <c r="BQ695" s="24"/>
      <c r="BR695" s="24"/>
      <c r="BS695" s="24"/>
      <c r="BZ695" s="24"/>
      <c r="CA695" s="24"/>
      <c r="CB695" s="24"/>
      <c r="CC695" s="24"/>
      <c r="CD695" s="24"/>
    </row>
    <row r="696" spans="2:82" s="6" customFormat="1">
      <c r="B696" s="21"/>
      <c r="D696" s="17"/>
      <c r="E696" s="23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R696" s="24"/>
      <c r="AS696" s="24"/>
      <c r="AT696" s="24"/>
      <c r="AU696" s="24"/>
      <c r="AV696" s="24"/>
      <c r="AW696" s="24"/>
      <c r="BD696" s="24"/>
      <c r="BE696" s="24"/>
      <c r="BF696" s="24"/>
      <c r="BG696" s="24"/>
      <c r="BH696" s="24"/>
      <c r="BI696" s="24"/>
      <c r="BP696" s="24"/>
      <c r="BQ696" s="24"/>
      <c r="BR696" s="24"/>
      <c r="BS696" s="24"/>
      <c r="BZ696" s="24"/>
      <c r="CA696" s="24"/>
      <c r="CB696" s="24"/>
      <c r="CC696" s="24"/>
      <c r="CD696" s="24"/>
    </row>
    <row r="697" spans="2:82" s="6" customFormat="1">
      <c r="B697" s="21"/>
      <c r="D697" s="17"/>
      <c r="E697" s="23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R697" s="24"/>
      <c r="AS697" s="24"/>
      <c r="AT697" s="24"/>
      <c r="AU697" s="24"/>
      <c r="AV697" s="24"/>
      <c r="AW697" s="24"/>
      <c r="BD697" s="24"/>
      <c r="BE697" s="24"/>
      <c r="BF697" s="24"/>
      <c r="BG697" s="24"/>
      <c r="BH697" s="24"/>
      <c r="BI697" s="24"/>
      <c r="BP697" s="24"/>
      <c r="BQ697" s="24"/>
      <c r="BR697" s="24"/>
      <c r="BS697" s="24"/>
      <c r="BZ697" s="24"/>
      <c r="CA697" s="24"/>
      <c r="CB697" s="24"/>
      <c r="CC697" s="24"/>
      <c r="CD697" s="24"/>
    </row>
    <row r="698" spans="2:82" s="6" customFormat="1">
      <c r="B698" s="21"/>
      <c r="D698" s="17"/>
      <c r="E698" s="23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R698" s="24"/>
      <c r="AS698" s="24"/>
      <c r="AT698" s="24"/>
      <c r="AU698" s="24"/>
      <c r="AV698" s="24"/>
      <c r="AW698" s="24"/>
      <c r="BD698" s="24"/>
      <c r="BE698" s="24"/>
      <c r="BF698" s="24"/>
      <c r="BG698" s="24"/>
      <c r="BH698" s="24"/>
      <c r="BI698" s="24"/>
      <c r="BP698" s="24"/>
      <c r="BQ698" s="24"/>
      <c r="BR698" s="24"/>
      <c r="BS698" s="24"/>
      <c r="BZ698" s="24"/>
      <c r="CA698" s="24"/>
      <c r="CB698" s="24"/>
      <c r="CC698" s="24"/>
      <c r="CD698" s="24"/>
    </row>
    <row r="699" spans="2:82" s="6" customFormat="1">
      <c r="B699" s="21"/>
      <c r="D699" s="17"/>
      <c r="E699" s="23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R699" s="24"/>
      <c r="AS699" s="24"/>
      <c r="AT699" s="24"/>
      <c r="AU699" s="24"/>
      <c r="AV699" s="24"/>
      <c r="AW699" s="24"/>
      <c r="BD699" s="24"/>
      <c r="BE699" s="24"/>
      <c r="BF699" s="24"/>
      <c r="BG699" s="24"/>
      <c r="BH699" s="24"/>
      <c r="BI699" s="24"/>
      <c r="BP699" s="24"/>
      <c r="BQ699" s="24"/>
      <c r="BR699" s="24"/>
      <c r="BS699" s="24"/>
      <c r="BZ699" s="24"/>
      <c r="CA699" s="24"/>
      <c r="CB699" s="24"/>
      <c r="CC699" s="24"/>
      <c r="CD699" s="24"/>
    </row>
    <row r="700" spans="2:82" s="6" customFormat="1">
      <c r="B700" s="21"/>
      <c r="D700" s="17"/>
      <c r="E700" s="23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R700" s="24"/>
      <c r="AS700" s="24"/>
      <c r="AT700" s="24"/>
      <c r="AU700" s="24"/>
      <c r="AV700" s="24"/>
      <c r="AW700" s="24"/>
      <c r="BD700" s="24"/>
      <c r="BE700" s="24"/>
      <c r="BF700" s="24"/>
      <c r="BG700" s="24"/>
      <c r="BH700" s="24"/>
      <c r="BI700" s="24"/>
      <c r="BP700" s="24"/>
      <c r="BQ700" s="24"/>
      <c r="BR700" s="24"/>
      <c r="BS700" s="24"/>
      <c r="BZ700" s="24"/>
      <c r="CA700" s="24"/>
      <c r="CB700" s="24"/>
      <c r="CC700" s="24"/>
      <c r="CD700" s="24"/>
    </row>
    <row r="701" spans="2:82" s="6" customFormat="1">
      <c r="B701" s="21"/>
      <c r="D701" s="17"/>
      <c r="E701" s="23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R701" s="24"/>
      <c r="AS701" s="24"/>
      <c r="AT701" s="24"/>
      <c r="AU701" s="24"/>
      <c r="AV701" s="24"/>
      <c r="AW701" s="24"/>
      <c r="BD701" s="24"/>
      <c r="BE701" s="24"/>
      <c r="BF701" s="24"/>
      <c r="BG701" s="24"/>
      <c r="BH701" s="24"/>
      <c r="BI701" s="24"/>
      <c r="BP701" s="24"/>
      <c r="BQ701" s="24"/>
      <c r="BR701" s="24"/>
      <c r="BS701" s="24"/>
      <c r="BZ701" s="24"/>
      <c r="CA701" s="24"/>
      <c r="CB701" s="24"/>
      <c r="CC701" s="24"/>
      <c r="CD701" s="24"/>
    </row>
    <row r="702" spans="2:82" s="6" customFormat="1">
      <c r="B702" s="21"/>
      <c r="D702" s="17"/>
      <c r="E702" s="23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R702" s="24"/>
      <c r="AS702" s="24"/>
      <c r="AT702" s="24"/>
      <c r="AU702" s="24"/>
      <c r="AV702" s="24"/>
      <c r="AW702" s="24"/>
      <c r="BD702" s="24"/>
      <c r="BE702" s="24"/>
      <c r="BF702" s="24"/>
      <c r="BG702" s="24"/>
      <c r="BH702" s="24"/>
      <c r="BI702" s="24"/>
      <c r="BP702" s="24"/>
      <c r="BQ702" s="24"/>
      <c r="BR702" s="24"/>
      <c r="BS702" s="24"/>
      <c r="BZ702" s="24"/>
      <c r="CA702" s="24"/>
      <c r="CB702" s="24"/>
      <c r="CC702" s="24"/>
      <c r="CD702" s="24"/>
    </row>
    <row r="703" spans="2:82" s="6" customFormat="1">
      <c r="B703" s="21"/>
      <c r="D703" s="17"/>
      <c r="E703" s="23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R703" s="24"/>
      <c r="AS703" s="24"/>
      <c r="AT703" s="24"/>
      <c r="AU703" s="24"/>
      <c r="AV703" s="24"/>
      <c r="AW703" s="24"/>
      <c r="BD703" s="24"/>
      <c r="BE703" s="24"/>
      <c r="BF703" s="24"/>
      <c r="BG703" s="24"/>
      <c r="BH703" s="24"/>
      <c r="BI703" s="24"/>
      <c r="BP703" s="24"/>
      <c r="BQ703" s="24"/>
      <c r="BR703" s="24"/>
      <c r="BS703" s="24"/>
      <c r="BZ703" s="24"/>
      <c r="CA703" s="24"/>
      <c r="CB703" s="24"/>
      <c r="CC703" s="24"/>
      <c r="CD703" s="24"/>
    </row>
    <row r="704" spans="2:82" s="6" customFormat="1">
      <c r="B704" s="21"/>
      <c r="D704" s="17"/>
      <c r="E704" s="23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R704" s="24"/>
      <c r="AS704" s="24"/>
      <c r="AT704" s="24"/>
      <c r="AU704" s="24"/>
      <c r="AV704" s="24"/>
      <c r="AW704" s="24"/>
      <c r="BD704" s="24"/>
      <c r="BE704" s="24"/>
      <c r="BF704" s="24"/>
      <c r="BG704" s="24"/>
      <c r="BH704" s="24"/>
      <c r="BI704" s="24"/>
      <c r="BP704" s="24"/>
      <c r="BQ704" s="24"/>
      <c r="BR704" s="24"/>
      <c r="BS704" s="24"/>
      <c r="BZ704" s="24"/>
      <c r="CA704" s="24"/>
      <c r="CB704" s="24"/>
      <c r="CC704" s="24"/>
      <c r="CD704" s="24"/>
    </row>
    <row r="705" spans="2:82" s="6" customFormat="1">
      <c r="B705" s="21"/>
      <c r="D705" s="17"/>
      <c r="E705" s="23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R705" s="24"/>
      <c r="AS705" s="24"/>
      <c r="AT705" s="24"/>
      <c r="AU705" s="24"/>
      <c r="AV705" s="24"/>
      <c r="AW705" s="24"/>
      <c r="BD705" s="24"/>
      <c r="BE705" s="24"/>
      <c r="BF705" s="24"/>
      <c r="BG705" s="24"/>
      <c r="BH705" s="24"/>
      <c r="BI705" s="24"/>
      <c r="BP705" s="24"/>
      <c r="BQ705" s="24"/>
      <c r="BR705" s="24"/>
      <c r="BS705" s="24"/>
      <c r="BZ705" s="24"/>
      <c r="CA705" s="24"/>
      <c r="CB705" s="24"/>
      <c r="CC705" s="24"/>
      <c r="CD705" s="24"/>
    </row>
    <row r="706" spans="2:82" s="6" customFormat="1">
      <c r="B706" s="21"/>
      <c r="D706" s="17"/>
      <c r="E706" s="23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R706" s="24"/>
      <c r="AS706" s="24"/>
      <c r="AT706" s="24"/>
      <c r="AU706" s="24"/>
      <c r="AV706" s="24"/>
      <c r="AW706" s="24"/>
      <c r="BD706" s="24"/>
      <c r="BE706" s="24"/>
      <c r="BF706" s="24"/>
      <c r="BG706" s="24"/>
      <c r="BH706" s="24"/>
      <c r="BI706" s="24"/>
      <c r="BP706" s="24"/>
      <c r="BQ706" s="24"/>
      <c r="BR706" s="24"/>
      <c r="BS706" s="24"/>
      <c r="BZ706" s="24"/>
      <c r="CA706" s="24"/>
      <c r="CB706" s="24"/>
      <c r="CC706" s="24"/>
      <c r="CD706" s="24"/>
    </row>
    <row r="707" spans="2:82" s="6" customFormat="1">
      <c r="B707" s="21"/>
      <c r="D707" s="17"/>
      <c r="E707" s="23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R707" s="24"/>
      <c r="AS707" s="24"/>
      <c r="AT707" s="24"/>
      <c r="AU707" s="24"/>
      <c r="AV707" s="24"/>
      <c r="AW707" s="24"/>
      <c r="BD707" s="24"/>
      <c r="BE707" s="24"/>
      <c r="BF707" s="24"/>
      <c r="BG707" s="24"/>
      <c r="BH707" s="24"/>
      <c r="BI707" s="24"/>
      <c r="BP707" s="24"/>
      <c r="BQ707" s="24"/>
      <c r="BR707" s="24"/>
      <c r="BS707" s="24"/>
      <c r="BZ707" s="24"/>
      <c r="CA707" s="24"/>
      <c r="CB707" s="24"/>
      <c r="CC707" s="24"/>
      <c r="CD707" s="24"/>
    </row>
    <row r="708" spans="2:82" s="6" customFormat="1">
      <c r="B708" s="21"/>
      <c r="D708" s="17"/>
      <c r="E708" s="23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R708" s="24"/>
      <c r="AS708" s="24"/>
      <c r="AT708" s="24"/>
      <c r="AU708" s="24"/>
      <c r="AV708" s="24"/>
      <c r="AW708" s="24"/>
      <c r="BD708" s="24"/>
      <c r="BE708" s="24"/>
      <c r="BF708" s="24"/>
      <c r="BG708" s="24"/>
      <c r="BH708" s="24"/>
      <c r="BI708" s="24"/>
      <c r="BP708" s="24"/>
      <c r="BQ708" s="24"/>
      <c r="BR708" s="24"/>
      <c r="BS708" s="24"/>
      <c r="BZ708" s="24"/>
      <c r="CA708" s="24"/>
      <c r="CB708" s="24"/>
      <c r="CC708" s="24"/>
      <c r="CD708" s="24"/>
    </row>
    <row r="709" spans="2:82" s="6" customFormat="1">
      <c r="B709" s="21"/>
      <c r="D709" s="17"/>
      <c r="E709" s="23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R709" s="24"/>
      <c r="AS709" s="24"/>
      <c r="AT709" s="24"/>
      <c r="AU709" s="24"/>
      <c r="AV709" s="24"/>
      <c r="AW709" s="24"/>
      <c r="BD709" s="24"/>
      <c r="BE709" s="24"/>
      <c r="BF709" s="24"/>
      <c r="BG709" s="24"/>
      <c r="BH709" s="24"/>
      <c r="BI709" s="24"/>
      <c r="BP709" s="24"/>
      <c r="BQ709" s="24"/>
      <c r="BR709" s="24"/>
      <c r="BS709" s="24"/>
      <c r="BZ709" s="24"/>
      <c r="CA709" s="24"/>
      <c r="CB709" s="24"/>
      <c r="CC709" s="24"/>
      <c r="CD709" s="24"/>
    </row>
    <row r="710" spans="2:82" s="6" customFormat="1">
      <c r="B710" s="21"/>
      <c r="D710" s="17"/>
      <c r="E710" s="23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R710" s="24"/>
      <c r="AS710" s="24"/>
      <c r="AT710" s="24"/>
      <c r="AU710" s="24"/>
      <c r="AV710" s="24"/>
      <c r="AW710" s="24"/>
      <c r="BD710" s="24"/>
      <c r="BE710" s="24"/>
      <c r="BF710" s="24"/>
      <c r="BG710" s="24"/>
      <c r="BH710" s="24"/>
      <c r="BI710" s="24"/>
      <c r="BP710" s="24"/>
      <c r="BQ710" s="24"/>
      <c r="BR710" s="24"/>
      <c r="BS710" s="24"/>
      <c r="BZ710" s="24"/>
      <c r="CA710" s="24"/>
      <c r="CB710" s="24"/>
      <c r="CC710" s="24"/>
      <c r="CD710" s="24"/>
    </row>
    <row r="711" spans="2:82" s="6" customFormat="1">
      <c r="B711" s="21"/>
      <c r="D711" s="17"/>
      <c r="E711" s="23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R711" s="24"/>
      <c r="AS711" s="24"/>
      <c r="AT711" s="24"/>
      <c r="AU711" s="24"/>
      <c r="AV711" s="24"/>
      <c r="AW711" s="24"/>
      <c r="BD711" s="24"/>
      <c r="BE711" s="24"/>
      <c r="BF711" s="24"/>
      <c r="BG711" s="24"/>
      <c r="BH711" s="24"/>
      <c r="BI711" s="24"/>
      <c r="BP711" s="24"/>
      <c r="BQ711" s="24"/>
      <c r="BR711" s="24"/>
      <c r="BS711" s="24"/>
      <c r="BZ711" s="24"/>
      <c r="CA711" s="24"/>
      <c r="CB711" s="24"/>
      <c r="CC711" s="24"/>
      <c r="CD711" s="24"/>
    </row>
    <row r="712" spans="2:82" s="6" customFormat="1">
      <c r="B712" s="21"/>
      <c r="D712" s="17"/>
      <c r="E712" s="23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R712" s="24"/>
      <c r="AS712" s="24"/>
      <c r="AT712" s="24"/>
      <c r="AU712" s="24"/>
      <c r="AV712" s="24"/>
      <c r="AW712" s="24"/>
      <c r="BD712" s="24"/>
      <c r="BE712" s="24"/>
      <c r="BF712" s="24"/>
      <c r="BG712" s="24"/>
      <c r="BH712" s="24"/>
      <c r="BI712" s="24"/>
      <c r="BP712" s="24"/>
      <c r="BQ712" s="24"/>
      <c r="BR712" s="24"/>
      <c r="BS712" s="24"/>
      <c r="BZ712" s="24"/>
      <c r="CA712" s="24"/>
      <c r="CB712" s="24"/>
      <c r="CC712" s="24"/>
      <c r="CD712" s="24"/>
    </row>
    <row r="713" spans="2:82" s="6" customFormat="1">
      <c r="B713" s="21"/>
      <c r="D713" s="17"/>
      <c r="E713" s="23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R713" s="24"/>
      <c r="AS713" s="24"/>
      <c r="AT713" s="24"/>
      <c r="AU713" s="24"/>
      <c r="AV713" s="24"/>
      <c r="AW713" s="24"/>
      <c r="BD713" s="24"/>
      <c r="BE713" s="24"/>
      <c r="BF713" s="24"/>
      <c r="BG713" s="24"/>
      <c r="BH713" s="24"/>
      <c r="BI713" s="24"/>
      <c r="BP713" s="24"/>
      <c r="BQ713" s="24"/>
      <c r="BR713" s="24"/>
      <c r="BS713" s="24"/>
      <c r="BZ713" s="24"/>
      <c r="CA713" s="24"/>
      <c r="CB713" s="24"/>
      <c r="CC713" s="24"/>
      <c r="CD713" s="24"/>
    </row>
    <row r="714" spans="2:82" s="6" customFormat="1">
      <c r="B714" s="21"/>
      <c r="D714" s="17"/>
      <c r="E714" s="23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R714" s="24"/>
      <c r="AS714" s="24"/>
      <c r="AT714" s="24"/>
      <c r="AU714" s="24"/>
      <c r="AV714" s="24"/>
      <c r="AW714" s="24"/>
      <c r="BD714" s="24"/>
      <c r="BE714" s="24"/>
      <c r="BF714" s="24"/>
      <c r="BG714" s="24"/>
      <c r="BH714" s="24"/>
      <c r="BI714" s="24"/>
      <c r="BP714" s="24"/>
      <c r="BQ714" s="24"/>
      <c r="BR714" s="24"/>
      <c r="BS714" s="24"/>
      <c r="BZ714" s="24"/>
      <c r="CA714" s="24"/>
      <c r="CB714" s="24"/>
      <c r="CC714" s="24"/>
      <c r="CD714" s="24"/>
    </row>
    <row r="715" spans="2:82" s="6" customFormat="1">
      <c r="B715" s="21"/>
      <c r="D715" s="17"/>
      <c r="E715" s="23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R715" s="24"/>
      <c r="AS715" s="24"/>
      <c r="AT715" s="24"/>
      <c r="AU715" s="24"/>
      <c r="AV715" s="24"/>
      <c r="AW715" s="24"/>
      <c r="BD715" s="24"/>
      <c r="BE715" s="24"/>
      <c r="BF715" s="24"/>
      <c r="BG715" s="24"/>
      <c r="BH715" s="24"/>
      <c r="BI715" s="24"/>
      <c r="BP715" s="24"/>
      <c r="BQ715" s="24"/>
      <c r="BR715" s="24"/>
      <c r="BS715" s="24"/>
      <c r="BZ715" s="24"/>
      <c r="CA715" s="24"/>
      <c r="CB715" s="24"/>
      <c r="CC715" s="24"/>
      <c r="CD715" s="24"/>
    </row>
    <row r="716" spans="2:82" s="6" customFormat="1">
      <c r="B716" s="21"/>
      <c r="D716" s="17"/>
      <c r="E716" s="23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R716" s="24"/>
      <c r="AS716" s="24"/>
      <c r="AT716" s="24"/>
      <c r="AU716" s="24"/>
      <c r="AV716" s="24"/>
      <c r="AW716" s="24"/>
      <c r="BD716" s="24"/>
      <c r="BE716" s="24"/>
      <c r="BF716" s="24"/>
      <c r="BG716" s="24"/>
      <c r="BH716" s="24"/>
      <c r="BI716" s="24"/>
      <c r="BP716" s="24"/>
      <c r="BQ716" s="24"/>
      <c r="BR716" s="24"/>
      <c r="BS716" s="24"/>
      <c r="BZ716" s="24"/>
      <c r="CA716" s="24"/>
      <c r="CB716" s="24"/>
      <c r="CC716" s="24"/>
      <c r="CD716" s="24"/>
    </row>
    <row r="717" spans="2:82" s="6" customFormat="1">
      <c r="B717" s="21"/>
      <c r="D717" s="17"/>
      <c r="E717" s="23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R717" s="24"/>
      <c r="AS717" s="24"/>
      <c r="AT717" s="24"/>
      <c r="AU717" s="24"/>
      <c r="AV717" s="24"/>
      <c r="AW717" s="24"/>
      <c r="BD717" s="24"/>
      <c r="BE717" s="24"/>
      <c r="BF717" s="24"/>
      <c r="BG717" s="24"/>
      <c r="BH717" s="24"/>
      <c r="BI717" s="24"/>
      <c r="BP717" s="24"/>
      <c r="BQ717" s="24"/>
      <c r="BR717" s="24"/>
      <c r="BS717" s="24"/>
      <c r="BZ717" s="24"/>
      <c r="CA717" s="24"/>
      <c r="CB717" s="24"/>
      <c r="CC717" s="24"/>
      <c r="CD717" s="24"/>
    </row>
    <row r="718" spans="2:82" s="6" customFormat="1">
      <c r="B718" s="21"/>
      <c r="D718" s="17"/>
      <c r="E718" s="23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R718" s="24"/>
      <c r="AS718" s="24"/>
      <c r="AT718" s="24"/>
      <c r="AU718" s="24"/>
      <c r="AV718" s="24"/>
      <c r="AW718" s="24"/>
      <c r="BD718" s="24"/>
      <c r="BE718" s="24"/>
      <c r="BF718" s="24"/>
      <c r="BG718" s="24"/>
      <c r="BH718" s="24"/>
      <c r="BI718" s="24"/>
      <c r="BP718" s="24"/>
      <c r="BQ718" s="24"/>
      <c r="BR718" s="24"/>
      <c r="BS718" s="24"/>
      <c r="BZ718" s="24"/>
      <c r="CA718" s="24"/>
      <c r="CB718" s="24"/>
      <c r="CC718" s="24"/>
      <c r="CD718" s="24"/>
    </row>
    <row r="719" spans="2:82" s="6" customFormat="1">
      <c r="B719" s="21"/>
      <c r="D719" s="17"/>
      <c r="E719" s="23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R719" s="24"/>
      <c r="AS719" s="24"/>
      <c r="AT719" s="24"/>
      <c r="AU719" s="24"/>
      <c r="AV719" s="24"/>
      <c r="AW719" s="24"/>
      <c r="BD719" s="24"/>
      <c r="BE719" s="24"/>
      <c r="BF719" s="24"/>
      <c r="BG719" s="24"/>
      <c r="BH719" s="24"/>
      <c r="BI719" s="24"/>
      <c r="BP719" s="24"/>
      <c r="BQ719" s="24"/>
      <c r="BR719" s="24"/>
      <c r="BS719" s="24"/>
      <c r="BZ719" s="24"/>
      <c r="CA719" s="24"/>
      <c r="CB719" s="24"/>
      <c r="CC719" s="24"/>
      <c r="CD719" s="24"/>
    </row>
    <row r="720" spans="2:82" s="6" customFormat="1">
      <c r="B720" s="21"/>
      <c r="D720" s="17"/>
      <c r="E720" s="23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R720" s="24"/>
      <c r="AS720" s="24"/>
      <c r="AT720" s="24"/>
      <c r="AU720" s="24"/>
      <c r="AV720" s="24"/>
      <c r="AW720" s="24"/>
      <c r="BD720" s="24"/>
      <c r="BE720" s="24"/>
      <c r="BF720" s="24"/>
      <c r="BG720" s="24"/>
      <c r="BH720" s="24"/>
      <c r="BI720" s="24"/>
      <c r="BP720" s="24"/>
      <c r="BQ720" s="24"/>
      <c r="BR720" s="24"/>
      <c r="BS720" s="24"/>
      <c r="BZ720" s="24"/>
      <c r="CA720" s="24"/>
      <c r="CB720" s="24"/>
      <c r="CC720" s="24"/>
      <c r="CD720" s="24"/>
    </row>
    <row r="721" spans="2:82" s="6" customFormat="1">
      <c r="B721" s="21"/>
      <c r="D721" s="17"/>
      <c r="E721" s="23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R721" s="24"/>
      <c r="AS721" s="24"/>
      <c r="AT721" s="24"/>
      <c r="AU721" s="24"/>
      <c r="AV721" s="24"/>
      <c r="AW721" s="24"/>
      <c r="BD721" s="24"/>
      <c r="BE721" s="24"/>
      <c r="BF721" s="24"/>
      <c r="BG721" s="24"/>
      <c r="BH721" s="24"/>
      <c r="BI721" s="24"/>
      <c r="BP721" s="24"/>
      <c r="BQ721" s="24"/>
      <c r="BR721" s="24"/>
      <c r="BS721" s="24"/>
      <c r="BZ721" s="24"/>
      <c r="CA721" s="24"/>
      <c r="CB721" s="24"/>
      <c r="CC721" s="24"/>
      <c r="CD721" s="24"/>
    </row>
    <row r="722" spans="2:82" s="6" customFormat="1">
      <c r="B722" s="21"/>
      <c r="D722" s="17"/>
      <c r="E722" s="23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R722" s="24"/>
      <c r="AS722" s="24"/>
      <c r="AT722" s="24"/>
      <c r="AU722" s="24"/>
      <c r="AV722" s="24"/>
      <c r="AW722" s="24"/>
      <c r="BD722" s="24"/>
      <c r="BE722" s="24"/>
      <c r="BF722" s="24"/>
      <c r="BG722" s="24"/>
      <c r="BH722" s="24"/>
      <c r="BI722" s="24"/>
      <c r="BP722" s="24"/>
      <c r="BQ722" s="24"/>
      <c r="BR722" s="24"/>
      <c r="BS722" s="24"/>
      <c r="BZ722" s="24"/>
      <c r="CA722" s="24"/>
      <c r="CB722" s="24"/>
      <c r="CC722" s="24"/>
      <c r="CD722" s="24"/>
    </row>
    <row r="723" spans="2:82" s="6" customFormat="1">
      <c r="B723" s="21"/>
      <c r="D723" s="17"/>
      <c r="E723" s="23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R723" s="24"/>
      <c r="AS723" s="24"/>
      <c r="AT723" s="24"/>
      <c r="AU723" s="24"/>
      <c r="AV723" s="24"/>
      <c r="AW723" s="24"/>
      <c r="BD723" s="24"/>
      <c r="BE723" s="24"/>
      <c r="BF723" s="24"/>
      <c r="BG723" s="24"/>
      <c r="BH723" s="24"/>
      <c r="BI723" s="24"/>
      <c r="BP723" s="24"/>
      <c r="BQ723" s="24"/>
      <c r="BR723" s="24"/>
      <c r="BS723" s="24"/>
      <c r="BZ723" s="24"/>
      <c r="CA723" s="24"/>
      <c r="CB723" s="24"/>
      <c r="CC723" s="24"/>
      <c r="CD723" s="24"/>
    </row>
    <row r="724" spans="2:82" s="6" customFormat="1">
      <c r="B724" s="21"/>
      <c r="D724" s="17"/>
      <c r="E724" s="23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R724" s="24"/>
      <c r="AS724" s="24"/>
      <c r="AT724" s="24"/>
      <c r="AU724" s="24"/>
      <c r="AV724" s="24"/>
      <c r="AW724" s="24"/>
      <c r="BD724" s="24"/>
      <c r="BE724" s="24"/>
      <c r="BF724" s="24"/>
      <c r="BG724" s="24"/>
      <c r="BH724" s="24"/>
      <c r="BI724" s="24"/>
      <c r="BP724" s="24"/>
      <c r="BQ724" s="24"/>
      <c r="BR724" s="24"/>
      <c r="BS724" s="24"/>
      <c r="BZ724" s="24"/>
      <c r="CA724" s="24"/>
      <c r="CB724" s="24"/>
      <c r="CC724" s="24"/>
      <c r="CD724" s="24"/>
    </row>
    <row r="725" spans="2:82" s="6" customFormat="1">
      <c r="B725" s="21"/>
      <c r="D725" s="17"/>
      <c r="E725" s="23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R725" s="24"/>
      <c r="AS725" s="24"/>
      <c r="AT725" s="24"/>
      <c r="AU725" s="24"/>
      <c r="AV725" s="24"/>
      <c r="AW725" s="24"/>
      <c r="BD725" s="24"/>
      <c r="BE725" s="24"/>
      <c r="BF725" s="24"/>
      <c r="BG725" s="24"/>
      <c r="BH725" s="24"/>
      <c r="BI725" s="24"/>
      <c r="BP725" s="24"/>
      <c r="BQ725" s="24"/>
      <c r="BR725" s="24"/>
      <c r="BS725" s="24"/>
      <c r="BZ725" s="24"/>
      <c r="CA725" s="24"/>
      <c r="CB725" s="24"/>
      <c r="CC725" s="24"/>
      <c r="CD725" s="24"/>
    </row>
    <row r="726" spans="2:82" s="6" customFormat="1">
      <c r="B726" s="21"/>
      <c r="D726" s="17"/>
      <c r="E726" s="23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R726" s="24"/>
      <c r="AS726" s="24"/>
      <c r="AT726" s="24"/>
      <c r="AU726" s="24"/>
      <c r="AV726" s="24"/>
      <c r="AW726" s="24"/>
      <c r="BD726" s="24"/>
      <c r="BE726" s="24"/>
      <c r="BF726" s="24"/>
      <c r="BG726" s="24"/>
      <c r="BH726" s="24"/>
      <c r="BI726" s="24"/>
      <c r="BP726" s="24"/>
      <c r="BQ726" s="24"/>
      <c r="BR726" s="24"/>
      <c r="BS726" s="24"/>
      <c r="BZ726" s="24"/>
      <c r="CA726" s="24"/>
      <c r="CB726" s="24"/>
      <c r="CC726" s="24"/>
      <c r="CD726" s="24"/>
    </row>
    <row r="727" spans="2:82" s="6" customFormat="1">
      <c r="B727" s="21"/>
      <c r="D727" s="17"/>
      <c r="E727" s="23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R727" s="24"/>
      <c r="AS727" s="24"/>
      <c r="AT727" s="24"/>
      <c r="AU727" s="24"/>
      <c r="AV727" s="24"/>
      <c r="AW727" s="24"/>
      <c r="BD727" s="24"/>
      <c r="BE727" s="24"/>
      <c r="BF727" s="24"/>
      <c r="BG727" s="24"/>
      <c r="BH727" s="24"/>
      <c r="BI727" s="24"/>
      <c r="BP727" s="24"/>
      <c r="BQ727" s="24"/>
      <c r="BR727" s="24"/>
      <c r="BS727" s="24"/>
      <c r="BZ727" s="24"/>
      <c r="CA727" s="24"/>
      <c r="CB727" s="24"/>
      <c r="CC727" s="24"/>
      <c r="CD727" s="24"/>
    </row>
    <row r="728" spans="2:82" s="6" customFormat="1">
      <c r="B728" s="21"/>
      <c r="D728" s="17"/>
      <c r="E728" s="23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R728" s="24"/>
      <c r="AS728" s="24"/>
      <c r="AT728" s="24"/>
      <c r="AU728" s="24"/>
      <c r="AV728" s="24"/>
      <c r="AW728" s="24"/>
      <c r="BD728" s="24"/>
      <c r="BE728" s="24"/>
      <c r="BF728" s="24"/>
      <c r="BG728" s="24"/>
      <c r="BH728" s="24"/>
      <c r="BI728" s="24"/>
      <c r="BP728" s="24"/>
      <c r="BQ728" s="24"/>
      <c r="BR728" s="24"/>
      <c r="BS728" s="24"/>
      <c r="BZ728" s="24"/>
      <c r="CA728" s="24"/>
      <c r="CB728" s="24"/>
      <c r="CC728" s="24"/>
      <c r="CD728" s="24"/>
    </row>
    <row r="729" spans="2:82" s="6" customFormat="1">
      <c r="B729" s="21"/>
      <c r="D729" s="17"/>
      <c r="E729" s="23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R729" s="24"/>
      <c r="AS729" s="24"/>
      <c r="AT729" s="24"/>
      <c r="AU729" s="24"/>
      <c r="AV729" s="24"/>
      <c r="AW729" s="24"/>
      <c r="BD729" s="24"/>
      <c r="BE729" s="24"/>
      <c r="BF729" s="24"/>
      <c r="BG729" s="24"/>
      <c r="BH729" s="24"/>
      <c r="BI729" s="24"/>
      <c r="BP729" s="24"/>
      <c r="BQ729" s="24"/>
      <c r="BR729" s="24"/>
      <c r="BS729" s="24"/>
      <c r="BZ729" s="24"/>
      <c r="CA729" s="24"/>
      <c r="CB729" s="24"/>
      <c r="CC729" s="24"/>
      <c r="CD729" s="24"/>
    </row>
    <row r="730" spans="2:82" s="6" customFormat="1">
      <c r="B730" s="21"/>
      <c r="D730" s="17"/>
      <c r="E730" s="23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R730" s="24"/>
      <c r="AS730" s="24"/>
      <c r="AT730" s="24"/>
      <c r="AU730" s="24"/>
      <c r="AV730" s="24"/>
      <c r="AW730" s="24"/>
      <c r="BD730" s="24"/>
      <c r="BE730" s="24"/>
      <c r="BF730" s="24"/>
      <c r="BG730" s="24"/>
      <c r="BH730" s="24"/>
      <c r="BI730" s="24"/>
      <c r="BP730" s="24"/>
      <c r="BQ730" s="24"/>
      <c r="BR730" s="24"/>
      <c r="BS730" s="24"/>
      <c r="BZ730" s="24"/>
      <c r="CA730" s="24"/>
      <c r="CB730" s="24"/>
      <c r="CC730" s="24"/>
      <c r="CD730" s="24"/>
    </row>
    <row r="731" spans="2:82" s="6" customFormat="1">
      <c r="B731" s="21"/>
      <c r="D731" s="17"/>
      <c r="E731" s="23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R731" s="24"/>
      <c r="AS731" s="24"/>
      <c r="AT731" s="24"/>
      <c r="AU731" s="24"/>
      <c r="AV731" s="24"/>
      <c r="AW731" s="24"/>
      <c r="BD731" s="24"/>
      <c r="BE731" s="24"/>
      <c r="BF731" s="24"/>
      <c r="BG731" s="24"/>
      <c r="BH731" s="24"/>
      <c r="BI731" s="24"/>
      <c r="BP731" s="24"/>
      <c r="BQ731" s="24"/>
      <c r="BR731" s="24"/>
      <c r="BS731" s="24"/>
      <c r="BZ731" s="24"/>
      <c r="CA731" s="24"/>
      <c r="CB731" s="24"/>
      <c r="CC731" s="24"/>
      <c r="CD731" s="24"/>
    </row>
    <row r="732" spans="2:82" s="6" customFormat="1">
      <c r="B732" s="21"/>
      <c r="D732" s="17"/>
      <c r="E732" s="23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R732" s="24"/>
      <c r="AS732" s="24"/>
      <c r="AT732" s="24"/>
      <c r="AU732" s="24"/>
      <c r="AV732" s="24"/>
      <c r="AW732" s="24"/>
      <c r="BD732" s="24"/>
      <c r="BE732" s="24"/>
      <c r="BF732" s="24"/>
      <c r="BG732" s="24"/>
      <c r="BH732" s="24"/>
      <c r="BI732" s="24"/>
      <c r="BP732" s="24"/>
      <c r="BQ732" s="24"/>
      <c r="BR732" s="24"/>
      <c r="BS732" s="24"/>
      <c r="BZ732" s="24"/>
      <c r="CA732" s="24"/>
      <c r="CB732" s="24"/>
      <c r="CC732" s="24"/>
      <c r="CD732" s="24"/>
    </row>
    <row r="733" spans="2:82" s="6" customFormat="1">
      <c r="B733" s="21"/>
      <c r="D733" s="17"/>
      <c r="E733" s="23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R733" s="24"/>
      <c r="AS733" s="24"/>
      <c r="AT733" s="24"/>
      <c r="AU733" s="24"/>
      <c r="AV733" s="24"/>
      <c r="AW733" s="24"/>
      <c r="BD733" s="24"/>
      <c r="BE733" s="24"/>
      <c r="BF733" s="24"/>
      <c r="BG733" s="24"/>
      <c r="BH733" s="24"/>
      <c r="BI733" s="24"/>
      <c r="BP733" s="24"/>
      <c r="BQ733" s="24"/>
      <c r="BR733" s="24"/>
      <c r="BS733" s="24"/>
      <c r="BZ733" s="24"/>
      <c r="CA733" s="24"/>
      <c r="CB733" s="24"/>
      <c r="CC733" s="24"/>
      <c r="CD733" s="24"/>
    </row>
    <row r="734" spans="2:82" s="6" customFormat="1">
      <c r="B734" s="21"/>
      <c r="D734" s="17"/>
      <c r="E734" s="23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R734" s="24"/>
      <c r="AS734" s="24"/>
      <c r="AT734" s="24"/>
      <c r="AU734" s="24"/>
      <c r="AV734" s="24"/>
      <c r="AW734" s="24"/>
      <c r="BD734" s="24"/>
      <c r="BE734" s="24"/>
      <c r="BF734" s="24"/>
      <c r="BG734" s="24"/>
      <c r="BH734" s="24"/>
      <c r="BI734" s="24"/>
      <c r="BP734" s="24"/>
      <c r="BQ734" s="24"/>
      <c r="BR734" s="24"/>
      <c r="BS734" s="24"/>
      <c r="BZ734" s="24"/>
      <c r="CA734" s="24"/>
      <c r="CB734" s="24"/>
      <c r="CC734" s="24"/>
      <c r="CD734" s="24"/>
    </row>
    <row r="735" spans="2:82" s="6" customFormat="1">
      <c r="B735" s="21"/>
      <c r="D735" s="17"/>
      <c r="E735" s="23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R735" s="24"/>
      <c r="AS735" s="24"/>
      <c r="AT735" s="24"/>
      <c r="AU735" s="24"/>
      <c r="AV735" s="24"/>
      <c r="AW735" s="24"/>
      <c r="BD735" s="24"/>
      <c r="BE735" s="24"/>
      <c r="BF735" s="24"/>
      <c r="BG735" s="24"/>
      <c r="BH735" s="24"/>
      <c r="BI735" s="24"/>
      <c r="BP735" s="24"/>
      <c r="BQ735" s="24"/>
      <c r="BR735" s="24"/>
      <c r="BS735" s="24"/>
      <c r="BZ735" s="24"/>
      <c r="CA735" s="24"/>
      <c r="CB735" s="24"/>
      <c r="CC735" s="24"/>
      <c r="CD735" s="24"/>
    </row>
    <row r="736" spans="2:82" s="6" customFormat="1">
      <c r="B736" s="21"/>
      <c r="D736" s="17"/>
      <c r="E736" s="23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R736" s="24"/>
      <c r="AS736" s="24"/>
      <c r="AT736" s="24"/>
      <c r="AU736" s="24"/>
      <c r="AV736" s="24"/>
      <c r="AW736" s="24"/>
      <c r="BD736" s="24"/>
      <c r="BE736" s="24"/>
      <c r="BF736" s="24"/>
      <c r="BG736" s="24"/>
      <c r="BH736" s="24"/>
      <c r="BI736" s="24"/>
      <c r="BP736" s="24"/>
      <c r="BQ736" s="24"/>
      <c r="BR736" s="24"/>
      <c r="BS736" s="24"/>
      <c r="BZ736" s="24"/>
      <c r="CA736" s="24"/>
      <c r="CB736" s="24"/>
      <c r="CC736" s="24"/>
      <c r="CD736" s="24"/>
    </row>
    <row r="737" spans="2:82" s="6" customFormat="1">
      <c r="B737" s="21"/>
      <c r="D737" s="17"/>
      <c r="E737" s="23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R737" s="24"/>
      <c r="AS737" s="24"/>
      <c r="AT737" s="24"/>
      <c r="AU737" s="24"/>
      <c r="AV737" s="24"/>
      <c r="AW737" s="24"/>
      <c r="BD737" s="24"/>
      <c r="BE737" s="24"/>
      <c r="BF737" s="24"/>
      <c r="BG737" s="24"/>
      <c r="BH737" s="24"/>
      <c r="BI737" s="24"/>
      <c r="BP737" s="24"/>
      <c r="BQ737" s="24"/>
      <c r="BR737" s="24"/>
      <c r="BS737" s="24"/>
      <c r="BZ737" s="24"/>
      <c r="CA737" s="24"/>
      <c r="CB737" s="24"/>
      <c r="CC737" s="24"/>
      <c r="CD737" s="24"/>
    </row>
    <row r="738" spans="2:82" s="6" customFormat="1">
      <c r="B738" s="21"/>
      <c r="D738" s="17"/>
      <c r="E738" s="23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R738" s="24"/>
      <c r="AS738" s="24"/>
      <c r="AT738" s="24"/>
      <c r="AU738" s="24"/>
      <c r="AV738" s="24"/>
      <c r="AW738" s="24"/>
      <c r="BD738" s="24"/>
      <c r="BE738" s="24"/>
      <c r="BF738" s="24"/>
      <c r="BG738" s="24"/>
      <c r="BH738" s="24"/>
      <c r="BI738" s="24"/>
      <c r="BP738" s="24"/>
      <c r="BQ738" s="24"/>
      <c r="BR738" s="24"/>
      <c r="BS738" s="24"/>
      <c r="BZ738" s="24"/>
      <c r="CA738" s="24"/>
      <c r="CB738" s="24"/>
      <c r="CC738" s="24"/>
      <c r="CD738" s="24"/>
    </row>
    <row r="739" spans="2:82" s="6" customFormat="1">
      <c r="B739" s="21"/>
      <c r="D739" s="17"/>
      <c r="E739" s="23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R739" s="24"/>
      <c r="AS739" s="24"/>
      <c r="AT739" s="24"/>
      <c r="AU739" s="24"/>
      <c r="AV739" s="24"/>
      <c r="AW739" s="24"/>
      <c r="BD739" s="24"/>
      <c r="BE739" s="24"/>
      <c r="BF739" s="24"/>
      <c r="BG739" s="24"/>
      <c r="BH739" s="24"/>
      <c r="BI739" s="24"/>
      <c r="BP739" s="24"/>
      <c r="BQ739" s="24"/>
      <c r="BR739" s="24"/>
      <c r="BS739" s="24"/>
      <c r="BZ739" s="24"/>
      <c r="CA739" s="24"/>
      <c r="CB739" s="24"/>
      <c r="CC739" s="24"/>
      <c r="CD739" s="24"/>
    </row>
    <row r="740" spans="2:82" s="6" customFormat="1">
      <c r="B740" s="21"/>
      <c r="D740" s="17"/>
      <c r="E740" s="23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R740" s="24"/>
      <c r="AS740" s="24"/>
      <c r="AT740" s="24"/>
      <c r="AU740" s="24"/>
      <c r="AV740" s="24"/>
      <c r="AW740" s="24"/>
      <c r="BD740" s="24"/>
      <c r="BE740" s="24"/>
      <c r="BF740" s="24"/>
      <c r="BG740" s="24"/>
      <c r="BH740" s="24"/>
      <c r="BI740" s="24"/>
      <c r="BP740" s="24"/>
      <c r="BQ740" s="24"/>
      <c r="BR740" s="24"/>
      <c r="BS740" s="24"/>
      <c r="BZ740" s="24"/>
      <c r="CA740" s="24"/>
      <c r="CB740" s="24"/>
      <c r="CC740" s="24"/>
      <c r="CD740" s="24"/>
    </row>
    <row r="741" spans="2:82" s="6" customFormat="1">
      <c r="B741" s="21"/>
      <c r="D741" s="17"/>
      <c r="E741" s="23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R741" s="24"/>
      <c r="AS741" s="24"/>
      <c r="AT741" s="24"/>
      <c r="AU741" s="24"/>
      <c r="AV741" s="24"/>
      <c r="AW741" s="24"/>
      <c r="BD741" s="24"/>
      <c r="BE741" s="24"/>
      <c r="BF741" s="24"/>
      <c r="BG741" s="24"/>
      <c r="BH741" s="24"/>
      <c r="BI741" s="24"/>
      <c r="BP741" s="24"/>
      <c r="BQ741" s="24"/>
      <c r="BR741" s="24"/>
      <c r="BS741" s="24"/>
      <c r="BZ741" s="24"/>
      <c r="CA741" s="24"/>
      <c r="CB741" s="24"/>
      <c r="CC741" s="24"/>
      <c r="CD741" s="24"/>
    </row>
    <row r="742" spans="2:82" s="6" customFormat="1">
      <c r="B742" s="21"/>
      <c r="D742" s="17"/>
      <c r="E742" s="23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R742" s="24"/>
      <c r="AS742" s="24"/>
      <c r="AT742" s="24"/>
      <c r="AU742" s="24"/>
      <c r="AV742" s="24"/>
      <c r="AW742" s="24"/>
      <c r="BD742" s="24"/>
      <c r="BE742" s="24"/>
      <c r="BF742" s="24"/>
      <c r="BG742" s="24"/>
      <c r="BH742" s="24"/>
      <c r="BI742" s="24"/>
      <c r="BP742" s="24"/>
      <c r="BQ742" s="24"/>
      <c r="BR742" s="24"/>
      <c r="BS742" s="24"/>
      <c r="BZ742" s="24"/>
      <c r="CA742" s="24"/>
      <c r="CB742" s="24"/>
      <c r="CC742" s="24"/>
      <c r="CD742" s="24"/>
    </row>
    <row r="743" spans="2:82" s="6" customFormat="1">
      <c r="B743" s="21"/>
      <c r="D743" s="17"/>
      <c r="E743" s="23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R743" s="24"/>
      <c r="AS743" s="24"/>
      <c r="AT743" s="24"/>
      <c r="AU743" s="24"/>
      <c r="AV743" s="24"/>
      <c r="AW743" s="24"/>
      <c r="BD743" s="24"/>
      <c r="BE743" s="24"/>
      <c r="BF743" s="24"/>
      <c r="BG743" s="24"/>
      <c r="BH743" s="24"/>
      <c r="BI743" s="24"/>
      <c r="BP743" s="24"/>
      <c r="BQ743" s="24"/>
      <c r="BR743" s="24"/>
      <c r="BS743" s="24"/>
      <c r="BZ743" s="24"/>
      <c r="CA743" s="24"/>
      <c r="CB743" s="24"/>
      <c r="CC743" s="24"/>
      <c r="CD743" s="24"/>
    </row>
    <row r="744" spans="2:82" s="6" customFormat="1">
      <c r="B744" s="21"/>
      <c r="D744" s="17"/>
      <c r="E744" s="23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R744" s="24"/>
      <c r="AS744" s="24"/>
      <c r="AT744" s="24"/>
      <c r="AU744" s="24"/>
      <c r="AV744" s="24"/>
      <c r="AW744" s="24"/>
      <c r="BD744" s="24"/>
      <c r="BE744" s="24"/>
      <c r="BF744" s="24"/>
      <c r="BG744" s="24"/>
      <c r="BH744" s="24"/>
      <c r="BI744" s="24"/>
      <c r="BP744" s="24"/>
      <c r="BQ744" s="24"/>
      <c r="BR744" s="24"/>
      <c r="BS744" s="24"/>
      <c r="BZ744" s="24"/>
      <c r="CA744" s="24"/>
      <c r="CB744" s="24"/>
      <c r="CC744" s="24"/>
      <c r="CD744" s="24"/>
    </row>
    <row r="745" spans="2:82" s="6" customFormat="1">
      <c r="B745" s="21"/>
      <c r="D745" s="17"/>
      <c r="E745" s="23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R745" s="24"/>
      <c r="AS745" s="24"/>
      <c r="AT745" s="24"/>
      <c r="AU745" s="24"/>
      <c r="AV745" s="24"/>
      <c r="AW745" s="24"/>
      <c r="BD745" s="24"/>
      <c r="BE745" s="24"/>
      <c r="BF745" s="24"/>
      <c r="BG745" s="24"/>
      <c r="BH745" s="24"/>
      <c r="BI745" s="24"/>
      <c r="BP745" s="24"/>
      <c r="BQ745" s="24"/>
      <c r="BR745" s="24"/>
      <c r="BS745" s="24"/>
      <c r="BZ745" s="24"/>
      <c r="CA745" s="24"/>
      <c r="CB745" s="24"/>
      <c r="CC745" s="24"/>
      <c r="CD745" s="24"/>
    </row>
    <row r="746" spans="2:82" s="6" customFormat="1">
      <c r="B746" s="21"/>
      <c r="D746" s="17"/>
      <c r="E746" s="23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R746" s="24"/>
      <c r="AS746" s="24"/>
      <c r="AT746" s="24"/>
      <c r="AU746" s="24"/>
      <c r="AV746" s="24"/>
      <c r="AW746" s="24"/>
      <c r="BD746" s="24"/>
      <c r="BE746" s="24"/>
      <c r="BF746" s="24"/>
      <c r="BG746" s="24"/>
      <c r="BH746" s="24"/>
      <c r="BI746" s="24"/>
      <c r="BP746" s="24"/>
      <c r="BQ746" s="24"/>
      <c r="BR746" s="24"/>
      <c r="BS746" s="24"/>
      <c r="BZ746" s="24"/>
      <c r="CA746" s="24"/>
      <c r="CB746" s="24"/>
      <c r="CC746" s="24"/>
      <c r="CD746" s="24"/>
    </row>
    <row r="747" spans="2:82" s="6" customFormat="1">
      <c r="B747" s="21"/>
      <c r="D747" s="17"/>
      <c r="E747" s="23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R747" s="24"/>
      <c r="AS747" s="24"/>
      <c r="AT747" s="24"/>
      <c r="AU747" s="24"/>
      <c r="AV747" s="24"/>
      <c r="AW747" s="24"/>
      <c r="BD747" s="24"/>
      <c r="BE747" s="24"/>
      <c r="BF747" s="24"/>
      <c r="BG747" s="24"/>
      <c r="BH747" s="24"/>
      <c r="BI747" s="24"/>
      <c r="BP747" s="24"/>
      <c r="BQ747" s="24"/>
      <c r="BR747" s="24"/>
      <c r="BS747" s="24"/>
      <c r="BZ747" s="24"/>
      <c r="CA747" s="24"/>
      <c r="CB747" s="24"/>
      <c r="CC747" s="24"/>
      <c r="CD747" s="24"/>
    </row>
    <row r="748" spans="2:82" s="6" customFormat="1">
      <c r="B748" s="21"/>
      <c r="D748" s="17"/>
      <c r="E748" s="23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R748" s="24"/>
      <c r="AS748" s="24"/>
      <c r="AT748" s="24"/>
      <c r="AU748" s="24"/>
      <c r="AV748" s="24"/>
      <c r="AW748" s="24"/>
      <c r="BD748" s="24"/>
      <c r="BE748" s="24"/>
      <c r="BF748" s="24"/>
      <c r="BG748" s="24"/>
      <c r="BH748" s="24"/>
      <c r="BI748" s="24"/>
      <c r="BP748" s="24"/>
      <c r="BQ748" s="24"/>
      <c r="BR748" s="24"/>
      <c r="BS748" s="24"/>
      <c r="BZ748" s="24"/>
      <c r="CA748" s="24"/>
      <c r="CB748" s="24"/>
      <c r="CC748" s="24"/>
      <c r="CD748" s="24"/>
    </row>
    <row r="749" spans="2:82" s="6" customFormat="1">
      <c r="B749" s="21"/>
      <c r="D749" s="17"/>
      <c r="E749" s="23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R749" s="24"/>
      <c r="AS749" s="24"/>
      <c r="AT749" s="24"/>
      <c r="AU749" s="24"/>
      <c r="AV749" s="24"/>
      <c r="AW749" s="24"/>
      <c r="BD749" s="24"/>
      <c r="BE749" s="24"/>
      <c r="BF749" s="24"/>
      <c r="BG749" s="24"/>
      <c r="BH749" s="24"/>
      <c r="BI749" s="24"/>
      <c r="BP749" s="24"/>
      <c r="BQ749" s="24"/>
      <c r="BR749" s="24"/>
      <c r="BS749" s="24"/>
      <c r="BZ749" s="24"/>
      <c r="CA749" s="24"/>
      <c r="CB749" s="24"/>
      <c r="CC749" s="24"/>
      <c r="CD749" s="24"/>
    </row>
    <row r="750" spans="2:82" s="6" customFormat="1">
      <c r="B750" s="21"/>
      <c r="D750" s="17"/>
      <c r="E750" s="23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R750" s="24"/>
      <c r="AS750" s="24"/>
      <c r="AT750" s="24"/>
      <c r="AU750" s="24"/>
      <c r="AV750" s="24"/>
      <c r="AW750" s="24"/>
      <c r="BD750" s="24"/>
      <c r="BE750" s="24"/>
      <c r="BF750" s="24"/>
      <c r="BG750" s="24"/>
      <c r="BH750" s="24"/>
      <c r="BI750" s="24"/>
      <c r="BP750" s="24"/>
      <c r="BQ750" s="24"/>
      <c r="BR750" s="24"/>
      <c r="BS750" s="24"/>
      <c r="BZ750" s="24"/>
      <c r="CA750" s="24"/>
      <c r="CB750" s="24"/>
      <c r="CC750" s="24"/>
      <c r="CD750" s="24"/>
    </row>
    <row r="751" spans="2:82" s="6" customFormat="1">
      <c r="B751" s="21"/>
      <c r="D751" s="17"/>
      <c r="E751" s="23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R751" s="24"/>
      <c r="AS751" s="24"/>
      <c r="AT751" s="24"/>
      <c r="AU751" s="24"/>
      <c r="AV751" s="24"/>
      <c r="AW751" s="24"/>
      <c r="BD751" s="24"/>
      <c r="BE751" s="24"/>
      <c r="BF751" s="24"/>
      <c r="BG751" s="24"/>
      <c r="BH751" s="24"/>
      <c r="BI751" s="24"/>
      <c r="BP751" s="24"/>
      <c r="BQ751" s="24"/>
      <c r="BR751" s="24"/>
      <c r="BS751" s="24"/>
      <c r="BZ751" s="24"/>
      <c r="CA751" s="24"/>
      <c r="CB751" s="24"/>
      <c r="CC751" s="24"/>
      <c r="CD751" s="24"/>
    </row>
    <row r="752" spans="2:82" s="6" customFormat="1">
      <c r="B752" s="21"/>
      <c r="D752" s="17"/>
      <c r="E752" s="23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R752" s="24"/>
      <c r="AS752" s="24"/>
      <c r="AT752" s="24"/>
      <c r="AU752" s="24"/>
      <c r="AV752" s="24"/>
      <c r="AW752" s="24"/>
      <c r="BD752" s="24"/>
      <c r="BE752" s="24"/>
      <c r="BF752" s="24"/>
      <c r="BG752" s="24"/>
      <c r="BH752" s="24"/>
      <c r="BI752" s="24"/>
      <c r="BP752" s="24"/>
      <c r="BQ752" s="24"/>
      <c r="BR752" s="24"/>
      <c r="BS752" s="24"/>
      <c r="BZ752" s="24"/>
      <c r="CA752" s="24"/>
      <c r="CB752" s="24"/>
      <c r="CC752" s="24"/>
      <c r="CD752" s="24"/>
    </row>
    <row r="753" spans="2:82" s="6" customFormat="1">
      <c r="B753" s="21"/>
      <c r="D753" s="17"/>
      <c r="E753" s="23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R753" s="24"/>
      <c r="AS753" s="24"/>
      <c r="AT753" s="24"/>
      <c r="AU753" s="24"/>
      <c r="AV753" s="24"/>
      <c r="AW753" s="24"/>
      <c r="BD753" s="24"/>
      <c r="BE753" s="24"/>
      <c r="BF753" s="24"/>
      <c r="BG753" s="24"/>
      <c r="BH753" s="24"/>
      <c r="BI753" s="24"/>
      <c r="BP753" s="24"/>
      <c r="BQ753" s="24"/>
      <c r="BR753" s="24"/>
      <c r="BS753" s="24"/>
      <c r="BZ753" s="24"/>
      <c r="CA753" s="24"/>
      <c r="CB753" s="24"/>
      <c r="CC753" s="24"/>
      <c r="CD753" s="24"/>
    </row>
    <row r="754" spans="2:82" s="6" customFormat="1">
      <c r="B754" s="21"/>
      <c r="D754" s="17"/>
      <c r="E754" s="23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R754" s="24"/>
      <c r="AS754" s="24"/>
      <c r="AT754" s="24"/>
      <c r="AU754" s="24"/>
      <c r="AV754" s="24"/>
      <c r="AW754" s="24"/>
      <c r="BD754" s="24"/>
      <c r="BE754" s="24"/>
      <c r="BF754" s="24"/>
      <c r="BG754" s="24"/>
      <c r="BH754" s="24"/>
      <c r="BI754" s="24"/>
      <c r="BP754" s="24"/>
      <c r="BQ754" s="24"/>
      <c r="BR754" s="24"/>
      <c r="BS754" s="24"/>
      <c r="BZ754" s="24"/>
      <c r="CA754" s="24"/>
      <c r="CB754" s="24"/>
      <c r="CC754" s="24"/>
      <c r="CD754" s="24"/>
    </row>
    <row r="755" spans="2:82" s="6" customFormat="1">
      <c r="B755" s="21"/>
      <c r="D755" s="17"/>
      <c r="E755" s="23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R755" s="24"/>
      <c r="AS755" s="24"/>
      <c r="AT755" s="24"/>
      <c r="AU755" s="24"/>
      <c r="AV755" s="24"/>
      <c r="AW755" s="24"/>
      <c r="BD755" s="24"/>
      <c r="BE755" s="24"/>
      <c r="BF755" s="24"/>
      <c r="BG755" s="24"/>
      <c r="BH755" s="24"/>
      <c r="BI755" s="24"/>
      <c r="BP755" s="24"/>
      <c r="BQ755" s="24"/>
      <c r="BR755" s="24"/>
      <c r="BS755" s="24"/>
      <c r="BZ755" s="24"/>
      <c r="CA755" s="24"/>
      <c r="CB755" s="24"/>
      <c r="CC755" s="24"/>
      <c r="CD755" s="24"/>
    </row>
    <row r="756" spans="2:82" s="6" customFormat="1">
      <c r="B756" s="21"/>
      <c r="D756" s="17"/>
      <c r="E756" s="23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R756" s="24"/>
      <c r="AS756" s="24"/>
      <c r="AT756" s="24"/>
      <c r="AU756" s="24"/>
      <c r="AV756" s="24"/>
      <c r="AW756" s="24"/>
      <c r="BD756" s="24"/>
      <c r="BE756" s="24"/>
      <c r="BF756" s="24"/>
      <c r="BG756" s="24"/>
      <c r="BH756" s="24"/>
      <c r="BI756" s="24"/>
      <c r="BP756" s="24"/>
      <c r="BQ756" s="24"/>
      <c r="BR756" s="24"/>
      <c r="BS756" s="24"/>
      <c r="BZ756" s="24"/>
      <c r="CA756" s="24"/>
      <c r="CB756" s="24"/>
      <c r="CC756" s="24"/>
      <c r="CD756" s="24"/>
    </row>
    <row r="757" spans="2:82" s="6" customFormat="1">
      <c r="B757" s="21"/>
      <c r="D757" s="17"/>
      <c r="E757" s="23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R757" s="24"/>
      <c r="AS757" s="24"/>
      <c r="AT757" s="24"/>
      <c r="AU757" s="24"/>
      <c r="AV757" s="24"/>
      <c r="AW757" s="24"/>
      <c r="BD757" s="24"/>
      <c r="BE757" s="24"/>
      <c r="BF757" s="24"/>
      <c r="BG757" s="24"/>
      <c r="BH757" s="24"/>
      <c r="BI757" s="24"/>
      <c r="BP757" s="24"/>
      <c r="BQ757" s="24"/>
      <c r="BR757" s="24"/>
      <c r="BS757" s="24"/>
      <c r="BZ757" s="24"/>
      <c r="CA757" s="24"/>
      <c r="CB757" s="24"/>
      <c r="CC757" s="24"/>
      <c r="CD757" s="24"/>
    </row>
    <row r="758" spans="2:82" s="6" customFormat="1">
      <c r="B758" s="21"/>
      <c r="D758" s="17"/>
      <c r="E758" s="23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R758" s="24"/>
      <c r="AS758" s="24"/>
      <c r="AT758" s="24"/>
      <c r="AU758" s="24"/>
      <c r="AV758" s="24"/>
      <c r="AW758" s="24"/>
      <c r="BD758" s="24"/>
      <c r="BE758" s="24"/>
      <c r="BF758" s="24"/>
      <c r="BG758" s="24"/>
      <c r="BH758" s="24"/>
      <c r="BI758" s="24"/>
      <c r="BP758" s="24"/>
      <c r="BQ758" s="24"/>
      <c r="BR758" s="24"/>
      <c r="BS758" s="24"/>
      <c r="BZ758" s="24"/>
      <c r="CA758" s="24"/>
      <c r="CB758" s="24"/>
      <c r="CC758" s="24"/>
      <c r="CD758" s="24"/>
    </row>
    <row r="759" spans="2:82" s="6" customFormat="1">
      <c r="B759" s="21"/>
      <c r="D759" s="17"/>
      <c r="E759" s="23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R759" s="24"/>
      <c r="AS759" s="24"/>
      <c r="AT759" s="24"/>
      <c r="AU759" s="24"/>
      <c r="AV759" s="24"/>
      <c r="AW759" s="24"/>
      <c r="BD759" s="24"/>
      <c r="BE759" s="24"/>
      <c r="BF759" s="24"/>
      <c r="BG759" s="24"/>
      <c r="BH759" s="24"/>
      <c r="BI759" s="24"/>
      <c r="BP759" s="24"/>
      <c r="BQ759" s="24"/>
      <c r="BR759" s="24"/>
      <c r="BS759" s="24"/>
      <c r="BZ759" s="24"/>
      <c r="CA759" s="24"/>
      <c r="CB759" s="24"/>
      <c r="CC759" s="24"/>
      <c r="CD759" s="24"/>
    </row>
    <row r="760" spans="2:82" s="6" customFormat="1">
      <c r="B760" s="21"/>
      <c r="D760" s="17"/>
      <c r="E760" s="23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R760" s="24"/>
      <c r="AS760" s="24"/>
      <c r="AT760" s="24"/>
      <c r="AU760" s="24"/>
      <c r="AV760" s="24"/>
      <c r="AW760" s="24"/>
      <c r="BD760" s="24"/>
      <c r="BE760" s="24"/>
      <c r="BF760" s="24"/>
      <c r="BG760" s="24"/>
      <c r="BH760" s="24"/>
      <c r="BI760" s="24"/>
      <c r="BP760" s="24"/>
      <c r="BQ760" s="24"/>
      <c r="BR760" s="24"/>
      <c r="BS760" s="24"/>
      <c r="BZ760" s="24"/>
      <c r="CA760" s="24"/>
      <c r="CB760" s="24"/>
      <c r="CC760" s="24"/>
      <c r="CD760" s="24"/>
    </row>
    <row r="761" spans="2:82" s="6" customFormat="1">
      <c r="B761" s="21"/>
      <c r="D761" s="17"/>
      <c r="E761" s="23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R761" s="24"/>
      <c r="AS761" s="24"/>
      <c r="AT761" s="24"/>
      <c r="AU761" s="24"/>
      <c r="AV761" s="24"/>
      <c r="AW761" s="24"/>
      <c r="BD761" s="24"/>
      <c r="BE761" s="24"/>
      <c r="BF761" s="24"/>
      <c r="BG761" s="24"/>
      <c r="BH761" s="24"/>
      <c r="BI761" s="24"/>
      <c r="BP761" s="24"/>
      <c r="BQ761" s="24"/>
      <c r="BR761" s="24"/>
      <c r="BS761" s="24"/>
      <c r="BZ761" s="24"/>
      <c r="CA761" s="24"/>
      <c r="CB761" s="24"/>
      <c r="CC761" s="24"/>
      <c r="CD761" s="24"/>
    </row>
    <row r="762" spans="2:82" s="6" customFormat="1">
      <c r="B762" s="21"/>
      <c r="D762" s="17"/>
      <c r="E762" s="23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R762" s="24"/>
      <c r="AS762" s="24"/>
      <c r="AT762" s="24"/>
      <c r="AU762" s="24"/>
      <c r="AV762" s="24"/>
      <c r="AW762" s="24"/>
      <c r="BD762" s="24"/>
      <c r="BE762" s="24"/>
      <c r="BF762" s="24"/>
      <c r="BG762" s="24"/>
      <c r="BH762" s="24"/>
      <c r="BI762" s="24"/>
      <c r="BP762" s="24"/>
      <c r="BQ762" s="24"/>
      <c r="BR762" s="24"/>
      <c r="BS762" s="24"/>
      <c r="BZ762" s="24"/>
      <c r="CA762" s="24"/>
      <c r="CB762" s="24"/>
      <c r="CC762" s="24"/>
      <c r="CD762" s="24"/>
    </row>
    <row r="763" spans="2:82" s="6" customFormat="1">
      <c r="B763" s="21"/>
      <c r="D763" s="17"/>
      <c r="E763" s="23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R763" s="24"/>
      <c r="AS763" s="24"/>
      <c r="AT763" s="24"/>
      <c r="AU763" s="24"/>
      <c r="AV763" s="24"/>
      <c r="AW763" s="24"/>
      <c r="BD763" s="24"/>
      <c r="BE763" s="24"/>
      <c r="BF763" s="24"/>
      <c r="BG763" s="24"/>
      <c r="BH763" s="24"/>
      <c r="BI763" s="24"/>
      <c r="BP763" s="24"/>
      <c r="BQ763" s="24"/>
      <c r="BR763" s="24"/>
      <c r="BS763" s="24"/>
      <c r="BZ763" s="24"/>
      <c r="CA763" s="24"/>
      <c r="CB763" s="24"/>
      <c r="CC763" s="24"/>
      <c r="CD763" s="24"/>
    </row>
    <row r="764" spans="2:82" s="6" customFormat="1">
      <c r="B764" s="21"/>
      <c r="D764" s="17"/>
      <c r="E764" s="23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R764" s="24"/>
      <c r="AS764" s="24"/>
      <c r="AT764" s="24"/>
      <c r="AU764" s="24"/>
      <c r="AV764" s="24"/>
      <c r="AW764" s="24"/>
      <c r="BD764" s="24"/>
      <c r="BE764" s="24"/>
      <c r="BF764" s="24"/>
      <c r="BG764" s="24"/>
      <c r="BH764" s="24"/>
      <c r="BI764" s="24"/>
      <c r="BP764" s="24"/>
      <c r="BQ764" s="24"/>
      <c r="BR764" s="24"/>
      <c r="BS764" s="24"/>
      <c r="BZ764" s="24"/>
      <c r="CA764" s="24"/>
      <c r="CB764" s="24"/>
      <c r="CC764" s="24"/>
      <c r="CD764" s="24"/>
    </row>
    <row r="765" spans="2:82" s="6" customFormat="1">
      <c r="B765" s="21"/>
      <c r="D765" s="17"/>
      <c r="E765" s="23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R765" s="24"/>
      <c r="AS765" s="24"/>
      <c r="AT765" s="24"/>
      <c r="AU765" s="24"/>
      <c r="AV765" s="24"/>
      <c r="AW765" s="24"/>
      <c r="BD765" s="24"/>
      <c r="BE765" s="24"/>
      <c r="BF765" s="24"/>
      <c r="BG765" s="24"/>
      <c r="BH765" s="24"/>
      <c r="BI765" s="24"/>
      <c r="BP765" s="24"/>
      <c r="BQ765" s="24"/>
      <c r="BR765" s="24"/>
      <c r="BS765" s="24"/>
      <c r="BZ765" s="24"/>
      <c r="CA765" s="24"/>
      <c r="CB765" s="24"/>
      <c r="CC765" s="24"/>
      <c r="CD765" s="24"/>
    </row>
    <row r="766" spans="2:82" s="6" customFormat="1">
      <c r="B766" s="21"/>
      <c r="D766" s="17"/>
      <c r="E766" s="23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R766" s="24"/>
      <c r="AS766" s="24"/>
      <c r="AT766" s="24"/>
      <c r="AU766" s="24"/>
      <c r="AV766" s="24"/>
      <c r="AW766" s="24"/>
      <c r="BD766" s="24"/>
      <c r="BE766" s="24"/>
      <c r="BF766" s="24"/>
      <c r="BG766" s="24"/>
      <c r="BH766" s="24"/>
      <c r="BI766" s="24"/>
      <c r="BP766" s="24"/>
      <c r="BQ766" s="24"/>
      <c r="BR766" s="24"/>
      <c r="BS766" s="24"/>
      <c r="BZ766" s="24"/>
      <c r="CA766" s="24"/>
      <c r="CB766" s="24"/>
      <c r="CC766" s="24"/>
      <c r="CD766" s="24"/>
    </row>
    <row r="767" spans="2:82" s="6" customFormat="1">
      <c r="B767" s="21"/>
      <c r="D767" s="17"/>
      <c r="E767" s="23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R767" s="24"/>
      <c r="AS767" s="24"/>
      <c r="AT767" s="24"/>
      <c r="AU767" s="24"/>
      <c r="AV767" s="24"/>
      <c r="AW767" s="24"/>
      <c r="BD767" s="24"/>
      <c r="BE767" s="24"/>
      <c r="BF767" s="24"/>
      <c r="BG767" s="24"/>
      <c r="BH767" s="24"/>
      <c r="BI767" s="24"/>
      <c r="BP767" s="24"/>
      <c r="BQ767" s="24"/>
      <c r="BR767" s="24"/>
      <c r="BS767" s="24"/>
      <c r="BZ767" s="24"/>
      <c r="CA767" s="24"/>
      <c r="CB767" s="24"/>
      <c r="CC767" s="24"/>
      <c r="CD767" s="24"/>
    </row>
    <row r="768" spans="2:82" s="6" customFormat="1">
      <c r="B768" s="21"/>
      <c r="D768" s="17"/>
      <c r="E768" s="23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R768" s="24"/>
      <c r="AS768" s="24"/>
      <c r="AT768" s="24"/>
      <c r="AU768" s="24"/>
      <c r="AV768" s="24"/>
      <c r="AW768" s="24"/>
      <c r="BD768" s="24"/>
      <c r="BE768" s="24"/>
      <c r="BF768" s="24"/>
      <c r="BG768" s="24"/>
      <c r="BH768" s="24"/>
      <c r="BI768" s="24"/>
      <c r="BP768" s="24"/>
      <c r="BQ768" s="24"/>
      <c r="BR768" s="24"/>
      <c r="BS768" s="24"/>
      <c r="BZ768" s="24"/>
      <c r="CA768" s="24"/>
      <c r="CB768" s="24"/>
      <c r="CC768" s="24"/>
      <c r="CD768" s="24"/>
    </row>
    <row r="769" spans="2:82" s="6" customFormat="1">
      <c r="B769" s="21"/>
      <c r="D769" s="17"/>
      <c r="E769" s="23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R769" s="24"/>
      <c r="AS769" s="24"/>
      <c r="AT769" s="24"/>
      <c r="AU769" s="24"/>
      <c r="AV769" s="24"/>
      <c r="AW769" s="24"/>
      <c r="BD769" s="24"/>
      <c r="BE769" s="24"/>
      <c r="BF769" s="24"/>
      <c r="BG769" s="24"/>
      <c r="BH769" s="24"/>
      <c r="BI769" s="24"/>
      <c r="BP769" s="24"/>
      <c r="BQ769" s="24"/>
      <c r="BR769" s="24"/>
      <c r="BS769" s="24"/>
      <c r="BZ769" s="24"/>
      <c r="CA769" s="24"/>
      <c r="CB769" s="24"/>
      <c r="CC769" s="24"/>
      <c r="CD769" s="24"/>
    </row>
    <row r="770" spans="2:82" s="6" customFormat="1">
      <c r="B770" s="21"/>
      <c r="D770" s="17"/>
      <c r="E770" s="23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R770" s="24"/>
      <c r="AS770" s="24"/>
      <c r="AT770" s="24"/>
      <c r="AU770" s="24"/>
      <c r="AV770" s="24"/>
      <c r="AW770" s="24"/>
      <c r="BD770" s="24"/>
      <c r="BE770" s="24"/>
      <c r="BF770" s="24"/>
      <c r="BG770" s="24"/>
      <c r="BH770" s="24"/>
      <c r="BI770" s="24"/>
      <c r="BP770" s="24"/>
      <c r="BQ770" s="24"/>
      <c r="BR770" s="24"/>
      <c r="BS770" s="24"/>
      <c r="BZ770" s="24"/>
      <c r="CA770" s="24"/>
      <c r="CB770" s="24"/>
      <c r="CC770" s="24"/>
      <c r="CD770" s="24"/>
    </row>
    <row r="771" spans="2:82" s="6" customFormat="1">
      <c r="B771" s="21"/>
      <c r="D771" s="17"/>
      <c r="E771" s="23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R771" s="24"/>
      <c r="AS771" s="24"/>
      <c r="AT771" s="24"/>
      <c r="AU771" s="24"/>
      <c r="AV771" s="24"/>
      <c r="AW771" s="24"/>
      <c r="BD771" s="24"/>
      <c r="BE771" s="24"/>
      <c r="BF771" s="24"/>
      <c r="BG771" s="24"/>
      <c r="BH771" s="24"/>
      <c r="BI771" s="24"/>
      <c r="BP771" s="24"/>
      <c r="BQ771" s="24"/>
      <c r="BR771" s="24"/>
      <c r="BS771" s="24"/>
      <c r="BZ771" s="24"/>
      <c r="CA771" s="24"/>
      <c r="CB771" s="24"/>
      <c r="CC771" s="24"/>
      <c r="CD771" s="24"/>
    </row>
    <row r="772" spans="2:82" s="6" customFormat="1">
      <c r="B772" s="21"/>
      <c r="D772" s="17"/>
      <c r="E772" s="23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R772" s="24"/>
      <c r="AS772" s="24"/>
      <c r="AT772" s="24"/>
      <c r="AU772" s="24"/>
      <c r="AV772" s="24"/>
      <c r="AW772" s="24"/>
      <c r="BD772" s="24"/>
      <c r="BE772" s="24"/>
      <c r="BF772" s="24"/>
      <c r="BG772" s="24"/>
      <c r="BH772" s="24"/>
      <c r="BI772" s="24"/>
      <c r="BP772" s="24"/>
      <c r="BQ772" s="24"/>
      <c r="BR772" s="24"/>
      <c r="BS772" s="24"/>
      <c r="BZ772" s="24"/>
      <c r="CA772" s="24"/>
      <c r="CB772" s="24"/>
      <c r="CC772" s="24"/>
      <c r="CD772" s="24"/>
    </row>
    <row r="773" spans="2:82" s="6" customFormat="1">
      <c r="B773" s="21"/>
      <c r="D773" s="17"/>
      <c r="E773" s="23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R773" s="24"/>
      <c r="AS773" s="24"/>
      <c r="AT773" s="24"/>
      <c r="AU773" s="24"/>
      <c r="AV773" s="24"/>
      <c r="AW773" s="24"/>
      <c r="BD773" s="24"/>
      <c r="BE773" s="24"/>
      <c r="BF773" s="24"/>
      <c r="BG773" s="24"/>
      <c r="BH773" s="24"/>
      <c r="BI773" s="24"/>
      <c r="BP773" s="24"/>
      <c r="BQ773" s="24"/>
      <c r="BR773" s="24"/>
      <c r="BS773" s="24"/>
      <c r="BZ773" s="24"/>
      <c r="CA773" s="24"/>
      <c r="CB773" s="24"/>
      <c r="CC773" s="24"/>
      <c r="CD773" s="24"/>
    </row>
    <row r="774" spans="2:82" s="6" customFormat="1">
      <c r="B774" s="21"/>
      <c r="D774" s="17"/>
      <c r="E774" s="23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R774" s="24"/>
      <c r="AS774" s="24"/>
      <c r="AT774" s="24"/>
      <c r="AU774" s="24"/>
      <c r="AV774" s="24"/>
      <c r="AW774" s="24"/>
      <c r="BD774" s="24"/>
      <c r="BE774" s="24"/>
      <c r="BF774" s="24"/>
      <c r="BG774" s="24"/>
      <c r="BH774" s="24"/>
      <c r="BI774" s="24"/>
      <c r="BP774" s="24"/>
      <c r="BQ774" s="24"/>
      <c r="BR774" s="24"/>
      <c r="BS774" s="24"/>
      <c r="BZ774" s="24"/>
      <c r="CA774" s="24"/>
      <c r="CB774" s="24"/>
      <c r="CC774" s="24"/>
      <c r="CD774" s="24"/>
    </row>
    <row r="775" spans="2:82" s="6" customFormat="1">
      <c r="B775" s="21"/>
      <c r="D775" s="17"/>
      <c r="E775" s="23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R775" s="24"/>
      <c r="AS775" s="24"/>
      <c r="AT775" s="24"/>
      <c r="AU775" s="24"/>
      <c r="AV775" s="24"/>
      <c r="AW775" s="24"/>
      <c r="BD775" s="24"/>
      <c r="BE775" s="24"/>
      <c r="BF775" s="24"/>
      <c r="BG775" s="24"/>
      <c r="BH775" s="24"/>
      <c r="BI775" s="24"/>
      <c r="BP775" s="24"/>
      <c r="BQ775" s="24"/>
      <c r="BR775" s="24"/>
      <c r="BS775" s="24"/>
      <c r="BZ775" s="24"/>
      <c r="CA775" s="24"/>
      <c r="CB775" s="24"/>
      <c r="CC775" s="24"/>
      <c r="CD775" s="24"/>
    </row>
    <row r="776" spans="2:82" s="6" customFormat="1">
      <c r="B776" s="21"/>
      <c r="D776" s="17"/>
      <c r="E776" s="23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R776" s="24"/>
      <c r="AS776" s="24"/>
      <c r="AT776" s="24"/>
      <c r="AU776" s="24"/>
      <c r="AV776" s="24"/>
      <c r="AW776" s="24"/>
      <c r="BD776" s="24"/>
      <c r="BE776" s="24"/>
      <c r="BF776" s="24"/>
      <c r="BG776" s="24"/>
      <c r="BH776" s="24"/>
      <c r="BI776" s="24"/>
      <c r="BP776" s="24"/>
      <c r="BQ776" s="24"/>
      <c r="BR776" s="24"/>
      <c r="BS776" s="24"/>
      <c r="BZ776" s="24"/>
      <c r="CA776" s="24"/>
      <c r="CB776" s="24"/>
      <c r="CC776" s="24"/>
      <c r="CD776" s="24"/>
    </row>
    <row r="777" spans="2:82" s="6" customFormat="1">
      <c r="B777" s="21"/>
      <c r="D777" s="17"/>
      <c r="E777" s="23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R777" s="24"/>
      <c r="AS777" s="24"/>
      <c r="AT777" s="24"/>
      <c r="AU777" s="24"/>
      <c r="AV777" s="24"/>
      <c r="AW777" s="24"/>
      <c r="BD777" s="24"/>
      <c r="BE777" s="24"/>
      <c r="BF777" s="24"/>
      <c r="BG777" s="24"/>
      <c r="BH777" s="24"/>
      <c r="BI777" s="24"/>
      <c r="BP777" s="24"/>
      <c r="BQ777" s="24"/>
      <c r="BR777" s="24"/>
      <c r="BS777" s="24"/>
      <c r="BZ777" s="24"/>
      <c r="CA777" s="24"/>
      <c r="CB777" s="24"/>
      <c r="CC777" s="24"/>
      <c r="CD777" s="24"/>
    </row>
    <row r="778" spans="2:82" s="6" customFormat="1">
      <c r="B778" s="21"/>
      <c r="D778" s="17"/>
      <c r="E778" s="23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R778" s="24"/>
      <c r="AS778" s="24"/>
      <c r="AT778" s="24"/>
      <c r="AU778" s="24"/>
      <c r="AV778" s="24"/>
      <c r="AW778" s="24"/>
      <c r="BD778" s="24"/>
      <c r="BE778" s="24"/>
      <c r="BF778" s="24"/>
      <c r="BG778" s="24"/>
      <c r="BH778" s="24"/>
      <c r="BI778" s="24"/>
      <c r="BP778" s="24"/>
      <c r="BQ778" s="24"/>
      <c r="BR778" s="24"/>
      <c r="BS778" s="24"/>
      <c r="BZ778" s="24"/>
      <c r="CA778" s="24"/>
      <c r="CB778" s="24"/>
      <c r="CC778" s="24"/>
      <c r="CD778" s="24"/>
    </row>
    <row r="779" spans="2:82" s="6" customFormat="1">
      <c r="B779" s="21"/>
      <c r="D779" s="17"/>
      <c r="E779" s="23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R779" s="24"/>
      <c r="AS779" s="24"/>
      <c r="AT779" s="24"/>
      <c r="AU779" s="24"/>
      <c r="AV779" s="24"/>
      <c r="AW779" s="24"/>
      <c r="BD779" s="24"/>
      <c r="BE779" s="24"/>
      <c r="BF779" s="24"/>
      <c r="BG779" s="24"/>
      <c r="BH779" s="24"/>
      <c r="BI779" s="24"/>
      <c r="BP779" s="24"/>
      <c r="BQ779" s="24"/>
      <c r="BR779" s="24"/>
      <c r="BS779" s="24"/>
      <c r="BZ779" s="24"/>
      <c r="CA779" s="24"/>
      <c r="CB779" s="24"/>
      <c r="CC779" s="24"/>
      <c r="CD779" s="24"/>
    </row>
    <row r="780" spans="2:82" s="6" customFormat="1">
      <c r="B780" s="21"/>
      <c r="D780" s="17"/>
      <c r="E780" s="23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R780" s="24"/>
      <c r="AS780" s="24"/>
      <c r="AT780" s="24"/>
      <c r="AU780" s="24"/>
      <c r="AV780" s="24"/>
      <c r="AW780" s="24"/>
      <c r="BD780" s="24"/>
      <c r="BE780" s="24"/>
      <c r="BF780" s="24"/>
      <c r="BG780" s="24"/>
      <c r="BH780" s="24"/>
      <c r="BI780" s="24"/>
      <c r="BP780" s="24"/>
      <c r="BQ780" s="24"/>
      <c r="BR780" s="24"/>
      <c r="BS780" s="24"/>
      <c r="BZ780" s="24"/>
      <c r="CA780" s="24"/>
      <c r="CB780" s="24"/>
      <c r="CC780" s="24"/>
      <c r="CD780" s="24"/>
    </row>
    <row r="781" spans="2:82" s="6" customFormat="1">
      <c r="B781" s="21"/>
      <c r="D781" s="17"/>
      <c r="E781" s="23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R781" s="24"/>
      <c r="AS781" s="24"/>
      <c r="AT781" s="24"/>
      <c r="AU781" s="24"/>
      <c r="AV781" s="24"/>
      <c r="AW781" s="24"/>
      <c r="BD781" s="24"/>
      <c r="BE781" s="24"/>
      <c r="BF781" s="24"/>
      <c r="BG781" s="24"/>
      <c r="BH781" s="24"/>
      <c r="BI781" s="24"/>
      <c r="BP781" s="24"/>
      <c r="BQ781" s="24"/>
      <c r="BR781" s="24"/>
      <c r="BS781" s="24"/>
      <c r="BZ781" s="24"/>
      <c r="CA781" s="24"/>
      <c r="CB781" s="24"/>
      <c r="CC781" s="24"/>
      <c r="CD781" s="24"/>
    </row>
    <row r="782" spans="2:82" s="6" customFormat="1">
      <c r="B782" s="21"/>
      <c r="D782" s="17"/>
      <c r="E782" s="23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R782" s="24"/>
      <c r="AS782" s="24"/>
      <c r="AT782" s="24"/>
      <c r="AU782" s="24"/>
      <c r="AV782" s="24"/>
      <c r="AW782" s="24"/>
      <c r="BD782" s="24"/>
      <c r="BE782" s="24"/>
      <c r="BF782" s="24"/>
      <c r="BG782" s="24"/>
      <c r="BH782" s="24"/>
      <c r="BI782" s="24"/>
      <c r="BP782" s="24"/>
      <c r="BQ782" s="24"/>
      <c r="BR782" s="24"/>
      <c r="BS782" s="24"/>
      <c r="BZ782" s="24"/>
      <c r="CA782" s="24"/>
      <c r="CB782" s="24"/>
      <c r="CC782" s="24"/>
      <c r="CD782" s="24"/>
    </row>
    <row r="783" spans="2:82" s="6" customFormat="1">
      <c r="B783" s="21"/>
      <c r="D783" s="17"/>
      <c r="E783" s="23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R783" s="24"/>
      <c r="AS783" s="24"/>
      <c r="AT783" s="24"/>
      <c r="AU783" s="24"/>
      <c r="AV783" s="24"/>
      <c r="AW783" s="24"/>
      <c r="BD783" s="24"/>
      <c r="BE783" s="24"/>
      <c r="BF783" s="24"/>
      <c r="BG783" s="24"/>
      <c r="BH783" s="24"/>
      <c r="BI783" s="24"/>
      <c r="BP783" s="24"/>
      <c r="BQ783" s="24"/>
      <c r="BR783" s="24"/>
      <c r="BS783" s="24"/>
      <c r="BZ783" s="24"/>
      <c r="CA783" s="24"/>
      <c r="CB783" s="24"/>
      <c r="CC783" s="24"/>
      <c r="CD783" s="24"/>
    </row>
    <row r="784" spans="2:82" s="6" customFormat="1">
      <c r="B784" s="21"/>
      <c r="D784" s="17"/>
      <c r="E784" s="23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R784" s="24"/>
      <c r="AS784" s="24"/>
      <c r="AT784" s="24"/>
      <c r="AU784" s="24"/>
      <c r="AV784" s="24"/>
      <c r="AW784" s="24"/>
      <c r="BD784" s="24"/>
      <c r="BE784" s="24"/>
      <c r="BF784" s="24"/>
      <c r="BG784" s="24"/>
      <c r="BH784" s="24"/>
      <c r="BI784" s="24"/>
      <c r="BP784" s="24"/>
      <c r="BQ784" s="24"/>
      <c r="BR784" s="24"/>
      <c r="BS784" s="24"/>
      <c r="BZ784" s="24"/>
      <c r="CA784" s="24"/>
      <c r="CB784" s="24"/>
      <c r="CC784" s="24"/>
      <c r="CD784" s="24"/>
    </row>
    <row r="785" spans="2:82" s="6" customFormat="1">
      <c r="B785" s="21"/>
      <c r="D785" s="17"/>
      <c r="E785" s="23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R785" s="24"/>
      <c r="AS785" s="24"/>
      <c r="AT785" s="24"/>
      <c r="AU785" s="24"/>
      <c r="AV785" s="24"/>
      <c r="AW785" s="24"/>
      <c r="BD785" s="24"/>
      <c r="BE785" s="24"/>
      <c r="BF785" s="24"/>
      <c r="BG785" s="24"/>
      <c r="BH785" s="24"/>
      <c r="BI785" s="24"/>
      <c r="BP785" s="24"/>
      <c r="BQ785" s="24"/>
      <c r="BR785" s="24"/>
      <c r="BS785" s="24"/>
      <c r="BZ785" s="24"/>
      <c r="CA785" s="24"/>
      <c r="CB785" s="24"/>
      <c r="CC785" s="24"/>
      <c r="CD785" s="24"/>
    </row>
    <row r="786" spans="2:82" s="6" customFormat="1">
      <c r="B786" s="21"/>
      <c r="D786" s="17"/>
      <c r="E786" s="23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R786" s="24"/>
      <c r="AS786" s="24"/>
      <c r="AT786" s="24"/>
      <c r="AU786" s="24"/>
      <c r="AV786" s="24"/>
      <c r="AW786" s="24"/>
      <c r="BD786" s="24"/>
      <c r="BE786" s="24"/>
      <c r="BF786" s="24"/>
      <c r="BG786" s="24"/>
      <c r="BH786" s="24"/>
      <c r="BI786" s="24"/>
      <c r="BP786" s="24"/>
      <c r="BQ786" s="24"/>
      <c r="BR786" s="24"/>
      <c r="BS786" s="24"/>
      <c r="BZ786" s="24"/>
      <c r="CA786" s="24"/>
      <c r="CB786" s="24"/>
      <c r="CC786" s="24"/>
      <c r="CD786" s="24"/>
    </row>
    <row r="787" spans="2:82" s="6" customFormat="1">
      <c r="B787" s="21"/>
      <c r="D787" s="17"/>
      <c r="E787" s="23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R787" s="24"/>
      <c r="AS787" s="24"/>
      <c r="AT787" s="24"/>
      <c r="AU787" s="24"/>
      <c r="AV787" s="24"/>
      <c r="AW787" s="24"/>
      <c r="BD787" s="24"/>
      <c r="BE787" s="24"/>
      <c r="BF787" s="24"/>
      <c r="BG787" s="24"/>
      <c r="BH787" s="24"/>
      <c r="BI787" s="24"/>
      <c r="BP787" s="24"/>
      <c r="BQ787" s="24"/>
      <c r="BR787" s="24"/>
      <c r="BS787" s="24"/>
      <c r="BZ787" s="24"/>
      <c r="CA787" s="24"/>
      <c r="CB787" s="24"/>
      <c r="CC787" s="24"/>
      <c r="CD787" s="24"/>
    </row>
    <row r="788" spans="2:82" s="6" customFormat="1">
      <c r="B788" s="21"/>
      <c r="D788" s="17"/>
      <c r="E788" s="23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R788" s="24"/>
      <c r="AS788" s="24"/>
      <c r="AT788" s="24"/>
      <c r="AU788" s="24"/>
      <c r="AV788" s="24"/>
      <c r="AW788" s="24"/>
      <c r="BD788" s="24"/>
      <c r="BE788" s="24"/>
      <c r="BF788" s="24"/>
      <c r="BG788" s="24"/>
      <c r="BH788" s="24"/>
      <c r="BI788" s="24"/>
      <c r="BP788" s="24"/>
      <c r="BQ788" s="24"/>
      <c r="BR788" s="24"/>
      <c r="BS788" s="24"/>
      <c r="BZ788" s="24"/>
      <c r="CA788" s="24"/>
      <c r="CB788" s="24"/>
      <c r="CC788" s="24"/>
      <c r="CD788" s="24"/>
    </row>
    <row r="789" spans="2:82" s="6" customFormat="1">
      <c r="B789" s="21"/>
      <c r="D789" s="17"/>
      <c r="E789" s="23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R789" s="24"/>
      <c r="AS789" s="24"/>
      <c r="AT789" s="24"/>
      <c r="AU789" s="24"/>
      <c r="AV789" s="24"/>
      <c r="AW789" s="24"/>
      <c r="BD789" s="24"/>
      <c r="BE789" s="24"/>
      <c r="BF789" s="24"/>
      <c r="BG789" s="24"/>
      <c r="BH789" s="24"/>
      <c r="BI789" s="24"/>
      <c r="BP789" s="24"/>
      <c r="BQ789" s="24"/>
      <c r="BR789" s="24"/>
      <c r="BS789" s="24"/>
      <c r="BZ789" s="24"/>
      <c r="CA789" s="24"/>
      <c r="CB789" s="24"/>
      <c r="CC789" s="24"/>
      <c r="CD789" s="24"/>
    </row>
    <row r="790" spans="2:82" s="6" customFormat="1">
      <c r="B790" s="21"/>
      <c r="D790" s="17"/>
      <c r="E790" s="23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R790" s="24"/>
      <c r="AS790" s="24"/>
      <c r="AT790" s="24"/>
      <c r="AU790" s="24"/>
      <c r="AV790" s="24"/>
      <c r="AW790" s="24"/>
      <c r="BD790" s="24"/>
      <c r="BE790" s="24"/>
      <c r="BF790" s="24"/>
      <c r="BG790" s="24"/>
      <c r="BH790" s="24"/>
      <c r="BI790" s="24"/>
      <c r="BP790" s="24"/>
      <c r="BQ790" s="24"/>
      <c r="BR790" s="24"/>
      <c r="BS790" s="24"/>
      <c r="BZ790" s="24"/>
      <c r="CA790" s="24"/>
      <c r="CB790" s="24"/>
      <c r="CC790" s="24"/>
      <c r="CD790" s="24"/>
    </row>
    <row r="791" spans="2:82" s="6" customFormat="1">
      <c r="B791" s="21"/>
      <c r="D791" s="17"/>
      <c r="E791" s="23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R791" s="24"/>
      <c r="AS791" s="24"/>
      <c r="AT791" s="24"/>
      <c r="AU791" s="24"/>
      <c r="AV791" s="24"/>
      <c r="AW791" s="24"/>
      <c r="BD791" s="24"/>
      <c r="BE791" s="24"/>
      <c r="BF791" s="24"/>
      <c r="BG791" s="24"/>
      <c r="BH791" s="24"/>
      <c r="BI791" s="24"/>
      <c r="BP791" s="24"/>
      <c r="BQ791" s="24"/>
      <c r="BR791" s="24"/>
      <c r="BS791" s="24"/>
      <c r="BZ791" s="24"/>
      <c r="CA791" s="24"/>
      <c r="CB791" s="24"/>
      <c r="CC791" s="24"/>
      <c r="CD791" s="24"/>
    </row>
    <row r="792" spans="2:82" s="6" customFormat="1">
      <c r="B792" s="21"/>
      <c r="D792" s="17"/>
      <c r="E792" s="23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R792" s="24"/>
      <c r="AS792" s="24"/>
      <c r="AT792" s="24"/>
      <c r="AU792" s="24"/>
      <c r="AV792" s="24"/>
      <c r="AW792" s="24"/>
      <c r="BD792" s="24"/>
      <c r="BE792" s="24"/>
      <c r="BF792" s="24"/>
      <c r="BG792" s="24"/>
      <c r="BH792" s="24"/>
      <c r="BI792" s="24"/>
      <c r="BP792" s="24"/>
      <c r="BQ792" s="24"/>
      <c r="BR792" s="24"/>
      <c r="BS792" s="24"/>
      <c r="BZ792" s="24"/>
      <c r="CA792" s="24"/>
      <c r="CB792" s="24"/>
      <c r="CC792" s="24"/>
      <c r="CD792" s="24"/>
    </row>
    <row r="793" spans="2:82" s="6" customFormat="1">
      <c r="B793" s="21"/>
      <c r="D793" s="17"/>
      <c r="E793" s="23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R793" s="24"/>
      <c r="AS793" s="24"/>
      <c r="AT793" s="24"/>
      <c r="AU793" s="24"/>
      <c r="AV793" s="24"/>
      <c r="AW793" s="24"/>
      <c r="BD793" s="24"/>
      <c r="BE793" s="24"/>
      <c r="BF793" s="24"/>
      <c r="BG793" s="24"/>
      <c r="BH793" s="24"/>
      <c r="BI793" s="24"/>
      <c r="BP793" s="24"/>
      <c r="BQ793" s="24"/>
      <c r="BR793" s="24"/>
      <c r="BS793" s="24"/>
      <c r="BZ793" s="24"/>
      <c r="CA793" s="24"/>
      <c r="CB793" s="24"/>
      <c r="CC793" s="24"/>
      <c r="CD793" s="24"/>
    </row>
    <row r="794" spans="2:82" s="6" customFormat="1">
      <c r="B794" s="21"/>
      <c r="D794" s="17"/>
      <c r="E794" s="23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R794" s="24"/>
      <c r="AS794" s="24"/>
      <c r="AT794" s="24"/>
      <c r="AU794" s="24"/>
      <c r="AV794" s="24"/>
      <c r="AW794" s="24"/>
      <c r="BD794" s="24"/>
      <c r="BE794" s="24"/>
      <c r="BF794" s="24"/>
      <c r="BG794" s="24"/>
      <c r="BH794" s="24"/>
      <c r="BI794" s="24"/>
      <c r="BP794" s="24"/>
      <c r="BQ794" s="24"/>
      <c r="BR794" s="24"/>
      <c r="BS794" s="24"/>
      <c r="BZ794" s="24"/>
      <c r="CA794" s="24"/>
      <c r="CB794" s="24"/>
      <c r="CC794" s="24"/>
      <c r="CD794" s="24"/>
    </row>
    <row r="795" spans="2:82" s="6" customFormat="1">
      <c r="B795" s="21"/>
      <c r="D795" s="17"/>
      <c r="E795" s="23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R795" s="24"/>
      <c r="AS795" s="24"/>
      <c r="AT795" s="24"/>
      <c r="AU795" s="24"/>
      <c r="AV795" s="24"/>
      <c r="AW795" s="24"/>
      <c r="BD795" s="24"/>
      <c r="BE795" s="24"/>
      <c r="BF795" s="24"/>
      <c r="BG795" s="24"/>
      <c r="BH795" s="24"/>
      <c r="BI795" s="24"/>
      <c r="BP795" s="24"/>
      <c r="BQ795" s="24"/>
      <c r="BR795" s="24"/>
      <c r="BS795" s="24"/>
      <c r="BZ795" s="24"/>
      <c r="CA795" s="24"/>
      <c r="CB795" s="24"/>
      <c r="CC795" s="24"/>
      <c r="CD795" s="24"/>
    </row>
    <row r="796" spans="2:82" s="6" customFormat="1">
      <c r="B796" s="21"/>
      <c r="D796" s="17"/>
      <c r="E796" s="23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R796" s="24"/>
      <c r="AS796" s="24"/>
      <c r="AT796" s="24"/>
      <c r="AU796" s="24"/>
      <c r="AV796" s="24"/>
      <c r="AW796" s="24"/>
      <c r="BD796" s="24"/>
      <c r="BE796" s="24"/>
      <c r="BF796" s="24"/>
      <c r="BG796" s="24"/>
      <c r="BH796" s="24"/>
      <c r="BI796" s="24"/>
      <c r="BP796" s="24"/>
      <c r="BQ796" s="24"/>
      <c r="BR796" s="24"/>
      <c r="BS796" s="24"/>
      <c r="BZ796" s="24"/>
      <c r="CA796" s="24"/>
      <c r="CB796" s="24"/>
      <c r="CC796" s="24"/>
      <c r="CD796" s="24"/>
    </row>
    <row r="797" spans="2:82" s="6" customFormat="1">
      <c r="B797" s="21"/>
      <c r="D797" s="17"/>
      <c r="E797" s="23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R797" s="24"/>
      <c r="AS797" s="24"/>
      <c r="AT797" s="24"/>
      <c r="AU797" s="24"/>
      <c r="AV797" s="24"/>
      <c r="AW797" s="24"/>
      <c r="BD797" s="24"/>
      <c r="BE797" s="24"/>
      <c r="BF797" s="24"/>
      <c r="BG797" s="24"/>
      <c r="BH797" s="24"/>
      <c r="BI797" s="24"/>
      <c r="BP797" s="24"/>
      <c r="BQ797" s="24"/>
      <c r="BR797" s="24"/>
      <c r="BS797" s="24"/>
      <c r="BZ797" s="24"/>
      <c r="CA797" s="24"/>
      <c r="CB797" s="24"/>
      <c r="CC797" s="24"/>
      <c r="CD797" s="24"/>
    </row>
    <row r="798" spans="2:82" s="6" customFormat="1">
      <c r="B798" s="21"/>
      <c r="D798" s="17"/>
      <c r="E798" s="23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R798" s="24"/>
      <c r="AS798" s="24"/>
      <c r="AT798" s="24"/>
      <c r="AU798" s="24"/>
      <c r="AV798" s="24"/>
      <c r="AW798" s="24"/>
      <c r="BD798" s="24"/>
      <c r="BE798" s="24"/>
      <c r="BF798" s="24"/>
      <c r="BG798" s="24"/>
      <c r="BH798" s="24"/>
      <c r="BI798" s="24"/>
      <c r="BP798" s="24"/>
      <c r="BQ798" s="24"/>
      <c r="BR798" s="24"/>
      <c r="BS798" s="24"/>
      <c r="BZ798" s="24"/>
      <c r="CA798" s="24"/>
      <c r="CB798" s="24"/>
      <c r="CC798" s="24"/>
      <c r="CD798" s="24"/>
    </row>
    <row r="799" spans="2:82" s="6" customFormat="1">
      <c r="B799" s="21"/>
      <c r="D799" s="17"/>
      <c r="E799" s="23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R799" s="24"/>
      <c r="AS799" s="24"/>
      <c r="AT799" s="24"/>
      <c r="AU799" s="24"/>
      <c r="AV799" s="24"/>
      <c r="AW799" s="24"/>
      <c r="BD799" s="24"/>
      <c r="BE799" s="24"/>
      <c r="BF799" s="24"/>
      <c r="BG799" s="24"/>
      <c r="BH799" s="24"/>
      <c r="BI799" s="24"/>
      <c r="BP799" s="24"/>
      <c r="BQ799" s="24"/>
      <c r="BR799" s="24"/>
      <c r="BS799" s="24"/>
      <c r="BZ799" s="24"/>
      <c r="CA799" s="24"/>
      <c r="CB799" s="24"/>
      <c r="CC799" s="24"/>
      <c r="CD799" s="24"/>
    </row>
    <row r="800" spans="2:82" s="6" customFormat="1">
      <c r="B800" s="21"/>
      <c r="D800" s="17"/>
      <c r="E800" s="23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R800" s="24"/>
      <c r="AS800" s="24"/>
      <c r="AT800" s="24"/>
      <c r="AU800" s="24"/>
      <c r="AV800" s="24"/>
      <c r="AW800" s="24"/>
      <c r="BD800" s="24"/>
      <c r="BE800" s="24"/>
      <c r="BF800" s="24"/>
      <c r="BG800" s="24"/>
      <c r="BH800" s="24"/>
      <c r="BI800" s="24"/>
      <c r="BP800" s="24"/>
      <c r="BQ800" s="24"/>
      <c r="BR800" s="24"/>
      <c r="BS800" s="24"/>
      <c r="BZ800" s="24"/>
      <c r="CA800" s="24"/>
      <c r="CB800" s="24"/>
      <c r="CC800" s="24"/>
      <c r="CD800" s="24"/>
    </row>
    <row r="801" spans="2:82" s="6" customFormat="1">
      <c r="B801" s="21"/>
      <c r="D801" s="17"/>
      <c r="E801" s="23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R801" s="24"/>
      <c r="AS801" s="24"/>
      <c r="AT801" s="24"/>
      <c r="AU801" s="24"/>
      <c r="AV801" s="24"/>
      <c r="AW801" s="24"/>
      <c r="BD801" s="24"/>
      <c r="BE801" s="24"/>
      <c r="BF801" s="24"/>
      <c r="BG801" s="24"/>
      <c r="BH801" s="24"/>
      <c r="BI801" s="24"/>
      <c r="BP801" s="24"/>
      <c r="BQ801" s="24"/>
      <c r="BR801" s="24"/>
      <c r="BS801" s="24"/>
      <c r="BZ801" s="24"/>
      <c r="CA801" s="24"/>
      <c r="CB801" s="24"/>
      <c r="CC801" s="24"/>
      <c r="CD801" s="24"/>
    </row>
    <row r="802" spans="2:82" s="6" customFormat="1">
      <c r="B802" s="21"/>
      <c r="D802" s="17"/>
      <c r="E802" s="23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R802" s="24"/>
      <c r="AS802" s="24"/>
      <c r="AT802" s="24"/>
      <c r="AU802" s="24"/>
      <c r="AV802" s="24"/>
      <c r="AW802" s="24"/>
      <c r="BD802" s="24"/>
      <c r="BE802" s="24"/>
      <c r="BF802" s="24"/>
      <c r="BG802" s="24"/>
      <c r="BH802" s="24"/>
      <c r="BI802" s="24"/>
      <c r="BP802" s="24"/>
      <c r="BQ802" s="24"/>
      <c r="BR802" s="24"/>
      <c r="BS802" s="24"/>
      <c r="BZ802" s="24"/>
      <c r="CA802" s="24"/>
      <c r="CB802" s="24"/>
      <c r="CC802" s="24"/>
      <c r="CD802" s="24"/>
    </row>
    <row r="803" spans="2:82" s="6" customFormat="1">
      <c r="B803" s="21"/>
      <c r="D803" s="17"/>
      <c r="E803" s="23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R803" s="24"/>
      <c r="AS803" s="24"/>
      <c r="AT803" s="24"/>
      <c r="AU803" s="24"/>
      <c r="AV803" s="24"/>
      <c r="AW803" s="24"/>
      <c r="BD803" s="24"/>
      <c r="BE803" s="24"/>
      <c r="BF803" s="24"/>
      <c r="BG803" s="24"/>
      <c r="BH803" s="24"/>
      <c r="BI803" s="24"/>
      <c r="BP803" s="24"/>
      <c r="BQ803" s="24"/>
      <c r="BR803" s="24"/>
      <c r="BS803" s="24"/>
      <c r="BZ803" s="24"/>
      <c r="CA803" s="24"/>
      <c r="CB803" s="24"/>
      <c r="CC803" s="24"/>
      <c r="CD803" s="24"/>
    </row>
    <row r="804" spans="2:82" s="6" customFormat="1">
      <c r="B804" s="21"/>
      <c r="D804" s="17"/>
      <c r="E804" s="23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R804" s="24"/>
      <c r="AS804" s="24"/>
      <c r="AT804" s="24"/>
      <c r="AU804" s="24"/>
      <c r="AV804" s="24"/>
      <c r="AW804" s="24"/>
      <c r="BD804" s="24"/>
      <c r="BE804" s="24"/>
      <c r="BF804" s="24"/>
      <c r="BG804" s="24"/>
      <c r="BH804" s="24"/>
      <c r="BI804" s="24"/>
      <c r="BP804" s="24"/>
      <c r="BQ804" s="24"/>
      <c r="BR804" s="24"/>
      <c r="BS804" s="24"/>
      <c r="BZ804" s="24"/>
      <c r="CA804" s="24"/>
      <c r="CB804" s="24"/>
      <c r="CC804" s="24"/>
      <c r="CD804" s="24"/>
    </row>
    <row r="805" spans="2:82" s="6" customFormat="1">
      <c r="B805" s="21"/>
      <c r="D805" s="17"/>
      <c r="E805" s="23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R805" s="24"/>
      <c r="AS805" s="24"/>
      <c r="AT805" s="24"/>
      <c r="AU805" s="24"/>
      <c r="AV805" s="24"/>
      <c r="AW805" s="24"/>
      <c r="BD805" s="24"/>
      <c r="BE805" s="24"/>
      <c r="BF805" s="24"/>
      <c r="BG805" s="24"/>
      <c r="BH805" s="24"/>
      <c r="BI805" s="24"/>
      <c r="BP805" s="24"/>
      <c r="BQ805" s="24"/>
      <c r="BR805" s="24"/>
      <c r="BS805" s="24"/>
      <c r="BZ805" s="24"/>
      <c r="CA805" s="24"/>
      <c r="CB805" s="24"/>
      <c r="CC805" s="24"/>
      <c r="CD805" s="24"/>
    </row>
    <row r="806" spans="2:82" s="6" customFormat="1">
      <c r="B806" s="21"/>
      <c r="D806" s="17"/>
      <c r="E806" s="23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R806" s="24"/>
      <c r="AS806" s="24"/>
      <c r="AT806" s="24"/>
      <c r="AU806" s="24"/>
      <c r="AV806" s="24"/>
      <c r="AW806" s="24"/>
      <c r="BD806" s="24"/>
      <c r="BE806" s="24"/>
      <c r="BF806" s="24"/>
      <c r="BG806" s="24"/>
      <c r="BH806" s="24"/>
      <c r="BI806" s="24"/>
      <c r="BP806" s="24"/>
      <c r="BQ806" s="24"/>
      <c r="BR806" s="24"/>
      <c r="BS806" s="24"/>
      <c r="BZ806" s="24"/>
      <c r="CA806" s="24"/>
      <c r="CB806" s="24"/>
      <c r="CC806" s="24"/>
      <c r="CD806" s="24"/>
    </row>
    <row r="807" spans="2:82" s="6" customFormat="1">
      <c r="B807" s="21"/>
      <c r="D807" s="17"/>
      <c r="E807" s="23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R807" s="24"/>
      <c r="AS807" s="24"/>
      <c r="AT807" s="24"/>
      <c r="AU807" s="24"/>
      <c r="AV807" s="24"/>
      <c r="AW807" s="24"/>
      <c r="BD807" s="24"/>
      <c r="BE807" s="24"/>
      <c r="BF807" s="24"/>
      <c r="BG807" s="24"/>
      <c r="BH807" s="24"/>
      <c r="BI807" s="24"/>
      <c r="BP807" s="24"/>
      <c r="BQ807" s="24"/>
      <c r="BR807" s="24"/>
      <c r="BS807" s="24"/>
      <c r="BZ807" s="24"/>
      <c r="CA807" s="24"/>
      <c r="CB807" s="24"/>
      <c r="CC807" s="24"/>
      <c r="CD807" s="24"/>
    </row>
    <row r="808" spans="2:82" s="6" customFormat="1">
      <c r="B808" s="21"/>
      <c r="D808" s="17"/>
      <c r="E808" s="23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R808" s="24"/>
      <c r="AS808" s="24"/>
      <c r="AT808" s="24"/>
      <c r="AU808" s="24"/>
      <c r="AV808" s="24"/>
      <c r="AW808" s="24"/>
      <c r="BD808" s="24"/>
      <c r="BE808" s="24"/>
      <c r="BF808" s="24"/>
      <c r="BG808" s="24"/>
      <c r="BH808" s="24"/>
      <c r="BI808" s="24"/>
      <c r="BP808" s="24"/>
      <c r="BQ808" s="24"/>
      <c r="BR808" s="24"/>
      <c r="BS808" s="24"/>
      <c r="BZ808" s="24"/>
      <c r="CA808" s="24"/>
      <c r="CB808" s="24"/>
      <c r="CC808" s="24"/>
      <c r="CD808" s="24"/>
    </row>
    <row r="809" spans="2:82" s="6" customFormat="1">
      <c r="B809" s="21"/>
      <c r="D809" s="17"/>
      <c r="E809" s="23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R809" s="24"/>
      <c r="AS809" s="24"/>
      <c r="AT809" s="24"/>
      <c r="AU809" s="24"/>
      <c r="AV809" s="24"/>
      <c r="AW809" s="24"/>
      <c r="BD809" s="24"/>
      <c r="BE809" s="24"/>
      <c r="BF809" s="24"/>
      <c r="BG809" s="24"/>
      <c r="BH809" s="24"/>
      <c r="BI809" s="24"/>
      <c r="BP809" s="24"/>
      <c r="BQ809" s="24"/>
      <c r="BR809" s="24"/>
      <c r="BS809" s="24"/>
      <c r="BZ809" s="24"/>
      <c r="CA809" s="24"/>
      <c r="CB809" s="24"/>
      <c r="CC809" s="24"/>
      <c r="CD809" s="24"/>
    </row>
    <row r="810" spans="2:82" s="6" customFormat="1">
      <c r="B810" s="21"/>
      <c r="D810" s="17"/>
      <c r="E810" s="23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R810" s="24"/>
      <c r="AS810" s="24"/>
      <c r="AT810" s="24"/>
      <c r="AU810" s="24"/>
      <c r="AV810" s="24"/>
      <c r="AW810" s="24"/>
      <c r="BD810" s="24"/>
      <c r="BE810" s="24"/>
      <c r="BF810" s="24"/>
      <c r="BG810" s="24"/>
      <c r="BH810" s="24"/>
      <c r="BI810" s="24"/>
      <c r="BP810" s="24"/>
      <c r="BQ810" s="24"/>
      <c r="BR810" s="24"/>
      <c r="BS810" s="24"/>
      <c r="BZ810" s="24"/>
      <c r="CA810" s="24"/>
      <c r="CB810" s="24"/>
      <c r="CC810" s="24"/>
      <c r="CD810" s="24"/>
    </row>
    <row r="811" spans="2:82" s="6" customFormat="1">
      <c r="B811" s="21"/>
      <c r="D811" s="17"/>
      <c r="E811" s="23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R811" s="24"/>
      <c r="AS811" s="24"/>
      <c r="AT811" s="24"/>
      <c r="AU811" s="24"/>
      <c r="AV811" s="24"/>
      <c r="AW811" s="24"/>
      <c r="BD811" s="24"/>
      <c r="BE811" s="24"/>
      <c r="BF811" s="24"/>
      <c r="BG811" s="24"/>
      <c r="BH811" s="24"/>
      <c r="BI811" s="24"/>
      <c r="BP811" s="24"/>
      <c r="BQ811" s="24"/>
      <c r="BR811" s="24"/>
      <c r="BS811" s="24"/>
      <c r="BZ811" s="24"/>
      <c r="CA811" s="24"/>
      <c r="CB811" s="24"/>
      <c r="CC811" s="24"/>
      <c r="CD811" s="24"/>
    </row>
    <row r="812" spans="2:82" s="6" customFormat="1">
      <c r="B812" s="21"/>
      <c r="D812" s="17"/>
      <c r="E812" s="23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R812" s="24"/>
      <c r="AS812" s="24"/>
      <c r="AT812" s="24"/>
      <c r="AU812" s="24"/>
      <c r="AV812" s="24"/>
      <c r="AW812" s="24"/>
      <c r="BD812" s="24"/>
      <c r="BE812" s="24"/>
      <c r="BF812" s="24"/>
      <c r="BG812" s="24"/>
      <c r="BH812" s="24"/>
      <c r="BI812" s="24"/>
      <c r="BP812" s="24"/>
      <c r="BQ812" s="24"/>
      <c r="BR812" s="24"/>
      <c r="BS812" s="24"/>
      <c r="BZ812" s="24"/>
      <c r="CA812" s="24"/>
      <c r="CB812" s="24"/>
      <c r="CC812" s="24"/>
      <c r="CD812" s="24"/>
    </row>
    <row r="813" spans="2:82" s="6" customFormat="1">
      <c r="B813" s="21"/>
      <c r="D813" s="17"/>
      <c r="E813" s="23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R813" s="24"/>
      <c r="AS813" s="24"/>
      <c r="AT813" s="24"/>
      <c r="AU813" s="24"/>
      <c r="AV813" s="24"/>
      <c r="AW813" s="24"/>
      <c r="BD813" s="24"/>
      <c r="BE813" s="24"/>
      <c r="BF813" s="24"/>
      <c r="BG813" s="24"/>
      <c r="BH813" s="24"/>
      <c r="BI813" s="24"/>
      <c r="BP813" s="24"/>
      <c r="BQ813" s="24"/>
      <c r="BR813" s="24"/>
      <c r="BS813" s="24"/>
      <c r="BZ813" s="24"/>
      <c r="CA813" s="24"/>
      <c r="CB813" s="24"/>
      <c r="CC813" s="24"/>
      <c r="CD813" s="24"/>
    </row>
    <row r="814" spans="2:82" s="6" customFormat="1">
      <c r="B814" s="21"/>
      <c r="D814" s="17"/>
      <c r="E814" s="23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R814" s="24"/>
      <c r="AS814" s="24"/>
      <c r="AT814" s="24"/>
      <c r="AU814" s="24"/>
      <c r="AV814" s="24"/>
      <c r="AW814" s="24"/>
      <c r="BD814" s="24"/>
      <c r="BE814" s="24"/>
      <c r="BF814" s="24"/>
      <c r="BG814" s="24"/>
      <c r="BH814" s="24"/>
      <c r="BI814" s="24"/>
      <c r="BP814" s="24"/>
      <c r="BQ814" s="24"/>
      <c r="BR814" s="24"/>
      <c r="BS814" s="24"/>
      <c r="BZ814" s="24"/>
      <c r="CA814" s="24"/>
      <c r="CB814" s="24"/>
      <c r="CC814" s="24"/>
      <c r="CD814" s="24"/>
    </row>
    <row r="815" spans="2:82" s="6" customFormat="1">
      <c r="B815" s="21"/>
      <c r="D815" s="17"/>
      <c r="E815" s="23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R815" s="24"/>
      <c r="AS815" s="24"/>
      <c r="AT815" s="24"/>
      <c r="AU815" s="24"/>
      <c r="AV815" s="24"/>
      <c r="AW815" s="24"/>
      <c r="BD815" s="24"/>
      <c r="BE815" s="24"/>
      <c r="BF815" s="24"/>
      <c r="BG815" s="24"/>
      <c r="BH815" s="24"/>
      <c r="BI815" s="24"/>
      <c r="BP815" s="24"/>
      <c r="BQ815" s="24"/>
      <c r="BR815" s="24"/>
      <c r="BS815" s="24"/>
      <c r="BZ815" s="24"/>
      <c r="CA815" s="24"/>
      <c r="CB815" s="24"/>
      <c r="CC815" s="24"/>
      <c r="CD815" s="24"/>
    </row>
    <row r="816" spans="2:82" s="6" customFormat="1">
      <c r="B816" s="21"/>
      <c r="D816" s="17"/>
      <c r="E816" s="23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R816" s="24"/>
      <c r="AS816" s="24"/>
      <c r="AT816" s="24"/>
      <c r="AU816" s="24"/>
      <c r="AV816" s="24"/>
      <c r="AW816" s="24"/>
      <c r="BD816" s="24"/>
      <c r="BE816" s="24"/>
      <c r="BF816" s="24"/>
      <c r="BG816" s="24"/>
      <c r="BH816" s="24"/>
      <c r="BI816" s="24"/>
      <c r="BP816" s="24"/>
      <c r="BQ816" s="24"/>
      <c r="BR816" s="24"/>
      <c r="BS816" s="24"/>
      <c r="BZ816" s="24"/>
      <c r="CA816" s="24"/>
      <c r="CB816" s="24"/>
      <c r="CC816" s="24"/>
      <c r="CD816" s="24"/>
    </row>
    <row r="817" spans="2:82" s="6" customFormat="1">
      <c r="B817" s="21"/>
      <c r="D817" s="17"/>
      <c r="E817" s="23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R817" s="24"/>
      <c r="AS817" s="24"/>
      <c r="AT817" s="24"/>
      <c r="AU817" s="24"/>
      <c r="AV817" s="24"/>
      <c r="AW817" s="24"/>
      <c r="BD817" s="24"/>
      <c r="BE817" s="24"/>
      <c r="BF817" s="24"/>
      <c r="BG817" s="24"/>
      <c r="BH817" s="24"/>
      <c r="BI817" s="24"/>
      <c r="BP817" s="24"/>
      <c r="BQ817" s="24"/>
      <c r="BR817" s="24"/>
      <c r="BS817" s="24"/>
      <c r="BZ817" s="24"/>
      <c r="CA817" s="24"/>
      <c r="CB817" s="24"/>
      <c r="CC817" s="24"/>
      <c r="CD817" s="24"/>
    </row>
    <row r="818" spans="2:82" s="6" customFormat="1">
      <c r="B818" s="21"/>
      <c r="D818" s="17"/>
      <c r="E818" s="23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R818" s="24"/>
      <c r="AS818" s="24"/>
      <c r="AT818" s="24"/>
      <c r="AU818" s="24"/>
      <c r="AV818" s="24"/>
      <c r="AW818" s="24"/>
      <c r="BD818" s="24"/>
      <c r="BE818" s="24"/>
      <c r="BF818" s="24"/>
      <c r="BG818" s="24"/>
      <c r="BH818" s="24"/>
      <c r="BI818" s="24"/>
      <c r="BP818" s="24"/>
      <c r="BQ818" s="24"/>
      <c r="BR818" s="24"/>
      <c r="BS818" s="24"/>
      <c r="BZ818" s="24"/>
      <c r="CA818" s="24"/>
      <c r="CB818" s="24"/>
      <c r="CC818" s="24"/>
      <c r="CD818" s="24"/>
    </row>
    <row r="819" spans="2:82" s="6" customFormat="1">
      <c r="B819" s="21"/>
      <c r="D819" s="17"/>
      <c r="E819" s="23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R819" s="24"/>
      <c r="AS819" s="24"/>
      <c r="AT819" s="24"/>
      <c r="AU819" s="24"/>
      <c r="AV819" s="24"/>
      <c r="AW819" s="24"/>
      <c r="BD819" s="24"/>
      <c r="BE819" s="24"/>
      <c r="BF819" s="24"/>
      <c r="BG819" s="24"/>
      <c r="BH819" s="24"/>
      <c r="BI819" s="24"/>
      <c r="BP819" s="24"/>
      <c r="BQ819" s="24"/>
      <c r="BR819" s="24"/>
      <c r="BS819" s="24"/>
      <c r="BZ819" s="24"/>
      <c r="CA819" s="24"/>
      <c r="CB819" s="24"/>
      <c r="CC819" s="24"/>
      <c r="CD819" s="24"/>
    </row>
    <row r="820" spans="2:82" s="6" customFormat="1">
      <c r="B820" s="21"/>
      <c r="D820" s="17"/>
      <c r="E820" s="23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R820" s="24"/>
      <c r="AS820" s="24"/>
      <c r="AT820" s="24"/>
      <c r="AU820" s="24"/>
      <c r="AV820" s="24"/>
      <c r="AW820" s="24"/>
      <c r="BD820" s="24"/>
      <c r="BE820" s="24"/>
      <c r="BF820" s="24"/>
      <c r="BG820" s="24"/>
      <c r="BH820" s="24"/>
      <c r="BI820" s="24"/>
      <c r="BP820" s="24"/>
      <c r="BQ820" s="24"/>
      <c r="BR820" s="24"/>
      <c r="BS820" s="24"/>
      <c r="BZ820" s="24"/>
      <c r="CA820" s="24"/>
      <c r="CB820" s="24"/>
      <c r="CC820" s="24"/>
      <c r="CD820" s="24"/>
    </row>
    <row r="821" spans="2:82" s="6" customFormat="1">
      <c r="B821" s="21"/>
      <c r="D821" s="17"/>
      <c r="E821" s="23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R821" s="24"/>
      <c r="AS821" s="24"/>
      <c r="AT821" s="24"/>
      <c r="AU821" s="24"/>
      <c r="AV821" s="24"/>
      <c r="AW821" s="24"/>
      <c r="BD821" s="24"/>
      <c r="BE821" s="24"/>
      <c r="BF821" s="24"/>
      <c r="BG821" s="24"/>
      <c r="BH821" s="24"/>
      <c r="BI821" s="24"/>
      <c r="BP821" s="24"/>
      <c r="BQ821" s="24"/>
      <c r="BR821" s="24"/>
      <c r="BS821" s="24"/>
      <c r="BZ821" s="24"/>
      <c r="CA821" s="24"/>
      <c r="CB821" s="24"/>
      <c r="CC821" s="24"/>
      <c r="CD821" s="24"/>
    </row>
    <row r="822" spans="2:82" s="6" customFormat="1">
      <c r="B822" s="21"/>
      <c r="D822" s="17"/>
      <c r="E822" s="23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R822" s="24"/>
      <c r="AS822" s="24"/>
      <c r="AT822" s="24"/>
      <c r="AU822" s="24"/>
      <c r="AV822" s="24"/>
      <c r="AW822" s="24"/>
      <c r="BD822" s="24"/>
      <c r="BE822" s="24"/>
      <c r="BF822" s="24"/>
      <c r="BG822" s="24"/>
      <c r="BH822" s="24"/>
      <c r="BI822" s="24"/>
      <c r="BP822" s="24"/>
      <c r="BQ822" s="24"/>
      <c r="BR822" s="24"/>
      <c r="BS822" s="24"/>
      <c r="BZ822" s="24"/>
      <c r="CA822" s="24"/>
      <c r="CB822" s="24"/>
      <c r="CC822" s="24"/>
      <c r="CD822" s="24"/>
    </row>
    <row r="823" spans="2:82" s="6" customFormat="1">
      <c r="B823" s="21"/>
      <c r="D823" s="17"/>
      <c r="E823" s="23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R823" s="24"/>
      <c r="AS823" s="24"/>
      <c r="AT823" s="24"/>
      <c r="AU823" s="24"/>
      <c r="AV823" s="24"/>
      <c r="AW823" s="24"/>
      <c r="BD823" s="24"/>
      <c r="BE823" s="24"/>
      <c r="BF823" s="24"/>
      <c r="BG823" s="24"/>
      <c r="BH823" s="24"/>
      <c r="BI823" s="24"/>
      <c r="BP823" s="24"/>
      <c r="BQ823" s="24"/>
      <c r="BR823" s="24"/>
      <c r="BS823" s="24"/>
      <c r="BZ823" s="24"/>
      <c r="CA823" s="24"/>
      <c r="CB823" s="24"/>
      <c r="CC823" s="24"/>
      <c r="CD823" s="24"/>
    </row>
    <row r="824" spans="2:82" s="6" customFormat="1">
      <c r="B824" s="21"/>
      <c r="D824" s="17"/>
      <c r="E824" s="23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R824" s="24"/>
      <c r="AS824" s="24"/>
      <c r="AT824" s="24"/>
      <c r="AU824" s="24"/>
      <c r="AV824" s="24"/>
      <c r="AW824" s="24"/>
      <c r="BD824" s="24"/>
      <c r="BE824" s="24"/>
      <c r="BF824" s="24"/>
      <c r="BG824" s="24"/>
      <c r="BH824" s="24"/>
      <c r="BI824" s="24"/>
      <c r="BP824" s="24"/>
      <c r="BQ824" s="24"/>
      <c r="BR824" s="24"/>
      <c r="BS824" s="24"/>
      <c r="BZ824" s="24"/>
      <c r="CA824" s="24"/>
      <c r="CB824" s="24"/>
      <c r="CC824" s="24"/>
      <c r="CD824" s="24"/>
    </row>
    <row r="825" spans="2:82" s="6" customFormat="1">
      <c r="B825" s="21"/>
      <c r="D825" s="17"/>
      <c r="E825" s="23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R825" s="24"/>
      <c r="AS825" s="24"/>
      <c r="AT825" s="24"/>
      <c r="AU825" s="24"/>
      <c r="AV825" s="24"/>
      <c r="AW825" s="24"/>
      <c r="BD825" s="24"/>
      <c r="BE825" s="24"/>
      <c r="BF825" s="24"/>
      <c r="BG825" s="24"/>
      <c r="BH825" s="24"/>
      <c r="BI825" s="24"/>
      <c r="BP825" s="24"/>
      <c r="BQ825" s="24"/>
      <c r="BR825" s="24"/>
      <c r="BS825" s="24"/>
      <c r="BZ825" s="24"/>
      <c r="CA825" s="24"/>
      <c r="CB825" s="24"/>
      <c r="CC825" s="24"/>
      <c r="CD825" s="24"/>
    </row>
    <row r="826" spans="2:82" s="6" customFormat="1">
      <c r="B826" s="21"/>
      <c r="D826" s="17"/>
      <c r="E826" s="23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R826" s="24"/>
      <c r="AS826" s="24"/>
      <c r="AT826" s="24"/>
      <c r="AU826" s="24"/>
      <c r="AV826" s="24"/>
      <c r="AW826" s="24"/>
      <c r="BD826" s="24"/>
      <c r="BE826" s="24"/>
      <c r="BF826" s="24"/>
      <c r="BG826" s="24"/>
      <c r="BH826" s="24"/>
      <c r="BI826" s="24"/>
      <c r="BP826" s="24"/>
      <c r="BQ826" s="24"/>
      <c r="BR826" s="24"/>
      <c r="BS826" s="24"/>
      <c r="BZ826" s="24"/>
      <c r="CA826" s="24"/>
      <c r="CB826" s="24"/>
      <c r="CC826" s="24"/>
      <c r="CD826" s="24"/>
    </row>
    <row r="827" spans="2:82" s="6" customFormat="1">
      <c r="B827" s="21"/>
      <c r="D827" s="17"/>
      <c r="E827" s="23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R827" s="24"/>
      <c r="AS827" s="24"/>
      <c r="AT827" s="24"/>
      <c r="AU827" s="24"/>
      <c r="AV827" s="24"/>
      <c r="AW827" s="24"/>
      <c r="BD827" s="24"/>
      <c r="BE827" s="24"/>
      <c r="BF827" s="24"/>
      <c r="BG827" s="24"/>
      <c r="BH827" s="24"/>
      <c r="BI827" s="24"/>
      <c r="BP827" s="24"/>
      <c r="BQ827" s="24"/>
      <c r="BR827" s="24"/>
      <c r="BS827" s="24"/>
      <c r="BZ827" s="24"/>
      <c r="CA827" s="24"/>
      <c r="CB827" s="24"/>
      <c r="CC827" s="24"/>
      <c r="CD827" s="24"/>
    </row>
    <row r="828" spans="2:82" s="6" customFormat="1">
      <c r="B828" s="21"/>
      <c r="D828" s="17"/>
      <c r="E828" s="23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R828" s="24"/>
      <c r="AS828" s="24"/>
      <c r="AT828" s="24"/>
      <c r="AU828" s="24"/>
      <c r="AV828" s="24"/>
      <c r="AW828" s="24"/>
      <c r="BD828" s="24"/>
      <c r="BE828" s="24"/>
      <c r="BF828" s="24"/>
      <c r="BG828" s="24"/>
      <c r="BH828" s="24"/>
      <c r="BI828" s="24"/>
      <c r="BP828" s="24"/>
      <c r="BQ828" s="24"/>
      <c r="BR828" s="24"/>
      <c r="BS828" s="24"/>
      <c r="BZ828" s="24"/>
      <c r="CA828" s="24"/>
      <c r="CB828" s="24"/>
      <c r="CC828" s="24"/>
      <c r="CD828" s="24"/>
    </row>
    <row r="829" spans="2:82" s="6" customFormat="1">
      <c r="B829" s="21"/>
      <c r="D829" s="17"/>
      <c r="E829" s="23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R829" s="24"/>
      <c r="AS829" s="24"/>
      <c r="AT829" s="24"/>
      <c r="AU829" s="24"/>
      <c r="AV829" s="24"/>
      <c r="AW829" s="24"/>
      <c r="BD829" s="24"/>
      <c r="BE829" s="24"/>
      <c r="BF829" s="24"/>
      <c r="BG829" s="24"/>
      <c r="BH829" s="24"/>
      <c r="BI829" s="24"/>
      <c r="BP829" s="24"/>
      <c r="BQ829" s="24"/>
      <c r="BR829" s="24"/>
      <c r="BS829" s="24"/>
      <c r="BZ829" s="24"/>
      <c r="CA829" s="24"/>
      <c r="CB829" s="24"/>
      <c r="CC829" s="24"/>
      <c r="CD829" s="24"/>
    </row>
    <row r="830" spans="2:82" s="6" customFormat="1">
      <c r="B830" s="21"/>
      <c r="D830" s="17"/>
      <c r="E830" s="23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R830" s="24"/>
      <c r="AS830" s="24"/>
      <c r="AT830" s="24"/>
      <c r="AU830" s="24"/>
      <c r="AV830" s="24"/>
      <c r="AW830" s="24"/>
      <c r="BD830" s="24"/>
      <c r="BE830" s="24"/>
      <c r="BF830" s="24"/>
      <c r="BG830" s="24"/>
      <c r="BH830" s="24"/>
      <c r="BI830" s="24"/>
      <c r="BP830" s="24"/>
      <c r="BQ830" s="24"/>
      <c r="BR830" s="24"/>
      <c r="BS830" s="24"/>
      <c r="BZ830" s="24"/>
      <c r="CA830" s="24"/>
      <c r="CB830" s="24"/>
      <c r="CC830" s="24"/>
      <c r="CD830" s="24"/>
    </row>
    <row r="831" spans="2:82" s="6" customFormat="1">
      <c r="B831" s="21"/>
      <c r="D831" s="17"/>
      <c r="E831" s="23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R831" s="24"/>
      <c r="AS831" s="24"/>
      <c r="AT831" s="24"/>
      <c r="AU831" s="24"/>
      <c r="AV831" s="24"/>
      <c r="AW831" s="24"/>
      <c r="BD831" s="24"/>
      <c r="BE831" s="24"/>
      <c r="BF831" s="24"/>
      <c r="BG831" s="24"/>
      <c r="BH831" s="24"/>
      <c r="BI831" s="24"/>
      <c r="BP831" s="24"/>
      <c r="BQ831" s="24"/>
      <c r="BR831" s="24"/>
      <c r="BS831" s="24"/>
      <c r="BZ831" s="24"/>
      <c r="CA831" s="24"/>
      <c r="CB831" s="24"/>
      <c r="CC831" s="24"/>
      <c r="CD831" s="24"/>
    </row>
    <row r="832" spans="2:82" s="6" customFormat="1">
      <c r="B832" s="21"/>
      <c r="D832" s="17"/>
      <c r="E832" s="23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R832" s="24"/>
      <c r="AS832" s="24"/>
      <c r="AT832" s="24"/>
      <c r="AU832" s="24"/>
      <c r="AV832" s="24"/>
      <c r="AW832" s="24"/>
      <c r="BD832" s="24"/>
      <c r="BE832" s="24"/>
      <c r="BF832" s="24"/>
      <c r="BG832" s="24"/>
      <c r="BH832" s="24"/>
      <c r="BI832" s="24"/>
      <c r="BP832" s="24"/>
      <c r="BQ832" s="24"/>
      <c r="BR832" s="24"/>
      <c r="BS832" s="24"/>
      <c r="BZ832" s="24"/>
      <c r="CA832" s="24"/>
      <c r="CB832" s="24"/>
      <c r="CC832" s="24"/>
      <c r="CD832" s="24"/>
    </row>
    <row r="833" spans="2:82" s="6" customFormat="1">
      <c r="B833" s="21"/>
      <c r="D833" s="17"/>
      <c r="E833" s="23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R833" s="24"/>
      <c r="AS833" s="24"/>
      <c r="AT833" s="24"/>
      <c r="AU833" s="24"/>
      <c r="AV833" s="24"/>
      <c r="AW833" s="24"/>
      <c r="BD833" s="24"/>
      <c r="BE833" s="24"/>
      <c r="BF833" s="24"/>
      <c r="BG833" s="24"/>
      <c r="BH833" s="24"/>
      <c r="BI833" s="24"/>
      <c r="BP833" s="24"/>
      <c r="BQ833" s="24"/>
      <c r="BR833" s="24"/>
      <c r="BS833" s="24"/>
      <c r="BZ833" s="24"/>
      <c r="CA833" s="24"/>
      <c r="CB833" s="24"/>
      <c r="CC833" s="24"/>
      <c r="CD833" s="24"/>
    </row>
    <row r="834" spans="2:82" s="6" customFormat="1">
      <c r="B834" s="21"/>
      <c r="D834" s="17"/>
      <c r="E834" s="23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R834" s="24"/>
      <c r="AS834" s="24"/>
      <c r="AT834" s="24"/>
      <c r="AU834" s="24"/>
      <c r="AV834" s="24"/>
      <c r="AW834" s="24"/>
      <c r="BD834" s="24"/>
      <c r="BE834" s="24"/>
      <c r="BF834" s="24"/>
      <c r="BG834" s="24"/>
      <c r="BH834" s="24"/>
      <c r="BI834" s="24"/>
      <c r="BP834" s="24"/>
      <c r="BQ834" s="24"/>
      <c r="BR834" s="24"/>
      <c r="BS834" s="24"/>
      <c r="BZ834" s="24"/>
      <c r="CA834" s="24"/>
      <c r="CB834" s="24"/>
      <c r="CC834" s="24"/>
      <c r="CD834" s="24"/>
    </row>
    <row r="835" spans="2:82" s="6" customFormat="1">
      <c r="B835" s="21"/>
      <c r="D835" s="17"/>
      <c r="E835" s="23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R835" s="24"/>
      <c r="AS835" s="24"/>
      <c r="AT835" s="24"/>
      <c r="AU835" s="24"/>
      <c r="AV835" s="24"/>
      <c r="AW835" s="24"/>
      <c r="BD835" s="24"/>
      <c r="BE835" s="24"/>
      <c r="BF835" s="24"/>
      <c r="BG835" s="24"/>
      <c r="BH835" s="24"/>
      <c r="BI835" s="24"/>
      <c r="BP835" s="24"/>
      <c r="BQ835" s="24"/>
      <c r="BR835" s="24"/>
      <c r="BS835" s="24"/>
      <c r="BZ835" s="24"/>
      <c r="CA835" s="24"/>
      <c r="CB835" s="24"/>
      <c r="CC835" s="24"/>
      <c r="CD835" s="24"/>
    </row>
    <row r="836" spans="2:82" s="6" customFormat="1">
      <c r="B836" s="21"/>
      <c r="D836" s="17"/>
      <c r="E836" s="23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R836" s="24"/>
      <c r="AS836" s="24"/>
      <c r="AT836" s="24"/>
      <c r="AU836" s="24"/>
      <c r="AV836" s="24"/>
      <c r="AW836" s="24"/>
      <c r="BD836" s="24"/>
      <c r="BE836" s="24"/>
      <c r="BF836" s="24"/>
      <c r="BG836" s="24"/>
      <c r="BH836" s="24"/>
      <c r="BI836" s="24"/>
      <c r="BP836" s="24"/>
      <c r="BQ836" s="24"/>
      <c r="BR836" s="24"/>
      <c r="BS836" s="24"/>
      <c r="BZ836" s="24"/>
      <c r="CA836" s="24"/>
      <c r="CB836" s="24"/>
      <c r="CC836" s="24"/>
      <c r="CD836" s="24"/>
    </row>
    <row r="837" spans="2:82" s="6" customFormat="1">
      <c r="B837" s="21"/>
      <c r="D837" s="17"/>
      <c r="E837" s="23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R837" s="24"/>
      <c r="AS837" s="24"/>
      <c r="AT837" s="24"/>
      <c r="AU837" s="24"/>
      <c r="AV837" s="24"/>
      <c r="AW837" s="24"/>
      <c r="BD837" s="24"/>
      <c r="BE837" s="24"/>
      <c r="BF837" s="24"/>
      <c r="BG837" s="24"/>
      <c r="BH837" s="24"/>
      <c r="BI837" s="24"/>
      <c r="BP837" s="24"/>
      <c r="BQ837" s="24"/>
      <c r="BR837" s="24"/>
      <c r="BS837" s="24"/>
      <c r="BZ837" s="24"/>
      <c r="CA837" s="24"/>
      <c r="CB837" s="24"/>
      <c r="CC837" s="24"/>
      <c r="CD837" s="24"/>
    </row>
    <row r="838" spans="2:82" s="6" customFormat="1">
      <c r="B838" s="21"/>
      <c r="D838" s="17"/>
      <c r="E838" s="23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R838" s="24"/>
      <c r="AS838" s="24"/>
      <c r="AT838" s="24"/>
      <c r="AU838" s="24"/>
      <c r="AV838" s="24"/>
      <c r="AW838" s="24"/>
      <c r="BD838" s="24"/>
      <c r="BE838" s="24"/>
      <c r="BF838" s="24"/>
      <c r="BG838" s="24"/>
      <c r="BH838" s="24"/>
      <c r="BI838" s="24"/>
      <c r="BP838" s="24"/>
      <c r="BQ838" s="24"/>
      <c r="BR838" s="24"/>
      <c r="BS838" s="24"/>
      <c r="BZ838" s="24"/>
      <c r="CA838" s="24"/>
      <c r="CB838" s="24"/>
      <c r="CC838" s="24"/>
      <c r="CD838" s="24"/>
    </row>
    <row r="839" spans="2:82" s="6" customFormat="1">
      <c r="B839" s="21"/>
      <c r="D839" s="17"/>
      <c r="E839" s="23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R839" s="24"/>
      <c r="AS839" s="24"/>
      <c r="AT839" s="24"/>
      <c r="AU839" s="24"/>
      <c r="AV839" s="24"/>
      <c r="AW839" s="24"/>
      <c r="BD839" s="24"/>
      <c r="BE839" s="24"/>
      <c r="BF839" s="24"/>
      <c r="BG839" s="24"/>
      <c r="BH839" s="24"/>
      <c r="BI839" s="24"/>
      <c r="BP839" s="24"/>
      <c r="BQ839" s="24"/>
      <c r="BR839" s="24"/>
      <c r="BS839" s="24"/>
      <c r="BZ839" s="24"/>
      <c r="CA839" s="24"/>
      <c r="CB839" s="24"/>
      <c r="CC839" s="24"/>
      <c r="CD839" s="24"/>
    </row>
    <row r="840" spans="2:82" s="6" customFormat="1">
      <c r="B840" s="21"/>
      <c r="D840" s="17"/>
      <c r="E840" s="23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R840" s="24"/>
      <c r="AS840" s="24"/>
      <c r="AT840" s="24"/>
      <c r="AU840" s="24"/>
      <c r="AV840" s="24"/>
      <c r="AW840" s="24"/>
      <c r="BD840" s="24"/>
      <c r="BE840" s="24"/>
      <c r="BF840" s="24"/>
      <c r="BG840" s="24"/>
      <c r="BH840" s="24"/>
      <c r="BI840" s="24"/>
      <c r="BP840" s="24"/>
      <c r="BQ840" s="24"/>
      <c r="BR840" s="24"/>
      <c r="BS840" s="24"/>
      <c r="BZ840" s="24"/>
      <c r="CA840" s="24"/>
      <c r="CB840" s="24"/>
      <c r="CC840" s="24"/>
      <c r="CD840" s="24"/>
    </row>
    <row r="841" spans="2:82" s="6" customFormat="1">
      <c r="B841" s="21"/>
      <c r="D841" s="17"/>
      <c r="E841" s="23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R841" s="24"/>
      <c r="AS841" s="24"/>
      <c r="AT841" s="24"/>
      <c r="AU841" s="24"/>
      <c r="AV841" s="24"/>
      <c r="AW841" s="24"/>
      <c r="BD841" s="24"/>
      <c r="BE841" s="24"/>
      <c r="BF841" s="24"/>
      <c r="BG841" s="24"/>
      <c r="BH841" s="24"/>
      <c r="BI841" s="24"/>
      <c r="BP841" s="24"/>
      <c r="BQ841" s="24"/>
      <c r="BR841" s="24"/>
      <c r="BS841" s="24"/>
      <c r="BZ841" s="24"/>
      <c r="CA841" s="24"/>
      <c r="CB841" s="24"/>
      <c r="CC841" s="24"/>
      <c r="CD841" s="24"/>
    </row>
    <row r="842" spans="2:82" s="6" customFormat="1">
      <c r="B842" s="21"/>
      <c r="D842" s="17"/>
      <c r="E842" s="23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R842" s="24"/>
      <c r="AS842" s="24"/>
      <c r="AT842" s="24"/>
      <c r="AU842" s="24"/>
      <c r="AV842" s="24"/>
      <c r="AW842" s="24"/>
      <c r="BD842" s="24"/>
      <c r="BE842" s="24"/>
      <c r="BF842" s="24"/>
      <c r="BG842" s="24"/>
      <c r="BH842" s="24"/>
      <c r="BI842" s="24"/>
      <c r="BP842" s="24"/>
      <c r="BQ842" s="24"/>
      <c r="BR842" s="24"/>
      <c r="BS842" s="24"/>
      <c r="BZ842" s="24"/>
      <c r="CA842" s="24"/>
      <c r="CB842" s="24"/>
      <c r="CC842" s="24"/>
      <c r="CD842" s="24"/>
    </row>
    <row r="843" spans="2:82" s="6" customFormat="1">
      <c r="B843" s="21"/>
      <c r="D843" s="17"/>
      <c r="E843" s="23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R843" s="24"/>
      <c r="AS843" s="24"/>
      <c r="AT843" s="24"/>
      <c r="AU843" s="24"/>
      <c r="AV843" s="24"/>
      <c r="AW843" s="24"/>
      <c r="BD843" s="24"/>
      <c r="BE843" s="24"/>
      <c r="BF843" s="24"/>
      <c r="BG843" s="24"/>
      <c r="BH843" s="24"/>
      <c r="BI843" s="24"/>
      <c r="BP843" s="24"/>
      <c r="BQ843" s="24"/>
      <c r="BR843" s="24"/>
      <c r="BS843" s="24"/>
      <c r="BZ843" s="24"/>
      <c r="CA843" s="24"/>
      <c r="CB843" s="24"/>
      <c r="CC843" s="24"/>
      <c r="CD843" s="24"/>
    </row>
    <row r="844" spans="2:82" s="6" customFormat="1">
      <c r="B844" s="21"/>
      <c r="D844" s="17"/>
      <c r="E844" s="23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R844" s="24"/>
      <c r="AS844" s="24"/>
      <c r="AT844" s="24"/>
      <c r="AU844" s="24"/>
      <c r="AV844" s="24"/>
      <c r="AW844" s="24"/>
      <c r="BD844" s="24"/>
      <c r="BE844" s="24"/>
      <c r="BF844" s="24"/>
      <c r="BG844" s="24"/>
      <c r="BH844" s="24"/>
      <c r="BI844" s="24"/>
      <c r="BP844" s="24"/>
      <c r="BQ844" s="24"/>
      <c r="BR844" s="24"/>
      <c r="BS844" s="24"/>
      <c r="BZ844" s="24"/>
      <c r="CA844" s="24"/>
      <c r="CB844" s="24"/>
      <c r="CC844" s="24"/>
      <c r="CD844" s="24"/>
    </row>
    <row r="845" spans="2:82" s="6" customFormat="1">
      <c r="B845" s="21"/>
      <c r="D845" s="17"/>
      <c r="E845" s="23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R845" s="24"/>
      <c r="AS845" s="24"/>
      <c r="AT845" s="24"/>
      <c r="AU845" s="24"/>
      <c r="AV845" s="24"/>
      <c r="AW845" s="24"/>
      <c r="BD845" s="24"/>
      <c r="BE845" s="24"/>
      <c r="BF845" s="24"/>
      <c r="BG845" s="24"/>
      <c r="BH845" s="24"/>
      <c r="BI845" s="24"/>
      <c r="BP845" s="24"/>
      <c r="BQ845" s="24"/>
      <c r="BR845" s="24"/>
      <c r="BS845" s="24"/>
      <c r="BZ845" s="24"/>
      <c r="CA845" s="24"/>
      <c r="CB845" s="24"/>
      <c r="CC845" s="24"/>
      <c r="CD845" s="24"/>
    </row>
    <row r="846" spans="2:82" s="6" customFormat="1">
      <c r="B846" s="21"/>
      <c r="D846" s="17"/>
      <c r="E846" s="23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R846" s="24"/>
      <c r="AS846" s="24"/>
      <c r="AT846" s="24"/>
      <c r="AU846" s="24"/>
      <c r="AV846" s="24"/>
      <c r="AW846" s="24"/>
      <c r="BD846" s="24"/>
      <c r="BE846" s="24"/>
      <c r="BF846" s="24"/>
      <c r="BG846" s="24"/>
      <c r="BH846" s="24"/>
      <c r="BI846" s="24"/>
      <c r="BP846" s="24"/>
      <c r="BQ846" s="24"/>
      <c r="BR846" s="24"/>
      <c r="BS846" s="24"/>
      <c r="BZ846" s="24"/>
      <c r="CA846" s="24"/>
      <c r="CB846" s="24"/>
      <c r="CC846" s="24"/>
      <c r="CD846" s="24"/>
    </row>
    <row r="847" spans="2:82" s="6" customFormat="1">
      <c r="B847" s="21"/>
      <c r="D847" s="17"/>
      <c r="E847" s="23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R847" s="24"/>
      <c r="AS847" s="24"/>
      <c r="AT847" s="24"/>
      <c r="AU847" s="24"/>
      <c r="AV847" s="24"/>
      <c r="AW847" s="24"/>
      <c r="BD847" s="24"/>
      <c r="BE847" s="24"/>
      <c r="BF847" s="24"/>
      <c r="BG847" s="24"/>
      <c r="BH847" s="24"/>
      <c r="BI847" s="24"/>
      <c r="BP847" s="24"/>
      <c r="BQ847" s="24"/>
      <c r="BR847" s="24"/>
      <c r="BS847" s="24"/>
      <c r="BZ847" s="24"/>
      <c r="CA847" s="24"/>
      <c r="CB847" s="24"/>
      <c r="CC847" s="24"/>
      <c r="CD847" s="24"/>
    </row>
    <row r="848" spans="2:82" s="6" customFormat="1">
      <c r="B848" s="21"/>
      <c r="D848" s="17"/>
      <c r="E848" s="23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R848" s="24"/>
      <c r="AS848" s="24"/>
      <c r="AT848" s="24"/>
      <c r="AU848" s="24"/>
      <c r="AV848" s="24"/>
      <c r="AW848" s="24"/>
      <c r="BD848" s="24"/>
      <c r="BE848" s="24"/>
      <c r="BF848" s="24"/>
      <c r="BG848" s="24"/>
      <c r="BH848" s="24"/>
      <c r="BI848" s="24"/>
      <c r="BP848" s="24"/>
      <c r="BQ848" s="24"/>
      <c r="BR848" s="24"/>
      <c r="BS848" s="24"/>
      <c r="BZ848" s="24"/>
      <c r="CA848" s="24"/>
      <c r="CB848" s="24"/>
      <c r="CC848" s="24"/>
      <c r="CD848" s="24"/>
    </row>
    <row r="849" spans="2:82" s="6" customFormat="1">
      <c r="B849" s="21"/>
      <c r="D849" s="17"/>
      <c r="E849" s="23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R849" s="24"/>
      <c r="AS849" s="24"/>
      <c r="AT849" s="24"/>
      <c r="AU849" s="24"/>
      <c r="AV849" s="24"/>
      <c r="AW849" s="24"/>
      <c r="BD849" s="24"/>
      <c r="BE849" s="24"/>
      <c r="BF849" s="24"/>
      <c r="BG849" s="24"/>
      <c r="BH849" s="24"/>
      <c r="BI849" s="24"/>
      <c r="BP849" s="24"/>
      <c r="BQ849" s="24"/>
      <c r="BR849" s="24"/>
      <c r="BS849" s="24"/>
      <c r="BZ849" s="24"/>
      <c r="CA849" s="24"/>
      <c r="CB849" s="24"/>
      <c r="CC849" s="24"/>
      <c r="CD849" s="24"/>
    </row>
    <row r="850" spans="2:82" s="6" customFormat="1">
      <c r="B850" s="21"/>
      <c r="D850" s="17"/>
      <c r="E850" s="23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R850" s="24"/>
      <c r="AS850" s="24"/>
      <c r="AT850" s="24"/>
      <c r="AU850" s="24"/>
      <c r="AV850" s="24"/>
      <c r="AW850" s="24"/>
      <c r="BD850" s="24"/>
      <c r="BE850" s="24"/>
      <c r="BF850" s="24"/>
      <c r="BG850" s="24"/>
      <c r="BH850" s="24"/>
      <c r="BI850" s="24"/>
      <c r="BP850" s="24"/>
      <c r="BQ850" s="24"/>
      <c r="BR850" s="24"/>
      <c r="BS850" s="24"/>
      <c r="BZ850" s="24"/>
      <c r="CA850" s="24"/>
      <c r="CB850" s="24"/>
      <c r="CC850" s="24"/>
      <c r="CD850" s="24"/>
    </row>
    <row r="851" spans="2:82" s="6" customFormat="1">
      <c r="B851" s="21"/>
      <c r="D851" s="17"/>
      <c r="E851" s="23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R851" s="24"/>
      <c r="AS851" s="24"/>
      <c r="AT851" s="24"/>
      <c r="AU851" s="24"/>
      <c r="AV851" s="24"/>
      <c r="AW851" s="24"/>
      <c r="BD851" s="24"/>
      <c r="BE851" s="24"/>
      <c r="BF851" s="24"/>
      <c r="BG851" s="24"/>
      <c r="BH851" s="24"/>
      <c r="BI851" s="24"/>
      <c r="BP851" s="24"/>
      <c r="BQ851" s="24"/>
      <c r="BR851" s="24"/>
      <c r="BS851" s="24"/>
      <c r="BZ851" s="24"/>
      <c r="CA851" s="24"/>
      <c r="CB851" s="24"/>
      <c r="CC851" s="24"/>
      <c r="CD851" s="24"/>
    </row>
    <row r="852" spans="2:82" s="6" customFormat="1">
      <c r="B852" s="21"/>
      <c r="D852" s="17"/>
      <c r="E852" s="23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R852" s="24"/>
      <c r="AS852" s="24"/>
      <c r="AT852" s="24"/>
      <c r="AU852" s="24"/>
      <c r="AV852" s="24"/>
      <c r="AW852" s="24"/>
      <c r="BD852" s="24"/>
      <c r="BE852" s="24"/>
      <c r="BF852" s="24"/>
      <c r="BG852" s="24"/>
      <c r="BH852" s="24"/>
      <c r="BI852" s="24"/>
      <c r="BP852" s="24"/>
      <c r="BQ852" s="24"/>
      <c r="BR852" s="24"/>
      <c r="BS852" s="24"/>
      <c r="BZ852" s="24"/>
      <c r="CA852" s="24"/>
      <c r="CB852" s="24"/>
      <c r="CC852" s="24"/>
      <c r="CD852" s="24"/>
    </row>
    <row r="853" spans="2:82" s="6" customFormat="1">
      <c r="B853" s="21"/>
      <c r="D853" s="17"/>
      <c r="E853" s="23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R853" s="24"/>
      <c r="AS853" s="24"/>
      <c r="AT853" s="24"/>
      <c r="AU853" s="24"/>
      <c r="AV853" s="24"/>
      <c r="AW853" s="24"/>
      <c r="BD853" s="24"/>
      <c r="BE853" s="24"/>
      <c r="BF853" s="24"/>
      <c r="BG853" s="24"/>
      <c r="BH853" s="24"/>
      <c r="BI853" s="24"/>
      <c r="BP853" s="24"/>
      <c r="BQ853" s="24"/>
      <c r="BR853" s="24"/>
      <c r="BS853" s="24"/>
      <c r="BZ853" s="24"/>
      <c r="CA853" s="24"/>
      <c r="CB853" s="24"/>
      <c r="CC853" s="24"/>
      <c r="CD853" s="24"/>
    </row>
    <row r="854" spans="2:82" s="6" customFormat="1">
      <c r="B854" s="21"/>
      <c r="D854" s="17"/>
      <c r="E854" s="23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R854" s="24"/>
      <c r="AS854" s="24"/>
      <c r="AT854" s="24"/>
      <c r="AU854" s="24"/>
      <c r="AV854" s="24"/>
      <c r="AW854" s="24"/>
      <c r="BD854" s="24"/>
      <c r="BE854" s="24"/>
      <c r="BF854" s="24"/>
      <c r="BG854" s="24"/>
      <c r="BH854" s="24"/>
      <c r="BI854" s="24"/>
      <c r="BP854" s="24"/>
      <c r="BQ854" s="24"/>
      <c r="BR854" s="24"/>
      <c r="BS854" s="24"/>
      <c r="BZ854" s="24"/>
      <c r="CA854" s="24"/>
      <c r="CB854" s="24"/>
      <c r="CC854" s="24"/>
      <c r="CD854" s="24"/>
    </row>
    <row r="855" spans="2:82" s="6" customFormat="1">
      <c r="B855" s="21"/>
      <c r="D855" s="17"/>
      <c r="E855" s="23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R855" s="24"/>
      <c r="AS855" s="24"/>
      <c r="AT855" s="24"/>
      <c r="AU855" s="24"/>
      <c r="AV855" s="24"/>
      <c r="AW855" s="24"/>
      <c r="BD855" s="24"/>
      <c r="BE855" s="24"/>
      <c r="BF855" s="24"/>
      <c r="BG855" s="24"/>
      <c r="BH855" s="24"/>
      <c r="BI855" s="24"/>
      <c r="BP855" s="24"/>
      <c r="BQ855" s="24"/>
      <c r="BR855" s="24"/>
      <c r="BS855" s="24"/>
      <c r="BZ855" s="24"/>
      <c r="CA855" s="24"/>
      <c r="CB855" s="24"/>
      <c r="CC855" s="24"/>
      <c r="CD855" s="24"/>
    </row>
    <row r="856" spans="2:82" s="6" customFormat="1">
      <c r="B856" s="21"/>
      <c r="D856" s="17"/>
      <c r="E856" s="23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R856" s="24"/>
      <c r="AS856" s="24"/>
      <c r="AT856" s="24"/>
      <c r="AU856" s="24"/>
      <c r="AV856" s="24"/>
      <c r="AW856" s="24"/>
      <c r="BD856" s="24"/>
      <c r="BE856" s="24"/>
      <c r="BF856" s="24"/>
      <c r="BG856" s="24"/>
      <c r="BH856" s="24"/>
      <c r="BI856" s="24"/>
      <c r="BP856" s="24"/>
      <c r="BQ856" s="24"/>
      <c r="BR856" s="24"/>
      <c r="BS856" s="24"/>
      <c r="BZ856" s="24"/>
      <c r="CA856" s="24"/>
      <c r="CB856" s="24"/>
      <c r="CC856" s="24"/>
      <c r="CD856" s="24"/>
    </row>
    <row r="857" spans="2:82" s="6" customFormat="1">
      <c r="B857" s="21"/>
      <c r="D857" s="17"/>
      <c r="E857" s="23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R857" s="24"/>
      <c r="AS857" s="24"/>
      <c r="AT857" s="24"/>
      <c r="AU857" s="24"/>
      <c r="AV857" s="24"/>
      <c r="AW857" s="24"/>
      <c r="BD857" s="24"/>
      <c r="BE857" s="24"/>
      <c r="BF857" s="24"/>
      <c r="BG857" s="24"/>
      <c r="BH857" s="24"/>
      <c r="BI857" s="24"/>
      <c r="BP857" s="24"/>
      <c r="BQ857" s="24"/>
      <c r="BR857" s="24"/>
      <c r="BS857" s="24"/>
      <c r="BZ857" s="24"/>
      <c r="CA857" s="24"/>
      <c r="CB857" s="24"/>
      <c r="CC857" s="24"/>
      <c r="CD857" s="24"/>
    </row>
    <row r="858" spans="2:82" s="6" customFormat="1">
      <c r="B858" s="21"/>
      <c r="D858" s="17"/>
      <c r="E858" s="23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R858" s="24"/>
      <c r="AS858" s="24"/>
      <c r="AT858" s="24"/>
      <c r="AU858" s="24"/>
      <c r="AV858" s="24"/>
      <c r="AW858" s="24"/>
      <c r="BD858" s="24"/>
      <c r="BE858" s="24"/>
      <c r="BF858" s="24"/>
      <c r="BG858" s="24"/>
      <c r="BH858" s="24"/>
      <c r="BI858" s="24"/>
      <c r="BP858" s="24"/>
      <c r="BQ858" s="24"/>
      <c r="BR858" s="24"/>
      <c r="BS858" s="24"/>
      <c r="BZ858" s="24"/>
      <c r="CA858" s="24"/>
      <c r="CB858" s="24"/>
      <c r="CC858" s="24"/>
      <c r="CD858" s="24"/>
    </row>
    <row r="859" spans="2:82" s="6" customFormat="1">
      <c r="B859" s="21"/>
      <c r="D859" s="17"/>
      <c r="E859" s="23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R859" s="24"/>
      <c r="AS859" s="24"/>
      <c r="AT859" s="24"/>
      <c r="AU859" s="24"/>
      <c r="AV859" s="24"/>
      <c r="AW859" s="24"/>
      <c r="BD859" s="24"/>
      <c r="BE859" s="24"/>
      <c r="BF859" s="24"/>
      <c r="BG859" s="24"/>
      <c r="BH859" s="24"/>
      <c r="BI859" s="24"/>
      <c r="BP859" s="24"/>
      <c r="BQ859" s="24"/>
      <c r="BR859" s="24"/>
      <c r="BS859" s="24"/>
      <c r="BZ859" s="24"/>
      <c r="CA859" s="24"/>
      <c r="CB859" s="24"/>
      <c r="CC859" s="24"/>
      <c r="CD859" s="24"/>
    </row>
    <row r="860" spans="2:82" s="6" customFormat="1">
      <c r="B860" s="21"/>
      <c r="D860" s="17"/>
      <c r="E860" s="23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R860" s="24"/>
      <c r="AS860" s="24"/>
      <c r="AT860" s="24"/>
      <c r="AU860" s="24"/>
      <c r="AV860" s="24"/>
      <c r="AW860" s="24"/>
      <c r="BD860" s="24"/>
      <c r="BE860" s="24"/>
      <c r="BF860" s="24"/>
      <c r="BG860" s="24"/>
      <c r="BH860" s="24"/>
      <c r="BI860" s="24"/>
      <c r="BP860" s="24"/>
      <c r="BQ860" s="24"/>
      <c r="BR860" s="24"/>
      <c r="BS860" s="24"/>
      <c r="BZ860" s="24"/>
      <c r="CA860" s="24"/>
      <c r="CB860" s="24"/>
      <c r="CC860" s="24"/>
      <c r="CD860" s="24"/>
    </row>
    <row r="861" spans="2:82" s="6" customFormat="1">
      <c r="B861" s="21"/>
      <c r="D861" s="17"/>
      <c r="E861" s="23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R861" s="24"/>
      <c r="AS861" s="24"/>
      <c r="AT861" s="24"/>
      <c r="AU861" s="24"/>
      <c r="AV861" s="24"/>
      <c r="AW861" s="24"/>
      <c r="BD861" s="24"/>
      <c r="BE861" s="24"/>
      <c r="BF861" s="24"/>
      <c r="BG861" s="24"/>
      <c r="BH861" s="24"/>
      <c r="BI861" s="24"/>
      <c r="BP861" s="24"/>
      <c r="BQ861" s="24"/>
      <c r="BR861" s="24"/>
      <c r="BS861" s="24"/>
      <c r="BZ861" s="24"/>
      <c r="CA861" s="24"/>
      <c r="CB861" s="24"/>
      <c r="CC861" s="24"/>
      <c r="CD861" s="24"/>
    </row>
    <row r="862" spans="2:82" s="6" customFormat="1">
      <c r="B862" s="21"/>
      <c r="D862" s="17"/>
      <c r="E862" s="23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R862" s="24"/>
      <c r="AS862" s="24"/>
      <c r="AT862" s="24"/>
      <c r="AU862" s="24"/>
      <c r="AV862" s="24"/>
      <c r="AW862" s="24"/>
      <c r="BD862" s="24"/>
      <c r="BE862" s="24"/>
      <c r="BF862" s="24"/>
      <c r="BG862" s="24"/>
      <c r="BH862" s="24"/>
      <c r="BI862" s="24"/>
      <c r="BP862" s="24"/>
      <c r="BQ862" s="24"/>
      <c r="BR862" s="24"/>
      <c r="BS862" s="24"/>
      <c r="BZ862" s="24"/>
      <c r="CA862" s="24"/>
      <c r="CB862" s="24"/>
      <c r="CC862" s="24"/>
      <c r="CD862" s="24"/>
    </row>
    <row r="863" spans="2:82" s="6" customFormat="1">
      <c r="B863" s="21"/>
      <c r="D863" s="17"/>
      <c r="E863" s="23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R863" s="24"/>
      <c r="AS863" s="24"/>
      <c r="AT863" s="24"/>
      <c r="AU863" s="24"/>
      <c r="AV863" s="24"/>
      <c r="AW863" s="24"/>
      <c r="BD863" s="24"/>
      <c r="BE863" s="24"/>
      <c r="BF863" s="24"/>
      <c r="BG863" s="24"/>
      <c r="BH863" s="24"/>
      <c r="BI863" s="24"/>
      <c r="BP863" s="24"/>
      <c r="BQ863" s="24"/>
      <c r="BR863" s="24"/>
      <c r="BS863" s="24"/>
      <c r="BZ863" s="24"/>
      <c r="CA863" s="24"/>
      <c r="CB863" s="24"/>
      <c r="CC863" s="24"/>
      <c r="CD863" s="24"/>
    </row>
    <row r="864" spans="2:82" s="6" customFormat="1">
      <c r="B864" s="21"/>
      <c r="D864" s="17"/>
      <c r="E864" s="23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R864" s="24"/>
      <c r="AS864" s="24"/>
      <c r="AT864" s="24"/>
      <c r="AU864" s="24"/>
      <c r="AV864" s="24"/>
      <c r="AW864" s="24"/>
      <c r="BD864" s="24"/>
      <c r="BE864" s="24"/>
      <c r="BF864" s="24"/>
      <c r="BG864" s="24"/>
      <c r="BH864" s="24"/>
      <c r="BI864" s="24"/>
      <c r="BP864" s="24"/>
      <c r="BQ864" s="24"/>
      <c r="BR864" s="24"/>
      <c r="BS864" s="24"/>
      <c r="BZ864" s="24"/>
      <c r="CA864" s="24"/>
      <c r="CB864" s="24"/>
      <c r="CC864" s="24"/>
      <c r="CD864" s="24"/>
    </row>
    <row r="865" spans="2:82" s="6" customFormat="1">
      <c r="B865" s="21"/>
      <c r="D865" s="17"/>
      <c r="E865" s="23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R865" s="24"/>
      <c r="AS865" s="24"/>
      <c r="AT865" s="24"/>
      <c r="AU865" s="24"/>
      <c r="AV865" s="24"/>
      <c r="AW865" s="24"/>
      <c r="BD865" s="24"/>
      <c r="BE865" s="24"/>
      <c r="BF865" s="24"/>
      <c r="BG865" s="24"/>
      <c r="BH865" s="24"/>
      <c r="BI865" s="24"/>
      <c r="BP865" s="24"/>
      <c r="BQ865" s="24"/>
      <c r="BR865" s="24"/>
      <c r="BS865" s="24"/>
      <c r="BZ865" s="24"/>
      <c r="CA865" s="24"/>
      <c r="CB865" s="24"/>
      <c r="CC865" s="24"/>
      <c r="CD865" s="24"/>
    </row>
    <row r="866" spans="2:82" s="6" customFormat="1">
      <c r="B866" s="21"/>
      <c r="D866" s="17"/>
      <c r="E866" s="23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R866" s="24"/>
      <c r="AS866" s="24"/>
      <c r="AT866" s="24"/>
      <c r="AU866" s="24"/>
      <c r="AV866" s="24"/>
      <c r="AW866" s="24"/>
      <c r="BD866" s="24"/>
      <c r="BE866" s="24"/>
      <c r="BF866" s="24"/>
      <c r="BG866" s="24"/>
      <c r="BH866" s="24"/>
      <c r="BI866" s="24"/>
      <c r="BP866" s="24"/>
      <c r="BQ866" s="24"/>
      <c r="BR866" s="24"/>
      <c r="BS866" s="24"/>
      <c r="BZ866" s="24"/>
      <c r="CA866" s="24"/>
      <c r="CB866" s="24"/>
      <c r="CC866" s="24"/>
      <c r="CD866" s="24"/>
    </row>
    <row r="867" spans="2:82" s="6" customFormat="1">
      <c r="B867" s="21"/>
      <c r="D867" s="17"/>
      <c r="E867" s="23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R867" s="24"/>
      <c r="AS867" s="24"/>
      <c r="AT867" s="24"/>
      <c r="AU867" s="24"/>
      <c r="AV867" s="24"/>
      <c r="AW867" s="24"/>
      <c r="BD867" s="24"/>
      <c r="BE867" s="24"/>
      <c r="BF867" s="24"/>
      <c r="BG867" s="24"/>
      <c r="BH867" s="24"/>
      <c r="BI867" s="24"/>
      <c r="BP867" s="24"/>
      <c r="BQ867" s="24"/>
      <c r="BR867" s="24"/>
      <c r="BS867" s="24"/>
      <c r="BZ867" s="24"/>
      <c r="CA867" s="24"/>
      <c r="CB867" s="24"/>
      <c r="CC867" s="24"/>
      <c r="CD867" s="24"/>
    </row>
    <row r="868" spans="2:82" s="6" customFormat="1">
      <c r="B868" s="21"/>
      <c r="D868" s="17"/>
      <c r="E868" s="23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R868" s="24"/>
      <c r="AS868" s="24"/>
      <c r="AT868" s="24"/>
      <c r="AU868" s="24"/>
      <c r="AV868" s="24"/>
      <c r="AW868" s="24"/>
      <c r="BD868" s="24"/>
      <c r="BE868" s="24"/>
      <c r="BF868" s="24"/>
      <c r="BG868" s="24"/>
      <c r="BH868" s="24"/>
      <c r="BI868" s="24"/>
      <c r="BP868" s="24"/>
      <c r="BQ868" s="24"/>
      <c r="BR868" s="24"/>
      <c r="BS868" s="24"/>
      <c r="BZ868" s="24"/>
      <c r="CA868" s="24"/>
      <c r="CB868" s="24"/>
      <c r="CC868" s="24"/>
      <c r="CD868" s="24"/>
    </row>
    <row r="869" spans="2:82" s="6" customFormat="1">
      <c r="B869" s="21"/>
      <c r="D869" s="17"/>
      <c r="E869" s="23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R869" s="24"/>
      <c r="AS869" s="24"/>
      <c r="AT869" s="24"/>
      <c r="AU869" s="24"/>
      <c r="AV869" s="24"/>
      <c r="AW869" s="24"/>
      <c r="BD869" s="24"/>
      <c r="BE869" s="24"/>
      <c r="BF869" s="24"/>
      <c r="BG869" s="24"/>
      <c r="BH869" s="24"/>
      <c r="BI869" s="24"/>
      <c r="BP869" s="24"/>
      <c r="BQ869" s="24"/>
      <c r="BR869" s="24"/>
      <c r="BS869" s="24"/>
      <c r="BZ869" s="24"/>
      <c r="CA869" s="24"/>
      <c r="CB869" s="24"/>
      <c r="CC869" s="24"/>
      <c r="CD869" s="24"/>
    </row>
    <row r="870" spans="2:82" s="6" customFormat="1">
      <c r="B870" s="21"/>
      <c r="D870" s="17"/>
      <c r="E870" s="23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R870" s="24"/>
      <c r="AS870" s="24"/>
      <c r="AT870" s="24"/>
      <c r="AU870" s="24"/>
      <c r="AV870" s="24"/>
      <c r="AW870" s="24"/>
      <c r="BD870" s="24"/>
      <c r="BE870" s="24"/>
      <c r="BF870" s="24"/>
      <c r="BG870" s="24"/>
      <c r="BH870" s="24"/>
      <c r="BI870" s="24"/>
      <c r="BP870" s="24"/>
      <c r="BQ870" s="24"/>
      <c r="BR870" s="24"/>
      <c r="BS870" s="24"/>
      <c r="BZ870" s="24"/>
      <c r="CA870" s="24"/>
      <c r="CB870" s="24"/>
      <c r="CC870" s="24"/>
      <c r="CD870" s="24"/>
    </row>
    <row r="871" spans="2:82" s="6" customFormat="1">
      <c r="B871" s="21"/>
      <c r="D871" s="17"/>
      <c r="E871" s="23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R871" s="24"/>
      <c r="AS871" s="24"/>
      <c r="AT871" s="24"/>
      <c r="AU871" s="24"/>
      <c r="AV871" s="24"/>
      <c r="AW871" s="24"/>
      <c r="BD871" s="24"/>
      <c r="BE871" s="24"/>
      <c r="BF871" s="24"/>
      <c r="BG871" s="24"/>
      <c r="BH871" s="24"/>
      <c r="BI871" s="24"/>
      <c r="BP871" s="24"/>
      <c r="BQ871" s="24"/>
      <c r="BR871" s="24"/>
      <c r="BS871" s="24"/>
      <c r="BZ871" s="24"/>
      <c r="CA871" s="24"/>
      <c r="CB871" s="24"/>
      <c r="CC871" s="24"/>
      <c r="CD871" s="24"/>
    </row>
    <row r="872" spans="2:82" s="6" customFormat="1">
      <c r="B872" s="21"/>
      <c r="D872" s="17"/>
      <c r="E872" s="23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R872" s="24"/>
      <c r="AS872" s="24"/>
      <c r="AT872" s="24"/>
      <c r="AU872" s="24"/>
      <c r="AV872" s="24"/>
      <c r="AW872" s="24"/>
      <c r="BD872" s="24"/>
      <c r="BE872" s="24"/>
      <c r="BF872" s="24"/>
      <c r="BG872" s="24"/>
      <c r="BH872" s="24"/>
      <c r="BI872" s="24"/>
      <c r="BP872" s="24"/>
      <c r="BQ872" s="24"/>
      <c r="BR872" s="24"/>
      <c r="BS872" s="24"/>
      <c r="BZ872" s="24"/>
      <c r="CA872" s="24"/>
      <c r="CB872" s="24"/>
      <c r="CC872" s="24"/>
      <c r="CD872" s="24"/>
    </row>
    <row r="873" spans="2:82" s="6" customFormat="1">
      <c r="B873" s="21"/>
      <c r="D873" s="17"/>
      <c r="E873" s="23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R873" s="24"/>
      <c r="AS873" s="24"/>
      <c r="AT873" s="24"/>
      <c r="AU873" s="24"/>
      <c r="AV873" s="24"/>
      <c r="AW873" s="24"/>
      <c r="BD873" s="24"/>
      <c r="BE873" s="24"/>
      <c r="BF873" s="24"/>
      <c r="BG873" s="24"/>
      <c r="BH873" s="24"/>
      <c r="BI873" s="24"/>
      <c r="BP873" s="24"/>
      <c r="BQ873" s="24"/>
      <c r="BR873" s="24"/>
      <c r="BS873" s="24"/>
      <c r="BZ873" s="24"/>
      <c r="CA873" s="24"/>
      <c r="CB873" s="24"/>
      <c r="CC873" s="24"/>
      <c r="CD873" s="24"/>
    </row>
    <row r="874" spans="2:82" s="6" customFormat="1">
      <c r="B874" s="21"/>
      <c r="D874" s="17"/>
      <c r="E874" s="23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R874" s="24"/>
      <c r="AS874" s="24"/>
      <c r="AT874" s="24"/>
      <c r="AU874" s="24"/>
      <c r="AV874" s="24"/>
      <c r="AW874" s="24"/>
      <c r="BD874" s="24"/>
      <c r="BE874" s="24"/>
      <c r="BF874" s="24"/>
      <c r="BG874" s="24"/>
      <c r="BH874" s="24"/>
      <c r="BI874" s="24"/>
      <c r="BP874" s="24"/>
      <c r="BQ874" s="24"/>
      <c r="BR874" s="24"/>
      <c r="BS874" s="24"/>
      <c r="BZ874" s="24"/>
      <c r="CA874" s="24"/>
      <c r="CB874" s="24"/>
      <c r="CC874" s="24"/>
      <c r="CD874" s="24"/>
    </row>
    <row r="875" spans="2:82" s="6" customFormat="1">
      <c r="B875" s="21"/>
      <c r="D875" s="17"/>
      <c r="E875" s="23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R875" s="24"/>
      <c r="AS875" s="24"/>
      <c r="AT875" s="24"/>
      <c r="AU875" s="24"/>
      <c r="AV875" s="24"/>
      <c r="AW875" s="24"/>
      <c r="BD875" s="24"/>
      <c r="BE875" s="24"/>
      <c r="BF875" s="24"/>
      <c r="BG875" s="24"/>
      <c r="BH875" s="24"/>
      <c r="BI875" s="24"/>
      <c r="BP875" s="24"/>
      <c r="BQ875" s="24"/>
      <c r="BR875" s="24"/>
      <c r="BS875" s="24"/>
      <c r="BZ875" s="24"/>
      <c r="CA875" s="24"/>
      <c r="CB875" s="24"/>
      <c r="CC875" s="24"/>
      <c r="CD875" s="24"/>
    </row>
    <row r="876" spans="2:82" s="6" customFormat="1">
      <c r="B876" s="21"/>
      <c r="D876" s="17"/>
      <c r="E876" s="23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R876" s="24"/>
      <c r="AS876" s="24"/>
      <c r="AT876" s="24"/>
      <c r="AU876" s="24"/>
      <c r="AV876" s="24"/>
      <c r="AW876" s="24"/>
      <c r="BD876" s="24"/>
      <c r="BE876" s="24"/>
      <c r="BF876" s="24"/>
      <c r="BG876" s="24"/>
      <c r="BH876" s="24"/>
      <c r="BI876" s="24"/>
      <c r="BP876" s="24"/>
      <c r="BQ876" s="24"/>
      <c r="BR876" s="24"/>
      <c r="BS876" s="24"/>
      <c r="BZ876" s="24"/>
      <c r="CA876" s="24"/>
      <c r="CB876" s="24"/>
      <c r="CC876" s="24"/>
      <c r="CD876" s="24"/>
    </row>
    <row r="877" spans="2:82" s="6" customFormat="1">
      <c r="B877" s="21"/>
      <c r="D877" s="17"/>
      <c r="E877" s="23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R877" s="24"/>
      <c r="AS877" s="24"/>
      <c r="AT877" s="24"/>
      <c r="AU877" s="24"/>
      <c r="AV877" s="24"/>
      <c r="AW877" s="24"/>
      <c r="BD877" s="24"/>
      <c r="BE877" s="24"/>
      <c r="BF877" s="24"/>
      <c r="BG877" s="24"/>
      <c r="BH877" s="24"/>
      <c r="BI877" s="24"/>
      <c r="BP877" s="24"/>
      <c r="BQ877" s="24"/>
      <c r="BR877" s="24"/>
      <c r="BS877" s="24"/>
      <c r="BZ877" s="24"/>
      <c r="CA877" s="24"/>
      <c r="CB877" s="24"/>
      <c r="CC877" s="24"/>
      <c r="CD877" s="24"/>
    </row>
    <row r="878" spans="2:82" s="6" customFormat="1">
      <c r="B878" s="21"/>
      <c r="D878" s="17"/>
      <c r="E878" s="23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R878" s="24"/>
      <c r="AS878" s="24"/>
      <c r="AT878" s="24"/>
      <c r="AU878" s="24"/>
      <c r="AV878" s="24"/>
      <c r="AW878" s="24"/>
      <c r="BD878" s="24"/>
      <c r="BE878" s="24"/>
      <c r="BF878" s="24"/>
      <c r="BG878" s="24"/>
      <c r="BH878" s="24"/>
      <c r="BI878" s="24"/>
      <c r="BP878" s="24"/>
      <c r="BQ878" s="24"/>
      <c r="BR878" s="24"/>
      <c r="BS878" s="24"/>
      <c r="BZ878" s="24"/>
      <c r="CA878" s="24"/>
      <c r="CB878" s="24"/>
      <c r="CC878" s="24"/>
      <c r="CD878" s="24"/>
    </row>
    <row r="879" spans="2:82" s="6" customFormat="1">
      <c r="B879" s="21"/>
      <c r="D879" s="17"/>
      <c r="E879" s="23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R879" s="24"/>
      <c r="AS879" s="24"/>
      <c r="AT879" s="24"/>
      <c r="AU879" s="24"/>
      <c r="AV879" s="24"/>
      <c r="AW879" s="24"/>
      <c r="BD879" s="24"/>
      <c r="BE879" s="24"/>
      <c r="BF879" s="24"/>
      <c r="BG879" s="24"/>
      <c r="BH879" s="24"/>
      <c r="BI879" s="24"/>
      <c r="BP879" s="24"/>
      <c r="BQ879" s="24"/>
      <c r="BR879" s="24"/>
      <c r="BS879" s="24"/>
      <c r="BZ879" s="24"/>
      <c r="CA879" s="24"/>
      <c r="CB879" s="24"/>
      <c r="CC879" s="24"/>
      <c r="CD879" s="24"/>
    </row>
    <row r="880" spans="2:82" s="6" customFormat="1">
      <c r="B880" s="21"/>
      <c r="D880" s="17"/>
      <c r="E880" s="23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R880" s="24"/>
      <c r="AS880" s="24"/>
      <c r="AT880" s="24"/>
      <c r="AU880" s="24"/>
      <c r="AV880" s="24"/>
      <c r="AW880" s="24"/>
      <c r="BD880" s="24"/>
      <c r="BE880" s="24"/>
      <c r="BF880" s="24"/>
      <c r="BG880" s="24"/>
      <c r="BH880" s="24"/>
      <c r="BI880" s="24"/>
      <c r="BP880" s="24"/>
      <c r="BQ880" s="24"/>
      <c r="BR880" s="24"/>
      <c r="BS880" s="24"/>
      <c r="BZ880" s="24"/>
      <c r="CA880" s="24"/>
      <c r="CB880" s="24"/>
      <c r="CC880" s="24"/>
      <c r="CD880" s="24"/>
    </row>
    <row r="881" spans="2:82" s="6" customFormat="1">
      <c r="B881" s="21"/>
      <c r="D881" s="17"/>
      <c r="E881" s="23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R881" s="24"/>
      <c r="AS881" s="24"/>
      <c r="AT881" s="24"/>
      <c r="AU881" s="24"/>
      <c r="AV881" s="24"/>
      <c r="AW881" s="24"/>
      <c r="BD881" s="24"/>
      <c r="BE881" s="24"/>
      <c r="BF881" s="24"/>
      <c r="BG881" s="24"/>
      <c r="BH881" s="24"/>
      <c r="BI881" s="24"/>
      <c r="BP881" s="24"/>
      <c r="BQ881" s="24"/>
      <c r="BR881" s="24"/>
      <c r="BS881" s="24"/>
      <c r="BZ881" s="24"/>
      <c r="CA881" s="24"/>
      <c r="CB881" s="24"/>
      <c r="CC881" s="24"/>
      <c r="CD881" s="24"/>
    </row>
    <row r="882" spans="2:82" s="6" customFormat="1">
      <c r="B882" s="21"/>
      <c r="D882" s="17"/>
      <c r="E882" s="23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R882" s="24"/>
      <c r="AS882" s="24"/>
      <c r="AT882" s="24"/>
      <c r="AU882" s="24"/>
      <c r="AV882" s="24"/>
      <c r="AW882" s="24"/>
      <c r="BD882" s="24"/>
      <c r="BE882" s="24"/>
      <c r="BF882" s="24"/>
      <c r="BG882" s="24"/>
      <c r="BH882" s="24"/>
      <c r="BI882" s="24"/>
      <c r="BP882" s="24"/>
      <c r="BQ882" s="24"/>
      <c r="BR882" s="24"/>
      <c r="BS882" s="24"/>
      <c r="BZ882" s="24"/>
      <c r="CA882" s="24"/>
      <c r="CB882" s="24"/>
      <c r="CC882" s="24"/>
      <c r="CD882" s="24"/>
    </row>
    <row r="883" spans="2:82" s="6" customFormat="1">
      <c r="B883" s="21"/>
      <c r="D883" s="17"/>
      <c r="E883" s="23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R883" s="24"/>
      <c r="AS883" s="24"/>
      <c r="AT883" s="24"/>
      <c r="AU883" s="24"/>
      <c r="AV883" s="24"/>
      <c r="AW883" s="24"/>
      <c r="BD883" s="24"/>
      <c r="BE883" s="24"/>
      <c r="BF883" s="24"/>
      <c r="BG883" s="24"/>
      <c r="BH883" s="24"/>
      <c r="BI883" s="24"/>
      <c r="BP883" s="24"/>
      <c r="BQ883" s="24"/>
      <c r="BR883" s="24"/>
      <c r="BS883" s="24"/>
      <c r="BZ883" s="24"/>
      <c r="CA883" s="24"/>
      <c r="CB883" s="24"/>
      <c r="CC883" s="24"/>
      <c r="CD883" s="24"/>
    </row>
    <row r="884" spans="2:82" s="6" customFormat="1">
      <c r="B884" s="21"/>
      <c r="D884" s="17"/>
      <c r="E884" s="23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R884" s="24"/>
      <c r="AS884" s="24"/>
      <c r="AT884" s="24"/>
      <c r="AU884" s="24"/>
      <c r="AV884" s="24"/>
      <c r="AW884" s="24"/>
      <c r="BD884" s="24"/>
      <c r="BE884" s="24"/>
      <c r="BF884" s="24"/>
      <c r="BG884" s="24"/>
      <c r="BH884" s="24"/>
      <c r="BI884" s="24"/>
      <c r="BP884" s="24"/>
      <c r="BQ884" s="24"/>
      <c r="BR884" s="24"/>
      <c r="BS884" s="24"/>
      <c r="BZ884" s="24"/>
      <c r="CA884" s="24"/>
      <c r="CB884" s="24"/>
      <c r="CC884" s="24"/>
      <c r="CD884" s="24"/>
    </row>
    <row r="885" spans="2:82" s="6" customFormat="1">
      <c r="B885" s="21"/>
      <c r="D885" s="17"/>
      <c r="E885" s="23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R885" s="24"/>
      <c r="AS885" s="24"/>
      <c r="AT885" s="24"/>
      <c r="AU885" s="24"/>
      <c r="AV885" s="24"/>
      <c r="AW885" s="24"/>
      <c r="BD885" s="24"/>
      <c r="BE885" s="24"/>
      <c r="BF885" s="24"/>
      <c r="BG885" s="24"/>
      <c r="BH885" s="24"/>
      <c r="BI885" s="24"/>
      <c r="BP885" s="24"/>
      <c r="BQ885" s="24"/>
      <c r="BR885" s="24"/>
      <c r="BS885" s="24"/>
      <c r="BZ885" s="24"/>
      <c r="CA885" s="24"/>
      <c r="CB885" s="24"/>
      <c r="CC885" s="24"/>
      <c r="CD885" s="24"/>
    </row>
    <row r="886" spans="2:82" s="6" customFormat="1">
      <c r="B886" s="21"/>
      <c r="D886" s="17"/>
      <c r="E886" s="23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R886" s="24"/>
      <c r="AS886" s="24"/>
      <c r="AT886" s="24"/>
      <c r="AU886" s="24"/>
      <c r="AV886" s="24"/>
      <c r="AW886" s="24"/>
      <c r="BD886" s="24"/>
      <c r="BE886" s="24"/>
      <c r="BF886" s="24"/>
      <c r="BG886" s="24"/>
      <c r="BH886" s="24"/>
      <c r="BI886" s="24"/>
      <c r="BP886" s="24"/>
      <c r="BQ886" s="24"/>
      <c r="BR886" s="24"/>
      <c r="BS886" s="24"/>
      <c r="BZ886" s="24"/>
      <c r="CA886" s="24"/>
      <c r="CB886" s="24"/>
      <c r="CC886" s="24"/>
      <c r="CD886" s="24"/>
    </row>
    <row r="887" spans="2:82" s="6" customFormat="1">
      <c r="B887" s="21"/>
      <c r="D887" s="17"/>
      <c r="E887" s="23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R887" s="24"/>
      <c r="AS887" s="24"/>
      <c r="AT887" s="24"/>
      <c r="AU887" s="24"/>
      <c r="AV887" s="24"/>
      <c r="AW887" s="24"/>
      <c r="BD887" s="24"/>
      <c r="BE887" s="24"/>
      <c r="BF887" s="24"/>
      <c r="BG887" s="24"/>
      <c r="BH887" s="24"/>
      <c r="BI887" s="24"/>
      <c r="BP887" s="24"/>
      <c r="BQ887" s="24"/>
      <c r="BR887" s="24"/>
      <c r="BS887" s="24"/>
      <c r="BZ887" s="24"/>
      <c r="CA887" s="24"/>
      <c r="CB887" s="24"/>
      <c r="CC887" s="24"/>
      <c r="CD887" s="24"/>
    </row>
    <row r="888" spans="2:82" s="6" customFormat="1">
      <c r="B888" s="21"/>
      <c r="D888" s="17"/>
      <c r="E888" s="23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R888" s="24"/>
      <c r="AS888" s="24"/>
      <c r="AT888" s="24"/>
      <c r="AU888" s="24"/>
      <c r="AV888" s="24"/>
      <c r="AW888" s="24"/>
      <c r="BD888" s="24"/>
      <c r="BE888" s="24"/>
      <c r="BF888" s="24"/>
      <c r="BG888" s="24"/>
      <c r="BH888" s="24"/>
      <c r="BI888" s="24"/>
      <c r="BP888" s="24"/>
      <c r="BQ888" s="24"/>
      <c r="BR888" s="24"/>
      <c r="BS888" s="24"/>
      <c r="BZ888" s="24"/>
      <c r="CA888" s="24"/>
      <c r="CB888" s="24"/>
      <c r="CC888" s="24"/>
      <c r="CD888" s="24"/>
    </row>
    <row r="889" spans="2:82" s="6" customFormat="1">
      <c r="B889" s="21"/>
      <c r="D889" s="17"/>
      <c r="E889" s="23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R889" s="24"/>
      <c r="AS889" s="24"/>
      <c r="AT889" s="24"/>
      <c r="AU889" s="24"/>
      <c r="AV889" s="24"/>
      <c r="AW889" s="24"/>
      <c r="BD889" s="24"/>
      <c r="BE889" s="24"/>
      <c r="BF889" s="24"/>
      <c r="BG889" s="24"/>
      <c r="BH889" s="24"/>
      <c r="BI889" s="24"/>
      <c r="BP889" s="24"/>
      <c r="BQ889" s="24"/>
      <c r="BR889" s="24"/>
      <c r="BS889" s="24"/>
      <c r="BZ889" s="24"/>
      <c r="CA889" s="24"/>
      <c r="CB889" s="24"/>
      <c r="CC889" s="24"/>
      <c r="CD889" s="24"/>
    </row>
    <row r="890" spans="2:82" s="6" customFormat="1">
      <c r="B890" s="21"/>
      <c r="D890" s="17"/>
      <c r="E890" s="23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R890" s="24"/>
      <c r="AS890" s="24"/>
      <c r="AT890" s="24"/>
      <c r="AU890" s="24"/>
      <c r="AV890" s="24"/>
      <c r="AW890" s="24"/>
      <c r="BD890" s="24"/>
      <c r="BE890" s="24"/>
      <c r="BF890" s="24"/>
      <c r="BG890" s="24"/>
      <c r="BH890" s="24"/>
      <c r="BI890" s="24"/>
      <c r="BP890" s="24"/>
      <c r="BQ890" s="24"/>
      <c r="BR890" s="24"/>
      <c r="BS890" s="24"/>
      <c r="BZ890" s="24"/>
      <c r="CA890" s="24"/>
      <c r="CB890" s="24"/>
      <c r="CC890" s="24"/>
      <c r="CD890" s="24"/>
    </row>
    <row r="891" spans="2:82" s="6" customFormat="1">
      <c r="B891" s="21"/>
      <c r="D891" s="17"/>
      <c r="E891" s="23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R891" s="24"/>
      <c r="AS891" s="24"/>
      <c r="AT891" s="24"/>
      <c r="AU891" s="24"/>
      <c r="AV891" s="24"/>
      <c r="AW891" s="24"/>
      <c r="BD891" s="24"/>
      <c r="BE891" s="24"/>
      <c r="BF891" s="24"/>
      <c r="BG891" s="24"/>
      <c r="BH891" s="24"/>
      <c r="BI891" s="24"/>
      <c r="BP891" s="24"/>
      <c r="BQ891" s="24"/>
      <c r="BR891" s="24"/>
      <c r="BS891" s="24"/>
      <c r="BZ891" s="24"/>
      <c r="CA891" s="24"/>
      <c r="CB891" s="24"/>
      <c r="CC891" s="24"/>
      <c r="CD891" s="24"/>
    </row>
    <row r="892" spans="2:82" s="6" customFormat="1">
      <c r="B892" s="21"/>
      <c r="D892" s="17"/>
      <c r="E892" s="23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R892" s="24"/>
      <c r="AS892" s="24"/>
      <c r="AT892" s="24"/>
      <c r="AU892" s="24"/>
      <c r="AV892" s="24"/>
      <c r="AW892" s="24"/>
      <c r="BD892" s="24"/>
      <c r="BE892" s="24"/>
      <c r="BF892" s="24"/>
      <c r="BG892" s="24"/>
      <c r="BH892" s="24"/>
      <c r="BI892" s="24"/>
      <c r="BP892" s="24"/>
      <c r="BQ892" s="24"/>
      <c r="BR892" s="24"/>
      <c r="BS892" s="24"/>
      <c r="BZ892" s="24"/>
      <c r="CA892" s="24"/>
      <c r="CB892" s="24"/>
      <c r="CC892" s="24"/>
      <c r="CD892" s="24"/>
    </row>
    <row r="893" spans="2:82" s="6" customFormat="1">
      <c r="B893" s="21"/>
      <c r="D893" s="17"/>
      <c r="E893" s="23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R893" s="24"/>
      <c r="AS893" s="24"/>
      <c r="AT893" s="24"/>
      <c r="AU893" s="24"/>
      <c r="AV893" s="24"/>
      <c r="AW893" s="24"/>
      <c r="BD893" s="24"/>
      <c r="BE893" s="24"/>
      <c r="BF893" s="24"/>
      <c r="BG893" s="24"/>
      <c r="BH893" s="24"/>
      <c r="BI893" s="24"/>
      <c r="BP893" s="24"/>
      <c r="BQ893" s="24"/>
      <c r="BR893" s="24"/>
      <c r="BS893" s="24"/>
      <c r="BZ893" s="24"/>
      <c r="CA893" s="24"/>
      <c r="CB893" s="24"/>
      <c r="CC893" s="24"/>
      <c r="CD893" s="24"/>
    </row>
    <row r="894" spans="2:82" s="6" customFormat="1">
      <c r="B894" s="21"/>
      <c r="D894" s="17"/>
      <c r="E894" s="23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R894" s="24"/>
      <c r="AS894" s="24"/>
      <c r="AT894" s="24"/>
      <c r="AU894" s="24"/>
      <c r="AV894" s="24"/>
      <c r="AW894" s="24"/>
      <c r="BD894" s="24"/>
      <c r="BE894" s="24"/>
      <c r="BF894" s="24"/>
      <c r="BG894" s="24"/>
      <c r="BH894" s="24"/>
      <c r="BI894" s="24"/>
      <c r="BP894" s="24"/>
      <c r="BQ894" s="24"/>
      <c r="BR894" s="24"/>
      <c r="BS894" s="24"/>
      <c r="BZ894" s="24"/>
      <c r="CA894" s="24"/>
      <c r="CB894" s="24"/>
      <c r="CC894" s="24"/>
      <c r="CD894" s="24"/>
    </row>
    <row r="895" spans="2:82" s="6" customFormat="1">
      <c r="B895" s="21"/>
      <c r="D895" s="17"/>
      <c r="E895" s="23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R895" s="24"/>
      <c r="AS895" s="24"/>
      <c r="AT895" s="24"/>
      <c r="AU895" s="24"/>
      <c r="AV895" s="24"/>
      <c r="AW895" s="24"/>
      <c r="BD895" s="24"/>
      <c r="BE895" s="24"/>
      <c r="BF895" s="24"/>
      <c r="BG895" s="24"/>
      <c r="BH895" s="24"/>
      <c r="BI895" s="24"/>
      <c r="BP895" s="24"/>
      <c r="BQ895" s="24"/>
      <c r="BR895" s="24"/>
      <c r="BS895" s="24"/>
      <c r="BZ895" s="24"/>
      <c r="CA895" s="24"/>
      <c r="CB895" s="24"/>
      <c r="CC895" s="24"/>
      <c r="CD895" s="24"/>
    </row>
    <row r="896" spans="2:82" s="6" customFormat="1">
      <c r="B896" s="21"/>
      <c r="D896" s="17"/>
      <c r="E896" s="23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R896" s="24"/>
      <c r="AS896" s="24"/>
      <c r="AT896" s="24"/>
      <c r="AU896" s="24"/>
      <c r="AV896" s="24"/>
      <c r="AW896" s="24"/>
      <c r="BD896" s="24"/>
      <c r="BE896" s="24"/>
      <c r="BF896" s="24"/>
      <c r="BG896" s="24"/>
      <c r="BH896" s="24"/>
      <c r="BI896" s="24"/>
      <c r="BP896" s="24"/>
      <c r="BQ896" s="24"/>
      <c r="BR896" s="24"/>
      <c r="BS896" s="24"/>
      <c r="BZ896" s="24"/>
      <c r="CA896" s="24"/>
      <c r="CB896" s="24"/>
      <c r="CC896" s="24"/>
      <c r="CD896" s="24"/>
    </row>
    <row r="897" spans="2:82" s="6" customFormat="1">
      <c r="B897" s="21"/>
      <c r="D897" s="17"/>
      <c r="E897" s="23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R897" s="24"/>
      <c r="AS897" s="24"/>
      <c r="AT897" s="24"/>
      <c r="AU897" s="24"/>
      <c r="AV897" s="24"/>
      <c r="AW897" s="24"/>
      <c r="BD897" s="24"/>
      <c r="BE897" s="24"/>
      <c r="BF897" s="24"/>
      <c r="BG897" s="24"/>
      <c r="BH897" s="24"/>
      <c r="BI897" s="24"/>
      <c r="BP897" s="24"/>
      <c r="BQ897" s="24"/>
      <c r="BR897" s="24"/>
      <c r="BS897" s="24"/>
      <c r="BZ897" s="24"/>
      <c r="CA897" s="24"/>
      <c r="CB897" s="24"/>
      <c r="CC897" s="24"/>
      <c r="CD897" s="24"/>
    </row>
    <row r="898" spans="2:82" s="6" customFormat="1">
      <c r="B898" s="21"/>
      <c r="D898" s="17"/>
      <c r="E898" s="23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R898" s="24"/>
      <c r="AS898" s="24"/>
      <c r="AT898" s="24"/>
      <c r="AU898" s="24"/>
      <c r="AV898" s="24"/>
      <c r="AW898" s="24"/>
      <c r="BD898" s="24"/>
      <c r="BE898" s="24"/>
      <c r="BF898" s="24"/>
      <c r="BG898" s="24"/>
      <c r="BH898" s="24"/>
      <c r="BI898" s="24"/>
      <c r="BP898" s="24"/>
      <c r="BQ898" s="24"/>
      <c r="BR898" s="24"/>
      <c r="BS898" s="24"/>
      <c r="BZ898" s="24"/>
      <c r="CA898" s="24"/>
      <c r="CB898" s="24"/>
      <c r="CC898" s="24"/>
      <c r="CD898" s="24"/>
    </row>
    <row r="899" spans="2:82" s="6" customFormat="1">
      <c r="B899" s="21"/>
      <c r="D899" s="17"/>
      <c r="E899" s="23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R899" s="24"/>
      <c r="AS899" s="24"/>
      <c r="AT899" s="24"/>
      <c r="AU899" s="24"/>
      <c r="AV899" s="24"/>
      <c r="AW899" s="24"/>
      <c r="BD899" s="24"/>
      <c r="BE899" s="24"/>
      <c r="BF899" s="24"/>
      <c r="BG899" s="24"/>
      <c r="BH899" s="24"/>
      <c r="BI899" s="24"/>
      <c r="BP899" s="24"/>
      <c r="BQ899" s="24"/>
      <c r="BR899" s="24"/>
      <c r="BS899" s="24"/>
      <c r="BZ899" s="24"/>
      <c r="CA899" s="24"/>
      <c r="CB899" s="24"/>
      <c r="CC899" s="24"/>
      <c r="CD899" s="24"/>
    </row>
    <row r="900" spans="2:82" s="6" customFormat="1">
      <c r="B900" s="21"/>
      <c r="D900" s="17"/>
      <c r="E900" s="23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R900" s="24"/>
      <c r="AS900" s="24"/>
      <c r="AT900" s="24"/>
      <c r="AU900" s="24"/>
      <c r="AV900" s="24"/>
      <c r="AW900" s="24"/>
      <c r="BD900" s="24"/>
      <c r="BE900" s="24"/>
      <c r="BF900" s="24"/>
      <c r="BG900" s="24"/>
      <c r="BH900" s="24"/>
      <c r="BI900" s="24"/>
      <c r="BP900" s="24"/>
      <c r="BQ900" s="24"/>
      <c r="BR900" s="24"/>
      <c r="BS900" s="24"/>
      <c r="BZ900" s="24"/>
      <c r="CA900" s="24"/>
      <c r="CB900" s="24"/>
      <c r="CC900" s="24"/>
      <c r="CD900" s="24"/>
    </row>
    <row r="901" spans="2:82" s="6" customFormat="1">
      <c r="B901" s="21"/>
      <c r="D901" s="17"/>
      <c r="E901" s="23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R901" s="24"/>
      <c r="AS901" s="24"/>
      <c r="AT901" s="24"/>
      <c r="AU901" s="24"/>
      <c r="AV901" s="24"/>
      <c r="AW901" s="24"/>
      <c r="BD901" s="24"/>
      <c r="BE901" s="24"/>
      <c r="BF901" s="24"/>
      <c r="BG901" s="24"/>
      <c r="BH901" s="24"/>
      <c r="BI901" s="24"/>
      <c r="BP901" s="24"/>
      <c r="BQ901" s="24"/>
      <c r="BR901" s="24"/>
      <c r="BS901" s="24"/>
      <c r="BZ901" s="24"/>
      <c r="CA901" s="24"/>
      <c r="CB901" s="24"/>
      <c r="CC901" s="24"/>
      <c r="CD901" s="24"/>
    </row>
    <row r="902" spans="2:82" s="6" customFormat="1">
      <c r="B902" s="21"/>
      <c r="D902" s="17"/>
      <c r="E902" s="23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R902" s="24"/>
      <c r="AS902" s="24"/>
      <c r="AT902" s="24"/>
      <c r="AU902" s="24"/>
      <c r="AV902" s="24"/>
      <c r="AW902" s="24"/>
      <c r="BD902" s="24"/>
      <c r="BE902" s="24"/>
      <c r="BF902" s="24"/>
      <c r="BG902" s="24"/>
      <c r="BH902" s="24"/>
      <c r="BI902" s="24"/>
      <c r="BP902" s="24"/>
      <c r="BQ902" s="24"/>
      <c r="BR902" s="24"/>
      <c r="BS902" s="24"/>
      <c r="BZ902" s="24"/>
      <c r="CA902" s="24"/>
      <c r="CB902" s="24"/>
      <c r="CC902" s="24"/>
      <c r="CD902" s="24"/>
    </row>
    <row r="903" spans="2:82" s="6" customFormat="1">
      <c r="B903" s="21"/>
      <c r="D903" s="17"/>
      <c r="E903" s="23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R903" s="24"/>
      <c r="AS903" s="24"/>
      <c r="AT903" s="24"/>
      <c r="AU903" s="24"/>
      <c r="AV903" s="24"/>
      <c r="AW903" s="24"/>
      <c r="BD903" s="24"/>
      <c r="BE903" s="24"/>
      <c r="BF903" s="24"/>
      <c r="BG903" s="24"/>
      <c r="BH903" s="24"/>
      <c r="BI903" s="24"/>
      <c r="BP903" s="24"/>
      <c r="BQ903" s="24"/>
      <c r="BR903" s="24"/>
      <c r="BS903" s="24"/>
      <c r="BZ903" s="24"/>
      <c r="CA903" s="24"/>
      <c r="CB903" s="24"/>
      <c r="CC903" s="24"/>
      <c r="CD903" s="24"/>
    </row>
    <row r="904" spans="2:82" s="6" customFormat="1">
      <c r="B904" s="21"/>
      <c r="D904" s="17"/>
      <c r="E904" s="23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R904" s="24"/>
      <c r="AS904" s="24"/>
      <c r="AT904" s="24"/>
      <c r="AU904" s="24"/>
      <c r="AV904" s="24"/>
      <c r="AW904" s="24"/>
      <c r="BD904" s="24"/>
      <c r="BE904" s="24"/>
      <c r="BF904" s="24"/>
      <c r="BG904" s="24"/>
      <c r="BH904" s="24"/>
      <c r="BI904" s="24"/>
      <c r="BP904" s="24"/>
      <c r="BQ904" s="24"/>
      <c r="BR904" s="24"/>
      <c r="BS904" s="24"/>
      <c r="BZ904" s="24"/>
      <c r="CA904" s="24"/>
      <c r="CB904" s="24"/>
      <c r="CC904" s="24"/>
      <c r="CD904" s="24"/>
    </row>
    <row r="905" spans="2:82" s="6" customFormat="1">
      <c r="B905" s="21"/>
      <c r="D905" s="17"/>
      <c r="E905" s="23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R905" s="24"/>
      <c r="AS905" s="24"/>
      <c r="AT905" s="24"/>
      <c r="AU905" s="24"/>
      <c r="AV905" s="24"/>
      <c r="AW905" s="24"/>
      <c r="BD905" s="24"/>
      <c r="BE905" s="24"/>
      <c r="BF905" s="24"/>
      <c r="BG905" s="24"/>
      <c r="BH905" s="24"/>
      <c r="BI905" s="24"/>
      <c r="BP905" s="24"/>
      <c r="BQ905" s="24"/>
      <c r="BR905" s="24"/>
      <c r="BS905" s="24"/>
      <c r="BZ905" s="24"/>
      <c r="CA905" s="24"/>
      <c r="CB905" s="24"/>
      <c r="CC905" s="24"/>
      <c r="CD905" s="24"/>
    </row>
    <row r="906" spans="2:82" s="6" customFormat="1">
      <c r="B906" s="21"/>
      <c r="D906" s="17"/>
      <c r="E906" s="23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R906" s="24"/>
      <c r="AS906" s="24"/>
      <c r="AT906" s="24"/>
      <c r="AU906" s="24"/>
      <c r="AV906" s="24"/>
      <c r="AW906" s="24"/>
      <c r="BD906" s="24"/>
      <c r="BE906" s="24"/>
      <c r="BF906" s="24"/>
      <c r="BG906" s="24"/>
      <c r="BH906" s="24"/>
      <c r="BI906" s="24"/>
      <c r="BP906" s="24"/>
      <c r="BQ906" s="24"/>
      <c r="BR906" s="24"/>
      <c r="BS906" s="24"/>
      <c r="BZ906" s="24"/>
      <c r="CA906" s="24"/>
      <c r="CB906" s="24"/>
      <c r="CC906" s="24"/>
      <c r="CD906" s="24"/>
    </row>
    <row r="907" spans="2:82" s="6" customFormat="1">
      <c r="B907" s="21"/>
      <c r="D907" s="17"/>
      <c r="E907" s="23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R907" s="24"/>
      <c r="AS907" s="24"/>
      <c r="AT907" s="24"/>
      <c r="AU907" s="24"/>
      <c r="AV907" s="24"/>
      <c r="AW907" s="24"/>
      <c r="BD907" s="24"/>
      <c r="BE907" s="24"/>
      <c r="BF907" s="24"/>
      <c r="BG907" s="24"/>
      <c r="BH907" s="24"/>
      <c r="BI907" s="24"/>
      <c r="BP907" s="24"/>
      <c r="BQ907" s="24"/>
      <c r="BR907" s="24"/>
      <c r="BS907" s="24"/>
      <c r="BZ907" s="24"/>
      <c r="CA907" s="24"/>
      <c r="CB907" s="24"/>
      <c r="CC907" s="24"/>
      <c r="CD907" s="24"/>
    </row>
    <row r="908" spans="2:82" s="6" customFormat="1">
      <c r="B908" s="21"/>
      <c r="D908" s="17"/>
      <c r="E908" s="23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R908" s="24"/>
      <c r="AS908" s="24"/>
      <c r="AT908" s="24"/>
      <c r="AU908" s="24"/>
      <c r="AV908" s="24"/>
      <c r="AW908" s="24"/>
      <c r="BD908" s="24"/>
      <c r="BE908" s="24"/>
      <c r="BF908" s="24"/>
      <c r="BG908" s="24"/>
      <c r="BH908" s="24"/>
      <c r="BI908" s="24"/>
      <c r="BP908" s="24"/>
      <c r="BQ908" s="24"/>
      <c r="BR908" s="24"/>
      <c r="BS908" s="24"/>
      <c r="BZ908" s="24"/>
      <c r="CA908" s="24"/>
      <c r="CB908" s="24"/>
      <c r="CC908" s="24"/>
      <c r="CD908" s="24"/>
    </row>
    <row r="909" spans="2:82" s="6" customFormat="1">
      <c r="B909" s="21"/>
      <c r="D909" s="17"/>
      <c r="E909" s="23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R909" s="24"/>
      <c r="AS909" s="24"/>
      <c r="AT909" s="24"/>
      <c r="AU909" s="24"/>
      <c r="AV909" s="24"/>
      <c r="AW909" s="24"/>
      <c r="BD909" s="24"/>
      <c r="BE909" s="24"/>
      <c r="BF909" s="24"/>
      <c r="BG909" s="24"/>
      <c r="BH909" s="24"/>
      <c r="BI909" s="24"/>
      <c r="BP909" s="24"/>
      <c r="BQ909" s="24"/>
      <c r="BR909" s="24"/>
      <c r="BS909" s="24"/>
      <c r="BZ909" s="24"/>
      <c r="CA909" s="24"/>
      <c r="CB909" s="24"/>
      <c r="CC909" s="24"/>
      <c r="CD909" s="24"/>
    </row>
    <row r="910" spans="2:82" s="6" customFormat="1">
      <c r="B910" s="21"/>
      <c r="D910" s="17"/>
      <c r="E910" s="23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R910" s="24"/>
      <c r="AS910" s="24"/>
      <c r="AT910" s="24"/>
      <c r="AU910" s="24"/>
      <c r="AV910" s="24"/>
      <c r="AW910" s="24"/>
      <c r="BD910" s="24"/>
      <c r="BE910" s="24"/>
      <c r="BF910" s="24"/>
      <c r="BG910" s="24"/>
      <c r="BH910" s="24"/>
      <c r="BI910" s="24"/>
      <c r="BP910" s="24"/>
      <c r="BQ910" s="24"/>
      <c r="BR910" s="24"/>
      <c r="BS910" s="24"/>
      <c r="BZ910" s="24"/>
      <c r="CA910" s="24"/>
      <c r="CB910" s="24"/>
      <c r="CC910" s="24"/>
      <c r="CD910" s="24"/>
    </row>
    <row r="911" spans="2:82" s="6" customFormat="1">
      <c r="B911" s="21"/>
      <c r="D911" s="17"/>
      <c r="E911" s="23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R911" s="24"/>
      <c r="AS911" s="24"/>
      <c r="AT911" s="24"/>
      <c r="AU911" s="24"/>
      <c r="AV911" s="24"/>
      <c r="AW911" s="24"/>
      <c r="BD911" s="24"/>
      <c r="BE911" s="24"/>
      <c r="BF911" s="24"/>
      <c r="BG911" s="24"/>
      <c r="BH911" s="24"/>
      <c r="BI911" s="24"/>
      <c r="BP911" s="24"/>
      <c r="BQ911" s="24"/>
      <c r="BR911" s="24"/>
      <c r="BS911" s="24"/>
      <c r="BZ911" s="24"/>
      <c r="CA911" s="24"/>
      <c r="CB911" s="24"/>
      <c r="CC911" s="24"/>
      <c r="CD911" s="24"/>
    </row>
    <row r="912" spans="2:82" s="6" customFormat="1">
      <c r="B912" s="21"/>
      <c r="D912" s="17"/>
      <c r="E912" s="23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R912" s="24"/>
      <c r="AS912" s="24"/>
      <c r="AT912" s="24"/>
      <c r="AU912" s="24"/>
      <c r="AV912" s="24"/>
      <c r="AW912" s="24"/>
      <c r="BD912" s="24"/>
      <c r="BE912" s="24"/>
      <c r="BF912" s="24"/>
      <c r="BG912" s="24"/>
      <c r="BH912" s="24"/>
      <c r="BI912" s="24"/>
      <c r="BP912" s="24"/>
      <c r="BQ912" s="24"/>
      <c r="BR912" s="24"/>
      <c r="BS912" s="24"/>
      <c r="BZ912" s="24"/>
      <c r="CA912" s="24"/>
      <c r="CB912" s="24"/>
      <c r="CC912" s="24"/>
      <c r="CD912" s="24"/>
    </row>
    <row r="913" spans="2:82" s="6" customFormat="1">
      <c r="B913" s="21"/>
      <c r="D913" s="17"/>
      <c r="E913" s="23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R913" s="24"/>
      <c r="AS913" s="24"/>
      <c r="AT913" s="24"/>
      <c r="AU913" s="24"/>
      <c r="AV913" s="24"/>
      <c r="AW913" s="24"/>
      <c r="BD913" s="24"/>
      <c r="BE913" s="24"/>
      <c r="BF913" s="24"/>
      <c r="BG913" s="24"/>
      <c r="BH913" s="24"/>
      <c r="BI913" s="24"/>
      <c r="BP913" s="24"/>
      <c r="BQ913" s="24"/>
      <c r="BR913" s="24"/>
      <c r="BS913" s="24"/>
      <c r="BZ913" s="24"/>
      <c r="CA913" s="24"/>
      <c r="CB913" s="24"/>
      <c r="CC913" s="24"/>
      <c r="CD913" s="24"/>
    </row>
    <row r="914" spans="2:82" s="6" customFormat="1">
      <c r="B914" s="21"/>
      <c r="D914" s="17"/>
      <c r="E914" s="23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R914" s="24"/>
      <c r="AS914" s="24"/>
      <c r="AT914" s="24"/>
      <c r="AU914" s="24"/>
      <c r="AV914" s="24"/>
      <c r="AW914" s="24"/>
      <c r="BD914" s="24"/>
      <c r="BE914" s="24"/>
      <c r="BF914" s="24"/>
      <c r="BG914" s="24"/>
      <c r="BH914" s="24"/>
      <c r="BI914" s="24"/>
      <c r="BP914" s="24"/>
      <c r="BQ914" s="24"/>
      <c r="BR914" s="24"/>
      <c r="BS914" s="24"/>
      <c r="BZ914" s="24"/>
      <c r="CA914" s="24"/>
      <c r="CB914" s="24"/>
      <c r="CC914" s="24"/>
      <c r="CD914" s="24"/>
    </row>
    <row r="915" spans="2:82" s="6" customFormat="1">
      <c r="B915" s="21"/>
      <c r="D915" s="17"/>
      <c r="E915" s="23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R915" s="24"/>
      <c r="AS915" s="24"/>
      <c r="AT915" s="24"/>
      <c r="AU915" s="24"/>
      <c r="AV915" s="24"/>
      <c r="AW915" s="24"/>
      <c r="BD915" s="24"/>
      <c r="BE915" s="24"/>
      <c r="BF915" s="24"/>
      <c r="BG915" s="24"/>
      <c r="BH915" s="24"/>
      <c r="BI915" s="24"/>
      <c r="BP915" s="24"/>
      <c r="BQ915" s="24"/>
      <c r="BR915" s="24"/>
      <c r="BS915" s="24"/>
      <c r="BZ915" s="24"/>
      <c r="CA915" s="24"/>
      <c r="CB915" s="24"/>
      <c r="CC915" s="24"/>
      <c r="CD915" s="24"/>
    </row>
    <row r="916" spans="2:82" s="6" customFormat="1">
      <c r="B916" s="21"/>
      <c r="D916" s="17"/>
      <c r="E916" s="23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R916" s="24"/>
      <c r="AS916" s="24"/>
      <c r="AT916" s="24"/>
      <c r="AU916" s="24"/>
      <c r="AV916" s="24"/>
      <c r="AW916" s="24"/>
      <c r="BD916" s="24"/>
      <c r="BE916" s="24"/>
      <c r="BF916" s="24"/>
      <c r="BG916" s="24"/>
      <c r="BH916" s="24"/>
      <c r="BI916" s="24"/>
      <c r="BP916" s="24"/>
      <c r="BQ916" s="24"/>
      <c r="BR916" s="24"/>
      <c r="BS916" s="24"/>
      <c r="BZ916" s="24"/>
      <c r="CA916" s="24"/>
      <c r="CB916" s="24"/>
      <c r="CC916" s="24"/>
      <c r="CD916" s="24"/>
    </row>
    <row r="917" spans="2:82" s="6" customFormat="1">
      <c r="B917" s="21"/>
      <c r="D917" s="17"/>
      <c r="E917" s="23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R917" s="24"/>
      <c r="AS917" s="24"/>
      <c r="AT917" s="24"/>
      <c r="AU917" s="24"/>
      <c r="AV917" s="24"/>
      <c r="AW917" s="24"/>
      <c r="BD917" s="24"/>
      <c r="BE917" s="24"/>
      <c r="BF917" s="24"/>
      <c r="BG917" s="24"/>
      <c r="BH917" s="24"/>
      <c r="BI917" s="24"/>
      <c r="BP917" s="24"/>
      <c r="BQ917" s="24"/>
      <c r="BR917" s="24"/>
      <c r="BS917" s="24"/>
      <c r="BZ917" s="24"/>
      <c r="CA917" s="24"/>
      <c r="CB917" s="24"/>
      <c r="CC917" s="24"/>
      <c r="CD917" s="24"/>
    </row>
    <row r="918" spans="2:82" s="6" customFormat="1">
      <c r="B918" s="21"/>
      <c r="D918" s="17"/>
      <c r="E918" s="23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R918" s="24"/>
      <c r="AS918" s="24"/>
      <c r="AT918" s="24"/>
      <c r="AU918" s="24"/>
      <c r="AV918" s="24"/>
      <c r="AW918" s="24"/>
      <c r="BD918" s="24"/>
      <c r="BE918" s="24"/>
      <c r="BF918" s="24"/>
      <c r="BG918" s="24"/>
      <c r="BH918" s="24"/>
      <c r="BI918" s="24"/>
      <c r="BP918" s="24"/>
      <c r="BQ918" s="24"/>
      <c r="BR918" s="24"/>
      <c r="BS918" s="24"/>
      <c r="BZ918" s="24"/>
      <c r="CA918" s="24"/>
      <c r="CB918" s="24"/>
      <c r="CC918" s="24"/>
      <c r="CD918" s="24"/>
    </row>
    <row r="919" spans="2:82" s="6" customFormat="1">
      <c r="B919" s="21"/>
      <c r="D919" s="17"/>
      <c r="E919" s="23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R919" s="24"/>
      <c r="AS919" s="24"/>
      <c r="AT919" s="24"/>
      <c r="AU919" s="24"/>
      <c r="AV919" s="24"/>
      <c r="AW919" s="24"/>
      <c r="BD919" s="24"/>
      <c r="BE919" s="24"/>
      <c r="BF919" s="24"/>
      <c r="BG919" s="24"/>
      <c r="BH919" s="24"/>
      <c r="BI919" s="24"/>
      <c r="BP919" s="24"/>
      <c r="BQ919" s="24"/>
      <c r="BR919" s="24"/>
      <c r="BS919" s="24"/>
      <c r="BZ919" s="24"/>
      <c r="CA919" s="24"/>
      <c r="CB919" s="24"/>
      <c r="CC919" s="24"/>
      <c r="CD919" s="24"/>
    </row>
    <row r="920" spans="2:82" s="6" customFormat="1">
      <c r="B920" s="21"/>
      <c r="D920" s="17"/>
      <c r="E920" s="23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R920" s="24"/>
      <c r="AS920" s="24"/>
      <c r="AT920" s="24"/>
      <c r="AU920" s="24"/>
      <c r="AV920" s="24"/>
      <c r="AW920" s="24"/>
      <c r="BD920" s="24"/>
      <c r="BE920" s="24"/>
      <c r="BF920" s="24"/>
      <c r="BG920" s="24"/>
      <c r="BH920" s="24"/>
      <c r="BI920" s="24"/>
      <c r="BP920" s="24"/>
      <c r="BQ920" s="24"/>
      <c r="BR920" s="24"/>
      <c r="BS920" s="24"/>
      <c r="BZ920" s="24"/>
      <c r="CA920" s="24"/>
      <c r="CB920" s="24"/>
      <c r="CC920" s="24"/>
      <c r="CD920" s="24"/>
    </row>
    <row r="921" spans="2:82" s="6" customFormat="1">
      <c r="B921" s="21"/>
      <c r="D921" s="17"/>
      <c r="E921" s="23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R921" s="24"/>
      <c r="AS921" s="24"/>
      <c r="AT921" s="24"/>
      <c r="AU921" s="24"/>
      <c r="AV921" s="24"/>
      <c r="AW921" s="24"/>
      <c r="BD921" s="24"/>
      <c r="BE921" s="24"/>
      <c r="BF921" s="24"/>
      <c r="BG921" s="24"/>
      <c r="BH921" s="24"/>
      <c r="BI921" s="24"/>
      <c r="BP921" s="24"/>
      <c r="BQ921" s="24"/>
      <c r="BR921" s="24"/>
      <c r="BS921" s="24"/>
      <c r="BZ921" s="24"/>
      <c r="CA921" s="24"/>
      <c r="CB921" s="24"/>
      <c r="CC921" s="24"/>
      <c r="CD921" s="24"/>
    </row>
    <row r="922" spans="2:82" s="6" customFormat="1">
      <c r="B922" s="21"/>
      <c r="D922" s="17"/>
      <c r="E922" s="23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R922" s="24"/>
      <c r="AS922" s="24"/>
      <c r="AT922" s="24"/>
      <c r="AU922" s="24"/>
      <c r="AV922" s="24"/>
      <c r="AW922" s="24"/>
      <c r="BD922" s="24"/>
      <c r="BE922" s="24"/>
      <c r="BF922" s="24"/>
      <c r="BG922" s="24"/>
      <c r="BH922" s="24"/>
      <c r="BI922" s="24"/>
      <c r="BP922" s="24"/>
      <c r="BQ922" s="24"/>
      <c r="BR922" s="24"/>
      <c r="BS922" s="24"/>
      <c r="BZ922" s="24"/>
      <c r="CA922" s="24"/>
      <c r="CB922" s="24"/>
      <c r="CC922" s="24"/>
      <c r="CD922" s="24"/>
    </row>
    <row r="923" spans="2:82" s="6" customFormat="1">
      <c r="B923" s="21"/>
      <c r="D923" s="17"/>
      <c r="E923" s="23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R923" s="24"/>
      <c r="AS923" s="24"/>
      <c r="AT923" s="24"/>
      <c r="AU923" s="24"/>
      <c r="AV923" s="24"/>
      <c r="AW923" s="24"/>
      <c r="BD923" s="24"/>
      <c r="BE923" s="24"/>
      <c r="BF923" s="24"/>
      <c r="BG923" s="24"/>
      <c r="BH923" s="24"/>
      <c r="BI923" s="24"/>
      <c r="BP923" s="24"/>
      <c r="BQ923" s="24"/>
      <c r="BR923" s="24"/>
      <c r="BS923" s="24"/>
      <c r="BZ923" s="24"/>
      <c r="CA923" s="24"/>
      <c r="CB923" s="24"/>
      <c r="CC923" s="24"/>
      <c r="CD923" s="24"/>
    </row>
    <row r="924" spans="2:82" s="6" customFormat="1">
      <c r="B924" s="21"/>
      <c r="D924" s="17"/>
      <c r="E924" s="23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R924" s="24"/>
      <c r="AS924" s="24"/>
      <c r="AT924" s="24"/>
      <c r="AU924" s="24"/>
      <c r="AV924" s="24"/>
      <c r="AW924" s="24"/>
      <c r="BD924" s="24"/>
      <c r="BE924" s="24"/>
      <c r="BF924" s="24"/>
      <c r="BG924" s="24"/>
      <c r="BH924" s="24"/>
      <c r="BI924" s="24"/>
      <c r="BP924" s="24"/>
      <c r="BQ924" s="24"/>
      <c r="BR924" s="24"/>
      <c r="BS924" s="24"/>
      <c r="BZ924" s="24"/>
      <c r="CA924" s="24"/>
      <c r="CB924" s="24"/>
      <c r="CC924" s="24"/>
      <c r="CD924" s="24"/>
    </row>
    <row r="925" spans="2:82" s="6" customFormat="1">
      <c r="B925" s="21"/>
      <c r="D925" s="17"/>
      <c r="E925" s="23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R925" s="24"/>
      <c r="AS925" s="24"/>
      <c r="AT925" s="24"/>
      <c r="AU925" s="24"/>
      <c r="AV925" s="24"/>
      <c r="AW925" s="24"/>
      <c r="BD925" s="24"/>
      <c r="BE925" s="24"/>
      <c r="BF925" s="24"/>
      <c r="BG925" s="24"/>
      <c r="BH925" s="24"/>
      <c r="BI925" s="24"/>
      <c r="BP925" s="24"/>
      <c r="BQ925" s="24"/>
      <c r="BR925" s="24"/>
      <c r="BS925" s="24"/>
      <c r="BZ925" s="24"/>
      <c r="CA925" s="24"/>
      <c r="CB925" s="24"/>
      <c r="CC925" s="24"/>
      <c r="CD925" s="24"/>
    </row>
    <row r="926" spans="2:82" s="6" customFormat="1">
      <c r="B926" s="21"/>
      <c r="D926" s="17"/>
      <c r="E926" s="23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R926" s="24"/>
      <c r="AS926" s="24"/>
      <c r="AT926" s="24"/>
      <c r="AU926" s="24"/>
      <c r="AV926" s="24"/>
      <c r="AW926" s="24"/>
      <c r="BD926" s="24"/>
      <c r="BE926" s="24"/>
      <c r="BF926" s="24"/>
      <c r="BG926" s="24"/>
      <c r="BH926" s="24"/>
      <c r="BI926" s="24"/>
      <c r="BP926" s="24"/>
      <c r="BQ926" s="24"/>
      <c r="BR926" s="24"/>
      <c r="BS926" s="24"/>
      <c r="BZ926" s="24"/>
      <c r="CA926" s="24"/>
      <c r="CB926" s="24"/>
      <c r="CC926" s="24"/>
      <c r="CD926" s="24"/>
    </row>
    <row r="927" spans="2:82" s="6" customFormat="1">
      <c r="B927" s="21"/>
      <c r="D927" s="17"/>
      <c r="E927" s="23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R927" s="24"/>
      <c r="AS927" s="24"/>
      <c r="AT927" s="24"/>
      <c r="AU927" s="24"/>
      <c r="AV927" s="24"/>
      <c r="AW927" s="24"/>
      <c r="BD927" s="24"/>
      <c r="BE927" s="24"/>
      <c r="BF927" s="24"/>
      <c r="BG927" s="24"/>
      <c r="BH927" s="24"/>
      <c r="BI927" s="24"/>
      <c r="BP927" s="24"/>
      <c r="BQ927" s="24"/>
      <c r="BR927" s="24"/>
      <c r="BS927" s="24"/>
      <c r="BZ927" s="24"/>
      <c r="CA927" s="24"/>
      <c r="CB927" s="24"/>
      <c r="CC927" s="24"/>
      <c r="CD927" s="24"/>
    </row>
    <row r="928" spans="2:82" s="6" customFormat="1">
      <c r="B928" s="21"/>
      <c r="D928" s="17"/>
      <c r="E928" s="23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R928" s="24"/>
      <c r="AS928" s="24"/>
      <c r="AT928" s="24"/>
      <c r="AU928" s="24"/>
      <c r="AV928" s="24"/>
      <c r="AW928" s="24"/>
      <c r="BD928" s="24"/>
      <c r="BE928" s="24"/>
      <c r="BF928" s="24"/>
      <c r="BG928" s="24"/>
      <c r="BH928" s="24"/>
      <c r="BI928" s="24"/>
      <c r="BP928" s="24"/>
      <c r="BQ928" s="24"/>
      <c r="BR928" s="24"/>
      <c r="BS928" s="24"/>
      <c r="BZ928" s="24"/>
      <c r="CA928" s="24"/>
      <c r="CB928" s="24"/>
      <c r="CC928" s="24"/>
      <c r="CD928" s="24"/>
    </row>
    <row r="929" spans="2:82" s="6" customFormat="1">
      <c r="B929" s="21"/>
      <c r="D929" s="17"/>
      <c r="E929" s="23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R929" s="24"/>
      <c r="AS929" s="24"/>
      <c r="AT929" s="24"/>
      <c r="AU929" s="24"/>
      <c r="AV929" s="24"/>
      <c r="AW929" s="24"/>
      <c r="BD929" s="24"/>
      <c r="BE929" s="24"/>
      <c r="BF929" s="24"/>
      <c r="BG929" s="24"/>
      <c r="BH929" s="24"/>
      <c r="BI929" s="24"/>
      <c r="BP929" s="24"/>
      <c r="BQ929" s="24"/>
      <c r="BR929" s="24"/>
      <c r="BS929" s="24"/>
      <c r="BZ929" s="24"/>
      <c r="CA929" s="24"/>
      <c r="CB929" s="24"/>
      <c r="CC929" s="24"/>
      <c r="CD929" s="24"/>
    </row>
    <row r="930" spans="2:82" s="6" customFormat="1">
      <c r="B930" s="21"/>
      <c r="D930" s="17"/>
      <c r="E930" s="23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R930" s="24"/>
      <c r="AS930" s="24"/>
      <c r="AT930" s="24"/>
      <c r="AU930" s="24"/>
      <c r="AV930" s="24"/>
      <c r="AW930" s="24"/>
      <c r="BD930" s="24"/>
      <c r="BE930" s="24"/>
      <c r="BF930" s="24"/>
      <c r="BG930" s="24"/>
      <c r="BH930" s="24"/>
      <c r="BI930" s="24"/>
      <c r="BP930" s="24"/>
      <c r="BQ930" s="24"/>
      <c r="BR930" s="24"/>
      <c r="BS930" s="24"/>
      <c r="BZ930" s="24"/>
      <c r="CA930" s="24"/>
      <c r="CB930" s="24"/>
      <c r="CC930" s="24"/>
      <c r="CD930" s="24"/>
    </row>
    <row r="931" spans="2:82" s="6" customFormat="1">
      <c r="B931" s="21"/>
      <c r="D931" s="17"/>
      <c r="E931" s="23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R931" s="24"/>
      <c r="AS931" s="24"/>
      <c r="AT931" s="24"/>
      <c r="AU931" s="24"/>
      <c r="AV931" s="24"/>
      <c r="AW931" s="24"/>
      <c r="BD931" s="24"/>
      <c r="BE931" s="24"/>
      <c r="BF931" s="24"/>
      <c r="BG931" s="24"/>
      <c r="BH931" s="24"/>
      <c r="BI931" s="24"/>
      <c r="BP931" s="24"/>
      <c r="BQ931" s="24"/>
      <c r="BR931" s="24"/>
      <c r="BS931" s="24"/>
      <c r="BZ931" s="24"/>
      <c r="CA931" s="24"/>
      <c r="CB931" s="24"/>
      <c r="CC931" s="24"/>
      <c r="CD931" s="24"/>
    </row>
    <row r="932" spans="2:82" s="6" customFormat="1">
      <c r="B932" s="21"/>
      <c r="D932" s="17"/>
      <c r="E932" s="23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R932" s="24"/>
      <c r="AS932" s="24"/>
      <c r="AT932" s="24"/>
      <c r="AU932" s="24"/>
      <c r="AV932" s="24"/>
      <c r="AW932" s="24"/>
      <c r="BD932" s="24"/>
      <c r="BE932" s="24"/>
      <c r="BF932" s="24"/>
      <c r="BG932" s="24"/>
      <c r="BH932" s="24"/>
      <c r="BI932" s="24"/>
      <c r="BP932" s="24"/>
      <c r="BQ932" s="24"/>
      <c r="BR932" s="24"/>
      <c r="BS932" s="24"/>
      <c r="BZ932" s="24"/>
      <c r="CA932" s="24"/>
      <c r="CB932" s="24"/>
      <c r="CC932" s="24"/>
      <c r="CD932" s="24"/>
    </row>
    <row r="933" spans="2:82" s="6" customFormat="1">
      <c r="B933" s="21"/>
      <c r="D933" s="17"/>
      <c r="E933" s="23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R933" s="24"/>
      <c r="AS933" s="24"/>
      <c r="AT933" s="24"/>
      <c r="AU933" s="24"/>
      <c r="AV933" s="24"/>
      <c r="AW933" s="24"/>
      <c r="BD933" s="24"/>
      <c r="BE933" s="24"/>
      <c r="BF933" s="24"/>
      <c r="BG933" s="24"/>
      <c r="BH933" s="24"/>
      <c r="BI933" s="24"/>
      <c r="BP933" s="24"/>
      <c r="BQ933" s="24"/>
      <c r="BR933" s="24"/>
      <c r="BS933" s="24"/>
      <c r="BZ933" s="24"/>
      <c r="CA933" s="24"/>
      <c r="CB933" s="24"/>
      <c r="CC933" s="24"/>
      <c r="CD933" s="24"/>
    </row>
    <row r="934" spans="2:82" s="6" customFormat="1">
      <c r="B934" s="21"/>
      <c r="D934" s="17"/>
      <c r="E934" s="23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R934" s="24"/>
      <c r="AS934" s="24"/>
      <c r="AT934" s="24"/>
      <c r="AU934" s="24"/>
      <c r="AV934" s="24"/>
      <c r="AW934" s="24"/>
      <c r="BD934" s="24"/>
      <c r="BE934" s="24"/>
      <c r="BF934" s="24"/>
      <c r="BG934" s="24"/>
      <c r="BH934" s="24"/>
      <c r="BI934" s="24"/>
      <c r="BP934" s="24"/>
      <c r="BQ934" s="24"/>
      <c r="BR934" s="24"/>
      <c r="BS934" s="24"/>
      <c r="BZ934" s="24"/>
      <c r="CA934" s="24"/>
      <c r="CB934" s="24"/>
      <c r="CC934" s="24"/>
      <c r="CD934" s="24"/>
    </row>
    <row r="935" spans="2:82" s="6" customFormat="1">
      <c r="B935" s="21"/>
      <c r="D935" s="17"/>
      <c r="E935" s="23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R935" s="24"/>
      <c r="AS935" s="24"/>
      <c r="AT935" s="24"/>
      <c r="AU935" s="24"/>
      <c r="AV935" s="24"/>
      <c r="AW935" s="24"/>
      <c r="BD935" s="24"/>
      <c r="BE935" s="24"/>
      <c r="BF935" s="24"/>
      <c r="BG935" s="24"/>
      <c r="BH935" s="24"/>
      <c r="BI935" s="24"/>
      <c r="BP935" s="24"/>
      <c r="BQ935" s="24"/>
      <c r="BR935" s="24"/>
      <c r="BS935" s="24"/>
      <c r="BZ935" s="24"/>
      <c r="CA935" s="24"/>
      <c r="CB935" s="24"/>
      <c r="CC935" s="24"/>
      <c r="CD935" s="24"/>
    </row>
    <row r="936" spans="2:82" s="6" customFormat="1">
      <c r="B936" s="21"/>
      <c r="D936" s="17"/>
      <c r="E936" s="23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R936" s="24"/>
      <c r="AS936" s="24"/>
      <c r="AT936" s="24"/>
      <c r="AU936" s="24"/>
      <c r="AV936" s="24"/>
      <c r="AW936" s="24"/>
      <c r="BD936" s="24"/>
      <c r="BE936" s="24"/>
      <c r="BF936" s="24"/>
      <c r="BG936" s="24"/>
      <c r="BH936" s="24"/>
      <c r="BI936" s="24"/>
      <c r="BP936" s="24"/>
      <c r="BQ936" s="24"/>
      <c r="BR936" s="24"/>
      <c r="BS936" s="24"/>
      <c r="BZ936" s="24"/>
      <c r="CA936" s="24"/>
      <c r="CB936" s="24"/>
      <c r="CC936" s="24"/>
      <c r="CD936" s="24"/>
    </row>
    <row r="937" spans="2:82" s="6" customFormat="1">
      <c r="B937" s="21"/>
      <c r="D937" s="17"/>
      <c r="E937" s="23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R937" s="24"/>
      <c r="AS937" s="24"/>
      <c r="AT937" s="24"/>
      <c r="AU937" s="24"/>
      <c r="AV937" s="24"/>
      <c r="AW937" s="24"/>
      <c r="BD937" s="24"/>
      <c r="BE937" s="24"/>
      <c r="BF937" s="24"/>
      <c r="BG937" s="24"/>
      <c r="BH937" s="24"/>
      <c r="BI937" s="24"/>
      <c r="BP937" s="24"/>
      <c r="BQ937" s="24"/>
      <c r="BR937" s="24"/>
      <c r="BS937" s="24"/>
      <c r="BZ937" s="24"/>
      <c r="CA937" s="24"/>
      <c r="CB937" s="24"/>
      <c r="CC937" s="24"/>
      <c r="CD937" s="24"/>
    </row>
    <row r="938" spans="2:82" s="6" customFormat="1">
      <c r="B938" s="21"/>
      <c r="D938" s="17"/>
      <c r="E938" s="23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R938" s="24"/>
      <c r="AS938" s="24"/>
      <c r="AT938" s="24"/>
      <c r="AU938" s="24"/>
      <c r="AV938" s="24"/>
      <c r="AW938" s="24"/>
      <c r="BD938" s="24"/>
      <c r="BE938" s="24"/>
      <c r="BF938" s="24"/>
      <c r="BG938" s="24"/>
      <c r="BH938" s="24"/>
      <c r="BI938" s="24"/>
      <c r="BP938" s="24"/>
      <c r="BQ938" s="24"/>
      <c r="BR938" s="24"/>
      <c r="BS938" s="24"/>
      <c r="BZ938" s="24"/>
      <c r="CA938" s="24"/>
      <c r="CB938" s="24"/>
      <c r="CC938" s="24"/>
      <c r="CD938" s="24"/>
    </row>
    <row r="939" spans="2:82" s="6" customFormat="1">
      <c r="B939" s="21"/>
      <c r="D939" s="17"/>
      <c r="E939" s="23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R939" s="24"/>
      <c r="AS939" s="24"/>
      <c r="AT939" s="24"/>
      <c r="AU939" s="24"/>
      <c r="AV939" s="24"/>
      <c r="AW939" s="24"/>
      <c r="BD939" s="24"/>
      <c r="BE939" s="24"/>
      <c r="BF939" s="24"/>
      <c r="BG939" s="24"/>
      <c r="BH939" s="24"/>
      <c r="BI939" s="24"/>
      <c r="BP939" s="24"/>
      <c r="BQ939" s="24"/>
      <c r="BR939" s="24"/>
      <c r="BS939" s="24"/>
      <c r="BZ939" s="24"/>
      <c r="CA939" s="24"/>
      <c r="CB939" s="24"/>
      <c r="CC939" s="24"/>
      <c r="CD939" s="24"/>
    </row>
    <row r="940" spans="2:82" s="6" customFormat="1">
      <c r="B940" s="21"/>
      <c r="D940" s="17"/>
      <c r="E940" s="23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R940" s="24"/>
      <c r="AS940" s="24"/>
      <c r="AT940" s="24"/>
      <c r="AU940" s="24"/>
      <c r="AV940" s="24"/>
      <c r="AW940" s="24"/>
      <c r="BD940" s="24"/>
      <c r="BE940" s="24"/>
      <c r="BF940" s="24"/>
      <c r="BG940" s="24"/>
      <c r="BH940" s="24"/>
      <c r="BI940" s="24"/>
      <c r="BP940" s="24"/>
      <c r="BQ940" s="24"/>
      <c r="BR940" s="24"/>
      <c r="BS940" s="24"/>
      <c r="BZ940" s="24"/>
      <c r="CA940" s="24"/>
      <c r="CB940" s="24"/>
      <c r="CC940" s="24"/>
      <c r="CD940" s="24"/>
    </row>
    <row r="941" spans="2:82" s="6" customFormat="1">
      <c r="B941" s="21"/>
      <c r="D941" s="17"/>
      <c r="E941" s="23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R941" s="24"/>
      <c r="AS941" s="24"/>
      <c r="AT941" s="24"/>
      <c r="AU941" s="24"/>
      <c r="AV941" s="24"/>
      <c r="AW941" s="24"/>
      <c r="BD941" s="24"/>
      <c r="BE941" s="24"/>
      <c r="BF941" s="24"/>
      <c r="BG941" s="24"/>
      <c r="BH941" s="24"/>
      <c r="BI941" s="24"/>
      <c r="BP941" s="24"/>
      <c r="BQ941" s="24"/>
      <c r="BR941" s="24"/>
      <c r="BS941" s="24"/>
      <c r="BZ941" s="24"/>
      <c r="CA941" s="24"/>
      <c r="CB941" s="24"/>
      <c r="CC941" s="24"/>
      <c r="CD941" s="24"/>
    </row>
    <row r="942" spans="2:82" s="6" customFormat="1">
      <c r="B942" s="21"/>
      <c r="D942" s="17"/>
      <c r="E942" s="23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R942" s="24"/>
      <c r="AS942" s="24"/>
      <c r="AT942" s="24"/>
      <c r="AU942" s="24"/>
      <c r="AV942" s="24"/>
      <c r="AW942" s="24"/>
      <c r="BD942" s="24"/>
      <c r="BE942" s="24"/>
      <c r="BF942" s="24"/>
      <c r="BG942" s="24"/>
      <c r="BH942" s="24"/>
      <c r="BI942" s="24"/>
      <c r="BP942" s="24"/>
      <c r="BQ942" s="24"/>
      <c r="BR942" s="24"/>
      <c r="BS942" s="24"/>
      <c r="BZ942" s="24"/>
      <c r="CA942" s="24"/>
      <c r="CB942" s="24"/>
      <c r="CC942" s="24"/>
      <c r="CD942" s="24"/>
    </row>
    <row r="943" spans="2:82" s="6" customFormat="1">
      <c r="B943" s="21"/>
      <c r="D943" s="17"/>
      <c r="E943" s="23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R943" s="24"/>
      <c r="AS943" s="24"/>
      <c r="AT943" s="24"/>
      <c r="AU943" s="24"/>
      <c r="AV943" s="24"/>
      <c r="AW943" s="24"/>
      <c r="BD943" s="24"/>
      <c r="BE943" s="24"/>
      <c r="BF943" s="24"/>
      <c r="BG943" s="24"/>
      <c r="BH943" s="24"/>
      <c r="BI943" s="24"/>
      <c r="BP943" s="24"/>
      <c r="BQ943" s="24"/>
      <c r="BR943" s="24"/>
      <c r="BS943" s="24"/>
      <c r="BZ943" s="24"/>
      <c r="CA943" s="24"/>
      <c r="CB943" s="24"/>
      <c r="CC943" s="24"/>
      <c r="CD943" s="24"/>
    </row>
    <row r="944" spans="2:82" s="6" customFormat="1">
      <c r="B944" s="21"/>
      <c r="D944" s="17"/>
      <c r="E944" s="23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R944" s="24"/>
      <c r="AS944" s="24"/>
      <c r="AT944" s="24"/>
      <c r="AU944" s="24"/>
      <c r="AV944" s="24"/>
      <c r="AW944" s="24"/>
      <c r="BD944" s="24"/>
      <c r="BE944" s="24"/>
      <c r="BF944" s="24"/>
      <c r="BG944" s="24"/>
      <c r="BH944" s="24"/>
      <c r="BI944" s="24"/>
      <c r="BP944" s="24"/>
      <c r="BQ944" s="24"/>
      <c r="BR944" s="24"/>
      <c r="BS944" s="24"/>
      <c r="BZ944" s="24"/>
      <c r="CA944" s="24"/>
      <c r="CB944" s="24"/>
      <c r="CC944" s="24"/>
      <c r="CD944" s="24"/>
    </row>
    <row r="945" spans="2:82" s="6" customFormat="1">
      <c r="B945" s="21"/>
      <c r="D945" s="17"/>
      <c r="E945" s="23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R945" s="24"/>
      <c r="AS945" s="24"/>
      <c r="AT945" s="24"/>
      <c r="AU945" s="24"/>
      <c r="AV945" s="24"/>
      <c r="AW945" s="24"/>
      <c r="BD945" s="24"/>
      <c r="BE945" s="24"/>
      <c r="BF945" s="24"/>
      <c r="BG945" s="24"/>
      <c r="BH945" s="24"/>
      <c r="BI945" s="24"/>
      <c r="BP945" s="24"/>
      <c r="BQ945" s="24"/>
      <c r="BR945" s="24"/>
      <c r="BS945" s="24"/>
      <c r="BZ945" s="24"/>
      <c r="CA945" s="24"/>
      <c r="CB945" s="24"/>
      <c r="CC945" s="24"/>
      <c r="CD945" s="24"/>
    </row>
    <row r="946" spans="2:82" s="6" customFormat="1">
      <c r="B946" s="21"/>
      <c r="D946" s="17"/>
      <c r="E946" s="23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R946" s="24"/>
      <c r="AS946" s="24"/>
      <c r="AT946" s="24"/>
      <c r="AU946" s="24"/>
      <c r="AV946" s="24"/>
      <c r="AW946" s="24"/>
      <c r="BD946" s="24"/>
      <c r="BE946" s="24"/>
      <c r="BF946" s="24"/>
      <c r="BG946" s="24"/>
      <c r="BH946" s="24"/>
      <c r="BI946" s="24"/>
      <c r="BP946" s="24"/>
      <c r="BQ946" s="24"/>
      <c r="BR946" s="24"/>
      <c r="BS946" s="24"/>
      <c r="BZ946" s="24"/>
      <c r="CA946" s="24"/>
      <c r="CB946" s="24"/>
      <c r="CC946" s="24"/>
      <c r="CD946" s="24"/>
    </row>
    <row r="947" spans="2:82" s="6" customFormat="1">
      <c r="B947" s="21"/>
      <c r="D947" s="17"/>
      <c r="E947" s="23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R947" s="24"/>
      <c r="AS947" s="24"/>
      <c r="AT947" s="24"/>
      <c r="AU947" s="24"/>
      <c r="AV947" s="24"/>
      <c r="AW947" s="24"/>
      <c r="BD947" s="24"/>
      <c r="BE947" s="24"/>
      <c r="BF947" s="24"/>
      <c r="BG947" s="24"/>
      <c r="BH947" s="24"/>
      <c r="BI947" s="24"/>
      <c r="BP947" s="24"/>
      <c r="BQ947" s="24"/>
      <c r="BR947" s="24"/>
      <c r="BS947" s="24"/>
      <c r="BZ947" s="24"/>
      <c r="CA947" s="24"/>
      <c r="CB947" s="24"/>
      <c r="CC947" s="24"/>
      <c r="CD947" s="24"/>
    </row>
    <row r="948" spans="2:82" s="6" customFormat="1">
      <c r="B948" s="21"/>
      <c r="D948" s="17"/>
      <c r="E948" s="23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R948" s="24"/>
      <c r="AS948" s="24"/>
      <c r="AT948" s="24"/>
      <c r="AU948" s="24"/>
      <c r="AV948" s="24"/>
      <c r="AW948" s="24"/>
      <c r="BD948" s="24"/>
      <c r="BE948" s="24"/>
      <c r="BF948" s="24"/>
      <c r="BG948" s="24"/>
      <c r="BH948" s="24"/>
      <c r="BI948" s="24"/>
      <c r="BP948" s="24"/>
      <c r="BQ948" s="24"/>
      <c r="BR948" s="24"/>
      <c r="BS948" s="24"/>
      <c r="BZ948" s="24"/>
      <c r="CA948" s="24"/>
      <c r="CB948" s="24"/>
      <c r="CC948" s="24"/>
      <c r="CD948" s="24"/>
    </row>
    <row r="949" spans="2:82" s="6" customFormat="1">
      <c r="B949" s="21"/>
      <c r="D949" s="17"/>
      <c r="E949" s="23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R949" s="24"/>
      <c r="AS949" s="24"/>
      <c r="AT949" s="24"/>
      <c r="AU949" s="24"/>
      <c r="AV949" s="24"/>
      <c r="AW949" s="24"/>
      <c r="BD949" s="24"/>
      <c r="BE949" s="24"/>
      <c r="BF949" s="24"/>
      <c r="BG949" s="24"/>
      <c r="BH949" s="24"/>
      <c r="BI949" s="24"/>
      <c r="BP949" s="24"/>
      <c r="BQ949" s="24"/>
      <c r="BR949" s="24"/>
      <c r="BS949" s="24"/>
      <c r="BZ949" s="24"/>
      <c r="CA949" s="24"/>
      <c r="CB949" s="24"/>
      <c r="CC949" s="24"/>
      <c r="CD949" s="24"/>
    </row>
    <row r="950" spans="2:82" s="6" customFormat="1">
      <c r="B950" s="21"/>
      <c r="D950" s="17"/>
      <c r="E950" s="23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R950" s="24"/>
      <c r="AS950" s="24"/>
      <c r="AT950" s="24"/>
      <c r="AU950" s="24"/>
      <c r="AV950" s="24"/>
      <c r="AW950" s="24"/>
      <c r="BD950" s="24"/>
      <c r="BE950" s="24"/>
      <c r="BF950" s="24"/>
      <c r="BG950" s="24"/>
      <c r="BH950" s="24"/>
      <c r="BI950" s="24"/>
      <c r="BP950" s="24"/>
      <c r="BQ950" s="24"/>
      <c r="BR950" s="24"/>
      <c r="BS950" s="24"/>
      <c r="BZ950" s="24"/>
      <c r="CA950" s="24"/>
      <c r="CB950" s="24"/>
      <c r="CC950" s="24"/>
      <c r="CD950" s="24"/>
    </row>
    <row r="951" spans="2:82" s="6" customFormat="1">
      <c r="B951" s="21"/>
      <c r="D951" s="17"/>
      <c r="E951" s="23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R951" s="24"/>
      <c r="AS951" s="24"/>
      <c r="AT951" s="24"/>
      <c r="AU951" s="24"/>
      <c r="AV951" s="24"/>
      <c r="AW951" s="24"/>
      <c r="BD951" s="24"/>
      <c r="BE951" s="24"/>
      <c r="BF951" s="24"/>
      <c r="BG951" s="24"/>
      <c r="BH951" s="24"/>
      <c r="BI951" s="24"/>
      <c r="BP951" s="24"/>
      <c r="BQ951" s="24"/>
      <c r="BR951" s="24"/>
      <c r="BS951" s="24"/>
      <c r="BZ951" s="24"/>
      <c r="CA951" s="24"/>
      <c r="CB951" s="24"/>
      <c r="CC951" s="24"/>
      <c r="CD951" s="24"/>
    </row>
    <row r="952" spans="2:82" s="6" customFormat="1">
      <c r="B952" s="21"/>
      <c r="D952" s="17"/>
      <c r="E952" s="23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R952" s="24"/>
      <c r="AS952" s="24"/>
      <c r="AT952" s="24"/>
      <c r="AU952" s="24"/>
      <c r="AV952" s="24"/>
      <c r="AW952" s="24"/>
      <c r="BD952" s="24"/>
      <c r="BE952" s="24"/>
      <c r="BF952" s="24"/>
      <c r="BG952" s="24"/>
      <c r="BH952" s="24"/>
      <c r="BI952" s="24"/>
      <c r="BP952" s="24"/>
      <c r="BQ952" s="24"/>
      <c r="BR952" s="24"/>
      <c r="BS952" s="24"/>
      <c r="BZ952" s="24"/>
      <c r="CA952" s="24"/>
      <c r="CB952" s="24"/>
      <c r="CC952" s="24"/>
      <c r="CD952" s="24"/>
    </row>
    <row r="953" spans="2:82" s="6" customFormat="1">
      <c r="B953" s="21"/>
      <c r="D953" s="17"/>
      <c r="E953" s="23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R953" s="24"/>
      <c r="AS953" s="24"/>
      <c r="AT953" s="24"/>
      <c r="AU953" s="24"/>
      <c r="AV953" s="24"/>
      <c r="AW953" s="24"/>
      <c r="BD953" s="24"/>
      <c r="BE953" s="24"/>
      <c r="BF953" s="24"/>
      <c r="BG953" s="24"/>
      <c r="BH953" s="24"/>
      <c r="BI953" s="24"/>
      <c r="BP953" s="24"/>
      <c r="BQ953" s="24"/>
      <c r="BR953" s="24"/>
      <c r="BS953" s="24"/>
      <c r="BZ953" s="24"/>
      <c r="CA953" s="24"/>
      <c r="CB953" s="24"/>
      <c r="CC953" s="24"/>
      <c r="CD953" s="24"/>
    </row>
    <row r="954" spans="2:82" s="6" customFormat="1">
      <c r="B954" s="21"/>
      <c r="D954" s="17"/>
      <c r="E954" s="23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R954" s="24"/>
      <c r="AS954" s="24"/>
      <c r="AT954" s="24"/>
      <c r="AU954" s="24"/>
      <c r="AV954" s="24"/>
      <c r="AW954" s="24"/>
      <c r="BD954" s="24"/>
      <c r="BE954" s="24"/>
      <c r="BF954" s="24"/>
      <c r="BG954" s="24"/>
      <c r="BH954" s="24"/>
      <c r="BI954" s="24"/>
      <c r="BP954" s="24"/>
      <c r="BQ954" s="24"/>
      <c r="BR954" s="24"/>
      <c r="BS954" s="24"/>
      <c r="BZ954" s="24"/>
      <c r="CA954" s="24"/>
      <c r="CB954" s="24"/>
      <c r="CC954" s="24"/>
      <c r="CD954" s="24"/>
    </row>
    <row r="955" spans="2:82" s="6" customFormat="1">
      <c r="B955" s="21"/>
      <c r="D955" s="17"/>
      <c r="E955" s="23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R955" s="24"/>
      <c r="AS955" s="24"/>
      <c r="AT955" s="24"/>
      <c r="AU955" s="24"/>
      <c r="AV955" s="24"/>
      <c r="AW955" s="24"/>
      <c r="BD955" s="24"/>
      <c r="BE955" s="24"/>
      <c r="BF955" s="24"/>
      <c r="BG955" s="24"/>
      <c r="BH955" s="24"/>
      <c r="BI955" s="24"/>
      <c r="BP955" s="24"/>
      <c r="BQ955" s="24"/>
      <c r="BR955" s="24"/>
      <c r="BS955" s="24"/>
      <c r="BZ955" s="24"/>
      <c r="CA955" s="24"/>
      <c r="CB955" s="24"/>
      <c r="CC955" s="24"/>
      <c r="CD955" s="24"/>
    </row>
    <row r="956" spans="2:82" s="6" customFormat="1">
      <c r="B956" s="21"/>
      <c r="D956" s="17"/>
      <c r="E956" s="23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R956" s="24"/>
      <c r="AS956" s="24"/>
      <c r="AT956" s="24"/>
      <c r="AU956" s="24"/>
      <c r="AV956" s="24"/>
      <c r="AW956" s="24"/>
      <c r="BD956" s="24"/>
      <c r="BE956" s="24"/>
      <c r="BF956" s="24"/>
      <c r="BG956" s="24"/>
      <c r="BH956" s="24"/>
      <c r="BI956" s="24"/>
      <c r="BP956" s="24"/>
      <c r="BQ956" s="24"/>
      <c r="BR956" s="24"/>
      <c r="BS956" s="24"/>
      <c r="BZ956" s="24"/>
      <c r="CA956" s="24"/>
      <c r="CB956" s="24"/>
      <c r="CC956" s="24"/>
      <c r="CD956" s="24"/>
    </row>
    <row r="957" spans="2:82" s="6" customFormat="1">
      <c r="B957" s="21"/>
      <c r="D957" s="17"/>
      <c r="E957" s="23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R957" s="24"/>
      <c r="AS957" s="24"/>
      <c r="AT957" s="24"/>
      <c r="AU957" s="24"/>
      <c r="AV957" s="24"/>
      <c r="AW957" s="24"/>
      <c r="BD957" s="24"/>
      <c r="BE957" s="24"/>
      <c r="BF957" s="24"/>
      <c r="BG957" s="24"/>
      <c r="BH957" s="24"/>
      <c r="BI957" s="24"/>
      <c r="BP957" s="24"/>
      <c r="BQ957" s="24"/>
      <c r="BR957" s="24"/>
      <c r="BS957" s="24"/>
      <c r="BZ957" s="24"/>
      <c r="CA957" s="24"/>
      <c r="CB957" s="24"/>
      <c r="CC957" s="24"/>
      <c r="CD957" s="24"/>
    </row>
    <row r="958" spans="2:82" s="6" customFormat="1">
      <c r="B958" s="21"/>
      <c r="D958" s="17"/>
      <c r="E958" s="23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R958" s="24"/>
      <c r="AS958" s="24"/>
      <c r="AT958" s="24"/>
      <c r="AU958" s="24"/>
      <c r="AV958" s="24"/>
      <c r="AW958" s="24"/>
      <c r="BD958" s="24"/>
      <c r="BE958" s="24"/>
      <c r="BF958" s="24"/>
      <c r="BG958" s="24"/>
      <c r="BH958" s="24"/>
      <c r="BI958" s="24"/>
      <c r="BP958" s="24"/>
      <c r="BQ958" s="24"/>
      <c r="BR958" s="24"/>
      <c r="BS958" s="24"/>
      <c r="BZ958" s="24"/>
      <c r="CA958" s="24"/>
      <c r="CB958" s="24"/>
      <c r="CC958" s="24"/>
      <c r="CD958" s="24"/>
    </row>
    <row r="959" spans="2:82" s="6" customFormat="1">
      <c r="B959" s="21"/>
      <c r="D959" s="17"/>
      <c r="E959" s="23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R959" s="24"/>
      <c r="AS959" s="24"/>
      <c r="AT959" s="24"/>
      <c r="AU959" s="24"/>
      <c r="AV959" s="24"/>
      <c r="AW959" s="24"/>
      <c r="BD959" s="24"/>
      <c r="BE959" s="24"/>
      <c r="BF959" s="24"/>
      <c r="BG959" s="24"/>
      <c r="BH959" s="24"/>
      <c r="BI959" s="24"/>
      <c r="BP959" s="24"/>
      <c r="BQ959" s="24"/>
      <c r="BR959" s="24"/>
      <c r="BS959" s="24"/>
      <c r="BZ959" s="24"/>
      <c r="CA959" s="24"/>
      <c r="CB959" s="24"/>
      <c r="CC959" s="24"/>
      <c r="CD959" s="24"/>
    </row>
    <row r="960" spans="2:82" s="6" customFormat="1">
      <c r="B960" s="21"/>
      <c r="D960" s="17"/>
      <c r="E960" s="23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R960" s="24"/>
      <c r="AS960" s="24"/>
      <c r="AT960" s="24"/>
      <c r="AU960" s="24"/>
      <c r="AV960" s="24"/>
      <c r="AW960" s="24"/>
      <c r="BD960" s="24"/>
      <c r="BE960" s="24"/>
      <c r="BF960" s="24"/>
      <c r="BG960" s="24"/>
      <c r="BH960" s="24"/>
      <c r="BI960" s="24"/>
      <c r="BP960" s="24"/>
      <c r="BQ960" s="24"/>
      <c r="BR960" s="24"/>
      <c r="BS960" s="24"/>
      <c r="BZ960" s="24"/>
      <c r="CA960" s="24"/>
      <c r="CB960" s="24"/>
      <c r="CC960" s="24"/>
      <c r="CD960" s="24"/>
    </row>
    <row r="961" spans="2:82" s="6" customFormat="1">
      <c r="B961" s="21"/>
      <c r="D961" s="17"/>
      <c r="E961" s="23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R961" s="24"/>
      <c r="AS961" s="24"/>
      <c r="AT961" s="24"/>
      <c r="AU961" s="24"/>
      <c r="AV961" s="24"/>
      <c r="AW961" s="24"/>
      <c r="BD961" s="24"/>
      <c r="BE961" s="24"/>
      <c r="BF961" s="24"/>
      <c r="BG961" s="24"/>
      <c r="BH961" s="24"/>
      <c r="BI961" s="24"/>
      <c r="BP961" s="24"/>
      <c r="BQ961" s="24"/>
      <c r="BR961" s="24"/>
      <c r="BS961" s="24"/>
      <c r="BZ961" s="24"/>
      <c r="CA961" s="24"/>
      <c r="CB961" s="24"/>
      <c r="CC961" s="24"/>
      <c r="CD961" s="24"/>
    </row>
    <row r="962" spans="2:82" s="6" customFormat="1">
      <c r="B962" s="21"/>
      <c r="D962" s="17"/>
      <c r="E962" s="23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R962" s="24"/>
      <c r="AS962" s="24"/>
      <c r="AT962" s="24"/>
      <c r="AU962" s="24"/>
      <c r="AV962" s="24"/>
      <c r="AW962" s="24"/>
      <c r="BD962" s="24"/>
      <c r="BE962" s="24"/>
      <c r="BF962" s="24"/>
      <c r="BG962" s="24"/>
      <c r="BH962" s="24"/>
      <c r="BI962" s="24"/>
      <c r="BP962" s="24"/>
      <c r="BQ962" s="24"/>
      <c r="BR962" s="24"/>
      <c r="BS962" s="24"/>
      <c r="BZ962" s="24"/>
      <c r="CA962" s="24"/>
      <c r="CB962" s="24"/>
      <c r="CC962" s="24"/>
      <c r="CD962" s="24"/>
    </row>
    <row r="963" spans="2:82" s="6" customFormat="1">
      <c r="B963" s="21"/>
      <c r="D963" s="17"/>
      <c r="E963" s="23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R963" s="24"/>
      <c r="AS963" s="24"/>
      <c r="AT963" s="24"/>
      <c r="AU963" s="24"/>
      <c r="AV963" s="24"/>
      <c r="AW963" s="24"/>
      <c r="BD963" s="24"/>
      <c r="BE963" s="24"/>
      <c r="BF963" s="24"/>
      <c r="BG963" s="24"/>
      <c r="BH963" s="24"/>
      <c r="BI963" s="24"/>
      <c r="BP963" s="24"/>
      <c r="BQ963" s="24"/>
      <c r="BR963" s="24"/>
      <c r="BS963" s="24"/>
      <c r="BZ963" s="24"/>
      <c r="CA963" s="24"/>
      <c r="CB963" s="24"/>
      <c r="CC963" s="24"/>
      <c r="CD963" s="24"/>
    </row>
    <row r="964" spans="2:82" s="6" customFormat="1">
      <c r="B964" s="21"/>
      <c r="D964" s="17"/>
      <c r="E964" s="23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R964" s="24"/>
      <c r="AS964" s="24"/>
      <c r="AT964" s="24"/>
      <c r="AU964" s="24"/>
      <c r="AV964" s="24"/>
      <c r="AW964" s="24"/>
      <c r="BD964" s="24"/>
      <c r="BE964" s="24"/>
      <c r="BF964" s="24"/>
      <c r="BG964" s="24"/>
      <c r="BH964" s="24"/>
      <c r="BI964" s="24"/>
      <c r="BP964" s="24"/>
      <c r="BQ964" s="24"/>
      <c r="BR964" s="24"/>
      <c r="BS964" s="24"/>
      <c r="BZ964" s="24"/>
      <c r="CA964" s="24"/>
      <c r="CB964" s="24"/>
      <c r="CC964" s="24"/>
      <c r="CD964" s="24"/>
    </row>
    <row r="965" spans="2:82" s="6" customFormat="1">
      <c r="B965" s="21"/>
      <c r="D965" s="17"/>
      <c r="E965" s="23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R965" s="24"/>
      <c r="AS965" s="24"/>
      <c r="AT965" s="24"/>
      <c r="AU965" s="24"/>
      <c r="AV965" s="24"/>
      <c r="AW965" s="24"/>
      <c r="BD965" s="24"/>
      <c r="BE965" s="24"/>
      <c r="BF965" s="24"/>
      <c r="BG965" s="24"/>
      <c r="BH965" s="24"/>
      <c r="BI965" s="24"/>
      <c r="BP965" s="24"/>
      <c r="BQ965" s="24"/>
      <c r="BR965" s="24"/>
      <c r="BS965" s="24"/>
      <c r="BZ965" s="24"/>
      <c r="CA965" s="24"/>
      <c r="CB965" s="24"/>
      <c r="CC965" s="24"/>
      <c r="CD965" s="24"/>
    </row>
    <row r="966" spans="2:82" s="6" customFormat="1">
      <c r="B966" s="21"/>
      <c r="D966" s="17"/>
      <c r="E966" s="23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R966" s="24"/>
      <c r="AS966" s="24"/>
      <c r="AT966" s="24"/>
      <c r="AU966" s="24"/>
      <c r="AV966" s="24"/>
      <c r="AW966" s="24"/>
      <c r="BD966" s="24"/>
      <c r="BE966" s="24"/>
      <c r="BF966" s="24"/>
      <c r="BG966" s="24"/>
      <c r="BH966" s="24"/>
      <c r="BI966" s="24"/>
      <c r="BP966" s="24"/>
      <c r="BQ966" s="24"/>
      <c r="BR966" s="24"/>
      <c r="BS966" s="24"/>
      <c r="BZ966" s="24"/>
      <c r="CA966" s="24"/>
      <c r="CB966" s="24"/>
      <c r="CC966" s="24"/>
      <c r="CD966" s="24"/>
    </row>
    <row r="967" spans="2:82" s="6" customFormat="1">
      <c r="B967" s="21"/>
      <c r="D967" s="17"/>
      <c r="E967" s="23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R967" s="24"/>
      <c r="AS967" s="24"/>
      <c r="AT967" s="24"/>
      <c r="AU967" s="24"/>
      <c r="AV967" s="24"/>
      <c r="AW967" s="24"/>
      <c r="BD967" s="24"/>
      <c r="BE967" s="24"/>
      <c r="BF967" s="24"/>
      <c r="BG967" s="24"/>
      <c r="BH967" s="24"/>
      <c r="BI967" s="24"/>
      <c r="BP967" s="24"/>
      <c r="BQ967" s="24"/>
      <c r="BR967" s="24"/>
      <c r="BS967" s="24"/>
      <c r="BZ967" s="24"/>
      <c r="CA967" s="24"/>
      <c r="CB967" s="24"/>
      <c r="CC967" s="24"/>
      <c r="CD967" s="24"/>
    </row>
    <row r="968" spans="2:82" s="6" customFormat="1">
      <c r="B968" s="21"/>
      <c r="D968" s="17"/>
      <c r="E968" s="23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R968" s="24"/>
      <c r="AS968" s="24"/>
      <c r="AT968" s="24"/>
      <c r="AU968" s="24"/>
      <c r="AV968" s="24"/>
      <c r="AW968" s="24"/>
      <c r="BD968" s="24"/>
      <c r="BE968" s="24"/>
      <c r="BF968" s="24"/>
      <c r="BG968" s="24"/>
      <c r="BH968" s="24"/>
      <c r="BI968" s="24"/>
      <c r="BP968" s="24"/>
      <c r="BQ968" s="24"/>
      <c r="BR968" s="24"/>
      <c r="BS968" s="24"/>
      <c r="BZ968" s="24"/>
      <c r="CA968" s="24"/>
      <c r="CB968" s="24"/>
      <c r="CC968" s="24"/>
      <c r="CD968" s="24"/>
    </row>
    <row r="969" spans="2:82" s="6" customFormat="1">
      <c r="B969" s="21"/>
      <c r="D969" s="17"/>
      <c r="E969" s="23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R969" s="24"/>
      <c r="AS969" s="24"/>
      <c r="AT969" s="24"/>
      <c r="AU969" s="24"/>
      <c r="AV969" s="24"/>
      <c r="AW969" s="24"/>
      <c r="BD969" s="24"/>
      <c r="BE969" s="24"/>
      <c r="BF969" s="24"/>
      <c r="BG969" s="24"/>
      <c r="BH969" s="24"/>
      <c r="BI969" s="24"/>
      <c r="BP969" s="24"/>
      <c r="BQ969" s="24"/>
      <c r="BR969" s="24"/>
      <c r="BS969" s="24"/>
      <c r="BZ969" s="24"/>
      <c r="CA969" s="24"/>
      <c r="CB969" s="24"/>
      <c r="CC969" s="24"/>
      <c r="CD969" s="24"/>
    </row>
    <row r="970" spans="2:82" s="6" customFormat="1">
      <c r="B970" s="21"/>
      <c r="D970" s="17"/>
      <c r="E970" s="23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R970" s="24"/>
      <c r="AS970" s="24"/>
      <c r="AT970" s="24"/>
      <c r="AU970" s="24"/>
      <c r="AV970" s="24"/>
      <c r="AW970" s="24"/>
      <c r="BD970" s="24"/>
      <c r="BE970" s="24"/>
      <c r="BF970" s="24"/>
      <c r="BG970" s="24"/>
      <c r="BH970" s="24"/>
      <c r="BI970" s="24"/>
      <c r="BP970" s="24"/>
      <c r="BQ970" s="24"/>
      <c r="BR970" s="24"/>
      <c r="BS970" s="24"/>
      <c r="BZ970" s="24"/>
      <c r="CA970" s="24"/>
      <c r="CB970" s="24"/>
      <c r="CC970" s="24"/>
      <c r="CD970" s="24"/>
    </row>
    <row r="971" spans="2:82" s="6" customFormat="1">
      <c r="B971" s="21"/>
      <c r="D971" s="17"/>
      <c r="E971" s="23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R971" s="24"/>
      <c r="AS971" s="24"/>
      <c r="AT971" s="24"/>
      <c r="AU971" s="24"/>
      <c r="AV971" s="24"/>
      <c r="AW971" s="24"/>
      <c r="BD971" s="24"/>
      <c r="BE971" s="24"/>
      <c r="BF971" s="24"/>
      <c r="BG971" s="24"/>
      <c r="BH971" s="24"/>
      <c r="BI971" s="24"/>
      <c r="BP971" s="24"/>
      <c r="BQ971" s="24"/>
      <c r="BR971" s="24"/>
      <c r="BS971" s="24"/>
      <c r="BZ971" s="24"/>
      <c r="CA971" s="24"/>
      <c r="CB971" s="24"/>
      <c r="CC971" s="24"/>
      <c r="CD971" s="24"/>
    </row>
    <row r="972" spans="2:82" s="6" customFormat="1">
      <c r="B972" s="21"/>
      <c r="D972" s="17"/>
      <c r="E972" s="23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R972" s="24"/>
      <c r="AS972" s="24"/>
      <c r="AT972" s="24"/>
      <c r="AU972" s="24"/>
      <c r="AV972" s="24"/>
      <c r="AW972" s="24"/>
      <c r="BD972" s="24"/>
      <c r="BE972" s="24"/>
      <c r="BF972" s="24"/>
      <c r="BG972" s="24"/>
      <c r="BH972" s="24"/>
      <c r="BI972" s="24"/>
      <c r="BP972" s="24"/>
      <c r="BQ972" s="24"/>
      <c r="BR972" s="24"/>
      <c r="BS972" s="24"/>
      <c r="BZ972" s="24"/>
      <c r="CA972" s="24"/>
      <c r="CB972" s="24"/>
      <c r="CC972" s="24"/>
      <c r="CD972" s="24"/>
    </row>
    <row r="973" spans="2:82" s="6" customFormat="1">
      <c r="B973" s="21"/>
      <c r="D973" s="17"/>
      <c r="E973" s="23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R973" s="24"/>
      <c r="AS973" s="24"/>
      <c r="AT973" s="24"/>
      <c r="AU973" s="24"/>
      <c r="AV973" s="24"/>
      <c r="AW973" s="24"/>
      <c r="BD973" s="24"/>
      <c r="BE973" s="24"/>
      <c r="BF973" s="24"/>
      <c r="BG973" s="24"/>
      <c r="BH973" s="24"/>
      <c r="BI973" s="24"/>
      <c r="BP973" s="24"/>
      <c r="BQ973" s="24"/>
      <c r="BR973" s="24"/>
      <c r="BS973" s="24"/>
      <c r="BZ973" s="24"/>
      <c r="CA973" s="24"/>
      <c r="CB973" s="24"/>
      <c r="CC973" s="24"/>
      <c r="CD973" s="24"/>
    </row>
    <row r="974" spans="2:82" s="6" customFormat="1">
      <c r="B974" s="21"/>
      <c r="D974" s="17"/>
      <c r="E974" s="23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R974" s="24"/>
      <c r="AS974" s="24"/>
      <c r="AT974" s="24"/>
      <c r="AU974" s="24"/>
      <c r="AV974" s="24"/>
      <c r="AW974" s="24"/>
      <c r="BD974" s="24"/>
      <c r="BE974" s="24"/>
      <c r="BF974" s="24"/>
      <c r="BG974" s="24"/>
      <c r="BH974" s="24"/>
      <c r="BI974" s="24"/>
      <c r="BP974" s="24"/>
      <c r="BQ974" s="24"/>
      <c r="BR974" s="24"/>
      <c r="BS974" s="24"/>
      <c r="BZ974" s="24"/>
      <c r="CA974" s="24"/>
      <c r="CB974" s="24"/>
      <c r="CC974" s="24"/>
      <c r="CD974" s="24"/>
    </row>
    <row r="975" spans="2:82" s="6" customFormat="1">
      <c r="B975" s="21"/>
      <c r="D975" s="17"/>
      <c r="E975" s="23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R975" s="24"/>
      <c r="AS975" s="24"/>
      <c r="AT975" s="24"/>
      <c r="AU975" s="24"/>
      <c r="AV975" s="24"/>
      <c r="AW975" s="24"/>
      <c r="BD975" s="24"/>
      <c r="BE975" s="24"/>
      <c r="BF975" s="24"/>
      <c r="BG975" s="24"/>
      <c r="BH975" s="24"/>
      <c r="BI975" s="24"/>
      <c r="BP975" s="24"/>
      <c r="BQ975" s="24"/>
      <c r="BR975" s="24"/>
      <c r="BS975" s="24"/>
      <c r="BZ975" s="24"/>
      <c r="CA975" s="24"/>
      <c r="CB975" s="24"/>
      <c r="CC975" s="24"/>
      <c r="CD975" s="24"/>
    </row>
    <row r="976" spans="2:82" s="6" customFormat="1">
      <c r="B976" s="21"/>
      <c r="D976" s="17"/>
      <c r="E976" s="23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R976" s="24"/>
      <c r="AS976" s="24"/>
      <c r="AT976" s="24"/>
      <c r="AU976" s="24"/>
      <c r="AV976" s="24"/>
      <c r="AW976" s="24"/>
      <c r="BD976" s="24"/>
      <c r="BE976" s="24"/>
      <c r="BF976" s="24"/>
      <c r="BG976" s="24"/>
      <c r="BH976" s="24"/>
      <c r="BI976" s="24"/>
      <c r="BP976" s="24"/>
      <c r="BQ976" s="24"/>
      <c r="BR976" s="24"/>
      <c r="BS976" s="24"/>
      <c r="BZ976" s="24"/>
      <c r="CA976" s="24"/>
      <c r="CB976" s="24"/>
      <c r="CC976" s="24"/>
      <c r="CD976" s="24"/>
    </row>
    <row r="977" spans="2:82" s="6" customFormat="1">
      <c r="B977" s="21"/>
      <c r="D977" s="17"/>
      <c r="E977" s="23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R977" s="24"/>
      <c r="AS977" s="24"/>
      <c r="AT977" s="24"/>
      <c r="AU977" s="24"/>
      <c r="AV977" s="24"/>
      <c r="AW977" s="24"/>
      <c r="BD977" s="24"/>
      <c r="BE977" s="24"/>
      <c r="BF977" s="24"/>
      <c r="BG977" s="24"/>
      <c r="BH977" s="24"/>
      <c r="BI977" s="24"/>
      <c r="BP977" s="24"/>
      <c r="BQ977" s="24"/>
      <c r="BR977" s="24"/>
      <c r="BS977" s="24"/>
      <c r="BZ977" s="24"/>
      <c r="CA977" s="24"/>
      <c r="CB977" s="24"/>
      <c r="CC977" s="24"/>
      <c r="CD977" s="24"/>
    </row>
    <row r="978" spans="2:82" s="6" customFormat="1">
      <c r="B978" s="21"/>
      <c r="D978" s="17"/>
      <c r="E978" s="23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R978" s="24"/>
      <c r="AS978" s="24"/>
      <c r="AT978" s="24"/>
      <c r="AU978" s="24"/>
      <c r="AV978" s="24"/>
      <c r="AW978" s="24"/>
      <c r="BD978" s="24"/>
      <c r="BE978" s="24"/>
      <c r="BF978" s="24"/>
      <c r="BG978" s="24"/>
      <c r="BH978" s="24"/>
      <c r="BI978" s="24"/>
      <c r="BP978" s="24"/>
      <c r="BQ978" s="24"/>
      <c r="BR978" s="24"/>
      <c r="BS978" s="24"/>
      <c r="BZ978" s="24"/>
      <c r="CA978" s="24"/>
      <c r="CB978" s="24"/>
      <c r="CC978" s="24"/>
      <c r="CD978" s="24"/>
    </row>
    <row r="979" spans="2:82" s="6" customFormat="1">
      <c r="B979" s="21"/>
      <c r="D979" s="17"/>
      <c r="E979" s="23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R979" s="24"/>
      <c r="AS979" s="24"/>
      <c r="AT979" s="24"/>
      <c r="AU979" s="24"/>
      <c r="AV979" s="24"/>
      <c r="AW979" s="24"/>
      <c r="BD979" s="24"/>
      <c r="BE979" s="24"/>
      <c r="BF979" s="24"/>
      <c r="BG979" s="24"/>
      <c r="BH979" s="24"/>
      <c r="BI979" s="24"/>
      <c r="BP979" s="24"/>
      <c r="BQ979" s="24"/>
      <c r="BR979" s="24"/>
      <c r="BS979" s="24"/>
      <c r="BZ979" s="24"/>
      <c r="CA979" s="24"/>
      <c r="CB979" s="24"/>
      <c r="CC979" s="24"/>
      <c r="CD979" s="24"/>
    </row>
    <row r="980" spans="2:82" s="6" customFormat="1">
      <c r="B980" s="21"/>
      <c r="D980" s="17"/>
      <c r="E980" s="23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R980" s="24"/>
      <c r="AS980" s="24"/>
      <c r="AT980" s="24"/>
      <c r="AU980" s="24"/>
      <c r="AV980" s="24"/>
      <c r="AW980" s="24"/>
      <c r="BD980" s="24"/>
      <c r="BE980" s="24"/>
      <c r="BF980" s="24"/>
      <c r="BG980" s="24"/>
      <c r="BH980" s="24"/>
      <c r="BI980" s="24"/>
      <c r="BP980" s="24"/>
      <c r="BQ980" s="24"/>
      <c r="BR980" s="24"/>
      <c r="BS980" s="24"/>
      <c r="BZ980" s="24"/>
      <c r="CA980" s="24"/>
      <c r="CB980" s="24"/>
      <c r="CC980" s="24"/>
      <c r="CD980" s="24"/>
    </row>
    <row r="981" spans="2:82" s="6" customFormat="1">
      <c r="B981" s="21"/>
      <c r="D981" s="17"/>
      <c r="E981" s="23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R981" s="24"/>
      <c r="AS981" s="24"/>
      <c r="AT981" s="24"/>
      <c r="AU981" s="24"/>
      <c r="AV981" s="24"/>
      <c r="AW981" s="24"/>
      <c r="BD981" s="24"/>
      <c r="BE981" s="24"/>
      <c r="BF981" s="24"/>
      <c r="BG981" s="24"/>
      <c r="BH981" s="24"/>
      <c r="BI981" s="24"/>
      <c r="BP981" s="24"/>
      <c r="BQ981" s="24"/>
      <c r="BR981" s="24"/>
      <c r="BS981" s="24"/>
      <c r="BZ981" s="24"/>
      <c r="CA981" s="24"/>
      <c r="CB981" s="24"/>
      <c r="CC981" s="24"/>
      <c r="CD981" s="24"/>
    </row>
    <row r="982" spans="2:82" s="6" customFormat="1">
      <c r="B982" s="21"/>
      <c r="D982" s="17"/>
      <c r="E982" s="23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R982" s="24"/>
      <c r="AS982" s="24"/>
      <c r="AT982" s="24"/>
      <c r="AU982" s="24"/>
      <c r="AV982" s="24"/>
      <c r="AW982" s="24"/>
      <c r="BD982" s="24"/>
      <c r="BE982" s="24"/>
      <c r="BF982" s="24"/>
      <c r="BG982" s="24"/>
      <c r="BH982" s="24"/>
      <c r="BI982" s="24"/>
      <c r="BP982" s="24"/>
      <c r="BQ982" s="24"/>
      <c r="BR982" s="24"/>
      <c r="BS982" s="24"/>
      <c r="BZ982" s="24"/>
      <c r="CA982" s="24"/>
      <c r="CB982" s="24"/>
      <c r="CC982" s="24"/>
      <c r="CD982" s="24"/>
    </row>
    <row r="983" spans="2:82" s="6" customFormat="1">
      <c r="B983" s="21"/>
      <c r="D983" s="17"/>
      <c r="E983" s="23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R983" s="24"/>
      <c r="AS983" s="24"/>
      <c r="AT983" s="24"/>
      <c r="AU983" s="24"/>
      <c r="AV983" s="24"/>
      <c r="AW983" s="24"/>
      <c r="BD983" s="24"/>
      <c r="BE983" s="24"/>
      <c r="BF983" s="24"/>
      <c r="BG983" s="24"/>
      <c r="BH983" s="24"/>
      <c r="BI983" s="24"/>
      <c r="BP983" s="24"/>
      <c r="BQ983" s="24"/>
      <c r="BR983" s="24"/>
      <c r="BS983" s="24"/>
      <c r="BZ983" s="24"/>
      <c r="CA983" s="24"/>
      <c r="CB983" s="24"/>
      <c r="CC983" s="24"/>
      <c r="CD983" s="24"/>
    </row>
    <row r="984" spans="2:82" s="6" customFormat="1">
      <c r="B984" s="21"/>
      <c r="D984" s="17"/>
      <c r="E984" s="23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R984" s="24"/>
      <c r="AS984" s="24"/>
      <c r="AT984" s="24"/>
      <c r="AU984" s="24"/>
      <c r="AV984" s="24"/>
      <c r="AW984" s="24"/>
      <c r="BD984" s="24"/>
      <c r="BE984" s="24"/>
      <c r="BF984" s="24"/>
      <c r="BG984" s="24"/>
      <c r="BH984" s="24"/>
      <c r="BI984" s="24"/>
      <c r="BP984" s="24"/>
      <c r="BQ984" s="24"/>
      <c r="BR984" s="24"/>
      <c r="BS984" s="24"/>
      <c r="BZ984" s="24"/>
      <c r="CA984" s="24"/>
      <c r="CB984" s="24"/>
      <c r="CC984" s="24"/>
      <c r="CD984" s="24"/>
    </row>
    <row r="985" spans="2:82" s="6" customFormat="1">
      <c r="B985" s="21"/>
      <c r="D985" s="17"/>
      <c r="E985" s="23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R985" s="24"/>
      <c r="AS985" s="24"/>
      <c r="AT985" s="24"/>
      <c r="AU985" s="24"/>
      <c r="AV985" s="24"/>
      <c r="AW985" s="24"/>
      <c r="BD985" s="24"/>
      <c r="BE985" s="24"/>
      <c r="BF985" s="24"/>
      <c r="BG985" s="24"/>
      <c r="BH985" s="24"/>
      <c r="BI985" s="24"/>
      <c r="BP985" s="24"/>
      <c r="BQ985" s="24"/>
      <c r="BR985" s="24"/>
      <c r="BS985" s="24"/>
      <c r="BZ985" s="24"/>
      <c r="CA985" s="24"/>
      <c r="CB985" s="24"/>
      <c r="CC985" s="24"/>
      <c r="CD985" s="24"/>
    </row>
    <row r="986" spans="2:82" s="6" customFormat="1">
      <c r="B986" s="21"/>
      <c r="D986" s="17"/>
      <c r="E986" s="23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R986" s="24"/>
      <c r="AS986" s="24"/>
      <c r="AT986" s="24"/>
      <c r="AU986" s="24"/>
      <c r="AV986" s="24"/>
      <c r="AW986" s="24"/>
      <c r="BD986" s="24"/>
      <c r="BE986" s="24"/>
      <c r="BF986" s="24"/>
      <c r="BG986" s="24"/>
      <c r="BH986" s="24"/>
      <c r="BI986" s="24"/>
      <c r="BP986" s="24"/>
      <c r="BQ986" s="24"/>
      <c r="BR986" s="24"/>
      <c r="BS986" s="24"/>
      <c r="BZ986" s="24"/>
      <c r="CA986" s="24"/>
      <c r="CB986" s="24"/>
      <c r="CC986" s="24"/>
      <c r="CD986" s="24"/>
    </row>
    <row r="987" spans="2:82" s="6" customFormat="1">
      <c r="B987" s="21"/>
      <c r="D987" s="17"/>
      <c r="E987" s="23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R987" s="24"/>
      <c r="AS987" s="24"/>
      <c r="AT987" s="24"/>
      <c r="AU987" s="24"/>
      <c r="AV987" s="24"/>
      <c r="AW987" s="24"/>
      <c r="BD987" s="24"/>
      <c r="BE987" s="24"/>
      <c r="BF987" s="24"/>
      <c r="BG987" s="24"/>
      <c r="BH987" s="24"/>
      <c r="BI987" s="24"/>
      <c r="BP987" s="24"/>
      <c r="BQ987" s="24"/>
      <c r="BR987" s="24"/>
      <c r="BS987" s="24"/>
      <c r="BZ987" s="24"/>
      <c r="CA987" s="24"/>
      <c r="CB987" s="24"/>
      <c r="CC987" s="24"/>
      <c r="CD987" s="24"/>
    </row>
    <row r="988" spans="2:82" s="6" customFormat="1">
      <c r="B988" s="21"/>
      <c r="D988" s="17"/>
      <c r="E988" s="23"/>
      <c r="F988" s="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R988" s="24"/>
      <c r="AS988" s="24"/>
      <c r="AT988" s="24"/>
      <c r="AU988" s="24"/>
      <c r="AV988" s="24"/>
      <c r="AW988" s="24"/>
      <c r="BD988" s="24"/>
      <c r="BE988" s="24"/>
      <c r="BF988" s="24"/>
      <c r="BG988" s="24"/>
      <c r="BH988" s="24"/>
      <c r="BI988" s="24"/>
      <c r="BP988" s="24"/>
      <c r="BQ988" s="24"/>
      <c r="BR988" s="24"/>
      <c r="BS988" s="24"/>
      <c r="BZ988" s="24"/>
      <c r="CA988" s="24"/>
      <c r="CB988" s="24"/>
      <c r="CC988" s="24"/>
      <c r="CD988" s="24"/>
    </row>
    <row r="989" spans="2:82" s="6" customFormat="1">
      <c r="B989" s="21"/>
      <c r="D989" s="17"/>
      <c r="E989" s="23"/>
      <c r="F989" s="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R989" s="24"/>
      <c r="AS989" s="24"/>
      <c r="AT989" s="24"/>
      <c r="AU989" s="24"/>
      <c r="AV989" s="24"/>
      <c r="AW989" s="24"/>
      <c r="BD989" s="24"/>
      <c r="BE989" s="24"/>
      <c r="BF989" s="24"/>
      <c r="BG989" s="24"/>
      <c r="BH989" s="24"/>
      <c r="BI989" s="24"/>
      <c r="BP989" s="24"/>
      <c r="BQ989" s="24"/>
      <c r="BR989" s="24"/>
      <c r="BS989" s="24"/>
      <c r="BZ989" s="24"/>
      <c r="CA989" s="24"/>
      <c r="CB989" s="24"/>
      <c r="CC989" s="24"/>
      <c r="CD989" s="24"/>
    </row>
    <row r="990" spans="2:82" s="6" customFormat="1">
      <c r="B990" s="21"/>
      <c r="D990" s="17"/>
      <c r="E990" s="23"/>
      <c r="F990" s="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R990" s="24"/>
      <c r="AS990" s="24"/>
      <c r="AT990" s="24"/>
      <c r="AU990" s="24"/>
      <c r="AV990" s="24"/>
      <c r="AW990" s="24"/>
      <c r="BD990" s="24"/>
      <c r="BE990" s="24"/>
      <c r="BF990" s="24"/>
      <c r="BG990" s="24"/>
      <c r="BH990" s="24"/>
      <c r="BI990" s="24"/>
      <c r="BP990" s="24"/>
      <c r="BQ990" s="24"/>
      <c r="BR990" s="24"/>
      <c r="BS990" s="24"/>
      <c r="BZ990" s="24"/>
      <c r="CA990" s="24"/>
      <c r="CB990" s="24"/>
      <c r="CC990" s="24"/>
      <c r="CD990" s="24"/>
    </row>
    <row r="991" spans="2:82" s="6" customFormat="1">
      <c r="B991" s="21"/>
      <c r="D991" s="17"/>
      <c r="E991" s="23"/>
      <c r="F991" s="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R991" s="24"/>
      <c r="AS991" s="24"/>
      <c r="AT991" s="24"/>
      <c r="AU991" s="24"/>
      <c r="AV991" s="24"/>
      <c r="AW991" s="24"/>
      <c r="BD991" s="24"/>
      <c r="BE991" s="24"/>
      <c r="BF991" s="24"/>
      <c r="BG991" s="24"/>
      <c r="BH991" s="24"/>
      <c r="BI991" s="24"/>
      <c r="BP991" s="24"/>
      <c r="BQ991" s="24"/>
      <c r="BR991" s="24"/>
      <c r="BS991" s="24"/>
      <c r="BZ991" s="24"/>
      <c r="CA991" s="24"/>
      <c r="CB991" s="24"/>
      <c r="CC991" s="24"/>
      <c r="CD991" s="24"/>
    </row>
    <row r="992" spans="2:82" s="6" customFormat="1">
      <c r="B992" s="21"/>
      <c r="D992" s="17"/>
      <c r="E992" s="23"/>
      <c r="F992" s="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R992" s="24"/>
      <c r="AS992" s="24"/>
      <c r="AT992" s="24"/>
      <c r="AU992" s="24"/>
      <c r="AV992" s="24"/>
      <c r="AW992" s="24"/>
      <c r="BD992" s="24"/>
      <c r="BE992" s="24"/>
      <c r="BF992" s="24"/>
      <c r="BG992" s="24"/>
      <c r="BH992" s="24"/>
      <c r="BI992" s="24"/>
      <c r="BP992" s="24"/>
      <c r="BQ992" s="24"/>
      <c r="BR992" s="24"/>
      <c r="BS992" s="24"/>
      <c r="BZ992" s="24"/>
      <c r="CA992" s="24"/>
      <c r="CB992" s="24"/>
      <c r="CC992" s="24"/>
      <c r="CD992" s="24"/>
    </row>
    <row r="993" spans="2:82" s="6" customFormat="1">
      <c r="B993" s="21"/>
      <c r="D993" s="17"/>
      <c r="E993" s="23"/>
      <c r="F993" s="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R993" s="24"/>
      <c r="AS993" s="24"/>
      <c r="AT993" s="24"/>
      <c r="AU993" s="24"/>
      <c r="AV993" s="24"/>
      <c r="AW993" s="24"/>
      <c r="BD993" s="24"/>
      <c r="BE993" s="24"/>
      <c r="BF993" s="24"/>
      <c r="BG993" s="24"/>
      <c r="BH993" s="24"/>
      <c r="BI993" s="24"/>
      <c r="BP993" s="24"/>
      <c r="BQ993" s="24"/>
      <c r="BR993" s="24"/>
      <c r="BS993" s="24"/>
      <c r="BZ993" s="24"/>
      <c r="CA993" s="24"/>
      <c r="CB993" s="24"/>
      <c r="CC993" s="24"/>
      <c r="CD993" s="24"/>
    </row>
    <row r="994" spans="2:82" s="6" customFormat="1">
      <c r="B994" s="21"/>
      <c r="D994" s="17"/>
      <c r="E994" s="23"/>
      <c r="F994" s="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R994" s="24"/>
      <c r="AS994" s="24"/>
      <c r="AT994" s="24"/>
      <c r="AU994" s="24"/>
      <c r="AV994" s="24"/>
      <c r="AW994" s="24"/>
      <c r="BD994" s="24"/>
      <c r="BE994" s="24"/>
      <c r="BF994" s="24"/>
      <c r="BG994" s="24"/>
      <c r="BH994" s="24"/>
      <c r="BI994" s="24"/>
      <c r="BP994" s="24"/>
      <c r="BQ994" s="24"/>
      <c r="BR994" s="24"/>
      <c r="BS994" s="24"/>
      <c r="BZ994" s="24"/>
      <c r="CA994" s="24"/>
      <c r="CB994" s="24"/>
      <c r="CC994" s="24"/>
      <c r="CD994" s="24"/>
    </row>
    <row r="995" spans="2:82" s="6" customFormat="1">
      <c r="B995" s="21"/>
      <c r="D995" s="17"/>
      <c r="E995" s="23"/>
      <c r="F995" s="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R995" s="24"/>
      <c r="AS995" s="24"/>
      <c r="AT995" s="24"/>
      <c r="AU995" s="24"/>
      <c r="AV995" s="24"/>
      <c r="AW995" s="24"/>
      <c r="BD995" s="24"/>
      <c r="BE995" s="24"/>
      <c r="BF995" s="24"/>
      <c r="BG995" s="24"/>
      <c r="BH995" s="24"/>
      <c r="BI995" s="24"/>
      <c r="BP995" s="24"/>
      <c r="BQ995" s="24"/>
      <c r="BR995" s="24"/>
      <c r="BS995" s="24"/>
      <c r="BZ995" s="24"/>
      <c r="CA995" s="24"/>
      <c r="CB995" s="24"/>
      <c r="CC995" s="24"/>
      <c r="CD995" s="24"/>
    </row>
    <row r="996" spans="2:82" s="6" customFormat="1">
      <c r="B996" s="21"/>
      <c r="D996" s="17"/>
      <c r="E996" s="23"/>
      <c r="F996" s="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R996" s="24"/>
      <c r="AS996" s="24"/>
      <c r="AT996" s="24"/>
      <c r="AU996" s="24"/>
      <c r="AV996" s="24"/>
      <c r="AW996" s="24"/>
      <c r="BD996" s="24"/>
      <c r="BE996" s="24"/>
      <c r="BF996" s="24"/>
      <c r="BG996" s="24"/>
      <c r="BH996" s="24"/>
      <c r="BI996" s="24"/>
      <c r="BP996" s="24"/>
      <c r="BQ996" s="24"/>
      <c r="BR996" s="24"/>
      <c r="BS996" s="24"/>
      <c r="BZ996" s="24"/>
      <c r="CA996" s="24"/>
      <c r="CB996" s="24"/>
      <c r="CC996" s="24"/>
      <c r="CD996" s="24"/>
    </row>
    <row r="997" spans="2:82" s="6" customFormat="1">
      <c r="B997" s="21"/>
      <c r="D997" s="17"/>
      <c r="E997" s="23"/>
      <c r="F997" s="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R997" s="24"/>
      <c r="AS997" s="24"/>
      <c r="AT997" s="24"/>
      <c r="AU997" s="24"/>
      <c r="AV997" s="24"/>
      <c r="AW997" s="24"/>
      <c r="BD997" s="24"/>
      <c r="BE997" s="24"/>
      <c r="BF997" s="24"/>
      <c r="BG997" s="24"/>
      <c r="BH997" s="24"/>
      <c r="BI997" s="24"/>
      <c r="BP997" s="24"/>
      <c r="BQ997" s="24"/>
      <c r="BR997" s="24"/>
      <c r="BS997" s="24"/>
      <c r="BZ997" s="24"/>
      <c r="CA997" s="24"/>
      <c r="CB997" s="24"/>
      <c r="CC997" s="24"/>
      <c r="CD997" s="24"/>
    </row>
    <row r="998" spans="2:82" s="6" customFormat="1">
      <c r="B998" s="21"/>
      <c r="D998" s="17"/>
      <c r="E998" s="23"/>
      <c r="F998" s="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  <c r="AR998" s="24"/>
      <c r="AS998" s="24"/>
      <c r="AT998" s="24"/>
      <c r="AU998" s="24"/>
      <c r="AV998" s="24"/>
      <c r="AW998" s="24"/>
      <c r="BD998" s="24"/>
      <c r="BE998" s="24"/>
      <c r="BF998" s="24"/>
      <c r="BG998" s="24"/>
      <c r="BH998" s="24"/>
      <c r="BI998" s="24"/>
      <c r="BP998" s="24"/>
      <c r="BQ998" s="24"/>
      <c r="BR998" s="24"/>
      <c r="BS998" s="24"/>
      <c r="BZ998" s="24"/>
      <c r="CA998" s="24"/>
      <c r="CB998" s="24"/>
      <c r="CC998" s="24"/>
      <c r="CD998" s="24"/>
    </row>
    <row r="999" spans="2:82" s="6" customFormat="1">
      <c r="B999" s="21"/>
      <c r="D999" s="17"/>
      <c r="E999" s="23"/>
      <c r="F999" s="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R999" s="24"/>
      <c r="AS999" s="24"/>
      <c r="AT999" s="24"/>
      <c r="AU999" s="24"/>
      <c r="AV999" s="24"/>
      <c r="AW999" s="24"/>
      <c r="BD999" s="24"/>
      <c r="BE999" s="24"/>
      <c r="BF999" s="24"/>
      <c r="BG999" s="24"/>
      <c r="BH999" s="24"/>
      <c r="BI999" s="24"/>
      <c r="BP999" s="24"/>
      <c r="BQ999" s="24"/>
      <c r="BR999" s="24"/>
      <c r="BS999" s="24"/>
      <c r="BZ999" s="24"/>
      <c r="CA999" s="24"/>
      <c r="CB999" s="24"/>
      <c r="CC999" s="24"/>
      <c r="CD999" s="24"/>
    </row>
    <row r="1000" spans="2:82" s="6" customFormat="1">
      <c r="B1000" s="21"/>
      <c r="D1000" s="17"/>
      <c r="E1000" s="23"/>
      <c r="F1000" s="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  <c r="AR1000" s="24"/>
      <c r="AS1000" s="24"/>
      <c r="AT1000" s="24"/>
      <c r="AU1000" s="24"/>
      <c r="AV1000" s="24"/>
      <c r="AW1000" s="24"/>
      <c r="BD1000" s="24"/>
      <c r="BE1000" s="24"/>
      <c r="BF1000" s="24"/>
      <c r="BG1000" s="24"/>
      <c r="BH1000" s="24"/>
      <c r="BI1000" s="24"/>
      <c r="BP1000" s="24"/>
      <c r="BQ1000" s="24"/>
      <c r="BR1000" s="24"/>
      <c r="BS1000" s="24"/>
      <c r="BZ1000" s="24"/>
      <c r="CA1000" s="24"/>
      <c r="CB1000" s="24"/>
      <c r="CC1000" s="24"/>
      <c r="CD1000" s="24"/>
    </row>
    <row r="1001" spans="2:82" s="6" customFormat="1">
      <c r="B1001" s="21"/>
      <c r="D1001" s="17"/>
      <c r="E1001" s="23"/>
      <c r="F1001" s="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  <c r="AB1001" s="24"/>
      <c r="AC1001" s="24"/>
      <c r="AD1001" s="24"/>
      <c r="AE1001" s="24"/>
      <c r="AF1001" s="24"/>
      <c r="AG1001" s="24"/>
      <c r="AH1001" s="24"/>
      <c r="AI1001" s="24"/>
      <c r="AJ1001" s="24"/>
      <c r="AK1001" s="24"/>
      <c r="AR1001" s="24"/>
      <c r="AS1001" s="24"/>
      <c r="AT1001" s="24"/>
      <c r="AU1001" s="24"/>
      <c r="AV1001" s="24"/>
      <c r="AW1001" s="24"/>
      <c r="BD1001" s="24"/>
      <c r="BE1001" s="24"/>
      <c r="BF1001" s="24"/>
      <c r="BG1001" s="24"/>
      <c r="BH1001" s="24"/>
      <c r="BI1001" s="24"/>
      <c r="BP1001" s="24"/>
      <c r="BQ1001" s="24"/>
      <c r="BR1001" s="24"/>
      <c r="BS1001" s="24"/>
      <c r="BZ1001" s="24"/>
      <c r="CA1001" s="24"/>
      <c r="CB1001" s="24"/>
      <c r="CC1001" s="24"/>
      <c r="CD1001" s="24"/>
    </row>
    <row r="1002" spans="2:82" s="6" customFormat="1">
      <c r="B1002" s="21"/>
      <c r="D1002" s="17"/>
      <c r="E1002" s="23"/>
      <c r="F1002" s="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  <c r="AA1002" s="24"/>
      <c r="AB1002" s="24"/>
      <c r="AC1002" s="24"/>
      <c r="AD1002" s="24"/>
      <c r="AE1002" s="24"/>
      <c r="AF1002" s="24"/>
      <c r="AG1002" s="24"/>
      <c r="AH1002" s="24"/>
      <c r="AI1002" s="24"/>
      <c r="AJ1002" s="24"/>
      <c r="AK1002" s="24"/>
      <c r="AR1002" s="24"/>
      <c r="AS1002" s="24"/>
      <c r="AT1002" s="24"/>
      <c r="AU1002" s="24"/>
      <c r="AV1002" s="24"/>
      <c r="AW1002" s="24"/>
      <c r="BD1002" s="24"/>
      <c r="BE1002" s="24"/>
      <c r="BF1002" s="24"/>
      <c r="BG1002" s="24"/>
      <c r="BH1002" s="24"/>
      <c r="BI1002" s="24"/>
      <c r="BP1002" s="24"/>
      <c r="BQ1002" s="24"/>
      <c r="BR1002" s="24"/>
      <c r="BS1002" s="24"/>
      <c r="BZ1002" s="24"/>
      <c r="CA1002" s="24"/>
      <c r="CB1002" s="24"/>
      <c r="CC1002" s="24"/>
      <c r="CD1002" s="24"/>
    </row>
    <row r="1003" spans="2:82" s="6" customFormat="1">
      <c r="B1003" s="21"/>
      <c r="D1003" s="17"/>
      <c r="E1003" s="23"/>
      <c r="F1003" s="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  <c r="AA1003" s="24"/>
      <c r="AB1003" s="24"/>
      <c r="AC1003" s="24"/>
      <c r="AD1003" s="24"/>
      <c r="AE1003" s="24"/>
      <c r="AF1003" s="24"/>
      <c r="AG1003" s="24"/>
      <c r="AH1003" s="24"/>
      <c r="AI1003" s="24"/>
      <c r="AJ1003" s="24"/>
      <c r="AK1003" s="24"/>
      <c r="AR1003" s="24"/>
      <c r="AS1003" s="24"/>
      <c r="AT1003" s="24"/>
      <c r="AU1003" s="24"/>
      <c r="AV1003" s="24"/>
      <c r="AW1003" s="24"/>
      <c r="BD1003" s="24"/>
      <c r="BE1003" s="24"/>
      <c r="BF1003" s="24"/>
      <c r="BG1003" s="24"/>
      <c r="BH1003" s="24"/>
      <c r="BI1003" s="24"/>
      <c r="BP1003" s="24"/>
      <c r="BQ1003" s="24"/>
      <c r="BR1003" s="24"/>
      <c r="BS1003" s="24"/>
      <c r="BZ1003" s="24"/>
      <c r="CA1003" s="24"/>
      <c r="CB1003" s="24"/>
      <c r="CC1003" s="24"/>
      <c r="CD1003" s="24"/>
    </row>
    <row r="1004" spans="2:82" s="6" customFormat="1">
      <c r="B1004" s="21"/>
      <c r="D1004" s="17"/>
      <c r="E1004" s="23"/>
      <c r="F1004" s="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  <c r="AA1004" s="24"/>
      <c r="AB1004" s="24"/>
      <c r="AC1004" s="24"/>
      <c r="AD1004" s="24"/>
      <c r="AE1004" s="24"/>
      <c r="AF1004" s="24"/>
      <c r="AG1004" s="24"/>
      <c r="AH1004" s="24"/>
      <c r="AI1004" s="24"/>
      <c r="AJ1004" s="24"/>
      <c r="AK1004" s="24"/>
      <c r="AR1004" s="24"/>
      <c r="AS1004" s="24"/>
      <c r="AT1004" s="24"/>
      <c r="AU1004" s="24"/>
      <c r="AV1004" s="24"/>
      <c r="AW1004" s="24"/>
      <c r="BD1004" s="24"/>
      <c r="BE1004" s="24"/>
      <c r="BF1004" s="24"/>
      <c r="BG1004" s="24"/>
      <c r="BH1004" s="24"/>
      <c r="BI1004" s="24"/>
      <c r="BP1004" s="24"/>
      <c r="BQ1004" s="24"/>
      <c r="BR1004" s="24"/>
      <c r="BS1004" s="24"/>
      <c r="BZ1004" s="24"/>
      <c r="CA1004" s="24"/>
      <c r="CB1004" s="24"/>
      <c r="CC1004" s="24"/>
      <c r="CD1004" s="24"/>
    </row>
    <row r="1005" spans="2:82" s="6" customFormat="1">
      <c r="B1005" s="21"/>
      <c r="D1005" s="17"/>
      <c r="E1005" s="23"/>
      <c r="F1005" s="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  <c r="Z1005" s="24"/>
      <c r="AA1005" s="24"/>
      <c r="AB1005" s="24"/>
      <c r="AC1005" s="24"/>
      <c r="AD1005" s="24"/>
      <c r="AE1005" s="24"/>
      <c r="AF1005" s="24"/>
      <c r="AG1005" s="24"/>
      <c r="AH1005" s="24"/>
      <c r="AI1005" s="24"/>
      <c r="AJ1005" s="24"/>
      <c r="AK1005" s="24"/>
      <c r="AR1005" s="24"/>
      <c r="AS1005" s="24"/>
      <c r="AT1005" s="24"/>
      <c r="AU1005" s="24"/>
      <c r="AV1005" s="24"/>
      <c r="AW1005" s="24"/>
      <c r="BD1005" s="24"/>
      <c r="BE1005" s="24"/>
      <c r="BF1005" s="24"/>
      <c r="BG1005" s="24"/>
      <c r="BH1005" s="24"/>
      <c r="BI1005" s="24"/>
      <c r="BP1005" s="24"/>
      <c r="BQ1005" s="24"/>
      <c r="BR1005" s="24"/>
      <c r="BS1005" s="24"/>
      <c r="BZ1005" s="24"/>
      <c r="CA1005" s="24"/>
      <c r="CB1005" s="24"/>
      <c r="CC1005" s="24"/>
      <c r="CD1005" s="24"/>
    </row>
    <row r="1006" spans="2:82" s="6" customFormat="1">
      <c r="B1006" s="21"/>
      <c r="D1006" s="17"/>
      <c r="E1006" s="23"/>
      <c r="F1006" s="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  <c r="AA1006" s="24"/>
      <c r="AB1006" s="24"/>
      <c r="AC1006" s="24"/>
      <c r="AD1006" s="24"/>
      <c r="AE1006" s="24"/>
      <c r="AF1006" s="24"/>
      <c r="AG1006" s="24"/>
      <c r="AH1006" s="24"/>
      <c r="AI1006" s="24"/>
      <c r="AJ1006" s="24"/>
      <c r="AK1006" s="24"/>
      <c r="AR1006" s="24"/>
      <c r="AS1006" s="24"/>
      <c r="AT1006" s="24"/>
      <c r="AU1006" s="24"/>
      <c r="AV1006" s="24"/>
      <c r="AW1006" s="24"/>
      <c r="BD1006" s="24"/>
      <c r="BE1006" s="24"/>
      <c r="BF1006" s="24"/>
      <c r="BG1006" s="24"/>
      <c r="BH1006" s="24"/>
      <c r="BI1006" s="24"/>
      <c r="BP1006" s="24"/>
      <c r="BQ1006" s="24"/>
      <c r="BR1006" s="24"/>
      <c r="BS1006" s="24"/>
      <c r="BZ1006" s="24"/>
      <c r="CA1006" s="24"/>
      <c r="CB1006" s="24"/>
      <c r="CC1006" s="24"/>
      <c r="CD1006" s="24"/>
    </row>
    <row r="1007" spans="2:82" s="6" customFormat="1">
      <c r="B1007" s="21"/>
      <c r="D1007" s="17"/>
      <c r="E1007" s="23"/>
      <c r="F1007" s="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  <c r="Y1007" s="24"/>
      <c r="Z1007" s="24"/>
      <c r="AA1007" s="24"/>
      <c r="AB1007" s="24"/>
      <c r="AC1007" s="24"/>
      <c r="AD1007" s="24"/>
      <c r="AE1007" s="24"/>
      <c r="AF1007" s="24"/>
      <c r="AG1007" s="24"/>
      <c r="AH1007" s="24"/>
      <c r="AI1007" s="24"/>
      <c r="AJ1007" s="24"/>
      <c r="AK1007" s="24"/>
      <c r="AR1007" s="24"/>
      <c r="AS1007" s="24"/>
      <c r="AT1007" s="24"/>
      <c r="AU1007" s="24"/>
      <c r="AV1007" s="24"/>
      <c r="AW1007" s="24"/>
      <c r="BD1007" s="24"/>
      <c r="BE1007" s="24"/>
      <c r="BF1007" s="24"/>
      <c r="BG1007" s="24"/>
      <c r="BH1007" s="24"/>
      <c r="BI1007" s="24"/>
      <c r="BP1007" s="24"/>
      <c r="BQ1007" s="24"/>
      <c r="BR1007" s="24"/>
      <c r="BS1007" s="24"/>
      <c r="BZ1007" s="24"/>
      <c r="CA1007" s="24"/>
      <c r="CB1007" s="24"/>
      <c r="CC1007" s="24"/>
      <c r="CD1007" s="24"/>
    </row>
  </sheetData>
  <autoFilter ref="B12:C80" xr:uid="{00000000-0009-0000-0000-000001000000}"/>
  <mergeCells count="43">
    <mergeCell ref="BN7:BS7"/>
    <mergeCell ref="B3:C6"/>
    <mergeCell ref="F7:K7"/>
    <mergeCell ref="L7:Q7"/>
    <mergeCell ref="R7:W7"/>
    <mergeCell ref="X7:AC7"/>
    <mergeCell ref="AD7:AI7"/>
    <mergeCell ref="AJ7:AO7"/>
    <mergeCell ref="AP7:AU7"/>
    <mergeCell ref="AV7:BA7"/>
    <mergeCell ref="BB7:BG7"/>
    <mergeCell ref="BH7:BM7"/>
    <mergeCell ref="EH7:EM7"/>
    <mergeCell ref="BT7:BY7"/>
    <mergeCell ref="BZ7:CE7"/>
    <mergeCell ref="CF7:CK7"/>
    <mergeCell ref="CL7:CQ7"/>
    <mergeCell ref="CR7:CW7"/>
    <mergeCell ref="CX7:DC7"/>
    <mergeCell ref="DD7:DI7"/>
    <mergeCell ref="DJ7:DO7"/>
    <mergeCell ref="DP7:DU7"/>
    <mergeCell ref="DV7:EA7"/>
    <mergeCell ref="EB7:EG7"/>
    <mergeCell ref="HN7:HS7"/>
    <mergeCell ref="GD7:GI7"/>
    <mergeCell ref="FX7:GC7"/>
    <mergeCell ref="EN7:ES7"/>
    <mergeCell ref="ET7:EY7"/>
    <mergeCell ref="EZ7:FE7"/>
    <mergeCell ref="FF7:FK7"/>
    <mergeCell ref="FL7:FQ7"/>
    <mergeCell ref="FR7:FW7"/>
    <mergeCell ref="GJ7:GO7"/>
    <mergeCell ref="GP7:GU7"/>
    <mergeCell ref="GV7:HA7"/>
    <mergeCell ref="HB7:HG7"/>
    <mergeCell ref="HH7:HM7"/>
    <mergeCell ref="IR7:IW7"/>
    <mergeCell ref="HT7:HY7"/>
    <mergeCell ref="HZ7:IE7"/>
    <mergeCell ref="IF7:IK7"/>
    <mergeCell ref="IL7:IQ7"/>
  </mergeCells>
  <phoneticPr fontId="45" type="noConversion"/>
  <pageMargins left="0.25" right="0.25" top="0.75" bottom="0.75" header="0.3" footer="0.3"/>
  <pageSetup paperSize="9" scale="10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MASTER CLIENTE</vt:lpstr>
      <vt:lpstr>MASTER OBRA</vt:lpstr>
    </vt:vector>
  </TitlesOfParts>
  <Company>X-FILES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Julio Obando</dc:creator>
  <cp:lastModifiedBy>dante</cp:lastModifiedBy>
  <cp:lastPrinted>2017-08-01T03:48:09Z</cp:lastPrinted>
  <dcterms:created xsi:type="dcterms:W3CDTF">2015-12-30T13:54:41Z</dcterms:created>
  <dcterms:modified xsi:type="dcterms:W3CDTF">2022-03-20T15:18:33Z</dcterms:modified>
</cp:coreProperties>
</file>