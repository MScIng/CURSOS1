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e\Desktop\C&amp;P CGC 2021\TEDY\CURSO DE RESULTADO OPERATIVO\"/>
    </mc:Choice>
  </mc:AlternateContent>
  <xr:revisionPtr revIDLastSave="0" documentId="13_ncr:1_{F38CDAA3-CD63-43B2-A39E-3258F14E98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ECHO DIF MARGENES POR FAS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4" i="1" l="1"/>
  <c r="L5" i="1"/>
  <c r="H56" i="1"/>
  <c r="G56" i="1"/>
  <c r="F56" i="1"/>
  <c r="E56" i="1"/>
  <c r="D56" i="1"/>
  <c r="F74" i="1"/>
  <c r="E74" i="1"/>
  <c r="C74" i="1"/>
  <c r="F72" i="1"/>
  <c r="E72" i="1"/>
  <c r="C72" i="1"/>
  <c r="F70" i="1"/>
  <c r="E70" i="1"/>
  <c r="F68" i="1"/>
  <c r="E68" i="1"/>
  <c r="L66" i="1"/>
  <c r="L68" i="1" s="1"/>
  <c r="K66" i="1"/>
  <c r="K68" i="1" s="1"/>
  <c r="F66" i="1"/>
  <c r="E66" i="1"/>
  <c r="F64" i="1"/>
  <c r="E64" i="1"/>
  <c r="M43" i="1"/>
  <c r="H54" i="1" s="1"/>
  <c r="L43" i="1"/>
  <c r="G54" i="1" s="1"/>
  <c r="K43" i="1"/>
  <c r="F54" i="1" s="1"/>
  <c r="J43" i="1"/>
  <c r="E54" i="1" s="1"/>
  <c r="I43" i="1"/>
  <c r="D54" i="1" s="1"/>
  <c r="H43" i="1"/>
  <c r="G43" i="1"/>
  <c r="F43" i="1"/>
  <c r="E43" i="1"/>
  <c r="M42" i="1"/>
  <c r="M44" i="1" s="1"/>
  <c r="M45" i="1" s="1"/>
  <c r="L42" i="1"/>
  <c r="L44" i="1" s="1"/>
  <c r="L45" i="1" s="1"/>
  <c r="K42" i="1"/>
  <c r="J42" i="1"/>
  <c r="E53" i="1" s="1"/>
  <c r="I42" i="1"/>
  <c r="I44" i="1" s="1"/>
  <c r="I45" i="1" s="1"/>
  <c r="H42" i="1"/>
  <c r="H44" i="1" s="1"/>
  <c r="H45" i="1" s="1"/>
  <c r="G42" i="1"/>
  <c r="G44" i="1" s="1"/>
  <c r="G45" i="1" s="1"/>
  <c r="F42" i="1"/>
  <c r="F44" i="1" s="1"/>
  <c r="F45" i="1" s="1"/>
  <c r="E42" i="1"/>
  <c r="E44" i="1" s="1"/>
  <c r="E45" i="1" s="1"/>
  <c r="D39" i="1"/>
  <c r="C39" i="1"/>
  <c r="D37" i="1"/>
  <c r="C37" i="1"/>
  <c r="D35" i="1"/>
  <c r="C35" i="1"/>
  <c r="B35" i="1"/>
  <c r="C70" i="1" s="1"/>
  <c r="D33" i="1"/>
  <c r="C33" i="1"/>
  <c r="B33" i="1"/>
  <c r="C68" i="1" s="1"/>
  <c r="D31" i="1"/>
  <c r="C31" i="1"/>
  <c r="B31" i="1"/>
  <c r="C66" i="1" s="1"/>
  <c r="D29" i="1"/>
  <c r="C29" i="1"/>
  <c r="B29" i="1"/>
  <c r="C64" i="1" s="1"/>
  <c r="L22" i="1"/>
  <c r="K22" i="1"/>
  <c r="L20" i="1"/>
  <c r="K20" i="1"/>
  <c r="K18" i="1"/>
  <c r="L18" i="1" s="1"/>
  <c r="K13" i="1"/>
  <c r="L13" i="1" s="1"/>
  <c r="L9" i="1"/>
  <c r="K9" i="1"/>
  <c r="K5" i="1"/>
  <c r="E57" i="1" l="1"/>
  <c r="K24" i="1"/>
  <c r="K44" i="1"/>
  <c r="K45" i="1" s="1"/>
  <c r="C54" i="1"/>
  <c r="E75" i="1"/>
  <c r="J44" i="1"/>
  <c r="J45" i="1" s="1"/>
  <c r="F53" i="1"/>
  <c r="F57" i="1" s="1"/>
  <c r="E46" i="1"/>
  <c r="C53" i="1"/>
  <c r="G53" i="1"/>
  <c r="G57" i="1" s="1"/>
  <c r="E47" i="1"/>
  <c r="F47" i="1" s="1"/>
  <c r="G47" i="1" s="1"/>
  <c r="H47" i="1" s="1"/>
  <c r="I47" i="1" s="1"/>
  <c r="J47" i="1" s="1"/>
  <c r="K47" i="1" s="1"/>
  <c r="L47" i="1" s="1"/>
  <c r="M47" i="1" s="1"/>
  <c r="D53" i="1"/>
  <c r="D57" i="1" s="1"/>
  <c r="H53" i="1"/>
  <c r="H57" i="1" s="1"/>
  <c r="E48" i="1" l="1"/>
  <c r="E49" i="1" s="1"/>
  <c r="F46" i="1"/>
  <c r="G46" i="1" l="1"/>
  <c r="F48" i="1"/>
  <c r="F49" i="1" s="1"/>
  <c r="G48" i="1" l="1"/>
  <c r="G49" i="1" s="1"/>
  <c r="H46" i="1"/>
  <c r="H48" i="1" l="1"/>
  <c r="H49" i="1" s="1"/>
  <c r="I46" i="1"/>
  <c r="I48" i="1" l="1"/>
  <c r="I49" i="1" s="1"/>
  <c r="J46" i="1"/>
  <c r="K46" i="1" l="1"/>
  <c r="J48" i="1"/>
  <c r="J49" i="1" s="1"/>
  <c r="K48" i="1" l="1"/>
  <c r="K49" i="1" s="1"/>
  <c r="L46" i="1"/>
  <c r="L48" i="1" l="1"/>
  <c r="L49" i="1" s="1"/>
  <c r="M46" i="1"/>
  <c r="M48" i="1" s="1"/>
  <c r="M49" i="1" s="1"/>
  <c r="E59" i="1" l="1"/>
  <c r="H59" i="1"/>
  <c r="D59" i="1"/>
  <c r="G59" i="1"/>
  <c r="C59" i="1"/>
  <c r="F59" i="1"/>
  <c r="G72" i="1" l="1"/>
  <c r="H72" i="1" s="1"/>
  <c r="I72" i="1" s="1"/>
  <c r="G64" i="1"/>
  <c r="H64" i="1" s="1"/>
  <c r="I64" i="1" s="1"/>
  <c r="G74" i="1"/>
  <c r="H74" i="1" s="1"/>
  <c r="I74" i="1" s="1"/>
  <c r="G70" i="1"/>
  <c r="H70" i="1" s="1"/>
  <c r="I70" i="1" s="1"/>
  <c r="G68" i="1"/>
  <c r="H68" i="1" s="1"/>
  <c r="I68" i="1" s="1"/>
  <c r="G66" i="1"/>
  <c r="H66" i="1" s="1"/>
  <c r="I66" i="1" s="1"/>
  <c r="C56" i="1"/>
  <c r="C57" i="1" s="1"/>
  <c r="I75" i="1" l="1"/>
</calcChain>
</file>

<file path=xl/sharedStrings.xml><?xml version="1.0" encoding="utf-8"?>
<sst xmlns="http://schemas.openxmlformats.org/spreadsheetml/2006/main" count="74" uniqueCount="55">
  <si>
    <t>PARTIDAS</t>
  </si>
  <si>
    <t>VENTA</t>
  </si>
  <si>
    <t>MARGENES</t>
  </si>
  <si>
    <t>FASEADO</t>
  </si>
  <si>
    <t>MARGEN</t>
  </si>
  <si>
    <t>PREPARACION DE TERRENO</t>
  </si>
  <si>
    <t>OBRAS PRELIMINARES</t>
  </si>
  <si>
    <t>TRAZO Y REPLANTEO</t>
  </si>
  <si>
    <t xml:space="preserve">EXCAVACION </t>
  </si>
  <si>
    <t>MOVIMIENTO DE TIERRAS</t>
  </si>
  <si>
    <t>RELLENO</t>
  </si>
  <si>
    <t>TRANSPORTE DE ESCOMBROS</t>
  </si>
  <si>
    <t>SUB BASE MATERIAL GRANULAR</t>
  </si>
  <si>
    <t>MATERIAL GRANULAR</t>
  </si>
  <si>
    <t>BASE MATERIAL GRANULAR</t>
  </si>
  <si>
    <t>TRANSPORTE MATERIAL GRANULAR</t>
  </si>
  <si>
    <t>PRODUCCION DE MEZCLA ASFALTICA</t>
  </si>
  <si>
    <t>CARPETA ASFALTICA</t>
  </si>
  <si>
    <t>IMPRIMACION DE RIEGO DE LIGA</t>
  </si>
  <si>
    <t>COLOCACION DE MEZCLA ASFALTICA</t>
  </si>
  <si>
    <t>TRANSPORTE DE MEZCLA ASFALTICA</t>
  </si>
  <si>
    <t>SEÑALIZACION</t>
  </si>
  <si>
    <t>OBRAS DE ARTE Y DRENAJES</t>
  </si>
  <si>
    <t>OBRAS DE ARTE</t>
  </si>
  <si>
    <t>TOTAL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</si>
  <si>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</si>
  <si>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</si>
  <si>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</si>
  <si>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</si>
  <si>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</si>
  <si>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</si>
  <si>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</si>
  <si>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</si>
  <si>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</si>
  <si>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COSTO</t>
  </si>
  <si>
    <t>MARGEN %</t>
  </si>
  <si>
    <t>VENTA ACUMULADA</t>
  </si>
  <si>
    <t>COSTO ACUMULADO</t>
  </si>
  <si>
    <t>MARGEN ACUMULADO</t>
  </si>
  <si>
    <t>MARGEN ACUMULADO %</t>
  </si>
  <si>
    <t>RESULTADO OPERATIVO 
RO</t>
  </si>
  <si>
    <t>ACUM
MES 4</t>
  </si>
  <si>
    <t>COSTO APLICADO</t>
  </si>
  <si>
    <t>RESULTADO PENDIENTE</t>
  </si>
  <si>
    <t>% MARGEN</t>
  </si>
  <si>
    <t>MARGENES POR FASE</t>
  </si>
  <si>
    <t>VENTA 
ACUM
MES 4</t>
  </si>
  <si>
    <t>MARGEN
FASE</t>
  </si>
  <si>
    <t>MARGEN 
OBRA</t>
  </si>
  <si>
    <t>DIFERENCIA</t>
  </si>
  <si>
    <t>ACTIVO/
PASIVO</t>
  </si>
  <si>
    <t>ACTIVO</t>
  </si>
  <si>
    <t>PASIVO</t>
  </si>
  <si>
    <t>PROVISION MARGENES POR FASE</t>
  </si>
  <si>
    <t>ACTIVO O PASIVO AUXILIAR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</si>
</sst>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10" fontId="0" fillId="2" borderId="6" xfId="1" applyNumberFormat="1" applyFont="1" applyFill="1" applyBorder="1" applyAlignment="1">
      <alignment horizontal="center"/>
    </xf>
    <xf numFmtId="9" fontId="0" fillId="2" borderId="0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0" fontId="3" fillId="4" borderId="10" xfId="0" applyFont="1" applyFill="1" applyBorder="1"/>
    <xf numFmtId="0" fontId="3" fillId="4" borderId="11" xfId="0" applyFont="1" applyFill="1" applyBorder="1"/>
    <xf numFmtId="10" fontId="3" fillId="4" borderId="11" xfId="0" applyNumberFormat="1" applyFont="1" applyFill="1" applyBorder="1"/>
    <xf numFmtId="164" fontId="3" fillId="4" borderId="12" xfId="1" applyNumberFormat="1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9" fontId="0" fillId="2" borderId="6" xfId="1" applyFont="1" applyFill="1" applyBorder="1" applyAlignment="1">
      <alignment horizontal="center"/>
    </xf>
    <xf numFmtId="0" fontId="0" fillId="5" borderId="0" xfId="0" applyFill="1" applyBorder="1"/>
    <xf numFmtId="9" fontId="2" fillId="6" borderId="0" xfId="0" applyNumberFormat="1" applyFont="1" applyFill="1" applyBorder="1"/>
    <xf numFmtId="0" fontId="0" fillId="2" borderId="4" xfId="0" applyFill="1" applyBorder="1" applyAlignment="1">
      <alignment horizontal="left"/>
    </xf>
    <xf numFmtId="10" fontId="2" fillId="6" borderId="0" xfId="0" applyNumberFormat="1" applyFont="1" applyFill="1" applyBorder="1"/>
    <xf numFmtId="164" fontId="2" fillId="7" borderId="5" xfId="0" applyNumberFormat="1" applyFont="1" applyFill="1" applyBorder="1"/>
    <xf numFmtId="0" fontId="0" fillId="2" borderId="10" xfId="0" applyFill="1" applyBorder="1" applyAlignment="1">
      <alignment horizontal="left"/>
    </xf>
    <xf numFmtId="0" fontId="0" fillId="2" borderId="11" xfId="0" applyFill="1" applyBorder="1"/>
    <xf numFmtId="0" fontId="0" fillId="2" borderId="12" xfId="0" applyFill="1" applyBorder="1"/>
    <xf numFmtId="1" fontId="0" fillId="2" borderId="0" xfId="0" applyNumberFormat="1" applyFill="1" applyBorder="1"/>
    <xf numFmtId="0" fontId="0" fillId="2" borderId="13" xfId="0" applyFill="1" applyBorder="1"/>
    <xf numFmtId="9" fontId="0" fillId="2" borderId="14" xfId="1" applyFont="1" applyFill="1" applyBorder="1"/>
    <xf numFmtId="0" fontId="0" fillId="2" borderId="10" xfId="0" applyFill="1" applyBorder="1"/>
    <xf numFmtId="164" fontId="0" fillId="2" borderId="11" xfId="1" applyNumberFormat="1" applyFont="1" applyFill="1" applyBorder="1"/>
    <xf numFmtId="164" fontId="2" fillId="8" borderId="11" xfId="1" applyNumberFormat="1" applyFont="1" applyFill="1" applyBorder="1"/>
    <xf numFmtId="0" fontId="2" fillId="4" borderId="15" xfId="0" applyFont="1" applyFill="1" applyBorder="1" applyAlignment="1">
      <alignment wrapText="1"/>
    </xf>
    <xf numFmtId="0" fontId="2" fillId="3" borderId="16" xfId="0" applyFont="1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2" borderId="19" xfId="0" applyFont="1" applyFill="1" applyBorder="1"/>
    <xf numFmtId="0" fontId="0" fillId="2" borderId="20" xfId="0" applyFill="1" applyBorder="1"/>
    <xf numFmtId="1" fontId="0" fillId="2" borderId="21" xfId="0" applyNumberFormat="1" applyFill="1" applyBorder="1"/>
    <xf numFmtId="1" fontId="0" fillId="2" borderId="22" xfId="0" applyNumberFormat="1" applyFill="1" applyBorder="1"/>
    <xf numFmtId="0" fontId="2" fillId="2" borderId="23" xfId="0" applyFont="1" applyFill="1" applyBorder="1"/>
    <xf numFmtId="1" fontId="0" fillId="2" borderId="24" xfId="0" applyNumberFormat="1" applyFill="1" applyBorder="1"/>
    <xf numFmtId="1" fontId="0" fillId="2" borderId="6" xfId="0" applyNumberFormat="1" applyFill="1" applyBorder="1"/>
    <xf numFmtId="1" fontId="0" fillId="2" borderId="25" xfId="0" applyNumberFormat="1" applyFill="1" applyBorder="1"/>
    <xf numFmtId="0" fontId="0" fillId="2" borderId="24" xfId="0" applyFill="1" applyBorder="1"/>
    <xf numFmtId="0" fontId="0" fillId="2" borderId="25" xfId="0" applyFill="1" applyBorder="1"/>
    <xf numFmtId="1" fontId="0" fillId="3" borderId="24" xfId="0" applyNumberFormat="1" applyFill="1" applyBorder="1"/>
    <xf numFmtId="0" fontId="2" fillId="2" borderId="26" xfId="0" applyFont="1" applyFill="1" applyBorder="1"/>
    <xf numFmtId="164" fontId="2" fillId="2" borderId="27" xfId="0" applyNumberFormat="1" applyFont="1" applyFill="1" applyBorder="1"/>
    <xf numFmtId="164" fontId="2" fillId="2" borderId="28" xfId="0" applyNumberFormat="1" applyFont="1" applyFill="1" applyBorder="1"/>
    <xf numFmtId="164" fontId="2" fillId="2" borderId="29" xfId="0" applyNumberFormat="1" applyFont="1" applyFill="1" applyBorder="1"/>
    <xf numFmtId="0" fontId="2" fillId="3" borderId="32" xfId="0" applyFont="1" applyFill="1" applyBorder="1" applyAlignment="1">
      <alignment horizontal="center" wrapText="1"/>
    </xf>
    <xf numFmtId="0" fontId="2" fillId="3" borderId="33" xfId="0" applyFont="1" applyFill="1" applyBorder="1" applyAlignment="1">
      <alignment horizontal="center" wrapText="1"/>
    </xf>
    <xf numFmtId="0" fontId="2" fillId="2" borderId="0" xfId="0" applyFont="1" applyFill="1"/>
    <xf numFmtId="9" fontId="0" fillId="2" borderId="6" xfId="0" applyNumberFormat="1" applyFill="1" applyBorder="1"/>
    <xf numFmtId="164" fontId="0" fillId="2" borderId="6" xfId="0" applyNumberFormat="1" applyFill="1" applyBorder="1"/>
    <xf numFmtId="10" fontId="0" fillId="2" borderId="6" xfId="1" applyNumberFormat="1" applyFont="1" applyFill="1" applyBorder="1"/>
    <xf numFmtId="2" fontId="0" fillId="2" borderId="25" xfId="0" applyNumberFormat="1" applyFill="1" applyBorder="1"/>
    <xf numFmtId="0" fontId="0" fillId="2" borderId="34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164" fontId="0" fillId="2" borderId="0" xfId="0" applyNumberFormat="1" applyFill="1" applyBorder="1"/>
    <xf numFmtId="2" fontId="0" fillId="2" borderId="35" xfId="0" applyNumberFormat="1" applyFill="1" applyBorder="1"/>
    <xf numFmtId="0" fontId="5" fillId="2" borderId="16" xfId="0" applyFont="1" applyFill="1" applyBorder="1"/>
    <xf numFmtId="0" fontId="5" fillId="2" borderId="17" xfId="0" applyFont="1" applyFill="1" applyBorder="1"/>
    <xf numFmtId="1" fontId="5" fillId="2" borderId="18" xfId="0" applyNumberFormat="1" applyFont="1" applyFill="1" applyBorder="1"/>
    <xf numFmtId="0" fontId="2" fillId="2" borderId="24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752475</xdr:colOff>
      <xdr:row>27</xdr:row>
      <xdr:rowOff>76200</xdr:rowOff>
    </xdr:from>
    <xdr:to>
      <xdr:col>14</xdr:col>
      <xdr:colOff>466725</xdr:colOff>
      <xdr:row>39</xdr:row>
      <xdr:rowOff>76200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4785ED8D-D738-4CAD-8027-F573D6FDAF6F}"/>
            </a:ext>
          </a:extLst>
        </xdr:cNvPr>
        <xdr:cNvSpPr/>
      </xdr:nvSpPr>
      <xdr:spPr>
        <a:xfrm>
          <a:off x="12868275" y="5267325"/>
          <a:ext cx="476250" cy="2286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nte/Desktop/C&amp;P%20CGC%202021/CURSOS%20Y%20CAPACITACIONES/CONTROL%20DE%20GESTION%20DE%20COSTOS%20RO%20ONLINE/Respaldo%20Capacitaci&#24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pos de Control"/>
      <sheetName val="Definiciones"/>
      <sheetName val="Clase de costos"/>
      <sheetName val="Contratos"/>
      <sheetName val="CRITERIO Y CONFIABILIDAD"/>
      <sheetName val="RO"/>
      <sheetName val="PRO"/>
      <sheetName val="DIF MARGENES POR FASE"/>
      <sheetName val="EJERCICIO"/>
      <sheetName val="CURVA S VAL"/>
      <sheetName val="CURVA S HH"/>
      <sheetName val="PMI VALOR GANADO"/>
    </sheetNames>
    <sheetDataSet>
      <sheetData sheetId="0"/>
      <sheetData sheetId="1"/>
      <sheetData sheetId="2"/>
      <sheetData sheetId="3"/>
      <sheetData sheetId="4"/>
      <sheetData sheetId="5"/>
      <sheetData sheetId="6">
        <row r="133">
          <cell r="J133" t="str">
            <v>OBRAS PRELIMINARES</v>
          </cell>
        </row>
        <row r="136">
          <cell r="J136" t="str">
            <v>MOVIMIENTO DE TIERRAS</v>
          </cell>
        </row>
        <row r="140">
          <cell r="J140" t="str">
            <v>MATERIAL GRANULAR</v>
          </cell>
        </row>
        <row r="144">
          <cell r="J144" t="str">
            <v>CARPETA ASFALTICA</v>
          </cell>
        </row>
        <row r="159">
          <cell r="E159">
            <v>600</v>
          </cell>
          <cell r="F159">
            <v>0.25</v>
          </cell>
        </row>
        <row r="163">
          <cell r="E163">
            <v>2200</v>
          </cell>
          <cell r="F163">
            <v>0.27272727272727271</v>
          </cell>
        </row>
        <row r="167">
          <cell r="E167">
            <v>1200</v>
          </cell>
          <cell r="F167">
            <v>0.15</v>
          </cell>
        </row>
        <row r="172">
          <cell r="E172">
            <v>1350</v>
          </cell>
          <cell r="F172">
            <v>0.10764814814814815</v>
          </cell>
        </row>
        <row r="174">
          <cell r="E174">
            <v>150</v>
          </cell>
          <cell r="F174">
            <v>0</v>
          </cell>
        </row>
        <row r="176">
          <cell r="E176">
            <v>1500</v>
          </cell>
          <cell r="F176">
            <v>-0.05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75"/>
  <sheetViews>
    <sheetView tabSelected="1" topLeftCell="A55" zoomScale="106" workbookViewId="0">
      <selection activeCell="J65" sqref="J65"/>
    </sheetView>
  </sheetViews>
  <sheetFormatPr baseColWidth="10" defaultColWidth="11.44140625" defaultRowHeight="14.4" x14ac:dyDescent="0.3"/>
  <cols>
    <col min="1" max="1" width="11.44140625" style="1"/>
    <col min="2" max="2" width="23.6640625" style="1" bestFit="1" customWidth="1"/>
    <col min="3" max="6" width="12.5546875" style="1" bestFit="1" customWidth="1"/>
    <col min="7" max="7" width="11.6640625" style="1" bestFit="1" customWidth="1"/>
    <col min="8" max="8" width="12.5546875" style="1" customWidth="1"/>
    <col min="9" max="9" width="12.5546875" style="1" bestFit="1" customWidth="1"/>
    <col min="10" max="10" width="23.6640625" style="1" bestFit="1" customWidth="1"/>
    <col min="11" max="11" width="12.5546875" style="1" bestFit="1" customWidth="1"/>
    <col min="12" max="13" width="11.5546875" style="1" bestFit="1" customWidth="1"/>
    <col min="14" max="16384" width="11.44140625" style="1"/>
  </cols>
  <sheetData>
    <row r="2" spans="5:12" x14ac:dyDescent="0.3">
      <c r="E2" s="2" t="s">
        <v>0</v>
      </c>
      <c r="F2" s="3"/>
      <c r="G2" s="3"/>
      <c r="H2" s="3" t="s">
        <v>1</v>
      </c>
      <c r="I2" s="3" t="s">
        <v>2</v>
      </c>
      <c r="J2" s="3" t="s">
        <v>3</v>
      </c>
      <c r="K2" s="3" t="s">
        <v>1</v>
      </c>
      <c r="L2" s="4" t="s">
        <v>4</v>
      </c>
    </row>
    <row r="3" spans="5:12" x14ac:dyDescent="0.3">
      <c r="E3" s="5"/>
      <c r="F3" s="6"/>
      <c r="G3" s="6"/>
      <c r="H3" s="6"/>
      <c r="I3" s="6"/>
      <c r="J3" s="7"/>
      <c r="K3" s="6"/>
      <c r="L3" s="8"/>
    </row>
    <row r="4" spans="5:12" x14ac:dyDescent="0.3">
      <c r="E4" s="9" t="s">
        <v>5</v>
      </c>
      <c r="F4" s="9"/>
      <c r="G4" s="9"/>
      <c r="H4" s="10">
        <v>400</v>
      </c>
      <c r="I4" s="11">
        <v>0.3</v>
      </c>
      <c r="J4" s="79" t="s">
        <v>6</v>
      </c>
      <c r="K4" s="10"/>
      <c r="L4" s="10"/>
    </row>
    <row r="5" spans="5:12" x14ac:dyDescent="0.3">
      <c r="E5" s="76" t="s">
        <v>7</v>
      </c>
      <c r="F5" s="77"/>
      <c r="G5" s="78"/>
      <c r="H5" s="10">
        <v>200</v>
      </c>
      <c r="I5" s="11">
        <v>0.15</v>
      </c>
      <c r="J5" s="79"/>
      <c r="K5" s="10">
        <f>+H4+H5</f>
        <v>600</v>
      </c>
      <c r="L5" s="12">
        <f>+(H4*I4+H5*I5)/K5</f>
        <v>0.25</v>
      </c>
    </row>
    <row r="6" spans="5:12" x14ac:dyDescent="0.3">
      <c r="E6" s="5"/>
      <c r="F6" s="6"/>
      <c r="G6" s="6"/>
      <c r="H6" s="7"/>
      <c r="I6" s="13"/>
      <c r="J6" s="7"/>
      <c r="K6" s="7"/>
      <c r="L6" s="14"/>
    </row>
    <row r="7" spans="5:12" x14ac:dyDescent="0.3">
      <c r="E7" s="76" t="s">
        <v>8</v>
      </c>
      <c r="F7" s="77"/>
      <c r="G7" s="78"/>
      <c r="H7" s="10">
        <v>800</v>
      </c>
      <c r="I7" s="11">
        <v>0.25</v>
      </c>
      <c r="J7" s="79" t="s">
        <v>9</v>
      </c>
      <c r="K7" s="10"/>
      <c r="L7" s="10"/>
    </row>
    <row r="8" spans="5:12" x14ac:dyDescent="0.3">
      <c r="E8" s="76" t="s">
        <v>10</v>
      </c>
      <c r="F8" s="77"/>
      <c r="G8" s="78"/>
      <c r="H8" s="10">
        <v>200</v>
      </c>
      <c r="I8" s="11">
        <v>0.2</v>
      </c>
      <c r="J8" s="79"/>
      <c r="K8" s="10"/>
      <c r="L8" s="10"/>
    </row>
    <row r="9" spans="5:12" x14ac:dyDescent="0.3">
      <c r="E9" s="76" t="s">
        <v>11</v>
      </c>
      <c r="F9" s="77"/>
      <c r="G9" s="78"/>
      <c r="H9" s="10">
        <v>1200</v>
      </c>
      <c r="I9" s="11">
        <v>0.3</v>
      </c>
      <c r="J9" s="79"/>
      <c r="K9" s="10">
        <f>+H7+H8+H9</f>
        <v>2200</v>
      </c>
      <c r="L9" s="12">
        <f>+(+H7*I7+H8*I8+H9*I9)/K9</f>
        <v>0.27272727272727271</v>
      </c>
    </row>
    <row r="10" spans="5:12" x14ac:dyDescent="0.3">
      <c r="E10" s="5"/>
      <c r="F10" s="6"/>
      <c r="G10" s="6"/>
      <c r="H10" s="7"/>
      <c r="I10" s="13"/>
      <c r="J10" s="7"/>
      <c r="K10" s="7"/>
      <c r="L10" s="14"/>
    </row>
    <row r="11" spans="5:12" x14ac:dyDescent="0.3">
      <c r="E11" s="76" t="s">
        <v>12</v>
      </c>
      <c r="F11" s="77"/>
      <c r="G11" s="78"/>
      <c r="H11" s="10">
        <v>400</v>
      </c>
      <c r="I11" s="11">
        <v>0.15</v>
      </c>
      <c r="J11" s="79" t="s">
        <v>13</v>
      </c>
      <c r="K11" s="10"/>
      <c r="L11" s="10"/>
    </row>
    <row r="12" spans="5:12" x14ac:dyDescent="0.3">
      <c r="E12" s="76" t="s">
        <v>14</v>
      </c>
      <c r="F12" s="77"/>
      <c r="G12" s="78"/>
      <c r="H12" s="10">
        <v>400</v>
      </c>
      <c r="I12" s="11">
        <v>0.2</v>
      </c>
      <c r="J12" s="79"/>
      <c r="K12" s="10"/>
      <c r="L12" s="10"/>
    </row>
    <row r="13" spans="5:12" x14ac:dyDescent="0.3">
      <c r="E13" s="76" t="s">
        <v>15</v>
      </c>
      <c r="F13" s="77"/>
      <c r="G13" s="78"/>
      <c r="H13" s="10">
        <v>400</v>
      </c>
      <c r="I13" s="11">
        <v>0.1</v>
      </c>
      <c r="J13" s="79"/>
      <c r="K13" s="10">
        <f>+H11+H12+H13</f>
        <v>1200</v>
      </c>
      <c r="L13" s="12">
        <f>+(+H11*I11+H12*I12+H13*I13)/K13</f>
        <v>0.15</v>
      </c>
    </row>
    <row r="14" spans="5:12" x14ac:dyDescent="0.3">
      <c r="E14" s="5"/>
      <c r="F14" s="6"/>
      <c r="G14" s="6"/>
      <c r="H14" s="7"/>
      <c r="I14" s="13"/>
      <c r="J14" s="7"/>
      <c r="K14" s="7"/>
      <c r="L14" s="14"/>
    </row>
    <row r="15" spans="5:12" x14ac:dyDescent="0.3">
      <c r="E15" s="9" t="s">
        <v>16</v>
      </c>
      <c r="F15" s="9"/>
      <c r="G15" s="9"/>
      <c r="H15" s="10">
        <v>1100</v>
      </c>
      <c r="I15" s="15">
        <v>0.127</v>
      </c>
      <c r="J15" s="79" t="s">
        <v>17</v>
      </c>
      <c r="K15" s="10"/>
      <c r="L15" s="10"/>
    </row>
    <row r="16" spans="5:12" x14ac:dyDescent="0.3">
      <c r="E16" s="9" t="s">
        <v>18</v>
      </c>
      <c r="F16" s="9"/>
      <c r="G16" s="9"/>
      <c r="H16" s="10">
        <v>75</v>
      </c>
      <c r="I16" s="15">
        <v>2.5000000000000001E-2</v>
      </c>
      <c r="J16" s="79"/>
      <c r="K16" s="10"/>
      <c r="L16" s="10"/>
    </row>
    <row r="17" spans="2:16" x14ac:dyDescent="0.3">
      <c r="E17" s="9" t="s">
        <v>19</v>
      </c>
      <c r="F17" s="9"/>
      <c r="G17" s="9"/>
      <c r="H17" s="10">
        <v>75</v>
      </c>
      <c r="I17" s="11">
        <v>0.05</v>
      </c>
      <c r="J17" s="79"/>
      <c r="K17" s="10"/>
      <c r="L17" s="10"/>
    </row>
    <row r="18" spans="2:16" x14ac:dyDescent="0.3">
      <c r="E18" s="9" t="s">
        <v>20</v>
      </c>
      <c r="F18" s="9"/>
      <c r="G18" s="9"/>
      <c r="H18" s="10">
        <v>100</v>
      </c>
      <c r="I18" s="11">
        <v>0</v>
      </c>
      <c r="J18" s="79"/>
      <c r="K18" s="10">
        <f>+H17+H15+H16+H18</f>
        <v>1350</v>
      </c>
      <c r="L18" s="12">
        <f>+(H15*I15+H16*I16+H17*I17+H18*I18)/K18</f>
        <v>0.10764814814814815</v>
      </c>
    </row>
    <row r="19" spans="2:16" x14ac:dyDescent="0.3">
      <c r="E19" s="5"/>
      <c r="F19" s="6"/>
      <c r="G19" s="6"/>
      <c r="H19" s="7"/>
      <c r="I19" s="13"/>
      <c r="J19" s="7"/>
      <c r="K19" s="7"/>
      <c r="L19" s="14"/>
    </row>
    <row r="20" spans="2:16" x14ac:dyDescent="0.3">
      <c r="E20" s="76" t="s">
        <v>21</v>
      </c>
      <c r="F20" s="77"/>
      <c r="G20" s="78"/>
      <c r="H20" s="10">
        <v>150</v>
      </c>
      <c r="I20" s="11">
        <v>0</v>
      </c>
      <c r="J20" s="10" t="s">
        <v>21</v>
      </c>
      <c r="K20" s="10">
        <f>+H20</f>
        <v>150</v>
      </c>
      <c r="L20" s="12">
        <f>+I20</f>
        <v>0</v>
      </c>
    </row>
    <row r="21" spans="2:16" x14ac:dyDescent="0.3">
      <c r="E21" s="5"/>
      <c r="F21" s="6"/>
      <c r="G21" s="6"/>
      <c r="H21" s="7"/>
      <c r="I21" s="13"/>
      <c r="J21" s="7"/>
      <c r="K21" s="7"/>
      <c r="L21" s="14"/>
    </row>
    <row r="22" spans="2:16" x14ac:dyDescent="0.3">
      <c r="E22" s="9" t="s">
        <v>22</v>
      </c>
      <c r="F22" s="9"/>
      <c r="G22" s="9"/>
      <c r="H22" s="10">
        <v>1500</v>
      </c>
      <c r="I22" s="11">
        <v>-0.05</v>
      </c>
      <c r="J22" s="10" t="s">
        <v>23</v>
      </c>
      <c r="K22" s="10">
        <f>+H22</f>
        <v>1500</v>
      </c>
      <c r="L22" s="12">
        <f>+I22</f>
        <v>-0.05</v>
      </c>
    </row>
    <row r="23" spans="2:16" x14ac:dyDescent="0.3">
      <c r="E23" s="5"/>
      <c r="F23" s="6"/>
      <c r="G23" s="6"/>
      <c r="H23" s="6"/>
      <c r="I23" s="6"/>
      <c r="J23" s="6"/>
      <c r="K23" s="6"/>
      <c r="L23" s="8"/>
    </row>
    <row r="24" spans="2:16" ht="18" x14ac:dyDescent="0.35">
      <c r="E24" s="16" t="s">
        <v>24</v>
      </c>
      <c r="F24" s="17"/>
      <c r="G24" s="18"/>
      <c r="H24" s="17"/>
      <c r="I24" s="17"/>
      <c r="J24" s="17"/>
      <c r="K24" s="17">
        <f>SUM(K5:K22)</f>
        <v>7000</v>
      </c>
      <c r="L24" s="19">
        <f>+(K5*L5+K9*L9+K13*L13+K18*L18+K20*L20+K22*L22)/K24</f>
        <v>0.14290357142857144</v>
      </c>
    </row>
    <row r="27" spans="2:16" x14ac:dyDescent="0.3">
      <c r="B27" s="2" t="s">
        <v>3</v>
      </c>
      <c r="C27" s="3" t="s">
        <v>1</v>
      </c>
      <c r="D27" s="4" t="s">
        <v>4</v>
      </c>
      <c r="E27" s="3" t="s">
        <v>25</v>
      </c>
      <c r="F27" s="3" t="s">
        <v>26</v>
      </c>
      <c r="G27" s="3" t="s">
        <v>27</v>
      </c>
      <c r="H27" s="3" t="s">
        <v>28</v>
      </c>
      <c r="I27" s="3" t="s">
        <v>29</v>
      </c>
      <c r="J27" s="3" t="s">
        <v>30</v>
      </c>
      <c r="K27" s="3" t="s">
        <v>31</v>
      </c>
      <c r="L27" s="3" t="s">
        <v>32</v>
      </c>
      <c r="M27" s="3" t="s">
        <v>33</v>
      </c>
      <c r="N27" s="20"/>
      <c r="O27" s="20"/>
      <c r="P27" s="21"/>
    </row>
    <row r="28" spans="2:16" x14ac:dyDescent="0.3">
      <c r="B28" s="22"/>
      <c r="C28" s="6"/>
      <c r="D28" s="8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8"/>
    </row>
    <row r="29" spans="2:16" x14ac:dyDescent="0.3">
      <c r="B29" s="23" t="str">
        <f>+[1]PRO!J133</f>
        <v>OBRAS PRELIMINARES</v>
      </c>
      <c r="C29" s="10">
        <f>+[1]PRO!E159</f>
        <v>600</v>
      </c>
      <c r="D29" s="24">
        <f>+[1]PRO!F159</f>
        <v>0.25</v>
      </c>
      <c r="E29" s="25">
        <v>50</v>
      </c>
      <c r="F29" s="25">
        <v>150</v>
      </c>
      <c r="G29" s="25">
        <v>200</v>
      </c>
      <c r="H29" s="25">
        <v>150</v>
      </c>
      <c r="I29" s="25">
        <v>50</v>
      </c>
      <c r="J29" s="26">
        <v>0.25</v>
      </c>
      <c r="K29" s="6"/>
      <c r="L29" s="6"/>
      <c r="M29" s="6"/>
      <c r="N29" s="6"/>
      <c r="O29" s="6"/>
      <c r="P29" s="8"/>
    </row>
    <row r="30" spans="2:16" x14ac:dyDescent="0.3">
      <c r="B30" s="27"/>
      <c r="C30" s="7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8"/>
    </row>
    <row r="31" spans="2:16" x14ac:dyDescent="0.3">
      <c r="B31" s="23" t="str">
        <f>+[1]PRO!J136</f>
        <v>MOVIMIENTO DE TIERRAS</v>
      </c>
      <c r="C31" s="10">
        <f>+[1]PRO!E163</f>
        <v>2200</v>
      </c>
      <c r="D31" s="24">
        <f>+[1]PRO!F163</f>
        <v>0.27272727272727271</v>
      </c>
      <c r="E31" s="6"/>
      <c r="F31" s="25">
        <v>200</v>
      </c>
      <c r="G31" s="25">
        <v>500</v>
      </c>
      <c r="H31" s="25">
        <v>800</v>
      </c>
      <c r="I31" s="25">
        <v>500</v>
      </c>
      <c r="J31" s="25">
        <v>200</v>
      </c>
      <c r="K31" s="28">
        <v>0.2727</v>
      </c>
      <c r="L31" s="6"/>
      <c r="M31" s="6"/>
      <c r="N31" s="6"/>
      <c r="O31" s="6"/>
      <c r="P31" s="8"/>
    </row>
    <row r="32" spans="2:16" x14ac:dyDescent="0.3">
      <c r="B32" s="27"/>
      <c r="C32" s="7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8"/>
    </row>
    <row r="33" spans="2:16" x14ac:dyDescent="0.3">
      <c r="B33" s="23" t="str">
        <f>+[1]PRO!J140</f>
        <v>MATERIAL GRANULAR</v>
      </c>
      <c r="C33" s="10">
        <f>+[1]PRO!E167</f>
        <v>1200</v>
      </c>
      <c r="D33" s="24">
        <f>+[1]PRO!F167</f>
        <v>0.15</v>
      </c>
      <c r="E33" s="6"/>
      <c r="F33" s="6"/>
      <c r="G33" s="6"/>
      <c r="H33" s="6"/>
      <c r="I33" s="25">
        <v>300</v>
      </c>
      <c r="J33" s="25">
        <v>600</v>
      </c>
      <c r="K33" s="25">
        <v>300</v>
      </c>
      <c r="L33" s="26">
        <v>0.15</v>
      </c>
      <c r="M33" s="6"/>
      <c r="N33" s="6"/>
      <c r="O33" s="6"/>
      <c r="P33" s="29">
        <v>0.14299999999999999</v>
      </c>
    </row>
    <row r="34" spans="2:16" x14ac:dyDescent="0.3">
      <c r="B34" s="27"/>
      <c r="C34" s="7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8"/>
    </row>
    <row r="35" spans="2:16" x14ac:dyDescent="0.3">
      <c r="B35" s="23" t="str">
        <f>+[1]PRO!J144</f>
        <v>CARPETA ASFALTICA</v>
      </c>
      <c r="C35" s="10">
        <f>+[1]PRO!E172</f>
        <v>1350</v>
      </c>
      <c r="D35" s="24">
        <f>+[1]PRO!F172</f>
        <v>0.10764814814814815</v>
      </c>
      <c r="E35" s="6"/>
      <c r="F35" s="6"/>
      <c r="G35" s="6"/>
      <c r="H35" s="6"/>
      <c r="I35" s="6"/>
      <c r="J35" s="6"/>
      <c r="K35" s="25">
        <v>675</v>
      </c>
      <c r="L35" s="25">
        <v>675</v>
      </c>
      <c r="M35" s="28">
        <v>0.1074</v>
      </c>
      <c r="N35" s="6"/>
      <c r="O35" s="6"/>
      <c r="P35" s="8"/>
    </row>
    <row r="36" spans="2:16" x14ac:dyDescent="0.3">
      <c r="B36" s="27"/>
      <c r="C36" s="7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8"/>
    </row>
    <row r="37" spans="2:16" x14ac:dyDescent="0.3">
      <c r="B37" s="23" t="s">
        <v>23</v>
      </c>
      <c r="C37" s="10">
        <f>+[1]PRO!E176</f>
        <v>1500</v>
      </c>
      <c r="D37" s="24">
        <f>+[1]PRO!F176</f>
        <v>-0.05</v>
      </c>
      <c r="E37" s="6"/>
      <c r="F37" s="6"/>
      <c r="G37" s="6"/>
      <c r="H37" s="25">
        <v>100</v>
      </c>
      <c r="I37" s="25">
        <v>400</v>
      </c>
      <c r="J37" s="25">
        <v>500</v>
      </c>
      <c r="K37" s="25">
        <v>400</v>
      </c>
      <c r="L37" s="25">
        <v>100</v>
      </c>
      <c r="M37" s="26">
        <v>-0.05</v>
      </c>
      <c r="N37" s="6"/>
      <c r="O37" s="6"/>
      <c r="P37" s="8"/>
    </row>
    <row r="38" spans="2:16" x14ac:dyDescent="0.3">
      <c r="B38" s="27"/>
      <c r="C38" s="7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8"/>
    </row>
    <row r="39" spans="2:16" x14ac:dyDescent="0.3">
      <c r="B39" s="23" t="s">
        <v>21</v>
      </c>
      <c r="C39" s="10">
        <f>+[1]PRO!E174</f>
        <v>150</v>
      </c>
      <c r="D39" s="10">
        <f>+[1]PRO!F174</f>
        <v>0</v>
      </c>
      <c r="E39" s="6"/>
      <c r="F39" s="6"/>
      <c r="G39" s="6"/>
      <c r="H39" s="6"/>
      <c r="I39" s="6"/>
      <c r="J39" s="6"/>
      <c r="K39" s="6"/>
      <c r="L39" s="25">
        <v>75</v>
      </c>
      <c r="M39" s="25">
        <v>75</v>
      </c>
      <c r="N39" s="26">
        <v>0</v>
      </c>
      <c r="O39" s="6"/>
      <c r="P39" s="8"/>
    </row>
    <row r="40" spans="2:16" x14ac:dyDescent="0.3"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2"/>
    </row>
    <row r="41" spans="2:16" x14ac:dyDescent="0.3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8"/>
    </row>
    <row r="42" spans="2:16" x14ac:dyDescent="0.3">
      <c r="B42" s="5" t="s">
        <v>1</v>
      </c>
      <c r="C42" s="6"/>
      <c r="D42" s="6"/>
      <c r="E42" s="6">
        <f>SUM(E29:E39)</f>
        <v>50</v>
      </c>
      <c r="F42" s="33">
        <f t="shared" ref="F42:M42" si="0">SUM(F29:F39)</f>
        <v>350</v>
      </c>
      <c r="G42" s="33">
        <f t="shared" si="0"/>
        <v>700</v>
      </c>
      <c r="H42" s="33">
        <f t="shared" si="0"/>
        <v>1050</v>
      </c>
      <c r="I42" s="33">
        <f t="shared" si="0"/>
        <v>1250</v>
      </c>
      <c r="J42" s="33">
        <f t="shared" si="0"/>
        <v>1300.25</v>
      </c>
      <c r="K42" s="33">
        <f t="shared" si="0"/>
        <v>1375.2727</v>
      </c>
      <c r="L42" s="33">
        <f t="shared" si="0"/>
        <v>850.15</v>
      </c>
      <c r="M42" s="33">
        <f t="shared" si="0"/>
        <v>75.057400000000001</v>
      </c>
      <c r="N42" s="6"/>
      <c r="O42" s="6"/>
      <c r="P42" s="8"/>
    </row>
    <row r="43" spans="2:16" x14ac:dyDescent="0.3">
      <c r="B43" s="5" t="s">
        <v>34</v>
      </c>
      <c r="C43" s="6"/>
      <c r="E43" s="33">
        <f>+(E29*(1-$J29)+E31*(1-$K31)+E33*(1-$L33)+E35*(1-$M35)+E37*(1-$M37)+E39*(1-$N39))</f>
        <v>37.5</v>
      </c>
      <c r="F43" s="33">
        <f t="shared" ref="F43:M43" si="1">+(F29*(1-$J29)+F31*(1-$K31)+F33*(1-$L33)+F35*(1-$M35)+F37*(1-$M37)+F39*(1-$N39))</f>
        <v>257.96000000000004</v>
      </c>
      <c r="G43" s="33">
        <f t="shared" si="1"/>
        <v>513.65000000000009</v>
      </c>
      <c r="H43" s="33">
        <f t="shared" si="1"/>
        <v>799.34</v>
      </c>
      <c r="I43" s="33">
        <f t="shared" si="1"/>
        <v>1076.1500000000001</v>
      </c>
      <c r="J43" s="33">
        <f t="shared" si="1"/>
        <v>1180.6475</v>
      </c>
      <c r="K43" s="33">
        <f t="shared" si="1"/>
        <v>1277.70333471</v>
      </c>
      <c r="L43" s="33">
        <f t="shared" si="1"/>
        <v>782.63250000000005</v>
      </c>
      <c r="M43" s="33">
        <f t="shared" si="1"/>
        <v>75.04336524</v>
      </c>
      <c r="N43" s="6"/>
      <c r="O43" s="6"/>
      <c r="P43" s="8"/>
    </row>
    <row r="44" spans="2:16" x14ac:dyDescent="0.3">
      <c r="B44" s="5" t="s">
        <v>4</v>
      </c>
      <c r="C44" s="6"/>
      <c r="D44" s="6"/>
      <c r="E44" s="33">
        <f>+E42-E43</f>
        <v>12.5</v>
      </c>
      <c r="F44" s="33">
        <f t="shared" ref="F44:M44" si="2">+F42-F43</f>
        <v>92.039999999999964</v>
      </c>
      <c r="G44" s="33">
        <f t="shared" si="2"/>
        <v>186.34999999999991</v>
      </c>
      <c r="H44" s="33">
        <f t="shared" si="2"/>
        <v>250.65999999999997</v>
      </c>
      <c r="I44" s="33">
        <f t="shared" si="2"/>
        <v>173.84999999999991</v>
      </c>
      <c r="J44" s="33">
        <f t="shared" si="2"/>
        <v>119.60249999999996</v>
      </c>
      <c r="K44" s="33">
        <f t="shared" si="2"/>
        <v>97.569365289999951</v>
      </c>
      <c r="L44" s="33">
        <f t="shared" si="2"/>
        <v>67.517499999999927</v>
      </c>
      <c r="M44" s="33">
        <f t="shared" si="2"/>
        <v>1.4034760000001256E-2</v>
      </c>
      <c r="N44" s="6"/>
      <c r="O44" s="6"/>
      <c r="P44" s="8"/>
    </row>
    <row r="45" spans="2:16" ht="15" thickBot="1" x14ac:dyDescent="0.35">
      <c r="B45" s="34" t="s">
        <v>35</v>
      </c>
      <c r="C45" s="6"/>
      <c r="D45" s="6"/>
      <c r="E45" s="35">
        <f>+E44/E42</f>
        <v>0.25</v>
      </c>
      <c r="F45" s="35">
        <f t="shared" ref="F45:M45" si="3">+F44/F42</f>
        <v>0.26297142857142847</v>
      </c>
      <c r="G45" s="35">
        <f t="shared" si="3"/>
        <v>0.26621428571428557</v>
      </c>
      <c r="H45" s="35">
        <f t="shared" si="3"/>
        <v>0.2387238095238095</v>
      </c>
      <c r="I45" s="35">
        <f t="shared" si="3"/>
        <v>0.13907999999999993</v>
      </c>
      <c r="J45" s="35">
        <f t="shared" si="3"/>
        <v>9.1984233801192056E-2</v>
      </c>
      <c r="K45" s="35">
        <f t="shared" si="3"/>
        <v>7.0945467971552073E-2</v>
      </c>
      <c r="L45" s="35">
        <f t="shared" si="3"/>
        <v>7.9418337940363376E-2</v>
      </c>
      <c r="M45" s="35">
        <f t="shared" si="3"/>
        <v>1.8698702592950537E-4</v>
      </c>
      <c r="N45" s="6"/>
      <c r="O45" s="6"/>
      <c r="P45" s="8"/>
    </row>
    <row r="46" spans="2:16" x14ac:dyDescent="0.3">
      <c r="B46" s="5" t="s">
        <v>36</v>
      </c>
      <c r="C46" s="6"/>
      <c r="D46" s="6"/>
      <c r="E46" s="6">
        <f>+E42</f>
        <v>50</v>
      </c>
      <c r="F46" s="33">
        <f>+E46+F42</f>
        <v>400</v>
      </c>
      <c r="G46" s="33">
        <f t="shared" ref="G46:M47" si="4">+F46+G42</f>
        <v>1100</v>
      </c>
      <c r="H46" s="33">
        <f t="shared" si="4"/>
        <v>2150</v>
      </c>
      <c r="I46" s="33">
        <f t="shared" si="4"/>
        <v>3400</v>
      </c>
      <c r="J46" s="33">
        <f t="shared" si="4"/>
        <v>4700.25</v>
      </c>
      <c r="K46" s="33">
        <f t="shared" si="4"/>
        <v>6075.5226999999995</v>
      </c>
      <c r="L46" s="33">
        <f t="shared" si="4"/>
        <v>6925.6726999999992</v>
      </c>
      <c r="M46" s="33">
        <f t="shared" si="4"/>
        <v>7000.7300999999989</v>
      </c>
      <c r="N46" s="6"/>
      <c r="O46" s="6"/>
      <c r="P46" s="8"/>
    </row>
    <row r="47" spans="2:16" x14ac:dyDescent="0.3">
      <c r="B47" s="5" t="s">
        <v>37</v>
      </c>
      <c r="C47" s="6"/>
      <c r="D47" s="6"/>
      <c r="E47" s="33">
        <f>+E43</f>
        <v>37.5</v>
      </c>
      <c r="F47" s="33">
        <f>+E47+F43</f>
        <v>295.46000000000004</v>
      </c>
      <c r="G47" s="33">
        <f t="shared" si="4"/>
        <v>809.11000000000013</v>
      </c>
      <c r="H47" s="33">
        <f t="shared" si="4"/>
        <v>1608.4500000000003</v>
      </c>
      <c r="I47" s="33">
        <f t="shared" si="4"/>
        <v>2684.6000000000004</v>
      </c>
      <c r="J47" s="33">
        <f t="shared" si="4"/>
        <v>3865.2475000000004</v>
      </c>
      <c r="K47" s="33">
        <f t="shared" si="4"/>
        <v>5142.95083471</v>
      </c>
      <c r="L47" s="33">
        <f t="shared" si="4"/>
        <v>5925.5833347099997</v>
      </c>
      <c r="M47" s="33">
        <f t="shared" si="4"/>
        <v>6000.6266999499994</v>
      </c>
      <c r="N47" s="6"/>
      <c r="O47" s="6"/>
      <c r="P47" s="8"/>
    </row>
    <row r="48" spans="2:16" x14ac:dyDescent="0.3">
      <c r="B48" s="5" t="s">
        <v>38</v>
      </c>
      <c r="C48" s="6"/>
      <c r="D48" s="6"/>
      <c r="E48" s="33">
        <f>+E46-E47</f>
        <v>12.5</v>
      </c>
      <c r="F48" s="33">
        <f t="shared" ref="F48:M48" si="5">+F46-F47</f>
        <v>104.53999999999996</v>
      </c>
      <c r="G48" s="33">
        <f t="shared" si="5"/>
        <v>290.88999999999987</v>
      </c>
      <c r="H48" s="33">
        <f t="shared" si="5"/>
        <v>541.54999999999973</v>
      </c>
      <c r="I48" s="33">
        <f t="shared" si="5"/>
        <v>715.39999999999964</v>
      </c>
      <c r="J48" s="33">
        <f t="shared" si="5"/>
        <v>835.0024999999996</v>
      </c>
      <c r="K48" s="33">
        <f t="shared" si="5"/>
        <v>932.57186528999955</v>
      </c>
      <c r="L48" s="33">
        <f t="shared" si="5"/>
        <v>1000.0893652899995</v>
      </c>
      <c r="M48" s="33">
        <f t="shared" si="5"/>
        <v>1000.1034000499994</v>
      </c>
      <c r="N48" s="6"/>
      <c r="O48" s="6"/>
      <c r="P48" s="8"/>
    </row>
    <row r="49" spans="2:16" x14ac:dyDescent="0.3">
      <c r="B49" s="36" t="s">
        <v>39</v>
      </c>
      <c r="C49" s="31"/>
      <c r="D49" s="31"/>
      <c r="E49" s="37">
        <f>+E48/E46</f>
        <v>0.25</v>
      </c>
      <c r="F49" s="37">
        <f t="shared" ref="F49:M49" si="6">+F48/F46</f>
        <v>0.26134999999999992</v>
      </c>
      <c r="G49" s="37">
        <f t="shared" si="6"/>
        <v>0.26444545454545443</v>
      </c>
      <c r="H49" s="37">
        <f t="shared" si="6"/>
        <v>0.25188372093023242</v>
      </c>
      <c r="I49" s="37">
        <f t="shared" si="6"/>
        <v>0.21041176470588224</v>
      </c>
      <c r="J49" s="37">
        <f t="shared" si="6"/>
        <v>0.1776506568799531</v>
      </c>
      <c r="K49" s="37">
        <f t="shared" si="6"/>
        <v>0.15349656504287271</v>
      </c>
      <c r="L49" s="37">
        <f t="shared" si="6"/>
        <v>0.14440320942253013</v>
      </c>
      <c r="M49" s="38">
        <f t="shared" si="6"/>
        <v>0.14285701430626493</v>
      </c>
      <c r="N49" s="31"/>
      <c r="O49" s="31"/>
      <c r="P49" s="32"/>
    </row>
    <row r="51" spans="2:16" ht="15" thickBot="1" x14ac:dyDescent="0.35"/>
    <row r="52" spans="2:16" ht="29.4" thickBot="1" x14ac:dyDescent="0.35">
      <c r="B52" s="39" t="s">
        <v>40</v>
      </c>
      <c r="C52" s="40" t="s">
        <v>41</v>
      </c>
      <c r="D52" s="41" t="s">
        <v>29</v>
      </c>
      <c r="E52" s="41" t="s">
        <v>30</v>
      </c>
      <c r="F52" s="41" t="s">
        <v>31</v>
      </c>
      <c r="G52" s="41" t="s">
        <v>32</v>
      </c>
      <c r="H52" s="42" t="s">
        <v>33</v>
      </c>
    </row>
    <row r="53" spans="2:16" x14ac:dyDescent="0.3">
      <c r="B53" s="43" t="s">
        <v>1</v>
      </c>
      <c r="C53" s="44">
        <f>SUM(E42:H42)</f>
        <v>2150</v>
      </c>
      <c r="D53" s="45">
        <f>+I42</f>
        <v>1250</v>
      </c>
      <c r="E53" s="45">
        <f t="shared" ref="E53:H54" si="7">+J42</f>
        <v>1300.25</v>
      </c>
      <c r="F53" s="45">
        <f t="shared" si="7"/>
        <v>1375.2727</v>
      </c>
      <c r="G53" s="45">
        <f t="shared" si="7"/>
        <v>850.15</v>
      </c>
      <c r="H53" s="46">
        <f t="shared" si="7"/>
        <v>75.057400000000001</v>
      </c>
    </row>
    <row r="54" spans="2:16" x14ac:dyDescent="0.3">
      <c r="B54" s="47" t="s">
        <v>34</v>
      </c>
      <c r="C54" s="48">
        <f>SUM(E43:H43)</f>
        <v>1608.4500000000003</v>
      </c>
      <c r="D54" s="49">
        <f>+I43</f>
        <v>1076.1500000000001</v>
      </c>
      <c r="E54" s="49">
        <f t="shared" si="7"/>
        <v>1180.6475</v>
      </c>
      <c r="F54" s="49">
        <f t="shared" si="7"/>
        <v>1277.70333471</v>
      </c>
      <c r="G54" s="49">
        <f t="shared" si="7"/>
        <v>782.63250000000005</v>
      </c>
      <c r="H54" s="50">
        <f t="shared" si="7"/>
        <v>75.04336524</v>
      </c>
    </row>
    <row r="55" spans="2:16" x14ac:dyDescent="0.3">
      <c r="B55" s="47"/>
      <c r="C55" s="51"/>
      <c r="D55" s="9"/>
      <c r="E55" s="9"/>
      <c r="F55" s="9"/>
      <c r="G55" s="9"/>
      <c r="H55" s="52"/>
    </row>
    <row r="56" spans="2:16" x14ac:dyDescent="0.3">
      <c r="B56" s="47" t="s">
        <v>42</v>
      </c>
      <c r="C56" s="48">
        <f>+C53*(1-C59)</f>
        <v>1842.8574192415304</v>
      </c>
      <c r="D56" s="49">
        <f>+D53*(1-M49)</f>
        <v>1071.4287321171687</v>
      </c>
      <c r="E56" s="49">
        <f>+E53*(1-M49)</f>
        <v>1114.5001671482789</v>
      </c>
      <c r="F56" s="49">
        <f>+F53*(1-M49)</f>
        <v>1178.8053482210844</v>
      </c>
      <c r="G56" s="49">
        <f>+G53*(1-M49)</f>
        <v>728.70010928752879</v>
      </c>
      <c r="H56" s="50">
        <f>+H53*(1-M49)</f>
        <v>64.334923934408948</v>
      </c>
    </row>
    <row r="57" spans="2:16" x14ac:dyDescent="0.3">
      <c r="B57" s="47" t="s">
        <v>43</v>
      </c>
      <c r="C57" s="53">
        <f>+C56-C54</f>
        <v>234.40741924153008</v>
      </c>
      <c r="D57" s="49">
        <f t="shared" ref="D57:H57" si="8">+D56-D54</f>
        <v>-4.7212678828313983</v>
      </c>
      <c r="E57" s="49">
        <f t="shared" si="8"/>
        <v>-66.147332851721103</v>
      </c>
      <c r="F57" s="49">
        <f t="shared" si="8"/>
        <v>-98.897986488915649</v>
      </c>
      <c r="G57" s="49">
        <f t="shared" si="8"/>
        <v>-53.93239071247126</v>
      </c>
      <c r="H57" s="50">
        <f t="shared" si="8"/>
        <v>-10.708441305591052</v>
      </c>
    </row>
    <row r="58" spans="2:16" x14ac:dyDescent="0.3">
      <c r="B58" s="47"/>
      <c r="C58" s="51"/>
      <c r="D58" s="9"/>
      <c r="E58" s="9"/>
      <c r="F58" s="9"/>
      <c r="G58" s="9"/>
      <c r="H58" s="52"/>
    </row>
    <row r="59" spans="2:16" ht="15" thickBot="1" x14ac:dyDescent="0.35">
      <c r="B59" s="54" t="s">
        <v>44</v>
      </c>
      <c r="C59" s="55">
        <f>+$M$49</f>
        <v>0.14285701430626493</v>
      </c>
      <c r="D59" s="56">
        <f t="shared" ref="D59:H59" si="9">+$M$49</f>
        <v>0.14285701430626493</v>
      </c>
      <c r="E59" s="56">
        <f t="shared" si="9"/>
        <v>0.14285701430626493</v>
      </c>
      <c r="F59" s="56">
        <f t="shared" si="9"/>
        <v>0.14285701430626493</v>
      </c>
      <c r="G59" s="56">
        <f t="shared" si="9"/>
        <v>0.14285701430626493</v>
      </c>
      <c r="H59" s="57">
        <f t="shared" si="9"/>
        <v>0.14285701430626493</v>
      </c>
    </row>
    <row r="62" spans="2:16" ht="15" thickBot="1" x14ac:dyDescent="0.35"/>
    <row r="63" spans="2:16" ht="43.2" x14ac:dyDescent="0.3">
      <c r="C63" s="80" t="s">
        <v>45</v>
      </c>
      <c r="D63" s="81"/>
      <c r="E63" s="58" t="s">
        <v>46</v>
      </c>
      <c r="F63" s="58" t="s">
        <v>47</v>
      </c>
      <c r="G63" s="58" t="s">
        <v>48</v>
      </c>
      <c r="H63" s="58" t="s">
        <v>49</v>
      </c>
      <c r="I63" s="59" t="s">
        <v>50</v>
      </c>
      <c r="K63" s="60" t="s">
        <v>51</v>
      </c>
      <c r="L63" s="60" t="s">
        <v>52</v>
      </c>
    </row>
    <row r="64" spans="2:16" x14ac:dyDescent="0.3">
      <c r="C64" s="72" t="str">
        <f>+B29</f>
        <v>OBRAS PRELIMINARES</v>
      </c>
      <c r="D64" s="73"/>
      <c r="E64" s="9">
        <f>SUM(E29:H29)</f>
        <v>550</v>
      </c>
      <c r="F64" s="61">
        <f>+J29</f>
        <v>0.25</v>
      </c>
      <c r="G64" s="62">
        <f>+$C$59</f>
        <v>0.14285701430626493</v>
      </c>
      <c r="H64" s="63">
        <f>+G64-F64</f>
        <v>-0.10714298569373507</v>
      </c>
      <c r="I64" s="64">
        <f>+H64*E64</f>
        <v>-58.928642131554284</v>
      </c>
      <c r="K64" s="9">
        <v>234</v>
      </c>
      <c r="L64" s="9"/>
      <c r="M64" s="1" t="s">
        <v>43</v>
      </c>
    </row>
    <row r="65" spans="3:13" x14ac:dyDescent="0.3">
      <c r="C65" s="65"/>
      <c r="D65" s="66"/>
      <c r="E65" s="6"/>
      <c r="F65" s="6"/>
      <c r="G65" s="67"/>
      <c r="H65" s="63"/>
      <c r="I65" s="68"/>
      <c r="K65" s="9"/>
      <c r="L65" s="9">
        <v>234</v>
      </c>
      <c r="M65" s="1" t="s">
        <v>53</v>
      </c>
    </row>
    <row r="66" spans="3:13" x14ac:dyDescent="0.3">
      <c r="C66" s="72" t="str">
        <f>+B31</f>
        <v>MOVIMIENTO DE TIERRAS</v>
      </c>
      <c r="D66" s="73"/>
      <c r="E66" s="9">
        <f>SUM(E31:H31)</f>
        <v>1500</v>
      </c>
      <c r="F66" s="61">
        <f>+K31</f>
        <v>0.2727</v>
      </c>
      <c r="G66" s="62">
        <f t="shared" ref="G66:G74" si="10">+$C$59</f>
        <v>0.14285701430626493</v>
      </c>
      <c r="H66" s="63">
        <f t="shared" ref="H66:H74" si="11">+G66-F66</f>
        <v>-0.12984298569373506</v>
      </c>
      <c r="I66" s="64">
        <f t="shared" ref="I66:I74" si="12">+H66*E66</f>
        <v>-194.7644785406026</v>
      </c>
      <c r="K66" s="1">
        <f>+K64+K65</f>
        <v>234</v>
      </c>
      <c r="L66" s="1">
        <f>+L64+L65</f>
        <v>234</v>
      </c>
    </row>
    <row r="67" spans="3:13" x14ac:dyDescent="0.3">
      <c r="C67" s="74"/>
      <c r="D67" s="75"/>
      <c r="E67" s="6"/>
      <c r="F67" s="6"/>
      <c r="G67" s="67"/>
      <c r="H67" s="63"/>
      <c r="I67" s="68"/>
      <c r="K67" s="1">
        <v>0</v>
      </c>
      <c r="L67" s="1">
        <v>0</v>
      </c>
      <c r="M67" s="1" t="s">
        <v>54</v>
      </c>
    </row>
    <row r="68" spans="3:13" x14ac:dyDescent="0.3">
      <c r="C68" s="72" t="str">
        <f>+B33</f>
        <v>MATERIAL GRANULAR</v>
      </c>
      <c r="D68" s="73"/>
      <c r="E68" s="9">
        <f t="shared" ref="E68:E74" si="13">SUM(E33:H33)</f>
        <v>0</v>
      </c>
      <c r="F68" s="61">
        <f>+L33</f>
        <v>0.15</v>
      </c>
      <c r="G68" s="62">
        <f t="shared" si="10"/>
        <v>0.14285701430626493</v>
      </c>
      <c r="H68" s="63">
        <f t="shared" si="11"/>
        <v>-7.14298569373506E-3</v>
      </c>
      <c r="I68" s="64">
        <f t="shared" si="12"/>
        <v>0</v>
      </c>
      <c r="K68" s="9">
        <f>+K66+K67</f>
        <v>234</v>
      </c>
      <c r="L68" s="9">
        <f>+L66+L67</f>
        <v>234</v>
      </c>
      <c r="M68" s="1" t="s">
        <v>24</v>
      </c>
    </row>
    <row r="69" spans="3:13" x14ac:dyDescent="0.3">
      <c r="C69" s="74"/>
      <c r="D69" s="75"/>
      <c r="E69" s="6"/>
      <c r="F69" s="6"/>
      <c r="G69" s="67"/>
      <c r="H69" s="63"/>
      <c r="I69" s="68"/>
    </row>
    <row r="70" spans="3:13" x14ac:dyDescent="0.3">
      <c r="C70" s="72" t="str">
        <f>+B35</f>
        <v>CARPETA ASFALTICA</v>
      </c>
      <c r="D70" s="73"/>
      <c r="E70" s="9">
        <f t="shared" si="13"/>
        <v>0</v>
      </c>
      <c r="F70" s="61">
        <f>+M35</f>
        <v>0.1074</v>
      </c>
      <c r="G70" s="62">
        <f t="shared" si="10"/>
        <v>0.14285701430626493</v>
      </c>
      <c r="H70" s="63">
        <f t="shared" si="11"/>
        <v>3.5457014306264939E-2</v>
      </c>
      <c r="I70" s="64">
        <f t="shared" si="12"/>
        <v>0</v>
      </c>
    </row>
    <row r="71" spans="3:13" x14ac:dyDescent="0.3">
      <c r="C71" s="74"/>
      <c r="D71" s="75"/>
      <c r="E71" s="6"/>
      <c r="F71" s="6"/>
      <c r="G71" s="67"/>
      <c r="H71" s="63"/>
      <c r="I71" s="68"/>
    </row>
    <row r="72" spans="3:13" x14ac:dyDescent="0.3">
      <c r="C72" s="72" t="str">
        <f>+B37</f>
        <v>OBRAS DE ARTE</v>
      </c>
      <c r="D72" s="73"/>
      <c r="E72" s="9">
        <f t="shared" si="13"/>
        <v>100</v>
      </c>
      <c r="F72" s="61">
        <f>+M37</f>
        <v>-0.05</v>
      </c>
      <c r="G72" s="62">
        <f t="shared" si="10"/>
        <v>0.14285701430626493</v>
      </c>
      <c r="H72" s="63">
        <f t="shared" si="11"/>
        <v>0.19285701430626495</v>
      </c>
      <c r="I72" s="64">
        <f t="shared" si="12"/>
        <v>19.285701430626496</v>
      </c>
    </row>
    <row r="73" spans="3:13" x14ac:dyDescent="0.3">
      <c r="C73" s="74"/>
      <c r="D73" s="75"/>
      <c r="E73" s="6"/>
      <c r="F73" s="6"/>
      <c r="G73" s="67"/>
      <c r="H73" s="63"/>
      <c r="I73" s="68"/>
    </row>
    <row r="74" spans="3:13" ht="15" thickBot="1" x14ac:dyDescent="0.35">
      <c r="C74" s="72" t="str">
        <f>+B39</f>
        <v>SEÑALIZACION</v>
      </c>
      <c r="D74" s="73"/>
      <c r="E74" s="9">
        <f t="shared" si="13"/>
        <v>0</v>
      </c>
      <c r="F74" s="61">
        <f>+N39</f>
        <v>0</v>
      </c>
      <c r="G74" s="62">
        <f t="shared" si="10"/>
        <v>0.14285701430626493</v>
      </c>
      <c r="H74" s="63">
        <f t="shared" si="11"/>
        <v>0.14285701430626493</v>
      </c>
      <c r="I74" s="64">
        <f t="shared" si="12"/>
        <v>0</v>
      </c>
    </row>
    <row r="75" spans="3:13" ht="16.2" thickBot="1" x14ac:dyDescent="0.35">
      <c r="C75" s="69" t="s">
        <v>24</v>
      </c>
      <c r="D75" s="70"/>
      <c r="E75" s="70">
        <f>SUM(E64:E74)</f>
        <v>2150</v>
      </c>
      <c r="F75" s="70"/>
      <c r="G75" s="70"/>
      <c r="H75" s="70"/>
      <c r="I75" s="71">
        <f>SUM(I64:I74)</f>
        <v>-234.40741924153039</v>
      </c>
    </row>
  </sheetData>
  <mergeCells count="23">
    <mergeCell ref="J4:J5"/>
    <mergeCell ref="E5:G5"/>
    <mergeCell ref="E7:G7"/>
    <mergeCell ref="J7:J9"/>
    <mergeCell ref="E8:G8"/>
    <mergeCell ref="E9:G9"/>
    <mergeCell ref="C69:D69"/>
    <mergeCell ref="E11:G11"/>
    <mergeCell ref="J11:J13"/>
    <mergeCell ref="E12:G12"/>
    <mergeCell ref="E13:G13"/>
    <mergeCell ref="J15:J18"/>
    <mergeCell ref="E20:G20"/>
    <mergeCell ref="C63:D63"/>
    <mergeCell ref="C64:D64"/>
    <mergeCell ref="C66:D66"/>
    <mergeCell ref="C67:D67"/>
    <mergeCell ref="C68:D68"/>
    <mergeCell ref="C70:D70"/>
    <mergeCell ref="C71:D71"/>
    <mergeCell ref="C72:D72"/>
    <mergeCell ref="C73:D73"/>
    <mergeCell ref="C74:D7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HECHO DIF MARGENES POR FASE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</dc:creator>
  <cp:lastModifiedBy>dante</cp:lastModifiedBy>
  <dcterms:created xsi:type="dcterms:W3CDTF">2018-05-22T00:37:15Z</dcterms:created>
  <dcterms:modified xsi:type="dcterms:W3CDTF">2021-08-28T23:26:26Z</dcterms:modified>
</cp:coreProperties>
</file>