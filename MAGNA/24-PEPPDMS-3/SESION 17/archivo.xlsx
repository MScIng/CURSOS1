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lyn - Doc\Planificación minera - curso\Módulos\Módulo VII\"/>
    </mc:Choice>
  </mc:AlternateContent>
  <xr:revisionPtr revIDLastSave="0" documentId="13_ncr:1_{2DE49711-0642-4190-BFCC-93AAA42BB6C9}" xr6:coauthVersionLast="47" xr6:coauthVersionMax="47" xr10:uidLastSave="{00000000-0000-0000-0000-000000000000}"/>
  <bookViews>
    <workbookView xWindow="-108" yWindow="-108" windowWidth="23256" windowHeight="12576" xr2:uid="{B8F42E45-86E4-4EF0-ADC6-3471EC18DBD9}"/>
  </bookViews>
  <sheets>
    <sheet name="Taj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22" i="1"/>
  <c r="C23" i="1"/>
  <c r="C21" i="1"/>
</calcChain>
</file>

<file path=xl/sharedStrings.xml><?xml version="1.0" encoding="utf-8"?>
<sst xmlns="http://schemas.openxmlformats.org/spreadsheetml/2006/main" count="34" uniqueCount="32">
  <si>
    <t xml:space="preserve">Bourden </t>
  </si>
  <si>
    <t xml:space="preserve">Espacimiento </t>
  </si>
  <si>
    <t xml:space="preserve">Datos de una Mina en Operación </t>
  </si>
  <si>
    <t xml:space="preserve">Diámetro </t>
  </si>
  <si>
    <t>mm.</t>
  </si>
  <si>
    <t>m.</t>
  </si>
  <si>
    <t>Dureza de la roca</t>
  </si>
  <si>
    <t>Explosivos</t>
  </si>
  <si>
    <t>gg/cc</t>
  </si>
  <si>
    <t>media</t>
  </si>
  <si>
    <t>Anfo</t>
  </si>
  <si>
    <t xml:space="preserve">Densidad </t>
  </si>
  <si>
    <t>Variables</t>
  </si>
  <si>
    <t xml:space="preserve">Valor </t>
  </si>
  <si>
    <t>Unidad</t>
  </si>
  <si>
    <t>Ash (1963)</t>
  </si>
  <si>
    <t>Densidad de explosivo baja y dureza media K = 25</t>
  </si>
  <si>
    <t>Burden (m)</t>
  </si>
  <si>
    <t>Autor</t>
  </si>
  <si>
    <t>Parámetros asociadas.</t>
  </si>
  <si>
    <t>Rustan (1990)</t>
  </si>
  <si>
    <t>Densidad de la roca (mineral</t>
  </si>
  <si>
    <t>Konya (1983)</t>
  </si>
  <si>
    <t>Langefors</t>
  </si>
  <si>
    <t>Todos los burden son calculados para un diámetro de perforación de 64 mm.</t>
  </si>
  <si>
    <t xml:space="preserve">Alcance de la fragmentación con una cara libre adecuada es de 40 metros. </t>
  </si>
  <si>
    <t>Relación por alcance.</t>
  </si>
  <si>
    <t>PRP</t>
  </si>
  <si>
    <t>%</t>
  </si>
  <si>
    <t>Buzamiento</t>
  </si>
  <si>
    <t>°</t>
  </si>
  <si>
    <t>PRP del ANFO es 1, 70° es 2.7: 1 entonces el f=0.9 y el factor k = 0.45 kg/m3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</si>
</sst>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haroni"/>
      <charset val="177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0" fontId="2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left" indent="1"/>
    </xf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left" indent="1"/>
    </xf>
    <xf numFmtId="0" fontId="3" fillId="0" borderId="0" xfId="0" applyFont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vertical="center" wrapText="1"/>
    </xf>
    <xf numFmtId="164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274319</xdr:colOff>
      <xdr:row>0</xdr:row>
      <xdr:rowOff>66068</xdr:rowOff>
    </xdr:from>
    <xdr:to>
      <xdr:col>11</xdr:col>
      <xdr:colOff>788760</xdr:colOff>
      <xdr:row>15</xdr:row>
      <xdr:rowOff>182879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856497-489A-A14A-C4E2-74E02863E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0139" y="66068"/>
          <a:ext cx="7669621" cy="3042891"/>
        </a:xfrm>
        <a:prstGeom prst="rect">
          <a:avLst/>
        </a:prstGeom>
      </xdr:spPr>
    </xdr:pic>
    <xdr:clientData/>
  </xdr:twoCellAnchor>
  <xdr:twoCellAnchor>
    <xdr:from>
      <xdr:col>0</xdr:col>
      <xdr:colOff>777240</xdr:colOff>
      <xdr:row>13</xdr:row>
      <xdr:rowOff>68580</xdr:rowOff>
    </xdr:from>
    <xdr:to>
      <xdr:col>4</xdr:col>
      <xdr:colOff>7620</xdr:colOff>
      <xdr:row>15</xdr:row>
      <xdr:rowOff>152400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6A1C970-46CF-AF7A-7557-5EACEDA96890}"/>
            </a:ext>
          </a:extLst>
        </xdr:cNvPr>
        <xdr:cNvSpPr txBox="1"/>
      </xdr:nvSpPr>
      <xdr:spPr>
        <a:xfrm>
          <a:off x="777240" y="1897380"/>
          <a:ext cx="4297680" cy="449580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>
              <a:solidFill>
                <a:srgbClr val="C00000"/>
              </a:solidFill>
            </a:rPr>
            <a:t>Para un determinado diámetro de perforación se calculará el burden y espacimiento y se comprará con las variables utilizados en la operación.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8CFE-CC4B-48C2-BDEC-DB8597F732BD}">
  <dimension ref="B2:E33"/>
  <sheetViews>
    <sheetView showGridLines="0" tabSelected="1" workbookViewId="0">
      <selection activeCell="M13" sqref="M13"/>
    </sheetView>
  </sheetViews>
  <sheetFormatPr baseColWidth="10" defaultRowHeight="14.4" x14ac:dyDescent="0.3"/>
  <cols>
    <col min="2" max="3" width="18.77734375" customWidth="1"/>
    <col min="4" max="5" width="15.77734375" customWidth="1"/>
    <col min="6" max="6" width="30.77734375" customWidth="1"/>
  </cols>
  <sheetData>
    <row r="2" spans="2:4" x14ac:dyDescent="0.3">
      <c r="B2" s="14" t="s">
        <v>2</v>
      </c>
    </row>
    <row r="4" spans="2:4" x14ac:dyDescent="0.3">
      <c r="B4" s="3" t="s">
        <v>12</v>
      </c>
      <c r="C4" s="3" t="s">
        <v>13</v>
      </c>
      <c r="D4" s="4" t="s">
        <v>14</v>
      </c>
    </row>
    <row r="5" spans="2:4" x14ac:dyDescent="0.3">
      <c r="B5" s="5" t="s">
        <v>0</v>
      </c>
      <c r="C5" s="5">
        <v>1.1000000000000001</v>
      </c>
      <c r="D5" s="6" t="s">
        <v>5</v>
      </c>
    </row>
    <row r="6" spans="2:4" x14ac:dyDescent="0.3">
      <c r="B6" s="7" t="s">
        <v>1</v>
      </c>
      <c r="C6" s="7">
        <v>0.7</v>
      </c>
      <c r="D6" s="8" t="s">
        <v>5</v>
      </c>
    </row>
    <row r="7" spans="2:4" x14ac:dyDescent="0.3">
      <c r="B7" s="7" t="s">
        <v>29</v>
      </c>
      <c r="C7" s="7">
        <v>70</v>
      </c>
      <c r="D7" s="8" t="s">
        <v>30</v>
      </c>
    </row>
    <row r="8" spans="2:4" x14ac:dyDescent="0.3">
      <c r="B8" s="7" t="s">
        <v>3</v>
      </c>
      <c r="C8" s="7">
        <v>64</v>
      </c>
      <c r="D8" s="8" t="s">
        <v>4</v>
      </c>
    </row>
    <row r="9" spans="2:4" x14ac:dyDescent="0.3">
      <c r="B9" s="7" t="s">
        <v>6</v>
      </c>
      <c r="C9" s="9" t="s">
        <v>9</v>
      </c>
      <c r="D9" s="8"/>
    </row>
    <row r="10" spans="2:4" ht="28.8" x14ac:dyDescent="0.3">
      <c r="B10" s="15" t="s">
        <v>21</v>
      </c>
      <c r="C10" s="9">
        <v>3</v>
      </c>
      <c r="D10" s="8" t="s">
        <v>8</v>
      </c>
    </row>
    <row r="11" spans="2:4" x14ac:dyDescent="0.3">
      <c r="B11" s="7" t="s">
        <v>7</v>
      </c>
      <c r="C11" s="9" t="s">
        <v>10</v>
      </c>
      <c r="D11" s="8"/>
    </row>
    <row r="12" spans="2:4" x14ac:dyDescent="0.3">
      <c r="B12" s="16" t="s">
        <v>27</v>
      </c>
      <c r="C12" s="9">
        <v>100</v>
      </c>
      <c r="D12" s="8" t="s">
        <v>28</v>
      </c>
    </row>
    <row r="13" spans="2:4" x14ac:dyDescent="0.3">
      <c r="B13" s="10" t="s">
        <v>11</v>
      </c>
      <c r="C13" s="11">
        <v>0.8</v>
      </c>
      <c r="D13" s="12" t="s">
        <v>8</v>
      </c>
    </row>
    <row r="14" spans="2:4" x14ac:dyDescent="0.3">
      <c r="B14" s="13"/>
    </row>
    <row r="15" spans="2:4" x14ac:dyDescent="0.3">
      <c r="B15" s="13"/>
    </row>
    <row r="17" spans="2:5" x14ac:dyDescent="0.3">
      <c r="B17" s="2"/>
      <c r="D17" s="1"/>
    </row>
    <row r="18" spans="2:5" x14ac:dyDescent="0.3">
      <c r="B18" s="2"/>
      <c r="D18" s="1"/>
    </row>
    <row r="19" spans="2:5" x14ac:dyDescent="0.3">
      <c r="B19" s="27" t="s">
        <v>24</v>
      </c>
      <c r="C19" s="27"/>
      <c r="D19" s="27"/>
      <c r="E19" s="27"/>
    </row>
    <row r="20" spans="2:5" ht="25.05" customHeight="1" x14ac:dyDescent="0.3">
      <c r="B20" s="28" t="s">
        <v>18</v>
      </c>
      <c r="C20" s="28" t="s">
        <v>17</v>
      </c>
      <c r="D20" s="29" t="s">
        <v>19</v>
      </c>
      <c r="E20" s="30"/>
    </row>
    <row r="21" spans="2:5" ht="25.05" customHeight="1" x14ac:dyDescent="0.3">
      <c r="B21" s="17" t="s">
        <v>26</v>
      </c>
      <c r="C21" s="18">
        <f>40*C8/1000</f>
        <v>2.56</v>
      </c>
      <c r="D21" s="19" t="s">
        <v>25</v>
      </c>
      <c r="E21" s="19"/>
    </row>
    <row r="22" spans="2:5" ht="25.05" customHeight="1" x14ac:dyDescent="0.3">
      <c r="B22" s="20" t="s">
        <v>20</v>
      </c>
      <c r="C22" s="18">
        <f>11.8*POWER((C8),0.63)/POWER(1000,0.63)</f>
        <v>2.0882158648582156</v>
      </c>
      <c r="D22" s="25"/>
      <c r="E22" s="26"/>
    </row>
    <row r="23" spans="2:5" ht="25.05" customHeight="1" x14ac:dyDescent="0.3">
      <c r="B23" s="20" t="s">
        <v>15</v>
      </c>
      <c r="C23" s="21">
        <f>(25*C8)/1000</f>
        <v>1.6</v>
      </c>
      <c r="D23" s="19" t="s">
        <v>16</v>
      </c>
      <c r="E23" s="19"/>
    </row>
    <row r="24" spans="2:5" ht="25.05" customHeight="1" x14ac:dyDescent="0.3">
      <c r="B24" s="20" t="s">
        <v>22</v>
      </c>
      <c r="C24" s="18">
        <f>(11.8*C8*(2*(C13/C10)+1.5))/1000</f>
        <v>1.5355733333333332</v>
      </c>
      <c r="D24" s="25"/>
      <c r="E24" s="26"/>
    </row>
    <row r="25" spans="2:5" ht="25.05" customHeight="1" x14ac:dyDescent="0.3">
      <c r="B25" s="22" t="s">
        <v>23</v>
      </c>
      <c r="C25" s="23">
        <f>SQRT((C13*C12%)/(0.45*0.9*(C6/C5)))*(C8/33)</f>
        <v>3.4168887474083429</v>
      </c>
      <c r="D25" s="24" t="s">
        <v>31</v>
      </c>
      <c r="E25" s="24"/>
    </row>
    <row r="26" spans="2:5" ht="40.049999999999997" customHeight="1" x14ac:dyDescent="0.3"/>
    <row r="27" spans="2:5" ht="40.049999999999997" customHeight="1" x14ac:dyDescent="0.3"/>
    <row r="28" spans="2:5" ht="40.049999999999997" customHeight="1" x14ac:dyDescent="0.3"/>
    <row r="29" spans="2:5" ht="40.049999999999997" customHeight="1" x14ac:dyDescent="0.3"/>
    <row r="30" spans="2:5" ht="40.049999999999997" customHeight="1" x14ac:dyDescent="0.3"/>
    <row r="31" spans="2:5" ht="40.049999999999997" customHeight="1" x14ac:dyDescent="0.3">
      <c r="D31" s="1"/>
    </row>
    <row r="32" spans="2:5" ht="40.049999999999997" customHeight="1" x14ac:dyDescent="0.3"/>
    <row r="33" ht="40.049999999999997" customHeight="1" x14ac:dyDescent="0.3"/>
  </sheetData>
  <mergeCells count="6">
    <mergeCell ref="D21:E21"/>
    <mergeCell ref="D23:E23"/>
    <mergeCell ref="D20:E20"/>
    <mergeCell ref="D25:E25"/>
    <mergeCell ref="D22:E22"/>
    <mergeCell ref="D24:E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Kellyn Cristobal</dc:creator>
  <cp:lastModifiedBy>Kellyn Cristobal</cp:lastModifiedBy>
  <dcterms:created xsi:type="dcterms:W3CDTF">2024-07-04T22:27:32Z</dcterms:created>
  <dcterms:modified xsi:type="dcterms:W3CDTF">2024-07-05T14:48:14Z</dcterms:modified>
</cp:coreProperties>
</file>