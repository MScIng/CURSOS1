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lyn - Doc\Planificación minera - curso\Módulos\móduo V\"/>
    </mc:Choice>
  </mc:AlternateContent>
  <xr:revisionPtr revIDLastSave="0" documentId="13_ncr:1_{62B7D1C3-9E66-4004-9636-4D92A56EDD78}" xr6:coauthVersionLast="47" xr6:coauthVersionMax="47" xr10:uidLastSave="{00000000-0000-0000-0000-000000000000}"/>
  <bookViews>
    <workbookView xWindow="-108" yWindow="-108" windowWidth="23256" windowHeight="12576" activeTab="2" xr2:uid="{DB698C2D-F386-40B4-BF91-12906FAE3547}"/>
  </bookViews>
  <sheets>
    <sheet name="Tradeoff" sheetId="1" r:id="rId1"/>
    <sheet name="Diseño de rampas" sheetId="3" state="hidden" r:id="rId2"/>
    <sheet name="Hoja3" sheetId="4" r:id="rId3"/>
    <sheet name="Hoja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4" l="1"/>
  <c r="E41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I30" i="4"/>
  <c r="J30" i="4"/>
  <c r="K30" i="4"/>
  <c r="L30" i="4"/>
  <c r="H30" i="4"/>
  <c r="F34" i="4"/>
  <c r="E34" i="4"/>
  <c r="F33" i="4"/>
  <c r="E33" i="4"/>
  <c r="E11" i="4"/>
  <c r="F11" i="4" s="1"/>
  <c r="G11" i="4" s="1"/>
  <c r="V101" i="1"/>
  <c r="K87" i="1"/>
  <c r="G68" i="1"/>
  <c r="G66" i="1"/>
  <c r="G65" i="1"/>
  <c r="G64" i="1"/>
  <c r="G33" i="4" l="1"/>
  <c r="C33" i="4" s="1"/>
  <c r="F35" i="4"/>
  <c r="F37" i="4" s="1"/>
  <c r="E26" i="4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E35" i="4"/>
  <c r="E37" i="4" s="1"/>
  <c r="G34" i="4"/>
  <c r="H11" i="4"/>
  <c r="I11" i="4" s="1"/>
  <c r="J11" i="4" s="1"/>
  <c r="K11" i="4" s="1"/>
  <c r="L11" i="4" s="1"/>
  <c r="M11" i="4" s="1"/>
  <c r="N11" i="4" s="1"/>
  <c r="O11" i="4" s="1"/>
  <c r="P11" i="4" s="1"/>
  <c r="C11" i="4" s="1"/>
  <c r="C26" i="4" l="1"/>
  <c r="G35" i="4"/>
  <c r="G37" i="4" s="1"/>
  <c r="C34" i="4"/>
  <c r="C35" i="4" s="1"/>
  <c r="R94" i="1" l="1"/>
  <c r="R92" i="1"/>
  <c r="U92" i="1" s="1"/>
  <c r="V92" i="1" s="1"/>
  <c r="R87" i="1"/>
  <c r="R85" i="1"/>
  <c r="U85" i="1" s="1"/>
  <c r="V85" i="1" s="1"/>
  <c r="G82" i="1"/>
  <c r="G80" i="1"/>
  <c r="G79" i="1"/>
  <c r="G78" i="1"/>
  <c r="J78" i="1" s="1"/>
  <c r="F17" i="4"/>
  <c r="G17" i="4" s="1"/>
  <c r="E17" i="4"/>
  <c r="E18" i="4" s="1"/>
  <c r="E20" i="4" s="1"/>
  <c r="F16" i="4"/>
  <c r="G16" i="4" s="1"/>
  <c r="E16" i="4"/>
  <c r="U94" i="1"/>
  <c r="V94" i="1" s="1"/>
  <c r="I78" i="1"/>
  <c r="T87" i="1"/>
  <c r="T85" i="1"/>
  <c r="I68" i="1"/>
  <c r="N82" i="1"/>
  <c r="U78" i="1" s="1"/>
  <c r="V78" i="1" s="1"/>
  <c r="N81" i="1"/>
  <c r="U77" i="1" s="1"/>
  <c r="U73" i="1"/>
  <c r="V73" i="1" s="1"/>
  <c r="U72" i="1"/>
  <c r="V72" i="1" s="1"/>
  <c r="U71" i="1"/>
  <c r="V71" i="1" s="1"/>
  <c r="U70" i="1"/>
  <c r="V70" i="1" s="1"/>
  <c r="U66" i="1"/>
  <c r="V66" i="1" s="1"/>
  <c r="U65" i="1"/>
  <c r="V65" i="1" s="1"/>
  <c r="R57" i="1"/>
  <c r="R60" i="1" s="1"/>
  <c r="I82" i="1"/>
  <c r="G75" i="1"/>
  <c r="G73" i="1"/>
  <c r="N60" i="1"/>
  <c r="N59" i="1"/>
  <c r="N58" i="1"/>
  <c r="N50" i="1"/>
  <c r="N55" i="1" s="1"/>
  <c r="J64" i="1"/>
  <c r="K64" i="1" s="1"/>
  <c r="J68" i="1"/>
  <c r="K68" i="1" s="1"/>
  <c r="G59" i="1"/>
  <c r="G61" i="1"/>
  <c r="C75" i="1"/>
  <c r="C74" i="1"/>
  <c r="C71" i="1"/>
  <c r="C70" i="1"/>
  <c r="C54" i="1"/>
  <c r="C51" i="1"/>
  <c r="O22" i="1"/>
  <c r="O18" i="1"/>
  <c r="O9" i="1"/>
  <c r="T13" i="1" s="1"/>
  <c r="O5" i="1"/>
  <c r="U35" i="1"/>
  <c r="U31" i="1"/>
  <c r="U19" i="1"/>
  <c r="U20" i="1"/>
  <c r="U7" i="1"/>
  <c r="R13" i="1"/>
  <c r="I33" i="1"/>
  <c r="J33" i="1" s="1"/>
  <c r="I32" i="1"/>
  <c r="J32" i="1" s="1"/>
  <c r="I27" i="1"/>
  <c r="D39" i="1"/>
  <c r="D38" i="1" s="1"/>
  <c r="I31" i="1" s="1"/>
  <c r="J31" i="1" s="1"/>
  <c r="G27" i="1"/>
  <c r="G6" i="3"/>
  <c r="G8" i="3" s="1"/>
  <c r="G11" i="3" s="1"/>
  <c r="G5" i="3"/>
  <c r="J5" i="3" s="1"/>
  <c r="C12" i="3"/>
  <c r="C7" i="3"/>
  <c r="C8" i="3" s="1"/>
  <c r="D30" i="1"/>
  <c r="I24" i="1" s="1"/>
  <c r="J24" i="1" s="1"/>
  <c r="D23" i="1"/>
  <c r="I19" i="1" s="1"/>
  <c r="J19" i="1" s="1"/>
  <c r="D17" i="1"/>
  <c r="I14" i="1" s="1"/>
  <c r="J14" i="1" s="1"/>
  <c r="U33" i="1"/>
  <c r="U29" i="1"/>
  <c r="U37" i="1"/>
  <c r="V37" i="1" s="1"/>
  <c r="U36" i="1"/>
  <c r="V36" i="1" s="1"/>
  <c r="U34" i="1"/>
  <c r="U30" i="1"/>
  <c r="U27" i="1"/>
  <c r="U26" i="1"/>
  <c r="U24" i="1"/>
  <c r="U23" i="1"/>
  <c r="U21" i="1"/>
  <c r="D7" i="1"/>
  <c r="D13" i="1" s="1"/>
  <c r="I11" i="1" s="1"/>
  <c r="J11" i="1" s="1"/>
  <c r="F18" i="4" l="1"/>
  <c r="F20" i="4" s="1"/>
  <c r="J82" i="1"/>
  <c r="K82" i="1" s="1"/>
  <c r="G18" i="4"/>
  <c r="G20" i="4" s="1"/>
  <c r="C17" i="4"/>
  <c r="C16" i="4"/>
  <c r="U95" i="1"/>
  <c r="V95" i="1"/>
  <c r="N57" i="1"/>
  <c r="N62" i="1" s="1"/>
  <c r="N61" i="1" s="1"/>
  <c r="N66" i="1" s="1"/>
  <c r="N68" i="1" s="1"/>
  <c r="U13" i="1"/>
  <c r="V22" i="1"/>
  <c r="U67" i="1"/>
  <c r="V67" i="1"/>
  <c r="U74" i="1"/>
  <c r="V74" i="1"/>
  <c r="U79" i="1"/>
  <c r="V77" i="1"/>
  <c r="V79" i="1" s="1"/>
  <c r="N54" i="1"/>
  <c r="N70" i="1" s="1"/>
  <c r="K78" i="1"/>
  <c r="V25" i="1"/>
  <c r="V18" i="1"/>
  <c r="V28" i="1"/>
  <c r="V32" i="1"/>
  <c r="J27" i="1"/>
  <c r="T12" i="1"/>
  <c r="U12" i="1" s="1"/>
  <c r="V11" i="1" s="1"/>
  <c r="O8" i="1"/>
  <c r="T8" i="1" s="1"/>
  <c r="U8" i="1" s="1"/>
  <c r="I29" i="1"/>
  <c r="J29" i="1" s="1"/>
  <c r="C63" i="1"/>
  <c r="I30" i="1"/>
  <c r="J30" i="1" s="1"/>
  <c r="C16" i="3"/>
  <c r="C14" i="3" s="1"/>
  <c r="J7" i="3"/>
  <c r="J10" i="3" s="1"/>
  <c r="C15" i="3"/>
  <c r="G7" i="3"/>
  <c r="G10" i="3" s="1"/>
  <c r="G12" i="3" s="1"/>
  <c r="J6" i="3"/>
  <c r="J8" i="3" s="1"/>
  <c r="I12" i="1"/>
  <c r="J12" i="1" s="1"/>
  <c r="I13" i="1"/>
  <c r="J13" i="1" s="1"/>
  <c r="I9" i="1"/>
  <c r="J9" i="1" s="1"/>
  <c r="D26" i="1"/>
  <c r="I25" i="1" s="1"/>
  <c r="J25" i="1" s="1"/>
  <c r="I7" i="1"/>
  <c r="J7" i="1" s="1"/>
  <c r="I8" i="1"/>
  <c r="J8" i="1" s="1"/>
  <c r="D25" i="1"/>
  <c r="D19" i="1"/>
  <c r="C18" i="4" l="1"/>
  <c r="N71" i="1"/>
  <c r="N74" i="1" s="1"/>
  <c r="N75" i="1" s="1"/>
  <c r="N73" i="1" s="1"/>
  <c r="R58" i="1" s="1"/>
  <c r="N67" i="1"/>
  <c r="U81" i="1"/>
  <c r="V81" i="1"/>
  <c r="T10" i="1"/>
  <c r="U10" i="1" s="1"/>
  <c r="T9" i="1"/>
  <c r="U9" i="1" s="1"/>
  <c r="G60" i="1"/>
  <c r="G74" i="1"/>
  <c r="K26" i="1"/>
  <c r="K10" i="1"/>
  <c r="K6" i="1"/>
  <c r="C73" i="1"/>
  <c r="C72" i="1"/>
  <c r="C78" i="1" s="1"/>
  <c r="C80" i="1" s="1"/>
  <c r="C81" i="1" s="1"/>
  <c r="C82" i="1" s="1"/>
  <c r="C64" i="1"/>
  <c r="G9" i="3"/>
  <c r="J9" i="3"/>
  <c r="J11" i="3"/>
  <c r="J12" i="3" s="1"/>
  <c r="J14" i="3" s="1"/>
  <c r="I18" i="1"/>
  <c r="J18" i="1" s="1"/>
  <c r="I17" i="1"/>
  <c r="J17" i="1" s="1"/>
  <c r="I16" i="1"/>
  <c r="J16" i="1" s="1"/>
  <c r="I23" i="1"/>
  <c r="J23" i="1" s="1"/>
  <c r="I22" i="1"/>
  <c r="J22" i="1" s="1"/>
  <c r="I21" i="1"/>
  <c r="J21" i="1" s="1"/>
  <c r="V6" i="1" l="1"/>
  <c r="R61" i="1"/>
  <c r="U87" i="1"/>
  <c r="I65" i="1"/>
  <c r="J65" i="1" s="1"/>
  <c r="K65" i="1" s="1"/>
  <c r="I79" i="1"/>
  <c r="I80" i="1" s="1"/>
  <c r="J80" i="1" s="1"/>
  <c r="K80" i="1" s="1"/>
  <c r="K15" i="1"/>
  <c r="K20" i="1"/>
  <c r="T15" i="1"/>
  <c r="O13" i="1"/>
  <c r="O17" i="1" s="1"/>
  <c r="T16" i="1" s="1"/>
  <c r="U16" i="1" s="1"/>
  <c r="I66" i="1" l="1"/>
  <c r="J66" i="1" s="1"/>
  <c r="V87" i="1"/>
  <c r="V88" i="1" s="1"/>
  <c r="V98" i="1" s="1"/>
  <c r="H13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U88" i="1"/>
  <c r="U98" i="1" s="1"/>
  <c r="I83" i="1"/>
  <c r="U15" i="1"/>
  <c r="T17" i="1"/>
  <c r="U17" i="1" s="1"/>
  <c r="J79" i="1"/>
  <c r="K34" i="1"/>
  <c r="V14" i="1"/>
  <c r="V38" i="1" s="1"/>
  <c r="I13" i="4" l="1"/>
  <c r="J13" i="4" s="1"/>
  <c r="K13" i="4" s="1"/>
  <c r="L13" i="4" s="1"/>
  <c r="M13" i="4" s="1"/>
  <c r="N13" i="4" s="1"/>
  <c r="O13" i="4" s="1"/>
  <c r="P13" i="4" s="1"/>
  <c r="K66" i="1"/>
  <c r="K69" i="1" s="1"/>
  <c r="J69" i="1"/>
  <c r="I69" i="1"/>
  <c r="K79" i="1"/>
  <c r="K83" i="1" s="1"/>
  <c r="J83" i="1"/>
  <c r="K85" i="1" l="1"/>
  <c r="H12" i="4" s="1"/>
  <c r="H27" i="4" s="1"/>
  <c r="I27" i="4" l="1"/>
  <c r="H29" i="4"/>
  <c r="H31" i="4" s="1"/>
  <c r="H37" i="4" s="1"/>
  <c r="H38" i="4" s="1"/>
  <c r="I12" i="4"/>
  <c r="H14" i="4"/>
  <c r="H20" i="4" s="1"/>
  <c r="J27" i="4" l="1"/>
  <c r="I29" i="4"/>
  <c r="I31" i="4" s="1"/>
  <c r="I37" i="4" s="1"/>
  <c r="I38" i="4" s="1"/>
  <c r="J12" i="4"/>
  <c r="I14" i="4"/>
  <c r="I20" i="4" s="1"/>
  <c r="K27" i="4" l="1"/>
  <c r="J29" i="4"/>
  <c r="J31" i="4" s="1"/>
  <c r="J37" i="4" s="1"/>
  <c r="J38" i="4" s="1"/>
  <c r="K12" i="4"/>
  <c r="J14" i="4"/>
  <c r="J20" i="4" s="1"/>
  <c r="L27" i="4" l="1"/>
  <c r="K29" i="4"/>
  <c r="K31" i="4" s="1"/>
  <c r="K37" i="4" s="1"/>
  <c r="K38" i="4" s="1"/>
  <c r="K14" i="4"/>
  <c r="K20" i="4" s="1"/>
  <c r="L12" i="4"/>
  <c r="M27" i="4" l="1"/>
  <c r="L29" i="4"/>
  <c r="L31" i="4" s="1"/>
  <c r="L37" i="4" s="1"/>
  <c r="L38" i="4" s="1"/>
  <c r="M12" i="4"/>
  <c r="L14" i="4"/>
  <c r="L20" i="4" s="1"/>
  <c r="N27" i="4" l="1"/>
  <c r="M29" i="4"/>
  <c r="M31" i="4" s="1"/>
  <c r="M37" i="4" s="1"/>
  <c r="M14" i="4"/>
  <c r="M20" i="4" s="1"/>
  <c r="N12" i="4"/>
  <c r="O27" i="4" l="1"/>
  <c r="N29" i="4"/>
  <c r="N31" i="4" s="1"/>
  <c r="N37" i="4" s="1"/>
  <c r="N38" i="4" s="1"/>
  <c r="O12" i="4"/>
  <c r="P12" i="4" s="1"/>
  <c r="P14" i="4" s="1"/>
  <c r="P20" i="4" s="1"/>
  <c r="N14" i="4"/>
  <c r="N20" i="4" s="1"/>
  <c r="O29" i="4" l="1"/>
  <c r="O31" i="4" s="1"/>
  <c r="O37" i="4" s="1"/>
  <c r="O38" i="4" s="1"/>
  <c r="P27" i="4"/>
  <c r="O14" i="4"/>
  <c r="O20" i="4" s="1"/>
  <c r="Q27" i="4" l="1"/>
  <c r="Q29" i="4" s="1"/>
  <c r="Q31" i="4" s="1"/>
  <c r="Q37" i="4" s="1"/>
  <c r="Q38" i="4" s="1"/>
  <c r="P29" i="4"/>
  <c r="P31" i="4" s="1"/>
  <c r="P37" i="4" s="1"/>
  <c r="P38" i="4" s="1"/>
  <c r="E23" i="4"/>
  <c r="E22" i="4" l="1"/>
</calcChain>
</file>

<file path=xl/sharedStrings.xml><?xml version="1.0" encoding="utf-8"?>
<sst xmlns="http://schemas.openxmlformats.org/spreadsheetml/2006/main" count="587" uniqueCount="266">
  <si>
    <t xml:space="preserve">Rampa </t>
  </si>
  <si>
    <t xml:space="preserve">Profundidad </t>
  </si>
  <si>
    <t>m.</t>
  </si>
  <si>
    <t>Longitud</t>
  </si>
  <si>
    <t xml:space="preserve">Gradiente </t>
  </si>
  <si>
    <t>%</t>
  </si>
  <si>
    <t>$/m</t>
  </si>
  <si>
    <t>$/km-ton</t>
  </si>
  <si>
    <t>(3 - 5) Km.</t>
  </si>
  <si>
    <t>Pique</t>
  </si>
  <si>
    <t>Compartimientos</t>
  </si>
  <si>
    <t>U.</t>
  </si>
  <si>
    <t xml:space="preserve">Winche de Producción </t>
  </si>
  <si>
    <t>Winche de Servicios</t>
  </si>
  <si>
    <t>Skips de producción</t>
  </si>
  <si>
    <t xml:space="preserve">Jaula de personal </t>
  </si>
  <si>
    <t xml:space="preserve">Costo de mantenimiento </t>
  </si>
  <si>
    <t xml:space="preserve">Costo de energía </t>
  </si>
  <si>
    <t xml:space="preserve">Pockets </t>
  </si>
  <si>
    <t xml:space="preserve">Estaciones de producción </t>
  </si>
  <si>
    <t>Estaciones de Servicios</t>
  </si>
  <si>
    <t xml:space="preserve">Sistema de carga </t>
  </si>
  <si>
    <t>Longitud de Pique (Sin estaciones)</t>
  </si>
  <si>
    <t xml:space="preserve">Winche de producción </t>
  </si>
  <si>
    <t xml:space="preserve">Winche de servicios </t>
  </si>
  <si>
    <t xml:space="preserve">Cable del winche de producción </t>
  </si>
  <si>
    <t>Cable del winche de servicios</t>
  </si>
  <si>
    <t xml:space="preserve">Estación de servicios </t>
  </si>
  <si>
    <t>Estación de producción.- Sistema de carga</t>
  </si>
  <si>
    <t>Casa winches y Castillo</t>
  </si>
  <si>
    <t>Laboreo minero (Excavaciones horizontales)</t>
  </si>
  <si>
    <t xml:space="preserve">Total </t>
  </si>
  <si>
    <t xml:space="preserve">Skips de producción </t>
  </si>
  <si>
    <t>P.U.</t>
  </si>
  <si>
    <t>Und.</t>
  </si>
  <si>
    <t>Glb.</t>
  </si>
  <si>
    <t>Metraje</t>
  </si>
  <si>
    <t>Costos incurridos</t>
  </si>
  <si>
    <t>Caracteristicas principales</t>
  </si>
  <si>
    <t xml:space="preserve">Costo de excavación </t>
  </si>
  <si>
    <t xml:space="preserve">Costo de sostenimiento </t>
  </si>
  <si>
    <t>Costo de servicios</t>
  </si>
  <si>
    <t xml:space="preserve">Sección </t>
  </si>
  <si>
    <t xml:space="preserve">Ancho </t>
  </si>
  <si>
    <t xml:space="preserve">Altura </t>
  </si>
  <si>
    <t>Altura de las estaciones.</t>
  </si>
  <si>
    <t>HP</t>
  </si>
  <si>
    <t>KW</t>
  </si>
  <si>
    <t>Rampa</t>
  </si>
  <si>
    <t>Desquinches</t>
  </si>
  <si>
    <t>m3.</t>
  </si>
  <si>
    <t xml:space="preserve">Inversión </t>
  </si>
  <si>
    <t>Arreglo conceptual</t>
  </si>
  <si>
    <t>Cámara de Carguio (Cada 200 m.)</t>
  </si>
  <si>
    <t>Sub estaciones (Cada 500 m.)</t>
  </si>
  <si>
    <t xml:space="preserve">Cámaras </t>
  </si>
  <si>
    <t>Cámaras de carguio</t>
  </si>
  <si>
    <t>$/m3.</t>
  </si>
  <si>
    <t>$/m.</t>
  </si>
  <si>
    <t>Cámaras de Bombeo (cada 150 m. &lt; 20 l/s)</t>
  </si>
  <si>
    <t>Cámaras de Bombeo.</t>
  </si>
  <si>
    <t>Costo de servicios.</t>
  </si>
  <si>
    <t>Rampa.</t>
  </si>
  <si>
    <t>Sub estaciones.</t>
  </si>
  <si>
    <t xml:space="preserve">Cantidad </t>
  </si>
  <si>
    <t>$/u.</t>
  </si>
  <si>
    <t>Total</t>
  </si>
  <si>
    <t>Largo</t>
  </si>
  <si>
    <t>Ventilación.</t>
  </si>
  <si>
    <t>Profundidad</t>
  </si>
  <si>
    <t>gradiente</t>
  </si>
  <si>
    <t>m</t>
  </si>
  <si>
    <t xml:space="preserve">Radio de curvatura interno </t>
  </si>
  <si>
    <t>Longitud plana de la curva</t>
  </si>
  <si>
    <t>Longitud real de la curva</t>
  </si>
  <si>
    <t>Longitud plana de la recta</t>
  </si>
  <si>
    <t xml:space="preserve">Primer Punto </t>
  </si>
  <si>
    <t xml:space="preserve">Longitud plana de la recta </t>
  </si>
  <si>
    <t>Longitud real de la recta.</t>
  </si>
  <si>
    <t>Longitud Total</t>
  </si>
  <si>
    <t>Profundidad Recta</t>
  </si>
  <si>
    <t>Profundidad Curva</t>
  </si>
  <si>
    <t>Profundidad total</t>
  </si>
  <si>
    <t>Vueltas</t>
  </si>
  <si>
    <t>Vuelta</t>
  </si>
  <si>
    <t>RBs</t>
  </si>
  <si>
    <t xml:space="preserve">Diámetro </t>
  </si>
  <si>
    <t>Ventiladores 60KCFM</t>
  </si>
  <si>
    <t>Infraestructura (Trafo, etc.)</t>
  </si>
  <si>
    <t>$/U.</t>
  </si>
  <si>
    <t>Construcción de Piques</t>
  </si>
  <si>
    <t xml:space="preserve">Excavación </t>
  </si>
  <si>
    <t xml:space="preserve">Revestimiento </t>
  </si>
  <si>
    <t>Montaje de sets</t>
  </si>
  <si>
    <t xml:space="preserve">Collar de estación </t>
  </si>
  <si>
    <t>Faja transportadora</t>
  </si>
  <si>
    <t>Casa winches.</t>
  </si>
  <si>
    <t>Castillo</t>
  </si>
  <si>
    <t xml:space="preserve">Obras civiles </t>
  </si>
  <si>
    <t>Winche de producción.</t>
  </si>
  <si>
    <t>Instalación.</t>
  </si>
  <si>
    <t>Comisionamiento de winches.</t>
  </si>
  <si>
    <t>Costo</t>
  </si>
  <si>
    <t xml:space="preserve">Zona de carga </t>
  </si>
  <si>
    <t xml:space="preserve">Pique </t>
  </si>
  <si>
    <t>Faja transportadora.</t>
  </si>
  <si>
    <t>Sistema de carga.</t>
  </si>
  <si>
    <t>Montaje de sets.</t>
  </si>
  <si>
    <t>Collar de estación.</t>
  </si>
  <si>
    <t>Servicios</t>
  </si>
  <si>
    <t>Winches</t>
  </si>
  <si>
    <t>Casa Winches</t>
  </si>
  <si>
    <t>Castillo superficial</t>
  </si>
  <si>
    <t>Costos operacionales</t>
  </si>
  <si>
    <t>Volquete</t>
  </si>
  <si>
    <t xml:space="preserve">Factor de carga </t>
  </si>
  <si>
    <t>m3</t>
  </si>
  <si>
    <t>TMD</t>
  </si>
  <si>
    <t>Capacidad efectiva.</t>
  </si>
  <si>
    <t>Capacidad nominal.</t>
  </si>
  <si>
    <t>gr/cc</t>
  </si>
  <si>
    <t>Capacidad efectiva</t>
  </si>
  <si>
    <t>ton</t>
  </si>
  <si>
    <t>Factor de esponjamiento</t>
  </si>
  <si>
    <t>Densidad de mineral.</t>
  </si>
  <si>
    <t xml:space="preserve">Distancia en interior mina </t>
  </si>
  <si>
    <t xml:space="preserve">Boca mina - Chancadora primaria. </t>
  </si>
  <si>
    <t>km.</t>
  </si>
  <si>
    <t xml:space="preserve">Ciclo de transporte </t>
  </si>
  <si>
    <t>km/hr.</t>
  </si>
  <si>
    <t>Velocidad de ida IM</t>
  </si>
  <si>
    <t>Velocidad de vuelta IM</t>
  </si>
  <si>
    <t>Velocidad de ida S</t>
  </si>
  <si>
    <t>Velocidad de vuelta S</t>
  </si>
  <si>
    <t>hr.</t>
  </si>
  <si>
    <t>Tiempo de ida IM</t>
  </si>
  <si>
    <t>Tiempo de vuelta IM</t>
  </si>
  <si>
    <t>Tiempo de ida S</t>
  </si>
  <si>
    <t>Tiempo de vuelta S</t>
  </si>
  <si>
    <t>Tiempo de demoras</t>
  </si>
  <si>
    <t>colas</t>
  </si>
  <si>
    <t xml:space="preserve">Tiempo de carga </t>
  </si>
  <si>
    <t xml:space="preserve">Tiempo de descarga </t>
  </si>
  <si>
    <t xml:space="preserve">Tiempo total </t>
  </si>
  <si>
    <t xml:space="preserve">Producción </t>
  </si>
  <si>
    <t xml:space="preserve">Tiempo efectivo por día </t>
  </si>
  <si>
    <t xml:space="preserve">Tiempo total de 1 ciclo </t>
  </si>
  <si>
    <t xml:space="preserve"># de viajes por día </t>
  </si>
  <si>
    <t>viajes</t>
  </si>
  <si>
    <t xml:space="preserve">Toneladas por día </t>
  </si>
  <si>
    <t>ton/día</t>
  </si>
  <si>
    <t xml:space="preserve"># de volquetes </t>
  </si>
  <si>
    <t xml:space="preserve">(1 - 3) Km. </t>
  </si>
  <si>
    <t>(5 - 8) Km.</t>
  </si>
  <si>
    <t>Costo de Transporte.</t>
  </si>
  <si>
    <t>Precios Unitario - IM</t>
  </si>
  <si>
    <t>Precios Unitario - Superficie</t>
  </si>
  <si>
    <t>Longitud de transporte - IM.</t>
  </si>
  <si>
    <t>Longitud de transporte - Superficie.</t>
  </si>
  <si>
    <t>Días efectivos al año</t>
  </si>
  <si>
    <t>días</t>
  </si>
  <si>
    <t xml:space="preserve">Producción anual </t>
  </si>
  <si>
    <t>TMA</t>
  </si>
  <si>
    <t xml:space="preserve">Costo total de transporte </t>
  </si>
  <si>
    <t>Tarifas ($/ km-ton)</t>
  </si>
  <si>
    <t>Distancias</t>
  </si>
  <si>
    <t>Costo ($)</t>
  </si>
  <si>
    <t>Total ($)</t>
  </si>
  <si>
    <t>Costo D. ($)</t>
  </si>
  <si>
    <t xml:space="preserve">Tarifas  - Interior Mina </t>
  </si>
  <si>
    <t>Tarifas - Superficie</t>
  </si>
  <si>
    <t>Distancias.</t>
  </si>
  <si>
    <t xml:space="preserve">Cálculo de productividad. </t>
  </si>
  <si>
    <t xml:space="preserve">Capacidad nominal </t>
  </si>
  <si>
    <t>Factor de carga</t>
  </si>
  <si>
    <t>Capacidadefectiva</t>
  </si>
  <si>
    <t xml:space="preserve">Ciclo de izaje </t>
  </si>
  <si>
    <t>Longitud de Izaje.</t>
  </si>
  <si>
    <t>Longitud del Pique.</t>
  </si>
  <si>
    <t>Longitud del Castillo</t>
  </si>
  <si>
    <t>Altura de castillo</t>
  </si>
  <si>
    <t>m/s</t>
  </si>
  <si>
    <t xml:space="preserve">Velocidad prom máx. de izaje </t>
  </si>
  <si>
    <t xml:space="preserve">Tiempo de un ciclo </t>
  </si>
  <si>
    <t>min</t>
  </si>
  <si>
    <t>Tiempo efectivo por día</t>
  </si>
  <si>
    <t xml:space="preserve"># de skips por día </t>
  </si>
  <si>
    <t>Producción de mineral diaria</t>
  </si>
  <si>
    <t>Producción de desmonte diaria</t>
  </si>
  <si>
    <t xml:space="preserve">volumen de Skip - mineral </t>
  </si>
  <si>
    <t>densidad de desmonte</t>
  </si>
  <si>
    <t>Capacidad efectiva-min.</t>
  </si>
  <si>
    <t>Capacidad efectiva-des.</t>
  </si>
  <si>
    <t xml:space="preserve">tiempo de demoras por día </t>
  </si>
  <si>
    <t>Tiempo de demoras - carga-descarga</t>
  </si>
  <si>
    <t>hrs.</t>
  </si>
  <si>
    <t>Toneladas por día - min.</t>
  </si>
  <si>
    <t>Toneladas por día - des</t>
  </si>
  <si>
    <t>Skips</t>
  </si>
  <si>
    <t>Tiempo de espera cambio (min-des-min)</t>
  </si>
  <si>
    <t>Tiempo total de izaje -des.</t>
  </si>
  <si>
    <t>Tiempo total de izaje - min.</t>
  </si>
  <si>
    <t xml:space="preserve">Costo Total </t>
  </si>
  <si>
    <t>Producción anual - min.</t>
  </si>
  <si>
    <t>Producción anual - des.</t>
  </si>
  <si>
    <t xml:space="preserve">Costo de operación </t>
  </si>
  <si>
    <t xml:space="preserve">Mano de Obra </t>
  </si>
  <si>
    <t xml:space="preserve">Winchero </t>
  </si>
  <si>
    <t xml:space="preserve">Timbrero </t>
  </si>
  <si>
    <t>$/mes</t>
  </si>
  <si>
    <t xml:space="preserve">Técnico mecánico. </t>
  </si>
  <si>
    <t xml:space="preserve">Técnico eléctrico </t>
  </si>
  <si>
    <t xml:space="preserve">Soldador </t>
  </si>
  <si>
    <t xml:space="preserve">Suministros </t>
  </si>
  <si>
    <t>Winche de servicios</t>
  </si>
  <si>
    <t>Winche de producción</t>
  </si>
  <si>
    <t>Consumo de energía de los winches</t>
  </si>
  <si>
    <t xml:space="preserve">Factor de eficiencia </t>
  </si>
  <si>
    <t>Factor de simultaneidad</t>
  </si>
  <si>
    <t>Winche de producción - KW-Hr-día</t>
  </si>
  <si>
    <t>Winche de servicios - KW-Hr-día</t>
  </si>
  <si>
    <t>Hp</t>
  </si>
  <si>
    <t>Tarifa de energía.</t>
  </si>
  <si>
    <t>$/Kw-hr-mes</t>
  </si>
  <si>
    <t xml:space="preserve">Mano de obra </t>
  </si>
  <si>
    <t>Costo M. ($)</t>
  </si>
  <si>
    <t xml:space="preserve">Costo total </t>
  </si>
  <si>
    <t>Cant.</t>
  </si>
  <si>
    <t>Costo total energía</t>
  </si>
  <si>
    <t>Costos</t>
  </si>
  <si>
    <t xml:space="preserve">Costo total de Izaje </t>
  </si>
  <si>
    <t>Escenarios 1</t>
  </si>
  <si>
    <t xml:space="preserve">Cuando ambas infraestructuras tienen que ser construidas para llegar a una zona mineralizada para ser explotada. </t>
  </si>
  <si>
    <t>Año 1</t>
  </si>
  <si>
    <t>Año -1</t>
  </si>
  <si>
    <t>Año -2</t>
  </si>
  <si>
    <t>Año -3</t>
  </si>
  <si>
    <t>Año 2</t>
  </si>
  <si>
    <t>Año 3</t>
  </si>
  <si>
    <t xml:space="preserve">Costo del Pique </t>
  </si>
  <si>
    <t>Costo de la Rampa</t>
  </si>
  <si>
    <t xml:space="preserve">Ahorro </t>
  </si>
  <si>
    <t>Inversión - Rampa</t>
  </si>
  <si>
    <t>Inversión del Pique</t>
  </si>
  <si>
    <t>Costo de Transporte en superficie</t>
  </si>
  <si>
    <t>Costo de Transporte del Tajo a los Pockets.</t>
  </si>
  <si>
    <t>Año 4</t>
  </si>
  <si>
    <t>Año 5</t>
  </si>
  <si>
    <t>Año 6</t>
  </si>
  <si>
    <t>Tasa</t>
  </si>
  <si>
    <t>VAN</t>
  </si>
  <si>
    <t xml:space="preserve">Flujo de caja </t>
  </si>
  <si>
    <t>Año 7</t>
  </si>
  <si>
    <t>Año 8</t>
  </si>
  <si>
    <t>Año 9</t>
  </si>
  <si>
    <t>Año 10</t>
  </si>
  <si>
    <t>TIR</t>
  </si>
  <si>
    <t>SLOM</t>
  </si>
  <si>
    <t>SLOM-TONNES</t>
  </si>
  <si>
    <t xml:space="preserve">Inflación </t>
  </si>
  <si>
    <t xml:space="preserve">Depreciacón </t>
  </si>
  <si>
    <t>Ahorro U.O.</t>
  </si>
  <si>
    <t>I.R 30%</t>
  </si>
  <si>
    <t>EBITDA</t>
  </si>
  <si>
    <t>Escenarios 2</t>
  </si>
  <si>
    <t xml:space="preserve">La rampa de 500 metros de profundidad ya existe y es un costo hundido.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</si>
</sst>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S/&quot;\ #,##0.00;[Red]\-&quot;S/&quot;\ #,##0.00"/>
    <numFmt numFmtId="43" formatCode="_-* #,##0.00_-;\-* #,##0.00_-;_-* &quot;-&quot;??_-;_-@_-"/>
    <numFmt numFmtId="164" formatCode="#,##0.0"/>
    <numFmt numFmtId="169" formatCode="0.0"/>
    <numFmt numFmtId="172" formatCode="#,##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4"/>
        <bgColor indexed="64"/>
      </patternFill>
    </fill>
  </fills>
  <borders count="6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 style="thin">
        <color theme="4" tint="0.39991454817346722"/>
      </bottom>
      <diagonal/>
    </border>
    <border>
      <left style="thin">
        <color theme="4" tint="0.39997558519241921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4506668294322"/>
      </right>
      <top/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7558519241921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1454817346722"/>
      </right>
      <top/>
      <bottom/>
      <diagonal/>
    </border>
    <border>
      <left/>
      <right style="thin">
        <color theme="4" tint="0.39991454817346722"/>
      </right>
      <top/>
      <bottom/>
      <diagonal/>
    </border>
    <border>
      <left style="thin">
        <color theme="4" tint="0.39994506668294322"/>
      </left>
      <right style="thin">
        <color theme="4" tint="0.399914548173467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 style="thin">
        <color theme="4" tint="0.39994506668294322"/>
      </left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7558519241921"/>
      </top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theme="4" tint="0.39991454817346722"/>
      </right>
      <top/>
      <bottom style="thin">
        <color theme="4" tint="0.399914548173467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1454817346722"/>
      </bottom>
      <diagonal/>
    </border>
    <border>
      <left/>
      <right/>
      <top style="thin">
        <color theme="4" tint="0.39994506668294322"/>
      </top>
      <bottom style="thin">
        <color theme="4" tint="0.399914548173467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91454817346722"/>
      </top>
      <bottom/>
      <diagonal/>
    </border>
    <border>
      <left style="thin">
        <color theme="4" tint="0.39988402966399123"/>
      </left>
      <right style="thin">
        <color theme="4" tint="0.39988402966399123"/>
      </right>
      <top/>
      <bottom/>
      <diagonal/>
    </border>
    <border>
      <left style="thin">
        <color theme="4" tint="0.39988402966399123"/>
      </left>
      <right style="thin">
        <color theme="4" tint="0.39988402966399123"/>
      </right>
      <top/>
      <bottom style="thin">
        <color theme="4" tint="0.39988402966399123"/>
      </bottom>
      <diagonal/>
    </border>
    <border>
      <left style="thin">
        <color theme="4" tint="0.39985351115451523"/>
      </left>
      <right/>
      <top style="thin">
        <color theme="4" tint="0.39985351115451523"/>
      </top>
      <bottom style="thin">
        <color theme="4" tint="0.39985351115451523"/>
      </bottom>
      <diagonal/>
    </border>
    <border>
      <left/>
      <right/>
      <top style="thin">
        <color theme="4" tint="0.39985351115451523"/>
      </top>
      <bottom style="thin">
        <color theme="4" tint="0.39985351115451523"/>
      </bottom>
      <diagonal/>
    </border>
    <border>
      <left/>
      <right style="thin">
        <color theme="4" tint="0.39985351115451523"/>
      </right>
      <top style="thin">
        <color theme="4" tint="0.39985351115451523"/>
      </top>
      <bottom style="thin">
        <color theme="4" tint="0.39985351115451523"/>
      </bottom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5351115451523"/>
      </top>
      <bottom/>
      <diagonal/>
    </border>
    <border>
      <left style="thin">
        <color theme="4" tint="0.39988402966399123"/>
      </left>
      <right style="thin">
        <color theme="4" tint="0.39988402966399123"/>
      </right>
      <top/>
      <bottom style="thin">
        <color theme="4" tint="0.39985351115451523"/>
      </bottom>
      <diagonal/>
    </border>
    <border>
      <left style="thin">
        <color theme="4" tint="0.39982299264503923"/>
      </left>
      <right style="thin">
        <color theme="4" tint="0.39982299264503923"/>
      </right>
      <top style="thin">
        <color theme="4" tint="0.39985351115451523"/>
      </top>
      <bottom/>
      <diagonal/>
    </border>
    <border>
      <left style="thin">
        <color theme="4" tint="0.39982299264503923"/>
      </left>
      <right style="thin">
        <color theme="4" tint="0.39982299264503923"/>
      </right>
      <top/>
      <bottom/>
      <diagonal/>
    </border>
    <border>
      <left style="thin">
        <color theme="4" tint="0.39982299264503923"/>
      </left>
      <right style="thin">
        <color theme="4" tint="0.39982299264503923"/>
      </right>
      <top/>
      <bottom style="thin">
        <color theme="4" tint="0.39982299264503923"/>
      </bottom>
      <diagonal/>
    </border>
    <border>
      <left style="thin">
        <color theme="4" tint="0.39982299264503923"/>
      </left>
      <right style="thin">
        <color theme="4" tint="0.39982299264503923"/>
      </right>
      <top style="thin">
        <color theme="4" tint="0.39979247413556324"/>
      </top>
      <bottom/>
      <diagonal/>
    </border>
    <border>
      <left style="thin">
        <color theme="4" tint="0.39979247413556324"/>
      </left>
      <right style="thin">
        <color theme="4" tint="0.39979247413556324"/>
      </right>
      <top style="thin">
        <color theme="4" tint="0.39982299264503923"/>
      </top>
      <bottom/>
      <diagonal/>
    </border>
    <border>
      <left style="thin">
        <color theme="4" tint="0.39979247413556324"/>
      </left>
      <right style="thin">
        <color theme="4" tint="0.39979247413556324"/>
      </right>
      <top/>
      <bottom/>
      <diagonal/>
    </border>
    <border>
      <left style="thin">
        <color theme="4" tint="0.39979247413556324"/>
      </left>
      <right style="thin">
        <color theme="4" tint="0.39979247413556324"/>
      </right>
      <top style="thin">
        <color theme="4" tint="0.39991454817346722"/>
      </top>
      <bottom/>
      <diagonal/>
    </border>
    <border>
      <left style="thin">
        <color theme="4" tint="0.39979247413556324"/>
      </left>
      <right style="thin">
        <color theme="4" tint="0.39979247413556324"/>
      </right>
      <top/>
      <bottom style="thin">
        <color theme="4" tint="0.39979247413556324"/>
      </bottom>
      <diagonal/>
    </border>
    <border>
      <left style="thin">
        <color theme="4" tint="0.39982299264503923"/>
      </left>
      <right style="thin">
        <color theme="4" tint="0.39979247413556324"/>
      </right>
      <top style="thin">
        <color theme="4" tint="0.39985351115451523"/>
      </top>
      <bottom/>
      <diagonal/>
    </border>
    <border>
      <left style="thin">
        <color theme="4" tint="0.39982299264503923"/>
      </left>
      <right style="thin">
        <color theme="4" tint="0.39979247413556324"/>
      </right>
      <top/>
      <bottom/>
      <diagonal/>
    </border>
    <border>
      <left style="thin">
        <color theme="4" tint="0.39982299264503923"/>
      </left>
      <right style="thin">
        <color theme="4" tint="0.39982299264503923"/>
      </right>
      <top/>
      <bottom style="thin">
        <color theme="4" tint="0.39979247413556324"/>
      </bottom>
      <diagonal/>
    </border>
    <border>
      <left/>
      <right style="thin">
        <color theme="4" tint="0.39979247413556324"/>
      </right>
      <top/>
      <bottom style="thin">
        <color theme="4" tint="0.39979247413556324"/>
      </bottom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1454817346722"/>
      </bottom>
      <diagonal/>
    </border>
    <border>
      <left style="thin">
        <color theme="4" tint="0.39994506668294322"/>
      </left>
      <right/>
      <top style="thin">
        <color theme="4" tint="0.39991454817346722"/>
      </top>
      <bottom/>
      <diagonal/>
    </border>
    <border>
      <left style="thin">
        <color theme="4" tint="0.39994506668294322"/>
      </left>
      <right/>
      <top/>
      <bottom style="thin">
        <color theme="4" tint="0.39997558519241921"/>
      </bottom>
      <diagonal/>
    </border>
    <border>
      <left style="thin">
        <color theme="4" tint="0.39994506668294322"/>
      </left>
      <right/>
      <top/>
      <bottom style="thin">
        <color theme="4" tint="0.39991454817346722"/>
      </bottom>
      <diagonal/>
    </border>
    <border>
      <left style="thin">
        <color theme="4" tint="0.39994506668294322"/>
      </left>
      <right/>
      <top style="thin">
        <color theme="4" tint="0.39997558519241921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7558519241921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/>
      <diagonal/>
    </border>
    <border>
      <left style="thin">
        <color theme="4" tint="0.39979247413556324"/>
      </left>
      <right style="thin">
        <color theme="4" tint="0.39976195562608724"/>
      </right>
      <top style="thin">
        <color theme="4" tint="0.39979247413556324"/>
      </top>
      <bottom/>
      <diagonal/>
    </border>
    <border>
      <left style="thin">
        <color theme="4" tint="0.39976195562608724"/>
      </left>
      <right style="thin">
        <color theme="4" tint="0.39976195562608724"/>
      </right>
      <top style="thin">
        <color theme="4" tint="0.39979247413556324"/>
      </top>
      <bottom/>
      <diagonal/>
    </border>
    <border>
      <left style="thin">
        <color theme="4" tint="0.39979247413556324"/>
      </left>
      <right style="thin">
        <color theme="4" tint="0.39976195562608724"/>
      </right>
      <top/>
      <bottom/>
      <diagonal/>
    </border>
    <border>
      <left style="thin">
        <color theme="4" tint="0.39976195562608724"/>
      </left>
      <right style="thin">
        <color theme="4" tint="0.39976195562608724"/>
      </right>
      <top/>
      <bottom/>
      <diagonal/>
    </border>
    <border>
      <left style="thin">
        <color theme="4" tint="0.39979247413556324"/>
      </left>
      <right style="thin">
        <color theme="4" tint="0.39976195562608724"/>
      </right>
      <top/>
      <bottom style="thin">
        <color theme="4" tint="0.39976195562608724"/>
      </bottom>
      <diagonal/>
    </border>
    <border>
      <left style="thin">
        <color theme="4" tint="0.39976195562608724"/>
      </left>
      <right style="thin">
        <color theme="4" tint="0.39976195562608724"/>
      </right>
      <top/>
      <bottom style="thin">
        <color theme="4" tint="0.3997619556260872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4">
    <xf numFmtId="0" fontId="0" fillId="0" borderId="0" xfId="0"/>
    <xf numFmtId="1" fontId="0" fillId="0" borderId="0" xfId="0" applyNumberFormat="1"/>
    <xf numFmtId="0" fontId="1" fillId="2" borderId="1" xfId="0" applyFont="1" applyFill="1" applyBorder="1"/>
    <xf numFmtId="0" fontId="4" fillId="0" borderId="0" xfId="0" applyFont="1"/>
    <xf numFmtId="0" fontId="0" fillId="3" borderId="3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left" vertical="center" indent="2"/>
    </xf>
    <xf numFmtId="0" fontId="0" fillId="3" borderId="2" xfId="0" applyFont="1" applyFill="1" applyBorder="1"/>
    <xf numFmtId="3" fontId="0" fillId="3" borderId="2" xfId="0" applyNumberFormat="1" applyFont="1" applyFill="1" applyBorder="1"/>
    <xf numFmtId="0" fontId="0" fillId="3" borderId="5" xfId="0" applyFont="1" applyFill="1" applyBorder="1"/>
    <xf numFmtId="3" fontId="0" fillId="3" borderId="7" xfId="0" applyNumberFormat="1" applyFont="1" applyFill="1" applyBorder="1"/>
    <xf numFmtId="2" fontId="0" fillId="0" borderId="0" xfId="0" applyNumberFormat="1"/>
    <xf numFmtId="169" fontId="0" fillId="0" borderId="0" xfId="0" applyNumberFormat="1"/>
    <xf numFmtId="0" fontId="4" fillId="3" borderId="6" xfId="0" applyFont="1" applyFill="1" applyBorder="1"/>
    <xf numFmtId="0" fontId="1" fillId="2" borderId="0" xfId="0" applyFont="1" applyFill="1" applyBorder="1"/>
    <xf numFmtId="0" fontId="0" fillId="3" borderId="0" xfId="0" applyFont="1" applyFill="1" applyBorder="1"/>
    <xf numFmtId="0" fontId="4" fillId="3" borderId="16" xfId="0" applyFont="1" applyFill="1" applyBorder="1"/>
    <xf numFmtId="0" fontId="0" fillId="3" borderId="16" xfId="0" applyFont="1" applyFill="1" applyBorder="1"/>
    <xf numFmtId="3" fontId="0" fillId="3" borderId="16" xfId="0" applyNumberFormat="1" applyFont="1" applyFill="1" applyBorder="1"/>
    <xf numFmtId="3" fontId="0" fillId="3" borderId="5" xfId="0" applyNumberFormat="1" applyFont="1" applyFill="1" applyBorder="1"/>
    <xf numFmtId="3" fontId="4" fillId="3" borderId="2" xfId="0" applyNumberFormat="1" applyFont="1" applyFill="1" applyBorder="1"/>
    <xf numFmtId="0" fontId="2" fillId="0" borderId="4" xfId="0" applyFont="1" applyBorder="1" applyAlignment="1">
      <alignment horizontal="left" indent="1"/>
    </xf>
    <xf numFmtId="0" fontId="2" fillId="0" borderId="4" xfId="0" applyFont="1" applyBorder="1" applyAlignment="1">
      <alignment horizontal="left" indent="2"/>
    </xf>
    <xf numFmtId="0" fontId="2" fillId="0" borderId="4" xfId="0" applyFont="1" applyFill="1" applyBorder="1" applyAlignment="1">
      <alignment horizontal="left" indent="2"/>
    </xf>
    <xf numFmtId="0" fontId="2" fillId="0" borderId="4" xfId="0" applyFont="1" applyFill="1" applyBorder="1"/>
    <xf numFmtId="0" fontId="2" fillId="0" borderId="22" xfId="0" applyFont="1" applyBorder="1" applyAlignment="1">
      <alignment horizontal="left" indent="2"/>
    </xf>
    <xf numFmtId="0" fontId="2" fillId="0" borderId="21" xfId="0" applyFont="1" applyFill="1" applyBorder="1"/>
    <xf numFmtId="0" fontId="2" fillId="0" borderId="23" xfId="0" applyFont="1" applyBorder="1" applyAlignment="1">
      <alignment horizontal="left" vertical="center" indent="2"/>
    </xf>
    <xf numFmtId="0" fontId="2" fillId="0" borderId="23" xfId="0" applyFont="1" applyBorder="1"/>
    <xf numFmtId="0" fontId="2" fillId="0" borderId="24" xfId="0" applyFont="1" applyBorder="1"/>
    <xf numFmtId="0" fontId="2" fillId="0" borderId="18" xfId="0" applyFont="1" applyFill="1" applyBorder="1"/>
    <xf numFmtId="0" fontId="2" fillId="0" borderId="11" xfId="0" applyFont="1" applyBorder="1" applyAlignment="1">
      <alignment horizontal="left" vertical="center" indent="2"/>
    </xf>
    <xf numFmtId="0" fontId="2" fillId="0" borderId="11" xfId="0" applyFont="1" applyFill="1" applyBorder="1"/>
    <xf numFmtId="0" fontId="2" fillId="0" borderId="25" xfId="0" applyFont="1" applyFill="1" applyBorder="1"/>
    <xf numFmtId="3" fontId="0" fillId="3" borderId="26" xfId="0" applyNumberFormat="1" applyFont="1" applyFill="1" applyBorder="1"/>
    <xf numFmtId="0" fontId="2" fillId="0" borderId="18" xfId="0" applyFont="1" applyBorder="1"/>
    <xf numFmtId="0" fontId="2" fillId="0" borderId="27" xfId="0" applyFont="1" applyBorder="1"/>
    <xf numFmtId="3" fontId="0" fillId="3" borderId="17" xfId="0" applyNumberFormat="1" applyFont="1" applyFill="1" applyBorder="1"/>
    <xf numFmtId="0" fontId="5" fillId="0" borderId="4" xfId="0" applyFont="1" applyBorder="1"/>
    <xf numFmtId="3" fontId="5" fillId="0" borderId="4" xfId="0" applyNumberFormat="1" applyFont="1" applyBorder="1"/>
    <xf numFmtId="3" fontId="2" fillId="0" borderId="4" xfId="0" applyNumberFormat="1" applyFont="1" applyFill="1" applyBorder="1"/>
    <xf numFmtId="3" fontId="2" fillId="0" borderId="4" xfId="0" applyNumberFormat="1" applyFont="1" applyBorder="1"/>
    <xf numFmtId="164" fontId="2" fillId="0" borderId="4" xfId="0" applyNumberFormat="1" applyFont="1" applyBorder="1"/>
    <xf numFmtId="1" fontId="2" fillId="0" borderId="4" xfId="0" applyNumberFormat="1" applyFont="1" applyBorder="1" applyAlignment="1">
      <alignment horizontal="left" indent="1"/>
    </xf>
    <xf numFmtId="1" fontId="2" fillId="0" borderId="4" xfId="0" applyNumberFormat="1" applyFont="1" applyBorder="1" applyAlignment="1">
      <alignment horizontal="left" indent="2"/>
    </xf>
    <xf numFmtId="0" fontId="2" fillId="0" borderId="6" xfId="0" applyFont="1" applyFill="1" applyBorder="1"/>
    <xf numFmtId="0" fontId="2" fillId="0" borderId="3" xfId="0" applyFont="1" applyFill="1" applyBorder="1"/>
    <xf numFmtId="3" fontId="2" fillId="0" borderId="7" xfId="0" applyNumberFormat="1" applyFont="1" applyFill="1" applyBorder="1"/>
    <xf numFmtId="0" fontId="2" fillId="0" borderId="8" xfId="0" applyFont="1" applyFill="1" applyBorder="1"/>
    <xf numFmtId="3" fontId="2" fillId="0" borderId="9" xfId="0" applyNumberFormat="1" applyFont="1" applyFill="1" applyBorder="1"/>
    <xf numFmtId="164" fontId="2" fillId="0" borderId="9" xfId="0" applyNumberFormat="1" applyFont="1" applyFill="1" applyBorder="1"/>
    <xf numFmtId="0" fontId="2" fillId="0" borderId="8" xfId="0" applyFont="1" applyFill="1" applyBorder="1" applyAlignment="1">
      <alignment horizontal="left" indent="2"/>
    </xf>
    <xf numFmtId="0" fontId="2" fillId="0" borderId="10" xfId="0" applyFont="1" applyFill="1" applyBorder="1" applyAlignment="1">
      <alignment horizontal="left" indent="2"/>
    </xf>
    <xf numFmtId="164" fontId="2" fillId="0" borderId="12" xfId="0" applyNumberFormat="1" applyFont="1" applyFill="1" applyBorder="1"/>
    <xf numFmtId="0" fontId="2" fillId="0" borderId="8" xfId="0" applyFont="1" applyFill="1" applyBorder="1" applyAlignment="1"/>
    <xf numFmtId="0" fontId="2" fillId="0" borderId="14" xfId="0" applyFont="1" applyFill="1" applyBorder="1"/>
    <xf numFmtId="164" fontId="2" fillId="0" borderId="15" xfId="0" applyNumberFormat="1" applyFont="1" applyFill="1" applyBorder="1"/>
    <xf numFmtId="0" fontId="2" fillId="0" borderId="13" xfId="0" applyFont="1" applyFill="1" applyBorder="1" applyAlignment="1"/>
    <xf numFmtId="3" fontId="2" fillId="0" borderId="17" xfId="0" applyNumberFormat="1" applyFont="1" applyFill="1" applyBorder="1"/>
    <xf numFmtId="164" fontId="2" fillId="0" borderId="18" xfId="0" applyNumberFormat="1" applyFont="1" applyFill="1" applyBorder="1"/>
    <xf numFmtId="0" fontId="2" fillId="0" borderId="19" xfId="0" applyFont="1" applyBorder="1"/>
    <xf numFmtId="0" fontId="2" fillId="0" borderId="4" xfId="0" applyFont="1" applyFill="1" applyBorder="1" applyAlignment="1"/>
    <xf numFmtId="3" fontId="2" fillId="0" borderId="18" xfId="0" applyNumberFormat="1" applyFont="1" applyFill="1" applyBorder="1"/>
    <xf numFmtId="0" fontId="2" fillId="0" borderId="4" xfId="0" applyFont="1" applyFill="1" applyBorder="1" applyAlignment="1">
      <alignment horizontal="left" indent="4"/>
    </xf>
    <xf numFmtId="0" fontId="2" fillId="0" borderId="14" xfId="0" applyFont="1" applyFill="1" applyBorder="1" applyAlignment="1">
      <alignment horizontal="left" indent="2"/>
    </xf>
    <xf numFmtId="164" fontId="2" fillId="0" borderId="20" xfId="0" applyNumberFormat="1" applyFont="1" applyFill="1" applyBorder="1"/>
    <xf numFmtId="0" fontId="2" fillId="0" borderId="23" xfId="0" applyFont="1" applyBorder="1" applyAlignment="1">
      <alignment horizontal="left" indent="1"/>
    </xf>
    <xf numFmtId="164" fontId="2" fillId="0" borderId="23" xfId="0" applyNumberFormat="1" applyFont="1" applyBorder="1"/>
    <xf numFmtId="0" fontId="2" fillId="0" borderId="11" xfId="0" applyFont="1" applyBorder="1" applyAlignment="1">
      <alignment horizontal="left" indent="1"/>
    </xf>
    <xf numFmtId="164" fontId="2" fillId="0" borderId="11" xfId="0" applyNumberFormat="1" applyFont="1" applyBorder="1"/>
    <xf numFmtId="0" fontId="2" fillId="0" borderId="11" xfId="0" applyFont="1" applyBorder="1"/>
    <xf numFmtId="3" fontId="2" fillId="0" borderId="23" xfId="0" applyNumberFormat="1" applyFont="1" applyBorder="1"/>
    <xf numFmtId="3" fontId="5" fillId="0" borderId="23" xfId="0" applyNumberFormat="1" applyFont="1" applyBorder="1"/>
    <xf numFmtId="164" fontId="0" fillId="3" borderId="5" xfId="0" applyNumberFormat="1" applyFont="1" applyFill="1" applyBorder="1"/>
    <xf numFmtId="0" fontId="4" fillId="3" borderId="28" xfId="0" applyFont="1" applyFill="1" applyBorder="1"/>
    <xf numFmtId="0" fontId="0" fillId="3" borderId="29" xfId="0" applyFont="1" applyFill="1" applyBorder="1"/>
    <xf numFmtId="3" fontId="0" fillId="3" borderId="30" xfId="0" applyNumberFormat="1" applyFont="1" applyFill="1" applyBorder="1"/>
    <xf numFmtId="0" fontId="2" fillId="0" borderId="31" xfId="0" applyFont="1" applyBorder="1"/>
    <xf numFmtId="4" fontId="2" fillId="0" borderId="31" xfId="0" applyNumberFormat="1" applyFont="1" applyBorder="1"/>
    <xf numFmtId="0" fontId="2" fillId="0" borderId="32" xfId="0" applyFont="1" applyBorder="1"/>
    <xf numFmtId="4" fontId="2" fillId="0" borderId="32" xfId="0" applyNumberFormat="1" applyFont="1" applyBorder="1"/>
    <xf numFmtId="0" fontId="2" fillId="0" borderId="32" xfId="0" applyFont="1" applyBorder="1" applyAlignment="1">
      <alignment horizontal="left" indent="2"/>
    </xf>
    <xf numFmtId="16" fontId="2" fillId="0" borderId="32" xfId="0" applyNumberFormat="1" applyFont="1" applyBorder="1"/>
    <xf numFmtId="164" fontId="2" fillId="0" borderId="32" xfId="0" applyNumberFormat="1" applyFont="1" applyBorder="1"/>
    <xf numFmtId="169" fontId="2" fillId="0" borderId="32" xfId="0" applyNumberFormat="1" applyFont="1" applyBorder="1"/>
    <xf numFmtId="2" fontId="2" fillId="0" borderId="32" xfId="0" applyNumberFormat="1" applyFont="1" applyBorder="1"/>
    <xf numFmtId="2" fontId="2" fillId="0" borderId="32" xfId="0" applyNumberFormat="1" applyFont="1" applyBorder="1" applyAlignment="1"/>
    <xf numFmtId="2" fontId="2" fillId="0" borderId="32" xfId="0" applyNumberFormat="1" applyFont="1" applyBorder="1" applyAlignment="1">
      <alignment horizontal="right" indent="1"/>
    </xf>
    <xf numFmtId="0" fontId="2" fillId="0" borderId="33" xfId="0" applyFont="1" applyBorder="1"/>
    <xf numFmtId="2" fontId="2" fillId="0" borderId="33" xfId="0" applyNumberFormat="1" applyFont="1" applyBorder="1"/>
    <xf numFmtId="0" fontId="2" fillId="0" borderId="34" xfId="0" applyFont="1" applyBorder="1"/>
    <xf numFmtId="4" fontId="2" fillId="0" borderId="35" xfId="0" applyNumberFormat="1" applyFont="1" applyBorder="1"/>
    <xf numFmtId="0" fontId="2" fillId="0" borderId="36" xfId="0" applyFont="1" applyBorder="1"/>
    <xf numFmtId="0" fontId="2" fillId="0" borderId="37" xfId="0" applyFont="1" applyBorder="1" applyAlignment="1">
      <alignment horizontal="left" indent="2"/>
    </xf>
    <xf numFmtId="4" fontId="2" fillId="0" borderId="37" xfId="0" applyNumberFormat="1" applyFont="1" applyBorder="1"/>
    <xf numFmtId="0" fontId="2" fillId="0" borderId="37" xfId="0" applyFont="1" applyBorder="1"/>
    <xf numFmtId="0" fontId="2" fillId="0" borderId="38" xfId="0" applyFont="1" applyBorder="1" applyAlignment="1">
      <alignment horizontal="left" indent="2"/>
    </xf>
    <xf numFmtId="4" fontId="2" fillId="0" borderId="38" xfId="0" applyNumberFormat="1" applyFont="1" applyBorder="1"/>
    <xf numFmtId="0" fontId="2" fillId="0" borderId="38" xfId="0" applyFont="1" applyBorder="1"/>
    <xf numFmtId="164" fontId="2" fillId="0" borderId="37" xfId="0" applyNumberFormat="1" applyFont="1" applyBorder="1"/>
    <xf numFmtId="164" fontId="2" fillId="0" borderId="38" xfId="0" applyNumberFormat="1" applyFont="1" applyBorder="1"/>
    <xf numFmtId="0" fontId="2" fillId="0" borderId="32" xfId="0" applyFont="1" applyFill="1" applyBorder="1" applyAlignment="1">
      <alignment horizontal="left" indent="2"/>
    </xf>
    <xf numFmtId="0" fontId="5" fillId="0" borderId="23" xfId="0" applyFont="1" applyBorder="1" applyAlignment="1">
      <alignment horizontal="left" indent="1"/>
    </xf>
    <xf numFmtId="0" fontId="5" fillId="0" borderId="23" xfId="0" applyFont="1" applyBorder="1"/>
    <xf numFmtId="4" fontId="2" fillId="0" borderId="32" xfId="0" applyNumberFormat="1" applyFont="1" applyFill="1" applyBorder="1"/>
    <xf numFmtId="0" fontId="5" fillId="0" borderId="32" xfId="0" applyFont="1" applyBorder="1" applyAlignment="1">
      <alignment horizontal="left" indent="2"/>
    </xf>
    <xf numFmtId="4" fontId="5" fillId="0" borderId="32" xfId="0" applyNumberFormat="1" applyFont="1" applyBorder="1"/>
    <xf numFmtId="0" fontId="5" fillId="0" borderId="32" xfId="0" applyFont="1" applyBorder="1"/>
    <xf numFmtId="0" fontId="5" fillId="0" borderId="38" xfId="0" applyFont="1" applyBorder="1" applyAlignment="1">
      <alignment horizontal="left" indent="2"/>
    </xf>
    <xf numFmtId="4" fontId="5" fillId="0" borderId="38" xfId="0" applyNumberFormat="1" applyFont="1" applyBorder="1"/>
    <xf numFmtId="0" fontId="5" fillId="0" borderId="38" xfId="0" applyFont="1" applyBorder="1"/>
    <xf numFmtId="4" fontId="2" fillId="0" borderId="39" xfId="0" applyNumberFormat="1" applyFont="1" applyBorder="1"/>
    <xf numFmtId="0" fontId="2" fillId="0" borderId="40" xfId="0" applyFont="1" applyFill="1" applyBorder="1" applyAlignment="1">
      <alignment horizontal="left" indent="2"/>
    </xf>
    <xf numFmtId="4" fontId="2" fillId="0" borderId="40" xfId="0" applyNumberFormat="1" applyFont="1" applyBorder="1"/>
    <xf numFmtId="4" fontId="2" fillId="0" borderId="40" xfId="0" applyNumberFormat="1" applyFont="1" applyBorder="1" applyAlignment="1"/>
    <xf numFmtId="0" fontId="2" fillId="0" borderId="40" xfId="0" applyFont="1" applyBorder="1"/>
    <xf numFmtId="0" fontId="2" fillId="0" borderId="34" xfId="0" applyFont="1" applyBorder="1" applyAlignment="1">
      <alignment horizontal="left" indent="1"/>
    </xf>
    <xf numFmtId="0" fontId="2" fillId="0" borderId="39" xfId="0" applyFont="1" applyFill="1" applyBorder="1" applyAlignment="1">
      <alignment horizontal="left" indent="1"/>
    </xf>
    <xf numFmtId="0" fontId="2" fillId="0" borderId="40" xfId="0" applyFont="1" applyFill="1" applyBorder="1" applyAlignment="1">
      <alignment horizontal="left" indent="1"/>
    </xf>
    <xf numFmtId="0" fontId="2" fillId="0" borderId="42" xfId="0" applyFont="1" applyFill="1" applyBorder="1" applyAlignment="1">
      <alignment horizontal="left" indent="2"/>
    </xf>
    <xf numFmtId="4" fontId="2" fillId="0" borderId="42" xfId="0" applyNumberFormat="1" applyFont="1" applyBorder="1"/>
    <xf numFmtId="0" fontId="2" fillId="0" borderId="42" xfId="0" applyFont="1" applyFill="1" applyBorder="1"/>
    <xf numFmtId="0" fontId="2" fillId="0" borderId="41" xfId="0" applyFont="1" applyFill="1" applyBorder="1" applyAlignment="1">
      <alignment horizontal="left" indent="2"/>
    </xf>
    <xf numFmtId="4" fontId="2" fillId="0" borderId="41" xfId="0" applyNumberFormat="1" applyFont="1" applyBorder="1"/>
    <xf numFmtId="0" fontId="2" fillId="0" borderId="41" xfId="0" applyFont="1" applyFill="1" applyBorder="1"/>
    <xf numFmtId="0" fontId="5" fillId="0" borderId="43" xfId="0" applyFont="1" applyBorder="1" applyAlignment="1">
      <alignment horizontal="left" indent="1"/>
    </xf>
    <xf numFmtId="3" fontId="5" fillId="0" borderId="43" xfId="0" applyNumberFormat="1" applyFont="1" applyBorder="1"/>
    <xf numFmtId="0" fontId="5" fillId="0" borderId="43" xfId="0" applyFont="1" applyBorder="1"/>
    <xf numFmtId="0" fontId="2" fillId="0" borderId="44" xfId="0" applyFont="1" applyFill="1" applyBorder="1" applyAlignment="1">
      <alignment horizontal="left" indent="2"/>
    </xf>
    <xf numFmtId="0" fontId="2" fillId="0" borderId="44" xfId="0" applyFont="1" applyBorder="1"/>
    <xf numFmtId="0" fontId="2" fillId="0" borderId="44" xfId="0" applyFont="1" applyFill="1" applyBorder="1"/>
    <xf numFmtId="169" fontId="2" fillId="0" borderId="44" xfId="0" applyNumberFormat="1" applyFont="1" applyBorder="1"/>
    <xf numFmtId="0" fontId="5" fillId="0" borderId="45" xfId="0" applyFont="1" applyBorder="1" applyAlignment="1">
      <alignment horizontal="left" indent="1"/>
    </xf>
    <xf numFmtId="3" fontId="5" fillId="0" borderId="45" xfId="0" applyNumberFormat="1" applyFont="1" applyBorder="1"/>
    <xf numFmtId="0" fontId="5" fillId="0" borderId="45" xfId="0" applyFont="1" applyBorder="1"/>
    <xf numFmtId="4" fontId="2" fillId="0" borderId="44" xfId="0" applyNumberFormat="1" applyFont="1" applyBorder="1" applyAlignment="1"/>
    <xf numFmtId="0" fontId="2" fillId="0" borderId="46" xfId="0" applyFont="1" applyFill="1" applyBorder="1" applyAlignment="1">
      <alignment horizontal="left" indent="2"/>
    </xf>
    <xf numFmtId="2" fontId="2" fillId="0" borderId="46" xfId="0" applyNumberFormat="1" applyFont="1" applyBorder="1"/>
    <xf numFmtId="0" fontId="2" fillId="0" borderId="46" xfId="0" applyFont="1" applyFill="1" applyBorder="1"/>
    <xf numFmtId="0" fontId="2" fillId="0" borderId="47" xfId="0" applyFont="1" applyFill="1" applyBorder="1"/>
    <xf numFmtId="0" fontId="2" fillId="0" borderId="48" xfId="0" applyFont="1" applyFill="1" applyBorder="1"/>
    <xf numFmtId="0" fontId="2" fillId="0" borderId="48" xfId="0" applyFont="1" applyFill="1" applyBorder="1" applyAlignment="1"/>
    <xf numFmtId="0" fontId="2" fillId="0" borderId="49" xfId="0" applyFont="1" applyFill="1" applyBorder="1" applyAlignment="1">
      <alignment horizontal="left" indent="1"/>
    </xf>
    <xf numFmtId="4" fontId="2" fillId="0" borderId="49" xfId="0" applyNumberFormat="1" applyFont="1" applyBorder="1" applyAlignment="1"/>
    <xf numFmtId="0" fontId="2" fillId="0" borderId="50" xfId="0" applyFont="1" applyFill="1" applyBorder="1"/>
    <xf numFmtId="0" fontId="0" fillId="3" borderId="51" xfId="0" applyFont="1" applyFill="1" applyBorder="1"/>
    <xf numFmtId="0" fontId="2" fillId="0" borderId="21" xfId="0" applyFont="1" applyBorder="1"/>
    <xf numFmtId="0" fontId="2" fillId="0" borderId="52" xfId="0" applyFont="1" applyBorder="1"/>
    <xf numFmtId="0" fontId="2" fillId="0" borderId="53" xfId="0" applyFont="1" applyFill="1" applyBorder="1"/>
    <xf numFmtId="0" fontId="2" fillId="0" borderId="54" xfId="0" applyFont="1" applyBorder="1"/>
    <xf numFmtId="0" fontId="0" fillId="3" borderId="55" xfId="0" applyFont="1" applyFill="1" applyBorder="1"/>
    <xf numFmtId="0" fontId="5" fillId="0" borderId="4" xfId="0" applyFont="1" applyBorder="1" applyAlignment="1">
      <alignment horizontal="left" indent="1"/>
    </xf>
    <xf numFmtId="0" fontId="0" fillId="3" borderId="26" xfId="0" applyFont="1" applyFill="1" applyBorder="1"/>
    <xf numFmtId="0" fontId="0" fillId="3" borderId="56" xfId="0" applyFont="1" applyFill="1" applyBorder="1"/>
    <xf numFmtId="3" fontId="0" fillId="3" borderId="56" xfId="0" applyNumberFormat="1" applyFont="1" applyFill="1" applyBorder="1"/>
    <xf numFmtId="0" fontId="2" fillId="0" borderId="18" xfId="0" applyFont="1" applyFill="1" applyBorder="1" applyAlignment="1"/>
    <xf numFmtId="0" fontId="0" fillId="0" borderId="57" xfId="0" applyBorder="1"/>
    <xf numFmtId="0" fontId="2" fillId="0" borderId="18" xfId="0" applyFont="1" applyFill="1" applyBorder="1" applyAlignment="1">
      <alignment horizontal="left" indent="1"/>
    </xf>
    <xf numFmtId="0" fontId="2" fillId="0" borderId="18" xfId="0" applyFont="1" applyFill="1" applyBorder="1" applyAlignment="1">
      <alignment horizontal="left" indent="2"/>
    </xf>
    <xf numFmtId="3" fontId="2" fillId="0" borderId="57" xfId="0" applyNumberFormat="1" applyFont="1" applyBorder="1"/>
    <xf numFmtId="0" fontId="2" fillId="0" borderId="57" xfId="0" applyFont="1" applyFill="1" applyBorder="1"/>
    <xf numFmtId="0" fontId="2" fillId="0" borderId="57" xfId="0" applyFont="1" applyBorder="1"/>
    <xf numFmtId="3" fontId="2" fillId="0" borderId="57" xfId="0" applyNumberFormat="1" applyFont="1" applyFill="1" applyBorder="1"/>
    <xf numFmtId="172" fontId="2" fillId="0" borderId="57" xfId="0" applyNumberFormat="1" applyFont="1" applyFill="1" applyBorder="1"/>
    <xf numFmtId="164" fontId="0" fillId="3" borderId="56" xfId="0" applyNumberFormat="1" applyFont="1" applyFill="1" applyBorder="1"/>
    <xf numFmtId="0" fontId="2" fillId="0" borderId="58" xfId="0" applyFont="1" applyFill="1" applyBorder="1" applyAlignment="1">
      <alignment horizontal="left" indent="2"/>
    </xf>
    <xf numFmtId="0" fontId="0" fillId="0" borderId="59" xfId="0" applyBorder="1"/>
    <xf numFmtId="0" fontId="2" fillId="0" borderId="60" xfId="0" applyFont="1" applyFill="1" applyBorder="1" applyAlignment="1">
      <alignment horizontal="left" indent="2"/>
    </xf>
    <xf numFmtId="0" fontId="2" fillId="0" borderId="61" xfId="0" applyFont="1" applyBorder="1"/>
    <xf numFmtId="0" fontId="2" fillId="0" borderId="61" xfId="0" applyFont="1" applyFill="1" applyBorder="1"/>
    <xf numFmtId="0" fontId="0" fillId="0" borderId="61" xfId="0" applyBorder="1"/>
    <xf numFmtId="164" fontId="2" fillId="0" borderId="61" xfId="0" applyNumberFormat="1" applyFont="1" applyBorder="1"/>
    <xf numFmtId="0" fontId="2" fillId="0" borderId="62" xfId="0" applyFont="1" applyFill="1" applyBorder="1" applyAlignment="1">
      <alignment horizontal="left" indent="2"/>
    </xf>
    <xf numFmtId="164" fontId="2" fillId="0" borderId="63" xfId="0" applyNumberFormat="1" applyFont="1" applyBorder="1"/>
    <xf numFmtId="0" fontId="2" fillId="0" borderId="63" xfId="0" applyFont="1" applyFill="1" applyBorder="1"/>
    <xf numFmtId="0" fontId="4" fillId="3" borderId="5" xfId="0" applyFont="1" applyFill="1" applyBorder="1"/>
    <xf numFmtId="3" fontId="4" fillId="3" borderId="5" xfId="0" applyNumberFormat="1" applyFont="1" applyFill="1" applyBorder="1"/>
    <xf numFmtId="164" fontId="4" fillId="3" borderId="5" xfId="0" applyNumberFormat="1" applyFont="1" applyFill="1" applyBorder="1"/>
    <xf numFmtId="9" fontId="0" fillId="0" borderId="0" xfId="0" applyNumberFormat="1"/>
    <xf numFmtId="0" fontId="0" fillId="0" borderId="0" xfId="0" applyAlignment="1">
      <alignment horizontal="center" vertical="center"/>
    </xf>
    <xf numFmtId="169" fontId="2" fillId="0" borderId="4" xfId="0" applyNumberFormat="1" applyFont="1" applyBorder="1" applyAlignment="1">
      <alignment horizontal="right" indent="1"/>
    </xf>
    <xf numFmtId="0" fontId="4" fillId="3" borderId="3" xfId="0" applyFont="1" applyFill="1" applyBorder="1" applyAlignment="1">
      <alignment horizontal="center"/>
    </xf>
    <xf numFmtId="169" fontId="2" fillId="0" borderId="23" xfId="0" applyNumberFormat="1" applyFont="1" applyBorder="1" applyAlignment="1">
      <alignment horizontal="right" indent="1"/>
    </xf>
    <xf numFmtId="164" fontId="2" fillId="0" borderId="23" xfId="0" applyNumberFormat="1" applyFont="1" applyBorder="1" applyAlignment="1">
      <alignment horizontal="right" indent="1"/>
    </xf>
    <xf numFmtId="164" fontId="2" fillId="0" borderId="4" xfId="0" applyNumberFormat="1" applyFont="1" applyBorder="1" applyAlignment="1">
      <alignment horizontal="right" indent="1"/>
    </xf>
    <xf numFmtId="164" fontId="0" fillId="3" borderId="5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/>
    </xf>
    <xf numFmtId="164" fontId="0" fillId="4" borderId="5" xfId="0" applyNumberFormat="1" applyFont="1" applyFill="1" applyBorder="1" applyAlignment="1">
      <alignment horizontal="right"/>
    </xf>
    <xf numFmtId="169" fontId="2" fillId="0" borderId="11" xfId="0" applyNumberFormat="1" applyFont="1" applyBorder="1" applyAlignment="1">
      <alignment horizontal="right" indent="1"/>
    </xf>
    <xf numFmtId="0" fontId="1" fillId="5" borderId="0" xfId="0" applyFont="1" applyFill="1"/>
    <xf numFmtId="8" fontId="1" fillId="5" borderId="0" xfId="0" applyNumberFormat="1" applyFont="1" applyFill="1"/>
    <xf numFmtId="9" fontId="1" fillId="5" borderId="0" xfId="0" applyNumberFormat="1" applyFont="1" applyFill="1"/>
    <xf numFmtId="164" fontId="0" fillId="3" borderId="0" xfId="0" applyNumberFormat="1" applyFont="1" applyFill="1" applyBorder="1"/>
    <xf numFmtId="164" fontId="0" fillId="3" borderId="0" xfId="0" applyNumberFormat="1" applyFont="1" applyFill="1" applyBorder="1" applyAlignment="1">
      <alignment horizontal="right"/>
    </xf>
  </cellXfs>
  <cellStyles count="2">
    <cellStyle name="Millares 2 2" xfId="1" xr:uid="{2ED4CB43-9FE6-44BD-B6A1-4D3D5D0A858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750850</xdr:colOff>
      <xdr:row>28</xdr:row>
      <xdr:rowOff>111760</xdr:rowOff>
    </xdr:from>
    <xdr:to>
      <xdr:col>12</xdr:col>
      <xdr:colOff>1859279</xdr:colOff>
      <xdr:row>43</xdr:row>
      <xdr:rowOff>144708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D65C9A-D3D6-EAC8-42C8-C1B6B973C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7490" y="5232400"/>
          <a:ext cx="1900909" cy="277614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1971040</xdr:colOff>
      <xdr:row>28</xdr:row>
      <xdr:rowOff>154150</xdr:rowOff>
    </xdr:from>
    <xdr:to>
      <xdr:col>15</xdr:col>
      <xdr:colOff>60960</xdr:colOff>
      <xdr:row>42</xdr:row>
      <xdr:rowOff>92960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5A4E4-CDF8-FA97-09D1-D10A6533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10160" y="5274790"/>
          <a:ext cx="2214880" cy="249913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426720</xdr:colOff>
      <xdr:row>34</xdr:row>
      <xdr:rowOff>181175</xdr:rowOff>
    </xdr:from>
    <xdr:to>
      <xdr:col>11</xdr:col>
      <xdr:colOff>284479</xdr:colOff>
      <xdr:row>53</xdr:row>
      <xdr:rowOff>162718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4E525C-BD69-AAB3-BAFA-877349F5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4960" y="6399095"/>
          <a:ext cx="3566159" cy="3456263"/>
        </a:xfrm>
        <a:prstGeom prst="rect">
          <a:avLst/>
        </a:prstGeom>
      </xdr:spPr>
    </xdr:pic>
    <xdr:clientData/>
  </xdr:twoCellAnchor>
  <xdr:twoCellAnchor editAs="oneCell">
    <xdr:from>
      <xdr:col>4</xdr:col>
      <xdr:colOff>727622</xdr:colOff>
      <xdr:row>35</xdr:row>
      <xdr:rowOff>101599</xdr:rowOff>
    </xdr:from>
    <xdr:to>
      <xdr:col>6</xdr:col>
      <xdr:colOff>319933</xdr:colOff>
      <xdr:row>48</xdr:row>
      <xdr:rowOff>74212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E958D84-FF0E-D68D-7101-ED56EDE2B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8982" y="6502399"/>
          <a:ext cx="2432031" cy="235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3</xdr:row>
      <xdr:rowOff>121919</xdr:rowOff>
    </xdr:from>
    <xdr:to>
      <xdr:col>15</xdr:col>
      <xdr:colOff>738960</xdr:colOff>
      <xdr:row>11</xdr:row>
      <xdr:rowOff>98880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91050BE2-13C0-D3B1-7679-E1E998E1D7F9}"/>
            </a:ext>
          </a:extLst>
        </xdr:cNvPr>
        <xdr:cNvGrpSpPr/>
      </xdr:nvGrpSpPr>
      <xdr:grpSpPr>
        <a:xfrm>
          <a:off x="9875520" y="670559"/>
          <a:ext cx="4320360" cy="1440001"/>
          <a:chOff x="8275320" y="1455419"/>
          <a:chExt cx="4320360" cy="1440001"/>
        </a:xfrm>
      </xdr:grpSpPr>
      <xdr:sp macro="" textlink="">
        <xdr:nvSpPr>
          <xdr:cNvPr id="2" name="Arco 1">
            <a:extLst>
              <a:ext uri="{FF2B5EF4-FFF2-40B4-BE49-F238E27FC236}">
                <a16:creationId xmlns:a16="http://schemas.microsoft.com/office/drawing/2014/main" id="{D340DBD5-6193-AAA6-CEEA-728869A5F49A}"/>
              </a:ext>
            </a:extLst>
          </xdr:cNvPr>
          <xdr:cNvSpPr/>
        </xdr:nvSpPr>
        <xdr:spPr>
          <a:xfrm>
            <a:off x="11155680" y="1455419"/>
            <a:ext cx="1440000" cy="1440000"/>
          </a:xfrm>
          <a:prstGeom prst="arc">
            <a:avLst>
              <a:gd name="adj1" fmla="val 16200000"/>
              <a:gd name="adj2" fmla="val 5361250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CF151FD3-140B-3D16-8A5B-4283E951888D}"/>
              </a:ext>
            </a:extLst>
          </xdr:cNvPr>
          <xdr:cNvCxnSpPr/>
        </xdr:nvCxnSpPr>
        <xdr:spPr>
          <a:xfrm>
            <a:off x="8991600" y="1455419"/>
            <a:ext cx="2880000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Arco 4">
            <a:extLst>
              <a:ext uri="{FF2B5EF4-FFF2-40B4-BE49-F238E27FC236}">
                <a16:creationId xmlns:a16="http://schemas.microsoft.com/office/drawing/2014/main" id="{09A6DC80-405B-451A-8FB2-AD5E336885F4}"/>
              </a:ext>
            </a:extLst>
          </xdr:cNvPr>
          <xdr:cNvSpPr/>
        </xdr:nvSpPr>
        <xdr:spPr>
          <a:xfrm rot="10800000">
            <a:off x="8275320" y="1455420"/>
            <a:ext cx="1440000" cy="1440000"/>
          </a:xfrm>
          <a:prstGeom prst="arc">
            <a:avLst>
              <a:gd name="adj1" fmla="val 16200000"/>
              <a:gd name="adj2" fmla="val 5361250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502FD5CC-D123-4F1D-94CE-5C2B1EA0CAF4}"/>
              </a:ext>
            </a:extLst>
          </xdr:cNvPr>
          <xdr:cNvCxnSpPr/>
        </xdr:nvCxnSpPr>
        <xdr:spPr>
          <a:xfrm>
            <a:off x="8999220" y="2895419"/>
            <a:ext cx="2880000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FC1E-14D5-4553-9CC3-ADE65A94634A}">
  <dimension ref="B1:V101"/>
  <sheetViews>
    <sheetView showGridLines="0" topLeftCell="D8" zoomScale="75" zoomScaleNormal="75" workbookViewId="0">
      <selection activeCell="R26" sqref="R26"/>
    </sheetView>
  </sheetViews>
  <sheetFormatPr baseColWidth="10" defaultRowHeight="14.4" x14ac:dyDescent="0.3"/>
  <cols>
    <col min="1" max="1" width="2.77734375" customWidth="1"/>
    <col min="2" max="2" width="31.109375" bestFit="1" customWidth="1"/>
    <col min="3" max="4" width="11.6640625" customWidth="1"/>
    <col min="5" max="5" width="2.77734375" customWidth="1"/>
    <col min="6" max="6" width="30.77734375" customWidth="1"/>
    <col min="7" max="11" width="10.77734375" customWidth="1"/>
    <col min="13" max="13" width="37" bestFit="1" customWidth="1"/>
    <col min="16" max="16" width="2.77734375" customWidth="1"/>
    <col min="17" max="17" width="39.21875" bestFit="1" customWidth="1"/>
    <col min="18" max="22" width="10.77734375" customWidth="1"/>
  </cols>
  <sheetData>
    <row r="1" spans="2:22" x14ac:dyDescent="0.3">
      <c r="B1" t="s">
        <v>0</v>
      </c>
      <c r="M1" s="3" t="s">
        <v>9</v>
      </c>
      <c r="N1" s="3"/>
      <c r="O1" s="3"/>
    </row>
    <row r="2" spans="2:22" x14ac:dyDescent="0.3">
      <c r="M2" s="3"/>
      <c r="N2" s="3"/>
      <c r="O2" s="3"/>
    </row>
    <row r="3" spans="2:22" x14ac:dyDescent="0.3">
      <c r="B3" s="2" t="s">
        <v>38</v>
      </c>
      <c r="C3" s="2"/>
      <c r="D3" s="2"/>
      <c r="F3" s="2" t="s">
        <v>51</v>
      </c>
      <c r="G3" s="2"/>
      <c r="H3" s="2"/>
      <c r="I3" s="2"/>
      <c r="J3" s="2"/>
      <c r="K3" s="14"/>
      <c r="M3" s="2" t="s">
        <v>38</v>
      </c>
      <c r="N3" s="2"/>
      <c r="O3" s="2"/>
      <c r="Q3" s="2" t="s">
        <v>51</v>
      </c>
      <c r="R3" s="2"/>
      <c r="S3" s="2"/>
      <c r="T3" s="2"/>
      <c r="U3" s="2"/>
      <c r="V3" s="2"/>
    </row>
    <row r="5" spans="2:22" x14ac:dyDescent="0.3">
      <c r="B5" s="13" t="s">
        <v>48</v>
      </c>
      <c r="C5" s="4"/>
      <c r="D5" s="10"/>
      <c r="F5" s="9" t="s">
        <v>37</v>
      </c>
      <c r="G5" s="9" t="s">
        <v>33</v>
      </c>
      <c r="H5" s="19" t="s">
        <v>34</v>
      </c>
      <c r="I5" s="9" t="s">
        <v>36</v>
      </c>
      <c r="J5" s="9" t="s">
        <v>166</v>
      </c>
      <c r="K5" s="9" t="s">
        <v>167</v>
      </c>
      <c r="M5" s="9" t="s">
        <v>104</v>
      </c>
      <c r="N5" s="145" t="s">
        <v>2</v>
      </c>
      <c r="O5" s="34">
        <f>O6+O7</f>
        <v>530</v>
      </c>
      <c r="Q5" s="9" t="s">
        <v>37</v>
      </c>
      <c r="R5" s="9" t="s">
        <v>33</v>
      </c>
      <c r="S5" s="9" t="s">
        <v>34</v>
      </c>
      <c r="T5" s="9" t="s">
        <v>36</v>
      </c>
      <c r="U5" s="9" t="s">
        <v>102</v>
      </c>
      <c r="V5" s="9" t="s">
        <v>66</v>
      </c>
    </row>
    <row r="6" spans="2:22" x14ac:dyDescent="0.3">
      <c r="B6" s="45" t="s">
        <v>1</v>
      </c>
      <c r="C6" s="46" t="s">
        <v>2</v>
      </c>
      <c r="D6" s="47">
        <v>500</v>
      </c>
      <c r="F6" s="38" t="s">
        <v>62</v>
      </c>
      <c r="G6" s="5"/>
      <c r="H6" s="5"/>
      <c r="I6" s="5"/>
      <c r="J6" s="5"/>
      <c r="K6" s="39">
        <f>SUM(J7:J9)</f>
        <v>12589678.312014174</v>
      </c>
      <c r="M6" s="22" t="s">
        <v>1</v>
      </c>
      <c r="N6" s="146" t="s">
        <v>2</v>
      </c>
      <c r="O6" s="35">
        <v>500</v>
      </c>
      <c r="Q6" s="38" t="s">
        <v>90</v>
      </c>
      <c r="R6" s="5"/>
      <c r="S6" s="5"/>
      <c r="T6" s="5"/>
      <c r="U6" s="5"/>
      <c r="V6" s="39">
        <f>SUM(U7:U10)</f>
        <v>11817000</v>
      </c>
    </row>
    <row r="7" spans="2:22" x14ac:dyDescent="0.3">
      <c r="B7" s="48" t="s">
        <v>3</v>
      </c>
      <c r="C7" s="24" t="s">
        <v>2</v>
      </c>
      <c r="D7" s="49">
        <f>D6*_xlfn.CSC(ATAN(D11/100))</f>
        <v>4196.5594373380582</v>
      </c>
      <c r="F7" s="21" t="s">
        <v>39</v>
      </c>
      <c r="G7" s="42">
        <v>900</v>
      </c>
      <c r="H7" s="5" t="s">
        <v>58</v>
      </c>
      <c r="I7" s="41">
        <f>D7</f>
        <v>4196.5594373380582</v>
      </c>
      <c r="J7" s="41">
        <f>G7*I7</f>
        <v>3776903.4936042521</v>
      </c>
      <c r="K7" s="39"/>
      <c r="M7" s="22" t="s">
        <v>103</v>
      </c>
      <c r="N7" s="146" t="s">
        <v>2</v>
      </c>
      <c r="O7" s="35">
        <v>30</v>
      </c>
      <c r="Q7" s="22" t="s">
        <v>94</v>
      </c>
      <c r="R7" s="40">
        <v>110000</v>
      </c>
      <c r="S7" s="5" t="s">
        <v>6</v>
      </c>
      <c r="T7" s="5">
        <v>1</v>
      </c>
      <c r="U7" s="41">
        <f t="shared" ref="U7:U22" si="0">R7*T7</f>
        <v>110000</v>
      </c>
      <c r="V7" s="5"/>
    </row>
    <row r="8" spans="2:22" x14ac:dyDescent="0.3">
      <c r="B8" s="48" t="s">
        <v>42</v>
      </c>
      <c r="C8" s="24"/>
      <c r="D8" s="50"/>
      <c r="E8" s="1"/>
      <c r="F8" s="21" t="s">
        <v>40</v>
      </c>
      <c r="G8" s="42">
        <v>1100</v>
      </c>
      <c r="H8" s="5" t="s">
        <v>58</v>
      </c>
      <c r="I8" s="41">
        <f>D7</f>
        <v>4196.5594373380582</v>
      </c>
      <c r="J8" s="41">
        <f t="shared" ref="J8:J33" si="1">G8*I8</f>
        <v>4616215.3810718637</v>
      </c>
      <c r="K8" s="39"/>
      <c r="M8" s="22" t="s">
        <v>22</v>
      </c>
      <c r="N8" s="146" t="s">
        <v>2</v>
      </c>
      <c r="O8" s="35">
        <f>O5-O9*O14</f>
        <v>509</v>
      </c>
      <c r="Q8" s="22" t="s">
        <v>91</v>
      </c>
      <c r="R8" s="41">
        <v>5000</v>
      </c>
      <c r="S8" s="41" t="s">
        <v>6</v>
      </c>
      <c r="T8" s="41">
        <f>O8</f>
        <v>509</v>
      </c>
      <c r="U8" s="41">
        <f t="shared" si="0"/>
        <v>2545000</v>
      </c>
      <c r="V8" s="5"/>
    </row>
    <row r="9" spans="2:22" x14ac:dyDescent="0.3">
      <c r="B9" s="51" t="s">
        <v>43</v>
      </c>
      <c r="C9" s="24" t="s">
        <v>2</v>
      </c>
      <c r="D9" s="50">
        <v>4.5</v>
      </c>
      <c r="F9" s="43" t="s">
        <v>61</v>
      </c>
      <c r="G9" s="42">
        <v>1000</v>
      </c>
      <c r="H9" s="5" t="s">
        <v>58</v>
      </c>
      <c r="I9" s="41">
        <f>D7</f>
        <v>4196.5594373380582</v>
      </c>
      <c r="J9" s="41">
        <f t="shared" si="1"/>
        <v>4196559.4373380579</v>
      </c>
      <c r="K9" s="39"/>
      <c r="M9" s="9" t="s">
        <v>20</v>
      </c>
      <c r="N9" s="145" t="s">
        <v>11</v>
      </c>
      <c r="O9" s="34">
        <f>O12</f>
        <v>3</v>
      </c>
      <c r="Q9" s="23" t="s">
        <v>92</v>
      </c>
      <c r="R9" s="41">
        <v>7000</v>
      </c>
      <c r="S9" s="41" t="s">
        <v>6</v>
      </c>
      <c r="T9" s="5">
        <f>O8</f>
        <v>509</v>
      </c>
      <c r="U9" s="41">
        <f t="shared" si="0"/>
        <v>3563000</v>
      </c>
      <c r="V9" s="5"/>
    </row>
    <row r="10" spans="2:22" x14ac:dyDescent="0.3">
      <c r="B10" s="51" t="s">
        <v>44</v>
      </c>
      <c r="C10" s="24" t="s">
        <v>2</v>
      </c>
      <c r="D10" s="50">
        <v>4.5</v>
      </c>
      <c r="F10" s="38" t="s">
        <v>56</v>
      </c>
      <c r="G10" s="42"/>
      <c r="H10" s="5"/>
      <c r="I10" s="5"/>
      <c r="J10" s="41"/>
      <c r="K10" s="39">
        <f>SUM(J11:J14)</f>
        <v>1286472</v>
      </c>
      <c r="M10" s="27" t="s">
        <v>45</v>
      </c>
      <c r="N10" s="147" t="s">
        <v>2</v>
      </c>
      <c r="O10" s="29">
        <v>7</v>
      </c>
      <c r="Q10" s="23" t="s">
        <v>93</v>
      </c>
      <c r="R10" s="41">
        <v>11000</v>
      </c>
      <c r="S10" s="41" t="s">
        <v>6</v>
      </c>
      <c r="T10" s="5">
        <f>O8</f>
        <v>509</v>
      </c>
      <c r="U10" s="41">
        <f t="shared" si="0"/>
        <v>5599000</v>
      </c>
      <c r="V10" s="5"/>
    </row>
    <row r="11" spans="2:22" x14ac:dyDescent="0.3">
      <c r="B11" s="52" t="s">
        <v>4</v>
      </c>
      <c r="C11" s="32" t="s">
        <v>5</v>
      </c>
      <c r="D11" s="53">
        <v>12</v>
      </c>
      <c r="F11" s="21" t="s">
        <v>39</v>
      </c>
      <c r="G11" s="42">
        <v>710</v>
      </c>
      <c r="H11" s="5" t="s">
        <v>58</v>
      </c>
      <c r="I11" s="41">
        <f>D13</f>
        <v>540</v>
      </c>
      <c r="J11" s="41">
        <f t="shared" si="1"/>
        <v>383400</v>
      </c>
      <c r="K11" s="39"/>
      <c r="M11" s="6" t="s">
        <v>107</v>
      </c>
      <c r="N11" s="26" t="s">
        <v>35</v>
      </c>
      <c r="O11" s="30">
        <v>3</v>
      </c>
      <c r="Q11" s="38" t="s">
        <v>27</v>
      </c>
      <c r="R11" s="5"/>
      <c r="S11" s="5"/>
      <c r="T11" s="5"/>
      <c r="U11" s="41"/>
      <c r="V11" s="39">
        <f>SUM(U12:U13)</f>
        <v>168000</v>
      </c>
    </row>
    <row r="12" spans="2:22" x14ac:dyDescent="0.3">
      <c r="B12" s="13" t="s">
        <v>53</v>
      </c>
      <c r="C12" s="4"/>
      <c r="D12" s="10"/>
      <c r="F12" s="21" t="s">
        <v>40</v>
      </c>
      <c r="G12" s="42">
        <v>870</v>
      </c>
      <c r="H12" s="5" t="s">
        <v>58</v>
      </c>
      <c r="I12" s="41">
        <f>D13</f>
        <v>540</v>
      </c>
      <c r="J12" s="41">
        <f t="shared" si="1"/>
        <v>469800</v>
      </c>
      <c r="K12" s="39"/>
      <c r="M12" s="31" t="s">
        <v>108</v>
      </c>
      <c r="N12" s="148" t="s">
        <v>11</v>
      </c>
      <c r="O12" s="33">
        <v>3</v>
      </c>
      <c r="Q12" s="22" t="s">
        <v>93</v>
      </c>
      <c r="R12" s="41">
        <v>16000</v>
      </c>
      <c r="S12" s="41" t="s">
        <v>35</v>
      </c>
      <c r="T12" s="41">
        <f>O9</f>
        <v>3</v>
      </c>
      <c r="U12" s="41">
        <f>R12*T12</f>
        <v>48000</v>
      </c>
      <c r="V12" s="5"/>
    </row>
    <row r="13" spans="2:22" x14ac:dyDescent="0.3">
      <c r="B13" s="45" t="s">
        <v>3</v>
      </c>
      <c r="C13" s="46" t="s">
        <v>2</v>
      </c>
      <c r="D13" s="47">
        <f>INT((D7/200))*27</f>
        <v>540</v>
      </c>
      <c r="F13" s="43" t="s">
        <v>41</v>
      </c>
      <c r="G13" s="42">
        <v>790</v>
      </c>
      <c r="H13" s="5" t="s">
        <v>58</v>
      </c>
      <c r="I13" s="41">
        <f>D13</f>
        <v>540</v>
      </c>
      <c r="J13" s="41">
        <f t="shared" si="1"/>
        <v>426600</v>
      </c>
      <c r="K13" s="39"/>
      <c r="M13" s="9" t="s">
        <v>19</v>
      </c>
      <c r="N13" s="145" t="s">
        <v>11</v>
      </c>
      <c r="O13" s="34">
        <f>O16</f>
        <v>1</v>
      </c>
      <c r="Q13" s="22" t="s">
        <v>94</v>
      </c>
      <c r="R13" s="40">
        <f>200*200</f>
        <v>40000</v>
      </c>
      <c r="S13" s="40" t="s">
        <v>35</v>
      </c>
      <c r="T13" s="5">
        <f>O9</f>
        <v>3</v>
      </c>
      <c r="U13" s="41">
        <f>R13*T13</f>
        <v>120000</v>
      </c>
      <c r="V13" s="5"/>
    </row>
    <row r="14" spans="2:22" x14ac:dyDescent="0.3">
      <c r="B14" s="48" t="s">
        <v>42</v>
      </c>
      <c r="C14" s="24"/>
      <c r="D14" s="49"/>
      <c r="F14" s="21" t="s">
        <v>49</v>
      </c>
      <c r="G14" s="42">
        <v>30</v>
      </c>
      <c r="H14" s="5" t="s">
        <v>57</v>
      </c>
      <c r="I14" s="41">
        <f>D17</f>
        <v>222.39999999999998</v>
      </c>
      <c r="J14" s="41">
        <f t="shared" si="1"/>
        <v>6671.9999999999991</v>
      </c>
      <c r="K14" s="39"/>
      <c r="M14" s="6" t="s">
        <v>45</v>
      </c>
      <c r="N14" s="146" t="s">
        <v>2</v>
      </c>
      <c r="O14" s="35">
        <v>7</v>
      </c>
      <c r="Q14" s="38" t="s">
        <v>28</v>
      </c>
      <c r="R14" s="5"/>
      <c r="S14" s="5"/>
      <c r="T14" s="5"/>
      <c r="U14" s="41"/>
      <c r="V14" s="39">
        <f>SUM(U15:U17)</f>
        <v>960000</v>
      </c>
    </row>
    <row r="15" spans="2:22" x14ac:dyDescent="0.3">
      <c r="B15" s="48" t="s">
        <v>43</v>
      </c>
      <c r="C15" s="24" t="s">
        <v>2</v>
      </c>
      <c r="D15" s="50">
        <v>4</v>
      </c>
      <c r="F15" s="38" t="s">
        <v>60</v>
      </c>
      <c r="G15" s="42"/>
      <c r="H15" s="5"/>
      <c r="I15" s="5"/>
      <c r="J15" s="41"/>
      <c r="K15" s="39">
        <f>SUM(J16:J19)</f>
        <v>963738</v>
      </c>
      <c r="M15" s="23" t="s">
        <v>105</v>
      </c>
      <c r="N15" s="26" t="s">
        <v>2</v>
      </c>
      <c r="O15" s="30">
        <v>1</v>
      </c>
      <c r="Q15" s="23" t="s">
        <v>95</v>
      </c>
      <c r="R15" s="41">
        <v>150000</v>
      </c>
      <c r="S15" s="41" t="s">
        <v>35</v>
      </c>
      <c r="T15" s="5">
        <f>O16*1</f>
        <v>1</v>
      </c>
      <c r="U15" s="41">
        <f t="shared" ref="U15:U17" si="2">R15*T15</f>
        <v>150000</v>
      </c>
      <c r="V15" s="5"/>
    </row>
    <row r="16" spans="2:22" x14ac:dyDescent="0.3">
      <c r="B16" s="54" t="s">
        <v>44</v>
      </c>
      <c r="C16" s="24" t="s">
        <v>2</v>
      </c>
      <c r="D16" s="50">
        <v>4</v>
      </c>
      <c r="F16" s="21" t="s">
        <v>39</v>
      </c>
      <c r="G16" s="42">
        <v>710</v>
      </c>
      <c r="H16" s="5" t="s">
        <v>58</v>
      </c>
      <c r="I16" s="41">
        <f>D19</f>
        <v>405</v>
      </c>
      <c r="J16" s="41">
        <f t="shared" si="1"/>
        <v>287550</v>
      </c>
      <c r="K16" s="39"/>
      <c r="M16" s="22" t="s">
        <v>106</v>
      </c>
      <c r="N16" s="146" t="s">
        <v>11</v>
      </c>
      <c r="O16" s="35">
        <v>1</v>
      </c>
      <c r="Q16" s="23" t="s">
        <v>18</v>
      </c>
      <c r="R16" s="41">
        <v>350000</v>
      </c>
      <c r="S16" s="41" t="s">
        <v>35</v>
      </c>
      <c r="T16" s="41">
        <f>O17</f>
        <v>2</v>
      </c>
      <c r="U16" s="41">
        <f t="shared" si="2"/>
        <v>700000</v>
      </c>
      <c r="V16" s="5"/>
    </row>
    <row r="17" spans="2:22" x14ac:dyDescent="0.3">
      <c r="B17" s="51" t="s">
        <v>49</v>
      </c>
      <c r="C17" s="24" t="s">
        <v>50</v>
      </c>
      <c r="D17" s="50">
        <f>97.6+124.8</f>
        <v>222.39999999999998</v>
      </c>
      <c r="F17" s="21" t="s">
        <v>40</v>
      </c>
      <c r="G17" s="42">
        <v>870</v>
      </c>
      <c r="H17" s="5" t="s">
        <v>58</v>
      </c>
      <c r="I17" s="41">
        <f>D19</f>
        <v>405</v>
      </c>
      <c r="J17" s="41">
        <f t="shared" si="1"/>
        <v>352350</v>
      </c>
      <c r="K17" s="39"/>
      <c r="M17" s="25" t="s">
        <v>18</v>
      </c>
      <c r="N17" s="149" t="s">
        <v>11</v>
      </c>
      <c r="O17" s="36">
        <f>O13*2</f>
        <v>2</v>
      </c>
      <c r="Q17" s="23" t="s">
        <v>21</v>
      </c>
      <c r="R17" s="40">
        <v>110000</v>
      </c>
      <c r="S17" s="41" t="s">
        <v>35</v>
      </c>
      <c r="T17" s="41">
        <f>T15</f>
        <v>1</v>
      </c>
      <c r="U17" s="41">
        <f t="shared" si="2"/>
        <v>110000</v>
      </c>
      <c r="V17" s="5"/>
    </row>
    <row r="18" spans="2:22" x14ac:dyDescent="0.3">
      <c r="B18" s="13" t="s">
        <v>59</v>
      </c>
      <c r="C18" s="4"/>
      <c r="D18" s="10"/>
      <c r="F18" s="43" t="s">
        <v>41</v>
      </c>
      <c r="G18" s="42">
        <v>790</v>
      </c>
      <c r="H18" s="5" t="s">
        <v>58</v>
      </c>
      <c r="I18" s="41">
        <f>D19</f>
        <v>405</v>
      </c>
      <c r="J18" s="41">
        <f t="shared" si="1"/>
        <v>319950</v>
      </c>
      <c r="K18" s="39"/>
      <c r="M18" s="4" t="s">
        <v>10</v>
      </c>
      <c r="N18" s="150" t="s">
        <v>11</v>
      </c>
      <c r="O18" s="37">
        <f>SUM(O19:O21)</f>
        <v>4</v>
      </c>
      <c r="Q18" s="38" t="s">
        <v>29</v>
      </c>
      <c r="R18" s="41"/>
      <c r="S18" s="41"/>
      <c r="T18" s="41"/>
      <c r="U18" s="41"/>
      <c r="V18" s="39">
        <f>SUM(U19:U21)</f>
        <v>1650000</v>
      </c>
    </row>
    <row r="19" spans="2:22" x14ac:dyDescent="0.3">
      <c r="B19" s="45" t="s">
        <v>3</v>
      </c>
      <c r="C19" s="46" t="s">
        <v>2</v>
      </c>
      <c r="D19" s="47">
        <f>INT((D7/150))*15</f>
        <v>405</v>
      </c>
      <c r="F19" s="21" t="s">
        <v>49</v>
      </c>
      <c r="G19" s="42">
        <v>30</v>
      </c>
      <c r="H19" s="5" t="s">
        <v>57</v>
      </c>
      <c r="I19" s="41">
        <f>D23</f>
        <v>129.6</v>
      </c>
      <c r="J19" s="41">
        <f t="shared" si="1"/>
        <v>3888</v>
      </c>
      <c r="K19" s="39"/>
      <c r="M19" s="22" t="s">
        <v>14</v>
      </c>
      <c r="N19" s="146" t="s">
        <v>11</v>
      </c>
      <c r="O19" s="35">
        <v>2</v>
      </c>
      <c r="Q19" s="23" t="s">
        <v>98</v>
      </c>
      <c r="R19" s="40">
        <v>250000</v>
      </c>
      <c r="S19" s="40" t="s">
        <v>35</v>
      </c>
      <c r="T19" s="5">
        <v>1</v>
      </c>
      <c r="U19" s="41">
        <f t="shared" ref="U19:U20" si="3">R19*T19</f>
        <v>250000</v>
      </c>
      <c r="V19" s="5"/>
    </row>
    <row r="20" spans="2:22" x14ac:dyDescent="0.3">
      <c r="B20" s="48" t="s">
        <v>42</v>
      </c>
      <c r="C20" s="24"/>
      <c r="D20" s="49"/>
      <c r="F20" s="38" t="s">
        <v>63</v>
      </c>
      <c r="G20" s="42"/>
      <c r="H20" s="5"/>
      <c r="I20" s="5"/>
      <c r="J20" s="41"/>
      <c r="K20" s="39">
        <f>SUM(J21:J25)</f>
        <v>588536</v>
      </c>
      <c r="M20" s="22" t="s">
        <v>15</v>
      </c>
      <c r="N20" s="146" t="s">
        <v>11</v>
      </c>
      <c r="O20" s="35">
        <v>1</v>
      </c>
      <c r="Q20" s="22" t="s">
        <v>96</v>
      </c>
      <c r="R20" s="41">
        <v>450000</v>
      </c>
      <c r="S20" s="41" t="s">
        <v>35</v>
      </c>
      <c r="T20" s="41">
        <v>1</v>
      </c>
      <c r="U20" s="41">
        <f t="shared" si="3"/>
        <v>450000</v>
      </c>
      <c r="V20" s="5"/>
    </row>
    <row r="21" spans="2:22" x14ac:dyDescent="0.3">
      <c r="B21" s="48" t="s">
        <v>43</v>
      </c>
      <c r="C21" s="24" t="s">
        <v>2</v>
      </c>
      <c r="D21" s="50">
        <v>4</v>
      </c>
      <c r="F21" s="21" t="s">
        <v>39</v>
      </c>
      <c r="G21" s="42">
        <v>710</v>
      </c>
      <c r="H21" s="5" t="s">
        <v>58</v>
      </c>
      <c r="I21" s="41">
        <f>D25</f>
        <v>160</v>
      </c>
      <c r="J21" s="41">
        <f t="shared" si="1"/>
        <v>113600</v>
      </c>
      <c r="K21" s="39"/>
      <c r="M21" s="23" t="s">
        <v>109</v>
      </c>
      <c r="N21" s="26" t="s">
        <v>11</v>
      </c>
      <c r="O21" s="30">
        <v>1</v>
      </c>
      <c r="Q21" s="22" t="s">
        <v>97</v>
      </c>
      <c r="R21" s="41">
        <v>950000</v>
      </c>
      <c r="S21" s="41" t="s">
        <v>35</v>
      </c>
      <c r="T21" s="41">
        <v>1</v>
      </c>
      <c r="U21" s="41">
        <f>R21*T21</f>
        <v>950000</v>
      </c>
      <c r="V21" s="5"/>
    </row>
    <row r="22" spans="2:22" x14ac:dyDescent="0.3">
      <c r="B22" s="54" t="s">
        <v>44</v>
      </c>
      <c r="C22" s="24" t="s">
        <v>2</v>
      </c>
      <c r="D22" s="50">
        <v>4</v>
      </c>
      <c r="F22" s="21" t="s">
        <v>40</v>
      </c>
      <c r="G22" s="42">
        <v>870</v>
      </c>
      <c r="H22" s="5" t="s">
        <v>58</v>
      </c>
      <c r="I22" s="41">
        <f>D25</f>
        <v>160</v>
      </c>
      <c r="J22" s="41">
        <f t="shared" si="1"/>
        <v>139200</v>
      </c>
      <c r="K22" s="39"/>
      <c r="M22" s="4" t="s">
        <v>110</v>
      </c>
      <c r="N22" s="150" t="s">
        <v>11</v>
      </c>
      <c r="O22" s="37">
        <f>O23+O24</f>
        <v>2</v>
      </c>
      <c r="Q22" s="38" t="s">
        <v>23</v>
      </c>
      <c r="R22" s="5"/>
      <c r="S22" s="5"/>
      <c r="T22" s="5"/>
      <c r="U22" s="41"/>
      <c r="V22" s="39">
        <f>SUM(U23:U24)</f>
        <v>5050000</v>
      </c>
    </row>
    <row r="23" spans="2:22" x14ac:dyDescent="0.3">
      <c r="B23" s="54" t="s">
        <v>49</v>
      </c>
      <c r="C23" s="24" t="s">
        <v>50</v>
      </c>
      <c r="D23" s="50">
        <f>62.4+67.2</f>
        <v>129.6</v>
      </c>
      <c r="F23" s="43" t="s">
        <v>41</v>
      </c>
      <c r="G23" s="42">
        <v>790</v>
      </c>
      <c r="H23" s="5" t="s">
        <v>58</v>
      </c>
      <c r="I23" s="41">
        <f>D25</f>
        <v>160</v>
      </c>
      <c r="J23" s="41">
        <f t="shared" si="1"/>
        <v>126400</v>
      </c>
      <c r="K23" s="39"/>
      <c r="M23" s="22" t="s">
        <v>12</v>
      </c>
      <c r="N23" s="146" t="s">
        <v>11</v>
      </c>
      <c r="O23" s="35">
        <v>1</v>
      </c>
      <c r="Q23" s="22" t="s">
        <v>99</v>
      </c>
      <c r="R23" s="41">
        <v>4500000</v>
      </c>
      <c r="S23" s="41" t="s">
        <v>11</v>
      </c>
      <c r="T23" s="41">
        <v>1</v>
      </c>
      <c r="U23" s="41">
        <f>R23*T23</f>
        <v>4500000</v>
      </c>
      <c r="V23" s="5"/>
    </row>
    <row r="24" spans="2:22" x14ac:dyDescent="0.3">
      <c r="B24" s="13" t="s">
        <v>54</v>
      </c>
      <c r="C24" s="4"/>
      <c r="D24" s="10"/>
      <c r="F24" s="21" t="s">
        <v>49</v>
      </c>
      <c r="G24" s="42">
        <v>30</v>
      </c>
      <c r="H24" s="5" t="s">
        <v>57</v>
      </c>
      <c r="I24" s="41">
        <f>D30</f>
        <v>311.2</v>
      </c>
      <c r="J24" s="41">
        <f t="shared" si="1"/>
        <v>9336</v>
      </c>
      <c r="K24" s="39"/>
      <c r="M24" s="22" t="s">
        <v>13</v>
      </c>
      <c r="N24" s="146" t="s">
        <v>11</v>
      </c>
      <c r="O24" s="35">
        <v>1</v>
      </c>
      <c r="Q24" s="22" t="s">
        <v>100</v>
      </c>
      <c r="R24" s="41">
        <v>550000</v>
      </c>
      <c r="S24" s="41" t="s">
        <v>35</v>
      </c>
      <c r="T24" s="41">
        <v>1</v>
      </c>
      <c r="U24" s="41">
        <f>R24*T24</f>
        <v>550000</v>
      </c>
      <c r="V24" s="5"/>
    </row>
    <row r="25" spans="2:22" x14ac:dyDescent="0.3">
      <c r="B25" s="45" t="s">
        <v>3</v>
      </c>
      <c r="C25" s="46" t="s">
        <v>2</v>
      </c>
      <c r="D25" s="47">
        <f>INT((D7/500))*20</f>
        <v>160</v>
      </c>
      <c r="F25" s="21" t="s">
        <v>88</v>
      </c>
      <c r="G25" s="42">
        <v>25000</v>
      </c>
      <c r="H25" s="5" t="s">
        <v>65</v>
      </c>
      <c r="I25" s="41">
        <f>D26</f>
        <v>8</v>
      </c>
      <c r="J25" s="41">
        <f t="shared" si="1"/>
        <v>200000</v>
      </c>
      <c r="K25" s="39"/>
      <c r="M25" s="4" t="s">
        <v>111</v>
      </c>
      <c r="N25" s="150" t="s">
        <v>11</v>
      </c>
      <c r="O25" s="37">
        <v>1</v>
      </c>
      <c r="Q25" s="38" t="s">
        <v>24</v>
      </c>
      <c r="R25" s="5"/>
      <c r="S25" s="5"/>
      <c r="T25" s="5"/>
      <c r="U25" s="41"/>
      <c r="V25" s="39">
        <f>SUM(U26:U27)</f>
        <v>3850000</v>
      </c>
    </row>
    <row r="26" spans="2:22" x14ac:dyDescent="0.3">
      <c r="B26" s="48" t="s">
        <v>64</v>
      </c>
      <c r="C26" s="24" t="s">
        <v>2</v>
      </c>
      <c r="D26" s="49">
        <f>INT((D7/500))</f>
        <v>8</v>
      </c>
      <c r="F26" s="38" t="s">
        <v>68</v>
      </c>
      <c r="G26" s="5"/>
      <c r="H26" s="5"/>
      <c r="I26" s="5"/>
      <c r="J26" s="5"/>
      <c r="K26" s="39">
        <f>SUM(J27:J33)</f>
        <v>2656894</v>
      </c>
      <c r="M26" s="23" t="s">
        <v>180</v>
      </c>
      <c r="N26" s="26" t="s">
        <v>2</v>
      </c>
      <c r="O26" s="30">
        <v>45</v>
      </c>
      <c r="Q26" s="22" t="s">
        <v>24</v>
      </c>
      <c r="R26" s="41">
        <v>3500000</v>
      </c>
      <c r="S26" s="41" t="s">
        <v>11</v>
      </c>
      <c r="T26" s="41">
        <v>1</v>
      </c>
      <c r="U26" s="41">
        <f>R26*T26</f>
        <v>3500000</v>
      </c>
      <c r="V26" s="5"/>
    </row>
    <row r="27" spans="2:22" x14ac:dyDescent="0.3">
      <c r="B27" s="48" t="s">
        <v>42</v>
      </c>
      <c r="C27" s="24"/>
      <c r="D27" s="49"/>
      <c r="F27" s="21" t="s">
        <v>85</v>
      </c>
      <c r="G27" s="42">
        <f>12000+1400*D36</f>
        <v>115600</v>
      </c>
      <c r="H27" s="5" t="s">
        <v>65</v>
      </c>
      <c r="I27" s="5">
        <f>D34</f>
        <v>13</v>
      </c>
      <c r="J27" s="41">
        <f t="shared" si="1"/>
        <v>1502800</v>
      </c>
      <c r="K27" s="5"/>
      <c r="M27" s="9" t="s">
        <v>112</v>
      </c>
      <c r="N27" s="145" t="s">
        <v>11</v>
      </c>
      <c r="O27" s="34">
        <v>1</v>
      </c>
      <c r="Q27" s="22" t="s">
        <v>100</v>
      </c>
      <c r="R27" s="41">
        <v>350000</v>
      </c>
      <c r="S27" s="41" t="s">
        <v>35</v>
      </c>
      <c r="T27" s="41">
        <v>1</v>
      </c>
      <c r="U27" s="41">
        <f>R27*T27</f>
        <v>350000</v>
      </c>
      <c r="V27" s="5"/>
    </row>
    <row r="28" spans="2:22" x14ac:dyDescent="0.3">
      <c r="B28" s="48" t="s">
        <v>43</v>
      </c>
      <c r="C28" s="24" t="s">
        <v>2</v>
      </c>
      <c r="D28" s="50">
        <v>4</v>
      </c>
      <c r="F28" s="21" t="s">
        <v>60</v>
      </c>
      <c r="G28" s="42"/>
      <c r="H28" s="5"/>
      <c r="I28" s="5"/>
      <c r="J28" s="5"/>
      <c r="K28" s="5"/>
      <c r="Q28" s="38" t="s">
        <v>32</v>
      </c>
      <c r="R28" s="5"/>
      <c r="S28" s="5"/>
      <c r="T28" s="5"/>
      <c r="U28" s="41"/>
      <c r="V28" s="39">
        <f>SUM(U29:U31)</f>
        <v>324000</v>
      </c>
    </row>
    <row r="29" spans="2:22" x14ac:dyDescent="0.3">
      <c r="B29" s="54" t="s">
        <v>44</v>
      </c>
      <c r="C29" s="24" t="s">
        <v>2</v>
      </c>
      <c r="D29" s="50">
        <v>4</v>
      </c>
      <c r="F29" s="22" t="s">
        <v>39</v>
      </c>
      <c r="G29" s="42">
        <v>710</v>
      </c>
      <c r="H29" s="5" t="s">
        <v>58</v>
      </c>
      <c r="I29" s="42">
        <f>D38</f>
        <v>455</v>
      </c>
      <c r="J29" s="41">
        <f t="shared" si="1"/>
        <v>323050</v>
      </c>
      <c r="K29" s="5"/>
      <c r="Q29" s="22" t="s">
        <v>32</v>
      </c>
      <c r="R29" s="41">
        <v>100000</v>
      </c>
      <c r="S29" s="41" t="s">
        <v>11</v>
      </c>
      <c r="T29" s="41">
        <v>2</v>
      </c>
      <c r="U29" s="41">
        <f>R29*T29</f>
        <v>200000</v>
      </c>
      <c r="V29" s="5"/>
    </row>
    <row r="30" spans="2:22" x14ac:dyDescent="0.3">
      <c r="B30" s="57" t="s">
        <v>49</v>
      </c>
      <c r="C30" s="55" t="s">
        <v>50</v>
      </c>
      <c r="D30" s="56">
        <f>311.2</f>
        <v>311.2</v>
      </c>
      <c r="F30" s="22" t="s">
        <v>40</v>
      </c>
      <c r="G30" s="42">
        <v>870</v>
      </c>
      <c r="H30" s="5" t="s">
        <v>58</v>
      </c>
      <c r="I30" s="42">
        <f>D38</f>
        <v>455</v>
      </c>
      <c r="J30" s="41">
        <f t="shared" si="1"/>
        <v>395850</v>
      </c>
      <c r="K30" s="5"/>
      <c r="Q30" s="22" t="s">
        <v>25</v>
      </c>
      <c r="R30" s="41">
        <v>110000</v>
      </c>
      <c r="S30" s="41" t="s">
        <v>11</v>
      </c>
      <c r="T30" s="41">
        <v>1</v>
      </c>
      <c r="U30" s="41">
        <f>R30*T30</f>
        <v>110000</v>
      </c>
      <c r="V30" s="5"/>
    </row>
    <row r="31" spans="2:22" x14ac:dyDescent="0.3">
      <c r="B31" s="16" t="s">
        <v>68</v>
      </c>
      <c r="C31" s="17"/>
      <c r="D31" s="18"/>
      <c r="F31" s="44" t="s">
        <v>41</v>
      </c>
      <c r="G31" s="42">
        <v>790</v>
      </c>
      <c r="H31" s="5" t="s">
        <v>58</v>
      </c>
      <c r="I31" s="42">
        <f>D38</f>
        <v>455</v>
      </c>
      <c r="J31" s="41">
        <f t="shared" si="1"/>
        <v>359450</v>
      </c>
      <c r="K31" s="5"/>
      <c r="Q31" s="22" t="s">
        <v>100</v>
      </c>
      <c r="R31" s="40">
        <v>7000</v>
      </c>
      <c r="S31" s="40" t="s">
        <v>35</v>
      </c>
      <c r="T31" s="40">
        <v>2</v>
      </c>
      <c r="U31" s="41">
        <f>R31*T31</f>
        <v>14000</v>
      </c>
      <c r="V31" s="5"/>
    </row>
    <row r="32" spans="2:22" x14ac:dyDescent="0.3">
      <c r="B32" s="46" t="s">
        <v>44</v>
      </c>
      <c r="C32" s="46" t="s">
        <v>2</v>
      </c>
      <c r="D32" s="58">
        <v>20</v>
      </c>
      <c r="F32" s="22" t="s">
        <v>49</v>
      </c>
      <c r="G32" s="42">
        <v>30</v>
      </c>
      <c r="H32" s="5" t="s">
        <v>57</v>
      </c>
      <c r="I32" s="5">
        <f>D43</f>
        <v>124.8</v>
      </c>
      <c r="J32" s="41">
        <f t="shared" si="1"/>
        <v>3744</v>
      </c>
      <c r="K32" s="5"/>
      <c r="M32" s="3" t="s">
        <v>52</v>
      </c>
      <c r="Q32" s="38" t="s">
        <v>15</v>
      </c>
      <c r="R32" s="5"/>
      <c r="S32" s="5"/>
      <c r="T32" s="5"/>
      <c r="U32" s="41"/>
      <c r="V32" s="39">
        <f>SUM(U33:U35)</f>
        <v>250000</v>
      </c>
    </row>
    <row r="33" spans="2:22" x14ac:dyDescent="0.3">
      <c r="B33" s="24" t="s">
        <v>85</v>
      </c>
      <c r="C33" s="24"/>
      <c r="D33" s="59"/>
      <c r="F33" s="21" t="s">
        <v>87</v>
      </c>
      <c r="G33" s="42">
        <v>18000</v>
      </c>
      <c r="H33" s="5" t="s">
        <v>89</v>
      </c>
      <c r="I33" s="42">
        <f>D44</f>
        <v>4</v>
      </c>
      <c r="J33" s="41">
        <f t="shared" si="1"/>
        <v>72000</v>
      </c>
      <c r="K33" s="5"/>
      <c r="Q33" s="22" t="s">
        <v>15</v>
      </c>
      <c r="R33" s="41">
        <v>150000</v>
      </c>
      <c r="S33" s="41" t="s">
        <v>11</v>
      </c>
      <c r="T33" s="41">
        <v>1</v>
      </c>
      <c r="U33" s="41">
        <f>R33*T33</f>
        <v>150000</v>
      </c>
      <c r="V33" s="5"/>
    </row>
    <row r="34" spans="2:22" x14ac:dyDescent="0.3">
      <c r="B34" s="23" t="s">
        <v>64</v>
      </c>
      <c r="C34" s="24" t="s">
        <v>11</v>
      </c>
      <c r="D34" s="60">
        <v>13</v>
      </c>
      <c r="F34" s="7" t="s">
        <v>31</v>
      </c>
      <c r="G34" s="7"/>
      <c r="H34" s="7"/>
      <c r="I34" s="7"/>
      <c r="J34" s="7"/>
      <c r="K34" s="20">
        <f>SUM(K6:K33)</f>
        <v>18085318.312014174</v>
      </c>
      <c r="Q34" s="22" t="s">
        <v>26</v>
      </c>
      <c r="R34" s="41">
        <v>85000</v>
      </c>
      <c r="S34" s="41" t="s">
        <v>11</v>
      </c>
      <c r="T34" s="41">
        <v>1</v>
      </c>
      <c r="U34" s="41">
        <f>R34*T34</f>
        <v>85000</v>
      </c>
      <c r="V34" s="5"/>
    </row>
    <row r="35" spans="2:22" x14ac:dyDescent="0.3">
      <c r="B35" s="23" t="s">
        <v>86</v>
      </c>
      <c r="C35" s="24" t="s">
        <v>2</v>
      </c>
      <c r="D35" s="59">
        <v>2.4</v>
      </c>
      <c r="Q35" s="22" t="s">
        <v>100</v>
      </c>
      <c r="R35" s="40">
        <v>15000</v>
      </c>
      <c r="S35" s="40" t="s">
        <v>35</v>
      </c>
      <c r="T35" s="40">
        <v>1</v>
      </c>
      <c r="U35" s="41">
        <f>R35*T35</f>
        <v>15000</v>
      </c>
      <c r="V35" s="5"/>
    </row>
    <row r="36" spans="2:22" x14ac:dyDescent="0.3">
      <c r="B36" s="23" t="s">
        <v>67</v>
      </c>
      <c r="C36" s="24" t="s">
        <v>2</v>
      </c>
      <c r="D36" s="59">
        <v>74</v>
      </c>
      <c r="Q36" s="38" t="s">
        <v>101</v>
      </c>
      <c r="R36" s="41">
        <v>550000</v>
      </c>
      <c r="S36" s="41" t="s">
        <v>35</v>
      </c>
      <c r="T36" s="41">
        <v>1</v>
      </c>
      <c r="U36" s="41">
        <f>R36*T36</f>
        <v>550000</v>
      </c>
      <c r="V36" s="39">
        <f>U36</f>
        <v>550000</v>
      </c>
    </row>
    <row r="37" spans="2:22" x14ac:dyDescent="0.3">
      <c r="B37" s="61" t="s">
        <v>55</v>
      </c>
      <c r="C37" s="24"/>
      <c r="D37" s="59"/>
      <c r="Q37" s="38" t="s">
        <v>30</v>
      </c>
      <c r="R37" s="41">
        <v>650000</v>
      </c>
      <c r="S37" s="41" t="s">
        <v>35</v>
      </c>
      <c r="T37" s="41">
        <v>1</v>
      </c>
      <c r="U37" s="41">
        <f>R37*T37</f>
        <v>650000</v>
      </c>
      <c r="V37" s="39">
        <f>U37</f>
        <v>650000</v>
      </c>
    </row>
    <row r="38" spans="2:22" x14ac:dyDescent="0.3">
      <c r="B38" s="23" t="s">
        <v>3</v>
      </c>
      <c r="C38" s="24" t="s">
        <v>2</v>
      </c>
      <c r="D38" s="59">
        <f>35*D39</f>
        <v>455</v>
      </c>
      <c r="Q38" s="7" t="s">
        <v>31</v>
      </c>
      <c r="R38" s="7"/>
      <c r="S38" s="7"/>
      <c r="T38" s="7"/>
      <c r="U38" s="8"/>
      <c r="V38" s="20">
        <f>SUM(V6:V37)</f>
        <v>25269000</v>
      </c>
    </row>
    <row r="39" spans="2:22" x14ac:dyDescent="0.3">
      <c r="B39" s="23" t="s">
        <v>64</v>
      </c>
      <c r="C39" s="24" t="s">
        <v>2</v>
      </c>
      <c r="D39" s="62">
        <f>D34</f>
        <v>13</v>
      </c>
    </row>
    <row r="40" spans="2:22" x14ac:dyDescent="0.3">
      <c r="B40" s="23" t="s">
        <v>42</v>
      </c>
      <c r="C40" s="24"/>
      <c r="D40" s="59"/>
    </row>
    <row r="41" spans="2:22" x14ac:dyDescent="0.3">
      <c r="B41" s="63" t="s">
        <v>43</v>
      </c>
      <c r="C41" s="24" t="s">
        <v>2</v>
      </c>
      <c r="D41" s="59">
        <v>4</v>
      </c>
    </row>
    <row r="42" spans="2:22" x14ac:dyDescent="0.3">
      <c r="B42" s="63" t="s">
        <v>67</v>
      </c>
      <c r="C42" s="24" t="s">
        <v>2</v>
      </c>
      <c r="D42" s="59">
        <v>4</v>
      </c>
    </row>
    <row r="43" spans="2:22" x14ac:dyDescent="0.3">
      <c r="B43" s="63" t="s">
        <v>49</v>
      </c>
      <c r="C43" s="24" t="s">
        <v>50</v>
      </c>
      <c r="D43" s="60">
        <v>124.8</v>
      </c>
    </row>
    <row r="44" spans="2:22" x14ac:dyDescent="0.3">
      <c r="B44" s="64" t="s">
        <v>87</v>
      </c>
      <c r="C44" s="55" t="s">
        <v>11</v>
      </c>
      <c r="D44" s="65">
        <v>4</v>
      </c>
    </row>
    <row r="46" spans="2:22" x14ac:dyDescent="0.3">
      <c r="B46" s="74" t="s">
        <v>172</v>
      </c>
      <c r="C46" s="75"/>
      <c r="D46" s="76"/>
      <c r="M46" s="74" t="s">
        <v>172</v>
      </c>
      <c r="N46" s="75"/>
      <c r="O46" s="76"/>
    </row>
    <row r="47" spans="2:22" x14ac:dyDescent="0.3">
      <c r="B47" s="77" t="s">
        <v>144</v>
      </c>
      <c r="C47" s="78">
        <v>3000</v>
      </c>
      <c r="D47" s="77" t="s">
        <v>117</v>
      </c>
      <c r="M47" s="116" t="s">
        <v>189</v>
      </c>
      <c r="N47" s="91"/>
      <c r="O47" s="92"/>
    </row>
    <row r="48" spans="2:22" x14ac:dyDescent="0.3">
      <c r="B48" s="90" t="s">
        <v>114</v>
      </c>
      <c r="C48" s="91"/>
      <c r="D48" s="92"/>
      <c r="M48" s="93" t="s">
        <v>173</v>
      </c>
      <c r="N48" s="94">
        <v>3.2</v>
      </c>
      <c r="O48" s="95" t="s">
        <v>50</v>
      </c>
    </row>
    <row r="49" spans="2:22" x14ac:dyDescent="0.3">
      <c r="B49" s="93" t="s">
        <v>119</v>
      </c>
      <c r="C49" s="94">
        <v>11</v>
      </c>
      <c r="D49" s="95" t="s">
        <v>116</v>
      </c>
      <c r="M49" s="81" t="s">
        <v>174</v>
      </c>
      <c r="N49" s="80">
        <v>95</v>
      </c>
      <c r="O49" s="79" t="s">
        <v>5</v>
      </c>
    </row>
    <row r="50" spans="2:22" x14ac:dyDescent="0.3">
      <c r="B50" s="81" t="s">
        <v>115</v>
      </c>
      <c r="C50" s="80">
        <v>90</v>
      </c>
      <c r="D50" s="79" t="s">
        <v>5</v>
      </c>
      <c r="M50" s="81" t="s">
        <v>175</v>
      </c>
      <c r="N50" s="80">
        <f>N48*N49/100</f>
        <v>3.04</v>
      </c>
      <c r="O50" s="79" t="s">
        <v>50</v>
      </c>
    </row>
    <row r="51" spans="2:22" x14ac:dyDescent="0.3">
      <c r="B51" s="81" t="s">
        <v>118</v>
      </c>
      <c r="C51" s="80">
        <f>C49*C50</f>
        <v>990</v>
      </c>
      <c r="D51" s="79" t="s">
        <v>116</v>
      </c>
      <c r="M51" s="81" t="s">
        <v>123</v>
      </c>
      <c r="N51" s="80">
        <v>30</v>
      </c>
      <c r="O51" s="79" t="s">
        <v>5</v>
      </c>
    </row>
    <row r="52" spans="2:22" x14ac:dyDescent="0.3">
      <c r="B52" s="81" t="s">
        <v>123</v>
      </c>
      <c r="C52" s="80">
        <v>30</v>
      </c>
      <c r="D52" s="79" t="s">
        <v>5</v>
      </c>
      <c r="M52" s="81" t="s">
        <v>124</v>
      </c>
      <c r="N52" s="80">
        <v>3</v>
      </c>
      <c r="O52" s="79" t="s">
        <v>120</v>
      </c>
    </row>
    <row r="53" spans="2:22" x14ac:dyDescent="0.3">
      <c r="B53" s="81" t="s">
        <v>124</v>
      </c>
      <c r="C53" s="80">
        <v>3</v>
      </c>
      <c r="D53" s="79" t="s">
        <v>120</v>
      </c>
      <c r="M53" s="101" t="s">
        <v>190</v>
      </c>
      <c r="N53" s="104">
        <v>2.6</v>
      </c>
      <c r="O53" s="79" t="s">
        <v>120</v>
      </c>
    </row>
    <row r="54" spans="2:22" x14ac:dyDescent="0.3">
      <c r="B54" s="96" t="s">
        <v>121</v>
      </c>
      <c r="C54" s="97">
        <f>C49*(C50/100)*(C53/(1+(C52/100)))</f>
        <v>22.846153846153847</v>
      </c>
      <c r="D54" s="98" t="s">
        <v>122</v>
      </c>
      <c r="M54" s="105" t="s">
        <v>191</v>
      </c>
      <c r="N54" s="106">
        <f>N50*(N52/(1+N51%))</f>
        <v>7.0153846153846144</v>
      </c>
      <c r="O54" s="107" t="s">
        <v>122</v>
      </c>
    </row>
    <row r="55" spans="2:22" x14ac:dyDescent="0.3">
      <c r="B55" s="90" t="s">
        <v>169</v>
      </c>
      <c r="C55" s="91"/>
      <c r="D55" s="92"/>
      <c r="F55" s="2" t="s">
        <v>113</v>
      </c>
      <c r="G55" s="2"/>
      <c r="H55" s="2"/>
      <c r="I55" s="2"/>
      <c r="J55" s="2"/>
      <c r="K55" s="14"/>
      <c r="M55" s="108" t="s">
        <v>192</v>
      </c>
      <c r="N55" s="109">
        <f>N50*N53/(1+N51%)</f>
        <v>6.08</v>
      </c>
      <c r="O55" s="110" t="s">
        <v>122</v>
      </c>
      <c r="Q55" s="2" t="s">
        <v>113</v>
      </c>
      <c r="R55" s="2"/>
      <c r="S55" s="2"/>
      <c r="T55" s="2"/>
      <c r="U55" s="2"/>
      <c r="V55" s="14"/>
    </row>
    <row r="56" spans="2:22" x14ac:dyDescent="0.3">
      <c r="B56" s="82" t="s">
        <v>152</v>
      </c>
      <c r="C56" s="83">
        <v>1.1000000000000001</v>
      </c>
      <c r="D56" s="79" t="s">
        <v>7</v>
      </c>
      <c r="M56" s="116" t="s">
        <v>176</v>
      </c>
      <c r="N56" s="91"/>
      <c r="O56" s="92"/>
    </row>
    <row r="57" spans="2:22" x14ac:dyDescent="0.3">
      <c r="B57" s="79" t="s">
        <v>8</v>
      </c>
      <c r="C57" s="83">
        <v>0.9</v>
      </c>
      <c r="D57" s="79" t="s">
        <v>7</v>
      </c>
      <c r="F57" s="102" t="s">
        <v>187</v>
      </c>
      <c r="G57" s="72">
        <v>3000</v>
      </c>
      <c r="H57" s="103" t="s">
        <v>117</v>
      </c>
      <c r="M57" s="117" t="s">
        <v>177</v>
      </c>
      <c r="N57" s="111">
        <f>N58+N59</f>
        <v>539.5</v>
      </c>
      <c r="O57" s="139" t="s">
        <v>2</v>
      </c>
      <c r="Q57" s="102" t="s">
        <v>187</v>
      </c>
      <c r="R57" s="72">
        <f>N69</f>
        <v>3000</v>
      </c>
      <c r="S57" s="103" t="s">
        <v>117</v>
      </c>
    </row>
    <row r="58" spans="2:22" x14ac:dyDescent="0.3">
      <c r="B58" s="79" t="s">
        <v>153</v>
      </c>
      <c r="C58" s="83">
        <v>0.8</v>
      </c>
      <c r="D58" s="79" t="s">
        <v>7</v>
      </c>
      <c r="F58" s="21" t="s">
        <v>159</v>
      </c>
      <c r="G58" s="41">
        <v>360</v>
      </c>
      <c r="H58" s="5" t="s">
        <v>160</v>
      </c>
      <c r="M58" s="112" t="s">
        <v>178</v>
      </c>
      <c r="N58" s="113">
        <f>O6</f>
        <v>500</v>
      </c>
      <c r="O58" s="140" t="s">
        <v>2</v>
      </c>
      <c r="Q58" s="151" t="s">
        <v>188</v>
      </c>
      <c r="R58" s="39">
        <f>N73</f>
        <v>1197.76</v>
      </c>
      <c r="S58" s="38" t="s">
        <v>117</v>
      </c>
    </row>
    <row r="59" spans="2:22" x14ac:dyDescent="0.3">
      <c r="B59" s="90" t="s">
        <v>170</v>
      </c>
      <c r="C59" s="91"/>
      <c r="D59" s="92"/>
      <c r="F59" s="21" t="s">
        <v>161</v>
      </c>
      <c r="G59" s="41">
        <f>G57*G58</f>
        <v>1080000</v>
      </c>
      <c r="H59" s="5" t="s">
        <v>162</v>
      </c>
      <c r="M59" s="112" t="s">
        <v>179</v>
      </c>
      <c r="N59" s="113">
        <f>O26-5.5</f>
        <v>39.5</v>
      </c>
      <c r="O59" s="140" t="s">
        <v>2</v>
      </c>
      <c r="Q59" s="21" t="s">
        <v>159</v>
      </c>
      <c r="R59" s="41">
        <v>360</v>
      </c>
      <c r="S59" s="5" t="s">
        <v>160</v>
      </c>
    </row>
    <row r="60" spans="2:22" x14ac:dyDescent="0.3">
      <c r="B60" s="82" t="s">
        <v>152</v>
      </c>
      <c r="C60" s="83">
        <v>0.8</v>
      </c>
      <c r="D60" s="79" t="s">
        <v>7</v>
      </c>
      <c r="F60" s="21" t="s">
        <v>157</v>
      </c>
      <c r="G60" s="42">
        <f>C63</f>
        <v>4.1965594373380579</v>
      </c>
      <c r="H60" s="5" t="s">
        <v>127</v>
      </c>
      <c r="M60" s="118" t="s">
        <v>182</v>
      </c>
      <c r="N60" s="113">
        <f>10*0.9</f>
        <v>9</v>
      </c>
      <c r="O60" s="140" t="s">
        <v>181</v>
      </c>
      <c r="Q60" s="21" t="s">
        <v>203</v>
      </c>
      <c r="R60" s="41">
        <f>R57*R59</f>
        <v>1080000</v>
      </c>
      <c r="S60" s="5" t="s">
        <v>162</v>
      </c>
    </row>
    <row r="61" spans="2:22" x14ac:dyDescent="0.3">
      <c r="B61" s="90" t="s">
        <v>171</v>
      </c>
      <c r="C61" s="91"/>
      <c r="D61" s="92"/>
      <c r="F61" s="68" t="s">
        <v>158</v>
      </c>
      <c r="G61" s="69">
        <f>C62</f>
        <v>0.75</v>
      </c>
      <c r="H61" s="70" t="s">
        <v>127</v>
      </c>
      <c r="M61" s="118" t="s">
        <v>143</v>
      </c>
      <c r="N61" s="114">
        <f>N62+N63</f>
        <v>1.199074074074074</v>
      </c>
      <c r="O61" s="141" t="s">
        <v>184</v>
      </c>
      <c r="Q61" s="68" t="s">
        <v>204</v>
      </c>
      <c r="R61" s="69">
        <f>R58*R59</f>
        <v>431193.59999999998</v>
      </c>
      <c r="S61" s="70" t="s">
        <v>162</v>
      </c>
    </row>
    <row r="62" spans="2:22" x14ac:dyDescent="0.3">
      <c r="B62" s="95" t="s">
        <v>126</v>
      </c>
      <c r="C62" s="99">
        <v>0.75</v>
      </c>
      <c r="D62" s="95" t="s">
        <v>127</v>
      </c>
      <c r="F62" s="9" t="s">
        <v>154</v>
      </c>
      <c r="G62" s="9"/>
      <c r="H62" s="19"/>
      <c r="I62" s="9" t="s">
        <v>165</v>
      </c>
      <c r="J62" s="9" t="s">
        <v>168</v>
      </c>
      <c r="K62" s="9" t="s">
        <v>167</v>
      </c>
      <c r="M62" s="112" t="s">
        <v>183</v>
      </c>
      <c r="N62" s="113">
        <f>(N57/N60)/60</f>
        <v>0.999074074074074</v>
      </c>
      <c r="O62" s="140" t="s">
        <v>184</v>
      </c>
      <c r="Q62" s="152" t="s">
        <v>229</v>
      </c>
      <c r="R62" s="153"/>
      <c r="S62" s="154"/>
      <c r="T62" s="153" t="s">
        <v>227</v>
      </c>
      <c r="U62" s="153" t="s">
        <v>225</v>
      </c>
      <c r="V62" s="154" t="s">
        <v>167</v>
      </c>
    </row>
    <row r="63" spans="2:22" x14ac:dyDescent="0.3">
      <c r="B63" s="79" t="s">
        <v>125</v>
      </c>
      <c r="C63" s="83">
        <f>D7/1000</f>
        <v>4.1965594373380579</v>
      </c>
      <c r="D63" s="83" t="s">
        <v>127</v>
      </c>
      <c r="F63" s="66" t="s">
        <v>164</v>
      </c>
      <c r="G63" s="67"/>
      <c r="H63" s="28"/>
      <c r="I63" s="71"/>
      <c r="J63" s="71"/>
      <c r="K63" s="72"/>
      <c r="M63" s="112" t="s">
        <v>194</v>
      </c>
      <c r="N63" s="113">
        <v>0.2</v>
      </c>
      <c r="O63" s="140" t="s">
        <v>184</v>
      </c>
      <c r="Q63" s="155" t="s">
        <v>205</v>
      </c>
      <c r="R63" s="156"/>
      <c r="S63" s="156"/>
      <c r="T63" s="156"/>
      <c r="U63" s="156"/>
      <c r="V63" s="156"/>
    </row>
    <row r="64" spans="2:22" x14ac:dyDescent="0.3">
      <c r="B64" s="98" t="s">
        <v>31</v>
      </c>
      <c r="C64" s="100">
        <f>SUM(C62:C63)</f>
        <v>4.9465594373380579</v>
      </c>
      <c r="D64" s="98" t="s">
        <v>127</v>
      </c>
      <c r="F64" s="21" t="s">
        <v>152</v>
      </c>
      <c r="G64" s="42">
        <f>C56</f>
        <v>1.1000000000000001</v>
      </c>
      <c r="H64" s="5" t="s">
        <v>7</v>
      </c>
      <c r="I64" s="42">
        <v>2.5179356624028348</v>
      </c>
      <c r="J64" s="41">
        <f>G64*I64*G57</f>
        <v>8309.1876859293552</v>
      </c>
      <c r="K64" s="39">
        <f>J64*G58</f>
        <v>2991307.5669345679</v>
      </c>
      <c r="M64" s="112" t="s">
        <v>193</v>
      </c>
      <c r="N64" s="115">
        <v>1</v>
      </c>
      <c r="O64" s="140" t="s">
        <v>195</v>
      </c>
      <c r="Q64" s="157" t="s">
        <v>206</v>
      </c>
      <c r="R64" s="156"/>
      <c r="S64" s="156"/>
      <c r="T64" s="156"/>
      <c r="U64" s="156"/>
      <c r="V64" s="156"/>
    </row>
    <row r="65" spans="2:22" x14ac:dyDescent="0.3">
      <c r="B65" s="90" t="s">
        <v>128</v>
      </c>
      <c r="C65" s="91"/>
      <c r="D65" s="92"/>
      <c r="F65" s="21" t="s">
        <v>8</v>
      </c>
      <c r="G65" s="42">
        <f>C57</f>
        <v>0.9</v>
      </c>
      <c r="H65" s="5" t="s">
        <v>7</v>
      </c>
      <c r="I65" s="42">
        <f>G60-I64</f>
        <v>1.6786237749352231</v>
      </c>
      <c r="J65" s="41">
        <f>G65*I65*G57</f>
        <v>4532.2841923251026</v>
      </c>
      <c r="K65" s="39">
        <f>J65*G58</f>
        <v>1631622.3092370369</v>
      </c>
      <c r="M65" s="118" t="s">
        <v>185</v>
      </c>
      <c r="N65" s="114">
        <v>14</v>
      </c>
      <c r="O65" s="141" t="s">
        <v>195</v>
      </c>
      <c r="Q65" s="158" t="s">
        <v>207</v>
      </c>
      <c r="R65" s="159">
        <v>2200</v>
      </c>
      <c r="S65" s="160" t="s">
        <v>209</v>
      </c>
      <c r="T65" s="161">
        <v>4</v>
      </c>
      <c r="U65" s="159">
        <f>R65*T65</f>
        <v>8800</v>
      </c>
      <c r="V65" s="159">
        <f>U65*14</f>
        <v>123200</v>
      </c>
    </row>
    <row r="66" spans="2:22" x14ac:dyDescent="0.3">
      <c r="B66" s="79" t="s">
        <v>132</v>
      </c>
      <c r="C66" s="84">
        <v>15</v>
      </c>
      <c r="D66" s="79" t="s">
        <v>129</v>
      </c>
      <c r="F66" s="21" t="s">
        <v>153</v>
      </c>
      <c r="G66" s="42">
        <f>C58</f>
        <v>0.8</v>
      </c>
      <c r="H66" s="5" t="s">
        <v>7</v>
      </c>
      <c r="I66" s="42">
        <f>G60-I65-I64</f>
        <v>0</v>
      </c>
      <c r="J66" s="41">
        <f>G66*I66*G57</f>
        <v>0</v>
      </c>
      <c r="K66" s="39">
        <f>J66*G58</f>
        <v>0</v>
      </c>
      <c r="M66" s="142" t="s">
        <v>186</v>
      </c>
      <c r="N66" s="143">
        <f>ROUNDDOWN((N65-N64)/(N61/60),0)</f>
        <v>650</v>
      </c>
      <c r="O66" s="144" t="s">
        <v>11</v>
      </c>
      <c r="Q66" s="158" t="s">
        <v>208</v>
      </c>
      <c r="R66" s="159">
        <v>1800</v>
      </c>
      <c r="S66" s="160" t="s">
        <v>209</v>
      </c>
      <c r="T66" s="161">
        <v>4</v>
      </c>
      <c r="U66" s="159">
        <f>R66*T66</f>
        <v>7200</v>
      </c>
      <c r="V66" s="159">
        <f>U66*14</f>
        <v>100800</v>
      </c>
    </row>
    <row r="67" spans="2:22" x14ac:dyDescent="0.3">
      <c r="B67" s="79" t="s">
        <v>133</v>
      </c>
      <c r="C67" s="83">
        <v>20</v>
      </c>
      <c r="D67" s="79" t="s">
        <v>129</v>
      </c>
      <c r="F67" s="21" t="s">
        <v>156</v>
      </c>
      <c r="G67" s="42"/>
      <c r="H67" s="5"/>
      <c r="I67" s="42"/>
      <c r="J67" s="41"/>
      <c r="K67" s="39"/>
      <c r="M67" s="119" t="s">
        <v>196</v>
      </c>
      <c r="N67" s="120">
        <f>N66*N54</f>
        <v>4559.9999999999991</v>
      </c>
      <c r="O67" s="121" t="s">
        <v>122</v>
      </c>
      <c r="Q67" s="152"/>
      <c r="R67" s="153"/>
      <c r="S67" s="154"/>
      <c r="T67" s="153"/>
      <c r="U67" s="154">
        <f>SUM(U65:U66)</f>
        <v>16000</v>
      </c>
      <c r="V67" s="154">
        <f>SUM(V65:V66)</f>
        <v>224000</v>
      </c>
    </row>
    <row r="68" spans="2:22" x14ac:dyDescent="0.3">
      <c r="B68" s="79" t="s">
        <v>130</v>
      </c>
      <c r="C68" s="83">
        <v>10</v>
      </c>
      <c r="D68" s="79" t="s">
        <v>129</v>
      </c>
      <c r="F68" s="21" t="s">
        <v>152</v>
      </c>
      <c r="G68" s="42">
        <f>C60</f>
        <v>0.8</v>
      </c>
      <c r="H68" s="5" t="s">
        <v>7</v>
      </c>
      <c r="I68" s="42">
        <f>C62</f>
        <v>0.75</v>
      </c>
      <c r="J68" s="41">
        <f>G68*I68*G57</f>
        <v>1800.0000000000002</v>
      </c>
      <c r="K68" s="39">
        <f>J68*G58</f>
        <v>648000.00000000012</v>
      </c>
      <c r="M68" s="122" t="s">
        <v>197</v>
      </c>
      <c r="N68" s="123">
        <f>N66*N55</f>
        <v>3952</v>
      </c>
      <c r="O68" s="124" t="s">
        <v>122</v>
      </c>
      <c r="Q68" s="155" t="s">
        <v>16</v>
      </c>
      <c r="R68" s="156"/>
      <c r="S68" s="156"/>
      <c r="T68" s="156"/>
      <c r="U68" s="156"/>
      <c r="V68" s="156"/>
    </row>
    <row r="69" spans="2:22" x14ac:dyDescent="0.3">
      <c r="B69" s="79" t="s">
        <v>131</v>
      </c>
      <c r="C69" s="83">
        <v>12</v>
      </c>
      <c r="D69" s="79" t="s">
        <v>129</v>
      </c>
      <c r="F69" s="9" t="s">
        <v>163</v>
      </c>
      <c r="G69" s="9"/>
      <c r="H69" s="19"/>
      <c r="I69" s="73">
        <f>SUM(I64:I68)</f>
        <v>4.9465594373380579</v>
      </c>
      <c r="J69" s="19">
        <f>SUM(J64:J68)</f>
        <v>14641.471878254459</v>
      </c>
      <c r="K69" s="19">
        <f>SUM(K64:K68)</f>
        <v>5270929.8761716047</v>
      </c>
      <c r="M69" s="125" t="s">
        <v>187</v>
      </c>
      <c r="N69" s="126">
        <v>3000</v>
      </c>
      <c r="O69" s="127" t="s">
        <v>117</v>
      </c>
      <c r="Q69" s="157" t="s">
        <v>224</v>
      </c>
      <c r="R69" s="156"/>
      <c r="S69" s="156"/>
      <c r="T69" s="156"/>
      <c r="U69" s="156"/>
      <c r="V69" s="156"/>
    </row>
    <row r="70" spans="2:22" x14ac:dyDescent="0.3">
      <c r="B70" s="79" t="s">
        <v>137</v>
      </c>
      <c r="C70" s="79">
        <f>C62/C66</f>
        <v>0.05</v>
      </c>
      <c r="D70" s="79" t="s">
        <v>134</v>
      </c>
      <c r="M70" s="128" t="s">
        <v>186</v>
      </c>
      <c r="N70" s="129">
        <f>ROUNDUP(N69/N54,0)</f>
        <v>428</v>
      </c>
      <c r="O70" s="130" t="s">
        <v>198</v>
      </c>
      <c r="Q70" s="158" t="s">
        <v>210</v>
      </c>
      <c r="R70" s="159">
        <v>2500</v>
      </c>
      <c r="S70" s="160" t="s">
        <v>209</v>
      </c>
      <c r="T70" s="161">
        <v>2</v>
      </c>
      <c r="U70" s="159">
        <f>R70*T70</f>
        <v>5000</v>
      </c>
      <c r="V70" s="159">
        <f>U70*14</f>
        <v>70000</v>
      </c>
    </row>
    <row r="71" spans="2:22" x14ac:dyDescent="0.3">
      <c r="B71" s="79" t="s">
        <v>138</v>
      </c>
      <c r="C71" s="85">
        <f>C62/C67</f>
        <v>3.7499999999999999E-2</v>
      </c>
      <c r="D71" s="79" t="s">
        <v>134</v>
      </c>
      <c r="F71" s="102" t="s">
        <v>188</v>
      </c>
      <c r="G71" s="72">
        <v>1200</v>
      </c>
      <c r="H71" s="103" t="s">
        <v>117</v>
      </c>
      <c r="M71" s="128" t="s">
        <v>201</v>
      </c>
      <c r="N71" s="131">
        <f>(N70*N61/60)+(N64/2)</f>
        <v>9.0533950617283949</v>
      </c>
      <c r="O71" s="130" t="s">
        <v>195</v>
      </c>
      <c r="Q71" s="158" t="s">
        <v>211</v>
      </c>
      <c r="R71" s="159">
        <v>2500</v>
      </c>
      <c r="S71" s="160" t="s">
        <v>209</v>
      </c>
      <c r="T71" s="161">
        <v>2</v>
      </c>
      <c r="U71" s="159">
        <f>R71*T71</f>
        <v>5000</v>
      </c>
      <c r="V71" s="159">
        <f t="shared" ref="V71:V72" si="4">U71*14</f>
        <v>70000</v>
      </c>
    </row>
    <row r="72" spans="2:22" x14ac:dyDescent="0.3">
      <c r="B72" s="79" t="s">
        <v>135</v>
      </c>
      <c r="C72" s="85">
        <f>(C63/C68)</f>
        <v>0.41965594373380577</v>
      </c>
      <c r="D72" s="79" t="s">
        <v>134</v>
      </c>
      <c r="F72" s="21" t="s">
        <v>159</v>
      </c>
      <c r="G72" s="41">
        <v>360</v>
      </c>
      <c r="H72" s="5" t="s">
        <v>160</v>
      </c>
      <c r="M72" s="128" t="s">
        <v>199</v>
      </c>
      <c r="N72" s="129">
        <v>0.5</v>
      </c>
      <c r="O72" s="130" t="s">
        <v>195</v>
      </c>
      <c r="Q72" s="158" t="s">
        <v>212</v>
      </c>
      <c r="R72" s="159">
        <v>1500</v>
      </c>
      <c r="S72" s="160" t="s">
        <v>209</v>
      </c>
      <c r="T72" s="161">
        <v>1</v>
      </c>
      <c r="U72" s="159">
        <f>R72*T72</f>
        <v>1500</v>
      </c>
      <c r="V72" s="159">
        <f t="shared" si="4"/>
        <v>21000</v>
      </c>
    </row>
    <row r="73" spans="2:22" x14ac:dyDescent="0.3">
      <c r="B73" s="79" t="s">
        <v>136</v>
      </c>
      <c r="C73" s="85">
        <f>(C63/C69)</f>
        <v>0.34971328644483818</v>
      </c>
      <c r="D73" s="79" t="s">
        <v>134</v>
      </c>
      <c r="F73" s="21" t="s">
        <v>161</v>
      </c>
      <c r="G73" s="41">
        <f>G71*G72</f>
        <v>432000</v>
      </c>
      <c r="H73" s="5" t="s">
        <v>162</v>
      </c>
      <c r="M73" s="132" t="s">
        <v>188</v>
      </c>
      <c r="N73" s="133">
        <f>N75*N55</f>
        <v>1197.76</v>
      </c>
      <c r="O73" s="134" t="s">
        <v>117</v>
      </c>
      <c r="Q73" s="158" t="s">
        <v>213</v>
      </c>
      <c r="R73" s="162">
        <v>250000</v>
      </c>
      <c r="S73" s="160" t="s">
        <v>209</v>
      </c>
      <c r="T73" s="160">
        <v>1</v>
      </c>
      <c r="U73" s="162">
        <f>R73*T73</f>
        <v>250000</v>
      </c>
      <c r="V73" s="162">
        <f>U73*12</f>
        <v>3000000</v>
      </c>
    </row>
    <row r="74" spans="2:22" x14ac:dyDescent="0.3">
      <c r="B74" s="79" t="s">
        <v>141</v>
      </c>
      <c r="C74" s="86">
        <f>5/60</f>
        <v>8.3333333333333329E-2</v>
      </c>
      <c r="D74" s="79" t="s">
        <v>134</v>
      </c>
      <c r="F74" s="21" t="s">
        <v>157</v>
      </c>
      <c r="G74" s="42">
        <f>C63</f>
        <v>4.1965594373380579</v>
      </c>
      <c r="H74" s="5" t="s">
        <v>127</v>
      </c>
      <c r="M74" s="128" t="s">
        <v>200</v>
      </c>
      <c r="N74" s="135">
        <f>N65-(N71+N72)</f>
        <v>4.4466049382716051</v>
      </c>
      <c r="O74" s="130" t="s">
        <v>195</v>
      </c>
      <c r="Q74" s="152"/>
      <c r="R74" s="153"/>
      <c r="S74" s="154"/>
      <c r="T74" s="153"/>
      <c r="U74" s="154">
        <f>SUM(U70:U73)</f>
        <v>261500</v>
      </c>
      <c r="V74" s="154">
        <f>SUM(V70:V73)</f>
        <v>3161000</v>
      </c>
    </row>
    <row r="75" spans="2:22" x14ac:dyDescent="0.3">
      <c r="B75" s="79" t="s">
        <v>142</v>
      </c>
      <c r="C75" s="86">
        <f>5/60</f>
        <v>8.3333333333333329E-2</v>
      </c>
      <c r="D75" s="79" t="s">
        <v>134</v>
      </c>
      <c r="F75" s="68" t="s">
        <v>158</v>
      </c>
      <c r="G75" s="69">
        <f>C62</f>
        <v>0.75</v>
      </c>
      <c r="H75" s="70" t="s">
        <v>127</v>
      </c>
      <c r="M75" s="136" t="s">
        <v>186</v>
      </c>
      <c r="N75" s="137">
        <f>ROUNDDOWN((N74-(N64/2))/(N61/60),0)</f>
        <v>197</v>
      </c>
      <c r="O75" s="138" t="s">
        <v>11</v>
      </c>
      <c r="Q75" s="155" t="s">
        <v>17</v>
      </c>
      <c r="R75" s="156"/>
      <c r="S75" s="156"/>
      <c r="T75" s="156"/>
      <c r="U75" s="156"/>
      <c r="V75" s="156"/>
    </row>
    <row r="76" spans="2:22" x14ac:dyDescent="0.3">
      <c r="B76" s="79" t="s">
        <v>139</v>
      </c>
      <c r="C76" s="79">
        <v>0.25</v>
      </c>
      <c r="D76" s="79" t="s">
        <v>134</v>
      </c>
      <c r="F76" s="9" t="s">
        <v>154</v>
      </c>
      <c r="G76" s="9"/>
      <c r="H76" s="19"/>
      <c r="I76" s="9" t="s">
        <v>165</v>
      </c>
      <c r="J76" s="9" t="s">
        <v>168</v>
      </c>
      <c r="K76" s="9" t="s">
        <v>167</v>
      </c>
      <c r="M76" s="165" t="s">
        <v>216</v>
      </c>
      <c r="N76" s="166"/>
      <c r="O76" s="166"/>
      <c r="Q76" s="158" t="s">
        <v>222</v>
      </c>
      <c r="R76" s="163">
        <v>9.8000000000000004E-2</v>
      </c>
      <c r="S76" s="160" t="s">
        <v>223</v>
      </c>
      <c r="T76" s="160"/>
      <c r="U76" s="156"/>
      <c r="V76" s="156"/>
    </row>
    <row r="77" spans="2:22" x14ac:dyDescent="0.3">
      <c r="B77" s="79" t="s">
        <v>140</v>
      </c>
      <c r="C77" s="79">
        <v>0.12</v>
      </c>
      <c r="D77" s="79" t="s">
        <v>134</v>
      </c>
      <c r="F77" s="66" t="s">
        <v>164</v>
      </c>
      <c r="G77" s="67"/>
      <c r="H77" s="28"/>
      <c r="I77" s="71"/>
      <c r="J77" s="71"/>
      <c r="K77" s="72"/>
      <c r="M77" s="167" t="s">
        <v>23</v>
      </c>
      <c r="N77" s="168">
        <v>1200</v>
      </c>
      <c r="O77" s="169" t="s">
        <v>46</v>
      </c>
      <c r="Q77" s="158" t="s">
        <v>215</v>
      </c>
      <c r="R77" s="162">
        <v>1200</v>
      </c>
      <c r="S77" s="160" t="s">
        <v>221</v>
      </c>
      <c r="T77" s="160">
        <v>30</v>
      </c>
      <c r="U77" s="159">
        <f>N81*T77*R76</f>
        <v>23572.233216000004</v>
      </c>
      <c r="V77" s="159">
        <f t="shared" ref="V77:V78" si="5">U77*12</f>
        <v>282866.79859200004</v>
      </c>
    </row>
    <row r="78" spans="2:22" x14ac:dyDescent="0.3">
      <c r="B78" s="79" t="s">
        <v>146</v>
      </c>
      <c r="C78" s="85">
        <f>SUM(C70:C77)</f>
        <v>1.3935358968453109</v>
      </c>
      <c r="D78" s="79" t="s">
        <v>134</v>
      </c>
      <c r="F78" s="21" t="s">
        <v>152</v>
      </c>
      <c r="G78" s="42">
        <f>G64</f>
        <v>1.1000000000000001</v>
      </c>
      <c r="H78" s="5" t="s">
        <v>7</v>
      </c>
      <c r="I78" s="42">
        <f>I64</f>
        <v>2.5179356624028348</v>
      </c>
      <c r="J78" s="41">
        <f>G78*I78*G71</f>
        <v>3323.6750743717421</v>
      </c>
      <c r="K78" s="39">
        <f>J78*G72</f>
        <v>1196523.0267738272</v>
      </c>
      <c r="M78" s="167" t="s">
        <v>214</v>
      </c>
      <c r="N78" s="168">
        <v>350</v>
      </c>
      <c r="O78" s="169" t="s">
        <v>46</v>
      </c>
      <c r="Q78" s="158" t="s">
        <v>214</v>
      </c>
      <c r="R78" s="162">
        <v>350</v>
      </c>
      <c r="S78" s="160" t="s">
        <v>221</v>
      </c>
      <c r="T78" s="160">
        <v>30</v>
      </c>
      <c r="U78" s="159">
        <f>N82*T78*R76</f>
        <v>6875.2346880000005</v>
      </c>
      <c r="V78" s="159">
        <f t="shared" si="5"/>
        <v>82502.816256000006</v>
      </c>
    </row>
    <row r="79" spans="2:22" x14ac:dyDescent="0.3">
      <c r="B79" s="79" t="s">
        <v>145</v>
      </c>
      <c r="C79" s="79">
        <v>14</v>
      </c>
      <c r="D79" s="79" t="s">
        <v>134</v>
      </c>
      <c r="F79" s="21" t="s">
        <v>8</v>
      </c>
      <c r="G79" s="42">
        <f>G65</f>
        <v>0.9</v>
      </c>
      <c r="H79" s="5" t="s">
        <v>7</v>
      </c>
      <c r="I79" s="42">
        <f>G74-I78</f>
        <v>1.6786237749352231</v>
      </c>
      <c r="J79" s="41">
        <f>G79*I79*G71</f>
        <v>1812.913676930041</v>
      </c>
      <c r="K79" s="39">
        <f>J79*G72</f>
        <v>652648.92369481479</v>
      </c>
      <c r="M79" s="167" t="s">
        <v>217</v>
      </c>
      <c r="N79" s="168">
        <v>0.8</v>
      </c>
      <c r="O79" s="170"/>
      <c r="Q79" s="152" t="s">
        <v>228</v>
      </c>
      <c r="R79" s="153"/>
      <c r="S79" s="154"/>
      <c r="T79" s="164"/>
      <c r="U79" s="154">
        <f>SUM(U77:U78)</f>
        <v>30447.467904000005</v>
      </c>
      <c r="V79" s="154">
        <f>SUM(V77:V78)</f>
        <v>365369.61484800006</v>
      </c>
    </row>
    <row r="80" spans="2:22" x14ac:dyDescent="0.3">
      <c r="B80" s="79" t="s">
        <v>147</v>
      </c>
      <c r="C80" s="87">
        <f>C79/C78</f>
        <v>10.046386341172283</v>
      </c>
      <c r="D80" s="79" t="s">
        <v>148</v>
      </c>
      <c r="F80" s="21" t="s">
        <v>153</v>
      </c>
      <c r="G80" s="42">
        <f>G66</f>
        <v>0.8</v>
      </c>
      <c r="H80" s="5" t="s">
        <v>7</v>
      </c>
      <c r="I80" s="42">
        <f>G74-I79-I78</f>
        <v>0</v>
      </c>
      <c r="J80" s="41">
        <f>G80*I80*G71</f>
        <v>0</v>
      </c>
      <c r="K80" s="39">
        <f>J80*G72</f>
        <v>0</v>
      </c>
      <c r="M80" s="167" t="s">
        <v>218</v>
      </c>
      <c r="N80" s="168">
        <v>0.8</v>
      </c>
      <c r="O80" s="170"/>
    </row>
    <row r="81" spans="2:22" x14ac:dyDescent="0.3">
      <c r="B81" s="79" t="s">
        <v>149</v>
      </c>
      <c r="C81" s="85">
        <f>C80*C54</f>
        <v>229.52128794832063</v>
      </c>
      <c r="D81" s="79" t="s">
        <v>150</v>
      </c>
      <c r="F81" s="21" t="s">
        <v>156</v>
      </c>
      <c r="G81" s="42"/>
      <c r="H81" s="5"/>
      <c r="I81" s="42"/>
      <c r="J81" s="41"/>
      <c r="K81" s="39"/>
      <c r="M81" s="167" t="s">
        <v>219</v>
      </c>
      <c r="N81" s="171">
        <f>0.7457*N77*N65*N79*N80</f>
        <v>8017.7664000000004</v>
      </c>
      <c r="O81" s="169" t="s">
        <v>47</v>
      </c>
      <c r="Q81" s="175" t="s">
        <v>230</v>
      </c>
      <c r="R81" s="175"/>
      <c r="S81" s="176"/>
      <c r="T81" s="177"/>
      <c r="U81" s="176">
        <f>U79+U74+U67</f>
        <v>307947.46790400002</v>
      </c>
      <c r="V81" s="176">
        <f>V79+V74+V67</f>
        <v>3750369.614848</v>
      </c>
    </row>
    <row r="82" spans="2:22" x14ac:dyDescent="0.3">
      <c r="B82" s="88" t="s">
        <v>151</v>
      </c>
      <c r="C82" s="89">
        <f>C47/C81</f>
        <v>13.07068301514361</v>
      </c>
      <c r="D82" s="88" t="s">
        <v>11</v>
      </c>
      <c r="F82" s="21" t="s">
        <v>152</v>
      </c>
      <c r="G82" s="42">
        <f>G68</f>
        <v>0.8</v>
      </c>
      <c r="H82" s="5" t="s">
        <v>7</v>
      </c>
      <c r="I82" s="42">
        <f>C62</f>
        <v>0.75</v>
      </c>
      <c r="J82" s="41">
        <f>G82*I82*G71</f>
        <v>720.00000000000011</v>
      </c>
      <c r="K82" s="39">
        <f>J82*G72</f>
        <v>259200.00000000003</v>
      </c>
      <c r="M82" s="172" t="s">
        <v>220</v>
      </c>
      <c r="N82" s="173">
        <f>0.7457*N78*14*N79*N80</f>
        <v>2338.5152000000003</v>
      </c>
      <c r="O82" s="174" t="s">
        <v>47</v>
      </c>
    </row>
    <row r="83" spans="2:22" x14ac:dyDescent="0.3">
      <c r="F83" s="9" t="s">
        <v>163</v>
      </c>
      <c r="G83" s="9"/>
      <c r="H83" s="19"/>
      <c r="I83" s="73">
        <f>SUM(I78:I82)</f>
        <v>4.9465594373380579</v>
      </c>
      <c r="J83" s="19">
        <f>SUM(J78:J82)</f>
        <v>5856.5887513017833</v>
      </c>
      <c r="K83" s="19">
        <f>SUM(K78:K82)</f>
        <v>2108371.9504686422</v>
      </c>
      <c r="Q83" s="9" t="s">
        <v>244</v>
      </c>
      <c r="R83" s="9"/>
      <c r="S83" s="19"/>
      <c r="T83" s="9" t="s">
        <v>165</v>
      </c>
      <c r="U83" s="9" t="s">
        <v>168</v>
      </c>
      <c r="V83" s="9" t="s">
        <v>167</v>
      </c>
    </row>
    <row r="84" spans="2:22" x14ac:dyDescent="0.3">
      <c r="Q84" s="21" t="s">
        <v>156</v>
      </c>
      <c r="R84" s="42"/>
      <c r="S84" s="5"/>
      <c r="T84" s="42"/>
      <c r="U84" s="41"/>
      <c r="V84" s="39"/>
    </row>
    <row r="85" spans="2:22" x14ac:dyDescent="0.3">
      <c r="F85" s="175" t="s">
        <v>202</v>
      </c>
      <c r="G85" s="175"/>
      <c r="H85" s="176"/>
      <c r="I85" s="177"/>
      <c r="J85" s="176"/>
      <c r="K85" s="176">
        <f>K83+K69</f>
        <v>7379301.8266402464</v>
      </c>
      <c r="Q85" s="21" t="s">
        <v>152</v>
      </c>
      <c r="R85" s="42">
        <f>G68</f>
        <v>0.8</v>
      </c>
      <c r="S85" s="5" t="s">
        <v>7</v>
      </c>
      <c r="T85" s="42">
        <f>C62</f>
        <v>0.75</v>
      </c>
      <c r="U85" s="41">
        <f>R85*T85*R57</f>
        <v>1800.0000000000002</v>
      </c>
      <c r="V85" s="39">
        <f>U85*R59</f>
        <v>648000.00000000012</v>
      </c>
    </row>
    <row r="86" spans="2:22" x14ac:dyDescent="0.3">
      <c r="Q86" s="21" t="s">
        <v>156</v>
      </c>
      <c r="R86" s="42"/>
      <c r="S86" s="5"/>
      <c r="T86" s="42"/>
      <c r="U86" s="41"/>
      <c r="V86" s="39"/>
    </row>
    <row r="87" spans="2:22" x14ac:dyDescent="0.3">
      <c r="K87" s="177">
        <f>K85/G59</f>
        <v>6.8326868765187463</v>
      </c>
      <c r="Q87" s="21" t="s">
        <v>152</v>
      </c>
      <c r="R87" s="42">
        <f>G68</f>
        <v>0.8</v>
      </c>
      <c r="S87" s="5" t="s">
        <v>7</v>
      </c>
      <c r="T87" s="42">
        <f>N80</f>
        <v>0.8</v>
      </c>
      <c r="U87" s="41">
        <f>R87*T87*R58</f>
        <v>766.56640000000016</v>
      </c>
      <c r="V87" s="39">
        <f>U87*R59</f>
        <v>275963.90400000004</v>
      </c>
    </row>
    <row r="88" spans="2:22" x14ac:dyDescent="0.3">
      <c r="Q88" s="175" t="s">
        <v>163</v>
      </c>
      <c r="R88" s="175"/>
      <c r="S88" s="176"/>
      <c r="T88" s="177"/>
      <c r="U88" s="176">
        <f>SUM(U85:U87)</f>
        <v>2566.5664000000006</v>
      </c>
      <c r="V88" s="176">
        <f>SUM(V85:V87)</f>
        <v>923963.9040000001</v>
      </c>
    </row>
    <row r="90" spans="2:22" x14ac:dyDescent="0.3">
      <c r="Q90" s="9" t="s">
        <v>245</v>
      </c>
      <c r="R90" s="9"/>
      <c r="S90" s="19"/>
      <c r="T90" s="9" t="s">
        <v>165</v>
      </c>
      <c r="U90" s="9" t="s">
        <v>168</v>
      </c>
      <c r="V90" s="9" t="s">
        <v>167</v>
      </c>
    </row>
    <row r="91" spans="2:22" x14ac:dyDescent="0.3">
      <c r="Q91" s="21" t="s">
        <v>155</v>
      </c>
      <c r="R91" s="42"/>
      <c r="S91" s="5"/>
      <c r="T91" s="42"/>
      <c r="U91" s="41"/>
      <c r="V91" s="39"/>
    </row>
    <row r="92" spans="2:22" x14ac:dyDescent="0.3">
      <c r="O92" s="12"/>
      <c r="Q92" s="21" t="s">
        <v>152</v>
      </c>
      <c r="R92" s="42">
        <f>G64</f>
        <v>1.1000000000000001</v>
      </c>
      <c r="S92" s="5" t="s">
        <v>7</v>
      </c>
      <c r="T92" s="42">
        <v>0.7</v>
      </c>
      <c r="U92" s="41">
        <f>R92*T92*R57</f>
        <v>2310</v>
      </c>
      <c r="V92" s="39">
        <f>U92*R59</f>
        <v>831600</v>
      </c>
    </row>
    <row r="93" spans="2:22" x14ac:dyDescent="0.3">
      <c r="Q93" s="21" t="s">
        <v>155</v>
      </c>
      <c r="R93" s="42"/>
      <c r="S93" s="5"/>
      <c r="T93" s="42"/>
      <c r="U93" s="41"/>
      <c r="V93" s="39"/>
    </row>
    <row r="94" spans="2:22" x14ac:dyDescent="0.3">
      <c r="Q94" s="21" t="s">
        <v>152</v>
      </c>
      <c r="R94" s="42">
        <f>G64</f>
        <v>1.1000000000000001</v>
      </c>
      <c r="S94" s="5" t="s">
        <v>7</v>
      </c>
      <c r="T94" s="42">
        <v>0.45</v>
      </c>
      <c r="U94" s="41">
        <f>R94*T94*R58</f>
        <v>592.89120000000003</v>
      </c>
      <c r="V94" s="39">
        <f>U94*R59</f>
        <v>213440.83199999999</v>
      </c>
    </row>
    <row r="95" spans="2:22" x14ac:dyDescent="0.3">
      <c r="Q95" s="175" t="s">
        <v>163</v>
      </c>
      <c r="R95" s="175"/>
      <c r="S95" s="176"/>
      <c r="T95" s="177"/>
      <c r="U95" s="176">
        <f>SUM(U92:U94)</f>
        <v>2902.8912</v>
      </c>
      <c r="V95" s="176">
        <f>SUM(V92:V94)</f>
        <v>1045040.8319999999</v>
      </c>
    </row>
    <row r="98" spans="17:22" x14ac:dyDescent="0.3">
      <c r="Q98" s="175" t="s">
        <v>226</v>
      </c>
      <c r="R98" s="175"/>
      <c r="S98" s="176"/>
      <c r="T98" s="177"/>
      <c r="U98" s="176">
        <f>U88+U81+U95</f>
        <v>313416.92550400004</v>
      </c>
      <c r="V98" s="176">
        <f>V81+V88+V95</f>
        <v>5719374.3508480005</v>
      </c>
    </row>
    <row r="101" spans="17:22" x14ac:dyDescent="0.3">
      <c r="V101" s="177">
        <f>V98/R60</f>
        <v>5.2957169915259268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86FB-8568-430F-B9BD-3CB251C843C8}">
  <dimension ref="B3:J35"/>
  <sheetViews>
    <sheetView workbookViewId="0">
      <selection activeCell="G20" sqref="G20"/>
    </sheetView>
  </sheetViews>
  <sheetFormatPr baseColWidth="10" defaultRowHeight="14.4" x14ac:dyDescent="0.3"/>
  <cols>
    <col min="2" max="2" width="22.44140625" bestFit="1" customWidth="1"/>
    <col min="4" max="4" width="3.109375" bestFit="1" customWidth="1"/>
    <col min="6" max="6" width="21.77734375" bestFit="1" customWidth="1"/>
    <col min="9" max="9" width="21.77734375" bestFit="1" customWidth="1"/>
  </cols>
  <sheetData>
    <row r="3" spans="2:10" x14ac:dyDescent="0.3">
      <c r="B3" t="s">
        <v>69</v>
      </c>
      <c r="C3">
        <v>500</v>
      </c>
      <c r="D3" t="s">
        <v>71</v>
      </c>
      <c r="F3" t="s">
        <v>76</v>
      </c>
      <c r="G3">
        <v>1</v>
      </c>
      <c r="I3" t="s">
        <v>84</v>
      </c>
      <c r="J3">
        <v>1</v>
      </c>
    </row>
    <row r="5" spans="2:10" x14ac:dyDescent="0.3">
      <c r="B5" t="s">
        <v>72</v>
      </c>
      <c r="C5" s="12">
        <v>40</v>
      </c>
      <c r="D5" t="s">
        <v>2</v>
      </c>
      <c r="F5" t="s">
        <v>77</v>
      </c>
      <c r="G5" s="12">
        <f>C10*G3</f>
        <v>200</v>
      </c>
      <c r="I5" t="s">
        <v>77</v>
      </c>
      <c r="J5" s="12">
        <f>C10*2*J3+G5</f>
        <v>600</v>
      </c>
    </row>
    <row r="6" spans="2:10" x14ac:dyDescent="0.3">
      <c r="B6" t="s">
        <v>70</v>
      </c>
      <c r="C6" s="12">
        <v>12</v>
      </c>
      <c r="D6" t="s">
        <v>5</v>
      </c>
      <c r="F6" t="s">
        <v>73</v>
      </c>
      <c r="G6" s="12">
        <f>PI()*C5/2*G3</f>
        <v>62.831853071795862</v>
      </c>
      <c r="I6" t="s">
        <v>73</v>
      </c>
      <c r="J6" s="12">
        <f>PI()*C5*2*J3+G6</f>
        <v>314.15926535897933</v>
      </c>
    </row>
    <row r="7" spans="2:10" x14ac:dyDescent="0.3">
      <c r="B7" t="s">
        <v>73</v>
      </c>
      <c r="C7" s="12">
        <f>PI()*C5</f>
        <v>125.66370614359172</v>
      </c>
      <c r="D7" t="s">
        <v>2</v>
      </c>
      <c r="F7" t="s">
        <v>78</v>
      </c>
      <c r="G7" s="12">
        <f>G5*_xlfn.SEC(ATAN(C6/100))</f>
        <v>201.43485299222675</v>
      </c>
      <c r="I7" t="s">
        <v>78</v>
      </c>
      <c r="J7" s="12">
        <f>J5*_xlfn.SEC(ATAN(C11/100))</f>
        <v>604.30455897668026</v>
      </c>
    </row>
    <row r="8" spans="2:10" x14ac:dyDescent="0.3">
      <c r="B8" t="s">
        <v>74</v>
      </c>
      <c r="C8" s="12">
        <f>C7*_xlfn.SEC(ATAN(C6/100))</f>
        <v>126.5652508674639</v>
      </c>
      <c r="D8" t="s">
        <v>2</v>
      </c>
      <c r="F8" t="s">
        <v>74</v>
      </c>
      <c r="G8" s="12">
        <f>G6*_xlfn.SEC(ATAN(C11/100))</f>
        <v>63.282625433731951</v>
      </c>
      <c r="I8" t="s">
        <v>74</v>
      </c>
      <c r="J8" s="12">
        <f>J6*_xlfn.SEC(ATAN(C6/100))</f>
        <v>316.41312716865974</v>
      </c>
    </row>
    <row r="9" spans="2:10" x14ac:dyDescent="0.3">
      <c r="F9" t="s">
        <v>79</v>
      </c>
      <c r="G9" s="12">
        <f>G7+G8</f>
        <v>264.71747842595869</v>
      </c>
      <c r="I9" t="s">
        <v>79</v>
      </c>
      <c r="J9" s="12">
        <f>J7+J8</f>
        <v>920.71768614533994</v>
      </c>
    </row>
    <row r="10" spans="2:10" x14ac:dyDescent="0.3">
      <c r="B10" t="s">
        <v>75</v>
      </c>
      <c r="C10" s="12">
        <v>200</v>
      </c>
      <c r="D10" t="s">
        <v>2</v>
      </c>
      <c r="F10" t="s">
        <v>80</v>
      </c>
      <c r="G10" s="12">
        <f>G7*SIN(ATAN(C11/100))</f>
        <v>24</v>
      </c>
      <c r="I10" t="s">
        <v>80</v>
      </c>
      <c r="J10">
        <f>J7*SIN(ATAN(C11/100))</f>
        <v>72</v>
      </c>
    </row>
    <row r="11" spans="2:10" x14ac:dyDescent="0.3">
      <c r="B11" t="s">
        <v>70</v>
      </c>
      <c r="C11" s="12">
        <v>12</v>
      </c>
      <c r="D11" t="s">
        <v>5</v>
      </c>
      <c r="F11" t="s">
        <v>81</v>
      </c>
      <c r="G11" s="12">
        <f>G8*SIN(ATAN(C6/100))</f>
        <v>7.5398223686155035</v>
      </c>
      <c r="I11" t="s">
        <v>81</v>
      </c>
      <c r="J11" s="12">
        <f>J8*SIN(ATAN(C6/100))</f>
        <v>37.69911184307751</v>
      </c>
    </row>
    <row r="12" spans="2:10" x14ac:dyDescent="0.3">
      <c r="B12" t="s">
        <v>78</v>
      </c>
      <c r="C12" s="12">
        <f>C10*_xlfn.SEC(ATAN(C11/100))</f>
        <v>201.43485299222675</v>
      </c>
      <c r="D12" t="s">
        <v>2</v>
      </c>
      <c r="F12" t="s">
        <v>82</v>
      </c>
      <c r="G12" s="12">
        <f>SUM(G10:G11)</f>
        <v>31.539822368615503</v>
      </c>
      <c r="I12" t="s">
        <v>82</v>
      </c>
      <c r="J12" s="12">
        <f>SUM(J10:J11)</f>
        <v>109.6991118430775</v>
      </c>
    </row>
    <row r="14" spans="2:10" x14ac:dyDescent="0.3">
      <c r="B14" t="s">
        <v>83</v>
      </c>
      <c r="C14" s="12">
        <f>ROUND(C3/C16,0)+1</f>
        <v>7</v>
      </c>
      <c r="I14" t="s">
        <v>44</v>
      </c>
      <c r="J14" s="12">
        <f>J12-G12</f>
        <v>78.159289474462</v>
      </c>
    </row>
    <row r="15" spans="2:10" x14ac:dyDescent="0.3">
      <c r="B15" t="s">
        <v>3</v>
      </c>
      <c r="C15" s="12">
        <f>C12*2+C8*2</f>
        <v>656.00020771938125</v>
      </c>
    </row>
    <row r="16" spans="2:10" x14ac:dyDescent="0.3">
      <c r="B16" t="s">
        <v>69</v>
      </c>
      <c r="C16" s="12">
        <f>C8*2*SIN(ATAN(C6/100))+C12*2*SIN(ATAN(C11/100))</f>
        <v>78.159289474462014</v>
      </c>
    </row>
    <row r="25" spans="3:3" x14ac:dyDescent="0.3">
      <c r="C25" s="12"/>
    </row>
    <row r="35" spans="6:6" x14ac:dyDescent="0.3">
      <c r="F35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3D40-C800-4A30-8300-184E31AC1CB1}">
  <dimension ref="B2:Q42"/>
  <sheetViews>
    <sheetView showGridLines="0" tabSelected="1" workbookViewId="0">
      <selection activeCell="N4" sqref="N4"/>
    </sheetView>
  </sheetViews>
  <sheetFormatPr baseColWidth="10" defaultRowHeight="14.4" x14ac:dyDescent="0.3"/>
  <cols>
    <col min="1" max="1" width="4.77734375" customWidth="1"/>
    <col min="2" max="2" width="24.88671875" customWidth="1"/>
    <col min="3" max="3" width="15.77734375" customWidth="1"/>
    <col min="5" max="13" width="8.77734375" customWidth="1"/>
  </cols>
  <sheetData>
    <row r="2" spans="2:17" x14ac:dyDescent="0.3">
      <c r="B2" s="3" t="s">
        <v>231</v>
      </c>
    </row>
    <row r="4" spans="2:17" x14ac:dyDescent="0.3">
      <c r="B4" s="3" t="s">
        <v>232</v>
      </c>
      <c r="K4" s="3" t="s">
        <v>257</v>
      </c>
    </row>
    <row r="6" spans="2:17" x14ac:dyDescent="0.3">
      <c r="B6" t="s">
        <v>249</v>
      </c>
      <c r="C6" s="178">
        <v>0.08</v>
      </c>
    </row>
    <row r="7" spans="2:17" x14ac:dyDescent="0.3">
      <c r="B7" t="s">
        <v>259</v>
      </c>
      <c r="C7" s="178">
        <v>0.02</v>
      </c>
    </row>
    <row r="8" spans="2:17" x14ac:dyDescent="0.3">
      <c r="C8" s="178"/>
    </row>
    <row r="9" spans="2:17" x14ac:dyDescent="0.3">
      <c r="C9" s="178"/>
    </row>
    <row r="10" spans="2:17" x14ac:dyDescent="0.3">
      <c r="C10" s="179"/>
      <c r="D10" s="179"/>
      <c r="E10" s="186" t="s">
        <v>236</v>
      </c>
      <c r="F10" s="186" t="s">
        <v>235</v>
      </c>
      <c r="G10" s="186" t="s">
        <v>234</v>
      </c>
      <c r="H10" s="181" t="s">
        <v>233</v>
      </c>
      <c r="I10" s="181" t="s">
        <v>237</v>
      </c>
      <c r="J10" s="181" t="s">
        <v>238</v>
      </c>
      <c r="K10" s="181" t="s">
        <v>246</v>
      </c>
      <c r="L10" s="181" t="s">
        <v>247</v>
      </c>
      <c r="M10" s="181" t="s">
        <v>248</v>
      </c>
      <c r="N10" s="181" t="s">
        <v>252</v>
      </c>
      <c r="O10" s="181" t="s">
        <v>253</v>
      </c>
      <c r="P10" s="181" t="s">
        <v>254</v>
      </c>
      <c r="Q10" s="181" t="s">
        <v>255</v>
      </c>
    </row>
    <row r="11" spans="2:17" x14ac:dyDescent="0.3">
      <c r="B11" s="66" t="s">
        <v>258</v>
      </c>
      <c r="C11" s="66">
        <f>SUM(E11:Q11)</f>
        <v>12.96</v>
      </c>
      <c r="D11" s="66"/>
      <c r="E11" s="182">
        <f>Tradeoff!G59/1000000</f>
        <v>1.08</v>
      </c>
      <c r="F11" s="182">
        <f>E11</f>
        <v>1.08</v>
      </c>
      <c r="G11" s="182">
        <f t="shared" ref="G11:O11" si="0">F11</f>
        <v>1.08</v>
      </c>
      <c r="H11" s="182">
        <f>G11</f>
        <v>1.08</v>
      </c>
      <c r="I11" s="182">
        <f t="shared" si="0"/>
        <v>1.08</v>
      </c>
      <c r="J11" s="182">
        <f t="shared" si="0"/>
        <v>1.08</v>
      </c>
      <c r="K11" s="182">
        <f t="shared" si="0"/>
        <v>1.08</v>
      </c>
      <c r="L11" s="182">
        <f t="shared" si="0"/>
        <v>1.08</v>
      </c>
      <c r="M11" s="182">
        <f t="shared" si="0"/>
        <v>1.08</v>
      </c>
      <c r="N11" s="182">
        <f t="shared" si="0"/>
        <v>1.08</v>
      </c>
      <c r="O11" s="182">
        <f t="shared" si="0"/>
        <v>1.08</v>
      </c>
      <c r="P11" s="182">
        <f t="shared" ref="P11" si="1">O11</f>
        <v>1.08</v>
      </c>
      <c r="Q11" s="182"/>
    </row>
    <row r="12" spans="2:17" x14ac:dyDescent="0.3">
      <c r="B12" s="66" t="s">
        <v>240</v>
      </c>
      <c r="C12" s="66"/>
      <c r="D12" s="66"/>
      <c r="E12" s="66"/>
      <c r="F12" s="66"/>
      <c r="G12" s="66"/>
      <c r="H12" s="182">
        <f>Tradeoff!K85/1000000</f>
        <v>7.3793018266402468</v>
      </c>
      <c r="I12" s="182">
        <f>H12</f>
        <v>7.3793018266402468</v>
      </c>
      <c r="J12" s="182">
        <f t="shared" ref="J12:K12" si="2">I12</f>
        <v>7.3793018266402468</v>
      </c>
      <c r="K12" s="182">
        <f t="shared" si="2"/>
        <v>7.3793018266402468</v>
      </c>
      <c r="L12" s="182">
        <f t="shared" ref="L12:N12" si="3">K12</f>
        <v>7.3793018266402468</v>
      </c>
      <c r="M12" s="182">
        <f t="shared" si="3"/>
        <v>7.3793018266402468</v>
      </c>
      <c r="N12" s="182">
        <f t="shared" si="3"/>
        <v>7.3793018266402468</v>
      </c>
      <c r="O12" s="182">
        <f t="shared" ref="O12" si="4">N12</f>
        <v>7.3793018266402468</v>
      </c>
      <c r="P12" s="182">
        <f t="shared" ref="P12" si="5">O12</f>
        <v>7.3793018266402468</v>
      </c>
      <c r="Q12" s="182"/>
    </row>
    <row r="13" spans="2:17" x14ac:dyDescent="0.3">
      <c r="B13" s="21" t="s">
        <v>239</v>
      </c>
      <c r="C13" s="21"/>
      <c r="D13" s="21"/>
      <c r="E13" s="21"/>
      <c r="F13" s="21"/>
      <c r="G13" s="21"/>
      <c r="H13" s="180">
        <f>Tradeoff!V98/1000000</f>
        <v>5.7193743508480006</v>
      </c>
      <c r="I13" s="180">
        <f>H13</f>
        <v>5.7193743508480006</v>
      </c>
      <c r="J13" s="180">
        <f t="shared" ref="J13:K13" si="6">I13</f>
        <v>5.7193743508480006</v>
      </c>
      <c r="K13" s="180">
        <f t="shared" si="6"/>
        <v>5.7193743508480006</v>
      </c>
      <c r="L13" s="180">
        <f t="shared" ref="L13:N13" si="7">K13</f>
        <v>5.7193743508480006</v>
      </c>
      <c r="M13" s="180">
        <f t="shared" si="7"/>
        <v>5.7193743508480006</v>
      </c>
      <c r="N13" s="180">
        <f t="shared" si="7"/>
        <v>5.7193743508480006</v>
      </c>
      <c r="O13" s="180">
        <f t="shared" ref="O13" si="8">N13</f>
        <v>5.7193743508480006</v>
      </c>
      <c r="P13" s="180">
        <f t="shared" ref="P13" si="9">O13</f>
        <v>5.7193743508480006</v>
      </c>
      <c r="Q13" s="180"/>
    </row>
    <row r="14" spans="2:17" x14ac:dyDescent="0.3">
      <c r="B14" s="9" t="s">
        <v>241</v>
      </c>
      <c r="C14" s="9"/>
      <c r="D14" s="9"/>
      <c r="E14" s="73"/>
      <c r="F14" s="73"/>
      <c r="G14" s="73"/>
      <c r="H14" s="73">
        <f>H12-H13</f>
        <v>1.6599274757922462</v>
      </c>
      <c r="I14" s="73">
        <f>I12-I13</f>
        <v>1.6599274757922462</v>
      </c>
      <c r="J14" s="73">
        <f>J12-J13</f>
        <v>1.6599274757922462</v>
      </c>
      <c r="K14" s="73">
        <f>K12-K13</f>
        <v>1.6599274757922462</v>
      </c>
      <c r="L14" s="73">
        <f>L12-L13</f>
        <v>1.6599274757922462</v>
      </c>
      <c r="M14" s="73">
        <f t="shared" ref="M14" si="10">M12-M13</f>
        <v>1.6599274757922462</v>
      </c>
      <c r="N14" s="73">
        <f t="shared" ref="N14:P14" si="11">N12-N13</f>
        <v>1.6599274757922462</v>
      </c>
      <c r="O14" s="73">
        <f t="shared" si="11"/>
        <v>1.6599274757922462</v>
      </c>
      <c r="P14" s="73">
        <f t="shared" si="11"/>
        <v>1.6599274757922462</v>
      </c>
      <c r="Q14" s="73"/>
    </row>
    <row r="15" spans="2:17" x14ac:dyDescent="0.3"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</row>
    <row r="16" spans="2:17" x14ac:dyDescent="0.3">
      <c r="B16" s="66" t="s">
        <v>242</v>
      </c>
      <c r="C16" s="183">
        <f>SUM(E16:G16)</f>
        <v>18.085318312014198</v>
      </c>
      <c r="D16" s="183"/>
      <c r="E16" s="183">
        <f>8832831.32480567/1000000</f>
        <v>8.8328313248056691</v>
      </c>
      <c r="F16" s="183">
        <f>8832831.32480567/1000000</f>
        <v>8.8328313248056691</v>
      </c>
      <c r="G16" s="183">
        <f>(18085318.3120142/1000000-F16-E16)</f>
        <v>0.41965566240286023</v>
      </c>
      <c r="H16" s="183"/>
      <c r="I16" s="183"/>
      <c r="J16" s="183"/>
      <c r="K16" s="183"/>
      <c r="L16" s="183"/>
      <c r="M16" s="183"/>
      <c r="N16" s="183"/>
      <c r="O16" s="183"/>
      <c r="P16" s="183"/>
      <c r="Q16" s="183"/>
    </row>
    <row r="17" spans="2:17" x14ac:dyDescent="0.3">
      <c r="B17" s="21" t="s">
        <v>243</v>
      </c>
      <c r="C17" s="184">
        <f>SUM(E17:G17)</f>
        <v>25.268999999999998</v>
      </c>
      <c r="D17" s="184"/>
      <c r="E17" s="184">
        <f>4000000/1000000</f>
        <v>4</v>
      </c>
      <c r="F17" s="184">
        <f>15369000/1000000</f>
        <v>15.369</v>
      </c>
      <c r="G17" s="184">
        <f>(25269000/1000000-F17-E17)</f>
        <v>5.8999999999999986</v>
      </c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r="18" spans="2:17" x14ac:dyDescent="0.3">
      <c r="B18" s="9" t="s">
        <v>51</v>
      </c>
      <c r="C18" s="185">
        <f>C17-C16</f>
        <v>7.1836816879857999</v>
      </c>
      <c r="D18" s="185"/>
      <c r="E18" s="187">
        <f>E17-E16</f>
        <v>-4.8328313248056691</v>
      </c>
      <c r="F18" s="187">
        <f t="shared" ref="F18:G18" si="12">F17-F16</f>
        <v>6.5361686751943306</v>
      </c>
      <c r="G18" s="187">
        <f t="shared" si="12"/>
        <v>5.4803443375971383</v>
      </c>
      <c r="H18" s="185"/>
      <c r="I18" s="185"/>
      <c r="J18" s="185"/>
      <c r="K18" s="185"/>
      <c r="L18" s="185"/>
      <c r="M18" s="185">
        <v>5</v>
      </c>
      <c r="N18" s="185"/>
      <c r="O18" s="185"/>
      <c r="P18" s="185"/>
      <c r="Q18" s="185"/>
    </row>
    <row r="19" spans="2:17" x14ac:dyDescent="0.3"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</row>
    <row r="20" spans="2:17" x14ac:dyDescent="0.3">
      <c r="B20" s="9" t="s">
        <v>251</v>
      </c>
      <c r="C20" s="185"/>
      <c r="D20" s="185"/>
      <c r="E20" s="187">
        <f>-E18+E14</f>
        <v>4.8328313248056691</v>
      </c>
      <c r="F20" s="187">
        <f>-F18+F14</f>
        <v>-6.5361686751943306</v>
      </c>
      <c r="G20" s="187">
        <f>-G18+G14</f>
        <v>-5.4803443375971383</v>
      </c>
      <c r="H20" s="185">
        <f>-H18+H14</f>
        <v>1.6599274757922462</v>
      </c>
      <c r="I20" s="185">
        <f>-I18+I14</f>
        <v>1.6599274757922462</v>
      </c>
      <c r="J20" s="185">
        <f>-J18+J14</f>
        <v>1.6599274757922462</v>
      </c>
      <c r="K20" s="185">
        <f>-K18+K14</f>
        <v>1.6599274757922462</v>
      </c>
      <c r="L20" s="185">
        <f>-L18+L14</f>
        <v>1.6599274757922462</v>
      </c>
      <c r="M20" s="185">
        <f>-M18+M14</f>
        <v>-3.3400725242077538</v>
      </c>
      <c r="N20" s="185">
        <f>-N18+N14</f>
        <v>1.6599274757922462</v>
      </c>
      <c r="O20" s="185">
        <f>-O18+O14</f>
        <v>1.6599274757922462</v>
      </c>
      <c r="P20" s="185">
        <f>-P18+P14</f>
        <v>1.6599274757922462</v>
      </c>
      <c r="Q20" s="185"/>
    </row>
    <row r="22" spans="2:17" x14ac:dyDescent="0.3">
      <c r="B22" s="189" t="s">
        <v>250</v>
      </c>
      <c r="C22" s="189"/>
      <c r="D22" s="189"/>
      <c r="E22" s="190">
        <f>NPV(C6,E20:Q20)</f>
        <v>0.25096267833945396</v>
      </c>
    </row>
    <row r="23" spans="2:17" x14ac:dyDescent="0.3">
      <c r="B23" s="189" t="s">
        <v>256</v>
      </c>
      <c r="C23" s="189"/>
      <c r="D23" s="189"/>
      <c r="E23" s="191">
        <f>IRR(E20:Q20)</f>
        <v>9.547847209646676E-2</v>
      </c>
    </row>
    <row r="25" spans="2:17" x14ac:dyDescent="0.3">
      <c r="C25" s="179"/>
      <c r="D25" s="179"/>
      <c r="E25" s="186" t="s">
        <v>236</v>
      </c>
      <c r="F25" s="186" t="s">
        <v>235</v>
      </c>
      <c r="G25" s="186" t="s">
        <v>234</v>
      </c>
      <c r="H25" s="181" t="s">
        <v>233</v>
      </c>
      <c r="I25" s="181" t="s">
        <v>237</v>
      </c>
      <c r="J25" s="181" t="s">
        <v>238</v>
      </c>
      <c r="K25" s="181" t="s">
        <v>246</v>
      </c>
      <c r="L25" s="181" t="s">
        <v>247</v>
      </c>
      <c r="M25" s="181" t="s">
        <v>248</v>
      </c>
      <c r="N25" s="181" t="s">
        <v>252</v>
      </c>
      <c r="O25" s="181" t="s">
        <v>253</v>
      </c>
      <c r="P25" s="181" t="s">
        <v>254</v>
      </c>
      <c r="Q25" s="181" t="s">
        <v>255</v>
      </c>
    </row>
    <row r="26" spans="2:17" x14ac:dyDescent="0.3">
      <c r="B26" s="66" t="s">
        <v>258</v>
      </c>
      <c r="C26" s="66">
        <f>SUM(E26:Q26)</f>
        <v>14.040000000000001</v>
      </c>
      <c r="D26" s="66"/>
      <c r="E26" s="182">
        <f>E11</f>
        <v>1.08</v>
      </c>
      <c r="F26" s="182">
        <f>E26</f>
        <v>1.08</v>
      </c>
      <c r="G26" s="182">
        <f t="shared" ref="G26:O26" si="13">F26</f>
        <v>1.08</v>
      </c>
      <c r="H26" s="182">
        <f>G26</f>
        <v>1.08</v>
      </c>
      <c r="I26" s="182">
        <f t="shared" ref="I26:O26" si="14">H26</f>
        <v>1.08</v>
      </c>
      <c r="J26" s="182">
        <f t="shared" si="14"/>
        <v>1.08</v>
      </c>
      <c r="K26" s="182">
        <f t="shared" si="14"/>
        <v>1.08</v>
      </c>
      <c r="L26" s="182">
        <f t="shared" si="14"/>
        <v>1.08</v>
      </c>
      <c r="M26" s="182">
        <f t="shared" si="14"/>
        <v>1.08</v>
      </c>
      <c r="N26" s="182">
        <f t="shared" si="14"/>
        <v>1.08</v>
      </c>
      <c r="O26" s="182">
        <f t="shared" si="14"/>
        <v>1.08</v>
      </c>
      <c r="P26" s="182">
        <f t="shared" ref="P26:Q26" si="15">O26</f>
        <v>1.08</v>
      </c>
      <c r="Q26" s="182">
        <f t="shared" si="15"/>
        <v>1.08</v>
      </c>
    </row>
    <row r="27" spans="2:17" x14ac:dyDescent="0.3">
      <c r="B27" s="66" t="s">
        <v>240</v>
      </c>
      <c r="C27" s="66"/>
      <c r="D27" s="66"/>
      <c r="E27" s="66"/>
      <c r="F27" s="66"/>
      <c r="G27" s="66"/>
      <c r="H27" s="182">
        <f>H12*C7+H12</f>
        <v>7.5268878631730516</v>
      </c>
      <c r="I27" s="182">
        <f>H27*$C$7+H27</f>
        <v>7.6774256204365123</v>
      </c>
      <c r="J27" s="182">
        <f t="shared" ref="J27:O27" si="16">I27*$C$7+I27</f>
        <v>7.8309741328452427</v>
      </c>
      <c r="K27" s="182">
        <f t="shared" si="16"/>
        <v>7.9875936155021474</v>
      </c>
      <c r="L27" s="182">
        <f t="shared" si="16"/>
        <v>8.1473454878121903</v>
      </c>
      <c r="M27" s="182">
        <f t="shared" si="16"/>
        <v>8.3102923975684337</v>
      </c>
      <c r="N27" s="182">
        <f t="shared" si="16"/>
        <v>8.476498245519803</v>
      </c>
      <c r="O27" s="182">
        <f t="shared" si="16"/>
        <v>8.6460282104301989</v>
      </c>
      <c r="P27" s="182">
        <f t="shared" ref="P27:Q27" si="17">O27*$C$7+O27</f>
        <v>8.8189487746388036</v>
      </c>
      <c r="Q27" s="182">
        <f t="shared" si="17"/>
        <v>8.9953277501315796</v>
      </c>
    </row>
    <row r="28" spans="2:17" x14ac:dyDescent="0.3">
      <c r="B28" s="21" t="s">
        <v>239</v>
      </c>
      <c r="C28" s="21"/>
      <c r="D28" s="21"/>
      <c r="E28" s="21"/>
      <c r="F28" s="21"/>
      <c r="G28" s="21"/>
      <c r="H28" s="188">
        <f>H13*C8+H13</f>
        <v>5.7193743508480006</v>
      </c>
      <c r="I28" s="188">
        <f>H28*$C$7+H28</f>
        <v>5.8337618378649605</v>
      </c>
      <c r="J28" s="188">
        <f t="shared" ref="J28:O28" si="18">I28*$C$7+I28</f>
        <v>5.9504370746222595</v>
      </c>
      <c r="K28" s="188">
        <f t="shared" si="18"/>
        <v>6.0694458161147047</v>
      </c>
      <c r="L28" s="188">
        <f t="shared" si="18"/>
        <v>6.1908347324369988</v>
      </c>
      <c r="M28" s="188">
        <f t="shared" si="18"/>
        <v>6.3146514270857388</v>
      </c>
      <c r="N28" s="188">
        <f t="shared" si="18"/>
        <v>6.440944455627454</v>
      </c>
      <c r="O28" s="188">
        <f t="shared" si="18"/>
        <v>6.5697633447400028</v>
      </c>
      <c r="P28" s="188">
        <f t="shared" ref="P28:Q28" si="19">O28*$C$7+O28</f>
        <v>6.7011586116348028</v>
      </c>
      <c r="Q28" s="188">
        <f t="shared" si="19"/>
        <v>6.8351817838674984</v>
      </c>
    </row>
    <row r="29" spans="2:17" x14ac:dyDescent="0.3">
      <c r="B29" s="9" t="s">
        <v>241</v>
      </c>
      <c r="C29" s="9"/>
      <c r="D29" s="9"/>
      <c r="E29" s="73"/>
      <c r="F29" s="73"/>
      <c r="G29" s="73"/>
      <c r="H29" s="73">
        <f>H27-H28</f>
        <v>1.807513512325051</v>
      </c>
      <c r="I29" s="73">
        <f>I27-I28</f>
        <v>1.8436637825715518</v>
      </c>
      <c r="J29" s="73">
        <f>J27-J28</f>
        <v>1.8805370582229832</v>
      </c>
      <c r="K29" s="73">
        <f>K27-K28</f>
        <v>1.9181477993874427</v>
      </c>
      <c r="L29" s="73">
        <f>L27-L28</f>
        <v>1.9565107553751915</v>
      </c>
      <c r="M29" s="73">
        <f t="shared" ref="M29" si="20">M27-M28</f>
        <v>1.995640970482695</v>
      </c>
      <c r="N29" s="73">
        <f t="shared" ref="N29" si="21">N27-N28</f>
        <v>2.035553789892349</v>
      </c>
      <c r="O29" s="73">
        <f t="shared" ref="O29" si="22">O27-O28</f>
        <v>2.0762648656901961</v>
      </c>
      <c r="P29" s="73">
        <f t="shared" ref="P29" si="23">P27-P28</f>
        <v>2.1177901630040008</v>
      </c>
      <c r="Q29" s="73">
        <f t="shared" ref="Q29" si="24">Q27-Q28</f>
        <v>2.1601459662640812</v>
      </c>
    </row>
    <row r="30" spans="2:17" x14ac:dyDescent="0.3">
      <c r="B30" s="21" t="s">
        <v>260</v>
      </c>
      <c r="C30" s="21"/>
      <c r="D30" s="21"/>
      <c r="E30" s="21"/>
      <c r="F30" s="21"/>
      <c r="G30" s="21"/>
      <c r="H30" s="188">
        <f>(4.2+3.2)/5</f>
        <v>1.48</v>
      </c>
      <c r="I30" s="188">
        <f t="shared" ref="I30:L30" si="25">(4.2+3.2)/5</f>
        <v>1.48</v>
      </c>
      <c r="J30" s="188">
        <f t="shared" si="25"/>
        <v>1.48</v>
      </c>
      <c r="K30" s="188">
        <f t="shared" si="25"/>
        <v>1.48</v>
      </c>
      <c r="L30" s="188">
        <f t="shared" si="25"/>
        <v>1.48</v>
      </c>
      <c r="M30" s="188"/>
      <c r="N30" s="188"/>
      <c r="O30" s="188"/>
      <c r="P30" s="188"/>
      <c r="Q30" s="180"/>
    </row>
    <row r="31" spans="2:17" x14ac:dyDescent="0.3">
      <c r="B31" s="15" t="s">
        <v>261</v>
      </c>
      <c r="C31" s="15"/>
      <c r="D31" s="15"/>
      <c r="E31" s="192"/>
      <c r="F31" s="192"/>
      <c r="G31" s="192"/>
      <c r="H31" s="192">
        <f>H29-H30</f>
        <v>0.32751351232505099</v>
      </c>
      <c r="I31" s="192">
        <f t="shared" ref="I31:Q31" si="26">I29-I30</f>
        <v>0.36366378257155185</v>
      </c>
      <c r="J31" s="192">
        <f t="shared" si="26"/>
        <v>0.40053705822298324</v>
      </c>
      <c r="K31" s="192">
        <f t="shared" si="26"/>
        <v>0.43814779938744275</v>
      </c>
      <c r="L31" s="192">
        <f t="shared" si="26"/>
        <v>0.4765107553751915</v>
      </c>
      <c r="M31" s="192">
        <f t="shared" si="26"/>
        <v>1.995640970482695</v>
      </c>
      <c r="N31" s="192">
        <f t="shared" si="26"/>
        <v>2.035553789892349</v>
      </c>
      <c r="O31" s="192">
        <f t="shared" si="26"/>
        <v>2.0762648656901961</v>
      </c>
      <c r="P31" s="192">
        <f t="shared" si="26"/>
        <v>2.1177901630040008</v>
      </c>
      <c r="Q31" s="192">
        <f t="shared" si="26"/>
        <v>2.1601459662640812</v>
      </c>
    </row>
    <row r="33" spans="2:17" x14ac:dyDescent="0.3">
      <c r="B33" s="66" t="s">
        <v>242</v>
      </c>
      <c r="C33" s="183">
        <f>SUM(E33:G33)</f>
        <v>18.085318312014198</v>
      </c>
      <c r="D33" s="183"/>
      <c r="E33" s="183">
        <f>8832831.32480567/1000000</f>
        <v>8.8328313248056691</v>
      </c>
      <c r="F33" s="183">
        <f>8832831.32480567/1000000</f>
        <v>8.8328313248056691</v>
      </c>
      <c r="G33" s="183">
        <f>(18085318.3120142/1000000-F33-E33)</f>
        <v>0.41965566240286023</v>
      </c>
      <c r="H33" s="183"/>
      <c r="I33" s="183"/>
      <c r="J33" s="183"/>
      <c r="K33" s="183"/>
      <c r="L33" s="183"/>
      <c r="M33" s="183"/>
      <c r="N33" s="183"/>
      <c r="O33" s="183"/>
      <c r="P33" s="183"/>
      <c r="Q33" s="183"/>
    </row>
    <row r="34" spans="2:17" x14ac:dyDescent="0.3">
      <c r="B34" s="21" t="s">
        <v>243</v>
      </c>
      <c r="C34" s="184">
        <f>SUM(E34:G34)</f>
        <v>25.268999999999998</v>
      </c>
      <c r="D34" s="184"/>
      <c r="E34" s="184">
        <f>4000000/1000000</f>
        <v>4</v>
      </c>
      <c r="F34" s="184">
        <f>15369000/1000000</f>
        <v>15.369</v>
      </c>
      <c r="G34" s="184">
        <f>(25269000/1000000-F34-E34)</f>
        <v>5.8999999999999986</v>
      </c>
      <c r="H34" s="184"/>
      <c r="I34" s="184"/>
      <c r="J34" s="184"/>
      <c r="K34" s="184"/>
      <c r="L34" s="184"/>
      <c r="M34" s="184"/>
      <c r="N34" s="184"/>
      <c r="O34" s="184"/>
      <c r="P34" s="184"/>
      <c r="Q34" s="184"/>
    </row>
    <row r="35" spans="2:17" x14ac:dyDescent="0.3">
      <c r="B35" s="9" t="s">
        <v>51</v>
      </c>
      <c r="C35" s="185">
        <f>C34-C33</f>
        <v>7.1836816879857999</v>
      </c>
      <c r="D35" s="185"/>
      <c r="E35" s="187">
        <f>E34-E33</f>
        <v>-4.8328313248056691</v>
      </c>
      <c r="F35" s="187">
        <f t="shared" ref="F35" si="27">F34-F33</f>
        <v>6.5361686751943306</v>
      </c>
      <c r="G35" s="187">
        <f t="shared" ref="G35" si="28">G34-G33</f>
        <v>5.4803443375971383</v>
      </c>
      <c r="H35" s="185"/>
      <c r="I35" s="185"/>
      <c r="J35" s="185"/>
      <c r="K35" s="185"/>
      <c r="L35" s="185"/>
      <c r="M35" s="185">
        <v>5</v>
      </c>
      <c r="N35" s="185"/>
      <c r="O35" s="185"/>
      <c r="P35" s="185"/>
      <c r="Q35" s="185"/>
    </row>
    <row r="37" spans="2:17" x14ac:dyDescent="0.3">
      <c r="B37" s="9" t="s">
        <v>251</v>
      </c>
      <c r="C37" s="185"/>
      <c r="D37" s="185"/>
      <c r="E37" s="187">
        <f>-E35+E29</f>
        <v>4.8328313248056691</v>
      </c>
      <c r="F37" s="187">
        <f>-F35+F29</f>
        <v>-6.5361686751943306</v>
      </c>
      <c r="G37" s="187">
        <f>-G35+G29</f>
        <v>-5.4803443375971383</v>
      </c>
      <c r="H37" s="185">
        <f>-H35+H31</f>
        <v>0.32751351232505099</v>
      </c>
      <c r="I37" s="185">
        <f t="shared" ref="I37:Q37" si="29">-I35+I31</f>
        <v>0.36366378257155185</v>
      </c>
      <c r="J37" s="185">
        <f t="shared" si="29"/>
        <v>0.40053705822298324</v>
      </c>
      <c r="K37" s="185">
        <f t="shared" si="29"/>
        <v>0.43814779938744275</v>
      </c>
      <c r="L37" s="185">
        <f t="shared" si="29"/>
        <v>0.4765107553751915</v>
      </c>
      <c r="M37" s="185">
        <f t="shared" si="29"/>
        <v>-3.004359029517305</v>
      </c>
      <c r="N37" s="185">
        <f t="shared" si="29"/>
        <v>2.035553789892349</v>
      </c>
      <c r="O37" s="185">
        <f t="shared" si="29"/>
        <v>2.0762648656901961</v>
      </c>
      <c r="P37" s="185">
        <f t="shared" si="29"/>
        <v>2.1177901630040008</v>
      </c>
      <c r="Q37" s="185">
        <f t="shared" si="29"/>
        <v>2.1601459662640812</v>
      </c>
    </row>
    <row r="38" spans="2:17" x14ac:dyDescent="0.3">
      <c r="B38" s="9" t="s">
        <v>262</v>
      </c>
      <c r="C38" s="185"/>
      <c r="D38" s="185"/>
      <c r="E38" s="187"/>
      <c r="F38" s="187"/>
      <c r="G38" s="187"/>
      <c r="H38" s="185">
        <f>H37*0.3</f>
        <v>9.825405369751529E-2</v>
      </c>
      <c r="I38" s="185">
        <f t="shared" ref="I38:Q38" si="30">I37*0.3</f>
        <v>0.10909913477146556</v>
      </c>
      <c r="J38" s="185">
        <f t="shared" si="30"/>
        <v>0.12016111746689496</v>
      </c>
      <c r="K38" s="185">
        <f t="shared" si="30"/>
        <v>0.13144433981623282</v>
      </c>
      <c r="L38" s="185">
        <f t="shared" si="30"/>
        <v>0.14295322661255744</v>
      </c>
      <c r="M38" s="185">
        <v>0</v>
      </c>
      <c r="N38" s="185">
        <f t="shared" si="30"/>
        <v>0.61066613696770466</v>
      </c>
      <c r="O38" s="185">
        <f t="shared" si="30"/>
        <v>0.62287945970705882</v>
      </c>
      <c r="P38" s="185">
        <f t="shared" si="30"/>
        <v>0.63533704890120024</v>
      </c>
      <c r="Q38" s="185">
        <f t="shared" si="30"/>
        <v>0.64804378987922429</v>
      </c>
    </row>
    <row r="39" spans="2:17" x14ac:dyDescent="0.3">
      <c r="B39" s="15" t="s">
        <v>263</v>
      </c>
      <c r="C39" s="193"/>
      <c r="D39" s="193"/>
      <c r="E39" s="187">
        <f>E37-E38+E30</f>
        <v>4.8328313248056691</v>
      </c>
      <c r="F39" s="187">
        <f t="shared" ref="F39:Q39" si="31">F37-F38+F30</f>
        <v>-6.5361686751943306</v>
      </c>
      <c r="G39" s="187">
        <f t="shared" si="31"/>
        <v>-5.4803443375971383</v>
      </c>
      <c r="H39" s="193">
        <f t="shared" si="31"/>
        <v>1.7092594586275358</v>
      </c>
      <c r="I39" s="193">
        <f t="shared" si="31"/>
        <v>1.7345646478000862</v>
      </c>
      <c r="J39" s="193">
        <f t="shared" si="31"/>
        <v>1.7603759407560884</v>
      </c>
      <c r="K39" s="193">
        <f t="shared" si="31"/>
        <v>1.7867034595712099</v>
      </c>
      <c r="L39" s="193">
        <f t="shared" si="31"/>
        <v>1.813557528762634</v>
      </c>
      <c r="M39" s="193">
        <f t="shared" si="31"/>
        <v>-3.004359029517305</v>
      </c>
      <c r="N39" s="193">
        <f t="shared" si="31"/>
        <v>1.4248876529246444</v>
      </c>
      <c r="O39" s="193">
        <f t="shared" si="31"/>
        <v>1.4533854059831373</v>
      </c>
      <c r="P39" s="193">
        <f t="shared" si="31"/>
        <v>1.4824531141028006</v>
      </c>
      <c r="Q39" s="193">
        <f t="shared" si="31"/>
        <v>1.512102176384857</v>
      </c>
    </row>
    <row r="41" spans="2:17" x14ac:dyDescent="0.3">
      <c r="B41" s="189" t="s">
        <v>250</v>
      </c>
      <c r="C41" s="189"/>
      <c r="D41" s="189"/>
      <c r="E41" s="190">
        <f>E39+NPV(C6,F39:Q39)</f>
        <v>1.0954461847323236</v>
      </c>
    </row>
    <row r="42" spans="2:17" x14ac:dyDescent="0.3">
      <c r="B42" s="189" t="s">
        <v>256</v>
      </c>
      <c r="C42" s="189"/>
      <c r="D42" s="189"/>
      <c r="E42" s="191">
        <f>IRR(E39:Q39)</f>
        <v>0.13684905093714073</v>
      </c>
    </row>
  </sheetData>
  <phoneticPr fontId="6" type="noConversion"/>
  <pageMargins left="0.7" right="0.7" top="0.75" bottom="0.75" header="0.3" footer="0.3"/>
  <ignoredErrors>
    <ignoredError sqref="H30:L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2A1D-8E9B-4B66-892E-F2C3B20AB7CD}">
  <dimension ref="B2:B4"/>
  <sheetViews>
    <sheetView workbookViewId="0">
      <selection activeCell="E5" sqref="E5"/>
    </sheetView>
  </sheetViews>
  <sheetFormatPr baseColWidth="10" defaultRowHeight="14.4" x14ac:dyDescent="0.3"/>
  <sheetData>
    <row r="2" spans="2:2" x14ac:dyDescent="0.3">
      <c r="B2" s="3" t="s">
        <v>264</v>
      </c>
    </row>
    <row r="4" spans="2:2" x14ac:dyDescent="0.3">
      <c r="B4" s="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Tradeoff</vt:lpstr>
      <vt:lpstr>Diseño de rampas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Kellyn Cristobal</dc:creator>
  <cp:lastModifiedBy>Kellyn Cristobal</cp:lastModifiedBy>
  <dcterms:created xsi:type="dcterms:W3CDTF">2024-06-15T16:00:19Z</dcterms:created>
  <dcterms:modified xsi:type="dcterms:W3CDTF">2024-06-18T03:24:07Z</dcterms:modified>
</cp:coreProperties>
</file>