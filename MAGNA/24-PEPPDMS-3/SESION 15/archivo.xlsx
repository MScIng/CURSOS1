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llyn - Doc\Planificación minera - curso\Módulos\Módulo VIII\"/>
    </mc:Choice>
  </mc:AlternateContent>
  <xr:revisionPtr revIDLastSave="0" documentId="13_ncr:1_{FC3175A9-8C65-4BC7-8BF4-430C9D2D0899}" xr6:coauthVersionLast="47" xr6:coauthVersionMax="47" xr10:uidLastSave="{00000000-0000-0000-0000-000000000000}"/>
  <bookViews>
    <workbookView xWindow="-108" yWindow="-108" windowWidth="23256" windowHeight="12576" activeTab="1" xr2:uid="{E3FB257C-E9B9-4307-8CBF-619F25A38970}"/>
  </bookViews>
  <sheets>
    <sheet name="Hoja1" sheetId="2" r:id="rId1"/>
    <sheet name="Balance de Ventilación (2024)" sheetId="3" r:id="rId2"/>
  </sheets>
  <externalReferences>
    <externalReference r:id="rId3"/>
  </externalReferences>
  <definedNames>
    <definedName name="L_Marca">[1]Marca!$C$18:$C$74</definedName>
    <definedName name="L_Modelo">[1]Modelo!$D$18:$D$87</definedName>
    <definedName name="L_Tipo">[1]Tipo_Vehiculo!$C$18:$C$82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5" i="3" l="1"/>
  <c r="F85" i="3" s="1"/>
  <c r="F72" i="3"/>
  <c r="H71" i="3"/>
  <c r="R71" i="3" s="1"/>
  <c r="S71" i="3" s="1"/>
  <c r="H70" i="3"/>
  <c r="R70" i="3" s="1"/>
  <c r="S70" i="3" s="1"/>
  <c r="H69" i="3"/>
  <c r="R69" i="3" s="1"/>
  <c r="S69" i="3" s="1"/>
  <c r="H68" i="3"/>
  <c r="K68" i="3" s="1"/>
  <c r="H67" i="3"/>
  <c r="R67" i="3" s="1"/>
  <c r="S67" i="3" s="1"/>
  <c r="H66" i="3"/>
  <c r="K66" i="3" s="1"/>
  <c r="H65" i="3"/>
  <c r="R65" i="3" s="1"/>
  <c r="S65" i="3" s="1"/>
  <c r="H64" i="3"/>
  <c r="K64" i="3" s="1"/>
  <c r="H63" i="3"/>
  <c r="R63" i="3" s="1"/>
  <c r="S63" i="3" s="1"/>
  <c r="H62" i="3"/>
  <c r="R62" i="3" s="1"/>
  <c r="S62" i="3" s="1"/>
  <c r="H61" i="3"/>
  <c r="R61" i="3" s="1"/>
  <c r="S61" i="3" s="1"/>
  <c r="H60" i="3"/>
  <c r="K60" i="3" s="1"/>
  <c r="H59" i="3"/>
  <c r="R59" i="3" s="1"/>
  <c r="S59" i="3" s="1"/>
  <c r="H58" i="3"/>
  <c r="K58" i="3" s="1"/>
  <c r="H57" i="3"/>
  <c r="R57" i="3" s="1"/>
  <c r="S57" i="3" s="1"/>
  <c r="H56" i="3"/>
  <c r="K56" i="3" s="1"/>
  <c r="H55" i="3"/>
  <c r="R55" i="3" s="1"/>
  <c r="R51" i="3"/>
  <c r="S51" i="3" s="1"/>
  <c r="G39" i="3"/>
  <c r="F39" i="3" s="1"/>
  <c r="F26" i="3"/>
  <c r="H25" i="3"/>
  <c r="R25" i="3" s="1"/>
  <c r="S25" i="3" s="1"/>
  <c r="H24" i="3"/>
  <c r="R24" i="3" s="1"/>
  <c r="S24" i="3" s="1"/>
  <c r="H23" i="3"/>
  <c r="K23" i="3" s="1"/>
  <c r="H22" i="3"/>
  <c r="R22" i="3" s="1"/>
  <c r="S22" i="3" s="1"/>
  <c r="H21" i="3"/>
  <c r="R21" i="3" s="1"/>
  <c r="S21" i="3" s="1"/>
  <c r="H20" i="3"/>
  <c r="R20" i="3" s="1"/>
  <c r="S20" i="3" s="1"/>
  <c r="H19" i="3"/>
  <c r="K19" i="3" s="1"/>
  <c r="H18" i="3"/>
  <c r="R18" i="3" s="1"/>
  <c r="S18" i="3" s="1"/>
  <c r="H17" i="3"/>
  <c r="K17" i="3" s="1"/>
  <c r="H16" i="3"/>
  <c r="K16" i="3" s="1"/>
  <c r="H15" i="3"/>
  <c r="K15" i="3" s="1"/>
  <c r="H14" i="3"/>
  <c r="R14" i="3" s="1"/>
  <c r="S14" i="3" s="1"/>
  <c r="H13" i="3"/>
  <c r="R13" i="3" s="1"/>
  <c r="S13" i="3" s="1"/>
  <c r="H12" i="3"/>
  <c r="R12" i="3" s="1"/>
  <c r="R8" i="3"/>
  <c r="R68" i="3" l="1"/>
  <c r="S68" i="3" s="1"/>
  <c r="R15" i="3"/>
  <c r="S15" i="3" s="1"/>
  <c r="R19" i="3"/>
  <c r="S19" i="3" s="1"/>
  <c r="R60" i="3"/>
  <c r="S60" i="3" s="1"/>
  <c r="R23" i="3"/>
  <c r="S23" i="3" s="1"/>
  <c r="R64" i="3"/>
  <c r="S64" i="3" s="1"/>
  <c r="R56" i="3"/>
  <c r="S56" i="3" s="1"/>
  <c r="S12" i="3"/>
  <c r="S55" i="3"/>
  <c r="R16" i="3"/>
  <c r="S16" i="3" s="1"/>
  <c r="K61" i="3"/>
  <c r="S8" i="3"/>
  <c r="K12" i="3"/>
  <c r="K24" i="3"/>
  <c r="K65" i="3"/>
  <c r="K13" i="3"/>
  <c r="K25" i="3"/>
  <c r="R17" i="3"/>
  <c r="S17" i="3" s="1"/>
  <c r="K62" i="3"/>
  <c r="K70" i="3"/>
  <c r="R58" i="3"/>
  <c r="S58" i="3" s="1"/>
  <c r="R66" i="3"/>
  <c r="S66" i="3" s="1"/>
  <c r="K14" i="3"/>
  <c r="K18" i="3"/>
  <c r="K55" i="3"/>
  <c r="K59" i="3"/>
  <c r="K63" i="3"/>
  <c r="K67" i="3"/>
  <c r="K71" i="3"/>
  <c r="K20" i="3"/>
  <c r="K57" i="3"/>
  <c r="K69" i="3"/>
  <c r="K21" i="3"/>
  <c r="K22" i="3"/>
  <c r="S28" i="3" l="1"/>
  <c r="S29" i="3" s="1"/>
  <c r="S30" i="3" s="1"/>
  <c r="E39" i="3" s="1"/>
  <c r="R74" i="3"/>
  <c r="R75" i="3" s="1"/>
  <c r="R76" i="3" s="1"/>
  <c r="D85" i="3" s="1"/>
  <c r="R28" i="3"/>
  <c r="R72" i="3"/>
  <c r="S72" i="3"/>
  <c r="S74" i="3"/>
  <c r="S26" i="3"/>
  <c r="R26" i="3"/>
  <c r="J39" i="3" l="1"/>
  <c r="I39" i="3" s="1"/>
  <c r="H39" i="3"/>
  <c r="S75" i="3"/>
  <c r="S76" i="3" s="1"/>
  <c r="E85" i="3" s="1"/>
  <c r="R29" i="3"/>
  <c r="R30" i="3" s="1"/>
  <c r="D39" i="3" s="1"/>
  <c r="J85" i="3" l="1"/>
  <c r="I85" i="3" s="1"/>
  <c r="H85" i="3"/>
</calcChain>
</file>

<file path=xl/sharedStrings.xml><?xml version="1.0" encoding="utf-8"?>
<sst xmlns="http://schemas.openxmlformats.org/spreadsheetml/2006/main" count="170" uniqueCount="78">
  <si>
    <t>Balance de Ventilacion MDS-023-2017  YUMPAG</t>
  </si>
  <si>
    <t>Cota de Trabaj</t>
  </si>
  <si>
    <t>Requerimiento de Aire Tunel 4490</t>
  </si>
  <si>
    <t>Q1: Requerimiento para personal</t>
  </si>
  <si>
    <t># Persn.</t>
  </si>
  <si>
    <t>Requer
m3/min</t>
  </si>
  <si>
    <t>Caudal</t>
  </si>
  <si>
    <t>m3/min</t>
  </si>
  <si>
    <t>cfm</t>
  </si>
  <si>
    <t>Q2: Requerimiento para equipos diésel</t>
  </si>
  <si>
    <t>Equipo</t>
  </si>
  <si>
    <t>Marca</t>
  </si>
  <si>
    <t>Modelo</t>
  </si>
  <si>
    <t>Cantid.</t>
  </si>
  <si>
    <t>Potencia Nominal</t>
  </si>
  <si>
    <t>Corrección por Altura</t>
  </si>
  <si>
    <t>Disponb mecánica
(Dm)</t>
  </si>
  <si>
    <t>Factor Utilizac.
(Fu)</t>
  </si>
  <si>
    <t>Potenc.Efectiva</t>
  </si>
  <si>
    <t>Requer.   m3/HP</t>
  </si>
  <si>
    <t xml:space="preserve"> Jumbo</t>
  </si>
  <si>
    <t>Sandvik</t>
  </si>
  <si>
    <t>DD 311</t>
  </si>
  <si>
    <t xml:space="preserve"> Scoop</t>
  </si>
  <si>
    <t>CAT</t>
  </si>
  <si>
    <t>R1600H</t>
  </si>
  <si>
    <t xml:space="preserve"> Empernador</t>
  </si>
  <si>
    <t>Atlas Copco</t>
  </si>
  <si>
    <t>Boltec S</t>
  </si>
  <si>
    <t xml:space="preserve"> Desatador </t>
  </si>
  <si>
    <t>Paus</t>
  </si>
  <si>
    <t>853-S8</t>
  </si>
  <si>
    <t xml:space="preserve"> Robot Lanzador </t>
  </si>
  <si>
    <t>Putzmeiseter</t>
  </si>
  <si>
    <t>PSM-7210</t>
  </si>
  <si>
    <t xml:space="preserve"> Mixer </t>
  </si>
  <si>
    <t>Mixkrete 5</t>
  </si>
  <si>
    <t xml:space="preserve"> Volquete</t>
  </si>
  <si>
    <t>Volvo</t>
  </si>
  <si>
    <t>FMX</t>
  </si>
  <si>
    <t>Tractor</t>
  </si>
  <si>
    <t xml:space="preserve"> Camión portatropa</t>
  </si>
  <si>
    <t>Hiunday</t>
  </si>
  <si>
    <t>HD65</t>
  </si>
  <si>
    <t xml:space="preserve"> Camión cisterna</t>
  </si>
  <si>
    <t>HD66</t>
  </si>
  <si>
    <t xml:space="preserve"> Camión grúa</t>
  </si>
  <si>
    <t>HD67</t>
  </si>
  <si>
    <t xml:space="preserve"> Camión explosivos</t>
  </si>
  <si>
    <t>HD68</t>
  </si>
  <si>
    <t xml:space="preserve"> Camión servicios</t>
  </si>
  <si>
    <t>HD69</t>
  </si>
  <si>
    <t xml:space="preserve"> Camioneta</t>
  </si>
  <si>
    <t>Toyota</t>
  </si>
  <si>
    <t>Hillux 4x4</t>
  </si>
  <si>
    <t xml:space="preserve">Q2: Requerimiento para equipos diésel </t>
  </si>
  <si>
    <t>Q1 + Q2: Requerimiento de aire Total</t>
  </si>
  <si>
    <t xml:space="preserve"> Fugas</t>
  </si>
  <si>
    <t>Caudal Total</t>
  </si>
  <si>
    <t>Capacidad del ventilador</t>
  </si>
  <si>
    <t>Etapa: Inicio de Operaciones</t>
  </si>
  <si>
    <t>MINA</t>
  </si>
  <si>
    <t>CAUDAL REQUERIDO</t>
  </si>
  <si>
    <t xml:space="preserve">CAUDAL DE MINA </t>
  </si>
  <si>
    <t>COBERTURA</t>
  </si>
  <si>
    <t>VARIACIÓN</t>
  </si>
  <si>
    <t>%</t>
  </si>
  <si>
    <t>Total MINA</t>
  </si>
  <si>
    <t>Simba</t>
  </si>
  <si>
    <t>S7</t>
  </si>
  <si>
    <t>Telehander</t>
  </si>
  <si>
    <t>Manitou</t>
  </si>
  <si>
    <t>MTX 1030</t>
  </si>
  <si>
    <t>BOBCAT</t>
  </si>
  <si>
    <t>B730</t>
  </si>
  <si>
    <t>D5K2 LRC</t>
  </si>
  <si>
    <t xml:space="preserve">Requerimiento de Aire </t>
  </si>
  <si>
    <t>Minicargador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</si>
</sst>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 Narrow"/>
      <family val="2"/>
    </font>
    <font>
      <b/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Arial Narrow"/>
      <family val="2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 Ligh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E766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0" fillId="2" borderId="0" xfId="0" applyFill="1"/>
    <xf numFmtId="0" fontId="0" fillId="2" borderId="5" xfId="0" applyFill="1" applyBorder="1"/>
    <xf numFmtId="0" fontId="8" fillId="0" borderId="0" xfId="0" applyFont="1" applyAlignment="1">
      <alignment vertical="center"/>
    </xf>
    <xf numFmtId="0" fontId="9" fillId="3" borderId="0" xfId="0" applyFont="1" applyFill="1" applyAlignment="1">
      <alignment horizontal="center" vertical="center" wrapText="1" readingOrder="1"/>
    </xf>
    <xf numFmtId="0" fontId="3" fillId="4" borderId="0" xfId="0" applyFont="1" applyFill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0" fillId="2" borderId="5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 readingOrder="1"/>
    </xf>
    <xf numFmtId="0" fontId="0" fillId="2" borderId="4" xfId="0" applyFill="1" applyBorder="1" applyAlignment="1">
      <alignment horizontal="left" vertical="center"/>
    </xf>
    <xf numFmtId="2" fontId="0" fillId="2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/>
    </xf>
    <xf numFmtId="3" fontId="3" fillId="2" borderId="5" xfId="0" applyNumberFormat="1" applyFont="1" applyFill="1" applyBorder="1" applyAlignment="1">
      <alignment horizontal="center" vertical="center"/>
    </xf>
    <xf numFmtId="3" fontId="3" fillId="4" borderId="0" xfId="0" applyNumberFormat="1" applyFont="1" applyFill="1" applyAlignment="1">
      <alignment horizontal="center" vertical="center"/>
    </xf>
    <xf numFmtId="3" fontId="3" fillId="4" borderId="5" xfId="0" applyNumberFormat="1" applyFont="1" applyFill="1" applyBorder="1" applyAlignment="1">
      <alignment horizontal="center" vertical="center"/>
    </xf>
    <xf numFmtId="9" fontId="8" fillId="2" borderId="0" xfId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3" fontId="3" fillId="0" borderId="0" xfId="0" applyNumberFormat="1" applyFont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3" fontId="3" fillId="4" borderId="7" xfId="0" applyNumberFormat="1" applyFont="1" applyFill="1" applyBorder="1" applyAlignment="1">
      <alignment horizontal="center" vertical="center"/>
    </xf>
    <xf numFmtId="3" fontId="3" fillId="4" borderId="8" xfId="0" applyNumberFormat="1" applyFont="1" applyFill="1" applyBorder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 readingOrder="1"/>
    </xf>
    <xf numFmtId="3" fontId="11" fillId="2" borderId="0" xfId="0" applyNumberFormat="1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3" borderId="9" xfId="0" applyFont="1" applyFill="1" applyBorder="1" applyAlignment="1">
      <alignment horizontal="center" vertical="center" wrapText="1" readingOrder="1"/>
    </xf>
    <xf numFmtId="0" fontId="0" fillId="2" borderId="0" xfId="0" applyFill="1" applyAlignment="1">
      <alignment horizontal="center"/>
    </xf>
    <xf numFmtId="0" fontId="12" fillId="2" borderId="7" xfId="0" applyFont="1" applyFill="1" applyBorder="1" applyAlignment="1">
      <alignment horizontal="center" vertical="center" wrapText="1"/>
    </xf>
    <xf numFmtId="3" fontId="12" fillId="2" borderId="7" xfId="0" applyNumberFormat="1" applyFont="1" applyFill="1" applyBorder="1" applyAlignment="1">
      <alignment horizontal="center" vertical="center" wrapText="1"/>
    </xf>
    <xf numFmtId="9" fontId="12" fillId="2" borderId="7" xfId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3" fontId="13" fillId="2" borderId="0" xfId="0" applyNumberFormat="1" applyFont="1" applyFill="1" applyAlignment="1">
      <alignment horizontal="center" vertical="center"/>
    </xf>
    <xf numFmtId="3" fontId="14" fillId="2" borderId="0" xfId="0" applyNumberFormat="1" applyFont="1" applyFill="1" applyAlignment="1">
      <alignment horizontal="center" vertical="center"/>
    </xf>
    <xf numFmtId="0" fontId="15" fillId="2" borderId="10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 readingOrder="1"/>
    </xf>
    <xf numFmtId="0" fontId="9" fillId="5" borderId="0" xfId="0" applyFont="1" applyFill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 readingOrder="1"/>
    </xf>
    <xf numFmtId="3" fontId="9" fillId="5" borderId="0" xfId="0" applyNumberFormat="1" applyFont="1" applyFill="1" applyAlignment="1">
      <alignment horizontal="center" vertical="center" wrapText="1" readingOrder="1"/>
    </xf>
    <xf numFmtId="0" fontId="3" fillId="5" borderId="0" xfId="0" applyFont="1" applyFill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 readingOrder="1"/>
    </xf>
    <xf numFmtId="0" fontId="9" fillId="5" borderId="9" xfId="0" applyFont="1" applyFill="1" applyBorder="1" applyAlignment="1">
      <alignment horizontal="center" vertical="center" wrapText="1" readingOrder="1"/>
    </xf>
    <xf numFmtId="9" fontId="0" fillId="0" borderId="0" xfId="0" applyNumberFormat="1"/>
    <xf numFmtId="1" fontId="0" fillId="0" borderId="0" xfId="0" applyNumberFormat="1"/>
    <xf numFmtId="0" fontId="8" fillId="4" borderId="0" xfId="0" applyFont="1" applyFill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 wrapText="1" readingOrder="1"/>
    </xf>
    <xf numFmtId="0" fontId="5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right" vertical="center"/>
    </xf>
    <xf numFmtId="0" fontId="8" fillId="2" borderId="2" xfId="0" applyFont="1" applyFill="1" applyBorder="1" applyAlignment="1">
      <alignment horizontal="right" vertical="center"/>
    </xf>
    <xf numFmtId="0" fontId="8" fillId="2" borderId="3" xfId="0" applyFont="1" applyFill="1" applyBorder="1" applyAlignment="1">
      <alignment horizontal="right" vertical="center"/>
    </xf>
    <xf numFmtId="0" fontId="2" fillId="5" borderId="0" xfId="0" applyFont="1" applyFill="1" applyAlignment="1">
      <alignment horizontal="center" vertical="center" wrapText="1" readingOrder="1"/>
    </xf>
    <xf numFmtId="0" fontId="9" fillId="5" borderId="5" xfId="0" applyFont="1" applyFill="1" applyBorder="1" applyAlignment="1">
      <alignment horizontal="center" vertical="center" wrapText="1" readingOrder="1"/>
    </xf>
    <xf numFmtId="0" fontId="8" fillId="0" borderId="4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3" fillId="2" borderId="0" xfId="0" applyFont="1" applyFill="1" applyAlignment="1">
      <alignment horizontal="right" vertical="center"/>
    </xf>
    <xf numFmtId="0" fontId="9" fillId="3" borderId="2" xfId="0" applyFont="1" applyFill="1" applyBorder="1" applyAlignment="1">
      <alignment horizontal="center" vertical="center" wrapText="1" readingOrder="1"/>
    </xf>
    <xf numFmtId="0" fontId="9" fillId="2" borderId="0" xfId="0" applyFont="1" applyFill="1" applyAlignment="1">
      <alignment horizontal="center" vertical="center" wrapText="1" readingOrder="1"/>
    </xf>
    <xf numFmtId="9" fontId="14" fillId="2" borderId="0" xfId="1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 readingOrder="1"/>
    </xf>
    <xf numFmtId="0" fontId="2" fillId="3" borderId="0" xfId="0" applyFont="1" applyFill="1" applyAlignment="1">
      <alignment horizontal="center" vertical="center" wrapText="1" readingOrder="1"/>
    </xf>
    <xf numFmtId="0" fontId="9" fillId="3" borderId="5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296333</xdr:colOff>
      <xdr:row>48</xdr:row>
      <xdr:rowOff>127000</xdr:rowOff>
    </xdr:from>
    <xdr:to>
      <xdr:col>25</xdr:col>
      <xdr:colOff>740833</xdr:colOff>
      <xdr:row>67</xdr:row>
      <xdr:rowOff>74592</xdr:rowOff>
    </xdr:to>
    <xdr:pic>
      <xdr:nvPicPr>
        <xdr:cNvPr id="4" name="Marcador de contenido 25">
          <a:extLst>
            <a:ext uri="{FF2B5EF4-FFF2-40B4-BE49-F238E27FC236}">
              <a16:creationId xmlns:a16="http://schemas.microsoft.com/office/drawing/2014/main" id="{53BFE3DB-CFF5-CAB9-BE3F-54710AC4823E}"/>
            </a:ext>
          </a:extLst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43066" y="1168400"/>
          <a:ext cx="5219700" cy="372372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lmintsoc\Downloads\Veh&#237;culos_UCH_CHACUA%20(1)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ca"/>
      <sheetName val="Modelo"/>
      <sheetName val="Color"/>
      <sheetName val="Tipos_Combustible"/>
      <sheetName val="TipoLicenciaConducir"/>
      <sheetName val="LicenciaConducir_TipoVehiculo"/>
      <sheetName val="LicenciaConducir_PermisoAcceso"/>
      <sheetName val="LicenciaConducir_Trabajador"/>
      <sheetName val="Lista de Conductores"/>
      <sheetName val="Tipo_Vehiculo"/>
      <sheetName val="AreasAdministrativas"/>
      <sheetName val="Vehiculos - Uchucchacua"/>
      <sheetName val="DotaciónVehículo"/>
      <sheetName val="DatosEvaluarVehícular"/>
    </sheetNames>
    <sheetDataSet>
      <sheetData sheetId="0">
        <row r="18">
          <cell r="C18" t="str">
            <v>AGRALE</v>
          </cell>
        </row>
        <row r="19">
          <cell r="C19" t="str">
            <v>AUDI</v>
          </cell>
        </row>
        <row r="20">
          <cell r="C20" t="str">
            <v>DAEWOO</v>
          </cell>
        </row>
        <row r="21">
          <cell r="C21" t="str">
            <v>DODGE</v>
          </cell>
        </row>
        <row r="22">
          <cell r="C22" t="str">
            <v>FAMECO</v>
          </cell>
        </row>
        <row r="23">
          <cell r="C23" t="str">
            <v>FORD</v>
          </cell>
        </row>
        <row r="24">
          <cell r="C24" t="str">
            <v>FREIGHTLINER</v>
          </cell>
        </row>
        <row r="25">
          <cell r="C25" t="str">
            <v>GOLDEN DRAGON</v>
          </cell>
        </row>
        <row r="26">
          <cell r="C26" t="str">
            <v>HONDA</v>
          </cell>
        </row>
        <row r="27">
          <cell r="C27" t="str">
            <v>HYUNDAI</v>
          </cell>
        </row>
        <row r="28">
          <cell r="C28" t="str">
            <v>JEEP</v>
          </cell>
        </row>
        <row r="29">
          <cell r="C29" t="str">
            <v>MAVILA</v>
          </cell>
        </row>
        <row r="30">
          <cell r="C30" t="str">
            <v>MERCEDES BENZ</v>
          </cell>
        </row>
        <row r="31">
          <cell r="C31" t="str">
            <v>MITSUBISHI</v>
          </cell>
        </row>
        <row r="32">
          <cell r="C32" t="str">
            <v>NISSAN</v>
          </cell>
        </row>
        <row r="33">
          <cell r="C33" t="str">
            <v>RENAULT</v>
          </cell>
        </row>
        <row r="34">
          <cell r="C34" t="str">
            <v>TOYOTA</v>
          </cell>
        </row>
        <row r="35">
          <cell r="C35" t="str">
            <v>VOLKSWAGEN</v>
          </cell>
        </row>
        <row r="36">
          <cell r="C36" t="str">
            <v>VOLVO</v>
          </cell>
        </row>
        <row r="37">
          <cell r="C37" t="str">
            <v>IVECO</v>
          </cell>
        </row>
        <row r="38">
          <cell r="C38" t="str">
            <v>CHEVROLET</v>
          </cell>
        </row>
        <row r="39">
          <cell r="C39" t="str">
            <v>SCANIA</v>
          </cell>
        </row>
        <row r="40">
          <cell r="C40" t="str">
            <v>ISUZU</v>
          </cell>
        </row>
        <row r="41">
          <cell r="C41" t="str">
            <v>GM</v>
          </cell>
        </row>
        <row r="42">
          <cell r="C42" t="str">
            <v>HINO</v>
          </cell>
        </row>
        <row r="43">
          <cell r="C43" t="str">
            <v>BMW</v>
          </cell>
        </row>
        <row r="44">
          <cell r="C44" t="str">
            <v>MAZDA</v>
          </cell>
        </row>
        <row r="45">
          <cell r="C45" t="str">
            <v>MAHINDRA</v>
          </cell>
        </row>
        <row r="46">
          <cell r="C46" t="str">
            <v>FIAT</v>
          </cell>
        </row>
        <row r="47">
          <cell r="C47" t="str">
            <v>ACURA</v>
          </cell>
        </row>
        <row r="48">
          <cell r="C48" t="str">
            <v>SEAT</v>
          </cell>
        </row>
        <row r="49">
          <cell r="C49" t="str">
            <v>FUSO</v>
          </cell>
        </row>
        <row r="50">
          <cell r="C50" t="str">
            <v>BYD</v>
          </cell>
        </row>
        <row r="51">
          <cell r="C51" t="str">
            <v>SUZUKI</v>
          </cell>
        </row>
        <row r="52">
          <cell r="C52" t="str">
            <v>KIA</v>
          </cell>
        </row>
        <row r="53">
          <cell r="C53" t="str">
            <v>SUBARU</v>
          </cell>
        </row>
        <row r="54">
          <cell r="C54" t="str">
            <v>MG</v>
          </cell>
        </row>
        <row r="55">
          <cell r="C55" t="str">
            <v>FAW</v>
          </cell>
        </row>
        <row r="56">
          <cell r="C56" t="str">
            <v>GREAT WALL</v>
          </cell>
        </row>
        <row r="57">
          <cell r="C57" t="str">
            <v>BRILLIANCE</v>
          </cell>
        </row>
        <row r="58">
          <cell r="C58" t="str">
            <v>CHERY</v>
          </cell>
        </row>
        <row r="59">
          <cell r="C59" t="str">
            <v>DAIHATSU</v>
          </cell>
        </row>
        <row r="60">
          <cell r="C60" t="str">
            <v>JAC</v>
          </cell>
        </row>
        <row r="61">
          <cell r="C61" t="str">
            <v>GEELY</v>
          </cell>
        </row>
        <row r="62">
          <cell r="C62" t="str">
            <v>SSANGYONG</v>
          </cell>
        </row>
        <row r="63">
          <cell r="C63" t="str">
            <v>DONGFENG</v>
          </cell>
        </row>
        <row r="64">
          <cell r="C64" t="str">
            <v>HAZMA</v>
          </cell>
        </row>
        <row r="65">
          <cell r="C65" t="str">
            <v>GAC MOTOR</v>
          </cell>
        </row>
        <row r="66">
          <cell r="C66" t="str">
            <v>LIFAN</v>
          </cell>
        </row>
        <row r="67">
          <cell r="C67" t="str">
            <v>MAXUS</v>
          </cell>
        </row>
        <row r="68">
          <cell r="C68" t="str">
            <v>CHANGAN</v>
          </cell>
        </row>
        <row r="69">
          <cell r="C69" t="str">
            <v>ZNA</v>
          </cell>
        </row>
        <row r="70">
          <cell r="C70" t="str">
            <v>DFSK</v>
          </cell>
        </row>
        <row r="71">
          <cell r="C71" t="str">
            <v>HAFEI</v>
          </cell>
        </row>
        <row r="72">
          <cell r="C72" t="str">
            <v>ZOTYE</v>
          </cell>
        </row>
        <row r="73">
          <cell r="C73" t="str">
            <v>FOTON</v>
          </cell>
        </row>
        <row r="74">
          <cell r="C74" t="str">
            <v>LADA</v>
          </cell>
        </row>
      </sheetData>
      <sheetData sheetId="1">
        <row r="18">
          <cell r="D18" t="str">
            <v>AGRALE - MA8.5TCA</v>
          </cell>
        </row>
        <row r="19">
          <cell r="D19" t="str">
            <v>AUDI - A2</v>
          </cell>
        </row>
        <row r="20">
          <cell r="D20" t="str">
            <v>DAEWOO - PREMIUM 360 INTERPROVINCIAL</v>
          </cell>
        </row>
        <row r="21">
          <cell r="D21" t="str">
            <v>DAEWOO - TICO</v>
          </cell>
        </row>
        <row r="22">
          <cell r="D22" t="str">
            <v>DODGE - GRAND CARAVAN</v>
          </cell>
        </row>
        <row r="23">
          <cell r="D23" t="str">
            <v>FAMECO - NACIONAL</v>
          </cell>
        </row>
        <row r="24">
          <cell r="D24" t="str">
            <v>FORD - FOCUS</v>
          </cell>
        </row>
        <row r="25">
          <cell r="D25" t="str">
            <v>FORD - RANGER</v>
          </cell>
        </row>
        <row r="26">
          <cell r="D26" t="str">
            <v>FORD - SCORT</v>
          </cell>
        </row>
        <row r="27">
          <cell r="D27" t="str">
            <v>FREIGHTINER - M2 106</v>
          </cell>
        </row>
        <row r="28">
          <cell r="D28" t="str">
            <v>GOLDEN DRAGON - XML6127J12CN</v>
          </cell>
        </row>
        <row r="29">
          <cell r="D29" t="str">
            <v>HONDA - CBX250 TWISTER</v>
          </cell>
        </row>
        <row r="30">
          <cell r="D30" t="str">
            <v>HONDA - CGL-125</v>
          </cell>
        </row>
        <row r="31">
          <cell r="D31" t="str">
            <v>HONDA - CR-V</v>
          </cell>
        </row>
        <row r="32">
          <cell r="D32" t="str">
            <v>HONDA - XLR-125</v>
          </cell>
        </row>
        <row r="33">
          <cell r="D33" t="str">
            <v>HYUNDAI - COUNTRY</v>
          </cell>
        </row>
        <row r="34">
          <cell r="D34" t="str">
            <v>HYUNDAI - TUCSON</v>
          </cell>
        </row>
        <row r="35">
          <cell r="D35" t="str">
            <v>JEEP - GRAND CHEROKEE</v>
          </cell>
        </row>
        <row r="36">
          <cell r="D36" t="str">
            <v>MAVILA - ELEGANCE</v>
          </cell>
        </row>
        <row r="37">
          <cell r="D37" t="str">
            <v>MERCEDES BENZ - ATEGO 1623A  4X4</v>
          </cell>
        </row>
        <row r="38">
          <cell r="D38" t="str">
            <v>MERCEDES BENZ - ATEGO 1725 42</v>
          </cell>
        </row>
        <row r="39">
          <cell r="D39" t="str">
            <v>MERCEDES BENZ - L O 91548</v>
          </cell>
        </row>
        <row r="40">
          <cell r="D40" t="str">
            <v>MERCEDES BENZ - OF 1721159</v>
          </cell>
        </row>
        <row r="41">
          <cell r="D41" t="str">
            <v>MERCEDES BENZ - SPRINTER 413 CDI C4025</v>
          </cell>
        </row>
        <row r="42">
          <cell r="D42" t="str">
            <v>MERCEDES BENZ - SPRINTER 515CDI/C4325</v>
          </cell>
        </row>
        <row r="43">
          <cell r="D43" t="str">
            <v>MITSUBISHI - L 200</v>
          </cell>
        </row>
        <row r="44">
          <cell r="D44" t="str">
            <v>MITSUBISHI - MONTERO XL</v>
          </cell>
        </row>
        <row r="45">
          <cell r="D45" t="str">
            <v>NISSAN - FRONTIER</v>
          </cell>
        </row>
        <row r="46">
          <cell r="D46" t="str">
            <v>NISSAN - NAVARA</v>
          </cell>
        </row>
        <row r="47">
          <cell r="D47" t="str">
            <v>NISSAN - NP 300 FRONTIER  4X4  2.5 D/C XE TDI</v>
          </cell>
        </row>
        <row r="48">
          <cell r="D48" t="str">
            <v>RENAULT - MASTER</v>
          </cell>
        </row>
        <row r="49">
          <cell r="D49" t="str">
            <v>TOYOTA - AVENSIS</v>
          </cell>
        </row>
        <row r="50">
          <cell r="D50" t="str">
            <v>TOYOTA - CAMRY</v>
          </cell>
        </row>
        <row r="51">
          <cell r="D51" t="str">
            <v>TOYOTA - COASTER</v>
          </cell>
        </row>
        <row r="52">
          <cell r="D52" t="str">
            <v>TOYOTA - CORONA AVENSIS</v>
          </cell>
        </row>
        <row r="53">
          <cell r="D53" t="str">
            <v>TOYOTA - FORTUNER 2.8 ADVENTURE 4X4 MT</v>
          </cell>
        </row>
        <row r="54">
          <cell r="D54" t="str">
            <v>TOYOTA - FORTUNER 3.0 TD M/T</v>
          </cell>
        </row>
        <row r="55">
          <cell r="D55" t="str">
            <v>TOYOTA - FORTUNER 4X4 3 TURBO DSL</v>
          </cell>
        </row>
        <row r="56">
          <cell r="D56" t="str">
            <v>TOYOTA - FORTUNER 4X4 TD MT</v>
          </cell>
        </row>
        <row r="57">
          <cell r="D57" t="str">
            <v>TOYOTA - HI ACE</v>
          </cell>
        </row>
        <row r="58">
          <cell r="D58" t="str">
            <v>TOYOTA - HILUX  4X4 D/C GD M/T SRV</v>
          </cell>
        </row>
        <row r="59">
          <cell r="D59" t="str">
            <v>TOYOTA - HILUX 4X2</v>
          </cell>
        </row>
        <row r="60">
          <cell r="D60" t="str">
            <v>TOYOTA - HILUX 4X4 C/D M/T 3.0 AB</v>
          </cell>
        </row>
        <row r="61">
          <cell r="D61" t="str">
            <v>TOYOTA - HILUX 4X4 C/D M/T 3.0 UP</v>
          </cell>
        </row>
        <row r="62">
          <cell r="D62" t="str">
            <v>TOYOTA - HILUX 4X4 C/D T/D M/T SRV</v>
          </cell>
        </row>
        <row r="63">
          <cell r="D63" t="str">
            <v>TOYOTA - HILUX 4X4 C/D TURBO DSL</v>
          </cell>
        </row>
        <row r="64">
          <cell r="D64" t="str">
            <v>TOYOTA - HILUX 4X4 DC 1GD SR</v>
          </cell>
        </row>
        <row r="65">
          <cell r="D65" t="str">
            <v>TOYOTA - LAND CRUISER 70 4.2 M/T A/C HARD TOP</v>
          </cell>
        </row>
        <row r="66">
          <cell r="D66" t="str">
            <v>TOYOTA - LAND CRUISER BASIC</v>
          </cell>
        </row>
        <row r="67">
          <cell r="D67" t="str">
            <v>TOYOTA - LAND CRUISER PRADO</v>
          </cell>
        </row>
        <row r="68">
          <cell r="D68" t="str">
            <v>TOYOTA - RAV 4</v>
          </cell>
        </row>
        <row r="69">
          <cell r="D69" t="str">
            <v>TOYOTA - RAV4 GX 2.4 A/T</v>
          </cell>
        </row>
        <row r="70">
          <cell r="D70" t="str">
            <v>TOYOTA - RAV4 GX 2.4 A/T NEW ADV</v>
          </cell>
        </row>
        <row r="71">
          <cell r="D71" t="str">
            <v>TOYOTA - RUNNER</v>
          </cell>
        </row>
        <row r="72">
          <cell r="D72" t="str">
            <v>TOYOTA - SIENNA</v>
          </cell>
        </row>
        <row r="73">
          <cell r="D73" t="str">
            <v>TOYOTA - SRV HILUX 4X4</v>
          </cell>
        </row>
        <row r="74">
          <cell r="D74" t="str">
            <v>TOYOTA - STOUT 4X2</v>
          </cell>
        </row>
        <row r="75">
          <cell r="D75" t="str">
            <v>VOLKSWAGEN - 1721000</v>
          </cell>
        </row>
        <row r="76">
          <cell r="D76" t="str">
            <v>VOLVO - FMX 8X4 R</v>
          </cell>
        </row>
        <row r="77">
          <cell r="D77" t="str">
            <v>TOYOTA - HILUX 4X2 D/C 2GD</v>
          </cell>
        </row>
        <row r="78">
          <cell r="D78" t="str">
            <v>TOYOTA - HILUX 4X2 D/C 2GD SR</v>
          </cell>
        </row>
        <row r="79">
          <cell r="D79" t="str">
            <v>TOYOTA - HILUX 4X2 C/S 2GD</v>
          </cell>
        </row>
        <row r="80">
          <cell r="D80" t="str">
            <v>TOYOTA - HILUX 4X4 D/C 1GD SR</v>
          </cell>
        </row>
        <row r="81">
          <cell r="D81" t="str">
            <v>TOYOTA - HILUX 4X4 D/C 1GD SRV</v>
          </cell>
        </row>
        <row r="82">
          <cell r="D82" t="str">
            <v>TOYOTA - FORTUNER 2.7 FULL 4X2 MT</v>
          </cell>
        </row>
        <row r="83">
          <cell r="D83" t="str">
            <v>TOYOTA - FORTUNER 2.7 FULL D-LUX 4X2 MT</v>
          </cell>
        </row>
        <row r="84">
          <cell r="D84" t="str">
            <v>TOYOTA - FORTUNER 2.8 ADVENTURE D-LUX 4X4 AT</v>
          </cell>
        </row>
        <row r="85">
          <cell r="D85" t="str">
            <v>TOYOTA - LAND CRUISER PRADO 2.7</v>
          </cell>
        </row>
        <row r="86">
          <cell r="D86" t="str">
            <v>TOYOTA - LAND CRUISER PRADO 4.0</v>
          </cell>
        </row>
        <row r="87">
          <cell r="D87" t="str">
            <v>TOYOTA - LAND CRUISER PRADO 4.0 VX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8">
          <cell r="C18" t="str">
            <v>L1</v>
          </cell>
        </row>
        <row r="19">
          <cell r="C19" t="str">
            <v>L2</v>
          </cell>
        </row>
        <row r="20">
          <cell r="C20" t="str">
            <v>L3</v>
          </cell>
        </row>
        <row r="21">
          <cell r="C21" t="str">
            <v>L4</v>
          </cell>
        </row>
        <row r="22">
          <cell r="C22" t="str">
            <v>L5</v>
          </cell>
        </row>
        <row r="23">
          <cell r="C23" t="str">
            <v>M1</v>
          </cell>
        </row>
        <row r="24">
          <cell r="C24" t="str">
            <v>M1 - SA</v>
          </cell>
        </row>
        <row r="25">
          <cell r="C25" t="str">
            <v>M1 - SC</v>
          </cell>
        </row>
        <row r="26">
          <cell r="C26" t="str">
            <v>M1 - SD</v>
          </cell>
        </row>
        <row r="27">
          <cell r="C27" t="str">
            <v>M1 - SE</v>
          </cell>
        </row>
        <row r="28">
          <cell r="C28" t="str">
            <v>M1 - SF</v>
          </cell>
        </row>
        <row r="29">
          <cell r="C29" t="str">
            <v>M2 - C1</v>
          </cell>
        </row>
        <row r="30">
          <cell r="C30" t="str">
            <v>M2 - C2</v>
          </cell>
        </row>
        <row r="31">
          <cell r="C31" t="str">
            <v>M2 - C3</v>
          </cell>
        </row>
        <row r="32">
          <cell r="C32" t="str">
            <v>M2 - SA</v>
          </cell>
        </row>
        <row r="33">
          <cell r="C33" t="str">
            <v>M2 - SC</v>
          </cell>
        </row>
        <row r="34">
          <cell r="C34" t="str">
            <v>M2 - SD</v>
          </cell>
        </row>
        <row r="35">
          <cell r="C35" t="str">
            <v>M2 - SE</v>
          </cell>
        </row>
        <row r="36">
          <cell r="C36" t="str">
            <v>M2 - SF</v>
          </cell>
        </row>
        <row r="37">
          <cell r="C37" t="str">
            <v>M2 - SG</v>
          </cell>
        </row>
        <row r="38">
          <cell r="C38" t="str">
            <v>M3 - C1</v>
          </cell>
        </row>
        <row r="39">
          <cell r="C39" t="str">
            <v>M3 - C2</v>
          </cell>
        </row>
        <row r="40">
          <cell r="C40" t="str">
            <v>M3 - C3</v>
          </cell>
        </row>
        <row r="41">
          <cell r="C41" t="str">
            <v>M3 - SA</v>
          </cell>
        </row>
        <row r="42">
          <cell r="C42" t="str">
            <v>M3 - SB</v>
          </cell>
        </row>
        <row r="43">
          <cell r="C43" t="str">
            <v>M3 - SE</v>
          </cell>
        </row>
        <row r="44">
          <cell r="C44" t="str">
            <v>M3 - SF</v>
          </cell>
        </row>
        <row r="45">
          <cell r="C45" t="str">
            <v>M3 - SG</v>
          </cell>
        </row>
        <row r="46">
          <cell r="C46" t="str">
            <v>N1</v>
          </cell>
        </row>
        <row r="47">
          <cell r="C47" t="str">
            <v>N1 - SA</v>
          </cell>
        </row>
        <row r="48">
          <cell r="C48" t="str">
            <v>N1 - SB</v>
          </cell>
        </row>
        <row r="49">
          <cell r="C49" t="str">
            <v>N1 - SC</v>
          </cell>
        </row>
        <row r="50">
          <cell r="C50" t="str">
            <v>N1 - SD</v>
          </cell>
        </row>
        <row r="51">
          <cell r="C51" t="str">
            <v>N1 - SE</v>
          </cell>
        </row>
        <row r="52">
          <cell r="C52" t="str">
            <v>N1 - SF</v>
          </cell>
        </row>
        <row r="53">
          <cell r="C53" t="str">
            <v>N1 - SG</v>
          </cell>
        </row>
        <row r="54">
          <cell r="C54" t="str">
            <v>N2</v>
          </cell>
        </row>
        <row r="55">
          <cell r="C55" t="str">
            <v>N2 - SA</v>
          </cell>
        </row>
        <row r="56">
          <cell r="C56" t="str">
            <v>N2 - SB</v>
          </cell>
        </row>
        <row r="57">
          <cell r="C57" t="str">
            <v>N2 - SC</v>
          </cell>
        </row>
        <row r="58">
          <cell r="C58" t="str">
            <v>N2 - SD</v>
          </cell>
        </row>
        <row r="59">
          <cell r="C59" t="str">
            <v>N2 - SE</v>
          </cell>
        </row>
        <row r="60">
          <cell r="C60" t="str">
            <v>N2 - SF</v>
          </cell>
        </row>
        <row r="61">
          <cell r="C61" t="str">
            <v>N2 - SG</v>
          </cell>
        </row>
        <row r="62">
          <cell r="C62" t="str">
            <v>N3</v>
          </cell>
        </row>
        <row r="63">
          <cell r="C63" t="str">
            <v>N3 - SA</v>
          </cell>
        </row>
        <row r="64">
          <cell r="C64" t="str">
            <v>N3 - SB</v>
          </cell>
        </row>
        <row r="65">
          <cell r="C65" t="str">
            <v>N3 - SE</v>
          </cell>
        </row>
        <row r="66">
          <cell r="C66" t="str">
            <v>N3 - SF</v>
          </cell>
        </row>
        <row r="67">
          <cell r="C67" t="str">
            <v>N3 - SG</v>
          </cell>
        </row>
        <row r="68">
          <cell r="C68" t="str">
            <v>O1</v>
          </cell>
        </row>
        <row r="69">
          <cell r="C69" t="str">
            <v>O1 - SA</v>
          </cell>
        </row>
        <row r="70">
          <cell r="C70" t="str">
            <v>O1 - SE</v>
          </cell>
        </row>
        <row r="71">
          <cell r="C71" t="str">
            <v>O2</v>
          </cell>
        </row>
        <row r="72">
          <cell r="C72" t="str">
            <v>O2 - SA</v>
          </cell>
        </row>
        <row r="73">
          <cell r="C73" t="str">
            <v>O2 - SB</v>
          </cell>
        </row>
        <row r="74">
          <cell r="C74" t="str">
            <v>O2 - SE</v>
          </cell>
        </row>
        <row r="75">
          <cell r="C75" t="str">
            <v>O3</v>
          </cell>
        </row>
        <row r="76">
          <cell r="C76" t="str">
            <v>O3 - SA</v>
          </cell>
        </row>
        <row r="77">
          <cell r="C77" t="str">
            <v>O3 - SB</v>
          </cell>
        </row>
        <row r="78">
          <cell r="C78" t="str">
            <v>O3 - SE</v>
          </cell>
        </row>
        <row r="79">
          <cell r="C79" t="str">
            <v>O4</v>
          </cell>
        </row>
        <row r="80">
          <cell r="C80" t="str">
            <v>O4 - SA</v>
          </cell>
        </row>
        <row r="81">
          <cell r="C81" t="str">
            <v>O4 - SB</v>
          </cell>
        </row>
        <row r="82">
          <cell r="C82" t="str">
            <v>O4 - SE</v>
          </cell>
        </row>
      </sheetData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3EF50-F3E2-479D-B3DE-BD49031D1ABC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BC651-A0F9-417D-A460-843E55B56473}">
  <sheetPr>
    <pageSetUpPr fitToPage="1"/>
  </sheetPr>
  <dimension ref="A1:Y86"/>
  <sheetViews>
    <sheetView tabSelected="1" topLeftCell="A49" zoomScale="90" zoomScaleNormal="90" workbookViewId="0">
      <selection activeCell="U74" sqref="U74"/>
    </sheetView>
  </sheetViews>
  <sheetFormatPr baseColWidth="10" defaultRowHeight="14.4" x14ac:dyDescent="0.3"/>
  <cols>
    <col min="2" max="2" width="6.88671875" customWidth="1"/>
    <col min="3" max="3" width="19.109375" customWidth="1"/>
    <col min="4" max="4" width="10.44140625" bestFit="1" customWidth="1"/>
    <col min="5" max="5" width="11.109375" customWidth="1"/>
    <col min="6" max="6" width="8.6640625" customWidth="1"/>
    <col min="7" max="7" width="9.44140625" customWidth="1"/>
    <col min="8" max="8" width="13.109375" customWidth="1"/>
    <col min="9" max="9" width="9.33203125" customWidth="1"/>
    <col min="10" max="10" width="9.109375" customWidth="1"/>
    <col min="11" max="11" width="7.6640625" customWidth="1"/>
    <col min="12" max="16" width="11.44140625" hidden="1" customWidth="1"/>
    <col min="17" max="17" width="9.6640625" customWidth="1"/>
    <col min="18" max="19" width="8.6640625" customWidth="1"/>
  </cols>
  <sheetData>
    <row r="1" spans="1:21" x14ac:dyDescent="0.3">
      <c r="A1" s="1"/>
      <c r="B1" s="1"/>
      <c r="C1" s="2" t="s">
        <v>1</v>
      </c>
      <c r="D1" s="1">
        <v>3850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1"/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8" hidden="1" x14ac:dyDescent="0.3">
      <c r="A3" s="1"/>
      <c r="B3" s="1"/>
      <c r="C3" s="3" t="s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idden="1" x14ac:dyDescent="0.3">
      <c r="A4" s="1"/>
      <c r="B4" s="1"/>
      <c r="C4" s="62" t="s">
        <v>3</v>
      </c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4"/>
      <c r="T4" s="1"/>
      <c r="U4" s="1"/>
    </row>
    <row r="5" spans="1:21" ht="5.0999999999999996" hidden="1" customHeight="1" x14ac:dyDescent="0.3">
      <c r="A5" s="1"/>
      <c r="B5" s="1"/>
      <c r="C5" s="4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5"/>
      <c r="S5" s="6"/>
      <c r="T5" s="1"/>
      <c r="U5" s="1"/>
    </row>
    <row r="6" spans="1:21" ht="15" hidden="1" customHeight="1" x14ac:dyDescent="0.3">
      <c r="A6" s="1"/>
      <c r="B6" s="7"/>
      <c r="C6" s="4"/>
      <c r="D6" s="1"/>
      <c r="E6" s="1"/>
      <c r="F6" s="1"/>
      <c r="G6" s="1"/>
      <c r="H6" s="1"/>
      <c r="I6" s="1"/>
      <c r="J6" s="1"/>
      <c r="K6" s="74" t="s">
        <v>4</v>
      </c>
      <c r="L6" s="9"/>
      <c r="M6" s="9"/>
      <c r="N6" s="9"/>
      <c r="O6" s="9"/>
      <c r="P6" s="9"/>
      <c r="Q6" s="75" t="s">
        <v>5</v>
      </c>
      <c r="R6" s="74" t="s">
        <v>6</v>
      </c>
      <c r="S6" s="76"/>
      <c r="T6" s="1"/>
      <c r="U6" s="1"/>
    </row>
    <row r="7" spans="1:21" ht="15" hidden="1" customHeight="1" x14ac:dyDescent="0.3">
      <c r="A7" s="1"/>
      <c r="B7" s="1"/>
      <c r="C7" s="4"/>
      <c r="D7" s="1"/>
      <c r="E7" s="1"/>
      <c r="F7" s="1"/>
      <c r="G7" s="1"/>
      <c r="H7" s="1"/>
      <c r="I7" s="1"/>
      <c r="J7" s="1"/>
      <c r="K7" s="74"/>
      <c r="L7" s="9"/>
      <c r="M7" s="9"/>
      <c r="N7" s="9"/>
      <c r="O7" s="9"/>
      <c r="P7" s="9"/>
      <c r="Q7" s="75"/>
      <c r="R7" s="8" t="s">
        <v>7</v>
      </c>
      <c r="S7" s="10" t="s">
        <v>8</v>
      </c>
      <c r="T7" s="1"/>
      <c r="U7" s="1"/>
    </row>
    <row r="8" spans="1:21" hidden="1" x14ac:dyDescent="0.3">
      <c r="A8" s="1"/>
      <c r="B8" s="1"/>
      <c r="C8" s="4"/>
      <c r="D8" s="1"/>
      <c r="E8" s="1"/>
      <c r="F8" s="1"/>
      <c r="G8" s="1"/>
      <c r="H8" s="1"/>
      <c r="I8" s="1"/>
      <c r="J8" s="1"/>
      <c r="K8" s="11">
        <v>40</v>
      </c>
      <c r="L8" s="11"/>
      <c r="M8" s="11"/>
      <c r="N8" s="11"/>
      <c r="O8" s="11"/>
      <c r="P8" s="11"/>
      <c r="Q8" s="11">
        <v>6</v>
      </c>
      <c r="R8" s="12">
        <f>K8*Q8</f>
        <v>240</v>
      </c>
      <c r="S8" s="13">
        <f>R8*2118.88/60</f>
        <v>8475.52</v>
      </c>
      <c r="T8" s="1"/>
      <c r="U8" s="1"/>
    </row>
    <row r="9" spans="1:21" ht="5.0999999999999996" hidden="1" customHeight="1" x14ac:dyDescent="0.3">
      <c r="A9" s="1"/>
      <c r="B9" s="1"/>
      <c r="C9" s="4"/>
      <c r="D9" s="1"/>
      <c r="E9" s="1"/>
      <c r="F9" s="1"/>
      <c r="G9" s="1"/>
      <c r="H9" s="1"/>
      <c r="I9" s="1"/>
      <c r="J9" s="1"/>
      <c r="K9" s="11"/>
      <c r="L9" s="11"/>
      <c r="M9" s="11"/>
      <c r="N9" s="11"/>
      <c r="O9" s="11"/>
      <c r="P9" s="11"/>
      <c r="Q9" s="11"/>
      <c r="R9" s="11"/>
      <c r="S9" s="14"/>
      <c r="T9" s="1"/>
      <c r="U9" s="1"/>
    </row>
    <row r="10" spans="1:21" hidden="1" x14ac:dyDescent="0.3">
      <c r="A10" s="1"/>
      <c r="B10" s="1"/>
      <c r="C10" s="67" t="s">
        <v>9</v>
      </c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9"/>
      <c r="T10" s="1"/>
      <c r="U10" s="1"/>
    </row>
    <row r="11" spans="1:21" ht="42" hidden="1" customHeight="1" x14ac:dyDescent="0.3">
      <c r="A11" s="1"/>
      <c r="B11" s="7"/>
      <c r="C11" s="15" t="s">
        <v>10</v>
      </c>
      <c r="D11" s="8" t="s">
        <v>11</v>
      </c>
      <c r="E11" s="8" t="s">
        <v>12</v>
      </c>
      <c r="F11" s="8" t="s">
        <v>13</v>
      </c>
      <c r="G11" s="8" t="s">
        <v>14</v>
      </c>
      <c r="H11" s="8" t="s">
        <v>15</v>
      </c>
      <c r="I11" s="8" t="s">
        <v>16</v>
      </c>
      <c r="J11" s="8" t="s">
        <v>17</v>
      </c>
      <c r="K11" s="8" t="s">
        <v>18</v>
      </c>
      <c r="L11" s="8"/>
      <c r="M11" s="8"/>
      <c r="N11" s="8"/>
      <c r="O11" s="8"/>
      <c r="P11" s="8"/>
      <c r="Q11" s="8" t="s">
        <v>19</v>
      </c>
      <c r="R11" s="8" t="s">
        <v>7</v>
      </c>
      <c r="S11" s="10" t="s">
        <v>8</v>
      </c>
      <c r="T11" s="1"/>
      <c r="U11" s="1"/>
    </row>
    <row r="12" spans="1:21" hidden="1" x14ac:dyDescent="0.3">
      <c r="A12" s="1"/>
      <c r="B12" s="1"/>
      <c r="C12" s="16" t="s">
        <v>20</v>
      </c>
      <c r="D12" s="11" t="s">
        <v>21</v>
      </c>
      <c r="E12" s="11" t="s">
        <v>22</v>
      </c>
      <c r="F12" s="11">
        <v>2</v>
      </c>
      <c r="G12" s="11">
        <v>75</v>
      </c>
      <c r="H12" s="17">
        <f t="shared" ref="H12:H25" si="0">-4.898*10^-8*$D$1^2+0.0003*$D$1+0.2759</f>
        <v>0.70489394999999977</v>
      </c>
      <c r="I12" s="17">
        <v>0.85</v>
      </c>
      <c r="J12" s="17">
        <v>0.3</v>
      </c>
      <c r="K12" s="18">
        <f t="shared" ref="K12:K25" si="1">G12*H12*I12*J12</f>
        <v>13.481096793749995</v>
      </c>
      <c r="L12" s="11"/>
      <c r="M12" s="11"/>
      <c r="N12" s="11"/>
      <c r="O12" s="11"/>
      <c r="P12" s="11"/>
      <c r="Q12" s="11">
        <v>3</v>
      </c>
      <c r="R12" s="12">
        <f t="shared" ref="R12:R25" si="2">F12*G12*H12*I12*J12*Q12</f>
        <v>80.88658076249996</v>
      </c>
      <c r="S12" s="13">
        <f t="shared" ref="S12:S25" si="3">R12*2118.88/60</f>
        <v>2856.4826374340987</v>
      </c>
      <c r="T12" s="1"/>
      <c r="U12" s="1"/>
    </row>
    <row r="13" spans="1:21" hidden="1" x14ac:dyDescent="0.3">
      <c r="A13" s="1"/>
      <c r="B13" s="1"/>
      <c r="C13" s="16" t="s">
        <v>23</v>
      </c>
      <c r="D13" s="11" t="s">
        <v>24</v>
      </c>
      <c r="E13" s="11" t="s">
        <v>25</v>
      </c>
      <c r="F13" s="11">
        <v>2</v>
      </c>
      <c r="G13" s="11">
        <v>280</v>
      </c>
      <c r="H13" s="17">
        <f t="shared" si="0"/>
        <v>0.70489394999999977</v>
      </c>
      <c r="I13" s="17">
        <v>0.85</v>
      </c>
      <c r="J13" s="17">
        <v>0.7</v>
      </c>
      <c r="K13" s="18">
        <f t="shared" si="1"/>
        <v>117.43533206999994</v>
      </c>
      <c r="L13" s="11"/>
      <c r="M13" s="11"/>
      <c r="N13" s="11"/>
      <c r="O13" s="11"/>
      <c r="P13" s="11"/>
      <c r="Q13" s="11">
        <v>3</v>
      </c>
      <c r="R13" s="12">
        <f t="shared" si="2"/>
        <v>704.61199241999964</v>
      </c>
      <c r="S13" s="13">
        <f t="shared" si="3"/>
        <v>24883.137641648147</v>
      </c>
      <c r="T13" s="1"/>
      <c r="U13" s="1"/>
    </row>
    <row r="14" spans="1:21" ht="16.5" hidden="1" customHeight="1" x14ac:dyDescent="0.3">
      <c r="A14" s="1"/>
      <c r="B14" s="1"/>
      <c r="C14" s="16" t="s">
        <v>26</v>
      </c>
      <c r="D14" s="19" t="s">
        <v>27</v>
      </c>
      <c r="E14" s="19" t="s">
        <v>28</v>
      </c>
      <c r="F14" s="11">
        <v>1</v>
      </c>
      <c r="G14" s="11">
        <v>75</v>
      </c>
      <c r="H14" s="17">
        <f t="shared" si="0"/>
        <v>0.70489394999999977</v>
      </c>
      <c r="I14" s="17">
        <v>0.85</v>
      </c>
      <c r="J14" s="17">
        <v>0.25</v>
      </c>
      <c r="K14" s="18">
        <f t="shared" si="1"/>
        <v>11.234247328124995</v>
      </c>
      <c r="L14" s="11"/>
      <c r="M14" s="11"/>
      <c r="N14" s="11"/>
      <c r="O14" s="11"/>
      <c r="P14" s="11"/>
      <c r="Q14" s="11">
        <v>3</v>
      </c>
      <c r="R14" s="12">
        <f t="shared" si="2"/>
        <v>33.702741984374988</v>
      </c>
      <c r="S14" s="13">
        <f t="shared" si="3"/>
        <v>1190.2010989308744</v>
      </c>
      <c r="T14" s="1"/>
      <c r="U14" s="1"/>
    </row>
    <row r="15" spans="1:21" hidden="1" x14ac:dyDescent="0.3">
      <c r="A15" s="1"/>
      <c r="B15" s="1"/>
      <c r="C15" s="16" t="s">
        <v>29</v>
      </c>
      <c r="D15" s="19" t="s">
        <v>30</v>
      </c>
      <c r="E15" s="19" t="s">
        <v>31</v>
      </c>
      <c r="F15" s="11">
        <v>1</v>
      </c>
      <c r="G15" s="11">
        <v>100</v>
      </c>
      <c r="H15" s="17">
        <f t="shared" si="0"/>
        <v>0.70489394999999977</v>
      </c>
      <c r="I15" s="17">
        <v>0.85</v>
      </c>
      <c r="J15" s="17">
        <v>0.25</v>
      </c>
      <c r="K15" s="18">
        <f t="shared" si="1"/>
        <v>14.978996437499994</v>
      </c>
      <c r="L15" s="11"/>
      <c r="M15" s="11"/>
      <c r="N15" s="11"/>
      <c r="O15" s="11"/>
      <c r="P15" s="11"/>
      <c r="Q15" s="11">
        <v>3</v>
      </c>
      <c r="R15" s="12">
        <f t="shared" si="2"/>
        <v>44.936989312499982</v>
      </c>
      <c r="S15" s="13">
        <f t="shared" si="3"/>
        <v>1586.9347985744996</v>
      </c>
      <c r="T15" s="1"/>
      <c r="U15" s="1"/>
    </row>
    <row r="16" spans="1:21" hidden="1" x14ac:dyDescent="0.3">
      <c r="A16" s="1"/>
      <c r="B16" s="1"/>
      <c r="C16" s="16" t="s">
        <v>32</v>
      </c>
      <c r="D16" s="19" t="s">
        <v>33</v>
      </c>
      <c r="E16" s="19" t="s">
        <v>34</v>
      </c>
      <c r="F16" s="11">
        <v>1</v>
      </c>
      <c r="G16" s="11">
        <v>100</v>
      </c>
      <c r="H16" s="17">
        <f t="shared" si="0"/>
        <v>0.70489394999999977</v>
      </c>
      <c r="I16" s="17">
        <v>0.85</v>
      </c>
      <c r="J16" s="17">
        <v>0.3</v>
      </c>
      <c r="K16" s="18">
        <f t="shared" si="1"/>
        <v>17.974795724999993</v>
      </c>
      <c r="L16" s="11"/>
      <c r="M16" s="11"/>
      <c r="N16" s="11"/>
      <c r="O16" s="11"/>
      <c r="P16" s="11"/>
      <c r="Q16" s="11">
        <v>3</v>
      </c>
      <c r="R16" s="12">
        <f t="shared" si="2"/>
        <v>53.924387174999978</v>
      </c>
      <c r="S16" s="13">
        <f t="shared" si="3"/>
        <v>1904.3217582893994</v>
      </c>
      <c r="T16" s="1"/>
      <c r="U16" s="1"/>
    </row>
    <row r="17" spans="1:21" hidden="1" x14ac:dyDescent="0.3">
      <c r="A17" s="1"/>
      <c r="B17" s="1"/>
      <c r="C17" s="16" t="s">
        <v>35</v>
      </c>
      <c r="D17" s="19" t="s">
        <v>33</v>
      </c>
      <c r="E17" s="19" t="s">
        <v>36</v>
      </c>
      <c r="F17" s="11">
        <v>1</v>
      </c>
      <c r="G17" s="11">
        <v>176</v>
      </c>
      <c r="H17" s="17">
        <f t="shared" si="0"/>
        <v>0.70489394999999977</v>
      </c>
      <c r="I17" s="17">
        <v>0.85</v>
      </c>
      <c r="J17" s="17">
        <v>0.4</v>
      </c>
      <c r="K17" s="18">
        <f t="shared" si="1"/>
        <v>42.180853967999987</v>
      </c>
      <c r="L17" s="11"/>
      <c r="M17" s="11"/>
      <c r="N17" s="11"/>
      <c r="O17" s="11"/>
      <c r="P17" s="11"/>
      <c r="Q17" s="11">
        <v>3</v>
      </c>
      <c r="R17" s="12">
        <f t="shared" si="2"/>
        <v>126.54256190399997</v>
      </c>
      <c r="S17" s="13">
        <f t="shared" si="3"/>
        <v>4468.8083927857915</v>
      </c>
      <c r="T17" s="1"/>
      <c r="U17" s="1"/>
    </row>
    <row r="18" spans="1:21" hidden="1" x14ac:dyDescent="0.3">
      <c r="A18" s="1"/>
      <c r="B18" s="1"/>
      <c r="C18" s="16" t="s">
        <v>37</v>
      </c>
      <c r="D18" s="19" t="s">
        <v>38</v>
      </c>
      <c r="E18" s="19" t="s">
        <v>39</v>
      </c>
      <c r="F18" s="11">
        <v>2</v>
      </c>
      <c r="G18" s="11">
        <v>440</v>
      </c>
      <c r="H18" s="17">
        <f t="shared" si="0"/>
        <v>0.70489394999999977</v>
      </c>
      <c r="I18" s="17">
        <v>0.8</v>
      </c>
      <c r="J18" s="17">
        <v>0.75</v>
      </c>
      <c r="K18" s="18">
        <f t="shared" si="1"/>
        <v>186.09200279999996</v>
      </c>
      <c r="L18" s="11"/>
      <c r="M18" s="11"/>
      <c r="N18" s="11"/>
      <c r="O18" s="11"/>
      <c r="P18" s="11"/>
      <c r="Q18" s="11">
        <v>3</v>
      </c>
      <c r="R18" s="12">
        <f t="shared" si="2"/>
        <v>1116.5520167999998</v>
      </c>
      <c r="S18" s="13">
        <f t="shared" si="3"/>
        <v>39430.662289286396</v>
      </c>
      <c r="T18" s="1"/>
      <c r="U18" s="1"/>
    </row>
    <row r="19" spans="1:21" ht="16.5" hidden="1" customHeight="1" x14ac:dyDescent="0.3">
      <c r="A19" s="1"/>
      <c r="B19" s="1"/>
      <c r="C19" s="16" t="s">
        <v>40</v>
      </c>
      <c r="D19" s="19"/>
      <c r="E19" s="19"/>
      <c r="F19" s="11">
        <v>1</v>
      </c>
      <c r="G19" s="11">
        <v>110</v>
      </c>
      <c r="H19" s="17">
        <f t="shared" si="0"/>
        <v>0.70489394999999977</v>
      </c>
      <c r="I19" s="17">
        <v>0.85</v>
      </c>
      <c r="J19" s="17">
        <v>0.5</v>
      </c>
      <c r="K19" s="18">
        <f t="shared" si="1"/>
        <v>32.953792162499987</v>
      </c>
      <c r="L19" s="11"/>
      <c r="M19" s="11"/>
      <c r="N19" s="11"/>
      <c r="O19" s="11"/>
      <c r="P19" s="11"/>
      <c r="Q19" s="11">
        <v>3</v>
      </c>
      <c r="R19" s="12">
        <f t="shared" si="2"/>
        <v>98.861376487499967</v>
      </c>
      <c r="S19" s="13">
        <f t="shared" si="3"/>
        <v>3491.2565568638988</v>
      </c>
      <c r="T19" s="1"/>
      <c r="U19" s="1"/>
    </row>
    <row r="20" spans="1:21" hidden="1" x14ac:dyDescent="0.3">
      <c r="A20" s="1"/>
      <c r="B20" s="1"/>
      <c r="C20" s="16" t="s">
        <v>41</v>
      </c>
      <c r="D20" s="19" t="s">
        <v>42</v>
      </c>
      <c r="E20" s="19" t="s">
        <v>43</v>
      </c>
      <c r="F20" s="11">
        <v>1</v>
      </c>
      <c r="G20" s="11">
        <v>138</v>
      </c>
      <c r="H20" s="17">
        <f t="shared" si="0"/>
        <v>0.70489394999999977</v>
      </c>
      <c r="I20" s="17">
        <v>0.85</v>
      </c>
      <c r="J20" s="17">
        <v>0.3</v>
      </c>
      <c r="K20" s="18">
        <f>G20*H20*I20*J20</f>
        <v>24.805218100499989</v>
      </c>
      <c r="L20" s="11"/>
      <c r="M20" s="11"/>
      <c r="N20" s="11"/>
      <c r="O20" s="11"/>
      <c r="P20" s="11"/>
      <c r="Q20" s="11">
        <v>3</v>
      </c>
      <c r="R20" s="12">
        <f>F20*G20*H20*I20*J20*Q20</f>
        <v>74.41565430149997</v>
      </c>
      <c r="S20" s="13">
        <f>R20*2118.88/60</f>
        <v>2627.9640264393706</v>
      </c>
      <c r="T20" s="1"/>
      <c r="U20" s="1"/>
    </row>
    <row r="21" spans="1:21" hidden="1" x14ac:dyDescent="0.3">
      <c r="A21" s="1"/>
      <c r="B21" s="1"/>
      <c r="C21" s="16" t="s">
        <v>44</v>
      </c>
      <c r="D21" s="19" t="s">
        <v>42</v>
      </c>
      <c r="E21" s="19" t="s">
        <v>45</v>
      </c>
      <c r="F21" s="11">
        <v>1</v>
      </c>
      <c r="G21" s="11">
        <v>138</v>
      </c>
      <c r="H21" s="17">
        <f t="shared" si="0"/>
        <v>0.70489394999999977</v>
      </c>
      <c r="I21" s="17">
        <v>0.85</v>
      </c>
      <c r="J21" s="17">
        <v>0.4</v>
      </c>
      <c r="K21" s="18">
        <f t="shared" si="1"/>
        <v>33.073624133999992</v>
      </c>
      <c r="L21" s="11"/>
      <c r="M21" s="11"/>
      <c r="N21" s="11"/>
      <c r="O21" s="11"/>
      <c r="P21" s="11"/>
      <c r="Q21" s="11">
        <v>3</v>
      </c>
      <c r="R21" s="12">
        <f t="shared" si="2"/>
        <v>99.220872401999969</v>
      </c>
      <c r="S21" s="13">
        <f t="shared" si="3"/>
        <v>3503.9520352524951</v>
      </c>
      <c r="T21" s="1"/>
      <c r="U21" s="1"/>
    </row>
    <row r="22" spans="1:21" hidden="1" x14ac:dyDescent="0.3">
      <c r="A22" s="1"/>
      <c r="B22" s="1"/>
      <c r="C22" s="16" t="s">
        <v>46</v>
      </c>
      <c r="D22" s="19" t="s">
        <v>42</v>
      </c>
      <c r="E22" s="19" t="s">
        <v>47</v>
      </c>
      <c r="F22" s="11">
        <v>1</v>
      </c>
      <c r="G22" s="11">
        <v>138</v>
      </c>
      <c r="H22" s="17">
        <f t="shared" si="0"/>
        <v>0.70489394999999977</v>
      </c>
      <c r="I22" s="17">
        <v>0.85</v>
      </c>
      <c r="J22" s="17">
        <v>0.3</v>
      </c>
      <c r="K22" s="18">
        <f t="shared" si="1"/>
        <v>24.805218100499989</v>
      </c>
      <c r="L22" s="11"/>
      <c r="M22" s="11"/>
      <c r="N22" s="11"/>
      <c r="O22" s="11"/>
      <c r="P22" s="11"/>
      <c r="Q22" s="11">
        <v>3</v>
      </c>
      <c r="R22" s="12">
        <f t="shared" si="2"/>
        <v>74.41565430149997</v>
      </c>
      <c r="S22" s="13">
        <f t="shared" si="3"/>
        <v>2627.9640264393706</v>
      </c>
      <c r="T22" s="1"/>
      <c r="U22" s="1"/>
    </row>
    <row r="23" spans="1:21" hidden="1" x14ac:dyDescent="0.3">
      <c r="A23" s="1"/>
      <c r="B23" s="1"/>
      <c r="C23" s="16" t="s">
        <v>48</v>
      </c>
      <c r="D23" s="19" t="s">
        <v>42</v>
      </c>
      <c r="E23" s="19" t="s">
        <v>49</v>
      </c>
      <c r="F23" s="11">
        <v>1</v>
      </c>
      <c r="G23" s="11">
        <v>138</v>
      </c>
      <c r="H23" s="17">
        <f t="shared" si="0"/>
        <v>0.70489394999999977</v>
      </c>
      <c r="I23" s="17">
        <v>0.85</v>
      </c>
      <c r="J23" s="17">
        <v>0.2</v>
      </c>
      <c r="K23" s="18">
        <f t="shared" si="1"/>
        <v>16.536812066999996</v>
      </c>
      <c r="L23" s="11"/>
      <c r="M23" s="11"/>
      <c r="N23" s="11"/>
      <c r="O23" s="11"/>
      <c r="P23" s="11"/>
      <c r="Q23" s="11">
        <v>3</v>
      </c>
      <c r="R23" s="12">
        <f t="shared" si="2"/>
        <v>49.610436200999985</v>
      </c>
      <c r="S23" s="13">
        <f t="shared" si="3"/>
        <v>1751.9760176262475</v>
      </c>
      <c r="T23" s="1"/>
      <c r="U23" s="1"/>
    </row>
    <row r="24" spans="1:21" hidden="1" x14ac:dyDescent="0.3">
      <c r="A24" s="1"/>
      <c r="B24" s="1"/>
      <c r="C24" s="16" t="s">
        <v>50</v>
      </c>
      <c r="D24" s="19" t="s">
        <v>42</v>
      </c>
      <c r="E24" s="19" t="s">
        <v>51</v>
      </c>
      <c r="F24" s="11">
        <v>1</v>
      </c>
      <c r="G24" s="11">
        <v>138</v>
      </c>
      <c r="H24" s="17">
        <f t="shared" si="0"/>
        <v>0.70489394999999977</v>
      </c>
      <c r="I24" s="17">
        <v>0.85</v>
      </c>
      <c r="J24" s="17">
        <v>0.3</v>
      </c>
      <c r="K24" s="18">
        <f t="shared" si="1"/>
        <v>24.805218100499989</v>
      </c>
      <c r="L24" s="11"/>
      <c r="M24" s="11"/>
      <c r="N24" s="11"/>
      <c r="O24" s="11"/>
      <c r="P24" s="11"/>
      <c r="Q24" s="11">
        <v>3</v>
      </c>
      <c r="R24" s="12">
        <f t="shared" si="2"/>
        <v>74.41565430149997</v>
      </c>
      <c r="S24" s="13">
        <f t="shared" si="3"/>
        <v>2627.9640264393706</v>
      </c>
      <c r="T24" s="1"/>
      <c r="U24" s="1"/>
    </row>
    <row r="25" spans="1:21" hidden="1" x14ac:dyDescent="0.3">
      <c r="A25" s="1"/>
      <c r="B25" s="1"/>
      <c r="C25" s="16" t="s">
        <v>52</v>
      </c>
      <c r="D25" s="19" t="s">
        <v>53</v>
      </c>
      <c r="E25" s="19" t="s">
        <v>54</v>
      </c>
      <c r="F25" s="11">
        <v>2</v>
      </c>
      <c r="G25" s="11">
        <v>147</v>
      </c>
      <c r="H25" s="17">
        <f t="shared" si="0"/>
        <v>0.70489394999999977</v>
      </c>
      <c r="I25" s="17">
        <v>0.85</v>
      </c>
      <c r="J25" s="17">
        <v>0.5</v>
      </c>
      <c r="K25" s="18">
        <f t="shared" si="1"/>
        <v>44.038249526249984</v>
      </c>
      <c r="L25" s="11"/>
      <c r="M25" s="11"/>
      <c r="N25" s="11"/>
      <c r="O25" s="11"/>
      <c r="P25" s="11"/>
      <c r="Q25" s="11">
        <v>3</v>
      </c>
      <c r="R25" s="12">
        <f t="shared" si="2"/>
        <v>264.22949715749991</v>
      </c>
      <c r="S25" s="13">
        <f t="shared" si="3"/>
        <v>9331.1766156180565</v>
      </c>
      <c r="T25" s="1"/>
      <c r="U25" s="1"/>
    </row>
    <row r="26" spans="1:21" ht="16.5" hidden="1" customHeight="1" x14ac:dyDescent="0.3">
      <c r="A26" s="1"/>
      <c r="B26" s="1"/>
      <c r="C26" s="20"/>
      <c r="D26" s="21"/>
      <c r="E26" s="21"/>
      <c r="F26" s="22">
        <f>SUM(F12:F25)</f>
        <v>18</v>
      </c>
      <c r="G26" s="21"/>
      <c r="H26" s="70" t="s">
        <v>55</v>
      </c>
      <c r="I26" s="70"/>
      <c r="J26" s="70"/>
      <c r="K26" s="70"/>
      <c r="L26" s="70"/>
      <c r="M26" s="70"/>
      <c r="N26" s="70"/>
      <c r="O26" s="70"/>
      <c r="P26" s="70"/>
      <c r="Q26" s="70"/>
      <c r="R26" s="23">
        <f>SUM(R12:R25)</f>
        <v>2896.3264155108745</v>
      </c>
      <c r="S26" s="24">
        <f>SUM(S12:S25)</f>
        <v>102282.80192162801</v>
      </c>
      <c r="T26" s="1"/>
      <c r="U26" s="1"/>
    </row>
    <row r="27" spans="1:21" ht="4.5" hidden="1" customHeight="1" x14ac:dyDescent="0.3">
      <c r="A27" s="1"/>
      <c r="B27" s="1"/>
      <c r="C27" s="4"/>
      <c r="D27" s="1"/>
      <c r="E27" s="1"/>
      <c r="F27" s="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2"/>
      <c r="S27" s="13"/>
      <c r="T27" s="1"/>
      <c r="U27" s="1"/>
    </row>
    <row r="28" spans="1:21" ht="16.5" hidden="1" customHeight="1" x14ac:dyDescent="0.3">
      <c r="A28" s="1"/>
      <c r="B28" s="1"/>
      <c r="C28" s="4"/>
      <c r="D28" s="1"/>
      <c r="E28" s="1"/>
      <c r="F28" s="1"/>
      <c r="G28" s="11"/>
      <c r="H28" s="11"/>
      <c r="I28" s="56" t="s">
        <v>56</v>
      </c>
      <c r="J28" s="56"/>
      <c r="K28" s="56"/>
      <c r="L28" s="56"/>
      <c r="M28" s="56"/>
      <c r="N28" s="56"/>
      <c r="O28" s="56"/>
      <c r="P28" s="56"/>
      <c r="Q28" s="56"/>
      <c r="R28" s="25">
        <f>SUM(R12:R25)+R8</f>
        <v>3136.3264155108745</v>
      </c>
      <c r="S28" s="26">
        <f>SUM(S12:S25)+S8</f>
        <v>110758.32192162801</v>
      </c>
      <c r="T28" s="1"/>
      <c r="U28" s="1"/>
    </row>
    <row r="29" spans="1:21" ht="16.5" hidden="1" customHeight="1" thickBot="1" x14ac:dyDescent="0.35">
      <c r="A29" s="1"/>
      <c r="B29" s="1"/>
      <c r="C29" s="4"/>
      <c r="D29" s="1"/>
      <c r="E29" s="1"/>
      <c r="F29" s="1"/>
      <c r="G29" s="1"/>
      <c r="H29" s="1"/>
      <c r="I29" s="27">
        <v>0.15</v>
      </c>
      <c r="J29" s="28" t="s">
        <v>57</v>
      </c>
      <c r="K29" s="28"/>
      <c r="L29" s="28"/>
      <c r="M29" s="28"/>
      <c r="N29" s="28"/>
      <c r="O29" s="28"/>
      <c r="P29" s="28"/>
      <c r="Q29" s="28"/>
      <c r="R29" s="29">
        <f>R28*0.15</f>
        <v>470.44896232663115</v>
      </c>
      <c r="S29" s="30">
        <f>S28*0.15</f>
        <v>16613.748288244202</v>
      </c>
      <c r="T29" s="1"/>
      <c r="U29" s="1"/>
    </row>
    <row r="30" spans="1:21" ht="20.100000000000001" hidden="1" customHeight="1" thickBot="1" x14ac:dyDescent="0.35">
      <c r="A30" s="1"/>
      <c r="B30" s="1"/>
      <c r="C30" s="31"/>
      <c r="D30" s="32"/>
      <c r="E30" s="32"/>
      <c r="F30" s="32"/>
      <c r="G30" s="32"/>
      <c r="H30" s="32"/>
      <c r="I30" s="57" t="s">
        <v>58</v>
      </c>
      <c r="J30" s="57"/>
      <c r="K30" s="57"/>
      <c r="L30" s="57"/>
      <c r="M30" s="57"/>
      <c r="N30" s="57"/>
      <c r="O30" s="57"/>
      <c r="P30" s="57"/>
      <c r="Q30" s="57"/>
      <c r="R30" s="33">
        <f>SUM(R28:R29)</f>
        <v>3606.7753778375059</v>
      </c>
      <c r="S30" s="34">
        <f>SUM(S28:S29)</f>
        <v>127372.07020987221</v>
      </c>
      <c r="T30" s="1"/>
      <c r="U30" s="1"/>
    </row>
    <row r="31" spans="1:21" ht="20.100000000000001" hidden="1" customHeight="1" x14ac:dyDescent="0.3">
      <c r="A31" s="1"/>
      <c r="B31" s="1"/>
      <c r="C31" s="1"/>
      <c r="D31" s="1"/>
      <c r="E31" s="1"/>
      <c r="F31" s="1"/>
      <c r="G31" s="1"/>
      <c r="H31" s="1"/>
      <c r="I31" s="74" t="s">
        <v>59</v>
      </c>
      <c r="J31" s="74"/>
      <c r="K31" s="74"/>
      <c r="L31" s="74"/>
      <c r="M31" s="74"/>
      <c r="N31" s="74"/>
      <c r="O31" s="74"/>
      <c r="P31" s="74"/>
      <c r="Q31" s="74"/>
      <c r="R31" s="74"/>
      <c r="S31" s="35">
        <v>200000</v>
      </c>
      <c r="T31" s="1"/>
      <c r="U31" s="1"/>
    </row>
    <row r="32" spans="1:21" ht="20.100000000000001" hidden="1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36"/>
      <c r="L32" s="1"/>
      <c r="M32" s="36"/>
      <c r="N32" s="1"/>
      <c r="O32" s="36"/>
      <c r="P32" s="1"/>
      <c r="Q32" s="36"/>
      <c r="R32" s="1"/>
      <c r="S32" s="36"/>
      <c r="T32" s="1"/>
      <c r="U32" s="1"/>
    </row>
    <row r="33" spans="1:21" ht="15.6" hidden="1" x14ac:dyDescent="0.3">
      <c r="A33" s="5"/>
      <c r="B33" s="5"/>
      <c r="C33" s="59" t="s">
        <v>0</v>
      </c>
      <c r="D33" s="59"/>
      <c r="E33" s="59"/>
      <c r="F33" s="59"/>
      <c r="G33" s="59"/>
      <c r="H33" s="59"/>
      <c r="I33" s="59"/>
      <c r="J33" s="59"/>
      <c r="K33" s="5"/>
      <c r="L33" s="5"/>
      <c r="M33" s="5"/>
      <c r="N33" s="5"/>
      <c r="O33" s="5"/>
      <c r="P33" s="5"/>
      <c r="Q33" s="5"/>
      <c r="R33" s="5"/>
      <c r="S33" s="5"/>
    </row>
    <row r="34" spans="1:21" hidden="1" x14ac:dyDescent="0.3">
      <c r="A34" s="5"/>
      <c r="B34" s="5"/>
      <c r="C34" s="60" t="s">
        <v>60</v>
      </c>
      <c r="D34" s="60"/>
      <c r="E34" s="60"/>
      <c r="F34" s="60"/>
      <c r="G34" s="60"/>
      <c r="H34" s="60"/>
      <c r="I34" s="60"/>
      <c r="J34" s="60"/>
      <c r="K34" s="5"/>
      <c r="L34" s="5"/>
      <c r="M34" s="5"/>
      <c r="N34" s="5"/>
      <c r="O34" s="5"/>
      <c r="P34" s="5"/>
      <c r="Q34" s="5"/>
      <c r="R34" s="5"/>
      <c r="S34" s="5"/>
    </row>
    <row r="35" spans="1:21" ht="15" hidden="1" customHeight="1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spans="1:21" hidden="1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spans="1:21" ht="23.25" hidden="1" customHeight="1" x14ac:dyDescent="0.3">
      <c r="A37" s="5"/>
      <c r="B37" s="5"/>
      <c r="C37" s="37" t="s">
        <v>61</v>
      </c>
      <c r="D37" s="71" t="s">
        <v>62</v>
      </c>
      <c r="E37" s="71"/>
      <c r="F37" s="71" t="s">
        <v>63</v>
      </c>
      <c r="G37" s="71"/>
      <c r="H37" s="37" t="s">
        <v>64</v>
      </c>
      <c r="I37" s="71" t="s">
        <v>65</v>
      </c>
      <c r="J37" s="71"/>
      <c r="K37" s="5"/>
      <c r="L37" s="5"/>
      <c r="M37" s="5"/>
      <c r="N37" s="5"/>
      <c r="O37" s="5"/>
      <c r="P37" s="5"/>
      <c r="Q37" s="5"/>
      <c r="R37" s="5"/>
      <c r="S37" s="5"/>
    </row>
    <row r="38" spans="1:21" ht="14.25" hidden="1" customHeight="1" thickBot="1" x14ac:dyDescent="0.35">
      <c r="A38" s="5"/>
      <c r="B38" s="5"/>
      <c r="C38" s="38"/>
      <c r="D38" s="38" t="s">
        <v>7</v>
      </c>
      <c r="E38" s="38" t="s">
        <v>8</v>
      </c>
      <c r="F38" s="38" t="s">
        <v>7</v>
      </c>
      <c r="G38" s="38" t="s">
        <v>8</v>
      </c>
      <c r="H38" s="38" t="s">
        <v>66</v>
      </c>
      <c r="I38" s="38" t="s">
        <v>7</v>
      </c>
      <c r="J38" s="38" t="s">
        <v>8</v>
      </c>
      <c r="K38" s="5"/>
      <c r="L38" s="5"/>
      <c r="M38" s="5"/>
      <c r="N38" s="5"/>
      <c r="O38" s="5"/>
      <c r="P38" s="5"/>
      <c r="Q38" s="5"/>
      <c r="R38" s="5"/>
      <c r="S38" s="5"/>
    </row>
    <row r="39" spans="1:21" s="43" customFormat="1" ht="20.100000000000001" hidden="1" customHeight="1" thickBot="1" x14ac:dyDescent="0.35">
      <c r="A39" s="39"/>
      <c r="B39" s="39"/>
      <c r="C39" s="40" t="s">
        <v>67</v>
      </c>
      <c r="D39" s="41">
        <f>R30</f>
        <v>3606.7753778375059</v>
      </c>
      <c r="E39" s="41">
        <f>S30</f>
        <v>127372.07020987221</v>
      </c>
      <c r="F39" s="41">
        <f>G39/2118.88*60</f>
        <v>5380.2008608321376</v>
      </c>
      <c r="G39" s="41">
        <f>S31*0.95</f>
        <v>190000</v>
      </c>
      <c r="H39" s="42">
        <f>+G39/E39</f>
        <v>1.4916927995826332</v>
      </c>
      <c r="I39" s="41">
        <f>J39/2118.88*60</f>
        <v>1773.4254829946326</v>
      </c>
      <c r="J39" s="41">
        <f>-E39+G39</f>
        <v>62627.92979012779</v>
      </c>
      <c r="K39" s="39"/>
      <c r="L39" s="39"/>
      <c r="M39" s="39"/>
      <c r="N39" s="39"/>
      <c r="O39" s="39"/>
      <c r="P39" s="39"/>
      <c r="Q39" s="39"/>
      <c r="R39" s="39"/>
      <c r="S39" s="39"/>
    </row>
    <row r="40" spans="1:21" hidden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spans="1:21" ht="20.100000000000001" hidden="1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36"/>
      <c r="L41" s="36"/>
      <c r="M41" s="36"/>
      <c r="N41" s="36"/>
      <c r="O41" s="36"/>
      <c r="P41" s="36"/>
      <c r="Q41" s="72"/>
      <c r="R41" s="72"/>
      <c r="S41" s="72"/>
      <c r="T41" s="1"/>
      <c r="U41" s="1"/>
    </row>
    <row r="42" spans="1:21" ht="15" hidden="1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44"/>
      <c r="R42" s="36"/>
      <c r="S42" s="36"/>
      <c r="T42" s="1"/>
      <c r="U42" s="1"/>
    </row>
    <row r="43" spans="1:21" hidden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45"/>
      <c r="R43" s="73"/>
      <c r="S43" s="73"/>
      <c r="T43" s="1"/>
      <c r="U43" s="1"/>
    </row>
    <row r="44" spans="1:21" hidden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ht="18.600000000000001" thickBot="1" x14ac:dyDescent="0.35">
      <c r="A46" s="1"/>
      <c r="B46" s="1"/>
      <c r="C46" s="3" t="s">
        <v>76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3">
      <c r="A47" s="1"/>
      <c r="B47" s="1"/>
      <c r="C47" s="62" t="s">
        <v>3</v>
      </c>
      <c r="D47" s="63"/>
      <c r="E47" s="63"/>
      <c r="F47" s="63"/>
      <c r="G47" s="63"/>
      <c r="H47" s="63"/>
      <c r="I47" s="63"/>
      <c r="J47" s="63"/>
      <c r="K47" s="63"/>
      <c r="L47" s="63"/>
      <c r="M47" s="63"/>
      <c r="N47" s="63"/>
      <c r="O47" s="63"/>
      <c r="P47" s="63"/>
      <c r="Q47" s="63"/>
      <c r="R47" s="63"/>
      <c r="S47" s="64"/>
      <c r="T47" s="1"/>
      <c r="U47" s="1"/>
    </row>
    <row r="48" spans="1:21" ht="5.0999999999999996" customHeight="1" x14ac:dyDescent="0.3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5"/>
      <c r="S48" s="6"/>
      <c r="T48" s="1"/>
      <c r="U48" s="1"/>
    </row>
    <row r="49" spans="1:24" ht="15" customHeight="1" x14ac:dyDescent="0.3">
      <c r="A49" s="1"/>
      <c r="B49" s="7"/>
      <c r="C49" s="4"/>
      <c r="D49" s="1"/>
      <c r="E49" s="1"/>
      <c r="F49" s="1"/>
      <c r="G49" s="1"/>
      <c r="H49" s="1"/>
      <c r="I49" s="1"/>
      <c r="J49" s="1"/>
      <c r="K49" s="58" t="s">
        <v>4</v>
      </c>
      <c r="L49" s="51"/>
      <c r="M49" s="51"/>
      <c r="N49" s="51"/>
      <c r="O49" s="51"/>
      <c r="P49" s="51"/>
      <c r="Q49" s="65" t="s">
        <v>5</v>
      </c>
      <c r="R49" s="58" t="s">
        <v>6</v>
      </c>
      <c r="S49" s="66"/>
      <c r="T49" s="1"/>
      <c r="U49" s="1"/>
    </row>
    <row r="50" spans="1:24" ht="15" customHeight="1" x14ac:dyDescent="0.3">
      <c r="A50" s="1"/>
      <c r="B50" s="1"/>
      <c r="C50" s="4"/>
      <c r="D50" s="1"/>
      <c r="E50" s="1"/>
      <c r="F50" s="1"/>
      <c r="G50" s="1"/>
      <c r="H50" s="1"/>
      <c r="I50" s="1"/>
      <c r="J50" s="1"/>
      <c r="K50" s="58"/>
      <c r="L50" s="51"/>
      <c r="M50" s="51"/>
      <c r="N50" s="51"/>
      <c r="O50" s="51"/>
      <c r="P50" s="51"/>
      <c r="Q50" s="65"/>
      <c r="R50" s="48" t="s">
        <v>7</v>
      </c>
      <c r="S50" s="49" t="s">
        <v>8</v>
      </c>
      <c r="T50" s="1"/>
      <c r="U50" s="1"/>
    </row>
    <row r="51" spans="1:24" x14ac:dyDescent="0.3">
      <c r="A51" s="1"/>
      <c r="B51" s="1"/>
      <c r="C51" s="4"/>
      <c r="D51" s="1"/>
      <c r="E51" s="1"/>
      <c r="F51" s="1"/>
      <c r="G51" s="1"/>
      <c r="H51" s="1"/>
      <c r="I51" s="1"/>
      <c r="J51" s="1"/>
      <c r="K51" s="11">
        <v>150</v>
      </c>
      <c r="L51" s="11"/>
      <c r="M51" s="11"/>
      <c r="N51" s="11"/>
      <c r="O51" s="11"/>
      <c r="P51" s="11"/>
      <c r="Q51" s="11">
        <v>7</v>
      </c>
      <c r="R51" s="12">
        <f>K51*Q51</f>
        <v>1050</v>
      </c>
      <c r="S51" s="13">
        <f>R51*2118.88/60</f>
        <v>37080.400000000001</v>
      </c>
      <c r="T51" s="1"/>
      <c r="U51" s="1"/>
    </row>
    <row r="52" spans="1:24" ht="5.0999999999999996" customHeight="1" x14ac:dyDescent="0.3">
      <c r="A52" s="1"/>
      <c r="B52" s="1"/>
      <c r="C52" s="4"/>
      <c r="D52" s="1"/>
      <c r="E52" s="1"/>
      <c r="F52" s="1"/>
      <c r="G52" s="1"/>
      <c r="H52" s="1"/>
      <c r="I52" s="1"/>
      <c r="J52" s="1"/>
      <c r="K52" s="11"/>
      <c r="L52" s="11"/>
      <c r="M52" s="11"/>
      <c r="N52" s="11"/>
      <c r="O52" s="11"/>
      <c r="P52" s="11"/>
      <c r="Q52" s="11"/>
      <c r="R52" s="11"/>
      <c r="S52" s="14"/>
      <c r="T52" s="1"/>
      <c r="U52" s="1"/>
    </row>
    <row r="53" spans="1:24" x14ac:dyDescent="0.3">
      <c r="A53" s="1"/>
      <c r="B53" s="1"/>
      <c r="C53" s="67" t="s">
        <v>9</v>
      </c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69"/>
      <c r="T53" s="1"/>
      <c r="U53" s="1"/>
    </row>
    <row r="54" spans="1:24" ht="42" customHeight="1" x14ac:dyDescent="0.3">
      <c r="A54" s="1"/>
      <c r="B54" s="7"/>
      <c r="C54" s="47" t="s">
        <v>10</v>
      </c>
      <c r="D54" s="48" t="s">
        <v>11</v>
      </c>
      <c r="E54" s="48" t="s">
        <v>12</v>
      </c>
      <c r="F54" s="48" t="s">
        <v>13</v>
      </c>
      <c r="G54" s="48" t="s">
        <v>14</v>
      </c>
      <c r="H54" s="48" t="s">
        <v>15</v>
      </c>
      <c r="I54" s="48" t="s">
        <v>16</v>
      </c>
      <c r="J54" s="48" t="s">
        <v>17</v>
      </c>
      <c r="K54" s="48" t="s">
        <v>18</v>
      </c>
      <c r="L54" s="48"/>
      <c r="M54" s="48"/>
      <c r="N54" s="48"/>
      <c r="O54" s="48"/>
      <c r="P54" s="48"/>
      <c r="Q54" s="48" t="s">
        <v>19</v>
      </c>
      <c r="R54" s="48" t="s">
        <v>7</v>
      </c>
      <c r="S54" s="49" t="s">
        <v>8</v>
      </c>
      <c r="T54" s="1"/>
      <c r="U54" s="1"/>
    </row>
    <row r="55" spans="1:24" x14ac:dyDescent="0.3">
      <c r="A55" s="1"/>
      <c r="B55" s="1"/>
      <c r="C55" s="16" t="s">
        <v>20</v>
      </c>
      <c r="D55" s="19" t="s">
        <v>21</v>
      </c>
      <c r="E55" s="19" t="s">
        <v>22</v>
      </c>
      <c r="F55" s="11">
        <v>3</v>
      </c>
      <c r="G55" s="11">
        <v>75</v>
      </c>
      <c r="H55" s="17">
        <f t="shared" ref="H55:H71" si="4">-4.898*10^-8*$D$1^2+0.0003*$D$1+0.2759</f>
        <v>0.70489394999999977</v>
      </c>
      <c r="I55" s="17">
        <v>0.85</v>
      </c>
      <c r="J55" s="17">
        <v>0.3</v>
      </c>
      <c r="K55" s="18">
        <f t="shared" ref="K55:K62" si="5">G55*H55*I55*J55</f>
        <v>13.481096793749995</v>
      </c>
      <c r="L55" s="11"/>
      <c r="M55" s="11"/>
      <c r="N55" s="11"/>
      <c r="O55" s="11"/>
      <c r="P55" s="11"/>
      <c r="Q55" s="11">
        <v>3.1</v>
      </c>
      <c r="R55" s="12">
        <f t="shared" ref="R55:R62" si="6">F55*G55*H55*I55*J55*Q55</f>
        <v>125.37420018187497</v>
      </c>
      <c r="S55" s="13">
        <f t="shared" ref="S55:S71" si="7">R55*2118.88/60</f>
        <v>4427.5480880228542</v>
      </c>
      <c r="T55" s="1"/>
      <c r="U55" s="1"/>
    </row>
    <row r="56" spans="1:24" x14ac:dyDescent="0.3">
      <c r="A56" s="1"/>
      <c r="B56" s="1"/>
      <c r="C56" s="16" t="s">
        <v>20</v>
      </c>
      <c r="D56" s="11" t="s">
        <v>68</v>
      </c>
      <c r="E56" s="11" t="s">
        <v>69</v>
      </c>
      <c r="F56" s="11">
        <v>2</v>
      </c>
      <c r="G56" s="11">
        <v>75</v>
      </c>
      <c r="H56" s="17">
        <f t="shared" si="4"/>
        <v>0.70489394999999977</v>
      </c>
      <c r="I56" s="17">
        <v>0.85</v>
      </c>
      <c r="J56" s="17">
        <v>0.3</v>
      </c>
      <c r="K56" s="18">
        <f t="shared" si="5"/>
        <v>13.481096793749995</v>
      </c>
      <c r="L56" s="11"/>
      <c r="M56" s="11"/>
      <c r="N56" s="11"/>
      <c r="O56" s="11"/>
      <c r="P56" s="11"/>
      <c r="Q56" s="11">
        <v>3</v>
      </c>
      <c r="R56" s="12">
        <f t="shared" si="6"/>
        <v>80.88658076249996</v>
      </c>
      <c r="S56" s="13">
        <f t="shared" si="7"/>
        <v>2856.4826374340987</v>
      </c>
      <c r="T56" s="1"/>
      <c r="U56" s="1"/>
    </row>
    <row r="57" spans="1:24" x14ac:dyDescent="0.3">
      <c r="A57" s="1"/>
      <c r="B57" s="1"/>
      <c r="C57" s="16" t="s">
        <v>23</v>
      </c>
      <c r="D57" s="19" t="s">
        <v>24</v>
      </c>
      <c r="E57" s="19" t="s">
        <v>25</v>
      </c>
      <c r="F57" s="11">
        <v>10</v>
      </c>
      <c r="G57" s="11">
        <v>279</v>
      </c>
      <c r="H57" s="17">
        <f t="shared" si="4"/>
        <v>0.70489394999999977</v>
      </c>
      <c r="I57" s="17">
        <v>0.85</v>
      </c>
      <c r="J57" s="17">
        <v>0.7</v>
      </c>
      <c r="K57" s="18">
        <f t="shared" si="5"/>
        <v>117.01592016974996</v>
      </c>
      <c r="L57" s="11"/>
      <c r="M57" s="11"/>
      <c r="N57" s="11"/>
      <c r="O57" s="11"/>
      <c r="P57" s="11"/>
      <c r="Q57" s="11">
        <v>3.1</v>
      </c>
      <c r="R57" s="12">
        <f t="shared" si="6"/>
        <v>3627.493525262249</v>
      </c>
      <c r="S57" s="13">
        <f t="shared" si="7"/>
        <v>128103.72468012791</v>
      </c>
      <c r="T57" s="1"/>
      <c r="U57" s="1"/>
    </row>
    <row r="58" spans="1:24" x14ac:dyDescent="0.3">
      <c r="A58" s="1"/>
      <c r="B58" s="1"/>
      <c r="C58" s="16" t="s">
        <v>26</v>
      </c>
      <c r="D58" s="19" t="s">
        <v>27</v>
      </c>
      <c r="E58" s="19" t="s">
        <v>28</v>
      </c>
      <c r="F58" s="11">
        <v>3</v>
      </c>
      <c r="G58" s="11">
        <v>75</v>
      </c>
      <c r="H58" s="17">
        <f t="shared" si="4"/>
        <v>0.70489394999999977</v>
      </c>
      <c r="I58" s="17">
        <v>0.85</v>
      </c>
      <c r="J58" s="17">
        <v>0.4</v>
      </c>
      <c r="K58" s="18">
        <f t="shared" si="5"/>
        <v>17.974795724999993</v>
      </c>
      <c r="L58" s="11"/>
      <c r="M58" s="11"/>
      <c r="N58" s="11"/>
      <c r="O58" s="11"/>
      <c r="P58" s="11"/>
      <c r="Q58" s="11">
        <v>3</v>
      </c>
      <c r="R58" s="12">
        <f t="shared" si="6"/>
        <v>161.77316152499995</v>
      </c>
      <c r="S58" s="13">
        <f t="shared" si="7"/>
        <v>5712.9652748681983</v>
      </c>
      <c r="T58" s="1"/>
      <c r="U58" s="1"/>
    </row>
    <row r="59" spans="1:24" x14ac:dyDescent="0.3">
      <c r="A59" s="1"/>
      <c r="B59" s="1"/>
      <c r="C59" s="16" t="s">
        <v>29</v>
      </c>
      <c r="D59" s="19" t="s">
        <v>30</v>
      </c>
      <c r="E59" s="19" t="s">
        <v>31</v>
      </c>
      <c r="F59" s="11">
        <v>2</v>
      </c>
      <c r="G59" s="11">
        <v>100</v>
      </c>
      <c r="H59" s="17">
        <f t="shared" si="4"/>
        <v>0.70489394999999977</v>
      </c>
      <c r="I59" s="17">
        <v>0.85</v>
      </c>
      <c r="J59" s="17">
        <v>0.4</v>
      </c>
      <c r="K59" s="18">
        <f t="shared" si="5"/>
        <v>23.96639429999999</v>
      </c>
      <c r="L59" s="11"/>
      <c r="M59" s="11"/>
      <c r="N59" s="11"/>
      <c r="O59" s="11"/>
      <c r="P59" s="11"/>
      <c r="Q59" s="11">
        <v>3</v>
      </c>
      <c r="R59" s="12">
        <f t="shared" si="6"/>
        <v>143.79836579999994</v>
      </c>
      <c r="S59" s="13">
        <f t="shared" si="7"/>
        <v>5078.1913554383982</v>
      </c>
      <c r="T59" s="1"/>
      <c r="U59" s="1"/>
    </row>
    <row r="60" spans="1:24" x14ac:dyDescent="0.3">
      <c r="A60" s="1"/>
      <c r="B60" s="1"/>
      <c r="C60" s="16" t="s">
        <v>32</v>
      </c>
      <c r="D60" s="19" t="s">
        <v>33</v>
      </c>
      <c r="E60" s="19" t="s">
        <v>34</v>
      </c>
      <c r="F60" s="11">
        <v>2</v>
      </c>
      <c r="G60" s="11">
        <v>100</v>
      </c>
      <c r="H60" s="17">
        <f t="shared" si="4"/>
        <v>0.70489394999999977</v>
      </c>
      <c r="I60" s="17">
        <v>0.85</v>
      </c>
      <c r="J60" s="17">
        <v>0.4</v>
      </c>
      <c r="K60" s="18">
        <f t="shared" si="5"/>
        <v>23.96639429999999</v>
      </c>
      <c r="L60" s="11"/>
      <c r="M60" s="11"/>
      <c r="N60" s="11"/>
      <c r="O60" s="11"/>
      <c r="P60" s="11"/>
      <c r="Q60" s="11">
        <v>3</v>
      </c>
      <c r="R60" s="12">
        <f t="shared" si="6"/>
        <v>143.79836579999994</v>
      </c>
      <c r="S60" s="13">
        <f t="shared" si="7"/>
        <v>5078.1913554383982</v>
      </c>
      <c r="T60" s="1"/>
      <c r="U60" s="1"/>
    </row>
    <row r="61" spans="1:24" x14ac:dyDescent="0.3">
      <c r="A61" s="1"/>
      <c r="B61" s="1"/>
      <c r="C61" s="16" t="s">
        <v>35</v>
      </c>
      <c r="D61" s="19" t="s">
        <v>33</v>
      </c>
      <c r="E61" s="19" t="s">
        <v>36</v>
      </c>
      <c r="F61" s="11">
        <v>4</v>
      </c>
      <c r="G61" s="11">
        <v>176</v>
      </c>
      <c r="H61" s="17">
        <f t="shared" si="4"/>
        <v>0.70489394999999977</v>
      </c>
      <c r="I61" s="17">
        <v>0.85</v>
      </c>
      <c r="J61" s="17">
        <v>0.4</v>
      </c>
      <c r="K61" s="18">
        <f t="shared" si="5"/>
        <v>42.180853967999987</v>
      </c>
      <c r="L61" s="11"/>
      <c r="M61" s="11"/>
      <c r="N61" s="11"/>
      <c r="O61" s="11"/>
      <c r="P61" s="11"/>
      <c r="Q61" s="11">
        <v>3</v>
      </c>
      <c r="R61" s="12">
        <f t="shared" si="6"/>
        <v>506.17024761599987</v>
      </c>
      <c r="S61" s="13">
        <f t="shared" si="7"/>
        <v>17875.233571143166</v>
      </c>
      <c r="T61" s="1"/>
      <c r="U61" s="1"/>
    </row>
    <row r="62" spans="1:24" x14ac:dyDescent="0.3">
      <c r="A62" s="1"/>
      <c r="B62" s="1"/>
      <c r="C62" s="16" t="s">
        <v>37</v>
      </c>
      <c r="D62" s="19" t="s">
        <v>38</v>
      </c>
      <c r="E62" s="19" t="s">
        <v>39</v>
      </c>
      <c r="F62" s="11">
        <v>12</v>
      </c>
      <c r="G62" s="11">
        <v>440</v>
      </c>
      <c r="H62" s="17">
        <f t="shared" si="4"/>
        <v>0.70489394999999977</v>
      </c>
      <c r="I62" s="17">
        <v>0.85</v>
      </c>
      <c r="J62" s="17">
        <v>0.75</v>
      </c>
      <c r="K62" s="18">
        <f t="shared" si="5"/>
        <v>197.72275297499993</v>
      </c>
      <c r="L62" s="11"/>
      <c r="M62" s="11"/>
      <c r="N62" s="11"/>
      <c r="O62" s="11"/>
      <c r="P62" s="11"/>
      <c r="Q62" s="11">
        <v>3</v>
      </c>
      <c r="R62" s="12">
        <f t="shared" si="6"/>
        <v>7118.0191070999972</v>
      </c>
      <c r="S62" s="13">
        <f t="shared" si="7"/>
        <v>251370.4720942007</v>
      </c>
      <c r="T62" s="1"/>
      <c r="U62" s="1"/>
    </row>
    <row r="63" spans="1:24" x14ac:dyDescent="0.3">
      <c r="A63" s="1"/>
      <c r="B63" s="1"/>
      <c r="C63" s="16" t="s">
        <v>70</v>
      </c>
      <c r="D63" s="19" t="s">
        <v>71</v>
      </c>
      <c r="E63" s="19" t="s">
        <v>72</v>
      </c>
      <c r="F63" s="11">
        <v>2</v>
      </c>
      <c r="G63" s="11">
        <v>75</v>
      </c>
      <c r="H63" s="17">
        <f t="shared" si="4"/>
        <v>0.70489394999999977</v>
      </c>
      <c r="I63" s="17">
        <v>0.85</v>
      </c>
      <c r="J63" s="17">
        <v>0.4</v>
      </c>
      <c r="K63" s="18">
        <f>G63*H63*I63*J63</f>
        <v>17.974795724999993</v>
      </c>
      <c r="L63" s="11"/>
      <c r="M63" s="11"/>
      <c r="N63" s="11"/>
      <c r="O63" s="11"/>
      <c r="P63" s="11"/>
      <c r="Q63" s="11">
        <v>3</v>
      </c>
      <c r="R63" s="12">
        <f>F63*G63*H63*I63*J63*Q63</f>
        <v>107.84877434999996</v>
      </c>
      <c r="S63" s="13">
        <f>R63*2118.88/60</f>
        <v>3808.6435165787989</v>
      </c>
      <c r="T63" s="1"/>
      <c r="U63" s="1"/>
      <c r="X63">
        <v>4</v>
      </c>
    </row>
    <row r="64" spans="1:24" x14ac:dyDescent="0.3">
      <c r="A64" s="1"/>
      <c r="B64" s="1"/>
      <c r="C64" s="16" t="s">
        <v>77</v>
      </c>
      <c r="D64" s="46" t="s">
        <v>73</v>
      </c>
      <c r="E64" s="46" t="s">
        <v>74</v>
      </c>
      <c r="F64" s="11">
        <v>2</v>
      </c>
      <c r="G64" s="11">
        <v>100</v>
      </c>
      <c r="H64" s="17">
        <f t="shared" si="4"/>
        <v>0.70489394999999977</v>
      </c>
      <c r="I64" s="17">
        <v>0.85</v>
      </c>
      <c r="J64" s="17">
        <v>0.4</v>
      </c>
      <c r="K64" s="18">
        <f>G64*H64*I64*J64</f>
        <v>23.96639429999999</v>
      </c>
      <c r="L64" s="11"/>
      <c r="M64" s="11"/>
      <c r="N64" s="11"/>
      <c r="O64" s="11"/>
      <c r="P64" s="11"/>
      <c r="Q64" s="11">
        <v>3</v>
      </c>
      <c r="R64" s="12">
        <f>F64*G64*H64*I64*J64*Q64</f>
        <v>143.79836579999994</v>
      </c>
      <c r="S64" s="13">
        <f>R64*2118.88/60</f>
        <v>5078.1913554383982</v>
      </c>
      <c r="T64" s="1"/>
      <c r="U64" s="1"/>
    </row>
    <row r="65" spans="1:25" x14ac:dyDescent="0.3">
      <c r="A65" s="1"/>
      <c r="B65" s="1"/>
      <c r="C65" s="16" t="s">
        <v>40</v>
      </c>
      <c r="D65" s="19" t="s">
        <v>24</v>
      </c>
      <c r="E65" s="19" t="s">
        <v>75</v>
      </c>
      <c r="F65" s="11">
        <v>1</v>
      </c>
      <c r="G65" s="11">
        <v>96</v>
      </c>
      <c r="H65" s="17">
        <f t="shared" si="4"/>
        <v>0.70489394999999977</v>
      </c>
      <c r="I65" s="17">
        <v>0.85</v>
      </c>
      <c r="J65" s="17">
        <v>0.4</v>
      </c>
      <c r="K65" s="18">
        <f>G65*H65*I65*J65</f>
        <v>23.007738527999994</v>
      </c>
      <c r="L65" s="11"/>
      <c r="M65" s="11"/>
      <c r="N65" s="11"/>
      <c r="O65" s="11"/>
      <c r="P65" s="11"/>
      <c r="Q65" s="11">
        <v>3</v>
      </c>
      <c r="R65" s="12">
        <f>F65*G65*H65*I65*J65*Q65</f>
        <v>69.023215583999985</v>
      </c>
      <c r="S65" s="13">
        <f>R65*2118.88/60</f>
        <v>2437.5318506104313</v>
      </c>
      <c r="T65" s="1"/>
      <c r="U65" s="1"/>
    </row>
    <row r="66" spans="1:25" x14ac:dyDescent="0.3">
      <c r="A66" s="1"/>
      <c r="B66" s="1"/>
      <c r="C66" s="16" t="s">
        <v>41</v>
      </c>
      <c r="D66" s="19" t="s">
        <v>42</v>
      </c>
      <c r="E66" s="19" t="s">
        <v>43</v>
      </c>
      <c r="F66" s="11">
        <v>1</v>
      </c>
      <c r="G66" s="11">
        <v>138</v>
      </c>
      <c r="H66" s="17">
        <f t="shared" si="4"/>
        <v>0.70489394999999977</v>
      </c>
      <c r="I66" s="17">
        <v>0.85</v>
      </c>
      <c r="J66" s="17">
        <v>0.4</v>
      </c>
      <c r="K66" s="18">
        <f t="shared" ref="K66:K71" si="8">G66*H66*I66*J66</f>
        <v>33.073624133999992</v>
      </c>
      <c r="L66" s="11"/>
      <c r="M66" s="11"/>
      <c r="N66" s="11"/>
      <c r="O66" s="11"/>
      <c r="P66" s="11"/>
      <c r="Q66" s="11">
        <v>3</v>
      </c>
      <c r="R66" s="12">
        <f t="shared" ref="R66:R71" si="9">F66*G66*H66*I66*J66*Q66</f>
        <v>99.220872401999969</v>
      </c>
      <c r="S66" s="13">
        <f t="shared" si="7"/>
        <v>3503.9520352524951</v>
      </c>
      <c r="T66" s="1"/>
      <c r="U66" s="1"/>
    </row>
    <row r="67" spans="1:25" x14ac:dyDescent="0.3">
      <c r="A67" s="1"/>
      <c r="B67" s="1"/>
      <c r="C67" s="16" t="s">
        <v>44</v>
      </c>
      <c r="D67" s="19" t="s">
        <v>42</v>
      </c>
      <c r="E67" s="19" t="s">
        <v>45</v>
      </c>
      <c r="F67" s="11">
        <v>1</v>
      </c>
      <c r="G67" s="11">
        <v>138</v>
      </c>
      <c r="H67" s="17">
        <f t="shared" si="4"/>
        <v>0.70489394999999977</v>
      </c>
      <c r="I67" s="17">
        <v>0.85</v>
      </c>
      <c r="J67" s="17">
        <v>0.4</v>
      </c>
      <c r="K67" s="18">
        <f t="shared" si="8"/>
        <v>33.073624133999992</v>
      </c>
      <c r="L67" s="11"/>
      <c r="M67" s="11"/>
      <c r="N67" s="11"/>
      <c r="O67" s="11"/>
      <c r="P67" s="11"/>
      <c r="Q67" s="11">
        <v>3</v>
      </c>
      <c r="R67" s="12">
        <f t="shared" si="9"/>
        <v>99.220872401999969</v>
      </c>
      <c r="S67" s="13">
        <f t="shared" si="7"/>
        <v>3503.9520352524951</v>
      </c>
      <c r="T67" s="1"/>
      <c r="U67" s="1"/>
    </row>
    <row r="68" spans="1:25" x14ac:dyDescent="0.3">
      <c r="A68" s="1"/>
      <c r="B68" s="1"/>
      <c r="C68" s="16" t="s">
        <v>46</v>
      </c>
      <c r="D68" s="19" t="s">
        <v>42</v>
      </c>
      <c r="E68" s="19" t="s">
        <v>47</v>
      </c>
      <c r="F68" s="11">
        <v>1</v>
      </c>
      <c r="G68" s="11">
        <v>138</v>
      </c>
      <c r="H68" s="17">
        <f t="shared" si="4"/>
        <v>0.70489394999999977</v>
      </c>
      <c r="I68" s="17">
        <v>0.85</v>
      </c>
      <c r="J68" s="17">
        <v>0.4</v>
      </c>
      <c r="K68" s="18">
        <f t="shared" si="8"/>
        <v>33.073624133999992</v>
      </c>
      <c r="L68" s="11"/>
      <c r="M68" s="11"/>
      <c r="N68" s="11"/>
      <c r="O68" s="11"/>
      <c r="P68" s="11"/>
      <c r="Q68" s="11">
        <v>3</v>
      </c>
      <c r="R68" s="12">
        <f t="shared" si="9"/>
        <v>99.220872401999969</v>
      </c>
      <c r="S68" s="13">
        <f t="shared" si="7"/>
        <v>3503.9520352524951</v>
      </c>
      <c r="T68" s="1"/>
      <c r="U68" s="1"/>
    </row>
    <row r="69" spans="1:25" x14ac:dyDescent="0.3">
      <c r="A69" s="1"/>
      <c r="B69" s="1"/>
      <c r="C69" s="16" t="s">
        <v>48</v>
      </c>
      <c r="D69" s="19" t="s">
        <v>42</v>
      </c>
      <c r="E69" s="19" t="s">
        <v>49</v>
      </c>
      <c r="F69" s="11">
        <v>1</v>
      </c>
      <c r="G69" s="11">
        <v>138</v>
      </c>
      <c r="H69" s="17">
        <f t="shared" si="4"/>
        <v>0.70489394999999977</v>
      </c>
      <c r="I69" s="17">
        <v>0.85</v>
      </c>
      <c r="J69" s="17">
        <v>0.4</v>
      </c>
      <c r="K69" s="18">
        <f t="shared" si="8"/>
        <v>33.073624133999992</v>
      </c>
      <c r="L69" s="11"/>
      <c r="M69" s="11"/>
      <c r="N69" s="11"/>
      <c r="O69" s="11"/>
      <c r="P69" s="11"/>
      <c r="Q69" s="11">
        <v>3</v>
      </c>
      <c r="R69" s="12">
        <f t="shared" si="9"/>
        <v>99.220872401999969</v>
      </c>
      <c r="S69" s="13">
        <f t="shared" si="7"/>
        <v>3503.9520352524951</v>
      </c>
      <c r="T69" s="1"/>
      <c r="U69" s="1"/>
    </row>
    <row r="70" spans="1:25" x14ac:dyDescent="0.3">
      <c r="A70" s="1"/>
      <c r="B70" s="1"/>
      <c r="C70" s="16" t="s">
        <v>50</v>
      </c>
      <c r="D70" s="19" t="s">
        <v>42</v>
      </c>
      <c r="E70" s="19" t="s">
        <v>51</v>
      </c>
      <c r="F70" s="11">
        <v>1</v>
      </c>
      <c r="G70" s="11">
        <v>138</v>
      </c>
      <c r="H70" s="17">
        <f t="shared" si="4"/>
        <v>0.70489394999999977</v>
      </c>
      <c r="I70" s="17">
        <v>0.85</v>
      </c>
      <c r="J70" s="17">
        <v>0.4</v>
      </c>
      <c r="K70" s="18">
        <f t="shared" si="8"/>
        <v>33.073624133999992</v>
      </c>
      <c r="L70" s="11"/>
      <c r="M70" s="11"/>
      <c r="N70" s="11"/>
      <c r="O70" s="11"/>
      <c r="P70" s="11"/>
      <c r="Q70" s="11">
        <v>3</v>
      </c>
      <c r="R70" s="12">
        <f t="shared" si="9"/>
        <v>99.220872401999969</v>
      </c>
      <c r="S70" s="13">
        <f t="shared" si="7"/>
        <v>3503.9520352524951</v>
      </c>
      <c r="T70" s="1"/>
      <c r="U70" s="1"/>
      <c r="X70" s="54"/>
      <c r="Y70" s="55"/>
    </row>
    <row r="71" spans="1:25" x14ac:dyDescent="0.3">
      <c r="A71" s="1"/>
      <c r="B71" s="1"/>
      <c r="C71" s="16" t="s">
        <v>52</v>
      </c>
      <c r="D71" s="19" t="s">
        <v>53</v>
      </c>
      <c r="E71" s="19" t="s">
        <v>54</v>
      </c>
      <c r="F71" s="11">
        <v>10</v>
      </c>
      <c r="G71" s="11">
        <v>147</v>
      </c>
      <c r="H71" s="17">
        <f t="shared" si="4"/>
        <v>0.70489394999999977</v>
      </c>
      <c r="I71" s="17">
        <v>0.85</v>
      </c>
      <c r="J71" s="17">
        <v>0.4</v>
      </c>
      <c r="K71" s="18">
        <f t="shared" si="8"/>
        <v>35.230599620999989</v>
      </c>
      <c r="L71" s="11"/>
      <c r="M71" s="11"/>
      <c r="N71" s="11"/>
      <c r="O71" s="11"/>
      <c r="P71" s="11"/>
      <c r="Q71" s="11">
        <v>3</v>
      </c>
      <c r="R71" s="12">
        <f t="shared" si="9"/>
        <v>1056.9179886299996</v>
      </c>
      <c r="S71" s="13">
        <f t="shared" si="7"/>
        <v>37324.706462472226</v>
      </c>
      <c r="T71" s="1"/>
      <c r="U71" s="1"/>
    </row>
    <row r="72" spans="1:25" ht="16.5" customHeight="1" x14ac:dyDescent="0.3">
      <c r="A72" s="1"/>
      <c r="B72" s="1"/>
      <c r="C72" s="20"/>
      <c r="D72" s="21"/>
      <c r="E72" s="21"/>
      <c r="F72" s="22">
        <f>SUM(F55:F71)</f>
        <v>58</v>
      </c>
      <c r="G72" s="21"/>
      <c r="H72" s="70" t="s">
        <v>55</v>
      </c>
      <c r="I72" s="70"/>
      <c r="J72" s="70"/>
      <c r="K72" s="70"/>
      <c r="L72" s="70"/>
      <c r="M72" s="70"/>
      <c r="N72" s="70"/>
      <c r="O72" s="70"/>
      <c r="P72" s="70"/>
      <c r="Q72" s="70"/>
      <c r="R72" s="23">
        <f>SUM(R55:R71)</f>
        <v>13781.00626042162</v>
      </c>
      <c r="S72" s="24">
        <f>SUM(S55:S71)</f>
        <v>486671.642418036</v>
      </c>
      <c r="T72" s="1"/>
      <c r="U72" s="1"/>
    </row>
    <row r="73" spans="1:25" ht="5.0999999999999996" customHeight="1" x14ac:dyDescent="0.3">
      <c r="A73" s="1"/>
      <c r="B73" s="1"/>
      <c r="C73" s="4"/>
      <c r="D73" s="1"/>
      <c r="E73" s="1"/>
      <c r="F73" s="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2"/>
      <c r="S73" s="13"/>
      <c r="T73" s="1"/>
      <c r="U73" s="1"/>
    </row>
    <row r="74" spans="1:25" ht="16.5" customHeight="1" x14ac:dyDescent="0.3">
      <c r="A74" s="1"/>
      <c r="B74" s="1"/>
      <c r="C74" s="4"/>
      <c r="D74" s="1"/>
      <c r="E74" s="1"/>
      <c r="F74" s="1"/>
      <c r="G74" s="11"/>
      <c r="H74" s="11"/>
      <c r="I74" s="56" t="s">
        <v>56</v>
      </c>
      <c r="J74" s="56"/>
      <c r="K74" s="56"/>
      <c r="L74" s="56"/>
      <c r="M74" s="56"/>
      <c r="N74" s="56"/>
      <c r="O74" s="56"/>
      <c r="P74" s="56"/>
      <c r="Q74" s="56"/>
      <c r="R74" s="25">
        <f>SUM(R55:R71)+R51</f>
        <v>14831.00626042162</v>
      </c>
      <c r="S74" s="26">
        <f>SUM(S55:S71)+S51</f>
        <v>523752.04241803603</v>
      </c>
      <c r="T74" s="1"/>
      <c r="U74" s="1"/>
    </row>
    <row r="75" spans="1:25" ht="16.5" customHeight="1" thickBot="1" x14ac:dyDescent="0.35">
      <c r="A75" s="1"/>
      <c r="B75" s="1"/>
      <c r="C75" s="4"/>
      <c r="D75" s="1"/>
      <c r="E75" s="1"/>
      <c r="F75" s="1"/>
      <c r="G75" s="1"/>
      <c r="H75" s="1"/>
      <c r="I75" s="27">
        <v>0.15</v>
      </c>
      <c r="J75" s="28" t="s">
        <v>57</v>
      </c>
      <c r="K75" s="28"/>
      <c r="L75" s="28"/>
      <c r="M75" s="28"/>
      <c r="N75" s="28"/>
      <c r="O75" s="28"/>
      <c r="P75" s="28"/>
      <c r="Q75" s="28"/>
      <c r="R75" s="29">
        <f>R74*0.15</f>
        <v>2224.6509390632427</v>
      </c>
      <c r="S75" s="30">
        <f>S74*0.15</f>
        <v>78562.806362705407</v>
      </c>
      <c r="T75" s="1"/>
      <c r="U75" s="1"/>
    </row>
    <row r="76" spans="1:25" ht="20.100000000000001" customHeight="1" thickBot="1" x14ac:dyDescent="0.35">
      <c r="A76" s="1"/>
      <c r="B76" s="1"/>
      <c r="C76" s="31"/>
      <c r="D76" s="32"/>
      <c r="E76" s="32"/>
      <c r="F76" s="32"/>
      <c r="G76" s="32"/>
      <c r="H76" s="32"/>
      <c r="I76" s="57" t="s">
        <v>58</v>
      </c>
      <c r="J76" s="57"/>
      <c r="K76" s="57"/>
      <c r="L76" s="57"/>
      <c r="M76" s="57"/>
      <c r="N76" s="57"/>
      <c r="O76" s="57"/>
      <c r="P76" s="57"/>
      <c r="Q76" s="57"/>
      <c r="R76" s="33">
        <f>SUM(R74:R75)</f>
        <v>17055.657199484864</v>
      </c>
      <c r="S76" s="34">
        <f>SUM(S74:S75)</f>
        <v>602314.84878074145</v>
      </c>
      <c r="T76" s="1"/>
      <c r="U76" s="1"/>
    </row>
    <row r="77" spans="1:25" ht="20.100000000000001" customHeight="1" x14ac:dyDescent="0.3">
      <c r="A77" s="1"/>
      <c r="B77" s="1"/>
      <c r="C77" s="1"/>
      <c r="D77" s="1"/>
      <c r="E77" s="1"/>
      <c r="F77" s="1"/>
      <c r="G77" s="1"/>
      <c r="H77" s="1"/>
      <c r="I77" s="58" t="s">
        <v>59</v>
      </c>
      <c r="J77" s="58"/>
      <c r="K77" s="58"/>
      <c r="L77" s="58"/>
      <c r="M77" s="58"/>
      <c r="N77" s="58"/>
      <c r="O77" s="58"/>
      <c r="P77" s="58"/>
      <c r="Q77" s="58"/>
      <c r="R77" s="58"/>
      <c r="S77" s="50">
        <v>660000</v>
      </c>
      <c r="T77" s="1"/>
      <c r="U77" s="1"/>
    </row>
    <row r="78" spans="1:25" ht="20.100000000000001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36"/>
      <c r="L78" s="1"/>
      <c r="M78" s="36"/>
      <c r="N78" s="1"/>
      <c r="O78" s="36"/>
      <c r="P78" s="1"/>
      <c r="Q78" s="36"/>
      <c r="R78" s="1"/>
      <c r="S78" s="36"/>
      <c r="T78" s="1"/>
      <c r="U78" s="1"/>
    </row>
    <row r="79" spans="1:25" ht="15.6" x14ac:dyDescent="0.3">
      <c r="A79" s="5"/>
      <c r="B79" s="5"/>
      <c r="C79" s="59"/>
      <c r="D79" s="59"/>
      <c r="E79" s="59"/>
      <c r="F79" s="59"/>
      <c r="G79" s="59"/>
      <c r="H79" s="59"/>
      <c r="I79" s="59"/>
      <c r="J79" s="59"/>
      <c r="K79" s="5"/>
      <c r="L79" s="5"/>
      <c r="M79" s="5"/>
      <c r="N79" s="5"/>
      <c r="O79" s="5"/>
      <c r="P79" s="5"/>
      <c r="Q79" s="5"/>
      <c r="R79" s="5"/>
      <c r="S79" s="5"/>
    </row>
    <row r="80" spans="1:25" x14ac:dyDescent="0.3">
      <c r="A80" s="5"/>
      <c r="B80" s="5"/>
      <c r="C80" s="60"/>
      <c r="D80" s="60"/>
      <c r="E80" s="60"/>
      <c r="F80" s="60"/>
      <c r="G80" s="60"/>
      <c r="H80" s="60"/>
      <c r="I80" s="60"/>
      <c r="J80" s="60"/>
      <c r="K80" s="5"/>
      <c r="L80" s="5"/>
      <c r="M80" s="5"/>
      <c r="N80" s="5"/>
      <c r="O80" s="5"/>
      <c r="P80" s="5"/>
      <c r="Q80" s="5"/>
      <c r="R80" s="5"/>
      <c r="S80" s="5"/>
    </row>
    <row r="81" spans="1:22" ht="15" customHeight="1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1:22" ht="15" thickBot="1" x14ac:dyDescent="0.3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1:22" ht="23.25" customHeight="1" x14ac:dyDescent="0.3">
      <c r="A83" s="5"/>
      <c r="B83" s="5"/>
      <c r="C83" s="52" t="s">
        <v>61</v>
      </c>
      <c r="D83" s="61" t="s">
        <v>62</v>
      </c>
      <c r="E83" s="61"/>
      <c r="F83" s="61" t="s">
        <v>63</v>
      </c>
      <c r="G83" s="61"/>
      <c r="H83" s="52" t="s">
        <v>64</v>
      </c>
      <c r="I83" s="61" t="s">
        <v>65</v>
      </c>
      <c r="J83" s="61"/>
      <c r="K83" s="5"/>
      <c r="L83" s="5"/>
      <c r="M83" s="5"/>
      <c r="N83" s="5"/>
      <c r="O83" s="5"/>
      <c r="P83" s="5"/>
      <c r="Q83" s="5"/>
      <c r="R83" s="5"/>
      <c r="S83" s="5"/>
    </row>
    <row r="84" spans="1:22" ht="14.25" customHeight="1" thickBot="1" x14ac:dyDescent="0.35">
      <c r="A84" s="5"/>
      <c r="B84" s="5"/>
      <c r="C84" s="53"/>
      <c r="D84" s="53" t="s">
        <v>7</v>
      </c>
      <c r="E84" s="53" t="s">
        <v>8</v>
      </c>
      <c r="F84" s="53" t="s">
        <v>7</v>
      </c>
      <c r="G84" s="53" t="s">
        <v>8</v>
      </c>
      <c r="H84" s="53" t="s">
        <v>66</v>
      </c>
      <c r="I84" s="53" t="s">
        <v>7</v>
      </c>
      <c r="J84" s="53" t="s">
        <v>8</v>
      </c>
      <c r="K84" s="5"/>
      <c r="L84" s="5"/>
      <c r="M84" s="5"/>
      <c r="N84" s="5"/>
      <c r="O84" s="5"/>
      <c r="P84" s="5"/>
      <c r="Q84" s="5"/>
      <c r="R84" s="5"/>
      <c r="S84" s="5"/>
    </row>
    <row r="85" spans="1:22" s="43" customFormat="1" ht="20.100000000000001" customHeight="1" thickBot="1" x14ac:dyDescent="0.35">
      <c r="A85" s="39"/>
      <c r="B85" s="39"/>
      <c r="C85" s="40" t="s">
        <v>67</v>
      </c>
      <c r="D85" s="41">
        <f>R76</f>
        <v>17055.657199484864</v>
      </c>
      <c r="E85" s="41">
        <f>S76</f>
        <v>602314.84878074145</v>
      </c>
      <c r="F85" s="41">
        <f>G85/2118.88*60</f>
        <v>17866.797553424451</v>
      </c>
      <c r="G85" s="41">
        <f>S77*0.956</f>
        <v>630960</v>
      </c>
      <c r="H85" s="42">
        <f>+G85/E85</f>
        <v>1.0475584343923192</v>
      </c>
      <c r="I85" s="41">
        <f>J85/2118.88*60</f>
        <v>811.14035393958738</v>
      </c>
      <c r="J85" s="41">
        <f>-E85+G85</f>
        <v>28645.151219258551</v>
      </c>
      <c r="K85" s="39"/>
      <c r="L85" s="39"/>
      <c r="M85" s="39"/>
      <c r="N85" s="39"/>
      <c r="O85" s="39"/>
      <c r="P85" s="39"/>
      <c r="Q85" s="39"/>
      <c r="R85" s="39"/>
      <c r="S85" s="39"/>
      <c r="V85"/>
    </row>
    <row r="86" spans="1:22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</sheetData>
  <mergeCells count="30">
    <mergeCell ref="C4:S4"/>
    <mergeCell ref="K6:K7"/>
    <mergeCell ref="Q6:Q7"/>
    <mergeCell ref="R6:S6"/>
    <mergeCell ref="R43:S43"/>
    <mergeCell ref="C10:S10"/>
    <mergeCell ref="H26:Q26"/>
    <mergeCell ref="I28:Q28"/>
    <mergeCell ref="I30:Q30"/>
    <mergeCell ref="I31:R31"/>
    <mergeCell ref="C33:J33"/>
    <mergeCell ref="C34:J34"/>
    <mergeCell ref="D37:E37"/>
    <mergeCell ref="F37:G37"/>
    <mergeCell ref="I37:J37"/>
    <mergeCell ref="Q41:S41"/>
    <mergeCell ref="D83:E83"/>
    <mergeCell ref="F83:G83"/>
    <mergeCell ref="I83:J83"/>
    <mergeCell ref="C47:S47"/>
    <mergeCell ref="K49:K50"/>
    <mergeCell ref="Q49:Q50"/>
    <mergeCell ref="R49:S49"/>
    <mergeCell ref="C53:S53"/>
    <mergeCell ref="H72:Q72"/>
    <mergeCell ref="I74:Q74"/>
    <mergeCell ref="I76:Q76"/>
    <mergeCell ref="I77:R77"/>
    <mergeCell ref="C79:J79"/>
    <mergeCell ref="C80:J80"/>
  </mergeCells>
  <pageMargins left="0.7" right="0.7" top="0.75" bottom="0.75" header="0.3" footer="0.3"/>
  <pageSetup paperSize="9" scale="5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Balance de Ventilación (2024)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Saul Guillen</dc:creator>
  <cp:lastModifiedBy>Kellyn Cristobal</cp:lastModifiedBy>
  <dcterms:created xsi:type="dcterms:W3CDTF">2022-10-15T16:36:31Z</dcterms:created>
  <dcterms:modified xsi:type="dcterms:W3CDTF">2024-07-05T15:00:49Z</dcterms:modified>
</cp:coreProperties>
</file>