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llyn - Doc\Planificación minera - curso\Módulos\Módulo II\"/>
    </mc:Choice>
  </mc:AlternateContent>
  <xr:revisionPtr revIDLastSave="0" documentId="13_ncr:1_{B3F8B523-85CD-4B47-886B-F3E0E80D349C}" xr6:coauthVersionLast="47" xr6:coauthVersionMax="47" xr10:uidLastSave="{00000000-0000-0000-0000-000000000000}"/>
  <bookViews>
    <workbookView xWindow="-108" yWindow="-108" windowWidth="23256" windowHeight="12576" activeTab="3" xr2:uid="{24AD3BD9-7054-46EA-8BA6-A9A1C38C203D}"/>
  </bookViews>
  <sheets>
    <sheet name="E1" sheetId="2" r:id="rId1"/>
    <sheet name="E2" sheetId="4" r:id="rId2"/>
    <sheet name="E3" sheetId="5" r:id="rId3"/>
    <sheet name="OCF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" l="1"/>
  <c r="C52" i="1" s="1"/>
  <c r="C53" i="1" s="1"/>
  <c r="C48" i="1"/>
  <c r="C47" i="1"/>
  <c r="C46" i="1"/>
  <c r="C42" i="1"/>
  <c r="C43" i="1" s="1"/>
  <c r="C38" i="1"/>
  <c r="C37" i="1"/>
  <c r="C35" i="1"/>
  <c r="C19" i="1"/>
  <c r="C18" i="1"/>
  <c r="BY123" i="1"/>
  <c r="BX123" i="1" s="1"/>
  <c r="BZ123" i="1" s="1"/>
  <c r="BA89" i="1"/>
  <c r="BB89" i="1" s="1"/>
  <c r="BD89" i="1" s="1"/>
  <c r="C54" i="1" l="1"/>
  <c r="C50" i="1"/>
  <c r="C49" i="1"/>
  <c r="C31" i="1"/>
  <c r="C23" i="1"/>
  <c r="C20" i="1"/>
  <c r="BC89" i="1"/>
  <c r="C21" i="1" l="1"/>
  <c r="C24" i="1" s="1"/>
  <c r="C27" i="1" l="1"/>
  <c r="C32" i="1" s="1"/>
  <c r="C25" i="1"/>
  <c r="C28" i="1" s="1"/>
  <c r="C26" i="1" l="1"/>
  <c r="C29" i="1" l="1"/>
</calcChain>
</file>

<file path=xl/sharedStrings.xml><?xml version="1.0" encoding="utf-8"?>
<sst xmlns="http://schemas.openxmlformats.org/spreadsheetml/2006/main" count="207" uniqueCount="96">
  <si>
    <t xml:space="preserve">Dilución </t>
  </si>
  <si>
    <t xml:space="preserve">Modelo de recursos </t>
  </si>
  <si>
    <t xml:space="preserve">Potencia </t>
  </si>
  <si>
    <t>Gs.</t>
  </si>
  <si>
    <t>mts.</t>
  </si>
  <si>
    <t>Profundidad</t>
  </si>
  <si>
    <t>Potencia.</t>
  </si>
  <si>
    <t>Buzamiento.</t>
  </si>
  <si>
    <t>Encampane.</t>
  </si>
  <si>
    <t>Longitud.</t>
  </si>
  <si>
    <t>Cota de la Boca Mina.</t>
  </si>
  <si>
    <t>Cota de la base del modelo.</t>
  </si>
  <si>
    <t>OZ Ag</t>
  </si>
  <si>
    <t xml:space="preserve">Dilución. </t>
  </si>
  <si>
    <t>TM</t>
  </si>
  <si>
    <t>Toneladas de mineral.</t>
  </si>
  <si>
    <t>VM</t>
  </si>
  <si>
    <t>Volumen de mineral.</t>
  </si>
  <si>
    <t>TD</t>
  </si>
  <si>
    <t>Toneladas de desmonte.</t>
  </si>
  <si>
    <t>VD</t>
  </si>
  <si>
    <t>Volumen diluido</t>
  </si>
  <si>
    <t>Toneladas diluidas</t>
  </si>
  <si>
    <t>Td</t>
  </si>
  <si>
    <t>Vd</t>
  </si>
  <si>
    <t>Volumen de desmonte.</t>
  </si>
  <si>
    <t xml:space="preserve">toneladas de mineral </t>
  </si>
  <si>
    <t>Tm</t>
  </si>
  <si>
    <t>Vm</t>
  </si>
  <si>
    <t>Dm</t>
  </si>
  <si>
    <t>Dd</t>
  </si>
  <si>
    <t>DD</t>
  </si>
  <si>
    <t xml:space="preserve">Densidad de mineral </t>
  </si>
  <si>
    <t xml:space="preserve">Densidad de desmonte </t>
  </si>
  <si>
    <t>Densidad diluida</t>
  </si>
  <si>
    <t>Lm</t>
  </si>
  <si>
    <t>Ld</t>
  </si>
  <si>
    <t>LD</t>
  </si>
  <si>
    <t>Ley de mineral</t>
  </si>
  <si>
    <t xml:space="preserve">Ley de desmonte </t>
  </si>
  <si>
    <t>Ley diluida</t>
  </si>
  <si>
    <t>Símbolo</t>
  </si>
  <si>
    <t xml:space="preserve">Concepto </t>
  </si>
  <si>
    <t>Cant</t>
  </si>
  <si>
    <t>Und</t>
  </si>
  <si>
    <t>oz/ton Ag.</t>
  </si>
  <si>
    <t>gg/cc</t>
  </si>
  <si>
    <t>m3</t>
  </si>
  <si>
    <t>D1</t>
  </si>
  <si>
    <t>D2</t>
  </si>
  <si>
    <t>D3</t>
  </si>
  <si>
    <t>D4</t>
  </si>
  <si>
    <t xml:space="preserve">Densidad de mineral  insitu </t>
  </si>
  <si>
    <t xml:space="preserve">Una mina usa el OCF cómo método de minado con perforaciones en breasting, la veta de sulfosales de plata está emplazada en calizas cuyo buzamiento es de 53° con una potencia de 1.5 m., las secciones son de 3 x 3 m. y la longitud de disparo es de 2.5 m. La sobrerotura es del 20%. El muestreo de canchas arroja una ley promedio de 10 oz/ton. </t>
  </si>
  <si>
    <t>Seno</t>
  </si>
  <si>
    <t>Densidad del mineral</t>
  </si>
  <si>
    <t>Densidad de la roca encajonante</t>
  </si>
  <si>
    <t xml:space="preserve">Sección óptima </t>
  </si>
  <si>
    <t>Sección Ancho</t>
  </si>
  <si>
    <t>Sección Alto</t>
  </si>
  <si>
    <t>Potencia corregida</t>
  </si>
  <si>
    <t>a</t>
  </si>
  <si>
    <t>b</t>
  </si>
  <si>
    <t>c</t>
  </si>
  <si>
    <t>Volumen de desmonte</t>
  </si>
  <si>
    <t>Volumen total</t>
  </si>
  <si>
    <t>Toneladas totales</t>
  </si>
  <si>
    <t xml:space="preserve">Toneladas de mineral </t>
  </si>
  <si>
    <t>Toneladas de desmonte</t>
  </si>
  <si>
    <t>ton</t>
  </si>
  <si>
    <t>(1.2 - 2.2)</t>
  </si>
  <si>
    <t>Volumen mineral recuperado</t>
  </si>
  <si>
    <t xml:space="preserve">Ley promedio </t>
  </si>
  <si>
    <t xml:space="preserve">Volumen Mineral Total </t>
  </si>
  <si>
    <t>Recuperación</t>
  </si>
  <si>
    <t xml:space="preserve"># de cortes </t>
  </si>
  <si>
    <t>Niveles</t>
  </si>
  <si>
    <t># cortes por niveles</t>
  </si>
  <si>
    <t xml:space="preserve">Altura de Niveles </t>
  </si>
  <si>
    <t>metros</t>
  </si>
  <si>
    <t>u</t>
  </si>
  <si>
    <t>cortes</t>
  </si>
  <si>
    <t>Puentes</t>
  </si>
  <si>
    <t>Longitud de Rampa</t>
  </si>
  <si>
    <t>Gradiente</t>
  </si>
  <si>
    <t>Ang1</t>
  </si>
  <si>
    <t>Ang2</t>
  </si>
  <si>
    <t>Ang3</t>
  </si>
  <si>
    <t>Total</t>
  </si>
  <si>
    <t xml:space="preserve">Altura de corte </t>
  </si>
  <si>
    <t># de cortes por grupos</t>
  </si>
  <si>
    <t xml:space="preserve">Longitud de corte </t>
  </si>
  <si>
    <t>HC</t>
  </si>
  <si>
    <t>LC</t>
  </si>
  <si>
    <t xml:space="preserve">Longitud de acceso </t>
  </si>
  <si>
    <t xml:space="preserve">último acceso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</si>
</sst>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lgerian"/>
      <family val="5"/>
    </font>
    <font>
      <b/>
      <sz val="11"/>
      <color theme="1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0" fontId="3" fillId="0" borderId="0" xfId="0" applyFont="1"/>
    <xf numFmtId="0" fontId="2" fillId="0" borderId="0" xfId="0" applyFont="1"/>
    <xf numFmtId="0" fontId="2" fillId="0" borderId="1" xfId="0" applyFont="1" applyBorder="1"/>
    <xf numFmtId="9" fontId="0" fillId="0" borderId="0" xfId="0" applyNumberFormat="1"/>
    <xf numFmtId="0" fontId="4" fillId="0" borderId="0" xfId="0" applyFont="1" applyBorder="1" applyAlignment="1">
      <alignment horizontal="left" wrapText="1"/>
    </xf>
    <xf numFmtId="2" fontId="0" fillId="0" borderId="0" xfId="0" applyNumberFormat="1"/>
    <xf numFmtId="168" fontId="0" fillId="0" borderId="0" xfId="0" applyNumberFormat="1"/>
    <xf numFmtId="9" fontId="0" fillId="0" borderId="0" xfId="1" applyFont="1"/>
    <xf numFmtId="169" fontId="2" fillId="0" borderId="0" xfId="1" applyNumberFormat="1" applyFont="1"/>
    <xf numFmtId="2" fontId="2" fillId="0" borderId="0" xfId="0" applyNumberFormat="1" applyFont="1"/>
    <xf numFmtId="9" fontId="2" fillId="0" borderId="0" xfId="1" applyFont="1"/>
    <xf numFmtId="1" fontId="0" fillId="0" borderId="0" xfId="0" applyNumberFormat="1"/>
    <xf numFmtId="0" fontId="0" fillId="2" borderId="0" xfId="0" applyFill="1"/>
    <xf numFmtId="168" fontId="0" fillId="2" borderId="0" xfId="0" applyNumberFormat="1" applyFill="1"/>
    <xf numFmtId="3" fontId="0" fillId="2" borderId="0" xfId="0" applyNumberForma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694594</xdr:colOff>
      <xdr:row>1</xdr:row>
      <xdr:rowOff>106362</xdr:rowOff>
    </xdr:from>
    <xdr:ext cx="2147666" cy="3545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E47A231E-7252-52EC-613F-AD171B92E2AF}"/>
                </a:ext>
              </a:extLst>
            </xdr:cNvPr>
            <xdr:cNvSpPr txBox="1"/>
          </xdr:nvSpPr>
          <xdr:spPr>
            <a:xfrm>
              <a:off x="9236614" y="289242"/>
              <a:ext cx="2147666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1)</a:t>
              </a:r>
              <a:r>
                <a:rPr lang="es-PE" sz="1600" baseline="0"/>
                <a:t> </a:t>
              </a:r>
              <a:r>
                <a:rPr lang="es-PE" sz="1600"/>
                <a:t>D1</a:t>
              </a:r>
              <a:r>
                <a:rPr lang="es-PE" sz="1600" baseline="0"/>
                <a:t> </a:t>
              </a:r>
              <a14:m>
                <m:oMath xmlns:m="http://schemas.openxmlformats.org/officeDocument/2006/math">
                  <m:r>
                    <a:rPr lang="es-PE" sz="16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PE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𝑇𝑑</m:t>
                      </m:r>
                    </m:num>
                    <m:den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𝑇𝑚</m:t>
                      </m:r>
                    </m:den>
                  </m:f>
                </m:oMath>
              </a14:m>
              <a:endParaRPr lang="es-PE" sz="16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E47A231E-7252-52EC-613F-AD171B92E2AF}"/>
                </a:ext>
              </a:extLst>
            </xdr:cNvPr>
            <xdr:cNvSpPr txBox="1"/>
          </xdr:nvSpPr>
          <xdr:spPr>
            <a:xfrm>
              <a:off x="9236614" y="289242"/>
              <a:ext cx="2147666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1)</a:t>
              </a:r>
              <a:r>
                <a:rPr lang="es-PE" sz="1600" baseline="0"/>
                <a:t> </a:t>
              </a:r>
              <a:r>
                <a:rPr lang="es-PE" sz="1600"/>
                <a:t>D1</a:t>
              </a:r>
              <a:r>
                <a:rPr lang="es-PE" sz="1600" baseline="0"/>
                <a:t> </a:t>
              </a:r>
              <a:r>
                <a:rPr lang="es-PE" sz="1600" i="0">
                  <a:latin typeface="Cambria Math" panose="02040503050406030204" pitchFamily="18" charset="0"/>
                </a:rPr>
                <a:t>=</a:t>
              </a:r>
              <a:r>
                <a:rPr lang="es-ES" sz="1600" b="0" i="0">
                  <a:latin typeface="Cambria Math" panose="02040503050406030204" pitchFamily="18" charset="0"/>
                </a:rPr>
                <a:t>𝑇𝑑</a:t>
              </a:r>
              <a:r>
                <a:rPr lang="es-PE" sz="1600" b="0" i="0">
                  <a:latin typeface="Cambria Math" panose="02040503050406030204" pitchFamily="18" charset="0"/>
                </a:rPr>
                <a:t>/</a:t>
              </a:r>
              <a:r>
                <a:rPr lang="es-ES" sz="1600" b="0" i="0">
                  <a:latin typeface="Cambria Math" panose="02040503050406030204" pitchFamily="18" charset="0"/>
                </a:rPr>
                <a:t>𝑇𝑚</a:t>
              </a:r>
              <a:endParaRPr lang="es-PE" sz="1600"/>
            </a:p>
          </xdr:txBody>
        </xdr:sp>
      </mc:Fallback>
    </mc:AlternateContent>
    <xdr:clientData/>
  </xdr:oneCellAnchor>
  <xdr:oneCellAnchor>
    <xdr:from>
      <xdr:col>10</xdr:col>
      <xdr:colOff>708660</xdr:colOff>
      <xdr:row>4</xdr:row>
      <xdr:rowOff>0</xdr:rowOff>
    </xdr:from>
    <xdr:ext cx="1409700" cy="3545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13D90586-0466-40B7-83BF-1CE53BD0F740}"/>
                </a:ext>
              </a:extLst>
            </xdr:cNvPr>
            <xdr:cNvSpPr txBox="1"/>
          </xdr:nvSpPr>
          <xdr:spPr>
            <a:xfrm>
              <a:off x="9250680" y="982980"/>
              <a:ext cx="1409700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2) D2</a:t>
              </a:r>
              <a:r>
                <a:rPr lang="es-PE" sz="1600" baseline="0"/>
                <a:t> </a:t>
              </a:r>
              <a14:m>
                <m:oMath xmlns:m="http://schemas.openxmlformats.org/officeDocument/2006/math">
                  <m:r>
                    <a:rPr lang="es-PE" sz="16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PE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𝑇𝑑</m:t>
                      </m:r>
                    </m:num>
                    <m:den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𝑇𝑑</m:t>
                      </m:r>
                      <m:r>
                        <a:rPr lang="es-ES" sz="1600" b="0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𝑇𝑚</m:t>
                      </m:r>
                    </m:den>
                  </m:f>
                </m:oMath>
              </a14:m>
              <a:endParaRPr lang="es-PE" sz="16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13D90586-0466-40B7-83BF-1CE53BD0F740}"/>
                </a:ext>
              </a:extLst>
            </xdr:cNvPr>
            <xdr:cNvSpPr txBox="1"/>
          </xdr:nvSpPr>
          <xdr:spPr>
            <a:xfrm>
              <a:off x="9250680" y="982980"/>
              <a:ext cx="1409700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2) D2</a:t>
              </a:r>
              <a:r>
                <a:rPr lang="es-PE" sz="1600" baseline="0"/>
                <a:t> </a:t>
              </a:r>
              <a:r>
                <a:rPr lang="es-PE" sz="1600" i="0">
                  <a:latin typeface="Cambria Math" panose="02040503050406030204" pitchFamily="18" charset="0"/>
                </a:rPr>
                <a:t>=</a:t>
              </a:r>
              <a:r>
                <a:rPr lang="es-ES" sz="1600" b="0" i="0">
                  <a:latin typeface="Cambria Math" panose="02040503050406030204" pitchFamily="18" charset="0"/>
                </a:rPr>
                <a:t>𝑇𝑑</a:t>
              </a:r>
              <a:r>
                <a:rPr lang="es-PE" sz="1600" b="0" i="0">
                  <a:latin typeface="Cambria Math" panose="02040503050406030204" pitchFamily="18" charset="0"/>
                </a:rPr>
                <a:t>/(</a:t>
              </a:r>
              <a:r>
                <a:rPr lang="es-ES" sz="1600" b="0" i="0">
                  <a:latin typeface="Cambria Math" panose="02040503050406030204" pitchFamily="18" charset="0"/>
                </a:rPr>
                <a:t>𝑇𝑑+𝑇𝑚</a:t>
              </a:r>
              <a:r>
                <a:rPr lang="es-PE" sz="1600" b="0" i="0">
                  <a:latin typeface="Cambria Math" panose="02040503050406030204" pitchFamily="18" charset="0"/>
                </a:rPr>
                <a:t>)</a:t>
              </a:r>
              <a:endParaRPr lang="es-PE" sz="1600"/>
            </a:p>
          </xdr:txBody>
        </xdr:sp>
      </mc:Fallback>
    </mc:AlternateContent>
    <xdr:clientData/>
  </xdr:oneCellAnchor>
  <xdr:oneCellAnchor>
    <xdr:from>
      <xdr:col>13</xdr:col>
      <xdr:colOff>365760</xdr:colOff>
      <xdr:row>1</xdr:row>
      <xdr:rowOff>45720</xdr:rowOff>
    </xdr:from>
    <xdr:ext cx="2147666" cy="3545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A45F3300-0271-421C-A241-9EF676F80C26}"/>
                </a:ext>
              </a:extLst>
            </xdr:cNvPr>
            <xdr:cNvSpPr txBox="1"/>
          </xdr:nvSpPr>
          <xdr:spPr>
            <a:xfrm>
              <a:off x="11285220" y="228600"/>
              <a:ext cx="2147666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a)</a:t>
              </a:r>
              <a:r>
                <a:rPr lang="es-PE" sz="1600" baseline="0"/>
                <a:t> </a:t>
              </a:r>
              <a:r>
                <a:rPr lang="es-PE" sz="1600"/>
                <a:t>D3</a:t>
              </a:r>
              <a:r>
                <a:rPr lang="es-PE" sz="1600" baseline="0"/>
                <a:t> </a:t>
              </a:r>
              <a14:m>
                <m:oMath xmlns:m="http://schemas.openxmlformats.org/officeDocument/2006/math">
                  <m:r>
                    <a:rPr lang="es-PE" sz="16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PE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𝑉𝑑</m:t>
                      </m:r>
                    </m:num>
                    <m:den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𝑉𝑚</m:t>
                      </m:r>
                    </m:den>
                  </m:f>
                </m:oMath>
              </a14:m>
              <a:endParaRPr lang="es-PE" sz="1600"/>
            </a:p>
          </xdr:txBody>
        </xdr:sp>
      </mc:Choice>
      <mc:Fallback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A45F3300-0271-421C-A241-9EF676F80C26}"/>
                </a:ext>
              </a:extLst>
            </xdr:cNvPr>
            <xdr:cNvSpPr txBox="1"/>
          </xdr:nvSpPr>
          <xdr:spPr>
            <a:xfrm>
              <a:off x="11285220" y="228600"/>
              <a:ext cx="2147666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a)</a:t>
              </a:r>
              <a:r>
                <a:rPr lang="es-PE" sz="1600" baseline="0"/>
                <a:t> </a:t>
              </a:r>
              <a:r>
                <a:rPr lang="es-PE" sz="1600"/>
                <a:t>D3</a:t>
              </a:r>
              <a:r>
                <a:rPr lang="es-PE" sz="1600" baseline="0"/>
                <a:t> </a:t>
              </a:r>
              <a:r>
                <a:rPr lang="es-PE" sz="1600" i="0">
                  <a:latin typeface="Cambria Math" panose="02040503050406030204" pitchFamily="18" charset="0"/>
                </a:rPr>
                <a:t>=</a:t>
              </a:r>
              <a:r>
                <a:rPr lang="es-ES" sz="1600" b="0" i="0">
                  <a:latin typeface="Cambria Math" panose="02040503050406030204" pitchFamily="18" charset="0"/>
                </a:rPr>
                <a:t>𝑉𝑑</a:t>
              </a:r>
              <a:r>
                <a:rPr lang="es-PE" sz="1600" b="0" i="0">
                  <a:latin typeface="Cambria Math" panose="02040503050406030204" pitchFamily="18" charset="0"/>
                </a:rPr>
                <a:t>/</a:t>
              </a:r>
              <a:r>
                <a:rPr lang="es-ES" sz="1600" b="0" i="0">
                  <a:latin typeface="Cambria Math" panose="02040503050406030204" pitchFamily="18" charset="0"/>
                </a:rPr>
                <a:t>𝑉𝑚</a:t>
              </a:r>
              <a:endParaRPr lang="es-PE" sz="1600"/>
            </a:p>
          </xdr:txBody>
        </xdr:sp>
      </mc:Fallback>
    </mc:AlternateContent>
    <xdr:clientData/>
  </xdr:oneCellAnchor>
  <xdr:oneCellAnchor>
    <xdr:from>
      <xdr:col>13</xdr:col>
      <xdr:colOff>365760</xdr:colOff>
      <xdr:row>4</xdr:row>
      <xdr:rowOff>30480</xdr:rowOff>
    </xdr:from>
    <xdr:ext cx="1409700" cy="3545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D1CD417E-F212-45F9-B1D8-99EA39BEC451}"/>
                </a:ext>
              </a:extLst>
            </xdr:cNvPr>
            <xdr:cNvSpPr txBox="1"/>
          </xdr:nvSpPr>
          <xdr:spPr>
            <a:xfrm>
              <a:off x="11285220" y="769620"/>
              <a:ext cx="1409700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b) D4</a:t>
              </a:r>
              <a:r>
                <a:rPr lang="es-PE" sz="1600" baseline="0"/>
                <a:t> </a:t>
              </a:r>
              <a14:m>
                <m:oMath xmlns:m="http://schemas.openxmlformats.org/officeDocument/2006/math">
                  <m:r>
                    <a:rPr lang="es-PE" sz="16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PE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𝑉𝑑</m:t>
                      </m:r>
                    </m:num>
                    <m:den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𝑉𝑑</m:t>
                      </m:r>
                      <m:r>
                        <a:rPr lang="es-ES" sz="1600" b="0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𝑉𝑚</m:t>
                      </m:r>
                    </m:den>
                  </m:f>
                </m:oMath>
              </a14:m>
              <a:endParaRPr lang="es-PE" sz="1600"/>
            </a:p>
          </xdr:txBody>
        </xdr:sp>
      </mc:Choice>
      <mc:Fallback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D1CD417E-F212-45F9-B1D8-99EA39BEC451}"/>
                </a:ext>
              </a:extLst>
            </xdr:cNvPr>
            <xdr:cNvSpPr txBox="1"/>
          </xdr:nvSpPr>
          <xdr:spPr>
            <a:xfrm>
              <a:off x="11285220" y="769620"/>
              <a:ext cx="1409700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b) D4</a:t>
              </a:r>
              <a:r>
                <a:rPr lang="es-PE" sz="1600" baseline="0"/>
                <a:t> </a:t>
              </a:r>
              <a:r>
                <a:rPr lang="es-PE" sz="1600" i="0">
                  <a:latin typeface="Cambria Math" panose="02040503050406030204" pitchFamily="18" charset="0"/>
                </a:rPr>
                <a:t>=</a:t>
              </a:r>
              <a:r>
                <a:rPr lang="es-ES" sz="1600" b="0" i="0">
                  <a:latin typeface="Cambria Math" panose="02040503050406030204" pitchFamily="18" charset="0"/>
                </a:rPr>
                <a:t>𝑉𝑑</a:t>
              </a:r>
              <a:r>
                <a:rPr lang="es-PE" sz="1600" b="0" i="0">
                  <a:latin typeface="Cambria Math" panose="02040503050406030204" pitchFamily="18" charset="0"/>
                </a:rPr>
                <a:t>/(</a:t>
              </a:r>
              <a:r>
                <a:rPr lang="es-ES" sz="1600" b="0" i="0">
                  <a:latin typeface="Cambria Math" panose="02040503050406030204" pitchFamily="18" charset="0"/>
                </a:rPr>
                <a:t>𝑉𝑑+𝑉𝑚</a:t>
              </a:r>
              <a:r>
                <a:rPr lang="es-PE" sz="1600" b="0" i="0">
                  <a:latin typeface="Cambria Math" panose="02040503050406030204" pitchFamily="18" charset="0"/>
                </a:rPr>
                <a:t>)</a:t>
              </a:r>
              <a:endParaRPr lang="es-PE" sz="16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694594</xdr:colOff>
      <xdr:row>1</xdr:row>
      <xdr:rowOff>106362</xdr:rowOff>
    </xdr:from>
    <xdr:ext cx="2147666" cy="3545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7B440D74-B7C3-4D4C-80D1-909761532944}"/>
                </a:ext>
              </a:extLst>
            </xdr:cNvPr>
            <xdr:cNvSpPr txBox="1"/>
          </xdr:nvSpPr>
          <xdr:spPr>
            <a:xfrm>
              <a:off x="9236614" y="289242"/>
              <a:ext cx="2147666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1)</a:t>
              </a:r>
              <a:r>
                <a:rPr lang="es-PE" sz="1600" baseline="0"/>
                <a:t> </a:t>
              </a:r>
              <a:r>
                <a:rPr lang="es-PE" sz="1600"/>
                <a:t>D1</a:t>
              </a:r>
              <a:r>
                <a:rPr lang="es-PE" sz="1600" baseline="0"/>
                <a:t> </a:t>
              </a:r>
              <a14:m>
                <m:oMath xmlns:m="http://schemas.openxmlformats.org/officeDocument/2006/math">
                  <m:r>
                    <a:rPr lang="es-PE" sz="16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PE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𝑇𝑑</m:t>
                      </m:r>
                    </m:num>
                    <m:den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𝑇𝑚</m:t>
                      </m:r>
                    </m:den>
                  </m:f>
                </m:oMath>
              </a14:m>
              <a:endParaRPr lang="es-PE" sz="16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7B440D74-B7C3-4D4C-80D1-909761532944}"/>
                </a:ext>
              </a:extLst>
            </xdr:cNvPr>
            <xdr:cNvSpPr txBox="1"/>
          </xdr:nvSpPr>
          <xdr:spPr>
            <a:xfrm>
              <a:off x="9236614" y="289242"/>
              <a:ext cx="2147666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1)</a:t>
              </a:r>
              <a:r>
                <a:rPr lang="es-PE" sz="1600" baseline="0"/>
                <a:t> </a:t>
              </a:r>
              <a:r>
                <a:rPr lang="es-PE" sz="1600"/>
                <a:t>D1</a:t>
              </a:r>
              <a:r>
                <a:rPr lang="es-PE" sz="1600" baseline="0"/>
                <a:t> </a:t>
              </a:r>
              <a:r>
                <a:rPr lang="es-PE" sz="1600" i="0">
                  <a:latin typeface="Cambria Math" panose="02040503050406030204" pitchFamily="18" charset="0"/>
                </a:rPr>
                <a:t>=</a:t>
              </a:r>
              <a:r>
                <a:rPr lang="es-ES" sz="1600" b="0" i="0">
                  <a:latin typeface="Cambria Math" panose="02040503050406030204" pitchFamily="18" charset="0"/>
                </a:rPr>
                <a:t>𝑇𝑑</a:t>
              </a:r>
              <a:r>
                <a:rPr lang="es-PE" sz="1600" b="0" i="0">
                  <a:latin typeface="Cambria Math" panose="02040503050406030204" pitchFamily="18" charset="0"/>
                </a:rPr>
                <a:t>/</a:t>
              </a:r>
              <a:r>
                <a:rPr lang="es-ES" sz="1600" b="0" i="0">
                  <a:latin typeface="Cambria Math" panose="02040503050406030204" pitchFamily="18" charset="0"/>
                </a:rPr>
                <a:t>𝑇𝑚</a:t>
              </a:r>
              <a:endParaRPr lang="es-PE" sz="1600"/>
            </a:p>
          </xdr:txBody>
        </xdr:sp>
      </mc:Fallback>
    </mc:AlternateContent>
    <xdr:clientData/>
  </xdr:oneCellAnchor>
  <xdr:oneCellAnchor>
    <xdr:from>
      <xdr:col>10</xdr:col>
      <xdr:colOff>708660</xdr:colOff>
      <xdr:row>4</xdr:row>
      <xdr:rowOff>0</xdr:rowOff>
    </xdr:from>
    <xdr:ext cx="1409700" cy="3545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321B6E98-D2C5-41D1-9778-56504F387F1F}"/>
                </a:ext>
              </a:extLst>
            </xdr:cNvPr>
            <xdr:cNvSpPr txBox="1"/>
          </xdr:nvSpPr>
          <xdr:spPr>
            <a:xfrm>
              <a:off x="9250680" y="739140"/>
              <a:ext cx="1409700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2) D2</a:t>
              </a:r>
              <a:r>
                <a:rPr lang="es-PE" sz="1600" baseline="0"/>
                <a:t> </a:t>
              </a:r>
              <a14:m>
                <m:oMath xmlns:m="http://schemas.openxmlformats.org/officeDocument/2006/math">
                  <m:r>
                    <a:rPr lang="es-PE" sz="16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PE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𝑇𝑑</m:t>
                      </m:r>
                    </m:num>
                    <m:den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𝑇𝑑</m:t>
                      </m:r>
                      <m:r>
                        <a:rPr lang="es-ES" sz="1600" b="0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𝑇𝑚</m:t>
                      </m:r>
                    </m:den>
                  </m:f>
                </m:oMath>
              </a14:m>
              <a:endParaRPr lang="es-PE" sz="16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321B6E98-D2C5-41D1-9778-56504F387F1F}"/>
                </a:ext>
              </a:extLst>
            </xdr:cNvPr>
            <xdr:cNvSpPr txBox="1"/>
          </xdr:nvSpPr>
          <xdr:spPr>
            <a:xfrm>
              <a:off x="9250680" y="739140"/>
              <a:ext cx="1409700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2) D2</a:t>
              </a:r>
              <a:r>
                <a:rPr lang="es-PE" sz="1600" baseline="0"/>
                <a:t> </a:t>
              </a:r>
              <a:r>
                <a:rPr lang="es-PE" sz="1600" i="0">
                  <a:latin typeface="Cambria Math" panose="02040503050406030204" pitchFamily="18" charset="0"/>
                </a:rPr>
                <a:t>=</a:t>
              </a:r>
              <a:r>
                <a:rPr lang="es-ES" sz="1600" b="0" i="0">
                  <a:latin typeface="Cambria Math" panose="02040503050406030204" pitchFamily="18" charset="0"/>
                </a:rPr>
                <a:t>𝑇𝑑</a:t>
              </a:r>
              <a:r>
                <a:rPr lang="es-PE" sz="1600" b="0" i="0">
                  <a:latin typeface="Cambria Math" panose="02040503050406030204" pitchFamily="18" charset="0"/>
                </a:rPr>
                <a:t>/(</a:t>
              </a:r>
              <a:r>
                <a:rPr lang="es-ES" sz="1600" b="0" i="0">
                  <a:latin typeface="Cambria Math" panose="02040503050406030204" pitchFamily="18" charset="0"/>
                </a:rPr>
                <a:t>𝑇𝑑+𝑇𝑚</a:t>
              </a:r>
              <a:r>
                <a:rPr lang="es-PE" sz="1600" b="0" i="0">
                  <a:latin typeface="Cambria Math" panose="02040503050406030204" pitchFamily="18" charset="0"/>
                </a:rPr>
                <a:t>)</a:t>
              </a:r>
              <a:endParaRPr lang="es-PE" sz="1600"/>
            </a:p>
          </xdr:txBody>
        </xdr:sp>
      </mc:Fallback>
    </mc:AlternateContent>
    <xdr:clientData/>
  </xdr:oneCellAnchor>
  <xdr:oneCellAnchor>
    <xdr:from>
      <xdr:col>13</xdr:col>
      <xdr:colOff>662940</xdr:colOff>
      <xdr:row>1</xdr:row>
      <xdr:rowOff>106680</xdr:rowOff>
    </xdr:from>
    <xdr:ext cx="2147666" cy="3545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E2AF6096-FBF4-4F4B-B059-9C0DCA65E85C}"/>
                </a:ext>
              </a:extLst>
            </xdr:cNvPr>
            <xdr:cNvSpPr txBox="1"/>
          </xdr:nvSpPr>
          <xdr:spPr>
            <a:xfrm>
              <a:off x="11582400" y="289560"/>
              <a:ext cx="2147666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a)</a:t>
              </a:r>
              <a:r>
                <a:rPr lang="es-PE" sz="1600" baseline="0"/>
                <a:t> </a:t>
              </a:r>
              <a:r>
                <a:rPr lang="es-PE" sz="1600"/>
                <a:t>D3</a:t>
              </a:r>
              <a:r>
                <a:rPr lang="es-PE" sz="1600" baseline="0"/>
                <a:t> </a:t>
              </a:r>
              <a14:m>
                <m:oMath xmlns:m="http://schemas.openxmlformats.org/officeDocument/2006/math">
                  <m:r>
                    <a:rPr lang="es-PE" sz="16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PE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𝑉𝑑</m:t>
                      </m:r>
                    </m:num>
                    <m:den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𝑉𝑚</m:t>
                      </m:r>
                    </m:den>
                  </m:f>
                </m:oMath>
              </a14:m>
              <a:endParaRPr lang="es-PE" sz="1600"/>
            </a:p>
          </xdr:txBody>
        </xdr:sp>
      </mc:Choice>
      <mc:Fallback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E2AF6096-FBF4-4F4B-B059-9C0DCA65E85C}"/>
                </a:ext>
              </a:extLst>
            </xdr:cNvPr>
            <xdr:cNvSpPr txBox="1"/>
          </xdr:nvSpPr>
          <xdr:spPr>
            <a:xfrm>
              <a:off x="11582400" y="289560"/>
              <a:ext cx="2147666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a)</a:t>
              </a:r>
              <a:r>
                <a:rPr lang="es-PE" sz="1600" baseline="0"/>
                <a:t> </a:t>
              </a:r>
              <a:r>
                <a:rPr lang="es-PE" sz="1600"/>
                <a:t>D3</a:t>
              </a:r>
              <a:r>
                <a:rPr lang="es-PE" sz="1600" baseline="0"/>
                <a:t> </a:t>
              </a:r>
              <a:r>
                <a:rPr lang="es-PE" sz="1600" i="0">
                  <a:latin typeface="Cambria Math" panose="02040503050406030204" pitchFamily="18" charset="0"/>
                </a:rPr>
                <a:t>=</a:t>
              </a:r>
              <a:r>
                <a:rPr lang="es-ES" sz="1600" b="0" i="0">
                  <a:latin typeface="Cambria Math" panose="02040503050406030204" pitchFamily="18" charset="0"/>
                </a:rPr>
                <a:t>𝑉𝑑</a:t>
              </a:r>
              <a:r>
                <a:rPr lang="es-PE" sz="1600" b="0" i="0">
                  <a:latin typeface="Cambria Math" panose="02040503050406030204" pitchFamily="18" charset="0"/>
                </a:rPr>
                <a:t>/</a:t>
              </a:r>
              <a:r>
                <a:rPr lang="es-ES" sz="1600" b="0" i="0">
                  <a:latin typeface="Cambria Math" panose="02040503050406030204" pitchFamily="18" charset="0"/>
                </a:rPr>
                <a:t>𝑉𝑚</a:t>
              </a:r>
              <a:endParaRPr lang="es-PE" sz="1600"/>
            </a:p>
          </xdr:txBody>
        </xdr:sp>
      </mc:Fallback>
    </mc:AlternateContent>
    <xdr:clientData/>
  </xdr:oneCellAnchor>
  <xdr:oneCellAnchor>
    <xdr:from>
      <xdr:col>13</xdr:col>
      <xdr:colOff>655320</xdr:colOff>
      <xdr:row>4</xdr:row>
      <xdr:rowOff>45720</xdr:rowOff>
    </xdr:from>
    <xdr:ext cx="1409700" cy="3545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60185C28-59FE-4436-9121-DADBEDA6B9DE}"/>
                </a:ext>
              </a:extLst>
            </xdr:cNvPr>
            <xdr:cNvSpPr txBox="1"/>
          </xdr:nvSpPr>
          <xdr:spPr>
            <a:xfrm>
              <a:off x="11574780" y="784860"/>
              <a:ext cx="1409700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b) D4</a:t>
              </a:r>
              <a:r>
                <a:rPr lang="es-PE" sz="1600" baseline="0"/>
                <a:t> </a:t>
              </a:r>
              <a14:m>
                <m:oMath xmlns:m="http://schemas.openxmlformats.org/officeDocument/2006/math">
                  <m:r>
                    <a:rPr lang="es-PE" sz="16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PE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𝑉𝑑</m:t>
                      </m:r>
                    </m:num>
                    <m:den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𝑉𝑑</m:t>
                      </m:r>
                      <m:r>
                        <a:rPr lang="es-ES" sz="1600" b="0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𝑉𝑚</m:t>
                      </m:r>
                    </m:den>
                  </m:f>
                </m:oMath>
              </a14:m>
              <a:endParaRPr lang="es-PE" sz="1600"/>
            </a:p>
          </xdr:txBody>
        </xdr:sp>
      </mc:Choice>
      <mc:Fallback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60185C28-59FE-4436-9121-DADBEDA6B9DE}"/>
                </a:ext>
              </a:extLst>
            </xdr:cNvPr>
            <xdr:cNvSpPr txBox="1"/>
          </xdr:nvSpPr>
          <xdr:spPr>
            <a:xfrm>
              <a:off x="11574780" y="784860"/>
              <a:ext cx="1409700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b) D4</a:t>
              </a:r>
              <a:r>
                <a:rPr lang="es-PE" sz="1600" baseline="0"/>
                <a:t> </a:t>
              </a:r>
              <a:r>
                <a:rPr lang="es-PE" sz="1600" i="0">
                  <a:latin typeface="Cambria Math" panose="02040503050406030204" pitchFamily="18" charset="0"/>
                </a:rPr>
                <a:t>=</a:t>
              </a:r>
              <a:r>
                <a:rPr lang="es-ES" sz="1600" b="0" i="0">
                  <a:latin typeface="Cambria Math" panose="02040503050406030204" pitchFamily="18" charset="0"/>
                </a:rPr>
                <a:t>𝑉𝑑</a:t>
              </a:r>
              <a:r>
                <a:rPr lang="es-PE" sz="1600" b="0" i="0">
                  <a:latin typeface="Cambria Math" panose="02040503050406030204" pitchFamily="18" charset="0"/>
                </a:rPr>
                <a:t>/(</a:t>
              </a:r>
              <a:r>
                <a:rPr lang="es-ES" sz="1600" b="0" i="0">
                  <a:latin typeface="Cambria Math" panose="02040503050406030204" pitchFamily="18" charset="0"/>
                </a:rPr>
                <a:t>𝑉𝑑+𝑉𝑚</a:t>
              </a:r>
              <a:r>
                <a:rPr lang="es-PE" sz="1600" b="0" i="0">
                  <a:latin typeface="Cambria Math" panose="02040503050406030204" pitchFamily="18" charset="0"/>
                </a:rPr>
                <a:t>)</a:t>
              </a:r>
              <a:endParaRPr lang="es-PE" sz="16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694594</xdr:colOff>
      <xdr:row>10</xdr:row>
      <xdr:rowOff>106362</xdr:rowOff>
    </xdr:from>
    <xdr:ext cx="2147666" cy="3545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9EE76F2-2B52-4654-AD0C-9D171899BFF8}"/>
                </a:ext>
              </a:extLst>
            </xdr:cNvPr>
            <xdr:cNvSpPr txBox="1"/>
          </xdr:nvSpPr>
          <xdr:spPr>
            <a:xfrm>
              <a:off x="9236614" y="1935162"/>
              <a:ext cx="2147666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1)</a:t>
              </a:r>
              <a:r>
                <a:rPr lang="es-PE" sz="1600" baseline="0"/>
                <a:t> </a:t>
              </a:r>
              <a:r>
                <a:rPr lang="es-PE" sz="1600"/>
                <a:t>D1</a:t>
              </a:r>
              <a:r>
                <a:rPr lang="es-PE" sz="1600" baseline="0"/>
                <a:t> </a:t>
              </a:r>
              <a14:m>
                <m:oMath xmlns:m="http://schemas.openxmlformats.org/officeDocument/2006/math">
                  <m:r>
                    <a:rPr lang="es-PE" sz="16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PE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𝑇𝑑</m:t>
                      </m:r>
                    </m:num>
                    <m:den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𝑇𝑚</m:t>
                      </m:r>
                    </m:den>
                  </m:f>
                </m:oMath>
              </a14:m>
              <a:endParaRPr lang="es-PE" sz="16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9EE76F2-2B52-4654-AD0C-9D171899BFF8}"/>
                </a:ext>
              </a:extLst>
            </xdr:cNvPr>
            <xdr:cNvSpPr txBox="1"/>
          </xdr:nvSpPr>
          <xdr:spPr>
            <a:xfrm>
              <a:off x="9236614" y="1935162"/>
              <a:ext cx="2147666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1)</a:t>
              </a:r>
              <a:r>
                <a:rPr lang="es-PE" sz="1600" baseline="0"/>
                <a:t> </a:t>
              </a:r>
              <a:r>
                <a:rPr lang="es-PE" sz="1600"/>
                <a:t>D1</a:t>
              </a:r>
              <a:r>
                <a:rPr lang="es-PE" sz="1600" baseline="0"/>
                <a:t> </a:t>
              </a:r>
              <a:r>
                <a:rPr lang="es-PE" sz="1600" i="0">
                  <a:latin typeface="Cambria Math" panose="02040503050406030204" pitchFamily="18" charset="0"/>
                </a:rPr>
                <a:t>=</a:t>
              </a:r>
              <a:r>
                <a:rPr lang="es-ES" sz="1600" b="0" i="0">
                  <a:latin typeface="Cambria Math" panose="02040503050406030204" pitchFamily="18" charset="0"/>
                </a:rPr>
                <a:t>𝑇𝑑</a:t>
              </a:r>
              <a:r>
                <a:rPr lang="es-PE" sz="1600" b="0" i="0">
                  <a:latin typeface="Cambria Math" panose="02040503050406030204" pitchFamily="18" charset="0"/>
                </a:rPr>
                <a:t>/</a:t>
              </a:r>
              <a:r>
                <a:rPr lang="es-ES" sz="1600" b="0" i="0">
                  <a:latin typeface="Cambria Math" panose="02040503050406030204" pitchFamily="18" charset="0"/>
                </a:rPr>
                <a:t>𝑇𝑚</a:t>
              </a:r>
              <a:endParaRPr lang="es-PE" sz="1600"/>
            </a:p>
          </xdr:txBody>
        </xdr:sp>
      </mc:Fallback>
    </mc:AlternateContent>
    <xdr:clientData/>
  </xdr:oneCellAnchor>
  <xdr:oneCellAnchor>
    <xdr:from>
      <xdr:col>10</xdr:col>
      <xdr:colOff>708660</xdr:colOff>
      <xdr:row>13</xdr:row>
      <xdr:rowOff>0</xdr:rowOff>
    </xdr:from>
    <xdr:ext cx="1409700" cy="3545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72013969-460A-415C-9378-D8646E565C81}"/>
                </a:ext>
              </a:extLst>
            </xdr:cNvPr>
            <xdr:cNvSpPr txBox="1"/>
          </xdr:nvSpPr>
          <xdr:spPr>
            <a:xfrm>
              <a:off x="9250680" y="2377440"/>
              <a:ext cx="1409700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2) D2</a:t>
              </a:r>
              <a:r>
                <a:rPr lang="es-PE" sz="1600" baseline="0"/>
                <a:t> </a:t>
              </a:r>
              <a14:m>
                <m:oMath xmlns:m="http://schemas.openxmlformats.org/officeDocument/2006/math">
                  <m:r>
                    <a:rPr lang="es-PE" sz="16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PE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𝑇𝑑</m:t>
                      </m:r>
                    </m:num>
                    <m:den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𝑇𝑑</m:t>
                      </m:r>
                      <m:r>
                        <a:rPr lang="es-ES" sz="1600" b="0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𝑇𝑚</m:t>
                      </m:r>
                    </m:den>
                  </m:f>
                </m:oMath>
              </a14:m>
              <a:endParaRPr lang="es-PE" sz="16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72013969-460A-415C-9378-D8646E565C81}"/>
                </a:ext>
              </a:extLst>
            </xdr:cNvPr>
            <xdr:cNvSpPr txBox="1"/>
          </xdr:nvSpPr>
          <xdr:spPr>
            <a:xfrm>
              <a:off x="9250680" y="2377440"/>
              <a:ext cx="1409700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2) D2</a:t>
              </a:r>
              <a:r>
                <a:rPr lang="es-PE" sz="1600" baseline="0"/>
                <a:t> </a:t>
              </a:r>
              <a:r>
                <a:rPr lang="es-PE" sz="1600" i="0">
                  <a:latin typeface="Cambria Math" panose="02040503050406030204" pitchFamily="18" charset="0"/>
                </a:rPr>
                <a:t>=</a:t>
              </a:r>
              <a:r>
                <a:rPr lang="es-ES" sz="1600" b="0" i="0">
                  <a:latin typeface="Cambria Math" panose="02040503050406030204" pitchFamily="18" charset="0"/>
                </a:rPr>
                <a:t>𝑇𝑑</a:t>
              </a:r>
              <a:r>
                <a:rPr lang="es-PE" sz="1600" b="0" i="0">
                  <a:latin typeface="Cambria Math" panose="02040503050406030204" pitchFamily="18" charset="0"/>
                </a:rPr>
                <a:t>/(</a:t>
              </a:r>
              <a:r>
                <a:rPr lang="es-ES" sz="1600" b="0" i="0">
                  <a:latin typeface="Cambria Math" panose="02040503050406030204" pitchFamily="18" charset="0"/>
                </a:rPr>
                <a:t>𝑇𝑑+𝑇𝑚</a:t>
              </a:r>
              <a:r>
                <a:rPr lang="es-PE" sz="1600" b="0" i="0">
                  <a:latin typeface="Cambria Math" panose="02040503050406030204" pitchFamily="18" charset="0"/>
                </a:rPr>
                <a:t>)</a:t>
              </a:r>
              <a:endParaRPr lang="es-PE" sz="1600"/>
            </a:p>
          </xdr:txBody>
        </xdr:sp>
      </mc:Fallback>
    </mc:AlternateContent>
    <xdr:clientData/>
  </xdr:oneCellAnchor>
  <xdr:oneCellAnchor>
    <xdr:from>
      <xdr:col>13</xdr:col>
      <xdr:colOff>662940</xdr:colOff>
      <xdr:row>10</xdr:row>
      <xdr:rowOff>106680</xdr:rowOff>
    </xdr:from>
    <xdr:ext cx="2147666" cy="3545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57D62583-6CAA-4A6E-A8E6-83CC3F16E7F2}"/>
                </a:ext>
              </a:extLst>
            </xdr:cNvPr>
            <xdr:cNvSpPr txBox="1"/>
          </xdr:nvSpPr>
          <xdr:spPr>
            <a:xfrm>
              <a:off x="11582400" y="1935480"/>
              <a:ext cx="2147666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a)</a:t>
              </a:r>
              <a:r>
                <a:rPr lang="es-PE" sz="1600" baseline="0"/>
                <a:t> </a:t>
              </a:r>
              <a:r>
                <a:rPr lang="es-PE" sz="1600"/>
                <a:t>D3</a:t>
              </a:r>
              <a:r>
                <a:rPr lang="es-PE" sz="1600" baseline="0"/>
                <a:t> </a:t>
              </a:r>
              <a14:m>
                <m:oMath xmlns:m="http://schemas.openxmlformats.org/officeDocument/2006/math">
                  <m:r>
                    <a:rPr lang="es-PE" sz="16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PE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𝑉𝑑</m:t>
                      </m:r>
                    </m:num>
                    <m:den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𝑉𝑚</m:t>
                      </m:r>
                    </m:den>
                  </m:f>
                </m:oMath>
              </a14:m>
              <a:endParaRPr lang="es-PE" sz="1600"/>
            </a:p>
          </xdr:txBody>
        </xdr:sp>
      </mc:Choice>
      <mc:Fallback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57D62583-6CAA-4A6E-A8E6-83CC3F16E7F2}"/>
                </a:ext>
              </a:extLst>
            </xdr:cNvPr>
            <xdr:cNvSpPr txBox="1"/>
          </xdr:nvSpPr>
          <xdr:spPr>
            <a:xfrm>
              <a:off x="11582400" y="1935480"/>
              <a:ext cx="2147666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a)</a:t>
              </a:r>
              <a:r>
                <a:rPr lang="es-PE" sz="1600" baseline="0"/>
                <a:t> </a:t>
              </a:r>
              <a:r>
                <a:rPr lang="es-PE" sz="1600"/>
                <a:t>D3</a:t>
              </a:r>
              <a:r>
                <a:rPr lang="es-PE" sz="1600" baseline="0"/>
                <a:t> </a:t>
              </a:r>
              <a:r>
                <a:rPr lang="es-PE" sz="1600" i="0">
                  <a:latin typeface="Cambria Math" panose="02040503050406030204" pitchFamily="18" charset="0"/>
                </a:rPr>
                <a:t>=</a:t>
              </a:r>
              <a:r>
                <a:rPr lang="es-ES" sz="1600" b="0" i="0">
                  <a:latin typeface="Cambria Math" panose="02040503050406030204" pitchFamily="18" charset="0"/>
                </a:rPr>
                <a:t>𝑉𝑑</a:t>
              </a:r>
              <a:r>
                <a:rPr lang="es-PE" sz="1600" b="0" i="0">
                  <a:latin typeface="Cambria Math" panose="02040503050406030204" pitchFamily="18" charset="0"/>
                </a:rPr>
                <a:t>/</a:t>
              </a:r>
              <a:r>
                <a:rPr lang="es-ES" sz="1600" b="0" i="0">
                  <a:latin typeface="Cambria Math" panose="02040503050406030204" pitchFamily="18" charset="0"/>
                </a:rPr>
                <a:t>𝑉𝑚</a:t>
              </a:r>
              <a:endParaRPr lang="es-PE" sz="1600"/>
            </a:p>
          </xdr:txBody>
        </xdr:sp>
      </mc:Fallback>
    </mc:AlternateContent>
    <xdr:clientData/>
  </xdr:oneCellAnchor>
  <xdr:oneCellAnchor>
    <xdr:from>
      <xdr:col>13</xdr:col>
      <xdr:colOff>655320</xdr:colOff>
      <xdr:row>13</xdr:row>
      <xdr:rowOff>45720</xdr:rowOff>
    </xdr:from>
    <xdr:ext cx="1409700" cy="35458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86E6F5AA-480C-4C2A-8998-D82507728848}"/>
                </a:ext>
              </a:extLst>
            </xdr:cNvPr>
            <xdr:cNvSpPr txBox="1"/>
          </xdr:nvSpPr>
          <xdr:spPr>
            <a:xfrm>
              <a:off x="11574780" y="2423160"/>
              <a:ext cx="1409700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b) D4</a:t>
              </a:r>
              <a:r>
                <a:rPr lang="es-PE" sz="1600" baseline="0"/>
                <a:t> </a:t>
              </a:r>
              <a14:m>
                <m:oMath xmlns:m="http://schemas.openxmlformats.org/officeDocument/2006/math">
                  <m:r>
                    <a:rPr lang="es-PE" sz="16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PE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𝑉𝑑</m:t>
                      </m:r>
                    </m:num>
                    <m:den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𝑉𝑑</m:t>
                      </m:r>
                      <m:r>
                        <a:rPr lang="es-ES" sz="1600" b="0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𝑉𝑚</m:t>
                      </m:r>
                    </m:den>
                  </m:f>
                </m:oMath>
              </a14:m>
              <a:endParaRPr lang="es-PE" sz="1600"/>
            </a:p>
          </xdr:txBody>
        </xdr:sp>
      </mc:Choice>
      <mc:Fallback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86E6F5AA-480C-4C2A-8998-D82507728848}"/>
                </a:ext>
              </a:extLst>
            </xdr:cNvPr>
            <xdr:cNvSpPr txBox="1"/>
          </xdr:nvSpPr>
          <xdr:spPr>
            <a:xfrm>
              <a:off x="11574780" y="2423160"/>
              <a:ext cx="1409700" cy="3545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600"/>
                <a:t>b) D4</a:t>
              </a:r>
              <a:r>
                <a:rPr lang="es-PE" sz="1600" baseline="0"/>
                <a:t> </a:t>
              </a:r>
              <a:r>
                <a:rPr lang="es-PE" sz="1600" i="0">
                  <a:latin typeface="Cambria Math" panose="02040503050406030204" pitchFamily="18" charset="0"/>
                </a:rPr>
                <a:t>=</a:t>
              </a:r>
              <a:r>
                <a:rPr lang="es-ES" sz="1600" b="0" i="0">
                  <a:latin typeface="Cambria Math" panose="02040503050406030204" pitchFamily="18" charset="0"/>
                </a:rPr>
                <a:t>𝑉𝑑</a:t>
              </a:r>
              <a:r>
                <a:rPr lang="es-PE" sz="1600" b="0" i="0">
                  <a:latin typeface="Cambria Math" panose="02040503050406030204" pitchFamily="18" charset="0"/>
                </a:rPr>
                <a:t>/(</a:t>
              </a:r>
              <a:r>
                <a:rPr lang="es-ES" sz="1600" b="0" i="0">
                  <a:latin typeface="Cambria Math" panose="02040503050406030204" pitchFamily="18" charset="0"/>
                </a:rPr>
                <a:t>𝑉𝑑+𝑉𝑚</a:t>
              </a:r>
              <a:r>
                <a:rPr lang="es-PE" sz="1600" b="0" i="0">
                  <a:latin typeface="Cambria Math" panose="02040503050406030204" pitchFamily="18" charset="0"/>
                </a:rPr>
                <a:t>)</a:t>
              </a:r>
              <a:endParaRPr lang="es-PE" sz="16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315686</xdr:colOff>
      <xdr:row>0</xdr:row>
      <xdr:rowOff>87086</xdr:rowOff>
    </xdr:from>
    <xdr:to>
      <xdr:col>23</xdr:col>
      <xdr:colOff>447403</xdr:colOff>
      <xdr:row>22</xdr:row>
      <xdr:rowOff>152129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D136F09-AE4A-FEAD-694E-EFC1D5D9C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688286" y="87086"/>
          <a:ext cx="6303917" cy="41363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>
    <xdr:from>
      <xdr:col>73</xdr:col>
      <xdr:colOff>67195</xdr:colOff>
      <xdr:row>113</xdr:row>
      <xdr:rowOff>145098</xdr:rowOff>
    </xdr:from>
    <xdr:to>
      <xdr:col>74</xdr:col>
      <xdr:colOff>354715</xdr:colOff>
      <xdr:row>119</xdr:row>
      <xdr:rowOff>127818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D8C88BB1-D4AA-4BF4-913F-4320ABC13C48}"/>
            </a:ext>
          </a:extLst>
        </xdr:cNvPr>
        <xdr:cNvSpPr/>
      </xdr:nvSpPr>
      <xdr:spPr>
        <a:xfrm>
          <a:off x="59350795" y="20448165"/>
          <a:ext cx="1083387" cy="1100320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72</xdr:col>
      <xdr:colOff>338128</xdr:colOff>
      <xdr:row>107</xdr:row>
      <xdr:rowOff>145098</xdr:rowOff>
    </xdr:from>
    <xdr:to>
      <xdr:col>73</xdr:col>
      <xdr:colOff>625648</xdr:colOff>
      <xdr:row>113</xdr:row>
      <xdr:rowOff>127818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BC6FC080-6C3B-4E06-A420-AFD70DD905C3}"/>
            </a:ext>
          </a:extLst>
        </xdr:cNvPr>
        <xdr:cNvSpPr/>
      </xdr:nvSpPr>
      <xdr:spPr>
        <a:xfrm>
          <a:off x="58825861" y="19330565"/>
          <a:ext cx="1083387" cy="1100320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71</xdr:col>
      <xdr:colOff>609060</xdr:colOff>
      <xdr:row>101</xdr:row>
      <xdr:rowOff>145098</xdr:rowOff>
    </xdr:from>
    <xdr:to>
      <xdr:col>73</xdr:col>
      <xdr:colOff>100714</xdr:colOff>
      <xdr:row>107</xdr:row>
      <xdr:rowOff>127818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4E2CCEC2-1065-4994-B89B-F4EE830DE81F}"/>
            </a:ext>
          </a:extLst>
        </xdr:cNvPr>
        <xdr:cNvSpPr/>
      </xdr:nvSpPr>
      <xdr:spPr>
        <a:xfrm>
          <a:off x="58300927" y="18212965"/>
          <a:ext cx="1083387" cy="1100320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71</xdr:col>
      <xdr:colOff>117993</xdr:colOff>
      <xdr:row>95</xdr:row>
      <xdr:rowOff>145098</xdr:rowOff>
    </xdr:from>
    <xdr:to>
      <xdr:col>72</xdr:col>
      <xdr:colOff>405514</xdr:colOff>
      <xdr:row>101</xdr:row>
      <xdr:rowOff>127818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D9ED6E02-3BCC-4D26-8FDD-4AF0B34CBB77}"/>
            </a:ext>
          </a:extLst>
        </xdr:cNvPr>
        <xdr:cNvSpPr/>
      </xdr:nvSpPr>
      <xdr:spPr>
        <a:xfrm>
          <a:off x="57809860" y="17095365"/>
          <a:ext cx="1083387" cy="1100320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70</xdr:col>
      <xdr:colOff>388926</xdr:colOff>
      <xdr:row>89</xdr:row>
      <xdr:rowOff>162031</xdr:rowOff>
    </xdr:from>
    <xdr:to>
      <xdr:col>71</xdr:col>
      <xdr:colOff>676446</xdr:colOff>
      <xdr:row>95</xdr:row>
      <xdr:rowOff>144751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E4F15E08-5CB9-4FE6-A308-2DC045DDEFD5}"/>
            </a:ext>
          </a:extLst>
        </xdr:cNvPr>
        <xdr:cNvSpPr/>
      </xdr:nvSpPr>
      <xdr:spPr>
        <a:xfrm>
          <a:off x="57284926" y="15994698"/>
          <a:ext cx="1083387" cy="1100320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69</xdr:col>
      <xdr:colOff>349699</xdr:colOff>
      <xdr:row>24</xdr:row>
      <xdr:rowOff>0</xdr:rowOff>
    </xdr:from>
    <xdr:to>
      <xdr:col>69</xdr:col>
      <xdr:colOff>357319</xdr:colOff>
      <xdr:row>124</xdr:row>
      <xdr:rowOff>54888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83E165B7-743D-4837-BE19-B0A834063D8E}"/>
            </a:ext>
          </a:extLst>
        </xdr:cNvPr>
        <xdr:cNvCxnSpPr/>
      </xdr:nvCxnSpPr>
      <xdr:spPr>
        <a:xfrm rot="-1500000" flipH="1" flipV="1">
          <a:off x="56449832" y="4048606"/>
          <a:ext cx="7620" cy="1835828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671433</xdr:colOff>
      <xdr:row>24</xdr:row>
      <xdr:rowOff>0</xdr:rowOff>
    </xdr:from>
    <xdr:to>
      <xdr:col>68</xdr:col>
      <xdr:colOff>679053</xdr:colOff>
      <xdr:row>124</xdr:row>
      <xdr:rowOff>54888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5250C6CC-5CE6-F924-18DE-E11D2502855C}"/>
            </a:ext>
          </a:extLst>
        </xdr:cNvPr>
        <xdr:cNvCxnSpPr/>
      </xdr:nvCxnSpPr>
      <xdr:spPr>
        <a:xfrm rot="-1500000" flipH="1" flipV="1">
          <a:off x="55975700" y="4048606"/>
          <a:ext cx="7620" cy="1835828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493600</xdr:colOff>
      <xdr:row>103</xdr:row>
      <xdr:rowOff>115999</xdr:rowOff>
    </xdr:from>
    <xdr:to>
      <xdr:col>70</xdr:col>
      <xdr:colOff>546949</xdr:colOff>
      <xdr:row>103</xdr:row>
      <xdr:rowOff>123619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0025B908-218D-4965-87C8-B2A7A52817EA}"/>
            </a:ext>
          </a:extLst>
        </xdr:cNvPr>
        <xdr:cNvCxnSpPr/>
      </xdr:nvCxnSpPr>
      <xdr:spPr>
        <a:xfrm rot="4860000" flipH="1" flipV="1">
          <a:off x="48259998" y="9381068"/>
          <a:ext cx="7620" cy="1835828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104134</xdr:colOff>
      <xdr:row>112</xdr:row>
      <xdr:rowOff>166798</xdr:rowOff>
    </xdr:from>
    <xdr:to>
      <xdr:col>73</xdr:col>
      <xdr:colOff>157483</xdr:colOff>
      <xdr:row>112</xdr:row>
      <xdr:rowOff>174418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BDD242D1-0366-4818-81E5-2F94399E039E}"/>
            </a:ext>
          </a:extLst>
        </xdr:cNvPr>
        <xdr:cNvCxnSpPr/>
      </xdr:nvCxnSpPr>
      <xdr:spPr>
        <a:xfrm rot="5880000" flipH="1" flipV="1">
          <a:off x="50258132" y="11108267"/>
          <a:ext cx="7620" cy="1835828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231163</xdr:colOff>
      <xdr:row>24</xdr:row>
      <xdr:rowOff>103139</xdr:rowOff>
    </xdr:from>
    <xdr:to>
      <xdr:col>68</xdr:col>
      <xdr:colOff>238783</xdr:colOff>
      <xdr:row>125</xdr:row>
      <xdr:rowOff>21021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22A3C7C9-B741-45F6-91AE-8818ABCC55A8}"/>
            </a:ext>
          </a:extLst>
        </xdr:cNvPr>
        <xdr:cNvCxnSpPr/>
      </xdr:nvCxnSpPr>
      <xdr:spPr>
        <a:xfrm rot="-1500000" flipH="1" flipV="1">
          <a:off x="55535430" y="4201006"/>
          <a:ext cx="7620" cy="1835828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174181</xdr:colOff>
      <xdr:row>0</xdr:row>
      <xdr:rowOff>108857</xdr:rowOff>
    </xdr:from>
    <xdr:to>
      <xdr:col>5</xdr:col>
      <xdr:colOff>459523</xdr:colOff>
      <xdr:row>7</xdr:row>
      <xdr:rowOff>14603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24D73862-F832-48FE-A2C8-002C139696A0}"/>
            </a:ext>
          </a:extLst>
        </xdr:cNvPr>
        <xdr:cNvGrpSpPr/>
      </xdr:nvGrpSpPr>
      <xdr:grpSpPr>
        <a:xfrm>
          <a:off x="4539352" y="108857"/>
          <a:ext cx="1080000" cy="1201146"/>
          <a:chOff x="62130130" y="20310336"/>
          <a:chExt cx="1546775" cy="1201146"/>
        </a:xfrm>
      </xdr:grpSpPr>
      <xdr:sp macro="" textlink="">
        <xdr:nvSpPr>
          <xdr:cNvPr id="25" name="Rectángulo: esquinas redondeadas 24">
            <a:extLst>
              <a:ext uri="{FF2B5EF4-FFF2-40B4-BE49-F238E27FC236}">
                <a16:creationId xmlns:a16="http://schemas.microsoft.com/office/drawing/2014/main" id="{5E52DA4C-EC60-5E94-4198-6DA0B58A085F}"/>
              </a:ext>
            </a:extLst>
          </xdr:cNvPr>
          <xdr:cNvSpPr/>
        </xdr:nvSpPr>
        <xdr:spPr>
          <a:xfrm>
            <a:off x="62130130" y="20364378"/>
            <a:ext cx="1546775" cy="1080000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cxnSp macro="">
        <xdr:nvCxnSpPr>
          <xdr:cNvPr id="26" name="Conector recto 25">
            <a:extLst>
              <a:ext uri="{FF2B5EF4-FFF2-40B4-BE49-F238E27FC236}">
                <a16:creationId xmlns:a16="http://schemas.microsoft.com/office/drawing/2014/main" id="{FF000276-5BD9-9C70-47B0-54E6F646E52E}"/>
              </a:ext>
            </a:extLst>
          </xdr:cNvPr>
          <xdr:cNvCxnSpPr/>
        </xdr:nvCxnSpPr>
        <xdr:spPr>
          <a:xfrm rot="20100000" flipH="1" flipV="1">
            <a:off x="62484518" y="20323482"/>
            <a:ext cx="7619" cy="118800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Conector recto 26">
            <a:extLst>
              <a:ext uri="{FF2B5EF4-FFF2-40B4-BE49-F238E27FC236}">
                <a16:creationId xmlns:a16="http://schemas.microsoft.com/office/drawing/2014/main" id="{1CB4D276-4F4C-20F0-2F5B-25996C75FE7F}"/>
              </a:ext>
            </a:extLst>
          </xdr:cNvPr>
          <xdr:cNvCxnSpPr/>
        </xdr:nvCxnSpPr>
        <xdr:spPr>
          <a:xfrm rot="-1500000" flipH="1" flipV="1">
            <a:off x="62908786" y="20310336"/>
            <a:ext cx="7620" cy="118800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DA14-1413-4C18-BF82-54A72A3D4F8A}">
  <dimension ref="B3:E23"/>
  <sheetViews>
    <sheetView showGridLines="0" workbookViewId="0">
      <selection activeCell="I16" sqref="I16"/>
    </sheetView>
  </sheetViews>
  <sheetFormatPr baseColWidth="10" defaultRowHeight="14.4" x14ac:dyDescent="0.3"/>
  <cols>
    <col min="3" max="3" width="20.5546875" bestFit="1" customWidth="1"/>
  </cols>
  <sheetData>
    <row r="3" spans="2:5" ht="15" x14ac:dyDescent="0.3">
      <c r="B3" s="2" t="s">
        <v>0</v>
      </c>
    </row>
    <row r="5" spans="2:5" x14ac:dyDescent="0.3">
      <c r="B5" s="4" t="s">
        <v>41</v>
      </c>
      <c r="C5" s="4" t="s">
        <v>42</v>
      </c>
      <c r="D5" s="4" t="s">
        <v>43</v>
      </c>
      <c r="E5" s="4" t="s">
        <v>44</v>
      </c>
    </row>
    <row r="6" spans="2:5" x14ac:dyDescent="0.3">
      <c r="B6" t="s">
        <v>48</v>
      </c>
      <c r="C6" t="s">
        <v>13</v>
      </c>
    </row>
    <row r="7" spans="2:5" x14ac:dyDescent="0.3">
      <c r="B7" t="s">
        <v>49</v>
      </c>
      <c r="C7" t="s">
        <v>13</v>
      </c>
    </row>
    <row r="8" spans="2:5" x14ac:dyDescent="0.3">
      <c r="B8" t="s">
        <v>50</v>
      </c>
      <c r="C8" t="s">
        <v>13</v>
      </c>
    </row>
    <row r="9" spans="2:5" x14ac:dyDescent="0.3">
      <c r="B9" t="s">
        <v>51</v>
      </c>
      <c r="C9" t="s">
        <v>13</v>
      </c>
    </row>
    <row r="10" spans="2:5" x14ac:dyDescent="0.3">
      <c r="B10" t="s">
        <v>14</v>
      </c>
      <c r="C10" t="s">
        <v>15</v>
      </c>
    </row>
    <row r="11" spans="2:5" x14ac:dyDescent="0.3">
      <c r="B11" t="s">
        <v>16</v>
      </c>
      <c r="C11" t="s">
        <v>17</v>
      </c>
      <c r="D11">
        <v>1234</v>
      </c>
      <c r="E11" t="s">
        <v>47</v>
      </c>
    </row>
    <row r="12" spans="2:5" x14ac:dyDescent="0.3">
      <c r="B12" t="s">
        <v>18</v>
      </c>
      <c r="C12" t="s">
        <v>22</v>
      </c>
    </row>
    <row r="13" spans="2:5" x14ac:dyDescent="0.3">
      <c r="B13" t="s">
        <v>20</v>
      </c>
      <c r="C13" t="s">
        <v>21</v>
      </c>
    </row>
    <row r="14" spans="2:5" x14ac:dyDescent="0.3">
      <c r="B14" t="s">
        <v>23</v>
      </c>
      <c r="C14" t="s">
        <v>19</v>
      </c>
    </row>
    <row r="15" spans="2:5" x14ac:dyDescent="0.3">
      <c r="B15" t="s">
        <v>24</v>
      </c>
      <c r="C15" t="s">
        <v>25</v>
      </c>
      <c r="D15">
        <v>300</v>
      </c>
      <c r="E15" t="s">
        <v>47</v>
      </c>
    </row>
    <row r="16" spans="2:5" x14ac:dyDescent="0.3">
      <c r="B16" t="s">
        <v>27</v>
      </c>
      <c r="C16" t="s">
        <v>26</v>
      </c>
    </row>
    <row r="17" spans="2:5" x14ac:dyDescent="0.3">
      <c r="B17" t="s">
        <v>28</v>
      </c>
      <c r="C17" t="s">
        <v>17</v>
      </c>
    </row>
    <row r="18" spans="2:5" x14ac:dyDescent="0.3">
      <c r="B18" t="s">
        <v>29</v>
      </c>
      <c r="C18" t="s">
        <v>32</v>
      </c>
      <c r="D18">
        <v>3.1</v>
      </c>
      <c r="E18" t="s">
        <v>46</v>
      </c>
    </row>
    <row r="19" spans="2:5" x14ac:dyDescent="0.3">
      <c r="B19" t="s">
        <v>30</v>
      </c>
      <c r="C19" t="s">
        <v>33</v>
      </c>
      <c r="D19">
        <v>2.6</v>
      </c>
      <c r="E19" t="s">
        <v>46</v>
      </c>
    </row>
    <row r="20" spans="2:5" x14ac:dyDescent="0.3">
      <c r="B20" t="s">
        <v>31</v>
      </c>
      <c r="C20" t="s">
        <v>34</v>
      </c>
    </row>
    <row r="21" spans="2:5" x14ac:dyDescent="0.3">
      <c r="B21" t="s">
        <v>35</v>
      </c>
      <c r="C21" t="s">
        <v>38</v>
      </c>
      <c r="D21">
        <v>4.5</v>
      </c>
      <c r="E21" t="s">
        <v>45</v>
      </c>
    </row>
    <row r="22" spans="2:5" x14ac:dyDescent="0.3">
      <c r="B22" t="s">
        <v>36</v>
      </c>
      <c r="C22" t="s">
        <v>39</v>
      </c>
      <c r="D22">
        <v>0</v>
      </c>
    </row>
    <row r="23" spans="2:5" x14ac:dyDescent="0.3">
      <c r="B23" t="s">
        <v>37</v>
      </c>
      <c r="C23" t="s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1158-B6AD-4B6D-BEF8-A26E9B1DD60B}">
  <dimension ref="B3:E23"/>
  <sheetViews>
    <sheetView showGridLines="0" workbookViewId="0">
      <selection activeCell="N18" sqref="N18"/>
    </sheetView>
  </sheetViews>
  <sheetFormatPr baseColWidth="10" defaultRowHeight="14.4" x14ac:dyDescent="0.3"/>
  <cols>
    <col min="3" max="3" width="20.5546875" bestFit="1" customWidth="1"/>
  </cols>
  <sheetData>
    <row r="3" spans="2:5" ht="15" x14ac:dyDescent="0.3">
      <c r="B3" s="2" t="s">
        <v>0</v>
      </c>
    </row>
    <row r="5" spans="2:5" x14ac:dyDescent="0.3">
      <c r="B5" s="4" t="s">
        <v>41</v>
      </c>
      <c r="C5" s="4" t="s">
        <v>42</v>
      </c>
      <c r="D5" s="4" t="s">
        <v>43</v>
      </c>
      <c r="E5" s="4" t="s">
        <v>44</v>
      </c>
    </row>
    <row r="6" spans="2:5" x14ac:dyDescent="0.3">
      <c r="B6" t="s">
        <v>48</v>
      </c>
      <c r="C6" t="s">
        <v>13</v>
      </c>
      <c r="D6" s="5">
        <v>0.22</v>
      </c>
    </row>
    <row r="7" spans="2:5" x14ac:dyDescent="0.3">
      <c r="B7" t="s">
        <v>49</v>
      </c>
      <c r="C7" t="s">
        <v>13</v>
      </c>
    </row>
    <row r="8" spans="2:5" x14ac:dyDescent="0.3">
      <c r="B8" t="s">
        <v>50</v>
      </c>
      <c r="C8" t="s">
        <v>13</v>
      </c>
    </row>
    <row r="9" spans="2:5" x14ac:dyDescent="0.3">
      <c r="B9" t="s">
        <v>51</v>
      </c>
      <c r="C9" t="s">
        <v>13</v>
      </c>
    </row>
    <row r="10" spans="2:5" x14ac:dyDescent="0.3">
      <c r="B10" t="s">
        <v>14</v>
      </c>
      <c r="C10" t="s">
        <v>15</v>
      </c>
    </row>
    <row r="11" spans="2:5" x14ac:dyDescent="0.3">
      <c r="B11" t="s">
        <v>16</v>
      </c>
      <c r="C11" t="s">
        <v>17</v>
      </c>
      <c r="D11">
        <v>5300</v>
      </c>
      <c r="E11" t="s">
        <v>47</v>
      </c>
    </row>
    <row r="12" spans="2:5" x14ac:dyDescent="0.3">
      <c r="B12" t="s">
        <v>18</v>
      </c>
      <c r="C12" t="s">
        <v>22</v>
      </c>
    </row>
    <row r="13" spans="2:5" x14ac:dyDescent="0.3">
      <c r="B13" t="s">
        <v>20</v>
      </c>
      <c r="C13" t="s">
        <v>21</v>
      </c>
    </row>
    <row r="14" spans="2:5" x14ac:dyDescent="0.3">
      <c r="B14" t="s">
        <v>23</v>
      </c>
      <c r="C14" t="s">
        <v>19</v>
      </c>
    </row>
    <row r="15" spans="2:5" x14ac:dyDescent="0.3">
      <c r="B15" t="s">
        <v>24</v>
      </c>
      <c r="C15" t="s">
        <v>25</v>
      </c>
      <c r="E15" t="s">
        <v>47</v>
      </c>
    </row>
    <row r="16" spans="2:5" x14ac:dyDescent="0.3">
      <c r="B16" t="s">
        <v>27</v>
      </c>
      <c r="C16" t="s">
        <v>26</v>
      </c>
    </row>
    <row r="17" spans="2:5" x14ac:dyDescent="0.3">
      <c r="B17" t="s">
        <v>28</v>
      </c>
      <c r="C17" t="s">
        <v>17</v>
      </c>
    </row>
    <row r="18" spans="2:5" x14ac:dyDescent="0.3">
      <c r="B18" t="s">
        <v>29</v>
      </c>
      <c r="C18" t="s">
        <v>32</v>
      </c>
      <c r="D18">
        <v>2.99</v>
      </c>
      <c r="E18" t="s">
        <v>46</v>
      </c>
    </row>
    <row r="19" spans="2:5" x14ac:dyDescent="0.3">
      <c r="B19" t="s">
        <v>30</v>
      </c>
      <c r="C19" t="s">
        <v>33</v>
      </c>
      <c r="E19" t="s">
        <v>46</v>
      </c>
    </row>
    <row r="20" spans="2:5" x14ac:dyDescent="0.3">
      <c r="B20" t="s">
        <v>31</v>
      </c>
      <c r="C20" t="s">
        <v>34</v>
      </c>
    </row>
    <row r="21" spans="2:5" x14ac:dyDescent="0.3">
      <c r="B21" t="s">
        <v>35</v>
      </c>
      <c r="C21" t="s">
        <v>38</v>
      </c>
      <c r="D21">
        <v>4.5</v>
      </c>
      <c r="E21" t="s">
        <v>45</v>
      </c>
    </row>
    <row r="22" spans="2:5" x14ac:dyDescent="0.3">
      <c r="B22" t="s">
        <v>36</v>
      </c>
      <c r="C22" t="s">
        <v>39</v>
      </c>
    </row>
    <row r="23" spans="2:5" x14ac:dyDescent="0.3">
      <c r="B23" t="s">
        <v>37</v>
      </c>
      <c r="C23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DDBD-D51C-4B94-B869-0569CF96DE4F}">
  <dimension ref="B3:N24"/>
  <sheetViews>
    <sheetView showGridLines="0" topLeftCell="A3" workbookViewId="0">
      <selection activeCell="F19" sqref="F19"/>
    </sheetView>
  </sheetViews>
  <sheetFormatPr baseColWidth="10" defaultRowHeight="14.4" x14ac:dyDescent="0.3"/>
  <cols>
    <col min="3" max="3" width="22.88671875" bestFit="1" customWidth="1"/>
  </cols>
  <sheetData>
    <row r="3" spans="2:14" ht="61.2" customHeight="1" x14ac:dyDescent="0.3">
      <c r="B3" s="6" t="s">
        <v>53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2:14" x14ac:dyDescent="0.3">
      <c r="B5" s="4" t="s">
        <v>41</v>
      </c>
      <c r="C5" s="4" t="s">
        <v>42</v>
      </c>
      <c r="D5" s="4" t="s">
        <v>43</v>
      </c>
      <c r="E5" s="4" t="s">
        <v>44</v>
      </c>
    </row>
    <row r="6" spans="2:14" x14ac:dyDescent="0.3">
      <c r="B6" t="s">
        <v>48</v>
      </c>
      <c r="C6" t="s">
        <v>13</v>
      </c>
      <c r="D6" s="5"/>
    </row>
    <row r="7" spans="2:14" x14ac:dyDescent="0.3">
      <c r="B7" t="s">
        <v>49</v>
      </c>
      <c r="C7" t="s">
        <v>13</v>
      </c>
    </row>
    <row r="8" spans="2:14" x14ac:dyDescent="0.3">
      <c r="B8" t="s">
        <v>50</v>
      </c>
      <c r="C8" t="s">
        <v>13</v>
      </c>
    </row>
    <row r="9" spans="2:14" x14ac:dyDescent="0.3">
      <c r="B9" t="s">
        <v>51</v>
      </c>
      <c r="C9" t="s">
        <v>13</v>
      </c>
    </row>
    <row r="10" spans="2:14" x14ac:dyDescent="0.3">
      <c r="B10" t="s">
        <v>14</v>
      </c>
      <c r="C10" t="s">
        <v>15</v>
      </c>
    </row>
    <row r="11" spans="2:14" x14ac:dyDescent="0.3">
      <c r="B11" t="s">
        <v>16</v>
      </c>
      <c r="C11" t="s">
        <v>17</v>
      </c>
    </row>
    <row r="12" spans="2:14" x14ac:dyDescent="0.3">
      <c r="B12" t="s">
        <v>18</v>
      </c>
      <c r="C12" t="s">
        <v>22</v>
      </c>
    </row>
    <row r="13" spans="2:14" x14ac:dyDescent="0.3">
      <c r="B13" t="s">
        <v>20</v>
      </c>
      <c r="C13" t="s">
        <v>21</v>
      </c>
    </row>
    <row r="14" spans="2:14" x14ac:dyDescent="0.3">
      <c r="B14" t="s">
        <v>23</v>
      </c>
      <c r="C14" t="s">
        <v>19</v>
      </c>
    </row>
    <row r="15" spans="2:14" x14ac:dyDescent="0.3">
      <c r="B15" t="s">
        <v>24</v>
      </c>
      <c r="C15" t="s">
        <v>25</v>
      </c>
    </row>
    <row r="16" spans="2:14" x14ac:dyDescent="0.3">
      <c r="B16" t="s">
        <v>27</v>
      </c>
      <c r="C16" t="s">
        <v>26</v>
      </c>
    </row>
    <row r="17" spans="2:4" x14ac:dyDescent="0.3">
      <c r="B17" t="s">
        <v>28</v>
      </c>
      <c r="C17" t="s">
        <v>17</v>
      </c>
    </row>
    <row r="18" spans="2:4" x14ac:dyDescent="0.3">
      <c r="B18" t="s">
        <v>29</v>
      </c>
      <c r="C18" t="s">
        <v>52</v>
      </c>
    </row>
    <row r="19" spans="2:4" x14ac:dyDescent="0.3">
      <c r="B19" t="s">
        <v>30</v>
      </c>
      <c r="C19" t="s">
        <v>33</v>
      </c>
    </row>
    <row r="20" spans="2:4" x14ac:dyDescent="0.3">
      <c r="B20" t="s">
        <v>31</v>
      </c>
      <c r="C20" t="s">
        <v>34</v>
      </c>
    </row>
    <row r="21" spans="2:4" x14ac:dyDescent="0.3">
      <c r="B21" t="s">
        <v>35</v>
      </c>
      <c r="C21" t="s">
        <v>38</v>
      </c>
    </row>
    <row r="22" spans="2:4" x14ac:dyDescent="0.3">
      <c r="B22" t="s">
        <v>36</v>
      </c>
      <c r="C22" t="s">
        <v>39</v>
      </c>
    </row>
    <row r="23" spans="2:4" x14ac:dyDescent="0.3">
      <c r="B23" t="s">
        <v>37</v>
      </c>
      <c r="C23" t="s">
        <v>40</v>
      </c>
    </row>
    <row r="24" spans="2:4" x14ac:dyDescent="0.3">
      <c r="D24" s="5"/>
    </row>
  </sheetData>
  <mergeCells count="1">
    <mergeCell ref="B3:N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9ED2-1D45-4889-97E6-D54AD4A20A49}">
  <dimension ref="B2:BZ123"/>
  <sheetViews>
    <sheetView tabSelected="1" zoomScale="70" zoomScaleNormal="70" workbookViewId="0">
      <selection activeCell="L30" sqref="L30"/>
    </sheetView>
  </sheetViews>
  <sheetFormatPr baseColWidth="10" defaultRowHeight="14.4" x14ac:dyDescent="0.3"/>
  <cols>
    <col min="2" max="2" width="28.88671875" bestFit="1" customWidth="1"/>
    <col min="6" max="17" width="6.77734375" customWidth="1"/>
  </cols>
  <sheetData>
    <row r="2" spans="2:17" x14ac:dyDescent="0.3">
      <c r="B2" s="14" t="s">
        <v>1</v>
      </c>
      <c r="C2" s="14"/>
      <c r="D2" s="14"/>
    </row>
    <row r="3" spans="2:17" x14ac:dyDescent="0.3">
      <c r="B3" s="14"/>
      <c r="C3" s="14"/>
      <c r="D3" s="14"/>
    </row>
    <row r="4" spans="2:17" x14ac:dyDescent="0.3">
      <c r="B4" s="14" t="s">
        <v>6</v>
      </c>
      <c r="C4" s="14" t="s">
        <v>70</v>
      </c>
      <c r="D4" s="14" t="s">
        <v>4</v>
      </c>
    </row>
    <row r="5" spans="2:17" x14ac:dyDescent="0.3">
      <c r="B5" s="14" t="s">
        <v>7</v>
      </c>
      <c r="C5" s="14">
        <v>65</v>
      </c>
      <c r="D5" s="14" t="s">
        <v>3</v>
      </c>
    </row>
    <row r="6" spans="2:17" x14ac:dyDescent="0.3">
      <c r="B6" s="14" t="s">
        <v>8</v>
      </c>
      <c r="C6" s="14">
        <v>120</v>
      </c>
      <c r="D6" s="14" t="s">
        <v>4</v>
      </c>
    </row>
    <row r="7" spans="2:17" x14ac:dyDescent="0.3">
      <c r="B7" s="14" t="s">
        <v>9</v>
      </c>
      <c r="C7" s="14">
        <v>170</v>
      </c>
      <c r="D7" s="14" t="s">
        <v>4</v>
      </c>
    </row>
    <row r="8" spans="2:17" x14ac:dyDescent="0.3">
      <c r="B8" s="14" t="s">
        <v>10</v>
      </c>
      <c r="C8" s="16">
        <v>4530</v>
      </c>
      <c r="D8" s="14" t="s">
        <v>4</v>
      </c>
    </row>
    <row r="9" spans="2:17" x14ac:dyDescent="0.3">
      <c r="B9" s="14" t="s">
        <v>11</v>
      </c>
      <c r="C9" s="16">
        <v>3990</v>
      </c>
      <c r="D9" s="14" t="s">
        <v>4</v>
      </c>
    </row>
    <row r="10" spans="2:17" x14ac:dyDescent="0.3">
      <c r="B10" s="14" t="s">
        <v>72</v>
      </c>
      <c r="C10" s="14">
        <v>7</v>
      </c>
      <c r="D10" s="14" t="s">
        <v>12</v>
      </c>
    </row>
    <row r="11" spans="2:17" x14ac:dyDescent="0.3">
      <c r="B11" s="14" t="s">
        <v>55</v>
      </c>
      <c r="C11" s="14">
        <v>2.98</v>
      </c>
      <c r="D11" s="14" t="s">
        <v>46</v>
      </c>
    </row>
    <row r="12" spans="2:17" x14ac:dyDescent="0.3">
      <c r="B12" s="14" t="s">
        <v>56</v>
      </c>
      <c r="C12" s="14">
        <v>2.65</v>
      </c>
      <c r="D12" s="14" t="s">
        <v>46</v>
      </c>
    </row>
    <row r="14" spans="2:17" x14ac:dyDescent="0.3">
      <c r="B14" s="3" t="s">
        <v>57</v>
      </c>
      <c r="F14" s="3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2:17" x14ac:dyDescent="0.3">
      <c r="B15" s="14" t="s">
        <v>58</v>
      </c>
      <c r="C15" s="14">
        <v>4</v>
      </c>
      <c r="D15" s="14" t="s">
        <v>4</v>
      </c>
      <c r="F15" s="3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2:17" x14ac:dyDescent="0.3">
      <c r="B16" s="14" t="s">
        <v>59</v>
      </c>
      <c r="C16" s="14">
        <v>4</v>
      </c>
      <c r="D16" s="14" t="s">
        <v>4</v>
      </c>
      <c r="F16" s="3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2:17" x14ac:dyDescent="0.3">
      <c r="B17" s="14" t="s">
        <v>2</v>
      </c>
      <c r="C17" s="15">
        <v>1.2</v>
      </c>
      <c r="D17" s="14" t="s">
        <v>4</v>
      </c>
      <c r="F17" s="3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2:17" x14ac:dyDescent="0.3">
      <c r="B18" t="s">
        <v>60</v>
      </c>
      <c r="C18" s="8">
        <f>C17/SIN(C5*PI()/180)</f>
        <v>1.32405350275499</v>
      </c>
      <c r="D18" t="s">
        <v>4</v>
      </c>
      <c r="F18" s="3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2:17" x14ac:dyDescent="0.3">
      <c r="B19" t="s">
        <v>61</v>
      </c>
      <c r="C19" s="8">
        <f>C16/TAN(C5*PI()/180)</f>
        <v>1.8652306326199943</v>
      </c>
      <c r="D19" t="s">
        <v>4</v>
      </c>
      <c r="F19" s="3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2:17" x14ac:dyDescent="0.3">
      <c r="B20" t="s">
        <v>62</v>
      </c>
      <c r="C20" s="8">
        <f>C15-C19</f>
        <v>2.1347693673800059</v>
      </c>
      <c r="D20" t="s">
        <v>4</v>
      </c>
      <c r="F20" s="3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2:17" x14ac:dyDescent="0.3">
      <c r="B21" t="s">
        <v>63</v>
      </c>
      <c r="C21" s="8">
        <f>C18-C20</f>
        <v>-0.81071586462501588</v>
      </c>
      <c r="D21" t="s">
        <v>4</v>
      </c>
      <c r="F21" s="3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2:17" x14ac:dyDescent="0.3">
      <c r="C22" s="7"/>
      <c r="F22" s="3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2:17" x14ac:dyDescent="0.3">
      <c r="B23" t="s">
        <v>65</v>
      </c>
      <c r="C23">
        <f>C15*C16</f>
        <v>16</v>
      </c>
      <c r="D23" t="s">
        <v>47</v>
      </c>
      <c r="F23" s="3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2:17" x14ac:dyDescent="0.3">
      <c r="B24" t="s">
        <v>71</v>
      </c>
      <c r="C24" s="7">
        <f>IF(C21&lt;=0,C18*C16,IF(C18&gt;C20,C18*C16-C21*C21*TAN(C5*PI()/180)/2,((C15+C20)/2)*C16))</f>
        <v>5.29621401101996</v>
      </c>
      <c r="D24" t="s">
        <v>47</v>
      </c>
      <c r="F24" s="3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2:17" x14ac:dyDescent="0.3">
      <c r="B25" t="s">
        <v>64</v>
      </c>
      <c r="C25" s="7">
        <f>C23-C24</f>
        <v>10.703785988980041</v>
      </c>
      <c r="D25" t="s">
        <v>47</v>
      </c>
      <c r="F25" s="3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2:17" x14ac:dyDescent="0.3">
      <c r="B26" t="s">
        <v>66</v>
      </c>
      <c r="C26" s="8">
        <f>C27+C28</f>
        <v>44.14775062363659</v>
      </c>
      <c r="D26" t="s">
        <v>69</v>
      </c>
      <c r="F26" s="3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2:17" x14ac:dyDescent="0.3">
      <c r="B27" t="s">
        <v>67</v>
      </c>
      <c r="C27" s="8">
        <f>C24*C11</f>
        <v>15.782717752839481</v>
      </c>
      <c r="D27" t="s">
        <v>69</v>
      </c>
      <c r="F27" s="3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2:17" x14ac:dyDescent="0.3">
      <c r="B28" t="s">
        <v>68</v>
      </c>
      <c r="C28" s="8">
        <f>C25*C12</f>
        <v>28.365032870797108</v>
      </c>
      <c r="D28" t="s">
        <v>69</v>
      </c>
      <c r="F28" s="3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2:17" x14ac:dyDescent="0.3">
      <c r="B29" s="3" t="s">
        <v>0</v>
      </c>
      <c r="C29" s="10">
        <f>C28/C26</f>
        <v>0.6425023352290693</v>
      </c>
      <c r="G29" s="9"/>
      <c r="H29" s="9"/>
      <c r="I29" s="9"/>
      <c r="J29" s="9"/>
      <c r="K29" s="9"/>
      <c r="L29" s="9"/>
    </row>
    <row r="30" spans="2:17" x14ac:dyDescent="0.3">
      <c r="G30" s="9"/>
      <c r="H30" s="9"/>
      <c r="I30" s="9"/>
      <c r="J30" s="9"/>
      <c r="K30" s="9"/>
      <c r="L30" s="9"/>
    </row>
    <row r="31" spans="2:17" x14ac:dyDescent="0.3">
      <c r="B31" t="s">
        <v>73</v>
      </c>
      <c r="C31" s="8">
        <f>C18*C16*C11</f>
        <v>15.782717752839481</v>
      </c>
      <c r="G31" s="9"/>
      <c r="H31" s="9"/>
      <c r="I31" s="9"/>
      <c r="J31" s="9"/>
      <c r="K31" s="9"/>
      <c r="L31" s="9"/>
    </row>
    <row r="32" spans="2:17" x14ac:dyDescent="0.3">
      <c r="B32" s="3" t="s">
        <v>74</v>
      </c>
      <c r="C32" s="12">
        <f>C27/C31</f>
        <v>1</v>
      </c>
      <c r="G32" s="9"/>
      <c r="H32" s="9"/>
      <c r="I32" s="9"/>
      <c r="J32" s="9"/>
      <c r="K32" s="9"/>
      <c r="L32" s="9"/>
    </row>
    <row r="33" spans="2:17" x14ac:dyDescent="0.3">
      <c r="G33" s="9"/>
      <c r="H33" s="9"/>
      <c r="I33" s="9"/>
      <c r="J33" s="9"/>
      <c r="K33" s="9"/>
      <c r="L33" s="9"/>
    </row>
    <row r="34" spans="2:17" x14ac:dyDescent="0.3"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3">
      <c r="B35" t="s">
        <v>75</v>
      </c>
      <c r="C35">
        <f>C6/C16</f>
        <v>30</v>
      </c>
      <c r="D35" t="s">
        <v>80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3">
      <c r="B36" t="s">
        <v>78</v>
      </c>
      <c r="C36">
        <v>60</v>
      </c>
      <c r="D36" t="s">
        <v>79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3">
      <c r="B37" t="s">
        <v>76</v>
      </c>
      <c r="C37" s="8">
        <f>C6/C36</f>
        <v>2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3">
      <c r="B38" t="s">
        <v>77</v>
      </c>
      <c r="C38">
        <f>C36/C16</f>
        <v>15</v>
      </c>
      <c r="D38" t="s">
        <v>81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x14ac:dyDescent="0.3">
      <c r="B39" t="s">
        <v>82</v>
      </c>
      <c r="C39">
        <v>5</v>
      </c>
      <c r="D39" t="s">
        <v>79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3">
      <c r="B40" t="s">
        <v>90</v>
      </c>
      <c r="C40">
        <v>5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3"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3">
      <c r="B42" t="s">
        <v>5</v>
      </c>
      <c r="C42" s="1">
        <f>C8-C9</f>
        <v>540</v>
      </c>
      <c r="D42" s="5">
        <v>0.15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3">
      <c r="B43" t="s">
        <v>83</v>
      </c>
      <c r="C43" s="13">
        <f>C42/SIN(ATAN(D42))</f>
        <v>3640.2747149082029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3"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3"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x14ac:dyDescent="0.3">
      <c r="B46" t="s">
        <v>84</v>
      </c>
      <c r="C46" s="8">
        <f>ATAN(D46)*180/PI()</f>
        <v>8.5307656099481335</v>
      </c>
      <c r="D46" s="5">
        <v>0.15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3">
      <c r="B47" t="s">
        <v>85</v>
      </c>
      <c r="C47" s="8">
        <f>C46*2</f>
        <v>17.061531219896267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x14ac:dyDescent="0.3">
      <c r="B48" t="s">
        <v>86</v>
      </c>
      <c r="C48" s="8">
        <f>C5-C46</f>
        <v>56.469234390051867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3">
      <c r="B49" t="s">
        <v>87</v>
      </c>
      <c r="C49" s="8">
        <f>180-C48-C47</f>
        <v>106.46923439005187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3">
      <c r="B50" t="s">
        <v>88</v>
      </c>
      <c r="C50" s="8">
        <f>SUM(C47:C49)</f>
        <v>180</v>
      </c>
    </row>
    <row r="51" spans="2:17" x14ac:dyDescent="0.3">
      <c r="B51" t="s">
        <v>89</v>
      </c>
      <c r="C51">
        <f>C16*C40</f>
        <v>20</v>
      </c>
      <c r="D51" t="s">
        <v>92</v>
      </c>
    </row>
    <row r="52" spans="2:17" x14ac:dyDescent="0.3">
      <c r="B52" t="s">
        <v>91</v>
      </c>
      <c r="C52" s="8">
        <f>C51/COS((90-C5)*PI()/180)</f>
        <v>22.067558379249835</v>
      </c>
      <c r="D52" t="s">
        <v>93</v>
      </c>
    </row>
    <row r="53" spans="2:17" x14ac:dyDescent="0.3">
      <c r="B53" t="s">
        <v>94</v>
      </c>
      <c r="C53" s="8">
        <f>C52*SIN(C49*PI()/180)/SIN(C47*PI()/180)</f>
        <v>72.127739102049219</v>
      </c>
    </row>
    <row r="54" spans="2:17" x14ac:dyDescent="0.3">
      <c r="B54" t="s">
        <v>95</v>
      </c>
      <c r="C54" s="8">
        <f>C52*SIN(C48*PI()/180)/SIN(C47*PI()/180)</f>
        <v>62.697250338995332</v>
      </c>
    </row>
    <row r="89" spans="53:56" x14ac:dyDescent="0.3">
      <c r="BA89">
        <f>ATAN(15/100)</f>
        <v>0.14888994760949725</v>
      </c>
      <c r="BB89">
        <f>BA89*180/PI()</f>
        <v>8.5307656099481335</v>
      </c>
      <c r="BC89">
        <f>90-BB89</f>
        <v>81.469234390051867</v>
      </c>
      <c r="BD89">
        <f>90+BB89</f>
        <v>98.530765609948133</v>
      </c>
    </row>
    <row r="122" spans="76:78" x14ac:dyDescent="0.3">
      <c r="BX122" t="s">
        <v>54</v>
      </c>
    </row>
    <row r="123" spans="76:78" x14ac:dyDescent="0.3">
      <c r="BX123">
        <f>SIN(BY123)</f>
        <v>0.90630778703664994</v>
      </c>
      <c r="BY123">
        <f>65*PI()/180</f>
        <v>1.1344640137963142</v>
      </c>
      <c r="BZ123">
        <f>3/BX123</f>
        <v>3.3101337568874754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E1</vt:lpstr>
      <vt:lpstr>E2</vt:lpstr>
      <vt:lpstr>E3</vt:lpstr>
      <vt:lpstr>OCF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Kellyn Cristobal</dc:creator>
  <cp:lastModifiedBy>Kellyn Cristobal</cp:lastModifiedBy>
  <dcterms:created xsi:type="dcterms:W3CDTF">2024-04-27T12:30:00Z</dcterms:created>
  <dcterms:modified xsi:type="dcterms:W3CDTF">2024-05-07T01:23:06Z</dcterms:modified>
</cp:coreProperties>
</file>