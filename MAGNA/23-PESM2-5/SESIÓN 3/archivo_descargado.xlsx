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urso Ideas Campus\Planeamiento y Programación del Mantenimiento\"/>
    </mc:Choice>
  </mc:AlternateContent>
  <xr:revisionPtr revIDLastSave="0" documentId="8_{E8F9686C-A15F-453D-BCE6-1F54FA87C520}" xr6:coauthVersionLast="47" xr6:coauthVersionMax="47" xr10:uidLastSave="{00000000-0000-0000-0000-000000000000}"/>
  <bookViews>
    <workbookView xWindow="-120" yWindow="-16320" windowWidth="29040" windowHeight="15840" xr2:uid="{8D5168C7-C99E-4A46-AFFD-60175397FA57}"/>
  </bookViews>
  <sheets>
    <sheet name="Proyeccion Horas" sheetId="1" r:id="rId1"/>
    <sheet name="Ordenamiento BL" sheetId="2" r:id="rId2"/>
    <sheet name="Programacion semanal" sheetId="3" r:id="rId3"/>
  </sheets>
  <definedNames>
    <definedName name="_xlnm._FilterDatabase" localSheetId="1" hidden="1">'Ordenamiento BL'!$K$3:$S$3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3" i="3" l="1"/>
  <c r="K22" i="3"/>
  <c r="P19" i="3"/>
  <c r="H19" i="3"/>
  <c r="B19" i="3"/>
  <c r="J17" i="3"/>
  <c r="K17" i="3" s="1"/>
  <c r="C17" i="3"/>
  <c r="J16" i="3"/>
  <c r="K16" i="3" s="1"/>
  <c r="L16" i="3" s="1"/>
  <c r="C13" i="3"/>
  <c r="H18" i="1"/>
  <c r="G18" i="1"/>
  <c r="F18" i="1"/>
  <c r="E18" i="1"/>
  <c r="B18" i="1"/>
  <c r="D18" i="1" s="1"/>
  <c r="D17" i="1"/>
  <c r="D16" i="1"/>
  <c r="D15" i="1"/>
  <c r="D14" i="1"/>
  <c r="D13" i="1"/>
  <c r="I12" i="1"/>
  <c r="D12" i="1"/>
  <c r="D11" i="1"/>
  <c r="I11" i="1" s="1"/>
  <c r="I10" i="1"/>
  <c r="D10" i="1"/>
  <c r="D9" i="1"/>
  <c r="I9" i="1" s="1"/>
  <c r="I8" i="1"/>
  <c r="D8" i="1"/>
  <c r="D7" i="1"/>
  <c r="I7" i="1" s="1"/>
  <c r="K4" i="1"/>
  <c r="I18" i="1" l="1"/>
  <c r="I20" i="1" l="1"/>
  <c r="L6" i="1"/>
  <c r="L7" i="1" s="1"/>
</calcChain>
</file>

<file path=xl/sharedStrings.xml><?xml version="1.0" encoding="utf-8"?>
<sst xmlns="http://schemas.openxmlformats.org/spreadsheetml/2006/main" count="317" uniqueCount="90">
  <si>
    <t>PROYECCION DE HORAS DISPONIBLES DEL PERSONAL</t>
  </si>
  <si>
    <t>SEMANA DEL</t>
  </si>
  <si>
    <t>AL</t>
  </si>
  <si>
    <t>Backlog - Actividades planificadas no realizadas</t>
  </si>
  <si>
    <t>CUADRILLA</t>
  </si>
  <si>
    <t>POR</t>
  </si>
  <si>
    <t>FECHA</t>
  </si>
  <si>
    <t>HH</t>
  </si>
  <si>
    <t>Especialidad</t>
  </si>
  <si>
    <t>Nro. Personas</t>
  </si>
  <si>
    <t>Horas Semana</t>
  </si>
  <si>
    <t>Horas Totales</t>
  </si>
  <si>
    <t>Permisos</t>
  </si>
  <si>
    <t>Entrena-miento</t>
  </si>
  <si>
    <t>Miscela-neos</t>
  </si>
  <si>
    <t>Semana Anterior</t>
  </si>
  <si>
    <t>Hrs. Disponibles</t>
  </si>
  <si>
    <t>HH/semana</t>
  </si>
  <si>
    <t>Mecánico</t>
  </si>
  <si>
    <t>Semana</t>
  </si>
  <si>
    <t>Soldador</t>
  </si>
  <si>
    <t>Maestranza</t>
  </si>
  <si>
    <t>Pintor</t>
  </si>
  <si>
    <t>Electrónico</t>
  </si>
  <si>
    <t>Ayudante</t>
  </si>
  <si>
    <t>TOTAL</t>
  </si>
  <si>
    <t>PRIMERO</t>
  </si>
  <si>
    <t>SEGUNDO</t>
  </si>
  <si>
    <t>OT Nro.</t>
  </si>
  <si>
    <t>Unidad</t>
  </si>
  <si>
    <t>Sistema</t>
  </si>
  <si>
    <t>Prioridad</t>
  </si>
  <si>
    <t>Tipo Trabajo</t>
  </si>
  <si>
    <t>Parada</t>
  </si>
  <si>
    <t>Nro. Personas y Especialidad</t>
  </si>
  <si>
    <t>Horas Estimadas</t>
  </si>
  <si>
    <t>Duracion Estimada</t>
  </si>
  <si>
    <t>001</t>
  </si>
  <si>
    <t>N00</t>
  </si>
  <si>
    <t>ZE</t>
  </si>
  <si>
    <t>1 soldador</t>
  </si>
  <si>
    <t>012</t>
  </si>
  <si>
    <t>N01</t>
  </si>
  <si>
    <t>BV</t>
  </si>
  <si>
    <t>1 soldador 1 ayudante</t>
  </si>
  <si>
    <t>009</t>
  </si>
  <si>
    <t>CP</t>
  </si>
  <si>
    <t>1 mecanico 1 ayudante</t>
  </si>
  <si>
    <t>002</t>
  </si>
  <si>
    <t>1 mecanico Jr</t>
  </si>
  <si>
    <t>004</t>
  </si>
  <si>
    <t>FC</t>
  </si>
  <si>
    <t>1 mecanico Jr 1 ayudante</t>
  </si>
  <si>
    <t>010</t>
  </si>
  <si>
    <t>IF</t>
  </si>
  <si>
    <t>003</t>
  </si>
  <si>
    <t>CV</t>
  </si>
  <si>
    <t>1 pintor</t>
  </si>
  <si>
    <t>006</t>
  </si>
  <si>
    <t>013</t>
  </si>
  <si>
    <t>2 mecanico Jrs</t>
  </si>
  <si>
    <t>005</t>
  </si>
  <si>
    <t>1 mecanico Jr 2 ayudantes</t>
  </si>
  <si>
    <t>008</t>
  </si>
  <si>
    <t>JX</t>
  </si>
  <si>
    <t>007</t>
  </si>
  <si>
    <t>JC</t>
  </si>
  <si>
    <t>011</t>
  </si>
  <si>
    <t>CD</t>
  </si>
  <si>
    <t>HOJA DE PROGRAMACION</t>
  </si>
  <si>
    <t>Proyección</t>
  </si>
  <si>
    <t>HORAS QUE QUEDAN</t>
  </si>
  <si>
    <t>OT</t>
  </si>
  <si>
    <t>#12</t>
  </si>
  <si>
    <t>#4</t>
  </si>
  <si>
    <t>#6</t>
  </si>
  <si>
    <t>#2</t>
  </si>
  <si>
    <t>#5</t>
  </si>
  <si>
    <t>#9</t>
  </si>
  <si>
    <t>#7</t>
  </si>
  <si>
    <t>#11</t>
  </si>
  <si>
    <t>#3</t>
  </si>
  <si>
    <t>0*</t>
  </si>
  <si>
    <t>Para la semana siguiente</t>
  </si>
  <si>
    <t>Mecanico Jr</t>
  </si>
  <si>
    <t>Mec Jr</t>
  </si>
  <si>
    <t>Ayud</t>
  </si>
  <si>
    <t>Lunes</t>
  </si>
  <si>
    <t>Mecanico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</si>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</sst>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0" fillId="4" borderId="9" xfId="0" applyFill="1" applyBorder="1"/>
    <xf numFmtId="0" fontId="2" fillId="5" borderId="10" xfId="0" applyFont="1" applyFill="1" applyBorder="1"/>
    <xf numFmtId="0" fontId="0" fillId="0" borderId="10" xfId="0" applyBorder="1"/>
    <xf numFmtId="0" fontId="2" fillId="2" borderId="9" xfId="0" applyFont="1" applyFill="1" applyBorder="1"/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9" fontId="0" fillId="0" borderId="0" xfId="1" applyFont="1"/>
    <xf numFmtId="0" fontId="0" fillId="6" borderId="0" xfId="0" applyFill="1"/>
    <xf numFmtId="0" fontId="0" fillId="7" borderId="0" xfId="0" applyFill="1"/>
    <xf numFmtId="0" fontId="0" fillId="0" borderId="7" xfId="0" applyBorder="1" applyAlignment="1">
      <alignment horizontal="center" wrapText="1"/>
    </xf>
    <xf numFmtId="0" fontId="0" fillId="0" borderId="0" xfId="0" applyAlignment="1">
      <alignment wrapText="1"/>
    </xf>
    <xf numFmtId="0" fontId="0" fillId="6" borderId="7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6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6" borderId="0" xfId="0" applyFill="1" applyAlignment="1">
      <alignment horizontal="right" wrapText="1"/>
    </xf>
    <xf numFmtId="0" fontId="0" fillId="8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0" fillId="7" borderId="0" xfId="0" quotePrefix="1" applyFill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0" fillId="4" borderId="0" xfId="0" applyFill="1"/>
    <xf numFmtId="0" fontId="0" fillId="2" borderId="0" xfId="0" applyFill="1"/>
    <xf numFmtId="0" fontId="0" fillId="11" borderId="0" xfId="0" applyFill="1"/>
    <xf numFmtId="0" fontId="0" fillId="12" borderId="0" xfId="0" applyFill="1"/>
    <xf numFmtId="0" fontId="0" fillId="10" borderId="9" xfId="0" applyFill="1" applyBorder="1"/>
    <xf numFmtId="0" fontId="0" fillId="10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5</xdr:col>
      <xdr:colOff>654674</xdr:colOff>
      <xdr:row>54</xdr:row>
      <xdr:rowOff>45228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39150E-A169-4958-A265-133C7335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91375"/>
          <a:ext cx="4464674" cy="529350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11</xdr:col>
      <xdr:colOff>495921</xdr:colOff>
      <xdr:row>54</xdr:row>
      <xdr:rowOff>159544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0037D2-2C57-4385-B95B-B40C4E7E1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7191375"/>
          <a:ext cx="4486896" cy="540781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16</xdr:col>
      <xdr:colOff>857795</xdr:colOff>
      <xdr:row>52</xdr:row>
      <xdr:rowOff>159490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F2E5D4-DCB2-44A2-8C92-F9C00170C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24975" y="7191375"/>
          <a:ext cx="3981995" cy="50458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6</xdr:col>
      <xdr:colOff>48210</xdr:colOff>
      <xdr:row>61</xdr:row>
      <xdr:rowOff>115060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039FDD-C448-44B2-A1F5-EE6AF679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2175"/>
          <a:ext cx="4207460" cy="51823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695917</xdr:colOff>
      <xdr:row>62</xdr:row>
      <xdr:rowOff>10297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9A43B4-B003-43A1-94E7-31A3673C8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4425" y="5972175"/>
          <a:ext cx="4312242" cy="5255397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238125</xdr:colOff>
      <xdr:row>32</xdr:row>
      <xdr:rowOff>114300</xdr:rowOff>
    </xdr:from>
    <xdr:to>
      <xdr:col>25</xdr:col>
      <xdr:colOff>600661</xdr:colOff>
      <xdr:row>62</xdr:row>
      <xdr:rowOff>38887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0A733F-5AF8-4959-8D85-EC57214AA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78875" y="5905500"/>
          <a:ext cx="4286836" cy="535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BB20-F466-48EA-88F2-2B165410B413}">
  <dimension ref="A1:M20"/>
  <sheetViews>
    <sheetView tabSelected="1" workbookViewId="0">
      <selection activeCell="I18" sqref="I18"/>
    </sheetView>
  </sheetViews>
  <sheetFormatPr baseColWidth="10" defaultRowHeight="14.5" x14ac:dyDescent="0.35"/>
  <cols>
    <col min="1" max="1" width="13.26953125" customWidth="1"/>
  </cols>
  <sheetData>
    <row r="1" spans="1:13" ht="15" thickBot="1" x14ac:dyDescent="0.4"/>
    <row r="2" spans="1:13" ht="18.5" x14ac:dyDescent="0.45">
      <c r="A2" s="1" t="s">
        <v>0</v>
      </c>
      <c r="B2" s="2"/>
      <c r="C2" s="2"/>
      <c r="D2" s="2"/>
      <c r="E2" s="2"/>
      <c r="F2" s="2"/>
      <c r="G2" s="2"/>
      <c r="H2" s="2"/>
      <c r="I2" s="3"/>
    </row>
    <row r="3" spans="1:13" x14ac:dyDescent="0.35">
      <c r="A3" s="4" t="s">
        <v>1</v>
      </c>
      <c r="B3" s="5"/>
      <c r="D3" t="s">
        <v>2</v>
      </c>
      <c r="E3" s="5"/>
      <c r="I3" s="6"/>
      <c r="K3" t="s">
        <v>3</v>
      </c>
    </row>
    <row r="4" spans="1:13" x14ac:dyDescent="0.35">
      <c r="A4" s="4" t="s">
        <v>4</v>
      </c>
      <c r="B4" s="5"/>
      <c r="D4" t="s">
        <v>5</v>
      </c>
      <c r="E4" s="7"/>
      <c r="G4" t="s">
        <v>6</v>
      </c>
      <c r="H4" s="5"/>
      <c r="I4" s="6"/>
      <c r="K4">
        <f>2800</f>
        <v>2800</v>
      </c>
      <c r="L4" t="s">
        <v>7</v>
      </c>
    </row>
    <row r="5" spans="1:13" x14ac:dyDescent="0.35">
      <c r="A5" s="4"/>
      <c r="I5" s="6"/>
    </row>
    <row r="6" spans="1:13" s="13" customFormat="1" ht="29" x14ac:dyDescent="0.35">
      <c r="A6" s="8" t="s">
        <v>8</v>
      </c>
      <c r="B6" s="9" t="s">
        <v>9</v>
      </c>
      <c r="C6" s="9" t="s">
        <v>10</v>
      </c>
      <c r="D6" s="10" t="s">
        <v>11</v>
      </c>
      <c r="E6" s="9" t="s">
        <v>12</v>
      </c>
      <c r="F6" s="9" t="s">
        <v>13</v>
      </c>
      <c r="G6" s="9" t="s">
        <v>14</v>
      </c>
      <c r="H6" s="11" t="s">
        <v>15</v>
      </c>
      <c r="I6" s="12" t="s">
        <v>16</v>
      </c>
      <c r="K6" s="13" t="s">
        <v>16</v>
      </c>
      <c r="L6" s="13">
        <f>I18</f>
        <v>455</v>
      </c>
      <c r="M6" s="13" t="s">
        <v>17</v>
      </c>
    </row>
    <row r="7" spans="1:13" x14ac:dyDescent="0.35">
      <c r="A7" s="14" t="s">
        <v>18</v>
      </c>
      <c r="B7" s="15">
        <v>3</v>
      </c>
      <c r="C7" s="15">
        <v>40</v>
      </c>
      <c r="D7" s="16">
        <f>C7*B7</f>
        <v>120</v>
      </c>
      <c r="E7" s="15"/>
      <c r="F7" s="15"/>
      <c r="G7" s="17">
        <v>3</v>
      </c>
      <c r="H7" s="17">
        <v>10</v>
      </c>
      <c r="I7" s="18">
        <f>D7-SUM(E7:H7)</f>
        <v>107</v>
      </c>
      <c r="L7">
        <f>K4/L6</f>
        <v>6.1538461538461542</v>
      </c>
      <c r="M7" t="s">
        <v>19</v>
      </c>
    </row>
    <row r="8" spans="1:13" x14ac:dyDescent="0.35">
      <c r="A8" s="14" t="s">
        <v>20</v>
      </c>
      <c r="B8" s="15">
        <v>2</v>
      </c>
      <c r="C8" s="15">
        <v>40</v>
      </c>
      <c r="D8" s="16">
        <f t="shared" ref="D8:D18" si="0">C8*B8</f>
        <v>80</v>
      </c>
      <c r="E8" s="17">
        <v>20</v>
      </c>
      <c r="F8" s="15"/>
      <c r="G8" s="17">
        <v>2</v>
      </c>
      <c r="H8" s="17">
        <v>20</v>
      </c>
      <c r="I8" s="18">
        <f t="shared" ref="I8:I12" si="1">D8-SUM(E8:H8)</f>
        <v>38</v>
      </c>
    </row>
    <row r="9" spans="1:13" x14ac:dyDescent="0.35">
      <c r="A9" s="14" t="s">
        <v>21</v>
      </c>
      <c r="B9" s="15">
        <v>2</v>
      </c>
      <c r="C9" s="15">
        <v>40</v>
      </c>
      <c r="D9" s="16">
        <f t="shared" si="0"/>
        <v>80</v>
      </c>
      <c r="E9" s="15"/>
      <c r="F9" s="15"/>
      <c r="G9" s="17">
        <v>2</v>
      </c>
      <c r="H9" s="17">
        <v>10</v>
      </c>
      <c r="I9" s="18">
        <f t="shared" si="1"/>
        <v>68</v>
      </c>
    </row>
    <row r="10" spans="1:13" x14ac:dyDescent="0.35">
      <c r="A10" s="14" t="s">
        <v>22</v>
      </c>
      <c r="B10" s="15">
        <v>0</v>
      </c>
      <c r="C10" s="15">
        <v>40</v>
      </c>
      <c r="D10" s="16">
        <f t="shared" si="0"/>
        <v>0</v>
      </c>
      <c r="E10" s="15"/>
      <c r="F10" s="15"/>
      <c r="G10" s="15"/>
      <c r="H10" s="15"/>
      <c r="I10" s="18">
        <f t="shared" si="1"/>
        <v>0</v>
      </c>
    </row>
    <row r="11" spans="1:13" x14ac:dyDescent="0.35">
      <c r="A11" s="14" t="s">
        <v>23</v>
      </c>
      <c r="B11" s="15">
        <v>3</v>
      </c>
      <c r="C11" s="15">
        <v>40</v>
      </c>
      <c r="D11" s="16">
        <f t="shared" si="0"/>
        <v>120</v>
      </c>
      <c r="E11" s="15"/>
      <c r="F11" s="15"/>
      <c r="G11" s="17">
        <v>3</v>
      </c>
      <c r="H11" s="17">
        <v>10</v>
      </c>
      <c r="I11" s="18">
        <f t="shared" si="1"/>
        <v>107</v>
      </c>
    </row>
    <row r="12" spans="1:13" x14ac:dyDescent="0.35">
      <c r="A12" s="14" t="s">
        <v>24</v>
      </c>
      <c r="B12" s="15">
        <v>5</v>
      </c>
      <c r="C12" s="15">
        <v>40</v>
      </c>
      <c r="D12" s="16">
        <f t="shared" si="0"/>
        <v>200</v>
      </c>
      <c r="E12" s="15"/>
      <c r="F12" s="17">
        <v>30</v>
      </c>
      <c r="G12" s="17">
        <v>5</v>
      </c>
      <c r="H12" s="17">
        <v>30</v>
      </c>
      <c r="I12" s="18">
        <f t="shared" si="1"/>
        <v>135</v>
      </c>
    </row>
    <row r="13" spans="1:13" x14ac:dyDescent="0.35">
      <c r="A13" s="14"/>
      <c r="B13" s="15"/>
      <c r="C13" s="15"/>
      <c r="D13" s="16">
        <f t="shared" si="0"/>
        <v>0</v>
      </c>
      <c r="E13" s="15"/>
      <c r="F13" s="15"/>
      <c r="G13" s="15"/>
      <c r="H13" s="15"/>
      <c r="I13" s="19"/>
    </row>
    <row r="14" spans="1:13" x14ac:dyDescent="0.35">
      <c r="A14" s="14"/>
      <c r="B14" s="15"/>
      <c r="C14" s="15"/>
      <c r="D14" s="16">
        <f t="shared" si="0"/>
        <v>0</v>
      </c>
      <c r="E14" s="15"/>
      <c r="F14" s="15"/>
      <c r="G14" s="15"/>
      <c r="H14" s="15"/>
      <c r="I14" s="19"/>
    </row>
    <row r="15" spans="1:13" x14ac:dyDescent="0.35">
      <c r="A15" s="14"/>
      <c r="B15" s="15"/>
      <c r="C15" s="15"/>
      <c r="D15" s="16">
        <f t="shared" si="0"/>
        <v>0</v>
      </c>
      <c r="E15" s="15"/>
      <c r="F15" s="15"/>
      <c r="G15" s="15"/>
      <c r="H15" s="15"/>
      <c r="I15" s="19"/>
    </row>
    <row r="16" spans="1:13" x14ac:dyDescent="0.35">
      <c r="A16" s="14"/>
      <c r="B16" s="15"/>
      <c r="C16" s="15"/>
      <c r="D16" s="16">
        <f t="shared" si="0"/>
        <v>0</v>
      </c>
      <c r="E16" s="15"/>
      <c r="F16" s="15"/>
      <c r="G16" s="15"/>
      <c r="H16" s="15"/>
      <c r="I16" s="19"/>
    </row>
    <row r="17" spans="1:9" x14ac:dyDescent="0.35">
      <c r="A17" s="14"/>
      <c r="B17" s="15"/>
      <c r="C17" s="15"/>
      <c r="D17" s="16">
        <f t="shared" si="0"/>
        <v>0</v>
      </c>
      <c r="E17" s="15"/>
      <c r="F17" s="15"/>
      <c r="G17" s="15"/>
      <c r="H17" s="15"/>
      <c r="I17" s="19"/>
    </row>
    <row r="18" spans="1:9" x14ac:dyDescent="0.35">
      <c r="A18" s="14" t="s">
        <v>25</v>
      </c>
      <c r="B18" s="15">
        <f>SUM(B7:B17)</f>
        <v>15</v>
      </c>
      <c r="C18" s="15">
        <v>40</v>
      </c>
      <c r="D18" s="20">
        <f t="shared" si="0"/>
        <v>600</v>
      </c>
      <c r="E18" s="15">
        <f>SUM(E7:E17)</f>
        <v>20</v>
      </c>
      <c r="F18" s="15">
        <f>SUM(F7:F17)</f>
        <v>30</v>
      </c>
      <c r="G18" s="15">
        <f>SUM(G7:G17)</f>
        <v>15</v>
      </c>
      <c r="H18" s="15">
        <f>SUM(H7:H17)</f>
        <v>80</v>
      </c>
      <c r="I18" s="21">
        <f>SUM(I7:I17)</f>
        <v>455</v>
      </c>
    </row>
    <row r="19" spans="1:9" ht="15" thickBot="1" x14ac:dyDescent="0.4">
      <c r="A19" s="22"/>
      <c r="B19" s="23"/>
      <c r="C19" s="23"/>
      <c r="D19" s="23"/>
      <c r="E19" s="23"/>
      <c r="F19" s="23"/>
      <c r="G19" s="23"/>
      <c r="H19" s="23"/>
      <c r="I19" s="24"/>
    </row>
    <row r="20" spans="1:9" x14ac:dyDescent="0.35">
      <c r="I20" s="25">
        <f>I18/D18</f>
        <v>0.7583333333333333</v>
      </c>
    </row>
  </sheetData>
  <mergeCells count="1">
    <mergeCell ref="A2:I2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87529-1932-4AFD-96EA-A42370283948}">
  <dimension ref="A2:AM16"/>
  <sheetViews>
    <sheetView topLeftCell="L1" zoomScale="110" zoomScaleNormal="110" workbookViewId="0">
      <selection activeCell="I18" sqref="I18"/>
    </sheetView>
  </sheetViews>
  <sheetFormatPr baseColWidth="10" defaultRowHeight="14.5" x14ac:dyDescent="0.35"/>
  <cols>
    <col min="7" max="7" width="13.54296875" customWidth="1"/>
    <col min="14" max="14" width="10.90625" style="26"/>
    <col min="15" max="15" width="10.90625" style="27"/>
    <col min="17" max="17" width="17.26953125" customWidth="1"/>
    <col min="18" max="18" width="10.90625" style="26"/>
    <col min="27" max="27" width="17" customWidth="1"/>
    <col min="37" max="37" width="17" customWidth="1"/>
  </cols>
  <sheetData>
    <row r="2" spans="1:39" x14ac:dyDescent="0.35">
      <c r="N2" s="26" t="s">
        <v>26</v>
      </c>
      <c r="R2" s="26" t="s">
        <v>27</v>
      </c>
    </row>
    <row r="3" spans="1:39" s="29" customFormat="1" ht="29" x14ac:dyDescent="0.35">
      <c r="A3" s="28" t="s">
        <v>28</v>
      </c>
      <c r="B3" s="28" t="s">
        <v>29</v>
      </c>
      <c r="C3" s="28" t="s">
        <v>30</v>
      </c>
      <c r="D3" s="28" t="s">
        <v>31</v>
      </c>
      <c r="E3" s="28" t="s">
        <v>32</v>
      </c>
      <c r="F3" s="28" t="s">
        <v>33</v>
      </c>
      <c r="G3" s="28" t="s">
        <v>34</v>
      </c>
      <c r="H3" s="28" t="s">
        <v>35</v>
      </c>
      <c r="I3" s="28" t="s">
        <v>36</v>
      </c>
      <c r="K3" s="28" t="s">
        <v>28</v>
      </c>
      <c r="L3" s="28" t="s">
        <v>29</v>
      </c>
      <c r="M3" s="28" t="s">
        <v>30</v>
      </c>
      <c r="N3" s="30" t="s">
        <v>31</v>
      </c>
      <c r="O3" s="31" t="s">
        <v>32</v>
      </c>
      <c r="P3" s="28" t="s">
        <v>33</v>
      </c>
      <c r="Q3" s="28" t="s">
        <v>34</v>
      </c>
      <c r="R3" s="30" t="s">
        <v>35</v>
      </c>
      <c r="S3" s="28" t="s">
        <v>36</v>
      </c>
      <c r="U3" s="28" t="s">
        <v>28</v>
      </c>
      <c r="V3" s="28" t="s">
        <v>29</v>
      </c>
      <c r="W3" s="28" t="s">
        <v>30</v>
      </c>
      <c r="X3" s="28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E3" s="28" t="s">
        <v>28</v>
      </c>
      <c r="AF3" s="28" t="s">
        <v>29</v>
      </c>
      <c r="AG3" s="28" t="s">
        <v>30</v>
      </c>
      <c r="AH3" s="28" t="s">
        <v>31</v>
      </c>
      <c r="AI3" s="28" t="s">
        <v>32</v>
      </c>
      <c r="AJ3" s="28" t="s">
        <v>33</v>
      </c>
      <c r="AK3" s="28" t="s">
        <v>34</v>
      </c>
      <c r="AL3" s="28" t="s">
        <v>35</v>
      </c>
      <c r="AM3" s="28" t="s">
        <v>36</v>
      </c>
    </row>
    <row r="4" spans="1:39" ht="29" x14ac:dyDescent="0.35">
      <c r="A4" s="32" t="s">
        <v>37</v>
      </c>
      <c r="B4" s="33" t="s">
        <v>38</v>
      </c>
      <c r="C4" s="33" t="s">
        <v>39</v>
      </c>
      <c r="D4" s="33">
        <v>4</v>
      </c>
      <c r="E4" s="33">
        <v>5</v>
      </c>
      <c r="F4" s="33">
        <v>0</v>
      </c>
      <c r="G4" s="29" t="s">
        <v>40</v>
      </c>
      <c r="H4" s="34">
        <v>35</v>
      </c>
      <c r="I4" s="34">
        <v>35</v>
      </c>
      <c r="K4" s="32" t="s">
        <v>41</v>
      </c>
      <c r="L4" s="33" t="s">
        <v>42</v>
      </c>
      <c r="M4" s="33" t="s">
        <v>43</v>
      </c>
      <c r="N4" s="35">
        <v>1</v>
      </c>
      <c r="O4" s="36">
        <v>5</v>
      </c>
      <c r="P4" s="33">
        <v>0</v>
      </c>
      <c r="Q4" s="29" t="s">
        <v>44</v>
      </c>
      <c r="R4" s="37">
        <v>16</v>
      </c>
      <c r="S4" s="34">
        <v>8</v>
      </c>
      <c r="U4" s="32" t="s">
        <v>41</v>
      </c>
      <c r="V4" s="33" t="s">
        <v>42</v>
      </c>
      <c r="W4" s="33" t="s">
        <v>43</v>
      </c>
      <c r="X4" s="33">
        <v>1</v>
      </c>
      <c r="Y4" s="33">
        <v>5</v>
      </c>
      <c r="Z4" s="33">
        <v>0</v>
      </c>
      <c r="AA4" s="29" t="s">
        <v>44</v>
      </c>
      <c r="AB4" s="34">
        <v>16</v>
      </c>
      <c r="AC4" s="34">
        <v>8</v>
      </c>
      <c r="AE4" s="32" t="s">
        <v>45</v>
      </c>
      <c r="AF4" s="33" t="s">
        <v>42</v>
      </c>
      <c r="AG4" s="38" t="s">
        <v>46</v>
      </c>
      <c r="AH4" s="33">
        <v>4</v>
      </c>
      <c r="AI4" s="33">
        <v>5</v>
      </c>
      <c r="AJ4" s="33">
        <v>0</v>
      </c>
      <c r="AK4" s="29" t="s">
        <v>47</v>
      </c>
      <c r="AL4" s="34">
        <v>4</v>
      </c>
      <c r="AM4" s="34">
        <v>2</v>
      </c>
    </row>
    <row r="5" spans="1:39" ht="29" x14ac:dyDescent="0.35">
      <c r="A5" s="32" t="s">
        <v>48</v>
      </c>
      <c r="B5" s="33" t="s">
        <v>42</v>
      </c>
      <c r="C5" s="33" t="s">
        <v>46</v>
      </c>
      <c r="D5" s="33">
        <v>1</v>
      </c>
      <c r="E5" s="33">
        <v>5</v>
      </c>
      <c r="F5" s="33">
        <v>0</v>
      </c>
      <c r="G5" s="29" t="s">
        <v>49</v>
      </c>
      <c r="H5" s="34">
        <v>10</v>
      </c>
      <c r="I5" s="34">
        <v>10</v>
      </c>
      <c r="K5" s="32" t="s">
        <v>50</v>
      </c>
      <c r="L5" s="33" t="s">
        <v>42</v>
      </c>
      <c r="M5" s="39" t="s">
        <v>51</v>
      </c>
      <c r="N5" s="35">
        <v>1</v>
      </c>
      <c r="O5" s="36">
        <v>5</v>
      </c>
      <c r="P5" s="33">
        <v>0</v>
      </c>
      <c r="Q5" s="29" t="s">
        <v>52</v>
      </c>
      <c r="R5" s="37">
        <v>14</v>
      </c>
      <c r="S5" s="34">
        <v>7</v>
      </c>
      <c r="U5" s="32" t="s">
        <v>50</v>
      </c>
      <c r="V5" s="33" t="s">
        <v>42</v>
      </c>
      <c r="W5" s="40" t="s">
        <v>51</v>
      </c>
      <c r="X5" s="33">
        <v>1</v>
      </c>
      <c r="Y5" s="33">
        <v>5</v>
      </c>
      <c r="Z5" s="33">
        <v>0</v>
      </c>
      <c r="AA5" s="29" t="s">
        <v>52</v>
      </c>
      <c r="AB5" s="34">
        <v>14</v>
      </c>
      <c r="AC5" s="34">
        <v>7</v>
      </c>
      <c r="AE5" s="32" t="s">
        <v>53</v>
      </c>
      <c r="AF5" s="33" t="s">
        <v>42</v>
      </c>
      <c r="AG5" s="41" t="s">
        <v>54</v>
      </c>
      <c r="AH5" s="33">
        <v>3</v>
      </c>
      <c r="AI5" s="33">
        <v>9</v>
      </c>
      <c r="AJ5" s="33">
        <v>0</v>
      </c>
      <c r="AK5" s="29" t="s">
        <v>52</v>
      </c>
      <c r="AL5" s="34">
        <v>6</v>
      </c>
      <c r="AM5" s="34">
        <v>3</v>
      </c>
    </row>
    <row r="6" spans="1:39" ht="29" x14ac:dyDescent="0.35">
      <c r="A6" s="32" t="s">
        <v>55</v>
      </c>
      <c r="B6" s="33" t="s">
        <v>42</v>
      </c>
      <c r="C6" s="33" t="s">
        <v>56</v>
      </c>
      <c r="D6" s="33">
        <v>3</v>
      </c>
      <c r="E6" s="33">
        <v>9</v>
      </c>
      <c r="F6" s="33">
        <v>0</v>
      </c>
      <c r="G6" s="29" t="s">
        <v>57</v>
      </c>
      <c r="H6" s="34">
        <v>40</v>
      </c>
      <c r="I6" s="34">
        <v>40</v>
      </c>
      <c r="K6" s="32" t="s">
        <v>48</v>
      </c>
      <c r="L6" s="33" t="s">
        <v>42</v>
      </c>
      <c r="M6" s="42" t="s">
        <v>46</v>
      </c>
      <c r="N6" s="35">
        <v>1</v>
      </c>
      <c r="O6" s="36">
        <v>5</v>
      </c>
      <c r="P6" s="33">
        <v>0</v>
      </c>
      <c r="Q6" s="29" t="s">
        <v>49</v>
      </c>
      <c r="R6" s="37">
        <v>10</v>
      </c>
      <c r="S6" s="34">
        <v>10</v>
      </c>
      <c r="U6" s="32" t="s">
        <v>58</v>
      </c>
      <c r="V6" s="33" t="s">
        <v>42</v>
      </c>
      <c r="W6" s="40" t="s">
        <v>51</v>
      </c>
      <c r="X6" s="33">
        <v>3</v>
      </c>
      <c r="Y6" s="33">
        <v>5</v>
      </c>
      <c r="Z6" s="33">
        <v>0</v>
      </c>
      <c r="AA6" s="29" t="s">
        <v>52</v>
      </c>
      <c r="AB6" s="34">
        <v>30</v>
      </c>
      <c r="AC6" s="34">
        <v>15</v>
      </c>
      <c r="AE6" s="32" t="s">
        <v>59</v>
      </c>
      <c r="AF6" s="33" t="s">
        <v>42</v>
      </c>
      <c r="AG6" s="41" t="s">
        <v>54</v>
      </c>
      <c r="AH6" s="33">
        <v>4</v>
      </c>
      <c r="AI6" s="33">
        <v>9</v>
      </c>
      <c r="AJ6" s="33">
        <v>0</v>
      </c>
      <c r="AK6" s="29" t="s">
        <v>60</v>
      </c>
      <c r="AL6" s="34">
        <v>6</v>
      </c>
      <c r="AM6" s="34">
        <v>3</v>
      </c>
    </row>
    <row r="7" spans="1:39" ht="29" x14ac:dyDescent="0.35">
      <c r="A7" s="32" t="s">
        <v>50</v>
      </c>
      <c r="B7" s="33" t="s">
        <v>42</v>
      </c>
      <c r="C7" s="33" t="s">
        <v>51</v>
      </c>
      <c r="D7" s="33">
        <v>1</v>
      </c>
      <c r="E7" s="33">
        <v>5</v>
      </c>
      <c r="F7" s="33">
        <v>0</v>
      </c>
      <c r="G7" s="29" t="s">
        <v>52</v>
      </c>
      <c r="H7" s="34">
        <v>14</v>
      </c>
      <c r="I7" s="34">
        <v>7</v>
      </c>
      <c r="K7" s="32" t="s">
        <v>61</v>
      </c>
      <c r="L7" s="33" t="s">
        <v>42</v>
      </c>
      <c r="M7" s="42" t="s">
        <v>46</v>
      </c>
      <c r="N7" s="35">
        <v>2</v>
      </c>
      <c r="O7" s="43">
        <v>7</v>
      </c>
      <c r="P7" s="33">
        <v>0</v>
      </c>
      <c r="Q7" s="29" t="s">
        <v>62</v>
      </c>
      <c r="R7" s="37">
        <v>18</v>
      </c>
      <c r="S7" s="34">
        <v>6</v>
      </c>
      <c r="U7" s="32" t="s">
        <v>48</v>
      </c>
      <c r="V7" s="33" t="s">
        <v>42</v>
      </c>
      <c r="W7" s="38" t="s">
        <v>46</v>
      </c>
      <c r="X7" s="33">
        <v>1</v>
      </c>
      <c r="Y7" s="33">
        <v>5</v>
      </c>
      <c r="Z7" s="33">
        <v>0</v>
      </c>
      <c r="AA7" s="29" t="s">
        <v>49</v>
      </c>
      <c r="AB7" s="34">
        <v>10</v>
      </c>
      <c r="AC7" s="34">
        <v>10</v>
      </c>
      <c r="AE7" s="32" t="s">
        <v>63</v>
      </c>
      <c r="AF7" s="33" t="s">
        <v>42</v>
      </c>
      <c r="AG7" s="33" t="s">
        <v>64</v>
      </c>
      <c r="AH7" s="33">
        <v>3</v>
      </c>
      <c r="AI7" s="33">
        <v>9</v>
      </c>
      <c r="AJ7" s="33">
        <v>0</v>
      </c>
      <c r="AK7" s="29" t="s">
        <v>57</v>
      </c>
      <c r="AL7" s="34">
        <v>4</v>
      </c>
      <c r="AM7" s="34">
        <v>4</v>
      </c>
    </row>
    <row r="8" spans="1:39" ht="29" x14ac:dyDescent="0.35">
      <c r="A8" s="32" t="s">
        <v>61</v>
      </c>
      <c r="B8" s="33" t="s">
        <v>42</v>
      </c>
      <c r="C8" s="33" t="s">
        <v>46</v>
      </c>
      <c r="D8" s="33">
        <v>2</v>
      </c>
      <c r="E8" s="39">
        <v>7</v>
      </c>
      <c r="F8" s="33">
        <v>0</v>
      </c>
      <c r="G8" s="29" t="s">
        <v>62</v>
      </c>
      <c r="H8" s="34">
        <v>18</v>
      </c>
      <c r="I8" s="34">
        <v>6</v>
      </c>
      <c r="K8" s="32" t="s">
        <v>65</v>
      </c>
      <c r="L8" s="33" t="s">
        <v>42</v>
      </c>
      <c r="M8" s="33" t="s">
        <v>66</v>
      </c>
      <c r="N8" s="35">
        <v>2</v>
      </c>
      <c r="O8" s="36">
        <v>5</v>
      </c>
      <c r="P8" s="33">
        <v>0</v>
      </c>
      <c r="Q8" s="29" t="s">
        <v>47</v>
      </c>
      <c r="R8" s="37">
        <v>40</v>
      </c>
      <c r="S8" s="34">
        <v>20</v>
      </c>
      <c r="U8" s="32" t="s">
        <v>61</v>
      </c>
      <c r="V8" s="33" t="s">
        <v>42</v>
      </c>
      <c r="W8" s="38" t="s">
        <v>46</v>
      </c>
      <c r="X8" s="33">
        <v>2</v>
      </c>
      <c r="Y8" s="33">
        <v>7</v>
      </c>
      <c r="Z8" s="33">
        <v>0</v>
      </c>
      <c r="AA8" s="29" t="s">
        <v>62</v>
      </c>
      <c r="AB8" s="34">
        <v>18</v>
      </c>
      <c r="AC8" s="34">
        <v>6</v>
      </c>
      <c r="AE8" s="44" t="s">
        <v>37</v>
      </c>
      <c r="AF8" s="36" t="s">
        <v>38</v>
      </c>
      <c r="AG8" s="36" t="s">
        <v>39</v>
      </c>
      <c r="AH8" s="36">
        <v>4</v>
      </c>
      <c r="AI8" s="36">
        <v>5</v>
      </c>
      <c r="AJ8" s="36">
        <v>0</v>
      </c>
      <c r="AK8" s="45" t="s">
        <v>40</v>
      </c>
      <c r="AL8" s="46">
        <v>35</v>
      </c>
      <c r="AM8" s="46">
        <v>35</v>
      </c>
    </row>
    <row r="9" spans="1:39" ht="29" x14ac:dyDescent="0.35">
      <c r="A9" s="32" t="s">
        <v>58</v>
      </c>
      <c r="B9" s="33" t="s">
        <v>42</v>
      </c>
      <c r="C9" s="33" t="s">
        <v>51</v>
      </c>
      <c r="D9" s="33">
        <v>3</v>
      </c>
      <c r="E9" s="33">
        <v>5</v>
      </c>
      <c r="F9" s="33">
        <v>0</v>
      </c>
      <c r="G9" s="29" t="s">
        <v>52</v>
      </c>
      <c r="H9" s="34">
        <v>30</v>
      </c>
      <c r="I9" s="34">
        <v>15</v>
      </c>
      <c r="K9" s="32" t="s">
        <v>67</v>
      </c>
      <c r="L9" s="33" t="s">
        <v>42</v>
      </c>
      <c r="M9" s="33" t="s">
        <v>68</v>
      </c>
      <c r="N9" s="35">
        <v>2</v>
      </c>
      <c r="O9" s="36">
        <v>8</v>
      </c>
      <c r="P9" s="33">
        <v>0</v>
      </c>
      <c r="Q9" s="29" t="s">
        <v>47</v>
      </c>
      <c r="R9" s="37">
        <v>20</v>
      </c>
      <c r="S9" s="34">
        <v>10</v>
      </c>
      <c r="U9" s="32" t="s">
        <v>45</v>
      </c>
      <c r="V9" s="33" t="s">
        <v>42</v>
      </c>
      <c r="W9" s="38" t="s">
        <v>46</v>
      </c>
      <c r="X9" s="33">
        <v>4</v>
      </c>
      <c r="Y9" s="33">
        <v>5</v>
      </c>
      <c r="Z9" s="33">
        <v>0</v>
      </c>
      <c r="AA9" s="29" t="s">
        <v>47</v>
      </c>
      <c r="AB9" s="34">
        <v>4</v>
      </c>
      <c r="AC9" s="34">
        <v>2</v>
      </c>
    </row>
    <row r="10" spans="1:39" ht="29" x14ac:dyDescent="0.35">
      <c r="A10" s="32" t="s">
        <v>65</v>
      </c>
      <c r="B10" s="33" t="s">
        <v>42</v>
      </c>
      <c r="C10" s="33" t="s">
        <v>66</v>
      </c>
      <c r="D10" s="33">
        <v>2</v>
      </c>
      <c r="E10" s="33">
        <v>5</v>
      </c>
      <c r="F10" s="33">
        <v>0</v>
      </c>
      <c r="G10" s="29" t="s">
        <v>47</v>
      </c>
      <c r="H10" s="34">
        <v>40</v>
      </c>
      <c r="I10" s="34">
        <v>20</v>
      </c>
      <c r="K10" s="32" t="s">
        <v>55</v>
      </c>
      <c r="L10" s="33" t="s">
        <v>42</v>
      </c>
      <c r="M10" s="33" t="s">
        <v>56</v>
      </c>
      <c r="N10" s="35">
        <v>3</v>
      </c>
      <c r="O10" s="36">
        <v>9</v>
      </c>
      <c r="P10" s="33">
        <v>0</v>
      </c>
      <c r="Q10" s="29" t="s">
        <v>57</v>
      </c>
      <c r="R10" s="37">
        <v>40</v>
      </c>
      <c r="S10" s="34">
        <v>40</v>
      </c>
      <c r="U10" s="32" t="s">
        <v>65</v>
      </c>
      <c r="V10" s="33" t="s">
        <v>42</v>
      </c>
      <c r="W10" s="33" t="s">
        <v>66</v>
      </c>
      <c r="X10" s="33">
        <v>2</v>
      </c>
      <c r="Y10" s="33">
        <v>5</v>
      </c>
      <c r="Z10" s="33">
        <v>0</v>
      </c>
      <c r="AA10" s="29" t="s">
        <v>47</v>
      </c>
      <c r="AB10" s="34">
        <v>40</v>
      </c>
      <c r="AC10" s="34">
        <v>20</v>
      </c>
    </row>
    <row r="11" spans="1:39" ht="29" x14ac:dyDescent="0.35">
      <c r="A11" s="32" t="s">
        <v>63</v>
      </c>
      <c r="B11" s="33" t="s">
        <v>42</v>
      </c>
      <c r="C11" s="33" t="s">
        <v>64</v>
      </c>
      <c r="D11" s="33">
        <v>3</v>
      </c>
      <c r="E11" s="33">
        <v>9</v>
      </c>
      <c r="F11" s="33">
        <v>0</v>
      </c>
      <c r="G11" s="29" t="s">
        <v>57</v>
      </c>
      <c r="H11" s="34">
        <v>4</v>
      </c>
      <c r="I11" s="34">
        <v>4</v>
      </c>
      <c r="K11" s="32" t="s">
        <v>58</v>
      </c>
      <c r="L11" s="33" t="s">
        <v>42</v>
      </c>
      <c r="M11" s="39" t="s">
        <v>51</v>
      </c>
      <c r="N11" s="35">
        <v>3</v>
      </c>
      <c r="O11" s="36">
        <v>5</v>
      </c>
      <c r="P11" s="33">
        <v>0</v>
      </c>
      <c r="Q11" s="29" t="s">
        <v>52</v>
      </c>
      <c r="R11" s="37">
        <v>30</v>
      </c>
      <c r="S11" s="34">
        <v>15</v>
      </c>
      <c r="U11" s="32" t="s">
        <v>67</v>
      </c>
      <c r="V11" s="33" t="s">
        <v>42</v>
      </c>
      <c r="W11" s="33" t="s">
        <v>68</v>
      </c>
      <c r="X11" s="33">
        <v>2</v>
      </c>
      <c r="Y11" s="33">
        <v>8</v>
      </c>
      <c r="Z11" s="33">
        <v>0</v>
      </c>
      <c r="AA11" s="29" t="s">
        <v>47</v>
      </c>
      <c r="AB11" s="34">
        <v>20</v>
      </c>
      <c r="AC11" s="34">
        <v>10</v>
      </c>
    </row>
    <row r="12" spans="1:39" ht="29" x14ac:dyDescent="0.35">
      <c r="A12" s="32" t="s">
        <v>45</v>
      </c>
      <c r="B12" s="33" t="s">
        <v>42</v>
      </c>
      <c r="C12" s="33" t="s">
        <v>46</v>
      </c>
      <c r="D12" s="33">
        <v>4</v>
      </c>
      <c r="E12" s="33">
        <v>5</v>
      </c>
      <c r="F12" s="33">
        <v>0</v>
      </c>
      <c r="G12" s="29" t="s">
        <v>47</v>
      </c>
      <c r="H12" s="34">
        <v>4</v>
      </c>
      <c r="I12" s="34">
        <v>2</v>
      </c>
      <c r="K12" s="32" t="s">
        <v>53</v>
      </c>
      <c r="L12" s="33" t="s">
        <v>42</v>
      </c>
      <c r="M12" s="33" t="s">
        <v>54</v>
      </c>
      <c r="N12" s="35">
        <v>3</v>
      </c>
      <c r="O12" s="36">
        <v>9</v>
      </c>
      <c r="P12" s="33">
        <v>0</v>
      </c>
      <c r="Q12" s="29" t="s">
        <v>52</v>
      </c>
      <c r="R12" s="37">
        <v>6</v>
      </c>
      <c r="S12" s="34">
        <v>3</v>
      </c>
      <c r="U12" s="32" t="s">
        <v>55</v>
      </c>
      <c r="V12" s="33" t="s">
        <v>42</v>
      </c>
      <c r="W12" s="33" t="s">
        <v>56</v>
      </c>
      <c r="X12" s="33">
        <v>3</v>
      </c>
      <c r="Y12" s="33">
        <v>9</v>
      </c>
      <c r="Z12" s="33">
        <v>0</v>
      </c>
      <c r="AA12" s="29" t="s">
        <v>57</v>
      </c>
      <c r="AB12" s="34">
        <v>40</v>
      </c>
      <c r="AC12" s="34">
        <v>40</v>
      </c>
    </row>
    <row r="13" spans="1:39" ht="29" x14ac:dyDescent="0.35">
      <c r="A13" s="32" t="s">
        <v>53</v>
      </c>
      <c r="B13" s="33" t="s">
        <v>42</v>
      </c>
      <c r="C13" s="33" t="s">
        <v>54</v>
      </c>
      <c r="D13" s="33">
        <v>3</v>
      </c>
      <c r="E13" s="33">
        <v>9</v>
      </c>
      <c r="F13" s="33">
        <v>0</v>
      </c>
      <c r="G13" s="29" t="s">
        <v>52</v>
      </c>
      <c r="H13" s="34">
        <v>6</v>
      </c>
      <c r="I13" s="34">
        <v>3</v>
      </c>
      <c r="K13" s="32" t="s">
        <v>63</v>
      </c>
      <c r="L13" s="33" t="s">
        <v>42</v>
      </c>
      <c r="M13" s="33" t="s">
        <v>64</v>
      </c>
      <c r="N13" s="35">
        <v>3</v>
      </c>
      <c r="O13" s="36">
        <v>9</v>
      </c>
      <c r="P13" s="33">
        <v>0</v>
      </c>
      <c r="Q13" s="29" t="s">
        <v>57</v>
      </c>
      <c r="R13" s="37">
        <v>4</v>
      </c>
      <c r="S13" s="34">
        <v>4</v>
      </c>
      <c r="U13" s="32" t="s">
        <v>53</v>
      </c>
      <c r="V13" s="33" t="s">
        <v>42</v>
      </c>
      <c r="W13" s="41" t="s">
        <v>54</v>
      </c>
      <c r="X13" s="33">
        <v>3</v>
      </c>
      <c r="Y13" s="33">
        <v>9</v>
      </c>
      <c r="Z13" s="33">
        <v>0</v>
      </c>
      <c r="AA13" s="29" t="s">
        <v>52</v>
      </c>
      <c r="AB13" s="34">
        <v>6</v>
      </c>
      <c r="AC13" s="34">
        <v>3</v>
      </c>
    </row>
    <row r="14" spans="1:39" ht="29" x14ac:dyDescent="0.35">
      <c r="A14" s="32" t="s">
        <v>67</v>
      </c>
      <c r="B14" s="33" t="s">
        <v>42</v>
      </c>
      <c r="C14" s="33" t="s">
        <v>68</v>
      </c>
      <c r="D14" s="33">
        <v>2</v>
      </c>
      <c r="E14" s="39">
        <v>8</v>
      </c>
      <c r="F14" s="33">
        <v>0</v>
      </c>
      <c r="G14" s="29" t="s">
        <v>47</v>
      </c>
      <c r="H14" s="34">
        <v>20</v>
      </c>
      <c r="I14" s="34">
        <v>10</v>
      </c>
      <c r="K14" s="32" t="s">
        <v>37</v>
      </c>
      <c r="L14" s="33" t="s">
        <v>38</v>
      </c>
      <c r="M14" s="33" t="s">
        <v>39</v>
      </c>
      <c r="N14" s="35">
        <v>4</v>
      </c>
      <c r="O14" s="36">
        <v>5</v>
      </c>
      <c r="P14" s="33">
        <v>0</v>
      </c>
      <c r="Q14" s="29" t="s">
        <v>40</v>
      </c>
      <c r="R14" s="37">
        <v>35</v>
      </c>
      <c r="S14" s="34">
        <v>35</v>
      </c>
      <c r="U14" s="32" t="s">
        <v>59</v>
      </c>
      <c r="V14" s="33" t="s">
        <v>42</v>
      </c>
      <c r="W14" s="41" t="s">
        <v>54</v>
      </c>
      <c r="X14" s="33">
        <v>4</v>
      </c>
      <c r="Y14" s="33">
        <v>9</v>
      </c>
      <c r="Z14" s="33">
        <v>0</v>
      </c>
      <c r="AA14" s="29" t="s">
        <v>60</v>
      </c>
      <c r="AB14" s="34">
        <v>6</v>
      </c>
      <c r="AC14" s="34">
        <v>3</v>
      </c>
    </row>
    <row r="15" spans="1:39" ht="29" x14ac:dyDescent="0.35">
      <c r="A15" s="32" t="s">
        <v>41</v>
      </c>
      <c r="B15" s="33" t="s">
        <v>42</v>
      </c>
      <c r="C15" s="33" t="s">
        <v>43</v>
      </c>
      <c r="D15" s="33">
        <v>1</v>
      </c>
      <c r="E15" s="33">
        <v>5</v>
      </c>
      <c r="F15" s="33">
        <v>0</v>
      </c>
      <c r="G15" s="29" t="s">
        <v>44</v>
      </c>
      <c r="H15" s="34">
        <v>16</v>
      </c>
      <c r="I15" s="34">
        <v>8</v>
      </c>
      <c r="K15" s="32" t="s">
        <v>59</v>
      </c>
      <c r="L15" s="33" t="s">
        <v>42</v>
      </c>
      <c r="M15" s="33" t="s">
        <v>54</v>
      </c>
      <c r="N15" s="35">
        <v>4</v>
      </c>
      <c r="O15" s="36">
        <v>9</v>
      </c>
      <c r="P15" s="33">
        <v>0</v>
      </c>
      <c r="Q15" s="29" t="s">
        <v>60</v>
      </c>
      <c r="R15" s="37">
        <v>6</v>
      </c>
      <c r="S15" s="34">
        <v>3</v>
      </c>
      <c r="U15" s="32" t="s">
        <v>63</v>
      </c>
      <c r="V15" s="33" t="s">
        <v>42</v>
      </c>
      <c r="W15" s="33" t="s">
        <v>64</v>
      </c>
      <c r="X15" s="33">
        <v>3</v>
      </c>
      <c r="Y15" s="33">
        <v>9</v>
      </c>
      <c r="Z15" s="33">
        <v>0</v>
      </c>
      <c r="AA15" s="29" t="s">
        <v>57</v>
      </c>
      <c r="AB15" s="34">
        <v>4</v>
      </c>
      <c r="AC15" s="34">
        <v>4</v>
      </c>
    </row>
    <row r="16" spans="1:39" ht="29" x14ac:dyDescent="0.35">
      <c r="A16" s="32" t="s">
        <v>59</v>
      </c>
      <c r="B16" s="33" t="s">
        <v>42</v>
      </c>
      <c r="C16" s="33" t="s">
        <v>54</v>
      </c>
      <c r="D16" s="33">
        <v>4</v>
      </c>
      <c r="E16" s="33">
        <v>9</v>
      </c>
      <c r="F16" s="33">
        <v>0</v>
      </c>
      <c r="G16" s="29" t="s">
        <v>60</v>
      </c>
      <c r="H16" s="34">
        <v>6</v>
      </c>
      <c r="I16" s="34">
        <v>3</v>
      </c>
      <c r="K16" s="32" t="s">
        <v>45</v>
      </c>
      <c r="L16" s="33" t="s">
        <v>42</v>
      </c>
      <c r="M16" s="42" t="s">
        <v>46</v>
      </c>
      <c r="N16" s="35">
        <v>4</v>
      </c>
      <c r="O16" s="36">
        <v>5</v>
      </c>
      <c r="P16" s="33">
        <v>0</v>
      </c>
      <c r="Q16" s="29" t="s">
        <v>47</v>
      </c>
      <c r="R16" s="37">
        <v>4</v>
      </c>
      <c r="S16" s="34">
        <v>2</v>
      </c>
      <c r="U16" s="44" t="s">
        <v>37</v>
      </c>
      <c r="V16" s="36" t="s">
        <v>38</v>
      </c>
      <c r="W16" s="36" t="s">
        <v>39</v>
      </c>
      <c r="X16" s="36">
        <v>4</v>
      </c>
      <c r="Y16" s="36">
        <v>5</v>
      </c>
      <c r="Z16" s="36">
        <v>0</v>
      </c>
      <c r="AA16" s="45" t="s">
        <v>40</v>
      </c>
      <c r="AB16" s="46">
        <v>35</v>
      </c>
      <c r="AC16" s="46">
        <v>35</v>
      </c>
    </row>
  </sheetData>
  <autoFilter ref="K3:S3" xr:uid="{246B8B9A-7A19-45C8-B327-B802E27FF2E7}">
    <sortState xmlns:xlrd2="http://schemas.microsoft.com/office/spreadsheetml/2017/richdata2" ref="K4:S16">
      <sortCondition ref="N3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1969-9581-48A7-8E4E-B8DE5C2DB56A}">
  <dimension ref="A3:AA28"/>
  <sheetViews>
    <sheetView workbookViewId="0">
      <selection activeCell="I18" sqref="I18"/>
    </sheetView>
  </sheetViews>
  <sheetFormatPr baseColWidth="10" defaultRowHeight="14.5" x14ac:dyDescent="0.35"/>
  <cols>
    <col min="3" max="3" width="5" customWidth="1"/>
    <col min="9" max="12" width="4.7265625" customWidth="1"/>
    <col min="17" max="25" width="3.81640625" customWidth="1"/>
  </cols>
  <sheetData>
    <row r="3" spans="1:27" x14ac:dyDescent="0.35">
      <c r="A3" s="47" t="s">
        <v>69</v>
      </c>
      <c r="B3" s="47"/>
      <c r="C3" s="47"/>
      <c r="D3" s="47"/>
      <c r="E3" s="47"/>
      <c r="F3" s="48"/>
      <c r="G3" s="47" t="s">
        <v>69</v>
      </c>
      <c r="H3" s="47"/>
      <c r="I3" s="47"/>
      <c r="J3" s="47"/>
      <c r="K3" s="47"/>
      <c r="O3" s="47" t="s">
        <v>69</v>
      </c>
      <c r="P3" s="47"/>
      <c r="Q3" s="47"/>
      <c r="R3" s="47"/>
      <c r="S3" s="47"/>
    </row>
    <row r="4" spans="1:27" x14ac:dyDescent="0.35">
      <c r="A4" s="4" t="s">
        <v>1</v>
      </c>
      <c r="B4" s="5"/>
      <c r="D4" t="s">
        <v>2</v>
      </c>
      <c r="E4" s="5"/>
      <c r="G4" s="4" t="s">
        <v>1</v>
      </c>
      <c r="H4" s="5"/>
      <c r="J4" t="s">
        <v>2</v>
      </c>
      <c r="K4" s="5"/>
      <c r="O4" s="4" t="s">
        <v>1</v>
      </c>
      <c r="P4" s="5"/>
      <c r="R4" t="s">
        <v>2</v>
      </c>
      <c r="S4" s="5"/>
    </row>
    <row r="5" spans="1:27" x14ac:dyDescent="0.35">
      <c r="A5" s="4" t="s">
        <v>4</v>
      </c>
      <c r="B5" s="5"/>
      <c r="D5" t="s">
        <v>5</v>
      </c>
      <c r="E5" s="7"/>
      <c r="G5" s="4" t="s">
        <v>4</v>
      </c>
      <c r="H5" s="5"/>
      <c r="J5" t="s">
        <v>5</v>
      </c>
      <c r="K5" s="7"/>
      <c r="O5" s="4" t="s">
        <v>4</v>
      </c>
      <c r="P5" s="5"/>
      <c r="R5" t="s">
        <v>5</v>
      </c>
      <c r="S5" s="7"/>
    </row>
    <row r="6" spans="1:27" x14ac:dyDescent="0.35">
      <c r="A6" t="s">
        <v>6</v>
      </c>
      <c r="G6" t="s">
        <v>6</v>
      </c>
      <c r="O6" t="s">
        <v>6</v>
      </c>
    </row>
    <row r="8" spans="1:27" x14ac:dyDescent="0.35">
      <c r="A8" s="49" t="s">
        <v>70</v>
      </c>
      <c r="C8" s="50" t="s">
        <v>71</v>
      </c>
      <c r="D8" s="51"/>
      <c r="E8" s="51"/>
      <c r="G8" s="49" t="s">
        <v>70</v>
      </c>
      <c r="I8" t="s">
        <v>71</v>
      </c>
      <c r="O8" s="49" t="s">
        <v>70</v>
      </c>
      <c r="Q8" t="s">
        <v>71</v>
      </c>
    </row>
    <row r="9" spans="1:27" x14ac:dyDescent="0.35">
      <c r="C9" t="s">
        <v>72</v>
      </c>
      <c r="I9" t="s">
        <v>72</v>
      </c>
      <c r="Q9" t="s">
        <v>72</v>
      </c>
    </row>
    <row r="10" spans="1:27" x14ac:dyDescent="0.35">
      <c r="C10" t="s">
        <v>73</v>
      </c>
      <c r="H10" s="52"/>
      <c r="I10" s="52" t="s">
        <v>73</v>
      </c>
      <c r="J10" s="52" t="s">
        <v>74</v>
      </c>
      <c r="K10" s="52" t="s">
        <v>75</v>
      </c>
      <c r="L10" s="52" t="s">
        <v>76</v>
      </c>
      <c r="Q10" t="s">
        <v>73</v>
      </c>
      <c r="R10" t="s">
        <v>74</v>
      </c>
      <c r="S10" t="s">
        <v>75</v>
      </c>
      <c r="T10" t="s">
        <v>76</v>
      </c>
      <c r="U10" s="53" t="s">
        <v>77</v>
      </c>
      <c r="V10" s="53" t="s">
        <v>78</v>
      </c>
      <c r="W10" s="54" t="s">
        <v>79</v>
      </c>
      <c r="X10" s="55" t="s">
        <v>80</v>
      </c>
      <c r="Y10" t="s">
        <v>81</v>
      </c>
    </row>
    <row r="11" spans="1:27" x14ac:dyDescent="0.35">
      <c r="U11" s="53"/>
      <c r="V11" s="53"/>
      <c r="W11" s="54"/>
      <c r="X11" s="55"/>
    </row>
    <row r="12" spans="1:27" x14ac:dyDescent="0.35">
      <c r="A12" s="15" t="s">
        <v>18</v>
      </c>
      <c r="B12" s="56">
        <v>35</v>
      </c>
      <c r="G12" s="15" t="s">
        <v>18</v>
      </c>
      <c r="H12" s="56">
        <v>35</v>
      </c>
      <c r="O12" s="15" t="s">
        <v>18</v>
      </c>
      <c r="P12" s="15">
        <v>35</v>
      </c>
      <c r="V12">
        <v>33</v>
      </c>
      <c r="W12" s="54">
        <v>13</v>
      </c>
      <c r="X12" s="55">
        <v>3</v>
      </c>
    </row>
    <row r="13" spans="1:27" x14ac:dyDescent="0.35">
      <c r="A13" s="17" t="s">
        <v>20</v>
      </c>
      <c r="B13" s="15">
        <v>35</v>
      </c>
      <c r="C13" s="57">
        <f>B13-8</f>
        <v>27</v>
      </c>
      <c r="G13" s="15" t="s">
        <v>20</v>
      </c>
      <c r="H13" s="15">
        <v>35</v>
      </c>
      <c r="I13" s="57">
        <v>27</v>
      </c>
      <c r="O13" s="15" t="s">
        <v>20</v>
      </c>
      <c r="P13" s="15">
        <v>35</v>
      </c>
      <c r="Q13">
        <v>27</v>
      </c>
      <c r="U13" s="53">
        <v>22</v>
      </c>
      <c r="V13" s="53">
        <v>20</v>
      </c>
      <c r="W13" s="54">
        <v>0</v>
      </c>
      <c r="X13" s="55"/>
    </row>
    <row r="14" spans="1:27" x14ac:dyDescent="0.35">
      <c r="A14" s="15" t="s">
        <v>21</v>
      </c>
      <c r="B14" s="15"/>
      <c r="G14" s="15" t="s">
        <v>21</v>
      </c>
      <c r="H14" s="15"/>
      <c r="O14" s="15" t="s">
        <v>21</v>
      </c>
      <c r="P14" s="15"/>
      <c r="X14" s="55"/>
    </row>
    <row r="15" spans="1:27" x14ac:dyDescent="0.35">
      <c r="A15" s="15" t="s">
        <v>22</v>
      </c>
      <c r="B15" s="56">
        <v>20</v>
      </c>
      <c r="G15" s="15" t="s">
        <v>22</v>
      </c>
      <c r="H15" s="56">
        <v>20</v>
      </c>
      <c r="O15" s="15" t="s">
        <v>22</v>
      </c>
      <c r="P15" s="15">
        <v>20</v>
      </c>
      <c r="X15" s="55">
        <v>10</v>
      </c>
      <c r="Y15" s="52" t="s">
        <v>82</v>
      </c>
      <c r="Z15" s="57">
        <v>30</v>
      </c>
      <c r="AA15" s="57" t="s">
        <v>83</v>
      </c>
    </row>
    <row r="16" spans="1:27" x14ac:dyDescent="0.35">
      <c r="A16" s="15" t="s">
        <v>84</v>
      </c>
      <c r="B16" s="56">
        <v>35</v>
      </c>
      <c r="G16" s="15" t="s">
        <v>84</v>
      </c>
      <c r="H16" s="15">
        <v>35</v>
      </c>
      <c r="J16">
        <f>H16-7</f>
        <v>28</v>
      </c>
      <c r="K16">
        <f>J16-15</f>
        <v>13</v>
      </c>
      <c r="L16" s="57">
        <f>K16-10</f>
        <v>3</v>
      </c>
      <c r="O16" s="15" t="s">
        <v>84</v>
      </c>
      <c r="P16" s="15">
        <v>35</v>
      </c>
      <c r="R16">
        <v>28</v>
      </c>
      <c r="S16">
        <v>13</v>
      </c>
      <c r="T16">
        <v>3</v>
      </c>
      <c r="U16" s="53">
        <v>0</v>
      </c>
    </row>
    <row r="17" spans="1:21" x14ac:dyDescent="0.35">
      <c r="A17" s="17" t="s">
        <v>24</v>
      </c>
      <c r="B17" s="15">
        <v>40</v>
      </c>
      <c r="C17" s="57">
        <f>B17-8</f>
        <v>32</v>
      </c>
      <c r="G17" s="15" t="s">
        <v>24</v>
      </c>
      <c r="H17" s="15">
        <v>40</v>
      </c>
      <c r="I17">
        <v>32</v>
      </c>
      <c r="J17">
        <f>I17-7</f>
        <v>25</v>
      </c>
      <c r="K17" s="57">
        <f>J17-15</f>
        <v>10</v>
      </c>
      <c r="O17" s="15" t="s">
        <v>24</v>
      </c>
      <c r="P17" s="15">
        <v>40</v>
      </c>
      <c r="Q17">
        <v>32</v>
      </c>
      <c r="R17">
        <v>25</v>
      </c>
      <c r="S17">
        <v>10</v>
      </c>
      <c r="U17" s="53">
        <v>0</v>
      </c>
    </row>
    <row r="19" spans="1:21" x14ac:dyDescent="0.35">
      <c r="A19" s="49" t="s">
        <v>25</v>
      </c>
      <c r="B19">
        <f>SUM(B12:B18)</f>
        <v>165</v>
      </c>
      <c r="G19" s="49" t="s">
        <v>25</v>
      </c>
      <c r="H19">
        <f>SUM(H12:H18)</f>
        <v>165</v>
      </c>
      <c r="O19" s="49" t="s">
        <v>25</v>
      </c>
      <c r="P19">
        <f>SUM(P12:P18)</f>
        <v>165</v>
      </c>
    </row>
    <row r="20" spans="1:21" x14ac:dyDescent="0.35">
      <c r="K20">
        <v>3</v>
      </c>
      <c r="L20">
        <v>6</v>
      </c>
      <c r="M20" t="s">
        <v>85</v>
      </c>
    </row>
    <row r="21" spans="1:21" x14ac:dyDescent="0.35">
      <c r="K21">
        <v>2</v>
      </c>
      <c r="L21">
        <v>12</v>
      </c>
      <c r="M21" t="s">
        <v>86</v>
      </c>
    </row>
    <row r="22" spans="1:21" x14ac:dyDescent="0.35">
      <c r="K22" s="53">
        <f>SUM(K20:K21)</f>
        <v>5</v>
      </c>
      <c r="M22" t="s">
        <v>20</v>
      </c>
      <c r="O22" t="s">
        <v>87</v>
      </c>
      <c r="Q22" t="s">
        <v>73</v>
      </c>
    </row>
    <row r="23" spans="1:21" x14ac:dyDescent="0.35">
      <c r="P23" t="s">
        <v>20</v>
      </c>
      <c r="Q23">
        <f>P13-Q13</f>
        <v>8</v>
      </c>
    </row>
    <row r="24" spans="1:21" x14ac:dyDescent="0.35">
      <c r="P24" t="s">
        <v>24</v>
      </c>
      <c r="Q24">
        <v>8</v>
      </c>
    </row>
    <row r="25" spans="1:21" x14ac:dyDescent="0.35">
      <c r="P25" t="s">
        <v>88</v>
      </c>
      <c r="Q25" t="s">
        <v>89</v>
      </c>
    </row>
    <row r="26" spans="1:21" x14ac:dyDescent="0.35">
      <c r="Q26" t="s">
        <v>80</v>
      </c>
    </row>
    <row r="27" spans="1:21" x14ac:dyDescent="0.35">
      <c r="P27" t="s">
        <v>22</v>
      </c>
      <c r="Q27">
        <v>10</v>
      </c>
    </row>
    <row r="28" spans="1:21" x14ac:dyDescent="0.35">
      <c r="P28" t="s">
        <v>84</v>
      </c>
      <c r="Q28">
        <v>3</v>
      </c>
    </row>
  </sheetData>
  <mergeCells count="3">
    <mergeCell ref="A3:E3"/>
    <mergeCell ref="G3:K3"/>
    <mergeCell ref="O3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Proyeccion Horas</vt:lpstr>
      <vt:lpstr>Ordenamiento BL</vt:lpstr>
      <vt:lpstr>Programacion 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Belaochaga</dc:creator>
  <cp:lastModifiedBy>Manuel Belaochaga</cp:lastModifiedBy>
  <dcterms:created xsi:type="dcterms:W3CDTF">2023-04-20T03:40:40Z</dcterms:created>
  <dcterms:modified xsi:type="dcterms:W3CDTF">2023-04-20T03:40:59Z</dcterms:modified>
</cp:coreProperties>
</file>