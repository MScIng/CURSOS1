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 para dictar 2023\PERVOL\PERVOL OPEN PIT\Clases 2023\MAGNA\"/>
    </mc:Choice>
  </mc:AlternateContent>
  <xr:revisionPtr revIDLastSave="0" documentId="13_ncr:1_{C67F23EA-F999-4A63-913D-1B13493CFC26}" xr6:coauthVersionLast="47" xr6:coauthVersionMax="47" xr10:uidLastSave="{00000000-0000-0000-0000-000000000000}"/>
  <bookViews>
    <workbookView xWindow="-120" yWindow="-120" windowWidth="29040" windowHeight="15720" xr2:uid="{391B4142-5D48-446C-8A93-B5B808EA443D}"/>
  </bookViews>
  <sheets>
    <sheet name="Q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2" l="1"/>
  <c r="E91" i="2"/>
  <c r="E92" i="2"/>
  <c r="E93" i="2"/>
  <c r="E94" i="2"/>
  <c r="E95" i="2"/>
  <c r="E96" i="2"/>
  <c r="E97" i="2"/>
  <c r="E98" i="2"/>
  <c r="E99" i="2"/>
  <c r="E90" i="2"/>
  <c r="E26" i="2"/>
  <c r="E2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3" i="2"/>
</calcChain>
</file>

<file path=xl/sharedStrings.xml><?xml version="1.0" encoding="utf-8"?>
<sst xmlns="http://schemas.openxmlformats.org/spreadsheetml/2006/main" count="102" uniqueCount="102">
  <si>
    <t>C</t>
  </si>
  <si>
    <t>CH2</t>
  </si>
  <si>
    <t>Compuesto</t>
  </si>
  <si>
    <t>AgBr(s)</t>
  </si>
  <si>
    <t>AgCl(s)</t>
  </si>
  <si>
    <t>AgI(s)</t>
  </si>
  <si>
    <t>CoO(s)</t>
  </si>
  <si>
    <t>BaO(s)</t>
  </si>
  <si>
    <t>CuO(s)</t>
  </si>
  <si>
    <t>CaO(s)</t>
  </si>
  <si>
    <t>HBr(g)</t>
  </si>
  <si>
    <t>HCl(g)</t>
  </si>
  <si>
    <t>IC (g)</t>
  </si>
  <si>
    <t>Hola (g)</t>
  </si>
  <si>
    <t>NO(g)</t>
  </si>
  <si>
    <t>HgO(s)</t>
  </si>
  <si>
    <t>NiO(s)</t>
  </si>
  <si>
    <t>HgS(s)</t>
  </si>
  <si>
    <t>KBr(s)</t>
  </si>
  <si>
    <t>KCl(s)</t>
  </si>
  <si>
    <t>PbO(s)</t>
  </si>
  <si>
    <t>KF(s)</t>
  </si>
  <si>
    <t>MgO(s)</t>
  </si>
  <si>
    <t>MnO(s)</t>
  </si>
  <si>
    <t>SnO(s)</t>
  </si>
  <si>
    <t>NaCl(s)</t>
  </si>
  <si>
    <t>NaF(s)</t>
  </si>
  <si>
    <t>NaOH(s)</t>
  </si>
  <si>
    <t>ZnO(s)</t>
  </si>
  <si>
    <t>ZnS(s)</t>
  </si>
  <si>
    <r>
      <t>Ag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O(s)</t>
    </r>
  </si>
  <si>
    <r>
      <t>Ag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S(s)</t>
    </r>
  </si>
  <si>
    <r>
      <t>Al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</si>
  <si>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BaCl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</si>
  <si>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BaCO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</si>
  <si>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BaSO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(s)</t>
    </r>
  </si>
  <si>
    <r>
      <t>CaCl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</si>
  <si>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Ca(OH)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</si>
  <si>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CaSO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(s)</t>
    </r>
  </si>
  <si>
    <r>
      <t>CCl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(l)</t>
    </r>
  </si>
  <si>
    <r>
      <t>CH4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</si>
  <si>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CHCl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(l)</t>
    </r>
  </si>
  <si>
    <r>
      <t>CH3OH ( </t>
    </r>
    <r>
      <rPr>
        <sz val="12"/>
        <color rgb="FF333333"/>
        <rFont val="Times New Roman"/>
        <family val="1"/>
      </rPr>
      <t>l</t>
    </r>
    <r>
      <rPr>
        <sz val="12"/>
        <color rgb="FF282828"/>
        <rFont val="Times New Roman"/>
        <family val="1"/>
      </rPr>
      <t> )</t>
    </r>
  </si>
  <si>
    <r>
      <t>CO2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</si>
  <si>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H2O ( </t>
    </r>
    <r>
      <rPr>
        <sz val="12"/>
        <color rgb="FF333333"/>
        <rFont val="Times New Roman"/>
        <family val="1"/>
      </rPr>
      <t>l</t>
    </r>
    <r>
      <rPr>
        <sz val="12"/>
        <color rgb="FF282828"/>
        <rFont val="Times New Roman"/>
        <family val="1"/>
      </rPr>
      <t> )</t>
    </r>
  </si>
  <si>
    <r>
      <t>H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S (g)</t>
    </r>
  </si>
  <si>
    <r>
      <t>KClO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</si>
  <si>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MgCl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</si>
  <si>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MgCO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</si>
  <si>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Mg(OH)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</si>
  <si>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MgSO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(s)</t>
    </r>
  </si>
  <si>
    <r>
      <t>MnO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</si>
  <si>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NH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(g)</t>
    </r>
  </si>
  <si>
    <r>
      <t>C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H </t>
    </r>
    <r>
      <rPr>
        <sz val="12"/>
        <color rgb="FF333333"/>
        <rFont val="Times New Roman"/>
        <family val="1"/>
      </rPr>
      <t>8</t>
    </r>
    <r>
      <rPr>
        <sz val="12"/>
        <color rgb="FF282828"/>
        <rFont val="Times New Roman"/>
        <family val="1"/>
      </rPr>
      <t> (g)</t>
    </r>
  </si>
  <si>
    <r>
      <t>nC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H </t>
    </r>
    <r>
      <rPr>
        <sz val="12"/>
        <color rgb="FF333333"/>
        <rFont val="Times New Roman"/>
        <family val="1"/>
      </rPr>
      <t>10</t>
    </r>
    <r>
      <rPr>
        <sz val="12"/>
        <color rgb="FF282828"/>
        <rFont val="Times New Roman"/>
        <family val="1"/>
      </rPr>
      <t> (g)</t>
    </r>
  </si>
  <si>
    <r>
      <t>nC </t>
    </r>
    <r>
      <rPr>
        <sz val="12"/>
        <color rgb="FF333333"/>
        <rFont val="Times New Roman"/>
        <family val="1"/>
      </rPr>
      <t>5</t>
    </r>
    <r>
      <rPr>
        <sz val="12"/>
        <color rgb="FF282828"/>
        <rFont val="Times New Roman"/>
        <family val="1"/>
      </rPr>
      <t> H </t>
    </r>
    <r>
      <rPr>
        <sz val="12"/>
        <color rgb="FF333333"/>
        <rFont val="Times New Roman"/>
        <family val="1"/>
      </rPr>
      <t>12</t>
    </r>
    <r>
      <rPr>
        <sz val="12"/>
        <color rgb="FF282828"/>
        <rFont val="Times New Roman"/>
        <family val="1"/>
      </rPr>
      <t> (l)</t>
    </r>
  </si>
  <si>
    <r>
      <t>Cr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</si>
  <si>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Cu2O ( </t>
    </r>
    <r>
      <rPr>
        <sz val="12"/>
        <color rgb="FF333333"/>
        <rFont val="Times New Roman"/>
        <family val="1"/>
      </rPr>
      <t>s</t>
    </r>
    <r>
      <rPr>
        <sz val="12"/>
        <color rgb="FF282828"/>
        <rFont val="Times New Roman"/>
        <family val="1"/>
      </rPr>
      <t> )</t>
    </r>
  </si>
  <si>
    <r>
      <t>CuSO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(s)</t>
    </r>
  </si>
  <si>
    <r>
      <t>Fe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</si>
  <si>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Fe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O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(s)</t>
    </r>
  </si>
  <si>
    <r>
      <t>HNO3 ( </t>
    </r>
    <r>
      <rPr>
        <sz val="12"/>
        <color rgb="FF333333"/>
        <rFont val="Times New Roman"/>
        <family val="1"/>
      </rPr>
      <t>l</t>
    </r>
    <r>
      <rPr>
        <sz val="12"/>
        <color rgb="FF282828"/>
        <rFont val="Times New Roman"/>
        <family val="1"/>
      </rPr>
      <t> )</t>
    </r>
  </si>
  <si>
    <r>
      <t>H2O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</si>
  <si>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NH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Cl(s)</t>
    </r>
  </si>
  <si>
    <r>
      <t>NH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NO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(s)</t>
    </r>
  </si>
  <si>
    <r>
      <t>NO2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</si>
  <si>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PbBr2 ( </t>
    </r>
    <r>
      <rPr>
        <sz val="12"/>
        <color rgb="FF333333"/>
        <rFont val="Times New Roman"/>
        <family val="1"/>
      </rPr>
      <t>s</t>
    </r>
    <r>
      <rPr>
        <sz val="12"/>
        <color rgb="FF282828"/>
        <rFont val="Times New Roman"/>
        <family val="1"/>
      </rPr>
      <t> )</t>
    </r>
  </si>
  <si>
    <r>
      <t>PbCl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</si>
  <si>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PbO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</si>
  <si>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Pb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O </t>
    </r>
    <r>
      <rPr>
        <sz val="12"/>
        <color rgb="FF333333"/>
        <rFont val="Times New Roman"/>
        <family val="1"/>
      </rPr>
      <t>4</t>
    </r>
    <r>
      <rPr>
        <sz val="12"/>
        <color rgb="FF282828"/>
        <rFont val="Times New Roman"/>
        <family val="1"/>
      </rPr>
      <t> (s)</t>
    </r>
  </si>
  <si>
    <r>
      <t>PCl3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</si>
  <si>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PCl5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</si>
  <si>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SiO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</si>
  <si>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SnCl </t>
    </r>
    <r>
      <rPr>
        <sz val="12"/>
        <color rgb="FF333333"/>
        <rFont val="Times New Roman"/>
        <family val="1"/>
      </rPr>
      <t>2</t>
    </r>
    <r>
      <rPr>
        <sz val="12"/>
        <color rgb="FF282828"/>
        <rFont val="Times New Roman"/>
        <family val="1"/>
      </rPr>
      <t> (s)</t>
    </r>
  </si>
  <si>
    <r>
      <t>SnCl4 ( </t>
    </r>
    <r>
      <rPr>
        <sz val="12"/>
        <color rgb="FF333333"/>
        <rFont val="Times New Roman"/>
        <family val="1"/>
      </rPr>
      <t>l</t>
    </r>
    <r>
      <rPr>
        <sz val="12"/>
        <color rgb="FF282828"/>
        <rFont val="Times New Roman"/>
        <family val="1"/>
      </rPr>
      <t> )</t>
    </r>
  </si>
  <si>
    <r>
      <t>SnO2 ( </t>
    </r>
    <r>
      <rPr>
        <sz val="12"/>
        <color rgb="FF333333"/>
        <rFont val="Times New Roman"/>
        <family val="1"/>
      </rPr>
      <t>s</t>
    </r>
    <r>
      <rPr>
        <sz val="12"/>
        <color rgb="FF282828"/>
        <rFont val="Times New Roman"/>
        <family val="1"/>
      </rPr>
      <t> )</t>
    </r>
  </si>
  <si>
    <r>
      <t>SO2 ( </t>
    </r>
    <r>
      <rPr>
        <sz val="12"/>
        <color rgb="FF333333"/>
        <rFont val="Times New Roman"/>
        <family val="1"/>
      </rPr>
      <t>g</t>
    </r>
    <r>
      <rPr>
        <sz val="12"/>
        <color rgb="FF282828"/>
        <rFont val="Times New Roman"/>
        <family val="1"/>
      </rPr>
      <t> )</t>
    </r>
  </si>
  <si>
    <r>
      <t>Entonces </t>
    </r>
    <r>
      <rPr>
        <sz val="12"/>
        <color rgb="FF333333"/>
        <rFont val="Times New Roman"/>
        <family val="1"/>
      </rPr>
      <t>3</t>
    </r>
    <r>
      <rPr>
        <sz val="12"/>
        <color rgb="FF282828"/>
        <rFont val="Times New Roman"/>
        <family val="1"/>
      </rPr>
      <t> (g)</t>
    </r>
  </si>
  <si>
    <t>CALORES DE FORMACION DE LOS COMPUESTOS MAS COMUNES</t>
  </si>
  <si>
    <t>ΔH f (kJ/mol)</t>
  </si>
  <si>
    <t>ΔH f (kcal/mol)</t>
  </si>
  <si>
    <t>CaCO3 </t>
  </si>
  <si>
    <r>
      <t>C2H5OH </t>
    </r>
    <r>
      <rPr>
        <sz val="12"/>
        <color rgb="FF333333"/>
        <rFont val="Times New Roman"/>
        <family val="1"/>
      </rPr>
      <t>(</t>
    </r>
    <r>
      <rPr>
        <sz val="12"/>
        <color rgb="FF282828"/>
        <rFont val="Times New Roman"/>
        <family val="1"/>
      </rPr>
      <t> l ) </t>
    </r>
  </si>
  <si>
    <r>
      <t>H2SO4 </t>
    </r>
    <r>
      <rPr>
        <sz val="12"/>
        <color rgb="FF333333"/>
        <rFont val="Times New Roman"/>
        <family val="1"/>
      </rPr>
      <t>(</t>
    </r>
    <r>
      <rPr>
        <sz val="12"/>
        <color rgb="FF282828"/>
        <rFont val="Times New Roman"/>
        <family val="1"/>
      </rPr>
      <t> l ) </t>
    </r>
  </si>
  <si>
    <r>
      <t>H2O2 ( </t>
    </r>
    <r>
      <rPr>
        <sz val="12"/>
        <color rgb="FF333333"/>
        <rFont val="Times New Roman"/>
        <family val="1"/>
      </rPr>
      <t>l</t>
    </r>
    <r>
      <rPr>
        <sz val="12"/>
        <color rgb="FF282828"/>
        <rFont val="Times New Roman"/>
        <family val="1"/>
      </rPr>
      <t> ) </t>
    </r>
  </si>
  <si>
    <r>
      <t>C2H2 </t>
    </r>
    <r>
      <rPr>
        <sz val="12"/>
        <color rgb="FF333333"/>
        <rFont val="Times New Roman"/>
        <family val="1"/>
      </rPr>
      <t>(</t>
    </r>
    <r>
      <rPr>
        <sz val="12"/>
        <color rgb="FF282828"/>
        <rFont val="Times New Roman"/>
        <family val="1"/>
      </rPr>
      <t> g ) </t>
    </r>
  </si>
  <si>
    <r>
      <t>C2H4 </t>
    </r>
    <r>
      <rPr>
        <sz val="12"/>
        <color rgb="FF333333"/>
        <rFont val="Times New Roman"/>
        <family val="1"/>
      </rPr>
      <t>(</t>
    </r>
    <r>
      <rPr>
        <sz val="12"/>
        <color rgb="FF282828"/>
        <rFont val="Times New Roman"/>
        <family val="1"/>
      </rPr>
      <t> g ) </t>
    </r>
  </si>
  <si>
    <r>
      <t>C2H6 </t>
    </r>
    <r>
      <rPr>
        <sz val="12"/>
        <color rgb="FF333333"/>
        <rFont val="Times New Roman"/>
        <family val="1"/>
      </rPr>
      <t>(</t>
    </r>
    <r>
      <rPr>
        <sz val="12"/>
        <color rgb="FF282828"/>
        <rFont val="Times New Roman"/>
        <family val="1"/>
      </rPr>
      <t> g ) </t>
    </r>
  </si>
  <si>
    <t>Diente</t>
  </si>
  <si>
    <t>Tipo de</t>
  </si>
  <si>
    <t>NO (g)</t>
  </si>
  <si>
    <t>N2</t>
  </si>
  <si>
    <t>Na2SO3</t>
  </si>
  <si>
    <t>AL</t>
  </si>
  <si>
    <t>CO</t>
  </si>
  <si>
    <t>S</t>
  </si>
  <si>
    <t>NO</t>
  </si>
  <si>
    <t>AL2O3</t>
  </si>
  <si>
    <t>NaS</t>
  </si>
  <si>
    <t>NO3Na</t>
  </si>
  <si>
    <t>C3H5N3O9</t>
  </si>
  <si>
    <t>C2H4N2O6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</si>
</sst>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282828"/>
      <name val="Times New Roman"/>
      <family val="1"/>
    </font>
    <font>
      <sz val="12"/>
      <color rgb="FF333333"/>
      <name val="Times New Roman"/>
      <family val="1"/>
    </font>
    <font>
      <sz val="12"/>
      <color theme="1"/>
      <name val="Times New Roman"/>
      <family val="1"/>
    </font>
    <font>
      <sz val="12"/>
      <color rgb="FF282828"/>
      <name val="Times New Roman"/>
      <family val="1"/>
    </font>
    <font>
      <b/>
      <sz val="11"/>
      <color rgb="FF00B0F0"/>
      <name val="Calibri"/>
      <family val="2"/>
      <scheme val="minor"/>
    </font>
    <font>
      <b/>
      <sz val="12"/>
      <color rgb="FF00B0F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5" fillId="0" borderId="1" xfId="0" applyFont="1" applyBorder="1"/>
    <xf numFmtId="0" fontId="6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EC3D-9657-48E4-9337-F17F3E1FF9FD}">
  <dimension ref="D1:G100"/>
  <sheetViews>
    <sheetView tabSelected="1" topLeftCell="B1" workbookViewId="0">
      <selection activeCell="P109" sqref="P109"/>
    </sheetView>
  </sheetViews>
  <sheetFormatPr baseColWidth="10" defaultRowHeight="15" x14ac:dyDescent="0.25"/>
  <cols>
    <col min="4" max="4" width="17.140625" bestFit="1" customWidth="1"/>
    <col min="5" max="5" width="18.85546875" bestFit="1" customWidth="1"/>
    <col min="6" max="6" width="19" bestFit="1" customWidth="1"/>
    <col min="7" max="7" width="18.85546875" bestFit="1" customWidth="1"/>
  </cols>
  <sheetData>
    <row r="1" spans="4:7" x14ac:dyDescent="0.25">
      <c r="D1" s="2" t="s">
        <v>78</v>
      </c>
      <c r="E1" s="2"/>
      <c r="F1" s="2"/>
    </row>
    <row r="2" spans="4:7" ht="15.75" x14ac:dyDescent="0.25">
      <c r="D2" s="3" t="s">
        <v>2</v>
      </c>
      <c r="E2" s="3" t="s">
        <v>79</v>
      </c>
      <c r="F2" s="3" t="s">
        <v>80</v>
      </c>
    </row>
    <row r="3" spans="4:7" ht="15.75" x14ac:dyDescent="0.25">
      <c r="D3" s="8" t="s">
        <v>3</v>
      </c>
      <c r="E3" s="4">
        <v>-99.5</v>
      </c>
      <c r="F3" s="5">
        <f>E3*0.239</f>
        <v>-23.7805</v>
      </c>
      <c r="G3" s="1"/>
    </row>
    <row r="4" spans="4:7" ht="15.75" x14ac:dyDescent="0.25">
      <c r="D4" s="8" t="s">
        <v>4</v>
      </c>
      <c r="E4" s="4">
        <v>-127</v>
      </c>
      <c r="F4" s="5">
        <f t="shared" ref="F4:F70" si="0">E4*0.239</f>
        <v>-30.352999999999998</v>
      </c>
      <c r="G4" s="1"/>
    </row>
    <row r="5" spans="4:7" ht="15.75" x14ac:dyDescent="0.25">
      <c r="D5" s="8" t="s">
        <v>5</v>
      </c>
      <c r="E5" s="4">
        <v>-62.4</v>
      </c>
      <c r="F5" s="5">
        <f t="shared" si="0"/>
        <v>-14.913599999999999</v>
      </c>
      <c r="G5" s="1"/>
    </row>
    <row r="6" spans="4:7" ht="15.75" x14ac:dyDescent="0.25">
      <c r="D6" s="8" t="s">
        <v>30</v>
      </c>
      <c r="E6" s="4">
        <v>-30.6</v>
      </c>
      <c r="F6" s="5">
        <f t="shared" si="0"/>
        <v>-7.3133999999999997</v>
      </c>
      <c r="G6" s="1"/>
    </row>
    <row r="7" spans="4:7" ht="15.75" x14ac:dyDescent="0.25">
      <c r="D7" s="8" t="s">
        <v>31</v>
      </c>
      <c r="E7" s="4">
        <v>-31.8</v>
      </c>
      <c r="F7" s="5">
        <f t="shared" si="0"/>
        <v>-7.6002000000000001</v>
      </c>
      <c r="G7" s="1"/>
    </row>
    <row r="8" spans="4:7" ht="15.75" x14ac:dyDescent="0.25">
      <c r="D8" s="8" t="s">
        <v>32</v>
      </c>
      <c r="E8" s="4">
        <v>-1669.8</v>
      </c>
      <c r="F8" s="5">
        <f t="shared" si="0"/>
        <v>-399.0822</v>
      </c>
      <c r="G8" s="1"/>
    </row>
    <row r="9" spans="4:7" ht="15.75" x14ac:dyDescent="0.25">
      <c r="D9" s="8" t="s">
        <v>33</v>
      </c>
      <c r="E9" s="4">
        <v>-860.1</v>
      </c>
      <c r="F9" s="5">
        <f t="shared" si="0"/>
        <v>-205.56389999999999</v>
      </c>
      <c r="G9" s="1"/>
    </row>
    <row r="10" spans="4:7" ht="15.75" x14ac:dyDescent="0.25">
      <c r="D10" s="8" t="s">
        <v>34</v>
      </c>
      <c r="E10" s="4">
        <v>-1218.8</v>
      </c>
      <c r="F10" s="5">
        <f t="shared" si="0"/>
        <v>-291.29319999999996</v>
      </c>
      <c r="G10" s="1"/>
    </row>
    <row r="11" spans="4:7" ht="15.75" x14ac:dyDescent="0.25">
      <c r="D11" s="8" t="s">
        <v>7</v>
      </c>
      <c r="E11" s="4">
        <v>-558.1</v>
      </c>
      <c r="F11" s="5">
        <f t="shared" si="0"/>
        <v>-133.38589999999999</v>
      </c>
      <c r="G11" s="1"/>
    </row>
    <row r="12" spans="4:7" ht="15.75" x14ac:dyDescent="0.25">
      <c r="D12" s="8" t="s">
        <v>35</v>
      </c>
      <c r="E12" s="4">
        <v>-1465.2</v>
      </c>
      <c r="F12" s="5">
        <f t="shared" si="0"/>
        <v>-350.18279999999999</v>
      </c>
      <c r="G12" s="1"/>
    </row>
    <row r="13" spans="4:7" ht="15.75" x14ac:dyDescent="0.25">
      <c r="D13" s="8" t="s">
        <v>36</v>
      </c>
      <c r="E13" s="4">
        <v>-795</v>
      </c>
      <c r="F13" s="5">
        <f t="shared" si="0"/>
        <v>-190.005</v>
      </c>
      <c r="G13" s="1"/>
    </row>
    <row r="14" spans="4:7" ht="15.75" x14ac:dyDescent="0.25">
      <c r="D14" s="8" t="s">
        <v>81</v>
      </c>
      <c r="E14" s="4">
        <v>-1207</v>
      </c>
      <c r="F14" s="5">
        <f t="shared" si="0"/>
        <v>-288.47300000000001</v>
      </c>
      <c r="G14" s="1"/>
    </row>
    <row r="15" spans="4:7" ht="15.75" x14ac:dyDescent="0.25">
      <c r="D15" s="8" t="s">
        <v>9</v>
      </c>
      <c r="E15" s="4">
        <v>-635.5</v>
      </c>
      <c r="F15" s="5">
        <f t="shared" si="0"/>
        <v>-151.8845</v>
      </c>
      <c r="G15" s="1"/>
    </row>
    <row r="16" spans="4:7" ht="15.75" x14ac:dyDescent="0.25">
      <c r="D16" s="8" t="s">
        <v>37</v>
      </c>
      <c r="E16" s="4">
        <v>-986.6</v>
      </c>
      <c r="F16" s="5">
        <f t="shared" si="0"/>
        <v>-235.79739999999998</v>
      </c>
      <c r="G16" s="1"/>
    </row>
    <row r="17" spans="4:7" ht="15.75" x14ac:dyDescent="0.25">
      <c r="D17" s="8" t="s">
        <v>38</v>
      </c>
      <c r="E17" s="4">
        <v>-1432.7</v>
      </c>
      <c r="F17" s="5">
        <f t="shared" si="0"/>
        <v>-342.4153</v>
      </c>
      <c r="G17" s="1"/>
    </row>
    <row r="18" spans="4:7" ht="15.75" x14ac:dyDescent="0.25">
      <c r="D18" s="8" t="s">
        <v>39</v>
      </c>
      <c r="E18" s="4">
        <v>-139.5</v>
      </c>
      <c r="F18" s="5">
        <f t="shared" si="0"/>
        <v>-33.340499999999999</v>
      </c>
      <c r="G18" s="1"/>
    </row>
    <row r="19" spans="4:7" ht="15.75" x14ac:dyDescent="0.25">
      <c r="D19" s="8" t="s">
        <v>40</v>
      </c>
      <c r="E19" s="4">
        <v>-74.8</v>
      </c>
      <c r="F19" s="5">
        <f t="shared" si="0"/>
        <v>-17.877199999999998</v>
      </c>
      <c r="G19" s="1"/>
    </row>
    <row r="20" spans="4:7" ht="15.75" x14ac:dyDescent="0.25">
      <c r="D20" s="8" t="s">
        <v>41</v>
      </c>
      <c r="E20" s="4">
        <v>-131.80000000000001</v>
      </c>
      <c r="F20" s="5">
        <f t="shared" si="0"/>
        <v>-31.500200000000003</v>
      </c>
      <c r="G20" s="1"/>
    </row>
    <row r="21" spans="4:7" ht="15.75" x14ac:dyDescent="0.25">
      <c r="D21" s="8" t="s">
        <v>42</v>
      </c>
      <c r="E21" s="4">
        <v>-238.6</v>
      </c>
      <c r="F21" s="5">
        <f t="shared" si="0"/>
        <v>-57.025399999999998</v>
      </c>
      <c r="G21" s="1"/>
    </row>
    <row r="22" spans="4:7" ht="15.75" x14ac:dyDescent="0.25">
      <c r="D22" s="8" t="s">
        <v>88</v>
      </c>
      <c r="E22" s="4">
        <v>-110.5</v>
      </c>
      <c r="F22" s="5">
        <f t="shared" si="0"/>
        <v>-26.409499999999998</v>
      </c>
      <c r="G22" s="1"/>
    </row>
    <row r="23" spans="4:7" ht="15.75" x14ac:dyDescent="0.25">
      <c r="D23" s="9" t="s">
        <v>43</v>
      </c>
      <c r="E23" s="6">
        <v>-393.5</v>
      </c>
      <c r="F23" s="7">
        <f t="shared" si="0"/>
        <v>-94.046499999999995</v>
      </c>
      <c r="G23" s="1"/>
    </row>
    <row r="24" spans="4:7" ht="15.75" x14ac:dyDescent="0.25">
      <c r="D24" s="9" t="s">
        <v>90</v>
      </c>
      <c r="E24" s="6">
        <f>F24/0.239</f>
        <v>-110.46025104602511</v>
      </c>
      <c r="F24" s="7">
        <v>-26.4</v>
      </c>
      <c r="G24" s="1"/>
    </row>
    <row r="25" spans="4:7" ht="15.75" x14ac:dyDescent="0.25">
      <c r="D25" s="9" t="s">
        <v>91</v>
      </c>
      <c r="E25" s="6">
        <v>0</v>
      </c>
      <c r="F25" s="7">
        <v>0</v>
      </c>
      <c r="G25" s="1"/>
    </row>
    <row r="26" spans="4:7" ht="15.75" x14ac:dyDescent="0.25">
      <c r="D26" s="9" t="s">
        <v>1</v>
      </c>
      <c r="E26" s="6">
        <f>F26/0.239</f>
        <v>-364.85355648535568</v>
      </c>
      <c r="F26" s="7">
        <v>-87.2</v>
      </c>
      <c r="G26" s="1"/>
    </row>
    <row r="27" spans="4:7" ht="15.75" x14ac:dyDescent="0.25">
      <c r="D27" s="8" t="s">
        <v>44</v>
      </c>
      <c r="E27" s="4">
        <v>-285.8</v>
      </c>
      <c r="F27" s="5">
        <f t="shared" si="0"/>
        <v>-68.306200000000004</v>
      </c>
      <c r="G27" s="1"/>
    </row>
    <row r="28" spans="4:7" ht="15.75" x14ac:dyDescent="0.25">
      <c r="D28" s="8" t="s">
        <v>84</v>
      </c>
      <c r="E28" s="4">
        <v>-187.6</v>
      </c>
      <c r="F28" s="5">
        <f t="shared" si="0"/>
        <v>-44.836399999999998</v>
      </c>
      <c r="G28" s="1"/>
    </row>
    <row r="29" spans="4:7" ht="15.75" x14ac:dyDescent="0.25">
      <c r="D29" s="8" t="s">
        <v>45</v>
      </c>
      <c r="E29" s="4">
        <v>-20.100000000000001</v>
      </c>
      <c r="F29" s="5">
        <f t="shared" si="0"/>
        <v>-4.8039000000000005</v>
      </c>
      <c r="G29" s="1"/>
    </row>
    <row r="30" spans="4:7" ht="15.75" x14ac:dyDescent="0.25">
      <c r="D30" s="8" t="s">
        <v>83</v>
      </c>
      <c r="E30" s="4">
        <v>-811.3</v>
      </c>
      <c r="F30" s="5">
        <f t="shared" si="0"/>
        <v>-193.90069999999997</v>
      </c>
      <c r="G30" s="1"/>
    </row>
    <row r="31" spans="4:7" ht="15.75" x14ac:dyDescent="0.25">
      <c r="D31" s="8" t="s">
        <v>15</v>
      </c>
      <c r="E31" s="4">
        <v>-90.7</v>
      </c>
      <c r="F31" s="5">
        <f t="shared" si="0"/>
        <v>-21.677299999999999</v>
      </c>
      <c r="G31" s="1"/>
    </row>
    <row r="32" spans="4:7" ht="15.75" x14ac:dyDescent="0.25">
      <c r="D32" s="8" t="s">
        <v>17</v>
      </c>
      <c r="E32" s="4">
        <v>-58.2</v>
      </c>
      <c r="F32" s="5">
        <f t="shared" si="0"/>
        <v>-13.909800000000001</v>
      </c>
      <c r="G32" s="1"/>
    </row>
    <row r="33" spans="4:7" ht="15.75" x14ac:dyDescent="0.25">
      <c r="D33" s="8" t="s">
        <v>18</v>
      </c>
      <c r="E33" s="4">
        <v>-392.2</v>
      </c>
      <c r="F33" s="5">
        <f t="shared" si="0"/>
        <v>-93.735799999999998</v>
      </c>
      <c r="G33" s="1"/>
    </row>
    <row r="34" spans="4:7" ht="15.75" x14ac:dyDescent="0.25">
      <c r="D34" s="8" t="s">
        <v>19</v>
      </c>
      <c r="E34" s="4">
        <v>-435.9</v>
      </c>
      <c r="F34" s="5">
        <f t="shared" si="0"/>
        <v>-104.1801</v>
      </c>
      <c r="G34" s="1"/>
    </row>
    <row r="35" spans="4:7" ht="15.75" x14ac:dyDescent="0.25">
      <c r="D35" s="8" t="s">
        <v>46</v>
      </c>
      <c r="E35" s="4">
        <v>-391.4</v>
      </c>
      <c r="F35" s="5">
        <f t="shared" si="0"/>
        <v>-93.544599999999988</v>
      </c>
      <c r="G35" s="1"/>
    </row>
    <row r="36" spans="4:7" ht="15.75" x14ac:dyDescent="0.25">
      <c r="D36" s="8" t="s">
        <v>21</v>
      </c>
      <c r="E36" s="4">
        <v>-562.6</v>
      </c>
      <c r="F36" s="5">
        <f t="shared" si="0"/>
        <v>-134.4614</v>
      </c>
      <c r="G36" s="1"/>
    </row>
    <row r="37" spans="4:7" ht="15.75" x14ac:dyDescent="0.25">
      <c r="D37" s="8" t="s">
        <v>47</v>
      </c>
      <c r="E37" s="4">
        <v>-641.79999999999995</v>
      </c>
      <c r="F37" s="5">
        <f t="shared" si="0"/>
        <v>-153.39019999999999</v>
      </c>
      <c r="G37" s="1"/>
    </row>
    <row r="38" spans="4:7" ht="15.75" x14ac:dyDescent="0.25">
      <c r="D38" s="8" t="s">
        <v>48</v>
      </c>
      <c r="E38" s="4">
        <v>-1113</v>
      </c>
      <c r="F38" s="5">
        <f t="shared" si="0"/>
        <v>-266.00700000000001</v>
      </c>
      <c r="G38" s="1"/>
    </row>
    <row r="39" spans="4:7" ht="15.75" x14ac:dyDescent="0.25">
      <c r="D39" s="8" t="s">
        <v>22</v>
      </c>
      <c r="E39" s="4">
        <v>-601.79999999999995</v>
      </c>
      <c r="F39" s="5">
        <f t="shared" si="0"/>
        <v>-143.83019999999999</v>
      </c>
      <c r="G39" s="1"/>
    </row>
    <row r="40" spans="4:7" ht="15.75" x14ac:dyDescent="0.25">
      <c r="D40" s="8" t="s">
        <v>49</v>
      </c>
      <c r="E40" s="4">
        <v>-924.7</v>
      </c>
      <c r="F40" s="5">
        <f t="shared" si="0"/>
        <v>-221.0033</v>
      </c>
      <c r="G40" s="1"/>
    </row>
    <row r="41" spans="4:7" ht="15.75" x14ac:dyDescent="0.25">
      <c r="D41" s="8" t="s">
        <v>50</v>
      </c>
      <c r="E41" s="4">
        <v>-1278.2</v>
      </c>
      <c r="F41" s="5">
        <f t="shared" si="0"/>
        <v>-305.4898</v>
      </c>
      <c r="G41" s="1"/>
    </row>
    <row r="42" spans="4:7" ht="15.75" x14ac:dyDescent="0.25">
      <c r="D42" s="8" t="s">
        <v>23</v>
      </c>
      <c r="E42" s="4">
        <v>-384.9</v>
      </c>
      <c r="F42" s="5">
        <f t="shared" si="0"/>
        <v>-91.991099999999989</v>
      </c>
      <c r="G42" s="1"/>
    </row>
    <row r="43" spans="4:7" ht="15.75" x14ac:dyDescent="0.25">
      <c r="D43" s="8" t="s">
        <v>51</v>
      </c>
      <c r="E43" s="4">
        <v>-519.70000000000005</v>
      </c>
      <c r="F43" s="5">
        <f t="shared" si="0"/>
        <v>-124.20830000000001</v>
      </c>
      <c r="G43" s="1"/>
    </row>
    <row r="44" spans="4:7" ht="15.75" x14ac:dyDescent="0.25">
      <c r="D44" s="8" t="s">
        <v>25</v>
      </c>
      <c r="E44" s="4">
        <v>-411</v>
      </c>
      <c r="F44" s="5">
        <f t="shared" si="0"/>
        <v>-98.228999999999999</v>
      </c>
      <c r="G44" s="1"/>
    </row>
    <row r="45" spans="4:7" ht="15.75" x14ac:dyDescent="0.25">
      <c r="D45" s="8" t="s">
        <v>26</v>
      </c>
      <c r="E45" s="4">
        <v>-569</v>
      </c>
      <c r="F45" s="5">
        <f t="shared" si="0"/>
        <v>-135.99099999999999</v>
      </c>
      <c r="G45" s="1"/>
    </row>
    <row r="46" spans="4:7" ht="15.75" x14ac:dyDescent="0.25">
      <c r="D46" s="8" t="s">
        <v>27</v>
      </c>
      <c r="E46" s="4">
        <v>-426.7</v>
      </c>
      <c r="F46" s="5">
        <f t="shared" si="0"/>
        <v>-101.98129999999999</v>
      </c>
      <c r="G46" s="1"/>
    </row>
    <row r="47" spans="4:7" ht="15.75" x14ac:dyDescent="0.25">
      <c r="D47" s="8" t="s">
        <v>52</v>
      </c>
      <c r="E47" s="4">
        <v>-46.2</v>
      </c>
      <c r="F47" s="5">
        <f t="shared" si="0"/>
        <v>-11.0418</v>
      </c>
      <c r="G47" s="1"/>
    </row>
    <row r="48" spans="4:7" ht="15.75" x14ac:dyDescent="0.25">
      <c r="D48" s="8" t="s">
        <v>85</v>
      </c>
      <c r="E48" s="4">
        <v>226.7</v>
      </c>
      <c r="F48" s="5">
        <f t="shared" si="0"/>
        <v>54.181299999999993</v>
      </c>
      <c r="G48" s="1"/>
    </row>
    <row r="49" spans="4:7" ht="15.75" x14ac:dyDescent="0.25">
      <c r="D49" s="8" t="s">
        <v>86</v>
      </c>
      <c r="E49" s="4">
        <v>52.3</v>
      </c>
      <c r="F49" s="5">
        <f t="shared" si="0"/>
        <v>12.499699999999999</v>
      </c>
      <c r="G49" s="1"/>
    </row>
    <row r="50" spans="4:7" ht="15.75" x14ac:dyDescent="0.25">
      <c r="D50" s="8" t="s">
        <v>87</v>
      </c>
      <c r="E50" s="4">
        <v>-84.7</v>
      </c>
      <c r="F50" s="5">
        <f t="shared" si="0"/>
        <v>-20.243300000000001</v>
      </c>
      <c r="G50" s="1"/>
    </row>
    <row r="51" spans="4:7" ht="15.75" x14ac:dyDescent="0.25">
      <c r="D51" s="8" t="s">
        <v>53</v>
      </c>
      <c r="E51" s="4">
        <v>-103.8</v>
      </c>
      <c r="F51" s="5">
        <f t="shared" si="0"/>
        <v>-24.808199999999999</v>
      </c>
      <c r="G51" s="1"/>
    </row>
    <row r="52" spans="4:7" ht="15.75" x14ac:dyDescent="0.25">
      <c r="D52" s="8" t="s">
        <v>54</v>
      </c>
      <c r="E52" s="4">
        <v>-124.7</v>
      </c>
      <c r="F52" s="5">
        <f t="shared" si="0"/>
        <v>-29.8033</v>
      </c>
      <c r="G52" s="1"/>
    </row>
    <row r="53" spans="4:7" ht="15.75" x14ac:dyDescent="0.25">
      <c r="D53" s="8" t="s">
        <v>55</v>
      </c>
      <c r="E53" s="4">
        <v>-173.1</v>
      </c>
      <c r="F53" s="5">
        <f t="shared" si="0"/>
        <v>-41.370899999999999</v>
      </c>
      <c r="G53" s="1"/>
    </row>
    <row r="54" spans="4:7" ht="15.75" x14ac:dyDescent="0.25">
      <c r="D54" s="8" t="s">
        <v>82</v>
      </c>
      <c r="E54" s="4">
        <v>-277.60000000000002</v>
      </c>
      <c r="F54" s="5">
        <f t="shared" si="0"/>
        <v>-66.346400000000003</v>
      </c>
      <c r="G54" s="1"/>
    </row>
    <row r="55" spans="4:7" ht="15.75" x14ac:dyDescent="0.25">
      <c r="D55" s="8" t="s">
        <v>6</v>
      </c>
      <c r="E55" s="4">
        <v>-239.3</v>
      </c>
      <c r="F55" s="5">
        <f t="shared" si="0"/>
        <v>-57.192700000000002</v>
      </c>
      <c r="G55" s="1"/>
    </row>
    <row r="56" spans="4:7" ht="15.75" x14ac:dyDescent="0.25">
      <c r="D56" s="8" t="s">
        <v>56</v>
      </c>
      <c r="E56" s="4">
        <v>-1128.4000000000001</v>
      </c>
      <c r="F56" s="5">
        <f t="shared" si="0"/>
        <v>-269.68760000000003</v>
      </c>
      <c r="G56" s="1"/>
    </row>
    <row r="57" spans="4:7" ht="15.75" x14ac:dyDescent="0.25">
      <c r="D57" s="8" t="s">
        <v>8</v>
      </c>
      <c r="E57" s="4">
        <v>-155.19999999999999</v>
      </c>
      <c r="F57" s="5">
        <f t="shared" si="0"/>
        <v>-37.092799999999997</v>
      </c>
      <c r="G57" s="1"/>
    </row>
    <row r="58" spans="4:7" ht="15.75" x14ac:dyDescent="0.25">
      <c r="D58" s="8" t="s">
        <v>57</v>
      </c>
      <c r="E58" s="4">
        <v>-166.7</v>
      </c>
      <c r="F58" s="5">
        <f t="shared" si="0"/>
        <v>-39.841299999999997</v>
      </c>
      <c r="G58" s="1"/>
    </row>
    <row r="59" spans="4:7" ht="15.75" x14ac:dyDescent="0.25">
      <c r="D59" s="8" t="s">
        <v>89</v>
      </c>
      <c r="E59" s="4">
        <v>-48.5</v>
      </c>
      <c r="F59" s="5">
        <f t="shared" si="0"/>
        <v>-11.5915</v>
      </c>
      <c r="G59" s="1"/>
    </row>
    <row r="60" spans="4:7" ht="15.75" x14ac:dyDescent="0.25">
      <c r="D60" s="8" t="s">
        <v>58</v>
      </c>
      <c r="E60" s="4">
        <v>-769.9</v>
      </c>
      <c r="F60" s="5">
        <f t="shared" si="0"/>
        <v>-184.00609999999998</v>
      </c>
      <c r="G60" s="1"/>
    </row>
    <row r="61" spans="4:7" ht="15.75" x14ac:dyDescent="0.25">
      <c r="D61" s="8" t="s">
        <v>59</v>
      </c>
      <c r="E61" s="4">
        <v>-822.2</v>
      </c>
      <c r="F61" s="5">
        <f t="shared" si="0"/>
        <v>-196.50579999999999</v>
      </c>
      <c r="G61" s="1"/>
    </row>
    <row r="62" spans="4:7" ht="15.75" x14ac:dyDescent="0.25">
      <c r="D62" s="8" t="s">
        <v>60</v>
      </c>
      <c r="E62" s="4">
        <v>-1120.9000000000001</v>
      </c>
      <c r="F62" s="5">
        <f t="shared" si="0"/>
        <v>-267.89510000000001</v>
      </c>
      <c r="G62" s="1"/>
    </row>
    <row r="63" spans="4:7" ht="15.75" x14ac:dyDescent="0.25">
      <c r="D63" s="8" t="s">
        <v>10</v>
      </c>
      <c r="E63" s="4">
        <v>-36.200000000000003</v>
      </c>
      <c r="F63" s="5">
        <f t="shared" si="0"/>
        <v>-8.6517999999999997</v>
      </c>
      <c r="G63" s="1"/>
    </row>
    <row r="64" spans="4:7" ht="15.75" x14ac:dyDescent="0.25">
      <c r="D64" s="8" t="s">
        <v>11</v>
      </c>
      <c r="E64" s="4">
        <v>-92.3</v>
      </c>
      <c r="F64" s="5">
        <f t="shared" si="0"/>
        <v>-22.059699999999999</v>
      </c>
      <c r="G64" s="1"/>
    </row>
    <row r="65" spans="4:7" ht="15.75" x14ac:dyDescent="0.25">
      <c r="D65" s="8" t="s">
        <v>12</v>
      </c>
      <c r="E65" s="4">
        <v>-268.60000000000002</v>
      </c>
      <c r="F65" s="5">
        <f t="shared" si="0"/>
        <v>-64.195400000000006</v>
      </c>
      <c r="G65" s="1"/>
    </row>
    <row r="66" spans="4:7" ht="15.75" x14ac:dyDescent="0.25">
      <c r="D66" s="8" t="s">
        <v>13</v>
      </c>
      <c r="E66" s="4">
        <v>25.9</v>
      </c>
      <c r="F66" s="5">
        <f t="shared" si="0"/>
        <v>6.1900999999999993</v>
      </c>
      <c r="G66" s="1"/>
    </row>
    <row r="67" spans="4:7" ht="15.75" x14ac:dyDescent="0.25">
      <c r="D67" s="8" t="s">
        <v>61</v>
      </c>
      <c r="E67" s="4">
        <v>-173.2</v>
      </c>
      <c r="F67" s="5">
        <f t="shared" si="0"/>
        <v>-41.394799999999996</v>
      </c>
      <c r="G67" s="1"/>
    </row>
    <row r="68" spans="4:7" ht="15.75" x14ac:dyDescent="0.25">
      <c r="D68" s="9" t="s">
        <v>62</v>
      </c>
      <c r="E68" s="6">
        <v>-241.8</v>
      </c>
      <c r="F68" s="7">
        <f t="shared" si="0"/>
        <v>-57.790199999999999</v>
      </c>
      <c r="G68" s="1"/>
    </row>
    <row r="69" spans="4:7" ht="15.75" x14ac:dyDescent="0.25">
      <c r="D69" s="8" t="s">
        <v>63</v>
      </c>
      <c r="E69" s="4">
        <v>-315.39999999999998</v>
      </c>
      <c r="F69" s="5">
        <f t="shared" si="0"/>
        <v>-75.380599999999987</v>
      </c>
      <c r="G69" s="1"/>
    </row>
    <row r="70" spans="4:7" ht="15.75" x14ac:dyDescent="0.25">
      <c r="D70" s="9" t="s">
        <v>64</v>
      </c>
      <c r="E70" s="6">
        <v>-365.1</v>
      </c>
      <c r="F70" s="7">
        <f t="shared" si="0"/>
        <v>-87.258899999999997</v>
      </c>
      <c r="G70" s="1"/>
    </row>
    <row r="71" spans="4:7" ht="15.75" x14ac:dyDescent="0.25">
      <c r="D71" s="8" t="s">
        <v>14</v>
      </c>
      <c r="E71" s="4">
        <v>90.4</v>
      </c>
      <c r="F71" s="5">
        <f t="shared" ref="F71:F89" si="1">E71*0.239</f>
        <v>21.605599999999999</v>
      </c>
      <c r="G71" s="1"/>
    </row>
    <row r="72" spans="4:7" ht="15.75" x14ac:dyDescent="0.25">
      <c r="D72" s="8" t="s">
        <v>65</v>
      </c>
      <c r="E72" s="4">
        <v>33.9</v>
      </c>
      <c r="F72" s="5">
        <f t="shared" si="1"/>
        <v>8.1021000000000001</v>
      </c>
      <c r="G72" s="1"/>
    </row>
    <row r="73" spans="4:7" ht="15.75" x14ac:dyDescent="0.25">
      <c r="D73" s="8" t="s">
        <v>16</v>
      </c>
      <c r="E73" s="4">
        <v>-244.3</v>
      </c>
      <c r="F73" s="5">
        <f t="shared" si="1"/>
        <v>-58.387700000000002</v>
      </c>
      <c r="G73" s="1"/>
    </row>
    <row r="74" spans="4:7" ht="15.75" x14ac:dyDescent="0.25">
      <c r="D74" s="8" t="s">
        <v>66</v>
      </c>
      <c r="E74" s="4">
        <v>-277</v>
      </c>
      <c r="F74" s="5">
        <f t="shared" si="1"/>
        <v>-66.203000000000003</v>
      </c>
      <c r="G74" s="1"/>
    </row>
    <row r="75" spans="4:7" ht="15.75" x14ac:dyDescent="0.25">
      <c r="D75" s="8" t="s">
        <v>67</v>
      </c>
      <c r="E75" s="4">
        <v>-359.2</v>
      </c>
      <c r="F75" s="5">
        <f t="shared" si="1"/>
        <v>-85.848799999999997</v>
      </c>
      <c r="G75" s="1"/>
    </row>
    <row r="76" spans="4:7" ht="15.75" x14ac:dyDescent="0.25">
      <c r="D76" s="8" t="s">
        <v>20</v>
      </c>
      <c r="E76" s="4">
        <v>-217.9</v>
      </c>
      <c r="F76" s="5">
        <f t="shared" si="1"/>
        <v>-52.078099999999999</v>
      </c>
      <c r="G76" s="1"/>
    </row>
    <row r="77" spans="4:7" ht="15.75" x14ac:dyDescent="0.25">
      <c r="D77" s="8" t="s">
        <v>68</v>
      </c>
      <c r="E77" s="4">
        <v>-276.60000000000002</v>
      </c>
      <c r="F77" s="5">
        <f t="shared" si="1"/>
        <v>-66.107399999999998</v>
      </c>
      <c r="G77" s="1"/>
    </row>
    <row r="78" spans="4:7" ht="15.75" x14ac:dyDescent="0.25">
      <c r="D78" s="8" t="s">
        <v>69</v>
      </c>
      <c r="E78" s="4">
        <v>-734.7</v>
      </c>
      <c r="F78" s="5">
        <f t="shared" si="1"/>
        <v>-175.5933</v>
      </c>
      <c r="G78" s="1"/>
    </row>
    <row r="79" spans="4:7" ht="15.75" x14ac:dyDescent="0.25">
      <c r="D79" s="8" t="s">
        <v>70</v>
      </c>
      <c r="E79" s="4">
        <v>-306.39999999999998</v>
      </c>
      <c r="F79" s="5">
        <f t="shared" si="1"/>
        <v>-73.229599999999991</v>
      </c>
      <c r="G79" s="1"/>
    </row>
    <row r="80" spans="4:7" ht="15.75" x14ac:dyDescent="0.25">
      <c r="D80" s="8" t="s">
        <v>71</v>
      </c>
      <c r="E80" s="4">
        <v>-398.9</v>
      </c>
      <c r="F80" s="5">
        <f t="shared" si="1"/>
        <v>-95.337099999999992</v>
      </c>
      <c r="G80" s="1"/>
    </row>
    <row r="81" spans="4:7" ht="15.75" x14ac:dyDescent="0.25">
      <c r="D81" s="9" t="s">
        <v>72</v>
      </c>
      <c r="E81" s="6">
        <v>-859.4</v>
      </c>
      <c r="F81" s="7">
        <f t="shared" si="1"/>
        <v>-205.39659999999998</v>
      </c>
      <c r="G81" s="1"/>
    </row>
    <row r="82" spans="4:7" ht="15.75" x14ac:dyDescent="0.25">
      <c r="D82" s="8" t="s">
        <v>73</v>
      </c>
      <c r="E82" s="4">
        <v>-349.8</v>
      </c>
      <c r="F82" s="5">
        <f t="shared" si="1"/>
        <v>-83.602199999999996</v>
      </c>
      <c r="G82" s="1"/>
    </row>
    <row r="83" spans="4:7" ht="15.75" x14ac:dyDescent="0.25">
      <c r="D83" s="8" t="s">
        <v>74</v>
      </c>
      <c r="E83" s="4">
        <v>-545.20000000000005</v>
      </c>
      <c r="F83" s="5">
        <f t="shared" si="1"/>
        <v>-130.30280000000002</v>
      </c>
      <c r="G83" s="1"/>
    </row>
    <row r="84" spans="4:7" ht="15.75" x14ac:dyDescent="0.25">
      <c r="D84" s="8" t="s">
        <v>24</v>
      </c>
      <c r="E84" s="4">
        <v>-286.2</v>
      </c>
      <c r="F84" s="5">
        <f t="shared" si="1"/>
        <v>-68.401799999999994</v>
      </c>
      <c r="G84" s="1"/>
    </row>
    <row r="85" spans="4:7" ht="15.75" x14ac:dyDescent="0.25">
      <c r="D85" s="8" t="s">
        <v>75</v>
      </c>
      <c r="E85" s="4">
        <v>-580.70000000000005</v>
      </c>
      <c r="F85" s="5">
        <f t="shared" si="1"/>
        <v>-138.78730000000002</v>
      </c>
      <c r="G85" s="1"/>
    </row>
    <row r="86" spans="4:7" ht="15.75" x14ac:dyDescent="0.25">
      <c r="D86" s="8" t="s">
        <v>76</v>
      </c>
      <c r="E86" s="4">
        <v>-296.10000000000002</v>
      </c>
      <c r="F86" s="5">
        <f t="shared" si="1"/>
        <v>-70.767899999999997</v>
      </c>
      <c r="G86" s="1"/>
    </row>
    <row r="87" spans="4:7" ht="15.75" x14ac:dyDescent="0.25">
      <c r="D87" s="8" t="s">
        <v>77</v>
      </c>
      <c r="E87" s="4">
        <v>-395.2</v>
      </c>
      <c r="F87" s="5">
        <f t="shared" si="1"/>
        <v>-94.452799999999996</v>
      </c>
      <c r="G87" s="1"/>
    </row>
    <row r="88" spans="4:7" ht="15.75" x14ac:dyDescent="0.25">
      <c r="D88" s="8" t="s">
        <v>28</v>
      </c>
      <c r="E88" s="4">
        <v>-348</v>
      </c>
      <c r="F88" s="5">
        <f t="shared" si="1"/>
        <v>-83.171999999999997</v>
      </c>
      <c r="G88" s="1"/>
    </row>
    <row r="89" spans="4:7" ht="15.75" x14ac:dyDescent="0.25">
      <c r="D89" s="8" t="s">
        <v>29</v>
      </c>
      <c r="E89" s="4">
        <v>-202.9</v>
      </c>
      <c r="F89" s="5">
        <f t="shared" si="1"/>
        <v>-48.493099999999998</v>
      </c>
      <c r="G89" s="1"/>
    </row>
    <row r="90" spans="4:7" ht="15.75" x14ac:dyDescent="0.25">
      <c r="D90" s="9" t="s">
        <v>92</v>
      </c>
      <c r="E90" s="6">
        <f>F90/0.239</f>
        <v>-1092.8870292887029</v>
      </c>
      <c r="F90" s="7">
        <v>-261.2</v>
      </c>
    </row>
    <row r="91" spans="4:7" ht="15.75" x14ac:dyDescent="0.25">
      <c r="D91" s="9" t="s">
        <v>93</v>
      </c>
      <c r="E91" s="6">
        <f t="shared" ref="E91:E100" si="2">F91/0.239</f>
        <v>0</v>
      </c>
      <c r="F91" s="7">
        <v>0</v>
      </c>
    </row>
    <row r="92" spans="4:7" ht="15.75" x14ac:dyDescent="0.25">
      <c r="D92" s="9" t="s">
        <v>94</v>
      </c>
      <c r="E92" s="6">
        <f t="shared" si="2"/>
        <v>-110.54393305439332</v>
      </c>
      <c r="F92" s="7">
        <v>-26.42</v>
      </c>
    </row>
    <row r="93" spans="4:7" ht="15.75" x14ac:dyDescent="0.25">
      <c r="D93" s="9" t="s">
        <v>95</v>
      </c>
      <c r="E93" s="6">
        <f t="shared" si="2"/>
        <v>0</v>
      </c>
      <c r="F93" s="7">
        <v>0</v>
      </c>
    </row>
    <row r="94" spans="4:7" ht="15.75" x14ac:dyDescent="0.25">
      <c r="D94" s="9" t="s">
        <v>96</v>
      </c>
      <c r="E94" s="6">
        <f t="shared" si="2"/>
        <v>0</v>
      </c>
      <c r="F94" s="7">
        <v>0</v>
      </c>
    </row>
    <row r="95" spans="4:7" ht="15.75" x14ac:dyDescent="0.25">
      <c r="D95" s="9" t="s">
        <v>97</v>
      </c>
      <c r="E95" s="6">
        <f t="shared" si="2"/>
        <v>-1640.1673640167364</v>
      </c>
      <c r="F95" s="7">
        <v>-392</v>
      </c>
    </row>
    <row r="96" spans="4:7" ht="15.75" x14ac:dyDescent="0.25">
      <c r="D96" s="9" t="s">
        <v>98</v>
      </c>
      <c r="E96" s="6">
        <f t="shared" si="2"/>
        <v>-375.73221757322176</v>
      </c>
      <c r="F96" s="7">
        <v>-89.8</v>
      </c>
    </row>
    <row r="97" spans="4:6" ht="15.75" x14ac:dyDescent="0.25">
      <c r="D97" s="9" t="s">
        <v>99</v>
      </c>
      <c r="E97" s="6">
        <f t="shared" si="2"/>
        <v>-470.50209205020923</v>
      </c>
      <c r="F97" s="7">
        <v>-112.45</v>
      </c>
    </row>
    <row r="98" spans="4:6" ht="15.75" x14ac:dyDescent="0.25">
      <c r="D98" s="9" t="s">
        <v>101</v>
      </c>
      <c r="E98" s="6">
        <f t="shared" si="2"/>
        <v>-234.30962343096235</v>
      </c>
      <c r="F98" s="7">
        <v>-56</v>
      </c>
    </row>
    <row r="99" spans="4:6" ht="15.75" x14ac:dyDescent="0.25">
      <c r="D99" s="9" t="s">
        <v>0</v>
      </c>
      <c r="E99" s="6">
        <f t="shared" si="2"/>
        <v>0</v>
      </c>
      <c r="F99" s="7">
        <v>0</v>
      </c>
    </row>
    <row r="100" spans="4:6" ht="15.75" x14ac:dyDescent="0.25">
      <c r="D100" s="9" t="s">
        <v>100</v>
      </c>
      <c r="E100" s="6">
        <f t="shared" si="2"/>
        <v>-370.96234309623429</v>
      </c>
      <c r="F100" s="7">
        <v>-88.66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GODOFREDO SANTIAGO LUCAS</dc:creator>
  <cp:lastModifiedBy>ROBERT GODOFREDO SANTIAGO LUCAS</cp:lastModifiedBy>
  <dcterms:created xsi:type="dcterms:W3CDTF">2023-11-30T18:08:15Z</dcterms:created>
  <dcterms:modified xsi:type="dcterms:W3CDTF">2023-11-30T19:49:58Z</dcterms:modified>
</cp:coreProperties>
</file>