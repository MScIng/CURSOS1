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ARM\8. CURSOS\ESPECIALIZACIÓN, GESTIÓN Y SUPERVISIÓN DEL MANTENIMIENTO DE EQUIPOS PESADOS\9. Módulo, Gestión de Backlog (17)\"/>
    </mc:Choice>
  </mc:AlternateContent>
  <xr:revisionPtr revIDLastSave="0" documentId="13_ncr:1_{AA34975B-67AF-475C-9EAB-FDB6EF7AE30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2" l="1"/>
  <c r="K5" i="2"/>
  <c r="K6" i="2"/>
  <c r="K3" i="2"/>
  <c r="H7" i="2"/>
  <c r="K10" i="2" s="1"/>
  <c r="I7" i="2"/>
  <c r="J7" i="2"/>
  <c r="G7" i="2"/>
  <c r="D6" i="2"/>
  <c r="C6" i="2"/>
  <c r="K9" i="2" s="1" a="1"/>
  <c r="K9" i="2" s="1"/>
  <c r="J17" i="1"/>
  <c r="G17" i="1"/>
  <c r="K14" i="2" l="1"/>
  <c r="M5" i="2"/>
  <c r="K11" i="2" s="1"/>
  <c r="K7" i="2"/>
  <c r="K15" i="2" s="1"/>
  <c r="K12" i="2"/>
  <c r="K16" i="2" l="1"/>
  <c r="K17" i="2"/>
  <c r="K1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<sst xmlns="http://schemas.openxmlformats.org/spreadsheetml/2006/main" count="25" uniqueCount="20">
  <si>
    <t>M. PREV</t>
  </si>
  <si>
    <t>MB COND</t>
  </si>
  <si>
    <t>M CORREC</t>
  </si>
  <si>
    <t>T. PROG</t>
  </si>
  <si>
    <t>N° OM</t>
  </si>
  <si>
    <t>HH Estimadas</t>
  </si>
  <si>
    <t>M C EMERG</t>
  </si>
  <si>
    <t>HH UTILIZADAS</t>
  </si>
  <si>
    <t>H NORMALES</t>
  </si>
  <si>
    <t>H EXTRAS</t>
  </si>
  <si>
    <t>TOTAL</t>
  </si>
  <si>
    <t>CUMPLIMIENTO DE LA PROGRAMACIÓN (OT)</t>
  </si>
  <si>
    <t>CUMPLIMIENTO DE LA PROGRAMACIÓN (HH)</t>
  </si>
  <si>
    <t>% M. PREVENTIVO</t>
  </si>
  <si>
    <t>% M. BASADO EN CONDICIÓN</t>
  </si>
  <si>
    <t>% M. CORRECTIVO PLAN. Y PROG</t>
  </si>
  <si>
    <t>% M. CORRECTIVO EMERGENCIA</t>
  </si>
  <si>
    <t>% HORAS NORMALES</t>
  </si>
  <si>
    <t>% HORAS EXTRAS</t>
  </si>
  <si>
    <t>VARIACIÓN (se interpreta que la variación es 35% superior a lo estimado)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</si>
</sst>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0" fillId="3" borderId="2" xfId="0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10" fontId="4" fillId="0" borderId="1" xfId="1" applyNumberFormat="1" applyFont="1" applyBorder="1" applyAlignment="1">
      <alignment wrapText="1"/>
    </xf>
    <xf numFmtId="0" fontId="0" fillId="3" borderId="1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190501</xdr:colOff>
      <xdr:row>4</xdr:row>
      <xdr:rowOff>47625</xdr:rowOff>
    </xdr:from>
    <xdr:to>
      <xdr:col>11</xdr:col>
      <xdr:colOff>19051</xdr:colOff>
      <xdr:row>14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142136-B340-42B3-2EB0-9BB292639F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751" t="14599" r="2711" b="27819"/>
        <a:stretch/>
      </xdr:blipFill>
      <xdr:spPr>
        <a:xfrm>
          <a:off x="800101" y="809625"/>
          <a:ext cx="5924550" cy="2028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7:J17"/>
  <sheetViews>
    <sheetView workbookViewId="0">
      <selection activeCell="J18" sqref="J18"/>
    </sheetView>
  </sheetViews>
  <sheetFormatPr baseColWidth="10" defaultColWidth="9.140625" defaultRowHeight="15" x14ac:dyDescent="0.25"/>
  <sheetData>
    <row r="17" spans="4:10" x14ac:dyDescent="0.25">
      <c r="D17">
        <v>6</v>
      </c>
      <c r="F17">
        <v>25</v>
      </c>
      <c r="G17" s="1">
        <f>+D17*F17</f>
        <v>150</v>
      </c>
      <c r="H17">
        <v>486</v>
      </c>
      <c r="J17">
        <f>+H17/G17</f>
        <v>3.24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8643D-876B-419A-A3CE-AEDFEC3CDA63}">
  <dimension ref="B1:M17"/>
  <sheetViews>
    <sheetView showGridLines="0" tabSelected="1" zoomScaleNormal="100" workbookViewId="0">
      <selection activeCell="M12" sqref="M12"/>
    </sheetView>
  </sheetViews>
  <sheetFormatPr baseColWidth="10" defaultRowHeight="15" x14ac:dyDescent="0.25"/>
  <cols>
    <col min="1" max="1" width="2.5703125" customWidth="1"/>
    <col min="2" max="2" width="10.42578125" customWidth="1"/>
    <col min="3" max="3" width="8.140625" customWidth="1"/>
    <col min="4" max="4" width="10.140625" style="3" customWidth="1"/>
    <col min="5" max="5" width="2.42578125" customWidth="1"/>
    <col min="7" max="7" width="7.5703125" customWidth="1"/>
    <col min="8" max="8" width="9.140625" customWidth="1"/>
    <col min="9" max="9" width="10.85546875" style="2" customWidth="1"/>
    <col min="10" max="10" width="8.7109375" style="2" customWidth="1"/>
    <col min="11" max="11" width="13" style="2" bestFit="1" customWidth="1"/>
  </cols>
  <sheetData>
    <row r="1" spans="2:13" x14ac:dyDescent="0.25">
      <c r="I1" s="21" t="s">
        <v>7</v>
      </c>
      <c r="J1" s="21"/>
      <c r="K1" s="21"/>
    </row>
    <row r="2" spans="2:13" ht="45" x14ac:dyDescent="0.25">
      <c r="B2" s="11" t="s">
        <v>3</v>
      </c>
      <c r="C2" s="9" t="s">
        <v>4</v>
      </c>
      <c r="D2" s="10" t="s">
        <v>5</v>
      </c>
      <c r="G2" s="16" t="s">
        <v>4</v>
      </c>
      <c r="H2" s="17" t="s">
        <v>5</v>
      </c>
      <c r="I2" s="22" t="s">
        <v>8</v>
      </c>
      <c r="J2" s="22" t="s">
        <v>9</v>
      </c>
      <c r="K2" s="22" t="s">
        <v>10</v>
      </c>
    </row>
    <row r="3" spans="2:13" x14ac:dyDescent="0.25">
      <c r="B3" s="13" t="s">
        <v>0</v>
      </c>
      <c r="C3" s="14">
        <v>45</v>
      </c>
      <c r="D3" s="15">
        <v>450</v>
      </c>
      <c r="F3" s="13" t="s">
        <v>0</v>
      </c>
      <c r="G3" s="18">
        <v>40</v>
      </c>
      <c r="H3" s="18">
        <v>350</v>
      </c>
      <c r="I3" s="19">
        <v>450</v>
      </c>
      <c r="J3" s="19">
        <v>0</v>
      </c>
      <c r="K3" s="19">
        <f>SUM(I3:J3)</f>
        <v>450</v>
      </c>
    </row>
    <row r="4" spans="2:13" x14ac:dyDescent="0.25">
      <c r="B4" s="13" t="s">
        <v>1</v>
      </c>
      <c r="C4" s="14">
        <v>20</v>
      </c>
      <c r="D4" s="15">
        <v>200</v>
      </c>
      <c r="F4" s="13" t="s">
        <v>1</v>
      </c>
      <c r="G4" s="18">
        <v>18</v>
      </c>
      <c r="H4" s="18">
        <v>160</v>
      </c>
      <c r="I4" s="19">
        <v>190</v>
      </c>
      <c r="J4" s="19">
        <v>10</v>
      </c>
      <c r="K4" s="19">
        <f t="shared" ref="K4:K6" si="0">SUM(I4:J4)</f>
        <v>200</v>
      </c>
    </row>
    <row r="5" spans="2:13" x14ac:dyDescent="0.25">
      <c r="B5" s="13" t="s">
        <v>2</v>
      </c>
      <c r="C5" s="14">
        <v>5</v>
      </c>
      <c r="D5" s="15">
        <v>50</v>
      </c>
      <c r="F5" s="13" t="s">
        <v>2</v>
      </c>
      <c r="G5" s="18">
        <v>5</v>
      </c>
      <c r="H5" s="18">
        <v>20</v>
      </c>
      <c r="I5" s="19">
        <v>46</v>
      </c>
      <c r="J5" s="19">
        <v>20</v>
      </c>
      <c r="K5" s="19">
        <f t="shared" si="0"/>
        <v>66</v>
      </c>
      <c r="M5" s="1">
        <f>+SUM(K3:K5)</f>
        <v>716</v>
      </c>
    </row>
    <row r="6" spans="2:13" x14ac:dyDescent="0.25">
      <c r="B6" s="4"/>
      <c r="C6" s="5">
        <f>SUM(C3:C5)</f>
        <v>70</v>
      </c>
      <c r="D6" s="6">
        <f>SUM(D3:D5)</f>
        <v>700</v>
      </c>
      <c r="F6" s="13" t="s">
        <v>6</v>
      </c>
      <c r="G6" s="18">
        <v>4</v>
      </c>
      <c r="H6" s="18"/>
      <c r="I6" s="19">
        <v>24</v>
      </c>
      <c r="J6" s="19">
        <v>30</v>
      </c>
      <c r="K6" s="19">
        <f t="shared" si="0"/>
        <v>54</v>
      </c>
    </row>
    <row r="7" spans="2:13" x14ac:dyDescent="0.25">
      <c r="G7" s="7">
        <f>SUM(G3:G6)</f>
        <v>67</v>
      </c>
      <c r="H7" s="7">
        <f t="shared" ref="H7:K7" si="1">SUM(H3:H6)</f>
        <v>530</v>
      </c>
      <c r="I7" s="8">
        <f t="shared" si="1"/>
        <v>710</v>
      </c>
      <c r="J7" s="8">
        <f t="shared" si="1"/>
        <v>60</v>
      </c>
      <c r="K7" s="8">
        <f t="shared" si="1"/>
        <v>770</v>
      </c>
    </row>
    <row r="9" spans="2:13" x14ac:dyDescent="0.25">
      <c r="B9" s="12" t="s">
        <v>11</v>
      </c>
      <c r="C9" s="12"/>
      <c r="D9" s="12"/>
      <c r="E9" s="12"/>
      <c r="F9" s="12"/>
      <c r="G9" s="12"/>
      <c r="H9" s="12"/>
      <c r="I9" s="12"/>
      <c r="J9" s="12"/>
      <c r="K9" s="20" cm="1">
        <f t="array" ref="K9">+SUM(G3:G5/C6)</f>
        <v>0.89999999999999991</v>
      </c>
    </row>
    <row r="10" spans="2:13" x14ac:dyDescent="0.25">
      <c r="B10" s="12" t="s">
        <v>12</v>
      </c>
      <c r="C10" s="12"/>
      <c r="D10" s="12"/>
      <c r="E10" s="12"/>
      <c r="F10" s="12"/>
      <c r="G10" s="12"/>
      <c r="H10" s="12"/>
      <c r="I10" s="12"/>
      <c r="J10" s="12"/>
      <c r="K10" s="20">
        <f>+H7/D6</f>
        <v>0.75714285714285712</v>
      </c>
    </row>
    <row r="11" spans="2:13" x14ac:dyDescent="0.25">
      <c r="B11" s="12" t="s">
        <v>19</v>
      </c>
      <c r="C11" s="12"/>
      <c r="D11" s="12"/>
      <c r="E11" s="12"/>
      <c r="F11" s="12"/>
      <c r="G11" s="12"/>
      <c r="H11" s="12"/>
      <c r="I11" s="12"/>
      <c r="J11" s="12"/>
      <c r="K11" s="20">
        <f>+(M5-H7)/H7</f>
        <v>0.35094339622641507</v>
      </c>
    </row>
    <row r="12" spans="2:13" x14ac:dyDescent="0.25">
      <c r="B12" s="12" t="s">
        <v>13</v>
      </c>
      <c r="C12" s="12"/>
      <c r="D12" s="12"/>
      <c r="E12" s="12"/>
      <c r="F12" s="12"/>
      <c r="G12" s="12"/>
      <c r="H12" s="12"/>
      <c r="I12" s="12"/>
      <c r="J12" s="12"/>
      <c r="K12" s="20">
        <f>+K3/K7</f>
        <v>0.58441558441558439</v>
      </c>
    </row>
    <row r="13" spans="2:13" x14ac:dyDescent="0.25">
      <c r="B13" s="12" t="s">
        <v>14</v>
      </c>
      <c r="C13" s="12"/>
      <c r="D13" s="12"/>
      <c r="E13" s="12"/>
      <c r="F13" s="12"/>
      <c r="G13" s="12"/>
      <c r="H13" s="12"/>
      <c r="I13" s="12"/>
      <c r="J13" s="12"/>
      <c r="K13" s="20">
        <f>+K4/K7</f>
        <v>0.25974025974025972</v>
      </c>
    </row>
    <row r="14" spans="2:13" x14ac:dyDescent="0.25">
      <c r="B14" s="12" t="s">
        <v>15</v>
      </c>
      <c r="C14" s="12"/>
      <c r="D14" s="12"/>
      <c r="E14" s="12"/>
      <c r="F14" s="12"/>
      <c r="G14" s="12"/>
      <c r="H14" s="12"/>
      <c r="I14" s="12"/>
      <c r="J14" s="12"/>
      <c r="K14" s="20">
        <f>+K5/K7</f>
        <v>8.5714285714285715E-2</v>
      </c>
    </row>
    <row r="15" spans="2:13" x14ac:dyDescent="0.25">
      <c r="B15" s="12" t="s">
        <v>16</v>
      </c>
      <c r="C15" s="12"/>
      <c r="D15" s="12"/>
      <c r="E15" s="12"/>
      <c r="F15" s="12"/>
      <c r="G15" s="12"/>
      <c r="H15" s="12"/>
      <c r="I15" s="12"/>
      <c r="J15" s="12"/>
      <c r="K15" s="20">
        <f>+K6/K7</f>
        <v>7.0129870129870125E-2</v>
      </c>
    </row>
    <row r="16" spans="2:13" x14ac:dyDescent="0.25">
      <c r="B16" s="12" t="s">
        <v>17</v>
      </c>
      <c r="C16" s="12"/>
      <c r="D16" s="12"/>
      <c r="E16" s="12"/>
      <c r="F16" s="12"/>
      <c r="G16" s="12"/>
      <c r="H16" s="12"/>
      <c r="I16" s="12"/>
      <c r="J16" s="12"/>
      <c r="K16" s="20">
        <f>+I7/K7</f>
        <v>0.92207792207792205</v>
      </c>
    </row>
    <row r="17" spans="2:11" x14ac:dyDescent="0.25">
      <c r="B17" s="12" t="s">
        <v>18</v>
      </c>
      <c r="C17" s="12"/>
      <c r="D17" s="12"/>
      <c r="E17" s="12"/>
      <c r="F17" s="12"/>
      <c r="G17" s="12"/>
      <c r="H17" s="12"/>
      <c r="I17" s="12"/>
      <c r="J17" s="12"/>
      <c r="K17" s="20">
        <f>+J7/K7</f>
        <v>7.792207792207792E-2</v>
      </c>
    </row>
  </sheetData>
  <mergeCells count="10">
    <mergeCell ref="B14:J14"/>
    <mergeCell ref="B15:J15"/>
    <mergeCell ref="B16:J16"/>
    <mergeCell ref="B17:J17"/>
    <mergeCell ref="I1:K1"/>
    <mergeCell ref="B9:J9"/>
    <mergeCell ref="B10:J10"/>
    <mergeCell ref="B11:J11"/>
    <mergeCell ref="B12:J12"/>
    <mergeCell ref="B13:J13"/>
  </mergeCells>
  <pageMargins left="0.7" right="0.7" top="0.75" bottom="0.75" header="0.3" footer="0.3"/>
  <ignoredErrors>
    <ignoredError sqref="K3:K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</dc:creator>
  <cp:lastModifiedBy>Edison Muñante Mendoza</cp:lastModifiedBy>
  <dcterms:created xsi:type="dcterms:W3CDTF">2015-06-05T18:19:34Z</dcterms:created>
  <dcterms:modified xsi:type="dcterms:W3CDTF">2024-03-14T02:33:06Z</dcterms:modified>
</cp:coreProperties>
</file>