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M\8. CURSOS\ESPECIALIZACIÓN, GESTIÓN Y SUPERVISIÓN DEL MANTENIMIENTO DE EQUIPOS PESADOS\7. Módulo,Costos y Presupuestos de Mantenimiento (14,15)\"/>
    </mc:Choice>
  </mc:AlternateContent>
  <xr:revisionPtr revIDLastSave="0" documentId="13_ncr:1_{0C799CD6-605A-4D00-A526-EC3A31431B95}" xr6:coauthVersionLast="47" xr6:coauthVersionMax="47" xr10:uidLastSave="{00000000-0000-0000-0000-000000000000}"/>
  <bookViews>
    <workbookView xWindow="-120" yWindow="-120" windowWidth="20730" windowHeight="11160" tabRatio="767" firstSheet="1" activeTab="8" xr2:uid="{00000000-000D-0000-FFFF-FFFF00000000}"/>
  </bookViews>
  <sheets>
    <sheet name="1Planilla" sheetId="24" r:id="rId1"/>
    <sheet name="2Maq" sheetId="8" r:id="rId2"/>
    <sheet name="3insumo" sheetId="28" r:id="rId3"/>
    <sheet name="4Trans" sheetId="29" r:id="rId4"/>
    <sheet name="5 EPP" sheetId="16" r:id="rId5"/>
    <sheet name="6SueAct" sheetId="9" r:id="rId6"/>
    <sheet name="7chrFM" sheetId="4" r:id="rId7"/>
    <sheet name="7,1Grafico" sheetId="25" r:id="rId8"/>
    <sheet name="Costo Horario NL12" sheetId="7" r:id="rId9"/>
    <sheet name="Propuesto Costo Horario" sheetId="11" state="hidden" r:id="rId10"/>
  </sheets>
  <externalReferences>
    <externalReference r:id="rId11"/>
    <externalReference r:id="rId12"/>
    <externalReference r:id="rId13"/>
  </externalReferences>
  <definedNames>
    <definedName name="_xlnm.Print_Area" localSheetId="0">'1Planilla'!$A$1:$I$74</definedName>
    <definedName name="_xlnm.Print_Area" localSheetId="1">'2Maq'!$A$1:$I$44</definedName>
    <definedName name="_xlnm.Print_Area" localSheetId="2">'3insumo'!$A$1:$H$50</definedName>
    <definedName name="_xlnm.Print_Area" localSheetId="3">'4Trans'!$A$1:$F$56</definedName>
    <definedName name="_xlnm.Print_Area" localSheetId="4">'5 EPP'!$A$1:$I$44</definedName>
    <definedName name="_xlnm.Print_Area" localSheetId="5">'6SueAct'!$A$1:$I$47</definedName>
    <definedName name="_xlnm.Print_Area" localSheetId="7">'7,1Grafico'!$A$1:$J$29</definedName>
    <definedName name="_xlnm.Print_Area" localSheetId="6">'7chrFM'!$A$1:$U$82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25" l="1"/>
  <c r="O28" i="25" s="1"/>
  <c r="G20" i="25" s="1"/>
  <c r="N30" i="25"/>
  <c r="O30" i="25" s="1"/>
  <c r="N29" i="25"/>
  <c r="O29" i="25" s="1"/>
  <c r="D38" i="25" l="1"/>
  <c r="C35" i="25"/>
  <c r="E61" i="4"/>
  <c r="E59" i="4"/>
  <c r="E57" i="4"/>
  <c r="A3" i="29"/>
  <c r="H42" i="9"/>
  <c r="H43" i="9"/>
  <c r="T9" i="4" l="1"/>
  <c r="C32" i="25"/>
  <c r="E32" i="25" s="1"/>
  <c r="M23" i="25"/>
  <c r="G31" i="25" s="1"/>
  <c r="C33" i="25"/>
  <c r="E33" i="25" s="1"/>
  <c r="G33" i="25" s="1"/>
  <c r="I32" i="25" l="1"/>
  <c r="I7" i="9"/>
  <c r="U4" i="4" l="1"/>
  <c r="I54" i="4"/>
  <c r="C52" i="4"/>
  <c r="C51" i="4"/>
  <c r="C50" i="4"/>
  <c r="C49" i="4"/>
  <c r="C48" i="4"/>
  <c r="C33" i="4"/>
  <c r="C32" i="4"/>
  <c r="C31" i="4"/>
  <c r="C30" i="4"/>
  <c r="C29" i="4"/>
  <c r="C28" i="4"/>
  <c r="C27" i="4"/>
  <c r="C26" i="4"/>
  <c r="C25" i="4"/>
  <c r="C24" i="4"/>
  <c r="C23" i="4"/>
  <c r="C22" i="4"/>
  <c r="C16" i="4"/>
  <c r="C15" i="4"/>
  <c r="C14" i="4"/>
  <c r="C13" i="4"/>
  <c r="C12" i="4"/>
  <c r="G43" i="4"/>
  <c r="I43" i="4" s="1"/>
  <c r="J43" i="4" s="1"/>
  <c r="J42" i="4" s="1"/>
  <c r="H37" i="4"/>
  <c r="H38" i="4"/>
  <c r="H39" i="4"/>
  <c r="H40" i="4"/>
  <c r="G52" i="4"/>
  <c r="H52" i="4" s="1"/>
  <c r="G51" i="4"/>
  <c r="H51" i="4" s="1"/>
  <c r="G50" i="4"/>
  <c r="H50" i="4" s="1"/>
  <c r="G49" i="4"/>
  <c r="H49" i="4" s="1"/>
  <c r="D49" i="4"/>
  <c r="D50" i="4" s="1"/>
  <c r="H48" i="4"/>
  <c r="H41" i="4"/>
  <c r="H35" i="4"/>
  <c r="H34" i="4"/>
  <c r="C34" i="4"/>
  <c r="D33" i="4"/>
  <c r="H33" i="4"/>
  <c r="H32" i="4"/>
  <c r="D32" i="4"/>
  <c r="H31" i="4"/>
  <c r="D31" i="4"/>
  <c r="D29" i="4"/>
  <c r="H28" i="4"/>
  <c r="D28" i="4"/>
  <c r="H27" i="4"/>
  <c r="H26" i="4"/>
  <c r="D26" i="4"/>
  <c r="H25" i="4"/>
  <c r="D25" i="4"/>
  <c r="H24" i="4"/>
  <c r="D24" i="4"/>
  <c r="D30" i="4" s="1"/>
  <c r="H23" i="4"/>
  <c r="D23" i="4"/>
  <c r="H22" i="4"/>
  <c r="H17" i="4"/>
  <c r="H16" i="4"/>
  <c r="H15" i="4"/>
  <c r="H14" i="4"/>
  <c r="H13" i="4"/>
  <c r="H12" i="4"/>
  <c r="F48" i="29"/>
  <c r="F47" i="29"/>
  <c r="F46" i="29"/>
  <c r="F45" i="29"/>
  <c r="A45" i="29"/>
  <c r="F33" i="29"/>
  <c r="H58" i="28"/>
  <c r="G58" i="28"/>
  <c r="H57" i="28"/>
  <c r="G57" i="28"/>
  <c r="F50" i="28"/>
  <c r="I10" i="4" s="1"/>
  <c r="F16" i="28"/>
  <c r="A11" i="28"/>
  <c r="A12" i="28" s="1"/>
  <c r="A14" i="28" s="1"/>
  <c r="A19" i="28" s="1"/>
  <c r="A20" i="28" s="1"/>
  <c r="A21" i="28" s="1"/>
  <c r="A22" i="28" s="1"/>
  <c r="A23" i="28" s="1"/>
  <c r="A24" i="28" s="1"/>
  <c r="A25" i="28" s="1"/>
  <c r="A27" i="28" s="1"/>
  <c r="A28" i="28" s="1"/>
  <c r="A29" i="28" s="1"/>
  <c r="A30" i="28" s="1"/>
  <c r="A32" i="28" s="1"/>
  <c r="A33" i="28" s="1"/>
  <c r="A34" i="28" s="1"/>
  <c r="A35" i="28" s="1"/>
  <c r="A36" i="28" s="1"/>
  <c r="A37" i="28" s="1"/>
  <c r="A38" i="28" s="1"/>
  <c r="A39" i="28" s="1"/>
  <c r="A41" i="28" s="1"/>
  <c r="A42" i="28" s="1"/>
  <c r="A43" i="28" s="1"/>
  <c r="A45" i="28" s="1"/>
  <c r="A46" i="28" s="1"/>
  <c r="A47" i="28" s="1"/>
  <c r="A48" i="28" s="1"/>
  <c r="A49" i="28" s="1"/>
  <c r="F49" i="29" l="1"/>
  <c r="E79" i="4" s="1"/>
  <c r="G14" i="28"/>
  <c r="H14" i="28" s="1"/>
  <c r="I17" i="4"/>
  <c r="J17" i="4" s="1"/>
  <c r="D27" i="4"/>
  <c r="F38" i="29"/>
  <c r="F39" i="29"/>
  <c r="F37" i="29"/>
  <c r="F12" i="28"/>
  <c r="F19" i="28"/>
  <c r="G19" i="28" s="1"/>
  <c r="F21" i="28"/>
  <c r="F23" i="28"/>
  <c r="F24" i="28"/>
  <c r="F27" i="28"/>
  <c r="F28" i="28"/>
  <c r="F11" i="28"/>
  <c r="G11" i="28" s="1"/>
  <c r="F20" i="28"/>
  <c r="F22" i="28"/>
  <c r="F25" i="28"/>
  <c r="F30" i="28"/>
  <c r="F33" i="28"/>
  <c r="F35" i="28"/>
  <c r="G35" i="28" s="1"/>
  <c r="H35" i="28" s="1"/>
  <c r="F37" i="28"/>
  <c r="F39" i="28"/>
  <c r="G39" i="28" s="1"/>
  <c r="H39" i="28" s="1"/>
  <c r="F42" i="28"/>
  <c r="F45" i="28"/>
  <c r="I37" i="4" s="1"/>
  <c r="J37" i="4" s="1"/>
  <c r="F29" i="28"/>
  <c r="F32" i="28"/>
  <c r="F34" i="28"/>
  <c r="F36" i="28"/>
  <c r="G36" i="28" s="1"/>
  <c r="H36" i="28" s="1"/>
  <c r="F38" i="28"/>
  <c r="F41" i="28"/>
  <c r="F43" i="28"/>
  <c r="F42" i="29" l="1"/>
  <c r="J79" i="4" s="1"/>
  <c r="J78" i="4" s="1"/>
  <c r="G43" i="28"/>
  <c r="H43" i="28" s="1"/>
  <c r="I35" i="4"/>
  <c r="J35" i="4" s="1"/>
  <c r="G41" i="28"/>
  <c r="H41" i="28" s="1"/>
  <c r="I34" i="4"/>
  <c r="J34" i="4" s="1"/>
  <c r="G38" i="28"/>
  <c r="H38" i="28" s="1"/>
  <c r="I52" i="4"/>
  <c r="J52" i="4" s="1"/>
  <c r="G34" i="28"/>
  <c r="H34" i="28" s="1"/>
  <c r="I50" i="4"/>
  <c r="J50" i="4" s="1"/>
  <c r="G32" i="28"/>
  <c r="H32" i="28" s="1"/>
  <c r="I48" i="4"/>
  <c r="J48" i="4" s="1"/>
  <c r="G29" i="28"/>
  <c r="H29" i="28" s="1"/>
  <c r="I32" i="4"/>
  <c r="J32" i="4" s="1"/>
  <c r="G42" i="28"/>
  <c r="H42" i="28" s="1"/>
  <c r="I33" i="4"/>
  <c r="J33" i="4" s="1"/>
  <c r="G37" i="28"/>
  <c r="H37" i="28" s="1"/>
  <c r="I51" i="4"/>
  <c r="J51" i="4" s="1"/>
  <c r="G33" i="28"/>
  <c r="H33" i="28" s="1"/>
  <c r="I49" i="4"/>
  <c r="J49" i="4" s="1"/>
  <c r="G30" i="28"/>
  <c r="H30" i="28" s="1"/>
  <c r="I31" i="4"/>
  <c r="J31" i="4" s="1"/>
  <c r="G25" i="28"/>
  <c r="H25" i="28" s="1"/>
  <c r="I30" i="4"/>
  <c r="G22" i="28"/>
  <c r="H22" i="28" s="1"/>
  <c r="I25" i="4"/>
  <c r="J25" i="4" s="1"/>
  <c r="G20" i="28"/>
  <c r="H20" i="28" s="1"/>
  <c r="I23" i="4"/>
  <c r="J23" i="4" s="1"/>
  <c r="H11" i="28"/>
  <c r="I14" i="4"/>
  <c r="J14" i="4" s="1"/>
  <c r="I15" i="4"/>
  <c r="J15" i="4" s="1"/>
  <c r="I13" i="4"/>
  <c r="J13" i="4" s="1"/>
  <c r="G28" i="28"/>
  <c r="H28" i="28" s="1"/>
  <c r="I28" i="4"/>
  <c r="J28" i="4" s="1"/>
  <c r="G27" i="28"/>
  <c r="H27" i="28" s="1"/>
  <c r="I27" i="4"/>
  <c r="J27" i="4" s="1"/>
  <c r="G24" i="28"/>
  <c r="H24" i="28" s="1"/>
  <c r="I29" i="4"/>
  <c r="G23" i="28"/>
  <c r="H23" i="28" s="1"/>
  <c r="I26" i="4"/>
  <c r="J26" i="4" s="1"/>
  <c r="G21" i="28"/>
  <c r="H21" i="28" s="1"/>
  <c r="I24" i="4"/>
  <c r="J24" i="4" s="1"/>
  <c r="H19" i="28"/>
  <c r="I22" i="4"/>
  <c r="J22" i="4" s="1"/>
  <c r="G12" i="28"/>
  <c r="H12" i="28" s="1"/>
  <c r="I16" i="4"/>
  <c r="J16" i="4" s="1"/>
  <c r="F40" i="29"/>
  <c r="F49" i="28"/>
  <c r="F48" i="28"/>
  <c r="F47" i="28"/>
  <c r="F46" i="28"/>
  <c r="G45" i="28"/>
  <c r="H45" i="28" s="1"/>
  <c r="F10" i="28"/>
  <c r="G10" i="28" s="1"/>
  <c r="I12" i="4" s="1"/>
  <c r="J12" i="4" s="1"/>
  <c r="J47" i="4" l="1"/>
  <c r="G48" i="28"/>
  <c r="H48" i="28" s="1"/>
  <c r="I40" i="4"/>
  <c r="J40" i="4" s="1"/>
  <c r="G47" i="28"/>
  <c r="H47" i="28" s="1"/>
  <c r="I39" i="4"/>
  <c r="J39" i="4" s="1"/>
  <c r="G49" i="28"/>
  <c r="H49" i="28" s="1"/>
  <c r="I41" i="4"/>
  <c r="J41" i="4" s="1"/>
  <c r="G46" i="28"/>
  <c r="H46" i="28" s="1"/>
  <c r="I38" i="4"/>
  <c r="J38" i="4" s="1"/>
  <c r="H10" i="28"/>
  <c r="G55" i="28" l="1"/>
  <c r="J36" i="4"/>
  <c r="G53" i="28"/>
  <c r="H55" i="28"/>
  <c r="H53" i="28"/>
  <c r="D15" i="8" l="1"/>
  <c r="C15" i="8"/>
  <c r="E74" i="4"/>
  <c r="E73" i="4"/>
  <c r="E72" i="4"/>
  <c r="E71" i="4"/>
  <c r="E69" i="4"/>
  <c r="E68" i="4"/>
  <c r="E67" i="4"/>
  <c r="E66" i="4"/>
  <c r="E65" i="4"/>
  <c r="E64" i="4"/>
  <c r="G23" i="8" l="1"/>
  <c r="G22" i="8"/>
  <c r="G21" i="8"/>
  <c r="G20" i="8"/>
  <c r="G18" i="8"/>
  <c r="G17" i="8"/>
  <c r="M11" i="25"/>
  <c r="M12" i="25" s="1"/>
  <c r="M13" i="25" s="1"/>
  <c r="M14" i="25" s="1"/>
  <c r="T71" i="4"/>
  <c r="H54" i="4" l="1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P44" i="4"/>
  <c r="P42" i="4"/>
  <c r="T19" i="4"/>
  <c r="I62" i="4"/>
  <c r="I61" i="4"/>
  <c r="H59" i="4"/>
  <c r="H57" i="4"/>
  <c r="H61" i="4"/>
  <c r="H45" i="9"/>
  <c r="H44" i="9"/>
  <c r="D35" i="9"/>
  <c r="D37" i="9"/>
  <c r="H37" i="9" s="1"/>
  <c r="T44" i="4" s="1"/>
  <c r="W72" i="4" l="1"/>
  <c r="I60" i="4"/>
  <c r="J60" i="4" s="1"/>
  <c r="H36" i="9"/>
  <c r="T43" i="4" s="1"/>
  <c r="H35" i="9"/>
  <c r="T42" i="4" s="1"/>
  <c r="J61" i="4"/>
  <c r="J62" i="4"/>
  <c r="H38" i="9"/>
  <c r="T45" i="4" s="1"/>
  <c r="D20" i="24"/>
  <c r="D19" i="24"/>
  <c r="D18" i="24"/>
  <c r="B20" i="24"/>
  <c r="B19" i="24"/>
  <c r="B18" i="24"/>
  <c r="D19" i="16"/>
  <c r="P55" i="4" s="1"/>
  <c r="C72" i="24"/>
  <c r="C69" i="24"/>
  <c r="C68" i="24"/>
  <c r="C73" i="24"/>
  <c r="F20" i="24" l="1"/>
  <c r="F18" i="24"/>
  <c r="F19" i="24"/>
  <c r="H6" i="16"/>
  <c r="D23" i="16" s="1"/>
  <c r="C70" i="24"/>
  <c r="D67" i="24" s="1"/>
  <c r="H13" i="9"/>
  <c r="P57" i="4"/>
  <c r="P54" i="4"/>
  <c r="P51" i="4"/>
  <c r="P49" i="4"/>
  <c r="P58" i="4"/>
  <c r="P56" i="4"/>
  <c r="P52" i="4"/>
  <c r="P50" i="4"/>
  <c r="P48" i="4"/>
  <c r="I6" i="16"/>
  <c r="D20" i="16" s="1"/>
  <c r="B40" i="24"/>
  <c r="D40" i="24" s="1"/>
  <c r="B54" i="24"/>
  <c r="D21" i="24"/>
  <c r="B21" i="24"/>
  <c r="D24" i="24"/>
  <c r="C74" i="24"/>
  <c r="D71" i="24" s="1"/>
  <c r="D14" i="8"/>
  <c r="C14" i="8"/>
  <c r="B8" i="8"/>
  <c r="U10" i="4" s="1"/>
  <c r="D7" i="9"/>
  <c r="I59" i="4"/>
  <c r="J59" i="4" s="1"/>
  <c r="E24" i="8"/>
  <c r="E19" i="8"/>
  <c r="E18" i="8"/>
  <c r="E17" i="8"/>
  <c r="E16" i="8"/>
  <c r="E15" i="8"/>
  <c r="E25" i="8"/>
  <c r="E23" i="8"/>
  <c r="E22" i="8"/>
  <c r="E21" i="8"/>
  <c r="E20" i="8"/>
  <c r="D13" i="8"/>
  <c r="D26" i="8" s="1"/>
  <c r="C13" i="8"/>
  <c r="C26" i="8" s="1"/>
  <c r="L4" i="4"/>
  <c r="L5" i="4" s="1"/>
  <c r="L6" i="4" s="1"/>
  <c r="L7" i="4" s="1"/>
  <c r="L8" i="4" s="1"/>
  <c r="L9" i="4" s="1"/>
  <c r="L10" i="4" s="1"/>
  <c r="F37" i="9" l="1"/>
  <c r="G37" i="9" s="1"/>
  <c r="D14" i="16"/>
  <c r="D13" i="16"/>
  <c r="D12" i="16"/>
  <c r="D11" i="16"/>
  <c r="D21" i="16"/>
  <c r="G21" i="16" s="1"/>
  <c r="I21" i="16" s="1"/>
  <c r="D18" i="16"/>
  <c r="D15" i="16"/>
  <c r="E14" i="8"/>
  <c r="B24" i="24"/>
  <c r="H15" i="9" s="1"/>
  <c r="T20" i="4" s="1"/>
  <c r="T18" i="4"/>
  <c r="D22" i="24"/>
  <c r="E17" i="24" s="1"/>
  <c r="B22" i="24"/>
  <c r="C17" i="24" s="1"/>
  <c r="B10" i="24"/>
  <c r="C6" i="4"/>
  <c r="A6" i="16"/>
  <c r="F21" i="24"/>
  <c r="G17" i="24" s="1"/>
  <c r="F44" i="9"/>
  <c r="B43" i="24"/>
  <c r="B46" i="24"/>
  <c r="B50" i="24"/>
  <c r="B56" i="24"/>
  <c r="B60" i="24"/>
  <c r="B47" i="24"/>
  <c r="B51" i="24"/>
  <c r="B57" i="24"/>
  <c r="B61" i="24"/>
  <c r="H40" i="9" s="1"/>
  <c r="I57" i="4" s="1"/>
  <c r="J57" i="4" s="1"/>
  <c r="B44" i="24"/>
  <c r="B48" i="24"/>
  <c r="B52" i="24"/>
  <c r="B58" i="24"/>
  <c r="B62" i="24"/>
  <c r="B45" i="24"/>
  <c r="B49" i="24"/>
  <c r="B55" i="24"/>
  <c r="B59" i="24"/>
  <c r="B63" i="24"/>
  <c r="B38" i="24"/>
  <c r="B34" i="24"/>
  <c r="D26" i="24"/>
  <c r="B26" i="24"/>
  <c r="B39" i="24"/>
  <c r="D39" i="24" s="1"/>
  <c r="B35" i="24"/>
  <c r="D35" i="24" s="1"/>
  <c r="B31" i="24"/>
  <c r="D31" i="24" s="1"/>
  <c r="D27" i="24"/>
  <c r="B27" i="24"/>
  <c r="B36" i="24"/>
  <c r="D36" i="24" s="1"/>
  <c r="B32" i="24"/>
  <c r="B41" i="24"/>
  <c r="D41" i="24" s="1"/>
  <c r="B37" i="24"/>
  <c r="D37" i="24" s="1"/>
  <c r="B33" i="24"/>
  <c r="D33" i="24" s="1"/>
  <c r="B30" i="24"/>
  <c r="H17" i="9" s="1"/>
  <c r="D25" i="24"/>
  <c r="B25" i="24"/>
  <c r="F40" i="24"/>
  <c r="D33" i="16"/>
  <c r="D27" i="16"/>
  <c r="D25" i="16"/>
  <c r="D32" i="16"/>
  <c r="D26" i="16"/>
  <c r="D24" i="16"/>
  <c r="D30" i="16" s="1"/>
  <c r="E13" i="8"/>
  <c r="E26" i="8" s="1"/>
  <c r="L11" i="4"/>
  <c r="L12" i="4" s="1"/>
  <c r="U5" i="4"/>
  <c r="H27" i="9" l="1"/>
  <c r="T32" i="4" s="1"/>
  <c r="F24" i="24"/>
  <c r="H16" i="9"/>
  <c r="T21" i="4" s="1"/>
  <c r="G47" i="9"/>
  <c r="G44" i="9"/>
  <c r="G46" i="9"/>
  <c r="I46" i="9" s="1"/>
  <c r="F22" i="24"/>
  <c r="H33" i="9"/>
  <c r="H29" i="9"/>
  <c r="H18" i="9"/>
  <c r="H28" i="9"/>
  <c r="H19" i="9"/>
  <c r="H11" i="9"/>
  <c r="T16" i="4" s="1"/>
  <c r="H41" i="9"/>
  <c r="D34" i="24"/>
  <c r="F34" i="24" s="1"/>
  <c r="D38" i="24"/>
  <c r="F38" i="24" s="1"/>
  <c r="D32" i="24"/>
  <c r="F32" i="24" s="1"/>
  <c r="D63" i="24"/>
  <c r="F63" i="24" s="1"/>
  <c r="D59" i="24"/>
  <c r="F59" i="24" s="1"/>
  <c r="D55" i="24"/>
  <c r="F55" i="24" s="1"/>
  <c r="D49" i="24"/>
  <c r="F49" i="24" s="1"/>
  <c r="H25" i="9"/>
  <c r="T30" i="4" s="1"/>
  <c r="D45" i="24"/>
  <c r="F45" i="24" s="1"/>
  <c r="D62" i="24"/>
  <c r="F62" i="24" s="1"/>
  <c r="D58" i="24"/>
  <c r="F58" i="24" s="1"/>
  <c r="D52" i="24"/>
  <c r="F52" i="24" s="1"/>
  <c r="D48" i="24"/>
  <c r="F48" i="24" s="1"/>
  <c r="D44" i="24"/>
  <c r="F44" i="24" s="1"/>
  <c r="D61" i="24"/>
  <c r="C61" i="24"/>
  <c r="D57" i="24"/>
  <c r="F57" i="24" s="1"/>
  <c r="H31" i="9"/>
  <c r="D51" i="24"/>
  <c r="F51" i="24" s="1"/>
  <c r="H23" i="9"/>
  <c r="D47" i="24"/>
  <c r="F47" i="24" s="1"/>
  <c r="D54" i="24"/>
  <c r="F54" i="24" s="1"/>
  <c r="C53" i="24"/>
  <c r="C54" i="24"/>
  <c r="D60" i="24"/>
  <c r="F60" i="24" s="1"/>
  <c r="D56" i="24"/>
  <c r="F56" i="24" s="1"/>
  <c r="D50" i="24"/>
  <c r="F50" i="24" s="1"/>
  <c r="D46" i="24"/>
  <c r="F46" i="24" s="1"/>
  <c r="H21" i="9"/>
  <c r="T26" i="4" s="1"/>
  <c r="D43" i="24"/>
  <c r="F43" i="24" s="1"/>
  <c r="C42" i="24"/>
  <c r="D30" i="24"/>
  <c r="F27" i="24"/>
  <c r="F26" i="24"/>
  <c r="F33" i="24"/>
  <c r="F37" i="24"/>
  <c r="F41" i="24"/>
  <c r="F36" i="24"/>
  <c r="F25" i="24"/>
  <c r="C29" i="24"/>
  <c r="F31" i="24"/>
  <c r="F35" i="24"/>
  <c r="F39" i="24"/>
  <c r="I44" i="9" l="1"/>
  <c r="I45" i="9"/>
  <c r="H32" i="9"/>
  <c r="H20" i="9"/>
  <c r="H34" i="9"/>
  <c r="E29" i="24"/>
  <c r="H22" i="9"/>
  <c r="H12" i="9"/>
  <c r="H30" i="9"/>
  <c r="E61" i="24"/>
  <c r="F30" i="24"/>
  <c r="E42" i="24"/>
  <c r="G42" i="24" s="1"/>
  <c r="H24" i="9"/>
  <c r="F61" i="24"/>
  <c r="E53" i="24"/>
  <c r="G53" i="24" s="1"/>
  <c r="E54" i="24"/>
  <c r="H26" i="9"/>
  <c r="T31" i="4" s="1"/>
  <c r="G29" i="24"/>
  <c r="C28" i="24"/>
  <c r="G23" i="24"/>
  <c r="I74" i="4"/>
  <c r="I73" i="4"/>
  <c r="I72" i="4"/>
  <c r="I71" i="4"/>
  <c r="I70" i="4"/>
  <c r="I68" i="4"/>
  <c r="I67" i="4"/>
  <c r="I66" i="4"/>
  <c r="I65" i="4"/>
  <c r="I64" i="4"/>
  <c r="E28" i="24" l="1"/>
  <c r="G28" i="24" s="1"/>
  <c r="I58" i="4"/>
  <c r="D6" i="16" l="1"/>
  <c r="F6" i="16"/>
  <c r="D31" i="16"/>
  <c r="D29" i="16"/>
  <c r="C6" i="16" l="1"/>
  <c r="B6" i="16" s="1"/>
  <c r="E6" i="16"/>
  <c r="F33" i="16" l="1"/>
  <c r="G33" i="16" s="1"/>
  <c r="I33" i="16" s="1"/>
  <c r="F30" i="16"/>
  <c r="G30" i="16" s="1"/>
  <c r="I30" i="16" s="1"/>
  <c r="F29" i="16"/>
  <c r="G29" i="16" s="1"/>
  <c r="I29" i="16" s="1"/>
  <c r="F42" i="16"/>
  <c r="G42" i="16" s="1"/>
  <c r="I42" i="16" s="1"/>
  <c r="F41" i="16"/>
  <c r="G41" i="16" s="1"/>
  <c r="I41" i="16" s="1"/>
  <c r="F40" i="16"/>
  <c r="G40" i="16" s="1"/>
  <c r="I40" i="16" s="1"/>
  <c r="F39" i="16"/>
  <c r="G39" i="16" s="1"/>
  <c r="I39" i="16" s="1"/>
  <c r="F38" i="16"/>
  <c r="G38" i="16" s="1"/>
  <c r="I38" i="16" s="1"/>
  <c r="F37" i="16"/>
  <c r="G37" i="16" s="1"/>
  <c r="I37" i="16" s="1"/>
  <c r="F36" i="16"/>
  <c r="G36" i="16" s="1"/>
  <c r="I36" i="16" s="1"/>
  <c r="F35" i="16"/>
  <c r="G35" i="16" s="1"/>
  <c r="I35" i="16" s="1"/>
  <c r="F34" i="16"/>
  <c r="G34" i="16" s="1"/>
  <c r="I34" i="16" s="1"/>
  <c r="F32" i="16"/>
  <c r="G32" i="16" s="1"/>
  <c r="I32" i="16" s="1"/>
  <c r="F31" i="16"/>
  <c r="G31" i="16" s="1"/>
  <c r="I31" i="16" s="1"/>
  <c r="F28" i="16"/>
  <c r="G28" i="16" s="1"/>
  <c r="I28" i="16" s="1"/>
  <c r="F27" i="16"/>
  <c r="G27" i="16" s="1"/>
  <c r="I27" i="16" s="1"/>
  <c r="F26" i="16"/>
  <c r="G26" i="16" s="1"/>
  <c r="I26" i="16" s="1"/>
  <c r="F25" i="16"/>
  <c r="G25" i="16" s="1"/>
  <c r="I25" i="16" s="1"/>
  <c r="F24" i="16"/>
  <c r="F23" i="16"/>
  <c r="G23" i="16" s="1"/>
  <c r="I23" i="16" s="1"/>
  <c r="F20" i="16"/>
  <c r="G20" i="16" s="1"/>
  <c r="I20" i="16" s="1"/>
  <c r="F19" i="16"/>
  <c r="G19" i="16" s="1"/>
  <c r="I19" i="16" s="1"/>
  <c r="F18" i="16"/>
  <c r="G18" i="16" s="1"/>
  <c r="I18" i="16" s="1"/>
  <c r="F17" i="16"/>
  <c r="G17" i="16" s="1"/>
  <c r="I17" i="16" s="1"/>
  <c r="F16" i="16"/>
  <c r="G16" i="16" s="1"/>
  <c r="I16" i="16" s="1"/>
  <c r="F15" i="16"/>
  <c r="G15" i="16" s="1"/>
  <c r="I15" i="16" s="1"/>
  <c r="F14" i="16"/>
  <c r="G14" i="16" s="1"/>
  <c r="I14" i="16" s="1"/>
  <c r="F13" i="16"/>
  <c r="G13" i="16" s="1"/>
  <c r="I13" i="16" s="1"/>
  <c r="F12" i="16"/>
  <c r="G12" i="16" s="1"/>
  <c r="I12" i="16" s="1"/>
  <c r="F11" i="16"/>
  <c r="G11" i="16" s="1"/>
  <c r="I11" i="16" s="1"/>
  <c r="I10" i="16" l="1"/>
  <c r="G24" i="16"/>
  <c r="I24" i="16" s="1"/>
  <c r="I22" i="16" s="1"/>
  <c r="D6" i="4" l="1"/>
  <c r="F6" i="4"/>
  <c r="G24" i="25" l="1"/>
  <c r="G29" i="4"/>
  <c r="R12" i="4"/>
  <c r="S12" i="4" s="1"/>
  <c r="U12" i="4" s="1"/>
  <c r="R11" i="4"/>
  <c r="S11" i="4" s="1"/>
  <c r="U11" i="4" s="1"/>
  <c r="R8" i="4"/>
  <c r="S8" i="4" s="1"/>
  <c r="U8" i="4" s="1"/>
  <c r="G82" i="4"/>
  <c r="H82" i="4" s="1"/>
  <c r="J82" i="4" s="1"/>
  <c r="G81" i="4"/>
  <c r="H81" i="4" s="1"/>
  <c r="J81" i="4" s="1"/>
  <c r="J80" i="4" s="1"/>
  <c r="R40" i="4"/>
  <c r="S40" i="4" s="1"/>
  <c r="R32" i="4"/>
  <c r="S32" i="4" s="1"/>
  <c r="U32" i="4" s="1"/>
  <c r="R24" i="4"/>
  <c r="S24" i="4" s="1"/>
  <c r="R16" i="4"/>
  <c r="S16" i="4" s="1"/>
  <c r="U16" i="4" s="1"/>
  <c r="R26" i="4"/>
  <c r="S26" i="4" s="1"/>
  <c r="U26" i="4" s="1"/>
  <c r="R18" i="4"/>
  <c r="S18" i="4" s="1"/>
  <c r="R36" i="4"/>
  <c r="R38" i="4"/>
  <c r="S38" i="4" s="1"/>
  <c r="R30" i="4"/>
  <c r="S30" i="4" s="1"/>
  <c r="R20" i="4"/>
  <c r="S20" i="4" s="1"/>
  <c r="R28" i="4"/>
  <c r="S28" i="4" s="1"/>
  <c r="R22" i="4"/>
  <c r="T22" i="4"/>
  <c r="J6" i="4"/>
  <c r="H10" i="4"/>
  <c r="F7" i="9"/>
  <c r="F35" i="9" s="1"/>
  <c r="G35" i="9" s="1"/>
  <c r="T34" i="4"/>
  <c r="H38" i="8"/>
  <c r="H37" i="8"/>
  <c r="H36" i="8"/>
  <c r="H35" i="8"/>
  <c r="H34" i="8"/>
  <c r="H33" i="8"/>
  <c r="H32" i="8"/>
  <c r="I69" i="4"/>
  <c r="I47" i="9"/>
  <c r="T24" i="4"/>
  <c r="U24" i="4" s="1"/>
  <c r="T28" i="4"/>
  <c r="T36" i="4"/>
  <c r="T38" i="4"/>
  <c r="T40" i="4"/>
  <c r="T41" i="4"/>
  <c r="T39" i="4"/>
  <c r="T37" i="4"/>
  <c r="T29" i="4"/>
  <c r="T27" i="4"/>
  <c r="T25" i="4"/>
  <c r="T23" i="4"/>
  <c r="O60" i="4"/>
  <c r="O61" i="4"/>
  <c r="O62" i="4"/>
  <c r="O63" i="4"/>
  <c r="O64" i="4"/>
  <c r="O65" i="4" s="1"/>
  <c r="O66" i="4" s="1"/>
  <c r="O53" i="4"/>
  <c r="O58" i="4" s="1"/>
  <c r="O52" i="4"/>
  <c r="O51" i="4"/>
  <c r="O50" i="4"/>
  <c r="O49" i="4"/>
  <c r="G23" i="7"/>
  <c r="I23" i="7" s="1"/>
  <c r="I15" i="7"/>
  <c r="G25" i="7"/>
  <c r="I25" i="7"/>
  <c r="I145" i="7"/>
  <c r="H139" i="7"/>
  <c r="G139" i="7"/>
  <c r="H137" i="7"/>
  <c r="G137" i="7"/>
  <c r="G136" i="7"/>
  <c r="I136" i="7" s="1"/>
  <c r="H135" i="7"/>
  <c r="G135" i="7"/>
  <c r="E135" i="7"/>
  <c r="H134" i="7"/>
  <c r="G134" i="7"/>
  <c r="H133" i="7"/>
  <c r="G133" i="7"/>
  <c r="E133" i="7"/>
  <c r="H132" i="7"/>
  <c r="G132" i="7"/>
  <c r="I132" i="7" s="1"/>
  <c r="G131" i="7"/>
  <c r="I131" i="7" s="1"/>
  <c r="E131" i="7"/>
  <c r="G130" i="7"/>
  <c r="I130" i="7" s="1"/>
  <c r="G129" i="7"/>
  <c r="I129" i="7" s="1"/>
  <c r="G128" i="7"/>
  <c r="I128" i="7" s="1"/>
  <c r="G127" i="7"/>
  <c r="I127" i="7" s="1"/>
  <c r="G126" i="7"/>
  <c r="I126" i="7" s="1"/>
  <c r="G125" i="7"/>
  <c r="I125" i="7" s="1"/>
  <c r="G124" i="7"/>
  <c r="I124" i="7" s="1"/>
  <c r="G123" i="7"/>
  <c r="I123" i="7" s="1"/>
  <c r="H122" i="7"/>
  <c r="G122" i="7"/>
  <c r="I122" i="7" s="1"/>
  <c r="E122" i="7"/>
  <c r="G121" i="7"/>
  <c r="I121" i="7" s="1"/>
  <c r="G120" i="7"/>
  <c r="I120" i="7" s="1"/>
  <c r="G119" i="7"/>
  <c r="I119" i="7" s="1"/>
  <c r="G118" i="7"/>
  <c r="I118" i="7" s="1"/>
  <c r="G117" i="7"/>
  <c r="I117" i="7" s="1"/>
  <c r="E117" i="7"/>
  <c r="G116" i="7"/>
  <c r="I116" i="7" s="1"/>
  <c r="G115" i="7"/>
  <c r="I115" i="7" s="1"/>
  <c r="G114" i="7"/>
  <c r="I114" i="7" s="1"/>
  <c r="G113" i="7"/>
  <c r="I113" i="7" s="1"/>
  <c r="G112" i="7"/>
  <c r="I112" i="7" s="1"/>
  <c r="E112" i="7"/>
  <c r="G111" i="7"/>
  <c r="I111" i="7" s="1"/>
  <c r="G110" i="7"/>
  <c r="I110" i="7"/>
  <c r="G109" i="7"/>
  <c r="I109" i="7" s="1"/>
  <c r="G108" i="7"/>
  <c r="I108" i="7"/>
  <c r="G107" i="7"/>
  <c r="I107" i="7" s="1"/>
  <c r="G106" i="7"/>
  <c r="I106" i="7"/>
  <c r="G105" i="7"/>
  <c r="I105" i="7" s="1"/>
  <c r="G104" i="7"/>
  <c r="I104" i="7"/>
  <c r="G80" i="7"/>
  <c r="H80" i="7" s="1"/>
  <c r="I80" i="7" s="1"/>
  <c r="G79" i="7"/>
  <c r="H79" i="7" s="1"/>
  <c r="I79" i="7"/>
  <c r="H78" i="7"/>
  <c r="I78" i="7" s="1"/>
  <c r="I77" i="7"/>
  <c r="I76" i="7"/>
  <c r="I75" i="7"/>
  <c r="I74" i="7"/>
  <c r="H74" i="7"/>
  <c r="A74" i="7"/>
  <c r="A75" i="7" s="1"/>
  <c r="A76" i="7" s="1"/>
  <c r="A77" i="7" s="1"/>
  <c r="A78" i="7" s="1"/>
  <c r="A79" i="7" s="1"/>
  <c r="A80" i="7" s="1"/>
  <c r="I73" i="7"/>
  <c r="H73" i="7"/>
  <c r="H67" i="7"/>
  <c r="G67" i="7"/>
  <c r="E67" i="7"/>
  <c r="E66" i="7"/>
  <c r="H65" i="7"/>
  <c r="G65" i="7"/>
  <c r="F63" i="7"/>
  <c r="G62" i="7"/>
  <c r="G63" i="7" s="1"/>
  <c r="I63" i="7" s="1"/>
  <c r="F61" i="7"/>
  <c r="F60" i="7"/>
  <c r="F59" i="7"/>
  <c r="G58" i="7"/>
  <c r="I58" i="7"/>
  <c r="E58" i="7"/>
  <c r="E63" i="7" s="1"/>
  <c r="F57" i="7"/>
  <c r="E57" i="7"/>
  <c r="G56" i="7"/>
  <c r="G57" i="7" s="1"/>
  <c r="I57" i="7" s="1"/>
  <c r="E56" i="7"/>
  <c r="E55" i="7"/>
  <c r="G54" i="7"/>
  <c r="E54" i="7"/>
  <c r="F53" i="7"/>
  <c r="E53" i="7"/>
  <c r="G52" i="7"/>
  <c r="G50" i="7"/>
  <c r="I50" i="7" s="1"/>
  <c r="E50" i="7"/>
  <c r="G49" i="7"/>
  <c r="I49" i="7" s="1"/>
  <c r="E49" i="7"/>
  <c r="G48" i="7"/>
  <c r="I48" i="7" s="1"/>
  <c r="E48" i="7"/>
  <c r="G47" i="7"/>
  <c r="I47" i="7"/>
  <c r="G46" i="7"/>
  <c r="I46" i="7"/>
  <c r="E46" i="7"/>
  <c r="G45" i="7"/>
  <c r="I45" i="7" s="1"/>
  <c r="I44" i="7" s="1"/>
  <c r="G42" i="7"/>
  <c r="I42" i="7" s="1"/>
  <c r="I43" i="7" s="1"/>
  <c r="G40" i="7"/>
  <c r="I40" i="7" s="1"/>
  <c r="G39" i="7"/>
  <c r="I39" i="7" s="1"/>
  <c r="G38" i="7"/>
  <c r="I38" i="7" s="1"/>
  <c r="G37" i="7"/>
  <c r="I37" i="7" s="1"/>
  <c r="H34" i="7"/>
  <c r="G34" i="7"/>
  <c r="H33" i="7"/>
  <c r="G33" i="7"/>
  <c r="H32" i="7"/>
  <c r="G32" i="7"/>
  <c r="H31" i="7"/>
  <c r="G31" i="7"/>
  <c r="G27" i="7"/>
  <c r="I27" i="7" s="1"/>
  <c r="G26" i="7"/>
  <c r="I26" i="7" s="1"/>
  <c r="G24" i="7"/>
  <c r="I24" i="7" s="1"/>
  <c r="G22" i="7"/>
  <c r="I22" i="7"/>
  <c r="G21" i="7"/>
  <c r="I21" i="7" s="1"/>
  <c r="G20" i="7"/>
  <c r="I20" i="7"/>
  <c r="G19" i="7"/>
  <c r="I19" i="7" s="1"/>
  <c r="G18" i="7"/>
  <c r="I18" i="7"/>
  <c r="G17" i="7"/>
  <c r="I17" i="7" s="1"/>
  <c r="G16" i="7"/>
  <c r="I16" i="7"/>
  <c r="G14" i="7"/>
  <c r="I14" i="7" s="1"/>
  <c r="G13" i="7"/>
  <c r="I13" i="7"/>
  <c r="G12" i="7"/>
  <c r="I12" i="7" s="1"/>
  <c r="G11" i="7"/>
  <c r="I11" i="7"/>
  <c r="G10" i="7"/>
  <c r="I10" i="7" s="1"/>
  <c r="I8" i="7"/>
  <c r="I7" i="7" s="1"/>
  <c r="I139" i="7"/>
  <c r="I138" i="7" s="1"/>
  <c r="I67" i="7"/>
  <c r="I135" i="7"/>
  <c r="E60" i="7"/>
  <c r="D77" i="4"/>
  <c r="D70" i="4"/>
  <c r="D74" i="4" s="1"/>
  <c r="D69" i="4"/>
  <c r="D68" i="4"/>
  <c r="D67" i="4"/>
  <c r="D66" i="4"/>
  <c r="D65" i="4"/>
  <c r="D61" i="4"/>
  <c r="D60" i="4"/>
  <c r="D59" i="4"/>
  <c r="D58" i="4"/>
  <c r="E62" i="7" l="1"/>
  <c r="I56" i="7"/>
  <c r="I32" i="7"/>
  <c r="I72" i="7"/>
  <c r="E59" i="7"/>
  <c r="E61" i="7"/>
  <c r="I31" i="7"/>
  <c r="U38" i="4"/>
  <c r="I36" i="7"/>
  <c r="I33" i="7"/>
  <c r="I133" i="7"/>
  <c r="I137" i="7"/>
  <c r="U27" i="4"/>
  <c r="U41" i="4"/>
  <c r="I62" i="7"/>
  <c r="I134" i="7"/>
  <c r="U3" i="4"/>
  <c r="N20" i="25"/>
  <c r="H29" i="4"/>
  <c r="J29" i="4" s="1"/>
  <c r="G30" i="4"/>
  <c r="H30" i="4" s="1"/>
  <c r="J30" i="4" s="1"/>
  <c r="O55" i="4"/>
  <c r="I52" i="7"/>
  <c r="G53" i="7"/>
  <c r="I53" i="7" s="1"/>
  <c r="G60" i="7"/>
  <c r="I60" i="7" s="1"/>
  <c r="G61" i="7"/>
  <c r="I61" i="7" s="1"/>
  <c r="G59" i="7"/>
  <c r="I59" i="7" s="1"/>
  <c r="I41" i="7"/>
  <c r="I9" i="7"/>
  <c r="I34" i="7"/>
  <c r="G55" i="7"/>
  <c r="I55" i="7" s="1"/>
  <c r="I54" i="7"/>
  <c r="G66" i="7"/>
  <c r="I66" i="7" s="1"/>
  <c r="I65" i="7"/>
  <c r="I35" i="9"/>
  <c r="I36" i="9"/>
  <c r="U39" i="4"/>
  <c r="U34" i="4"/>
  <c r="U25" i="4"/>
  <c r="U29" i="4"/>
  <c r="J54" i="4"/>
  <c r="U21" i="4"/>
  <c r="U20" i="4"/>
  <c r="U19" i="4"/>
  <c r="U18" i="4"/>
  <c r="U30" i="4"/>
  <c r="U31" i="4"/>
  <c r="O56" i="4"/>
  <c r="I37" i="9"/>
  <c r="I38" i="9"/>
  <c r="D73" i="4"/>
  <c r="J10" i="4"/>
  <c r="J9" i="4" s="1"/>
  <c r="F31" i="9"/>
  <c r="G31" i="9" s="1"/>
  <c r="F27" i="9"/>
  <c r="G27" i="9" s="1"/>
  <c r="F23" i="9"/>
  <c r="G23" i="9" s="1"/>
  <c r="F40" i="9"/>
  <c r="F33" i="9"/>
  <c r="G33" i="9" s="1"/>
  <c r="F29" i="9"/>
  <c r="G29" i="9" s="1"/>
  <c r="F25" i="9"/>
  <c r="G25" i="9" s="1"/>
  <c r="F21" i="9"/>
  <c r="G21" i="9" s="1"/>
  <c r="F17" i="9"/>
  <c r="F11" i="9"/>
  <c r="B9" i="8"/>
  <c r="R7" i="4"/>
  <c r="S7" i="4" s="1"/>
  <c r="U7" i="4" s="1"/>
  <c r="R69" i="4"/>
  <c r="R48" i="4"/>
  <c r="R49" i="4" s="1"/>
  <c r="G76" i="4"/>
  <c r="G64" i="4"/>
  <c r="H64" i="4" s="1"/>
  <c r="O57" i="4"/>
  <c r="O67" i="4"/>
  <c r="O54" i="4"/>
  <c r="D72" i="4"/>
  <c r="D71" i="4"/>
  <c r="I103" i="7" l="1"/>
  <c r="I140" i="7" s="1"/>
  <c r="I30" i="7"/>
  <c r="J11" i="4"/>
  <c r="J55" i="4"/>
  <c r="J53" i="4" s="1"/>
  <c r="R53" i="4"/>
  <c r="G17" i="9"/>
  <c r="G19" i="9"/>
  <c r="I33" i="9"/>
  <c r="I34" i="9"/>
  <c r="I31" i="9"/>
  <c r="I32" i="9"/>
  <c r="G15" i="9"/>
  <c r="G11" i="9"/>
  <c r="G13" i="9"/>
  <c r="I21" i="9"/>
  <c r="I22" i="9"/>
  <c r="I29" i="9"/>
  <c r="I30" i="9"/>
  <c r="G40" i="9"/>
  <c r="G42" i="9"/>
  <c r="I27" i="9"/>
  <c r="I28" i="9"/>
  <c r="I64" i="7"/>
  <c r="I51" i="7"/>
  <c r="I25" i="9"/>
  <c r="I26" i="9"/>
  <c r="I23" i="9"/>
  <c r="I24" i="9"/>
  <c r="H77" i="4"/>
  <c r="J77" i="4" s="1"/>
  <c r="H76" i="4"/>
  <c r="J76" i="4" s="1"/>
  <c r="R9" i="4"/>
  <c r="R54" i="4"/>
  <c r="S54" i="4" s="1"/>
  <c r="U54" i="4" s="1"/>
  <c r="R58" i="4"/>
  <c r="S58" i="4" s="1"/>
  <c r="U58" i="4" s="1"/>
  <c r="R50" i="4"/>
  <c r="S50" i="4" s="1"/>
  <c r="U50" i="4" s="1"/>
  <c r="R71" i="4"/>
  <c r="R70" i="4"/>
  <c r="S70" i="4" s="1"/>
  <c r="U70" i="4" s="1"/>
  <c r="S69" i="4"/>
  <c r="U69" i="4" s="1"/>
  <c r="R56" i="4"/>
  <c r="S56" i="4" s="1"/>
  <c r="U56" i="4" s="1"/>
  <c r="R52" i="4"/>
  <c r="R64" i="4" s="1"/>
  <c r="S64" i="4" s="1"/>
  <c r="U64" i="4" s="1"/>
  <c r="R57" i="4"/>
  <c r="S57" i="4" s="1"/>
  <c r="U57" i="4" s="1"/>
  <c r="R60" i="4"/>
  <c r="S60" i="4" s="1"/>
  <c r="U60" i="4" s="1"/>
  <c r="R55" i="4"/>
  <c r="S55" i="4" s="1"/>
  <c r="U55" i="4" s="1"/>
  <c r="R59" i="4"/>
  <c r="S59" i="4" s="1"/>
  <c r="U59" i="4" s="1"/>
  <c r="R51" i="4"/>
  <c r="S51" i="4" s="1"/>
  <c r="U51" i="4" s="1"/>
  <c r="S22" i="4"/>
  <c r="R44" i="4"/>
  <c r="S44" i="4" s="1"/>
  <c r="R42" i="4"/>
  <c r="U40" i="4"/>
  <c r="S36" i="4"/>
  <c r="U28" i="4"/>
  <c r="G73" i="4"/>
  <c r="H73" i="4" s="1"/>
  <c r="J73" i="4" s="1"/>
  <c r="G71" i="4"/>
  <c r="H71" i="4" s="1"/>
  <c r="J71" i="4" s="1"/>
  <c r="G69" i="4"/>
  <c r="H69" i="4" s="1"/>
  <c r="J69" i="4" s="1"/>
  <c r="G67" i="4"/>
  <c r="G74" i="4"/>
  <c r="H74" i="4" s="1"/>
  <c r="J74" i="4" s="1"/>
  <c r="G72" i="4"/>
  <c r="H72" i="4" s="1"/>
  <c r="J72" i="4" s="1"/>
  <c r="G70" i="4"/>
  <c r="H70" i="4" s="1"/>
  <c r="J70" i="4" s="1"/>
  <c r="G68" i="4"/>
  <c r="H68" i="4" s="1"/>
  <c r="J68" i="4" s="1"/>
  <c r="G66" i="4"/>
  <c r="S48" i="4"/>
  <c r="S53" i="4"/>
  <c r="U53" i="4" s="1"/>
  <c r="S49" i="4"/>
  <c r="U49" i="4" s="1"/>
  <c r="I6" i="7" l="1"/>
  <c r="I81" i="7" s="1"/>
  <c r="J75" i="4"/>
  <c r="S9" i="4"/>
  <c r="U9" i="4" s="1"/>
  <c r="I82" i="7"/>
  <c r="I83" i="7" s="1"/>
  <c r="I144" i="7" s="1"/>
  <c r="I146" i="7" s="1"/>
  <c r="I40" i="9"/>
  <c r="I41" i="9"/>
  <c r="I11" i="9"/>
  <c r="I12" i="9"/>
  <c r="I17" i="9"/>
  <c r="I18" i="9"/>
  <c r="I42" i="9"/>
  <c r="I43" i="9"/>
  <c r="I13" i="9"/>
  <c r="I14" i="9"/>
  <c r="I15" i="9"/>
  <c r="I16" i="9"/>
  <c r="I19" i="9"/>
  <c r="I20" i="9"/>
  <c r="U48" i="4"/>
  <c r="S42" i="4"/>
  <c r="U43" i="4" s="1"/>
  <c r="U45" i="4"/>
  <c r="U44" i="4"/>
  <c r="U37" i="4"/>
  <c r="U36" i="4"/>
  <c r="U23" i="4"/>
  <c r="U22" i="4"/>
  <c r="S52" i="4"/>
  <c r="U52" i="4" s="1"/>
  <c r="H67" i="4"/>
  <c r="J67" i="4" s="1"/>
  <c r="H66" i="4"/>
  <c r="J66" i="4" s="1"/>
  <c r="J58" i="4"/>
  <c r="R61" i="4"/>
  <c r="S61" i="4" s="1"/>
  <c r="U61" i="4" s="1"/>
  <c r="R62" i="4"/>
  <c r="S62" i="4" s="1"/>
  <c r="U62" i="4" s="1"/>
  <c r="S71" i="4"/>
  <c r="U71" i="4" s="1"/>
  <c r="U68" i="4" s="1"/>
  <c r="R65" i="4"/>
  <c r="S65" i="4" s="1"/>
  <c r="U65" i="4" s="1"/>
  <c r="R66" i="4"/>
  <c r="S66" i="4" s="1"/>
  <c r="U66" i="4" s="1"/>
  <c r="R63" i="4"/>
  <c r="S63" i="4" s="1"/>
  <c r="U63" i="4" s="1"/>
  <c r="R67" i="4"/>
  <c r="S67" i="4" s="1"/>
  <c r="U67" i="4" s="1"/>
  <c r="J64" i="4"/>
  <c r="G65" i="4"/>
  <c r="J56" i="4" l="1"/>
  <c r="L83" i="4"/>
  <c r="I10" i="9"/>
  <c r="Y22" i="4"/>
  <c r="Y26" i="4"/>
  <c r="I39" i="9"/>
  <c r="V72" i="4"/>
  <c r="U47" i="4"/>
  <c r="U42" i="4"/>
  <c r="H65" i="4"/>
  <c r="J65" i="4" s="1"/>
  <c r="J63" i="4" s="1"/>
  <c r="J8" i="4" l="1"/>
  <c r="U73" i="4" l="1"/>
  <c r="D5" i="25" s="1"/>
  <c r="E23" i="24" l="1"/>
  <c r="C23" i="24"/>
  <c r="C16" i="24" l="1"/>
  <c r="E16" i="24"/>
  <c r="E64" i="24" s="1"/>
  <c r="T17" i="4"/>
  <c r="U17" i="4" s="1"/>
  <c r="Y16" i="4" l="1"/>
  <c r="U15" i="4"/>
  <c r="U14" i="4" s="1"/>
  <c r="U75" i="4" s="1"/>
  <c r="D7" i="25" s="1"/>
  <c r="G16" i="24"/>
  <c r="C64" i="24"/>
  <c r="C65" i="24" s="1"/>
  <c r="F65" i="24" s="1"/>
  <c r="U6" i="4" l="1"/>
  <c r="U2" i="4" l="1"/>
  <c r="U13" i="4" s="1"/>
  <c r="U74" i="4" l="1"/>
  <c r="D6" i="25" s="1"/>
  <c r="R76" i="4" l="1"/>
  <c r="U76" i="4" s="1"/>
  <c r="D8" i="25" s="1"/>
  <c r="D9" i="25" s="1"/>
  <c r="D10" i="25" s="1"/>
  <c r="C8" i="25" s="1"/>
  <c r="U77" i="4" l="1"/>
  <c r="U78" i="4" s="1"/>
  <c r="T79" i="4" s="1"/>
  <c r="C5" i="25"/>
  <c r="C7" i="25"/>
  <c r="C6" i="25"/>
  <c r="T8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3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incluyendo IGV </t>
        </r>
      </text>
    </comment>
    <comment ref="C3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HOROMETRO:
6000, 8400, 10800, 13200, 15600, 17400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HOROMETRO:
7200, 9600, 12000, 14400, 16800.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HOROMETRO:
13200, 17400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</author>
    <author>Jose</author>
  </authors>
  <commentList>
    <comment ref="T9" authorId="0" shapeId="0" xr:uid="{00000000-0006-0000-0600-000001000000}">
      <text>
        <r>
          <rPr>
            <sz val="9"/>
            <color indexed="81"/>
            <rFont val="Tahoma"/>
            <family val="2"/>
          </rPr>
          <t>Dado por Ango Raju</t>
        </r>
      </text>
    </comment>
    <comment ref="T10" authorId="1" shapeId="0" xr:uid="{00000000-0006-0000-0600-000002000000}">
      <text>
        <r>
          <rPr>
            <sz val="9"/>
            <color indexed="81"/>
            <rFont val="Tahoma"/>
            <family val="2"/>
          </rPr>
          <t>Datos proporcionado por Angu-Raju</t>
        </r>
      </text>
    </comment>
    <comment ref="T11" authorId="1" shapeId="0" xr:uid="{00000000-0006-0000-0600-000003000000}">
      <text>
        <r>
          <rPr>
            <sz val="9"/>
            <color indexed="81"/>
            <rFont val="Tahoma"/>
            <family val="2"/>
          </rPr>
          <t>Datos proporcionado por Angu-Raju</t>
        </r>
      </text>
    </comment>
    <comment ref="T12" authorId="0" shapeId="0" xr:uid="{00000000-0006-0000-0600-000004000000}">
      <text>
        <r>
          <rPr>
            <sz val="9"/>
            <color indexed="81"/>
            <rFont val="Tahoma"/>
            <family val="2"/>
          </rPr>
          <t>Datos proporcionado por Angu-Raju</t>
        </r>
      </text>
    </comment>
    <comment ref="B45" authorId="0" shapeId="0" xr:uid="{00000000-0006-0000-0600-000005000000}">
      <text>
        <r>
          <rPr>
            <sz val="9"/>
            <color indexed="81"/>
            <rFont val="Tahoma"/>
            <family val="2"/>
          </rPr>
          <t>Efecto combinado de condiciones naturales y terreno (30%), operación (20%) y practicas de mantenimiento 50%</t>
        </r>
      </text>
    </comment>
    <comment ref="M45" authorId="0" shapeId="0" xr:uid="{00000000-0006-0000-0600-000006000000}">
      <text>
        <r>
          <rPr>
            <sz val="9"/>
            <color indexed="81"/>
            <rFont val="Tahoma"/>
            <family val="2"/>
          </rPr>
          <t>Dado por Ango Raju</t>
        </r>
      </text>
    </comment>
    <comment ref="B46" authorId="0" shapeId="0" xr:uid="{00000000-0006-0000-0600-000007000000}">
      <text>
        <r>
          <rPr>
            <sz val="9"/>
            <color indexed="81"/>
            <rFont val="Tahoma"/>
            <family val="2"/>
          </rPr>
          <t>Factor promedio en $/hr q considera 30% de M:O y 70% repuestos a precios FOB</t>
        </r>
      </text>
    </comment>
    <comment ref="I54" authorId="1" shapeId="0" xr:uid="{00000000-0006-0000-0600-000008000000}">
      <text>
        <r>
          <rPr>
            <sz val="9"/>
            <color indexed="81"/>
            <rFont val="Tahoma"/>
            <family val="2"/>
          </rPr>
          <t>Reparacion global motor, caja, corona. sistema freno, dirección</t>
        </r>
      </text>
    </comment>
    <comment ref="I82" authorId="1" shapeId="0" xr:uid="{00000000-0006-0000-0600-000009000000}">
      <text>
        <r>
          <rPr>
            <sz val="9"/>
            <color indexed="81"/>
            <rFont val="Tahoma"/>
            <family val="2"/>
          </rPr>
          <t xml:space="preserve">EXTINTOR, CIRCULINAS, RADIOCOMUNICACION, ANTENAS LUS ESTROBOSCOPICA, ALARMA DE RETRO, TAPIZERIA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</author>
  </authors>
  <commentList>
    <comment ref="G28" authorId="0" shapeId="0" xr:uid="{00000000-0006-0000-0700-000001000000}">
      <text>
        <r>
          <rPr>
            <sz val="9"/>
            <color indexed="81"/>
            <rFont val="Tahoma"/>
            <family val="2"/>
          </rPr>
          <t>Dato proporcionados por Angu - Raju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</author>
  </authors>
  <commentList>
    <comment ref="F9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Jose:</t>
        </r>
        <r>
          <rPr>
            <sz val="9"/>
            <color indexed="81"/>
            <rFont val="Tahoma"/>
            <family val="2"/>
          </rPr>
          <t xml:space="preserve">
Dato proporcionados por la empresa comunal
</t>
        </r>
      </text>
    </comment>
  </commentList>
</comments>
</file>

<file path=xl/sharedStrings.xml><?xml version="1.0" encoding="utf-8"?>
<sst xmlns="http://schemas.openxmlformats.org/spreadsheetml/2006/main" count="1392" uniqueCount="801">
  <si>
    <t>ESTRUCTURA DE COSTO HORARIO MAQUINARIA PESADA</t>
  </si>
  <si>
    <t>CAMION VOLQUETE MARCA VOLVO MODELOS: FM12-440</t>
  </si>
  <si>
    <t>COSTO DE OPERACIÓN HORARIA MAQUINA SECA DEL VOLQUETE EN SOLES (S/.)   ( hr - Maq.)</t>
  </si>
  <si>
    <t>DESCRIPCION</t>
  </si>
  <si>
    <t>PRODUCTO</t>
  </si>
  <si>
    <t>RENDIMIENTO PROMEDIO</t>
  </si>
  <si>
    <t>CONSUMO</t>
  </si>
  <si>
    <t>PRECIO</t>
  </si>
  <si>
    <t>COSTO REAL</t>
  </si>
  <si>
    <t>POR HORA</t>
  </si>
  <si>
    <t>UNIT S/.</t>
  </si>
  <si>
    <t>Soles / Hora</t>
  </si>
  <si>
    <t>COSTO DE OPERACIÓN HORARIA</t>
  </si>
  <si>
    <t>COMBUSTIBLE</t>
  </si>
  <si>
    <t>SUB TOTAL S/.</t>
  </si>
  <si>
    <t>Consumo = 0.0325 x Gal / H x BHP</t>
  </si>
  <si>
    <t>DIESEL 2</t>
  </si>
  <si>
    <t>4,5 gal. x hr-maq.</t>
  </si>
  <si>
    <t>LUBRICANTES Y FILTROS</t>
  </si>
  <si>
    <t xml:space="preserve">ACEITE MOTOR </t>
  </si>
  <si>
    <t>VDS-3 15W40</t>
  </si>
  <si>
    <t xml:space="preserve">FILTRO SEPARADOR DE AGUA </t>
  </si>
  <si>
    <t>ACEITE DE CAJA DE C AMBIOS</t>
  </si>
  <si>
    <t>FILTRO DE DIRECCION  HIDRAULICA</t>
  </si>
  <si>
    <t>ACEITE DE DIRECCION  HIDRAULICA</t>
  </si>
  <si>
    <t>FILTRO DEL SISTEMA HIDRAULICO</t>
  </si>
  <si>
    <t>FILTRO SECADOR DE AIRE</t>
  </si>
  <si>
    <t>LIQUIDO DE EMBRAGUE</t>
  </si>
  <si>
    <t>ACEITE HIDRAULICO DE LEVANTE DE TOLVA</t>
  </si>
  <si>
    <t>COMPRESOR DE AIRE</t>
  </si>
  <si>
    <t>GRASA PARA LUBRICACION DE CHASIS/ ARBOL DE TRANSMISION</t>
  </si>
  <si>
    <t>20 kg. x 500 hr.-maq.</t>
  </si>
  <si>
    <t>CORREA DE POLEA Y VENTILADOR</t>
  </si>
  <si>
    <t>1 und. x 2000 hr.-maq</t>
  </si>
  <si>
    <t>11 gal. x 2000 hr.-maq</t>
  </si>
  <si>
    <t xml:space="preserve">ANALISIS DE ACEITE </t>
  </si>
  <si>
    <t>ANALISIS DE ACEITE DE MOTOR</t>
  </si>
  <si>
    <t>4 muestra x 2000 hr.-maq</t>
  </si>
  <si>
    <t>ANALISIS DE ACEITE DE CAJA DE CAMBIOS</t>
  </si>
  <si>
    <t>2 muestra x 2000 hr.-maq</t>
  </si>
  <si>
    <t>ANALISIS DE ACEITE CORONA</t>
  </si>
  <si>
    <t>ANALISIS DE REFRIGERANTE</t>
  </si>
  <si>
    <t>NEUMATICO</t>
  </si>
  <si>
    <t>Neumático 12.00 x R20 Goodyear 9377 OTR</t>
  </si>
  <si>
    <t xml:space="preserve">   08 und.  x  1,800 hr.-maq.</t>
  </si>
  <si>
    <t>Neumático 12.00 x R20 Rack</t>
  </si>
  <si>
    <t xml:space="preserve">   02 und.  x  1,800 hr.-maq.</t>
  </si>
  <si>
    <t>Camaras Goodyear 12.00 x R20</t>
  </si>
  <si>
    <t xml:space="preserve">   10 und.  x  1,800 hr.-maq.</t>
  </si>
  <si>
    <t>Protectores Goodyear 12.00 x R</t>
  </si>
  <si>
    <t>RESERVA PARA REPARACIONES</t>
  </si>
  <si>
    <t>Mano de Obra</t>
  </si>
  <si>
    <t>25% repuestos</t>
  </si>
  <si>
    <t>PERSONAL OPERATIVO</t>
  </si>
  <si>
    <t>Operador</t>
  </si>
  <si>
    <t>Operación</t>
  </si>
  <si>
    <t>Derechos y obligaciones laborales operador</t>
  </si>
  <si>
    <t>EPS</t>
  </si>
  <si>
    <t>Alimentación, Hospedaje, Lavandería</t>
  </si>
  <si>
    <t xml:space="preserve">    2 AHLav x       20 hr.-maq.</t>
  </si>
  <si>
    <t>PERSONAL ADMINISTRATIVO Y TALLER</t>
  </si>
  <si>
    <t xml:space="preserve">     2 jornal. x    600 hr.-maq.</t>
  </si>
  <si>
    <t>Derechos y obligaciones laborales administ</t>
  </si>
  <si>
    <t xml:space="preserve">     2 D-OLAx    600 hr.-maq.</t>
  </si>
  <si>
    <r>
      <t>Personal de Seguridad (</t>
    </r>
    <r>
      <rPr>
        <b/>
        <sz val="9"/>
        <rFont val="Arial"/>
        <family val="2"/>
      </rPr>
      <t>2</t>
    </r>
    <r>
      <rPr>
        <sz val="9"/>
        <rFont val="Arial"/>
        <family val="2"/>
      </rPr>
      <t>)</t>
    </r>
  </si>
  <si>
    <t>Derechos y obligaciones laborales P.Seguri</t>
  </si>
  <si>
    <t xml:space="preserve">     2 D-OLPSx 600 hr.-maq.</t>
  </si>
  <si>
    <r>
      <t>Personal de Mantenimiento (mecanicos) (</t>
    </r>
    <r>
      <rPr>
        <b/>
        <sz val="9"/>
        <rFont val="Arial"/>
        <family val="2"/>
      </rPr>
      <t>2</t>
    </r>
    <r>
      <rPr>
        <sz val="9"/>
        <rFont val="Arial"/>
        <family val="2"/>
      </rPr>
      <t>)</t>
    </r>
  </si>
  <si>
    <t>Mantenimiento</t>
  </si>
  <si>
    <t>Derechos y obligaciones laborales P.Mante</t>
  </si>
  <si>
    <t xml:space="preserve">     2 D-OLPMx 600 hr.-maq.</t>
  </si>
  <si>
    <r>
      <t>Personal de Apoyo Mantenimiento (</t>
    </r>
    <r>
      <rPr>
        <b/>
        <sz val="9"/>
        <rFont val="Arial"/>
        <family val="2"/>
      </rPr>
      <t>2)</t>
    </r>
  </si>
  <si>
    <t>Derechos y obligaciones laborales P.A.Mant</t>
  </si>
  <si>
    <t xml:space="preserve">     2 D-OLPax 600 hr.-maq.</t>
  </si>
  <si>
    <t>Derechos y obligaciones laborales P.Soldadr</t>
  </si>
  <si>
    <r>
      <t>Personal Almacenero (</t>
    </r>
    <r>
      <rPr>
        <b/>
        <sz val="9"/>
        <rFont val="Arial"/>
        <family val="2"/>
      </rPr>
      <t>2)</t>
    </r>
  </si>
  <si>
    <t>Derechos y obligaciones laborales P.Almace</t>
  </si>
  <si>
    <t xml:space="preserve">     2 D-OLPAx 600 hr.-maq.</t>
  </si>
  <si>
    <r>
      <t xml:space="preserve">Personal Llantero </t>
    </r>
    <r>
      <rPr>
        <b/>
        <sz val="9"/>
        <rFont val="Arial"/>
        <family val="2"/>
      </rPr>
      <t>(4)</t>
    </r>
  </si>
  <si>
    <t xml:space="preserve">     4 jornal. x    600 hr.-maq.</t>
  </si>
  <si>
    <t xml:space="preserve">     4 D-OLPAx 600 hr.-maq.</t>
  </si>
  <si>
    <r>
      <t xml:space="preserve">Personal Supervisor </t>
    </r>
    <r>
      <rPr>
        <b/>
        <sz val="9"/>
        <rFont val="Arial"/>
        <family val="2"/>
      </rPr>
      <t>(4)</t>
    </r>
  </si>
  <si>
    <t>Supervision</t>
  </si>
  <si>
    <t>Derechos y obligaciones laborales P.Super</t>
  </si>
  <si>
    <t>Personal</t>
  </si>
  <si>
    <t xml:space="preserve">     11 AHLav x  600 hr.-maq.</t>
  </si>
  <si>
    <t xml:space="preserve">     20 EPS   x 6,000 hr.-maq.</t>
  </si>
  <si>
    <t>EQUIPOS DE PROTECCION PERSONAL</t>
  </si>
  <si>
    <t>Casco</t>
  </si>
  <si>
    <t>Seguridad</t>
  </si>
  <si>
    <t xml:space="preserve">     4 und. x    3,600 hr.-maq.</t>
  </si>
  <si>
    <t>Zapatos</t>
  </si>
  <si>
    <t>Lentes Oscuros</t>
  </si>
  <si>
    <t xml:space="preserve">     8 und. x    3,600 hr.-maq.</t>
  </si>
  <si>
    <t>Lentes Transparentes</t>
  </si>
  <si>
    <t>Guantes de Cuero</t>
  </si>
  <si>
    <t xml:space="preserve">   12 und. x    3,600 hr.-maq.</t>
  </si>
  <si>
    <t>Guantes de Operador</t>
  </si>
  <si>
    <t>Implementos para botiquin de equipos</t>
  </si>
  <si>
    <t xml:space="preserve">     1 und. x    3,600 hr.-maq.</t>
  </si>
  <si>
    <t>Chalecos tela importada dril</t>
  </si>
  <si>
    <t>Overol impermeable termico</t>
  </si>
  <si>
    <t>Overol de tela con cinta reflectivo</t>
  </si>
  <si>
    <t>Tapa oido</t>
  </si>
  <si>
    <t xml:space="preserve">   16 und. x    3,600 hr.-maq.</t>
  </si>
  <si>
    <t>Mascarilla</t>
  </si>
  <si>
    <t>Vehículo</t>
  </si>
  <si>
    <t xml:space="preserve">     1 und. x    600 hr.-maq.</t>
  </si>
  <si>
    <t>GASTOS CAPACITACION Y CERTIFICACION</t>
  </si>
  <si>
    <t>Viaticos para la capacitación</t>
  </si>
  <si>
    <t>Valor</t>
  </si>
  <si>
    <t>FACTOR</t>
  </si>
  <si>
    <t>MENSUAL</t>
  </si>
  <si>
    <t>DIA S/.</t>
  </si>
  <si>
    <t>S/. / Hr.</t>
  </si>
  <si>
    <t>COSTO DE POSESION</t>
  </si>
  <si>
    <t>Interes del Capital Invertido Volquete</t>
  </si>
  <si>
    <t xml:space="preserve">( Cav ) x i / 200 Nav       </t>
  </si>
  <si>
    <t>Depreciación Horaria Volquete</t>
  </si>
  <si>
    <t xml:space="preserve">       ( Cav   x    Kvr ) / Nv  v</t>
  </si>
  <si>
    <t>Depreciación Horaria Camioneta</t>
  </si>
  <si>
    <t xml:space="preserve">       ( Cac   x    Kvr ) / Nv c</t>
  </si>
  <si>
    <t>Interes del Capital Invertido Camioneta</t>
  </si>
  <si>
    <t xml:space="preserve">( Cac ) x i / 200 Na c       </t>
  </si>
  <si>
    <t>Depreciación Horaria Equipo de Taller</t>
  </si>
  <si>
    <t xml:space="preserve">       ( Ca ta   x    Kvr ) / Nv t</t>
  </si>
  <si>
    <t>Repuestos y accesorios</t>
  </si>
  <si>
    <t>Cetificación de equipos de Taller</t>
  </si>
  <si>
    <t>Cartificación de la camioneta</t>
  </si>
  <si>
    <t>SUB  -  TOTAL COSTO  HORARIO (S/. / HORA ) =  1  +  2</t>
  </si>
  <si>
    <t>S/.</t>
  </si>
  <si>
    <t xml:space="preserve">  IMPUESTO GENERAL A LAS VENTAS 19% DEL SUB TOTAL</t>
  </si>
  <si>
    <t>TOTAL  COSTO  HORARIO (S/.  ÷  HORA ) =  1  +  2  +  3</t>
  </si>
  <si>
    <t>DATOS UTILIZADOS</t>
  </si>
  <si>
    <t>RUBRO</t>
  </si>
  <si>
    <t>SIMBOLO</t>
  </si>
  <si>
    <t>RANGO</t>
  </si>
  <si>
    <t>VALOR</t>
  </si>
  <si>
    <t>UTIIZADO</t>
  </si>
  <si>
    <t xml:space="preserve">Costo Actual de Maquinaria </t>
  </si>
  <si>
    <t>Ca (volquete)</t>
  </si>
  <si>
    <t>Coeficiente de Valor residual</t>
  </si>
  <si>
    <t>Kvr</t>
  </si>
  <si>
    <t>0.80  -  0.90</t>
  </si>
  <si>
    <t>Tasa de Interes anual Soles</t>
  </si>
  <si>
    <t xml:space="preserve"> i ( % )</t>
  </si>
  <si>
    <t xml:space="preserve"> 05  -  10</t>
  </si>
  <si>
    <t>Vida útil Volquete (hr)</t>
  </si>
  <si>
    <t>Nv (volquete)</t>
  </si>
  <si>
    <t>8,000 - 32,000</t>
  </si>
  <si>
    <t>Uso anual (hr)</t>
  </si>
  <si>
    <t>Na (volquete)</t>
  </si>
  <si>
    <t>5,200 - 7,200</t>
  </si>
  <si>
    <t>Costo Actual Camioneta</t>
  </si>
  <si>
    <t>Cac (camioneta)</t>
  </si>
  <si>
    <t>Vida útil Camioneta (hr)</t>
  </si>
  <si>
    <t>Nvc (camioneta)</t>
  </si>
  <si>
    <t>15,000 - 20,000</t>
  </si>
  <si>
    <t>Uso anual (hr) camioneta</t>
  </si>
  <si>
    <t>Nac (camioneta)</t>
  </si>
  <si>
    <t>1,440 - 2,800</t>
  </si>
  <si>
    <t>Equipo de Taller</t>
  </si>
  <si>
    <t>Ca (taller)</t>
  </si>
  <si>
    <t>Vida Util (hr) taller</t>
  </si>
  <si>
    <t>Nv (taller)</t>
  </si>
  <si>
    <t>14,400- 21,600</t>
  </si>
  <si>
    <t xml:space="preserve">FILTRO DE ACEITE </t>
  </si>
  <si>
    <t xml:space="preserve">FILTRO DE COMBUSTIBLE </t>
  </si>
  <si>
    <t>ACEITE CORONA Y CUBOS REDUCTORES</t>
  </si>
  <si>
    <t xml:space="preserve">LIQUIDO REFRIGERANTE </t>
  </si>
  <si>
    <r>
      <t>Personal Administrativo Mina (</t>
    </r>
    <r>
      <rPr>
        <b/>
        <sz val="9"/>
        <rFont val="Arial"/>
        <family val="2"/>
      </rPr>
      <t>2</t>
    </r>
    <r>
      <rPr>
        <sz val="9"/>
        <rFont val="Arial"/>
        <family val="2"/>
      </rPr>
      <t>)</t>
    </r>
  </si>
  <si>
    <t>mes</t>
  </si>
  <si>
    <t>und</t>
  </si>
  <si>
    <t>día</t>
  </si>
  <si>
    <t xml:space="preserve">    1 AHLav x       20 hr.-maq.</t>
  </si>
  <si>
    <t>Pasaporte Médico</t>
  </si>
  <si>
    <t>año</t>
  </si>
  <si>
    <t xml:space="preserve">    2 PSME  x 7,200 hr.-maq.</t>
  </si>
  <si>
    <t>Atención Médica en Yanacancha</t>
  </si>
  <si>
    <t>und.</t>
  </si>
  <si>
    <t xml:space="preserve">     2 ATM     x    600 hr.-maq.</t>
  </si>
  <si>
    <r>
      <t>Personal Administrativo Huaraz (1</t>
    </r>
    <r>
      <rPr>
        <sz val="9"/>
        <rFont val="Arial"/>
        <family val="2"/>
      </rPr>
      <t>)</t>
    </r>
  </si>
  <si>
    <t xml:space="preserve">     1 jornal. x    600 hr.-maq.</t>
  </si>
  <si>
    <t>Derechos y obligaciones L. administ Hz</t>
  </si>
  <si>
    <t xml:space="preserve">     1 D-OLAx    600 hr.-maq.</t>
  </si>
  <si>
    <r>
      <t xml:space="preserve">Personal </t>
    </r>
    <r>
      <rPr>
        <b/>
        <sz val="9"/>
        <rFont val="Arial"/>
        <family val="2"/>
      </rPr>
      <t>Soldador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2</t>
    </r>
    <r>
      <rPr>
        <sz val="9"/>
        <rFont val="Arial"/>
        <family val="2"/>
      </rPr>
      <t>)</t>
    </r>
  </si>
  <si>
    <t>Volvo</t>
  </si>
  <si>
    <t>API GL5 SAE 85W140</t>
  </si>
  <si>
    <t>ATF Dexron II</t>
  </si>
  <si>
    <t>DOT 4</t>
  </si>
  <si>
    <t>SAE 30</t>
  </si>
  <si>
    <t>EP NLGI Nº 2</t>
  </si>
  <si>
    <t>Volvo Coolant Verde</t>
  </si>
  <si>
    <t>ITEM</t>
  </si>
  <si>
    <t xml:space="preserve">DESCRIPCION </t>
  </si>
  <si>
    <t>CANT</t>
  </si>
  <si>
    <t>Unidad</t>
  </si>
  <si>
    <t>SAE 80W/90</t>
  </si>
  <si>
    <t xml:space="preserve">     4 D-OLOx    600 hr.-maq.</t>
  </si>
  <si>
    <t xml:space="preserve">     4 ATM     x    600 hr.-maq.</t>
  </si>
  <si>
    <t xml:space="preserve">    4 PSME  x 7,200 hr.-maq.</t>
  </si>
  <si>
    <t>Repuestos (*)</t>
  </si>
  <si>
    <t>COSTOS  ADMINISTRATIVOS- TALLER</t>
  </si>
  <si>
    <t>CAMIONETAS ALQUILADA</t>
  </si>
  <si>
    <t>toyota hilux - alquiler</t>
  </si>
  <si>
    <t>traslado</t>
  </si>
  <si>
    <t>1 precio de alq x 20 hr.-maq.</t>
  </si>
  <si>
    <t>COSTO  HORARIO (S/.  ÷  HORA )- administración + taller + camioneta =   3 + 4</t>
  </si>
  <si>
    <t>RESUMEN DE COSTOS DE MAQUINARIA-UTILIDAD HORARIA</t>
  </si>
  <si>
    <t>PAGOS POR HORA MAQUINA ( S/. X HORA ) = C.M.A.</t>
  </si>
  <si>
    <t>UTILIDAD HORARIA ( S/. X HORA)</t>
  </si>
  <si>
    <t>Nº</t>
  </si>
  <si>
    <t>cant.</t>
  </si>
  <si>
    <t>Descripcion</t>
  </si>
  <si>
    <t>Tipo de traslado</t>
  </si>
  <si>
    <t>Costo</t>
  </si>
  <si>
    <t xml:space="preserve">    4 capa.x  7,200 hr.-maq.</t>
  </si>
  <si>
    <t xml:space="preserve">    4 viata. x  7,200 hr.-maq.</t>
  </si>
  <si>
    <t xml:space="preserve">    01 cert .x  7,200 hr.-maq.</t>
  </si>
  <si>
    <t>Capacitación y Certificación operario camion</t>
  </si>
  <si>
    <t>Certificación de camion</t>
  </si>
  <si>
    <t>Viatico Chofer viaje Lima - Huaraz</t>
  </si>
  <si>
    <t>1 VCVLIH x 600 hr.-maq</t>
  </si>
  <si>
    <t xml:space="preserve">     1 kit.  x  15000 hr.-maq.</t>
  </si>
  <si>
    <t>10  gal. x 600 hr.-maq.</t>
  </si>
  <si>
    <t xml:space="preserve">     2 und. x     600 hr.-maq.</t>
  </si>
  <si>
    <t xml:space="preserve">     1 und. x     600 hr.-maq.</t>
  </si>
  <si>
    <t>4  gal. x  1800 hr.-maq.</t>
  </si>
  <si>
    <t>10  gal. x  1800 hr.-maq.</t>
  </si>
  <si>
    <t xml:space="preserve">     1 und. x   600 hr.-maq.</t>
  </si>
  <si>
    <t>2gal. x  1800 hr.-maq.</t>
  </si>
  <si>
    <t>1 und x  600 hr.-maq.</t>
  </si>
  <si>
    <t>1 x 1800 hr.-maq.</t>
  </si>
  <si>
    <t>1 kit x 1800 hr.-maq</t>
  </si>
  <si>
    <t>FILTRO DE AIRE PRIMARIO</t>
  </si>
  <si>
    <t>FILTRO DE AIRE SECUNDARIO</t>
  </si>
  <si>
    <t>1 und x  1800 hr.-maq.</t>
  </si>
  <si>
    <t>14 gal. x 1800 hr.-maq</t>
  </si>
  <si>
    <t>Cantidad</t>
  </si>
  <si>
    <t>Kg</t>
  </si>
  <si>
    <t>Costo Total $</t>
  </si>
  <si>
    <t>Costo Total S/.</t>
  </si>
  <si>
    <t>DESCRIPCIÓN</t>
  </si>
  <si>
    <t>Atencion medica Yanacancha</t>
  </si>
  <si>
    <t>seguro</t>
  </si>
  <si>
    <t>Pasaporte medico</t>
  </si>
  <si>
    <t>Soat</t>
  </si>
  <si>
    <t>Cant.</t>
  </si>
  <si>
    <t>Nº Referencia</t>
  </si>
  <si>
    <t>Muestras</t>
  </si>
  <si>
    <t>Horas/Mes</t>
  </si>
  <si>
    <t>Horas/Día</t>
  </si>
  <si>
    <t>jornal</t>
  </si>
  <si>
    <t>D-OLOx</t>
  </si>
  <si>
    <t>VCVLIH</t>
  </si>
  <si>
    <t>ATM</t>
  </si>
  <si>
    <t>AHLav</t>
  </si>
  <si>
    <t>PSME</t>
  </si>
  <si>
    <t>viaticos</t>
  </si>
  <si>
    <t>D-OLA</t>
  </si>
  <si>
    <t>D-OLPS</t>
  </si>
  <si>
    <t>D-OLPM</t>
  </si>
  <si>
    <t>D-OLPa</t>
  </si>
  <si>
    <t>D-OLPA</t>
  </si>
  <si>
    <t>POSV</t>
  </si>
  <si>
    <t>T.C. US$</t>
  </si>
  <si>
    <t>SOAT</t>
  </si>
  <si>
    <t>EQPV</t>
  </si>
  <si>
    <t>ACARREO DE MATERIALES EN OPERACIONES Y CARRETERA</t>
  </si>
  <si>
    <t>COSTO DE TRASLADOS DE INSUMOS LIMA - MINA</t>
  </si>
  <si>
    <t>Servicio de terceros</t>
  </si>
  <si>
    <t>SERVTER</t>
  </si>
  <si>
    <t>Soldadores</t>
  </si>
  <si>
    <t>EQUIPOS DE PROTECCION PERSONAL OPERACIÓN</t>
  </si>
  <si>
    <t>Pantalon de cuero</t>
  </si>
  <si>
    <t>Casaca de cuero</t>
  </si>
  <si>
    <t>Escarpin de cuero</t>
  </si>
  <si>
    <t>Mandil soldadura</t>
  </si>
  <si>
    <t>Capuchon para  soldar</t>
  </si>
  <si>
    <t>Careta para esmerilar</t>
  </si>
  <si>
    <t>Careta de soldador</t>
  </si>
  <si>
    <t>Guantes de cuero para soldar</t>
  </si>
  <si>
    <t>Días/Mes</t>
  </si>
  <si>
    <t>COSTOS  ADMINISTRATIVOS- TALLER MINA</t>
  </si>
  <si>
    <t>COSTO DE POSESION HORARIA</t>
  </si>
  <si>
    <t>PERSONAL ADMINISTRATIVO Y TALLER MINA HORARIA</t>
  </si>
  <si>
    <t>Personal Administrativo Huaraz (3)</t>
  </si>
  <si>
    <t>Horas/Año</t>
  </si>
  <si>
    <t>Mascarilla para soldador</t>
  </si>
  <si>
    <r>
      <t>Personal Soldador (</t>
    </r>
    <r>
      <rPr>
        <b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</si>
  <si>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 xml:space="preserve">Personal Llantero </t>
    </r>
    <r>
      <rPr>
        <b/>
        <sz val="9"/>
        <rFont val="Arial"/>
        <family val="2"/>
      </rPr>
      <t>(2)</t>
    </r>
  </si>
  <si>
    <t>par</t>
  </si>
  <si>
    <t>Movilidad</t>
  </si>
  <si>
    <t>Descripción</t>
  </si>
  <si>
    <t>%</t>
  </si>
  <si>
    <t>SUB  -  TOTAL COSTO  HORARIO (S/. / HORA ) =  1  +  3</t>
  </si>
  <si>
    <r>
      <t>Personal Administrativo Huaraz (</t>
    </r>
    <r>
      <rPr>
        <b/>
        <sz val="9"/>
        <rFont val="Arial"/>
        <family val="2"/>
      </rPr>
      <t>3</t>
    </r>
    <r>
      <rPr>
        <sz val="9"/>
        <rFont val="Arial"/>
        <family val="2"/>
      </rPr>
      <t>)</t>
    </r>
  </si>
  <si>
    <t>Servicios de terceros</t>
  </si>
  <si>
    <t>SER TER</t>
  </si>
  <si>
    <t>Equipamiento de la camioneta</t>
  </si>
  <si>
    <t>Curso MD fuera de mina</t>
  </si>
  <si>
    <t>CONDICION :</t>
  </si>
  <si>
    <t>SERVICIO :</t>
  </si>
  <si>
    <t>TURNOS  LABORALES:</t>
  </si>
  <si>
    <t>TURNO 1</t>
  </si>
  <si>
    <t>TURNO 2</t>
  </si>
  <si>
    <t>Maquinaria</t>
  </si>
  <si>
    <r>
      <rPr>
        <b/>
        <sz val="11"/>
        <color indexed="8"/>
        <rFont val="Arial"/>
        <family val="2"/>
      </rPr>
      <t>10</t>
    </r>
    <r>
      <rPr>
        <sz val="11"/>
        <color indexed="8"/>
        <rFont val="Arial"/>
        <family val="2"/>
      </rPr>
      <t xml:space="preserve"> DIAS DE TRABAJO POR 10 DIAS DE DESCANSO</t>
    </r>
  </si>
  <si>
    <t>ANEXO I</t>
  </si>
  <si>
    <t>1.1: DESCRICCION DEL SERVICIO</t>
  </si>
  <si>
    <t>1.2: DESCRICCION LABORAL</t>
  </si>
  <si>
    <t>1.3: DESCRICCION DE MAQUINARIAS Y CARACTERISTICAS</t>
  </si>
  <si>
    <t>Modelo</t>
  </si>
  <si>
    <t>Placa</t>
  </si>
  <si>
    <t>HP</t>
  </si>
  <si>
    <t>FM 440</t>
  </si>
  <si>
    <t>WGM 857</t>
  </si>
  <si>
    <t>WGM 858</t>
  </si>
  <si>
    <t>WGM 859</t>
  </si>
  <si>
    <t>XO6044</t>
  </si>
  <si>
    <t>NL 12</t>
  </si>
  <si>
    <t>XO4065</t>
  </si>
  <si>
    <t>XO4066</t>
  </si>
  <si>
    <t>XO5085</t>
  </si>
  <si>
    <t>XO5387</t>
  </si>
  <si>
    <t>BL</t>
  </si>
  <si>
    <t>CAT</t>
  </si>
  <si>
    <r>
      <t>2,10 m</t>
    </r>
    <r>
      <rPr>
        <sz val="10"/>
        <color indexed="8"/>
        <rFont val="Calibri"/>
        <family val="2"/>
      </rPr>
      <t>³</t>
    </r>
  </si>
  <si>
    <t>DL</t>
  </si>
  <si>
    <t>EC360BL</t>
  </si>
  <si>
    <t>VOLVO</t>
  </si>
  <si>
    <r>
      <t>1,96 m</t>
    </r>
    <r>
      <rPr>
        <sz val="10"/>
        <color indexed="8"/>
        <rFont val="Calibri"/>
        <family val="2"/>
      </rPr>
      <t>³</t>
    </r>
  </si>
  <si>
    <t>PC300LC8</t>
  </si>
  <si>
    <t>KOMATSU</t>
  </si>
  <si>
    <t>Capaciad (m³)</t>
  </si>
  <si>
    <t>Horómetro</t>
  </si>
  <si>
    <t>Fecha de Lectura</t>
  </si>
  <si>
    <r>
      <t>2,54 m</t>
    </r>
    <r>
      <rPr>
        <sz val="10"/>
        <color indexed="8"/>
        <rFont val="Calibri"/>
        <family val="2"/>
      </rPr>
      <t>³</t>
    </r>
  </si>
  <si>
    <t>Actividad del Personal</t>
  </si>
  <si>
    <t>Conductores Volquetes</t>
  </si>
  <si>
    <t>Operador - Excavadora</t>
  </si>
  <si>
    <t>Supervisor de campo</t>
  </si>
  <si>
    <t>Supervisor de Seguridad</t>
  </si>
  <si>
    <t>Administrador</t>
  </si>
  <si>
    <t>Técnico Mecánico</t>
  </si>
  <si>
    <t>Apoyo Mecánico</t>
  </si>
  <si>
    <t>Almacenero</t>
  </si>
  <si>
    <t>Llantero</t>
  </si>
  <si>
    <t>Condicion</t>
  </si>
  <si>
    <t>1.- Volquete 6X4 R</t>
  </si>
  <si>
    <t>2.- Volquete 6X4 R</t>
  </si>
  <si>
    <t>3.- Volquete 6X4 R</t>
  </si>
  <si>
    <t>4.- Volquete 6X4 R</t>
  </si>
  <si>
    <t>5.- Volquete 6X4 R</t>
  </si>
  <si>
    <t>6.- Volquete 6X4 R</t>
  </si>
  <si>
    <t>7.- Volquete 6X4 R</t>
  </si>
  <si>
    <t>8.- Volquete 6X4 R</t>
  </si>
  <si>
    <t>9.- Excavadora sobre oruga</t>
  </si>
  <si>
    <t>10.- Excavadora sobre oruga</t>
  </si>
  <si>
    <t>11.- Excavadora sobre oruga</t>
  </si>
  <si>
    <t>12.- Excavadora sobre oruga</t>
  </si>
  <si>
    <t>Operativo</t>
  </si>
  <si>
    <t>ANEXO II</t>
  </si>
  <si>
    <t>litros</t>
  </si>
  <si>
    <t>T.C. 1 US =</t>
  </si>
  <si>
    <t>I.G.V. =</t>
  </si>
  <si>
    <t>ANEXO III</t>
  </si>
  <si>
    <t>Costo Unitario</t>
  </si>
  <si>
    <t>kg.</t>
  </si>
  <si>
    <t>Concepto</t>
  </si>
  <si>
    <t>Item</t>
  </si>
  <si>
    <t>Administración</t>
  </si>
  <si>
    <t>Derechos obligaciones Labo administrador  Hz</t>
  </si>
  <si>
    <t>Derechos obligaciones laborales administrador</t>
  </si>
  <si>
    <t>Derechos y obligaciones laborales Llantero</t>
  </si>
  <si>
    <t>Personal Administrativo Mina (2)</t>
  </si>
  <si>
    <r>
      <t>Personal de Seguridad (</t>
    </r>
    <r>
      <rPr>
        <b/>
        <sz val="10"/>
        <color indexed="56"/>
        <rFont val="Arial"/>
        <family val="2"/>
      </rPr>
      <t>2</t>
    </r>
    <r>
      <rPr>
        <sz val="10"/>
        <color indexed="56"/>
        <rFont val="Arial"/>
        <family val="2"/>
      </rPr>
      <t>)</t>
    </r>
  </si>
  <si>
    <r>
      <t>Personal de Apoyo Mantenimiento (</t>
    </r>
    <r>
      <rPr>
        <b/>
        <sz val="10"/>
        <color indexed="56"/>
        <rFont val="Arial"/>
        <family val="2"/>
      </rPr>
      <t>2)</t>
    </r>
  </si>
  <si>
    <r>
      <t>Personal Almacenero (</t>
    </r>
    <r>
      <rPr>
        <b/>
        <sz val="10"/>
        <color indexed="56"/>
        <rFont val="Arial"/>
        <family val="2"/>
      </rPr>
      <t>2)</t>
    </r>
  </si>
  <si>
    <r>
      <t xml:space="preserve">Personal Supervisor </t>
    </r>
    <r>
      <rPr>
        <b/>
        <sz val="10"/>
        <color indexed="56"/>
        <rFont val="Arial"/>
        <family val="2"/>
      </rPr>
      <t>(4)</t>
    </r>
  </si>
  <si>
    <r>
      <t xml:space="preserve">Personal Llantero </t>
    </r>
    <r>
      <rPr>
        <b/>
        <sz val="10"/>
        <color indexed="56"/>
        <rFont val="Arial"/>
        <family val="2"/>
      </rPr>
      <t>(2)</t>
    </r>
  </si>
  <si>
    <t>Derechos y obligaciones laborales % =</t>
  </si>
  <si>
    <t>Costo Real</t>
  </si>
  <si>
    <t>SUB TOTAL S/. /  hora</t>
  </si>
  <si>
    <t>TOTAL MAQUINARIA:</t>
  </si>
  <si>
    <t>Mes / año</t>
  </si>
  <si>
    <t>% Pago Admi</t>
  </si>
  <si>
    <t>Horas /Mes</t>
  </si>
  <si>
    <t>Und.</t>
  </si>
  <si>
    <t>Días / Mes</t>
  </si>
  <si>
    <t>Toyota Hilux 4x4 (hr. - maq. / Total)</t>
  </si>
  <si>
    <t>Tipo ó Producto</t>
  </si>
  <si>
    <t>CONSUMO POR HORA</t>
  </si>
  <si>
    <r>
      <t xml:space="preserve">PRECIO UNIT </t>
    </r>
    <r>
      <rPr>
        <b/>
        <sz val="9"/>
        <color theme="1"/>
        <rFont val="Arial"/>
        <family val="2"/>
      </rPr>
      <t>S/.</t>
    </r>
  </si>
  <si>
    <r>
      <t xml:space="preserve">COSTO REAL </t>
    </r>
    <r>
      <rPr>
        <b/>
        <sz val="9"/>
        <color theme="1"/>
        <rFont val="Arial"/>
        <family val="2"/>
      </rPr>
      <t>Soles/hora</t>
    </r>
  </si>
  <si>
    <t>Rendimiento Promedio   hora-maquina</t>
  </si>
  <si>
    <t>TOTAL S/.</t>
  </si>
  <si>
    <t>COSTO DE OPERACIÓN HORARIA:  MAQUINA SECA EN SOLES (S/.)   ( hr - Maq.)</t>
  </si>
  <si>
    <t>Derechos y obligaciones laborales P.Soldador</t>
  </si>
  <si>
    <t>Derechos y obligaciones laborales P.Almacen</t>
  </si>
  <si>
    <t>Derechos y obligaciones L. administativo Hz</t>
  </si>
  <si>
    <r>
      <t>Personal Almacen (</t>
    </r>
    <r>
      <rPr>
        <b/>
        <sz val="9"/>
        <rFont val="Arial"/>
        <family val="2"/>
      </rPr>
      <t>2)</t>
    </r>
  </si>
  <si>
    <t>Derechos y obligaciones laborales P.Llantero</t>
  </si>
  <si>
    <t>TOTAL COSTO HORARIO (S/. ÷ HORA ) = 1 + 2  + 3 + 4</t>
  </si>
  <si>
    <t>DIESEL B2</t>
  </si>
  <si>
    <t>Hrs / Año</t>
  </si>
  <si>
    <t>gal.</t>
  </si>
  <si>
    <t>EPS (Seguro)</t>
  </si>
  <si>
    <t>capacitación</t>
  </si>
  <si>
    <t>certificado</t>
  </si>
  <si>
    <t>( Cac ) x i / 200 Na c</t>
  </si>
  <si>
    <t>Cac (4X4 2D)</t>
  </si>
  <si>
    <t>Hr WM /Día</t>
  </si>
  <si>
    <t>Hr no WM/día</t>
  </si>
  <si>
    <t>1+2</t>
  </si>
  <si>
    <t>COSTO ADMINISTRATIVO 5% DE COSTOS 1 + 2 + 3 + 4</t>
  </si>
  <si>
    <t>VALOR UTILIZADO</t>
  </si>
  <si>
    <t>Rendimiento promedio   hora-maquina</t>
  </si>
  <si>
    <t>TIPO DE MAQUINARIA</t>
  </si>
  <si>
    <t>FM 420</t>
  </si>
  <si>
    <t>33,982.40</t>
  </si>
  <si>
    <t>ANEXO V</t>
  </si>
  <si>
    <t>RENDIMIENTO Hora /Semestral</t>
  </si>
  <si>
    <t>Mes/año</t>
  </si>
  <si>
    <t>Operadores</t>
  </si>
  <si>
    <t>Administra.</t>
  </si>
  <si>
    <t>Rend.Prome</t>
  </si>
  <si>
    <t>Consumo</t>
  </si>
  <si>
    <t>Precio Unitario</t>
  </si>
  <si>
    <t>hr - maquina</t>
  </si>
  <si>
    <t>por hora</t>
  </si>
  <si>
    <t>EQUIPOS DE PROTECCION PERSONAL ADMINISTRACION</t>
  </si>
  <si>
    <t>SUB TOTAL S/. /hora</t>
  </si>
  <si>
    <t>Mandil soldador</t>
  </si>
  <si>
    <t>Derechos y obligaciones labor. administ. Mina</t>
  </si>
  <si>
    <t>Derechos y obligaciones labora. P.Seguridad</t>
  </si>
  <si>
    <t>Derechos y obligaciones labora. P.Mantenim.</t>
  </si>
  <si>
    <t>Derechos y obligaciones labora. P.A.Manteni.</t>
  </si>
  <si>
    <t>IMPLEMENTAR</t>
  </si>
  <si>
    <t>Derechos y obligaciones laborales PAMant Mec</t>
  </si>
  <si>
    <t>Técnico Electricista</t>
  </si>
  <si>
    <t>TOTAL</t>
  </si>
  <si>
    <t>PERSONAL</t>
  </si>
  <si>
    <t>OBSERVACION</t>
  </si>
  <si>
    <t>ESTADISTICA COSTO HORARIO VIGENTE</t>
  </si>
  <si>
    <t>JEFE DE OPERACIONES</t>
  </si>
  <si>
    <t>OPERACIÓN MINA :</t>
  </si>
  <si>
    <t>ADMINISTRACION MINA</t>
  </si>
  <si>
    <t>ADMINISTRACION HUARAZ</t>
  </si>
  <si>
    <t>TOTAL DE MAQUINARIAS:</t>
  </si>
  <si>
    <t>06 días a la semana</t>
  </si>
  <si>
    <t>Haber mes</t>
  </si>
  <si>
    <t>1º DIRECTIVOS</t>
  </si>
  <si>
    <t>HABER ACTUAL</t>
  </si>
  <si>
    <t>Secretaria (Tiempo completo)</t>
  </si>
  <si>
    <t>Contador (Tiempo parcial)</t>
  </si>
  <si>
    <t>Abogado (Tiempo Parcial)</t>
  </si>
  <si>
    <t>3º Administrativo MINA</t>
  </si>
  <si>
    <t>2º Administrativo Huaraz</t>
  </si>
  <si>
    <t>4º TALLER MINA</t>
  </si>
  <si>
    <t>OPERACIÓN MINA</t>
  </si>
  <si>
    <t>5º OPERARIOS MINA</t>
  </si>
  <si>
    <t>ESTRUCTURACION LABORAL Y PLANILLA PERSONAL</t>
  </si>
  <si>
    <t>ALQUILER DE MAQUINARIA PESADA</t>
  </si>
  <si>
    <t>CONTRATANTE:</t>
  </si>
  <si>
    <t>COMPAÑÍA MINERA ANTAMINA</t>
  </si>
  <si>
    <t>MAQUINARIAS OPERATIVAS Y CON OPERADOR</t>
  </si>
  <si>
    <r>
      <rPr>
        <b/>
        <sz val="10"/>
        <color indexed="8"/>
        <rFont val="Arial"/>
        <family val="2"/>
      </rPr>
      <t>10</t>
    </r>
    <r>
      <rPr>
        <sz val="10"/>
        <color indexed="8"/>
        <rFont val="Arial"/>
        <family val="2"/>
      </rPr>
      <t xml:space="preserve"> DIAS DE TRABAJO POR 10 DIAS DE DESCANSO</t>
    </r>
  </si>
  <si>
    <r>
      <rPr>
        <b/>
        <sz val="10"/>
        <color indexed="8"/>
        <rFont val="Arial"/>
        <family val="2"/>
      </rPr>
      <t>20</t>
    </r>
    <r>
      <rPr>
        <sz val="10"/>
        <color indexed="8"/>
        <rFont val="Arial"/>
        <family val="2"/>
      </rPr>
      <t xml:space="preserve"> HRS LABORALES NETAS DIARIAS OPERADORES MINA</t>
    </r>
  </si>
  <si>
    <r>
      <rPr>
        <b/>
        <sz val="10"/>
        <color indexed="8"/>
        <rFont val="Arial"/>
        <family val="2"/>
      </rPr>
      <t>12</t>
    </r>
    <r>
      <rPr>
        <sz val="10"/>
        <color indexed="8"/>
        <rFont val="Arial"/>
        <family val="2"/>
      </rPr>
      <t xml:space="preserve"> HORAS LABORALES DIARIAS OPERACIÓN MINA</t>
    </r>
  </si>
  <si>
    <t>Asistente Contable (Tpo completo</t>
  </si>
  <si>
    <t>Considerar nueva curricula</t>
  </si>
  <si>
    <t>1.1: DESCRIPCION SERVICIO Y TURNOS LABORALES</t>
  </si>
  <si>
    <t>Directivo 1º (Tiempo Parcial)</t>
  </si>
  <si>
    <t>Directivo 2º (Tiempo Parcial)</t>
  </si>
  <si>
    <t>Directivo 3º (Tiempo Parcial)</t>
  </si>
  <si>
    <t>Directivo 4º (Tiempo Parcial)</t>
  </si>
  <si>
    <t>Directivo 5º (Tiempo Parcial)</t>
  </si>
  <si>
    <t>1.2: DESCRIPCION DEL PERSONAL LABORAL ACTIVIDAD Y PLANILLA DE SALARIO</t>
  </si>
  <si>
    <t>HORAS CONTATADA DIA :</t>
  </si>
  <si>
    <r>
      <rPr>
        <b/>
        <sz val="11"/>
        <color indexed="8"/>
        <rFont val="Arial"/>
        <family val="2"/>
      </rPr>
      <t>20</t>
    </r>
    <r>
      <rPr>
        <sz val="11"/>
        <color indexed="8"/>
        <rFont val="Arial"/>
        <family val="2"/>
      </rPr>
      <t xml:space="preserve"> HORAS MAQUINAS DIARIAS</t>
    </r>
  </si>
  <si>
    <t>MAQUINAS OPERATIVAS Y CON OPERADOR - MAQUINARIA SECA</t>
  </si>
  <si>
    <t>PERSONAL POR</t>
  </si>
  <si>
    <t>GERENTE OPERACIONES</t>
  </si>
  <si>
    <r>
      <t xml:space="preserve">NOTA: Para la estructuración del costo horario actual, solo se está considerando </t>
    </r>
    <r>
      <rPr>
        <b/>
        <sz val="11"/>
        <color theme="1"/>
        <rFont val="Calibri"/>
        <family val="2"/>
        <scheme val="minor"/>
      </rPr>
      <t>SIETE</t>
    </r>
    <r>
      <rPr>
        <sz val="11"/>
        <color theme="1"/>
        <rFont val="Calibri"/>
        <family val="2"/>
        <scheme val="minor"/>
      </rPr>
      <t xml:space="preserve"> Volquetes y </t>
    </r>
    <r>
      <rPr>
        <b/>
        <sz val="11"/>
        <color theme="1"/>
        <rFont val="Calibri"/>
        <family val="2"/>
        <scheme val="minor"/>
      </rPr>
      <t>TRES</t>
    </r>
    <r>
      <rPr>
        <sz val="11"/>
        <color theme="1"/>
        <rFont val="Calibri"/>
        <family val="2"/>
        <scheme val="minor"/>
      </rPr>
      <t xml:space="preserve"> Excavadoras, en</t>
    </r>
  </si>
  <si>
    <t xml:space="preserve">    conformidad al convenio y/o contrato suscrito y que en supuesto caso de que tosas las Maquinarias esten Operativas</t>
  </si>
  <si>
    <t>SUB TOTAL PERSONAL POR TURNO</t>
  </si>
  <si>
    <t>Inoperativo</t>
  </si>
  <si>
    <t>De acuerdo contrato</t>
  </si>
  <si>
    <t>Necesario</t>
  </si>
  <si>
    <t>ESTRUCTURACION PERSONAL vs MAQUINARIA</t>
  </si>
  <si>
    <t>Personal Directivos (3)</t>
  </si>
  <si>
    <t>Personal Asesor Legal (1)</t>
  </si>
  <si>
    <t>Dirección</t>
  </si>
  <si>
    <t>Legal</t>
  </si>
  <si>
    <t>Honorario</t>
  </si>
  <si>
    <t>Supervisor 1º Turno 1º Rotación</t>
  </si>
  <si>
    <t>Supervisor 2º Turno 1º Rotación</t>
  </si>
  <si>
    <t>Seguridad Jefatura 1º Rotación</t>
  </si>
  <si>
    <t>Seguridad Supervisor 2º Rotación</t>
  </si>
  <si>
    <t>Gerente Operacion 1º Rotación</t>
  </si>
  <si>
    <t>Administrador 1º Rotación</t>
  </si>
  <si>
    <t>Administrador 2º Rotación</t>
  </si>
  <si>
    <t>Almacen 1º Rotación</t>
  </si>
  <si>
    <t>Almacen 2º Rotación</t>
  </si>
  <si>
    <t>Tecnico Mecánico 1º Rotación</t>
  </si>
  <si>
    <t>Tecnico Mecánico 2º Rotación</t>
  </si>
  <si>
    <t>Tecnico Electricista 1º Rotación</t>
  </si>
  <si>
    <t>Tecnico Electricista 2º Rotación</t>
  </si>
  <si>
    <t>Técnico Mecánico Auxiliar 1ºRota</t>
  </si>
  <si>
    <t>Técnico Mecánico Auxiliar 2ºRota</t>
  </si>
  <si>
    <t>Soldador 1º Rotación</t>
  </si>
  <si>
    <t>Soldador 2º Rotación</t>
  </si>
  <si>
    <t>Llantero 1º Rotación</t>
  </si>
  <si>
    <t>Llantero 2º Rotación</t>
  </si>
  <si>
    <r>
      <t xml:space="preserve">Volquete 1º Choferes </t>
    </r>
    <r>
      <rPr>
        <b/>
        <sz val="10"/>
        <color rgb="FF002060"/>
        <rFont val="Arial"/>
        <family val="2"/>
      </rPr>
      <t>4 personas</t>
    </r>
  </si>
  <si>
    <r>
      <t xml:space="preserve">Volquete 2º Choferes </t>
    </r>
    <r>
      <rPr>
        <b/>
        <sz val="10"/>
        <color rgb="FF002060"/>
        <rFont val="Arial"/>
        <family val="2"/>
      </rPr>
      <t>4 personas</t>
    </r>
  </si>
  <si>
    <r>
      <t xml:space="preserve">Volquete 3º Choferes </t>
    </r>
    <r>
      <rPr>
        <b/>
        <sz val="10"/>
        <color rgb="FF002060"/>
        <rFont val="Arial"/>
        <family val="2"/>
      </rPr>
      <t>4 personas</t>
    </r>
  </si>
  <si>
    <r>
      <t xml:space="preserve">Volquete 4º Choferes </t>
    </r>
    <r>
      <rPr>
        <b/>
        <sz val="10"/>
        <color rgb="FF002060"/>
        <rFont val="Arial"/>
        <family val="2"/>
      </rPr>
      <t>4 personas</t>
    </r>
  </si>
  <si>
    <r>
      <t xml:space="preserve">Volquete 5º Choferes </t>
    </r>
    <r>
      <rPr>
        <b/>
        <sz val="10"/>
        <color rgb="FF002060"/>
        <rFont val="Arial"/>
        <family val="2"/>
      </rPr>
      <t>4 personas</t>
    </r>
  </si>
  <si>
    <r>
      <t xml:space="preserve">Volquete 6º Choferes </t>
    </r>
    <r>
      <rPr>
        <b/>
        <sz val="10"/>
        <color rgb="FF002060"/>
        <rFont val="Arial"/>
        <family val="2"/>
      </rPr>
      <t>4 personas</t>
    </r>
  </si>
  <si>
    <r>
      <t xml:space="preserve">Volquete 7º Choferes </t>
    </r>
    <r>
      <rPr>
        <b/>
        <sz val="10"/>
        <color rgb="FF002060"/>
        <rFont val="Arial"/>
        <family val="2"/>
      </rPr>
      <t>4 personas</t>
    </r>
  </si>
  <si>
    <t>Supervisor 1º Turno 2º Rotación</t>
  </si>
  <si>
    <t>Supervisor 2º Turno 2º Rotación</t>
  </si>
  <si>
    <t>Evaluar</t>
  </si>
  <si>
    <t>Derechos Laborales</t>
  </si>
  <si>
    <t>Sub total</t>
  </si>
  <si>
    <t>EQUIPOS  DE PROTECCION PARA TODO EL PERSONAL EN MINA</t>
  </si>
  <si>
    <t>MAQ</t>
  </si>
  <si>
    <t>TOTAL Hora/Maquina Mes:</t>
  </si>
  <si>
    <r>
      <rPr>
        <b/>
        <sz val="11"/>
        <color indexed="8"/>
        <rFont val="Calibri"/>
        <family val="2"/>
      </rPr>
      <t>NOTA:</t>
    </r>
    <r>
      <rPr>
        <sz val="11"/>
        <color theme="1"/>
        <rFont val="Calibri"/>
        <family val="2"/>
        <scheme val="minor"/>
      </rPr>
      <t xml:space="preserve"> Para determinar el costo horario de los equipos de protección personal se considera un rendimiento</t>
    </r>
  </si>
  <si>
    <t xml:space="preserve">              semestral de 2,500 hrs y 5,000 al año, la que no sera afectado por la disminución de las horas maquinas.</t>
  </si>
  <si>
    <t>Atención Medica Yanacan</t>
  </si>
  <si>
    <t>ANEXO VI</t>
  </si>
  <si>
    <t>Horas Trabajadas efectivas por dia</t>
  </si>
  <si>
    <t>Total de Maquinarias consideradas</t>
  </si>
  <si>
    <t xml:space="preserve">     ESTRUCTURA ACTUAL DE COSTO HORARIO MAQUINARIA PESADA</t>
  </si>
  <si>
    <t>TOTAL PERSONAL QUE LABORA</t>
  </si>
  <si>
    <t>A considerar</t>
  </si>
  <si>
    <t>A considerar haber y funciones</t>
  </si>
  <si>
    <t>Implementar y considerar curricula</t>
  </si>
  <si>
    <r>
      <t xml:space="preserve">Excavadora 2º Operador </t>
    </r>
    <r>
      <rPr>
        <b/>
        <sz val="10"/>
        <color rgb="FF002060"/>
        <rFont val="Arial"/>
        <family val="2"/>
      </rPr>
      <t>4 personas</t>
    </r>
  </si>
  <si>
    <r>
      <t>Excavadora 3º Operador</t>
    </r>
    <r>
      <rPr>
        <b/>
        <sz val="10"/>
        <color rgb="FF002060"/>
        <rFont val="Arial"/>
        <family val="2"/>
      </rPr>
      <t xml:space="preserve"> 4 personas</t>
    </r>
  </si>
  <si>
    <r>
      <t xml:space="preserve">Excavadora 1º Operador </t>
    </r>
    <r>
      <rPr>
        <b/>
        <sz val="10"/>
        <color rgb="FF002060"/>
        <rFont val="Arial"/>
        <family val="2"/>
      </rPr>
      <t>4 personas</t>
    </r>
  </si>
  <si>
    <t>Total Percibido</t>
  </si>
  <si>
    <t>PERCIBIDO</t>
  </si>
  <si>
    <t>DESCONTADO</t>
  </si>
  <si>
    <t>PLANILLA</t>
  </si>
  <si>
    <t>TOTAL PLANILLA MENSUAL</t>
  </si>
  <si>
    <t>SUB TOTAL</t>
  </si>
  <si>
    <t>Derechos obligaciones Directivos</t>
  </si>
  <si>
    <t>SALARIOS Y DERECHOS LABORALES MES</t>
  </si>
  <si>
    <t>COSTOS ADMINISTRATIVOS Y DE PERSONAL HORA / MAQUINA</t>
  </si>
  <si>
    <t>TOTAL FACTURADO SIN EL IGV</t>
  </si>
  <si>
    <t>ATM/dias</t>
  </si>
  <si>
    <t>Son el total de haberes a fin de cumplir las 500 hrs mes</t>
  </si>
  <si>
    <t>Al mes solo se considera dos personas día</t>
  </si>
  <si>
    <t>Atención Médica en Yanacancha - dias</t>
  </si>
  <si>
    <t>Alimentación, Hospedaje, Lavandería - dias</t>
  </si>
  <si>
    <t>Son 4 personas y la valides es de 1 año, considero 5,000 hrs</t>
  </si>
  <si>
    <r>
      <t xml:space="preserve">Personal </t>
    </r>
    <r>
      <rPr>
        <sz val="10"/>
        <color indexed="56"/>
        <rFont val="Arial"/>
        <family val="2"/>
      </rPr>
      <t>Soldador (2)</t>
    </r>
  </si>
  <si>
    <t>Pasaporte y EPS</t>
  </si>
  <si>
    <t xml:space="preserve"> </t>
  </si>
  <si>
    <t>hr-maq. Mes Total</t>
  </si>
  <si>
    <r>
      <t>Factor Personal</t>
    </r>
    <r>
      <rPr>
        <sz val="9"/>
        <color indexed="8"/>
        <rFont val="Calibri"/>
        <family val="2"/>
      </rPr>
      <t>÷</t>
    </r>
    <r>
      <rPr>
        <sz val="9"/>
        <color indexed="8"/>
        <rFont val="Arial"/>
        <family val="2"/>
      </rPr>
      <t>hr maq. mes</t>
    </r>
  </si>
  <si>
    <t>Overol de tela con cinta reflectiva</t>
  </si>
  <si>
    <t>Personal Administrativo</t>
  </si>
  <si>
    <t>Personal Taller Mina</t>
  </si>
  <si>
    <t>Personal Operadores Mina</t>
  </si>
  <si>
    <t>TOTAL PERSONAL EN MINA</t>
  </si>
  <si>
    <t>TOTAL PERSONAL OFICINA HUARAZ</t>
  </si>
  <si>
    <t>Directivos</t>
  </si>
  <si>
    <t>Asesor Legal</t>
  </si>
  <si>
    <t xml:space="preserve">EPS (Costo Seguro, proporcionado por Ango Raju)  </t>
  </si>
  <si>
    <t>honorario</t>
  </si>
  <si>
    <t>D-OLD</t>
  </si>
  <si>
    <t>D-OLL</t>
  </si>
  <si>
    <t>Derechos obligaciones Laborales Asesor Legal</t>
  </si>
  <si>
    <t>Taller</t>
  </si>
  <si>
    <r>
      <t>Personal Mantenimiento Eléctrico (</t>
    </r>
    <r>
      <rPr>
        <b/>
        <sz val="9"/>
        <rFont val="Arial"/>
        <family val="2"/>
      </rPr>
      <t>2)</t>
    </r>
  </si>
  <si>
    <t>D-OLME</t>
  </si>
  <si>
    <t>D-OLPMM</t>
  </si>
  <si>
    <t>D-OLS</t>
  </si>
  <si>
    <t>Personla de</t>
  </si>
  <si>
    <t>Turno</t>
  </si>
  <si>
    <t>EQUIPOS DE PROTECCION PERSONAL ADMINISTRACION Y TALLER</t>
  </si>
  <si>
    <t>Costo alquiler camioneta</t>
  </si>
  <si>
    <r>
      <rPr>
        <b/>
        <sz val="9"/>
        <color theme="1"/>
        <rFont val="Arial"/>
        <family val="2"/>
      </rPr>
      <t>GASTOS ADMINISTRATIVOS</t>
    </r>
    <r>
      <rPr>
        <sz val="9"/>
        <color theme="1"/>
        <rFont val="Arial"/>
        <family val="2"/>
      </rPr>
      <t xml:space="preserve">  5% DE COSTOS 1 + 2 + 3 + 4</t>
    </r>
  </si>
  <si>
    <t>I =</t>
  </si>
  <si>
    <t xml:space="preserve"> 04  -  10</t>
  </si>
  <si>
    <t>15,000- 30,600</t>
  </si>
  <si>
    <t>Interes horario de inversión de capital inv.</t>
  </si>
  <si>
    <r>
      <rPr>
        <sz val="10"/>
        <color theme="1"/>
        <rFont val="Arial"/>
        <family val="2"/>
      </rPr>
      <t>A considerar si no participara en las utilidades anuales</t>
    </r>
    <r>
      <rPr>
        <sz val="7"/>
        <color theme="1"/>
        <rFont val="Arial"/>
        <family val="2"/>
      </rPr>
      <t xml:space="preserve">  </t>
    </r>
    <r>
      <rPr>
        <b/>
        <sz val="10"/>
        <color theme="1"/>
        <rFont val="Arial"/>
        <family val="2"/>
      </rPr>
      <t>UTILIDAD</t>
    </r>
    <r>
      <rPr>
        <sz val="10"/>
        <color theme="1"/>
        <rFont val="Arial"/>
        <family val="2"/>
      </rPr>
      <t xml:space="preserve"> =</t>
    </r>
  </si>
  <si>
    <t>TOTAL FACTURACION HORA / MAQUINA     S/.  =</t>
  </si>
  <si>
    <t>TOTAL FACTURACION HORA / MAQUINA        $   =</t>
  </si>
  <si>
    <t>I = IMA x %i / Nº de horas anuales</t>
  </si>
  <si>
    <t>Capacitar y Evaluar</t>
  </si>
  <si>
    <t>UTILIDAD</t>
  </si>
  <si>
    <t>PERSONAL OPERATIVO SALARIOS Y DERECHOS LABORALES</t>
  </si>
  <si>
    <t>EQUIPOS DE PROTECCION PERSONAL OPERADORES MINA</t>
  </si>
  <si>
    <t>SERVICIOS Y EQUIPAMIENTOS</t>
  </si>
  <si>
    <t>Derechos y obligA. labora. P. Mantenimiento Eléctric</t>
  </si>
  <si>
    <t>Personal Administrativo Hz</t>
  </si>
  <si>
    <t>Personal Administrativo Mina</t>
  </si>
  <si>
    <t>Personal Taller  Mina</t>
  </si>
  <si>
    <r>
      <t>Personal Directivos (3) (</t>
    </r>
    <r>
      <rPr>
        <b/>
        <sz val="9"/>
        <color rgb="FF002060"/>
        <rFont val="Arial"/>
        <family val="2"/>
      </rPr>
      <t>No esta considerado</t>
    </r>
    <r>
      <rPr>
        <sz val="9"/>
        <color rgb="FF002060"/>
        <rFont val="Arial"/>
        <family val="2"/>
      </rPr>
      <t>)</t>
    </r>
  </si>
  <si>
    <r>
      <t>Personal Asesor Legal (1) (</t>
    </r>
    <r>
      <rPr>
        <b/>
        <sz val="9"/>
        <color rgb="FF002060"/>
        <rFont val="Arial"/>
        <family val="2"/>
      </rPr>
      <t>No esta considerado</t>
    </r>
    <r>
      <rPr>
        <sz val="9"/>
        <color rgb="FF002060"/>
        <rFont val="Arial"/>
        <family val="2"/>
      </rPr>
      <t>)</t>
    </r>
  </si>
  <si>
    <t>Considerar a futuro s/g necesidad</t>
  </si>
  <si>
    <r>
      <t>Personal de Mantenimiento Mecanicos Eléctric (</t>
    </r>
    <r>
      <rPr>
        <sz val="10"/>
        <color indexed="56"/>
        <rFont val="Arial"/>
        <family val="2"/>
      </rPr>
      <t>2)</t>
    </r>
  </si>
  <si>
    <r>
      <t>Personal Eléctricos (</t>
    </r>
    <r>
      <rPr>
        <b/>
        <sz val="10"/>
        <color indexed="56"/>
        <rFont val="Arial"/>
        <family val="2"/>
      </rPr>
      <t>2)</t>
    </r>
  </si>
  <si>
    <t>Derechos y obligaciones laborales P. Elec</t>
  </si>
  <si>
    <r>
      <rPr>
        <b/>
        <sz val="10"/>
        <color rgb="FF0070C0"/>
        <rFont val="Arial"/>
        <family val="2"/>
      </rPr>
      <t>Año de</t>
    </r>
    <r>
      <rPr>
        <sz val="10"/>
        <color rgb="FF0070C0"/>
        <rFont val="Arial"/>
        <family val="2"/>
      </rPr>
      <t xml:space="preserve"> Fabricaci</t>
    </r>
  </si>
  <si>
    <r>
      <t xml:space="preserve">                   </t>
    </r>
    <r>
      <rPr>
        <sz val="12"/>
        <rFont val="Calibri"/>
        <family val="2"/>
      </rPr>
      <t>FaCo 1 Gl =</t>
    </r>
  </si>
  <si>
    <t>COD.</t>
  </si>
  <si>
    <t>LUBRICANTES Y RETEN</t>
  </si>
  <si>
    <t>Valvoline Premiun Blue 15W40</t>
  </si>
  <si>
    <t>P15400500</t>
  </si>
  <si>
    <t>gal</t>
  </si>
  <si>
    <t>Valvoline Transmission TO-4 30</t>
  </si>
  <si>
    <t>TO4300500</t>
  </si>
  <si>
    <t>Valvoline Transmission TO-4 10W</t>
  </si>
  <si>
    <t>TO4100500</t>
  </si>
  <si>
    <t>GRASA</t>
  </si>
  <si>
    <t>Boquillas de engrase, círculo de giro y piñon de giro</t>
  </si>
  <si>
    <t>VV612</t>
  </si>
  <si>
    <t>FILTROS</t>
  </si>
  <si>
    <t>Filtro de aire primario</t>
  </si>
  <si>
    <t>unid</t>
  </si>
  <si>
    <t>Filtro de aire secundario</t>
  </si>
  <si>
    <t>Filtro de aceite del motor</t>
  </si>
  <si>
    <t>Filtro de combustible primario</t>
  </si>
  <si>
    <t>Filtro de combustible secundario</t>
  </si>
  <si>
    <t>Filtro aire acondicionado recircu.</t>
  </si>
  <si>
    <t>Filtro aire acondicionado limpio</t>
  </si>
  <si>
    <t>17M9113530</t>
  </si>
  <si>
    <t>FILTROS HIDRAULICOS</t>
  </si>
  <si>
    <t>Filtro Hidráulico</t>
  </si>
  <si>
    <t>Cartucho</t>
  </si>
  <si>
    <t>Respiradero adicional Hidráulico</t>
  </si>
  <si>
    <t>Respiradero Hidráulico</t>
  </si>
  <si>
    <t>20Y6021470</t>
  </si>
  <si>
    <t>ELEMENTOS DE DESGASTE</t>
  </si>
  <si>
    <t>Puntas roquera (Hensley)</t>
  </si>
  <si>
    <t>HLK30RP2</t>
  </si>
  <si>
    <t>Lock (pasador de uñas)</t>
  </si>
  <si>
    <t>HLKP30C</t>
  </si>
  <si>
    <t>Cuchilla Lateral (Hensley)</t>
  </si>
  <si>
    <t>HLSCB330SO</t>
  </si>
  <si>
    <t>Tuerca</t>
  </si>
  <si>
    <t>25531R1</t>
  </si>
  <si>
    <t>Perno de cuchilla</t>
  </si>
  <si>
    <t>Kit de 30 pernos y tuercas</t>
  </si>
  <si>
    <t>Zapata 700 mm Triple</t>
  </si>
  <si>
    <t>OTROS</t>
  </si>
  <si>
    <t>Correa de la tranmision</t>
  </si>
  <si>
    <t>Refrigerante</t>
  </si>
  <si>
    <t>1400164H1</t>
  </si>
  <si>
    <t xml:space="preserve">Bateria 15 placas- 24V </t>
  </si>
  <si>
    <t>MUESTRAS DE ACEITES</t>
  </si>
  <si>
    <t>Motor</t>
  </si>
  <si>
    <t>Mandos finales</t>
  </si>
  <si>
    <t>Rotacion</t>
  </si>
  <si>
    <t>Hidràulico</t>
  </si>
  <si>
    <t>Muestra de refrigerante</t>
  </si>
  <si>
    <t>B2</t>
  </si>
  <si>
    <t>Con IGV</t>
  </si>
  <si>
    <t>Sin IGV</t>
  </si>
  <si>
    <t>Diferencia</t>
  </si>
  <si>
    <t>IGV</t>
  </si>
  <si>
    <t>EXCAVADORA KOMAT'SU PC300LC-8</t>
  </si>
  <si>
    <t>Cant</t>
  </si>
  <si>
    <t>Ciclo Meses</t>
  </si>
  <si>
    <t>pesos (kg)</t>
  </si>
  <si>
    <t>Aceite Motor</t>
  </si>
  <si>
    <t>55 gln</t>
  </si>
  <si>
    <t>Aceite de Mando de rotación de Giro</t>
  </si>
  <si>
    <t>5 gln</t>
  </si>
  <si>
    <t>Aceite Transmision caja mandos finales</t>
  </si>
  <si>
    <t>Aceite Sistema Hidraúlico</t>
  </si>
  <si>
    <t>Grasa varillaje de pluma y brazo</t>
  </si>
  <si>
    <t>54 kg</t>
  </si>
  <si>
    <t>Grasa varillaje cucharon</t>
  </si>
  <si>
    <t>Grasa acoplador ràpido</t>
  </si>
  <si>
    <t>Grasa cojinete de rotaciòn</t>
  </si>
  <si>
    <t>Grasa engranaje de rotaciòn</t>
  </si>
  <si>
    <t>Filtro Aire (P)</t>
  </si>
  <si>
    <t>Filtro Aire (S)</t>
  </si>
  <si>
    <t>Filtro Aceite de motor</t>
  </si>
  <si>
    <t>Filtro Combustible (P)</t>
  </si>
  <si>
    <t>Filtro Combustible (S)</t>
  </si>
  <si>
    <t>Filtro Hidráulico Piloto</t>
  </si>
  <si>
    <t>Filtro Hidráulico de Retorno</t>
  </si>
  <si>
    <t>Filtro Racor</t>
  </si>
  <si>
    <t>Filtro Elemento Tanque</t>
  </si>
  <si>
    <t>Correa de trasmisión</t>
  </si>
  <si>
    <t>Baterias</t>
  </si>
  <si>
    <t>PUNTAS DE ABRASION</t>
  </si>
  <si>
    <t>ZAPATAS</t>
  </si>
  <si>
    <t>PASADORES</t>
  </si>
  <si>
    <t>CANTONERAS</t>
  </si>
  <si>
    <t>PERNOS Y TERCAS</t>
  </si>
  <si>
    <t>Peso Total</t>
  </si>
  <si>
    <t>Transportes Pedesa - Traslado Lima @ Mina</t>
  </si>
  <si>
    <t>horometro</t>
  </si>
  <si>
    <t>Peso (kg)</t>
  </si>
  <si>
    <t>Insumos: filtros, aceites</t>
  </si>
  <si>
    <t>Insumos:  aceites, filtros, grasa</t>
  </si>
  <si>
    <t>Insumos:  carrileria, materiales de desgaste</t>
  </si>
  <si>
    <t>Sub Total</t>
  </si>
  <si>
    <r>
      <t>Transporte Pereda:</t>
    </r>
    <r>
      <rPr>
        <sz val="10"/>
        <rFont val="Arial"/>
        <family val="2"/>
      </rPr>
      <t xml:space="preserve"> (Transporte carga)</t>
    </r>
  </si>
  <si>
    <t>Factor</t>
  </si>
  <si>
    <t>5,9Tn/9000hr</t>
  </si>
  <si>
    <t>4,000 kg = S/.2,800 (sin I.G.V.)</t>
  </si>
  <si>
    <t>S/ x hora</t>
  </si>
  <si>
    <t>4,000 kg = S/.3,320</t>
  </si>
  <si>
    <t>0,001 kg = S/.0,833</t>
  </si>
  <si>
    <t>pack</t>
  </si>
  <si>
    <t>Peso Transp.</t>
  </si>
  <si>
    <t>3+1</t>
  </si>
  <si>
    <t>Total Peso</t>
  </si>
  <si>
    <t>EXCAVADORA KOMATSU PC300-LC8</t>
  </si>
  <si>
    <t xml:space="preserve">ACEITE DE MOTOR </t>
  </si>
  <si>
    <t>EO15W40DH</t>
  </si>
  <si>
    <t>ACEITE  CAJA DE MAQUINA DE GIRO</t>
  </si>
  <si>
    <t>TO30</t>
  </si>
  <si>
    <t>ACEITE TRAS CAJA DE MANDOS FINALES</t>
  </si>
  <si>
    <t>ACEITE  TRA CAJA DEL AMORTIGUADOR</t>
  </si>
  <si>
    <t>ACEITE SISTEMA HIDRAULICO</t>
  </si>
  <si>
    <t>TO10</t>
  </si>
  <si>
    <t>GRASA VARILLAJE DE PLUMA Y BRAZO</t>
  </si>
  <si>
    <t>39W610</t>
  </si>
  <si>
    <t>Pto.Engrase</t>
  </si>
  <si>
    <t>GRASA VARILLAJE CUCHARON</t>
  </si>
  <si>
    <t>GRASA ACOPLAMIENTO RAPIDO</t>
  </si>
  <si>
    <t>GRASA COJINETE DE ROTACION</t>
  </si>
  <si>
    <t>SMOLY0400</t>
  </si>
  <si>
    <t>GRASA ENGRANAJE DE ROTACION</t>
  </si>
  <si>
    <t>FILTRO DE AIRE (P)</t>
  </si>
  <si>
    <t>FILTRO DE AIRE (S)</t>
  </si>
  <si>
    <t xml:space="preserve">FILTRO DE ACEITE DE MOTOR </t>
  </si>
  <si>
    <t>PRE FILTRO DE COMBUSTIBLE (P)</t>
  </si>
  <si>
    <t>FILTRO DE COMBUSTIBLE (S)</t>
  </si>
  <si>
    <t>FILTRO HIDRAULICO</t>
  </si>
  <si>
    <t>CARTUCHO o INHIBIDOR DE CORROSION</t>
  </si>
  <si>
    <t>FILTRO DE AIRE ACONDICIONADO RECIRCUL</t>
  </si>
  <si>
    <t>FILTRO DE AIRE ACONDICIONADO LIMPIO</t>
  </si>
  <si>
    <t>RESPIRADERO TANQUE HIDRAULICO</t>
  </si>
  <si>
    <t>RESPIRADERO ADICIONAL TANQUE HIDRAU</t>
  </si>
  <si>
    <t>REFRIGERANTE</t>
  </si>
  <si>
    <t>CORREA DE TRANSMISION</t>
  </si>
  <si>
    <t>BATERIA DE 15 PLACAS 24 VOLTIOS</t>
  </si>
  <si>
    <t>DEL MOTOR</t>
  </si>
  <si>
    <t>HIDRAULICO</t>
  </si>
  <si>
    <t>DE ROTACION</t>
  </si>
  <si>
    <t>MANDOS FINALES</t>
  </si>
  <si>
    <t>ANALISIS DEL FLUIDO REFRIGERANTE</t>
  </si>
  <si>
    <t>TREN DE RODAMIENTO</t>
  </si>
  <si>
    <t>Impacto</t>
  </si>
  <si>
    <t>factor</t>
  </si>
  <si>
    <t>Abrasividad</t>
  </si>
  <si>
    <r>
      <t xml:space="preserve">Factor </t>
    </r>
    <r>
      <rPr>
        <b/>
        <sz val="12"/>
        <color theme="1"/>
        <rFont val="Arial"/>
        <family val="2"/>
      </rPr>
      <t>z</t>
    </r>
  </si>
  <si>
    <t>Factor básico</t>
  </si>
  <si>
    <t>$/hr.-maq.</t>
  </si>
  <si>
    <t>desgaste</t>
  </si>
  <si>
    <t>Pasador de uñas (Lock)</t>
  </si>
  <si>
    <t>Pernos y tuerca (kit)</t>
  </si>
  <si>
    <t>unión</t>
  </si>
  <si>
    <t>Tuercas</t>
  </si>
  <si>
    <t>Punta roquera (Hensley)</t>
  </si>
  <si>
    <t>Overhaul</t>
  </si>
  <si>
    <t>Global</t>
  </si>
  <si>
    <t>Filtros, lubricantes, carrileria</t>
  </si>
  <si>
    <t>Vida útil Excavadora (hr)</t>
  </si>
  <si>
    <t>Personal Operador Excavadora</t>
  </si>
  <si>
    <t>Interes del Capital Invertido Excavadora</t>
  </si>
  <si>
    <t>Depreciación Horaria Excavadora</t>
  </si>
  <si>
    <t>ANEXO IV</t>
  </si>
  <si>
    <t>Nv (excavadora)</t>
  </si>
  <si>
    <t>Na (excavadora)</t>
  </si>
  <si>
    <t>2N                           2 * 3</t>
  </si>
  <si>
    <t>Ve hrs                    15,000</t>
  </si>
  <si>
    <t>8,000 - 16,000</t>
  </si>
  <si>
    <t>( Cae ) x i / 200 Nae</t>
  </si>
  <si>
    <t xml:space="preserve">       ( Cae  x Kre ) / Nv e</t>
  </si>
  <si>
    <r>
      <t>(N+1)</t>
    </r>
    <r>
      <rPr>
        <sz val="9"/>
        <rFont val="Arial"/>
        <family val="2"/>
      </rPr>
      <t xml:space="preserve"> x V x i x N = 3</t>
    </r>
    <r>
      <rPr>
        <u/>
        <sz val="9"/>
        <rFont val="Arial"/>
        <family val="2"/>
      </rPr>
      <t>+1</t>
    </r>
    <r>
      <rPr>
        <sz val="9"/>
        <rFont val="Arial"/>
        <family val="2"/>
      </rPr>
      <t xml:space="preserve"> x 1'032,087.00 x 10% x 3</t>
    </r>
  </si>
  <si>
    <t>Certificación de la excavadora</t>
  </si>
  <si>
    <t>Excavadora</t>
  </si>
  <si>
    <t>Poliza de seguro del excavadora</t>
  </si>
  <si>
    <t>Capacitación y Certificación operarios excavadora</t>
  </si>
  <si>
    <t>Equipamiento de la excavadora</t>
  </si>
  <si>
    <t>DESCRIPCION DE PARTES, INSUMOS, CANTIDADES Y COSTOS</t>
  </si>
  <si>
    <t>PARA EL MANTENIMIENTO PREVENTIVO PROGRAMADO</t>
  </si>
  <si>
    <t>EXCAVADORA KOMATSU PC300 LC-8</t>
  </si>
  <si>
    <t>CALCULO DE COSTO POR TRANSPORTE DE PARA PARTES, INSUMOS POR PESO</t>
  </si>
  <si>
    <t>ESTRUCTURA DE HONORARIOS ACTUAL DEL PERSONAL - MES</t>
  </si>
  <si>
    <t>5,200 - 7,000</t>
  </si>
  <si>
    <t>1,500 - 4,000</t>
  </si>
  <si>
    <r>
      <t xml:space="preserve"> 4</t>
    </r>
    <r>
      <rPr>
        <u/>
        <sz val="11"/>
        <color theme="1"/>
        <rFont val="Calibri"/>
        <family val="2"/>
        <scheme val="minor"/>
      </rPr>
      <t xml:space="preserve"> x 309626,1</t>
    </r>
  </si>
  <si>
    <t>Kg/hr.</t>
  </si>
  <si>
    <t>T:C: compra</t>
  </si>
  <si>
    <t>T:C: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</si>
</sst>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#,##0.0000"/>
    <numFmt numFmtId="167" formatCode="0.0000"/>
    <numFmt numFmtId="168" formatCode="0.00000"/>
    <numFmt numFmtId="169" formatCode="&quot;S/.&quot;\ #,##0.00"/>
    <numFmt numFmtId="170" formatCode="[$S/.-280A]\ #,##0.00"/>
    <numFmt numFmtId="171" formatCode="[$$-540A]#,##0.00"/>
    <numFmt numFmtId="172" formatCode="_-&quot;$&quot;* #,##0.00_-;\-&quot;$&quot;* #,##0.00_-;_-&quot;$&quot;* &quot;-&quot;??_-;_-@_-"/>
    <numFmt numFmtId="173" formatCode="_ [$S/.-280A]\ * #,##0.00_ ;_ [$S/.-280A]\ * \-#,##0.00_ ;_ [$S/.-280A]\ * &quot;-&quot;??_ ;_ @_ "/>
    <numFmt numFmtId="174" formatCode="#,##0.00_ ;\-#,##0.00\ "/>
    <numFmt numFmtId="175" formatCode="[$$-409]#,##0.00"/>
  </numFmts>
  <fonts count="9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sz val="10"/>
      <color indexed="8"/>
      <name val="Calibri"/>
      <family val="2"/>
    </font>
    <font>
      <sz val="12"/>
      <name val="Calibri"/>
      <family val="2"/>
    </font>
    <font>
      <sz val="9"/>
      <color indexed="8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8"/>
      <color theme="1"/>
      <name val="Arial"/>
      <family val="2"/>
    </font>
    <font>
      <sz val="14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rgb="FF0070C0"/>
      <name val="Arial"/>
      <family val="2"/>
    </font>
    <font>
      <b/>
      <sz val="16"/>
      <color theme="1"/>
      <name val="Arial"/>
      <family val="2"/>
    </font>
    <font>
      <b/>
      <sz val="10"/>
      <color rgb="FF0070C0"/>
      <name val="Arial"/>
      <family val="2"/>
    </font>
    <font>
      <b/>
      <i/>
      <sz val="9"/>
      <color theme="1"/>
      <name val="Arial"/>
      <family val="2"/>
    </font>
    <font>
      <b/>
      <sz val="14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sz val="10"/>
      <color rgb="FF002060"/>
      <name val="Calibri"/>
      <family val="2"/>
      <scheme val="minor"/>
    </font>
    <font>
      <b/>
      <sz val="10"/>
      <color rgb="FF00206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2060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sz val="9"/>
      <color rgb="FF002060"/>
      <name val="Arial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rgb="FF002060"/>
      <name val="Calibri"/>
      <family val="2"/>
      <scheme val="minor"/>
    </font>
    <font>
      <b/>
      <sz val="12"/>
      <color rgb="FF002060"/>
      <name val="Arial"/>
      <family val="2"/>
    </font>
    <font>
      <b/>
      <sz val="12"/>
      <color theme="1"/>
      <name val="Calibri"/>
      <family val="2"/>
      <scheme val="minor"/>
    </font>
    <font>
      <sz val="8"/>
      <color rgb="FF00206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u/>
      <sz val="9"/>
      <name val="Arial"/>
      <family val="2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i/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6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FC92"/>
        <bgColor indexed="64"/>
      </patternFill>
    </fill>
    <fill>
      <patternFill patternType="solid">
        <fgColor rgb="FFE9FAD2"/>
        <bgColor indexed="64"/>
      </patternFill>
    </fill>
    <fill>
      <patternFill patternType="solid">
        <fgColor rgb="FFCDF2B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FFFF4F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5F7FF"/>
        <bgColor indexed="64"/>
      </patternFill>
    </fill>
    <fill>
      <patternFill patternType="solid">
        <fgColor rgb="FFD5F7FF"/>
        <bgColor rgb="FFD5F7FF"/>
      </patternFill>
    </fill>
    <fill>
      <patternFill patternType="solid">
        <fgColor rgb="FFFFFF66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1FEA0"/>
        <bgColor indexed="64"/>
      </patternFill>
    </fill>
    <fill>
      <patternFill patternType="solid">
        <fgColor rgb="FFF1FE72"/>
        <bgColor indexed="64"/>
      </patternFill>
    </fill>
    <fill>
      <patternFill patternType="solid">
        <fgColor rgb="FFEFFDFF"/>
        <bgColor indexed="64"/>
      </patternFill>
    </fill>
    <fill>
      <patternFill patternType="solid">
        <fgColor theme="0"/>
        <bgColor rgb="FFD5F7FF"/>
      </patternFill>
    </fill>
    <fill>
      <patternFill patternType="solid">
        <fgColor rgb="FFFAFFD9"/>
        <bgColor indexed="64"/>
      </patternFill>
    </fill>
    <fill>
      <patternFill patternType="solid">
        <fgColor rgb="FFF3FEB0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BFFFF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D9FBFF"/>
        <bgColor indexed="64"/>
      </patternFill>
    </fill>
    <fill>
      <patternFill patternType="solid">
        <fgColor rgb="FFC1F7DF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2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22" fillId="0" borderId="0" applyFont="0" applyFill="0" applyBorder="0" applyAlignment="0" applyProtection="0"/>
    <xf numFmtId="165" fontId="68" fillId="0" borderId="0" applyFont="0" applyFill="0" applyBorder="0" applyAlignment="0" applyProtection="0"/>
    <xf numFmtId="0" fontId="69" fillId="0" borderId="0"/>
    <xf numFmtId="9" fontId="69" fillId="0" borderId="0" applyFont="0" applyFill="0" applyBorder="0" applyAlignment="0" applyProtection="0"/>
    <xf numFmtId="0" fontId="85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</cellStyleXfs>
  <cellXfs count="108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right"/>
    </xf>
    <xf numFmtId="167" fontId="2" fillId="0" borderId="4" xfId="0" applyNumberFormat="1" applyFont="1" applyBorder="1" applyAlignment="1">
      <alignment horizontal="right"/>
    </xf>
    <xf numFmtId="167" fontId="2" fillId="3" borderId="4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/>
    <xf numFmtId="0" fontId="4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  <xf numFmtId="167" fontId="24" fillId="4" borderId="7" xfId="0" applyNumberFormat="1" applyFont="1" applyFill="1" applyBorder="1"/>
    <xf numFmtId="167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167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 applyAlignment="1">
      <alignment horizontal="right"/>
    </xf>
    <xf numFmtId="0" fontId="27" fillId="3" borderId="3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/>
    </xf>
    <xf numFmtId="4" fontId="27" fillId="3" borderId="3" xfId="0" applyNumberFormat="1" applyFont="1" applyFill="1" applyBorder="1" applyAlignment="1">
      <alignment horizontal="center"/>
    </xf>
    <xf numFmtId="4" fontId="27" fillId="3" borderId="3" xfId="0" applyNumberFormat="1" applyFont="1" applyFill="1" applyBorder="1"/>
    <xf numFmtId="166" fontId="27" fillId="3" borderId="3" xfId="0" applyNumberFormat="1" applyFont="1" applyFill="1" applyBorder="1" applyAlignment="1">
      <alignment horizontal="center" vertical="center"/>
    </xf>
    <xf numFmtId="4" fontId="27" fillId="3" borderId="3" xfId="0" applyNumberFormat="1" applyFont="1" applyFill="1" applyBorder="1" applyAlignment="1">
      <alignment horizontal="center" vertical="center"/>
    </xf>
    <xf numFmtId="166" fontId="27" fillId="3" borderId="3" xfId="0" applyNumberFormat="1" applyFont="1" applyFill="1" applyBorder="1"/>
    <xf numFmtId="0" fontId="27" fillId="3" borderId="3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166" fontId="27" fillId="3" borderId="8" xfId="0" applyNumberFormat="1" applyFont="1" applyFill="1" applyBorder="1"/>
    <xf numFmtId="4" fontId="27" fillId="3" borderId="11" xfId="0" applyNumberFormat="1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left"/>
    </xf>
    <xf numFmtId="0" fontId="27" fillId="3" borderId="13" xfId="0" applyFont="1" applyFill="1" applyBorder="1" applyAlignment="1">
      <alignment horizontal="left"/>
    </xf>
    <xf numFmtId="0" fontId="27" fillId="3" borderId="14" xfId="0" applyFont="1" applyFill="1" applyBorder="1"/>
    <xf numFmtId="0" fontId="2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/>
    </xf>
    <xf numFmtId="0" fontId="27" fillId="3" borderId="3" xfId="0" applyFont="1" applyFill="1" applyBorder="1"/>
    <xf numFmtId="166" fontId="27" fillId="3" borderId="3" xfId="0" applyNumberFormat="1" applyFont="1" applyFill="1" applyBorder="1" applyAlignment="1">
      <alignment horizontal="center"/>
    </xf>
    <xf numFmtId="168" fontId="27" fillId="3" borderId="3" xfId="0" applyNumberFormat="1" applyFont="1" applyFill="1" applyBorder="1" applyAlignment="1">
      <alignment horizontal="center"/>
    </xf>
    <xf numFmtId="0" fontId="24" fillId="3" borderId="15" xfId="0" applyFont="1" applyFill="1" applyBorder="1" applyAlignment="1">
      <alignment horizontal="left"/>
    </xf>
    <xf numFmtId="0" fontId="24" fillId="3" borderId="7" xfId="0" applyFont="1" applyFill="1" applyBorder="1" applyAlignment="1">
      <alignment horizontal="left"/>
    </xf>
    <xf numFmtId="168" fontId="27" fillId="3" borderId="3" xfId="0" applyNumberFormat="1" applyFont="1" applyFill="1" applyBorder="1"/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7" fontId="27" fillId="3" borderId="1" xfId="0" applyNumberFormat="1" applyFont="1" applyFill="1" applyBorder="1" applyAlignment="1">
      <alignment horizontal="right"/>
    </xf>
    <xf numFmtId="4" fontId="27" fillId="3" borderId="3" xfId="0" applyNumberFormat="1" applyFont="1" applyFill="1" applyBorder="1" applyAlignment="1">
      <alignment horizontal="right"/>
    </xf>
    <xf numFmtId="167" fontId="27" fillId="3" borderId="16" xfId="0" applyNumberFormat="1" applyFont="1" applyFill="1" applyBorder="1" applyAlignment="1">
      <alignment horizontal="right"/>
    </xf>
    <xf numFmtId="167" fontId="27" fillId="3" borderId="3" xfId="0" applyNumberFormat="1" applyFont="1" applyFill="1" applyBorder="1" applyAlignment="1">
      <alignment horizontal="right"/>
    </xf>
    <xf numFmtId="167" fontId="27" fillId="3" borderId="17" xfId="0" applyNumberFormat="1" applyFont="1" applyFill="1" applyBorder="1" applyAlignment="1">
      <alignment horizontal="right"/>
    </xf>
    <xf numFmtId="0" fontId="27" fillId="3" borderId="18" xfId="0" applyFont="1" applyFill="1" applyBorder="1" applyAlignment="1">
      <alignment horizontal="center" vertical="center"/>
    </xf>
    <xf numFmtId="167" fontId="27" fillId="3" borderId="18" xfId="0" applyNumberFormat="1" applyFont="1" applyFill="1" applyBorder="1" applyAlignment="1">
      <alignment horizontal="right"/>
    </xf>
    <xf numFmtId="4" fontId="27" fillId="3" borderId="18" xfId="0" applyNumberFormat="1" applyFont="1" applyFill="1" applyBorder="1" applyAlignment="1">
      <alignment horizontal="right"/>
    </xf>
    <xf numFmtId="167" fontId="27" fillId="3" borderId="19" xfId="0" applyNumberFormat="1" applyFont="1" applyFill="1" applyBorder="1" applyAlignment="1">
      <alignment horizontal="right"/>
    </xf>
    <xf numFmtId="167" fontId="24" fillId="4" borderId="20" xfId="0" applyNumberFormat="1" applyFont="1" applyFill="1" applyBorder="1"/>
    <xf numFmtId="167" fontId="24" fillId="4" borderId="21" xfId="0" applyNumberFormat="1" applyFont="1" applyFill="1" applyBorder="1"/>
    <xf numFmtId="0" fontId="27" fillId="3" borderId="8" xfId="0" applyFont="1" applyFill="1" applyBorder="1"/>
    <xf numFmtId="0" fontId="2" fillId="0" borderId="22" xfId="0" applyFont="1" applyBorder="1" applyAlignment="1">
      <alignment horizontal="center" vertical="center"/>
    </xf>
    <xf numFmtId="167" fontId="2" fillId="0" borderId="22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right"/>
    </xf>
    <xf numFmtId="167" fontId="2" fillId="0" borderId="23" xfId="0" applyNumberFormat="1" applyFont="1" applyBorder="1" applyAlignment="1">
      <alignment horizontal="right"/>
    </xf>
    <xf numFmtId="0" fontId="27" fillId="3" borderId="24" xfId="0" applyFont="1" applyFill="1" applyBorder="1" applyAlignment="1">
      <alignment horizontal="center" vertical="center"/>
    </xf>
    <xf numFmtId="0" fontId="27" fillId="3" borderId="25" xfId="0" applyFont="1" applyFill="1" applyBorder="1" applyAlignment="1">
      <alignment horizontal="center" vertical="center"/>
    </xf>
    <xf numFmtId="167" fontId="27" fillId="3" borderId="11" xfId="0" applyNumberFormat="1" applyFont="1" applyFill="1" applyBorder="1" applyAlignment="1">
      <alignment horizontal="right"/>
    </xf>
    <xf numFmtId="4" fontId="27" fillId="3" borderId="11" xfId="0" applyNumberFormat="1" applyFont="1" applyFill="1" applyBorder="1" applyAlignment="1">
      <alignment horizontal="right"/>
    </xf>
    <xf numFmtId="167" fontId="27" fillId="3" borderId="26" xfId="0" applyNumberFormat="1" applyFont="1" applyFill="1" applyBorder="1" applyAlignment="1">
      <alignment horizontal="right"/>
    </xf>
    <xf numFmtId="0" fontId="28" fillId="3" borderId="27" xfId="0" applyFont="1" applyFill="1" applyBorder="1" applyAlignment="1">
      <alignment horizontal="right" vertical="center"/>
    </xf>
    <xf numFmtId="166" fontId="28" fillId="3" borderId="28" xfId="0" applyNumberFormat="1" applyFont="1" applyFill="1" applyBorder="1" applyAlignment="1">
      <alignment horizontal="right" vertical="center"/>
    </xf>
    <xf numFmtId="0" fontId="0" fillId="3" borderId="0" xfId="0" applyFill="1"/>
    <xf numFmtId="0" fontId="27" fillId="3" borderId="0" xfId="0" applyFont="1" applyFill="1" applyAlignment="1">
      <alignment horizontal="center"/>
    </xf>
    <xf numFmtId="0" fontId="27" fillId="3" borderId="0" xfId="0" applyFont="1" applyFill="1"/>
    <xf numFmtId="0" fontId="27" fillId="3" borderId="0" xfId="0" applyFont="1" applyFill="1" applyAlignment="1">
      <alignment horizontal="center" vertical="center"/>
    </xf>
    <xf numFmtId="0" fontId="28" fillId="3" borderId="29" xfId="0" applyFont="1" applyFill="1" applyBorder="1" applyAlignment="1">
      <alignment horizontal="right"/>
    </xf>
    <xf numFmtId="166" fontId="28" fillId="3" borderId="30" xfId="0" applyNumberFormat="1" applyFont="1" applyFill="1" applyBorder="1" applyAlignment="1">
      <alignment horizontal="right" vertical="center"/>
    </xf>
    <xf numFmtId="0" fontId="28" fillId="3" borderId="30" xfId="0" applyFont="1" applyFill="1" applyBorder="1"/>
    <xf numFmtId="166" fontId="28" fillId="3" borderId="30" xfId="0" applyNumberFormat="1" applyFont="1" applyFill="1" applyBorder="1"/>
    <xf numFmtId="0" fontId="28" fillId="3" borderId="31" xfId="0" applyFont="1" applyFill="1" applyBorder="1" applyAlignment="1">
      <alignment horizontal="left"/>
    </xf>
    <xf numFmtId="0" fontId="28" fillId="3" borderId="32" xfId="0" applyFont="1" applyFill="1" applyBorder="1" applyAlignment="1">
      <alignment horizontal="left"/>
    </xf>
    <xf numFmtId="0" fontId="28" fillId="3" borderId="0" xfId="0" applyFont="1" applyFill="1" applyAlignment="1">
      <alignment horizontal="left"/>
    </xf>
    <xf numFmtId="0" fontId="28" fillId="3" borderId="0" xfId="0" applyFont="1" applyFill="1" applyAlignment="1">
      <alignment horizontal="right"/>
    </xf>
    <xf numFmtId="166" fontId="28" fillId="3" borderId="0" xfId="0" applyNumberFormat="1" applyFont="1" applyFill="1"/>
    <xf numFmtId="0" fontId="0" fillId="3" borderId="33" xfId="0" applyFill="1" applyBorder="1" applyAlignment="1">
      <alignment horizontal="center"/>
    </xf>
    <xf numFmtId="0" fontId="0" fillId="3" borderId="3" xfId="0" applyFill="1" applyBorder="1"/>
    <xf numFmtId="0" fontId="0" fillId="3" borderId="17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/>
    </xf>
    <xf numFmtId="0" fontId="0" fillId="3" borderId="18" xfId="0" applyFill="1" applyBorder="1"/>
    <xf numFmtId="0" fontId="0" fillId="3" borderId="1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30" fillId="5" borderId="35" xfId="0" applyFont="1" applyFill="1" applyBorder="1" applyAlignment="1">
      <alignment horizontal="center" vertical="center"/>
    </xf>
    <xf numFmtId="2" fontId="24" fillId="3" borderId="31" xfId="0" applyNumberFormat="1" applyFont="1" applyFill="1" applyBorder="1" applyAlignment="1">
      <alignment horizontal="center"/>
    </xf>
    <xf numFmtId="166" fontId="31" fillId="3" borderId="36" xfId="0" applyNumberFormat="1" applyFont="1" applyFill="1" applyBorder="1"/>
    <xf numFmtId="167" fontId="24" fillId="3" borderId="21" xfId="0" applyNumberFormat="1" applyFont="1" applyFill="1" applyBorder="1"/>
    <xf numFmtId="167" fontId="27" fillId="3" borderId="37" xfId="0" applyNumberFormat="1" applyFont="1" applyFill="1" applyBorder="1"/>
    <xf numFmtId="166" fontId="24" fillId="4" borderId="20" xfId="0" applyNumberFormat="1" applyFont="1" applyFill="1" applyBorder="1"/>
    <xf numFmtId="166" fontId="27" fillId="3" borderId="17" xfId="0" applyNumberFormat="1" applyFont="1" applyFill="1" applyBorder="1"/>
    <xf numFmtId="0" fontId="27" fillId="0" borderId="0" xfId="0" applyFont="1" applyAlignment="1">
      <alignment horizontal="center"/>
    </xf>
    <xf numFmtId="166" fontId="27" fillId="3" borderId="17" xfId="0" applyNumberFormat="1" applyFont="1" applyFill="1" applyBorder="1" applyAlignment="1">
      <alignment vertical="center"/>
    </xf>
    <xf numFmtId="166" fontId="27" fillId="3" borderId="17" xfId="0" applyNumberFormat="1" applyFont="1" applyFill="1" applyBorder="1" applyAlignment="1">
      <alignment horizontal="right" vertical="center"/>
    </xf>
    <xf numFmtId="166" fontId="27" fillId="3" borderId="26" xfId="0" applyNumberFormat="1" applyFont="1" applyFill="1" applyBorder="1"/>
    <xf numFmtId="166" fontId="27" fillId="4" borderId="21" xfId="0" applyNumberFormat="1" applyFont="1" applyFill="1" applyBorder="1"/>
    <xf numFmtId="167" fontId="27" fillId="3" borderId="26" xfId="0" applyNumberFormat="1" applyFont="1" applyFill="1" applyBorder="1"/>
    <xf numFmtId="167" fontId="24" fillId="4" borderId="17" xfId="0" applyNumberFormat="1" applyFont="1" applyFill="1" applyBorder="1"/>
    <xf numFmtId="167" fontId="27" fillId="4" borderId="38" xfId="0" applyNumberFormat="1" applyFont="1" applyFill="1" applyBorder="1" applyAlignment="1">
      <alignment horizontal="right"/>
    </xf>
    <xf numFmtId="0" fontId="28" fillId="3" borderId="24" xfId="0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/>
    </xf>
    <xf numFmtId="166" fontId="3" fillId="4" borderId="41" xfId="0" applyNumberFormat="1" applyFont="1" applyFill="1" applyBorder="1"/>
    <xf numFmtId="0" fontId="2" fillId="0" borderId="33" xfId="0" applyFont="1" applyBorder="1" applyAlignment="1">
      <alignment horizontal="center" vertical="center"/>
    </xf>
    <xf numFmtId="166" fontId="2" fillId="0" borderId="17" xfId="0" applyNumberFormat="1" applyFont="1" applyBorder="1"/>
    <xf numFmtId="166" fontId="32" fillId="6" borderId="17" xfId="0" applyNumberFormat="1" applyFont="1" applyFill="1" applyBorder="1"/>
    <xf numFmtId="4" fontId="32" fillId="6" borderId="17" xfId="0" applyNumberFormat="1" applyFont="1" applyFill="1" applyBorder="1"/>
    <xf numFmtId="166" fontId="4" fillId="0" borderId="36" xfId="0" applyNumberFormat="1" applyFont="1" applyBorder="1" applyAlignment="1">
      <alignment horizontal="right" vertical="center"/>
    </xf>
    <xf numFmtId="2" fontId="3" fillId="0" borderId="42" xfId="0" applyNumberFormat="1" applyFont="1" applyBorder="1" applyAlignment="1">
      <alignment horizontal="center"/>
    </xf>
    <xf numFmtId="167" fontId="4" fillId="0" borderId="36" xfId="0" applyNumberFormat="1" applyFont="1" applyBorder="1"/>
    <xf numFmtId="0" fontId="4" fillId="0" borderId="43" xfId="0" applyFont="1" applyBorder="1" applyAlignment="1">
      <alignment horizontal="right" vertical="center"/>
    </xf>
    <xf numFmtId="166" fontId="4" fillId="4" borderId="44" xfId="0" applyNumberFormat="1" applyFont="1" applyFill="1" applyBorder="1" applyAlignment="1">
      <alignment horizontal="right" vertical="center"/>
    </xf>
    <xf numFmtId="0" fontId="2" fillId="0" borderId="39" xfId="0" applyFont="1" applyBorder="1"/>
    <xf numFmtId="0" fontId="2" fillId="0" borderId="38" xfId="0" applyFont="1" applyBorder="1"/>
    <xf numFmtId="0" fontId="2" fillId="0" borderId="17" xfId="0" applyFont="1" applyBorder="1" applyAlignment="1">
      <alignment horizontal="center" vertical="center"/>
    </xf>
    <xf numFmtId="169" fontId="5" fillId="2" borderId="17" xfId="0" applyNumberFormat="1" applyFont="1" applyFill="1" applyBorder="1" applyAlignment="1">
      <alignment horizontal="center" vertical="center"/>
    </xf>
    <xf numFmtId="4" fontId="2" fillId="0" borderId="17" xfId="0" applyNumberFormat="1" applyFont="1" applyBorder="1" applyAlignment="1">
      <alignment horizontal="center"/>
    </xf>
    <xf numFmtId="10" fontId="2" fillId="0" borderId="17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166" fontId="2" fillId="0" borderId="45" xfId="0" applyNumberFormat="1" applyFont="1" applyBorder="1"/>
    <xf numFmtId="0" fontId="23" fillId="0" borderId="3" xfId="0" applyFont="1" applyBorder="1"/>
    <xf numFmtId="0" fontId="2" fillId="3" borderId="3" xfId="0" applyFont="1" applyFill="1" applyBorder="1"/>
    <xf numFmtId="4" fontId="2" fillId="3" borderId="3" xfId="0" applyNumberFormat="1" applyFont="1" applyFill="1" applyBorder="1"/>
    <xf numFmtId="0" fontId="28" fillId="3" borderId="0" xfId="0" applyFont="1" applyFill="1" applyAlignment="1">
      <alignment horizontal="center"/>
    </xf>
    <xf numFmtId="167" fontId="28" fillId="3" borderId="0" xfId="0" applyNumberFormat="1" applyFont="1" applyFill="1" applyAlignment="1">
      <alignment horizontal="right"/>
    </xf>
    <xf numFmtId="2" fontId="27" fillId="3" borderId="3" xfId="0" applyNumberFormat="1" applyFont="1" applyFill="1" applyBorder="1" applyAlignment="1">
      <alignment horizontal="right"/>
    </xf>
    <xf numFmtId="0" fontId="35" fillId="3" borderId="0" xfId="0" applyFont="1" applyFill="1" applyAlignment="1">
      <alignment horizontal="center"/>
    </xf>
    <xf numFmtId="0" fontId="35" fillId="3" borderId="0" xfId="0" applyFont="1" applyFill="1" applyAlignment="1">
      <alignment horizontal="right"/>
    </xf>
    <xf numFmtId="0" fontId="33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36" fillId="0" borderId="0" xfId="0" applyFont="1"/>
    <xf numFmtId="0" fontId="1" fillId="0" borderId="3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34" fillId="0" borderId="3" xfId="0" applyFont="1" applyBorder="1" applyAlignment="1">
      <alignment horizontal="center"/>
    </xf>
    <xf numFmtId="0" fontId="34" fillId="0" borderId="3" xfId="0" applyFont="1" applyBorder="1"/>
    <xf numFmtId="0" fontId="34" fillId="7" borderId="3" xfId="0" applyFont="1" applyFill="1" applyBorder="1" applyAlignment="1">
      <alignment horizontal="center"/>
    </xf>
    <xf numFmtId="0" fontId="37" fillId="7" borderId="3" xfId="0" applyFont="1" applyFill="1" applyBorder="1" applyAlignment="1">
      <alignment horizontal="center"/>
    </xf>
    <xf numFmtId="3" fontId="34" fillId="0" borderId="3" xfId="0" applyNumberFormat="1" applyFont="1" applyBorder="1" applyAlignment="1">
      <alignment horizontal="center"/>
    </xf>
    <xf numFmtId="0" fontId="34" fillId="8" borderId="3" xfId="0" applyFont="1" applyFill="1" applyBorder="1" applyAlignment="1">
      <alignment horizontal="center"/>
    </xf>
    <xf numFmtId="0" fontId="34" fillId="9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1" fillId="3" borderId="52" xfId="0" applyFont="1" applyFill="1" applyBorder="1" applyAlignment="1">
      <alignment vertical="center"/>
    </xf>
    <xf numFmtId="14" fontId="34" fillId="0" borderId="3" xfId="0" applyNumberFormat="1" applyFont="1" applyBorder="1" applyAlignment="1">
      <alignment horizontal="center"/>
    </xf>
    <xf numFmtId="0" fontId="41" fillId="3" borderId="3" xfId="0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51" fillId="3" borderId="3" xfId="0" applyFont="1" applyFill="1" applyBorder="1" applyAlignment="1">
      <alignment horizontal="center"/>
    </xf>
    <xf numFmtId="0" fontId="51" fillId="3" borderId="3" xfId="0" applyFont="1" applyFill="1" applyBorder="1" applyAlignment="1">
      <alignment horizontal="center" vertical="center"/>
    </xf>
    <xf numFmtId="0" fontId="51" fillId="3" borderId="11" xfId="0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7" fontId="1" fillId="3" borderId="3" xfId="0" applyNumberFormat="1" applyFont="1" applyFill="1" applyBorder="1" applyAlignment="1">
      <alignment horizontal="right"/>
    </xf>
    <xf numFmtId="4" fontId="1" fillId="3" borderId="3" xfId="0" applyNumberFormat="1" applyFont="1" applyFill="1" applyBorder="1" applyAlignment="1">
      <alignment horizontal="right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/>
    <xf numFmtId="167" fontId="1" fillId="3" borderId="11" xfId="0" applyNumberFormat="1" applyFont="1" applyFill="1" applyBorder="1" applyAlignment="1">
      <alignment horizontal="right"/>
    </xf>
    <xf numFmtId="0" fontId="33" fillId="3" borderId="3" xfId="0" applyFont="1" applyFill="1" applyBorder="1"/>
    <xf numFmtId="167" fontId="33" fillId="3" borderId="3" xfId="0" applyNumberFormat="1" applyFont="1" applyFill="1" applyBorder="1" applyAlignment="1">
      <alignment horizontal="right"/>
    </xf>
    <xf numFmtId="4" fontId="33" fillId="3" borderId="3" xfId="0" applyNumberFormat="1" applyFont="1" applyFill="1" applyBorder="1" applyAlignment="1">
      <alignment horizontal="right"/>
    </xf>
    <xf numFmtId="0" fontId="52" fillId="3" borderId="2" xfId="0" applyFont="1" applyFill="1" applyBorder="1"/>
    <xf numFmtId="0" fontId="52" fillId="3" borderId="3" xfId="0" applyFont="1" applyFill="1" applyBorder="1"/>
    <xf numFmtId="0" fontId="33" fillId="3" borderId="3" xfId="0" applyFont="1" applyFill="1" applyBorder="1" applyAlignment="1">
      <alignment horizontal="left" vertical="center"/>
    </xf>
    <xf numFmtId="0" fontId="53" fillId="3" borderId="3" xfId="0" applyFont="1" applyFill="1" applyBorder="1" applyAlignment="1">
      <alignment horizontal="center" vertical="center"/>
    </xf>
    <xf numFmtId="0" fontId="54" fillId="3" borderId="65" xfId="0" applyFont="1" applyFill="1" applyBorder="1" applyAlignment="1">
      <alignment horizontal="center" vertical="center"/>
    </xf>
    <xf numFmtId="0" fontId="55" fillId="3" borderId="86" xfId="0" applyFont="1" applyFill="1" applyBorder="1" applyAlignment="1">
      <alignment horizontal="center" vertical="center"/>
    </xf>
    <xf numFmtId="0" fontId="55" fillId="3" borderId="86" xfId="0" applyFont="1" applyFill="1" applyBorder="1" applyAlignment="1">
      <alignment horizontal="center" vertical="center" wrapText="1"/>
    </xf>
    <xf numFmtId="167" fontId="33" fillId="3" borderId="3" xfId="0" applyNumberFormat="1" applyFont="1" applyFill="1" applyBorder="1" applyAlignment="1">
      <alignment horizontal="center" vertical="center"/>
    </xf>
    <xf numFmtId="0" fontId="51" fillId="3" borderId="3" xfId="0" applyFont="1" applyFill="1" applyBorder="1" applyAlignment="1">
      <alignment horizontal="center" wrapText="1"/>
    </xf>
    <xf numFmtId="0" fontId="56" fillId="3" borderId="3" xfId="0" applyFont="1" applyFill="1" applyBorder="1" applyAlignment="1">
      <alignment horizontal="center" vertical="center"/>
    </xf>
    <xf numFmtId="0" fontId="56" fillId="12" borderId="3" xfId="0" applyFont="1" applyFill="1" applyBorder="1" applyAlignment="1">
      <alignment horizontal="center" vertical="center"/>
    </xf>
    <xf numFmtId="0" fontId="50" fillId="12" borderId="3" xfId="0" applyFont="1" applyFill="1" applyBorder="1" applyAlignment="1">
      <alignment horizontal="center"/>
    </xf>
    <xf numFmtId="0" fontId="33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wrapText="1"/>
    </xf>
    <xf numFmtId="4" fontId="33" fillId="3" borderId="3" xfId="0" applyNumberFormat="1" applyFont="1" applyFill="1" applyBorder="1" applyAlignment="1">
      <alignment horizontal="right" vertical="center"/>
    </xf>
    <xf numFmtId="2" fontId="27" fillId="3" borderId="3" xfId="0" applyNumberFormat="1" applyFont="1" applyFill="1" applyBorder="1"/>
    <xf numFmtId="0" fontId="31" fillId="3" borderId="3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 wrapText="1"/>
    </xf>
    <xf numFmtId="2" fontId="24" fillId="3" borderId="3" xfId="0" applyNumberFormat="1" applyFont="1" applyFill="1" applyBorder="1" applyAlignment="1">
      <alignment horizontal="center"/>
    </xf>
    <xf numFmtId="167" fontId="27" fillId="3" borderId="3" xfId="0" applyNumberFormat="1" applyFont="1" applyFill="1" applyBorder="1"/>
    <xf numFmtId="166" fontId="61" fillId="3" borderId="3" xfId="0" applyNumberFormat="1" applyFont="1" applyFill="1" applyBorder="1"/>
    <xf numFmtId="167" fontId="61" fillId="14" borderId="3" xfId="0" applyNumberFormat="1" applyFont="1" applyFill="1" applyBorder="1"/>
    <xf numFmtId="166" fontId="61" fillId="14" borderId="3" xfId="0" applyNumberFormat="1" applyFont="1" applyFill="1" applyBorder="1"/>
    <xf numFmtId="0" fontId="24" fillId="3" borderId="3" xfId="0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/>
    </xf>
    <xf numFmtId="166" fontId="2" fillId="3" borderId="3" xfId="0" applyNumberFormat="1" applyFont="1" applyFill="1" applyBorder="1"/>
    <xf numFmtId="0" fontId="2" fillId="3" borderId="6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0" fillId="3" borderId="14" xfId="0" applyFill="1" applyBorder="1"/>
    <xf numFmtId="167" fontId="3" fillId="3" borderId="14" xfId="0" applyNumberFormat="1" applyFont="1" applyFill="1" applyBorder="1"/>
    <xf numFmtId="0" fontId="24" fillId="3" borderId="3" xfId="0" applyFont="1" applyFill="1" applyBorder="1" applyAlignment="1">
      <alignment horizontal="left" vertical="center"/>
    </xf>
    <xf numFmtId="167" fontId="2" fillId="3" borderId="3" xfId="0" applyNumberFormat="1" applyFont="1" applyFill="1" applyBorder="1"/>
    <xf numFmtId="2" fontId="27" fillId="3" borderId="3" xfId="0" applyNumberFormat="1" applyFont="1" applyFill="1" applyBorder="1" applyAlignment="1">
      <alignment horizontal="center"/>
    </xf>
    <xf numFmtId="0" fontId="28" fillId="3" borderId="11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3" fontId="27" fillId="3" borderId="3" xfId="0" applyNumberFormat="1" applyFont="1" applyFill="1" applyBorder="1" applyAlignment="1">
      <alignment horizontal="right" vertical="center"/>
    </xf>
    <xf numFmtId="0" fontId="60" fillId="0" borderId="0" xfId="0" applyFont="1"/>
    <xf numFmtId="167" fontId="61" fillId="14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1" fontId="2" fillId="3" borderId="3" xfId="0" applyNumberFormat="1" applyFont="1" applyFill="1" applyBorder="1" applyAlignment="1">
      <alignment horizontal="center"/>
    </xf>
    <xf numFmtId="1" fontId="27" fillId="3" borderId="3" xfId="0" applyNumberFormat="1" applyFont="1" applyFill="1" applyBorder="1" applyAlignment="1">
      <alignment horizontal="center"/>
    </xf>
    <xf numFmtId="4" fontId="28" fillId="3" borderId="3" xfId="0" applyNumberFormat="1" applyFont="1" applyFill="1" applyBorder="1" applyAlignment="1">
      <alignment horizontal="right"/>
    </xf>
    <xf numFmtId="0" fontId="10" fillId="0" borderId="3" xfId="0" applyFont="1" applyBorder="1" applyAlignment="1">
      <alignment horizontal="center" vertical="center"/>
    </xf>
    <xf numFmtId="10" fontId="33" fillId="3" borderId="3" xfId="3" applyNumberFormat="1" applyFont="1" applyFill="1" applyBorder="1" applyAlignment="1">
      <alignment horizontal="right" vertical="center"/>
    </xf>
    <xf numFmtId="4" fontId="33" fillId="3" borderId="3" xfId="3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167" fontId="33" fillId="3" borderId="3" xfId="0" applyNumberFormat="1" applyFont="1" applyFill="1" applyBorder="1" applyAlignment="1">
      <alignment horizontal="right" vertical="center"/>
    </xf>
    <xf numFmtId="4" fontId="34" fillId="0" borderId="3" xfId="0" applyNumberFormat="1" applyFont="1" applyBorder="1" applyAlignment="1">
      <alignment horizontal="center"/>
    </xf>
    <xf numFmtId="0" fontId="37" fillId="6" borderId="3" xfId="0" applyFont="1" applyFill="1" applyBorder="1" applyAlignment="1">
      <alignment horizontal="center"/>
    </xf>
    <xf numFmtId="0" fontId="52" fillId="3" borderId="51" xfId="0" applyFont="1" applyFill="1" applyBorder="1" applyAlignment="1">
      <alignment horizontal="center" vertical="center"/>
    </xf>
    <xf numFmtId="0" fontId="52" fillId="3" borderId="3" xfId="0" applyFont="1" applyFill="1" applyBorder="1" applyAlignment="1">
      <alignment horizontal="center" vertical="center"/>
    </xf>
    <xf numFmtId="0" fontId="52" fillId="12" borderId="3" xfId="0" applyFont="1" applyFill="1" applyBorder="1" applyAlignment="1">
      <alignment horizontal="center" vertical="center"/>
    </xf>
    <xf numFmtId="0" fontId="52" fillId="3" borderId="3" xfId="0" applyFont="1" applyFill="1" applyBorder="1" applyAlignment="1">
      <alignment horizontal="center"/>
    </xf>
    <xf numFmtId="0" fontId="52" fillId="12" borderId="3" xfId="0" applyFont="1" applyFill="1" applyBorder="1" applyAlignment="1">
      <alignment horizontal="center"/>
    </xf>
    <xf numFmtId="0" fontId="52" fillId="3" borderId="11" xfId="0" applyFont="1" applyFill="1" applyBorder="1" applyAlignment="1">
      <alignment horizontal="center" vertical="center"/>
    </xf>
    <xf numFmtId="0" fontId="52" fillId="3" borderId="65" xfId="0" applyFont="1" applyFill="1" applyBorder="1" applyAlignment="1">
      <alignment horizontal="center" vertical="center"/>
    </xf>
    <xf numFmtId="167" fontId="33" fillId="3" borderId="2" xfId="0" applyNumberFormat="1" applyFont="1" applyFill="1" applyBorder="1" applyAlignment="1">
      <alignment horizontal="right"/>
    </xf>
    <xf numFmtId="0" fontId="33" fillId="3" borderId="3" xfId="0" applyFont="1" applyFill="1" applyBorder="1" applyAlignment="1">
      <alignment horizontal="left" vertical="center" wrapText="1"/>
    </xf>
    <xf numFmtId="167" fontId="33" fillId="3" borderId="2" xfId="0" applyNumberFormat="1" applyFont="1" applyFill="1" applyBorder="1" applyAlignment="1">
      <alignment horizontal="right" vertical="center"/>
    </xf>
    <xf numFmtId="0" fontId="33" fillId="3" borderId="8" xfId="0" applyFont="1" applyFill="1" applyBorder="1" applyAlignment="1">
      <alignment horizontal="left" vertical="center"/>
    </xf>
    <xf numFmtId="0" fontId="33" fillId="3" borderId="8" xfId="0" applyFont="1" applyFill="1" applyBorder="1" applyAlignment="1">
      <alignment horizontal="center" vertical="center"/>
    </xf>
    <xf numFmtId="167" fontId="33" fillId="3" borderId="65" xfId="0" applyNumberFormat="1" applyFont="1" applyFill="1" applyBorder="1" applyAlignment="1">
      <alignment horizontal="right"/>
    </xf>
    <xf numFmtId="4" fontId="33" fillId="3" borderId="8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7" fontId="33" fillId="3" borderId="8" xfId="0" applyNumberFormat="1" applyFont="1" applyFill="1" applyBorder="1" applyAlignment="1">
      <alignment horizontal="right"/>
    </xf>
    <xf numFmtId="0" fontId="66" fillId="0" borderId="0" xfId="0" applyFont="1"/>
    <xf numFmtId="4" fontId="37" fillId="0" borderId="3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167" fontId="0" fillId="0" borderId="0" xfId="0" applyNumberFormat="1"/>
    <xf numFmtId="166" fontId="0" fillId="0" borderId="0" xfId="0" applyNumberFormat="1"/>
    <xf numFmtId="2" fontId="2" fillId="3" borderId="3" xfId="0" applyNumberFormat="1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0" fontId="2" fillId="3" borderId="87" xfId="0" applyFont="1" applyFill="1" applyBorder="1" applyAlignment="1">
      <alignment vertical="center"/>
    </xf>
    <xf numFmtId="0" fontId="2" fillId="3" borderId="86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166" fontId="33" fillId="3" borderId="3" xfId="0" applyNumberFormat="1" applyFont="1" applyFill="1" applyBorder="1" applyAlignment="1">
      <alignment horizontal="right"/>
    </xf>
    <xf numFmtId="4" fontId="27" fillId="15" borderId="3" xfId="0" applyNumberFormat="1" applyFont="1" applyFill="1" applyBorder="1" applyAlignment="1">
      <alignment horizontal="right"/>
    </xf>
    <xf numFmtId="0" fontId="57" fillId="16" borderId="3" xfId="0" applyFont="1" applyFill="1" applyBorder="1"/>
    <xf numFmtId="166" fontId="27" fillId="3" borderId="3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3" fillId="0" borderId="0" xfId="0" applyFont="1"/>
    <xf numFmtId="0" fontId="4" fillId="0" borderId="0" xfId="0" applyFont="1" applyAlignment="1">
      <alignment horizontal="center"/>
    </xf>
    <xf numFmtId="0" fontId="33" fillId="0" borderId="3" xfId="0" applyFont="1" applyBorder="1"/>
    <xf numFmtId="170" fontId="33" fillId="0" borderId="3" xfId="0" applyNumberFormat="1" applyFont="1" applyBorder="1"/>
    <xf numFmtId="0" fontId="57" fillId="15" borderId="3" xfId="0" applyFont="1" applyFill="1" applyBorder="1" applyAlignment="1">
      <alignment horizontal="left"/>
    </xf>
    <xf numFmtId="0" fontId="33" fillId="0" borderId="3" xfId="0" applyFont="1" applyBorder="1" applyAlignment="1">
      <alignment horizontal="center" vertical="center"/>
    </xf>
    <xf numFmtId="0" fontId="57" fillId="18" borderId="3" xfId="0" applyFont="1" applyFill="1" applyBorder="1" applyAlignment="1">
      <alignment horizontal="left"/>
    </xf>
    <xf numFmtId="0" fontId="28" fillId="15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8" fillId="16" borderId="3" xfId="0" applyFont="1" applyFill="1" applyBorder="1"/>
    <xf numFmtId="0" fontId="28" fillId="16" borderId="3" xfId="0" applyFont="1" applyFill="1" applyBorder="1" applyAlignment="1">
      <alignment horizontal="right" vertical="center"/>
    </xf>
    <xf numFmtId="0" fontId="28" fillId="16" borderId="3" xfId="0" applyFont="1" applyFill="1" applyBorder="1" applyAlignment="1">
      <alignment horizontal="right"/>
    </xf>
    <xf numFmtId="0" fontId="28" fillId="6" borderId="3" xfId="0" applyFont="1" applyFill="1" applyBorder="1" applyAlignment="1">
      <alignment horizontal="right"/>
    </xf>
    <xf numFmtId="0" fontId="37" fillId="15" borderId="3" xfId="0" applyFont="1" applyFill="1" applyBorder="1" applyAlignment="1">
      <alignment horizontal="center"/>
    </xf>
    <xf numFmtId="0" fontId="4" fillId="19" borderId="3" xfId="0" applyFont="1" applyFill="1" applyBorder="1"/>
    <xf numFmtId="0" fontId="37" fillId="0" borderId="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57" fillId="3" borderId="3" xfId="0" applyFont="1" applyFill="1" applyBorder="1"/>
    <xf numFmtId="0" fontId="57" fillId="15" borderId="3" xfId="0" applyFont="1" applyFill="1" applyBorder="1"/>
    <xf numFmtId="0" fontId="4" fillId="15" borderId="3" xfId="0" applyFont="1" applyFill="1" applyBorder="1" applyAlignment="1">
      <alignment horizontal="center" vertical="center"/>
    </xf>
    <xf numFmtId="4" fontId="4" fillId="15" borderId="3" xfId="0" applyNumberFormat="1" applyFont="1" applyFill="1" applyBorder="1" applyAlignment="1">
      <alignment horizontal="right"/>
    </xf>
    <xf numFmtId="167" fontId="4" fillId="15" borderId="3" xfId="0" applyNumberFormat="1" applyFont="1" applyFill="1" applyBorder="1" applyAlignment="1">
      <alignment horizontal="right"/>
    </xf>
    <xf numFmtId="0" fontId="1" fillId="15" borderId="3" xfId="0" applyFont="1" applyFill="1" applyBorder="1"/>
    <xf numFmtId="4" fontId="1" fillId="15" borderId="3" xfId="0" applyNumberFormat="1" applyFont="1" applyFill="1" applyBorder="1" applyAlignment="1">
      <alignment horizontal="right"/>
    </xf>
    <xf numFmtId="167" fontId="1" fillId="15" borderId="3" xfId="0" applyNumberFormat="1" applyFont="1" applyFill="1" applyBorder="1" applyAlignment="1">
      <alignment horizontal="right"/>
    </xf>
    <xf numFmtId="170" fontId="57" fillId="0" borderId="89" xfId="0" applyNumberFormat="1" applyFont="1" applyBorder="1" applyAlignment="1">
      <alignment horizontal="center" vertical="top"/>
    </xf>
    <xf numFmtId="170" fontId="33" fillId="0" borderId="45" xfId="0" applyNumberFormat="1" applyFont="1" applyBorder="1"/>
    <xf numFmtId="0" fontId="33" fillId="0" borderId="45" xfId="0" applyFont="1" applyBorder="1" applyAlignment="1">
      <alignment horizontal="center" vertical="center"/>
    </xf>
    <xf numFmtId="0" fontId="50" fillId="21" borderId="0" xfId="0" applyFont="1" applyFill="1" applyAlignment="1">
      <alignment horizontal="center" vertical="center"/>
    </xf>
    <xf numFmtId="3" fontId="33" fillId="3" borderId="3" xfId="0" applyNumberFormat="1" applyFont="1" applyFill="1" applyBorder="1" applyAlignment="1">
      <alignment horizontal="center" vertical="center"/>
    </xf>
    <xf numFmtId="3" fontId="33" fillId="3" borderId="8" xfId="0" applyNumberFormat="1" applyFont="1" applyFill="1" applyBorder="1" applyAlignment="1">
      <alignment horizontal="center" vertical="center"/>
    </xf>
    <xf numFmtId="0" fontId="67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167" fontId="28" fillId="21" borderId="14" xfId="0" applyNumberFormat="1" applyFont="1" applyFill="1" applyBorder="1"/>
    <xf numFmtId="167" fontId="28" fillId="21" borderId="65" xfId="0" applyNumberFormat="1" applyFont="1" applyFill="1" applyBorder="1" applyAlignment="1">
      <alignment horizontal="right"/>
    </xf>
    <xf numFmtId="0" fontId="49" fillId="0" borderId="0" xfId="0" applyFont="1"/>
    <xf numFmtId="0" fontId="64" fillId="21" borderId="3" xfId="0" applyFont="1" applyFill="1" applyBorder="1" applyAlignment="1">
      <alignment horizontal="center" vertical="center"/>
    </xf>
    <xf numFmtId="0" fontId="57" fillId="21" borderId="3" xfId="0" applyFont="1" applyFill="1" applyBorder="1" applyAlignment="1">
      <alignment horizontal="center"/>
    </xf>
    <xf numFmtId="0" fontId="53" fillId="3" borderId="45" xfId="0" applyFont="1" applyFill="1" applyBorder="1" applyAlignment="1">
      <alignment vertical="center" wrapText="1"/>
    </xf>
    <xf numFmtId="0" fontId="51" fillId="3" borderId="4" xfId="0" applyFont="1" applyFill="1" applyBorder="1" applyAlignment="1">
      <alignment vertical="center"/>
    </xf>
    <xf numFmtId="0" fontId="51" fillId="3" borderId="0" xfId="0" applyFont="1" applyFill="1" applyAlignment="1">
      <alignment vertical="center"/>
    </xf>
    <xf numFmtId="0" fontId="0" fillId="0" borderId="52" xfId="0" applyBorder="1"/>
    <xf numFmtId="0" fontId="4" fillId="21" borderId="14" xfId="0" applyFont="1" applyFill="1" applyBorder="1" applyAlignment="1">
      <alignment horizontal="center"/>
    </xf>
    <xf numFmtId="167" fontId="4" fillId="21" borderId="14" xfId="0" applyNumberFormat="1" applyFont="1" applyFill="1" applyBorder="1"/>
    <xf numFmtId="0" fontId="28" fillId="21" borderId="14" xfId="0" applyFont="1" applyFill="1" applyBorder="1"/>
    <xf numFmtId="166" fontId="28" fillId="21" borderId="14" xfId="0" applyNumberFormat="1" applyFont="1" applyFill="1" applyBorder="1"/>
    <xf numFmtId="0" fontId="51" fillId="20" borderId="3" xfId="0" applyFont="1" applyFill="1" applyBorder="1" applyAlignment="1">
      <alignment horizontal="center" vertical="center" wrapText="1"/>
    </xf>
    <xf numFmtId="0" fontId="50" fillId="20" borderId="3" xfId="0" applyFont="1" applyFill="1" applyBorder="1" applyAlignment="1">
      <alignment horizontal="center" vertical="center"/>
    </xf>
    <xf numFmtId="0" fontId="1" fillId="3" borderId="65" xfId="0" applyFont="1" applyFill="1" applyBorder="1" applyAlignment="1">
      <alignment horizontal="center" vertical="center"/>
    </xf>
    <xf numFmtId="4" fontId="33" fillId="16" borderId="3" xfId="0" applyNumberFormat="1" applyFont="1" applyFill="1" applyBorder="1" applyAlignment="1">
      <alignment horizontal="right"/>
    </xf>
    <xf numFmtId="166" fontId="33" fillId="16" borderId="3" xfId="0" applyNumberFormat="1" applyFont="1" applyFill="1" applyBorder="1" applyAlignment="1">
      <alignment horizontal="right"/>
    </xf>
    <xf numFmtId="0" fontId="28" fillId="0" borderId="3" xfId="0" applyFont="1" applyBorder="1" applyAlignment="1">
      <alignment horizontal="center" vertical="center"/>
    </xf>
    <xf numFmtId="0" fontId="36" fillId="3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0" fontId="57" fillId="0" borderId="89" xfId="0" applyNumberFormat="1" applyFont="1" applyBorder="1" applyAlignment="1">
      <alignment horizontal="right" vertical="top"/>
    </xf>
    <xf numFmtId="0" fontId="50" fillId="0" borderId="0" xfId="0" applyFont="1" applyAlignment="1">
      <alignment horizontal="left" vertical="center"/>
    </xf>
    <xf numFmtId="0" fontId="57" fillId="0" borderId="3" xfId="0" applyFont="1" applyBorder="1" applyAlignment="1">
      <alignment horizontal="center" vertical="center"/>
    </xf>
    <xf numFmtId="170" fontId="0" fillId="0" borderId="3" xfId="0" applyNumberFormat="1" applyBorder="1"/>
    <xf numFmtId="0" fontId="77" fillId="0" borderId="0" xfId="0" applyFont="1"/>
    <xf numFmtId="0" fontId="77" fillId="0" borderId="0" xfId="0" applyFont="1" applyAlignment="1">
      <alignment horizontal="center" vertical="center"/>
    </xf>
    <xf numFmtId="0" fontId="79" fillId="0" borderId="0" xfId="0" applyFont="1"/>
    <xf numFmtId="170" fontId="54" fillId="3" borderId="61" xfId="0" applyNumberFormat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7" fillId="15" borderId="3" xfId="0" applyFont="1" applyFill="1" applyBorder="1" applyAlignment="1">
      <alignment horizontal="center" vertical="center"/>
    </xf>
    <xf numFmtId="170" fontId="57" fillId="15" borderId="47" xfId="0" applyNumberFormat="1" applyFont="1" applyFill="1" applyBorder="1"/>
    <xf numFmtId="0" fontId="1" fillId="15" borderId="45" xfId="0" applyFont="1" applyFill="1" applyBorder="1" applyAlignment="1">
      <alignment horizontal="center"/>
    </xf>
    <xf numFmtId="0" fontId="33" fillId="15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left"/>
    </xf>
    <xf numFmtId="170" fontId="33" fillId="23" borderId="45" xfId="0" applyNumberFormat="1" applyFont="1" applyFill="1" applyBorder="1"/>
    <xf numFmtId="170" fontId="57" fillId="23" borderId="45" xfId="0" applyNumberFormat="1" applyFont="1" applyFill="1" applyBorder="1" applyAlignment="1">
      <alignment vertical="top"/>
    </xf>
    <xf numFmtId="170" fontId="57" fillId="23" borderId="45" xfId="0" applyNumberFormat="1" applyFont="1" applyFill="1" applyBorder="1"/>
    <xf numFmtId="170" fontId="57" fillId="23" borderId="89" xfId="0" applyNumberFormat="1" applyFont="1" applyFill="1" applyBorder="1" applyAlignment="1">
      <alignment horizontal="right" vertical="top"/>
    </xf>
    <xf numFmtId="170" fontId="57" fillId="23" borderId="62" xfId="0" applyNumberFormat="1" applyFont="1" applyFill="1" applyBorder="1" applyAlignment="1">
      <alignment horizontal="center" vertical="top"/>
    </xf>
    <xf numFmtId="170" fontId="57" fillId="23" borderId="3" xfId="0" applyNumberFormat="1" applyFont="1" applyFill="1" applyBorder="1" applyAlignment="1">
      <alignment vertical="top"/>
    </xf>
    <xf numFmtId="170" fontId="57" fillId="23" borderId="11" xfId="0" applyNumberFormat="1" applyFont="1" applyFill="1" applyBorder="1" applyAlignment="1">
      <alignment vertical="top"/>
    </xf>
    <xf numFmtId="170" fontId="57" fillId="23" borderId="89" xfId="0" applyNumberFormat="1" applyFont="1" applyFill="1" applyBorder="1" applyAlignment="1">
      <alignment vertical="top"/>
    </xf>
    <xf numFmtId="170" fontId="57" fillId="23" borderId="89" xfId="0" applyNumberFormat="1" applyFont="1" applyFill="1" applyBorder="1" applyAlignment="1">
      <alignment horizontal="center" vertical="top"/>
    </xf>
    <xf numFmtId="170" fontId="57" fillId="23" borderId="3" xfId="0" applyNumberFormat="1" applyFont="1" applyFill="1" applyBorder="1"/>
    <xf numFmtId="170" fontId="76" fillId="22" borderId="3" xfId="0" applyNumberFormat="1" applyFont="1" applyFill="1" applyBorder="1" applyAlignment="1">
      <alignment horizontal="center" vertical="center"/>
    </xf>
    <xf numFmtId="170" fontId="57" fillId="22" borderId="3" xfId="0" applyNumberFormat="1" applyFont="1" applyFill="1" applyBorder="1"/>
    <xf numFmtId="170" fontId="57" fillId="22" borderId="47" xfId="0" applyNumberFormat="1" applyFont="1" applyFill="1" applyBorder="1"/>
    <xf numFmtId="170" fontId="57" fillId="22" borderId="45" xfId="0" applyNumberFormat="1" applyFont="1" applyFill="1" applyBorder="1"/>
    <xf numFmtId="0" fontId="4" fillId="20" borderId="91" xfId="0" applyFont="1" applyFill="1" applyBorder="1" applyAlignment="1">
      <alignment horizontal="center" vertical="center"/>
    </xf>
    <xf numFmtId="0" fontId="28" fillId="15" borderId="11" xfId="0" applyFont="1" applyFill="1" applyBorder="1" applyAlignment="1">
      <alignment horizontal="center"/>
    </xf>
    <xf numFmtId="0" fontId="33" fillId="15" borderId="11" xfId="0" applyFont="1" applyFill="1" applyBorder="1" applyAlignment="1">
      <alignment horizontal="center"/>
    </xf>
    <xf numFmtId="0" fontId="28" fillId="15" borderId="2" xfId="0" applyFont="1" applyFill="1" applyBorder="1" applyAlignment="1">
      <alignment horizontal="center"/>
    </xf>
    <xf numFmtId="0" fontId="28" fillId="15" borderId="2" xfId="0" applyFont="1" applyFill="1" applyBorder="1" applyAlignment="1">
      <alignment horizontal="center" vertical="center"/>
    </xf>
    <xf numFmtId="0" fontId="62" fillId="15" borderId="2" xfId="0" applyFont="1" applyFill="1" applyBorder="1" applyAlignment="1">
      <alignment horizontal="center"/>
    </xf>
    <xf numFmtId="166" fontId="54" fillId="21" borderId="3" xfId="0" applyNumberFormat="1" applyFont="1" applyFill="1" applyBorder="1"/>
    <xf numFmtId="167" fontId="24" fillId="21" borderId="3" xfId="0" applyNumberFormat="1" applyFont="1" applyFill="1" applyBorder="1" applyAlignment="1">
      <alignment horizontal="right"/>
    </xf>
    <xf numFmtId="166" fontId="3" fillId="21" borderId="3" xfId="0" applyNumberFormat="1" applyFont="1" applyFill="1" applyBorder="1"/>
    <xf numFmtId="0" fontId="33" fillId="3" borderId="0" xfId="0" applyFont="1" applyFill="1" applyAlignment="1">
      <alignment vertical="center"/>
    </xf>
    <xf numFmtId="0" fontId="0" fillId="0" borderId="61" xfId="0" applyBorder="1"/>
    <xf numFmtId="167" fontId="3" fillId="21" borderId="6" xfId="0" applyNumberFormat="1" applyFont="1" applyFill="1" applyBorder="1" applyAlignment="1">
      <alignment horizontal="right" vertical="center"/>
    </xf>
    <xf numFmtId="167" fontId="24" fillId="21" borderId="3" xfId="0" applyNumberFormat="1" applyFont="1" applyFill="1" applyBorder="1" applyAlignment="1">
      <alignment vertical="center"/>
    </xf>
    <xf numFmtId="167" fontId="27" fillId="21" borderId="2" xfId="0" applyNumberFormat="1" applyFont="1" applyFill="1" applyBorder="1" applyAlignment="1">
      <alignment horizontal="right"/>
    </xf>
    <xf numFmtId="4" fontId="41" fillId="21" borderId="3" xfId="0" applyNumberFormat="1" applyFont="1" applyFill="1" applyBorder="1" applyAlignment="1">
      <alignment horizontal="right" vertical="center"/>
    </xf>
    <xf numFmtId="0" fontId="1" fillId="3" borderId="2" xfId="0" applyFont="1" applyFill="1" applyBorder="1"/>
    <xf numFmtId="4" fontId="1" fillId="3" borderId="2" xfId="0" applyNumberFormat="1" applyFont="1" applyFill="1" applyBorder="1" applyAlignment="1">
      <alignment horizontal="right"/>
    </xf>
    <xf numFmtId="167" fontId="1" fillId="3" borderId="2" xfId="0" applyNumberFormat="1" applyFont="1" applyFill="1" applyBorder="1" applyAlignment="1">
      <alignment horizontal="right"/>
    </xf>
    <xf numFmtId="0" fontId="1" fillId="3" borderId="8" xfId="0" applyFont="1" applyFill="1" applyBorder="1" applyAlignment="1">
      <alignment horizontal="center" vertical="center"/>
    </xf>
    <xf numFmtId="4" fontId="1" fillId="3" borderId="8" xfId="0" applyNumberFormat="1" applyFont="1" applyFill="1" applyBorder="1" applyAlignment="1">
      <alignment horizontal="right"/>
    </xf>
    <xf numFmtId="167" fontId="1" fillId="3" borderId="8" xfId="0" applyNumberFormat="1" applyFont="1" applyFill="1" applyBorder="1" applyAlignment="1">
      <alignment horizontal="right"/>
    </xf>
    <xf numFmtId="0" fontId="52" fillId="3" borderId="14" xfId="0" applyFont="1" applyFill="1" applyBorder="1"/>
    <xf numFmtId="0" fontId="1" fillId="3" borderId="14" xfId="0" applyFont="1" applyFill="1" applyBorder="1" applyAlignment="1">
      <alignment horizontal="center" vertical="center"/>
    </xf>
    <xf numFmtId="4" fontId="1" fillId="3" borderId="14" xfId="0" applyNumberFormat="1" applyFont="1" applyFill="1" applyBorder="1" applyAlignment="1">
      <alignment horizontal="right"/>
    </xf>
    <xf numFmtId="167" fontId="1" fillId="3" borderId="14" xfId="0" applyNumberFormat="1" applyFont="1" applyFill="1" applyBorder="1" applyAlignment="1">
      <alignment horizontal="right"/>
    </xf>
    <xf numFmtId="168" fontId="27" fillId="3" borderId="3" xfId="0" applyNumberFormat="1" applyFont="1" applyFill="1" applyBorder="1" applyAlignment="1">
      <alignment horizontal="center" vertical="center"/>
    </xf>
    <xf numFmtId="170" fontId="33" fillId="23" borderId="3" xfId="0" applyNumberFormat="1" applyFont="1" applyFill="1" applyBorder="1"/>
    <xf numFmtId="0" fontId="47" fillId="25" borderId="3" xfId="0" applyFont="1" applyFill="1" applyBorder="1"/>
    <xf numFmtId="0" fontId="75" fillId="25" borderId="3" xfId="0" applyFont="1" applyFill="1" applyBorder="1"/>
    <xf numFmtId="0" fontId="47" fillId="26" borderId="3" xfId="0" applyFont="1" applyFill="1" applyBorder="1"/>
    <xf numFmtId="170" fontId="74" fillId="27" borderId="62" xfId="0" applyNumberFormat="1" applyFont="1" applyFill="1" applyBorder="1" applyAlignment="1">
      <alignment horizontal="right"/>
    </xf>
    <xf numFmtId="170" fontId="74" fillId="27" borderId="11" xfId="0" applyNumberFormat="1" applyFont="1" applyFill="1" applyBorder="1" applyAlignment="1">
      <alignment horizontal="right"/>
    </xf>
    <xf numFmtId="0" fontId="80" fillId="3" borderId="0" xfId="0" applyFont="1" applyFill="1"/>
    <xf numFmtId="0" fontId="62" fillId="15" borderId="1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3" borderId="1" xfId="0" applyFont="1" applyFill="1" applyBorder="1"/>
    <xf numFmtId="0" fontId="81" fillId="3" borderId="0" xfId="0" applyFont="1" applyFill="1"/>
    <xf numFmtId="0" fontId="2" fillId="23" borderId="3" xfId="0" applyFont="1" applyFill="1" applyBorder="1" applyAlignment="1">
      <alignment horizontal="center" vertical="center"/>
    </xf>
    <xf numFmtId="4" fontId="27" fillId="23" borderId="3" xfId="0" applyNumberFormat="1" applyFont="1" applyFill="1" applyBorder="1"/>
    <xf numFmtId="4" fontId="2" fillId="23" borderId="3" xfId="0" applyNumberFormat="1" applyFont="1" applyFill="1" applyBorder="1" applyAlignment="1">
      <alignment horizontal="right"/>
    </xf>
    <xf numFmtId="9" fontId="24" fillId="23" borderId="3" xfId="0" applyNumberFormat="1" applyFont="1" applyFill="1" applyBorder="1"/>
    <xf numFmtId="4" fontId="24" fillId="23" borderId="3" xfId="0" applyNumberFormat="1" applyFont="1" applyFill="1" applyBorder="1"/>
    <xf numFmtId="0" fontId="83" fillId="3" borderId="0" xfId="0" applyFont="1" applyFill="1" applyAlignment="1">
      <alignment vertical="center"/>
    </xf>
    <xf numFmtId="4" fontId="28" fillId="3" borderId="11" xfId="0" applyNumberFormat="1" applyFont="1" applyFill="1" applyBorder="1" applyAlignment="1">
      <alignment horizontal="right"/>
    </xf>
    <xf numFmtId="9" fontId="28" fillId="23" borderId="3" xfId="0" applyNumberFormat="1" applyFont="1" applyFill="1" applyBorder="1" applyAlignment="1">
      <alignment horizontal="right" vertical="center"/>
    </xf>
    <xf numFmtId="0" fontId="0" fillId="22" borderId="89" xfId="0" applyFill="1" applyBorder="1"/>
    <xf numFmtId="0" fontId="4" fillId="3" borderId="82" xfId="0" applyFont="1" applyFill="1" applyBorder="1" applyAlignment="1">
      <alignment horizontal="right" vertical="center"/>
    </xf>
    <xf numFmtId="2" fontId="24" fillId="28" borderId="11" xfId="0" applyNumberFormat="1" applyFont="1" applyFill="1" applyBorder="1"/>
    <xf numFmtId="0" fontId="27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4" fontId="27" fillId="3" borderId="3" xfId="0" applyNumberFormat="1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vertical="center"/>
    </xf>
    <xf numFmtId="4" fontId="2" fillId="3" borderId="3" xfId="0" applyNumberFormat="1" applyFont="1" applyFill="1" applyBorder="1" applyAlignment="1">
      <alignment horizontal="right" vertical="center"/>
    </xf>
    <xf numFmtId="0" fontId="0" fillId="0" borderId="61" xfId="0" applyBorder="1" applyAlignment="1">
      <alignment vertical="center"/>
    </xf>
    <xf numFmtId="4" fontId="2" fillId="3" borderId="45" xfId="0" applyNumberFormat="1" applyFont="1" applyFill="1" applyBorder="1" applyAlignment="1">
      <alignment horizontal="right"/>
    </xf>
    <xf numFmtId="167" fontId="33" fillId="3" borderId="45" xfId="0" applyNumberFormat="1" applyFont="1" applyFill="1" applyBorder="1" applyAlignment="1">
      <alignment horizontal="right" vertical="center"/>
    </xf>
    <xf numFmtId="167" fontId="33" fillId="3" borderId="51" xfId="0" applyNumberFormat="1" applyFont="1" applyFill="1" applyBorder="1" applyAlignment="1">
      <alignment horizontal="right" vertical="center"/>
    </xf>
    <xf numFmtId="1" fontId="3" fillId="3" borderId="3" xfId="0" applyNumberFormat="1" applyFont="1" applyFill="1" applyBorder="1" applyAlignment="1">
      <alignment horizontal="left" vertical="center"/>
    </xf>
    <xf numFmtId="167" fontId="24" fillId="21" borderId="2" xfId="0" applyNumberFormat="1" applyFont="1" applyFill="1" applyBorder="1" applyAlignment="1">
      <alignment horizontal="center"/>
    </xf>
    <xf numFmtId="0" fontId="24" fillId="3" borderId="45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left" vertical="center"/>
    </xf>
    <xf numFmtId="0" fontId="3" fillId="3" borderId="45" xfId="0" applyFont="1" applyFill="1" applyBorder="1" applyAlignment="1">
      <alignment horizontal="left" vertical="center"/>
    </xf>
    <xf numFmtId="0" fontId="3" fillId="3" borderId="47" xfId="0" applyFont="1" applyFill="1" applyBorder="1" applyAlignment="1">
      <alignment horizontal="left" vertical="center"/>
    </xf>
    <xf numFmtId="0" fontId="3" fillId="3" borderId="5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right" vertical="center"/>
    </xf>
    <xf numFmtId="0" fontId="3" fillId="21" borderId="3" xfId="0" applyFont="1" applyFill="1" applyBorder="1" applyAlignment="1">
      <alignment horizontal="right" vertical="center"/>
    </xf>
    <xf numFmtId="0" fontId="24" fillId="21" borderId="3" xfId="0" applyFont="1" applyFill="1" applyBorder="1" applyAlignment="1">
      <alignment horizontal="left" vertical="center"/>
    </xf>
    <xf numFmtId="0" fontId="24" fillId="21" borderId="2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right" vertical="center"/>
    </xf>
    <xf numFmtId="0" fontId="1" fillId="3" borderId="51" xfId="0" applyFont="1" applyFill="1" applyBorder="1" applyAlignment="1">
      <alignment horizontal="right" vertical="center"/>
    </xf>
    <xf numFmtId="0" fontId="85" fillId="0" borderId="0" xfId="7"/>
    <xf numFmtId="0" fontId="1" fillId="0" borderId="0" xfId="7" applyFont="1" applyAlignment="1">
      <alignment horizontal="center" vertical="center"/>
    </xf>
    <xf numFmtId="0" fontId="85" fillId="0" borderId="0" xfId="7" applyAlignment="1">
      <alignment horizontal="center" vertical="center"/>
    </xf>
    <xf numFmtId="0" fontId="1" fillId="0" borderId="0" xfId="7" applyFont="1"/>
    <xf numFmtId="9" fontId="85" fillId="0" borderId="0" xfId="7" applyNumberFormat="1" applyAlignment="1">
      <alignment horizontal="center"/>
    </xf>
    <xf numFmtId="0" fontId="25" fillId="0" borderId="47" xfId="7" applyFont="1" applyBorder="1" applyAlignment="1">
      <alignment horizontal="left" vertical="center"/>
    </xf>
    <xf numFmtId="0" fontId="25" fillId="0" borderId="51" xfId="7" applyFont="1" applyBorder="1" applyAlignment="1">
      <alignment vertical="center"/>
    </xf>
    <xf numFmtId="0" fontId="25" fillId="0" borderId="45" xfId="7" applyFont="1" applyBorder="1" applyAlignment="1">
      <alignment horizontal="right" vertical="center"/>
    </xf>
    <xf numFmtId="0" fontId="85" fillId="0" borderId="51" xfId="7" applyBorder="1" applyAlignment="1">
      <alignment horizontal="left" vertical="center"/>
    </xf>
    <xf numFmtId="173" fontId="0" fillId="0" borderId="51" xfId="8" applyNumberFormat="1" applyFont="1" applyFill="1" applyBorder="1" applyAlignment="1">
      <alignment horizontal="left" vertical="center"/>
    </xf>
    <xf numFmtId="4" fontId="85" fillId="0" borderId="0" xfId="7" applyNumberFormat="1"/>
    <xf numFmtId="0" fontId="26" fillId="0" borderId="3" xfId="7" applyFont="1" applyBorder="1" applyAlignment="1">
      <alignment horizontal="center" vertical="center"/>
    </xf>
    <xf numFmtId="0" fontId="26" fillId="0" borderId="3" xfId="7" applyFont="1" applyBorder="1" applyAlignment="1">
      <alignment horizontal="center" vertical="center" wrapText="1"/>
    </xf>
    <xf numFmtId="165" fontId="85" fillId="0" borderId="0" xfId="7" applyNumberFormat="1" applyAlignment="1">
      <alignment horizontal="center" vertical="center"/>
    </xf>
    <xf numFmtId="0" fontId="4" fillId="29" borderId="3" xfId="7" applyFont="1" applyFill="1" applyBorder="1" applyAlignment="1">
      <alignment vertical="center"/>
    </xf>
    <xf numFmtId="0" fontId="85" fillId="30" borderId="0" xfId="7" applyFill="1"/>
    <xf numFmtId="0" fontId="1" fillId="3" borderId="3" xfId="7" applyFont="1" applyFill="1" applyBorder="1" applyAlignment="1">
      <alignment horizontal="center"/>
    </xf>
    <xf numFmtId="0" fontId="1" fillId="3" borderId="3" xfId="7" applyFont="1" applyFill="1" applyBorder="1"/>
    <xf numFmtId="11" fontId="1" fillId="3" borderId="3" xfId="7" applyNumberFormat="1" applyFont="1" applyFill="1" applyBorder="1" applyAlignment="1">
      <alignment horizontal="center" vertical="center"/>
    </xf>
    <xf numFmtId="0" fontId="1" fillId="3" borderId="3" xfId="7" applyFont="1" applyFill="1" applyBorder="1" applyAlignment="1">
      <alignment horizontal="center" vertical="center"/>
    </xf>
    <xf numFmtId="4" fontId="85" fillId="3" borderId="3" xfId="7" applyNumberFormat="1" applyFill="1" applyBorder="1" applyAlignment="1">
      <alignment horizontal="right" vertical="center"/>
    </xf>
    <xf numFmtId="173" fontId="0" fillId="3" borderId="3" xfId="8" applyNumberFormat="1" applyFont="1" applyFill="1" applyBorder="1" applyAlignment="1">
      <alignment horizontal="right" vertical="center"/>
    </xf>
    <xf numFmtId="172" fontId="0" fillId="3" borderId="3" xfId="8" applyFont="1" applyFill="1" applyBorder="1" applyAlignment="1">
      <alignment horizontal="right" vertical="center"/>
    </xf>
    <xf numFmtId="1" fontId="85" fillId="0" borderId="0" xfId="7" applyNumberFormat="1" applyAlignment="1">
      <alignment horizontal="center" vertical="center"/>
    </xf>
    <xf numFmtId="2" fontId="85" fillId="0" borderId="0" xfId="7" applyNumberFormat="1"/>
    <xf numFmtId="174" fontId="85" fillId="0" borderId="0" xfId="7" applyNumberFormat="1"/>
    <xf numFmtId="174" fontId="85" fillId="0" borderId="0" xfId="7" applyNumberFormat="1" applyAlignment="1">
      <alignment vertical="center"/>
    </xf>
    <xf numFmtId="173" fontId="85" fillId="0" borderId="0" xfId="7" applyNumberFormat="1"/>
    <xf numFmtId="172" fontId="0" fillId="0" borderId="0" xfId="8" applyFont="1"/>
    <xf numFmtId="0" fontId="85" fillId="0" borderId="3" xfId="7" applyBorder="1" applyAlignment="1">
      <alignment horizontal="center"/>
    </xf>
    <xf numFmtId="2" fontId="85" fillId="0" borderId="0" xfId="7" applyNumberFormat="1" applyAlignment="1">
      <alignment vertical="center"/>
    </xf>
    <xf numFmtId="0" fontId="86" fillId="0" borderId="3" xfId="7" applyFont="1" applyBorder="1" applyAlignment="1">
      <alignment vertical="center"/>
    </xf>
    <xf numFmtId="4" fontId="85" fillId="0" borderId="3" xfId="7" applyNumberFormat="1" applyBorder="1" applyAlignment="1">
      <alignment horizontal="right" vertical="center"/>
    </xf>
    <xf numFmtId="0" fontId="85" fillId="0" borderId="3" xfId="7" applyBorder="1" applyAlignment="1">
      <alignment horizontal="right" vertical="center"/>
    </xf>
    <xf numFmtId="0" fontId="85" fillId="0" borderId="3" xfId="7" applyBorder="1" applyAlignment="1">
      <alignment horizontal="right"/>
    </xf>
    <xf numFmtId="0" fontId="85" fillId="3" borderId="3" xfId="7" applyFill="1" applyBorder="1" applyAlignment="1">
      <alignment horizontal="center" vertical="center"/>
    </xf>
    <xf numFmtId="0" fontId="85" fillId="3" borderId="3" xfId="7" applyFill="1" applyBorder="1" applyAlignment="1">
      <alignment horizontal="center"/>
    </xf>
    <xf numFmtId="3" fontId="85" fillId="0" borderId="0" xfId="7" applyNumberFormat="1" applyAlignment="1">
      <alignment horizontal="center" vertical="center"/>
    </xf>
    <xf numFmtId="0" fontId="1" fillId="3" borderId="3" xfId="7" applyFont="1" applyFill="1" applyBorder="1" applyAlignment="1">
      <alignment horizontal="left" vertical="center"/>
    </xf>
    <xf numFmtId="173" fontId="1" fillId="3" borderId="3" xfId="8" applyNumberFormat="1" applyFont="1" applyFill="1" applyBorder="1" applyAlignment="1">
      <alignment horizontal="right" vertical="center"/>
    </xf>
    <xf numFmtId="172" fontId="1" fillId="3" borderId="3" xfId="8" applyFont="1" applyFill="1" applyBorder="1" applyAlignment="1">
      <alignment horizontal="right" vertical="center"/>
    </xf>
    <xf numFmtId="0" fontId="4" fillId="0" borderId="3" xfId="7" applyFont="1" applyBorder="1" applyAlignment="1">
      <alignment vertical="center"/>
    </xf>
    <xf numFmtId="4" fontId="85" fillId="0" borderId="3" xfId="7" applyNumberFormat="1" applyBorder="1" applyAlignment="1">
      <alignment horizontal="center" vertical="center"/>
    </xf>
    <xf numFmtId="0" fontId="85" fillId="0" borderId="3" xfId="7" applyBorder="1" applyAlignment="1">
      <alignment horizontal="center" vertical="center"/>
    </xf>
    <xf numFmtId="0" fontId="85" fillId="0" borderId="3" xfId="7" applyBorder="1"/>
    <xf numFmtId="4" fontId="85" fillId="30" borderId="0" xfId="7" applyNumberFormat="1" applyFill="1"/>
    <xf numFmtId="0" fontId="49" fillId="29" borderId="3" xfId="7" applyFont="1" applyFill="1" applyBorder="1" applyAlignment="1">
      <alignment vertical="center"/>
    </xf>
    <xf numFmtId="0" fontId="87" fillId="3" borderId="3" xfId="7" applyFont="1" applyFill="1" applyBorder="1" applyAlignment="1">
      <alignment vertical="center"/>
    </xf>
    <xf numFmtId="0" fontId="88" fillId="3" borderId="3" xfId="7" applyFont="1" applyFill="1" applyBorder="1" applyAlignment="1">
      <alignment vertical="center"/>
    </xf>
    <xf numFmtId="0" fontId="1" fillId="31" borderId="3" xfId="7" applyFont="1" applyFill="1" applyBorder="1"/>
    <xf numFmtId="0" fontId="1" fillId="0" borderId="3" xfId="7" applyFont="1" applyBorder="1" applyAlignment="1">
      <alignment horizontal="center" vertical="center"/>
    </xf>
    <xf numFmtId="173" fontId="0" fillId="0" borderId="3" xfId="8" applyNumberFormat="1" applyFont="1" applyBorder="1" applyAlignment="1">
      <alignment horizontal="right" vertical="center"/>
    </xf>
    <xf numFmtId="172" fontId="0" fillId="0" borderId="3" xfId="8" applyFont="1" applyBorder="1" applyAlignment="1">
      <alignment horizontal="right" vertical="center"/>
    </xf>
    <xf numFmtId="0" fontId="1" fillId="0" borderId="3" xfId="7" applyFont="1" applyBorder="1" applyAlignment="1">
      <alignment horizontal="center"/>
    </xf>
    <xf numFmtId="0" fontId="4" fillId="29" borderId="3" xfId="7" applyFont="1" applyFill="1" applyBorder="1"/>
    <xf numFmtId="173" fontId="1" fillId="0" borderId="3" xfId="8" applyNumberFormat="1" applyFont="1" applyBorder="1" applyAlignment="1">
      <alignment horizontal="right" vertical="center"/>
    </xf>
    <xf numFmtId="0" fontId="85" fillId="0" borderId="0" xfId="7" applyAlignment="1">
      <alignment horizontal="center"/>
    </xf>
    <xf numFmtId="173" fontId="85" fillId="0" borderId="0" xfId="7" applyNumberFormat="1" applyAlignment="1">
      <alignment horizontal="center" vertical="center"/>
    </xf>
    <xf numFmtId="175" fontId="85" fillId="0" borderId="0" xfId="7" applyNumberFormat="1"/>
    <xf numFmtId="4" fontId="85" fillId="0" borderId="0" xfId="7" applyNumberFormat="1" applyAlignment="1">
      <alignment horizontal="center" vertical="center"/>
    </xf>
    <xf numFmtId="4" fontId="85" fillId="0" borderId="0" xfId="7" applyNumberFormat="1" applyAlignment="1">
      <alignment horizontal="right" vertical="center"/>
    </xf>
    <xf numFmtId="0" fontId="1" fillId="0" borderId="0" xfId="15"/>
    <xf numFmtId="0" fontId="13" fillId="3" borderId="3" xfId="15" applyFont="1" applyFill="1" applyBorder="1" applyAlignment="1">
      <alignment horizontal="center" vertical="center"/>
    </xf>
    <xf numFmtId="0" fontId="48" fillId="3" borderId="3" xfId="15" applyFont="1" applyFill="1" applyBorder="1" applyAlignment="1">
      <alignment horizontal="center" vertical="center"/>
    </xf>
    <xf numFmtId="0" fontId="13" fillId="3" borderId="3" xfId="15" applyFont="1" applyFill="1" applyBorder="1" applyAlignment="1">
      <alignment vertical="center"/>
    </xf>
    <xf numFmtId="2" fontId="13" fillId="3" borderId="3" xfId="19" applyNumberFormat="1" applyFont="1" applyFill="1" applyBorder="1" applyAlignment="1">
      <alignment horizontal="right" vertical="center"/>
    </xf>
    <xf numFmtId="0" fontId="13" fillId="3" borderId="3" xfId="15" applyFont="1" applyFill="1" applyBorder="1"/>
    <xf numFmtId="0" fontId="48" fillId="3" borderId="3" xfId="15" applyFont="1" applyFill="1" applyBorder="1" applyAlignment="1">
      <alignment vertical="center"/>
    </xf>
    <xf numFmtId="4" fontId="13" fillId="3" borderId="3" xfId="19" applyNumberFormat="1" applyFont="1" applyFill="1" applyBorder="1" applyAlignment="1">
      <alignment horizontal="right" vertical="center"/>
    </xf>
    <xf numFmtId="4" fontId="22" fillId="0" borderId="3" xfId="22" applyNumberFormat="1" applyBorder="1" applyAlignment="1">
      <alignment vertical="center"/>
    </xf>
    <xf numFmtId="0" fontId="1" fillId="3" borderId="3" xfId="11" applyFill="1" applyBorder="1" applyAlignment="1">
      <alignment horizontal="center" vertical="center"/>
    </xf>
    <xf numFmtId="0" fontId="1" fillId="3" borderId="3" xfId="11" applyFill="1" applyBorder="1" applyAlignment="1">
      <alignment horizontal="center"/>
    </xf>
    <xf numFmtId="0" fontId="1" fillId="3" borderId="3" xfId="11" applyFill="1" applyBorder="1" applyAlignment="1">
      <alignment wrapText="1"/>
    </xf>
    <xf numFmtId="173" fontId="1" fillId="3" borderId="3" xfId="12" applyNumberFormat="1" applyFill="1" applyBorder="1"/>
    <xf numFmtId="173" fontId="1" fillId="3" borderId="3" xfId="13" applyNumberFormat="1" applyFill="1" applyBorder="1"/>
    <xf numFmtId="173" fontId="1" fillId="3" borderId="3" xfId="14" applyNumberFormat="1" applyFill="1" applyBorder="1"/>
    <xf numFmtId="0" fontId="1" fillId="0" borderId="0" xfId="7" applyFont="1" applyAlignment="1">
      <alignment horizontal="right"/>
    </xf>
    <xf numFmtId="0" fontId="1" fillId="3" borderId="3" xfId="11" applyFill="1" applyBorder="1"/>
    <xf numFmtId="173" fontId="1" fillId="3" borderId="3" xfId="11" applyNumberFormat="1" applyFill="1" applyBorder="1" applyAlignment="1">
      <alignment horizontal="center" vertical="center"/>
    </xf>
    <xf numFmtId="0" fontId="85" fillId="0" borderId="52" xfId="7" applyBorder="1" applyAlignment="1">
      <alignment horizontal="center"/>
    </xf>
    <xf numFmtId="0" fontId="1" fillId="3" borderId="3" xfId="12" applyFill="1" applyBorder="1"/>
    <xf numFmtId="0" fontId="1" fillId="3" borderId="3" xfId="12" applyFill="1" applyBorder="1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4" fillId="3" borderId="3" xfId="12" applyFont="1" applyFill="1" applyBorder="1"/>
    <xf numFmtId="173" fontId="4" fillId="3" borderId="3" xfId="12" applyNumberFormat="1" applyFont="1" applyFill="1" applyBorder="1" applyAlignment="1">
      <alignment horizontal="center" vertical="center"/>
    </xf>
    <xf numFmtId="0" fontId="48" fillId="3" borderId="3" xfId="22" applyFont="1" applyFill="1" applyBorder="1" applyAlignment="1">
      <alignment horizontal="center" vertical="center"/>
    </xf>
    <xf numFmtId="4" fontId="23" fillId="0" borderId="3" xfId="22" applyNumberFormat="1" applyFont="1" applyBorder="1" applyAlignment="1">
      <alignment horizontal="center" vertical="center"/>
    </xf>
    <xf numFmtId="0" fontId="23" fillId="0" borderId="3" xfId="22" applyFont="1" applyBorder="1" applyAlignment="1">
      <alignment horizontal="center" vertical="center"/>
    </xf>
    <xf numFmtId="4" fontId="85" fillId="0" borderId="3" xfId="7" applyNumberFormat="1" applyBorder="1"/>
    <xf numFmtId="4" fontId="85" fillId="0" borderId="11" xfId="7" applyNumberFormat="1" applyBorder="1"/>
    <xf numFmtId="4" fontId="22" fillId="0" borderId="3" xfId="22" applyNumberFormat="1" applyBorder="1" applyAlignment="1">
      <alignment horizontal="center" vertical="center"/>
    </xf>
    <xf numFmtId="0" fontId="22" fillId="0" borderId="3" xfId="22" applyBorder="1" applyAlignment="1">
      <alignment horizontal="center" vertical="center"/>
    </xf>
    <xf numFmtId="0" fontId="22" fillId="0" borderId="45" xfId="22" applyBorder="1" applyAlignment="1">
      <alignment horizontal="center" vertical="center"/>
    </xf>
    <xf numFmtId="4" fontId="4" fillId="29" borderId="92" xfId="7" applyNumberFormat="1" applyFont="1" applyFill="1" applyBorder="1" applyAlignment="1">
      <alignment horizontal="center" vertical="center"/>
    </xf>
    <xf numFmtId="0" fontId="1" fillId="29" borderId="93" xfId="7" applyFont="1" applyFill="1" applyBorder="1" applyAlignment="1">
      <alignment horizontal="center" vertical="center"/>
    </xf>
    <xf numFmtId="0" fontId="27" fillId="3" borderId="3" xfId="7" applyFont="1" applyFill="1" applyBorder="1" applyAlignment="1">
      <alignment horizontal="left" vertical="center"/>
    </xf>
    <xf numFmtId="0" fontId="27" fillId="3" borderId="3" xfId="7" applyFont="1" applyFill="1" applyBorder="1" applyAlignment="1">
      <alignment horizontal="center" vertical="center"/>
    </xf>
    <xf numFmtId="0" fontId="27" fillId="3" borderId="3" xfId="7" applyFont="1" applyFill="1" applyBorder="1" applyAlignment="1">
      <alignment horizontal="center"/>
    </xf>
    <xf numFmtId="3" fontId="27" fillId="3" borderId="3" xfId="7" applyNumberFormat="1" applyFont="1" applyFill="1" applyBorder="1" applyAlignment="1">
      <alignment horizontal="right" vertical="center"/>
    </xf>
    <xf numFmtId="166" fontId="27" fillId="3" borderId="3" xfId="7" applyNumberFormat="1" applyFont="1" applyFill="1" applyBorder="1" applyAlignment="1">
      <alignment horizontal="center" vertical="center"/>
    </xf>
    <xf numFmtId="4" fontId="27" fillId="3" borderId="3" xfId="7" applyNumberFormat="1" applyFont="1" applyFill="1" applyBorder="1" applyAlignment="1">
      <alignment horizontal="right" vertical="center"/>
    </xf>
    <xf numFmtId="166" fontId="27" fillId="3" borderId="3" xfId="7" applyNumberFormat="1" applyFont="1" applyFill="1" applyBorder="1" applyAlignment="1">
      <alignment horizontal="right"/>
    </xf>
    <xf numFmtId="3" fontId="27" fillId="3" borderId="3" xfId="7" applyNumberFormat="1" applyFont="1" applyFill="1" applyBorder="1" applyAlignment="1">
      <alignment horizontal="right"/>
    </xf>
    <xf numFmtId="0" fontId="27" fillId="3" borderId="3" xfId="7" applyFont="1" applyFill="1" applyBorder="1" applyAlignment="1">
      <alignment horizontal="left" vertical="center" wrapText="1"/>
    </xf>
    <xf numFmtId="0" fontId="27" fillId="3" borderId="3" xfId="7" applyFont="1" applyFill="1" applyBorder="1"/>
    <xf numFmtId="166" fontId="27" fillId="3" borderId="3" xfId="7" applyNumberFormat="1" applyFont="1" applyFill="1" applyBorder="1" applyAlignment="1">
      <alignment horizontal="center"/>
    </xf>
    <xf numFmtId="4" fontId="27" fillId="3" borderId="3" xfId="7" applyNumberFormat="1" applyFont="1" applyFill="1" applyBorder="1"/>
    <xf numFmtId="166" fontId="27" fillId="3" borderId="3" xfId="7" applyNumberFormat="1" applyFont="1" applyFill="1" applyBorder="1"/>
    <xf numFmtId="167" fontId="61" fillId="14" borderId="3" xfId="7" applyNumberFormat="1" applyFont="1" applyFill="1" applyBorder="1"/>
    <xf numFmtId="167" fontId="27" fillId="3" borderId="3" xfId="7" applyNumberFormat="1" applyFont="1" applyFill="1" applyBorder="1" applyAlignment="1">
      <alignment horizontal="right"/>
    </xf>
    <xf numFmtId="4" fontId="27" fillId="3" borderId="3" xfId="7" applyNumberFormat="1" applyFont="1" applyFill="1" applyBorder="1" applyAlignment="1">
      <alignment horizontal="right"/>
    </xf>
    <xf numFmtId="11" fontId="27" fillId="3" borderId="3" xfId="7" applyNumberFormat="1" applyFont="1" applyFill="1" applyBorder="1" applyAlignment="1">
      <alignment horizontal="center" vertical="center"/>
    </xf>
    <xf numFmtId="4" fontId="85" fillId="3" borderId="11" xfId="7" applyNumberFormat="1" applyFill="1" applyBorder="1" applyAlignment="1">
      <alignment vertical="center"/>
    </xf>
    <xf numFmtId="4" fontId="85" fillId="3" borderId="86" xfId="7" applyNumberFormat="1" applyFill="1" applyBorder="1" applyAlignment="1">
      <alignment vertical="center"/>
    </xf>
    <xf numFmtId="4" fontId="85" fillId="3" borderId="2" xfId="7" applyNumberFormat="1" applyFill="1" applyBorder="1" applyAlignment="1">
      <alignment vertical="center"/>
    </xf>
    <xf numFmtId="4" fontId="27" fillId="3" borderId="45" xfId="0" applyNumberFormat="1" applyFont="1" applyFill="1" applyBorder="1" applyAlignment="1">
      <alignment horizontal="center"/>
    </xf>
    <xf numFmtId="3" fontId="27" fillId="3" borderId="3" xfId="0" applyNumberFormat="1" applyFont="1" applyFill="1" applyBorder="1" applyAlignment="1">
      <alignment horizontal="right"/>
    </xf>
    <xf numFmtId="0" fontId="2" fillId="3" borderId="9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7" fillId="3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3" fillId="6" borderId="0" xfId="0" applyFont="1" applyFill="1"/>
    <xf numFmtId="4" fontId="23" fillId="6" borderId="0" xfId="0" applyNumberFormat="1" applyFont="1" applyFill="1"/>
    <xf numFmtId="0" fontId="74" fillId="27" borderId="89" xfId="0" applyFont="1" applyFill="1" applyBorder="1" applyAlignment="1">
      <alignment horizontal="left" vertical="center" wrapText="1"/>
    </xf>
    <xf numFmtId="0" fontId="74" fillId="27" borderId="62" xfId="0" applyFont="1" applyFill="1" applyBorder="1" applyAlignment="1">
      <alignment horizontal="left" vertical="center" wrapText="1"/>
    </xf>
    <xf numFmtId="0" fontId="74" fillId="26" borderId="80" xfId="0" applyFont="1" applyFill="1" applyBorder="1" applyAlignment="1">
      <alignment horizontal="right" vertical="center"/>
    </xf>
    <xf numFmtId="0" fontId="74" fillId="26" borderId="10" xfId="0" applyFont="1" applyFill="1" applyBorder="1" applyAlignment="1">
      <alignment horizontal="right" vertical="center"/>
    </xf>
    <xf numFmtId="0" fontId="33" fillId="0" borderId="45" xfId="0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170" fontId="57" fillId="23" borderId="62" xfId="0" applyNumberFormat="1" applyFont="1" applyFill="1" applyBorder="1" applyAlignment="1">
      <alignment horizontal="center" vertical="top"/>
    </xf>
    <xf numFmtId="170" fontId="57" fillId="23" borderId="86" xfId="0" applyNumberFormat="1" applyFont="1" applyFill="1" applyBorder="1" applyAlignment="1">
      <alignment horizontal="center" vertical="top"/>
    </xf>
    <xf numFmtId="170" fontId="57" fillId="23" borderId="2" xfId="0" applyNumberFormat="1" applyFont="1" applyFill="1" applyBorder="1" applyAlignment="1">
      <alignment horizontal="center" vertical="top"/>
    </xf>
    <xf numFmtId="0" fontId="43" fillId="0" borderId="0" xfId="0" applyFont="1" applyAlignment="1">
      <alignment horizontal="center"/>
    </xf>
    <xf numFmtId="0" fontId="58" fillId="15" borderId="45" xfId="0" applyFont="1" applyFill="1" applyBorder="1" applyAlignment="1">
      <alignment horizontal="center" vertical="center"/>
    </xf>
    <xf numFmtId="0" fontId="58" fillId="15" borderId="47" xfId="0" applyFont="1" applyFill="1" applyBorder="1" applyAlignment="1">
      <alignment horizontal="center" vertical="center"/>
    </xf>
    <xf numFmtId="0" fontId="58" fillId="15" borderId="5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0" fillId="0" borderId="0" xfId="0" applyFont="1" applyAlignment="1">
      <alignment horizontal="left"/>
    </xf>
    <xf numFmtId="0" fontId="33" fillId="0" borderId="45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170" fontId="57" fillId="0" borderId="11" xfId="0" applyNumberFormat="1" applyFont="1" applyBorder="1" applyAlignment="1">
      <alignment horizontal="right" vertical="top"/>
    </xf>
    <xf numFmtId="0" fontId="33" fillId="0" borderId="86" xfId="0" applyFont="1" applyBorder="1" applyAlignment="1">
      <alignment horizontal="right"/>
    </xf>
    <xf numFmtId="0" fontId="33" fillId="0" borderId="2" xfId="0" applyFont="1" applyBorder="1" applyAlignment="1">
      <alignment horizontal="right"/>
    </xf>
    <xf numFmtId="0" fontId="33" fillId="0" borderId="47" xfId="0" applyFont="1" applyBorder="1" applyAlignment="1">
      <alignment horizontal="center"/>
    </xf>
    <xf numFmtId="0" fontId="33" fillId="0" borderId="51" xfId="0" applyFont="1" applyBorder="1" applyAlignment="1">
      <alignment horizontal="center"/>
    </xf>
    <xf numFmtId="170" fontId="33" fillId="0" borderId="45" xfId="0" applyNumberFormat="1" applyFont="1" applyBorder="1" applyAlignment="1">
      <alignment horizontal="left" vertical="center"/>
    </xf>
    <xf numFmtId="170" fontId="57" fillId="0" borderId="86" xfId="0" applyNumberFormat="1" applyFont="1" applyBorder="1" applyAlignment="1">
      <alignment horizontal="right" vertical="top"/>
    </xf>
    <xf numFmtId="170" fontId="57" fillId="0" borderId="2" xfId="0" applyNumberFormat="1" applyFont="1" applyBorder="1" applyAlignment="1">
      <alignment horizontal="right" vertical="top"/>
    </xf>
    <xf numFmtId="0" fontId="28" fillId="15" borderId="3" xfId="0" applyFont="1" applyFill="1" applyBorder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28" fillId="13" borderId="47" xfId="0" applyFont="1" applyFill="1" applyBorder="1" applyAlignment="1">
      <alignment horizontal="center" vertical="center"/>
    </xf>
    <xf numFmtId="0" fontId="28" fillId="13" borderId="5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7" fillId="15" borderId="45" xfId="0" applyFont="1" applyFill="1" applyBorder="1" applyAlignment="1">
      <alignment horizontal="left" vertical="center"/>
    </xf>
    <xf numFmtId="0" fontId="57" fillId="15" borderId="47" xfId="0" applyFont="1" applyFill="1" applyBorder="1" applyAlignment="1">
      <alignment horizontal="left" vertical="center"/>
    </xf>
    <xf numFmtId="0" fontId="57" fillId="15" borderId="51" xfId="0" applyFont="1" applyFill="1" applyBorder="1" applyAlignment="1">
      <alignment horizontal="left" vertical="center"/>
    </xf>
    <xf numFmtId="170" fontId="57" fillId="23" borderId="11" xfId="0" applyNumberFormat="1" applyFont="1" applyFill="1" applyBorder="1" applyAlignment="1">
      <alignment horizontal="right" vertical="top"/>
    </xf>
    <xf numFmtId="170" fontId="57" fillId="23" borderId="86" xfId="0" applyNumberFormat="1" applyFont="1" applyFill="1" applyBorder="1" applyAlignment="1">
      <alignment horizontal="right" vertical="top"/>
    </xf>
    <xf numFmtId="170" fontId="57" fillId="23" borderId="2" xfId="0" applyNumberFormat="1" applyFont="1" applyFill="1" applyBorder="1" applyAlignment="1">
      <alignment horizontal="right" vertical="top"/>
    </xf>
    <xf numFmtId="0" fontId="75" fillId="26" borderId="11" xfId="0" applyFont="1" applyFill="1" applyBorder="1" applyAlignment="1">
      <alignment horizontal="center" vertical="top"/>
    </xf>
    <xf numFmtId="0" fontId="75" fillId="26" borderId="86" xfId="0" applyFont="1" applyFill="1" applyBorder="1" applyAlignment="1">
      <alignment horizontal="center" vertical="top"/>
    </xf>
    <xf numFmtId="0" fontId="75" fillId="26" borderId="2" xfId="0" applyFont="1" applyFill="1" applyBorder="1" applyAlignment="1">
      <alignment horizontal="center" vertical="top"/>
    </xf>
    <xf numFmtId="0" fontId="75" fillId="25" borderId="11" xfId="0" applyFont="1" applyFill="1" applyBorder="1" applyAlignment="1">
      <alignment horizontal="center" vertical="top"/>
    </xf>
    <xf numFmtId="0" fontId="75" fillId="25" borderId="86" xfId="0" applyFont="1" applyFill="1" applyBorder="1" applyAlignment="1">
      <alignment horizontal="center" vertical="top"/>
    </xf>
    <xf numFmtId="0" fontId="75" fillId="25" borderId="2" xfId="0" applyFont="1" applyFill="1" applyBorder="1" applyAlignment="1">
      <alignment horizontal="center" vertical="top"/>
    </xf>
    <xf numFmtId="0" fontId="57" fillId="25" borderId="45" xfId="0" applyFont="1" applyFill="1" applyBorder="1" applyAlignment="1">
      <alignment horizontal="right"/>
    </xf>
    <xf numFmtId="0" fontId="57" fillId="25" borderId="51" xfId="0" applyFont="1" applyFill="1" applyBorder="1" applyAlignment="1">
      <alignment horizontal="right"/>
    </xf>
    <xf numFmtId="0" fontId="57" fillId="26" borderId="45" xfId="0" applyFont="1" applyFill="1" applyBorder="1" applyAlignment="1">
      <alignment horizontal="right"/>
    </xf>
    <xf numFmtId="0" fontId="57" fillId="26" borderId="51" xfId="0" applyFont="1" applyFill="1" applyBorder="1" applyAlignment="1">
      <alignment horizontal="right"/>
    </xf>
    <xf numFmtId="0" fontId="4" fillId="25" borderId="45" xfId="0" applyFont="1" applyFill="1" applyBorder="1" applyAlignment="1">
      <alignment horizontal="right"/>
    </xf>
    <xf numFmtId="0" fontId="4" fillId="25" borderId="51" xfId="0" applyFont="1" applyFill="1" applyBorder="1" applyAlignment="1">
      <alignment horizontal="right"/>
    </xf>
    <xf numFmtId="171" fontId="73" fillId="26" borderId="9" xfId="0" applyNumberFormat="1" applyFont="1" applyFill="1" applyBorder="1" applyAlignment="1">
      <alignment horizontal="center"/>
    </xf>
    <xf numFmtId="171" fontId="73" fillId="26" borderId="81" xfId="0" applyNumberFormat="1" applyFont="1" applyFill="1" applyBorder="1" applyAlignment="1">
      <alignment horizontal="center"/>
    </xf>
    <xf numFmtId="0" fontId="50" fillId="0" borderId="88" xfId="0" applyFont="1" applyBorder="1" applyAlignment="1">
      <alignment horizontal="left" vertical="center"/>
    </xf>
    <xf numFmtId="0" fontId="57" fillId="22" borderId="47" xfId="0" applyFont="1" applyFill="1" applyBorder="1" applyAlignment="1">
      <alignment horizontal="center"/>
    </xf>
    <xf numFmtId="0" fontId="57" fillId="22" borderId="51" xfId="0" applyFont="1" applyFill="1" applyBorder="1" applyAlignment="1">
      <alignment horizontal="center"/>
    </xf>
    <xf numFmtId="0" fontId="57" fillId="23" borderId="47" xfId="0" applyFont="1" applyFill="1" applyBorder="1" applyAlignment="1">
      <alignment horizontal="center"/>
    </xf>
    <xf numFmtId="0" fontId="57" fillId="23" borderId="51" xfId="0" applyFont="1" applyFill="1" applyBorder="1" applyAlignment="1">
      <alignment horizontal="center"/>
    </xf>
    <xf numFmtId="170" fontId="4" fillId="23" borderId="11" xfId="0" applyNumberFormat="1" applyFont="1" applyFill="1" applyBorder="1" applyAlignment="1">
      <alignment horizontal="right" vertical="center"/>
    </xf>
    <xf numFmtId="170" fontId="4" fillId="23" borderId="86" xfId="0" applyNumberFormat="1" applyFont="1" applyFill="1" applyBorder="1" applyAlignment="1">
      <alignment horizontal="right" vertical="center"/>
    </xf>
    <xf numFmtId="170" fontId="4" fillId="23" borderId="2" xfId="0" applyNumberFormat="1" applyFont="1" applyFill="1" applyBorder="1" applyAlignment="1">
      <alignment horizontal="right" vertical="center"/>
    </xf>
    <xf numFmtId="170" fontId="73" fillId="26" borderId="10" xfId="0" applyNumberFormat="1" applyFont="1" applyFill="1" applyBorder="1" applyAlignment="1">
      <alignment horizontal="center" vertical="center"/>
    </xf>
    <xf numFmtId="170" fontId="73" fillId="26" borderId="5" xfId="0" applyNumberFormat="1" applyFont="1" applyFill="1" applyBorder="1" applyAlignment="1">
      <alignment horizontal="center" vertical="center"/>
    </xf>
    <xf numFmtId="0" fontId="66" fillId="0" borderId="6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77" fillId="0" borderId="72" xfId="0" applyFont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5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/>
    </xf>
    <xf numFmtId="0" fontId="28" fillId="16" borderId="45" xfId="0" applyFont="1" applyFill="1" applyBorder="1" applyAlignment="1">
      <alignment horizontal="center"/>
    </xf>
    <xf numFmtId="0" fontId="28" fillId="16" borderId="51" xfId="0" applyFont="1" applyFill="1" applyBorder="1" applyAlignment="1">
      <alignment horizontal="center"/>
    </xf>
    <xf numFmtId="0" fontId="42" fillId="10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42" fillId="10" borderId="11" xfId="0" applyFont="1" applyFill="1" applyBorder="1" applyAlignment="1">
      <alignment horizontal="center" vertical="center" wrapText="1"/>
    </xf>
    <xf numFmtId="0" fontId="42" fillId="10" borderId="2" xfId="0" applyFont="1" applyFill="1" applyBorder="1" applyAlignment="1">
      <alignment horizontal="center" vertical="center" wrapText="1"/>
    </xf>
    <xf numFmtId="0" fontId="42" fillId="10" borderId="11" xfId="0" applyFont="1" applyFill="1" applyBorder="1" applyAlignment="1">
      <alignment horizontal="center" vertical="center"/>
    </xf>
    <xf numFmtId="0" fontId="42" fillId="10" borderId="2" xfId="0" applyFont="1" applyFill="1" applyBorder="1" applyAlignment="1">
      <alignment horizontal="center" vertical="center"/>
    </xf>
    <xf numFmtId="0" fontId="63" fillId="10" borderId="3" xfId="0" applyFont="1" applyFill="1" applyBorder="1" applyAlignment="1">
      <alignment horizontal="center" vertical="center" wrapText="1"/>
    </xf>
    <xf numFmtId="0" fontId="28" fillId="0" borderId="45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31" fillId="13" borderId="45" xfId="0" applyFont="1" applyFill="1" applyBorder="1" applyAlignment="1">
      <alignment horizontal="center"/>
    </xf>
    <xf numFmtId="0" fontId="31" fillId="13" borderId="51" xfId="0" applyFont="1" applyFill="1" applyBorder="1" applyAlignment="1">
      <alignment horizontal="center"/>
    </xf>
    <xf numFmtId="0" fontId="31" fillId="6" borderId="45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/>
    </xf>
    <xf numFmtId="0" fontId="31" fillId="0" borderId="45" xfId="0" applyFont="1" applyBorder="1" applyAlignment="1">
      <alignment horizontal="center"/>
    </xf>
    <xf numFmtId="0" fontId="31" fillId="0" borderId="5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16" borderId="45" xfId="0" applyFont="1" applyFill="1" applyBorder="1" applyAlignment="1">
      <alignment horizontal="left"/>
    </xf>
    <xf numFmtId="0" fontId="4" fillId="16" borderId="51" xfId="0" applyFont="1" applyFill="1" applyBorder="1" applyAlignment="1">
      <alignment horizontal="left"/>
    </xf>
    <xf numFmtId="0" fontId="4" fillId="6" borderId="45" xfId="0" applyFont="1" applyFill="1" applyBorder="1" applyAlignment="1">
      <alignment horizontal="left" vertical="center"/>
    </xf>
    <xf numFmtId="0" fontId="4" fillId="6" borderId="5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3" fillId="0" borderId="3" xfId="0" applyFont="1" applyBorder="1" applyAlignment="1">
      <alignment horizontal="center"/>
    </xf>
    <xf numFmtId="0" fontId="44" fillId="10" borderId="11" xfId="0" applyFont="1" applyFill="1" applyBorder="1" applyAlignment="1">
      <alignment horizontal="center" vertical="center" wrapText="1"/>
    </xf>
    <xf numFmtId="0" fontId="44" fillId="10" borderId="2" xfId="0" applyFont="1" applyFill="1" applyBorder="1" applyAlignment="1">
      <alignment horizontal="center" vertical="center" wrapText="1"/>
    </xf>
    <xf numFmtId="0" fontId="38" fillId="0" borderId="1" xfId="7" applyFont="1" applyBorder="1" applyAlignment="1">
      <alignment horizontal="center" vertical="center"/>
    </xf>
    <xf numFmtId="0" fontId="26" fillId="3" borderId="61" xfId="7" applyFont="1" applyFill="1" applyBorder="1" applyAlignment="1">
      <alignment horizontal="center" vertical="center"/>
    </xf>
    <xf numFmtId="0" fontId="26" fillId="0" borderId="45" xfId="7" applyFont="1" applyBorder="1" applyAlignment="1">
      <alignment horizontal="right" vertical="center"/>
    </xf>
    <xf numFmtId="0" fontId="26" fillId="0" borderId="47" xfId="7" applyFont="1" applyBorder="1" applyAlignment="1">
      <alignment horizontal="right" vertical="center"/>
    </xf>
    <xf numFmtId="0" fontId="25" fillId="0" borderId="1" xfId="7" applyFont="1" applyBorder="1" applyAlignment="1">
      <alignment horizontal="center" vertical="center"/>
    </xf>
    <xf numFmtId="0" fontId="46" fillId="21" borderId="89" xfId="0" applyFont="1" applyFill="1" applyBorder="1" applyAlignment="1">
      <alignment horizontal="center" vertical="center"/>
    </xf>
    <xf numFmtId="0" fontId="46" fillId="21" borderId="61" xfId="0" applyFont="1" applyFill="1" applyBorder="1" applyAlignment="1">
      <alignment horizontal="center" vertical="center"/>
    </xf>
    <xf numFmtId="0" fontId="46" fillId="21" borderId="62" xfId="0" applyFont="1" applyFill="1" applyBorder="1" applyAlignment="1">
      <alignment horizontal="center" vertical="center"/>
    </xf>
    <xf numFmtId="0" fontId="46" fillId="21" borderId="72" xfId="0" applyFont="1" applyFill="1" applyBorder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0" fontId="46" fillId="21" borderId="52" xfId="0" applyFont="1" applyFill="1" applyBorder="1" applyAlignment="1">
      <alignment horizontal="center" vertical="center"/>
    </xf>
    <xf numFmtId="0" fontId="89" fillId="21" borderId="90" xfId="0" applyFont="1" applyFill="1" applyBorder="1" applyAlignment="1">
      <alignment horizontal="center" vertical="center"/>
    </xf>
    <xf numFmtId="0" fontId="89" fillId="21" borderId="1" xfId="0" applyFont="1" applyFill="1" applyBorder="1" applyAlignment="1">
      <alignment horizontal="center" vertical="center"/>
    </xf>
    <xf numFmtId="0" fontId="89" fillId="21" borderId="4" xfId="0" applyFont="1" applyFill="1" applyBorder="1" applyAlignment="1">
      <alignment horizontal="center" vertical="center"/>
    </xf>
    <xf numFmtId="0" fontId="85" fillId="30" borderId="0" xfId="7" applyFill="1" applyAlignment="1">
      <alignment horizontal="center"/>
    </xf>
    <xf numFmtId="0" fontId="86" fillId="0" borderId="3" xfId="7" applyFont="1" applyBorder="1" applyAlignment="1">
      <alignment horizontal="center" vertical="center"/>
    </xf>
    <xf numFmtId="173" fontId="85" fillId="30" borderId="0" xfId="7" applyNumberFormat="1" applyFill="1" applyAlignment="1">
      <alignment horizontal="center"/>
    </xf>
    <xf numFmtId="0" fontId="85" fillId="0" borderId="11" xfId="7" applyBorder="1" applyAlignment="1">
      <alignment horizontal="center" vertical="center"/>
    </xf>
    <xf numFmtId="0" fontId="85" fillId="0" borderId="86" xfId="7" applyBorder="1" applyAlignment="1">
      <alignment horizontal="center" vertical="center"/>
    </xf>
    <xf numFmtId="0" fontId="85" fillId="0" borderId="2" xfId="7" applyBorder="1" applyAlignment="1">
      <alignment horizontal="center" vertical="center"/>
    </xf>
    <xf numFmtId="0" fontId="1" fillId="3" borderId="11" xfId="7" applyFont="1" applyFill="1" applyBorder="1" applyAlignment="1">
      <alignment horizontal="left" vertical="center" wrapText="1"/>
    </xf>
    <xf numFmtId="0" fontId="1" fillId="3" borderId="86" xfId="7" applyFont="1" applyFill="1" applyBorder="1" applyAlignment="1">
      <alignment horizontal="left" vertical="center" wrapText="1"/>
    </xf>
    <xf numFmtId="0" fontId="1" fillId="3" borderId="2" xfId="7" applyFont="1" applyFill="1" applyBorder="1" applyAlignment="1">
      <alignment horizontal="left" vertical="center" wrapText="1"/>
    </xf>
    <xf numFmtId="0" fontId="85" fillId="3" borderId="3" xfId="7" applyFill="1" applyBorder="1" applyAlignment="1">
      <alignment horizontal="center" vertical="center"/>
    </xf>
    <xf numFmtId="0" fontId="1" fillId="3" borderId="3" xfId="7" applyFont="1" applyFill="1" applyBorder="1" applyAlignment="1">
      <alignment horizontal="center" vertical="center"/>
    </xf>
    <xf numFmtId="173" fontId="0" fillId="3" borderId="11" xfId="8" applyNumberFormat="1" applyFont="1" applyFill="1" applyBorder="1" applyAlignment="1">
      <alignment horizontal="right" vertical="center"/>
    </xf>
    <xf numFmtId="173" fontId="0" fillId="3" borderId="86" xfId="8" applyNumberFormat="1" applyFont="1" applyFill="1" applyBorder="1" applyAlignment="1">
      <alignment horizontal="right" vertical="center"/>
    </xf>
    <xf numFmtId="173" fontId="0" fillId="3" borderId="2" xfId="8" applyNumberFormat="1" applyFont="1" applyFill="1" applyBorder="1" applyAlignment="1">
      <alignment horizontal="right" vertical="center"/>
    </xf>
    <xf numFmtId="4" fontId="85" fillId="30" borderId="0" xfId="7" applyNumberFormat="1" applyFill="1" applyAlignment="1">
      <alignment horizontal="center"/>
    </xf>
    <xf numFmtId="172" fontId="0" fillId="3" borderId="3" xfId="8" applyFont="1" applyFill="1" applyBorder="1" applyAlignment="1">
      <alignment horizontal="right" vertical="center"/>
    </xf>
    <xf numFmtId="3" fontId="85" fillId="0" borderId="0" xfId="7" applyNumberFormat="1" applyAlignment="1">
      <alignment horizontal="center" vertical="center"/>
    </xf>
    <xf numFmtId="2" fontId="85" fillId="0" borderId="0" xfId="7" applyNumberFormat="1" applyAlignment="1">
      <alignment horizontal="right" vertical="center"/>
    </xf>
    <xf numFmtId="0" fontId="85" fillId="0" borderId="0" xfId="7" applyAlignment="1">
      <alignment horizontal="right" vertical="center"/>
    </xf>
    <xf numFmtId="174" fontId="85" fillId="0" borderId="0" xfId="7" applyNumberFormat="1" applyAlignment="1">
      <alignment horizontal="right" vertical="center"/>
    </xf>
    <xf numFmtId="173" fontId="85" fillId="0" borderId="0" xfId="7" applyNumberFormat="1" applyAlignment="1">
      <alignment horizontal="right" vertical="center"/>
    </xf>
    <xf numFmtId="172" fontId="0" fillId="0" borderId="0" xfId="8" applyFont="1" applyAlignment="1">
      <alignment horizontal="right" vertical="center"/>
    </xf>
    <xf numFmtId="0" fontId="38" fillId="0" borderId="0" xfId="7" applyFont="1" applyAlignment="1">
      <alignment horizontal="center" vertical="center"/>
    </xf>
    <xf numFmtId="0" fontId="46" fillId="3" borderId="47" xfId="7" applyFont="1" applyFill="1" applyBorder="1" applyAlignment="1">
      <alignment horizontal="center" vertical="center"/>
    </xf>
    <xf numFmtId="0" fontId="13" fillId="3" borderId="3" xfId="15" applyFont="1" applyFill="1" applyBorder="1" applyAlignment="1">
      <alignment horizontal="center" vertical="center"/>
    </xf>
    <xf numFmtId="2" fontId="13" fillId="3" borderId="3" xfId="19" applyNumberFormat="1" applyFont="1" applyFill="1" applyBorder="1" applyAlignment="1">
      <alignment horizontal="right" vertical="center"/>
    </xf>
    <xf numFmtId="0" fontId="46" fillId="22" borderId="89" xfId="0" applyFont="1" applyFill="1" applyBorder="1" applyAlignment="1">
      <alignment horizontal="center" vertical="center"/>
    </xf>
    <xf numFmtId="0" fontId="46" fillId="22" borderId="61" xfId="0" applyFont="1" applyFill="1" applyBorder="1" applyAlignment="1">
      <alignment horizontal="center" vertical="center"/>
    </xf>
    <xf numFmtId="0" fontId="46" fillId="22" borderId="62" xfId="0" applyFont="1" applyFill="1" applyBorder="1" applyAlignment="1">
      <alignment horizontal="center" vertical="center"/>
    </xf>
    <xf numFmtId="0" fontId="46" fillId="22" borderId="72" xfId="0" applyFont="1" applyFill="1" applyBorder="1" applyAlignment="1">
      <alignment horizontal="center" vertical="center"/>
    </xf>
    <xf numFmtId="0" fontId="46" fillId="22" borderId="0" xfId="0" applyFont="1" applyFill="1" applyAlignment="1">
      <alignment horizontal="center" vertical="center"/>
    </xf>
    <xf numFmtId="0" fontId="46" fillId="22" borderId="52" xfId="0" applyFont="1" applyFill="1" applyBorder="1" applyAlignment="1">
      <alignment horizontal="center" vertical="center"/>
    </xf>
    <xf numFmtId="0" fontId="46" fillId="22" borderId="90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/>
    </xf>
    <xf numFmtId="0" fontId="46" fillId="22" borderId="4" xfId="0" applyFont="1" applyFill="1" applyBorder="1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1" fillId="0" borderId="0" xfId="7" applyFont="1" applyAlignment="1">
      <alignment horizontal="left" vertical="center"/>
    </xf>
    <xf numFmtId="0" fontId="13" fillId="0" borderId="61" xfId="7" applyFont="1" applyBorder="1" applyAlignment="1">
      <alignment horizontal="center"/>
    </xf>
    <xf numFmtId="0" fontId="14" fillId="0" borderId="45" xfId="15" applyFont="1" applyBorder="1" applyAlignment="1">
      <alignment horizontal="center"/>
    </xf>
    <xf numFmtId="0" fontId="14" fillId="0" borderId="51" xfId="15" applyFont="1" applyBorder="1" applyAlignment="1">
      <alignment horizontal="center"/>
    </xf>
    <xf numFmtId="0" fontId="1" fillId="29" borderId="3" xfId="11" applyFill="1" applyBorder="1" applyAlignment="1">
      <alignment horizontal="center"/>
    </xf>
    <xf numFmtId="0" fontId="1" fillId="3" borderId="3" xfId="11" applyFill="1" applyBorder="1" applyAlignment="1">
      <alignment horizontal="center" vertical="center"/>
    </xf>
    <xf numFmtId="170" fontId="4" fillId="0" borderId="0" xfId="7" applyNumberFormat="1" applyFont="1" applyAlignment="1">
      <alignment horizontal="left" vertical="center"/>
    </xf>
    <xf numFmtId="0" fontId="85" fillId="0" borderId="61" xfId="7" applyBorder="1" applyAlignment="1">
      <alignment horizontal="center"/>
    </xf>
    <xf numFmtId="0" fontId="85" fillId="0" borderId="62" xfId="7" applyBorder="1" applyAlignment="1">
      <alignment horizontal="center"/>
    </xf>
    <xf numFmtId="0" fontId="4" fillId="0" borderId="0" xfId="7" applyFont="1" applyAlignment="1">
      <alignment horizontal="left" vertical="center"/>
    </xf>
    <xf numFmtId="0" fontId="33" fillId="3" borderId="87" xfId="0" applyFont="1" applyFill="1" applyBorder="1" applyAlignment="1">
      <alignment horizontal="center" vertical="center"/>
    </xf>
    <xf numFmtId="0" fontId="33" fillId="3" borderId="86" xfId="0" applyFont="1" applyFill="1" applyBorder="1" applyAlignment="1">
      <alignment horizontal="center" vertical="center"/>
    </xf>
    <xf numFmtId="0" fontId="33" fillId="3" borderId="65" xfId="0" applyFont="1" applyFill="1" applyBorder="1" applyAlignment="1">
      <alignment horizontal="center" vertical="center"/>
    </xf>
    <xf numFmtId="0" fontId="28" fillId="21" borderId="14" xfId="0" applyFont="1" applyFill="1" applyBorder="1" applyAlignment="1">
      <alignment horizontal="left" vertical="center"/>
    </xf>
    <xf numFmtId="0" fontId="28" fillId="21" borderId="14" xfId="0" applyFont="1" applyFill="1" applyBorder="1" applyAlignment="1">
      <alignment horizontal="right" vertical="center"/>
    </xf>
    <xf numFmtId="0" fontId="33" fillId="3" borderId="14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28" fillId="21" borderId="12" xfId="0" applyFont="1" applyFill="1" applyBorder="1" applyAlignment="1">
      <alignment horizontal="left" vertical="center"/>
    </xf>
    <xf numFmtId="0" fontId="28" fillId="21" borderId="15" xfId="0" applyFont="1" applyFill="1" applyBorder="1" applyAlignment="1">
      <alignment horizontal="left" vertical="center"/>
    </xf>
    <xf numFmtId="0" fontId="28" fillId="21" borderId="12" xfId="0" applyFont="1" applyFill="1" applyBorder="1" applyAlignment="1">
      <alignment horizontal="right" vertical="center"/>
    </xf>
    <xf numFmtId="0" fontId="28" fillId="21" borderId="15" xfId="0" applyFont="1" applyFill="1" applyBorder="1" applyAlignment="1">
      <alignment horizontal="right" vertical="center"/>
    </xf>
    <xf numFmtId="0" fontId="28" fillId="21" borderId="7" xfId="0" applyFont="1" applyFill="1" applyBorder="1" applyAlignment="1">
      <alignment horizontal="right" vertical="center"/>
    </xf>
    <xf numFmtId="0" fontId="33" fillId="3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8" fillId="0" borderId="0" xfId="0" applyFont="1" applyAlignment="1">
      <alignment horizontal="center" vertical="center"/>
    </xf>
    <xf numFmtId="0" fontId="46" fillId="21" borderId="45" xfId="0" applyFont="1" applyFill="1" applyBorder="1" applyAlignment="1">
      <alignment horizontal="center" vertical="center"/>
    </xf>
    <xf numFmtId="0" fontId="46" fillId="21" borderId="47" xfId="0" applyFont="1" applyFill="1" applyBorder="1" applyAlignment="1">
      <alignment horizontal="center" vertical="center"/>
    </xf>
    <xf numFmtId="0" fontId="46" fillId="21" borderId="51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/>
    </xf>
    <xf numFmtId="0" fontId="52" fillId="3" borderId="3" xfId="0" applyFont="1" applyFill="1" applyBorder="1" applyAlignment="1">
      <alignment horizontal="center" vertical="center"/>
    </xf>
    <xf numFmtId="0" fontId="52" fillId="3" borderId="8" xfId="0" applyFont="1" applyFill="1" applyBorder="1" applyAlignment="1">
      <alignment horizontal="center" vertical="center"/>
    </xf>
    <xf numFmtId="0" fontId="54" fillId="3" borderId="3" xfId="0" applyFont="1" applyFill="1" applyBorder="1" applyAlignment="1">
      <alignment horizontal="center" vertical="center"/>
    </xf>
    <xf numFmtId="0" fontId="54" fillId="3" borderId="8" xfId="0" applyFont="1" applyFill="1" applyBorder="1" applyAlignment="1">
      <alignment horizontal="center" vertical="center"/>
    </xf>
    <xf numFmtId="0" fontId="57" fillId="3" borderId="3" xfId="0" applyFont="1" applyFill="1" applyBorder="1" applyAlignment="1">
      <alignment horizontal="center" vertical="center"/>
    </xf>
    <xf numFmtId="0" fontId="57" fillId="3" borderId="8" xfId="0" applyFont="1" applyFill="1" applyBorder="1" applyAlignment="1">
      <alignment horizontal="center" vertical="center"/>
    </xf>
    <xf numFmtId="0" fontId="52" fillId="3" borderId="3" xfId="0" applyFont="1" applyFill="1" applyBorder="1" applyAlignment="1">
      <alignment horizontal="center" vertical="center" wrapText="1"/>
    </xf>
    <xf numFmtId="0" fontId="52" fillId="3" borderId="8" xfId="0" applyFont="1" applyFill="1" applyBorder="1" applyAlignment="1">
      <alignment horizontal="center" vertical="center" wrapText="1"/>
    </xf>
    <xf numFmtId="0" fontId="57" fillId="3" borderId="3" xfId="0" applyFont="1" applyFill="1" applyBorder="1" applyAlignment="1">
      <alignment horizontal="center" vertical="center" wrapText="1"/>
    </xf>
    <xf numFmtId="0" fontId="57" fillId="3" borderId="8" xfId="0" applyFont="1" applyFill="1" applyBorder="1" applyAlignment="1">
      <alignment horizontal="center" vertical="center" wrapText="1"/>
    </xf>
    <xf numFmtId="0" fontId="46" fillId="3" borderId="61" xfId="0" applyFont="1" applyFill="1" applyBorder="1" applyAlignment="1">
      <alignment horizontal="center" vertical="center"/>
    </xf>
    <xf numFmtId="0" fontId="28" fillId="24" borderId="11" xfId="0" applyFont="1" applyFill="1" applyBorder="1" applyAlignment="1">
      <alignment horizontal="center" vertical="center"/>
    </xf>
    <xf numFmtId="0" fontId="28" fillId="24" borderId="86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7" fillId="3" borderId="87" xfId="0" applyFont="1" applyFill="1" applyBorder="1" applyAlignment="1">
      <alignment horizontal="center" vertical="center"/>
    </xf>
    <xf numFmtId="0" fontId="27" fillId="3" borderId="86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7" fontId="1" fillId="3" borderId="11" xfId="0" applyNumberFormat="1" applyFont="1" applyFill="1" applyBorder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  <xf numFmtId="3" fontId="1" fillId="3" borderId="11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167" fontId="1" fillId="3" borderId="65" xfId="0" applyNumberFormat="1" applyFont="1" applyFill="1" applyBorder="1" applyAlignment="1">
      <alignment horizontal="center" vertical="center"/>
    </xf>
    <xf numFmtId="167" fontId="1" fillId="3" borderId="86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7" fontId="4" fillId="15" borderId="11" xfId="0" applyNumberFormat="1" applyFont="1" applyFill="1" applyBorder="1" applyAlignment="1">
      <alignment horizontal="center" vertical="center"/>
    </xf>
    <xf numFmtId="167" fontId="4" fillId="15" borderId="2" xfId="0" applyNumberFormat="1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3" fontId="1" fillId="3" borderId="86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7" xfId="0" applyBorder="1" applyAlignment="1">
      <alignment horizontal="center"/>
    </xf>
    <xf numFmtId="167" fontId="1" fillId="3" borderId="87" xfId="0" applyNumberFormat="1" applyFont="1" applyFill="1" applyBorder="1" applyAlignment="1">
      <alignment horizontal="center" vertical="center"/>
    </xf>
    <xf numFmtId="0" fontId="1" fillId="3" borderId="87" xfId="0" applyFont="1" applyFill="1" applyBorder="1" applyAlignment="1">
      <alignment horizontal="center" vertical="center"/>
    </xf>
    <xf numFmtId="0" fontId="1" fillId="3" borderId="6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33" fillId="24" borderId="11" xfId="0" applyFont="1" applyFill="1" applyBorder="1" applyAlignment="1">
      <alignment horizontal="center" vertical="center"/>
    </xf>
    <xf numFmtId="0" fontId="33" fillId="24" borderId="2" xfId="0" applyFont="1" applyFill="1" applyBorder="1" applyAlignment="1">
      <alignment horizontal="center" vertical="center"/>
    </xf>
    <xf numFmtId="167" fontId="33" fillId="3" borderId="11" xfId="0" applyNumberFormat="1" applyFont="1" applyFill="1" applyBorder="1" applyAlignment="1">
      <alignment horizontal="center" vertical="center"/>
    </xf>
    <xf numFmtId="167" fontId="33" fillId="3" borderId="2" xfId="0" applyNumberFormat="1" applyFont="1" applyFill="1" applyBorder="1" applyAlignment="1">
      <alignment horizontal="center" vertical="center"/>
    </xf>
    <xf numFmtId="3" fontId="28" fillId="3" borderId="11" xfId="0" applyNumberFormat="1" applyFont="1" applyFill="1" applyBorder="1" applyAlignment="1">
      <alignment horizontal="center" vertical="center"/>
    </xf>
    <xf numFmtId="3" fontId="28" fillId="3" borderId="86" xfId="0" applyNumberFormat="1" applyFont="1" applyFill="1" applyBorder="1" applyAlignment="1">
      <alignment horizontal="center" vertical="center"/>
    </xf>
    <xf numFmtId="3" fontId="28" fillId="3" borderId="2" xfId="0" applyNumberFormat="1" applyFont="1" applyFill="1" applyBorder="1" applyAlignment="1">
      <alignment horizontal="center" vertical="center"/>
    </xf>
    <xf numFmtId="3" fontId="33" fillId="3" borderId="11" xfId="0" applyNumberFormat="1" applyFont="1" applyFill="1" applyBorder="1" applyAlignment="1">
      <alignment horizontal="center" vertical="center"/>
    </xf>
    <xf numFmtId="3" fontId="33" fillId="3" borderId="86" xfId="0" applyNumberFormat="1" applyFont="1" applyFill="1" applyBorder="1" applyAlignment="1">
      <alignment horizontal="center" vertical="center"/>
    </xf>
    <xf numFmtId="3" fontId="33" fillId="3" borderId="2" xfId="0" applyNumberFormat="1" applyFont="1" applyFill="1" applyBorder="1" applyAlignment="1">
      <alignment horizontal="center" vertical="center"/>
    </xf>
    <xf numFmtId="0" fontId="28" fillId="17" borderId="11" xfId="0" applyFont="1" applyFill="1" applyBorder="1" applyAlignment="1">
      <alignment horizontal="center" vertical="center"/>
    </xf>
    <xf numFmtId="0" fontId="28" fillId="17" borderId="2" xfId="0" applyFont="1" applyFill="1" applyBorder="1" applyAlignment="1">
      <alignment horizontal="center" vertical="center"/>
    </xf>
    <xf numFmtId="3" fontId="1" fillId="3" borderId="65" xfId="0" applyNumberFormat="1" applyFont="1" applyFill="1" applyBorder="1" applyAlignment="1">
      <alignment horizontal="center" vertical="center"/>
    </xf>
    <xf numFmtId="0" fontId="2" fillId="3" borderId="87" xfId="0" applyFont="1" applyFill="1" applyBorder="1" applyAlignment="1">
      <alignment horizontal="center" vertical="center"/>
    </xf>
    <xf numFmtId="0" fontId="2" fillId="3" borderId="86" xfId="0" applyFont="1" applyFill="1" applyBorder="1" applyAlignment="1">
      <alignment horizontal="center" vertical="center"/>
    </xf>
    <xf numFmtId="0" fontId="2" fillId="3" borderId="65" xfId="0" applyFont="1" applyFill="1" applyBorder="1" applyAlignment="1">
      <alignment horizontal="center" vertical="center"/>
    </xf>
    <xf numFmtId="3" fontId="1" fillId="3" borderId="87" xfId="0" applyNumberFormat="1" applyFont="1" applyFill="1" applyBorder="1" applyAlignment="1">
      <alignment horizontal="center" vertical="center"/>
    </xf>
    <xf numFmtId="0" fontId="1" fillId="3" borderId="86" xfId="0" applyFont="1" applyFill="1" applyBorder="1" applyAlignment="1">
      <alignment horizontal="center" vertical="center"/>
    </xf>
    <xf numFmtId="3" fontId="27" fillId="3" borderId="11" xfId="0" applyNumberFormat="1" applyFont="1" applyFill="1" applyBorder="1" applyAlignment="1">
      <alignment horizontal="right" vertical="center"/>
    </xf>
    <xf numFmtId="3" fontId="27" fillId="3" borderId="2" xfId="0" applyNumberFormat="1" applyFont="1" applyFill="1" applyBorder="1" applyAlignment="1">
      <alignment horizontal="right" vertical="center"/>
    </xf>
    <xf numFmtId="0" fontId="27" fillId="3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23" borderId="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86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3" fontId="2" fillId="3" borderId="11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167" fontId="2" fillId="3" borderId="11" xfId="0" applyNumberFormat="1" applyFont="1" applyFill="1" applyBorder="1" applyAlignment="1">
      <alignment horizontal="right" vertical="center"/>
    </xf>
    <xf numFmtId="167" fontId="2" fillId="3" borderId="86" xfId="0" applyNumberFormat="1" applyFont="1" applyFill="1" applyBorder="1" applyAlignment="1">
      <alignment horizontal="right" vertical="center"/>
    </xf>
    <xf numFmtId="167" fontId="2" fillId="3" borderId="2" xfId="0" applyNumberFormat="1" applyFont="1" applyFill="1" applyBorder="1" applyAlignment="1">
      <alignment horizontal="right" vertical="center"/>
    </xf>
    <xf numFmtId="0" fontId="2" fillId="3" borderId="89" xfId="0" applyFont="1" applyFill="1" applyBorder="1" applyAlignment="1">
      <alignment horizontal="left" vertical="center"/>
    </xf>
    <xf numFmtId="0" fontId="2" fillId="3" borderId="62" xfId="0" applyFont="1" applyFill="1" applyBorder="1" applyAlignment="1">
      <alignment horizontal="left" vertical="center"/>
    </xf>
    <xf numFmtId="0" fontId="2" fillId="3" borderId="90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0" fontId="75" fillId="21" borderId="3" xfId="0" applyNumberFormat="1" applyFont="1" applyFill="1" applyBorder="1" applyAlignment="1">
      <alignment horizontal="right"/>
    </xf>
    <xf numFmtId="3" fontId="2" fillId="3" borderId="86" xfId="0" applyNumberFormat="1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left" vertical="center"/>
    </xf>
    <xf numFmtId="0" fontId="2" fillId="3" borderId="51" xfId="0" applyFont="1" applyFill="1" applyBorder="1" applyAlignment="1">
      <alignment horizontal="left" vertical="center"/>
    </xf>
    <xf numFmtId="0" fontId="2" fillId="23" borderId="11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4" fontId="50" fillId="21" borderId="45" xfId="0" applyNumberFormat="1" applyFont="1" applyFill="1" applyBorder="1" applyAlignment="1">
      <alignment horizontal="right" vertical="center"/>
    </xf>
    <xf numFmtId="0" fontId="50" fillId="21" borderId="51" xfId="0" applyFont="1" applyFill="1" applyBorder="1" applyAlignment="1">
      <alignment horizontal="right" vertical="center"/>
    </xf>
    <xf numFmtId="4" fontId="50" fillId="21" borderId="51" xfId="0" applyNumberFormat="1" applyFont="1" applyFill="1" applyBorder="1" applyAlignment="1">
      <alignment horizontal="right" vertical="center"/>
    </xf>
    <xf numFmtId="0" fontId="83" fillId="3" borderId="3" xfId="0" applyFont="1" applyFill="1" applyBorder="1" applyAlignment="1">
      <alignment horizontal="right" vertical="center"/>
    </xf>
    <xf numFmtId="0" fontId="33" fillId="3" borderId="89" xfId="0" applyFont="1" applyFill="1" applyBorder="1" applyAlignment="1">
      <alignment horizontal="right" vertical="center"/>
    </xf>
    <xf numFmtId="0" fontId="33" fillId="3" borderId="61" xfId="0" applyFont="1" applyFill="1" applyBorder="1" applyAlignment="1">
      <alignment horizontal="right" vertical="center"/>
    </xf>
    <xf numFmtId="0" fontId="33" fillId="3" borderId="62" xfId="0" applyFont="1" applyFill="1" applyBorder="1" applyAlignment="1">
      <alignment horizontal="right" vertical="center"/>
    </xf>
    <xf numFmtId="167" fontId="33" fillId="3" borderId="3" xfId="0" applyNumberFormat="1" applyFont="1" applyFill="1" applyBorder="1" applyAlignment="1">
      <alignment horizontal="right" vertical="center"/>
    </xf>
    <xf numFmtId="0" fontId="27" fillId="3" borderId="3" xfId="0" applyFont="1" applyFill="1" applyBorder="1" applyAlignment="1">
      <alignment horizontal="left" vertical="center"/>
    </xf>
    <xf numFmtId="0" fontId="24" fillId="21" borderId="45" xfId="0" applyFont="1" applyFill="1" applyBorder="1" applyAlignment="1">
      <alignment horizontal="left" vertical="center"/>
    </xf>
    <xf numFmtId="0" fontId="24" fillId="21" borderId="47" xfId="0" applyFont="1" applyFill="1" applyBorder="1" applyAlignment="1">
      <alignment horizontal="left" vertical="center"/>
    </xf>
    <xf numFmtId="0" fontId="24" fillId="21" borderId="51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center" vertical="center"/>
    </xf>
    <xf numFmtId="0" fontId="61" fillId="14" borderId="45" xfId="0" applyFont="1" applyFill="1" applyBorder="1" applyAlignment="1">
      <alignment horizontal="left" vertical="center"/>
    </xf>
    <xf numFmtId="0" fontId="61" fillId="14" borderId="47" xfId="0" applyFont="1" applyFill="1" applyBorder="1" applyAlignment="1">
      <alignment horizontal="left" vertical="center"/>
    </xf>
    <xf numFmtId="0" fontId="61" fillId="14" borderId="51" xfId="0" applyFont="1" applyFill="1" applyBorder="1" applyAlignment="1">
      <alignment horizontal="left" vertical="center"/>
    </xf>
    <xf numFmtId="0" fontId="61" fillId="14" borderId="3" xfId="0" applyFont="1" applyFill="1" applyBorder="1" applyAlignment="1">
      <alignment horizontal="right"/>
    </xf>
    <xf numFmtId="167" fontId="24" fillId="21" borderId="3" xfId="0" applyNumberFormat="1" applyFont="1" applyFill="1" applyBorder="1" applyAlignment="1">
      <alignment horizontal="center"/>
    </xf>
    <xf numFmtId="167" fontId="27" fillId="21" borderId="3" xfId="0" applyNumberFormat="1" applyFont="1" applyFill="1" applyBorder="1" applyAlignment="1">
      <alignment horizontal="center"/>
    </xf>
    <xf numFmtId="0" fontId="61" fillId="14" borderId="45" xfId="0" applyFont="1" applyFill="1" applyBorder="1" applyAlignment="1">
      <alignment horizontal="left"/>
    </xf>
    <xf numFmtId="0" fontId="61" fillId="14" borderId="47" xfId="0" applyFont="1" applyFill="1" applyBorder="1" applyAlignment="1">
      <alignment horizontal="left"/>
    </xf>
    <xf numFmtId="0" fontId="61" fillId="14" borderId="51" xfId="0" applyFont="1" applyFill="1" applyBorder="1" applyAlignment="1">
      <alignment horizontal="left"/>
    </xf>
    <xf numFmtId="0" fontId="61" fillId="14" borderId="45" xfId="0" applyFont="1" applyFill="1" applyBorder="1" applyAlignment="1">
      <alignment horizontal="center"/>
    </xf>
    <xf numFmtId="0" fontId="61" fillId="14" borderId="51" xfId="0" applyFont="1" applyFill="1" applyBorder="1" applyAlignment="1">
      <alignment horizontal="center"/>
    </xf>
    <xf numFmtId="0" fontId="27" fillId="3" borderId="45" xfId="0" applyFont="1" applyFill="1" applyBorder="1" applyAlignment="1">
      <alignment horizontal="left" vertical="center"/>
    </xf>
    <xf numFmtId="0" fontId="27" fillId="3" borderId="51" xfId="0" applyFont="1" applyFill="1" applyBorder="1" applyAlignment="1">
      <alignment horizontal="left" vertical="center"/>
    </xf>
    <xf numFmtId="0" fontId="27" fillId="3" borderId="62" xfId="0" applyFont="1" applyFill="1" applyBorder="1" applyAlignment="1">
      <alignment horizontal="center" vertical="center"/>
    </xf>
    <xf numFmtId="0" fontId="27" fillId="3" borderId="52" xfId="0" applyFont="1" applyFill="1" applyBorder="1" applyAlignment="1">
      <alignment horizontal="center" vertical="center"/>
    </xf>
    <xf numFmtId="0" fontId="61" fillId="14" borderId="3" xfId="7" applyFont="1" applyFill="1" applyBorder="1" applyAlignment="1">
      <alignment horizontal="left" vertical="center"/>
    </xf>
    <xf numFmtId="0" fontId="61" fillId="14" borderId="3" xfId="7" applyFont="1" applyFill="1" applyBorder="1" applyAlignment="1">
      <alignment horizontal="right"/>
    </xf>
    <xf numFmtId="0" fontId="58" fillId="22" borderId="61" xfId="0" applyFont="1" applyFill="1" applyBorder="1" applyAlignment="1">
      <alignment horizontal="center" vertical="center"/>
    </xf>
    <xf numFmtId="0" fontId="58" fillId="22" borderId="62" xfId="0" applyFont="1" applyFill="1" applyBorder="1" applyAlignment="1">
      <alignment horizontal="center" vertical="center"/>
    </xf>
    <xf numFmtId="3" fontId="2" fillId="23" borderId="11" xfId="0" applyNumberFormat="1" applyFont="1" applyFill="1" applyBorder="1" applyAlignment="1">
      <alignment horizontal="center" vertical="center"/>
    </xf>
    <xf numFmtId="3" fontId="2" fillId="23" borderId="2" xfId="0" applyNumberFormat="1" applyFont="1" applyFill="1" applyBorder="1" applyAlignment="1">
      <alignment horizontal="center" vertical="center"/>
    </xf>
    <xf numFmtId="167" fontId="2" fillId="23" borderId="11" xfId="0" applyNumberFormat="1" applyFont="1" applyFill="1" applyBorder="1" applyAlignment="1">
      <alignment horizontal="right" vertical="center"/>
    </xf>
    <xf numFmtId="167" fontId="2" fillId="23" borderId="2" xfId="0" applyNumberFormat="1" applyFont="1" applyFill="1" applyBorder="1" applyAlignment="1">
      <alignment horizontal="right" vertical="center"/>
    </xf>
    <xf numFmtId="0" fontId="3" fillId="21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 vertical="center"/>
    </xf>
    <xf numFmtId="0" fontId="64" fillId="23" borderId="45" xfId="0" applyFont="1" applyFill="1" applyBorder="1" applyAlignment="1">
      <alignment horizontal="left" vertical="center"/>
    </xf>
    <xf numFmtId="0" fontId="64" fillId="23" borderId="51" xfId="0" applyFont="1" applyFill="1" applyBorder="1" applyAlignment="1">
      <alignment horizontal="left" vertical="center"/>
    </xf>
    <xf numFmtId="0" fontId="2" fillId="23" borderId="45" xfId="0" applyFont="1" applyFill="1" applyBorder="1" applyAlignment="1">
      <alignment horizontal="left" vertical="center"/>
    </xf>
    <xf numFmtId="0" fontId="2" fillId="23" borderId="51" xfId="0" applyFont="1" applyFill="1" applyBorder="1" applyAlignment="1">
      <alignment horizontal="left" vertical="center"/>
    </xf>
    <xf numFmtId="0" fontId="59" fillId="22" borderId="72" xfId="0" applyFont="1" applyFill="1" applyBorder="1" applyAlignment="1">
      <alignment horizontal="center" vertical="center"/>
    </xf>
    <xf numFmtId="0" fontId="59" fillId="22" borderId="0" xfId="0" applyFont="1" applyFill="1" applyAlignment="1">
      <alignment horizontal="center" vertical="center"/>
    </xf>
    <xf numFmtId="0" fontId="59" fillId="22" borderId="52" xfId="0" applyFont="1" applyFill="1" applyBorder="1" applyAlignment="1">
      <alignment horizontal="center" vertical="center"/>
    </xf>
    <xf numFmtId="0" fontId="31" fillId="22" borderId="90" xfId="0" applyFont="1" applyFill="1" applyBorder="1" applyAlignment="1">
      <alignment horizontal="center"/>
    </xf>
    <xf numFmtId="0" fontId="31" fillId="22" borderId="1" xfId="0" applyFont="1" applyFill="1" applyBorder="1" applyAlignment="1">
      <alignment horizontal="center"/>
    </xf>
    <xf numFmtId="0" fontId="31" fillId="22" borderId="4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left"/>
    </xf>
    <xf numFmtId="0" fontId="2" fillId="3" borderId="51" xfId="0" applyFont="1" applyFill="1" applyBorder="1" applyAlignment="1">
      <alignment horizontal="left"/>
    </xf>
    <xf numFmtId="0" fontId="54" fillId="21" borderId="3" xfId="0" applyFont="1" applyFill="1" applyBorder="1" applyAlignment="1">
      <alignment horizontal="left" vertical="center"/>
    </xf>
    <xf numFmtId="0" fontId="61" fillId="14" borderId="3" xfId="0" applyFont="1" applyFill="1" applyBorder="1" applyAlignment="1">
      <alignment horizontal="left"/>
    </xf>
    <xf numFmtId="0" fontId="61" fillId="3" borderId="45" xfId="0" applyFont="1" applyFill="1" applyBorder="1" applyAlignment="1">
      <alignment horizontal="left"/>
    </xf>
    <xf numFmtId="0" fontId="61" fillId="3" borderId="47" xfId="0" applyFont="1" applyFill="1" applyBorder="1" applyAlignment="1">
      <alignment horizontal="left"/>
    </xf>
    <xf numFmtId="0" fontId="61" fillId="3" borderId="5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3" fillId="3" borderId="3" xfId="0" applyFont="1" applyFill="1" applyBorder="1"/>
    <xf numFmtId="0" fontId="61" fillId="21" borderId="3" xfId="0" applyFont="1" applyFill="1" applyBorder="1" applyAlignment="1">
      <alignment horizontal="right"/>
    </xf>
    <xf numFmtId="0" fontId="4" fillId="3" borderId="89" xfId="0" applyFont="1" applyFill="1" applyBorder="1" applyAlignment="1">
      <alignment horizontal="right" vertical="center"/>
    </xf>
    <xf numFmtId="0" fontId="4" fillId="3" borderId="61" xfId="0" applyFont="1" applyFill="1" applyBorder="1" applyAlignment="1">
      <alignment horizontal="right" vertical="center"/>
    </xf>
    <xf numFmtId="0" fontId="4" fillId="3" borderId="62" xfId="0" applyFont="1" applyFill="1" applyBorder="1" applyAlignment="1">
      <alignment horizontal="right" vertical="center"/>
    </xf>
    <xf numFmtId="2" fontId="3" fillId="3" borderId="61" xfId="0" applyNumberFormat="1" applyFont="1" applyFill="1" applyBorder="1" applyAlignment="1">
      <alignment horizontal="center" vertical="center"/>
    </xf>
    <xf numFmtId="2" fontId="3" fillId="3" borderId="62" xfId="0" applyNumberFormat="1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left" vertical="center"/>
    </xf>
    <xf numFmtId="0" fontId="57" fillId="21" borderId="9" xfId="0" applyFont="1" applyFill="1" applyBorder="1" applyAlignment="1">
      <alignment horizontal="left" vertical="center"/>
    </xf>
    <xf numFmtId="0" fontId="57" fillId="21" borderId="10" xfId="0" applyFont="1" applyFill="1" applyBorder="1" applyAlignment="1">
      <alignment horizontal="left" vertical="center"/>
    </xf>
    <xf numFmtId="0" fontId="57" fillId="21" borderId="5" xfId="0" applyFont="1" applyFill="1" applyBorder="1" applyAlignment="1">
      <alignment horizontal="left" vertical="center"/>
    </xf>
    <xf numFmtId="0" fontId="3" fillId="21" borderId="6" xfId="0" applyFont="1" applyFill="1" applyBorder="1" applyAlignment="1">
      <alignment horizontal="right"/>
    </xf>
    <xf numFmtId="0" fontId="61" fillId="3" borderId="3" xfId="0" applyFont="1" applyFill="1" applyBorder="1" applyAlignment="1">
      <alignment horizontal="right"/>
    </xf>
    <xf numFmtId="166" fontId="27" fillId="3" borderId="3" xfId="7" applyNumberFormat="1" applyFont="1" applyFill="1" applyBorder="1" applyAlignment="1">
      <alignment horizontal="center" vertical="center"/>
    </xf>
    <xf numFmtId="4" fontId="27" fillId="3" borderId="3" xfId="7" applyNumberFormat="1" applyFont="1" applyFill="1" applyBorder="1" applyAlignment="1">
      <alignment horizontal="right" vertical="center"/>
    </xf>
    <xf numFmtId="166" fontId="27" fillId="3" borderId="3" xfId="7" applyNumberFormat="1" applyFont="1" applyFill="1" applyBorder="1" applyAlignment="1">
      <alignment horizontal="right" vertical="center"/>
    </xf>
    <xf numFmtId="0" fontId="41" fillId="21" borderId="45" xfId="0" applyFont="1" applyFill="1" applyBorder="1" applyAlignment="1">
      <alignment horizontal="center" vertical="center"/>
    </xf>
    <xf numFmtId="0" fontId="41" fillId="21" borderId="47" xfId="0" applyFont="1" applyFill="1" applyBorder="1" applyAlignment="1">
      <alignment horizontal="center" vertical="center"/>
    </xf>
    <xf numFmtId="0" fontId="41" fillId="21" borderId="51" xfId="0" applyFont="1" applyFill="1" applyBorder="1" applyAlignment="1">
      <alignment horizontal="center" vertical="center"/>
    </xf>
    <xf numFmtId="4" fontId="27" fillId="3" borderId="11" xfId="0" applyNumberFormat="1" applyFont="1" applyFill="1" applyBorder="1"/>
    <xf numFmtId="4" fontId="27" fillId="3" borderId="2" xfId="0" applyNumberFormat="1" applyFont="1" applyFill="1" applyBorder="1"/>
    <xf numFmtId="4" fontId="27" fillId="3" borderId="11" xfId="0" applyNumberFormat="1" applyFont="1" applyFill="1" applyBorder="1" applyAlignment="1">
      <alignment horizontal="right"/>
    </xf>
    <xf numFmtId="4" fontId="27" fillId="3" borderId="2" xfId="0" applyNumberFormat="1" applyFont="1" applyFill="1" applyBorder="1" applyAlignment="1">
      <alignment horizontal="right"/>
    </xf>
    <xf numFmtId="4" fontId="2" fillId="3" borderId="11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0" fontId="2" fillId="0" borderId="3" xfId="12" applyFont="1" applyBorder="1" applyAlignment="1">
      <alignment horizontal="right" vertical="center"/>
    </xf>
    <xf numFmtId="167" fontId="27" fillId="3" borderId="11" xfId="0" applyNumberFormat="1" applyFont="1" applyFill="1" applyBorder="1" applyAlignment="1">
      <alignment horizontal="center" vertical="center"/>
    </xf>
    <xf numFmtId="167" fontId="27" fillId="3" borderId="2" xfId="0" applyNumberFormat="1" applyFont="1" applyFill="1" applyBorder="1" applyAlignment="1">
      <alignment horizontal="center" vertical="center"/>
    </xf>
    <xf numFmtId="167" fontId="27" fillId="3" borderId="86" xfId="0" applyNumberFormat="1" applyFont="1" applyFill="1" applyBorder="1" applyAlignment="1">
      <alignment horizontal="center" vertical="center"/>
    </xf>
    <xf numFmtId="1" fontId="27" fillId="3" borderId="11" xfId="0" applyNumberFormat="1" applyFont="1" applyFill="1" applyBorder="1" applyAlignment="1">
      <alignment horizontal="right" vertical="center"/>
    </xf>
    <xf numFmtId="1" fontId="27" fillId="3" borderId="86" xfId="0" applyNumberFormat="1" applyFont="1" applyFill="1" applyBorder="1" applyAlignment="1">
      <alignment horizontal="right" vertical="center"/>
    </xf>
    <xf numFmtId="1" fontId="27" fillId="3" borderId="2" xfId="0" applyNumberFormat="1" applyFont="1" applyFill="1" applyBorder="1" applyAlignment="1">
      <alignment horizontal="right" vertical="center"/>
    </xf>
    <xf numFmtId="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3" borderId="51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33" fillId="3" borderId="45" xfId="0" applyFont="1" applyFill="1" applyBorder="1" applyAlignment="1">
      <alignment horizontal="left" vertical="center"/>
    </xf>
    <xf numFmtId="0" fontId="33" fillId="3" borderId="51" xfId="0" applyFont="1" applyFill="1" applyBorder="1" applyAlignment="1">
      <alignment horizontal="left" vertical="center"/>
    </xf>
    <xf numFmtId="0" fontId="33" fillId="3" borderId="45" xfId="0" applyFont="1" applyFill="1" applyBorder="1" applyAlignment="1">
      <alignment horizontal="left" vertical="center" wrapText="1"/>
    </xf>
    <xf numFmtId="0" fontId="33" fillId="3" borderId="51" xfId="0" applyFont="1" applyFill="1" applyBorder="1" applyAlignment="1">
      <alignment horizontal="left" vertical="center" wrapText="1"/>
    </xf>
    <xf numFmtId="0" fontId="9" fillId="0" borderId="9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" fontId="2" fillId="3" borderId="45" xfId="7" applyNumberFormat="1" applyFont="1" applyFill="1" applyBorder="1" applyAlignment="1">
      <alignment horizontal="center"/>
    </xf>
    <xf numFmtId="4" fontId="2" fillId="3" borderId="51" xfId="7" applyNumberFormat="1" applyFont="1" applyFill="1" applyBorder="1" applyAlignment="1">
      <alignment horizontal="center"/>
    </xf>
    <xf numFmtId="10" fontId="2" fillId="3" borderId="45" xfId="7" applyNumberFormat="1" applyFont="1" applyFill="1" applyBorder="1" applyAlignment="1">
      <alignment horizontal="center"/>
    </xf>
    <xf numFmtId="10" fontId="2" fillId="3" borderId="51" xfId="7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8" fillId="21" borderId="45" xfId="0" applyFont="1" applyFill="1" applyBorder="1" applyAlignment="1">
      <alignment horizontal="center" vertical="center"/>
    </xf>
    <xf numFmtId="0" fontId="58" fillId="21" borderId="47" xfId="0" applyFont="1" applyFill="1" applyBorder="1" applyAlignment="1">
      <alignment horizontal="center" vertical="center"/>
    </xf>
    <xf numFmtId="0" fontId="58" fillId="21" borderId="51" xfId="0" applyFont="1" applyFill="1" applyBorder="1" applyAlignment="1">
      <alignment horizontal="center" vertical="center"/>
    </xf>
    <xf numFmtId="0" fontId="41" fillId="3" borderId="45" xfId="0" applyFont="1" applyFill="1" applyBorder="1" applyAlignment="1">
      <alignment horizontal="center" vertical="center"/>
    </xf>
    <xf numFmtId="0" fontId="41" fillId="3" borderId="51" xfId="0" applyFont="1" applyFill="1" applyBorder="1" applyAlignment="1">
      <alignment horizontal="center" vertical="center"/>
    </xf>
    <xf numFmtId="0" fontId="41" fillId="3" borderId="45" xfId="0" applyFont="1" applyFill="1" applyBorder="1" applyAlignment="1">
      <alignment horizontal="left" vertical="center"/>
    </xf>
    <xf numFmtId="0" fontId="41" fillId="3" borderId="51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9" fontId="5" fillId="3" borderId="45" xfId="7" applyNumberFormat="1" applyFont="1" applyFill="1" applyBorder="1" applyAlignment="1">
      <alignment horizontal="center" vertical="center"/>
    </xf>
    <xf numFmtId="169" fontId="5" fillId="3" borderId="51" xfId="7" applyNumberFormat="1" applyFont="1" applyFill="1" applyBorder="1" applyAlignment="1">
      <alignment horizontal="center" vertical="center"/>
    </xf>
    <xf numFmtId="4" fontId="2" fillId="3" borderId="3" xfId="7" applyNumberFormat="1" applyFont="1" applyFill="1" applyBorder="1" applyAlignment="1">
      <alignment horizontal="center"/>
    </xf>
    <xf numFmtId="0" fontId="39" fillId="5" borderId="57" xfId="0" applyFont="1" applyFill="1" applyBorder="1" applyAlignment="1">
      <alignment horizontal="center" vertical="center"/>
    </xf>
    <xf numFmtId="0" fontId="39" fillId="5" borderId="32" xfId="0" applyFont="1" applyFill="1" applyBorder="1" applyAlignment="1">
      <alignment horizontal="center" vertical="center"/>
    </xf>
    <xf numFmtId="0" fontId="39" fillId="5" borderId="58" xfId="0" applyFont="1" applyFill="1" applyBorder="1" applyAlignment="1">
      <alignment horizontal="center" vertical="center"/>
    </xf>
    <xf numFmtId="0" fontId="39" fillId="5" borderId="31" xfId="0" applyFont="1" applyFill="1" applyBorder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0" fontId="39" fillId="5" borderId="49" xfId="0" applyFont="1" applyFill="1" applyBorder="1" applyAlignment="1">
      <alignment horizontal="center" vertical="center"/>
    </xf>
    <xf numFmtId="0" fontId="40" fillId="5" borderId="59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40" fillId="5" borderId="16" xfId="0" applyFont="1" applyFill="1" applyBorder="1" applyAlignment="1">
      <alignment horizontal="center"/>
    </xf>
    <xf numFmtId="0" fontId="29" fillId="5" borderId="60" xfId="0" applyFont="1" applyFill="1" applyBorder="1" applyAlignment="1">
      <alignment horizontal="center" vertical="center"/>
    </xf>
    <xf numFmtId="0" fontId="29" fillId="5" borderId="61" xfId="0" applyFont="1" applyFill="1" applyBorder="1" applyAlignment="1">
      <alignment horizontal="center" vertical="center"/>
    </xf>
    <xf numFmtId="0" fontId="29" fillId="5" borderId="62" xfId="0" applyFont="1" applyFill="1" applyBorder="1" applyAlignment="1">
      <alignment horizontal="center" vertical="center"/>
    </xf>
    <xf numFmtId="0" fontId="29" fillId="5" borderId="63" xfId="0" applyFont="1" applyFill="1" applyBorder="1" applyAlignment="1">
      <alignment horizontal="center" vertical="center"/>
    </xf>
    <xf numFmtId="0" fontId="29" fillId="5" borderId="64" xfId="0" applyFont="1" applyFill="1" applyBorder="1" applyAlignment="1">
      <alignment horizontal="center" vertical="center"/>
    </xf>
    <xf numFmtId="0" fontId="29" fillId="5" borderId="55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29" fillId="5" borderId="65" xfId="0" applyFont="1" applyFill="1" applyBorder="1" applyAlignment="1">
      <alignment horizontal="center" vertical="center"/>
    </xf>
    <xf numFmtId="0" fontId="0" fillId="3" borderId="51" xfId="0" applyFill="1" applyBorder="1" applyAlignment="1">
      <alignment vertical="center"/>
    </xf>
    <xf numFmtId="0" fontId="31" fillId="3" borderId="9" xfId="0" applyFont="1" applyFill="1" applyBorder="1" applyAlignment="1">
      <alignment horizontal="left"/>
    </xf>
    <xf numFmtId="0" fontId="31" fillId="3" borderId="10" xfId="0" applyFont="1" applyFill="1" applyBorder="1" applyAlignment="1">
      <alignment horizontal="left"/>
    </xf>
    <xf numFmtId="0" fontId="31" fillId="3" borderId="5" xfId="0" applyFont="1" applyFill="1" applyBorder="1" applyAlignment="1">
      <alignment horizontal="left"/>
    </xf>
    <xf numFmtId="0" fontId="27" fillId="3" borderId="45" xfId="0" applyFont="1" applyFill="1" applyBorder="1" applyAlignment="1">
      <alignment horizontal="left"/>
    </xf>
    <xf numFmtId="0" fontId="0" fillId="3" borderId="51" xfId="0" applyFill="1" applyBorder="1"/>
    <xf numFmtId="0" fontId="27" fillId="3" borderId="56" xfId="0" applyFont="1" applyFill="1" applyBorder="1" applyAlignment="1">
      <alignment horizontal="center" vertical="center"/>
    </xf>
    <xf numFmtId="0" fontId="27" fillId="3" borderId="53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left"/>
    </xf>
    <xf numFmtId="0" fontId="24" fillId="3" borderId="15" xfId="0" applyFont="1" applyFill="1" applyBorder="1" applyAlignment="1">
      <alignment horizontal="left"/>
    </xf>
    <xf numFmtId="0" fontId="24" fillId="3" borderId="12" xfId="0" applyFont="1" applyFill="1" applyBorder="1" applyAlignment="1">
      <alignment horizontal="right"/>
    </xf>
    <xf numFmtId="0" fontId="24" fillId="3" borderId="7" xfId="0" applyFont="1" applyFill="1" applyBorder="1" applyAlignment="1">
      <alignment horizontal="right"/>
    </xf>
    <xf numFmtId="0" fontId="27" fillId="3" borderId="47" xfId="0" applyFont="1" applyFill="1" applyBorder="1" applyAlignment="1">
      <alignment horizontal="left"/>
    </xf>
    <xf numFmtId="0" fontId="27" fillId="3" borderId="51" xfId="0" applyFont="1" applyFill="1" applyBorder="1" applyAlignment="1">
      <alignment horizontal="left"/>
    </xf>
    <xf numFmtId="0" fontId="24" fillId="3" borderId="7" xfId="0" applyFont="1" applyFill="1" applyBorder="1" applyAlignment="1">
      <alignment horizontal="left"/>
    </xf>
    <xf numFmtId="0" fontId="27" fillId="3" borderId="45" xfId="0" applyFont="1" applyFill="1" applyBorder="1" applyAlignment="1">
      <alignment horizontal="center"/>
    </xf>
    <xf numFmtId="0" fontId="27" fillId="3" borderId="51" xfId="0" applyFont="1" applyFill="1" applyBorder="1" applyAlignment="1">
      <alignment horizontal="center"/>
    </xf>
    <xf numFmtId="0" fontId="27" fillId="3" borderId="46" xfId="0" applyFont="1" applyFill="1" applyBorder="1" applyAlignment="1">
      <alignment horizontal="left"/>
    </xf>
    <xf numFmtId="0" fontId="27" fillId="3" borderId="22" xfId="0" applyFont="1" applyFill="1" applyBorder="1" applyAlignment="1">
      <alignment horizontal="left"/>
    </xf>
    <xf numFmtId="0" fontId="27" fillId="3" borderId="23" xfId="0" applyFont="1" applyFill="1" applyBorder="1" applyAlignment="1">
      <alignment horizontal="left"/>
    </xf>
    <xf numFmtId="0" fontId="27" fillId="3" borderId="46" xfId="0" applyFont="1" applyFill="1" applyBorder="1" applyAlignment="1">
      <alignment horizontal="center"/>
    </xf>
    <xf numFmtId="0" fontId="27" fillId="3" borderId="23" xfId="0" applyFont="1" applyFill="1" applyBorder="1" applyAlignment="1">
      <alignment horizontal="center"/>
    </xf>
    <xf numFmtId="0" fontId="27" fillId="3" borderId="45" xfId="0" applyFont="1" applyFill="1" applyBorder="1"/>
    <xf numFmtId="0" fontId="27" fillId="3" borderId="51" xfId="0" applyFont="1" applyFill="1" applyBorder="1"/>
    <xf numFmtId="0" fontId="27" fillId="3" borderId="66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/>
    </xf>
    <xf numFmtId="0" fontId="27" fillId="3" borderId="67" xfId="0" applyFont="1" applyFill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right"/>
    </xf>
    <xf numFmtId="0" fontId="27" fillId="3" borderId="70" xfId="0" applyFont="1" applyFill="1" applyBorder="1" applyAlignment="1">
      <alignment horizontal="left"/>
    </xf>
    <xf numFmtId="0" fontId="27" fillId="3" borderId="69" xfId="0" applyFont="1" applyFill="1" applyBorder="1" applyAlignment="1">
      <alignment horizontal="left"/>
    </xf>
    <xf numFmtId="0" fontId="27" fillId="3" borderId="71" xfId="0" applyFont="1" applyFill="1" applyBorder="1" applyAlignment="1">
      <alignment horizontal="left"/>
    </xf>
    <xf numFmtId="0" fontId="2" fillId="0" borderId="5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2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" fillId="0" borderId="72" xfId="0" applyFont="1" applyBorder="1" applyAlignment="1">
      <alignment horizontal="right"/>
    </xf>
    <xf numFmtId="0" fontId="3" fillId="0" borderId="52" xfId="0" applyFont="1" applyBorder="1" applyAlignment="1">
      <alignment horizontal="right"/>
    </xf>
    <xf numFmtId="0" fontId="2" fillId="0" borderId="45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3" borderId="79" xfId="0" applyFont="1" applyFill="1" applyBorder="1" applyAlignment="1">
      <alignment horizontal="left"/>
    </xf>
    <xf numFmtId="0" fontId="2" fillId="3" borderId="76" xfId="0" applyFont="1" applyFill="1" applyBorder="1" applyAlignment="1">
      <alignment horizontal="left"/>
    </xf>
    <xf numFmtId="0" fontId="2" fillId="3" borderId="77" xfId="0" applyFont="1" applyFill="1" applyBorder="1" applyAlignment="1">
      <alignment horizontal="left"/>
    </xf>
    <xf numFmtId="0" fontId="2" fillId="0" borderId="78" xfId="0" applyFont="1" applyBorder="1"/>
    <xf numFmtId="0" fontId="2" fillId="0" borderId="47" xfId="0" applyFont="1" applyBorder="1"/>
    <xf numFmtId="0" fontId="2" fillId="0" borderId="51" xfId="0" applyFont="1" applyBorder="1"/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6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4" fillId="0" borderId="5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73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3" fillId="0" borderId="75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2" fillId="3" borderId="47" xfId="0" applyFont="1" applyFill="1" applyBorder="1" applyAlignment="1">
      <alignment horizontal="left"/>
    </xf>
    <xf numFmtId="0" fontId="2" fillId="0" borderId="78" xfId="0" applyFont="1" applyBorder="1" applyAlignment="1">
      <alignment horizontal="left"/>
    </xf>
    <xf numFmtId="0" fontId="3" fillId="0" borderId="73" xfId="0" applyFont="1" applyBorder="1" applyAlignment="1">
      <alignment horizontal="left"/>
    </xf>
    <xf numFmtId="0" fontId="3" fillId="0" borderId="74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28" fillId="3" borderId="29" xfId="0" applyFont="1" applyFill="1" applyBorder="1" applyAlignment="1">
      <alignment horizontal="left"/>
    </xf>
    <xf numFmtId="0" fontId="28" fillId="3" borderId="85" xfId="0" applyFont="1" applyFill="1" applyBorder="1" applyAlignment="1">
      <alignment horizontal="left"/>
    </xf>
    <xf numFmtId="0" fontId="28" fillId="3" borderId="48" xfId="0" applyFont="1" applyFill="1" applyBorder="1" applyAlignment="1">
      <alignment horizontal="left"/>
    </xf>
    <xf numFmtId="0" fontId="27" fillId="3" borderId="45" xfId="0" applyFont="1" applyFill="1" applyBorder="1" applyAlignment="1">
      <alignment horizontal="left" wrapText="1"/>
    </xf>
    <xf numFmtId="0" fontId="27" fillId="3" borderId="51" xfId="0" applyFont="1" applyFill="1" applyBorder="1" applyAlignment="1">
      <alignment horizontal="left" wrapText="1"/>
    </xf>
    <xf numFmtId="0" fontId="24" fillId="3" borderId="29" xfId="0" applyFont="1" applyFill="1" applyBorder="1" applyAlignment="1">
      <alignment horizontal="left"/>
    </xf>
    <xf numFmtId="0" fontId="24" fillId="3" borderId="85" xfId="0" applyFont="1" applyFill="1" applyBorder="1" applyAlignment="1">
      <alignment horizontal="left"/>
    </xf>
    <xf numFmtId="0" fontId="24" fillId="3" borderId="48" xfId="0" applyFont="1" applyFill="1" applyBorder="1" applyAlignment="1">
      <alignment horizontal="left"/>
    </xf>
    <xf numFmtId="0" fontId="28" fillId="3" borderId="29" xfId="0" applyFont="1" applyFill="1" applyBorder="1" applyAlignment="1">
      <alignment horizontal="left" vertical="center"/>
    </xf>
    <xf numFmtId="0" fontId="28" fillId="3" borderId="85" xfId="0" applyFont="1" applyFill="1" applyBorder="1" applyAlignment="1">
      <alignment horizontal="left" vertical="center"/>
    </xf>
    <xf numFmtId="0" fontId="28" fillId="3" borderId="48" xfId="0" applyFont="1" applyFill="1" applyBorder="1" applyAlignment="1">
      <alignment horizontal="left" vertical="center"/>
    </xf>
    <xf numFmtId="0" fontId="45" fillId="3" borderId="29" xfId="0" applyFont="1" applyFill="1" applyBorder="1" applyAlignment="1">
      <alignment horizontal="center"/>
    </xf>
    <xf numFmtId="0" fontId="45" fillId="3" borderId="85" xfId="0" applyFont="1" applyFill="1" applyBorder="1" applyAlignment="1">
      <alignment horizontal="center"/>
    </xf>
    <xf numFmtId="0" fontId="45" fillId="3" borderId="48" xfId="0" applyFont="1" applyFill="1" applyBorder="1" applyAlignment="1">
      <alignment horizontal="center"/>
    </xf>
    <xf numFmtId="167" fontId="24" fillId="3" borderId="79" xfId="0" applyNumberFormat="1" applyFont="1" applyFill="1" applyBorder="1" applyAlignment="1">
      <alignment horizontal="center"/>
    </xf>
    <xf numFmtId="167" fontId="27" fillId="3" borderId="77" xfId="0" applyNumberFormat="1" applyFont="1" applyFill="1" applyBorder="1" applyAlignment="1">
      <alignment horizontal="center"/>
    </xf>
    <xf numFmtId="0" fontId="2" fillId="3" borderId="46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2" fillId="3" borderId="23" xfId="0" applyFont="1" applyFill="1" applyBorder="1" applyAlignment="1">
      <alignment horizontal="left"/>
    </xf>
    <xf numFmtId="0" fontId="24" fillId="3" borderId="12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" fillId="0" borderId="68" xfId="0" applyFont="1" applyBorder="1"/>
    <xf numFmtId="0" fontId="2" fillId="0" borderId="69" xfId="0" applyFont="1" applyBorder="1"/>
    <xf numFmtId="0" fontId="2" fillId="0" borderId="71" xfId="0" applyFont="1" applyBorder="1"/>
    <xf numFmtId="0" fontId="3" fillId="11" borderId="80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81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/>
    </xf>
    <xf numFmtId="0" fontId="2" fillId="3" borderId="72" xfId="0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horizontal="center" vertical="center"/>
    </xf>
  </cellXfs>
  <cellStyles count="23">
    <cellStyle name="Millares 2" xfId="4" xr:uid="{00000000-0005-0000-0000-000000000000}"/>
    <cellStyle name="Moneda 2" xfId="1" xr:uid="{00000000-0005-0000-0000-000001000000}"/>
    <cellStyle name="Moneda 3" xfId="8" xr:uid="{00000000-0005-0000-0000-000002000000}"/>
    <cellStyle name="Normal" xfId="0" builtinId="0"/>
    <cellStyle name="Normal 2" xfId="5" xr:uid="{00000000-0005-0000-0000-000004000000}"/>
    <cellStyle name="Normal 2 2" xfId="9" xr:uid="{00000000-0005-0000-0000-000005000000}"/>
    <cellStyle name="Normal 2 3" xfId="10" xr:uid="{00000000-0005-0000-0000-000006000000}"/>
    <cellStyle name="Normal 2 3 2" xfId="11" xr:uid="{00000000-0005-0000-0000-000007000000}"/>
    <cellStyle name="Normal 2 4" xfId="12" xr:uid="{00000000-0005-0000-0000-000008000000}"/>
    <cellStyle name="Normal 2 5" xfId="13" xr:uid="{00000000-0005-0000-0000-000009000000}"/>
    <cellStyle name="Normal 2 6" xfId="14" xr:uid="{00000000-0005-0000-0000-00000A000000}"/>
    <cellStyle name="Normal 2 7" xfId="15" xr:uid="{00000000-0005-0000-0000-00000B000000}"/>
    <cellStyle name="Normal 2 8" xfId="22" xr:uid="{00000000-0005-0000-0000-00000C000000}"/>
    <cellStyle name="Normal 3" xfId="2" xr:uid="{00000000-0005-0000-0000-00000D000000}"/>
    <cellStyle name="Normal 3 2" xfId="16" xr:uid="{00000000-0005-0000-0000-00000E000000}"/>
    <cellStyle name="Normal 3 3" xfId="17" xr:uid="{00000000-0005-0000-0000-00000F000000}"/>
    <cellStyle name="Normal 3 4" xfId="18" xr:uid="{00000000-0005-0000-0000-000010000000}"/>
    <cellStyle name="Normal 3 5" xfId="19" xr:uid="{00000000-0005-0000-0000-000011000000}"/>
    <cellStyle name="Normal 4" xfId="7" xr:uid="{00000000-0005-0000-0000-000012000000}"/>
    <cellStyle name="Normal 5" xfId="20" xr:uid="{00000000-0005-0000-0000-000013000000}"/>
    <cellStyle name="Porcentaje" xfId="3" builtinId="5"/>
    <cellStyle name="Porcentual 2" xfId="6" xr:uid="{00000000-0005-0000-0000-000015000000}"/>
    <cellStyle name="Porcentual 3" xfId="21" xr:uid="{00000000-0005-0000-0000-000016000000}"/>
  </cellStyles>
  <dxfs count="0"/>
  <tableStyles count="0" defaultTableStyle="TableStyleMedium9" defaultPivotStyle="PivotStyleLight16"/>
  <colors>
    <mruColors>
      <color rgb="FFF1FEA0"/>
      <color rgb="FFFAFFD9"/>
      <color rgb="FFEFFDFF"/>
      <color rgb="FFFBFFFF"/>
      <color rgb="FFFFFFBD"/>
      <color rgb="FFFFFF89"/>
      <color rgb="FFF3FEB0"/>
      <color rgb="FFFFFFCC"/>
      <color rgb="FFF1FE72"/>
      <color rgb="FFD5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pieChart>
        <c:varyColors val="1"/>
        <c:ser>
          <c:idx val="2"/>
          <c:order val="0"/>
          <c:dLbls>
            <c:dLbl>
              <c:idx val="1"/>
              <c:layout>
                <c:manualLayout>
                  <c:x val="0.12199666895516117"/>
                  <c:y val="-9.5198867738464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B2-4557-9032-3EA9ABC64F15}"/>
                </c:ext>
              </c:extLst>
            </c:dLbl>
            <c:dLbl>
              <c:idx val="2"/>
              <c:layout>
                <c:manualLayout>
                  <c:x val="9.3783217087154411E-2"/>
                  <c:y val="9.53359421838645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B2-4557-9032-3EA9ABC64F15}"/>
                </c:ext>
              </c:extLst>
            </c:dLbl>
            <c:dLbl>
              <c:idx val="3"/>
              <c:layout>
                <c:manualLayout>
                  <c:x val="1.0012911931982459E-2"/>
                  <c:y val="9.036718070732412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B2-4557-9032-3EA9ABC64F15}"/>
                </c:ext>
              </c:extLst>
            </c:dLbl>
            <c:dLbl>
              <c:idx val="4"/>
              <c:layout>
                <c:manualLayout>
                  <c:x val="4.3789694353217418E-2"/>
                  <c:y val="0.103547433414091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B2-4557-9032-3EA9ABC64F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 i="0" u="none" strike="noStrike" baseline="0">
                    <a:solidFill>
                      <a:schemeClr val="tx1"/>
                    </a:solidFill>
                    <a:latin typeface="Calibri"/>
                    <a:ea typeface="Calibri"/>
                    <a:cs typeface="Calibri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'7,1Grafico'!$A$5:$A$9</c:f>
              <c:strCache>
                <c:ptCount val="5"/>
                <c:pt idx="0">
                  <c:v>COSTO DE OPERACIÓN HORARIA</c:v>
                </c:pt>
                <c:pt idx="1">
                  <c:v>COSTO DE POSESION HORARIA</c:v>
                </c:pt>
                <c:pt idx="2">
                  <c:v>PERSONAL ADMINISTRATIVO Y TALLER MINA HORARIA</c:v>
                </c:pt>
                <c:pt idx="3">
                  <c:v>COSTO ADMINISTRATIVO 5% DE COSTOS 1 + 2 + 3 + 4</c:v>
                </c:pt>
                <c:pt idx="4">
                  <c:v>UTILIDAD</c:v>
                </c:pt>
              </c:strCache>
            </c:strRef>
          </c:cat>
          <c:val>
            <c:numRef>
              <c:f>'7,1Grafico'!$C$5:$C$9</c:f>
              <c:numCache>
                <c:formatCode>0.00%</c:formatCode>
                <c:ptCount val="5"/>
                <c:pt idx="0">
                  <c:v>0.29513218173602584</c:v>
                </c:pt>
                <c:pt idx="1">
                  <c:v>0.55642585241460163</c:v>
                </c:pt>
                <c:pt idx="2">
                  <c:v>5.5471444307422527E-2</c:v>
                </c:pt>
                <c:pt idx="3">
                  <c:v>4.5351473922902501E-2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B2-4557-9032-3EA9ABC6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945828195536432"/>
          <c:y val="0"/>
          <c:w val="0.34283037791008253"/>
          <c:h val="1"/>
        </c:manualLayout>
      </c:layout>
      <c:overlay val="0"/>
      <c:spPr>
        <a:noFill/>
      </c:spPr>
      <c:txPr>
        <a:bodyPr/>
        <a:lstStyle/>
        <a:p>
          <a:pPr>
            <a:defRPr sz="920" b="0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" l="0" r="0" t="0.19685039370078738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1947333</xdr:colOff>
      <xdr:row>1</xdr:row>
      <xdr:rowOff>200631</xdr:rowOff>
    </xdr:to>
    <xdr:pic>
      <xdr:nvPicPr>
        <xdr:cNvPr id="2" name="1 Imagen" descr="ANGO RAJ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1947333" cy="454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1354667</xdr:colOff>
      <xdr:row>1</xdr:row>
      <xdr:rowOff>62265</xdr:rowOff>
    </xdr:to>
    <xdr:pic>
      <xdr:nvPicPr>
        <xdr:cNvPr id="8238" name="1 Imagen" descr="ANGO RAJU">
          <a:extLst>
            <a:ext uri="{FF2B5EF4-FFF2-40B4-BE49-F238E27FC236}">
              <a16:creationId xmlns:a16="http://schemas.microsoft.com/office/drawing/2014/main" id="{00000000-0008-0000-01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54667" cy="316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1018117</xdr:colOff>
      <xdr:row>1</xdr:row>
      <xdr:rowOff>19050</xdr:rowOff>
    </xdr:to>
    <xdr:pic>
      <xdr:nvPicPr>
        <xdr:cNvPr id="2" name="1 Imagen" descr="ANGO RAJU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1475317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</xdr:colOff>
      <xdr:row>0</xdr:row>
      <xdr:rowOff>0</xdr:rowOff>
    </xdr:from>
    <xdr:to>
      <xdr:col>1</xdr:col>
      <xdr:colOff>1281641</xdr:colOff>
      <xdr:row>1</xdr:row>
      <xdr:rowOff>19050</xdr:rowOff>
    </xdr:to>
    <xdr:pic>
      <xdr:nvPicPr>
        <xdr:cNvPr id="2" name="2 Imagen" descr="ANGO RAJ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66" y="0"/>
          <a:ext cx="15271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1228725</xdr:colOff>
      <xdr:row>0</xdr:row>
      <xdr:rowOff>190500</xdr:rowOff>
    </xdr:to>
    <xdr:pic>
      <xdr:nvPicPr>
        <xdr:cNvPr id="2" name="1 Imagen" descr="ANGO RAJ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4763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28577</xdr:rowOff>
    </xdr:from>
    <xdr:to>
      <xdr:col>1</xdr:col>
      <xdr:colOff>712687</xdr:colOff>
      <xdr:row>1</xdr:row>
      <xdr:rowOff>57150</xdr:rowOff>
    </xdr:to>
    <xdr:pic>
      <xdr:nvPicPr>
        <xdr:cNvPr id="9241" name="1 Imagen" descr="ANGO RAJU">
          <a:extLst>
            <a:ext uri="{FF2B5EF4-FFF2-40B4-BE49-F238E27FC236}">
              <a16:creationId xmlns:a16="http://schemas.microsoft.com/office/drawing/2014/main" id="{00000000-0008-0000-05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28577"/>
          <a:ext cx="999303" cy="323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37111</xdr:rowOff>
    </xdr:from>
    <xdr:to>
      <xdr:col>1</xdr:col>
      <xdr:colOff>1370435</xdr:colOff>
      <xdr:row>0</xdr:row>
      <xdr:rowOff>466780</xdr:rowOff>
    </xdr:to>
    <xdr:pic>
      <xdr:nvPicPr>
        <xdr:cNvPr id="3393" name="1 Imagen" descr="ANGO RAJU">
          <a:extLst>
            <a:ext uri="{FF2B5EF4-FFF2-40B4-BE49-F238E27FC236}">
              <a16:creationId xmlns:a16="http://schemas.microsoft.com/office/drawing/2014/main" id="{00000000-0008-0000-06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37111"/>
          <a:ext cx="1778648" cy="429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74083</xdr:colOff>
      <xdr:row>3</xdr:row>
      <xdr:rowOff>0</xdr:rowOff>
    </xdr:from>
    <xdr:to>
      <xdr:col>10</xdr:col>
      <xdr:colOff>0</xdr:colOff>
      <xdr:row>17</xdr:row>
      <xdr:rowOff>148167</xdr:rowOff>
    </xdr:to>
    <xdr:graphicFrame macro="">
      <xdr:nvGraphicFramePr>
        <xdr:cNvPr id="2" name="11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21167</xdr:colOff>
      <xdr:row>0</xdr:row>
      <xdr:rowOff>7422</xdr:rowOff>
    </xdr:from>
    <xdr:to>
      <xdr:col>1</xdr:col>
      <xdr:colOff>1198181</xdr:colOff>
      <xdr:row>1</xdr:row>
      <xdr:rowOff>220797</xdr:rowOff>
    </xdr:to>
    <xdr:pic>
      <xdr:nvPicPr>
        <xdr:cNvPr id="3" name="1 Imagen" descr="ANGO RAJU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918517" y="655122"/>
          <a:ext cx="1939014" cy="41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MA-Ango%20Raju%202010\06%20Volquetes%20Volvo\6,1%20Costos%20horarios\6.1.1%20Volquete%20h-m%20FM12%20COSTO%20VIGEN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tructuras%20horarias%20modificadas\05%20Excavadora%20Komat&#180;su\2.1%20Excavadora%20costos%20hm%20nueva%20estructura%20KOMATS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tructuras%20horarias%20modificadas\6,5%20Excavadoras%20costos%20horarios%20CAT%20VOL%20KO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Planilla"/>
      <sheetName val="2Maq"/>
      <sheetName val="3insumo"/>
      <sheetName val="4Trans"/>
      <sheetName val="5 EPP"/>
      <sheetName val="6SueAct"/>
      <sheetName val="7chrFM"/>
      <sheetName val="7,1Grafico"/>
      <sheetName val="8PMPfm"/>
      <sheetName val="Costo Horario NL12"/>
      <sheetName val="Propuesto Costo Horario"/>
    </sheetNames>
    <sheetDataSet>
      <sheetData sheetId="0"/>
      <sheetData sheetId="1"/>
      <sheetData sheetId="2">
        <row r="3">
          <cell r="A3" t="str">
            <v>PARA EL MANTENIMIENTO PREVENTIVO PROGRAMADO</v>
          </cell>
        </row>
      </sheetData>
      <sheetData sheetId="3"/>
      <sheetData sheetId="4"/>
      <sheetData sheetId="5"/>
      <sheetData sheetId="6">
        <row r="6">
          <cell r="D6">
            <v>5000</v>
          </cell>
          <cell r="U6">
            <v>6.562144829317455E-4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 DL"/>
      <sheetName val="cat  330DL MEJORADO"/>
      <sheetName val="AII insu"/>
      <sheetName val="AIII Transp"/>
      <sheetName val="AIV  Suel20hr"/>
      <sheetName val="AV EPP 20hr"/>
      <sheetName val="Cto 20Hr PC300LC8"/>
      <sheetName val="3 Costo hm"/>
      <sheetName val="P MTTO"/>
      <sheetName val="Equil-Vol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 DL"/>
      <sheetName val="cat  330DL MEJORADO"/>
      <sheetName val="AII insu"/>
      <sheetName val="AIII Transp"/>
      <sheetName val="AIV  Suel20hr"/>
      <sheetName val="AV EPP 20hr"/>
      <sheetName val="Cto 20 Hr FM12-440"/>
      <sheetName val="3 Costo hm"/>
      <sheetName val="P MT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H16">
            <v>9.66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view="pageBreakPreview" zoomScale="80" zoomScaleNormal="100" zoomScaleSheetLayoutView="80" workbookViewId="0">
      <selection sqref="A1:I1"/>
    </sheetView>
  </sheetViews>
  <sheetFormatPr baseColWidth="10" defaultRowHeight="15" x14ac:dyDescent="0.25"/>
  <cols>
    <col min="1" max="1" width="31.140625" bestFit="1" customWidth="1"/>
    <col min="2" max="2" width="11.5703125" bestFit="1" customWidth="1"/>
    <col min="3" max="3" width="15.140625" bestFit="1" customWidth="1"/>
    <col min="4" max="4" width="11.5703125" bestFit="1" customWidth="1"/>
    <col min="5" max="5" width="15.140625" bestFit="1" customWidth="1"/>
    <col min="6" max="6" width="13.42578125" customWidth="1"/>
    <col min="7" max="7" width="16.42578125" bestFit="1" customWidth="1"/>
    <col min="8" max="8" width="10.7109375" customWidth="1"/>
    <col min="9" max="9" width="6.42578125" customWidth="1"/>
    <col min="10" max="10" width="6.5703125" bestFit="1" customWidth="1"/>
    <col min="11" max="11" width="5.140625" bestFit="1" customWidth="1"/>
    <col min="12" max="12" width="9.42578125" bestFit="1" customWidth="1"/>
    <col min="13" max="13" width="11.42578125" bestFit="1" customWidth="1"/>
    <col min="14" max="14" width="11.7109375" bestFit="1" customWidth="1"/>
    <col min="15" max="15" width="11.42578125" bestFit="1" customWidth="1"/>
  </cols>
  <sheetData>
    <row r="1" spans="1:16" ht="20.25" x14ac:dyDescent="0.3">
      <c r="A1" s="573" t="s">
        <v>308</v>
      </c>
      <c r="B1" s="573"/>
      <c r="C1" s="573"/>
      <c r="D1" s="573"/>
      <c r="E1" s="573"/>
      <c r="F1" s="573"/>
      <c r="G1" s="573"/>
      <c r="H1" s="573"/>
      <c r="I1" s="573"/>
    </row>
    <row r="2" spans="1:16" ht="18" x14ac:dyDescent="0.25">
      <c r="A2" s="574" t="s">
        <v>462</v>
      </c>
      <c r="B2" s="575"/>
      <c r="C2" s="575"/>
      <c r="D2" s="575"/>
      <c r="E2" s="575"/>
      <c r="F2" s="575"/>
      <c r="G2" s="575"/>
      <c r="H2" s="575"/>
      <c r="I2" s="576"/>
    </row>
    <row r="3" spans="1:16" x14ac:dyDescent="0.25">
      <c r="A3" s="577" t="s">
        <v>472</v>
      </c>
      <c r="B3" s="578"/>
      <c r="C3" s="578"/>
      <c r="D3" s="578"/>
      <c r="E3" s="578"/>
      <c r="F3" s="578"/>
      <c r="G3" s="578"/>
      <c r="H3" s="268"/>
      <c r="I3" s="268"/>
    </row>
    <row r="4" spans="1:16" ht="15.75" customHeight="1" x14ac:dyDescent="0.25">
      <c r="A4" s="283" t="s">
        <v>302</v>
      </c>
      <c r="B4" s="594" t="s">
        <v>463</v>
      </c>
      <c r="C4" s="594"/>
      <c r="D4" s="594"/>
      <c r="E4" s="594"/>
      <c r="F4" s="594"/>
      <c r="G4" s="594"/>
      <c r="H4" s="594"/>
      <c r="I4" s="594"/>
    </row>
    <row r="5" spans="1:16" x14ac:dyDescent="0.25">
      <c r="A5" s="283" t="s">
        <v>464</v>
      </c>
      <c r="B5" s="594" t="s">
        <v>465</v>
      </c>
      <c r="C5" s="594"/>
      <c r="D5" s="594"/>
      <c r="E5" s="594"/>
      <c r="F5" s="594"/>
      <c r="G5" s="594"/>
      <c r="H5" s="594"/>
      <c r="I5" s="594"/>
      <c r="P5" s="167"/>
    </row>
    <row r="6" spans="1:16" x14ac:dyDescent="0.25">
      <c r="A6" s="283" t="s">
        <v>303</v>
      </c>
      <c r="B6" s="590" t="s">
        <v>467</v>
      </c>
      <c r="C6" s="590"/>
      <c r="D6" s="590"/>
      <c r="E6" s="590"/>
      <c r="F6" s="590"/>
      <c r="G6" s="590"/>
      <c r="H6" s="590"/>
      <c r="I6" s="590"/>
      <c r="P6" s="167"/>
    </row>
    <row r="7" spans="1:16" x14ac:dyDescent="0.25">
      <c r="A7" s="283" t="s">
        <v>446</v>
      </c>
      <c r="B7" s="590" t="s">
        <v>468</v>
      </c>
      <c r="C7" s="590"/>
      <c r="D7" s="590"/>
      <c r="E7" s="590"/>
      <c r="F7" s="590"/>
      <c r="G7" s="590"/>
      <c r="H7" s="590"/>
      <c r="I7" s="590"/>
      <c r="P7" s="167"/>
    </row>
    <row r="8" spans="1:16" x14ac:dyDescent="0.25">
      <c r="A8" s="283" t="s">
        <v>447</v>
      </c>
      <c r="B8" s="590" t="s">
        <v>469</v>
      </c>
      <c r="C8" s="590"/>
      <c r="D8" s="590"/>
      <c r="E8" s="590"/>
      <c r="F8" s="590"/>
      <c r="G8" s="590"/>
      <c r="H8" s="590"/>
      <c r="I8" s="590"/>
      <c r="P8" s="167"/>
    </row>
    <row r="9" spans="1:16" ht="15.75" thickBot="1" x14ac:dyDescent="0.3">
      <c r="A9" s="283" t="s">
        <v>301</v>
      </c>
      <c r="B9" s="593" t="s">
        <v>466</v>
      </c>
      <c r="C9" s="593"/>
      <c r="D9" s="593"/>
      <c r="E9" s="593"/>
      <c r="F9" s="593"/>
      <c r="G9" s="593"/>
      <c r="H9" s="593"/>
      <c r="I9" s="593"/>
      <c r="P9" s="167"/>
    </row>
    <row r="10" spans="1:16" ht="16.5" thickTop="1" thickBot="1" x14ac:dyDescent="0.3">
      <c r="A10" s="283" t="s">
        <v>449</v>
      </c>
      <c r="B10" s="369">
        <f>+'2Maq'!B8</f>
        <v>10</v>
      </c>
      <c r="C10" s="12"/>
      <c r="D10" s="12"/>
      <c r="E10" s="12"/>
      <c r="F10" s="12"/>
      <c r="H10" s="268"/>
      <c r="I10" s="268"/>
      <c r="P10" s="167"/>
    </row>
    <row r="11" spans="1:16" ht="15.75" thickTop="1" x14ac:dyDescent="0.25">
      <c r="A11" s="283" t="s">
        <v>448</v>
      </c>
      <c r="B11" s="590" t="s">
        <v>450</v>
      </c>
      <c r="C11" s="590"/>
      <c r="D11" s="590"/>
      <c r="E11" s="590"/>
      <c r="F11" s="590"/>
      <c r="G11" s="590"/>
      <c r="H11" s="590"/>
      <c r="I11" s="590"/>
      <c r="P11" s="167"/>
    </row>
    <row r="12" spans="1:16" ht="3.75" customHeight="1" x14ac:dyDescent="0.25">
      <c r="A12" s="284"/>
      <c r="B12" s="284"/>
      <c r="C12" s="285"/>
      <c r="D12" s="285"/>
      <c r="E12" s="285"/>
      <c r="F12" s="285"/>
      <c r="G12" s="284"/>
      <c r="H12" s="268"/>
      <c r="I12" s="268"/>
      <c r="P12" s="167"/>
    </row>
    <row r="13" spans="1:16" x14ac:dyDescent="0.25">
      <c r="A13" s="577" t="s">
        <v>478</v>
      </c>
      <c r="B13" s="577"/>
      <c r="C13" s="577"/>
      <c r="D13" s="577"/>
      <c r="E13" s="577"/>
      <c r="F13" s="577"/>
      <c r="G13" s="577"/>
      <c r="H13" s="577"/>
      <c r="I13" s="577"/>
      <c r="P13" s="167"/>
    </row>
    <row r="14" spans="1:16" ht="15" customHeight="1" x14ac:dyDescent="0.25">
      <c r="A14" s="283"/>
      <c r="B14" s="589" t="s">
        <v>453</v>
      </c>
      <c r="C14" s="589"/>
      <c r="D14" s="579" t="s">
        <v>525</v>
      </c>
      <c r="E14" s="580"/>
      <c r="F14" s="341" t="s">
        <v>441</v>
      </c>
      <c r="G14" s="591" t="s">
        <v>443</v>
      </c>
      <c r="H14" s="591"/>
      <c r="I14" s="592"/>
      <c r="P14" s="167"/>
    </row>
    <row r="15" spans="1:16" ht="15" customHeight="1" x14ac:dyDescent="0.25">
      <c r="A15" s="166" t="s">
        <v>338</v>
      </c>
      <c r="B15" s="353" t="s">
        <v>451</v>
      </c>
      <c r="C15" s="353" t="s">
        <v>544</v>
      </c>
      <c r="D15" s="289" t="s">
        <v>451</v>
      </c>
      <c r="E15" s="311" t="s">
        <v>526</v>
      </c>
      <c r="F15" s="341" t="s">
        <v>547</v>
      </c>
      <c r="G15" s="584"/>
      <c r="H15" s="584"/>
      <c r="I15" s="585"/>
      <c r="J15" s="627"/>
      <c r="K15" s="628"/>
      <c r="P15" s="167"/>
    </row>
    <row r="16" spans="1:16" ht="15" customHeight="1" x14ac:dyDescent="0.25">
      <c r="A16" s="290" t="s">
        <v>448</v>
      </c>
      <c r="B16" s="350" t="s">
        <v>545</v>
      </c>
      <c r="C16" s="351">
        <f>+C17+C23</f>
        <v>0</v>
      </c>
      <c r="D16" s="365" t="s">
        <v>546</v>
      </c>
      <c r="E16" s="366">
        <f>SUM(E17:E27)</f>
        <v>0</v>
      </c>
      <c r="F16" s="366"/>
      <c r="G16" s="368">
        <f>+C16+E16</f>
        <v>0</v>
      </c>
      <c r="H16" s="616" t="s">
        <v>549</v>
      </c>
      <c r="I16" s="617"/>
      <c r="J16" s="344"/>
      <c r="K16" s="344"/>
      <c r="M16" s="316"/>
      <c r="N16" s="316"/>
      <c r="O16" s="316"/>
      <c r="P16" s="167"/>
    </row>
    <row r="17" spans="1:16" ht="15" customHeight="1" x14ac:dyDescent="0.25">
      <c r="A17" s="282" t="s">
        <v>452</v>
      </c>
      <c r="B17" s="286"/>
      <c r="C17" s="581">
        <f>SUM(B18:B22)</f>
        <v>0</v>
      </c>
      <c r="D17" s="309"/>
      <c r="E17" s="581">
        <f>SUM(D18:D22)</f>
        <v>0</v>
      </c>
      <c r="F17" s="339"/>
      <c r="G17" s="586">
        <f>SUM(F18:F21)</f>
        <v>0</v>
      </c>
      <c r="H17" s="568"/>
      <c r="I17" s="569"/>
      <c r="M17" s="316"/>
      <c r="N17" s="316"/>
      <c r="O17" s="316"/>
      <c r="P17" s="167"/>
    </row>
    <row r="18" spans="1:16" ht="15" customHeight="1" x14ac:dyDescent="0.25">
      <c r="A18" s="166" t="s">
        <v>473</v>
      </c>
      <c r="B18" s="287">
        <f>+M18</f>
        <v>0</v>
      </c>
      <c r="C18" s="582"/>
      <c r="D18" s="287">
        <f>+N18</f>
        <v>0</v>
      </c>
      <c r="E18" s="587"/>
      <c r="F18" s="287">
        <f t="shared" ref="F18:F22" si="0">+B18+D18</f>
        <v>0</v>
      </c>
      <c r="G18" s="567" t="s">
        <v>538</v>
      </c>
      <c r="H18" s="568"/>
      <c r="I18" s="569"/>
      <c r="K18" s="626"/>
      <c r="M18" s="287"/>
      <c r="N18" s="342"/>
      <c r="O18" s="342"/>
      <c r="P18" s="167"/>
    </row>
    <row r="19" spans="1:16" ht="15" customHeight="1" x14ac:dyDescent="0.25">
      <c r="A19" s="166" t="s">
        <v>474</v>
      </c>
      <c r="B19" s="287">
        <f>+M19</f>
        <v>0</v>
      </c>
      <c r="C19" s="582"/>
      <c r="D19" s="287">
        <f>+N19</f>
        <v>0</v>
      </c>
      <c r="E19" s="587"/>
      <c r="F19" s="287">
        <f t="shared" si="0"/>
        <v>0</v>
      </c>
      <c r="G19" s="567" t="s">
        <v>538</v>
      </c>
      <c r="H19" s="568"/>
      <c r="I19" s="569"/>
      <c r="K19" s="626"/>
      <c r="M19" s="287"/>
      <c r="N19" s="342"/>
      <c r="O19" s="342"/>
      <c r="P19" s="167"/>
    </row>
    <row r="20" spans="1:16" ht="15" customHeight="1" x14ac:dyDescent="0.25">
      <c r="A20" s="166" t="s">
        <v>475</v>
      </c>
      <c r="B20" s="287">
        <f>+M20</f>
        <v>0</v>
      </c>
      <c r="C20" s="582"/>
      <c r="D20" s="287">
        <f>+N20</f>
        <v>0</v>
      </c>
      <c r="E20" s="587"/>
      <c r="F20" s="287">
        <f t="shared" si="0"/>
        <v>0</v>
      </c>
      <c r="G20" s="567" t="s">
        <v>538</v>
      </c>
      <c r="H20" s="568"/>
      <c r="I20" s="569"/>
      <c r="K20" s="626"/>
      <c r="M20" s="287"/>
      <c r="N20" s="342"/>
      <c r="O20" s="342"/>
      <c r="P20" s="167"/>
    </row>
    <row r="21" spans="1:16" ht="15" customHeight="1" x14ac:dyDescent="0.25">
      <c r="A21" s="166" t="s">
        <v>476</v>
      </c>
      <c r="B21" s="287">
        <f>+M21</f>
        <v>0</v>
      </c>
      <c r="C21" s="582"/>
      <c r="D21" s="287">
        <f>+N21</f>
        <v>0</v>
      </c>
      <c r="E21" s="587"/>
      <c r="F21" s="287">
        <f t="shared" si="0"/>
        <v>0</v>
      </c>
      <c r="G21" s="567" t="s">
        <v>539</v>
      </c>
      <c r="H21" s="568"/>
      <c r="I21" s="569"/>
      <c r="K21" s="626"/>
      <c r="M21" s="287"/>
      <c r="N21" s="342"/>
      <c r="O21" s="342"/>
      <c r="P21" s="167"/>
    </row>
    <row r="22" spans="1:16" ht="15" customHeight="1" x14ac:dyDescent="0.25">
      <c r="A22" s="166" t="s">
        <v>477</v>
      </c>
      <c r="B22" s="287">
        <f>+M22</f>
        <v>0</v>
      </c>
      <c r="C22" s="583"/>
      <c r="D22" s="287">
        <f>+N22</f>
        <v>0</v>
      </c>
      <c r="E22" s="588"/>
      <c r="F22" s="287">
        <f t="shared" si="0"/>
        <v>0</v>
      </c>
      <c r="G22" s="567" t="s">
        <v>539</v>
      </c>
      <c r="H22" s="568"/>
      <c r="I22" s="569"/>
      <c r="K22" s="626"/>
      <c r="M22" s="287"/>
      <c r="N22" s="342"/>
      <c r="O22" s="342"/>
      <c r="P22" s="167"/>
    </row>
    <row r="23" spans="1:16" ht="15" customHeight="1" x14ac:dyDescent="0.25">
      <c r="A23" s="282" t="s">
        <v>458</v>
      </c>
      <c r="B23" s="287"/>
      <c r="C23" s="581">
        <f>SUM(B24:B27)</f>
        <v>0</v>
      </c>
      <c r="D23" s="309"/>
      <c r="E23" s="581">
        <f>SUM(D24:D27)</f>
        <v>0</v>
      </c>
      <c r="F23" s="339"/>
      <c r="G23" s="586">
        <f>SUM(F24:F27)</f>
        <v>0</v>
      </c>
      <c r="H23" s="568"/>
      <c r="I23" s="569"/>
      <c r="P23" s="167"/>
    </row>
    <row r="24" spans="1:16" ht="15" customHeight="1" x14ac:dyDescent="0.25">
      <c r="A24" s="166" t="s">
        <v>456</v>
      </c>
      <c r="B24" s="287">
        <f>+M24</f>
        <v>0</v>
      </c>
      <c r="C24" s="587"/>
      <c r="D24" s="287">
        <f>+N24</f>
        <v>0</v>
      </c>
      <c r="E24" s="587"/>
      <c r="F24" s="287">
        <f>+B24+D24</f>
        <v>0</v>
      </c>
      <c r="G24" s="567" t="s">
        <v>538</v>
      </c>
      <c r="H24" s="568"/>
      <c r="I24" s="569"/>
      <c r="K24" s="15"/>
      <c r="M24" s="287"/>
      <c r="N24" s="342"/>
      <c r="O24" s="342"/>
      <c r="P24" s="167"/>
    </row>
    <row r="25" spans="1:16" ht="15" customHeight="1" x14ac:dyDescent="0.25">
      <c r="A25" s="166" t="s">
        <v>455</v>
      </c>
      <c r="B25" s="287">
        <f>+M25</f>
        <v>0</v>
      </c>
      <c r="C25" s="587"/>
      <c r="D25" s="287">
        <f>+N25</f>
        <v>0</v>
      </c>
      <c r="E25" s="587"/>
      <c r="F25" s="287">
        <f t="shared" ref="F25:F27" si="1">+B25+D25</f>
        <v>0</v>
      </c>
      <c r="G25" s="567" t="s">
        <v>538</v>
      </c>
      <c r="H25" s="568"/>
      <c r="I25" s="569"/>
      <c r="K25" s="626"/>
      <c r="M25" s="287"/>
      <c r="N25" s="342"/>
      <c r="O25" s="342"/>
      <c r="P25" s="167"/>
    </row>
    <row r="26" spans="1:16" ht="15" customHeight="1" x14ac:dyDescent="0.25">
      <c r="A26" s="166" t="s">
        <v>470</v>
      </c>
      <c r="B26" s="287">
        <f>+M26</f>
        <v>0</v>
      </c>
      <c r="C26" s="587"/>
      <c r="D26" s="287">
        <f>+N26</f>
        <v>0</v>
      </c>
      <c r="E26" s="587"/>
      <c r="F26" s="287">
        <f t="shared" si="1"/>
        <v>0</v>
      </c>
      <c r="G26" s="567" t="s">
        <v>471</v>
      </c>
      <c r="H26" s="568"/>
      <c r="I26" s="569"/>
      <c r="K26" s="626"/>
      <c r="M26" s="287"/>
      <c r="N26" s="342"/>
      <c r="O26" s="342"/>
      <c r="P26" s="167"/>
    </row>
    <row r="27" spans="1:16" ht="15" customHeight="1" x14ac:dyDescent="0.25">
      <c r="A27" s="166" t="s">
        <v>454</v>
      </c>
      <c r="B27" s="287">
        <f>+M27</f>
        <v>0</v>
      </c>
      <c r="C27" s="587"/>
      <c r="D27" s="287">
        <f>+N27</f>
        <v>0</v>
      </c>
      <c r="E27" s="588"/>
      <c r="F27" s="287">
        <f t="shared" si="1"/>
        <v>0</v>
      </c>
      <c r="G27" s="567" t="s">
        <v>471</v>
      </c>
      <c r="H27" s="568"/>
      <c r="I27" s="569"/>
      <c r="K27" s="626"/>
      <c r="M27" s="287"/>
      <c r="N27" s="342"/>
      <c r="O27" s="342"/>
      <c r="P27" s="167"/>
    </row>
    <row r="28" spans="1:16" ht="15" customHeight="1" x14ac:dyDescent="0.25">
      <c r="A28" s="290" t="s">
        <v>460</v>
      </c>
      <c r="B28" s="352"/>
      <c r="C28" s="351">
        <f>+C29+C42+C53</f>
        <v>0</v>
      </c>
      <c r="D28" s="366"/>
      <c r="E28" s="367">
        <f>+E29+E42+E53</f>
        <v>0</v>
      </c>
      <c r="F28" s="366"/>
      <c r="G28" s="368">
        <f>+C28+E28</f>
        <v>0</v>
      </c>
      <c r="H28" s="616" t="s">
        <v>549</v>
      </c>
      <c r="I28" s="617"/>
      <c r="P28" s="167"/>
    </row>
    <row r="29" spans="1:16" ht="15" customHeight="1" x14ac:dyDescent="0.25">
      <c r="A29" s="354" t="s">
        <v>457</v>
      </c>
      <c r="B29" s="395"/>
      <c r="C29" s="570">
        <f>SUM(B30:B41)</f>
        <v>0</v>
      </c>
      <c r="D29" s="363"/>
      <c r="E29" s="598">
        <f>SUM(D30:D41)</f>
        <v>0</v>
      </c>
      <c r="F29" s="364"/>
      <c r="G29" s="357">
        <f>+C29+E29</f>
        <v>0</v>
      </c>
      <c r="H29" s="618" t="s">
        <v>549</v>
      </c>
      <c r="I29" s="619"/>
      <c r="P29" s="167"/>
    </row>
    <row r="30" spans="1:16" ht="15" customHeight="1" x14ac:dyDescent="0.25">
      <c r="A30" s="166" t="s">
        <v>501</v>
      </c>
      <c r="B30" s="287">
        <f t="shared" ref="B30:B41" si="2">+M30</f>
        <v>0</v>
      </c>
      <c r="C30" s="571"/>
      <c r="D30" s="310">
        <f>+B30*'6SueAct'!$C$7</f>
        <v>0</v>
      </c>
      <c r="E30" s="599"/>
      <c r="F30" s="287">
        <f t="shared" ref="F30:F52" si="3">+B30+D30</f>
        <v>0</v>
      </c>
      <c r="G30" s="567" t="s">
        <v>471</v>
      </c>
      <c r="H30" s="568"/>
      <c r="I30" s="569"/>
      <c r="K30" s="626"/>
      <c r="M30" s="287"/>
      <c r="N30" s="342"/>
      <c r="O30" s="342"/>
      <c r="P30" s="167"/>
    </row>
    <row r="31" spans="1:16" ht="15" customHeight="1" x14ac:dyDescent="0.25">
      <c r="A31" s="166" t="s">
        <v>502</v>
      </c>
      <c r="B31" s="287">
        <f t="shared" si="2"/>
        <v>0</v>
      </c>
      <c r="C31" s="571"/>
      <c r="D31" s="310">
        <f>+B31*'6SueAct'!$C$7</f>
        <v>0</v>
      </c>
      <c r="E31" s="599"/>
      <c r="F31" s="287">
        <f t="shared" si="3"/>
        <v>0</v>
      </c>
      <c r="G31" s="567" t="s">
        <v>471</v>
      </c>
      <c r="H31" s="568"/>
      <c r="I31" s="569"/>
      <c r="K31" s="626"/>
      <c r="M31" s="287"/>
      <c r="N31" s="342"/>
      <c r="O31" s="342"/>
      <c r="P31" s="167"/>
    </row>
    <row r="32" spans="1:16" ht="15" customHeight="1" x14ac:dyDescent="0.25">
      <c r="A32" s="166" t="s">
        <v>503</v>
      </c>
      <c r="B32" s="287">
        <f t="shared" si="2"/>
        <v>0</v>
      </c>
      <c r="C32" s="571"/>
      <c r="D32" s="310">
        <f>+B32*'6SueAct'!$C$7</f>
        <v>0</v>
      </c>
      <c r="E32" s="599"/>
      <c r="F32" s="287">
        <f t="shared" si="3"/>
        <v>0</v>
      </c>
      <c r="G32" s="567" t="s">
        <v>471</v>
      </c>
      <c r="H32" s="568"/>
      <c r="I32" s="569"/>
      <c r="K32" s="626"/>
      <c r="M32" s="287"/>
      <c r="N32" s="342"/>
      <c r="O32" s="342"/>
      <c r="P32" s="167"/>
    </row>
    <row r="33" spans="1:16" ht="15" customHeight="1" x14ac:dyDescent="0.25">
      <c r="A33" s="166" t="s">
        <v>504</v>
      </c>
      <c r="B33" s="287">
        <f t="shared" si="2"/>
        <v>0</v>
      </c>
      <c r="C33" s="571"/>
      <c r="D33" s="310">
        <f>+B33*'6SueAct'!$C$7</f>
        <v>0</v>
      </c>
      <c r="E33" s="599"/>
      <c r="F33" s="287">
        <f t="shared" si="3"/>
        <v>0</v>
      </c>
      <c r="G33" s="567" t="s">
        <v>471</v>
      </c>
      <c r="H33" s="568"/>
      <c r="I33" s="569"/>
      <c r="K33" s="626"/>
      <c r="M33" s="287"/>
      <c r="N33" s="342"/>
      <c r="O33" s="342"/>
      <c r="P33" s="167"/>
    </row>
    <row r="34" spans="1:16" ht="15" customHeight="1" x14ac:dyDescent="0.25">
      <c r="A34" s="166" t="s">
        <v>496</v>
      </c>
      <c r="B34" s="287">
        <f t="shared" si="2"/>
        <v>0</v>
      </c>
      <c r="C34" s="571"/>
      <c r="D34" s="310">
        <f>+B34*'6SueAct'!$C$7</f>
        <v>0</v>
      </c>
      <c r="E34" s="599"/>
      <c r="F34" s="287">
        <f t="shared" si="3"/>
        <v>0</v>
      </c>
      <c r="G34" s="567" t="s">
        <v>538</v>
      </c>
      <c r="H34" s="568"/>
      <c r="I34" s="569"/>
      <c r="K34" s="626"/>
      <c r="M34" s="287"/>
      <c r="N34" s="342"/>
      <c r="O34" s="342"/>
      <c r="P34" s="167"/>
    </row>
    <row r="35" spans="1:16" ht="15" customHeight="1" x14ac:dyDescent="0.25">
      <c r="A35" s="166" t="s">
        <v>497</v>
      </c>
      <c r="B35" s="287">
        <f t="shared" si="2"/>
        <v>0</v>
      </c>
      <c r="C35" s="571"/>
      <c r="D35" s="310">
        <f>+B35*'6SueAct'!$C$7</f>
        <v>0</v>
      </c>
      <c r="E35" s="599"/>
      <c r="F35" s="287">
        <f t="shared" si="3"/>
        <v>0</v>
      </c>
      <c r="G35" s="567" t="s">
        <v>538</v>
      </c>
      <c r="H35" s="568"/>
      <c r="I35" s="569"/>
      <c r="K35" s="626"/>
      <c r="M35" s="287"/>
      <c r="N35" s="342"/>
      <c r="O35" s="342"/>
      <c r="P35" s="167"/>
    </row>
    <row r="36" spans="1:16" ht="15" customHeight="1" x14ac:dyDescent="0.25">
      <c r="A36" s="166" t="s">
        <v>522</v>
      </c>
      <c r="B36" s="287">
        <f t="shared" si="2"/>
        <v>0</v>
      </c>
      <c r="C36" s="571"/>
      <c r="D36" s="310">
        <f>+B36*'6SueAct'!$C$7</f>
        <v>0</v>
      </c>
      <c r="E36" s="599"/>
      <c r="F36" s="287">
        <f t="shared" si="3"/>
        <v>0</v>
      </c>
      <c r="G36" s="567" t="s">
        <v>538</v>
      </c>
      <c r="H36" s="568"/>
      <c r="I36" s="569"/>
      <c r="K36" s="626"/>
      <c r="M36" s="287"/>
      <c r="N36" s="342"/>
      <c r="O36" s="342"/>
      <c r="P36" s="167"/>
    </row>
    <row r="37" spans="1:16" ht="15" customHeight="1" x14ac:dyDescent="0.25">
      <c r="A37" s="166" t="s">
        <v>523</v>
      </c>
      <c r="B37" s="287">
        <f t="shared" si="2"/>
        <v>0</v>
      </c>
      <c r="C37" s="571"/>
      <c r="D37" s="310">
        <f>+B37*'6SueAct'!$C$7</f>
        <v>0</v>
      </c>
      <c r="E37" s="599"/>
      <c r="F37" s="287">
        <f t="shared" si="3"/>
        <v>0</v>
      </c>
      <c r="G37" s="567" t="s">
        <v>538</v>
      </c>
      <c r="H37" s="568"/>
      <c r="I37" s="569"/>
      <c r="K37" s="626"/>
      <c r="M37" s="287"/>
      <c r="N37" s="342"/>
      <c r="O37" s="342"/>
      <c r="P37" s="167"/>
    </row>
    <row r="38" spans="1:16" ht="15" customHeight="1" x14ac:dyDescent="0.25">
      <c r="A38" s="166" t="s">
        <v>498</v>
      </c>
      <c r="B38" s="287">
        <f t="shared" si="2"/>
        <v>0</v>
      </c>
      <c r="C38" s="571"/>
      <c r="D38" s="310">
        <f>+B38*'6SueAct'!$C$7</f>
        <v>0</v>
      </c>
      <c r="E38" s="599"/>
      <c r="F38" s="287">
        <f t="shared" si="3"/>
        <v>0</v>
      </c>
      <c r="G38" s="567" t="s">
        <v>471</v>
      </c>
      <c r="H38" s="568"/>
      <c r="I38" s="569"/>
      <c r="K38" s="626"/>
      <c r="M38" s="287"/>
      <c r="N38" s="342"/>
      <c r="O38" s="342"/>
      <c r="P38" s="167"/>
    </row>
    <row r="39" spans="1:16" ht="15" customHeight="1" x14ac:dyDescent="0.25">
      <c r="A39" s="166" t="s">
        <v>499</v>
      </c>
      <c r="B39" s="287">
        <f t="shared" si="2"/>
        <v>0</v>
      </c>
      <c r="C39" s="571"/>
      <c r="D39" s="310">
        <f>+B39*'6SueAct'!$C$7</f>
        <v>0</v>
      </c>
      <c r="E39" s="599"/>
      <c r="F39" s="287">
        <f t="shared" si="3"/>
        <v>0</v>
      </c>
      <c r="G39" s="567" t="s">
        <v>471</v>
      </c>
      <c r="H39" s="568"/>
      <c r="I39" s="569"/>
      <c r="K39" s="626"/>
      <c r="M39" s="287"/>
      <c r="N39" s="342"/>
      <c r="O39" s="342"/>
      <c r="P39" s="167"/>
    </row>
    <row r="40" spans="1:16" ht="15" customHeight="1" x14ac:dyDescent="0.25">
      <c r="A40" s="288" t="s">
        <v>500</v>
      </c>
      <c r="B40" s="287">
        <f t="shared" si="2"/>
        <v>0</v>
      </c>
      <c r="C40" s="571"/>
      <c r="D40" s="310">
        <f>+B40*'6SueAct'!$C$7</f>
        <v>0</v>
      </c>
      <c r="E40" s="599"/>
      <c r="F40" s="287">
        <f t="shared" si="3"/>
        <v>0</v>
      </c>
      <c r="G40" s="595" t="s">
        <v>540</v>
      </c>
      <c r="H40" s="596"/>
      <c r="I40" s="597"/>
      <c r="K40" s="626"/>
      <c r="M40" s="287"/>
      <c r="N40" s="342"/>
      <c r="O40" s="342"/>
      <c r="P40" s="167"/>
    </row>
    <row r="41" spans="1:16" ht="15" customHeight="1" x14ac:dyDescent="0.25">
      <c r="A41" s="288"/>
      <c r="B41" s="287">
        <f t="shared" si="2"/>
        <v>0</v>
      </c>
      <c r="C41" s="572"/>
      <c r="D41" s="310">
        <f>+B41*'6SueAct'!$C$7</f>
        <v>0</v>
      </c>
      <c r="E41" s="600"/>
      <c r="F41" s="287">
        <f t="shared" si="3"/>
        <v>0</v>
      </c>
      <c r="G41" s="595" t="s">
        <v>540</v>
      </c>
      <c r="H41" s="596"/>
      <c r="I41" s="597"/>
      <c r="K41" s="626"/>
      <c r="M41" s="287"/>
      <c r="N41" s="342"/>
      <c r="O41" s="342"/>
      <c r="P41" s="167"/>
    </row>
    <row r="42" spans="1:16" ht="15" customHeight="1" x14ac:dyDescent="0.25">
      <c r="A42" s="354" t="s">
        <v>459</v>
      </c>
      <c r="B42" s="395"/>
      <c r="C42" s="570">
        <f>SUM(B43:B52)</f>
        <v>0</v>
      </c>
      <c r="D42" s="356"/>
      <c r="E42" s="598">
        <f>SUM(D43:D52)</f>
        <v>0</v>
      </c>
      <c r="F42" s="358"/>
      <c r="G42" s="357">
        <f>+C42+E42</f>
        <v>0</v>
      </c>
      <c r="H42" s="618" t="s">
        <v>549</v>
      </c>
      <c r="I42" s="619"/>
      <c r="P42" s="167"/>
    </row>
    <row r="43" spans="1:16" ht="15" customHeight="1" x14ac:dyDescent="0.25">
      <c r="A43" s="166" t="s">
        <v>505</v>
      </c>
      <c r="B43" s="287">
        <f t="shared" ref="B43:B52" si="4">+M43</f>
        <v>0</v>
      </c>
      <c r="C43" s="571"/>
      <c r="D43" s="310">
        <f>+B43*'6SueAct'!$C$7</f>
        <v>0</v>
      </c>
      <c r="E43" s="599"/>
      <c r="F43" s="287">
        <f>+B43+D43</f>
        <v>0</v>
      </c>
      <c r="G43" s="567" t="s">
        <v>471</v>
      </c>
      <c r="H43" s="568"/>
      <c r="I43" s="569"/>
      <c r="K43" s="626"/>
      <c r="M43" s="287"/>
      <c r="N43" s="342"/>
      <c r="O43" s="287"/>
      <c r="P43" s="167"/>
    </row>
    <row r="44" spans="1:16" ht="15" customHeight="1" x14ac:dyDescent="0.25">
      <c r="A44" s="166" t="s">
        <v>506</v>
      </c>
      <c r="B44" s="287">
        <f t="shared" si="4"/>
        <v>0</v>
      </c>
      <c r="C44" s="571"/>
      <c r="D44" s="310">
        <f>+B44*'6SueAct'!$C$7</f>
        <v>0</v>
      </c>
      <c r="E44" s="599"/>
      <c r="F44" s="287">
        <f t="shared" si="3"/>
        <v>0</v>
      </c>
      <c r="G44" s="567" t="s">
        <v>471</v>
      </c>
      <c r="H44" s="568"/>
      <c r="I44" s="569"/>
      <c r="K44" s="626"/>
      <c r="M44" s="287"/>
      <c r="N44" s="342"/>
      <c r="O44" s="287"/>
      <c r="P44" s="167"/>
    </row>
    <row r="45" spans="1:16" ht="15" customHeight="1" x14ac:dyDescent="0.25">
      <c r="A45" s="288" t="s">
        <v>507</v>
      </c>
      <c r="B45" s="287">
        <f t="shared" si="4"/>
        <v>0</v>
      </c>
      <c r="C45" s="571"/>
      <c r="D45" s="310">
        <f>+B45*'6SueAct'!$C$7</f>
        <v>0</v>
      </c>
      <c r="E45" s="599"/>
      <c r="F45" s="287">
        <f t="shared" si="3"/>
        <v>0</v>
      </c>
      <c r="G45" s="595" t="s">
        <v>607</v>
      </c>
      <c r="H45" s="596"/>
      <c r="I45" s="597"/>
      <c r="K45" s="626"/>
      <c r="M45" s="287"/>
      <c r="N45" s="342"/>
      <c r="O45" s="287"/>
      <c r="P45" s="167"/>
    </row>
    <row r="46" spans="1:16" ht="15" customHeight="1" x14ac:dyDescent="0.25">
      <c r="A46" s="288" t="s">
        <v>508</v>
      </c>
      <c r="B46" s="287">
        <f t="shared" si="4"/>
        <v>0</v>
      </c>
      <c r="C46" s="571"/>
      <c r="D46" s="310">
        <f>+B46*'6SueAct'!$C$7</f>
        <v>0</v>
      </c>
      <c r="E46" s="599"/>
      <c r="F46" s="287">
        <f t="shared" si="3"/>
        <v>0</v>
      </c>
      <c r="G46" s="595" t="s">
        <v>607</v>
      </c>
      <c r="H46" s="596"/>
      <c r="I46" s="597"/>
      <c r="K46" s="626"/>
      <c r="M46" s="287"/>
      <c r="N46" s="342"/>
      <c r="O46" s="287"/>
      <c r="P46" s="167"/>
    </row>
    <row r="47" spans="1:16" ht="15" customHeight="1" x14ac:dyDescent="0.25">
      <c r="A47" s="166" t="s">
        <v>509</v>
      </c>
      <c r="B47" s="287">
        <f t="shared" si="4"/>
        <v>0</v>
      </c>
      <c r="C47" s="571"/>
      <c r="D47" s="310">
        <f>+B47*'6SueAct'!$C$7</f>
        <v>0</v>
      </c>
      <c r="E47" s="599"/>
      <c r="F47" s="287">
        <f t="shared" si="3"/>
        <v>0</v>
      </c>
      <c r="G47" s="567" t="s">
        <v>471</v>
      </c>
      <c r="H47" s="568"/>
      <c r="I47" s="569"/>
      <c r="K47" s="626"/>
      <c r="L47" s="23"/>
      <c r="M47" s="287"/>
      <c r="N47" s="342"/>
      <c r="O47" s="287"/>
      <c r="P47" s="167"/>
    </row>
    <row r="48" spans="1:16" ht="15" customHeight="1" x14ac:dyDescent="0.25">
      <c r="A48" s="166" t="s">
        <v>510</v>
      </c>
      <c r="B48" s="287">
        <f t="shared" si="4"/>
        <v>0</v>
      </c>
      <c r="C48" s="571"/>
      <c r="D48" s="310">
        <f>+B48*'6SueAct'!$C$7</f>
        <v>0</v>
      </c>
      <c r="E48" s="599"/>
      <c r="F48" s="287">
        <f t="shared" si="3"/>
        <v>0</v>
      </c>
      <c r="G48" s="567" t="s">
        <v>471</v>
      </c>
      <c r="H48" s="568"/>
      <c r="I48" s="569"/>
      <c r="K48" s="626"/>
      <c r="M48" s="287"/>
      <c r="N48" s="342"/>
      <c r="O48" s="287"/>
      <c r="P48" s="167"/>
    </row>
    <row r="49" spans="1:16" ht="15" customHeight="1" x14ac:dyDescent="0.25">
      <c r="A49" s="166" t="s">
        <v>511</v>
      </c>
      <c r="B49" s="287">
        <f t="shared" si="4"/>
        <v>0</v>
      </c>
      <c r="C49" s="571"/>
      <c r="D49" s="310">
        <f>+B49*'6SueAct'!$C$7</f>
        <v>0</v>
      </c>
      <c r="E49" s="599"/>
      <c r="F49" s="287">
        <f t="shared" si="3"/>
        <v>0</v>
      </c>
      <c r="G49" s="567" t="s">
        <v>471</v>
      </c>
      <c r="H49" s="568"/>
      <c r="I49" s="569"/>
      <c r="K49" s="626"/>
      <c r="M49" s="287"/>
      <c r="N49" s="342"/>
      <c r="O49" s="287"/>
      <c r="P49" s="167"/>
    </row>
    <row r="50" spans="1:16" ht="15" customHeight="1" x14ac:dyDescent="0.25">
      <c r="A50" s="166" t="s">
        <v>512</v>
      </c>
      <c r="B50" s="287">
        <f t="shared" si="4"/>
        <v>0</v>
      </c>
      <c r="C50" s="571"/>
      <c r="D50" s="310">
        <f>+B50*'6SueAct'!$C$7</f>
        <v>0</v>
      </c>
      <c r="E50" s="599"/>
      <c r="F50" s="287">
        <f t="shared" si="3"/>
        <v>0</v>
      </c>
      <c r="G50" s="567" t="s">
        <v>471</v>
      </c>
      <c r="H50" s="568"/>
      <c r="I50" s="569"/>
      <c r="K50" s="626"/>
      <c r="M50" s="287"/>
      <c r="N50" s="342"/>
      <c r="O50" s="287"/>
      <c r="P50" s="167"/>
    </row>
    <row r="51" spans="1:16" ht="15" customHeight="1" x14ac:dyDescent="0.25">
      <c r="A51" s="166" t="s">
        <v>513</v>
      </c>
      <c r="B51" s="287">
        <f t="shared" si="4"/>
        <v>0</v>
      </c>
      <c r="C51" s="571"/>
      <c r="D51" s="310">
        <f>+B51*'6SueAct'!$C$7</f>
        <v>0</v>
      </c>
      <c r="E51" s="599"/>
      <c r="F51" s="287">
        <f t="shared" si="3"/>
        <v>0</v>
      </c>
      <c r="G51" s="567" t="s">
        <v>524</v>
      </c>
      <c r="H51" s="568"/>
      <c r="I51" s="569"/>
      <c r="K51" s="626"/>
      <c r="M51" s="287"/>
      <c r="N51" s="342"/>
      <c r="O51" s="287"/>
      <c r="P51" s="167"/>
    </row>
    <row r="52" spans="1:16" ht="15" customHeight="1" x14ac:dyDescent="0.25">
      <c r="A52" s="166" t="s">
        <v>514</v>
      </c>
      <c r="B52" s="287">
        <f t="shared" si="4"/>
        <v>0</v>
      </c>
      <c r="C52" s="572"/>
      <c r="D52" s="310">
        <f>+B52*'6SueAct'!$C$7</f>
        <v>0</v>
      </c>
      <c r="E52" s="600"/>
      <c r="F52" s="287">
        <f t="shared" si="3"/>
        <v>0</v>
      </c>
      <c r="G52" s="567" t="s">
        <v>524</v>
      </c>
      <c r="H52" s="568"/>
      <c r="I52" s="569"/>
      <c r="K52" s="626"/>
      <c r="M52" s="287"/>
      <c r="N52" s="342"/>
      <c r="O52" s="287"/>
      <c r="P52" s="167"/>
    </row>
    <row r="53" spans="1:16" ht="15" customHeight="1" x14ac:dyDescent="0.25">
      <c r="A53" s="354" t="s">
        <v>461</v>
      </c>
      <c r="B53" s="355"/>
      <c r="C53" s="359">
        <f>SUM(B54:B63)</f>
        <v>0</v>
      </c>
      <c r="D53" s="360"/>
      <c r="E53" s="361">
        <f>SUM(D54:D63)</f>
        <v>0</v>
      </c>
      <c r="F53" s="362"/>
      <c r="G53" s="357">
        <f>+C53+E53</f>
        <v>0</v>
      </c>
      <c r="H53" s="618" t="s">
        <v>549</v>
      </c>
      <c r="I53" s="619"/>
      <c r="K53" s="270"/>
      <c r="P53" s="167"/>
    </row>
    <row r="54" spans="1:16" ht="15" customHeight="1" x14ac:dyDescent="0.25">
      <c r="A54" s="166" t="s">
        <v>515</v>
      </c>
      <c r="B54" s="287">
        <f t="shared" ref="B54:B63" si="5">+M54*J54</f>
        <v>0</v>
      </c>
      <c r="C54" s="620">
        <f>SUM(B54:B60)</f>
        <v>0</v>
      </c>
      <c r="D54" s="287">
        <f>+B54*'6SueAct'!$C$7</f>
        <v>0</v>
      </c>
      <c r="E54" s="620">
        <f>SUM(D54:D60)</f>
        <v>0</v>
      </c>
      <c r="F54" s="287">
        <f t="shared" ref="F54:F63" si="6">+B54+D54</f>
        <v>0</v>
      </c>
      <c r="G54" s="567" t="s">
        <v>471</v>
      </c>
      <c r="H54" s="568"/>
      <c r="I54" s="569"/>
      <c r="K54" s="626"/>
      <c r="L54" s="629"/>
      <c r="M54" s="287"/>
      <c r="N54" s="342"/>
      <c r="O54" s="287"/>
      <c r="P54" s="167"/>
    </row>
    <row r="55" spans="1:16" ht="15" customHeight="1" x14ac:dyDescent="0.25">
      <c r="A55" s="166" t="s">
        <v>516</v>
      </c>
      <c r="B55" s="287">
        <f t="shared" si="5"/>
        <v>0</v>
      </c>
      <c r="C55" s="621"/>
      <c r="D55" s="287">
        <f>+B55*'6SueAct'!$C$7</f>
        <v>0</v>
      </c>
      <c r="E55" s="621"/>
      <c r="F55" s="287">
        <f t="shared" si="6"/>
        <v>0</v>
      </c>
      <c r="G55" s="567" t="s">
        <v>471</v>
      </c>
      <c r="H55" s="568"/>
      <c r="I55" s="569"/>
      <c r="K55" s="626"/>
      <c r="L55" s="629"/>
      <c r="M55" s="287"/>
      <c r="N55" s="342"/>
      <c r="O55" s="287"/>
      <c r="P55" s="167"/>
    </row>
    <row r="56" spans="1:16" ht="15" customHeight="1" x14ac:dyDescent="0.25">
      <c r="A56" s="166" t="s">
        <v>517</v>
      </c>
      <c r="B56" s="287">
        <f t="shared" si="5"/>
        <v>0</v>
      </c>
      <c r="C56" s="621"/>
      <c r="D56" s="287">
        <f>+B56*'6SueAct'!$C$7</f>
        <v>0</v>
      </c>
      <c r="E56" s="621"/>
      <c r="F56" s="287">
        <f t="shared" si="6"/>
        <v>0</v>
      </c>
      <c r="G56" s="567" t="s">
        <v>471</v>
      </c>
      <c r="H56" s="568"/>
      <c r="I56" s="569"/>
      <c r="K56" s="626"/>
      <c r="L56" s="629"/>
      <c r="M56" s="287"/>
      <c r="N56" s="342"/>
      <c r="O56" s="287"/>
      <c r="P56" s="167"/>
    </row>
    <row r="57" spans="1:16" ht="15" customHeight="1" x14ac:dyDescent="0.25">
      <c r="A57" s="166" t="s">
        <v>518</v>
      </c>
      <c r="B57" s="287">
        <f t="shared" si="5"/>
        <v>0</v>
      </c>
      <c r="C57" s="621"/>
      <c r="D57" s="287">
        <f>+B57*'6SueAct'!$C$7</f>
        <v>0</v>
      </c>
      <c r="E57" s="621"/>
      <c r="F57" s="287">
        <f t="shared" si="6"/>
        <v>0</v>
      </c>
      <c r="G57" s="567" t="s">
        <v>471</v>
      </c>
      <c r="H57" s="568"/>
      <c r="I57" s="569"/>
      <c r="K57" s="626"/>
      <c r="L57" s="629"/>
      <c r="M57" s="287"/>
      <c r="N57" s="342"/>
      <c r="O57" s="287"/>
      <c r="P57" s="167"/>
    </row>
    <row r="58" spans="1:16" ht="15" customHeight="1" x14ac:dyDescent="0.25">
      <c r="A58" s="166" t="s">
        <v>519</v>
      </c>
      <c r="B58" s="287">
        <f t="shared" si="5"/>
        <v>0</v>
      </c>
      <c r="C58" s="621"/>
      <c r="D58" s="287">
        <f>+B58*'6SueAct'!$C$7</f>
        <v>0</v>
      </c>
      <c r="E58" s="621"/>
      <c r="F58" s="287">
        <f t="shared" si="6"/>
        <v>0</v>
      </c>
      <c r="G58" s="567" t="s">
        <v>471</v>
      </c>
      <c r="H58" s="568"/>
      <c r="I58" s="569"/>
      <c r="K58" s="626"/>
      <c r="L58" s="629"/>
      <c r="M58" s="287"/>
      <c r="N58" s="342"/>
      <c r="O58" s="287"/>
      <c r="P58" s="167"/>
    </row>
    <row r="59" spans="1:16" ht="15" customHeight="1" x14ac:dyDescent="0.25">
      <c r="A59" s="166" t="s">
        <v>520</v>
      </c>
      <c r="B59" s="287">
        <f t="shared" si="5"/>
        <v>0</v>
      </c>
      <c r="C59" s="621"/>
      <c r="D59" s="287">
        <f>+B59*'6SueAct'!$C$7</f>
        <v>0</v>
      </c>
      <c r="E59" s="621"/>
      <c r="F59" s="287">
        <f t="shared" si="6"/>
        <v>0</v>
      </c>
      <c r="G59" s="567" t="s">
        <v>471</v>
      </c>
      <c r="H59" s="568"/>
      <c r="I59" s="569"/>
      <c r="K59" s="626"/>
      <c r="L59" s="629"/>
      <c r="M59" s="287"/>
      <c r="N59" s="342"/>
      <c r="O59" s="287"/>
      <c r="P59" s="167"/>
    </row>
    <row r="60" spans="1:16" ht="15" customHeight="1" x14ac:dyDescent="0.25">
      <c r="A60" s="166" t="s">
        <v>521</v>
      </c>
      <c r="B60" s="287">
        <f t="shared" si="5"/>
        <v>0</v>
      </c>
      <c r="C60" s="622"/>
      <c r="D60" s="287">
        <f>+B60*'6SueAct'!$C$7</f>
        <v>0</v>
      </c>
      <c r="E60" s="622"/>
      <c r="F60" s="287">
        <f t="shared" si="6"/>
        <v>0</v>
      </c>
      <c r="G60" s="567" t="s">
        <v>471</v>
      </c>
      <c r="H60" s="568"/>
      <c r="I60" s="569"/>
      <c r="K60" s="626"/>
      <c r="L60" s="629"/>
      <c r="M60" s="287"/>
      <c r="N60" s="342"/>
      <c r="O60" s="287"/>
      <c r="P60" s="167"/>
    </row>
    <row r="61" spans="1:16" ht="15" customHeight="1" x14ac:dyDescent="0.25">
      <c r="A61" s="166" t="s">
        <v>543</v>
      </c>
      <c r="B61" s="287">
        <f t="shared" si="5"/>
        <v>0</v>
      </c>
      <c r="C61" s="621">
        <f>SUM(B61:B63)</f>
        <v>0</v>
      </c>
      <c r="D61" s="287">
        <f>+B61*'6SueAct'!$C$7</f>
        <v>0</v>
      </c>
      <c r="E61" s="621">
        <f>SUM(D61:D63)</f>
        <v>0</v>
      </c>
      <c r="F61" s="287">
        <f t="shared" si="6"/>
        <v>0</v>
      </c>
      <c r="G61" s="567" t="s">
        <v>471</v>
      </c>
      <c r="H61" s="568"/>
      <c r="I61" s="569"/>
      <c r="K61" s="626"/>
      <c r="L61" s="629"/>
      <c r="M61" s="287"/>
      <c r="N61" s="342"/>
      <c r="O61" s="287"/>
      <c r="P61" s="167"/>
    </row>
    <row r="62" spans="1:16" ht="15" customHeight="1" x14ac:dyDescent="0.25">
      <c r="A62" s="166" t="s">
        <v>541</v>
      </c>
      <c r="B62" s="287">
        <f t="shared" si="5"/>
        <v>0</v>
      </c>
      <c r="C62" s="621"/>
      <c r="D62" s="287">
        <f>+B62*'6SueAct'!$C$7</f>
        <v>0</v>
      </c>
      <c r="E62" s="621"/>
      <c r="F62" s="287">
        <f t="shared" si="6"/>
        <v>0</v>
      </c>
      <c r="G62" s="567" t="s">
        <v>471</v>
      </c>
      <c r="H62" s="568"/>
      <c r="I62" s="569"/>
      <c r="K62" s="626"/>
      <c r="L62" s="629"/>
      <c r="M62" s="287"/>
      <c r="N62" s="342"/>
      <c r="O62" s="287"/>
      <c r="P62" s="167"/>
    </row>
    <row r="63" spans="1:16" ht="15" customHeight="1" x14ac:dyDescent="0.25">
      <c r="A63" s="166" t="s">
        <v>542</v>
      </c>
      <c r="B63" s="287">
        <f t="shared" si="5"/>
        <v>0</v>
      </c>
      <c r="C63" s="622"/>
      <c r="D63" s="287">
        <f>+B63*'6SueAct'!$C$7</f>
        <v>0</v>
      </c>
      <c r="E63" s="622"/>
      <c r="F63" s="287">
        <f t="shared" si="6"/>
        <v>0</v>
      </c>
      <c r="G63" s="567" t="s">
        <v>471</v>
      </c>
      <c r="H63" s="568"/>
      <c r="I63" s="569"/>
      <c r="K63" s="626"/>
      <c r="L63" s="629"/>
      <c r="M63" s="287"/>
      <c r="N63" s="342"/>
      <c r="O63" s="287"/>
      <c r="P63" s="167"/>
    </row>
    <row r="64" spans="1:16" ht="16.5" thickBot="1" x14ac:dyDescent="0.3">
      <c r="A64" s="563" t="s">
        <v>551</v>
      </c>
      <c r="B64" s="564"/>
      <c r="C64" s="399">
        <f>+C16+C28</f>
        <v>0</v>
      </c>
      <c r="D64" s="401"/>
      <c r="E64" s="400">
        <f>+E16+E28</f>
        <v>0</v>
      </c>
      <c r="F64" s="346"/>
      <c r="G64" s="625"/>
      <c r="H64" s="625"/>
      <c r="I64" s="625"/>
      <c r="K64" s="312"/>
      <c r="L64" s="345"/>
    </row>
    <row r="65" spans="1:12" ht="20.25" thickTop="1" thickBot="1" x14ac:dyDescent="0.35">
      <c r="A65" s="565" t="s">
        <v>548</v>
      </c>
      <c r="B65" s="566"/>
      <c r="C65" s="623">
        <f>C64+E64</f>
        <v>0</v>
      </c>
      <c r="D65" s="623"/>
      <c r="E65" s="624"/>
      <c r="F65" s="613">
        <f>C65/'3insumo'!H6</f>
        <v>0</v>
      </c>
      <c r="G65" s="614"/>
      <c r="K65" s="312"/>
      <c r="L65" s="345"/>
    </row>
    <row r="66" spans="1:12" ht="15.75" thickTop="1" x14ac:dyDescent="0.25">
      <c r="C66" s="615" t="s">
        <v>537</v>
      </c>
      <c r="D66" s="615"/>
      <c r="E66" s="615"/>
      <c r="F66" s="340"/>
      <c r="K66" s="15"/>
      <c r="L66" s="343"/>
    </row>
    <row r="67" spans="1:12" ht="15.75" x14ac:dyDescent="0.25">
      <c r="A67" s="609" t="s">
        <v>569</v>
      </c>
      <c r="B67" s="610"/>
      <c r="C67" s="398"/>
      <c r="D67" s="601">
        <f>SUM(C67:C70)</f>
        <v>0</v>
      </c>
      <c r="E67" s="340"/>
      <c r="F67" s="340"/>
      <c r="K67" s="15"/>
      <c r="L67" s="343"/>
    </row>
    <row r="68" spans="1:12" ht="15.75" x14ac:dyDescent="0.25">
      <c r="A68" s="609" t="s">
        <v>566</v>
      </c>
      <c r="B68" s="610"/>
      <c r="C68" s="398">
        <f>+K30</f>
        <v>0</v>
      </c>
      <c r="D68" s="602"/>
      <c r="E68" s="340"/>
      <c r="F68" s="340"/>
      <c r="K68" s="15"/>
      <c r="L68" s="343"/>
    </row>
    <row r="69" spans="1:12" ht="15.75" x14ac:dyDescent="0.25">
      <c r="A69" s="609" t="s">
        <v>567</v>
      </c>
      <c r="B69" s="610"/>
      <c r="C69" s="398">
        <f>+K43</f>
        <v>0</v>
      </c>
      <c r="D69" s="602"/>
      <c r="K69" s="15"/>
      <c r="L69" s="343"/>
    </row>
    <row r="70" spans="1:12" ht="15.75" x14ac:dyDescent="0.25">
      <c r="A70" s="609" t="s">
        <v>568</v>
      </c>
      <c r="B70" s="610"/>
      <c r="C70" s="398">
        <f>+K54+K61</f>
        <v>0</v>
      </c>
      <c r="D70" s="603"/>
      <c r="K70" s="15"/>
      <c r="L70" s="343"/>
    </row>
    <row r="71" spans="1:12" ht="15.75" x14ac:dyDescent="0.25">
      <c r="A71" s="607" t="s">
        <v>570</v>
      </c>
      <c r="B71" s="608"/>
      <c r="C71" s="396"/>
      <c r="D71" s="604">
        <f>SUM(C72:C74)</f>
        <v>0</v>
      </c>
      <c r="K71" s="15"/>
      <c r="L71" s="343"/>
    </row>
    <row r="72" spans="1:12" ht="15.75" x14ac:dyDescent="0.25">
      <c r="A72" s="607" t="s">
        <v>566</v>
      </c>
      <c r="B72" s="608"/>
      <c r="C72" s="396">
        <f>+K65</f>
        <v>0</v>
      </c>
      <c r="D72" s="605"/>
    </row>
    <row r="73" spans="1:12" ht="15.75" x14ac:dyDescent="0.25">
      <c r="A73" s="611" t="s">
        <v>571</v>
      </c>
      <c r="B73" s="612"/>
      <c r="C73" s="397">
        <f>+K18</f>
        <v>0</v>
      </c>
      <c r="D73" s="605"/>
    </row>
    <row r="74" spans="1:12" ht="15.75" x14ac:dyDescent="0.25">
      <c r="A74" s="611" t="s">
        <v>572</v>
      </c>
      <c r="B74" s="612"/>
      <c r="C74" s="397">
        <f>+K24</f>
        <v>0</v>
      </c>
      <c r="D74" s="606"/>
    </row>
  </sheetData>
  <mergeCells count="100">
    <mergeCell ref="K30:K41"/>
    <mergeCell ref="K25:K27"/>
    <mergeCell ref="K18:K22"/>
    <mergeCell ref="J15:K15"/>
    <mergeCell ref="L61:L63"/>
    <mergeCell ref="K61:K63"/>
    <mergeCell ref="L54:L60"/>
    <mergeCell ref="K54:K60"/>
    <mergeCell ref="K43:K52"/>
    <mergeCell ref="F65:G65"/>
    <mergeCell ref="C66:E66"/>
    <mergeCell ref="H16:I16"/>
    <mergeCell ref="H28:I28"/>
    <mergeCell ref="H29:I29"/>
    <mergeCell ref="H42:I42"/>
    <mergeCell ref="H53:I53"/>
    <mergeCell ref="E54:E60"/>
    <mergeCell ref="E61:E63"/>
    <mergeCell ref="C54:C60"/>
    <mergeCell ref="C61:C63"/>
    <mergeCell ref="C65:E65"/>
    <mergeCell ref="G64:I64"/>
    <mergeCell ref="G60:I60"/>
    <mergeCell ref="G61:I61"/>
    <mergeCell ref="G62:I62"/>
    <mergeCell ref="A67:B67"/>
    <mergeCell ref="A72:B72"/>
    <mergeCell ref="A73:B73"/>
    <mergeCell ref="A74:B74"/>
    <mergeCell ref="A68:B68"/>
    <mergeCell ref="A69:B69"/>
    <mergeCell ref="A70:B70"/>
    <mergeCell ref="D67:D70"/>
    <mergeCell ref="D71:D74"/>
    <mergeCell ref="A71:B71"/>
    <mergeCell ref="G63:I63"/>
    <mergeCell ref="G44:I44"/>
    <mergeCell ref="G45:I45"/>
    <mergeCell ref="G46:I46"/>
    <mergeCell ref="E42:E52"/>
    <mergeCell ref="G59:I59"/>
    <mergeCell ref="G48:I48"/>
    <mergeCell ref="G49:I49"/>
    <mergeCell ref="G50:I50"/>
    <mergeCell ref="G51:I51"/>
    <mergeCell ref="G52:I52"/>
    <mergeCell ref="G54:I54"/>
    <mergeCell ref="G55:I55"/>
    <mergeCell ref="G57:I57"/>
    <mergeCell ref="G58:I58"/>
    <mergeCell ref="B5:I5"/>
    <mergeCell ref="B6:I6"/>
    <mergeCell ref="B7:I7"/>
    <mergeCell ref="B8:I8"/>
    <mergeCell ref="G30:I30"/>
    <mergeCell ref="G19:I19"/>
    <mergeCell ref="G20:I20"/>
    <mergeCell ref="G21:I21"/>
    <mergeCell ref="G26:I26"/>
    <mergeCell ref="G24:I24"/>
    <mergeCell ref="G27:I27"/>
    <mergeCell ref="E23:E27"/>
    <mergeCell ref="E29:E41"/>
    <mergeCell ref="C23:C27"/>
    <mergeCell ref="G23:I23"/>
    <mergeCell ref="G25:I25"/>
    <mergeCell ref="G39:I39"/>
    <mergeCell ref="G40:I40"/>
    <mergeCell ref="A1:I1"/>
    <mergeCell ref="A2:I2"/>
    <mergeCell ref="A3:G3"/>
    <mergeCell ref="D14:E14"/>
    <mergeCell ref="C17:C22"/>
    <mergeCell ref="G15:I15"/>
    <mergeCell ref="G17:I17"/>
    <mergeCell ref="G18:I18"/>
    <mergeCell ref="G22:I22"/>
    <mergeCell ref="A13:I13"/>
    <mergeCell ref="E17:E22"/>
    <mergeCell ref="B14:C14"/>
    <mergeCell ref="B11:I11"/>
    <mergeCell ref="G14:I14"/>
    <mergeCell ref="B9:I9"/>
    <mergeCell ref="B4:I4"/>
    <mergeCell ref="A64:B64"/>
    <mergeCell ref="A65:B65"/>
    <mergeCell ref="G35:I35"/>
    <mergeCell ref="G36:I36"/>
    <mergeCell ref="C29:C41"/>
    <mergeCell ref="C42:C52"/>
    <mergeCell ref="G31:I31"/>
    <mergeCell ref="G41:I41"/>
    <mergeCell ref="G32:I32"/>
    <mergeCell ref="G33:I33"/>
    <mergeCell ref="G34:I34"/>
    <mergeCell ref="G47:I47"/>
    <mergeCell ref="G37:I37"/>
    <mergeCell ref="G38:I38"/>
    <mergeCell ref="G43:I43"/>
    <mergeCell ref="G56:I56"/>
  </mergeCells>
  <pageMargins left="0.98425196850393704" right="0" top="0.98425196850393704" bottom="0" header="0" footer="0"/>
  <pageSetup paperSize="8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view="pageBreakPreview" zoomScale="90" zoomScaleNormal="100" zoomScaleSheetLayoutView="90" workbookViewId="0">
      <selection sqref="A1:I1"/>
    </sheetView>
  </sheetViews>
  <sheetFormatPr baseColWidth="10" defaultRowHeight="15" x14ac:dyDescent="0.25"/>
  <cols>
    <col min="1" max="1" width="25.5703125" bestFit="1" customWidth="1"/>
    <col min="2" max="2" width="11.140625" bestFit="1" customWidth="1"/>
    <col min="3" max="3" width="10.28515625" bestFit="1" customWidth="1"/>
    <col min="4" max="4" width="9.5703125" customWidth="1"/>
    <col min="5" max="5" width="4.5703125" bestFit="1" customWidth="1"/>
    <col min="6" max="6" width="11.85546875" bestFit="1" customWidth="1"/>
    <col min="8" max="8" width="10.7109375" customWidth="1"/>
    <col min="9" max="9" width="10.7109375" bestFit="1" customWidth="1"/>
    <col min="10" max="10" width="10.42578125" bestFit="1" customWidth="1"/>
    <col min="11" max="11" width="13.42578125" customWidth="1"/>
    <col min="12" max="12" width="12.7109375" bestFit="1" customWidth="1"/>
    <col min="13" max="13" width="12.7109375" customWidth="1"/>
  </cols>
  <sheetData>
    <row r="1" spans="1:16" ht="20.25" x14ac:dyDescent="0.3">
      <c r="A1" s="573" t="s">
        <v>362</v>
      </c>
      <c r="B1" s="573"/>
      <c r="C1" s="573"/>
      <c r="D1" s="573"/>
      <c r="E1" s="573"/>
      <c r="F1" s="573"/>
      <c r="G1" s="573"/>
      <c r="H1" s="573"/>
      <c r="I1" s="573"/>
    </row>
    <row r="2" spans="1:16" x14ac:dyDescent="0.25">
      <c r="A2" s="651" t="s">
        <v>490</v>
      </c>
      <c r="B2" s="651"/>
      <c r="C2" s="651"/>
      <c r="D2" s="651"/>
      <c r="E2" s="651"/>
      <c r="F2" s="651"/>
      <c r="G2" s="651"/>
      <c r="H2" s="651"/>
      <c r="I2" s="651"/>
    </row>
    <row r="3" spans="1:16" ht="15.75" x14ac:dyDescent="0.25">
      <c r="A3" s="636" t="s">
        <v>309</v>
      </c>
      <c r="B3" s="637"/>
      <c r="C3" s="637"/>
      <c r="D3" s="637"/>
      <c r="E3" s="637"/>
      <c r="F3" s="637"/>
      <c r="G3" s="637"/>
    </row>
    <row r="4" spans="1:16" x14ac:dyDescent="0.25">
      <c r="A4" s="161" t="s">
        <v>302</v>
      </c>
      <c r="B4" s="634" t="s">
        <v>268</v>
      </c>
      <c r="C4" s="634"/>
      <c r="D4" s="634"/>
      <c r="E4" s="634"/>
      <c r="F4" s="634"/>
      <c r="G4" s="634"/>
      <c r="H4" s="634"/>
      <c r="I4" s="634"/>
      <c r="P4" s="167"/>
    </row>
    <row r="5" spans="1:16" x14ac:dyDescent="0.25">
      <c r="A5" s="161" t="s">
        <v>303</v>
      </c>
      <c r="B5" s="634" t="s">
        <v>307</v>
      </c>
      <c r="C5" s="634"/>
      <c r="D5" s="634"/>
      <c r="E5" s="634"/>
      <c r="F5" s="634"/>
      <c r="G5" s="634"/>
      <c r="P5" s="167"/>
    </row>
    <row r="6" spans="1:16" x14ac:dyDescent="0.25">
      <c r="A6" s="161" t="s">
        <v>479</v>
      </c>
      <c r="B6" s="635" t="s">
        <v>480</v>
      </c>
      <c r="C6" s="634"/>
      <c r="D6" s="634"/>
      <c r="E6" s="634"/>
      <c r="F6" s="634"/>
      <c r="G6" s="634"/>
      <c r="P6" s="167"/>
    </row>
    <row r="7" spans="1:16" x14ac:dyDescent="0.25">
      <c r="A7" s="161" t="s">
        <v>301</v>
      </c>
      <c r="B7" s="657" t="s">
        <v>481</v>
      </c>
      <c r="C7" s="657"/>
      <c r="D7" s="657"/>
      <c r="E7" s="657"/>
      <c r="F7" s="657"/>
      <c r="G7" s="657"/>
      <c r="H7" s="657"/>
      <c r="I7" s="657"/>
      <c r="P7" s="167"/>
    </row>
    <row r="8" spans="1:16" x14ac:dyDescent="0.25">
      <c r="A8" s="161" t="s">
        <v>384</v>
      </c>
      <c r="B8" s="277">
        <f>SUM(B13:B14)</f>
        <v>10</v>
      </c>
      <c r="C8" s="164"/>
      <c r="D8" s="164"/>
      <c r="E8" s="164"/>
      <c r="F8" s="164"/>
      <c r="G8" s="164"/>
      <c r="P8" s="167"/>
    </row>
    <row r="9" spans="1:16" x14ac:dyDescent="0.25">
      <c r="A9" s="161" t="s">
        <v>529</v>
      </c>
      <c r="B9" s="317">
        <f>B8*'6SueAct'!F7</f>
        <v>5000</v>
      </c>
      <c r="C9" s="162"/>
      <c r="D9" s="165"/>
      <c r="E9" s="163"/>
      <c r="F9" s="165"/>
      <c r="G9" s="165"/>
      <c r="P9" s="167"/>
    </row>
    <row r="10" spans="1:16" ht="15.75" x14ac:dyDescent="0.25">
      <c r="A10" s="636" t="s">
        <v>310</v>
      </c>
      <c r="B10" s="637"/>
      <c r="C10" s="637"/>
      <c r="D10" s="637"/>
      <c r="E10" s="637"/>
      <c r="F10" s="637"/>
      <c r="G10" s="637"/>
      <c r="P10" s="167"/>
    </row>
    <row r="11" spans="1:16" x14ac:dyDescent="0.25">
      <c r="A11" s="161"/>
      <c r="B11" s="178"/>
      <c r="C11" s="647" t="s">
        <v>482</v>
      </c>
      <c r="D11" s="648"/>
      <c r="E11" s="649" t="s">
        <v>441</v>
      </c>
      <c r="F11" s="650"/>
      <c r="G11" s="645" t="s">
        <v>443</v>
      </c>
      <c r="H11" s="646"/>
      <c r="P11" s="167"/>
    </row>
    <row r="12" spans="1:16" x14ac:dyDescent="0.25">
      <c r="A12" s="166" t="s">
        <v>338</v>
      </c>
      <c r="B12" s="286" t="s">
        <v>306</v>
      </c>
      <c r="C12" s="286" t="s">
        <v>304</v>
      </c>
      <c r="D12" s="286" t="s">
        <v>305</v>
      </c>
      <c r="E12" s="643" t="s">
        <v>442</v>
      </c>
      <c r="F12" s="644"/>
      <c r="G12" s="630"/>
      <c r="H12" s="585"/>
      <c r="P12" s="167"/>
    </row>
    <row r="13" spans="1:16" x14ac:dyDescent="0.25">
      <c r="A13" s="286" t="s">
        <v>339</v>
      </c>
      <c r="B13" s="291">
        <v>7</v>
      </c>
      <c r="C13" s="286">
        <f>B13*2</f>
        <v>14</v>
      </c>
      <c r="D13" s="286">
        <f>B13*2</f>
        <v>14</v>
      </c>
      <c r="E13" s="630">
        <f t="shared" ref="E13:E19" si="0">SUM(C13:D13)</f>
        <v>28</v>
      </c>
      <c r="F13" s="585"/>
      <c r="G13" s="630" t="s">
        <v>488</v>
      </c>
      <c r="H13" s="585"/>
      <c r="P13" s="167"/>
    </row>
    <row r="14" spans="1:16" x14ac:dyDescent="0.25">
      <c r="A14" s="292" t="s">
        <v>340</v>
      </c>
      <c r="B14" s="291">
        <v>3</v>
      </c>
      <c r="C14" s="286">
        <f>B14*2</f>
        <v>6</v>
      </c>
      <c r="D14" s="286">
        <f>B14*2</f>
        <v>6</v>
      </c>
      <c r="E14" s="630">
        <f>SUM(C14:D14)</f>
        <v>12</v>
      </c>
      <c r="F14" s="585"/>
      <c r="G14" s="630" t="s">
        <v>488</v>
      </c>
      <c r="H14" s="585"/>
      <c r="P14" s="167"/>
    </row>
    <row r="15" spans="1:16" x14ac:dyDescent="0.25">
      <c r="A15" s="286" t="s">
        <v>341</v>
      </c>
      <c r="B15" s="658"/>
      <c r="C15" s="286">
        <f>+'1Planilla'!J34+'1Planilla'!J36</f>
        <v>0</v>
      </c>
      <c r="D15" s="286">
        <f>+'1Planilla'!J35+'1Planilla'!J37</f>
        <v>0</v>
      </c>
      <c r="E15" s="630">
        <f t="shared" si="0"/>
        <v>0</v>
      </c>
      <c r="F15" s="585"/>
      <c r="G15" s="630" t="s">
        <v>596</v>
      </c>
      <c r="H15" s="585"/>
      <c r="P15" s="167"/>
    </row>
    <row r="16" spans="1:16" x14ac:dyDescent="0.25">
      <c r="A16" s="292" t="s">
        <v>342</v>
      </c>
      <c r="B16" s="658"/>
      <c r="C16" s="286">
        <v>1</v>
      </c>
      <c r="D16" s="286">
        <v>1</v>
      </c>
      <c r="E16" s="630">
        <f t="shared" si="0"/>
        <v>2</v>
      </c>
      <c r="F16" s="585"/>
      <c r="G16" s="630" t="s">
        <v>489</v>
      </c>
      <c r="H16" s="585"/>
      <c r="P16" s="167"/>
    </row>
    <row r="17" spans="1:16" x14ac:dyDescent="0.25">
      <c r="A17" s="292" t="s">
        <v>343</v>
      </c>
      <c r="B17" s="658"/>
      <c r="C17" s="286">
        <v>1</v>
      </c>
      <c r="D17" s="286">
        <v>1</v>
      </c>
      <c r="E17" s="630">
        <f t="shared" si="0"/>
        <v>2</v>
      </c>
      <c r="F17" s="585"/>
      <c r="G17" s="630" t="str">
        <f>+$G$15</f>
        <v>Capacitar y Evaluar</v>
      </c>
      <c r="H17" s="585"/>
      <c r="P17" s="167"/>
    </row>
    <row r="18" spans="1:16" x14ac:dyDescent="0.25">
      <c r="A18" s="292" t="s">
        <v>344</v>
      </c>
      <c r="B18" s="658"/>
      <c r="C18" s="286">
        <v>1</v>
      </c>
      <c r="D18" s="286">
        <v>1</v>
      </c>
      <c r="E18" s="630">
        <f t="shared" si="0"/>
        <v>2</v>
      </c>
      <c r="F18" s="585"/>
      <c r="G18" s="630" t="str">
        <f>+$G$15</f>
        <v>Capacitar y Evaluar</v>
      </c>
      <c r="H18" s="585"/>
    </row>
    <row r="19" spans="1:16" x14ac:dyDescent="0.25">
      <c r="A19" s="298" t="s">
        <v>440</v>
      </c>
      <c r="B19" s="658"/>
      <c r="C19" s="293">
        <v>0</v>
      </c>
      <c r="D19" s="293">
        <v>0</v>
      </c>
      <c r="E19" s="631">
        <f t="shared" si="0"/>
        <v>0</v>
      </c>
      <c r="F19" s="632"/>
      <c r="G19" s="631" t="s">
        <v>596</v>
      </c>
      <c r="H19" s="632"/>
    </row>
    <row r="20" spans="1:16" x14ac:dyDescent="0.25">
      <c r="A20" s="292" t="s">
        <v>345</v>
      </c>
      <c r="B20" s="658"/>
      <c r="C20" s="286">
        <v>1</v>
      </c>
      <c r="D20" s="286">
        <v>1</v>
      </c>
      <c r="E20" s="630">
        <f t="shared" ref="E20:E25" si="1">SUM(C20:D20)</f>
        <v>2</v>
      </c>
      <c r="F20" s="585"/>
      <c r="G20" s="630" t="str">
        <f>+$G$15</f>
        <v>Capacitar y Evaluar</v>
      </c>
      <c r="H20" s="585"/>
      <c r="I20" s="168"/>
    </row>
    <row r="21" spans="1:16" x14ac:dyDescent="0.25">
      <c r="A21" s="292" t="s">
        <v>272</v>
      </c>
      <c r="B21" s="658"/>
      <c r="C21" s="286">
        <v>1</v>
      </c>
      <c r="D21" s="286">
        <v>1</v>
      </c>
      <c r="E21" s="630">
        <f t="shared" si="1"/>
        <v>2</v>
      </c>
      <c r="F21" s="585"/>
      <c r="G21" s="630" t="str">
        <f t="shared" ref="G21:G23" si="2">+$G$15</f>
        <v>Capacitar y Evaluar</v>
      </c>
      <c r="H21" s="585"/>
      <c r="I21" s="168"/>
      <c r="J21" s="169"/>
    </row>
    <row r="22" spans="1:16" x14ac:dyDescent="0.25">
      <c r="A22" s="292" t="s">
        <v>346</v>
      </c>
      <c r="B22" s="658"/>
      <c r="C22" s="286">
        <v>1</v>
      </c>
      <c r="D22" s="286">
        <v>1</v>
      </c>
      <c r="E22" s="630">
        <f t="shared" si="1"/>
        <v>2</v>
      </c>
      <c r="F22" s="585"/>
      <c r="G22" s="630" t="str">
        <f t="shared" si="2"/>
        <v>Capacitar y Evaluar</v>
      </c>
      <c r="H22" s="585"/>
      <c r="I22" s="168"/>
      <c r="J22" s="169"/>
    </row>
    <row r="23" spans="1:16" x14ac:dyDescent="0.25">
      <c r="A23" s="292" t="s">
        <v>347</v>
      </c>
      <c r="B23" s="658"/>
      <c r="C23" s="286">
        <v>1</v>
      </c>
      <c r="D23" s="286">
        <v>1</v>
      </c>
      <c r="E23" s="630">
        <f t="shared" si="1"/>
        <v>2</v>
      </c>
      <c r="F23" s="585"/>
      <c r="G23" s="630" t="str">
        <f t="shared" si="2"/>
        <v>Capacitar y Evaluar</v>
      </c>
      <c r="H23" s="585"/>
      <c r="I23" s="168"/>
      <c r="J23" s="168"/>
    </row>
    <row r="24" spans="1:16" x14ac:dyDescent="0.25">
      <c r="A24" s="653" t="s">
        <v>483</v>
      </c>
      <c r="B24" s="654"/>
      <c r="C24" s="294">
        <v>0</v>
      </c>
      <c r="D24" s="295">
        <v>0</v>
      </c>
      <c r="E24" s="631">
        <f t="shared" ref="E24" si="3">SUM(C24:D24)</f>
        <v>0</v>
      </c>
      <c r="F24" s="632"/>
      <c r="G24" s="631" t="s">
        <v>438</v>
      </c>
      <c r="H24" s="632"/>
      <c r="I24" s="168"/>
      <c r="J24" s="168"/>
    </row>
    <row r="25" spans="1:16" x14ac:dyDescent="0.25">
      <c r="A25" s="653" t="s">
        <v>445</v>
      </c>
      <c r="B25" s="654"/>
      <c r="C25" s="295">
        <v>0</v>
      </c>
      <c r="D25" s="294">
        <v>0</v>
      </c>
      <c r="E25" s="631">
        <f t="shared" si="1"/>
        <v>0</v>
      </c>
      <c r="F25" s="632"/>
      <c r="G25" s="631" t="s">
        <v>438</v>
      </c>
      <c r="H25" s="632"/>
      <c r="I25" s="168"/>
      <c r="J25" s="168"/>
    </row>
    <row r="26" spans="1:16" x14ac:dyDescent="0.25">
      <c r="A26" s="655" t="s">
        <v>486</v>
      </c>
      <c r="B26" s="656"/>
      <c r="C26" s="296">
        <f>SUM(C13:C25)</f>
        <v>27</v>
      </c>
      <c r="D26" s="296">
        <f>SUM(D13:D25)</f>
        <v>27</v>
      </c>
      <c r="E26" s="643">
        <f>SUM(E13:F25)</f>
        <v>54</v>
      </c>
      <c r="F26" s="644"/>
      <c r="G26" s="284"/>
      <c r="H26" s="268"/>
    </row>
    <row r="28" spans="1:16" ht="15.75" x14ac:dyDescent="0.25">
      <c r="A28" s="636" t="s">
        <v>311</v>
      </c>
      <c r="B28" s="636"/>
      <c r="C28" s="636"/>
      <c r="D28" s="636"/>
      <c r="E28" s="636"/>
      <c r="F28" s="636"/>
      <c r="G28" s="636"/>
    </row>
    <row r="29" spans="1:16" x14ac:dyDescent="0.25">
      <c r="A29" s="638" t="s">
        <v>418</v>
      </c>
      <c r="B29" s="640" t="s">
        <v>312</v>
      </c>
      <c r="C29" s="640" t="s">
        <v>313</v>
      </c>
      <c r="D29" s="642" t="s">
        <v>611</v>
      </c>
      <c r="E29" s="640" t="s">
        <v>314</v>
      </c>
      <c r="F29" s="633" t="s">
        <v>335</v>
      </c>
      <c r="G29" s="633" t="s">
        <v>336</v>
      </c>
      <c r="H29" s="633" t="s">
        <v>334</v>
      </c>
      <c r="I29" s="659" t="s">
        <v>348</v>
      </c>
    </row>
    <row r="30" spans="1:16" x14ac:dyDescent="0.25">
      <c r="A30" s="639"/>
      <c r="B30" s="641"/>
      <c r="C30" s="641"/>
      <c r="D30" s="642"/>
      <c r="E30" s="641"/>
      <c r="F30" s="633"/>
      <c r="G30" s="633"/>
      <c r="H30" s="633"/>
      <c r="I30" s="660"/>
    </row>
    <row r="31" spans="1:16" x14ac:dyDescent="0.25">
      <c r="A31" s="171" t="s">
        <v>349</v>
      </c>
      <c r="B31" s="173" t="s">
        <v>315</v>
      </c>
      <c r="C31" s="170" t="s">
        <v>316</v>
      </c>
      <c r="D31" s="170">
        <v>2008</v>
      </c>
      <c r="E31" s="173">
        <v>440</v>
      </c>
      <c r="F31" s="247">
        <v>7054.4</v>
      </c>
      <c r="G31" s="179">
        <v>40298</v>
      </c>
      <c r="H31" s="174">
        <v>15</v>
      </c>
      <c r="I31" s="170" t="s">
        <v>361</v>
      </c>
      <c r="J31">
        <v>1</v>
      </c>
    </row>
    <row r="32" spans="1:16" x14ac:dyDescent="0.25">
      <c r="A32" s="171" t="s">
        <v>350</v>
      </c>
      <c r="B32" s="173" t="s">
        <v>315</v>
      </c>
      <c r="C32" s="170" t="s">
        <v>317</v>
      </c>
      <c r="D32" s="170">
        <v>2008</v>
      </c>
      <c r="E32" s="173">
        <v>440</v>
      </c>
      <c r="F32" s="247">
        <v>7230.26</v>
      </c>
      <c r="G32" s="179">
        <v>40293</v>
      </c>
      <c r="H32" s="174">
        <f>+H31</f>
        <v>15</v>
      </c>
      <c r="I32" s="170" t="s">
        <v>361</v>
      </c>
      <c r="J32">
        <v>0</v>
      </c>
    </row>
    <row r="33" spans="1:10" x14ac:dyDescent="0.25">
      <c r="A33" s="171" t="s">
        <v>351</v>
      </c>
      <c r="B33" s="173" t="s">
        <v>315</v>
      </c>
      <c r="C33" s="170" t="s">
        <v>318</v>
      </c>
      <c r="D33" s="170">
        <v>2008</v>
      </c>
      <c r="E33" s="173">
        <v>440</v>
      </c>
      <c r="F33" s="247">
        <v>7441</v>
      </c>
      <c r="G33" s="179">
        <v>40294</v>
      </c>
      <c r="H33" s="174">
        <f>+H31</f>
        <v>15</v>
      </c>
      <c r="I33" s="170" t="s">
        <v>361</v>
      </c>
      <c r="J33">
        <v>1</v>
      </c>
    </row>
    <row r="34" spans="1:10" x14ac:dyDescent="0.25">
      <c r="A34" s="171" t="s">
        <v>352</v>
      </c>
      <c r="B34" s="175" t="s">
        <v>419</v>
      </c>
      <c r="C34" s="170" t="s">
        <v>319</v>
      </c>
      <c r="D34" s="248">
        <v>2003</v>
      </c>
      <c r="E34" s="175">
        <v>420</v>
      </c>
      <c r="F34" s="247">
        <v>25590.6</v>
      </c>
      <c r="G34" s="179">
        <v>40295</v>
      </c>
      <c r="H34" s="174">
        <f>+H31</f>
        <v>15</v>
      </c>
      <c r="I34" s="170" t="s">
        <v>361</v>
      </c>
      <c r="J34">
        <v>1</v>
      </c>
    </row>
    <row r="35" spans="1:10" x14ac:dyDescent="0.25">
      <c r="A35" s="171" t="s">
        <v>353</v>
      </c>
      <c r="B35" s="176" t="s">
        <v>320</v>
      </c>
      <c r="C35" s="177" t="s">
        <v>321</v>
      </c>
      <c r="D35" s="297">
        <v>2000</v>
      </c>
      <c r="E35" s="176">
        <v>400</v>
      </c>
      <c r="F35" s="269">
        <v>30538</v>
      </c>
      <c r="G35" s="179">
        <v>40231</v>
      </c>
      <c r="H35" s="174">
        <f>+H31</f>
        <v>15</v>
      </c>
      <c r="I35" s="297" t="s">
        <v>487</v>
      </c>
      <c r="J35">
        <v>1</v>
      </c>
    </row>
    <row r="36" spans="1:10" x14ac:dyDescent="0.25">
      <c r="A36" s="171" t="s">
        <v>354</v>
      </c>
      <c r="B36" s="176" t="s">
        <v>320</v>
      </c>
      <c r="C36" s="170" t="s">
        <v>322</v>
      </c>
      <c r="D36" s="299">
        <v>2000</v>
      </c>
      <c r="E36" s="176">
        <v>400</v>
      </c>
      <c r="F36" s="247" t="s">
        <v>420</v>
      </c>
      <c r="G36" s="179">
        <v>40303</v>
      </c>
      <c r="H36" s="174">
        <f>+H31</f>
        <v>15</v>
      </c>
      <c r="I36" s="170" t="s">
        <v>361</v>
      </c>
      <c r="J36">
        <v>1</v>
      </c>
    </row>
    <row r="37" spans="1:10" x14ac:dyDescent="0.25">
      <c r="A37" s="171" t="s">
        <v>355</v>
      </c>
      <c r="B37" s="176" t="s">
        <v>320</v>
      </c>
      <c r="C37" s="170" t="s">
        <v>323</v>
      </c>
      <c r="D37" s="297">
        <v>2001</v>
      </c>
      <c r="E37" s="176">
        <v>400</v>
      </c>
      <c r="F37" s="247">
        <v>28749.7</v>
      </c>
      <c r="G37" s="179">
        <v>40297</v>
      </c>
      <c r="H37" s="174">
        <f>+H31</f>
        <v>15</v>
      </c>
      <c r="I37" s="297" t="s">
        <v>487</v>
      </c>
      <c r="J37">
        <v>1</v>
      </c>
    </row>
    <row r="38" spans="1:10" x14ac:dyDescent="0.25">
      <c r="A38" s="171" t="s">
        <v>356</v>
      </c>
      <c r="B38" s="176" t="s">
        <v>320</v>
      </c>
      <c r="C38" s="170" t="s">
        <v>324</v>
      </c>
      <c r="D38" s="297">
        <v>2001</v>
      </c>
      <c r="E38" s="176">
        <v>400</v>
      </c>
      <c r="F38" s="247">
        <v>28112.9</v>
      </c>
      <c r="G38" s="179">
        <v>40300</v>
      </c>
      <c r="H38" s="174">
        <f>+H31</f>
        <v>15</v>
      </c>
      <c r="I38" s="297" t="s">
        <v>487</v>
      </c>
      <c r="J38">
        <v>1</v>
      </c>
    </row>
    <row r="39" spans="1:10" x14ac:dyDescent="0.25">
      <c r="A39" s="171" t="s">
        <v>357</v>
      </c>
      <c r="B39" s="170" t="s">
        <v>325</v>
      </c>
      <c r="C39" s="170" t="s">
        <v>326</v>
      </c>
      <c r="D39" s="297">
        <v>2002</v>
      </c>
      <c r="E39" s="170">
        <v>260</v>
      </c>
      <c r="F39" s="247">
        <v>25590.6</v>
      </c>
      <c r="G39" s="179">
        <v>40301</v>
      </c>
      <c r="H39" s="170" t="s">
        <v>327</v>
      </c>
      <c r="I39" s="297" t="s">
        <v>487</v>
      </c>
      <c r="J39">
        <v>0</v>
      </c>
    </row>
    <row r="40" spans="1:10" x14ac:dyDescent="0.25">
      <c r="A40" s="171" t="s">
        <v>358</v>
      </c>
      <c r="B40" s="170" t="s">
        <v>328</v>
      </c>
      <c r="C40" s="170" t="s">
        <v>326</v>
      </c>
      <c r="D40" s="170">
        <v>2007</v>
      </c>
      <c r="E40" s="170">
        <v>268</v>
      </c>
      <c r="F40" s="247">
        <v>10252.4</v>
      </c>
      <c r="G40" s="179">
        <v>40299</v>
      </c>
      <c r="H40" s="170" t="s">
        <v>327</v>
      </c>
      <c r="I40" s="297" t="s">
        <v>487</v>
      </c>
      <c r="J40">
        <v>1</v>
      </c>
    </row>
    <row r="41" spans="1:10" x14ac:dyDescent="0.25">
      <c r="A41" s="171" t="s">
        <v>359</v>
      </c>
      <c r="B41" s="176" t="s">
        <v>329</v>
      </c>
      <c r="C41" s="170" t="s">
        <v>330</v>
      </c>
      <c r="D41" s="170">
        <v>2008</v>
      </c>
      <c r="E41" s="176">
        <v>250</v>
      </c>
      <c r="F41" s="247">
        <v>7862.5</v>
      </c>
      <c r="G41" s="179">
        <v>40295</v>
      </c>
      <c r="H41" s="170" t="s">
        <v>331</v>
      </c>
      <c r="I41" s="170" t="s">
        <v>361</v>
      </c>
      <c r="J41">
        <v>1</v>
      </c>
    </row>
    <row r="42" spans="1:10" x14ac:dyDescent="0.25">
      <c r="A42" s="171" t="s">
        <v>360</v>
      </c>
      <c r="B42" s="172" t="s">
        <v>332</v>
      </c>
      <c r="C42" s="170" t="s">
        <v>333</v>
      </c>
      <c r="D42" s="170">
        <v>2009</v>
      </c>
      <c r="E42" s="172">
        <v>246</v>
      </c>
      <c r="F42" s="247">
        <v>1625</v>
      </c>
      <c r="G42" s="179">
        <v>40302</v>
      </c>
      <c r="H42" s="170" t="s">
        <v>337</v>
      </c>
      <c r="I42" s="170" t="s">
        <v>361</v>
      </c>
      <c r="J42">
        <v>1</v>
      </c>
    </row>
    <row r="43" spans="1:10" x14ac:dyDescent="0.25">
      <c r="A43" s="652" t="s">
        <v>484</v>
      </c>
      <c r="B43" s="652"/>
      <c r="C43" s="652"/>
      <c r="D43" s="652"/>
      <c r="E43" s="652"/>
      <c r="F43" s="652"/>
      <c r="G43" s="652"/>
      <c r="H43" s="652"/>
      <c r="I43" s="652"/>
    </row>
    <row r="44" spans="1:10" x14ac:dyDescent="0.25">
      <c r="A44" s="652" t="s">
        <v>485</v>
      </c>
      <c r="B44" s="652"/>
      <c r="C44" s="652"/>
      <c r="D44" s="652"/>
      <c r="E44" s="652"/>
      <c r="F44" s="652"/>
      <c r="G44" s="652"/>
      <c r="H44" s="652"/>
      <c r="I44" s="652"/>
    </row>
  </sheetData>
  <mergeCells count="56">
    <mergeCell ref="A2:I2"/>
    <mergeCell ref="A43:I43"/>
    <mergeCell ref="A44:I44"/>
    <mergeCell ref="A24:B24"/>
    <mergeCell ref="A25:B25"/>
    <mergeCell ref="A26:B26"/>
    <mergeCell ref="E20:F20"/>
    <mergeCell ref="E21:F21"/>
    <mergeCell ref="E22:F22"/>
    <mergeCell ref="B4:I4"/>
    <mergeCell ref="B7:I7"/>
    <mergeCell ref="A28:G28"/>
    <mergeCell ref="B15:B23"/>
    <mergeCell ref="A10:G10"/>
    <mergeCell ref="I29:I30"/>
    <mergeCell ref="B29:B30"/>
    <mergeCell ref="C11:D11"/>
    <mergeCell ref="H29:H3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G23:H23"/>
    <mergeCell ref="G24:H24"/>
    <mergeCell ref="G25:H25"/>
    <mergeCell ref="G13:H13"/>
    <mergeCell ref="G14:H14"/>
    <mergeCell ref="A1:I1"/>
    <mergeCell ref="G29:G30"/>
    <mergeCell ref="B5:G5"/>
    <mergeCell ref="B6:G6"/>
    <mergeCell ref="A3:G3"/>
    <mergeCell ref="A29:A30"/>
    <mergeCell ref="C29:C30"/>
    <mergeCell ref="D29:D30"/>
    <mergeCell ref="F29:F30"/>
    <mergeCell ref="E29:E30"/>
    <mergeCell ref="E23:F23"/>
    <mergeCell ref="E24:F24"/>
    <mergeCell ref="E25:F25"/>
    <mergeCell ref="E26:F26"/>
    <mergeCell ref="G11:H11"/>
    <mergeCell ref="G12:H12"/>
    <mergeCell ref="G20:H20"/>
    <mergeCell ref="G21:H21"/>
    <mergeCell ref="G22:H22"/>
    <mergeCell ref="G15:H15"/>
    <mergeCell ref="G16:H16"/>
    <mergeCell ref="G17:H17"/>
    <mergeCell ref="G18:H18"/>
    <mergeCell ref="G19:H19"/>
  </mergeCells>
  <printOptions horizontalCentered="1"/>
  <pageMargins left="0.12" right="0" top="0.59055118110236227" bottom="0" header="0" footer="0"/>
  <pageSetup paperSize="9" scale="96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"/>
  <sheetViews>
    <sheetView view="pageBreakPreview" zoomScale="80" zoomScaleNormal="90" zoomScaleSheetLayoutView="80" zoomScalePageLayoutView="80" workbookViewId="0">
      <pane xSplit="5" ySplit="6" topLeftCell="F7" activePane="bottomRight" state="frozen"/>
      <selection pane="topRight" activeCell="F1" sqref="F1"/>
      <selection pane="bottomLeft" activeCell="A8" sqref="A8"/>
      <selection pane="bottomRight" activeCell="A7" sqref="A7:H7"/>
    </sheetView>
  </sheetViews>
  <sheetFormatPr baseColWidth="10" defaultRowHeight="12.75" x14ac:dyDescent="0.2"/>
  <cols>
    <col min="1" max="1" width="6.85546875" style="496" customWidth="1"/>
    <col min="2" max="2" width="29.28515625" style="440" customWidth="1"/>
    <col min="3" max="3" width="13.42578125" style="442" customWidth="1"/>
    <col min="4" max="4" width="6.42578125" style="440" customWidth="1"/>
    <col min="5" max="5" width="8" style="440" customWidth="1"/>
    <col min="6" max="6" width="10.140625" style="442" customWidth="1"/>
    <col min="7" max="7" width="13.28515625" style="442" customWidth="1"/>
    <col min="8" max="8" width="13.28515625" style="440" customWidth="1"/>
    <col min="9" max="9" width="6.7109375" style="450" customWidth="1"/>
    <col min="10" max="10" width="9.140625" style="440" bestFit="1" customWidth="1"/>
    <col min="11" max="11" width="10.7109375" style="440" bestFit="1" customWidth="1"/>
    <col min="12" max="12" width="9.7109375" style="440" bestFit="1" customWidth="1"/>
    <col min="13" max="13" width="10.28515625" style="440" bestFit="1" customWidth="1"/>
    <col min="14" max="14" width="14.7109375" style="440" bestFit="1" customWidth="1"/>
    <col min="15" max="16" width="11.5703125" style="440" bestFit="1" customWidth="1"/>
    <col min="17" max="16384" width="11.42578125" style="440"/>
  </cols>
  <sheetData>
    <row r="1" spans="1:16" ht="23.25" x14ac:dyDescent="0.2">
      <c r="A1" s="440"/>
      <c r="B1" s="661" t="s">
        <v>366</v>
      </c>
      <c r="C1" s="661"/>
      <c r="D1" s="661"/>
      <c r="E1" s="661"/>
      <c r="F1" s="661"/>
      <c r="G1" s="661"/>
      <c r="H1" s="661"/>
      <c r="I1" s="440"/>
      <c r="K1" s="441"/>
    </row>
    <row r="2" spans="1:16" ht="18.75" x14ac:dyDescent="0.2">
      <c r="A2" s="666" t="s">
        <v>790</v>
      </c>
      <c r="B2" s="667"/>
      <c r="C2" s="667"/>
      <c r="D2" s="667"/>
      <c r="E2" s="667"/>
      <c r="F2" s="667"/>
      <c r="G2" s="667"/>
      <c r="H2" s="668"/>
      <c r="I2" s="441"/>
      <c r="J2" s="441"/>
      <c r="K2" s="441"/>
      <c r="M2" s="441"/>
      <c r="N2" s="442"/>
      <c r="O2" s="442"/>
      <c r="P2" s="442"/>
    </row>
    <row r="3" spans="1:16" ht="18.75" x14ac:dyDescent="0.2">
      <c r="A3" s="669" t="s">
        <v>791</v>
      </c>
      <c r="B3" s="670"/>
      <c r="C3" s="670"/>
      <c r="D3" s="670"/>
      <c r="E3" s="670"/>
      <c r="F3" s="670"/>
      <c r="G3" s="670"/>
      <c r="H3" s="671"/>
      <c r="I3" s="440"/>
      <c r="J3" s="443"/>
      <c r="K3" s="444"/>
      <c r="O3" s="442"/>
      <c r="P3" s="442"/>
    </row>
    <row r="4" spans="1:16" ht="21" x14ac:dyDescent="0.2">
      <c r="A4" s="672" t="s">
        <v>792</v>
      </c>
      <c r="B4" s="673"/>
      <c r="C4" s="673"/>
      <c r="D4" s="673"/>
      <c r="E4" s="673"/>
      <c r="F4" s="673"/>
      <c r="G4" s="673"/>
      <c r="H4" s="674"/>
      <c r="I4" s="440"/>
      <c r="J4" s="450"/>
      <c r="M4" s="450"/>
      <c r="N4" s="450"/>
    </row>
    <row r="5" spans="1:16" ht="15.75" x14ac:dyDescent="0.2">
      <c r="A5" s="662"/>
      <c r="B5" s="662"/>
      <c r="C5" s="662"/>
      <c r="D5" s="662"/>
      <c r="E5" s="662"/>
      <c r="F5" s="662"/>
      <c r="G5" s="662"/>
      <c r="H5" s="662"/>
      <c r="I5" s="441"/>
      <c r="J5" s="441"/>
      <c r="K5" s="441"/>
      <c r="L5" s="441"/>
      <c r="M5" s="441"/>
      <c r="N5" s="453"/>
      <c r="O5" s="442"/>
    </row>
    <row r="6" spans="1:16" ht="15.75" x14ac:dyDescent="0.2">
      <c r="A6" s="663" t="s">
        <v>612</v>
      </c>
      <c r="B6" s="664"/>
      <c r="C6" s="445">
        <v>3.7850000000000001</v>
      </c>
      <c r="D6" s="446" t="s">
        <v>363</v>
      </c>
      <c r="E6" s="447" t="s">
        <v>365</v>
      </c>
      <c r="F6" s="448">
        <v>1</v>
      </c>
      <c r="G6" s="447" t="s">
        <v>364</v>
      </c>
      <c r="H6" s="449">
        <v>2.94</v>
      </c>
      <c r="I6" s="675"/>
      <c r="J6" s="675"/>
      <c r="K6" s="675"/>
      <c r="L6" s="675"/>
      <c r="M6" s="675"/>
      <c r="N6" s="455"/>
      <c r="O6" s="455"/>
      <c r="P6" s="455"/>
    </row>
    <row r="7" spans="1:16" ht="15.75" x14ac:dyDescent="0.25">
      <c r="A7" s="665"/>
      <c r="B7" s="665"/>
      <c r="C7" s="665"/>
      <c r="D7" s="665"/>
      <c r="E7" s="665"/>
      <c r="F7" s="665"/>
      <c r="G7" s="665"/>
      <c r="H7" s="665"/>
      <c r="I7" s="463"/>
      <c r="J7" s="464"/>
      <c r="K7" s="450"/>
      <c r="L7" s="465"/>
      <c r="M7" s="466"/>
      <c r="N7" s="467"/>
      <c r="O7" s="467"/>
      <c r="P7" s="468"/>
    </row>
    <row r="8" spans="1:16" ht="31.5" x14ac:dyDescent="0.25">
      <c r="A8" s="451" t="s">
        <v>193</v>
      </c>
      <c r="B8" s="451" t="s">
        <v>194</v>
      </c>
      <c r="C8" s="451" t="s">
        <v>613</v>
      </c>
      <c r="D8" s="451" t="s">
        <v>195</v>
      </c>
      <c r="E8" s="451" t="s">
        <v>388</v>
      </c>
      <c r="F8" s="452" t="s">
        <v>367</v>
      </c>
      <c r="G8" s="452" t="s">
        <v>241</v>
      </c>
      <c r="H8" s="452" t="s">
        <v>240</v>
      </c>
      <c r="I8" s="463"/>
      <c r="J8" s="464"/>
      <c r="K8" s="450"/>
      <c r="L8" s="465"/>
      <c r="M8" s="466"/>
      <c r="N8" s="467"/>
      <c r="O8" s="467"/>
      <c r="P8" s="468"/>
    </row>
    <row r="9" spans="1:16" ht="15.75" x14ac:dyDescent="0.25">
      <c r="A9" s="451"/>
      <c r="B9" s="454" t="s">
        <v>614</v>
      </c>
      <c r="C9" s="676"/>
      <c r="D9" s="676"/>
      <c r="E9" s="676"/>
      <c r="F9" s="676"/>
      <c r="G9" s="676"/>
      <c r="H9" s="676"/>
      <c r="I9" s="442"/>
      <c r="L9" s="465"/>
      <c r="M9" s="470"/>
      <c r="N9" s="467"/>
      <c r="O9" s="467"/>
      <c r="P9" s="468"/>
    </row>
    <row r="10" spans="1:16" ht="15" x14ac:dyDescent="0.2">
      <c r="A10" s="456">
        <v>1</v>
      </c>
      <c r="B10" s="457" t="s">
        <v>615</v>
      </c>
      <c r="C10" s="458" t="s">
        <v>616</v>
      </c>
      <c r="D10" s="459">
        <v>1</v>
      </c>
      <c r="E10" s="456" t="s">
        <v>617</v>
      </c>
      <c r="F10" s="460">
        <f>O7/D10</f>
        <v>0</v>
      </c>
      <c r="G10" s="461">
        <f>D10*F10</f>
        <v>0</v>
      </c>
      <c r="H10" s="462">
        <f>+G10/H6</f>
        <v>0</v>
      </c>
      <c r="I10" s="677"/>
      <c r="J10" s="675"/>
      <c r="K10" s="675"/>
      <c r="L10" s="675"/>
      <c r="M10" s="675"/>
      <c r="N10" s="455"/>
      <c r="O10" s="455"/>
      <c r="P10" s="455"/>
    </row>
    <row r="11" spans="1:16" ht="12.75" customHeight="1" x14ac:dyDescent="0.2">
      <c r="A11" s="469">
        <f>A10+1</f>
        <v>2</v>
      </c>
      <c r="B11" s="457" t="s">
        <v>618</v>
      </c>
      <c r="C11" s="459" t="s">
        <v>619</v>
      </c>
      <c r="D11" s="459">
        <v>1</v>
      </c>
      <c r="E11" s="456" t="s">
        <v>617</v>
      </c>
      <c r="F11" s="460">
        <f>O8/D11</f>
        <v>0</v>
      </c>
      <c r="G11" s="461">
        <f>D11*F11</f>
        <v>0</v>
      </c>
      <c r="H11" s="462">
        <f>+G11/H6</f>
        <v>0</v>
      </c>
      <c r="I11" s="691"/>
      <c r="J11" s="692"/>
      <c r="K11" s="693"/>
      <c r="L11" s="694"/>
      <c r="M11" s="694"/>
      <c r="N11" s="695"/>
      <c r="O11" s="695"/>
      <c r="P11" s="696"/>
    </row>
    <row r="12" spans="1:16" ht="12.75" customHeight="1" x14ac:dyDescent="0.2">
      <c r="A12" s="469">
        <f>A11+1</f>
        <v>3</v>
      </c>
      <c r="B12" s="457" t="s">
        <v>620</v>
      </c>
      <c r="C12" s="459" t="s">
        <v>621</v>
      </c>
      <c r="D12" s="459">
        <v>1</v>
      </c>
      <c r="E12" s="456" t="s">
        <v>617</v>
      </c>
      <c r="F12" s="460">
        <f>O9/D12</f>
        <v>0</v>
      </c>
      <c r="G12" s="461">
        <f>D12*F12</f>
        <v>0</v>
      </c>
      <c r="H12" s="462">
        <f>+G12/H6</f>
        <v>0</v>
      </c>
      <c r="I12" s="691"/>
      <c r="J12" s="692"/>
      <c r="K12" s="693"/>
      <c r="L12" s="694"/>
      <c r="M12" s="694"/>
      <c r="N12" s="693"/>
      <c r="O12" s="693"/>
      <c r="P12" s="696"/>
    </row>
    <row r="13" spans="1:16" ht="12.75" customHeight="1" x14ac:dyDescent="0.2">
      <c r="A13" s="469"/>
      <c r="B13" s="454" t="s">
        <v>622</v>
      </c>
      <c r="C13" s="676"/>
      <c r="D13" s="676"/>
      <c r="E13" s="676"/>
      <c r="F13" s="676"/>
      <c r="G13" s="676"/>
      <c r="H13" s="676"/>
      <c r="I13" s="691"/>
      <c r="J13" s="692"/>
      <c r="K13" s="693"/>
      <c r="L13" s="694"/>
      <c r="M13" s="694"/>
      <c r="N13" s="693"/>
      <c r="O13" s="693"/>
      <c r="P13" s="696"/>
    </row>
    <row r="14" spans="1:16" ht="12.75" customHeight="1" x14ac:dyDescent="0.2">
      <c r="A14" s="678">
        <f>+A12+1</f>
        <v>4</v>
      </c>
      <c r="B14" s="681" t="s">
        <v>623</v>
      </c>
      <c r="C14" s="684" t="s">
        <v>624</v>
      </c>
      <c r="D14" s="684">
        <v>1</v>
      </c>
      <c r="E14" s="685" t="s">
        <v>239</v>
      </c>
      <c r="F14" s="552"/>
      <c r="G14" s="686">
        <f>F16*D14</f>
        <v>0</v>
      </c>
      <c r="H14" s="690">
        <f>G14/H6</f>
        <v>0</v>
      </c>
      <c r="I14" s="691"/>
      <c r="J14" s="692"/>
      <c r="K14" s="693"/>
      <c r="L14" s="694"/>
      <c r="M14" s="694"/>
      <c r="N14" s="693"/>
      <c r="O14" s="693"/>
      <c r="P14" s="696"/>
    </row>
    <row r="15" spans="1:16" x14ac:dyDescent="0.2">
      <c r="A15" s="679"/>
      <c r="B15" s="682"/>
      <c r="C15" s="684"/>
      <c r="D15" s="684"/>
      <c r="E15" s="684"/>
      <c r="F15" s="553"/>
      <c r="G15" s="687"/>
      <c r="H15" s="690"/>
      <c r="I15" s="675"/>
      <c r="J15" s="675"/>
      <c r="K15" s="675"/>
      <c r="L15" s="675"/>
      <c r="M15" s="675"/>
      <c r="N15" s="455"/>
      <c r="O15" s="455"/>
      <c r="P15" s="455"/>
    </row>
    <row r="16" spans="1:16" ht="15" x14ac:dyDescent="0.25">
      <c r="A16" s="679"/>
      <c r="B16" s="682"/>
      <c r="C16" s="684"/>
      <c r="D16" s="684"/>
      <c r="E16" s="684"/>
      <c r="F16" s="553">
        <f>O11</f>
        <v>0</v>
      </c>
      <c r="G16" s="687"/>
      <c r="H16" s="690"/>
      <c r="I16" s="477"/>
      <c r="J16" s="464"/>
      <c r="L16" s="465"/>
      <c r="M16" s="465"/>
      <c r="N16" s="467"/>
      <c r="O16" s="467"/>
      <c r="P16" s="468"/>
    </row>
    <row r="17" spans="1:16" ht="15" x14ac:dyDescent="0.25">
      <c r="A17" s="680"/>
      <c r="B17" s="683"/>
      <c r="C17" s="684"/>
      <c r="D17" s="684"/>
      <c r="E17" s="684"/>
      <c r="F17" s="554"/>
      <c r="G17" s="688"/>
      <c r="H17" s="690"/>
      <c r="I17" s="477"/>
      <c r="J17" s="464"/>
      <c r="L17" s="465"/>
      <c r="M17" s="465"/>
      <c r="N17" s="467"/>
      <c r="O17" s="467"/>
      <c r="P17" s="468"/>
    </row>
    <row r="18" spans="1:16" ht="15" x14ac:dyDescent="0.25">
      <c r="A18" s="469"/>
      <c r="B18" s="454" t="s">
        <v>625</v>
      </c>
      <c r="C18" s="471"/>
      <c r="D18" s="471"/>
      <c r="E18" s="471"/>
      <c r="F18" s="472"/>
      <c r="G18" s="473"/>
      <c r="H18" s="474"/>
      <c r="I18" s="477"/>
      <c r="J18" s="464"/>
      <c r="L18" s="465"/>
      <c r="M18" s="465"/>
      <c r="N18" s="467"/>
      <c r="O18" s="467"/>
      <c r="P18" s="468"/>
    </row>
    <row r="19" spans="1:16" ht="15" x14ac:dyDescent="0.25">
      <c r="A19" s="469">
        <f>A14+1</f>
        <v>5</v>
      </c>
      <c r="B19" s="457" t="s">
        <v>626</v>
      </c>
      <c r="C19" s="475">
        <v>6001856110</v>
      </c>
      <c r="D19" s="475">
        <v>1</v>
      </c>
      <c r="E19" s="476" t="s">
        <v>627</v>
      </c>
      <c r="F19" s="460">
        <f t="shared" ref="F19:F25" si="0">O16/D19</f>
        <v>0</v>
      </c>
      <c r="G19" s="461">
        <f t="shared" ref="G19:G25" si="1">D19*F19</f>
        <v>0</v>
      </c>
      <c r="H19" s="462">
        <f>G19/H6</f>
        <v>0</v>
      </c>
      <c r="I19" s="477"/>
      <c r="J19" s="464"/>
      <c r="L19" s="465"/>
      <c r="M19" s="465"/>
      <c r="N19" s="467"/>
      <c r="O19" s="467"/>
      <c r="P19" s="468"/>
    </row>
    <row r="20" spans="1:16" ht="15" x14ac:dyDescent="0.25">
      <c r="A20" s="469">
        <f t="shared" ref="A20:A25" si="2">+A19+1</f>
        <v>6</v>
      </c>
      <c r="B20" s="457" t="s">
        <v>628</v>
      </c>
      <c r="C20" s="475">
        <v>6001856120</v>
      </c>
      <c r="D20" s="475">
        <v>1</v>
      </c>
      <c r="E20" s="476" t="s">
        <v>627</v>
      </c>
      <c r="F20" s="460">
        <f t="shared" si="0"/>
        <v>0</v>
      </c>
      <c r="G20" s="461">
        <f t="shared" si="1"/>
        <v>0</v>
      </c>
      <c r="H20" s="462">
        <f>G20/H6</f>
        <v>0</v>
      </c>
      <c r="I20" s="477"/>
      <c r="J20" s="464"/>
      <c r="L20" s="465"/>
      <c r="M20" s="465"/>
      <c r="N20" s="467"/>
      <c r="O20" s="467"/>
      <c r="P20" s="468"/>
    </row>
    <row r="21" spans="1:16" ht="15" x14ac:dyDescent="0.25">
      <c r="A21" s="469">
        <f t="shared" si="2"/>
        <v>7</v>
      </c>
      <c r="B21" s="457" t="s">
        <v>629</v>
      </c>
      <c r="C21" s="475">
        <v>6742014540</v>
      </c>
      <c r="D21" s="475">
        <v>1</v>
      </c>
      <c r="E21" s="476" t="s">
        <v>627</v>
      </c>
      <c r="F21" s="460">
        <f t="shared" si="0"/>
        <v>0</v>
      </c>
      <c r="G21" s="461">
        <f t="shared" si="1"/>
        <v>0</v>
      </c>
      <c r="H21" s="462">
        <f>G21/H6</f>
        <v>0</v>
      </c>
      <c r="I21" s="477"/>
      <c r="J21" s="464"/>
      <c r="L21" s="465"/>
      <c r="M21" s="465"/>
      <c r="N21" s="467"/>
      <c r="O21" s="467"/>
      <c r="P21" s="468"/>
    </row>
    <row r="22" spans="1:16" ht="15" x14ac:dyDescent="0.25">
      <c r="A22" s="469">
        <f t="shared" si="2"/>
        <v>8</v>
      </c>
      <c r="B22" s="457" t="s">
        <v>630</v>
      </c>
      <c r="C22" s="475">
        <v>6003193610</v>
      </c>
      <c r="D22" s="475">
        <v>1</v>
      </c>
      <c r="E22" s="476" t="s">
        <v>627</v>
      </c>
      <c r="F22" s="460">
        <f t="shared" si="0"/>
        <v>0</v>
      </c>
      <c r="G22" s="461">
        <f t="shared" si="1"/>
        <v>0</v>
      </c>
      <c r="H22" s="462">
        <f>G22/H6</f>
        <v>0</v>
      </c>
      <c r="I22" s="477"/>
      <c r="J22" s="464"/>
      <c r="L22" s="465"/>
      <c r="M22" s="465"/>
      <c r="N22" s="467"/>
      <c r="O22" s="467"/>
      <c r="P22" s="468"/>
    </row>
    <row r="23" spans="1:16" ht="15" x14ac:dyDescent="0.2">
      <c r="A23" s="469">
        <f t="shared" si="2"/>
        <v>9</v>
      </c>
      <c r="B23" s="457" t="s">
        <v>631</v>
      </c>
      <c r="C23" s="475">
        <v>6754796140</v>
      </c>
      <c r="D23" s="475">
        <v>1</v>
      </c>
      <c r="E23" s="476" t="s">
        <v>627</v>
      </c>
      <c r="F23" s="460">
        <f t="shared" si="0"/>
        <v>0</v>
      </c>
      <c r="G23" s="461">
        <f t="shared" si="1"/>
        <v>0</v>
      </c>
      <c r="H23" s="462">
        <f>G23/H6</f>
        <v>0</v>
      </c>
      <c r="I23" s="675"/>
      <c r="J23" s="675"/>
      <c r="K23" s="675"/>
      <c r="L23" s="675"/>
      <c r="M23" s="675"/>
      <c r="N23" s="455"/>
      <c r="O23" s="455"/>
      <c r="P23" s="455"/>
    </row>
    <row r="24" spans="1:16" ht="15" x14ac:dyDescent="0.25">
      <c r="A24" s="469">
        <f t="shared" si="2"/>
        <v>10</v>
      </c>
      <c r="B24" s="457" t="s">
        <v>632</v>
      </c>
      <c r="C24" s="475">
        <v>2089797620</v>
      </c>
      <c r="D24" s="475">
        <v>1</v>
      </c>
      <c r="E24" s="476" t="s">
        <v>627</v>
      </c>
      <c r="F24" s="460">
        <f t="shared" si="0"/>
        <v>0</v>
      </c>
      <c r="G24" s="461">
        <f t="shared" si="1"/>
        <v>0</v>
      </c>
      <c r="H24" s="462">
        <f>G24/H6</f>
        <v>0</v>
      </c>
      <c r="I24" s="477"/>
      <c r="J24" s="464"/>
      <c r="L24" s="465"/>
      <c r="M24" s="465"/>
      <c r="N24" s="467"/>
      <c r="O24" s="467"/>
      <c r="P24" s="468"/>
    </row>
    <row r="25" spans="1:16" ht="15" x14ac:dyDescent="0.25">
      <c r="A25" s="469">
        <f t="shared" si="2"/>
        <v>11</v>
      </c>
      <c r="B25" s="457" t="s">
        <v>633</v>
      </c>
      <c r="C25" s="459" t="s">
        <v>634</v>
      </c>
      <c r="D25" s="475">
        <v>1</v>
      </c>
      <c r="E25" s="476" t="s">
        <v>627</v>
      </c>
      <c r="F25" s="460">
        <f t="shared" si="0"/>
        <v>0</v>
      </c>
      <c r="G25" s="461">
        <f t="shared" si="1"/>
        <v>0</v>
      </c>
      <c r="H25" s="462">
        <f>G25/H6</f>
        <v>0</v>
      </c>
      <c r="I25" s="477"/>
      <c r="J25" s="464"/>
      <c r="L25" s="465"/>
      <c r="M25" s="465"/>
      <c r="N25" s="467"/>
      <c r="O25" s="467"/>
      <c r="P25" s="468"/>
    </row>
    <row r="26" spans="1:16" ht="15" x14ac:dyDescent="0.25">
      <c r="A26" s="469"/>
      <c r="B26" s="454" t="s">
        <v>635</v>
      </c>
      <c r="C26" s="471"/>
      <c r="D26" s="471"/>
      <c r="E26" s="471"/>
      <c r="F26" s="472"/>
      <c r="G26" s="473"/>
      <c r="H26" s="474"/>
      <c r="I26" s="477"/>
      <c r="J26" s="464"/>
      <c r="L26" s="465"/>
      <c r="M26" s="465"/>
      <c r="N26" s="467"/>
      <c r="O26" s="467"/>
      <c r="P26" s="468"/>
    </row>
    <row r="27" spans="1:16" ht="15" x14ac:dyDescent="0.25">
      <c r="A27" s="469">
        <f>+A25+1</f>
        <v>12</v>
      </c>
      <c r="B27" s="457" t="s">
        <v>636</v>
      </c>
      <c r="C27" s="475">
        <v>2076071182</v>
      </c>
      <c r="D27" s="475">
        <v>1</v>
      </c>
      <c r="E27" s="476" t="s">
        <v>627</v>
      </c>
      <c r="F27" s="460">
        <f>O24</f>
        <v>0</v>
      </c>
      <c r="G27" s="461">
        <f>D27*F27</f>
        <v>0</v>
      </c>
      <c r="H27" s="462">
        <f>G27/H6</f>
        <v>0</v>
      </c>
      <c r="I27" s="477"/>
      <c r="J27" s="464"/>
      <c r="L27" s="465"/>
      <c r="M27" s="465"/>
      <c r="N27" s="467"/>
      <c r="O27" s="467"/>
      <c r="P27" s="468"/>
    </row>
    <row r="28" spans="1:16" ht="15" x14ac:dyDescent="0.2">
      <c r="A28" s="469">
        <f>+A27+1</f>
        <v>13</v>
      </c>
      <c r="B28" s="457" t="s">
        <v>637</v>
      </c>
      <c r="C28" s="475">
        <v>6004111191</v>
      </c>
      <c r="D28" s="475">
        <v>1</v>
      </c>
      <c r="E28" s="476" t="s">
        <v>627</v>
      </c>
      <c r="F28" s="460">
        <f>O25</f>
        <v>0</v>
      </c>
      <c r="G28" s="461">
        <f>D28*F28</f>
        <v>0</v>
      </c>
      <c r="H28" s="462">
        <f>G28/H6</f>
        <v>0</v>
      </c>
      <c r="I28" s="689"/>
      <c r="J28" s="689"/>
      <c r="K28" s="689"/>
      <c r="L28" s="689"/>
      <c r="M28" s="689"/>
      <c r="N28" s="455"/>
      <c r="O28" s="455"/>
      <c r="P28" s="455"/>
    </row>
    <row r="29" spans="1:16" ht="15" x14ac:dyDescent="0.25">
      <c r="A29" s="469">
        <f>+A28+1</f>
        <v>14</v>
      </c>
      <c r="B29" s="457" t="s">
        <v>638</v>
      </c>
      <c r="C29" s="475">
        <v>2076051310</v>
      </c>
      <c r="D29" s="475">
        <v>1</v>
      </c>
      <c r="E29" s="476" t="s">
        <v>627</v>
      </c>
      <c r="F29" s="460">
        <f>O26</f>
        <v>0</v>
      </c>
      <c r="G29" s="461">
        <f>D29*F29</f>
        <v>0</v>
      </c>
      <c r="H29" s="462">
        <f>G29/H6</f>
        <v>0</v>
      </c>
      <c r="I29" s="477"/>
      <c r="J29" s="464"/>
      <c r="L29" s="465"/>
      <c r="M29" s="465"/>
      <c r="N29" s="467"/>
      <c r="O29" s="467"/>
      <c r="P29" s="468"/>
    </row>
    <row r="30" spans="1:16" ht="15" x14ac:dyDescent="0.25">
      <c r="A30" s="469">
        <f>+A29+1</f>
        <v>15</v>
      </c>
      <c r="B30" s="457" t="s">
        <v>639</v>
      </c>
      <c r="C30" s="459" t="s">
        <v>640</v>
      </c>
      <c r="D30" s="475">
        <v>1</v>
      </c>
      <c r="E30" s="476" t="s">
        <v>627</v>
      </c>
      <c r="F30" s="460">
        <f>O27</f>
        <v>0</v>
      </c>
      <c r="G30" s="461">
        <f>D30*F30</f>
        <v>0</v>
      </c>
      <c r="H30" s="462">
        <f>G30/H6</f>
        <v>0</v>
      </c>
      <c r="I30" s="477"/>
      <c r="J30" s="464"/>
      <c r="L30" s="465"/>
      <c r="M30" s="465"/>
      <c r="N30" s="467"/>
      <c r="O30" s="467"/>
      <c r="P30" s="468"/>
    </row>
    <row r="31" spans="1:16" ht="15" x14ac:dyDescent="0.25">
      <c r="A31" s="469"/>
      <c r="B31" s="454" t="s">
        <v>641</v>
      </c>
      <c r="C31" s="471"/>
      <c r="D31" s="471"/>
      <c r="E31" s="471"/>
      <c r="F31" s="472"/>
      <c r="G31" s="473"/>
      <c r="H31" s="474"/>
      <c r="I31" s="477"/>
      <c r="J31" s="464"/>
      <c r="L31" s="465"/>
      <c r="M31" s="465"/>
      <c r="N31" s="467"/>
      <c r="O31" s="467"/>
      <c r="P31" s="468"/>
    </row>
    <row r="32" spans="1:16" ht="15" x14ac:dyDescent="0.25">
      <c r="A32" s="469">
        <f>+A30+1</f>
        <v>16</v>
      </c>
      <c r="B32" s="478" t="s">
        <v>642</v>
      </c>
      <c r="C32" s="475" t="s">
        <v>643</v>
      </c>
      <c r="D32" s="459">
        <v>1</v>
      </c>
      <c r="E32" s="459" t="s">
        <v>627</v>
      </c>
      <c r="F32" s="460">
        <f>+O29</f>
        <v>0</v>
      </c>
      <c r="G32" s="479">
        <f>+F32*D32</f>
        <v>0</v>
      </c>
      <c r="H32" s="480">
        <f>G32/$H$6</f>
        <v>0</v>
      </c>
      <c r="I32" s="477"/>
      <c r="J32" s="464"/>
      <c r="L32" s="465"/>
      <c r="M32" s="465"/>
      <c r="N32" s="467"/>
      <c r="O32" s="467"/>
      <c r="P32" s="468"/>
    </row>
    <row r="33" spans="1:16" ht="15" x14ac:dyDescent="0.25">
      <c r="A33" s="469">
        <f>+A32+1</f>
        <v>17</v>
      </c>
      <c r="B33" s="478" t="s">
        <v>644</v>
      </c>
      <c r="C33" s="459" t="s">
        <v>645</v>
      </c>
      <c r="D33" s="459">
        <v>1</v>
      </c>
      <c r="E33" s="459" t="s">
        <v>627</v>
      </c>
      <c r="F33" s="460">
        <f t="shared" ref="F33:F39" si="3">+O30</f>
        <v>0</v>
      </c>
      <c r="G33" s="479">
        <f t="shared" ref="G33:G39" si="4">+F33*D33</f>
        <v>0</v>
      </c>
      <c r="H33" s="480">
        <f t="shared" ref="H33:H39" si="5">G33/$H$6</f>
        <v>0</v>
      </c>
      <c r="I33" s="477"/>
      <c r="J33" s="464"/>
      <c r="L33" s="465"/>
      <c r="M33" s="465"/>
      <c r="N33" s="467"/>
      <c r="O33" s="467"/>
      <c r="P33" s="468"/>
    </row>
    <row r="34" spans="1:16" ht="15" x14ac:dyDescent="0.25">
      <c r="A34" s="469">
        <f t="shared" ref="A34:A39" si="6">+A33+1</f>
        <v>18</v>
      </c>
      <c r="B34" s="478" t="s">
        <v>646</v>
      </c>
      <c r="C34" s="459" t="s">
        <v>647</v>
      </c>
      <c r="D34" s="459">
        <v>1</v>
      </c>
      <c r="E34" s="459" t="s">
        <v>627</v>
      </c>
      <c r="F34" s="460">
        <f t="shared" si="3"/>
        <v>0</v>
      </c>
      <c r="G34" s="479">
        <f t="shared" si="4"/>
        <v>0</v>
      </c>
      <c r="H34" s="480">
        <f t="shared" si="5"/>
        <v>0</v>
      </c>
      <c r="I34" s="477"/>
      <c r="J34" s="464"/>
      <c r="L34" s="465"/>
      <c r="M34" s="465"/>
      <c r="N34" s="467"/>
      <c r="O34" s="467"/>
      <c r="P34" s="468"/>
    </row>
    <row r="35" spans="1:16" ht="15" x14ac:dyDescent="0.25">
      <c r="A35" s="469">
        <f t="shared" si="6"/>
        <v>19</v>
      </c>
      <c r="B35" s="478" t="s">
        <v>648</v>
      </c>
      <c r="C35" s="459" t="s">
        <v>649</v>
      </c>
      <c r="D35" s="459">
        <v>1</v>
      </c>
      <c r="E35" s="459" t="s">
        <v>627</v>
      </c>
      <c r="F35" s="460">
        <f t="shared" si="3"/>
        <v>0</v>
      </c>
      <c r="G35" s="479">
        <f t="shared" si="4"/>
        <v>0</v>
      </c>
      <c r="H35" s="480">
        <f t="shared" si="5"/>
        <v>0</v>
      </c>
      <c r="I35" s="477"/>
      <c r="J35" s="464"/>
      <c r="L35" s="465"/>
      <c r="M35" s="465"/>
      <c r="N35" s="467"/>
      <c r="O35" s="467"/>
      <c r="P35" s="468"/>
    </row>
    <row r="36" spans="1:16" ht="15" x14ac:dyDescent="0.25">
      <c r="A36" s="469">
        <f t="shared" si="6"/>
        <v>20</v>
      </c>
      <c r="B36" s="478" t="s">
        <v>650</v>
      </c>
      <c r="C36" s="459">
        <v>209011690</v>
      </c>
      <c r="D36" s="459">
        <v>1</v>
      </c>
      <c r="E36" s="459" t="s">
        <v>627</v>
      </c>
      <c r="F36" s="460">
        <f t="shared" si="3"/>
        <v>0</v>
      </c>
      <c r="G36" s="479">
        <f t="shared" si="4"/>
        <v>0</v>
      </c>
      <c r="H36" s="480">
        <f t="shared" si="5"/>
        <v>0</v>
      </c>
      <c r="I36" s="477"/>
      <c r="J36" s="464"/>
      <c r="L36" s="465"/>
      <c r="M36" s="465"/>
      <c r="N36" s="467"/>
      <c r="O36" s="467"/>
      <c r="P36" s="468"/>
    </row>
    <row r="37" spans="1:16" x14ac:dyDescent="0.2">
      <c r="A37" s="469">
        <f t="shared" si="6"/>
        <v>21</v>
      </c>
      <c r="B37" s="478" t="s">
        <v>651</v>
      </c>
      <c r="C37" s="459">
        <v>2073205061</v>
      </c>
      <c r="D37" s="459">
        <v>1</v>
      </c>
      <c r="E37" s="459" t="s">
        <v>627</v>
      </c>
      <c r="F37" s="460">
        <f>+O34</f>
        <v>0</v>
      </c>
      <c r="G37" s="479">
        <f t="shared" si="4"/>
        <v>0</v>
      </c>
      <c r="H37" s="480">
        <f>G37/$H$6</f>
        <v>0</v>
      </c>
      <c r="I37" s="485"/>
      <c r="J37" s="455"/>
      <c r="K37" s="455"/>
      <c r="L37" s="455"/>
      <c r="M37" s="455"/>
      <c r="N37" s="455"/>
      <c r="O37" s="455"/>
      <c r="P37" s="455"/>
    </row>
    <row r="38" spans="1:16" ht="15" x14ac:dyDescent="0.25">
      <c r="A38" s="469">
        <f t="shared" si="6"/>
        <v>22</v>
      </c>
      <c r="B38" s="478" t="s">
        <v>648</v>
      </c>
      <c r="C38" s="459" t="s">
        <v>649</v>
      </c>
      <c r="D38" s="459">
        <v>1</v>
      </c>
      <c r="E38" s="459" t="s">
        <v>627</v>
      </c>
      <c r="F38" s="460">
        <f>+O35</f>
        <v>0</v>
      </c>
      <c r="G38" s="479">
        <f>+F38*D38</f>
        <v>0</v>
      </c>
      <c r="H38" s="480">
        <f>G38/$H$6</f>
        <v>0</v>
      </c>
      <c r="I38" s="477"/>
      <c r="J38" s="464"/>
      <c r="L38" s="465"/>
      <c r="M38" s="465"/>
      <c r="N38" s="467"/>
      <c r="O38" s="467"/>
      <c r="P38" s="468"/>
    </row>
    <row r="39" spans="1:16" ht="15" x14ac:dyDescent="0.25">
      <c r="A39" s="469">
        <f t="shared" si="6"/>
        <v>23</v>
      </c>
      <c r="B39" s="478" t="s">
        <v>652</v>
      </c>
      <c r="C39" s="459">
        <v>2073261310</v>
      </c>
      <c r="D39" s="459">
        <v>1</v>
      </c>
      <c r="E39" s="459" t="s">
        <v>627</v>
      </c>
      <c r="F39" s="460">
        <f t="shared" si="3"/>
        <v>0</v>
      </c>
      <c r="G39" s="479">
        <f t="shared" si="4"/>
        <v>0</v>
      </c>
      <c r="H39" s="480">
        <f t="shared" si="5"/>
        <v>0</v>
      </c>
      <c r="I39" s="477"/>
      <c r="J39" s="464"/>
      <c r="L39" s="465"/>
      <c r="M39" s="465"/>
      <c r="N39" s="467"/>
      <c r="O39" s="467"/>
      <c r="P39" s="468"/>
    </row>
    <row r="40" spans="1:16" ht="15" x14ac:dyDescent="0.25">
      <c r="A40" s="469"/>
      <c r="B40" s="454" t="s">
        <v>653</v>
      </c>
      <c r="C40" s="471"/>
      <c r="D40" s="481"/>
      <c r="E40" s="471"/>
      <c r="F40" s="482"/>
      <c r="G40" s="483"/>
      <c r="H40" s="484"/>
      <c r="I40" s="477"/>
      <c r="J40" s="464"/>
      <c r="L40" s="465"/>
      <c r="M40" s="465"/>
      <c r="N40" s="467"/>
      <c r="O40" s="467"/>
      <c r="P40" s="468"/>
    </row>
    <row r="41" spans="1:16" ht="15" x14ac:dyDescent="0.2">
      <c r="A41" s="469">
        <f>+A39+1</f>
        <v>24</v>
      </c>
      <c r="B41" s="478" t="s">
        <v>654</v>
      </c>
      <c r="C41" s="475"/>
      <c r="D41" s="459">
        <v>1</v>
      </c>
      <c r="E41" s="475" t="s">
        <v>627</v>
      </c>
      <c r="F41" s="460">
        <f>O38</f>
        <v>0</v>
      </c>
      <c r="G41" s="461">
        <f>F41*D41</f>
        <v>0</v>
      </c>
      <c r="H41" s="462">
        <f>G41/H6</f>
        <v>0</v>
      </c>
      <c r="I41" s="485"/>
      <c r="J41" s="455"/>
      <c r="K41" s="455"/>
      <c r="L41" s="455"/>
      <c r="M41" s="455"/>
      <c r="N41" s="455"/>
      <c r="O41" s="455"/>
      <c r="P41" s="455"/>
    </row>
    <row r="42" spans="1:16" ht="15" x14ac:dyDescent="0.25">
      <c r="A42" s="469">
        <f>+A41+1</f>
        <v>25</v>
      </c>
      <c r="B42" s="457" t="s">
        <v>655</v>
      </c>
      <c r="C42" s="459" t="s">
        <v>656</v>
      </c>
      <c r="D42" s="459">
        <v>1</v>
      </c>
      <c r="E42" s="459" t="s">
        <v>617</v>
      </c>
      <c r="F42" s="460">
        <f>O39</f>
        <v>0</v>
      </c>
      <c r="G42" s="461">
        <f>D42*F42</f>
        <v>0</v>
      </c>
      <c r="H42" s="462">
        <f>G42/H6</f>
        <v>0</v>
      </c>
      <c r="I42" s="477"/>
      <c r="J42" s="464"/>
      <c r="K42" s="464"/>
      <c r="L42" s="465"/>
      <c r="M42" s="465"/>
      <c r="N42" s="467"/>
      <c r="O42" s="467"/>
      <c r="P42" s="468"/>
    </row>
    <row r="43" spans="1:16" ht="15" x14ac:dyDescent="0.2">
      <c r="A43" s="469">
        <f>+A42+1</f>
        <v>26</v>
      </c>
      <c r="B43" s="457" t="s">
        <v>657</v>
      </c>
      <c r="C43" s="475"/>
      <c r="D43" s="459">
        <v>1</v>
      </c>
      <c r="E43" s="475" t="s">
        <v>627</v>
      </c>
      <c r="F43" s="460">
        <f>O40</f>
        <v>0</v>
      </c>
      <c r="G43" s="461">
        <f>D43*F43</f>
        <v>0</v>
      </c>
      <c r="H43" s="462">
        <f>G43/H6</f>
        <v>0</v>
      </c>
    </row>
    <row r="44" spans="1:16" ht="15" x14ac:dyDescent="0.2">
      <c r="A44" s="469"/>
      <c r="B44" s="486" t="s">
        <v>658</v>
      </c>
      <c r="C44" s="487"/>
      <c r="D44" s="488"/>
      <c r="E44" s="487"/>
      <c r="F44" s="472"/>
      <c r="G44" s="473"/>
      <c r="H44" s="474"/>
    </row>
    <row r="45" spans="1:16" ht="15" x14ac:dyDescent="0.2">
      <c r="A45" s="469">
        <f>+A43+1</f>
        <v>27</v>
      </c>
      <c r="B45" s="489" t="s">
        <v>659</v>
      </c>
      <c r="C45" s="490"/>
      <c r="D45" s="490">
        <v>1</v>
      </c>
      <c r="E45" s="469" t="s">
        <v>627</v>
      </c>
      <c r="F45" s="472">
        <f>+O42</f>
        <v>0</v>
      </c>
      <c r="G45" s="491">
        <f>F45*D45</f>
        <v>0</v>
      </c>
      <c r="H45" s="492">
        <f>G45/H6</f>
        <v>0</v>
      </c>
    </row>
    <row r="46" spans="1:16" ht="15" x14ac:dyDescent="0.2">
      <c r="A46" s="493">
        <f>+A45+1</f>
        <v>28</v>
      </c>
      <c r="B46" s="489" t="s">
        <v>660</v>
      </c>
      <c r="C46" s="490"/>
      <c r="D46" s="483">
        <v>1</v>
      </c>
      <c r="E46" s="469" t="s">
        <v>627</v>
      </c>
      <c r="F46" s="472">
        <f>+F45</f>
        <v>0</v>
      </c>
      <c r="G46" s="491">
        <f>F46*D46</f>
        <v>0</v>
      </c>
      <c r="H46" s="492">
        <f>G46/H6</f>
        <v>0</v>
      </c>
    </row>
    <row r="47" spans="1:16" ht="15" x14ac:dyDescent="0.2">
      <c r="A47" s="469">
        <f>+A46+1</f>
        <v>29</v>
      </c>
      <c r="B47" s="489" t="s">
        <v>661</v>
      </c>
      <c r="C47" s="490"/>
      <c r="D47" s="483">
        <v>1</v>
      </c>
      <c r="E47" s="469" t="s">
        <v>627</v>
      </c>
      <c r="F47" s="472">
        <f>+F45</f>
        <v>0</v>
      </c>
      <c r="G47" s="491">
        <f>F47*D47</f>
        <v>0</v>
      </c>
      <c r="H47" s="492">
        <f>G47/H6</f>
        <v>0</v>
      </c>
    </row>
    <row r="48" spans="1:16" ht="15" x14ac:dyDescent="0.2">
      <c r="A48" s="469">
        <f>+A47+1</f>
        <v>30</v>
      </c>
      <c r="B48" s="489" t="s">
        <v>662</v>
      </c>
      <c r="C48" s="490"/>
      <c r="D48" s="483">
        <v>1</v>
      </c>
      <c r="E48" s="469" t="s">
        <v>627</v>
      </c>
      <c r="F48" s="472">
        <f>+F45</f>
        <v>0</v>
      </c>
      <c r="G48" s="491">
        <f>F48*D48</f>
        <v>0</v>
      </c>
      <c r="H48" s="492">
        <f>G48/H6</f>
        <v>0</v>
      </c>
      <c r="M48" s="465"/>
    </row>
    <row r="49" spans="1:16" ht="15" x14ac:dyDescent="0.2">
      <c r="A49" s="469">
        <f>+A48+1</f>
        <v>31</v>
      </c>
      <c r="B49" s="489" t="s">
        <v>663</v>
      </c>
      <c r="C49" s="490"/>
      <c r="D49" s="483">
        <v>1</v>
      </c>
      <c r="E49" s="469" t="s">
        <v>627</v>
      </c>
      <c r="F49" s="472">
        <f>+F45</f>
        <v>0</v>
      </c>
      <c r="G49" s="491">
        <f>F49*D49</f>
        <v>0</v>
      </c>
      <c r="H49" s="492">
        <f>G49/H6</f>
        <v>0</v>
      </c>
      <c r="I49" s="440"/>
      <c r="K49" s="441"/>
    </row>
    <row r="50" spans="1:16" ht="15" x14ac:dyDescent="0.2">
      <c r="A50" s="469"/>
      <c r="B50" s="494" t="s">
        <v>404</v>
      </c>
      <c r="C50" s="490" t="s">
        <v>664</v>
      </c>
      <c r="D50" s="483">
        <v>1</v>
      </c>
      <c r="E50" s="493" t="s">
        <v>617</v>
      </c>
      <c r="F50" s="472">
        <f>+G50/D50</f>
        <v>0</v>
      </c>
      <c r="G50" s="491">
        <v>0</v>
      </c>
      <c r="H50" s="495"/>
      <c r="I50" s="441"/>
      <c r="J50" s="441"/>
      <c r="K50" s="441"/>
      <c r="M50" s="441"/>
      <c r="N50" s="442"/>
      <c r="O50" s="442"/>
      <c r="P50" s="442"/>
    </row>
    <row r="51" spans="1:16" x14ac:dyDescent="0.2">
      <c r="I51" s="440"/>
      <c r="J51" s="443"/>
      <c r="K51" s="444"/>
      <c r="O51" s="442"/>
      <c r="P51" s="442"/>
    </row>
    <row r="52" spans="1:16" x14ac:dyDescent="0.2">
      <c r="I52" s="441"/>
      <c r="J52" s="441"/>
      <c r="K52" s="441"/>
      <c r="L52" s="441"/>
      <c r="M52" s="441"/>
    </row>
    <row r="53" spans="1:16" x14ac:dyDescent="0.2">
      <c r="F53" s="441" t="s">
        <v>665</v>
      </c>
      <c r="G53" s="497">
        <f>SUM(G10:G50)</f>
        <v>0</v>
      </c>
      <c r="H53" s="498">
        <f>SUM(H9:H50)</f>
        <v>0</v>
      </c>
    </row>
    <row r="54" spans="1:16" x14ac:dyDescent="0.2">
      <c r="F54" s="441" t="s">
        <v>665</v>
      </c>
      <c r="G54" s="499">
        <v>6923.85</v>
      </c>
      <c r="H54" s="450">
        <v>2355.0500000000002</v>
      </c>
    </row>
    <row r="55" spans="1:16" x14ac:dyDescent="0.2">
      <c r="F55" s="441" t="s">
        <v>666</v>
      </c>
      <c r="G55" s="497">
        <f>SUM(G9:G50)</f>
        <v>0</v>
      </c>
      <c r="H55" s="498">
        <f>SUM(H9:H50)</f>
        <v>0</v>
      </c>
    </row>
    <row r="56" spans="1:16" x14ac:dyDescent="0.2">
      <c r="F56" s="441" t="s">
        <v>666</v>
      </c>
      <c r="G56" s="499">
        <v>5818.36</v>
      </c>
      <c r="H56" s="450">
        <v>1979.03</v>
      </c>
    </row>
    <row r="57" spans="1:16" x14ac:dyDescent="0.2">
      <c r="F57" s="441" t="s">
        <v>667</v>
      </c>
      <c r="G57" s="442">
        <f>G54-G56</f>
        <v>1105.4900000000007</v>
      </c>
      <c r="H57" s="442">
        <f>H54-H56</f>
        <v>376.02000000000021</v>
      </c>
    </row>
    <row r="58" spans="1:16" x14ac:dyDescent="0.2">
      <c r="E58" s="440">
        <v>1.19</v>
      </c>
      <c r="F58" s="441" t="s">
        <v>668</v>
      </c>
      <c r="G58" s="499">
        <f>G56*E58</f>
        <v>6923.8483999999989</v>
      </c>
      <c r="H58" s="500">
        <f>H56*E58</f>
        <v>2355.0456999999997</v>
      </c>
    </row>
  </sheetData>
  <mergeCells count="29">
    <mergeCell ref="N11:N14"/>
    <mergeCell ref="O11:O14"/>
    <mergeCell ref="P11:P14"/>
    <mergeCell ref="I15:M15"/>
    <mergeCell ref="I23:M23"/>
    <mergeCell ref="I28:M28"/>
    <mergeCell ref="H14:H17"/>
    <mergeCell ref="I11:I14"/>
    <mergeCell ref="J11:J14"/>
    <mergeCell ref="K11:K14"/>
    <mergeCell ref="L11:L14"/>
    <mergeCell ref="M11:M14"/>
    <mergeCell ref="I6:M6"/>
    <mergeCell ref="C13:H13"/>
    <mergeCell ref="I10:M10"/>
    <mergeCell ref="A14:A17"/>
    <mergeCell ref="B14:B17"/>
    <mergeCell ref="C14:C17"/>
    <mergeCell ref="D14:D17"/>
    <mergeCell ref="E14:E17"/>
    <mergeCell ref="G14:G17"/>
    <mergeCell ref="C9:H9"/>
    <mergeCell ref="B1:H1"/>
    <mergeCell ref="A5:H5"/>
    <mergeCell ref="A6:B6"/>
    <mergeCell ref="A7:H7"/>
    <mergeCell ref="A2:H2"/>
    <mergeCell ref="A3:H3"/>
    <mergeCell ref="A4:H4"/>
  </mergeCells>
  <printOptions horizontalCentered="1"/>
  <pageMargins left="0" right="0" top="1.1811023622047245" bottom="0" header="0" footer="0"/>
  <pageSetup paperSize="9" scale="9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5"/>
  <sheetViews>
    <sheetView view="pageBreakPreview" zoomScale="90" zoomScaleNormal="90" zoomScaleSheetLayoutView="90" workbookViewId="0">
      <selection sqref="A1:F1"/>
    </sheetView>
  </sheetViews>
  <sheetFormatPr baseColWidth="10" defaultRowHeight="12.75" x14ac:dyDescent="0.2"/>
  <cols>
    <col min="1" max="1" width="4" style="440" bestFit="1" customWidth="1"/>
    <col min="2" max="2" width="41.85546875" style="440" bestFit="1" customWidth="1"/>
    <col min="3" max="3" width="11.85546875" style="440" bestFit="1" customWidth="1"/>
    <col min="4" max="4" width="6.28515625" style="440" bestFit="1" customWidth="1"/>
    <col min="5" max="5" width="14.140625" style="440" bestFit="1" customWidth="1"/>
    <col min="6" max="6" width="13.42578125" style="440" customWidth="1"/>
    <col min="7" max="7" width="11.42578125" style="440"/>
    <col min="8" max="8" width="11.5703125" style="440" bestFit="1" customWidth="1"/>
    <col min="9" max="9" width="9.42578125" style="440" bestFit="1" customWidth="1"/>
    <col min="10" max="10" width="8.7109375" style="440" bestFit="1" customWidth="1"/>
    <col min="11" max="11" width="11.42578125" style="440"/>
    <col min="12" max="12" width="5.5703125" style="440" bestFit="1" customWidth="1"/>
    <col min="13" max="16384" width="11.42578125" style="440"/>
  </cols>
  <sheetData>
    <row r="1" spans="1:6" ht="23.25" x14ac:dyDescent="0.2">
      <c r="A1" s="697" t="s">
        <v>776</v>
      </c>
      <c r="B1" s="697"/>
      <c r="C1" s="697"/>
      <c r="D1" s="697"/>
      <c r="E1" s="697"/>
      <c r="F1" s="697"/>
    </row>
    <row r="2" spans="1:6" ht="18.75" x14ac:dyDescent="0.2">
      <c r="A2" s="701" t="s">
        <v>793</v>
      </c>
      <c r="B2" s="702"/>
      <c r="C2" s="702"/>
      <c r="D2" s="702"/>
      <c r="E2" s="702"/>
      <c r="F2" s="703"/>
    </row>
    <row r="3" spans="1:6" ht="18.75" x14ac:dyDescent="0.2">
      <c r="A3" s="704" t="str">
        <f>+'[1]3insumo'!A3:H3</f>
        <v>PARA EL MANTENIMIENTO PREVENTIVO PROGRAMADO</v>
      </c>
      <c r="B3" s="705"/>
      <c r="C3" s="705"/>
      <c r="D3" s="705"/>
      <c r="E3" s="705"/>
      <c r="F3" s="706"/>
    </row>
    <row r="4" spans="1:6" ht="18.75" x14ac:dyDescent="0.2">
      <c r="A4" s="707" t="s">
        <v>669</v>
      </c>
      <c r="B4" s="708"/>
      <c r="C4" s="708"/>
      <c r="D4" s="708"/>
      <c r="E4" s="708"/>
      <c r="F4" s="709"/>
    </row>
    <row r="5" spans="1:6" ht="14.1" customHeight="1" x14ac:dyDescent="0.2">
      <c r="A5" s="698"/>
      <c r="B5" s="698"/>
      <c r="C5" s="698"/>
      <c r="D5" s="698"/>
      <c r="E5" s="698"/>
      <c r="F5" s="698"/>
    </row>
    <row r="6" spans="1:6" ht="14.1" customHeight="1" x14ac:dyDescent="0.2">
      <c r="A6" s="502" t="s">
        <v>211</v>
      </c>
      <c r="B6" s="502" t="s">
        <v>242</v>
      </c>
      <c r="C6" s="502" t="s">
        <v>196</v>
      </c>
      <c r="D6" s="502" t="s">
        <v>670</v>
      </c>
      <c r="E6" s="503" t="s">
        <v>671</v>
      </c>
      <c r="F6" s="502" t="s">
        <v>672</v>
      </c>
    </row>
    <row r="7" spans="1:6" ht="14.1" customHeight="1" x14ac:dyDescent="0.2">
      <c r="A7" s="502">
        <v>1</v>
      </c>
      <c r="B7" s="504" t="s">
        <v>673</v>
      </c>
      <c r="C7" s="502" t="s">
        <v>674</v>
      </c>
      <c r="D7" s="502">
        <v>1</v>
      </c>
      <c r="E7" s="502">
        <v>2</v>
      </c>
      <c r="F7" s="505">
        <v>208</v>
      </c>
    </row>
    <row r="8" spans="1:6" ht="14.1" customHeight="1" x14ac:dyDescent="0.2">
      <c r="A8" s="502">
        <v>2</v>
      </c>
      <c r="B8" s="504" t="s">
        <v>675</v>
      </c>
      <c r="C8" s="502" t="s">
        <v>676</v>
      </c>
      <c r="D8" s="502">
        <v>1</v>
      </c>
      <c r="E8" s="502">
        <v>2</v>
      </c>
      <c r="F8" s="505">
        <v>18.91</v>
      </c>
    </row>
    <row r="9" spans="1:6" ht="14.1" customHeight="1" x14ac:dyDescent="0.2">
      <c r="A9" s="502">
        <v>3</v>
      </c>
      <c r="B9" s="504" t="s">
        <v>677</v>
      </c>
      <c r="C9" s="502" t="s">
        <v>676</v>
      </c>
      <c r="D9" s="502">
        <v>3</v>
      </c>
      <c r="E9" s="502">
        <v>2</v>
      </c>
      <c r="F9" s="505">
        <v>53.73</v>
      </c>
    </row>
    <row r="10" spans="1:6" ht="14.1" customHeight="1" x14ac:dyDescent="0.2">
      <c r="A10" s="502">
        <v>4</v>
      </c>
      <c r="B10" s="504" t="s">
        <v>678</v>
      </c>
      <c r="C10" s="502" t="s">
        <v>674</v>
      </c>
      <c r="D10" s="502">
        <v>1</v>
      </c>
      <c r="E10" s="502">
        <v>4</v>
      </c>
      <c r="F10" s="505">
        <v>226.9</v>
      </c>
    </row>
    <row r="11" spans="1:6" ht="14.1" customHeight="1" x14ac:dyDescent="0.2">
      <c r="A11" s="502">
        <v>5</v>
      </c>
      <c r="B11" s="504" t="s">
        <v>679</v>
      </c>
      <c r="C11" s="699" t="s">
        <v>680</v>
      </c>
      <c r="D11" s="699">
        <v>1</v>
      </c>
      <c r="E11" s="699">
        <v>2</v>
      </c>
      <c r="F11" s="700">
        <v>54</v>
      </c>
    </row>
    <row r="12" spans="1:6" ht="14.1" customHeight="1" x14ac:dyDescent="0.2">
      <c r="A12" s="502">
        <v>6</v>
      </c>
      <c r="B12" s="504" t="s">
        <v>681</v>
      </c>
      <c r="C12" s="699"/>
      <c r="D12" s="699"/>
      <c r="E12" s="699"/>
      <c r="F12" s="700"/>
    </row>
    <row r="13" spans="1:6" ht="14.1" customHeight="1" x14ac:dyDescent="0.2">
      <c r="A13" s="502">
        <v>7</v>
      </c>
      <c r="B13" s="506" t="s">
        <v>682</v>
      </c>
      <c r="C13" s="699"/>
      <c r="D13" s="699"/>
      <c r="E13" s="699"/>
      <c r="F13" s="700"/>
    </row>
    <row r="14" spans="1:6" ht="14.1" customHeight="1" x14ac:dyDescent="0.2">
      <c r="A14" s="502">
        <v>8</v>
      </c>
      <c r="B14" s="506" t="s">
        <v>683</v>
      </c>
      <c r="C14" s="699"/>
      <c r="D14" s="699"/>
      <c r="E14" s="699"/>
      <c r="F14" s="700"/>
    </row>
    <row r="15" spans="1:6" ht="14.1" customHeight="1" x14ac:dyDescent="0.2">
      <c r="A15" s="502">
        <v>9</v>
      </c>
      <c r="B15" s="506" t="s">
        <v>684</v>
      </c>
      <c r="C15" s="699"/>
      <c r="D15" s="699"/>
      <c r="E15" s="699"/>
      <c r="F15" s="700"/>
    </row>
    <row r="16" spans="1:6" ht="14.1" customHeight="1" x14ac:dyDescent="0.2">
      <c r="A16" s="502">
        <v>10</v>
      </c>
      <c r="B16" s="506" t="s">
        <v>685</v>
      </c>
      <c r="C16" s="502" t="s">
        <v>179</v>
      </c>
      <c r="D16" s="502">
        <v>2</v>
      </c>
      <c r="E16" s="502">
        <v>2</v>
      </c>
      <c r="F16" s="505">
        <v>1.5</v>
      </c>
    </row>
    <row r="17" spans="1:6" ht="14.1" customHeight="1" x14ac:dyDescent="0.2">
      <c r="A17" s="502">
        <v>11</v>
      </c>
      <c r="B17" s="506" t="s">
        <v>686</v>
      </c>
      <c r="C17" s="502" t="s">
        <v>179</v>
      </c>
      <c r="D17" s="502">
        <v>2</v>
      </c>
      <c r="E17" s="502">
        <v>2</v>
      </c>
      <c r="F17" s="505">
        <v>2.5</v>
      </c>
    </row>
    <row r="18" spans="1:6" ht="14.1" customHeight="1" x14ac:dyDescent="0.2">
      <c r="A18" s="502">
        <v>12</v>
      </c>
      <c r="B18" s="506" t="s">
        <v>687</v>
      </c>
      <c r="C18" s="502" t="s">
        <v>179</v>
      </c>
      <c r="D18" s="502">
        <v>4</v>
      </c>
      <c r="E18" s="502">
        <v>2</v>
      </c>
      <c r="F18" s="505">
        <v>1</v>
      </c>
    </row>
    <row r="19" spans="1:6" ht="14.1" customHeight="1" x14ac:dyDescent="0.2">
      <c r="A19" s="502">
        <v>13</v>
      </c>
      <c r="B19" s="506" t="s">
        <v>688</v>
      </c>
      <c r="C19" s="502" t="s">
        <v>179</v>
      </c>
      <c r="D19" s="502">
        <v>4</v>
      </c>
      <c r="E19" s="502">
        <v>2</v>
      </c>
      <c r="F19" s="505">
        <v>1.5</v>
      </c>
    </row>
    <row r="20" spans="1:6" ht="14.1" customHeight="1" x14ac:dyDescent="0.2">
      <c r="A20" s="502">
        <v>14</v>
      </c>
      <c r="B20" s="506" t="s">
        <v>689</v>
      </c>
      <c r="C20" s="502" t="s">
        <v>179</v>
      </c>
      <c r="D20" s="502">
        <v>2</v>
      </c>
      <c r="E20" s="502">
        <v>2</v>
      </c>
      <c r="F20" s="505">
        <v>1.5</v>
      </c>
    </row>
    <row r="21" spans="1:6" ht="14.1" customHeight="1" x14ac:dyDescent="0.2">
      <c r="A21" s="502">
        <v>15</v>
      </c>
      <c r="B21" s="506" t="s">
        <v>690</v>
      </c>
      <c r="C21" s="502" t="s">
        <v>179</v>
      </c>
      <c r="D21" s="502">
        <v>2</v>
      </c>
      <c r="E21" s="502">
        <v>2</v>
      </c>
      <c r="F21" s="505">
        <v>2</v>
      </c>
    </row>
    <row r="22" spans="1:6" ht="14.1" customHeight="1" x14ac:dyDescent="0.2">
      <c r="A22" s="502">
        <v>16</v>
      </c>
      <c r="B22" s="506" t="s">
        <v>691</v>
      </c>
      <c r="C22" s="502" t="s">
        <v>179</v>
      </c>
      <c r="D22" s="502">
        <v>2</v>
      </c>
      <c r="E22" s="502">
        <v>2</v>
      </c>
      <c r="F22" s="505">
        <v>2</v>
      </c>
    </row>
    <row r="23" spans="1:6" ht="14.1" customHeight="1" x14ac:dyDescent="0.2">
      <c r="A23" s="502">
        <v>17</v>
      </c>
      <c r="B23" s="506" t="s">
        <v>692</v>
      </c>
      <c r="C23" s="502" t="s">
        <v>179</v>
      </c>
      <c r="D23" s="502">
        <v>2</v>
      </c>
      <c r="E23" s="502">
        <v>2</v>
      </c>
      <c r="F23" s="505">
        <v>0.5</v>
      </c>
    </row>
    <row r="24" spans="1:6" ht="14.1" customHeight="1" x14ac:dyDescent="0.2">
      <c r="A24" s="502">
        <v>18</v>
      </c>
      <c r="B24" s="506" t="s">
        <v>693</v>
      </c>
      <c r="C24" s="502" t="s">
        <v>179</v>
      </c>
      <c r="D24" s="502">
        <v>4</v>
      </c>
      <c r="E24" s="502">
        <v>2</v>
      </c>
      <c r="F24" s="505">
        <v>1.5</v>
      </c>
    </row>
    <row r="25" spans="1:6" ht="14.1" customHeight="1" x14ac:dyDescent="0.2">
      <c r="A25" s="502">
        <v>19</v>
      </c>
      <c r="B25" s="504" t="s">
        <v>655</v>
      </c>
      <c r="C25" s="502" t="s">
        <v>676</v>
      </c>
      <c r="D25" s="502">
        <v>1</v>
      </c>
      <c r="E25" s="502">
        <v>2</v>
      </c>
      <c r="F25" s="505">
        <v>18</v>
      </c>
    </row>
    <row r="26" spans="1:6" ht="14.1" customHeight="1" x14ac:dyDescent="0.2">
      <c r="A26" s="502">
        <v>20</v>
      </c>
      <c r="B26" s="504" t="s">
        <v>694</v>
      </c>
      <c r="C26" s="502" t="s">
        <v>179</v>
      </c>
      <c r="D26" s="502">
        <v>1</v>
      </c>
      <c r="E26" s="502">
        <v>5</v>
      </c>
      <c r="F26" s="505">
        <v>1</v>
      </c>
    </row>
    <row r="27" spans="1:6" ht="14.1" customHeight="1" x14ac:dyDescent="0.2">
      <c r="A27" s="502">
        <v>21</v>
      </c>
      <c r="B27" s="504" t="s">
        <v>695</v>
      </c>
      <c r="C27" s="502" t="s">
        <v>179</v>
      </c>
      <c r="D27" s="502">
        <v>2</v>
      </c>
      <c r="E27" s="502">
        <v>5</v>
      </c>
      <c r="F27" s="505">
        <v>50</v>
      </c>
    </row>
    <row r="28" spans="1:6" ht="14.1" customHeight="1" x14ac:dyDescent="0.2">
      <c r="A28" s="502">
        <v>22</v>
      </c>
      <c r="B28" s="507" t="s">
        <v>696</v>
      </c>
      <c r="C28" s="502" t="s">
        <v>179</v>
      </c>
      <c r="D28" s="502">
        <v>6</v>
      </c>
      <c r="E28" s="502">
        <v>7</v>
      </c>
      <c r="F28" s="505">
        <v>150</v>
      </c>
    </row>
    <row r="29" spans="1:6" ht="14.1" customHeight="1" x14ac:dyDescent="0.2">
      <c r="A29" s="502">
        <v>23</v>
      </c>
      <c r="B29" s="507" t="s">
        <v>697</v>
      </c>
      <c r="C29" s="502" t="s">
        <v>179</v>
      </c>
      <c r="D29" s="502">
        <v>96</v>
      </c>
      <c r="E29" s="502">
        <v>7</v>
      </c>
      <c r="F29" s="508">
        <v>3840</v>
      </c>
    </row>
    <row r="30" spans="1:6" ht="14.1" customHeight="1" x14ac:dyDescent="0.2">
      <c r="A30" s="502">
        <v>24</v>
      </c>
      <c r="B30" s="507" t="s">
        <v>698</v>
      </c>
      <c r="C30" s="502" t="s">
        <v>179</v>
      </c>
      <c r="D30" s="502">
        <v>6</v>
      </c>
      <c r="E30" s="502">
        <v>7</v>
      </c>
      <c r="F30" s="505">
        <v>72</v>
      </c>
    </row>
    <row r="31" spans="1:6" ht="14.1" customHeight="1" x14ac:dyDescent="0.2">
      <c r="A31" s="502">
        <v>25</v>
      </c>
      <c r="B31" s="507" t="s">
        <v>699</v>
      </c>
      <c r="C31" s="502" t="s">
        <v>179</v>
      </c>
      <c r="D31" s="502">
        <v>2</v>
      </c>
      <c r="E31" s="502">
        <v>7</v>
      </c>
      <c r="F31" s="505">
        <v>140</v>
      </c>
    </row>
    <row r="32" spans="1:6" ht="13.5" customHeight="1" x14ac:dyDescent="0.2">
      <c r="A32" s="502">
        <v>26</v>
      </c>
      <c r="B32" s="507" t="s">
        <v>700</v>
      </c>
      <c r="C32" s="502" t="s">
        <v>179</v>
      </c>
      <c r="D32" s="502">
        <v>16</v>
      </c>
      <c r="E32" s="502">
        <v>7</v>
      </c>
      <c r="F32" s="505">
        <v>115.2</v>
      </c>
    </row>
    <row r="33" spans="1:12" ht="14.1" customHeight="1" x14ac:dyDescent="0.25">
      <c r="A33" s="712"/>
      <c r="B33" s="712"/>
      <c r="D33" s="713" t="s">
        <v>701</v>
      </c>
      <c r="E33" s="714"/>
      <c r="F33" s="509">
        <f>SUM(F7:F32)</f>
        <v>4961.74</v>
      </c>
    </row>
    <row r="34" spans="1:12" ht="14.1" customHeight="1" x14ac:dyDescent="0.2">
      <c r="A34" s="501"/>
      <c r="B34" s="501"/>
      <c r="C34" s="501"/>
      <c r="D34" s="501"/>
      <c r="E34" s="501"/>
      <c r="F34" s="501"/>
    </row>
    <row r="35" spans="1:12" ht="14.1" customHeight="1" x14ac:dyDescent="0.2">
      <c r="A35" s="715" t="s">
        <v>702</v>
      </c>
      <c r="B35" s="715"/>
      <c r="C35" s="715"/>
      <c r="D35" s="715"/>
      <c r="E35" s="715"/>
      <c r="F35" s="715"/>
    </row>
    <row r="36" spans="1:12" ht="14.1" customHeight="1" x14ac:dyDescent="0.2">
      <c r="A36" s="510" t="s">
        <v>211</v>
      </c>
      <c r="B36" s="510" t="s">
        <v>213</v>
      </c>
      <c r="C36" s="510" t="s">
        <v>703</v>
      </c>
      <c r="D36" s="716" t="s">
        <v>704</v>
      </c>
      <c r="E36" s="716"/>
      <c r="F36" s="510" t="s">
        <v>215</v>
      </c>
    </row>
    <row r="37" spans="1:12" ht="14.1" customHeight="1" x14ac:dyDescent="0.2">
      <c r="A37" s="511">
        <v>1</v>
      </c>
      <c r="B37" s="512" t="s">
        <v>705</v>
      </c>
      <c r="C37" s="511">
        <v>1200</v>
      </c>
      <c r="D37" s="716">
        <v>328.64</v>
      </c>
      <c r="E37" s="716"/>
      <c r="F37" s="513">
        <f>D37*A45</f>
        <v>0</v>
      </c>
      <c r="I37" s="443"/>
      <c r="K37" s="516"/>
    </row>
    <row r="38" spans="1:12" ht="14.1" customHeight="1" x14ac:dyDescent="0.2">
      <c r="A38" s="511">
        <v>2</v>
      </c>
      <c r="B38" s="512" t="s">
        <v>706</v>
      </c>
      <c r="C38" s="511">
        <v>2400</v>
      </c>
      <c r="D38" s="716">
        <v>606.54</v>
      </c>
      <c r="E38" s="716"/>
      <c r="F38" s="514">
        <f>D38*A45</f>
        <v>0</v>
      </c>
      <c r="H38" s="516"/>
      <c r="I38" s="443"/>
      <c r="K38" s="450"/>
    </row>
    <row r="39" spans="1:12" ht="14.1" customHeight="1" x14ac:dyDescent="0.2">
      <c r="A39" s="511">
        <v>3</v>
      </c>
      <c r="B39" s="512" t="s">
        <v>707</v>
      </c>
      <c r="C39" s="511">
        <v>4200</v>
      </c>
      <c r="D39" s="716">
        <v>4317.2</v>
      </c>
      <c r="E39" s="716"/>
      <c r="F39" s="515">
        <f>D39*A45</f>
        <v>0</v>
      </c>
      <c r="H39" s="522"/>
      <c r="I39" s="710"/>
      <c r="J39" s="710"/>
    </row>
    <row r="40" spans="1:12" ht="14.1" customHeight="1" x14ac:dyDescent="0.2">
      <c r="A40" s="718"/>
      <c r="B40" s="718"/>
      <c r="C40" s="718"/>
      <c r="D40" s="719"/>
      <c r="E40" s="517" t="s">
        <v>708</v>
      </c>
      <c r="F40" s="518">
        <f>SUM(F37:F39)</f>
        <v>0</v>
      </c>
    </row>
    <row r="41" spans="1:12" ht="14.1" customHeight="1" x14ac:dyDescent="0.2">
      <c r="A41" s="720" t="s">
        <v>709</v>
      </c>
      <c r="B41" s="720"/>
      <c r="C41" s="496"/>
      <c r="D41" s="519"/>
      <c r="E41" s="520" t="s">
        <v>710</v>
      </c>
      <c r="F41" s="521" t="s">
        <v>711</v>
      </c>
      <c r="H41" s="450"/>
      <c r="I41" s="450"/>
      <c r="J41" s="450"/>
      <c r="K41" s="516"/>
      <c r="L41" s="440">
        <v>1.19</v>
      </c>
    </row>
    <row r="42" spans="1:12" ht="14.1" customHeight="1" x14ac:dyDescent="0.2">
      <c r="A42" s="711" t="s">
        <v>712</v>
      </c>
      <c r="B42" s="711"/>
      <c r="C42" s="496"/>
      <c r="D42" s="519"/>
      <c r="E42" s="523" t="s">
        <v>713</v>
      </c>
      <c r="F42" s="524">
        <f>(9000/F49)*A45</f>
        <v>0</v>
      </c>
      <c r="H42" s="450"/>
      <c r="I42" s="450"/>
      <c r="J42" s="450"/>
    </row>
    <row r="43" spans="1:12" ht="14.1" customHeight="1" x14ac:dyDescent="0.2">
      <c r="A43" s="711" t="s">
        <v>714</v>
      </c>
      <c r="B43" s="711"/>
      <c r="H43" s="450"/>
      <c r="I43" s="450"/>
      <c r="J43" s="450"/>
    </row>
    <row r="44" spans="1:12" ht="14.1" customHeight="1" x14ac:dyDescent="0.2">
      <c r="A44" s="711" t="s">
        <v>715</v>
      </c>
      <c r="B44" s="711"/>
      <c r="C44" s="525" t="s">
        <v>703</v>
      </c>
      <c r="D44" s="525" t="s">
        <v>171</v>
      </c>
      <c r="E44" s="525" t="s">
        <v>716</v>
      </c>
      <c r="F44" s="525" t="s">
        <v>717</v>
      </c>
      <c r="H44" s="450"/>
      <c r="J44" s="450"/>
    </row>
    <row r="45" spans="1:12" ht="14.1" customHeight="1" x14ac:dyDescent="0.2">
      <c r="A45" s="717">
        <f>+I40</f>
        <v>0</v>
      </c>
      <c r="B45" s="717"/>
      <c r="C45" s="526">
        <v>6000</v>
      </c>
      <c r="D45" s="527">
        <v>2</v>
      </c>
      <c r="E45" s="527">
        <v>1</v>
      </c>
      <c r="F45" s="528">
        <f>+D37</f>
        <v>328.64</v>
      </c>
      <c r="H45" s="450"/>
      <c r="I45" s="450"/>
      <c r="J45" s="450"/>
    </row>
    <row r="46" spans="1:12" ht="14.1" customHeight="1" x14ac:dyDescent="0.2">
      <c r="C46" s="526">
        <v>7200</v>
      </c>
      <c r="D46" s="527">
        <v>4</v>
      </c>
      <c r="E46" s="527">
        <v>2</v>
      </c>
      <c r="F46" s="528">
        <f>+D38</f>
        <v>606.54</v>
      </c>
    </row>
    <row r="47" spans="1:12" ht="14.1" customHeight="1" x14ac:dyDescent="0.2">
      <c r="C47" s="526">
        <v>8400</v>
      </c>
      <c r="D47" s="527">
        <v>6</v>
      </c>
      <c r="E47" s="527">
        <v>1</v>
      </c>
      <c r="F47" s="528">
        <f>+D37</f>
        <v>328.64</v>
      </c>
    </row>
    <row r="48" spans="1:12" ht="14.1" customHeight="1" thickBot="1" x14ac:dyDescent="0.25">
      <c r="C48" s="526">
        <v>9000</v>
      </c>
      <c r="D48" s="527">
        <v>7</v>
      </c>
      <c r="E48" s="527" t="s">
        <v>718</v>
      </c>
      <c r="F48" s="529">
        <f>+D39+D37</f>
        <v>4645.84</v>
      </c>
    </row>
    <row r="49" spans="3:6" ht="14.1" customHeight="1" thickTop="1" x14ac:dyDescent="0.2">
      <c r="C49" s="530">
        <v>9600</v>
      </c>
      <c r="D49" s="531">
        <v>8</v>
      </c>
      <c r="E49" s="532">
        <v>2</v>
      </c>
      <c r="F49" s="533">
        <f>SUM(F45:F48)</f>
        <v>5909.66</v>
      </c>
    </row>
    <row r="50" spans="3:6" ht="14.1" customHeight="1" thickBot="1" x14ac:dyDescent="0.25">
      <c r="C50" s="530">
        <v>10800</v>
      </c>
      <c r="D50" s="531">
        <v>10</v>
      </c>
      <c r="E50" s="532">
        <v>1</v>
      </c>
      <c r="F50" s="534" t="s">
        <v>719</v>
      </c>
    </row>
    <row r="51" spans="3:6" ht="14.1" customHeight="1" thickTop="1" x14ac:dyDescent="0.2">
      <c r="C51" s="530">
        <v>12000</v>
      </c>
      <c r="D51" s="531">
        <v>12</v>
      </c>
      <c r="E51" s="531">
        <v>2</v>
      </c>
    </row>
    <row r="52" spans="3:6" ht="14.1" customHeight="1" x14ac:dyDescent="0.2">
      <c r="C52" s="530">
        <v>13200</v>
      </c>
      <c r="D52" s="531">
        <v>14</v>
      </c>
      <c r="E52" s="531" t="s">
        <v>718</v>
      </c>
    </row>
    <row r="53" spans="3:6" ht="14.1" customHeight="1" x14ac:dyDescent="0.2">
      <c r="C53" s="530">
        <v>14400</v>
      </c>
      <c r="D53" s="531">
        <v>16</v>
      </c>
      <c r="E53" s="531">
        <v>2</v>
      </c>
    </row>
    <row r="54" spans="3:6" ht="14.1" customHeight="1" x14ac:dyDescent="0.2">
      <c r="C54" s="530">
        <v>15600</v>
      </c>
      <c r="D54" s="531">
        <v>18</v>
      </c>
      <c r="E54" s="531">
        <v>1</v>
      </c>
    </row>
    <row r="55" spans="3:6" ht="14.1" customHeight="1" x14ac:dyDescent="0.2">
      <c r="C55" s="530">
        <v>16800</v>
      </c>
      <c r="D55" s="531">
        <v>20</v>
      </c>
      <c r="E55" s="531">
        <v>2</v>
      </c>
    </row>
    <row r="56" spans="3:6" ht="14.1" customHeight="1" x14ac:dyDescent="0.2">
      <c r="C56" s="530">
        <v>17400</v>
      </c>
      <c r="D56" s="531">
        <v>21</v>
      </c>
      <c r="E56" s="531" t="s">
        <v>718</v>
      </c>
    </row>
    <row r="57" spans="3:6" ht="14.1" customHeight="1" x14ac:dyDescent="0.2"/>
    <row r="58" spans="3:6" ht="14.1" customHeight="1" x14ac:dyDescent="0.2"/>
    <row r="59" spans="3:6" ht="14.1" customHeight="1" x14ac:dyDescent="0.2"/>
    <row r="60" spans="3:6" ht="14.1" customHeight="1" x14ac:dyDescent="0.2"/>
    <row r="61" spans="3:6" ht="14.1" customHeight="1" x14ac:dyDescent="0.2"/>
    <row r="62" spans="3:6" ht="14.1" customHeight="1" x14ac:dyDescent="0.2"/>
    <row r="63" spans="3:6" ht="14.1" customHeight="1" x14ac:dyDescent="0.2"/>
    <row r="64" spans="3:6" ht="14.1" customHeight="1" x14ac:dyDescent="0.2"/>
    <row r="65" ht="14.1" customHeight="1" x14ac:dyDescent="0.2"/>
  </sheetData>
  <mergeCells count="23">
    <mergeCell ref="A44:B44"/>
    <mergeCell ref="A45:B45"/>
    <mergeCell ref="D39:E39"/>
    <mergeCell ref="A40:D40"/>
    <mergeCell ref="A41:B41"/>
    <mergeCell ref="I39:J39"/>
    <mergeCell ref="A42:B42"/>
    <mergeCell ref="A43:B43"/>
    <mergeCell ref="A33:B33"/>
    <mergeCell ref="D33:E33"/>
    <mergeCell ref="A35:F35"/>
    <mergeCell ref="D36:E36"/>
    <mergeCell ref="D37:E37"/>
    <mergeCell ref="D38:E38"/>
    <mergeCell ref="A1:F1"/>
    <mergeCell ref="A5:F5"/>
    <mergeCell ref="C11:C15"/>
    <mergeCell ref="D11:D15"/>
    <mergeCell ref="E11:E15"/>
    <mergeCell ref="F11:F15"/>
    <mergeCell ref="A2:F2"/>
    <mergeCell ref="A3:F3"/>
    <mergeCell ref="A4:F4"/>
  </mergeCells>
  <printOptions horizontalCentered="1"/>
  <pageMargins left="0" right="0" top="0.19685039370078741" bottom="0" header="0" footer="0"/>
  <pageSetup paperSize="9" scale="97"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zoomScaleNormal="100" zoomScaleSheetLayoutView="100" workbookViewId="0">
      <selection sqref="A1:I1"/>
    </sheetView>
  </sheetViews>
  <sheetFormatPr baseColWidth="10" defaultRowHeight="15" x14ac:dyDescent="0.25"/>
  <cols>
    <col min="1" max="1" width="4.42578125" bestFit="1" customWidth="1"/>
    <col min="2" max="2" width="27" customWidth="1"/>
    <col min="4" max="4" width="8.28515625" bestFit="1" customWidth="1"/>
    <col min="5" max="5" width="10" bestFit="1" customWidth="1"/>
    <col min="7" max="7" width="9.140625" bestFit="1" customWidth="1"/>
    <col min="8" max="8" width="10.28515625" customWidth="1"/>
    <col min="9" max="9" width="10" customWidth="1"/>
  </cols>
  <sheetData>
    <row r="1" spans="1:12" ht="23.25" x14ac:dyDescent="0.25">
      <c r="A1" s="739" t="s">
        <v>421</v>
      </c>
      <c r="B1" s="739"/>
      <c r="C1" s="739"/>
      <c r="D1" s="739"/>
      <c r="E1" s="739"/>
      <c r="F1" s="739"/>
      <c r="G1" s="739"/>
      <c r="H1" s="739"/>
      <c r="I1" s="739"/>
    </row>
    <row r="3" spans="1:12" ht="18.75" x14ac:dyDescent="0.25">
      <c r="A3" s="740" t="s">
        <v>527</v>
      </c>
      <c r="B3" s="741"/>
      <c r="C3" s="741"/>
      <c r="D3" s="741"/>
      <c r="E3" s="741"/>
      <c r="F3" s="741"/>
      <c r="G3" s="741"/>
      <c r="H3" s="741"/>
      <c r="I3" s="742"/>
    </row>
    <row r="4" spans="1:12" ht="18.75" x14ac:dyDescent="0.25">
      <c r="A4" s="754"/>
      <c r="B4" s="754"/>
      <c r="C4" s="754"/>
      <c r="D4" s="754"/>
      <c r="E4" s="754"/>
      <c r="F4" s="754"/>
      <c r="G4" s="754"/>
      <c r="H4" s="754"/>
      <c r="I4" s="754"/>
    </row>
    <row r="5" spans="1:12" x14ac:dyDescent="0.25">
      <c r="A5" s="315" t="s">
        <v>528</v>
      </c>
      <c r="B5" s="250" t="s">
        <v>422</v>
      </c>
      <c r="C5" s="249" t="s">
        <v>287</v>
      </c>
      <c r="D5" s="250" t="s">
        <v>423</v>
      </c>
      <c r="E5" s="250" t="s">
        <v>250</v>
      </c>
      <c r="F5" s="250" t="s">
        <v>282</v>
      </c>
      <c r="G5" s="251" t="s">
        <v>251</v>
      </c>
      <c r="H5" s="321" t="s">
        <v>424</v>
      </c>
      <c r="I5" s="321" t="s">
        <v>425</v>
      </c>
      <c r="K5" s="738"/>
      <c r="L5" s="738"/>
    </row>
    <row r="6" spans="1:12" x14ac:dyDescent="0.25">
      <c r="A6" s="316">
        <f>+'2Maq'!B8</f>
        <v>10</v>
      </c>
      <c r="B6" s="252">
        <f>C6/2</f>
        <v>2500</v>
      </c>
      <c r="C6" s="252">
        <f>F6*G6*D6</f>
        <v>5000</v>
      </c>
      <c r="D6" s="250">
        <f>+'6SueAct'!E7</f>
        <v>10</v>
      </c>
      <c r="E6" s="250">
        <f>F6*G6</f>
        <v>500</v>
      </c>
      <c r="F6" s="250">
        <f>+'6SueAct'!G7</f>
        <v>25</v>
      </c>
      <c r="G6" s="253">
        <v>20</v>
      </c>
      <c r="H6" s="322">
        <f>+'1Planilla'!K54+'1Planilla'!K61</f>
        <v>0</v>
      </c>
      <c r="I6" s="322">
        <f>+'1Planilla'!K30+'1Planilla'!K43</f>
        <v>0</v>
      </c>
      <c r="K6" s="320"/>
    </row>
    <row r="7" spans="1:12" x14ac:dyDescent="0.25">
      <c r="A7" s="743"/>
      <c r="B7" s="743"/>
      <c r="C7" s="743"/>
      <c r="D7" s="743"/>
      <c r="E7" s="743"/>
      <c r="F7" s="743"/>
      <c r="G7" s="743"/>
      <c r="H7" s="743"/>
      <c r="I7" s="743"/>
    </row>
    <row r="8" spans="1:12" x14ac:dyDescent="0.25">
      <c r="A8" s="744" t="s">
        <v>370</v>
      </c>
      <c r="B8" s="746" t="s">
        <v>3</v>
      </c>
      <c r="C8" s="748" t="s">
        <v>369</v>
      </c>
      <c r="D8" s="744" t="s">
        <v>238</v>
      </c>
      <c r="E8" s="744" t="s">
        <v>388</v>
      </c>
      <c r="F8" s="254" t="s">
        <v>426</v>
      </c>
      <c r="G8" s="254" t="s">
        <v>427</v>
      </c>
      <c r="H8" s="750" t="s">
        <v>428</v>
      </c>
      <c r="I8" s="752" t="s">
        <v>8</v>
      </c>
    </row>
    <row r="9" spans="1:12" ht="15.75" thickBot="1" x14ac:dyDescent="0.3">
      <c r="A9" s="745"/>
      <c r="B9" s="747"/>
      <c r="C9" s="749"/>
      <c r="D9" s="745"/>
      <c r="E9" s="745"/>
      <c r="F9" s="255" t="s">
        <v>429</v>
      </c>
      <c r="G9" s="255" t="s">
        <v>430</v>
      </c>
      <c r="H9" s="751"/>
      <c r="I9" s="753"/>
    </row>
    <row r="10" spans="1:12" ht="15.75" thickTop="1" x14ac:dyDescent="0.25">
      <c r="A10" s="721">
        <v>5.0999999999999996</v>
      </c>
      <c r="B10" s="724" t="s">
        <v>431</v>
      </c>
      <c r="C10" s="724"/>
      <c r="D10" s="724"/>
      <c r="E10" s="724"/>
      <c r="F10" s="725" t="s">
        <v>432</v>
      </c>
      <c r="G10" s="725"/>
      <c r="H10" s="725"/>
      <c r="I10" s="318">
        <f>SUM(I11:I21)/'2Maq'!B8</f>
        <v>1.6000000000000001E-3</v>
      </c>
    </row>
    <row r="11" spans="1:12" x14ac:dyDescent="0.25">
      <c r="A11" s="722"/>
      <c r="B11" s="200" t="s">
        <v>88</v>
      </c>
      <c r="C11" s="734" t="s">
        <v>89</v>
      </c>
      <c r="D11" s="160">
        <f>+$I$6</f>
        <v>0</v>
      </c>
      <c r="E11" s="160" t="s">
        <v>172</v>
      </c>
      <c r="F11" s="313">
        <f t="shared" ref="F11:F20" si="0">$B$6</f>
        <v>2500</v>
      </c>
      <c r="G11" s="256">
        <f t="shared" ref="G11:G20" si="1">D11/F11</f>
        <v>0</v>
      </c>
      <c r="H11" s="197">
        <v>33.61</v>
      </c>
      <c r="I11" s="256">
        <f t="shared" ref="I11:I21" si="2">G11*H11</f>
        <v>0</v>
      </c>
    </row>
    <row r="12" spans="1:12" x14ac:dyDescent="0.25">
      <c r="A12" s="722"/>
      <c r="B12" s="200" t="s">
        <v>91</v>
      </c>
      <c r="C12" s="722"/>
      <c r="D12" s="160">
        <f t="shared" ref="D12:D14" si="3">+$I$6</f>
        <v>0</v>
      </c>
      <c r="E12" s="160" t="s">
        <v>172</v>
      </c>
      <c r="F12" s="313">
        <f t="shared" si="0"/>
        <v>2500</v>
      </c>
      <c r="G12" s="256">
        <f t="shared" si="1"/>
        <v>0</v>
      </c>
      <c r="H12" s="197">
        <v>79.83</v>
      </c>
      <c r="I12" s="256">
        <f t="shared" si="2"/>
        <v>0</v>
      </c>
    </row>
    <row r="13" spans="1:12" x14ac:dyDescent="0.25">
      <c r="A13" s="722"/>
      <c r="B13" s="200" t="s">
        <v>92</v>
      </c>
      <c r="C13" s="722"/>
      <c r="D13" s="160">
        <f t="shared" si="3"/>
        <v>0</v>
      </c>
      <c r="E13" s="160" t="s">
        <v>172</v>
      </c>
      <c r="F13" s="313">
        <f t="shared" si="0"/>
        <v>2500</v>
      </c>
      <c r="G13" s="256">
        <f t="shared" si="1"/>
        <v>0</v>
      </c>
      <c r="H13" s="197">
        <v>12.61</v>
      </c>
      <c r="I13" s="256">
        <f t="shared" si="2"/>
        <v>0</v>
      </c>
    </row>
    <row r="14" spans="1:12" x14ac:dyDescent="0.25">
      <c r="A14" s="722"/>
      <c r="B14" s="200" t="s">
        <v>94</v>
      </c>
      <c r="C14" s="722"/>
      <c r="D14" s="160">
        <f t="shared" si="3"/>
        <v>0</v>
      </c>
      <c r="E14" s="160" t="s">
        <v>172</v>
      </c>
      <c r="F14" s="313">
        <f t="shared" si="0"/>
        <v>2500</v>
      </c>
      <c r="G14" s="256">
        <f t="shared" si="1"/>
        <v>0</v>
      </c>
      <c r="H14" s="197">
        <v>12.61</v>
      </c>
      <c r="I14" s="256">
        <f t="shared" si="2"/>
        <v>0</v>
      </c>
    </row>
    <row r="15" spans="1:12" x14ac:dyDescent="0.25">
      <c r="A15" s="722"/>
      <c r="B15" s="200" t="s">
        <v>95</v>
      </c>
      <c r="C15" s="722"/>
      <c r="D15" s="160">
        <f>+$I$6</f>
        <v>0</v>
      </c>
      <c r="E15" s="160" t="s">
        <v>172</v>
      </c>
      <c r="F15" s="313">
        <f t="shared" si="0"/>
        <v>2500</v>
      </c>
      <c r="G15" s="256">
        <f t="shared" si="1"/>
        <v>0</v>
      </c>
      <c r="H15" s="197">
        <v>9.66</v>
      </c>
      <c r="I15" s="256">
        <f t="shared" si="2"/>
        <v>0</v>
      </c>
    </row>
    <row r="16" spans="1:12" x14ac:dyDescent="0.25">
      <c r="A16" s="722"/>
      <c r="B16" s="200" t="s">
        <v>97</v>
      </c>
      <c r="C16" s="722"/>
      <c r="D16" s="160">
        <v>0</v>
      </c>
      <c r="E16" s="160" t="s">
        <v>172</v>
      </c>
      <c r="F16" s="313">
        <f t="shared" si="0"/>
        <v>2500</v>
      </c>
      <c r="G16" s="256">
        <f t="shared" si="1"/>
        <v>0</v>
      </c>
      <c r="H16" s="197">
        <v>9.66</v>
      </c>
      <c r="I16" s="256">
        <f t="shared" si="2"/>
        <v>0</v>
      </c>
    </row>
    <row r="17" spans="1:9" ht="25.5" x14ac:dyDescent="0.25">
      <c r="A17" s="722"/>
      <c r="B17" s="257" t="s">
        <v>98</v>
      </c>
      <c r="C17" s="722"/>
      <c r="D17" s="160">
        <v>1</v>
      </c>
      <c r="E17" s="160" t="s">
        <v>172</v>
      </c>
      <c r="F17" s="313">
        <f t="shared" si="0"/>
        <v>2500</v>
      </c>
      <c r="G17" s="258">
        <f t="shared" si="1"/>
        <v>4.0000000000000002E-4</v>
      </c>
      <c r="H17" s="213">
        <v>40</v>
      </c>
      <c r="I17" s="258">
        <f t="shared" si="2"/>
        <v>1.6E-2</v>
      </c>
    </row>
    <row r="18" spans="1:9" x14ac:dyDescent="0.25">
      <c r="A18" s="722"/>
      <c r="B18" s="200" t="s">
        <v>100</v>
      </c>
      <c r="C18" s="722"/>
      <c r="D18" s="160">
        <f>+$I$6</f>
        <v>0</v>
      </c>
      <c r="E18" s="160" t="s">
        <v>172</v>
      </c>
      <c r="F18" s="313">
        <f t="shared" si="0"/>
        <v>2500</v>
      </c>
      <c r="G18" s="256">
        <f t="shared" si="1"/>
        <v>0</v>
      </c>
      <c r="H18" s="197">
        <v>25.21</v>
      </c>
      <c r="I18" s="256">
        <f t="shared" si="2"/>
        <v>0</v>
      </c>
    </row>
    <row r="19" spans="1:9" x14ac:dyDescent="0.25">
      <c r="A19" s="722"/>
      <c r="B19" s="200" t="s">
        <v>101</v>
      </c>
      <c r="C19" s="722"/>
      <c r="D19" s="160">
        <f>SUM('1Planilla'!J34:J37)</f>
        <v>0</v>
      </c>
      <c r="E19" s="160" t="s">
        <v>172</v>
      </c>
      <c r="F19" s="313">
        <f t="shared" si="0"/>
        <v>2500</v>
      </c>
      <c r="G19" s="256">
        <f t="shared" si="1"/>
        <v>0</v>
      </c>
      <c r="H19" s="197">
        <v>117.65</v>
      </c>
      <c r="I19" s="256">
        <f t="shared" si="2"/>
        <v>0</v>
      </c>
    </row>
    <row r="20" spans="1:9" ht="25.5" x14ac:dyDescent="0.25">
      <c r="A20" s="722"/>
      <c r="B20" s="257" t="s">
        <v>102</v>
      </c>
      <c r="C20" s="722"/>
      <c r="D20" s="160">
        <f>+$I$6</f>
        <v>0</v>
      </c>
      <c r="E20" s="160" t="s">
        <v>172</v>
      </c>
      <c r="F20" s="313">
        <f t="shared" si="0"/>
        <v>2500</v>
      </c>
      <c r="G20" s="258">
        <f t="shared" si="1"/>
        <v>0</v>
      </c>
      <c r="H20" s="213">
        <v>46.22</v>
      </c>
      <c r="I20" s="258">
        <f t="shared" si="2"/>
        <v>0</v>
      </c>
    </row>
    <row r="21" spans="1:9" ht="15.75" thickBot="1" x14ac:dyDescent="0.3">
      <c r="A21" s="723"/>
      <c r="B21" s="259" t="s">
        <v>103</v>
      </c>
      <c r="C21" s="723"/>
      <c r="D21" s="160">
        <f>+$I$6</f>
        <v>0</v>
      </c>
      <c r="E21" s="260" t="s">
        <v>172</v>
      </c>
      <c r="F21" s="314">
        <v>500</v>
      </c>
      <c r="G21" s="261">
        <f>D21/F21</f>
        <v>0</v>
      </c>
      <c r="H21" s="262">
        <v>3</v>
      </c>
      <c r="I21" s="261">
        <f t="shared" si="2"/>
        <v>0</v>
      </c>
    </row>
    <row r="22" spans="1:9" ht="16.5" thickTop="1" thickBot="1" x14ac:dyDescent="0.3">
      <c r="A22" s="726">
        <v>5.2</v>
      </c>
      <c r="B22" s="729" t="s">
        <v>273</v>
      </c>
      <c r="C22" s="730"/>
      <c r="D22" s="730"/>
      <c r="E22" s="730"/>
      <c r="F22" s="731" t="s">
        <v>432</v>
      </c>
      <c r="G22" s="732"/>
      <c r="H22" s="733"/>
      <c r="I22" s="319">
        <f>SUM(I23:I42)/'2Maq'!B8</f>
        <v>1.99744E-2</v>
      </c>
    </row>
    <row r="23" spans="1:9" ht="15.75" thickTop="1" x14ac:dyDescent="0.25">
      <c r="A23" s="727"/>
      <c r="B23" s="192" t="s">
        <v>88</v>
      </c>
      <c r="C23" s="735" t="s">
        <v>89</v>
      </c>
      <c r="D23" s="263">
        <f>+$H$6</f>
        <v>0</v>
      </c>
      <c r="E23" s="160" t="s">
        <v>172</v>
      </c>
      <c r="F23" s="160">
        <f t="shared" ref="F23:F42" si="4">$B$6</f>
        <v>2500</v>
      </c>
      <c r="G23" s="196">
        <f t="shared" ref="G23:G42" si="5">D23/F23</f>
        <v>0</v>
      </c>
      <c r="H23" s="197">
        <v>33.61</v>
      </c>
      <c r="I23" s="196">
        <f>G23*H23</f>
        <v>0</v>
      </c>
    </row>
    <row r="24" spans="1:9" x14ac:dyDescent="0.25">
      <c r="A24" s="727"/>
      <c r="B24" s="192" t="s">
        <v>91</v>
      </c>
      <c r="C24" s="736"/>
      <c r="D24" s="263">
        <f>+D23</f>
        <v>0</v>
      </c>
      <c r="E24" s="160" t="s">
        <v>172</v>
      </c>
      <c r="F24" s="160">
        <f t="shared" si="4"/>
        <v>2500</v>
      </c>
      <c r="G24" s="196">
        <f>D24/F24</f>
        <v>0</v>
      </c>
      <c r="H24" s="197">
        <v>79.83</v>
      </c>
      <c r="I24" s="196">
        <f t="shared" ref="I24:I42" si="6">G24*H24</f>
        <v>0</v>
      </c>
    </row>
    <row r="25" spans="1:9" x14ac:dyDescent="0.25">
      <c r="A25" s="727"/>
      <c r="B25" s="192" t="s">
        <v>92</v>
      </c>
      <c r="C25" s="736"/>
      <c r="D25" s="263">
        <f>+D23</f>
        <v>0</v>
      </c>
      <c r="E25" s="160" t="s">
        <v>172</v>
      </c>
      <c r="F25" s="160">
        <f t="shared" si="4"/>
        <v>2500</v>
      </c>
      <c r="G25" s="196">
        <f t="shared" si="5"/>
        <v>0</v>
      </c>
      <c r="H25" s="197">
        <v>12.61</v>
      </c>
      <c r="I25" s="196">
        <f t="shared" si="6"/>
        <v>0</v>
      </c>
    </row>
    <row r="26" spans="1:9" x14ac:dyDescent="0.25">
      <c r="A26" s="727"/>
      <c r="B26" s="192" t="s">
        <v>94</v>
      </c>
      <c r="C26" s="736"/>
      <c r="D26" s="263">
        <f>+D23</f>
        <v>0</v>
      </c>
      <c r="E26" s="160" t="s">
        <v>172</v>
      </c>
      <c r="F26" s="160">
        <f t="shared" si="4"/>
        <v>2500</v>
      </c>
      <c r="G26" s="196">
        <f t="shared" si="5"/>
        <v>0</v>
      </c>
      <c r="H26" s="197">
        <v>12.61</v>
      </c>
      <c r="I26" s="196">
        <f t="shared" si="6"/>
        <v>0</v>
      </c>
    </row>
    <row r="27" spans="1:9" x14ac:dyDescent="0.25">
      <c r="A27" s="727"/>
      <c r="B27" s="192" t="s">
        <v>95</v>
      </c>
      <c r="C27" s="736"/>
      <c r="D27" s="263">
        <f>+D23</f>
        <v>0</v>
      </c>
      <c r="E27" s="160" t="s">
        <v>172</v>
      </c>
      <c r="F27" s="160">
        <f t="shared" si="4"/>
        <v>2500</v>
      </c>
      <c r="G27" s="196">
        <f t="shared" si="5"/>
        <v>0</v>
      </c>
      <c r="H27" s="197">
        <v>9.66</v>
      </c>
      <c r="I27" s="196">
        <f t="shared" si="6"/>
        <v>0</v>
      </c>
    </row>
    <row r="28" spans="1:9" ht="25.5" x14ac:dyDescent="0.25">
      <c r="A28" s="727"/>
      <c r="B28" s="264" t="s">
        <v>98</v>
      </c>
      <c r="C28" s="736"/>
      <c r="D28" s="263">
        <v>2</v>
      </c>
      <c r="E28" s="160" t="s">
        <v>172</v>
      </c>
      <c r="F28" s="160">
        <f t="shared" si="4"/>
        <v>2500</v>
      </c>
      <c r="G28" s="246">
        <f t="shared" si="5"/>
        <v>8.0000000000000004E-4</v>
      </c>
      <c r="H28" s="213">
        <v>40</v>
      </c>
      <c r="I28" s="246">
        <f t="shared" si="6"/>
        <v>3.2000000000000001E-2</v>
      </c>
    </row>
    <row r="29" spans="1:9" x14ac:dyDescent="0.25">
      <c r="A29" s="727"/>
      <c r="B29" s="192" t="s">
        <v>100</v>
      </c>
      <c r="C29" s="736"/>
      <c r="D29" s="263">
        <f>+D23</f>
        <v>0</v>
      </c>
      <c r="E29" s="160" t="s">
        <v>172</v>
      </c>
      <c r="F29" s="160">
        <f t="shared" si="4"/>
        <v>2500</v>
      </c>
      <c r="G29" s="246">
        <f t="shared" si="5"/>
        <v>0</v>
      </c>
      <c r="H29" s="213">
        <v>25.21</v>
      </c>
      <c r="I29" s="246">
        <f t="shared" si="6"/>
        <v>0</v>
      </c>
    </row>
    <row r="30" spans="1:9" x14ac:dyDescent="0.25">
      <c r="A30" s="727"/>
      <c r="B30" s="192" t="s">
        <v>101</v>
      </c>
      <c r="C30" s="736"/>
      <c r="D30" s="263">
        <f>+D24</f>
        <v>0</v>
      </c>
      <c r="E30" s="160" t="s">
        <v>172</v>
      </c>
      <c r="F30" s="160">
        <f t="shared" si="4"/>
        <v>2500</v>
      </c>
      <c r="G30" s="246">
        <f t="shared" si="5"/>
        <v>0</v>
      </c>
      <c r="H30" s="213">
        <v>117.65</v>
      </c>
      <c r="I30" s="246">
        <f t="shared" si="6"/>
        <v>0</v>
      </c>
    </row>
    <row r="31" spans="1:9" ht="25.5" x14ac:dyDescent="0.25">
      <c r="A31" s="727"/>
      <c r="B31" s="264" t="s">
        <v>102</v>
      </c>
      <c r="C31" s="736"/>
      <c r="D31" s="263">
        <f>+D23</f>
        <v>0</v>
      </c>
      <c r="E31" s="160" t="s">
        <v>172</v>
      </c>
      <c r="F31" s="160">
        <f t="shared" si="4"/>
        <v>2500</v>
      </c>
      <c r="G31" s="246">
        <f t="shared" si="5"/>
        <v>0</v>
      </c>
      <c r="H31" s="213">
        <v>46.22</v>
      </c>
      <c r="I31" s="246">
        <f t="shared" si="6"/>
        <v>0</v>
      </c>
    </row>
    <row r="32" spans="1:9" x14ac:dyDescent="0.25">
      <c r="A32" s="727"/>
      <c r="B32" s="192" t="s">
        <v>103</v>
      </c>
      <c r="C32" s="736"/>
      <c r="D32" s="263">
        <f>+D23</f>
        <v>0</v>
      </c>
      <c r="E32" s="160" t="s">
        <v>172</v>
      </c>
      <c r="F32" s="160">
        <f t="shared" si="4"/>
        <v>2500</v>
      </c>
      <c r="G32" s="196">
        <f t="shared" si="5"/>
        <v>0</v>
      </c>
      <c r="H32" s="197">
        <v>3</v>
      </c>
      <c r="I32" s="196">
        <f t="shared" si="6"/>
        <v>0</v>
      </c>
    </row>
    <row r="33" spans="1:9" x14ac:dyDescent="0.25">
      <c r="A33" s="727"/>
      <c r="B33" s="192" t="s">
        <v>105</v>
      </c>
      <c r="C33" s="736"/>
      <c r="D33" s="263">
        <f>+D23</f>
        <v>0</v>
      </c>
      <c r="E33" s="160" t="s">
        <v>172</v>
      </c>
      <c r="F33" s="160">
        <f t="shared" si="4"/>
        <v>2500</v>
      </c>
      <c r="G33" s="196">
        <f t="shared" si="5"/>
        <v>0</v>
      </c>
      <c r="H33" s="197">
        <v>3</v>
      </c>
      <c r="I33" s="196">
        <f t="shared" si="6"/>
        <v>0</v>
      </c>
    </row>
    <row r="34" spans="1:9" x14ac:dyDescent="0.25">
      <c r="A34" s="727"/>
      <c r="B34" s="192" t="s">
        <v>274</v>
      </c>
      <c r="C34" s="736"/>
      <c r="D34" s="263">
        <v>1</v>
      </c>
      <c r="E34" s="160" t="s">
        <v>172</v>
      </c>
      <c r="F34" s="160">
        <f t="shared" si="4"/>
        <v>2500</v>
      </c>
      <c r="G34" s="196">
        <f t="shared" si="5"/>
        <v>4.0000000000000002E-4</v>
      </c>
      <c r="H34" s="197">
        <v>66.39</v>
      </c>
      <c r="I34" s="196">
        <f t="shared" si="6"/>
        <v>2.6556000000000003E-2</v>
      </c>
    </row>
    <row r="35" spans="1:9" x14ac:dyDescent="0.25">
      <c r="A35" s="727"/>
      <c r="B35" s="192" t="s">
        <v>275</v>
      </c>
      <c r="C35" s="736"/>
      <c r="D35" s="263">
        <v>1</v>
      </c>
      <c r="E35" s="160" t="s">
        <v>172</v>
      </c>
      <c r="F35" s="160">
        <f t="shared" si="4"/>
        <v>2500</v>
      </c>
      <c r="G35" s="196">
        <f t="shared" si="5"/>
        <v>4.0000000000000002E-4</v>
      </c>
      <c r="H35" s="197">
        <v>71.430000000000007</v>
      </c>
      <c r="I35" s="196">
        <f t="shared" si="6"/>
        <v>2.8572000000000004E-2</v>
      </c>
    </row>
    <row r="36" spans="1:9" x14ac:dyDescent="0.25">
      <c r="A36" s="727"/>
      <c r="B36" s="192" t="s">
        <v>276</v>
      </c>
      <c r="C36" s="736"/>
      <c r="D36" s="263">
        <v>1</v>
      </c>
      <c r="E36" s="160" t="s">
        <v>172</v>
      </c>
      <c r="F36" s="160">
        <f t="shared" si="4"/>
        <v>2500</v>
      </c>
      <c r="G36" s="196">
        <f t="shared" si="5"/>
        <v>4.0000000000000002E-4</v>
      </c>
      <c r="H36" s="197">
        <v>15</v>
      </c>
      <c r="I36" s="196">
        <f t="shared" si="6"/>
        <v>6.0000000000000001E-3</v>
      </c>
    </row>
    <row r="37" spans="1:9" x14ac:dyDescent="0.25">
      <c r="A37" s="727"/>
      <c r="B37" s="192" t="s">
        <v>277</v>
      </c>
      <c r="C37" s="736"/>
      <c r="D37" s="263">
        <v>1</v>
      </c>
      <c r="E37" s="160" t="s">
        <v>172</v>
      </c>
      <c r="F37" s="160">
        <f t="shared" si="4"/>
        <v>2500</v>
      </c>
      <c r="G37" s="196">
        <f t="shared" si="5"/>
        <v>4.0000000000000002E-4</v>
      </c>
      <c r="H37" s="197">
        <v>25.21</v>
      </c>
      <c r="I37" s="196">
        <f t="shared" si="6"/>
        <v>1.0084000000000001E-2</v>
      </c>
    </row>
    <row r="38" spans="1:9" x14ac:dyDescent="0.25">
      <c r="A38" s="727"/>
      <c r="B38" s="192" t="s">
        <v>278</v>
      </c>
      <c r="C38" s="736"/>
      <c r="D38" s="263">
        <v>1</v>
      </c>
      <c r="E38" s="160" t="s">
        <v>172</v>
      </c>
      <c r="F38" s="160">
        <f t="shared" si="4"/>
        <v>2500</v>
      </c>
      <c r="G38" s="196">
        <f t="shared" si="5"/>
        <v>4.0000000000000002E-4</v>
      </c>
      <c r="H38" s="197">
        <v>21.85</v>
      </c>
      <c r="I38" s="196">
        <f t="shared" si="6"/>
        <v>8.7400000000000012E-3</v>
      </c>
    </row>
    <row r="39" spans="1:9" x14ac:dyDescent="0.25">
      <c r="A39" s="727"/>
      <c r="B39" s="192" t="s">
        <v>279</v>
      </c>
      <c r="C39" s="736"/>
      <c r="D39" s="263">
        <v>1</v>
      </c>
      <c r="E39" s="160" t="s">
        <v>172</v>
      </c>
      <c r="F39" s="160">
        <f t="shared" si="4"/>
        <v>2500</v>
      </c>
      <c r="G39" s="196">
        <f t="shared" si="5"/>
        <v>4.0000000000000002E-4</v>
      </c>
      <c r="H39" s="197">
        <v>35</v>
      </c>
      <c r="I39" s="196">
        <f t="shared" si="6"/>
        <v>1.4E-2</v>
      </c>
    </row>
    <row r="40" spans="1:9" x14ac:dyDescent="0.25">
      <c r="A40" s="727"/>
      <c r="B40" s="192" t="s">
        <v>280</v>
      </c>
      <c r="C40" s="736"/>
      <c r="D40" s="263">
        <v>2</v>
      </c>
      <c r="E40" s="160" t="s">
        <v>172</v>
      </c>
      <c r="F40" s="160">
        <f t="shared" si="4"/>
        <v>2500</v>
      </c>
      <c r="G40" s="196">
        <f t="shared" si="5"/>
        <v>8.0000000000000004E-4</v>
      </c>
      <c r="H40" s="197">
        <v>50</v>
      </c>
      <c r="I40" s="196">
        <f t="shared" si="6"/>
        <v>0.04</v>
      </c>
    </row>
    <row r="41" spans="1:9" x14ac:dyDescent="0.25">
      <c r="A41" s="727"/>
      <c r="B41" s="192" t="s">
        <v>288</v>
      </c>
      <c r="C41" s="736"/>
      <c r="D41" s="263">
        <v>2</v>
      </c>
      <c r="E41" s="160" t="s">
        <v>172</v>
      </c>
      <c r="F41" s="160">
        <f t="shared" si="4"/>
        <v>2500</v>
      </c>
      <c r="G41" s="196">
        <f t="shared" si="5"/>
        <v>8.0000000000000004E-4</v>
      </c>
      <c r="H41" s="197">
        <v>23.75</v>
      </c>
      <c r="I41" s="196">
        <f t="shared" si="6"/>
        <v>1.9E-2</v>
      </c>
    </row>
    <row r="42" spans="1:9" ht="15.75" thickBot="1" x14ac:dyDescent="0.3">
      <c r="A42" s="728"/>
      <c r="B42" s="265" t="s">
        <v>281</v>
      </c>
      <c r="C42" s="737"/>
      <c r="D42" s="266">
        <v>2</v>
      </c>
      <c r="E42" s="260" t="s">
        <v>172</v>
      </c>
      <c r="F42" s="260">
        <f t="shared" si="4"/>
        <v>2500</v>
      </c>
      <c r="G42" s="267">
        <f t="shared" si="5"/>
        <v>8.0000000000000004E-4</v>
      </c>
      <c r="H42" s="262">
        <v>18.489999999999998</v>
      </c>
      <c r="I42" s="267">
        <f t="shared" si="6"/>
        <v>1.4792E-2</v>
      </c>
    </row>
    <row r="43" spans="1:9" ht="15.75" thickTop="1" x14ac:dyDescent="0.25">
      <c r="A43" s="652" t="s">
        <v>530</v>
      </c>
      <c r="B43" s="652"/>
      <c r="C43" s="652"/>
      <c r="D43" s="652"/>
      <c r="E43" s="652"/>
      <c r="F43" s="652"/>
      <c r="G43" s="652"/>
      <c r="H43" s="652"/>
      <c r="I43" s="652"/>
    </row>
    <row r="44" spans="1:9" x14ac:dyDescent="0.25">
      <c r="A44" s="652" t="s">
        <v>531</v>
      </c>
      <c r="B44" s="652"/>
      <c r="C44" s="652"/>
      <c r="D44" s="652"/>
      <c r="E44" s="652"/>
      <c r="F44" s="652"/>
      <c r="G44" s="652"/>
      <c r="H44" s="652"/>
      <c r="I44" s="652"/>
    </row>
    <row r="45" spans="1:9" x14ac:dyDescent="0.25">
      <c r="A45" s="652"/>
      <c r="B45" s="652"/>
      <c r="C45" s="652"/>
      <c r="D45" s="652"/>
      <c r="E45" s="652"/>
      <c r="F45" s="652"/>
      <c r="G45" s="652"/>
      <c r="H45" s="652"/>
      <c r="I45" s="652"/>
    </row>
    <row r="46" spans="1:9" x14ac:dyDescent="0.25">
      <c r="A46" s="652"/>
      <c r="B46" s="652"/>
      <c r="C46" s="652"/>
      <c r="D46" s="652"/>
      <c r="E46" s="652"/>
      <c r="F46" s="652"/>
      <c r="G46" s="652"/>
      <c r="H46" s="652"/>
      <c r="I46" s="652"/>
    </row>
  </sheetData>
  <mergeCells count="24">
    <mergeCell ref="K5:L5"/>
    <mergeCell ref="A1:I1"/>
    <mergeCell ref="A3:I3"/>
    <mergeCell ref="A7:I7"/>
    <mergeCell ref="A8:A9"/>
    <mergeCell ref="B8:B9"/>
    <mergeCell ref="C8:C9"/>
    <mergeCell ref="D8:D9"/>
    <mergeCell ref="E8:E9"/>
    <mergeCell ref="H8:H9"/>
    <mergeCell ref="I8:I9"/>
    <mergeCell ref="A4:I4"/>
    <mergeCell ref="A44:I44"/>
    <mergeCell ref="A45:I45"/>
    <mergeCell ref="A46:I46"/>
    <mergeCell ref="A10:A21"/>
    <mergeCell ref="B10:E10"/>
    <mergeCell ref="F10:H10"/>
    <mergeCell ref="A22:A42"/>
    <mergeCell ref="B22:E22"/>
    <mergeCell ref="F22:H22"/>
    <mergeCell ref="A43:I43"/>
    <mergeCell ref="C11:C21"/>
    <mergeCell ref="C23:C42"/>
  </mergeCells>
  <printOptions horizontalCentered="1"/>
  <pageMargins left="0" right="0" top="0.98425196850393704" bottom="0" header="0" footer="0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0"/>
  <sheetViews>
    <sheetView view="pageBreakPreview" zoomScaleNormal="100" zoomScaleSheetLayoutView="100" workbookViewId="0">
      <selection sqref="A1:I1"/>
    </sheetView>
  </sheetViews>
  <sheetFormatPr baseColWidth="10" defaultRowHeight="15" x14ac:dyDescent="0.25"/>
  <cols>
    <col min="1" max="1" width="4.5703125" bestFit="1" customWidth="1"/>
    <col min="2" max="2" width="42.28515625" bestFit="1" customWidth="1"/>
    <col min="3" max="3" width="12.7109375" bestFit="1" customWidth="1"/>
    <col min="4" max="4" width="6.85546875" bestFit="1" customWidth="1"/>
    <col min="5" max="5" width="10" bestFit="1" customWidth="1"/>
    <col min="6" max="6" width="7.5703125" bestFit="1" customWidth="1"/>
    <col min="7" max="7" width="10.5703125" bestFit="1" customWidth="1"/>
    <col min="8" max="8" width="9.28515625" bestFit="1" customWidth="1"/>
    <col min="9" max="9" width="8" bestFit="1" customWidth="1"/>
    <col min="14" max="14" width="6" bestFit="1" customWidth="1"/>
  </cols>
  <sheetData>
    <row r="1" spans="1:14" ht="23.25" x14ac:dyDescent="0.25">
      <c r="A1" s="739" t="s">
        <v>533</v>
      </c>
      <c r="B1" s="739"/>
      <c r="C1" s="739"/>
      <c r="D1" s="739"/>
      <c r="E1" s="739"/>
      <c r="F1" s="739"/>
      <c r="G1" s="739"/>
      <c r="H1" s="739"/>
      <c r="I1" s="739"/>
    </row>
    <row r="2" spans="1:14" ht="23.25" x14ac:dyDescent="0.25">
      <c r="A2" s="776" t="s">
        <v>794</v>
      </c>
      <c r="B2" s="776"/>
      <c r="C2" s="776"/>
      <c r="D2" s="776"/>
      <c r="E2" s="776"/>
      <c r="F2" s="776"/>
      <c r="G2" s="776"/>
      <c r="H2" s="776"/>
      <c r="I2" s="776"/>
      <c r="J2" s="182"/>
    </row>
    <row r="3" spans="1:14" ht="7.5" customHeight="1" x14ac:dyDescent="0.25"/>
    <row r="4" spans="1:14" ht="18.75" x14ac:dyDescent="0.25">
      <c r="A4" s="740" t="s">
        <v>552</v>
      </c>
      <c r="B4" s="741"/>
      <c r="C4" s="741"/>
      <c r="D4" s="741"/>
      <c r="E4" s="741"/>
      <c r="F4" s="741"/>
      <c r="G4" s="741"/>
      <c r="H4" s="741"/>
      <c r="I4" s="742"/>
    </row>
    <row r="5" spans="1:14" x14ac:dyDescent="0.25">
      <c r="A5" s="779"/>
      <c r="B5" s="779"/>
      <c r="C5" s="779"/>
      <c r="D5" s="779"/>
      <c r="E5" s="779"/>
      <c r="F5" s="779"/>
      <c r="G5" s="779"/>
      <c r="H5" s="779"/>
      <c r="I5" s="779"/>
    </row>
    <row r="6" spans="1:14" ht="30" x14ac:dyDescent="0.25">
      <c r="A6" s="325"/>
      <c r="B6" s="324"/>
      <c r="C6" s="185" t="s">
        <v>386</v>
      </c>
      <c r="D6" s="206" t="s">
        <v>287</v>
      </c>
      <c r="E6" s="207" t="s">
        <v>385</v>
      </c>
      <c r="F6" s="331" t="s">
        <v>387</v>
      </c>
      <c r="G6" s="184" t="s">
        <v>282</v>
      </c>
      <c r="H6" s="208" t="s">
        <v>251</v>
      </c>
      <c r="I6" s="184" t="s">
        <v>265</v>
      </c>
    </row>
    <row r="7" spans="1:14" ht="15" customHeight="1" x14ac:dyDescent="0.25">
      <c r="A7" s="326"/>
      <c r="B7" s="323" t="s">
        <v>381</v>
      </c>
      <c r="C7" s="201">
        <v>0.48499999999999999</v>
      </c>
      <c r="D7" s="183">
        <f>G7*H7*E7</f>
        <v>5000</v>
      </c>
      <c r="E7" s="184">
        <v>10</v>
      </c>
      <c r="F7" s="332">
        <f>G7*H7</f>
        <v>500</v>
      </c>
      <c r="G7" s="184">
        <v>25</v>
      </c>
      <c r="H7" s="209">
        <v>20</v>
      </c>
      <c r="I7" s="183">
        <f>'3insumo'!H6</f>
        <v>2.94</v>
      </c>
    </row>
    <row r="8" spans="1:14" ht="15" customHeight="1" x14ac:dyDescent="0.25">
      <c r="A8" s="780"/>
      <c r="B8" s="781"/>
      <c r="C8" s="781"/>
      <c r="D8" s="781"/>
      <c r="E8" s="781"/>
      <c r="F8" s="781"/>
      <c r="G8" s="781"/>
      <c r="H8" s="781"/>
      <c r="I8" s="781"/>
    </row>
    <row r="9" spans="1:14" ht="39" thickBot="1" x14ac:dyDescent="0.3">
      <c r="A9" s="333" t="s">
        <v>370</v>
      </c>
      <c r="B9" s="202" t="s">
        <v>3</v>
      </c>
      <c r="C9" s="203" t="s">
        <v>369</v>
      </c>
      <c r="D9" s="777" t="s">
        <v>84</v>
      </c>
      <c r="E9" s="778"/>
      <c r="F9" s="210" t="s">
        <v>563</v>
      </c>
      <c r="G9" s="211" t="s">
        <v>564</v>
      </c>
      <c r="H9" s="212" t="s">
        <v>367</v>
      </c>
      <c r="I9" s="204" t="s">
        <v>382</v>
      </c>
    </row>
    <row r="10" spans="1:14" ht="15.75" thickTop="1" x14ac:dyDescent="0.25">
      <c r="A10" s="275">
        <v>4.0999999999999996</v>
      </c>
      <c r="B10" s="327" t="s">
        <v>60</v>
      </c>
      <c r="C10" s="731" t="s">
        <v>562</v>
      </c>
      <c r="D10" s="732"/>
      <c r="E10" s="732"/>
      <c r="F10" s="732"/>
      <c r="G10" s="732"/>
      <c r="H10" s="733"/>
      <c r="I10" s="328">
        <f>SUM(I11:I38)</f>
        <v>4.3184340000000008</v>
      </c>
      <c r="K10" s="652"/>
      <c r="L10" s="652"/>
      <c r="M10" s="652"/>
      <c r="N10" s="652"/>
    </row>
    <row r="11" spans="1:14" x14ac:dyDescent="0.25">
      <c r="A11" s="276"/>
      <c r="B11" s="199" t="s">
        <v>286</v>
      </c>
      <c r="C11" s="785" t="s">
        <v>371</v>
      </c>
      <c r="D11" s="767">
        <v>3</v>
      </c>
      <c r="E11" s="187" t="s">
        <v>252</v>
      </c>
      <c r="F11" s="763">
        <f>$F$7*'2Maq'!$B$8</f>
        <v>5000</v>
      </c>
      <c r="G11" s="761">
        <f>(D11/F11)</f>
        <v>5.9999999999999995E-4</v>
      </c>
      <c r="H11" s="189">
        <f>SUM('1Planilla'!B25:B27)</f>
        <v>0</v>
      </c>
      <c r="I11" s="188">
        <f>G11*H11</f>
        <v>0</v>
      </c>
      <c r="K11" s="652"/>
      <c r="L11" s="652"/>
      <c r="M11" s="652"/>
      <c r="N11" s="652"/>
    </row>
    <row r="12" spans="1:14" x14ac:dyDescent="0.25">
      <c r="A12" s="276"/>
      <c r="B12" s="190" t="s">
        <v>372</v>
      </c>
      <c r="C12" s="786"/>
      <c r="D12" s="768"/>
      <c r="E12" s="187" t="s">
        <v>259</v>
      </c>
      <c r="F12" s="775"/>
      <c r="G12" s="762"/>
      <c r="H12" s="189">
        <f>H11*$C$7</f>
        <v>0</v>
      </c>
      <c r="I12" s="188">
        <f>G11*H12</f>
        <v>0</v>
      </c>
      <c r="J12" s="23"/>
      <c r="K12" s="652"/>
      <c r="L12" s="652"/>
      <c r="M12" s="652"/>
      <c r="N12" s="652"/>
    </row>
    <row r="13" spans="1:14" x14ac:dyDescent="0.25">
      <c r="A13" s="276"/>
      <c r="B13" s="199" t="s">
        <v>491</v>
      </c>
      <c r="C13" s="767" t="s">
        <v>493</v>
      </c>
      <c r="D13" s="767">
        <v>3</v>
      </c>
      <c r="E13" s="187" t="s">
        <v>495</v>
      </c>
      <c r="F13" s="775"/>
      <c r="G13" s="761">
        <f>(D13/F11)</f>
        <v>5.9999999999999995E-4</v>
      </c>
      <c r="H13" s="189">
        <f>SUM('1Planilla'!B18:B20)</f>
        <v>0</v>
      </c>
      <c r="I13" s="188">
        <f>G13*H13</f>
        <v>0</v>
      </c>
      <c r="K13" s="652"/>
      <c r="L13" s="652"/>
      <c r="M13" s="652"/>
      <c r="N13" s="652"/>
    </row>
    <row r="14" spans="1:14" x14ac:dyDescent="0.25">
      <c r="A14" s="276"/>
      <c r="B14" s="190" t="s">
        <v>550</v>
      </c>
      <c r="C14" s="768"/>
      <c r="D14" s="768"/>
      <c r="E14" s="187" t="s">
        <v>259</v>
      </c>
      <c r="F14" s="775"/>
      <c r="G14" s="762"/>
      <c r="H14" s="189">
        <v>0</v>
      </c>
      <c r="I14" s="188">
        <f>G13*H14</f>
        <v>0</v>
      </c>
      <c r="K14" s="652"/>
      <c r="L14" s="652"/>
      <c r="M14" s="652"/>
      <c r="N14" s="652"/>
    </row>
    <row r="15" spans="1:14" x14ac:dyDescent="0.25">
      <c r="A15" s="276"/>
      <c r="B15" s="199" t="s">
        <v>492</v>
      </c>
      <c r="C15" s="767" t="s">
        <v>494</v>
      </c>
      <c r="D15" s="767">
        <v>1</v>
      </c>
      <c r="E15" s="187" t="s">
        <v>495</v>
      </c>
      <c r="F15" s="775"/>
      <c r="G15" s="761">
        <f>D15/F11</f>
        <v>2.0000000000000001E-4</v>
      </c>
      <c r="H15" s="189">
        <f>+'1Planilla'!B24</f>
        <v>0</v>
      </c>
      <c r="I15" s="188">
        <f>G15*H15</f>
        <v>0</v>
      </c>
    </row>
    <row r="16" spans="1:14" ht="15.75" thickBot="1" x14ac:dyDescent="0.3">
      <c r="A16" s="276"/>
      <c r="B16" s="193" t="s">
        <v>577</v>
      </c>
      <c r="C16" s="784"/>
      <c r="D16" s="784"/>
      <c r="E16" s="387"/>
      <c r="F16" s="802"/>
      <c r="G16" s="765"/>
      <c r="H16" s="388">
        <f>H15*$C$7</f>
        <v>0</v>
      </c>
      <c r="I16" s="389">
        <f>G15*H16</f>
        <v>0</v>
      </c>
      <c r="K16" s="300"/>
      <c r="L16" s="300"/>
      <c r="M16" s="300"/>
      <c r="N16" s="300"/>
    </row>
    <row r="17" spans="1:14" ht="15.75" thickTop="1" x14ac:dyDescent="0.25">
      <c r="A17" s="276"/>
      <c r="B17" s="390" t="s">
        <v>375</v>
      </c>
      <c r="C17" s="803" t="s">
        <v>371</v>
      </c>
      <c r="D17" s="783">
        <v>2</v>
      </c>
      <c r="E17" s="391" t="s">
        <v>252</v>
      </c>
      <c r="F17" s="806">
        <f>$F$7*'2Maq'!$B$8</f>
        <v>5000</v>
      </c>
      <c r="G17" s="782">
        <f>(D17/F17)</f>
        <v>4.0000000000000002E-4</v>
      </c>
      <c r="H17" s="392">
        <f>SUM('1Planilla'!B30:B31)</f>
        <v>0</v>
      </c>
      <c r="I17" s="393">
        <f>G17*H17</f>
        <v>0</v>
      </c>
      <c r="K17" s="652"/>
      <c r="L17" s="652"/>
    </row>
    <row r="18" spans="1:14" x14ac:dyDescent="0.25">
      <c r="A18" s="276"/>
      <c r="B18" s="190" t="s">
        <v>373</v>
      </c>
      <c r="C18" s="804"/>
      <c r="D18" s="768"/>
      <c r="E18" s="187" t="s">
        <v>259</v>
      </c>
      <c r="F18" s="775"/>
      <c r="G18" s="762"/>
      <c r="H18" s="189">
        <f>H17*C7</f>
        <v>0</v>
      </c>
      <c r="I18" s="188">
        <f>G17*H18</f>
        <v>0</v>
      </c>
    </row>
    <row r="19" spans="1:14" x14ac:dyDescent="0.25">
      <c r="A19" s="276"/>
      <c r="B19" s="199" t="s">
        <v>376</v>
      </c>
      <c r="C19" s="804"/>
      <c r="D19" s="767">
        <v>2</v>
      </c>
      <c r="E19" s="187" t="s">
        <v>252</v>
      </c>
      <c r="F19" s="775"/>
      <c r="G19" s="761">
        <f>(D19/F17)</f>
        <v>4.0000000000000002E-4</v>
      </c>
      <c r="H19" s="189">
        <f>SUM('1Planilla'!B38:B39)</f>
        <v>0</v>
      </c>
      <c r="I19" s="188">
        <f>G19*H19</f>
        <v>0</v>
      </c>
      <c r="K19" s="652"/>
      <c r="L19" s="652"/>
      <c r="M19" s="652"/>
    </row>
    <row r="20" spans="1:14" ht="15.75" thickBot="1" x14ac:dyDescent="0.3">
      <c r="A20" s="276"/>
      <c r="B20" s="193" t="s">
        <v>65</v>
      </c>
      <c r="C20" s="805"/>
      <c r="D20" s="784"/>
      <c r="E20" s="387" t="s">
        <v>260</v>
      </c>
      <c r="F20" s="802"/>
      <c r="G20" s="765"/>
      <c r="H20" s="388">
        <f>H19*C7</f>
        <v>0</v>
      </c>
      <c r="I20" s="389">
        <f>G19*H20</f>
        <v>0</v>
      </c>
      <c r="K20" s="787"/>
      <c r="L20" s="787"/>
      <c r="M20" s="787"/>
    </row>
    <row r="21" spans="1:14" ht="15.75" thickTop="1" x14ac:dyDescent="0.25">
      <c r="A21" s="276"/>
      <c r="B21" s="198" t="s">
        <v>608</v>
      </c>
      <c r="C21" s="807" t="s">
        <v>55</v>
      </c>
      <c r="D21" s="807">
        <v>2</v>
      </c>
      <c r="E21" s="347" t="s">
        <v>252</v>
      </c>
      <c r="F21" s="775">
        <f>$F$7*'2Maq'!$B$8</f>
        <v>5000</v>
      </c>
      <c r="G21" s="766">
        <f>(D21/F21)</f>
        <v>4.0000000000000002E-4</v>
      </c>
      <c r="H21" s="385">
        <f>SUM('1Planilla'!B43:B44)</f>
        <v>0</v>
      </c>
      <c r="I21" s="386">
        <f>G21*H21</f>
        <v>0</v>
      </c>
      <c r="K21" s="787"/>
      <c r="L21" s="787"/>
      <c r="M21" s="787"/>
    </row>
    <row r="22" spans="1:14" x14ac:dyDescent="0.25">
      <c r="A22" s="276"/>
      <c r="B22" s="190" t="s">
        <v>69</v>
      </c>
      <c r="C22" s="768"/>
      <c r="D22" s="768"/>
      <c r="E22" s="187" t="s">
        <v>261</v>
      </c>
      <c r="F22" s="764"/>
      <c r="G22" s="762"/>
      <c r="H22" s="189">
        <f>H21*C7</f>
        <v>0</v>
      </c>
      <c r="I22" s="188">
        <f>G21*H22</f>
        <v>0</v>
      </c>
    </row>
    <row r="23" spans="1:14" x14ac:dyDescent="0.25">
      <c r="A23" s="276"/>
      <c r="B23" s="199" t="s">
        <v>377</v>
      </c>
      <c r="C23" s="767" t="s">
        <v>55</v>
      </c>
      <c r="D23" s="767">
        <v>2</v>
      </c>
      <c r="E23" s="187" t="s">
        <v>252</v>
      </c>
      <c r="F23" s="763">
        <f>$F$7*'2Maq'!$B$8</f>
        <v>5000</v>
      </c>
      <c r="G23" s="761">
        <f>(D23/F23)</f>
        <v>4.0000000000000002E-4</v>
      </c>
      <c r="H23" s="189">
        <f>SUM('1Planilla'!B47:B48)</f>
        <v>0</v>
      </c>
      <c r="I23" s="188">
        <f>G23*H23</f>
        <v>0</v>
      </c>
    </row>
    <row r="24" spans="1:14" x14ac:dyDescent="0.25">
      <c r="A24" s="276"/>
      <c r="B24" s="190" t="s">
        <v>439</v>
      </c>
      <c r="C24" s="768"/>
      <c r="D24" s="768"/>
      <c r="E24" s="187" t="s">
        <v>262</v>
      </c>
      <c r="F24" s="764"/>
      <c r="G24" s="762"/>
      <c r="H24" s="189">
        <f>H23*C7</f>
        <v>0</v>
      </c>
      <c r="I24" s="188">
        <f>G23*H24</f>
        <v>0</v>
      </c>
    </row>
    <row r="25" spans="1:14" x14ac:dyDescent="0.25">
      <c r="A25" s="276"/>
      <c r="B25" s="302" t="s">
        <v>609</v>
      </c>
      <c r="C25" s="773" t="s">
        <v>55</v>
      </c>
      <c r="D25" s="771">
        <v>0</v>
      </c>
      <c r="E25" s="303" t="s">
        <v>252</v>
      </c>
      <c r="F25" s="763">
        <f>$F$7*'2Maq'!$B$8</f>
        <v>5000</v>
      </c>
      <c r="G25" s="769">
        <f>(D25/F25)</f>
        <v>0</v>
      </c>
      <c r="H25" s="304">
        <f>SUM('1Planilla'!B45:B46)</f>
        <v>0</v>
      </c>
      <c r="I25" s="305">
        <f>G25*H25</f>
        <v>0</v>
      </c>
    </row>
    <row r="26" spans="1:14" x14ac:dyDescent="0.25">
      <c r="A26" s="276"/>
      <c r="B26" s="306" t="s">
        <v>610</v>
      </c>
      <c r="C26" s="774"/>
      <c r="D26" s="772"/>
      <c r="E26" s="303" t="s">
        <v>261</v>
      </c>
      <c r="F26" s="764"/>
      <c r="G26" s="770"/>
      <c r="H26" s="307">
        <f>H25*C7</f>
        <v>0</v>
      </c>
      <c r="I26" s="308">
        <f>G25*H26</f>
        <v>0</v>
      </c>
    </row>
    <row r="27" spans="1:14" x14ac:dyDescent="0.25">
      <c r="A27" s="276"/>
      <c r="B27" s="199" t="s">
        <v>560</v>
      </c>
      <c r="C27" s="767" t="s">
        <v>55</v>
      </c>
      <c r="D27" s="767">
        <v>2</v>
      </c>
      <c r="E27" s="187" t="s">
        <v>252</v>
      </c>
      <c r="F27" s="763">
        <f>$F$7*'2Maq'!$B$8</f>
        <v>5000</v>
      </c>
      <c r="G27" s="761">
        <f>(D27/F27)</f>
        <v>4.0000000000000002E-4</v>
      </c>
      <c r="H27" s="189">
        <f>SUM('1Planilla'!B49:B50)</f>
        <v>0</v>
      </c>
      <c r="I27" s="188">
        <f>G27*H27</f>
        <v>0</v>
      </c>
    </row>
    <row r="28" spans="1:14" x14ac:dyDescent="0.25">
      <c r="A28" s="276"/>
      <c r="B28" s="190" t="s">
        <v>74</v>
      </c>
      <c r="C28" s="768"/>
      <c r="D28" s="768"/>
      <c r="E28" s="187" t="s">
        <v>260</v>
      </c>
      <c r="F28" s="764"/>
      <c r="G28" s="762"/>
      <c r="H28" s="189">
        <f>H27*C7</f>
        <v>0</v>
      </c>
      <c r="I28" s="188">
        <f>G27*H28</f>
        <v>0</v>
      </c>
      <c r="N28" s="186"/>
    </row>
    <row r="29" spans="1:14" x14ac:dyDescent="0.25">
      <c r="A29" s="276"/>
      <c r="B29" s="199" t="s">
        <v>378</v>
      </c>
      <c r="C29" s="767" t="s">
        <v>55</v>
      </c>
      <c r="D29" s="767">
        <v>2</v>
      </c>
      <c r="E29" s="187" t="s">
        <v>252</v>
      </c>
      <c r="F29" s="763">
        <f>$F$7*'2Maq'!$B$8</f>
        <v>5000</v>
      </c>
      <c r="G29" s="761">
        <f>(D29/F29)</f>
        <v>4.0000000000000002E-4</v>
      </c>
      <c r="H29" s="189">
        <f>SUM('1Planilla'!B32:B33)</f>
        <v>0</v>
      </c>
      <c r="I29" s="188">
        <f>G29*H29</f>
        <v>0</v>
      </c>
      <c r="N29" s="186"/>
    </row>
    <row r="30" spans="1:14" x14ac:dyDescent="0.25">
      <c r="A30" s="276"/>
      <c r="B30" s="190" t="s">
        <v>76</v>
      </c>
      <c r="C30" s="768"/>
      <c r="D30" s="768"/>
      <c r="E30" s="187" t="s">
        <v>263</v>
      </c>
      <c r="F30" s="764"/>
      <c r="G30" s="762"/>
      <c r="H30" s="189">
        <f>H29*C7</f>
        <v>0</v>
      </c>
      <c r="I30" s="188">
        <f>G29*H30</f>
        <v>0</v>
      </c>
    </row>
    <row r="31" spans="1:14" x14ac:dyDescent="0.25">
      <c r="A31" s="276"/>
      <c r="B31" s="199" t="s">
        <v>380</v>
      </c>
      <c r="C31" s="767" t="s">
        <v>55</v>
      </c>
      <c r="D31" s="767">
        <v>2</v>
      </c>
      <c r="E31" s="187" t="s">
        <v>252</v>
      </c>
      <c r="F31" s="763">
        <f>$F$7*'2Maq'!$B$8</f>
        <v>5000</v>
      </c>
      <c r="G31" s="761">
        <f>(D31/F31)</f>
        <v>4.0000000000000002E-4</v>
      </c>
      <c r="H31" s="189">
        <f>SUM('1Planilla'!B51:B52)</f>
        <v>0</v>
      </c>
      <c r="I31" s="188">
        <f>G31*H31</f>
        <v>0</v>
      </c>
    </row>
    <row r="32" spans="1:14" x14ac:dyDescent="0.25">
      <c r="A32" s="276"/>
      <c r="B32" s="190" t="s">
        <v>374</v>
      </c>
      <c r="C32" s="768"/>
      <c r="D32" s="768"/>
      <c r="E32" s="187" t="s">
        <v>263</v>
      </c>
      <c r="F32" s="764"/>
      <c r="G32" s="762"/>
      <c r="H32" s="189">
        <f>H31*C7</f>
        <v>0</v>
      </c>
      <c r="I32" s="188">
        <f>G31*H32</f>
        <v>0</v>
      </c>
    </row>
    <row r="33" spans="1:14" x14ac:dyDescent="0.25">
      <c r="A33" s="276"/>
      <c r="B33" s="301" t="s">
        <v>379</v>
      </c>
      <c r="C33" s="767" t="s">
        <v>55</v>
      </c>
      <c r="D33" s="767">
        <v>4</v>
      </c>
      <c r="E33" s="187" t="s">
        <v>252</v>
      </c>
      <c r="F33" s="763">
        <f>$F$7*'2Maq'!$B$8</f>
        <v>5000</v>
      </c>
      <c r="G33" s="761">
        <f>(D33/F33)</f>
        <v>8.0000000000000004E-4</v>
      </c>
      <c r="H33" s="189">
        <f>SUM('1Planilla'!B34:B37)</f>
        <v>0</v>
      </c>
      <c r="I33" s="188">
        <f>G33*H33</f>
        <v>0</v>
      </c>
    </row>
    <row r="34" spans="1:14" x14ac:dyDescent="0.25">
      <c r="A34" s="276"/>
      <c r="B34" s="190" t="s">
        <v>83</v>
      </c>
      <c r="C34" s="768"/>
      <c r="D34" s="768"/>
      <c r="E34" s="187" t="s">
        <v>260</v>
      </c>
      <c r="F34" s="764"/>
      <c r="G34" s="762"/>
      <c r="H34" s="189">
        <f>H33*C7</f>
        <v>0</v>
      </c>
      <c r="I34" s="188">
        <f>G33*H34</f>
        <v>0</v>
      </c>
    </row>
    <row r="35" spans="1:14" x14ac:dyDescent="0.25">
      <c r="A35" s="276"/>
      <c r="B35" s="384" t="s">
        <v>243</v>
      </c>
      <c r="C35" s="767" t="s">
        <v>55</v>
      </c>
      <c r="D35" s="807">
        <f>SUM(D17:D34)/2</f>
        <v>9</v>
      </c>
      <c r="E35" s="187" t="s">
        <v>255</v>
      </c>
      <c r="F35" s="763">
        <f>$F$7*'2Maq'!$B$8</f>
        <v>5000</v>
      </c>
      <c r="G35" s="761">
        <f>(D35/F35)</f>
        <v>1.8E-3</v>
      </c>
      <c r="H35" s="189">
        <f>N35*D35</f>
        <v>657.72</v>
      </c>
      <c r="I35" s="188">
        <f>G35*H35</f>
        <v>1.1838960000000001</v>
      </c>
      <c r="K35" s="788" t="s">
        <v>532</v>
      </c>
      <c r="L35" s="788"/>
      <c r="M35" s="788"/>
      <c r="N35" s="152">
        <v>73.08</v>
      </c>
    </row>
    <row r="36" spans="1:14" x14ac:dyDescent="0.25">
      <c r="A36" s="276"/>
      <c r="B36" s="192" t="s">
        <v>58</v>
      </c>
      <c r="C36" s="768"/>
      <c r="D36" s="768"/>
      <c r="E36" s="187" t="s">
        <v>256</v>
      </c>
      <c r="F36" s="764"/>
      <c r="G36" s="762"/>
      <c r="H36" s="189">
        <f>N36*D35</f>
        <v>301.41000000000003</v>
      </c>
      <c r="I36" s="188">
        <f>G35*H36</f>
        <v>0.54253800000000008</v>
      </c>
      <c r="K36" s="789" t="s">
        <v>58</v>
      </c>
      <c r="L36" s="789"/>
      <c r="M36" s="789"/>
      <c r="N36" s="152">
        <v>33.49</v>
      </c>
    </row>
    <row r="37" spans="1:14" x14ac:dyDescent="0.25">
      <c r="A37" s="276"/>
      <c r="B37" s="191" t="s">
        <v>245</v>
      </c>
      <c r="C37" s="807" t="s">
        <v>55</v>
      </c>
      <c r="D37" s="807">
        <f>SUM(D17:D34)</f>
        <v>18</v>
      </c>
      <c r="E37" s="187" t="s">
        <v>257</v>
      </c>
      <c r="F37" s="763">
        <f>$D$7*'2Maq'!$B$8</f>
        <v>50000</v>
      </c>
      <c r="G37" s="761">
        <f>(D37/F37)</f>
        <v>3.6000000000000002E-4</v>
      </c>
      <c r="H37" s="189">
        <f>N37*D37</f>
        <v>3600</v>
      </c>
      <c r="I37" s="188">
        <f>G37*H37</f>
        <v>1.296</v>
      </c>
      <c r="K37" s="788" t="s">
        <v>561</v>
      </c>
      <c r="L37" s="788"/>
      <c r="M37" s="788"/>
      <c r="N37" s="152">
        <v>200</v>
      </c>
    </row>
    <row r="38" spans="1:14" ht="15.75" thickBot="1" x14ac:dyDescent="0.3">
      <c r="A38" s="276"/>
      <c r="B38" s="190" t="s">
        <v>57</v>
      </c>
      <c r="C38" s="768"/>
      <c r="D38" s="768"/>
      <c r="E38" s="187" t="s">
        <v>57</v>
      </c>
      <c r="F38" s="764"/>
      <c r="G38" s="765"/>
      <c r="H38" s="189">
        <f>N37*D37</f>
        <v>3600</v>
      </c>
      <c r="I38" s="194">
        <f>G37*H38</f>
        <v>1.296</v>
      </c>
      <c r="K38" s="300"/>
      <c r="L38" s="300"/>
    </row>
    <row r="39" spans="1:14" ht="15.75" thickTop="1" x14ac:dyDescent="0.25">
      <c r="A39" s="758">
        <v>4.2</v>
      </c>
      <c r="B39" s="329" t="s">
        <v>53</v>
      </c>
      <c r="C39" s="725" t="s">
        <v>383</v>
      </c>
      <c r="D39" s="725"/>
      <c r="E39" s="725"/>
      <c r="F39" s="725"/>
      <c r="G39" s="725"/>
      <c r="H39" s="725"/>
      <c r="I39" s="330">
        <f>SUM(I40:I47)</f>
        <v>2.1825600000000001</v>
      </c>
    </row>
    <row r="40" spans="1:14" x14ac:dyDescent="0.25">
      <c r="A40" s="759"/>
      <c r="B40" s="280" t="s">
        <v>773</v>
      </c>
      <c r="C40" s="755" t="s">
        <v>55</v>
      </c>
      <c r="D40" s="800">
        <v>4</v>
      </c>
      <c r="E40" s="160" t="s">
        <v>252</v>
      </c>
      <c r="F40" s="794">
        <f>$F$7</f>
        <v>500</v>
      </c>
      <c r="G40" s="792">
        <f>D40/F40</f>
        <v>8.0000000000000002E-3</v>
      </c>
      <c r="H40" s="334">
        <f>'1Planilla'!B61</f>
        <v>0</v>
      </c>
      <c r="I40" s="335">
        <f>H40*G40</f>
        <v>0</v>
      </c>
      <c r="J40" s="272"/>
      <c r="K40" t="s">
        <v>555</v>
      </c>
    </row>
    <row r="41" spans="1:14" x14ac:dyDescent="0.25">
      <c r="A41" s="759"/>
      <c r="B41" s="195" t="s">
        <v>56</v>
      </c>
      <c r="C41" s="756"/>
      <c r="D41" s="801"/>
      <c r="E41" s="160" t="s">
        <v>253</v>
      </c>
      <c r="F41" s="795"/>
      <c r="G41" s="793"/>
      <c r="H41" s="197">
        <f>H40*C7</f>
        <v>0</v>
      </c>
      <c r="I41" s="335">
        <f>H41*G40</f>
        <v>0</v>
      </c>
    </row>
    <row r="42" spans="1:14" x14ac:dyDescent="0.25">
      <c r="A42" s="759"/>
      <c r="B42" s="195" t="s">
        <v>557</v>
      </c>
      <c r="C42" s="756"/>
      <c r="D42" s="790">
        <v>2</v>
      </c>
      <c r="E42" s="160" t="s">
        <v>554</v>
      </c>
      <c r="F42" s="795"/>
      <c r="G42" s="792">
        <f>D42/F40</f>
        <v>4.0000000000000001E-3</v>
      </c>
      <c r="H42" s="197">
        <f>N35*D42</f>
        <v>146.16</v>
      </c>
      <c r="I42" s="278">
        <f>H42*G42</f>
        <v>0.58464000000000005</v>
      </c>
      <c r="K42" t="s">
        <v>556</v>
      </c>
    </row>
    <row r="43" spans="1:14" x14ac:dyDescent="0.25">
      <c r="A43" s="759"/>
      <c r="B43" s="195" t="s">
        <v>558</v>
      </c>
      <c r="C43" s="756"/>
      <c r="D43" s="791"/>
      <c r="E43" s="160" t="s">
        <v>256</v>
      </c>
      <c r="F43" s="796"/>
      <c r="G43" s="793"/>
      <c r="H43" s="197">
        <f>N36*D42</f>
        <v>66.98</v>
      </c>
      <c r="I43" s="278">
        <f>H43*G42</f>
        <v>0.26792000000000005</v>
      </c>
    </row>
    <row r="44" spans="1:14" x14ac:dyDescent="0.25">
      <c r="A44" s="759"/>
      <c r="B44" s="200" t="s">
        <v>57</v>
      </c>
      <c r="C44" s="756"/>
      <c r="D44" s="790">
        <v>4</v>
      </c>
      <c r="E44" s="160" t="s">
        <v>57</v>
      </c>
      <c r="F44" s="797">
        <f>+$D$7</f>
        <v>5000</v>
      </c>
      <c r="G44" s="792">
        <f>D44/$F$44</f>
        <v>8.0000000000000004E-4</v>
      </c>
      <c r="H44" s="197">
        <f>N37*D44</f>
        <v>800</v>
      </c>
      <c r="I44" s="278">
        <f>H44*G44</f>
        <v>0.64</v>
      </c>
      <c r="K44" t="s">
        <v>559</v>
      </c>
    </row>
    <row r="45" spans="1:14" x14ac:dyDescent="0.25">
      <c r="A45" s="759"/>
      <c r="B45" s="195" t="s">
        <v>175</v>
      </c>
      <c r="C45" s="757"/>
      <c r="D45" s="791"/>
      <c r="E45" s="160" t="s">
        <v>257</v>
      </c>
      <c r="F45" s="798"/>
      <c r="G45" s="793"/>
      <c r="H45" s="197">
        <f>N37*D44</f>
        <v>800</v>
      </c>
      <c r="I45" s="278">
        <f>H45*G44</f>
        <v>0.64</v>
      </c>
    </row>
    <row r="46" spans="1:14" x14ac:dyDescent="0.25">
      <c r="A46" s="759"/>
      <c r="B46" s="195" t="s">
        <v>221</v>
      </c>
      <c r="C46" s="160" t="s">
        <v>55</v>
      </c>
      <c r="D46" s="160">
        <v>1</v>
      </c>
      <c r="E46" s="160" t="s">
        <v>254</v>
      </c>
      <c r="F46" s="798"/>
      <c r="G46" s="205">
        <f>D46/F44</f>
        <v>2.0000000000000001E-4</v>
      </c>
      <c r="H46" s="197">
        <v>250</v>
      </c>
      <c r="I46" s="278">
        <f>H46*G46</f>
        <v>0.05</v>
      </c>
      <c r="K46" s="652"/>
      <c r="L46" s="652"/>
      <c r="M46" s="652"/>
    </row>
    <row r="47" spans="1:14" x14ac:dyDescent="0.25">
      <c r="A47" s="760"/>
      <c r="B47" s="195" t="s">
        <v>270</v>
      </c>
      <c r="C47" s="160" t="s">
        <v>55</v>
      </c>
      <c r="D47" s="160">
        <v>2</v>
      </c>
      <c r="E47" s="160" t="s">
        <v>271</v>
      </c>
      <c r="F47" s="799"/>
      <c r="G47" s="205">
        <f>D47/F44</f>
        <v>4.0000000000000002E-4</v>
      </c>
      <c r="H47" s="197">
        <v>0</v>
      </c>
      <c r="I47" s="278">
        <f>H47*G47</f>
        <v>0</v>
      </c>
      <c r="K47" s="787"/>
      <c r="L47" s="787"/>
      <c r="M47" s="787"/>
    </row>
    <row r="48" spans="1:14" x14ac:dyDescent="0.25">
      <c r="K48" s="787"/>
      <c r="L48" s="787"/>
      <c r="M48" s="787"/>
    </row>
    <row r="49" spans="8:10" x14ac:dyDescent="0.25">
      <c r="H49" s="23"/>
      <c r="I49" s="23"/>
      <c r="J49" s="23"/>
    </row>
    <row r="50" spans="8:10" x14ac:dyDescent="0.25">
      <c r="H50" s="23"/>
      <c r="I50" s="23"/>
    </row>
  </sheetData>
  <mergeCells count="85">
    <mergeCell ref="G35:G36"/>
    <mergeCell ref="G37:G38"/>
    <mergeCell ref="F11:F16"/>
    <mergeCell ref="C17:C20"/>
    <mergeCell ref="F17:F20"/>
    <mergeCell ref="D37:D38"/>
    <mergeCell ref="D35:D36"/>
    <mergeCell ref="C37:C38"/>
    <mergeCell ref="C35:C36"/>
    <mergeCell ref="F35:F36"/>
    <mergeCell ref="F37:F38"/>
    <mergeCell ref="G11:G12"/>
    <mergeCell ref="D19:D20"/>
    <mergeCell ref="D21:D22"/>
    <mergeCell ref="C21:C22"/>
    <mergeCell ref="C27:C28"/>
    <mergeCell ref="D44:D45"/>
    <mergeCell ref="G44:G45"/>
    <mergeCell ref="F40:F43"/>
    <mergeCell ref="F44:F47"/>
    <mergeCell ref="G40:G41"/>
    <mergeCell ref="G42:G43"/>
    <mergeCell ref="D40:D41"/>
    <mergeCell ref="D42:D43"/>
    <mergeCell ref="K10:N10"/>
    <mergeCell ref="K11:N11"/>
    <mergeCell ref="K12:N12"/>
    <mergeCell ref="K13:N13"/>
    <mergeCell ref="K14:N14"/>
    <mergeCell ref="K46:M46"/>
    <mergeCell ref="K47:M47"/>
    <mergeCell ref="K48:M48"/>
    <mergeCell ref="K17:L17"/>
    <mergeCell ref="K19:M19"/>
    <mergeCell ref="K20:M20"/>
    <mergeCell ref="K21:M21"/>
    <mergeCell ref="K35:M35"/>
    <mergeCell ref="K36:M36"/>
    <mergeCell ref="K37:M37"/>
    <mergeCell ref="C10:H10"/>
    <mergeCell ref="G17:G18"/>
    <mergeCell ref="D11:D12"/>
    <mergeCell ref="D17:D18"/>
    <mergeCell ref="C13:C14"/>
    <mergeCell ref="D13:D14"/>
    <mergeCell ref="G13:G14"/>
    <mergeCell ref="G15:G16"/>
    <mergeCell ref="D15:D16"/>
    <mergeCell ref="C15:C16"/>
    <mergeCell ref="C11:C12"/>
    <mergeCell ref="A2:I2"/>
    <mergeCell ref="D9:E9"/>
    <mergeCell ref="A5:I5"/>
    <mergeCell ref="A8:I8"/>
    <mergeCell ref="A4:I4"/>
    <mergeCell ref="C31:C32"/>
    <mergeCell ref="C33:C34"/>
    <mergeCell ref="C25:C26"/>
    <mergeCell ref="F21:F22"/>
    <mergeCell ref="F23:F24"/>
    <mergeCell ref="F31:F32"/>
    <mergeCell ref="F33:F34"/>
    <mergeCell ref="D23:D24"/>
    <mergeCell ref="C23:C24"/>
    <mergeCell ref="G25:G26"/>
    <mergeCell ref="D27:D28"/>
    <mergeCell ref="D29:D30"/>
    <mergeCell ref="D25:D26"/>
    <mergeCell ref="C29:C30"/>
    <mergeCell ref="A1:I1"/>
    <mergeCell ref="C40:C45"/>
    <mergeCell ref="A39:A47"/>
    <mergeCell ref="G27:G28"/>
    <mergeCell ref="G29:G30"/>
    <mergeCell ref="G31:G32"/>
    <mergeCell ref="G33:G34"/>
    <mergeCell ref="F27:F28"/>
    <mergeCell ref="F29:F30"/>
    <mergeCell ref="G19:G20"/>
    <mergeCell ref="G21:G22"/>
    <mergeCell ref="G23:G24"/>
    <mergeCell ref="C39:H39"/>
    <mergeCell ref="D33:D34"/>
    <mergeCell ref="D31:D32"/>
    <mergeCell ref="F25:F26"/>
  </mergeCells>
  <printOptions horizontalCentered="1"/>
  <pageMargins left="0" right="0" top="0.59055118110236227" bottom="0" header="0" footer="0"/>
  <pageSetup paperSize="9" scale="91" orientation="portrait" horizontalDpi="1200" verticalDpi="1200" r:id="rId1"/>
  <colBreaks count="1" manualBreakCount="1">
    <brk id="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8"/>
  <sheetViews>
    <sheetView view="pageBreakPreview" topLeftCell="C1" zoomScale="80" zoomScaleNormal="80" zoomScaleSheetLayoutView="80" zoomScalePageLayoutView="80" workbookViewId="0">
      <selection activeCell="U1" sqref="U1"/>
    </sheetView>
  </sheetViews>
  <sheetFormatPr baseColWidth="10" defaultRowHeight="15" x14ac:dyDescent="0.25"/>
  <cols>
    <col min="1" max="1" width="6.140625" bestFit="1" customWidth="1"/>
    <col min="2" max="2" width="33.7109375" customWidth="1"/>
    <col min="3" max="3" width="11.5703125" customWidth="1"/>
    <col min="4" max="4" width="13.42578125" customWidth="1"/>
    <col min="5" max="5" width="8.7109375" style="88" customWidth="1"/>
    <col min="6" max="6" width="10.85546875" customWidth="1"/>
    <col min="7" max="7" width="13.5703125" customWidth="1"/>
    <col min="8" max="8" width="10.140625" customWidth="1"/>
    <col min="9" max="9" width="11.42578125" customWidth="1"/>
    <col min="10" max="10" width="14.42578125" customWidth="1"/>
    <col min="11" max="11" width="5.5703125" customWidth="1"/>
    <col min="12" max="12" width="13" bestFit="1" customWidth="1"/>
    <col min="13" max="13" width="32.140625" bestFit="1" customWidth="1"/>
    <col min="15" max="15" width="13.42578125" bestFit="1" customWidth="1"/>
  </cols>
  <sheetData>
    <row r="1" spans="1:26" ht="37.5" customHeight="1" x14ac:dyDescent="0.25">
      <c r="A1" s="414"/>
      <c r="B1" s="865" t="s">
        <v>536</v>
      </c>
      <c r="C1" s="865"/>
      <c r="D1" s="865"/>
      <c r="E1" s="865"/>
      <c r="F1" s="865"/>
      <c r="G1" s="865"/>
      <c r="H1" s="865"/>
      <c r="I1" s="865"/>
      <c r="J1" s="866"/>
      <c r="L1" s="215" t="s">
        <v>370</v>
      </c>
      <c r="M1" s="37" t="s">
        <v>3</v>
      </c>
      <c r="N1" s="217" t="s">
        <v>248</v>
      </c>
      <c r="O1" s="217" t="s">
        <v>391</v>
      </c>
      <c r="P1" s="160" t="s">
        <v>247</v>
      </c>
      <c r="Q1" s="160" t="s">
        <v>388</v>
      </c>
      <c r="R1" s="217" t="s">
        <v>395</v>
      </c>
      <c r="S1" s="47" t="s">
        <v>392</v>
      </c>
      <c r="T1" s="47" t="s">
        <v>393</v>
      </c>
      <c r="U1" s="47" t="s">
        <v>394</v>
      </c>
      <c r="Z1" s="88"/>
    </row>
    <row r="2" spans="1:26" ht="18" x14ac:dyDescent="0.25">
      <c r="A2" s="877" t="s">
        <v>720</v>
      </c>
      <c r="B2" s="878"/>
      <c r="C2" s="878"/>
      <c r="D2" s="878"/>
      <c r="E2" s="878"/>
      <c r="F2" s="878"/>
      <c r="G2" s="878"/>
      <c r="H2" s="878"/>
      <c r="I2" s="878"/>
      <c r="J2" s="879"/>
      <c r="L2" s="224">
        <v>3</v>
      </c>
      <c r="M2" s="899" t="s">
        <v>115</v>
      </c>
      <c r="N2" s="899"/>
      <c r="O2" s="899"/>
      <c r="P2" s="899"/>
      <c r="Q2" s="899"/>
      <c r="R2" s="899"/>
      <c r="S2" s="871" t="s">
        <v>14</v>
      </c>
      <c r="T2" s="871"/>
      <c r="U2" s="377">
        <f>SUM(U3:U12)</f>
        <v>48.251807381149597</v>
      </c>
    </row>
    <row r="3" spans="1:26" x14ac:dyDescent="0.25">
      <c r="A3" s="880" t="s">
        <v>397</v>
      </c>
      <c r="B3" s="881"/>
      <c r="C3" s="881"/>
      <c r="D3" s="881"/>
      <c r="E3" s="881"/>
      <c r="F3" s="881"/>
      <c r="G3" s="881"/>
      <c r="H3" s="881"/>
      <c r="I3" s="881"/>
      <c r="J3" s="882"/>
      <c r="L3" s="6">
        <v>3.01</v>
      </c>
      <c r="M3" s="153" t="s">
        <v>774</v>
      </c>
      <c r="N3" s="153"/>
      <c r="O3" s="153"/>
      <c r="P3" s="153"/>
      <c r="Q3" s="872" t="s">
        <v>782</v>
      </c>
      <c r="R3" s="872"/>
      <c r="S3" s="153"/>
      <c r="T3" s="154"/>
      <c r="U3" s="225">
        <f>('7,1Grafico'!G20*'7,1Grafico'!G22)/(200*'7,1Grafico'!G24)</f>
        <v>8.5284499999999999E-2</v>
      </c>
    </row>
    <row r="4" spans="1:26" x14ac:dyDescent="0.25">
      <c r="L4" s="6">
        <f>+L3+0.01</f>
        <v>3.0199999999999996</v>
      </c>
      <c r="M4" s="153" t="s">
        <v>775</v>
      </c>
      <c r="N4" s="153"/>
      <c r="O4" s="153"/>
      <c r="P4" s="153"/>
      <c r="Q4" s="872" t="s">
        <v>783</v>
      </c>
      <c r="R4" s="872"/>
      <c r="S4" s="153"/>
      <c r="T4" s="154"/>
      <c r="U4" s="225">
        <f>'7,1Grafico'!G20*'7,1Grafico'!G21/'7,1Grafico'!G23</f>
        <v>45.485066666666668</v>
      </c>
    </row>
    <row r="5" spans="1:26" ht="14.25" customHeight="1" x14ac:dyDescent="0.25">
      <c r="B5" s="338" t="s">
        <v>534</v>
      </c>
      <c r="C5" s="336">
        <v>12</v>
      </c>
      <c r="D5" s="370" t="s">
        <v>405</v>
      </c>
      <c r="E5" s="371" t="s">
        <v>423</v>
      </c>
      <c r="F5" s="371" t="s">
        <v>250</v>
      </c>
      <c r="G5" s="370" t="s">
        <v>389</v>
      </c>
      <c r="H5" s="233" t="s">
        <v>265</v>
      </c>
      <c r="I5" s="402" t="s">
        <v>412</v>
      </c>
      <c r="J5" s="371" t="s">
        <v>413</v>
      </c>
      <c r="L5" s="6">
        <f t="shared" ref="L5:L12" si="0">+L4+0.01</f>
        <v>3.0299999999999994</v>
      </c>
      <c r="M5" s="153" t="s">
        <v>120</v>
      </c>
      <c r="N5" s="153"/>
      <c r="O5" s="153"/>
      <c r="P5" s="153"/>
      <c r="Q5" s="872" t="s">
        <v>121</v>
      </c>
      <c r="R5" s="872"/>
      <c r="S5" s="153"/>
      <c r="T5" s="154"/>
      <c r="U5" s="225">
        <f>(('7,1Grafico'!G25*'7,1Grafico'!G21)/'7,1Grafico'!G26)/'2Maq'!B8</f>
        <v>0.45733333333333331</v>
      </c>
    </row>
    <row r="6" spans="1:26" ht="13.5" customHeight="1" x14ac:dyDescent="0.25">
      <c r="B6" s="337" t="s">
        <v>535</v>
      </c>
      <c r="C6" s="181">
        <f>+'2Maq'!B8</f>
        <v>10</v>
      </c>
      <c r="D6" s="372">
        <f>I6*G6*E6</f>
        <v>5000</v>
      </c>
      <c r="E6" s="373">
        <v>10</v>
      </c>
      <c r="F6" s="373">
        <f>G6*I6</f>
        <v>500</v>
      </c>
      <c r="G6" s="373">
        <v>25</v>
      </c>
      <c r="H6" s="234">
        <v>2.94</v>
      </c>
      <c r="I6" s="374">
        <v>20</v>
      </c>
      <c r="J6" s="372">
        <f>20-I6</f>
        <v>0</v>
      </c>
      <c r="L6" s="6">
        <f t="shared" si="0"/>
        <v>3.0399999999999991</v>
      </c>
      <c r="M6" s="153" t="s">
        <v>122</v>
      </c>
      <c r="N6" s="153"/>
      <c r="O6" s="153"/>
      <c r="P6" s="153"/>
      <c r="Q6" s="872" t="s">
        <v>410</v>
      </c>
      <c r="R6" s="872"/>
      <c r="S6" s="153"/>
      <c r="T6" s="154"/>
      <c r="U6" s="225">
        <f>+'[1]7chrFM'!$U$6</f>
        <v>6.562144829317455E-4</v>
      </c>
      <c r="W6" t="s">
        <v>595</v>
      </c>
    </row>
    <row r="7" spans="1:26" ht="38.25" x14ac:dyDescent="0.25">
      <c r="A7" s="215" t="s">
        <v>370</v>
      </c>
      <c r="B7" s="216" t="s">
        <v>3</v>
      </c>
      <c r="C7" s="217" t="s">
        <v>248</v>
      </c>
      <c r="D7" s="217" t="s">
        <v>391</v>
      </c>
      <c r="E7" s="160" t="s">
        <v>247</v>
      </c>
      <c r="F7" s="160" t="s">
        <v>388</v>
      </c>
      <c r="G7" s="217" t="s">
        <v>417</v>
      </c>
      <c r="H7" s="47" t="s">
        <v>392</v>
      </c>
      <c r="I7" s="47" t="s">
        <v>393</v>
      </c>
      <c r="J7" s="47" t="s">
        <v>394</v>
      </c>
      <c r="L7" s="6">
        <f t="shared" si="0"/>
        <v>3.0499999999999989</v>
      </c>
      <c r="M7" s="417" t="s">
        <v>787</v>
      </c>
      <c r="N7" s="230"/>
      <c r="O7" s="230"/>
      <c r="P7" s="37">
        <v>1</v>
      </c>
      <c r="Q7" s="37" t="s">
        <v>264</v>
      </c>
      <c r="R7" s="235">
        <f>($I$6+$J$6)*$G$6*$E$6</f>
        <v>5000</v>
      </c>
      <c r="S7" s="418">
        <f>P7/R7</f>
        <v>2.0000000000000001E-4</v>
      </c>
      <c r="T7" s="419">
        <v>3822</v>
      </c>
      <c r="U7" s="420">
        <f>S7*T7</f>
        <v>0.76440000000000008</v>
      </c>
    </row>
    <row r="8" spans="1:26" ht="14.25" customHeight="1" x14ac:dyDescent="0.25">
      <c r="A8" s="218">
        <v>1</v>
      </c>
      <c r="B8" s="885" t="s">
        <v>12</v>
      </c>
      <c r="C8" s="885"/>
      <c r="D8" s="885"/>
      <c r="E8" s="885"/>
      <c r="F8" s="885"/>
      <c r="G8" s="885"/>
      <c r="H8" s="893" t="s">
        <v>396</v>
      </c>
      <c r="I8" s="893"/>
      <c r="J8" s="375">
        <f>SUM(J9,J11,J36,J42,J53,J56,J63,J75,J78,J80,J47)</f>
        <v>25.593097666666672</v>
      </c>
      <c r="L8" s="6">
        <f t="shared" si="0"/>
        <v>3.0599999999999987</v>
      </c>
      <c r="M8" s="57" t="s">
        <v>246</v>
      </c>
      <c r="N8" s="230"/>
      <c r="O8" s="37" t="s">
        <v>266</v>
      </c>
      <c r="P8" s="559">
        <v>1</v>
      </c>
      <c r="Q8" s="37" t="s">
        <v>266</v>
      </c>
      <c r="R8" s="235">
        <f>+C6*D6</f>
        <v>50000</v>
      </c>
      <c r="S8" s="153">
        <f>P8/R8</f>
        <v>2.0000000000000002E-5</v>
      </c>
      <c r="T8" s="43">
        <v>800</v>
      </c>
      <c r="U8" s="225">
        <f>S8*T8</f>
        <v>1.6E-2</v>
      </c>
    </row>
    <row r="9" spans="1:26" ht="14.25" customHeight="1" x14ac:dyDescent="0.25">
      <c r="A9" s="847">
        <v>1.1000000000000001</v>
      </c>
      <c r="B9" s="886" t="s">
        <v>13</v>
      </c>
      <c r="C9" s="886"/>
      <c r="D9" s="886"/>
      <c r="E9" s="886"/>
      <c r="F9" s="886"/>
      <c r="G9" s="886"/>
      <c r="H9" s="851" t="s">
        <v>14</v>
      </c>
      <c r="I9" s="851"/>
      <c r="J9" s="221">
        <f>+J10</f>
        <v>0</v>
      </c>
      <c r="L9" s="6">
        <f t="shared" si="0"/>
        <v>3.0699999999999985</v>
      </c>
      <c r="M9" s="57" t="s">
        <v>785</v>
      </c>
      <c r="N9" s="57"/>
      <c r="O9" s="37" t="s">
        <v>786</v>
      </c>
      <c r="P9" s="37">
        <v>1</v>
      </c>
      <c r="Q9" s="37" t="s">
        <v>409</v>
      </c>
      <c r="R9" s="235">
        <f>+G76</f>
        <v>5000</v>
      </c>
      <c r="S9" s="68">
        <f>P9/R9</f>
        <v>2.0000000000000001E-4</v>
      </c>
      <c r="T9" s="279">
        <f>1800*H6</f>
        <v>5292</v>
      </c>
      <c r="U9" s="68">
        <f>S9*T9</f>
        <v>1.0584</v>
      </c>
    </row>
    <row r="10" spans="1:26" ht="14.25" customHeight="1" x14ac:dyDescent="0.25">
      <c r="A10" s="847"/>
      <c r="B10" s="57" t="s">
        <v>15</v>
      </c>
      <c r="C10" s="57"/>
      <c r="D10" s="41" t="s">
        <v>404</v>
      </c>
      <c r="E10" s="41">
        <v>4.5</v>
      </c>
      <c r="F10" s="41" t="s">
        <v>406</v>
      </c>
      <c r="G10" s="41"/>
      <c r="H10" s="45">
        <f>E10</f>
        <v>4.5</v>
      </c>
      <c r="I10" s="43">
        <f>'3insumo'!F50</f>
        <v>0</v>
      </c>
      <c r="J10" s="219">
        <f>H10*I10</f>
        <v>0</v>
      </c>
      <c r="L10" s="6">
        <f t="shared" si="0"/>
        <v>3.0799999999999983</v>
      </c>
      <c r="M10" s="153" t="s">
        <v>124</v>
      </c>
      <c r="N10" s="153"/>
      <c r="O10" s="153"/>
      <c r="P10" s="154"/>
      <c r="Q10" s="872" t="s">
        <v>125</v>
      </c>
      <c r="R10" s="872"/>
      <c r="S10" s="153"/>
      <c r="T10" s="154">
        <v>51622.49</v>
      </c>
      <c r="U10" s="225">
        <f>(('7,1Grafico'!G28*'7,1Grafico'!G21)/'7,1Grafico'!G29)/'2Maq'!B8</f>
        <v>0.13866666666666666</v>
      </c>
    </row>
    <row r="11" spans="1:26" ht="14.25" customHeight="1" x14ac:dyDescent="0.25">
      <c r="A11" s="847">
        <v>1.2</v>
      </c>
      <c r="B11" s="887" t="s">
        <v>18</v>
      </c>
      <c r="C11" s="888"/>
      <c r="D11" s="888"/>
      <c r="E11" s="888"/>
      <c r="F11" s="888"/>
      <c r="G11" s="889"/>
      <c r="H11" s="904" t="s">
        <v>14</v>
      </c>
      <c r="I11" s="904"/>
      <c r="J11" s="220">
        <f>SUM(J12:J35)</f>
        <v>0</v>
      </c>
      <c r="L11" s="6">
        <f t="shared" si="0"/>
        <v>3.0899999999999981</v>
      </c>
      <c r="M11" s="153" t="s">
        <v>127</v>
      </c>
      <c r="N11" s="153"/>
      <c r="O11" s="153"/>
      <c r="P11" s="6">
        <v>1</v>
      </c>
      <c r="Q11" s="154"/>
      <c r="R11" s="154">
        <f>+C6*D6</f>
        <v>50000</v>
      </c>
      <c r="S11" s="153">
        <f>P11/R11</f>
        <v>2.0000000000000002E-5</v>
      </c>
      <c r="T11" s="154">
        <v>12000</v>
      </c>
      <c r="U11" s="68">
        <f>S11*T11</f>
        <v>0.24000000000000002</v>
      </c>
    </row>
    <row r="12" spans="1:26" ht="14.25" customHeight="1" thickBot="1" x14ac:dyDescent="0.3">
      <c r="A12" s="847"/>
      <c r="B12" s="535" t="s">
        <v>721</v>
      </c>
      <c r="C12" s="551" t="str">
        <f>'3insumo'!C10</f>
        <v>P15400500</v>
      </c>
      <c r="D12" s="536" t="s">
        <v>722</v>
      </c>
      <c r="E12" s="536">
        <v>9.25</v>
      </c>
      <c r="F12" s="537" t="s">
        <v>406</v>
      </c>
      <c r="G12" s="538">
        <v>250</v>
      </c>
      <c r="H12" s="539">
        <f>E12/G12</f>
        <v>3.6999999999999998E-2</v>
      </c>
      <c r="I12" s="540">
        <f>'3insumo'!G10</f>
        <v>0</v>
      </c>
      <c r="J12" s="541">
        <f t="shared" ref="J12:J17" si="1">H12*I12</f>
        <v>0</v>
      </c>
      <c r="L12" s="273">
        <f t="shared" si="0"/>
        <v>3.0999999999999979</v>
      </c>
      <c r="M12" s="153" t="s">
        <v>128</v>
      </c>
      <c r="N12" s="153"/>
      <c r="O12" s="153"/>
      <c r="P12" s="274">
        <v>1</v>
      </c>
      <c r="Q12" s="154"/>
      <c r="R12" s="154">
        <f>+C6*D6</f>
        <v>50000</v>
      </c>
      <c r="S12" s="153">
        <f>P12/R12</f>
        <v>2.0000000000000002E-5</v>
      </c>
      <c r="T12" s="154">
        <v>300</v>
      </c>
      <c r="U12" s="68">
        <f>S12*T12</f>
        <v>6.0000000000000001E-3</v>
      </c>
    </row>
    <row r="13" spans="1:26" ht="14.25" customHeight="1" thickTop="1" thickBot="1" x14ac:dyDescent="0.3">
      <c r="A13" s="847"/>
      <c r="B13" s="535" t="s">
        <v>723</v>
      </c>
      <c r="C13" s="551" t="str">
        <f>'3insumo'!C11</f>
        <v>TO4300500</v>
      </c>
      <c r="D13" s="537" t="s">
        <v>724</v>
      </c>
      <c r="E13" s="537">
        <v>4.3600000000000003</v>
      </c>
      <c r="F13" s="537" t="s">
        <v>406</v>
      </c>
      <c r="G13" s="542">
        <v>1000</v>
      </c>
      <c r="H13" s="539">
        <f>E13/G13</f>
        <v>4.3600000000000002E-3</v>
      </c>
      <c r="I13" s="540">
        <f>'3insumo'!G11</f>
        <v>0</v>
      </c>
      <c r="J13" s="541">
        <f t="shared" si="1"/>
        <v>0</v>
      </c>
      <c r="L13" s="897"/>
      <c r="M13" s="898"/>
      <c r="N13" s="894" t="s">
        <v>295</v>
      </c>
      <c r="O13" s="895"/>
      <c r="P13" s="895"/>
      <c r="Q13" s="895"/>
      <c r="R13" s="895"/>
      <c r="S13" s="896"/>
      <c r="T13" s="415" t="s">
        <v>130</v>
      </c>
      <c r="U13" s="416">
        <f>U2+J8</f>
        <v>73.844905047816269</v>
      </c>
    </row>
    <row r="14" spans="1:26" ht="14.25" customHeight="1" thickTop="1" thickBot="1" x14ac:dyDescent="0.3">
      <c r="A14" s="847"/>
      <c r="B14" s="535" t="s">
        <v>725</v>
      </c>
      <c r="C14" s="536" t="str">
        <f>'3insumo'!C11</f>
        <v>TO4300500</v>
      </c>
      <c r="D14" s="537" t="s">
        <v>724</v>
      </c>
      <c r="E14" s="537">
        <v>4.76</v>
      </c>
      <c r="F14" s="537" t="s">
        <v>406</v>
      </c>
      <c r="G14" s="542">
        <v>2000</v>
      </c>
      <c r="H14" s="539">
        <f>E14/G14</f>
        <v>2.3799999999999997E-3</v>
      </c>
      <c r="I14" s="540">
        <f>'3insumo'!G11</f>
        <v>0</v>
      </c>
      <c r="J14" s="541">
        <f t="shared" si="1"/>
        <v>0</v>
      </c>
      <c r="L14" s="226">
        <v>4</v>
      </c>
      <c r="M14" s="900" t="s">
        <v>283</v>
      </c>
      <c r="N14" s="901"/>
      <c r="O14" s="901"/>
      <c r="P14" s="901"/>
      <c r="Q14" s="901"/>
      <c r="R14" s="902"/>
      <c r="S14" s="903" t="s">
        <v>14</v>
      </c>
      <c r="T14" s="903"/>
      <c r="U14" s="380">
        <f>+(U15+U47+U68)</f>
        <v>4.810339840000001</v>
      </c>
    </row>
    <row r="15" spans="1:26" ht="14.25" customHeight="1" thickTop="1" x14ac:dyDescent="0.25">
      <c r="A15" s="892"/>
      <c r="B15" s="535" t="s">
        <v>726</v>
      </c>
      <c r="C15" s="536" t="str">
        <f>'3insumo'!C11</f>
        <v>TO4300500</v>
      </c>
      <c r="D15" s="537" t="s">
        <v>724</v>
      </c>
      <c r="E15" s="537">
        <v>0.34</v>
      </c>
      <c r="F15" s="537" t="s">
        <v>406</v>
      </c>
      <c r="G15" s="542">
        <v>2000</v>
      </c>
      <c r="H15" s="539">
        <f>E15/G15</f>
        <v>1.7000000000000001E-4</v>
      </c>
      <c r="I15" s="540">
        <f>'3insumo'!G11</f>
        <v>0</v>
      </c>
      <c r="J15" s="541">
        <f t="shared" si="1"/>
        <v>0</v>
      </c>
      <c r="L15" s="803">
        <v>4.0999999999999996</v>
      </c>
      <c r="M15" s="890" t="s">
        <v>60</v>
      </c>
      <c r="N15" s="891"/>
      <c r="O15" s="227"/>
      <c r="P15" s="227"/>
      <c r="Q15" s="227"/>
      <c r="R15" s="227"/>
      <c r="S15" s="228"/>
      <c r="T15" s="228"/>
      <c r="U15" s="229">
        <f>SUM(U16:U46)</f>
        <v>4.3184340000000008</v>
      </c>
    </row>
    <row r="16" spans="1:26" ht="14.25" customHeight="1" x14ac:dyDescent="0.25">
      <c r="A16" s="892"/>
      <c r="B16" s="535" t="s">
        <v>727</v>
      </c>
      <c r="C16" s="536" t="str">
        <f>'3insumo'!C12</f>
        <v>TO4100500</v>
      </c>
      <c r="D16" s="537" t="s">
        <v>728</v>
      </c>
      <c r="E16" s="536">
        <v>49.67</v>
      </c>
      <c r="F16" s="537" t="s">
        <v>406</v>
      </c>
      <c r="G16" s="542">
        <v>5000</v>
      </c>
      <c r="H16" s="539">
        <f>E16/G16</f>
        <v>9.9340000000000001E-3</v>
      </c>
      <c r="I16" s="540">
        <f>'3insumo'!F12</f>
        <v>0</v>
      </c>
      <c r="J16" s="541">
        <f t="shared" si="1"/>
        <v>0</v>
      </c>
      <c r="L16" s="804"/>
      <c r="M16" s="883" t="s">
        <v>296</v>
      </c>
      <c r="N16" s="884"/>
      <c r="O16" s="785" t="s">
        <v>371</v>
      </c>
      <c r="P16" s="785">
        <v>3</v>
      </c>
      <c r="Q16" s="6" t="s">
        <v>252</v>
      </c>
      <c r="R16" s="820">
        <f>+$F$6*$C$6</f>
        <v>5000</v>
      </c>
      <c r="S16" s="822">
        <f>($P$16/$R$16)</f>
        <v>5.9999999999999995E-4</v>
      </c>
      <c r="T16" s="43">
        <f>'6SueAct'!H11</f>
        <v>0</v>
      </c>
      <c r="U16" s="238">
        <f>S16*T16</f>
        <v>0</v>
      </c>
      <c r="V16" s="811" t="s">
        <v>602</v>
      </c>
      <c r="W16" s="811"/>
      <c r="X16" s="811"/>
      <c r="Y16" s="812">
        <f>SUM(U16:U21)</f>
        <v>0</v>
      </c>
    </row>
    <row r="17" spans="1:25" ht="14.25" customHeight="1" x14ac:dyDescent="0.25">
      <c r="A17" s="847"/>
      <c r="B17" s="543" t="s">
        <v>729</v>
      </c>
      <c r="C17" s="536" t="s">
        <v>730</v>
      </c>
      <c r="D17" s="536" t="s">
        <v>731</v>
      </c>
      <c r="E17" s="536">
        <v>1</v>
      </c>
      <c r="F17" s="536" t="s">
        <v>368</v>
      </c>
      <c r="G17" s="538">
        <v>100</v>
      </c>
      <c r="H17" s="905">
        <f>(E17/G17)+(E18/G18)+(E19/G19)+(E20/G20)+(E21/G21)</f>
        <v>3.8000000000000006E-2</v>
      </c>
      <c r="I17" s="906">
        <f>'3insumo'!F16</f>
        <v>0</v>
      </c>
      <c r="J17" s="907">
        <f t="shared" si="1"/>
        <v>0</v>
      </c>
      <c r="L17" s="804"/>
      <c r="M17" s="831" t="s">
        <v>400</v>
      </c>
      <c r="N17" s="832"/>
      <c r="O17" s="786"/>
      <c r="P17" s="786"/>
      <c r="Q17" s="6" t="s">
        <v>259</v>
      </c>
      <c r="R17" s="821"/>
      <c r="S17" s="824"/>
      <c r="T17" s="43">
        <f>'6SueAct'!H12</f>
        <v>0</v>
      </c>
      <c r="U17" s="238">
        <f>S16*T17</f>
        <v>0</v>
      </c>
      <c r="V17" s="811"/>
      <c r="W17" s="811"/>
      <c r="X17" s="811"/>
      <c r="Y17" s="812"/>
    </row>
    <row r="18" spans="1:25" ht="14.25" customHeight="1" x14ac:dyDescent="0.25">
      <c r="A18" s="847"/>
      <c r="B18" s="543" t="s">
        <v>732</v>
      </c>
      <c r="C18" s="536" t="s">
        <v>730</v>
      </c>
      <c r="D18" s="536" t="s">
        <v>731</v>
      </c>
      <c r="E18" s="536">
        <v>1</v>
      </c>
      <c r="F18" s="536" t="s">
        <v>368</v>
      </c>
      <c r="G18" s="538">
        <v>100</v>
      </c>
      <c r="H18" s="905"/>
      <c r="I18" s="906"/>
      <c r="J18" s="907"/>
      <c r="L18" s="804"/>
      <c r="M18" s="873" t="s">
        <v>605</v>
      </c>
      <c r="N18" s="874"/>
      <c r="O18" s="833" t="s">
        <v>371</v>
      </c>
      <c r="P18" s="833">
        <v>0</v>
      </c>
      <c r="Q18" s="406" t="s">
        <v>574</v>
      </c>
      <c r="R18" s="867">
        <f>+$F$6*$C$6</f>
        <v>5000</v>
      </c>
      <c r="S18" s="869">
        <f>($P$18/$R$18)</f>
        <v>0</v>
      </c>
      <c r="T18" s="407">
        <f>+'6SueAct'!H13</f>
        <v>0</v>
      </c>
      <c r="U18" s="408">
        <f>S18*T18</f>
        <v>0</v>
      </c>
      <c r="V18" s="811"/>
      <c r="W18" s="811"/>
      <c r="X18" s="811"/>
      <c r="Y18" s="812"/>
    </row>
    <row r="19" spans="1:25" ht="14.25" customHeight="1" x14ac:dyDescent="0.25">
      <c r="A19" s="847"/>
      <c r="B19" s="543" t="s">
        <v>733</v>
      </c>
      <c r="C19" s="536" t="s">
        <v>730</v>
      </c>
      <c r="D19" s="536" t="s">
        <v>731</v>
      </c>
      <c r="E19" s="536">
        <v>1</v>
      </c>
      <c r="F19" s="536" t="s">
        <v>368</v>
      </c>
      <c r="G19" s="538">
        <v>100</v>
      </c>
      <c r="H19" s="905"/>
      <c r="I19" s="906"/>
      <c r="J19" s="907"/>
      <c r="L19" s="804"/>
      <c r="M19" s="875" t="s">
        <v>550</v>
      </c>
      <c r="N19" s="876"/>
      <c r="O19" s="834"/>
      <c r="P19" s="834"/>
      <c r="Q19" s="406" t="s">
        <v>575</v>
      </c>
      <c r="R19" s="868"/>
      <c r="S19" s="870"/>
      <c r="T19" s="407">
        <f>+'6SueAct'!H14</f>
        <v>0</v>
      </c>
      <c r="U19" s="408">
        <f>S18*T19</f>
        <v>0</v>
      </c>
      <c r="V19" s="811"/>
      <c r="W19" s="811"/>
      <c r="X19" s="811"/>
      <c r="Y19" s="812"/>
    </row>
    <row r="20" spans="1:25" ht="14.25" customHeight="1" x14ac:dyDescent="0.25">
      <c r="A20" s="847"/>
      <c r="B20" s="543" t="s">
        <v>734</v>
      </c>
      <c r="C20" s="536" t="s">
        <v>735</v>
      </c>
      <c r="D20" s="536" t="s">
        <v>731</v>
      </c>
      <c r="E20" s="536">
        <v>1</v>
      </c>
      <c r="F20" s="536" t="s">
        <v>368</v>
      </c>
      <c r="G20" s="538">
        <v>250</v>
      </c>
      <c r="H20" s="905"/>
      <c r="I20" s="906"/>
      <c r="J20" s="907"/>
      <c r="L20" s="804"/>
      <c r="M20" s="873" t="s">
        <v>606</v>
      </c>
      <c r="N20" s="874"/>
      <c r="O20" s="833" t="s">
        <v>371</v>
      </c>
      <c r="P20" s="833">
        <v>0</v>
      </c>
      <c r="Q20" s="406" t="s">
        <v>574</v>
      </c>
      <c r="R20" s="867">
        <f>+$F$6*$C$6</f>
        <v>5000</v>
      </c>
      <c r="S20" s="869">
        <f>(P20/R20)</f>
        <v>0</v>
      </c>
      <c r="T20" s="407">
        <f>+'6SueAct'!H15</f>
        <v>0</v>
      </c>
      <c r="U20" s="408">
        <f>S20*T20</f>
        <v>0</v>
      </c>
      <c r="V20" s="811"/>
      <c r="W20" s="811"/>
      <c r="X20" s="811"/>
      <c r="Y20" s="812"/>
    </row>
    <row r="21" spans="1:25" ht="23.25" customHeight="1" x14ac:dyDescent="0.25">
      <c r="A21" s="847"/>
      <c r="B21" s="543" t="s">
        <v>736</v>
      </c>
      <c r="C21" s="536" t="s">
        <v>735</v>
      </c>
      <c r="D21" s="536" t="s">
        <v>731</v>
      </c>
      <c r="E21" s="536">
        <v>1</v>
      </c>
      <c r="F21" s="536" t="s">
        <v>368</v>
      </c>
      <c r="G21" s="538">
        <v>250</v>
      </c>
      <c r="H21" s="905"/>
      <c r="I21" s="906"/>
      <c r="J21" s="907"/>
      <c r="L21" s="804"/>
      <c r="M21" s="875" t="s">
        <v>577</v>
      </c>
      <c r="N21" s="876"/>
      <c r="O21" s="834"/>
      <c r="P21" s="834"/>
      <c r="Q21" s="406" t="s">
        <v>576</v>
      </c>
      <c r="R21" s="868"/>
      <c r="S21" s="870"/>
      <c r="T21" s="407">
        <f>+'6SueAct'!H16</f>
        <v>0</v>
      </c>
      <c r="U21" s="408">
        <f>S20*T21</f>
        <v>0</v>
      </c>
      <c r="V21" s="811"/>
      <c r="W21" s="811"/>
      <c r="X21" s="811"/>
      <c r="Y21" s="812"/>
    </row>
    <row r="22" spans="1:25" ht="15" customHeight="1" x14ac:dyDescent="0.25">
      <c r="A22" s="847"/>
      <c r="B22" s="535" t="s">
        <v>737</v>
      </c>
      <c r="C22" s="536">
        <f>'3insumo'!C19</f>
        <v>6001856110</v>
      </c>
      <c r="D22" s="536" t="s">
        <v>333</v>
      </c>
      <c r="E22" s="536">
        <v>1</v>
      </c>
      <c r="F22" s="536" t="s">
        <v>179</v>
      </c>
      <c r="G22" s="538">
        <v>500</v>
      </c>
      <c r="H22" s="539">
        <f t="shared" ref="H22:H32" si="2">E22/G22</f>
        <v>2E-3</v>
      </c>
      <c r="I22" s="540">
        <f>'3insumo'!G19</f>
        <v>0</v>
      </c>
      <c r="J22" s="541">
        <f t="shared" ref="J22:J32" si="3">H22*I22</f>
        <v>0</v>
      </c>
      <c r="L22" s="804"/>
      <c r="M22" s="883" t="s">
        <v>170</v>
      </c>
      <c r="N22" s="884"/>
      <c r="O22" s="785" t="s">
        <v>371</v>
      </c>
      <c r="P22" s="785">
        <v>2</v>
      </c>
      <c r="Q22" s="6" t="s">
        <v>252</v>
      </c>
      <c r="R22" s="820">
        <f>+$F$6*$C$6</f>
        <v>5000</v>
      </c>
      <c r="S22" s="822">
        <f>(P22/R22)</f>
        <v>4.0000000000000002E-4</v>
      </c>
      <c r="T22" s="43">
        <f>'6SueAct'!H17</f>
        <v>0</v>
      </c>
      <c r="U22" s="238">
        <f>S22*T22</f>
        <v>0</v>
      </c>
      <c r="V22" s="811" t="s">
        <v>603</v>
      </c>
      <c r="W22" s="811"/>
      <c r="X22" s="811"/>
      <c r="Y22" s="813">
        <f>SUM(U22:U25)+SUM(U40:U41)</f>
        <v>0</v>
      </c>
    </row>
    <row r="23" spans="1:25" ht="14.25" customHeight="1" x14ac:dyDescent="0.25">
      <c r="A23" s="847"/>
      <c r="B23" s="535" t="s">
        <v>738</v>
      </c>
      <c r="C23" s="536">
        <f>'3insumo'!C20</f>
        <v>6001856120</v>
      </c>
      <c r="D23" s="536" t="str">
        <f>+D22</f>
        <v>KOMATSU</v>
      </c>
      <c r="E23" s="536">
        <v>1</v>
      </c>
      <c r="F23" s="536" t="s">
        <v>179</v>
      </c>
      <c r="G23" s="538">
        <v>500</v>
      </c>
      <c r="H23" s="539">
        <f t="shared" si="2"/>
        <v>2E-3</v>
      </c>
      <c r="I23" s="540">
        <f>'3insumo'!F20</f>
        <v>0</v>
      </c>
      <c r="J23" s="541">
        <f t="shared" si="3"/>
        <v>0</v>
      </c>
      <c r="L23" s="804"/>
      <c r="M23" s="831" t="s">
        <v>434</v>
      </c>
      <c r="N23" s="832"/>
      <c r="O23" s="786"/>
      <c r="P23" s="786"/>
      <c r="Q23" s="6" t="s">
        <v>259</v>
      </c>
      <c r="R23" s="821"/>
      <c r="S23" s="824"/>
      <c r="T23" s="43">
        <f>'6SueAct'!H18</f>
        <v>0</v>
      </c>
      <c r="U23" s="238">
        <f>S22*T23</f>
        <v>0</v>
      </c>
      <c r="V23" s="811"/>
      <c r="W23" s="811"/>
      <c r="X23" s="811"/>
      <c r="Y23" s="813"/>
    </row>
    <row r="24" spans="1:25" ht="14.25" customHeight="1" x14ac:dyDescent="0.25">
      <c r="A24" s="847"/>
      <c r="B24" s="535" t="s">
        <v>739</v>
      </c>
      <c r="C24" s="536">
        <f>'3insumo'!C21</f>
        <v>6742014540</v>
      </c>
      <c r="D24" s="536" t="str">
        <f>+D22</f>
        <v>KOMATSU</v>
      </c>
      <c r="E24" s="536">
        <v>1</v>
      </c>
      <c r="F24" s="536" t="s">
        <v>179</v>
      </c>
      <c r="G24" s="538">
        <v>250</v>
      </c>
      <c r="H24" s="539">
        <f t="shared" si="2"/>
        <v>4.0000000000000001E-3</v>
      </c>
      <c r="I24" s="540">
        <f>'3insumo'!F21</f>
        <v>0</v>
      </c>
      <c r="J24" s="541">
        <f t="shared" si="3"/>
        <v>0</v>
      </c>
      <c r="L24" s="804"/>
      <c r="M24" s="883" t="s">
        <v>64</v>
      </c>
      <c r="N24" s="884"/>
      <c r="O24" s="785" t="s">
        <v>371</v>
      </c>
      <c r="P24" s="785">
        <v>2</v>
      </c>
      <c r="Q24" s="6" t="s">
        <v>252</v>
      </c>
      <c r="R24" s="820">
        <f>+$F$6*$C$6</f>
        <v>5000</v>
      </c>
      <c r="S24" s="822">
        <f>(P24/R24)</f>
        <v>4.0000000000000002E-4</v>
      </c>
      <c r="T24" s="43">
        <f>'6SueAct'!H19</f>
        <v>0</v>
      </c>
      <c r="U24" s="238">
        <f>S24*T24</f>
        <v>0</v>
      </c>
      <c r="V24" s="811"/>
      <c r="W24" s="811"/>
      <c r="X24" s="811"/>
      <c r="Y24" s="813"/>
    </row>
    <row r="25" spans="1:25" ht="14.25" customHeight="1" x14ac:dyDescent="0.25">
      <c r="A25" s="847"/>
      <c r="B25" s="535" t="s">
        <v>740</v>
      </c>
      <c r="C25" s="536">
        <f>'3insumo'!C22</f>
        <v>6003193610</v>
      </c>
      <c r="D25" s="536" t="str">
        <f>+D22</f>
        <v>KOMATSU</v>
      </c>
      <c r="E25" s="536">
        <v>1</v>
      </c>
      <c r="F25" s="536" t="s">
        <v>179</v>
      </c>
      <c r="G25" s="538">
        <v>250</v>
      </c>
      <c r="H25" s="539">
        <f t="shared" si="2"/>
        <v>4.0000000000000001E-3</v>
      </c>
      <c r="I25" s="540">
        <f>'3insumo'!F22</f>
        <v>0</v>
      </c>
      <c r="J25" s="541">
        <f t="shared" si="3"/>
        <v>0</v>
      </c>
      <c r="L25" s="804"/>
      <c r="M25" s="883" t="s">
        <v>435</v>
      </c>
      <c r="N25" s="884"/>
      <c r="O25" s="786"/>
      <c r="P25" s="786"/>
      <c r="Q25" s="6" t="s">
        <v>260</v>
      </c>
      <c r="R25" s="821"/>
      <c r="S25" s="824"/>
      <c r="T25" s="43">
        <f>'6SueAct'!H20</f>
        <v>0</v>
      </c>
      <c r="U25" s="238">
        <f>S24*T25</f>
        <v>0</v>
      </c>
      <c r="V25" s="811"/>
      <c r="W25" s="811"/>
      <c r="X25" s="811"/>
      <c r="Y25" s="813"/>
    </row>
    <row r="26" spans="1:25" ht="14.25" customHeight="1" x14ac:dyDescent="0.25">
      <c r="A26" s="847"/>
      <c r="B26" s="535" t="s">
        <v>741</v>
      </c>
      <c r="C26" s="536">
        <f>'3insumo'!C23</f>
        <v>6754796140</v>
      </c>
      <c r="D26" s="536" t="str">
        <f>+D22</f>
        <v>KOMATSU</v>
      </c>
      <c r="E26" s="536">
        <v>1</v>
      </c>
      <c r="F26" s="536" t="s">
        <v>179</v>
      </c>
      <c r="G26" s="538">
        <v>250</v>
      </c>
      <c r="H26" s="539">
        <f t="shared" si="2"/>
        <v>4.0000000000000001E-3</v>
      </c>
      <c r="I26" s="540">
        <f>'3insumo'!F23</f>
        <v>0</v>
      </c>
      <c r="J26" s="541">
        <f t="shared" si="3"/>
        <v>0</v>
      </c>
      <c r="L26" s="804"/>
      <c r="M26" s="883" t="s">
        <v>67</v>
      </c>
      <c r="N26" s="884"/>
      <c r="O26" s="785" t="s">
        <v>578</v>
      </c>
      <c r="P26" s="785">
        <v>2</v>
      </c>
      <c r="Q26" s="6" t="s">
        <v>252</v>
      </c>
      <c r="R26" s="820">
        <f>+$F$6*$C$6</f>
        <v>5000</v>
      </c>
      <c r="S26" s="822">
        <f>(P26/R26)</f>
        <v>4.0000000000000002E-4</v>
      </c>
      <c r="T26" s="43">
        <f>'6SueAct'!H21</f>
        <v>0</v>
      </c>
      <c r="U26" s="238">
        <f>S26*T26</f>
        <v>0</v>
      </c>
      <c r="V26" s="814" t="s">
        <v>604</v>
      </c>
      <c r="W26" s="814"/>
      <c r="X26" s="814"/>
      <c r="Y26" s="817">
        <f>SUM(U26:U41)</f>
        <v>0</v>
      </c>
    </row>
    <row r="27" spans="1:25" ht="14.25" customHeight="1" x14ac:dyDescent="0.25">
      <c r="A27" s="847"/>
      <c r="B27" s="535" t="s">
        <v>742</v>
      </c>
      <c r="C27" s="536">
        <f>'3insumo'!C27</f>
        <v>2076071182</v>
      </c>
      <c r="D27" s="536" t="str">
        <f>+D23</f>
        <v>KOMATSU</v>
      </c>
      <c r="E27" s="536">
        <v>1</v>
      </c>
      <c r="F27" s="536" t="s">
        <v>179</v>
      </c>
      <c r="G27" s="538">
        <v>1000</v>
      </c>
      <c r="H27" s="539">
        <f>E27/G27</f>
        <v>1E-3</v>
      </c>
      <c r="I27" s="540">
        <f>'3insumo'!F27</f>
        <v>0</v>
      </c>
      <c r="J27" s="541">
        <f>H27*I27</f>
        <v>0</v>
      </c>
      <c r="L27" s="804"/>
      <c r="M27" s="831" t="s">
        <v>436</v>
      </c>
      <c r="N27" s="832"/>
      <c r="O27" s="786"/>
      <c r="P27" s="786"/>
      <c r="Q27" s="6" t="s">
        <v>581</v>
      </c>
      <c r="R27" s="821"/>
      <c r="S27" s="824"/>
      <c r="T27" s="43">
        <f>'6SueAct'!H22</f>
        <v>0</v>
      </c>
      <c r="U27" s="238">
        <f>S26*T27</f>
        <v>0</v>
      </c>
      <c r="V27" s="815"/>
      <c r="W27" s="815"/>
      <c r="X27" s="815"/>
      <c r="Y27" s="818"/>
    </row>
    <row r="28" spans="1:25" x14ac:dyDescent="0.25">
      <c r="A28" s="847"/>
      <c r="B28" s="535" t="s">
        <v>743</v>
      </c>
      <c r="C28" s="536">
        <f>'3insumo'!C28</f>
        <v>6004111191</v>
      </c>
      <c r="D28" s="536" t="str">
        <f>+D22</f>
        <v>KOMATSU</v>
      </c>
      <c r="E28" s="536">
        <v>1</v>
      </c>
      <c r="F28" s="536" t="s">
        <v>179</v>
      </c>
      <c r="G28" s="538">
        <v>1000</v>
      </c>
      <c r="H28" s="539">
        <f t="shared" si="2"/>
        <v>1E-3</v>
      </c>
      <c r="I28" s="540">
        <f>'3insumo'!F28</f>
        <v>0</v>
      </c>
      <c r="J28" s="541">
        <f t="shared" si="3"/>
        <v>0</v>
      </c>
      <c r="L28" s="804"/>
      <c r="M28" s="831" t="s">
        <v>71</v>
      </c>
      <c r="N28" s="832"/>
      <c r="O28" s="785" t="s">
        <v>578</v>
      </c>
      <c r="P28" s="785">
        <v>2</v>
      </c>
      <c r="Q28" s="6" t="s">
        <v>252</v>
      </c>
      <c r="R28" s="820">
        <f>+$F$6*$C$6</f>
        <v>5000</v>
      </c>
      <c r="S28" s="822">
        <f>(P28/R28)</f>
        <v>4.0000000000000002E-4</v>
      </c>
      <c r="T28" s="43">
        <f>'6SueAct'!H23</f>
        <v>0</v>
      </c>
      <c r="U28" s="238">
        <f t="shared" ref="U28:U40" si="4">S28*T28</f>
        <v>0</v>
      </c>
      <c r="V28" s="815"/>
      <c r="W28" s="815"/>
      <c r="X28" s="815"/>
      <c r="Y28" s="818"/>
    </row>
    <row r="29" spans="1:25" ht="14.25" customHeight="1" x14ac:dyDescent="0.25">
      <c r="A29" s="847"/>
      <c r="B29" s="535" t="s">
        <v>744</v>
      </c>
      <c r="C29" s="536">
        <f>'3insumo'!C24</f>
        <v>2089797620</v>
      </c>
      <c r="D29" s="536" t="str">
        <f>+D23</f>
        <v>KOMATSU</v>
      </c>
      <c r="E29" s="536">
        <v>1</v>
      </c>
      <c r="F29" s="536" t="s">
        <v>179</v>
      </c>
      <c r="G29" s="538">
        <f>+D6</f>
        <v>5000</v>
      </c>
      <c r="H29" s="539">
        <f>E29/G29</f>
        <v>2.0000000000000001E-4</v>
      </c>
      <c r="I29" s="540">
        <f>'3insumo'!F24</f>
        <v>0</v>
      </c>
      <c r="J29" s="541">
        <f>H29*I29</f>
        <v>0</v>
      </c>
      <c r="L29" s="804"/>
      <c r="M29" s="831" t="s">
        <v>437</v>
      </c>
      <c r="N29" s="832"/>
      <c r="O29" s="786"/>
      <c r="P29" s="786"/>
      <c r="Q29" s="6" t="s">
        <v>262</v>
      </c>
      <c r="R29" s="821"/>
      <c r="S29" s="824"/>
      <c r="T29" s="43">
        <f>'6SueAct'!H24</f>
        <v>0</v>
      </c>
      <c r="U29" s="238">
        <f>S28*T29</f>
        <v>0</v>
      </c>
      <c r="V29" s="815"/>
      <c r="W29" s="815"/>
      <c r="X29" s="815"/>
      <c r="Y29" s="818"/>
    </row>
    <row r="30" spans="1:25" x14ac:dyDescent="0.25">
      <c r="A30" s="847"/>
      <c r="B30" s="535" t="s">
        <v>745</v>
      </c>
      <c r="C30" s="536" t="str">
        <f>'3insumo'!C25</f>
        <v>17M9113530</v>
      </c>
      <c r="D30" s="536" t="str">
        <f>+D24</f>
        <v>KOMATSU</v>
      </c>
      <c r="E30" s="536">
        <v>1</v>
      </c>
      <c r="F30" s="536" t="s">
        <v>179</v>
      </c>
      <c r="G30" s="538">
        <f>G29</f>
        <v>5000</v>
      </c>
      <c r="H30" s="539">
        <f>E30/G30</f>
        <v>2.0000000000000001E-4</v>
      </c>
      <c r="I30" s="540">
        <f>'3insumo'!F25</f>
        <v>0</v>
      </c>
      <c r="J30" s="541">
        <f>H30*I30</f>
        <v>0</v>
      </c>
      <c r="L30" s="804"/>
      <c r="M30" s="831" t="s">
        <v>579</v>
      </c>
      <c r="N30" s="832"/>
      <c r="O30" s="785" t="s">
        <v>578</v>
      </c>
      <c r="P30" s="785">
        <v>0</v>
      </c>
      <c r="Q30" s="6" t="s">
        <v>252</v>
      </c>
      <c r="R30" s="820">
        <f>+$F$6*$C$6</f>
        <v>5000</v>
      </c>
      <c r="S30" s="822">
        <f>(P30/R30)</f>
        <v>0</v>
      </c>
      <c r="T30" s="419">
        <f>+'6SueAct'!H25</f>
        <v>0</v>
      </c>
      <c r="U30" s="421">
        <f>S30*T30</f>
        <v>0</v>
      </c>
      <c r="V30" s="815"/>
      <c r="W30" s="815"/>
      <c r="X30" s="815"/>
      <c r="Y30" s="818"/>
    </row>
    <row r="31" spans="1:25" x14ac:dyDescent="0.25">
      <c r="A31" s="847"/>
      <c r="B31" s="535" t="s">
        <v>746</v>
      </c>
      <c r="C31" s="536" t="str">
        <f>'3insumo'!C30</f>
        <v>20Y6021470</v>
      </c>
      <c r="D31" s="536" t="str">
        <f>+D22</f>
        <v>KOMATSU</v>
      </c>
      <c r="E31" s="536">
        <v>1</v>
      </c>
      <c r="F31" s="536" t="s">
        <v>179</v>
      </c>
      <c r="G31" s="538">
        <v>500</v>
      </c>
      <c r="H31" s="539">
        <f t="shared" si="2"/>
        <v>2E-3</v>
      </c>
      <c r="I31" s="540">
        <f>'3insumo'!F30</f>
        <v>0</v>
      </c>
      <c r="J31" s="541">
        <f t="shared" si="3"/>
        <v>0</v>
      </c>
      <c r="L31" s="804"/>
      <c r="M31" s="831" t="s">
        <v>601</v>
      </c>
      <c r="N31" s="832"/>
      <c r="O31" s="786"/>
      <c r="P31" s="786"/>
      <c r="Q31" s="6" t="s">
        <v>580</v>
      </c>
      <c r="R31" s="821"/>
      <c r="S31" s="824"/>
      <c r="T31" s="419">
        <f>'6SueAct'!H26</f>
        <v>0</v>
      </c>
      <c r="U31" s="421">
        <f>S30*T31</f>
        <v>0</v>
      </c>
      <c r="V31" s="815"/>
      <c r="W31" s="815"/>
      <c r="X31" s="815"/>
      <c r="Y31" s="818"/>
    </row>
    <row r="32" spans="1:25" ht="14.25" customHeight="1" x14ac:dyDescent="0.25">
      <c r="A32" s="847"/>
      <c r="B32" s="535" t="s">
        <v>747</v>
      </c>
      <c r="C32" s="536">
        <f>'3insumo'!C29</f>
        <v>2076051310</v>
      </c>
      <c r="D32" s="536" t="str">
        <f>+D22</f>
        <v>KOMATSU</v>
      </c>
      <c r="E32" s="536">
        <v>1</v>
      </c>
      <c r="F32" s="536" t="s">
        <v>179</v>
      </c>
      <c r="G32" s="538">
        <v>500</v>
      </c>
      <c r="H32" s="539">
        <f t="shared" si="2"/>
        <v>2E-3</v>
      </c>
      <c r="I32" s="540">
        <f>'3insumo'!F29</f>
        <v>0</v>
      </c>
      <c r="J32" s="541">
        <f t="shared" si="3"/>
        <v>0</v>
      </c>
      <c r="L32" s="804"/>
      <c r="M32" s="825" t="s">
        <v>289</v>
      </c>
      <c r="N32" s="826"/>
      <c r="O32" s="785" t="s">
        <v>578</v>
      </c>
      <c r="P32" s="785">
        <v>2</v>
      </c>
      <c r="Q32" s="6" t="s">
        <v>252</v>
      </c>
      <c r="R32" s="820">
        <f>+$F$6*$C$6</f>
        <v>5000</v>
      </c>
      <c r="S32" s="822">
        <f>(P32/R32)</f>
        <v>4.0000000000000002E-4</v>
      </c>
      <c r="T32" s="911">
        <f>'6SueAct'!H27</f>
        <v>0</v>
      </c>
      <c r="U32" s="915">
        <f>S32*T32</f>
        <v>0</v>
      </c>
      <c r="V32" s="815"/>
      <c r="W32" s="815"/>
      <c r="X32" s="815"/>
      <c r="Y32" s="818"/>
    </row>
    <row r="33" spans="1:25" ht="14.25" customHeight="1" x14ac:dyDescent="0.25">
      <c r="A33" s="847"/>
      <c r="B33" s="535" t="s">
        <v>748</v>
      </c>
      <c r="C33" s="536" t="str">
        <f>'3insumo'!C42</f>
        <v>1400164H1</v>
      </c>
      <c r="D33" s="536" t="str">
        <f>+D22</f>
        <v>KOMATSU</v>
      </c>
      <c r="E33" s="536">
        <v>8.4499999999999993</v>
      </c>
      <c r="F33" s="537" t="s">
        <v>406</v>
      </c>
      <c r="G33" s="538">
        <v>4000</v>
      </c>
      <c r="H33" s="539">
        <f t="shared" ref="H33:H35" si="5">E33/G33</f>
        <v>2.1124999999999998E-3</v>
      </c>
      <c r="I33" s="540">
        <f>'3insumo'!F42</f>
        <v>0</v>
      </c>
      <c r="J33" s="541">
        <f t="shared" ref="J33:J35" si="6">H33*I33</f>
        <v>0</v>
      </c>
      <c r="L33" s="804"/>
      <c r="M33" s="827"/>
      <c r="N33" s="828"/>
      <c r="O33" s="804"/>
      <c r="P33" s="804"/>
      <c r="Q33" s="6"/>
      <c r="R33" s="830"/>
      <c r="S33" s="823"/>
      <c r="T33" s="912"/>
      <c r="U33" s="916"/>
      <c r="V33" s="815"/>
      <c r="W33" s="815"/>
      <c r="X33" s="815"/>
      <c r="Y33" s="818"/>
    </row>
    <row r="34" spans="1:25" ht="14.25" customHeight="1" x14ac:dyDescent="0.25">
      <c r="A34" s="847"/>
      <c r="B34" s="535" t="s">
        <v>749</v>
      </c>
      <c r="C34" s="536">
        <f>+'[2]AII insu'!C38</f>
        <v>0</v>
      </c>
      <c r="D34" s="536"/>
      <c r="E34" s="536">
        <v>1</v>
      </c>
      <c r="F34" s="536" t="s">
        <v>179</v>
      </c>
      <c r="G34" s="538">
        <v>6000</v>
      </c>
      <c r="H34" s="539">
        <f t="shared" si="5"/>
        <v>1.6666666666666666E-4</v>
      </c>
      <c r="I34" s="540">
        <f>'3insumo'!F41</f>
        <v>0</v>
      </c>
      <c r="J34" s="541">
        <f t="shared" si="6"/>
        <v>0</v>
      </c>
      <c r="L34" s="804"/>
      <c r="M34" s="825" t="s">
        <v>398</v>
      </c>
      <c r="N34" s="826"/>
      <c r="O34" s="804"/>
      <c r="P34" s="804"/>
      <c r="Q34" s="6"/>
      <c r="R34" s="830"/>
      <c r="S34" s="823"/>
      <c r="T34" s="913">
        <f>'6SueAct'!H28</f>
        <v>0</v>
      </c>
      <c r="U34" s="915">
        <f>S32*T34</f>
        <v>0</v>
      </c>
      <c r="V34" s="815"/>
      <c r="W34" s="815"/>
      <c r="X34" s="815"/>
      <c r="Y34" s="818"/>
    </row>
    <row r="35" spans="1:25" ht="14.25" customHeight="1" x14ac:dyDescent="0.25">
      <c r="A35" s="847"/>
      <c r="B35" s="535" t="s">
        <v>750</v>
      </c>
      <c r="C35" s="536">
        <v>0</v>
      </c>
      <c r="D35" s="536"/>
      <c r="E35" s="536">
        <v>2</v>
      </c>
      <c r="F35" s="536" t="s">
        <v>179</v>
      </c>
      <c r="G35" s="538">
        <v>6000</v>
      </c>
      <c r="H35" s="539">
        <f t="shared" si="5"/>
        <v>3.3333333333333332E-4</v>
      </c>
      <c r="I35" s="540">
        <f>'3insumo'!F43</f>
        <v>0</v>
      </c>
      <c r="J35" s="541">
        <f t="shared" si="6"/>
        <v>0</v>
      </c>
      <c r="L35" s="804"/>
      <c r="M35" s="827"/>
      <c r="N35" s="828"/>
      <c r="O35" s="786"/>
      <c r="P35" s="786"/>
      <c r="Q35" s="6" t="s">
        <v>582</v>
      </c>
      <c r="R35" s="821"/>
      <c r="S35" s="824"/>
      <c r="T35" s="914"/>
      <c r="U35" s="916"/>
      <c r="V35" s="815"/>
      <c r="W35" s="815"/>
      <c r="X35" s="815"/>
      <c r="Y35" s="818"/>
    </row>
    <row r="36" spans="1:25" ht="14.25" customHeight="1" x14ac:dyDescent="0.25">
      <c r="A36" s="847">
        <v>1.3</v>
      </c>
      <c r="B36" s="854" t="s">
        <v>35</v>
      </c>
      <c r="C36" s="855"/>
      <c r="D36" s="855"/>
      <c r="E36" s="855"/>
      <c r="F36" s="855"/>
      <c r="G36" s="856"/>
      <c r="H36" s="851" t="s">
        <v>14</v>
      </c>
      <c r="I36" s="851"/>
      <c r="J36" s="222">
        <f>SUM(J37:J41)</f>
        <v>0</v>
      </c>
      <c r="L36" s="804"/>
      <c r="M36" s="831" t="s">
        <v>401</v>
      </c>
      <c r="N36" s="832"/>
      <c r="O36" s="785" t="s">
        <v>578</v>
      </c>
      <c r="P36" s="785">
        <v>2</v>
      </c>
      <c r="Q36" s="6" t="s">
        <v>252</v>
      </c>
      <c r="R36" s="820">
        <f>+$F$6*$C$6</f>
        <v>5000</v>
      </c>
      <c r="S36" s="822">
        <f t="shared" ref="S36:S38" si="7">(P36/R36)</f>
        <v>4.0000000000000002E-4</v>
      </c>
      <c r="T36" s="43">
        <f>'6SueAct'!H29</f>
        <v>0</v>
      </c>
      <c r="U36" s="238">
        <f>S36*T36</f>
        <v>0</v>
      </c>
      <c r="V36" s="815"/>
      <c r="W36" s="815"/>
      <c r="X36" s="815"/>
      <c r="Y36" s="818"/>
    </row>
    <row r="37" spans="1:25" ht="14.25" customHeight="1" x14ac:dyDescent="0.25">
      <c r="A37" s="847"/>
      <c r="B37" s="544" t="s">
        <v>751</v>
      </c>
      <c r="C37" s="544"/>
      <c r="D37" s="536"/>
      <c r="E37" s="536">
        <v>14</v>
      </c>
      <c r="F37" s="536" t="s">
        <v>249</v>
      </c>
      <c r="G37" s="538">
        <v>2000</v>
      </c>
      <c r="H37" s="545">
        <f>E37/G37</f>
        <v>7.0000000000000001E-3</v>
      </c>
      <c r="I37" s="546">
        <f>'3insumo'!F45</f>
        <v>0</v>
      </c>
      <c r="J37" s="547">
        <f>I37*H37</f>
        <v>0</v>
      </c>
      <c r="L37" s="804"/>
      <c r="M37" s="831" t="s">
        <v>399</v>
      </c>
      <c r="N37" s="832"/>
      <c r="O37" s="786"/>
      <c r="P37" s="786"/>
      <c r="Q37" s="6" t="s">
        <v>263</v>
      </c>
      <c r="R37" s="821"/>
      <c r="S37" s="824"/>
      <c r="T37" s="43">
        <f>'6SueAct'!H30</f>
        <v>0</v>
      </c>
      <c r="U37" s="238">
        <f>S36*T37</f>
        <v>0</v>
      </c>
      <c r="V37" s="815"/>
      <c r="W37" s="815"/>
      <c r="X37" s="815"/>
      <c r="Y37" s="818"/>
    </row>
    <row r="38" spans="1:25" ht="14.25" customHeight="1" x14ac:dyDescent="0.25">
      <c r="A38" s="847"/>
      <c r="B38" s="544" t="s">
        <v>752</v>
      </c>
      <c r="C38" s="544"/>
      <c r="D38" s="536"/>
      <c r="E38" s="536">
        <v>3</v>
      </c>
      <c r="F38" s="536" t="s">
        <v>249</v>
      </c>
      <c r="G38" s="538">
        <v>2000</v>
      </c>
      <c r="H38" s="545">
        <f>E38/G38</f>
        <v>1.5E-3</v>
      </c>
      <c r="I38" s="546">
        <f>'3insumo'!F46</f>
        <v>0</v>
      </c>
      <c r="J38" s="547">
        <f>I38*H38</f>
        <v>0</v>
      </c>
      <c r="L38" s="804"/>
      <c r="M38" s="831" t="s">
        <v>290</v>
      </c>
      <c r="N38" s="832"/>
      <c r="O38" s="785" t="s">
        <v>578</v>
      </c>
      <c r="P38" s="785">
        <v>2</v>
      </c>
      <c r="Q38" s="6" t="s">
        <v>252</v>
      </c>
      <c r="R38" s="820">
        <f>+$F$6*$C$6</f>
        <v>5000</v>
      </c>
      <c r="S38" s="822">
        <f t="shared" si="7"/>
        <v>4.0000000000000002E-4</v>
      </c>
      <c r="T38" s="43">
        <f>'6SueAct'!H31</f>
        <v>0</v>
      </c>
      <c r="U38" s="238">
        <f>S38*T38</f>
        <v>0</v>
      </c>
      <c r="V38" s="815"/>
      <c r="W38" s="815"/>
      <c r="X38" s="815"/>
      <c r="Y38" s="818"/>
    </row>
    <row r="39" spans="1:25" ht="14.25" customHeight="1" x14ac:dyDescent="0.25">
      <c r="A39" s="847"/>
      <c r="B39" s="544" t="s">
        <v>753</v>
      </c>
      <c r="C39" s="544"/>
      <c r="D39" s="536"/>
      <c r="E39" s="536">
        <v>3</v>
      </c>
      <c r="F39" s="536" t="s">
        <v>249</v>
      </c>
      <c r="G39" s="538">
        <v>2000</v>
      </c>
      <c r="H39" s="545">
        <f>E39/G39</f>
        <v>1.5E-3</v>
      </c>
      <c r="I39" s="546">
        <f>'3insumo'!F47</f>
        <v>0</v>
      </c>
      <c r="J39" s="547">
        <f>I39*H39</f>
        <v>0</v>
      </c>
      <c r="L39" s="804"/>
      <c r="M39" s="831" t="s">
        <v>402</v>
      </c>
      <c r="N39" s="832"/>
      <c r="O39" s="786"/>
      <c r="P39" s="786"/>
      <c r="Q39" s="6" t="s">
        <v>263</v>
      </c>
      <c r="R39" s="821"/>
      <c r="S39" s="824"/>
      <c r="T39" s="43">
        <f>'6SueAct'!H32</f>
        <v>0</v>
      </c>
      <c r="U39" s="238">
        <f>S38*T39</f>
        <v>0</v>
      </c>
      <c r="V39" s="816"/>
      <c r="W39" s="816"/>
      <c r="X39" s="816"/>
      <c r="Y39" s="819"/>
    </row>
    <row r="40" spans="1:25" ht="14.25" customHeight="1" x14ac:dyDescent="0.25">
      <c r="A40" s="847"/>
      <c r="B40" s="544" t="s">
        <v>754</v>
      </c>
      <c r="C40" s="544"/>
      <c r="D40" s="536"/>
      <c r="E40" s="536">
        <v>4</v>
      </c>
      <c r="F40" s="536" t="s">
        <v>249</v>
      </c>
      <c r="G40" s="538">
        <v>2000</v>
      </c>
      <c r="H40" s="545">
        <f>E40/G40</f>
        <v>2E-3</v>
      </c>
      <c r="I40" s="546">
        <f>'3insumo'!F48</f>
        <v>0</v>
      </c>
      <c r="J40" s="547">
        <f>I40*H40</f>
        <v>0</v>
      </c>
      <c r="L40" s="804"/>
      <c r="M40" s="831" t="s">
        <v>81</v>
      </c>
      <c r="N40" s="832"/>
      <c r="O40" s="785" t="s">
        <v>82</v>
      </c>
      <c r="P40" s="785">
        <v>4</v>
      </c>
      <c r="Q40" s="6" t="s">
        <v>252</v>
      </c>
      <c r="R40" s="820">
        <f>+$F$6*$C$6</f>
        <v>5000</v>
      </c>
      <c r="S40" s="822">
        <f>(P40/R40)</f>
        <v>8.0000000000000004E-4</v>
      </c>
      <c r="T40" s="43">
        <f>'6SueAct'!H33</f>
        <v>0</v>
      </c>
      <c r="U40" s="423">
        <f t="shared" si="4"/>
        <v>0</v>
      </c>
      <c r="V40" s="422"/>
      <c r="W40" s="422"/>
      <c r="X40" s="422"/>
      <c r="Y40" s="422"/>
    </row>
    <row r="41" spans="1:25" ht="14.25" customHeight="1" x14ac:dyDescent="0.25">
      <c r="A41" s="847"/>
      <c r="B41" s="544" t="s">
        <v>755</v>
      </c>
      <c r="C41" s="544"/>
      <c r="D41" s="536"/>
      <c r="E41" s="536">
        <v>4</v>
      </c>
      <c r="F41" s="536" t="s">
        <v>249</v>
      </c>
      <c r="G41" s="538">
        <v>2000</v>
      </c>
      <c r="H41" s="545">
        <f>E41/G41</f>
        <v>2E-3</v>
      </c>
      <c r="I41" s="546">
        <f>'3insumo'!F49</f>
        <v>0</v>
      </c>
      <c r="J41" s="547">
        <f>I41*H41</f>
        <v>0</v>
      </c>
      <c r="L41" s="804"/>
      <c r="M41" s="831" t="s">
        <v>83</v>
      </c>
      <c r="N41" s="832"/>
      <c r="O41" s="786"/>
      <c r="P41" s="786"/>
      <c r="Q41" s="6" t="s">
        <v>260</v>
      </c>
      <c r="R41" s="821"/>
      <c r="S41" s="824"/>
      <c r="T41" s="43">
        <f>'6SueAct'!H34</f>
        <v>0</v>
      </c>
      <c r="U41" s="423">
        <f>S40*T41</f>
        <v>0</v>
      </c>
      <c r="V41" s="270"/>
      <c r="W41" s="270"/>
      <c r="X41" s="270"/>
      <c r="Y41" s="270"/>
    </row>
    <row r="42" spans="1:25" ht="14.25" customHeight="1" x14ac:dyDescent="0.25">
      <c r="A42" s="810"/>
      <c r="B42" s="854" t="s">
        <v>756</v>
      </c>
      <c r="C42" s="855"/>
      <c r="D42" s="855"/>
      <c r="E42" s="855"/>
      <c r="F42" s="855"/>
      <c r="G42" s="856"/>
      <c r="H42" s="851" t="s">
        <v>14</v>
      </c>
      <c r="I42" s="851"/>
      <c r="J42" s="222">
        <f>SUM(J43:J46)</f>
        <v>15.199800000000002</v>
      </c>
      <c r="L42" s="804"/>
      <c r="M42" s="831" t="s">
        <v>243</v>
      </c>
      <c r="N42" s="832"/>
      <c r="O42" s="348" t="s">
        <v>583</v>
      </c>
      <c r="P42" s="785">
        <f>SUM(P22:P41)/2</f>
        <v>9</v>
      </c>
      <c r="Q42" s="6" t="s">
        <v>255</v>
      </c>
      <c r="R42" s="820">
        <f>+R22</f>
        <v>5000</v>
      </c>
      <c r="S42" s="822">
        <f>(P42/R42)</f>
        <v>1.8E-3</v>
      </c>
      <c r="T42" s="43">
        <f>'6SueAct'!H35</f>
        <v>657.72</v>
      </c>
      <c r="U42" s="238">
        <f>S42*T42</f>
        <v>1.1838960000000001</v>
      </c>
      <c r="V42" s="270"/>
      <c r="W42" s="270"/>
      <c r="X42" s="270"/>
      <c r="Y42" s="270"/>
    </row>
    <row r="43" spans="1:25" ht="14.25" customHeight="1" x14ac:dyDescent="0.25">
      <c r="A43" s="759"/>
      <c r="B43" s="544" t="s">
        <v>757</v>
      </c>
      <c r="C43" s="536"/>
      <c r="D43" s="536"/>
      <c r="E43" s="536">
        <v>0.2</v>
      </c>
      <c r="F43" s="537" t="s">
        <v>758</v>
      </c>
      <c r="G43" s="917">
        <f>(E43+E44+E45)*E46</f>
        <v>5.1700000000000008</v>
      </c>
      <c r="H43" s="906">
        <v>1</v>
      </c>
      <c r="I43" s="906">
        <f>G43*H6</f>
        <v>15.199800000000002</v>
      </c>
      <c r="J43" s="906">
        <f>H43*I43</f>
        <v>15.199800000000002</v>
      </c>
      <c r="L43" s="804"/>
      <c r="M43" s="831" t="s">
        <v>58</v>
      </c>
      <c r="N43" s="832"/>
      <c r="O43" s="349" t="s">
        <v>584</v>
      </c>
      <c r="P43" s="786"/>
      <c r="Q43" s="6" t="s">
        <v>256</v>
      </c>
      <c r="R43" s="821"/>
      <c r="S43" s="824"/>
      <c r="T43" s="43">
        <f>'6SueAct'!H36</f>
        <v>301.41000000000003</v>
      </c>
      <c r="U43" s="238">
        <f>S42*T43</f>
        <v>0.54253800000000008</v>
      </c>
      <c r="V43" s="270"/>
      <c r="W43" s="270"/>
      <c r="X43" s="270"/>
      <c r="Y43" s="270"/>
    </row>
    <row r="44" spans="1:25" ht="14.25" customHeight="1" x14ac:dyDescent="0.25">
      <c r="A44" s="759"/>
      <c r="B44" s="544" t="s">
        <v>759</v>
      </c>
      <c r="C44" s="536"/>
      <c r="D44" s="544"/>
      <c r="E44" s="536">
        <v>0.4</v>
      </c>
      <c r="F44" s="537" t="s">
        <v>758</v>
      </c>
      <c r="G44" s="917"/>
      <c r="H44" s="906"/>
      <c r="I44" s="906"/>
      <c r="J44" s="906"/>
      <c r="L44" s="804"/>
      <c r="M44" s="831" t="s">
        <v>245</v>
      </c>
      <c r="N44" s="832"/>
      <c r="O44" s="6" t="s">
        <v>244</v>
      </c>
      <c r="P44" s="785">
        <f>SUM(P22:P41)</f>
        <v>18</v>
      </c>
      <c r="Q44" s="6" t="s">
        <v>257</v>
      </c>
      <c r="R44" s="820">
        <f>+R22*E6</f>
        <v>50000</v>
      </c>
      <c r="S44" s="822">
        <f>(P44/R44)</f>
        <v>3.6000000000000002E-4</v>
      </c>
      <c r="T44" s="43">
        <f>'6SueAct'!H37</f>
        <v>3600</v>
      </c>
      <c r="U44" s="238">
        <f>S44*T44</f>
        <v>1.296</v>
      </c>
      <c r="V44" s="270"/>
      <c r="W44" s="270"/>
      <c r="X44" s="270"/>
      <c r="Y44" s="270"/>
    </row>
    <row r="45" spans="1:25" ht="14.25" customHeight="1" x14ac:dyDescent="0.25">
      <c r="A45" s="759"/>
      <c r="B45" s="544" t="s">
        <v>760</v>
      </c>
      <c r="C45" s="536"/>
      <c r="D45" s="536"/>
      <c r="E45" s="536">
        <v>0.5</v>
      </c>
      <c r="F45" s="537" t="s">
        <v>758</v>
      </c>
      <c r="G45" s="917"/>
      <c r="H45" s="906"/>
      <c r="I45" s="906"/>
      <c r="J45" s="906"/>
      <c r="L45" s="804"/>
      <c r="M45" s="831" t="s">
        <v>573</v>
      </c>
      <c r="N45" s="832"/>
      <c r="O45" s="6" t="s">
        <v>84</v>
      </c>
      <c r="P45" s="786"/>
      <c r="Q45" s="6" t="s">
        <v>57</v>
      </c>
      <c r="R45" s="821"/>
      <c r="S45" s="824"/>
      <c r="T45" s="43">
        <f>'6SueAct'!H38</f>
        <v>3600</v>
      </c>
      <c r="U45" s="238">
        <f>S44*T45</f>
        <v>1.296</v>
      </c>
      <c r="V45" s="270"/>
      <c r="W45" s="270"/>
      <c r="X45" s="270"/>
      <c r="Y45" s="270"/>
    </row>
    <row r="46" spans="1:25" ht="14.25" customHeight="1" x14ac:dyDescent="0.25">
      <c r="A46" s="760"/>
      <c r="B46" s="544" t="s">
        <v>761</v>
      </c>
      <c r="C46" s="536"/>
      <c r="D46" s="536"/>
      <c r="E46" s="536">
        <v>4.7</v>
      </c>
      <c r="F46" s="537" t="s">
        <v>762</v>
      </c>
      <c r="G46" s="917"/>
      <c r="H46" s="906"/>
      <c r="I46" s="906"/>
      <c r="J46" s="906"/>
      <c r="L46" s="276"/>
      <c r="M46" s="557"/>
      <c r="N46" s="558"/>
      <c r="O46" s="558"/>
      <c r="P46" s="558"/>
      <c r="Q46" s="558"/>
      <c r="R46" s="558"/>
      <c r="S46" s="558"/>
      <c r="T46" s="558"/>
      <c r="U46" s="558"/>
      <c r="V46" s="270"/>
      <c r="W46" s="270"/>
      <c r="X46" s="270"/>
      <c r="Y46" s="270"/>
    </row>
    <row r="47" spans="1:25" ht="14.25" customHeight="1" x14ac:dyDescent="0.25">
      <c r="A47" s="847">
        <v>1.4</v>
      </c>
      <c r="B47" s="863" t="s">
        <v>641</v>
      </c>
      <c r="C47" s="863"/>
      <c r="D47" s="863"/>
      <c r="E47" s="863"/>
      <c r="F47" s="863"/>
      <c r="G47" s="863"/>
      <c r="H47" s="864" t="s">
        <v>14</v>
      </c>
      <c r="I47" s="864"/>
      <c r="J47" s="548">
        <f>SUM(J48:J52)</f>
        <v>0</v>
      </c>
      <c r="L47" s="810">
        <v>4.2</v>
      </c>
      <c r="M47" s="436" t="s">
        <v>585</v>
      </c>
      <c r="N47" s="436"/>
      <c r="O47" s="436"/>
      <c r="P47" s="436"/>
      <c r="Q47" s="436"/>
      <c r="R47" s="436"/>
      <c r="S47" s="435" t="s">
        <v>14</v>
      </c>
      <c r="T47" s="435"/>
      <c r="U47" s="381">
        <f>SUM(U48:U67)/C6</f>
        <v>2.0456800000000001E-2</v>
      </c>
    </row>
    <row r="48" spans="1:25" ht="14.25" customHeight="1" x14ac:dyDescent="0.25">
      <c r="A48" s="847"/>
      <c r="B48" s="544" t="s">
        <v>768</v>
      </c>
      <c r="C48" s="536" t="str">
        <f>'3insumo'!C32</f>
        <v>HLK30RP2</v>
      </c>
      <c r="D48" s="536" t="s">
        <v>763</v>
      </c>
      <c r="E48" s="536">
        <v>6</v>
      </c>
      <c r="F48" s="536"/>
      <c r="G48" s="538">
        <v>8000</v>
      </c>
      <c r="H48" s="549">
        <f>E48/G48</f>
        <v>7.5000000000000002E-4</v>
      </c>
      <c r="I48" s="550">
        <f>'3insumo'!F32</f>
        <v>0</v>
      </c>
      <c r="J48" s="549">
        <f>I48*H48</f>
        <v>0</v>
      </c>
      <c r="L48" s="759"/>
      <c r="M48" s="153" t="s">
        <v>88</v>
      </c>
      <c r="N48" s="153"/>
      <c r="O48" s="6" t="s">
        <v>89</v>
      </c>
      <c r="P48" s="6">
        <f>+'1Planilla'!$C$68+'1Planilla'!$C$69</f>
        <v>0</v>
      </c>
      <c r="Q48" s="37" t="s">
        <v>172</v>
      </c>
      <c r="R48" s="37">
        <f>((I6+J6)*G6*E6)/2</f>
        <v>2500</v>
      </c>
      <c r="S48" s="68">
        <f>P48/R48</f>
        <v>0</v>
      </c>
      <c r="T48" s="66">
        <f>+'5 EPP'!H11</f>
        <v>33.61</v>
      </c>
      <c r="U48" s="68">
        <f>S48*T48</f>
        <v>0</v>
      </c>
    </row>
    <row r="49" spans="1:21" ht="14.25" customHeight="1" x14ac:dyDescent="0.25">
      <c r="A49" s="847"/>
      <c r="B49" s="544" t="s">
        <v>764</v>
      </c>
      <c r="C49" s="536" t="str">
        <f>'3insumo'!C33</f>
        <v>HLKP30C</v>
      </c>
      <c r="D49" s="536" t="str">
        <f>+D48</f>
        <v>desgaste</v>
      </c>
      <c r="E49" s="536">
        <v>5</v>
      </c>
      <c r="F49" s="536"/>
      <c r="G49" s="538">
        <f>+G48</f>
        <v>8000</v>
      </c>
      <c r="H49" s="549">
        <f>E49/G49</f>
        <v>6.2500000000000001E-4</v>
      </c>
      <c r="I49" s="550">
        <f>'3insumo'!F33</f>
        <v>0</v>
      </c>
      <c r="J49" s="549">
        <f>I49*H49</f>
        <v>0</v>
      </c>
      <c r="L49" s="759"/>
      <c r="M49" s="153" t="s">
        <v>91</v>
      </c>
      <c r="N49" s="153"/>
      <c r="O49" s="6" t="str">
        <f>+O48</f>
        <v>Seguridad</v>
      </c>
      <c r="P49" s="6">
        <f>+'1Planilla'!$C$68+'1Planilla'!$C$69</f>
        <v>0</v>
      </c>
      <c r="Q49" s="37" t="s">
        <v>172</v>
      </c>
      <c r="R49" s="37">
        <f>+R48</f>
        <v>2500</v>
      </c>
      <c r="S49" s="68">
        <f t="shared" ref="S49:S67" si="8">P49/R49</f>
        <v>0</v>
      </c>
      <c r="T49" s="66">
        <f>+'5 EPP'!H12</f>
        <v>79.83</v>
      </c>
      <c r="U49" s="68">
        <f t="shared" ref="U49:U67" si="9">S49*T49</f>
        <v>0</v>
      </c>
    </row>
    <row r="50" spans="1:21" ht="14.25" customHeight="1" x14ac:dyDescent="0.25">
      <c r="A50" s="847"/>
      <c r="B50" s="544" t="s">
        <v>646</v>
      </c>
      <c r="C50" s="536" t="str">
        <f>'3insumo'!C34</f>
        <v>HLSCB330SO</v>
      </c>
      <c r="D50" s="536" t="str">
        <f>+D49</f>
        <v>desgaste</v>
      </c>
      <c r="E50" s="536">
        <v>2</v>
      </c>
      <c r="F50" s="536"/>
      <c r="G50" s="538">
        <f>+G48</f>
        <v>8000</v>
      </c>
      <c r="H50" s="549">
        <f>E50/G50</f>
        <v>2.5000000000000001E-4</v>
      </c>
      <c r="I50" s="550">
        <f>'3insumo'!F34</f>
        <v>0</v>
      </c>
      <c r="J50" s="549">
        <f>I50*H50</f>
        <v>0</v>
      </c>
      <c r="L50" s="759"/>
      <c r="M50" s="153" t="s">
        <v>92</v>
      </c>
      <c r="N50" s="153"/>
      <c r="O50" s="6" t="str">
        <f>+O48</f>
        <v>Seguridad</v>
      </c>
      <c r="P50" s="6">
        <f>+'1Planilla'!$C$68+'1Planilla'!$C$69</f>
        <v>0</v>
      </c>
      <c r="Q50" s="37" t="s">
        <v>172</v>
      </c>
      <c r="R50" s="37">
        <f>+R48</f>
        <v>2500</v>
      </c>
      <c r="S50" s="68">
        <f t="shared" si="8"/>
        <v>0</v>
      </c>
      <c r="T50" s="66">
        <f>+'5 EPP'!H13</f>
        <v>12.61</v>
      </c>
      <c r="U50" s="68">
        <f t="shared" si="9"/>
        <v>0</v>
      </c>
    </row>
    <row r="51" spans="1:21" ht="14.25" customHeight="1" x14ac:dyDescent="0.25">
      <c r="A51" s="847"/>
      <c r="B51" s="544" t="s">
        <v>765</v>
      </c>
      <c r="C51" s="536">
        <f>'3insumo'!C37</f>
        <v>2073205061</v>
      </c>
      <c r="D51" s="536" t="s">
        <v>766</v>
      </c>
      <c r="E51" s="536">
        <v>6</v>
      </c>
      <c r="F51" s="537"/>
      <c r="G51" s="538">
        <f>+G48</f>
        <v>8000</v>
      </c>
      <c r="H51" s="549">
        <f>E51/G51</f>
        <v>7.5000000000000002E-4</v>
      </c>
      <c r="I51" s="550">
        <f>'3insumo'!F37</f>
        <v>0</v>
      </c>
      <c r="J51" s="549">
        <f>I51*H51</f>
        <v>0</v>
      </c>
      <c r="L51" s="759"/>
      <c r="M51" s="153" t="s">
        <v>94</v>
      </c>
      <c r="N51" s="153"/>
      <c r="O51" s="6" t="str">
        <f>+O48</f>
        <v>Seguridad</v>
      </c>
      <c r="P51" s="6">
        <f>+'1Planilla'!$C$68+'1Planilla'!$C$69</f>
        <v>0</v>
      </c>
      <c r="Q51" s="37" t="s">
        <v>172</v>
      </c>
      <c r="R51" s="37">
        <f>+R48</f>
        <v>2500</v>
      </c>
      <c r="S51" s="68">
        <f t="shared" si="8"/>
        <v>0</v>
      </c>
      <c r="T51" s="66">
        <f>+'5 EPP'!H14</f>
        <v>12.61</v>
      </c>
      <c r="U51" s="68">
        <f t="shared" si="9"/>
        <v>0</v>
      </c>
    </row>
    <row r="52" spans="1:21" ht="14.25" customHeight="1" x14ac:dyDescent="0.25">
      <c r="A52" s="847"/>
      <c r="B52" s="544" t="s">
        <v>767</v>
      </c>
      <c r="C52" s="536" t="str">
        <f>'3insumo'!C35</f>
        <v>25531R1</v>
      </c>
      <c r="D52" s="536" t="s">
        <v>766</v>
      </c>
      <c r="E52" s="536">
        <v>6</v>
      </c>
      <c r="F52" s="537"/>
      <c r="G52" s="538">
        <f>+G48</f>
        <v>8000</v>
      </c>
      <c r="H52" s="549">
        <f>E52/G52</f>
        <v>7.5000000000000002E-4</v>
      </c>
      <c r="I52" s="550">
        <f>'3insumo'!F38</f>
        <v>0</v>
      </c>
      <c r="J52" s="549">
        <f>I52*H52</f>
        <v>0</v>
      </c>
      <c r="L52" s="759"/>
      <c r="M52" s="153" t="s">
        <v>95</v>
      </c>
      <c r="N52" s="153"/>
      <c r="O52" s="6" t="str">
        <f>+O48</f>
        <v>Seguridad</v>
      </c>
      <c r="P52" s="6">
        <f>+'1Planilla'!$C$68+'1Planilla'!$C$69</f>
        <v>0</v>
      </c>
      <c r="Q52" s="37" t="s">
        <v>172</v>
      </c>
      <c r="R52" s="37">
        <f>+R48</f>
        <v>2500</v>
      </c>
      <c r="S52" s="68">
        <f t="shared" si="8"/>
        <v>0</v>
      </c>
      <c r="T52" s="66">
        <f>+'5 EPP'!H15</f>
        <v>9.66</v>
      </c>
      <c r="U52" s="68">
        <f t="shared" si="9"/>
        <v>0</v>
      </c>
    </row>
    <row r="53" spans="1:21" ht="14.25" customHeight="1" x14ac:dyDescent="0.25">
      <c r="A53" s="847">
        <v>1.5</v>
      </c>
      <c r="B53" s="848" t="s">
        <v>50</v>
      </c>
      <c r="C53" s="849"/>
      <c r="D53" s="849"/>
      <c r="E53" s="849"/>
      <c r="F53" s="849"/>
      <c r="G53" s="850"/>
      <c r="H53" s="851" t="s">
        <v>14</v>
      </c>
      <c r="I53" s="851"/>
      <c r="J53" s="222">
        <f>SUM(J54:J55)</f>
        <v>7.1070416666666674</v>
      </c>
      <c r="L53" s="759"/>
      <c r="M53" s="153" t="s">
        <v>98</v>
      </c>
      <c r="N53" s="153"/>
      <c r="O53" s="6" t="str">
        <f>+O48</f>
        <v>Seguridad</v>
      </c>
      <c r="P53" s="6">
        <v>2</v>
      </c>
      <c r="Q53" s="37" t="s">
        <v>172</v>
      </c>
      <c r="R53" s="37">
        <f>+R48</f>
        <v>2500</v>
      </c>
      <c r="S53" s="68">
        <f t="shared" si="8"/>
        <v>8.0000000000000004E-4</v>
      </c>
      <c r="T53" s="66">
        <f>+'5 EPP'!H17</f>
        <v>40</v>
      </c>
      <c r="U53" s="68">
        <f t="shared" si="9"/>
        <v>3.2000000000000001E-2</v>
      </c>
    </row>
    <row r="54" spans="1:21" ht="14.25" customHeight="1" x14ac:dyDescent="0.25">
      <c r="A54" s="847"/>
      <c r="B54" s="57" t="s">
        <v>201</v>
      </c>
      <c r="C54" s="57"/>
      <c r="D54" s="41" t="s">
        <v>769</v>
      </c>
      <c r="E54" s="37">
        <v>1</v>
      </c>
      <c r="F54" s="37" t="s">
        <v>770</v>
      </c>
      <c r="G54" s="235">
        <v>15000</v>
      </c>
      <c r="H54" s="394">
        <f>E54/G54</f>
        <v>6.666666666666667E-5</v>
      </c>
      <c r="I54" s="43">
        <f>10%*'7,1Grafico'!G20</f>
        <v>85284.5</v>
      </c>
      <c r="J54" s="46">
        <f>H54*I54</f>
        <v>5.6856333333333335</v>
      </c>
      <c r="L54" s="759"/>
      <c r="M54" s="153" t="s">
        <v>100</v>
      </c>
      <c r="N54" s="153"/>
      <c r="O54" s="6" t="str">
        <f>+O53</f>
        <v>Seguridad</v>
      </c>
      <c r="P54" s="6">
        <f>+'1Planilla'!$C$68+'1Planilla'!$C$69</f>
        <v>0</v>
      </c>
      <c r="Q54" s="37" t="s">
        <v>172</v>
      </c>
      <c r="R54" s="37">
        <f>+R48</f>
        <v>2500</v>
      </c>
      <c r="S54" s="68">
        <f t="shared" si="8"/>
        <v>0</v>
      </c>
      <c r="T54" s="66">
        <f>+'5 EPP'!H18</f>
        <v>25.21</v>
      </c>
      <c r="U54" s="68">
        <f t="shared" si="9"/>
        <v>0</v>
      </c>
    </row>
    <row r="55" spans="1:21" ht="14.25" customHeight="1" x14ac:dyDescent="0.25">
      <c r="A55" s="847"/>
      <c r="B55" s="57" t="s">
        <v>51</v>
      </c>
      <c r="C55" s="57"/>
      <c r="D55" s="57"/>
      <c r="E55" s="57"/>
      <c r="F55" s="57"/>
      <c r="G55" s="37" t="s">
        <v>52</v>
      </c>
      <c r="H55" s="37">
        <v>0.25</v>
      </c>
      <c r="I55" s="57"/>
      <c r="J55" s="219">
        <f>J54*H55</f>
        <v>1.4214083333333334</v>
      </c>
      <c r="L55" s="759"/>
      <c r="M55" s="153" t="s">
        <v>101</v>
      </c>
      <c r="N55" s="153"/>
      <c r="O55" s="6" t="str">
        <f>+O53</f>
        <v>Seguridad</v>
      </c>
      <c r="P55" s="6">
        <f>+'5 EPP'!D19</f>
        <v>0</v>
      </c>
      <c r="Q55" s="37" t="s">
        <v>172</v>
      </c>
      <c r="R55" s="37">
        <f>+R48</f>
        <v>2500</v>
      </c>
      <c r="S55" s="68">
        <f t="shared" si="8"/>
        <v>0</v>
      </c>
      <c r="T55" s="66">
        <f>+'5 EPP'!H19</f>
        <v>117.65</v>
      </c>
      <c r="U55" s="68">
        <f t="shared" si="9"/>
        <v>0</v>
      </c>
    </row>
    <row r="56" spans="1:21" ht="14.25" customHeight="1" x14ac:dyDescent="0.25">
      <c r="A56" s="810">
        <v>1.6</v>
      </c>
      <c r="B56" s="848" t="s">
        <v>598</v>
      </c>
      <c r="C56" s="849"/>
      <c r="D56" s="849"/>
      <c r="E56" s="849"/>
      <c r="F56" s="849"/>
      <c r="G56" s="850"/>
      <c r="H56" s="851" t="s">
        <v>14</v>
      </c>
      <c r="I56" s="851"/>
      <c r="J56" s="222">
        <f>SUM(J57:J62)</f>
        <v>2.1325600000000002</v>
      </c>
      <c r="K56" s="271"/>
      <c r="L56" s="759"/>
      <c r="M56" s="153" t="s">
        <v>102</v>
      </c>
      <c r="N56" s="153"/>
      <c r="O56" s="6" t="str">
        <f>+O53</f>
        <v>Seguridad</v>
      </c>
      <c r="P56" s="6">
        <f>+'1Planilla'!$C$68+'1Planilla'!$C$69</f>
        <v>0</v>
      </c>
      <c r="Q56" s="37" t="s">
        <v>172</v>
      </c>
      <c r="R56" s="37">
        <f>+R48</f>
        <v>2500</v>
      </c>
      <c r="S56" s="68">
        <f t="shared" si="8"/>
        <v>0</v>
      </c>
      <c r="T56" s="66">
        <f>+'5 EPP'!H20</f>
        <v>46.22</v>
      </c>
      <c r="U56" s="68">
        <f t="shared" si="9"/>
        <v>0</v>
      </c>
    </row>
    <row r="57" spans="1:21" ht="14.25" customHeight="1" x14ac:dyDescent="0.25">
      <c r="A57" s="759"/>
      <c r="B57" s="57" t="s">
        <v>54</v>
      </c>
      <c r="C57" s="57"/>
      <c r="D57" s="37" t="s">
        <v>55</v>
      </c>
      <c r="E57" s="810">
        <f>+'6SueAct'!D40</f>
        <v>4</v>
      </c>
      <c r="F57" s="37" t="s">
        <v>252</v>
      </c>
      <c r="G57" s="921">
        <v>500</v>
      </c>
      <c r="H57" s="918">
        <f>E57/G57</f>
        <v>8.0000000000000002E-3</v>
      </c>
      <c r="I57" s="66">
        <f>'6SueAct'!H40</f>
        <v>0</v>
      </c>
      <c r="J57" s="281">
        <f>H57*I57</f>
        <v>0</v>
      </c>
      <c r="K57" s="271"/>
      <c r="L57" s="759"/>
      <c r="M57" s="153" t="s">
        <v>103</v>
      </c>
      <c r="N57" s="153"/>
      <c r="O57" s="6" t="str">
        <f>+O53</f>
        <v>Seguridad</v>
      </c>
      <c r="P57" s="6">
        <f>+'1Planilla'!$C$68+'1Planilla'!$C$69</f>
        <v>0</v>
      </c>
      <c r="Q57" s="37" t="s">
        <v>172</v>
      </c>
      <c r="R57" s="37">
        <f>+R48</f>
        <v>2500</v>
      </c>
      <c r="S57" s="68">
        <f t="shared" si="8"/>
        <v>0</v>
      </c>
      <c r="T57" s="66">
        <f>+'5 EPP'!H21</f>
        <v>3</v>
      </c>
      <c r="U57" s="68">
        <f t="shared" si="9"/>
        <v>0</v>
      </c>
    </row>
    <row r="58" spans="1:21" ht="14.25" customHeight="1" x14ac:dyDescent="0.25">
      <c r="A58" s="759"/>
      <c r="B58" s="859" t="s">
        <v>56</v>
      </c>
      <c r="C58" s="860"/>
      <c r="D58" s="37" t="str">
        <f>+D57</f>
        <v>Operación</v>
      </c>
      <c r="E58" s="759"/>
      <c r="F58" s="37" t="s">
        <v>253</v>
      </c>
      <c r="G58" s="922"/>
      <c r="H58" s="920"/>
      <c r="I58" s="66">
        <f>+'6SueAct'!H41</f>
        <v>0</v>
      </c>
      <c r="J58" s="281">
        <f>H57*I58</f>
        <v>0</v>
      </c>
      <c r="K58" s="271"/>
      <c r="L58" s="759"/>
      <c r="M58" s="153" t="s">
        <v>105</v>
      </c>
      <c r="N58" s="153"/>
      <c r="O58" s="6" t="str">
        <f>+O53</f>
        <v>Seguridad</v>
      </c>
      <c r="P58" s="6">
        <f>+'1Planilla'!C69</f>
        <v>0</v>
      </c>
      <c r="Q58" s="37" t="s">
        <v>172</v>
      </c>
      <c r="R58" s="37">
        <f>+R48</f>
        <v>2500</v>
      </c>
      <c r="S58" s="68">
        <f t="shared" si="8"/>
        <v>0</v>
      </c>
      <c r="T58" s="66">
        <f>+'5 EPP'!H33</f>
        <v>3</v>
      </c>
      <c r="U58" s="68">
        <f t="shared" si="9"/>
        <v>0</v>
      </c>
    </row>
    <row r="59" spans="1:21" ht="14.25" customHeight="1" x14ac:dyDescent="0.25">
      <c r="A59" s="759"/>
      <c r="B59" s="57" t="s">
        <v>178</v>
      </c>
      <c r="C59" s="57"/>
      <c r="D59" s="37" t="str">
        <f>+D57</f>
        <v>Operación</v>
      </c>
      <c r="E59" s="810">
        <f>+'6SueAct'!D42</f>
        <v>2</v>
      </c>
      <c r="F59" s="37" t="s">
        <v>255</v>
      </c>
      <c r="G59" s="922"/>
      <c r="H59" s="918">
        <f>E59/G57</f>
        <v>4.0000000000000001E-3</v>
      </c>
      <c r="I59" s="66">
        <f>+'6SueAct'!H42</f>
        <v>146.16</v>
      </c>
      <c r="J59" s="281">
        <f>H59*I59</f>
        <v>0.58464000000000005</v>
      </c>
      <c r="K59" s="271"/>
      <c r="L59" s="759"/>
      <c r="M59" s="153" t="s">
        <v>274</v>
      </c>
      <c r="N59" s="153"/>
      <c r="O59" s="6" t="s">
        <v>89</v>
      </c>
      <c r="P59" s="6">
        <v>1</v>
      </c>
      <c r="Q59" s="37" t="s">
        <v>172</v>
      </c>
      <c r="R59" s="37">
        <f>+R48</f>
        <v>2500</v>
      </c>
      <c r="S59" s="68">
        <f t="shared" si="8"/>
        <v>4.0000000000000002E-4</v>
      </c>
      <c r="T59" s="66">
        <f>+'5 EPP'!H34</f>
        <v>66.39</v>
      </c>
      <c r="U59" s="68">
        <f t="shared" si="9"/>
        <v>2.6556000000000003E-2</v>
      </c>
    </row>
    <row r="60" spans="1:21" ht="14.25" customHeight="1" x14ac:dyDescent="0.25">
      <c r="A60" s="759"/>
      <c r="B60" s="57" t="s">
        <v>58</v>
      </c>
      <c r="C60" s="57"/>
      <c r="D60" s="37" t="str">
        <f>+D57</f>
        <v>Operación</v>
      </c>
      <c r="E60" s="759"/>
      <c r="F60" s="37" t="s">
        <v>256</v>
      </c>
      <c r="G60" s="923"/>
      <c r="H60" s="920"/>
      <c r="I60" s="66">
        <f>+'6SueAct'!H43</f>
        <v>66.98</v>
      </c>
      <c r="J60" s="281">
        <f>H59*I60</f>
        <v>0.26792000000000005</v>
      </c>
      <c r="K60" s="271"/>
      <c r="L60" s="759"/>
      <c r="M60" s="153" t="s">
        <v>275</v>
      </c>
      <c r="N60" s="153"/>
      <c r="O60" s="6" t="str">
        <f>+O59</f>
        <v>Seguridad</v>
      </c>
      <c r="P60" s="6">
        <v>1</v>
      </c>
      <c r="Q60" s="37" t="s">
        <v>172</v>
      </c>
      <c r="R60" s="37">
        <f>+R48</f>
        <v>2500</v>
      </c>
      <c r="S60" s="68">
        <f t="shared" si="8"/>
        <v>4.0000000000000002E-4</v>
      </c>
      <c r="T60" s="66">
        <f>+'5 EPP'!H35</f>
        <v>71.430000000000007</v>
      </c>
      <c r="U60" s="68">
        <f t="shared" si="9"/>
        <v>2.8572000000000004E-2</v>
      </c>
    </row>
    <row r="61" spans="1:21" ht="14.25" customHeight="1" x14ac:dyDescent="0.25">
      <c r="A61" s="759"/>
      <c r="B61" s="57" t="s">
        <v>407</v>
      </c>
      <c r="C61" s="57"/>
      <c r="D61" s="37" t="str">
        <f>+D57</f>
        <v>Operación</v>
      </c>
      <c r="E61" s="810">
        <f>+'6SueAct'!D44</f>
        <v>4</v>
      </c>
      <c r="F61" s="37" t="s">
        <v>57</v>
      </c>
      <c r="G61" s="921">
        <v>5000</v>
      </c>
      <c r="H61" s="918">
        <f>E57/G61</f>
        <v>8.0000000000000004E-4</v>
      </c>
      <c r="I61" s="66">
        <f>+'6SueAct'!N37*E61</f>
        <v>800</v>
      </c>
      <c r="J61" s="281">
        <f>H61*I61</f>
        <v>0.64</v>
      </c>
      <c r="K61" s="271"/>
      <c r="L61" s="759"/>
      <c r="M61" s="153" t="s">
        <v>276</v>
      </c>
      <c r="N61" s="153"/>
      <c r="O61" s="6" t="str">
        <f>+O59</f>
        <v>Seguridad</v>
      </c>
      <c r="P61" s="6">
        <v>2</v>
      </c>
      <c r="Q61" s="37" t="s">
        <v>291</v>
      </c>
      <c r="R61" s="37">
        <f>+R52</f>
        <v>2500</v>
      </c>
      <c r="S61" s="68">
        <f t="shared" si="8"/>
        <v>8.0000000000000004E-4</v>
      </c>
      <c r="T61" s="66">
        <f>+'5 EPP'!H36</f>
        <v>15</v>
      </c>
      <c r="U61" s="68">
        <f t="shared" si="9"/>
        <v>1.2E-2</v>
      </c>
    </row>
    <row r="62" spans="1:21" ht="14.25" customHeight="1" x14ac:dyDescent="0.25">
      <c r="A62" s="759"/>
      <c r="B62" s="57" t="s">
        <v>175</v>
      </c>
      <c r="C62" s="57"/>
      <c r="D62" s="37" t="s">
        <v>55</v>
      </c>
      <c r="E62" s="759"/>
      <c r="F62" s="37" t="s">
        <v>257</v>
      </c>
      <c r="G62" s="923"/>
      <c r="H62" s="919"/>
      <c r="I62" s="66">
        <f>+'6SueAct'!N37*E61</f>
        <v>800</v>
      </c>
      <c r="J62" s="281">
        <f>H61*I62</f>
        <v>0.64</v>
      </c>
      <c r="K62" s="271"/>
      <c r="L62" s="759"/>
      <c r="M62" s="153" t="s">
        <v>433</v>
      </c>
      <c r="N62" s="153"/>
      <c r="O62" s="6" t="str">
        <f>+O59</f>
        <v>Seguridad</v>
      </c>
      <c r="P62" s="6">
        <v>2</v>
      </c>
      <c r="Q62" s="37" t="s">
        <v>172</v>
      </c>
      <c r="R62" s="37">
        <f>+R52</f>
        <v>2500</v>
      </c>
      <c r="S62" s="68">
        <f t="shared" si="8"/>
        <v>8.0000000000000004E-4</v>
      </c>
      <c r="T62" s="66">
        <f>+'5 EPP'!H37</f>
        <v>25.21</v>
      </c>
      <c r="U62" s="68">
        <f t="shared" si="9"/>
        <v>2.0168000000000002E-2</v>
      </c>
    </row>
    <row r="63" spans="1:21" ht="14.25" customHeight="1" x14ac:dyDescent="0.25">
      <c r="A63" s="810">
        <v>1.7</v>
      </c>
      <c r="B63" s="848" t="s">
        <v>599</v>
      </c>
      <c r="C63" s="849"/>
      <c r="D63" s="849"/>
      <c r="E63" s="849"/>
      <c r="F63" s="849"/>
      <c r="G63" s="850"/>
      <c r="H63" s="851" t="s">
        <v>14</v>
      </c>
      <c r="I63" s="851"/>
      <c r="J63" s="221">
        <f>SUM(J64:J74)</f>
        <v>0.57609600000000005</v>
      </c>
      <c r="K63" s="271"/>
      <c r="L63" s="759"/>
      <c r="M63" s="153" t="s">
        <v>278</v>
      </c>
      <c r="N63" s="153"/>
      <c r="O63" s="6" t="str">
        <f>+O59</f>
        <v>Seguridad</v>
      </c>
      <c r="P63" s="6">
        <v>2</v>
      </c>
      <c r="Q63" s="37" t="s">
        <v>172</v>
      </c>
      <c r="R63" s="37">
        <f>+R52</f>
        <v>2500</v>
      </c>
      <c r="S63" s="68">
        <f t="shared" si="8"/>
        <v>8.0000000000000004E-4</v>
      </c>
      <c r="T63" s="66">
        <f>+'5 EPP'!H38</f>
        <v>21.85</v>
      </c>
      <c r="U63" s="68">
        <f t="shared" si="9"/>
        <v>1.7480000000000002E-2</v>
      </c>
    </row>
    <row r="64" spans="1:21" ht="14.25" customHeight="1" x14ac:dyDescent="0.25">
      <c r="A64" s="759"/>
      <c r="B64" s="57" t="s">
        <v>88</v>
      </c>
      <c r="C64" s="57"/>
      <c r="D64" s="37" t="s">
        <v>89</v>
      </c>
      <c r="E64" s="37">
        <f>+E57</f>
        <v>4</v>
      </c>
      <c r="F64" s="37" t="s">
        <v>172</v>
      </c>
      <c r="G64" s="235">
        <f>((I6+J6)*G6*E6)/2</f>
        <v>2500</v>
      </c>
      <c r="H64" s="68">
        <f>E64/G64</f>
        <v>1.6000000000000001E-3</v>
      </c>
      <c r="I64" s="66">
        <f>+'5 EPP'!H23</f>
        <v>33.61</v>
      </c>
      <c r="J64" s="68">
        <f>H64*I64</f>
        <v>5.3776000000000004E-2</v>
      </c>
      <c r="L64" s="759"/>
      <c r="M64" s="153" t="s">
        <v>279</v>
      </c>
      <c r="N64" s="153"/>
      <c r="O64" s="6" t="str">
        <f>+O59</f>
        <v>Seguridad</v>
      </c>
      <c r="P64" s="6">
        <v>1</v>
      </c>
      <c r="Q64" s="37" t="s">
        <v>172</v>
      </c>
      <c r="R64" s="37">
        <f>+R52</f>
        <v>2500</v>
      </c>
      <c r="S64" s="68">
        <f t="shared" si="8"/>
        <v>4.0000000000000002E-4</v>
      </c>
      <c r="T64" s="66">
        <f>+'5 EPP'!H39</f>
        <v>35</v>
      </c>
      <c r="U64" s="68">
        <f t="shared" si="9"/>
        <v>1.4E-2</v>
      </c>
    </row>
    <row r="65" spans="1:23" ht="14.25" customHeight="1" x14ac:dyDescent="0.25">
      <c r="A65" s="759"/>
      <c r="B65" s="57" t="s">
        <v>91</v>
      </c>
      <c r="C65" s="57"/>
      <c r="D65" s="37" t="str">
        <f>+D64</f>
        <v>Seguridad</v>
      </c>
      <c r="E65" s="37">
        <f>+$E$57</f>
        <v>4</v>
      </c>
      <c r="F65" s="37" t="s">
        <v>172</v>
      </c>
      <c r="G65" s="235">
        <f>G64</f>
        <v>2500</v>
      </c>
      <c r="H65" s="68">
        <f>E65/G65</f>
        <v>1.6000000000000001E-3</v>
      </c>
      <c r="I65" s="66">
        <f>+'5 EPP'!H24</f>
        <v>79.83</v>
      </c>
      <c r="J65" s="68">
        <f t="shared" ref="J65:J72" si="10">H65*I65</f>
        <v>0.12772800000000001</v>
      </c>
      <c r="L65" s="759"/>
      <c r="M65" s="153" t="s">
        <v>280</v>
      </c>
      <c r="N65" s="153"/>
      <c r="O65" s="6" t="str">
        <f>+O64</f>
        <v>Seguridad</v>
      </c>
      <c r="P65" s="6">
        <v>1</v>
      </c>
      <c r="Q65" s="37" t="s">
        <v>172</v>
      </c>
      <c r="R65" s="37">
        <f>+R52</f>
        <v>2500</v>
      </c>
      <c r="S65" s="68">
        <f t="shared" si="8"/>
        <v>4.0000000000000002E-4</v>
      </c>
      <c r="T65" s="66">
        <f>+'5 EPP'!H40</f>
        <v>50</v>
      </c>
      <c r="U65" s="68">
        <f t="shared" si="9"/>
        <v>0.02</v>
      </c>
    </row>
    <row r="66" spans="1:23" ht="14.25" customHeight="1" x14ac:dyDescent="0.25">
      <c r="A66" s="759"/>
      <c r="B66" s="57" t="s">
        <v>92</v>
      </c>
      <c r="C66" s="57"/>
      <c r="D66" s="37" t="str">
        <f>+D64</f>
        <v>Seguridad</v>
      </c>
      <c r="E66" s="37">
        <f t="shared" ref="E66:E74" si="11">+$E$57</f>
        <v>4</v>
      </c>
      <c r="F66" s="37" t="s">
        <v>172</v>
      </c>
      <c r="G66" s="235">
        <f>+G64</f>
        <v>2500</v>
      </c>
      <c r="H66" s="68">
        <f>E66/G66</f>
        <v>1.6000000000000001E-3</v>
      </c>
      <c r="I66" s="66">
        <f>+'5 EPP'!H25</f>
        <v>12.61</v>
      </c>
      <c r="J66" s="68">
        <f t="shared" si="10"/>
        <v>2.0175999999999999E-2</v>
      </c>
      <c r="L66" s="759"/>
      <c r="M66" s="153" t="s">
        <v>288</v>
      </c>
      <c r="N66" s="153"/>
      <c r="O66" s="6" t="str">
        <f>+O65</f>
        <v>Seguridad</v>
      </c>
      <c r="P66" s="6">
        <v>2</v>
      </c>
      <c r="Q66" s="37" t="s">
        <v>172</v>
      </c>
      <c r="R66" s="37">
        <f>+R52</f>
        <v>2500</v>
      </c>
      <c r="S66" s="68">
        <f t="shared" si="8"/>
        <v>8.0000000000000004E-4</v>
      </c>
      <c r="T66" s="66">
        <f>+'5 EPP'!H41</f>
        <v>23.75</v>
      </c>
      <c r="U66" s="68">
        <f t="shared" si="9"/>
        <v>1.9E-2</v>
      </c>
    </row>
    <row r="67" spans="1:23" ht="14.25" customHeight="1" x14ac:dyDescent="0.25">
      <c r="A67" s="759"/>
      <c r="B67" s="57" t="s">
        <v>94</v>
      </c>
      <c r="C67" s="57"/>
      <c r="D67" s="37" t="str">
        <f>+D64</f>
        <v>Seguridad</v>
      </c>
      <c r="E67" s="37">
        <f t="shared" si="11"/>
        <v>4</v>
      </c>
      <c r="F67" s="37" t="s">
        <v>172</v>
      </c>
      <c r="G67" s="235">
        <f>+G64</f>
        <v>2500</v>
      </c>
      <c r="H67" s="68">
        <f>E67/G67</f>
        <v>1.6000000000000001E-3</v>
      </c>
      <c r="I67" s="66">
        <f>+'5 EPP'!H26</f>
        <v>12.61</v>
      </c>
      <c r="J67" s="68">
        <f t="shared" si="10"/>
        <v>2.0175999999999999E-2</v>
      </c>
      <c r="L67" s="760"/>
      <c r="M67" s="153" t="s">
        <v>281</v>
      </c>
      <c r="N67" s="153"/>
      <c r="O67" s="6" t="str">
        <f>+O64</f>
        <v>Seguridad</v>
      </c>
      <c r="P67" s="6">
        <v>2</v>
      </c>
      <c r="Q67" s="37" t="s">
        <v>172</v>
      </c>
      <c r="R67" s="37">
        <f>+R52</f>
        <v>2500</v>
      </c>
      <c r="S67" s="68">
        <f t="shared" si="8"/>
        <v>8.0000000000000004E-4</v>
      </c>
      <c r="T67" s="66">
        <f>+'5 EPP'!H42</f>
        <v>18.489999999999998</v>
      </c>
      <c r="U67" s="68">
        <f t="shared" si="9"/>
        <v>1.4792E-2</v>
      </c>
    </row>
    <row r="68" spans="1:23" ht="14.25" customHeight="1" x14ac:dyDescent="0.25">
      <c r="A68" s="759"/>
      <c r="B68" s="57" t="s">
        <v>95</v>
      </c>
      <c r="C68" s="57"/>
      <c r="D68" s="37" t="str">
        <f>+D64</f>
        <v>Seguridad</v>
      </c>
      <c r="E68" s="37">
        <f t="shared" si="11"/>
        <v>4</v>
      </c>
      <c r="F68" s="37" t="s">
        <v>172</v>
      </c>
      <c r="G68" s="235">
        <f>+G64</f>
        <v>2500</v>
      </c>
      <c r="H68" s="68">
        <f t="shared" ref="H68:H74" si="12">E68/G68</f>
        <v>1.6000000000000001E-3</v>
      </c>
      <c r="I68" s="66">
        <f>+'5 EPP'!H27</f>
        <v>9.66</v>
      </c>
      <c r="J68" s="68">
        <f t="shared" si="10"/>
        <v>1.5456000000000001E-2</v>
      </c>
      <c r="L68" s="810">
        <v>4.3</v>
      </c>
      <c r="M68" s="437" t="s">
        <v>203</v>
      </c>
      <c r="N68" s="437"/>
      <c r="O68" s="437"/>
      <c r="P68" s="437"/>
      <c r="Q68" s="437"/>
      <c r="R68" s="437"/>
      <c r="S68" s="427" t="s">
        <v>14</v>
      </c>
      <c r="T68" s="427"/>
      <c r="U68" s="382">
        <f>SUM(U69:U71)</f>
        <v>0.47144903999999999</v>
      </c>
    </row>
    <row r="69" spans="1:23" ht="14.25" customHeight="1" x14ac:dyDescent="0.25">
      <c r="A69" s="759"/>
      <c r="B69" s="57" t="s">
        <v>97</v>
      </c>
      <c r="C69" s="57"/>
      <c r="D69" s="37" t="str">
        <f>+D64</f>
        <v>Seguridad</v>
      </c>
      <c r="E69" s="37">
        <f t="shared" si="11"/>
        <v>4</v>
      </c>
      <c r="F69" s="37" t="s">
        <v>172</v>
      </c>
      <c r="G69" s="235">
        <f>+G64</f>
        <v>2500</v>
      </c>
      <c r="H69" s="68">
        <f t="shared" si="12"/>
        <v>1.6000000000000001E-3</v>
      </c>
      <c r="I69" s="66">
        <f>'[3]AV EPP 20hr'!H16</f>
        <v>9.66</v>
      </c>
      <c r="J69" s="68">
        <f t="shared" si="10"/>
        <v>1.5456000000000001E-2</v>
      </c>
      <c r="L69" s="759"/>
      <c r="M69" s="57" t="s">
        <v>299</v>
      </c>
      <c r="N69" s="57"/>
      <c r="O69" s="37" t="s">
        <v>292</v>
      </c>
      <c r="P69" s="37">
        <v>1</v>
      </c>
      <c r="Q69" s="37" t="s">
        <v>172</v>
      </c>
      <c r="R69" s="37">
        <f>(I6+J6)*G6*E6</f>
        <v>5000</v>
      </c>
      <c r="S69" s="68">
        <f>P69/R69</f>
        <v>2.0000000000000001E-4</v>
      </c>
      <c r="T69" s="66">
        <v>1500</v>
      </c>
      <c r="U69" s="68">
        <f>S69*T69</f>
        <v>0.3</v>
      </c>
    </row>
    <row r="70" spans="1:23" ht="14.25" customHeight="1" x14ac:dyDescent="0.25">
      <c r="A70" s="759"/>
      <c r="B70" s="57" t="s">
        <v>98</v>
      </c>
      <c r="C70" s="57"/>
      <c r="D70" s="37" t="str">
        <f>+D64</f>
        <v>Seguridad</v>
      </c>
      <c r="E70" s="37">
        <v>1</v>
      </c>
      <c r="F70" s="37" t="s">
        <v>172</v>
      </c>
      <c r="G70" s="235">
        <f>+G64</f>
        <v>2500</v>
      </c>
      <c r="H70" s="68">
        <f t="shared" si="12"/>
        <v>4.0000000000000002E-4</v>
      </c>
      <c r="I70" s="66">
        <f>+'5 EPP'!H28</f>
        <v>40</v>
      </c>
      <c r="J70" s="68">
        <f t="shared" si="10"/>
        <v>1.6E-2</v>
      </c>
      <c r="L70" s="759"/>
      <c r="M70" s="57" t="s">
        <v>300</v>
      </c>
      <c r="N70" s="57"/>
      <c r="O70" s="37" t="s">
        <v>292</v>
      </c>
      <c r="P70" s="37">
        <v>1</v>
      </c>
      <c r="Q70" s="37" t="s">
        <v>172</v>
      </c>
      <c r="R70" s="37">
        <f>+R69</f>
        <v>5000</v>
      </c>
      <c r="S70" s="68">
        <f>P70/R70</f>
        <v>2.0000000000000001E-4</v>
      </c>
      <c r="T70" s="66">
        <v>636.74519999999995</v>
      </c>
      <c r="U70" s="68">
        <f>S70*T70</f>
        <v>0.12734904</v>
      </c>
    </row>
    <row r="71" spans="1:23" ht="14.25" customHeight="1" x14ac:dyDescent="0.25">
      <c r="A71" s="759"/>
      <c r="B71" s="57" t="s">
        <v>100</v>
      </c>
      <c r="C71" s="57"/>
      <c r="D71" s="37" t="str">
        <f>+D70</f>
        <v>Seguridad</v>
      </c>
      <c r="E71" s="37">
        <f t="shared" si="11"/>
        <v>4</v>
      </c>
      <c r="F71" s="37" t="s">
        <v>172</v>
      </c>
      <c r="G71" s="235">
        <f>+G64</f>
        <v>2500</v>
      </c>
      <c r="H71" s="68">
        <f t="shared" si="12"/>
        <v>1.6000000000000001E-3</v>
      </c>
      <c r="I71" s="66">
        <f>+'5 EPP'!H29</f>
        <v>25.21</v>
      </c>
      <c r="J71" s="68">
        <f t="shared" si="10"/>
        <v>4.0336000000000004E-2</v>
      </c>
      <c r="L71" s="760"/>
      <c r="M71" s="57" t="s">
        <v>390</v>
      </c>
      <c r="N71" s="57"/>
      <c r="O71" s="37" t="s">
        <v>292</v>
      </c>
      <c r="P71" s="37">
        <v>1</v>
      </c>
      <c r="Q71" s="37" t="s">
        <v>176</v>
      </c>
      <c r="R71" s="37">
        <f>+R69</f>
        <v>5000</v>
      </c>
      <c r="S71" s="68">
        <f>P71/R71</f>
        <v>2.0000000000000001E-4</v>
      </c>
      <c r="T71" s="66">
        <f>Y84*H6</f>
        <v>220.5</v>
      </c>
      <c r="U71" s="68">
        <f>S71*T71</f>
        <v>4.41E-2</v>
      </c>
    </row>
    <row r="72" spans="1:23" ht="14.25" customHeight="1" x14ac:dyDescent="0.25">
      <c r="A72" s="759"/>
      <c r="B72" s="57" t="s">
        <v>101</v>
      </c>
      <c r="C72" s="57"/>
      <c r="D72" s="37" t="str">
        <f>+D70</f>
        <v>Seguridad</v>
      </c>
      <c r="E72" s="37">
        <f t="shared" si="11"/>
        <v>4</v>
      </c>
      <c r="F72" s="37" t="s">
        <v>172</v>
      </c>
      <c r="G72" s="235">
        <f>+G64</f>
        <v>2500</v>
      </c>
      <c r="H72" s="68">
        <f t="shared" si="12"/>
        <v>1.6000000000000001E-3</v>
      </c>
      <c r="I72" s="66">
        <f>+'5 EPP'!H30</f>
        <v>117.65</v>
      </c>
      <c r="J72" s="68">
        <f t="shared" si="10"/>
        <v>0.18824000000000002</v>
      </c>
      <c r="M72" s="908" t="s">
        <v>208</v>
      </c>
      <c r="N72" s="909"/>
      <c r="O72" s="909"/>
      <c r="P72" s="909"/>
      <c r="Q72" s="909"/>
      <c r="R72" s="909"/>
      <c r="S72" s="909"/>
      <c r="T72" s="909"/>
      <c r="U72" s="910"/>
      <c r="V72" s="271">
        <f>SUM(S48:S67)</f>
        <v>6.4000000000000012E-3</v>
      </c>
      <c r="W72" s="271">
        <f>SUM(T48:T67)</f>
        <v>710.5200000000001</v>
      </c>
    </row>
    <row r="73" spans="1:23" ht="14.25" customHeight="1" x14ac:dyDescent="0.25">
      <c r="A73" s="759"/>
      <c r="B73" s="57" t="s">
        <v>565</v>
      </c>
      <c r="C73" s="57"/>
      <c r="D73" s="37" t="str">
        <f>+D70</f>
        <v>Seguridad</v>
      </c>
      <c r="E73" s="37">
        <f t="shared" si="11"/>
        <v>4</v>
      </c>
      <c r="F73" s="37" t="s">
        <v>172</v>
      </c>
      <c r="G73" s="235">
        <f>+G64</f>
        <v>2500</v>
      </c>
      <c r="H73" s="68">
        <f t="shared" si="12"/>
        <v>1.6000000000000001E-3</v>
      </c>
      <c r="I73" s="66">
        <f>+'5 EPP'!H31</f>
        <v>46.22</v>
      </c>
      <c r="J73" s="68">
        <f>H73*I73</f>
        <v>7.3952000000000004E-2</v>
      </c>
      <c r="L73" s="232" t="s">
        <v>414</v>
      </c>
      <c r="M73" s="428" t="s">
        <v>12</v>
      </c>
      <c r="N73" s="429"/>
      <c r="O73" s="429"/>
      <c r="P73" s="429"/>
      <c r="Q73" s="429"/>
      <c r="R73" s="430"/>
      <c r="S73" s="438" t="s">
        <v>14</v>
      </c>
      <c r="T73" s="439"/>
      <c r="U73" s="241">
        <f>J8</f>
        <v>25.593097666666672</v>
      </c>
    </row>
    <row r="74" spans="1:23" ht="14.25" customHeight="1" x14ac:dyDescent="0.25">
      <c r="A74" s="760"/>
      <c r="B74" s="57" t="s">
        <v>103</v>
      </c>
      <c r="C74" s="57"/>
      <c r="D74" s="37" t="str">
        <f>+D70</f>
        <v>Seguridad</v>
      </c>
      <c r="E74" s="37">
        <f t="shared" si="11"/>
        <v>4</v>
      </c>
      <c r="F74" s="37" t="s">
        <v>172</v>
      </c>
      <c r="G74" s="235">
        <f>+G64</f>
        <v>2500</v>
      </c>
      <c r="H74" s="68">
        <f t="shared" si="12"/>
        <v>1.6000000000000001E-3</v>
      </c>
      <c r="I74" s="66">
        <f>+'5 EPP'!H32</f>
        <v>3</v>
      </c>
      <c r="J74" s="68">
        <f>H74*I74</f>
        <v>4.8000000000000004E-3</v>
      </c>
      <c r="L74" s="239">
        <v>3</v>
      </c>
      <c r="M74" s="431" t="s">
        <v>284</v>
      </c>
      <c r="N74" s="432"/>
      <c r="O74" s="432"/>
      <c r="P74" s="432"/>
      <c r="Q74" s="432"/>
      <c r="R74" s="433"/>
      <c r="S74" s="424" t="s">
        <v>14</v>
      </c>
      <c r="T74" s="425"/>
      <c r="U74" s="241">
        <f>U2</f>
        <v>48.251807381149597</v>
      </c>
    </row>
    <row r="75" spans="1:23" ht="14.25" customHeight="1" x14ac:dyDescent="0.25">
      <c r="A75" s="861">
        <v>1.8</v>
      </c>
      <c r="B75" s="854" t="s">
        <v>108</v>
      </c>
      <c r="C75" s="855"/>
      <c r="D75" s="855"/>
      <c r="E75" s="855"/>
      <c r="F75" s="855"/>
      <c r="G75" s="856"/>
      <c r="H75" s="851" t="s">
        <v>14</v>
      </c>
      <c r="I75" s="851"/>
      <c r="J75" s="221">
        <f>SUM(J76:J77)/E76</f>
        <v>0.17760000000000001</v>
      </c>
      <c r="L75" s="240">
        <v>4</v>
      </c>
      <c r="M75" s="426" t="s">
        <v>285</v>
      </c>
      <c r="N75" s="426"/>
      <c r="O75" s="426"/>
      <c r="P75" s="426"/>
      <c r="Q75" s="426"/>
      <c r="R75" s="426"/>
      <c r="S75" s="434" t="s">
        <v>14</v>
      </c>
      <c r="T75" s="434"/>
      <c r="U75" s="241">
        <f>U14</f>
        <v>4.810339840000001</v>
      </c>
    </row>
    <row r="76" spans="1:23" ht="14.25" customHeight="1" x14ac:dyDescent="0.25">
      <c r="A76" s="862"/>
      <c r="B76" s="859" t="s">
        <v>788</v>
      </c>
      <c r="C76" s="860"/>
      <c r="D76" s="37" t="s">
        <v>106</v>
      </c>
      <c r="E76" s="810">
        <v>4</v>
      </c>
      <c r="F76" s="37" t="s">
        <v>408</v>
      </c>
      <c r="G76" s="808">
        <f>(I6+J6)*G6*E6</f>
        <v>5000</v>
      </c>
      <c r="H76" s="68">
        <f>E76/G76</f>
        <v>8.0000000000000004E-4</v>
      </c>
      <c r="I76" s="66">
        <v>588</v>
      </c>
      <c r="J76" s="68">
        <f>H76*I76</f>
        <v>0.47040000000000004</v>
      </c>
      <c r="L76" s="240">
        <v>5</v>
      </c>
      <c r="M76" s="843" t="s">
        <v>587</v>
      </c>
      <c r="N76" s="843"/>
      <c r="O76" s="843"/>
      <c r="P76" s="843"/>
      <c r="Q76" s="409">
        <v>0.05</v>
      </c>
      <c r="R76" s="410">
        <f>SUM(U73:U75)</f>
        <v>78.655244887816266</v>
      </c>
      <c r="S76" s="842" t="s">
        <v>14</v>
      </c>
      <c r="T76" s="842"/>
      <c r="U76" s="241">
        <f>R76*Q76</f>
        <v>3.9327622443908137</v>
      </c>
    </row>
    <row r="77" spans="1:23" ht="13.5" customHeight="1" x14ac:dyDescent="0.25">
      <c r="A77" s="862"/>
      <c r="B77" s="57" t="s">
        <v>109</v>
      </c>
      <c r="C77" s="57"/>
      <c r="D77" s="37" t="str">
        <f>+D76</f>
        <v>Vehículo</v>
      </c>
      <c r="E77" s="760"/>
      <c r="F77" s="37" t="s">
        <v>258</v>
      </c>
      <c r="G77" s="809"/>
      <c r="H77" s="68">
        <f>E76/G76</f>
        <v>8.0000000000000004E-4</v>
      </c>
      <c r="I77" s="66">
        <v>300</v>
      </c>
      <c r="J77" s="68">
        <f>H77*I77</f>
        <v>0.24000000000000002</v>
      </c>
      <c r="L77" s="379"/>
      <c r="M77" s="379"/>
      <c r="N77" s="379"/>
      <c r="O77" s="379"/>
      <c r="P77" s="839" t="s">
        <v>403</v>
      </c>
      <c r="Q77" s="840"/>
      <c r="R77" s="840"/>
      <c r="S77" s="840"/>
      <c r="T77" s="841"/>
      <c r="U77" s="412">
        <f>SUM(U73:U76)</f>
        <v>82.588007132207082</v>
      </c>
    </row>
    <row r="78" spans="1:23" ht="14.25" customHeight="1" x14ac:dyDescent="0.25">
      <c r="A78" s="810">
        <v>1.9</v>
      </c>
      <c r="B78" s="848" t="s">
        <v>269</v>
      </c>
      <c r="C78" s="849"/>
      <c r="D78" s="849"/>
      <c r="E78" s="849"/>
      <c r="F78" s="849"/>
      <c r="G78" s="850"/>
      <c r="H78" s="857" t="s">
        <v>14</v>
      </c>
      <c r="I78" s="858"/>
      <c r="J78" s="237">
        <f>SUM(J79)</f>
        <v>0</v>
      </c>
      <c r="L78" s="378"/>
      <c r="M78" s="411"/>
      <c r="N78" s="838" t="s">
        <v>592</v>
      </c>
      <c r="O78" s="838"/>
      <c r="P78" s="838"/>
      <c r="Q78" s="838"/>
      <c r="R78" s="838"/>
      <c r="S78" s="838"/>
      <c r="T78" s="413">
        <v>0.05</v>
      </c>
      <c r="U78" s="241">
        <f>U77*T78</f>
        <v>4.1294003566103541</v>
      </c>
    </row>
    <row r="79" spans="1:23" s="236" customFormat="1" ht="14.25" customHeight="1" x14ac:dyDescent="0.25">
      <c r="A79" s="759"/>
      <c r="B79" s="57" t="s">
        <v>771</v>
      </c>
      <c r="C79" s="57"/>
      <c r="D79" s="57"/>
      <c r="E79" s="555">
        <f>'4Trans'!F49</f>
        <v>5909.66</v>
      </c>
      <c r="F79" s="41" t="s">
        <v>798</v>
      </c>
      <c r="G79" s="556">
        <v>9000</v>
      </c>
      <c r="H79" s="68"/>
      <c r="I79" s="157"/>
      <c r="J79" s="68">
        <f>'4Trans'!F42</f>
        <v>0</v>
      </c>
      <c r="L79"/>
      <c r="M79"/>
      <c r="N79" s="829" t="s">
        <v>593</v>
      </c>
      <c r="O79" s="829"/>
      <c r="P79" s="829"/>
      <c r="Q79" s="829"/>
      <c r="R79" s="829"/>
      <c r="S79" s="829"/>
      <c r="T79" s="835">
        <f>SUM(U77:U78)</f>
        <v>86.717407488817429</v>
      </c>
      <c r="U79" s="836"/>
    </row>
    <row r="80" spans="1:23" s="236" customFormat="1" ht="14.25" customHeight="1" x14ac:dyDescent="0.25">
      <c r="A80" s="223">
        <v>2</v>
      </c>
      <c r="B80" s="844" t="s">
        <v>600</v>
      </c>
      <c r="C80" s="845"/>
      <c r="D80" s="845"/>
      <c r="E80" s="845"/>
      <c r="F80" s="845"/>
      <c r="G80" s="846"/>
      <c r="H80" s="852" t="s">
        <v>14</v>
      </c>
      <c r="I80" s="853"/>
      <c r="J80" s="376">
        <f>SUM(J81:J82)</f>
        <v>0.4</v>
      </c>
      <c r="L80"/>
      <c r="M80"/>
      <c r="N80" s="829" t="s">
        <v>594</v>
      </c>
      <c r="O80" s="829"/>
      <c r="P80" s="829"/>
      <c r="Q80" s="829"/>
      <c r="R80" s="829"/>
      <c r="S80" s="829"/>
      <c r="T80" s="835">
        <f>+T79/H6</f>
        <v>29.495716832931098</v>
      </c>
      <c r="U80" s="837"/>
    </row>
    <row r="81" spans="1:25" s="236" customFormat="1" ht="14.25" customHeight="1" x14ac:dyDescent="0.2">
      <c r="A81" s="37">
        <v>2.1</v>
      </c>
      <c r="B81" s="57" t="s">
        <v>297</v>
      </c>
      <c r="C81" s="230"/>
      <c r="D81" s="230"/>
      <c r="E81" s="37">
        <v>1</v>
      </c>
      <c r="F81" s="37" t="s">
        <v>298</v>
      </c>
      <c r="G81" s="235">
        <f>+$D$6</f>
        <v>5000</v>
      </c>
      <c r="H81" s="231">
        <f>E81/G81</f>
        <v>2.0000000000000001E-4</v>
      </c>
      <c r="I81" s="43">
        <v>1500</v>
      </c>
      <c r="J81" s="214">
        <f>H81*I81</f>
        <v>0.3</v>
      </c>
    </row>
    <row r="82" spans="1:25" s="236" customFormat="1" ht="13.5" customHeight="1" x14ac:dyDescent="0.2">
      <c r="A82" s="37">
        <v>2.2000000000000002</v>
      </c>
      <c r="B82" s="57" t="s">
        <v>789</v>
      </c>
      <c r="C82" s="230"/>
      <c r="D82" s="230"/>
      <c r="E82" s="37">
        <v>1</v>
      </c>
      <c r="F82" s="37" t="s">
        <v>267</v>
      </c>
      <c r="G82" s="235">
        <f>+$D$6</f>
        <v>5000</v>
      </c>
      <c r="H82" s="231">
        <f>E82/G82</f>
        <v>2.0000000000000001E-4</v>
      </c>
      <c r="I82" s="43">
        <v>500</v>
      </c>
      <c r="J82" s="214">
        <f>H82*I82</f>
        <v>0.1</v>
      </c>
    </row>
    <row r="83" spans="1:25" ht="13.5" customHeight="1" x14ac:dyDescent="0.25">
      <c r="L83" s="272">
        <f>SUM(J57:J58)</f>
        <v>0</v>
      </c>
    </row>
    <row r="84" spans="1:25" x14ac:dyDescent="0.25">
      <c r="W84" s="652" t="s">
        <v>586</v>
      </c>
      <c r="X84" s="652"/>
      <c r="Y84">
        <v>75</v>
      </c>
    </row>
    <row r="87" spans="1:25" ht="14.1" customHeight="1" x14ac:dyDescent="0.25"/>
    <row r="88" spans="1:25" ht="14.1" customHeight="1" x14ac:dyDescent="0.25"/>
    <row r="89" spans="1:25" ht="14.1" customHeight="1" x14ac:dyDescent="0.25"/>
    <row r="90" spans="1:25" ht="14.1" customHeight="1" x14ac:dyDescent="0.25"/>
    <row r="91" spans="1:25" ht="14.1" customHeight="1" x14ac:dyDescent="0.25"/>
    <row r="92" spans="1:25" ht="17.25" customHeight="1" x14ac:dyDescent="0.25"/>
    <row r="93" spans="1:25" ht="18.75" customHeight="1" x14ac:dyDescent="0.25"/>
    <row r="96" spans="1:25" ht="18.75" customHeight="1" x14ac:dyDescent="0.25"/>
    <row r="97" spans="11:12" ht="18.75" customHeight="1" x14ac:dyDescent="0.25"/>
    <row r="98" spans="11:12" ht="18.75" customHeight="1" x14ac:dyDescent="0.25"/>
    <row r="99" spans="11:12" ht="18.75" customHeight="1" x14ac:dyDescent="0.25"/>
    <row r="100" spans="11:12" ht="30" customHeight="1" x14ac:dyDescent="0.25"/>
    <row r="101" spans="11:12" ht="27" customHeight="1" x14ac:dyDescent="0.25">
      <c r="K101" s="23"/>
      <c r="L101" s="23"/>
    </row>
    <row r="102" spans="11:12" ht="18.75" customHeight="1" x14ac:dyDescent="0.25"/>
    <row r="103" spans="11:12" ht="18.75" customHeight="1" x14ac:dyDescent="0.25"/>
    <row r="104" spans="11:12" ht="18.75" customHeight="1" x14ac:dyDescent="0.25"/>
    <row r="105" spans="11:12" ht="18.75" customHeight="1" x14ac:dyDescent="0.25"/>
    <row r="106" spans="11:12" ht="18.75" customHeight="1" x14ac:dyDescent="0.25"/>
    <row r="107" spans="11:12" ht="18.75" customHeight="1" x14ac:dyDescent="0.25"/>
    <row r="108" spans="11:12" ht="18.75" customHeight="1" x14ac:dyDescent="0.25"/>
  </sheetData>
  <mergeCells count="173">
    <mergeCell ref="G43:G46"/>
    <mergeCell ref="H43:H46"/>
    <mergeCell ref="I43:I46"/>
    <mergeCell ref="J43:J46"/>
    <mergeCell ref="S40:S41"/>
    <mergeCell ref="H61:H62"/>
    <mergeCell ref="E57:E58"/>
    <mergeCell ref="E61:E62"/>
    <mergeCell ref="H57:H58"/>
    <mergeCell ref="H59:H60"/>
    <mergeCell ref="R40:R41"/>
    <mergeCell ref="G57:G60"/>
    <mergeCell ref="P42:P43"/>
    <mergeCell ref="R42:R43"/>
    <mergeCell ref="P44:P45"/>
    <mergeCell ref="G61:G62"/>
    <mergeCell ref="M72:U72"/>
    <mergeCell ref="T32:T33"/>
    <mergeCell ref="T34:T35"/>
    <mergeCell ref="U32:U33"/>
    <mergeCell ref="U34:U35"/>
    <mergeCell ref="M32:N33"/>
    <mergeCell ref="L47:L67"/>
    <mergeCell ref="S44:S45"/>
    <mergeCell ref="R44:R45"/>
    <mergeCell ref="O36:O37"/>
    <mergeCell ref="P36:P37"/>
    <mergeCell ref="R36:R37"/>
    <mergeCell ref="O38:O39"/>
    <mergeCell ref="N13:S13"/>
    <mergeCell ref="L13:M13"/>
    <mergeCell ref="M2:R2"/>
    <mergeCell ref="M14:R14"/>
    <mergeCell ref="O28:O29"/>
    <mergeCell ref="S14:T14"/>
    <mergeCell ref="H11:I11"/>
    <mergeCell ref="M20:N20"/>
    <mergeCell ref="M21:N21"/>
    <mergeCell ref="H17:H21"/>
    <mergeCell ref="I17:I21"/>
    <mergeCell ref="J17:J21"/>
    <mergeCell ref="L15:L45"/>
    <mergeCell ref="M26:N26"/>
    <mergeCell ref="M24:N24"/>
    <mergeCell ref="M27:N27"/>
    <mergeCell ref="M28:N28"/>
    <mergeCell ref="M29:N29"/>
    <mergeCell ref="S16:S17"/>
    <mergeCell ref="M44:N44"/>
    <mergeCell ref="M43:N43"/>
    <mergeCell ref="P30:P31"/>
    <mergeCell ref="M45:N45"/>
    <mergeCell ref="P38:P39"/>
    <mergeCell ref="A9:A10"/>
    <mergeCell ref="A2:J2"/>
    <mergeCell ref="A3:J3"/>
    <mergeCell ref="M41:N41"/>
    <mergeCell ref="M42:N42"/>
    <mergeCell ref="Q3:R3"/>
    <mergeCell ref="M25:N25"/>
    <mergeCell ref="Q6:R6"/>
    <mergeCell ref="Q10:R10"/>
    <mergeCell ref="B8:G8"/>
    <mergeCell ref="B9:G9"/>
    <mergeCell ref="B11:G11"/>
    <mergeCell ref="B36:G36"/>
    <mergeCell ref="B42:G42"/>
    <mergeCell ref="H36:I36"/>
    <mergeCell ref="H42:I42"/>
    <mergeCell ref="A42:A46"/>
    <mergeCell ref="M15:N15"/>
    <mergeCell ref="M23:N23"/>
    <mergeCell ref="M17:N17"/>
    <mergeCell ref="M22:N22"/>
    <mergeCell ref="M16:N16"/>
    <mergeCell ref="A11:A35"/>
    <mergeCell ref="H8:I8"/>
    <mergeCell ref="B1:J1"/>
    <mergeCell ref="S30:S31"/>
    <mergeCell ref="S24:S25"/>
    <mergeCell ref="R26:R27"/>
    <mergeCell ref="S26:S27"/>
    <mergeCell ref="P28:P29"/>
    <mergeCell ref="R28:R29"/>
    <mergeCell ref="S28:S29"/>
    <mergeCell ref="P18:P19"/>
    <mergeCell ref="R18:R19"/>
    <mergeCell ref="S18:S19"/>
    <mergeCell ref="P20:P21"/>
    <mergeCell ref="R20:R21"/>
    <mergeCell ref="S2:T2"/>
    <mergeCell ref="Q4:R4"/>
    <mergeCell ref="Q5:R5"/>
    <mergeCell ref="H9:I9"/>
    <mergeCell ref="S20:S21"/>
    <mergeCell ref="P22:P23"/>
    <mergeCell ref="R22:R23"/>
    <mergeCell ref="S22:S23"/>
    <mergeCell ref="M30:N30"/>
    <mergeCell ref="M18:N18"/>
    <mergeCell ref="M19:N19"/>
    <mergeCell ref="B80:G80"/>
    <mergeCell ref="A36:A41"/>
    <mergeCell ref="A53:A55"/>
    <mergeCell ref="A47:A52"/>
    <mergeCell ref="B53:G53"/>
    <mergeCell ref="B56:G56"/>
    <mergeCell ref="B63:G63"/>
    <mergeCell ref="H53:I53"/>
    <mergeCell ref="H63:I63"/>
    <mergeCell ref="H56:I56"/>
    <mergeCell ref="H80:I80"/>
    <mergeCell ref="B75:G75"/>
    <mergeCell ref="H78:I78"/>
    <mergeCell ref="B78:G78"/>
    <mergeCell ref="H75:I75"/>
    <mergeCell ref="B58:C58"/>
    <mergeCell ref="B76:C76"/>
    <mergeCell ref="E59:E60"/>
    <mergeCell ref="A56:A62"/>
    <mergeCell ref="A63:A74"/>
    <mergeCell ref="A75:A77"/>
    <mergeCell ref="E76:E77"/>
    <mergeCell ref="B47:G47"/>
    <mergeCell ref="H47:I47"/>
    <mergeCell ref="W84:X84"/>
    <mergeCell ref="M38:N38"/>
    <mergeCell ref="M39:N39"/>
    <mergeCell ref="M40:N40"/>
    <mergeCell ref="M31:N31"/>
    <mergeCell ref="O18:O19"/>
    <mergeCell ref="O20:O21"/>
    <mergeCell ref="O22:O23"/>
    <mergeCell ref="O24:O25"/>
    <mergeCell ref="O26:O27"/>
    <mergeCell ref="N80:S80"/>
    <mergeCell ref="T79:U79"/>
    <mergeCell ref="T80:U80"/>
    <mergeCell ref="N78:S78"/>
    <mergeCell ref="P77:T77"/>
    <mergeCell ref="S76:T76"/>
    <mergeCell ref="M36:N36"/>
    <mergeCell ref="M37:N37"/>
    <mergeCell ref="O30:O31"/>
    <mergeCell ref="P24:P25"/>
    <mergeCell ref="R24:R25"/>
    <mergeCell ref="P26:P27"/>
    <mergeCell ref="P40:P41"/>
    <mergeCell ref="M76:P76"/>
    <mergeCell ref="G76:G77"/>
    <mergeCell ref="A78:A79"/>
    <mergeCell ref="V16:X21"/>
    <mergeCell ref="Y16:Y21"/>
    <mergeCell ref="V22:X25"/>
    <mergeCell ref="Y22:Y25"/>
    <mergeCell ref="V26:X39"/>
    <mergeCell ref="Y26:Y39"/>
    <mergeCell ref="P16:P17"/>
    <mergeCell ref="R16:R17"/>
    <mergeCell ref="O16:O17"/>
    <mergeCell ref="S32:S35"/>
    <mergeCell ref="S36:S37"/>
    <mergeCell ref="S38:S39"/>
    <mergeCell ref="S42:S43"/>
    <mergeCell ref="M34:N35"/>
    <mergeCell ref="R30:R31"/>
    <mergeCell ref="P32:P35"/>
    <mergeCell ref="O40:O41"/>
    <mergeCell ref="O32:O35"/>
    <mergeCell ref="N79:S79"/>
    <mergeCell ref="R38:R39"/>
    <mergeCell ref="R32:R35"/>
    <mergeCell ref="L68:L71"/>
  </mergeCells>
  <printOptions horizontalCentered="1" verticalCentered="1"/>
  <pageMargins left="0" right="0" top="0" bottom="0" header="0" footer="0"/>
  <pageSetup paperSize="8" scale="67" fitToHeight="0" orientation="landscape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"/>
  <sheetViews>
    <sheetView view="pageBreakPreview" zoomScaleNormal="100" zoomScaleSheetLayoutView="100" workbookViewId="0">
      <selection sqref="A1:J1"/>
    </sheetView>
  </sheetViews>
  <sheetFormatPr baseColWidth="10" defaultRowHeight="15" x14ac:dyDescent="0.25"/>
  <cols>
    <col min="2" max="2" width="39.140625" customWidth="1"/>
    <col min="14" max="15" width="12.42578125" bestFit="1" customWidth="1"/>
  </cols>
  <sheetData>
    <row r="1" spans="1:13" ht="18" x14ac:dyDescent="0.25">
      <c r="A1" s="943" t="s">
        <v>444</v>
      </c>
      <c r="B1" s="944"/>
      <c r="C1" s="944"/>
      <c r="D1" s="944"/>
      <c r="E1" s="944"/>
      <c r="F1" s="944"/>
      <c r="G1" s="944"/>
      <c r="H1" s="944"/>
      <c r="I1" s="944"/>
      <c r="J1" s="945"/>
    </row>
    <row r="2" spans="1:13" ht="18" x14ac:dyDescent="0.25">
      <c r="A2" s="943" t="s">
        <v>720</v>
      </c>
      <c r="B2" s="944"/>
      <c r="C2" s="944"/>
      <c r="D2" s="944"/>
      <c r="E2" s="944"/>
      <c r="F2" s="944"/>
      <c r="G2" s="944"/>
      <c r="H2" s="944"/>
      <c r="I2" s="944"/>
      <c r="J2" s="945"/>
    </row>
    <row r="3" spans="1:13" x14ac:dyDescent="0.25">
      <c r="A3" s="158"/>
      <c r="B3" s="158"/>
      <c r="C3" s="158"/>
      <c r="D3" s="158"/>
      <c r="E3" s="158"/>
      <c r="F3" s="159"/>
      <c r="G3" s="159"/>
      <c r="H3" s="99"/>
      <c r="I3" s="99"/>
      <c r="J3" s="156"/>
    </row>
    <row r="4" spans="1:13" ht="15.75" x14ac:dyDescent="0.25">
      <c r="A4" s="946" t="s">
        <v>293</v>
      </c>
      <c r="B4" s="947"/>
      <c r="C4" s="180" t="s">
        <v>294</v>
      </c>
      <c r="D4" s="180" t="s">
        <v>130</v>
      </c>
      <c r="E4" s="88"/>
      <c r="F4" s="159"/>
      <c r="G4" s="159"/>
      <c r="H4" s="99"/>
      <c r="I4" s="99"/>
      <c r="J4" s="156"/>
    </row>
    <row r="5" spans="1:13" x14ac:dyDescent="0.25">
      <c r="A5" s="930" t="s">
        <v>12</v>
      </c>
      <c r="B5" s="931"/>
      <c r="C5" s="243">
        <f>D5/$D$10</f>
        <v>0.29513218173602584</v>
      </c>
      <c r="D5" s="244">
        <f>'7chrFM'!U73</f>
        <v>25.593097666666672</v>
      </c>
      <c r="E5" s="88"/>
      <c r="F5" s="159"/>
      <c r="G5" s="159"/>
      <c r="H5" s="99"/>
      <c r="I5" s="99"/>
      <c r="J5" s="156"/>
    </row>
    <row r="6" spans="1:13" x14ac:dyDescent="0.25">
      <c r="A6" s="930" t="s">
        <v>284</v>
      </c>
      <c r="B6" s="931"/>
      <c r="C6" s="243">
        <f>D6/$D$10</f>
        <v>0.55642585241460163</v>
      </c>
      <c r="D6" s="244">
        <f>'7chrFM'!U74</f>
        <v>48.251807381149597</v>
      </c>
      <c r="E6" s="88"/>
      <c r="F6" s="159"/>
      <c r="G6" s="159"/>
      <c r="H6" s="99"/>
      <c r="I6" s="99"/>
      <c r="J6" s="156"/>
    </row>
    <row r="7" spans="1:13" ht="28.5" customHeight="1" x14ac:dyDescent="0.25">
      <c r="A7" s="932" t="s">
        <v>285</v>
      </c>
      <c r="B7" s="933"/>
      <c r="C7" s="243">
        <f>D7/$D$10</f>
        <v>5.5471444307422527E-2</v>
      </c>
      <c r="D7" s="244">
        <f>'7chrFM'!U75</f>
        <v>4.810339840000001</v>
      </c>
      <c r="E7" s="88"/>
      <c r="F7" s="159"/>
      <c r="G7" s="159"/>
      <c r="H7" s="99"/>
      <c r="I7" s="99"/>
      <c r="J7" s="156"/>
    </row>
    <row r="8" spans="1:13" ht="18" customHeight="1" x14ac:dyDescent="0.25">
      <c r="A8" s="932" t="s">
        <v>415</v>
      </c>
      <c r="B8" s="933"/>
      <c r="C8" s="243">
        <f>D8/$D$10</f>
        <v>4.5351473922902501E-2</v>
      </c>
      <c r="D8" s="244">
        <f>'7chrFM'!U76</f>
        <v>3.9327622443908137</v>
      </c>
      <c r="E8" s="88"/>
      <c r="F8" s="159"/>
      <c r="G8" s="159"/>
      <c r="H8" s="99"/>
      <c r="I8" s="99"/>
      <c r="J8" s="156"/>
    </row>
    <row r="9" spans="1:13" x14ac:dyDescent="0.25">
      <c r="A9" s="930" t="s">
        <v>597</v>
      </c>
      <c r="B9" s="931"/>
      <c r="C9" s="243">
        <v>0.05</v>
      </c>
      <c r="D9" s="244">
        <f>SUM(D5:D8)*C9</f>
        <v>4.1294003566103541</v>
      </c>
      <c r="E9" s="88"/>
      <c r="F9" s="159"/>
      <c r="G9" s="159"/>
      <c r="H9" s="99"/>
      <c r="I9" s="99"/>
      <c r="J9" s="156"/>
    </row>
    <row r="10" spans="1:13" ht="15.75" x14ac:dyDescent="0.25">
      <c r="A10" s="948" t="s">
        <v>553</v>
      </c>
      <c r="B10" s="949"/>
      <c r="C10" s="243"/>
      <c r="D10" s="383">
        <f>SUM(D5:D9)</f>
        <v>86.717407488817429</v>
      </c>
      <c r="E10" s="88"/>
      <c r="F10" s="159"/>
      <c r="G10" s="159"/>
      <c r="H10" s="99"/>
      <c r="I10" s="99"/>
      <c r="J10" s="156"/>
    </row>
    <row r="11" spans="1:13" x14ac:dyDescent="0.25">
      <c r="A11" s="158"/>
      <c r="B11" s="158"/>
      <c r="C11" s="158"/>
      <c r="D11" s="158"/>
      <c r="E11" s="158"/>
      <c r="F11" s="159"/>
      <c r="G11" s="159"/>
      <c r="H11" s="99"/>
      <c r="I11" s="99"/>
      <c r="J11" s="156"/>
      <c r="M11">
        <f>155.09-33.53</f>
        <v>121.56</v>
      </c>
    </row>
    <row r="12" spans="1:13" x14ac:dyDescent="0.25">
      <c r="A12" s="158"/>
      <c r="B12" s="158"/>
      <c r="C12" s="158"/>
      <c r="D12" s="158"/>
      <c r="E12" s="158"/>
      <c r="F12" s="159"/>
      <c r="G12" s="159"/>
      <c r="H12" s="99"/>
      <c r="I12" s="99"/>
      <c r="J12" s="156"/>
      <c r="M12">
        <f>M11*0.05</f>
        <v>6.0780000000000003</v>
      </c>
    </row>
    <row r="13" spans="1:13" x14ac:dyDescent="0.25">
      <c r="A13" s="155"/>
      <c r="B13" s="155"/>
      <c r="C13" s="155"/>
      <c r="D13" s="155"/>
      <c r="E13" s="155"/>
      <c r="F13" s="99"/>
      <c r="G13" s="99"/>
      <c r="H13" s="99"/>
      <c r="I13" s="99"/>
      <c r="J13" s="156"/>
      <c r="M13">
        <f>SUM(M11:M12)</f>
        <v>127.63800000000001</v>
      </c>
    </row>
    <row r="14" spans="1:13" x14ac:dyDescent="0.25">
      <c r="A14" s="155"/>
      <c r="B14" s="155"/>
      <c r="C14" s="155"/>
      <c r="D14" s="155"/>
      <c r="E14" s="155"/>
      <c r="F14" s="99"/>
      <c r="G14" s="99"/>
      <c r="H14" s="99"/>
      <c r="I14" s="99"/>
      <c r="J14" s="156"/>
      <c r="M14">
        <f>+M13*1.05</f>
        <v>134.01990000000001</v>
      </c>
    </row>
    <row r="15" spans="1:13" x14ac:dyDescent="0.25">
      <c r="A15" s="155"/>
      <c r="B15" s="155"/>
      <c r="C15" s="155"/>
      <c r="D15" s="155"/>
      <c r="E15" s="155"/>
      <c r="F15" s="99"/>
      <c r="G15" s="99"/>
      <c r="H15" s="99"/>
      <c r="I15" s="99"/>
      <c r="J15" s="156"/>
    </row>
    <row r="16" spans="1:13" x14ac:dyDescent="0.25">
      <c r="A16" s="155"/>
      <c r="B16" s="155"/>
      <c r="C16" s="155"/>
      <c r="D16" s="155"/>
      <c r="E16" s="155"/>
      <c r="F16" s="99"/>
      <c r="G16" s="99"/>
      <c r="H16" s="99"/>
      <c r="I16" s="99"/>
      <c r="J16" s="156"/>
    </row>
    <row r="17" spans="1:15" x14ac:dyDescent="0.25">
      <c r="A17" s="155"/>
      <c r="B17" s="155"/>
      <c r="C17" s="155"/>
      <c r="D17" s="155"/>
      <c r="E17" s="155"/>
      <c r="F17" s="99"/>
      <c r="G17" s="99"/>
      <c r="H17" s="99"/>
      <c r="I17" s="99"/>
      <c r="J17" s="156"/>
    </row>
    <row r="18" spans="1:15" ht="15.75" x14ac:dyDescent="0.25">
      <c r="B18" s="245" t="s">
        <v>133</v>
      </c>
      <c r="C18" s="934"/>
      <c r="D18" s="935"/>
      <c r="E18" s="935"/>
      <c r="F18" s="935"/>
      <c r="G18" s="935"/>
      <c r="H18" s="935"/>
      <c r="I18" s="13"/>
      <c r="J18" s="14"/>
    </row>
    <row r="19" spans="1:15" x14ac:dyDescent="0.25">
      <c r="B19" s="242" t="s">
        <v>134</v>
      </c>
      <c r="C19" s="950" t="s">
        <v>135</v>
      </c>
      <c r="D19" s="951"/>
      <c r="E19" s="950" t="s">
        <v>136</v>
      </c>
      <c r="F19" s="951"/>
      <c r="G19" s="950" t="s">
        <v>416</v>
      </c>
      <c r="H19" s="951"/>
    </row>
    <row r="20" spans="1:15" x14ac:dyDescent="0.25">
      <c r="A20" s="24"/>
      <c r="B20" s="29" t="s">
        <v>139</v>
      </c>
      <c r="C20" s="928" t="s">
        <v>140</v>
      </c>
      <c r="D20" s="929"/>
      <c r="E20" s="928"/>
      <c r="F20" s="929"/>
      <c r="G20" s="952">
        <f>+O28</f>
        <v>852845</v>
      </c>
      <c r="H20" s="953"/>
      <c r="I20" s="15"/>
      <c r="J20" s="15"/>
      <c r="N20">
        <f>(G20*G22)/(200*G24)</f>
        <v>8.5284499999999999E-2</v>
      </c>
    </row>
    <row r="21" spans="1:15" x14ac:dyDescent="0.25">
      <c r="B21" s="29" t="s">
        <v>141</v>
      </c>
      <c r="C21" s="928" t="s">
        <v>142</v>
      </c>
      <c r="D21" s="929"/>
      <c r="E21" s="928" t="s">
        <v>143</v>
      </c>
      <c r="F21" s="929"/>
      <c r="G21" s="936">
        <v>0.8</v>
      </c>
      <c r="H21" s="937"/>
    </row>
    <row r="22" spans="1:15" x14ac:dyDescent="0.25">
      <c r="B22" s="153" t="s">
        <v>591</v>
      </c>
      <c r="C22" s="926" t="s">
        <v>145</v>
      </c>
      <c r="D22" s="927"/>
      <c r="E22" s="926" t="s">
        <v>589</v>
      </c>
      <c r="F22" s="927"/>
      <c r="G22" s="938">
        <v>0.1</v>
      </c>
      <c r="H22" s="939"/>
      <c r="M22" s="560">
        <v>0.1</v>
      </c>
    </row>
    <row r="23" spans="1:15" x14ac:dyDescent="0.25">
      <c r="B23" s="153" t="s">
        <v>772</v>
      </c>
      <c r="C23" s="926" t="s">
        <v>777</v>
      </c>
      <c r="D23" s="927"/>
      <c r="E23" s="926" t="s">
        <v>781</v>
      </c>
      <c r="F23" s="927"/>
      <c r="G23" s="936">
        <v>15000</v>
      </c>
      <c r="H23" s="937"/>
      <c r="K23">
        <v>3</v>
      </c>
      <c r="L23">
        <v>1</v>
      </c>
      <c r="M23">
        <f>SUM(K23:L23)</f>
        <v>4</v>
      </c>
    </row>
    <row r="24" spans="1:15" x14ac:dyDescent="0.25">
      <c r="B24" s="153" t="s">
        <v>150</v>
      </c>
      <c r="C24" s="926" t="s">
        <v>778</v>
      </c>
      <c r="D24" s="927"/>
      <c r="E24" s="926" t="s">
        <v>795</v>
      </c>
      <c r="F24" s="927"/>
      <c r="G24" s="936">
        <f>+'7chrFM'!D6</f>
        <v>5000</v>
      </c>
      <c r="H24" s="937"/>
    </row>
    <row r="25" spans="1:15" x14ac:dyDescent="0.25">
      <c r="B25" s="153" t="s">
        <v>153</v>
      </c>
      <c r="C25" s="926" t="s">
        <v>411</v>
      </c>
      <c r="D25" s="927"/>
      <c r="E25" s="926"/>
      <c r="F25" s="927"/>
      <c r="G25" s="954">
        <v>102900</v>
      </c>
      <c r="H25" s="954"/>
    </row>
    <row r="26" spans="1:15" x14ac:dyDescent="0.25">
      <c r="B26" s="153" t="s">
        <v>155</v>
      </c>
      <c r="C26" s="926" t="s">
        <v>156</v>
      </c>
      <c r="D26" s="927"/>
      <c r="E26" s="926" t="s">
        <v>157</v>
      </c>
      <c r="F26" s="927"/>
      <c r="G26" s="954">
        <v>18000</v>
      </c>
      <c r="H26" s="954"/>
      <c r="N26" t="s">
        <v>800</v>
      </c>
      <c r="O26">
        <v>2.94</v>
      </c>
    </row>
    <row r="27" spans="1:15" x14ac:dyDescent="0.25">
      <c r="B27" s="153" t="s">
        <v>158</v>
      </c>
      <c r="C27" s="926" t="s">
        <v>159</v>
      </c>
      <c r="D27" s="927"/>
      <c r="E27" s="926" t="s">
        <v>796</v>
      </c>
      <c r="F27" s="927"/>
      <c r="G27" s="954">
        <v>4000</v>
      </c>
      <c r="H27" s="954"/>
      <c r="N27" t="s">
        <v>799</v>
      </c>
      <c r="O27">
        <v>2.891</v>
      </c>
    </row>
    <row r="28" spans="1:15" x14ac:dyDescent="0.25">
      <c r="B28" s="153" t="s">
        <v>161</v>
      </c>
      <c r="C28" s="926" t="s">
        <v>162</v>
      </c>
      <c r="D28" s="927"/>
      <c r="E28" s="926"/>
      <c r="F28" s="927"/>
      <c r="G28" s="954">
        <v>52000</v>
      </c>
      <c r="H28" s="954"/>
      <c r="L28" s="561">
        <v>295000</v>
      </c>
      <c r="M28" s="561">
        <v>1</v>
      </c>
      <c r="N28" s="562">
        <f>L28*M28</f>
        <v>295000</v>
      </c>
      <c r="O28" s="562">
        <f>N28*O27</f>
        <v>852845</v>
      </c>
    </row>
    <row r="29" spans="1:15" x14ac:dyDescent="0.25">
      <c r="B29" s="153" t="s">
        <v>163</v>
      </c>
      <c r="C29" s="926" t="s">
        <v>164</v>
      </c>
      <c r="D29" s="927"/>
      <c r="E29" s="926" t="s">
        <v>590</v>
      </c>
      <c r="F29" s="927"/>
      <c r="G29" s="954">
        <v>30000</v>
      </c>
      <c r="H29" s="954"/>
      <c r="L29">
        <v>295000</v>
      </c>
      <c r="M29">
        <v>1.19</v>
      </c>
      <c r="N29" s="23">
        <f>L29*M29</f>
        <v>351050</v>
      </c>
      <c r="O29" s="23">
        <f>N29*O27</f>
        <v>1014885.55</v>
      </c>
    </row>
    <row r="30" spans="1:15" x14ac:dyDescent="0.25">
      <c r="E30" s="88"/>
      <c r="L30">
        <v>295000</v>
      </c>
      <c r="M30">
        <v>1.19</v>
      </c>
      <c r="N30" s="23">
        <f>L30*M30</f>
        <v>351050</v>
      </c>
      <c r="O30" s="23">
        <f>N30*O26</f>
        <v>1032087</v>
      </c>
    </row>
    <row r="31" spans="1:15" x14ac:dyDescent="0.25">
      <c r="A31" s="16"/>
      <c r="B31" s="405" t="s">
        <v>784</v>
      </c>
      <c r="C31" s="626" t="s">
        <v>797</v>
      </c>
      <c r="D31" s="626"/>
      <c r="E31" s="626" t="s">
        <v>797</v>
      </c>
      <c r="F31" s="626"/>
      <c r="G31">
        <f>M23*C35/E32</f>
        <v>170569</v>
      </c>
    </row>
    <row r="32" spans="1:15" x14ac:dyDescent="0.25">
      <c r="B32" s="404" t="s">
        <v>779</v>
      </c>
      <c r="C32" s="940">
        <f>2*K23</f>
        <v>6</v>
      </c>
      <c r="D32" s="940"/>
      <c r="E32" s="940">
        <f>+C32</f>
        <v>6</v>
      </c>
      <c r="F32" s="940"/>
      <c r="I32" s="272">
        <f>G31/G33</f>
        <v>11.371266666666667</v>
      </c>
    </row>
    <row r="33" spans="1:8" x14ac:dyDescent="0.25">
      <c r="A33" s="403" t="s">
        <v>588</v>
      </c>
      <c r="B33" s="33" t="s">
        <v>780</v>
      </c>
      <c r="C33" s="941">
        <f>+G23</f>
        <v>15000</v>
      </c>
      <c r="D33" s="942"/>
      <c r="E33" s="924">
        <f>+C33</f>
        <v>15000</v>
      </c>
      <c r="F33" s="925"/>
      <c r="G33" s="924">
        <f>+E33</f>
        <v>15000</v>
      </c>
      <c r="H33" s="925"/>
    </row>
    <row r="35" spans="1:8" x14ac:dyDescent="0.25">
      <c r="C35">
        <f>G20*M22*K23</f>
        <v>255853.5</v>
      </c>
    </row>
    <row r="38" spans="1:8" x14ac:dyDescent="0.25">
      <c r="D38">
        <f>1032085*0.1*3*4/6/15000</f>
        <v>13.761133333333333</v>
      </c>
    </row>
  </sheetData>
  <mergeCells count="50">
    <mergeCell ref="C24:D24"/>
    <mergeCell ref="G29:H29"/>
    <mergeCell ref="G28:H28"/>
    <mergeCell ref="C29:D29"/>
    <mergeCell ref="E27:F27"/>
    <mergeCell ref="G24:H24"/>
    <mergeCell ref="C27:D27"/>
    <mergeCell ref="C26:D26"/>
    <mergeCell ref="C25:D25"/>
    <mergeCell ref="E26:F26"/>
    <mergeCell ref="E24:F24"/>
    <mergeCell ref="G27:H27"/>
    <mergeCell ref="G26:H26"/>
    <mergeCell ref="G25:H25"/>
    <mergeCell ref="E25:F25"/>
    <mergeCell ref="E33:F33"/>
    <mergeCell ref="E28:F28"/>
    <mergeCell ref="E29:F29"/>
    <mergeCell ref="C28:D28"/>
    <mergeCell ref="C31:D31"/>
    <mergeCell ref="E31:F31"/>
    <mergeCell ref="A2:J2"/>
    <mergeCell ref="A4:B4"/>
    <mergeCell ref="A5:B5"/>
    <mergeCell ref="A1:J1"/>
    <mergeCell ref="E21:F21"/>
    <mergeCell ref="A10:B10"/>
    <mergeCell ref="C19:D19"/>
    <mergeCell ref="E19:F19"/>
    <mergeCell ref="G19:H19"/>
    <mergeCell ref="C20:D20"/>
    <mergeCell ref="C21:D21"/>
    <mergeCell ref="G20:H20"/>
    <mergeCell ref="G21:H21"/>
    <mergeCell ref="G33:H33"/>
    <mergeCell ref="E23:F23"/>
    <mergeCell ref="E20:F20"/>
    <mergeCell ref="A6:B6"/>
    <mergeCell ref="A7:B7"/>
    <mergeCell ref="A8:B8"/>
    <mergeCell ref="C23:D23"/>
    <mergeCell ref="A9:B9"/>
    <mergeCell ref="C18:H18"/>
    <mergeCell ref="E22:F22"/>
    <mergeCell ref="C22:D22"/>
    <mergeCell ref="G23:H23"/>
    <mergeCell ref="G22:H22"/>
    <mergeCell ref="C32:D32"/>
    <mergeCell ref="C33:D33"/>
    <mergeCell ref="E32:F32"/>
  </mergeCells>
  <printOptions horizontalCentered="1"/>
  <pageMargins left="0.31496062992125984" right="0" top="0.74803149606299213" bottom="0" header="0" footer="0"/>
  <pageSetup paperSize="9" orientation="landscape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0"/>
  <sheetViews>
    <sheetView tabSelected="1" zoomScale="90" zoomScaleNormal="90" workbookViewId="0">
      <selection activeCell="L6" sqref="L6"/>
    </sheetView>
  </sheetViews>
  <sheetFormatPr baseColWidth="10" defaultRowHeight="15" x14ac:dyDescent="0.25"/>
  <cols>
    <col min="3" max="3" width="36.42578125" customWidth="1"/>
    <col min="4" max="4" width="15.5703125" customWidth="1"/>
    <col min="5" max="5" width="16.7109375" customWidth="1"/>
    <col min="6" max="6" width="22.42578125" customWidth="1"/>
  </cols>
  <sheetData>
    <row r="1" spans="1:9" ht="18" x14ac:dyDescent="0.25">
      <c r="A1" s="955" t="s">
        <v>0</v>
      </c>
      <c r="B1" s="956"/>
      <c r="C1" s="956"/>
      <c r="D1" s="956"/>
      <c r="E1" s="956"/>
      <c r="F1" s="956"/>
      <c r="G1" s="956"/>
      <c r="H1" s="956"/>
      <c r="I1" s="957"/>
    </row>
    <row r="2" spans="1:9" ht="18" x14ac:dyDescent="0.25">
      <c r="A2" s="958" t="s">
        <v>1</v>
      </c>
      <c r="B2" s="959"/>
      <c r="C2" s="959"/>
      <c r="D2" s="959"/>
      <c r="E2" s="959"/>
      <c r="F2" s="959"/>
      <c r="G2" s="959"/>
      <c r="H2" s="959"/>
      <c r="I2" s="960"/>
    </row>
    <row r="3" spans="1:9" x14ac:dyDescent="0.25">
      <c r="A3" s="961" t="s">
        <v>2</v>
      </c>
      <c r="B3" s="962"/>
      <c r="C3" s="962"/>
      <c r="D3" s="962"/>
      <c r="E3" s="962"/>
      <c r="F3" s="962"/>
      <c r="G3" s="962"/>
      <c r="H3" s="962"/>
      <c r="I3" s="963"/>
    </row>
    <row r="4" spans="1:9" x14ac:dyDescent="0.25">
      <c r="A4" s="964" t="s">
        <v>3</v>
      </c>
      <c r="B4" s="965"/>
      <c r="C4" s="965"/>
      <c r="D4" s="966"/>
      <c r="E4" s="970" t="s">
        <v>4</v>
      </c>
      <c r="F4" s="970" t="s">
        <v>5</v>
      </c>
      <c r="G4" s="108" t="s">
        <v>6</v>
      </c>
      <c r="H4" s="108" t="s">
        <v>7</v>
      </c>
      <c r="I4" s="110" t="s">
        <v>8</v>
      </c>
    </row>
    <row r="5" spans="1:9" ht="15.75" thickBot="1" x14ac:dyDescent="0.3">
      <c r="A5" s="967"/>
      <c r="B5" s="968"/>
      <c r="C5" s="968"/>
      <c r="D5" s="969"/>
      <c r="E5" s="971"/>
      <c r="F5" s="971"/>
      <c r="G5" s="109" t="s">
        <v>9</v>
      </c>
      <c r="H5" s="109" t="s">
        <v>10</v>
      </c>
      <c r="I5" s="111" t="s">
        <v>11</v>
      </c>
    </row>
    <row r="6" spans="1:9" ht="16.5" thickTop="1" thickBot="1" x14ac:dyDescent="0.3">
      <c r="A6" s="112">
        <v>1</v>
      </c>
      <c r="B6" s="973" t="s">
        <v>12</v>
      </c>
      <c r="C6" s="974"/>
      <c r="D6" s="975"/>
      <c r="E6" s="39"/>
      <c r="F6" s="40"/>
      <c r="G6" s="40"/>
      <c r="H6" s="40"/>
      <c r="I6" s="113">
        <f>SUM(I7,I9,I30,I36,I41,I44,I51,I64)</f>
        <v>48.918346544444447</v>
      </c>
    </row>
    <row r="7" spans="1:9" ht="15.75" thickTop="1" x14ac:dyDescent="0.25">
      <c r="A7" s="978">
        <v>1.1000000000000001</v>
      </c>
      <c r="B7" s="980" t="s">
        <v>13</v>
      </c>
      <c r="C7" s="981"/>
      <c r="D7" s="981"/>
      <c r="E7" s="981"/>
      <c r="F7" s="981"/>
      <c r="G7" s="982" t="s">
        <v>14</v>
      </c>
      <c r="H7" s="983"/>
      <c r="I7" s="114">
        <f>SUM(I8)</f>
        <v>0</v>
      </c>
    </row>
    <row r="8" spans="1:9" ht="15.75" thickBot="1" x14ac:dyDescent="0.3">
      <c r="A8" s="979"/>
      <c r="B8" s="976" t="s">
        <v>15</v>
      </c>
      <c r="C8" s="984"/>
      <c r="D8" s="985"/>
      <c r="E8" s="41" t="s">
        <v>16</v>
      </c>
      <c r="F8" s="41" t="s">
        <v>17</v>
      </c>
      <c r="G8" s="42">
        <v>4.5</v>
      </c>
      <c r="H8" s="43">
        <v>0</v>
      </c>
      <c r="I8" s="115">
        <f>G8*H8</f>
        <v>0</v>
      </c>
    </row>
    <row r="9" spans="1:9" ht="15.75" thickTop="1" x14ac:dyDescent="0.25">
      <c r="A9" s="978">
        <v>1.2</v>
      </c>
      <c r="B9" s="980" t="s">
        <v>18</v>
      </c>
      <c r="C9" s="981"/>
      <c r="D9" s="981"/>
      <c r="E9" s="981"/>
      <c r="F9" s="986"/>
      <c r="G9" s="982" t="s">
        <v>14</v>
      </c>
      <c r="H9" s="983"/>
      <c r="I9" s="116">
        <f>SUM(I10:I29)</f>
        <v>5.8867643222222226</v>
      </c>
    </row>
    <row r="10" spans="1:9" x14ac:dyDescent="0.25">
      <c r="A10" s="979"/>
      <c r="B10" s="976" t="s">
        <v>19</v>
      </c>
      <c r="C10" s="985"/>
      <c r="D10" s="37">
        <v>85102465</v>
      </c>
      <c r="E10" s="37" t="s">
        <v>20</v>
      </c>
      <c r="F10" s="37" t="s">
        <v>224</v>
      </c>
      <c r="G10" s="44">
        <f>10/500</f>
        <v>0.02</v>
      </c>
      <c r="H10" s="45">
        <v>43.51</v>
      </c>
      <c r="I10" s="117">
        <f t="shared" ref="I10:I27" si="0">G10*H10</f>
        <v>0.87019999999999997</v>
      </c>
    </row>
    <row r="11" spans="1:9" x14ac:dyDescent="0.25">
      <c r="A11" s="979"/>
      <c r="B11" s="976" t="s">
        <v>166</v>
      </c>
      <c r="C11" s="977"/>
      <c r="D11" s="37">
        <v>478736</v>
      </c>
      <c r="E11" s="37" t="s">
        <v>186</v>
      </c>
      <c r="F11" s="37" t="s">
        <v>225</v>
      </c>
      <c r="G11" s="44">
        <f>2/500</f>
        <v>4.0000000000000001E-3</v>
      </c>
      <c r="H11" s="45">
        <v>39.450000000000003</v>
      </c>
      <c r="I11" s="117">
        <f t="shared" si="0"/>
        <v>0.15780000000000002</v>
      </c>
    </row>
    <row r="12" spans="1:9" x14ac:dyDescent="0.25">
      <c r="A12" s="979"/>
      <c r="B12" s="976" t="s">
        <v>167</v>
      </c>
      <c r="C12" s="977"/>
      <c r="D12" s="37">
        <v>20972293</v>
      </c>
      <c r="E12" s="37" t="s">
        <v>186</v>
      </c>
      <c r="F12" s="37" t="s">
        <v>225</v>
      </c>
      <c r="G12" s="44">
        <f>1/500</f>
        <v>2E-3</v>
      </c>
      <c r="H12" s="45">
        <v>30</v>
      </c>
      <c r="I12" s="117">
        <f t="shared" si="0"/>
        <v>0.06</v>
      </c>
    </row>
    <row r="13" spans="1:9" x14ac:dyDescent="0.25">
      <c r="A13" s="979"/>
      <c r="B13" s="976" t="s">
        <v>21</v>
      </c>
      <c r="C13" s="977"/>
      <c r="D13" s="37">
        <v>20879812</v>
      </c>
      <c r="E13" s="37" t="s">
        <v>186</v>
      </c>
      <c r="F13" s="37" t="s">
        <v>226</v>
      </c>
      <c r="G13" s="44">
        <f>1/500</f>
        <v>2E-3</v>
      </c>
      <c r="H13" s="45">
        <v>112.35</v>
      </c>
      <c r="I13" s="117">
        <f t="shared" si="0"/>
        <v>0.22469999999999998</v>
      </c>
    </row>
    <row r="14" spans="1:9" x14ac:dyDescent="0.25">
      <c r="A14" s="979"/>
      <c r="B14" s="976" t="s">
        <v>234</v>
      </c>
      <c r="C14" s="977"/>
      <c r="D14" s="37">
        <v>8149064</v>
      </c>
      <c r="E14" s="37" t="s">
        <v>186</v>
      </c>
      <c r="F14" s="37" t="s">
        <v>107</v>
      </c>
      <c r="G14" s="44">
        <f>1/500</f>
        <v>2E-3</v>
      </c>
      <c r="H14" s="45">
        <v>365.3</v>
      </c>
      <c r="I14" s="117">
        <f t="shared" si="0"/>
        <v>0.73060000000000003</v>
      </c>
    </row>
    <row r="15" spans="1:9" x14ac:dyDescent="0.25">
      <c r="A15" s="979"/>
      <c r="B15" s="976" t="s">
        <v>235</v>
      </c>
      <c r="C15" s="977"/>
      <c r="D15" s="37"/>
      <c r="E15" s="37" t="s">
        <v>186</v>
      </c>
      <c r="F15" s="37" t="s">
        <v>236</v>
      </c>
      <c r="G15" s="44">
        <v>5.5555555555555556E-4</v>
      </c>
      <c r="H15" s="45">
        <v>224.5</v>
      </c>
      <c r="I15" s="117">
        <f>H15*G15</f>
        <v>0.12472222222222222</v>
      </c>
    </row>
    <row r="16" spans="1:9" x14ac:dyDescent="0.25">
      <c r="A16" s="979"/>
      <c r="B16" s="976" t="s">
        <v>22</v>
      </c>
      <c r="C16" s="977"/>
      <c r="D16" s="37">
        <v>1161280</v>
      </c>
      <c r="E16" s="118" t="s">
        <v>197</v>
      </c>
      <c r="F16" s="41" t="s">
        <v>227</v>
      </c>
      <c r="G16" s="44">
        <f>4/2000</f>
        <v>2E-3</v>
      </c>
      <c r="H16" s="45">
        <v>32.770000000000003</v>
      </c>
      <c r="I16" s="117">
        <f t="shared" si="0"/>
        <v>6.5540000000000001E-2</v>
      </c>
    </row>
    <row r="17" spans="1:9" ht="24" x14ac:dyDescent="0.25">
      <c r="A17" s="979"/>
      <c r="B17" s="859" t="s">
        <v>168</v>
      </c>
      <c r="C17" s="972"/>
      <c r="D17" s="37">
        <v>1161279</v>
      </c>
      <c r="E17" s="47" t="s">
        <v>187</v>
      </c>
      <c r="F17" s="37" t="s">
        <v>228</v>
      </c>
      <c r="G17" s="44">
        <f>10/2000</f>
        <v>5.0000000000000001E-3</v>
      </c>
      <c r="H17" s="45">
        <v>32.770000000000003</v>
      </c>
      <c r="I17" s="119">
        <f t="shared" si="0"/>
        <v>0.16385000000000002</v>
      </c>
    </row>
    <row r="18" spans="1:9" x14ac:dyDescent="0.25">
      <c r="A18" s="979"/>
      <c r="B18" s="976" t="s">
        <v>23</v>
      </c>
      <c r="C18" s="977"/>
      <c r="D18" s="37">
        <v>20580233</v>
      </c>
      <c r="E18" s="37" t="s">
        <v>186</v>
      </c>
      <c r="F18" s="41" t="s">
        <v>229</v>
      </c>
      <c r="G18" s="44">
        <f>1/500</f>
        <v>2E-3</v>
      </c>
      <c r="H18" s="45">
        <v>22.17</v>
      </c>
      <c r="I18" s="117">
        <f t="shared" si="0"/>
        <v>4.4340000000000004E-2</v>
      </c>
    </row>
    <row r="19" spans="1:9" x14ac:dyDescent="0.25">
      <c r="A19" s="979"/>
      <c r="B19" s="976" t="s">
        <v>24</v>
      </c>
      <c r="C19" s="985"/>
      <c r="D19" s="37">
        <v>1161997</v>
      </c>
      <c r="E19" s="37" t="s">
        <v>188</v>
      </c>
      <c r="F19" s="41" t="s">
        <v>230</v>
      </c>
      <c r="G19" s="44">
        <f>2/2000</f>
        <v>1E-3</v>
      </c>
      <c r="H19" s="45">
        <v>60</v>
      </c>
      <c r="I19" s="117">
        <f t="shared" si="0"/>
        <v>0.06</v>
      </c>
    </row>
    <row r="20" spans="1:9" x14ac:dyDescent="0.25">
      <c r="A20" s="979"/>
      <c r="B20" s="976" t="s">
        <v>25</v>
      </c>
      <c r="C20" s="985"/>
      <c r="D20" s="37"/>
      <c r="E20" s="37"/>
      <c r="F20" s="41" t="s">
        <v>229</v>
      </c>
      <c r="G20" s="44">
        <f>1/500</f>
        <v>2E-3</v>
      </c>
      <c r="H20" s="45">
        <v>86.28</v>
      </c>
      <c r="I20" s="117">
        <f t="shared" si="0"/>
        <v>0.17256000000000002</v>
      </c>
    </row>
    <row r="21" spans="1:9" x14ac:dyDescent="0.25">
      <c r="A21" s="979"/>
      <c r="B21" s="976" t="s">
        <v>26</v>
      </c>
      <c r="C21" s="985"/>
      <c r="D21" s="37">
        <v>20972915</v>
      </c>
      <c r="E21" s="37" t="s">
        <v>186</v>
      </c>
      <c r="F21" s="41" t="s">
        <v>231</v>
      </c>
      <c r="G21" s="44">
        <f>1/500</f>
        <v>2E-3</v>
      </c>
      <c r="H21" s="45">
        <v>138.66</v>
      </c>
      <c r="I21" s="117">
        <f t="shared" si="0"/>
        <v>0.27732000000000001</v>
      </c>
    </row>
    <row r="22" spans="1:9" x14ac:dyDescent="0.25">
      <c r="A22" s="979"/>
      <c r="B22" s="976" t="s">
        <v>27</v>
      </c>
      <c r="C22" s="985"/>
      <c r="D22" s="37">
        <v>85112077</v>
      </c>
      <c r="E22" s="37" t="s">
        <v>189</v>
      </c>
      <c r="F22" s="41" t="s">
        <v>232</v>
      </c>
      <c r="G22" s="44">
        <f>1/2000</f>
        <v>5.0000000000000001E-4</v>
      </c>
      <c r="H22" s="45">
        <v>66.62</v>
      </c>
      <c r="I22" s="117">
        <f t="shared" si="0"/>
        <v>3.3310000000000006E-2</v>
      </c>
    </row>
    <row r="23" spans="1:9" x14ac:dyDescent="0.25">
      <c r="A23" s="979"/>
      <c r="B23" s="976" t="s">
        <v>28</v>
      </c>
      <c r="C23" s="985"/>
      <c r="D23" s="37"/>
      <c r="E23" s="37" t="s">
        <v>190</v>
      </c>
      <c r="F23" s="41" t="s">
        <v>237</v>
      </c>
      <c r="G23" s="44">
        <f>14/2000</f>
        <v>7.0000000000000001E-3</v>
      </c>
      <c r="H23" s="45">
        <v>32.770000000000003</v>
      </c>
      <c r="I23" s="117">
        <f t="shared" si="0"/>
        <v>0.22939000000000004</v>
      </c>
    </row>
    <row r="24" spans="1:9" x14ac:dyDescent="0.25">
      <c r="A24" s="979"/>
      <c r="B24" s="976" t="s">
        <v>29</v>
      </c>
      <c r="C24" s="985"/>
      <c r="D24" s="37">
        <v>20701801</v>
      </c>
      <c r="E24" s="37" t="s">
        <v>186</v>
      </c>
      <c r="F24" s="41" t="s">
        <v>233</v>
      </c>
      <c r="G24" s="44">
        <f>1/2000</f>
        <v>5.0000000000000001E-4</v>
      </c>
      <c r="H24" s="45">
        <v>2610</v>
      </c>
      <c r="I24" s="117">
        <f t="shared" si="0"/>
        <v>1.3049999999999999</v>
      </c>
    </row>
    <row r="25" spans="1:9" ht="28.5" customHeight="1" x14ac:dyDescent="0.25">
      <c r="A25" s="979"/>
      <c r="B25" s="1059" t="s">
        <v>30</v>
      </c>
      <c r="C25" s="1060"/>
      <c r="D25" s="37">
        <v>1161962</v>
      </c>
      <c r="E25" s="37" t="s">
        <v>191</v>
      </c>
      <c r="F25" s="37" t="s">
        <v>31</v>
      </c>
      <c r="G25" s="44">
        <f>20/500</f>
        <v>0.04</v>
      </c>
      <c r="H25" s="45">
        <v>23.78</v>
      </c>
      <c r="I25" s="119">
        <f t="shared" si="0"/>
        <v>0.95120000000000005</v>
      </c>
    </row>
    <row r="26" spans="1:9" x14ac:dyDescent="0.25">
      <c r="A26" s="979"/>
      <c r="B26" s="976" t="s">
        <v>32</v>
      </c>
      <c r="C26" s="985"/>
      <c r="D26" s="37">
        <v>20712530</v>
      </c>
      <c r="E26" s="37" t="s">
        <v>186</v>
      </c>
      <c r="F26" s="41" t="s">
        <v>33</v>
      </c>
      <c r="G26" s="44">
        <f>1/2000</f>
        <v>5.0000000000000001E-4</v>
      </c>
      <c r="H26" s="45">
        <v>148.26419999999999</v>
      </c>
      <c r="I26" s="117">
        <f t="shared" si="0"/>
        <v>7.4132099999999992E-2</v>
      </c>
    </row>
    <row r="27" spans="1:9" ht="24" x14ac:dyDescent="0.25">
      <c r="A27" s="979"/>
      <c r="B27" s="859" t="s">
        <v>169</v>
      </c>
      <c r="C27" s="860"/>
      <c r="D27" s="37">
        <v>1089240</v>
      </c>
      <c r="E27" s="47" t="s">
        <v>192</v>
      </c>
      <c r="F27" s="37" t="s">
        <v>34</v>
      </c>
      <c r="G27" s="44">
        <f>11/2000</f>
        <v>5.4999999999999997E-3</v>
      </c>
      <c r="H27" s="45">
        <v>62.2</v>
      </c>
      <c r="I27" s="120">
        <f t="shared" si="0"/>
        <v>0.34210000000000002</v>
      </c>
    </row>
    <row r="28" spans="1:9" x14ac:dyDescent="0.25">
      <c r="A28" s="979"/>
      <c r="B28" s="987"/>
      <c r="C28" s="988"/>
      <c r="D28" s="37"/>
      <c r="E28" s="37"/>
      <c r="F28" s="41"/>
      <c r="G28" s="46"/>
      <c r="H28" s="45"/>
      <c r="I28" s="117"/>
    </row>
    <row r="29" spans="1:9" ht="15.75" thickBot="1" x14ac:dyDescent="0.3">
      <c r="A29" s="979"/>
      <c r="B29" s="992"/>
      <c r="C29" s="993"/>
      <c r="D29" s="38"/>
      <c r="E29" s="48"/>
      <c r="F29" s="49"/>
      <c r="G29" s="50"/>
      <c r="H29" s="51"/>
      <c r="I29" s="121"/>
    </row>
    <row r="30" spans="1:9" ht="15.75" thickTop="1" x14ac:dyDescent="0.25">
      <c r="A30" s="978">
        <v>1.3</v>
      </c>
      <c r="B30" s="52" t="s">
        <v>35</v>
      </c>
      <c r="C30" s="53"/>
      <c r="D30" s="54"/>
      <c r="E30" s="55"/>
      <c r="F30" s="56"/>
      <c r="G30" s="982" t="s">
        <v>14</v>
      </c>
      <c r="H30" s="983"/>
      <c r="I30" s="122">
        <f>SUM(I31:I35)</f>
        <v>0.42335999999999996</v>
      </c>
    </row>
    <row r="31" spans="1:9" x14ac:dyDescent="0.25">
      <c r="A31" s="979"/>
      <c r="B31" s="976" t="s">
        <v>36</v>
      </c>
      <c r="C31" s="985"/>
      <c r="D31" s="57"/>
      <c r="E31" s="37"/>
      <c r="F31" s="41" t="s">
        <v>37</v>
      </c>
      <c r="G31" s="58">
        <f>4/2000</f>
        <v>2E-3</v>
      </c>
      <c r="H31" s="43">
        <f>35.28*2</f>
        <v>70.56</v>
      </c>
      <c r="I31" s="117">
        <f>H31*G31</f>
        <v>0.14112</v>
      </c>
    </row>
    <row r="32" spans="1:9" x14ac:dyDescent="0.25">
      <c r="A32" s="979"/>
      <c r="B32" s="976" t="s">
        <v>38</v>
      </c>
      <c r="C32" s="985"/>
      <c r="D32" s="57"/>
      <c r="E32" s="37"/>
      <c r="F32" s="41" t="s">
        <v>39</v>
      </c>
      <c r="G32" s="58">
        <f>2/2000</f>
        <v>1E-3</v>
      </c>
      <c r="H32" s="43">
        <f>35.28*2</f>
        <v>70.56</v>
      </c>
      <c r="I32" s="117">
        <f>H32*G32</f>
        <v>7.0559999999999998E-2</v>
      </c>
    </row>
    <row r="33" spans="1:9" x14ac:dyDescent="0.25">
      <c r="A33" s="979"/>
      <c r="B33" s="976" t="s">
        <v>40</v>
      </c>
      <c r="C33" s="985"/>
      <c r="D33" s="57"/>
      <c r="E33" s="37"/>
      <c r="F33" s="41" t="s">
        <v>39</v>
      </c>
      <c r="G33" s="58">
        <f>2/2000</f>
        <v>1E-3</v>
      </c>
      <c r="H33" s="43">
        <f>35.28*2</f>
        <v>70.56</v>
      </c>
      <c r="I33" s="117">
        <f>H33*G33</f>
        <v>7.0559999999999998E-2</v>
      </c>
    </row>
    <row r="34" spans="1:9" x14ac:dyDescent="0.25">
      <c r="A34" s="979"/>
      <c r="B34" s="994" t="s">
        <v>41</v>
      </c>
      <c r="C34" s="995"/>
      <c r="D34" s="57"/>
      <c r="E34" s="37"/>
      <c r="F34" s="41" t="s">
        <v>37</v>
      </c>
      <c r="G34" s="58">
        <f>4/2000</f>
        <v>2E-3</v>
      </c>
      <c r="H34" s="43">
        <f>35.28*2</f>
        <v>70.56</v>
      </c>
      <c r="I34" s="117">
        <f>H34*G34</f>
        <v>0.14112</v>
      </c>
    </row>
    <row r="35" spans="1:9" ht="15.75" thickBot="1" x14ac:dyDescent="0.3">
      <c r="A35" s="979"/>
      <c r="B35" s="987"/>
      <c r="C35" s="988"/>
      <c r="D35" s="57"/>
      <c r="E35" s="37"/>
      <c r="F35" s="41"/>
      <c r="G35" s="46"/>
      <c r="H35" s="43"/>
      <c r="I35" s="117"/>
    </row>
    <row r="36" spans="1:9" ht="15.75" thickTop="1" x14ac:dyDescent="0.25">
      <c r="A36" s="978">
        <v>1.4</v>
      </c>
      <c r="B36" s="980" t="s">
        <v>42</v>
      </c>
      <c r="C36" s="981"/>
      <c r="D36" s="981"/>
      <c r="E36" s="981"/>
      <c r="F36" s="986"/>
      <c r="G36" s="982" t="s">
        <v>14</v>
      </c>
      <c r="H36" s="983"/>
      <c r="I36" s="116">
        <f>SUM(I37:I40)</f>
        <v>13.811466666666668</v>
      </c>
    </row>
    <row r="37" spans="1:9" x14ac:dyDescent="0.25">
      <c r="A37" s="979"/>
      <c r="B37" s="976" t="s">
        <v>43</v>
      </c>
      <c r="C37" s="984"/>
      <c r="D37" s="985"/>
      <c r="E37" s="57"/>
      <c r="F37" s="57" t="s">
        <v>44</v>
      </c>
      <c r="G37" s="59">
        <f>8/1800</f>
        <v>4.4444444444444444E-3</v>
      </c>
      <c r="H37" s="42">
        <v>2446.08</v>
      </c>
      <c r="I37" s="117">
        <f>G37*H37</f>
        <v>10.871466666666667</v>
      </c>
    </row>
    <row r="38" spans="1:9" x14ac:dyDescent="0.25">
      <c r="A38" s="979"/>
      <c r="B38" s="976" t="s">
        <v>45</v>
      </c>
      <c r="C38" s="984"/>
      <c r="D38" s="985"/>
      <c r="E38" s="57"/>
      <c r="F38" s="57" t="s">
        <v>46</v>
      </c>
      <c r="G38" s="59">
        <f>2/1800</f>
        <v>1.1111111111111111E-3</v>
      </c>
      <c r="H38" s="42">
        <v>1808.1</v>
      </c>
      <c r="I38" s="117">
        <f>G38*H38</f>
        <v>2.0089999999999999</v>
      </c>
    </row>
    <row r="39" spans="1:9" x14ac:dyDescent="0.25">
      <c r="A39" s="979"/>
      <c r="B39" s="976" t="s">
        <v>47</v>
      </c>
      <c r="C39" s="984"/>
      <c r="D39" s="985"/>
      <c r="E39" s="57"/>
      <c r="F39" s="57" t="s">
        <v>48</v>
      </c>
      <c r="G39" s="59">
        <f>10/1800</f>
        <v>5.5555555555555558E-3</v>
      </c>
      <c r="H39" s="42">
        <v>114.66</v>
      </c>
      <c r="I39" s="117">
        <f>G39*H39</f>
        <v>0.63700000000000001</v>
      </c>
    </row>
    <row r="40" spans="1:9" ht="15.75" thickBot="1" x14ac:dyDescent="0.3">
      <c r="A40" s="979"/>
      <c r="B40" s="989" t="s">
        <v>49</v>
      </c>
      <c r="C40" s="990"/>
      <c r="D40" s="991"/>
      <c r="E40" s="57"/>
      <c r="F40" s="57" t="s">
        <v>48</v>
      </c>
      <c r="G40" s="59">
        <f>10/1800</f>
        <v>5.5555555555555558E-3</v>
      </c>
      <c r="H40" s="42">
        <v>52.92</v>
      </c>
      <c r="I40" s="117">
        <f>G40*H40</f>
        <v>0.29400000000000004</v>
      </c>
    </row>
    <row r="41" spans="1:9" ht="15.75" thickTop="1" x14ac:dyDescent="0.25">
      <c r="A41" s="978">
        <v>1.5</v>
      </c>
      <c r="B41" s="980" t="s">
        <v>50</v>
      </c>
      <c r="C41" s="981"/>
      <c r="D41" s="60"/>
      <c r="E41" s="60"/>
      <c r="F41" s="61"/>
      <c r="G41" s="982" t="s">
        <v>14</v>
      </c>
      <c r="H41" s="983"/>
      <c r="I41" s="116">
        <f>SUM(I42:I43)</f>
        <v>5</v>
      </c>
    </row>
    <row r="42" spans="1:9" x14ac:dyDescent="0.25">
      <c r="A42" s="979"/>
      <c r="B42" s="976" t="s">
        <v>201</v>
      </c>
      <c r="C42" s="984"/>
      <c r="D42" s="985"/>
      <c r="E42" s="57"/>
      <c r="F42" s="57" t="s">
        <v>223</v>
      </c>
      <c r="G42" s="62">
        <f>1/15000</f>
        <v>6.666666666666667E-5</v>
      </c>
      <c r="H42" s="43">
        <v>60000</v>
      </c>
      <c r="I42" s="117">
        <f>G42*H42</f>
        <v>4</v>
      </c>
    </row>
    <row r="43" spans="1:9" ht="15.75" thickBot="1" x14ac:dyDescent="0.3">
      <c r="A43" s="979"/>
      <c r="B43" s="989" t="s">
        <v>51</v>
      </c>
      <c r="C43" s="990"/>
      <c r="D43" s="991"/>
      <c r="E43" s="76"/>
      <c r="F43" s="49" t="s">
        <v>52</v>
      </c>
      <c r="G43" s="57"/>
      <c r="H43" s="57"/>
      <c r="I43" s="123">
        <f>I42*0.25</f>
        <v>1</v>
      </c>
    </row>
    <row r="44" spans="1:9" ht="15.75" thickTop="1" x14ac:dyDescent="0.25">
      <c r="A44" s="996">
        <v>1.6</v>
      </c>
      <c r="B44" s="980" t="s">
        <v>53</v>
      </c>
      <c r="C44" s="981"/>
      <c r="D44" s="981"/>
      <c r="E44" s="981"/>
      <c r="F44" s="986"/>
      <c r="G44" s="997" t="s">
        <v>14</v>
      </c>
      <c r="H44" s="997"/>
      <c r="I44" s="124">
        <f>SUM(I45:I50)</f>
        <v>22.185177777777781</v>
      </c>
    </row>
    <row r="45" spans="1:9" x14ac:dyDescent="0.25">
      <c r="A45" s="979"/>
      <c r="B45" s="976" t="s">
        <v>54</v>
      </c>
      <c r="C45" s="984"/>
      <c r="D45" s="985"/>
      <c r="E45" s="63" t="s">
        <v>55</v>
      </c>
      <c r="F45" s="64" t="s">
        <v>79</v>
      </c>
      <c r="G45" s="65">
        <f>4/600</f>
        <v>6.6666666666666671E-3</v>
      </c>
      <c r="H45" s="66">
        <v>1800</v>
      </c>
      <c r="I45" s="67">
        <f>H45*G45</f>
        <v>12</v>
      </c>
    </row>
    <row r="46" spans="1:9" x14ac:dyDescent="0.25">
      <c r="A46" s="979"/>
      <c r="B46" s="976" t="s">
        <v>56</v>
      </c>
      <c r="C46" s="984"/>
      <c r="D46" s="985"/>
      <c r="E46" s="63" t="str">
        <f>+E45</f>
        <v>Operación</v>
      </c>
      <c r="F46" s="37" t="s">
        <v>198</v>
      </c>
      <c r="G46" s="65">
        <f>4/600</f>
        <v>6.6666666666666671E-3</v>
      </c>
      <c r="H46" s="66">
        <v>873.18</v>
      </c>
      <c r="I46" s="67">
        <f>H46*G46</f>
        <v>5.8212000000000002</v>
      </c>
    </row>
    <row r="47" spans="1:9" x14ac:dyDescent="0.25">
      <c r="A47" s="979"/>
      <c r="B47" s="976" t="s">
        <v>221</v>
      </c>
      <c r="C47" s="984"/>
      <c r="D47" s="985"/>
      <c r="E47" s="63" t="s">
        <v>55</v>
      </c>
      <c r="F47" s="37" t="s">
        <v>222</v>
      </c>
      <c r="G47" s="65">
        <f>1/600</f>
        <v>1.6666666666666668E-3</v>
      </c>
      <c r="H47" s="66">
        <v>250</v>
      </c>
      <c r="I47" s="67">
        <f>H47*G47</f>
        <v>0.41666666666666669</v>
      </c>
    </row>
    <row r="48" spans="1:9" x14ac:dyDescent="0.25">
      <c r="A48" s="979"/>
      <c r="B48" s="976" t="s">
        <v>178</v>
      </c>
      <c r="C48" s="984"/>
      <c r="D48" s="985"/>
      <c r="E48" s="63" t="str">
        <f>+E45</f>
        <v>Operación</v>
      </c>
      <c r="F48" s="37" t="s">
        <v>199</v>
      </c>
      <c r="G48" s="65">
        <f>4/600</f>
        <v>6.6666666666666671E-3</v>
      </c>
      <c r="H48" s="66">
        <v>73.08</v>
      </c>
      <c r="I48" s="67">
        <f>H48*G48</f>
        <v>0.48720000000000002</v>
      </c>
    </row>
    <row r="49" spans="1:9" x14ac:dyDescent="0.25">
      <c r="A49" s="979"/>
      <c r="B49" s="976" t="s">
        <v>58</v>
      </c>
      <c r="C49" s="984"/>
      <c r="D49" s="985"/>
      <c r="E49" s="63" t="str">
        <f>+E45</f>
        <v>Operación</v>
      </c>
      <c r="F49" s="37" t="s">
        <v>59</v>
      </c>
      <c r="G49" s="65">
        <f>2/20</f>
        <v>0.1</v>
      </c>
      <c r="H49" s="66">
        <v>33.49</v>
      </c>
      <c r="I49" s="67">
        <f>H49*G49</f>
        <v>3.3490000000000002</v>
      </c>
    </row>
    <row r="50" spans="1:9" ht="15.75" thickBot="1" x14ac:dyDescent="0.3">
      <c r="A50" s="979"/>
      <c r="B50" s="989" t="s">
        <v>175</v>
      </c>
      <c r="C50" s="990"/>
      <c r="D50" s="991"/>
      <c r="E50" s="63" t="str">
        <f>+E45</f>
        <v>Operación</v>
      </c>
      <c r="F50" s="37" t="s">
        <v>200</v>
      </c>
      <c r="G50" s="65">
        <f>4/7200</f>
        <v>5.5555555555555556E-4</v>
      </c>
      <c r="H50" s="66">
        <v>200</v>
      </c>
      <c r="I50" s="67">
        <f>G50*H50</f>
        <v>0.1111111111111111</v>
      </c>
    </row>
    <row r="51" spans="1:9" ht="15.75" thickTop="1" x14ac:dyDescent="0.25">
      <c r="A51" s="978">
        <v>1.7</v>
      </c>
      <c r="B51" s="980" t="s">
        <v>87</v>
      </c>
      <c r="C51" s="981"/>
      <c r="D51" s="981"/>
      <c r="E51" s="981"/>
      <c r="F51" s="986"/>
      <c r="G51" s="982" t="s">
        <v>14</v>
      </c>
      <c r="H51" s="983"/>
      <c r="I51" s="74">
        <f>SUM(I52:I63)</f>
        <v>0.48324444444444448</v>
      </c>
    </row>
    <row r="52" spans="1:9" x14ac:dyDescent="0.25">
      <c r="A52" s="979"/>
      <c r="B52" s="976" t="s">
        <v>88</v>
      </c>
      <c r="C52" s="984"/>
      <c r="D52" s="985"/>
      <c r="E52" s="63" t="s">
        <v>89</v>
      </c>
      <c r="F52" s="37" t="s">
        <v>90</v>
      </c>
      <c r="G52" s="65">
        <f>4/3600</f>
        <v>1.1111111111111111E-3</v>
      </c>
      <c r="H52" s="66">
        <v>33.61</v>
      </c>
      <c r="I52" s="67">
        <f t="shared" ref="I52:I63" si="1">G52*H52</f>
        <v>3.7344444444444444E-2</v>
      </c>
    </row>
    <row r="53" spans="1:9" x14ac:dyDescent="0.25">
      <c r="A53" s="979"/>
      <c r="B53" s="976" t="s">
        <v>91</v>
      </c>
      <c r="C53" s="984"/>
      <c r="D53" s="985"/>
      <c r="E53" s="63" t="str">
        <f>+E52</f>
        <v>Seguridad</v>
      </c>
      <c r="F53" s="37" t="str">
        <f>+F52</f>
        <v xml:space="preserve">     4 und. x    3,600 hr.-maq.</v>
      </c>
      <c r="G53" s="65">
        <f>+G52</f>
        <v>1.1111111111111111E-3</v>
      </c>
      <c r="H53" s="66">
        <v>79.83</v>
      </c>
      <c r="I53" s="67">
        <f t="shared" si="1"/>
        <v>8.8700000000000001E-2</v>
      </c>
    </row>
    <row r="54" spans="1:9" x14ac:dyDescent="0.25">
      <c r="A54" s="979"/>
      <c r="B54" s="976" t="s">
        <v>92</v>
      </c>
      <c r="C54" s="984"/>
      <c r="D54" s="985"/>
      <c r="E54" s="63" t="str">
        <f>+E52</f>
        <v>Seguridad</v>
      </c>
      <c r="F54" s="37" t="s">
        <v>93</v>
      </c>
      <c r="G54" s="65">
        <f>8/3600</f>
        <v>2.2222222222222222E-3</v>
      </c>
      <c r="H54" s="66">
        <v>12.61</v>
      </c>
      <c r="I54" s="67">
        <f t="shared" si="1"/>
        <v>2.8022222222222219E-2</v>
      </c>
    </row>
    <row r="55" spans="1:9" x14ac:dyDescent="0.25">
      <c r="A55" s="979"/>
      <c r="B55" s="976" t="s">
        <v>94</v>
      </c>
      <c r="C55" s="984"/>
      <c r="D55" s="985"/>
      <c r="E55" s="63" t="str">
        <f>+E52</f>
        <v>Seguridad</v>
      </c>
      <c r="F55" s="37" t="s">
        <v>93</v>
      </c>
      <c r="G55" s="65">
        <f>+G54</f>
        <v>2.2222222222222222E-3</v>
      </c>
      <c r="H55" s="66">
        <v>12.61</v>
      </c>
      <c r="I55" s="67">
        <f t="shared" si="1"/>
        <v>2.8022222222222219E-2</v>
      </c>
    </row>
    <row r="56" spans="1:9" x14ac:dyDescent="0.25">
      <c r="A56" s="979"/>
      <c r="B56" s="976" t="s">
        <v>95</v>
      </c>
      <c r="C56" s="984"/>
      <c r="D56" s="985"/>
      <c r="E56" s="63" t="str">
        <f>+E52</f>
        <v>Seguridad</v>
      </c>
      <c r="F56" s="37" t="s">
        <v>96</v>
      </c>
      <c r="G56" s="65">
        <f>12/3600</f>
        <v>3.3333333333333335E-3</v>
      </c>
      <c r="H56" s="66">
        <v>9.66</v>
      </c>
      <c r="I56" s="67">
        <f t="shared" si="1"/>
        <v>3.2199999999999999E-2</v>
      </c>
    </row>
    <row r="57" spans="1:9" x14ac:dyDescent="0.25">
      <c r="A57" s="979"/>
      <c r="B57" s="976" t="s">
        <v>97</v>
      </c>
      <c r="C57" s="984"/>
      <c r="D57" s="985"/>
      <c r="E57" s="63" t="str">
        <f>+E52</f>
        <v>Seguridad</v>
      </c>
      <c r="F57" s="37" t="str">
        <f>+F56</f>
        <v xml:space="preserve">   12 und. x    3,600 hr.-maq.</v>
      </c>
      <c r="G57" s="65">
        <f>+G56</f>
        <v>3.3333333333333335E-3</v>
      </c>
      <c r="H57" s="66">
        <v>9.66</v>
      </c>
      <c r="I57" s="67">
        <f t="shared" si="1"/>
        <v>3.2199999999999999E-2</v>
      </c>
    </row>
    <row r="58" spans="1:9" x14ac:dyDescent="0.25">
      <c r="A58" s="979"/>
      <c r="B58" s="976" t="s">
        <v>98</v>
      </c>
      <c r="C58" s="984"/>
      <c r="D58" s="985"/>
      <c r="E58" s="63" t="str">
        <f>+E52</f>
        <v>Seguridad</v>
      </c>
      <c r="F58" s="37" t="s">
        <v>99</v>
      </c>
      <c r="G58" s="65">
        <f>1/3600</f>
        <v>2.7777777777777778E-4</v>
      </c>
      <c r="H58" s="66">
        <v>40</v>
      </c>
      <c r="I58" s="67">
        <f t="shared" si="1"/>
        <v>1.1111111111111112E-2</v>
      </c>
    </row>
    <row r="59" spans="1:9" x14ac:dyDescent="0.25">
      <c r="A59" s="979"/>
      <c r="B59" s="976" t="s">
        <v>100</v>
      </c>
      <c r="C59" s="984"/>
      <c r="D59" s="985"/>
      <c r="E59" s="63" t="str">
        <f>+E58</f>
        <v>Seguridad</v>
      </c>
      <c r="F59" s="37" t="str">
        <f>+F52</f>
        <v xml:space="preserve">     4 und. x    3,600 hr.-maq.</v>
      </c>
      <c r="G59" s="65">
        <f>+G52</f>
        <v>1.1111111111111111E-3</v>
      </c>
      <c r="H59" s="66">
        <v>25.21</v>
      </c>
      <c r="I59" s="67">
        <f t="shared" si="1"/>
        <v>2.8011111111111112E-2</v>
      </c>
    </row>
    <row r="60" spans="1:9" x14ac:dyDescent="0.25">
      <c r="A60" s="979"/>
      <c r="B60" s="976" t="s">
        <v>101</v>
      </c>
      <c r="C60" s="984"/>
      <c r="D60" s="985"/>
      <c r="E60" s="63" t="str">
        <f>+E58</f>
        <v>Seguridad</v>
      </c>
      <c r="F60" s="37" t="str">
        <f>+F52</f>
        <v xml:space="preserve">     4 und. x    3,600 hr.-maq.</v>
      </c>
      <c r="G60" s="65">
        <f>+G52</f>
        <v>1.1111111111111111E-3</v>
      </c>
      <c r="H60" s="66">
        <v>117.65</v>
      </c>
      <c r="I60" s="67">
        <f t="shared" si="1"/>
        <v>0.13072222222222224</v>
      </c>
    </row>
    <row r="61" spans="1:9" x14ac:dyDescent="0.25">
      <c r="A61" s="979"/>
      <c r="B61" s="976" t="s">
        <v>102</v>
      </c>
      <c r="C61" s="984"/>
      <c r="D61" s="985"/>
      <c r="E61" s="63" t="str">
        <f>+E58</f>
        <v>Seguridad</v>
      </c>
      <c r="F61" s="37" t="str">
        <f>+F52</f>
        <v xml:space="preserve">     4 und. x    3,600 hr.-maq.</v>
      </c>
      <c r="G61" s="65">
        <f>+G52</f>
        <v>1.1111111111111111E-3</v>
      </c>
      <c r="H61" s="66">
        <v>46.22</v>
      </c>
      <c r="I61" s="67">
        <f t="shared" si="1"/>
        <v>5.1355555555555557E-2</v>
      </c>
    </row>
    <row r="62" spans="1:9" x14ac:dyDescent="0.25">
      <c r="A62" s="979"/>
      <c r="B62" s="976" t="s">
        <v>103</v>
      </c>
      <c r="C62" s="984"/>
      <c r="D62" s="985"/>
      <c r="E62" s="63" t="str">
        <f>+E58</f>
        <v>Seguridad</v>
      </c>
      <c r="F62" s="37" t="s">
        <v>104</v>
      </c>
      <c r="G62" s="65">
        <f>16/3600</f>
        <v>4.4444444444444444E-3</v>
      </c>
      <c r="H62" s="66">
        <v>3</v>
      </c>
      <c r="I62" s="67">
        <f t="shared" si="1"/>
        <v>1.3333333333333332E-2</v>
      </c>
    </row>
    <row r="63" spans="1:9" ht="15.75" thickBot="1" x14ac:dyDescent="0.3">
      <c r="A63" s="979"/>
      <c r="B63" s="989" t="s">
        <v>105</v>
      </c>
      <c r="C63" s="990"/>
      <c r="D63" s="991"/>
      <c r="E63" s="63" t="str">
        <f>+E58</f>
        <v>Seguridad</v>
      </c>
      <c r="F63" s="37" t="str">
        <f>+F62</f>
        <v xml:space="preserve">   16 und. x    3,600 hr.-maq.</v>
      </c>
      <c r="G63" s="65">
        <f>+G62</f>
        <v>4.4444444444444444E-3</v>
      </c>
      <c r="H63" s="66">
        <v>0.5</v>
      </c>
      <c r="I63" s="67">
        <f t="shared" si="1"/>
        <v>2.2222222222222222E-3</v>
      </c>
    </row>
    <row r="64" spans="1:9" ht="15.75" thickTop="1" x14ac:dyDescent="0.25">
      <c r="A64" s="998">
        <v>1.8</v>
      </c>
      <c r="B64" s="980" t="s">
        <v>108</v>
      </c>
      <c r="C64" s="981"/>
      <c r="D64" s="981"/>
      <c r="E64" s="981"/>
      <c r="F64" s="986"/>
      <c r="G64" s="1001" t="s">
        <v>14</v>
      </c>
      <c r="H64" s="1001"/>
      <c r="I64" s="75">
        <f>SUM(I65:I67)</f>
        <v>1.1283333333333334</v>
      </c>
    </row>
    <row r="65" spans="1:9" x14ac:dyDescent="0.25">
      <c r="A65" s="999"/>
      <c r="B65" s="976" t="s">
        <v>219</v>
      </c>
      <c r="C65" s="984"/>
      <c r="D65" s="985"/>
      <c r="E65" s="37" t="s">
        <v>106</v>
      </c>
      <c r="F65" s="37" t="s">
        <v>216</v>
      </c>
      <c r="G65" s="68">
        <f>4/7200</f>
        <v>5.5555555555555556E-4</v>
      </c>
      <c r="H65" s="66">
        <f>2.04*200</f>
        <v>408</v>
      </c>
      <c r="I65" s="69">
        <f>G65*H65</f>
        <v>0.22666666666666666</v>
      </c>
    </row>
    <row r="66" spans="1:9" x14ac:dyDescent="0.25">
      <c r="A66" s="999"/>
      <c r="B66" s="976" t="s">
        <v>109</v>
      </c>
      <c r="C66" s="984"/>
      <c r="D66" s="985"/>
      <c r="E66" s="37" t="str">
        <f>+E65</f>
        <v>Vehículo</v>
      </c>
      <c r="F66" s="37" t="s">
        <v>217</v>
      </c>
      <c r="G66" s="68">
        <f>+G65</f>
        <v>5.5555555555555556E-4</v>
      </c>
      <c r="H66" s="66">
        <v>300</v>
      </c>
      <c r="I66" s="69">
        <f>G66*H66</f>
        <v>0.16666666666666666</v>
      </c>
    </row>
    <row r="67" spans="1:9" ht="15.75" thickBot="1" x14ac:dyDescent="0.3">
      <c r="A67" s="1000"/>
      <c r="B67" s="1002" t="s">
        <v>220</v>
      </c>
      <c r="C67" s="1003"/>
      <c r="D67" s="1004"/>
      <c r="E67" s="70" t="str">
        <f>+E65</f>
        <v>Vehículo</v>
      </c>
      <c r="F67" s="70" t="s">
        <v>218</v>
      </c>
      <c r="G67" s="71">
        <f>1/7200</f>
        <v>1.3888888888888889E-4</v>
      </c>
      <c r="H67" s="72">
        <f>1800*2.94</f>
        <v>5292</v>
      </c>
      <c r="I67" s="73">
        <f>G67*H67</f>
        <v>0.73499999999999999</v>
      </c>
    </row>
    <row r="68" spans="1:9" x14ac:dyDescent="0.25">
      <c r="A68" s="31"/>
      <c r="B68" s="32"/>
      <c r="C68" s="32"/>
      <c r="D68" s="32"/>
      <c r="E68" s="31"/>
      <c r="F68" s="33"/>
      <c r="G68" s="34"/>
      <c r="H68" s="35"/>
      <c r="I68" s="36"/>
    </row>
    <row r="69" spans="1:9" ht="15.75" thickBot="1" x14ac:dyDescent="0.3">
      <c r="A69" s="19"/>
      <c r="B69" s="20"/>
      <c r="C69" s="20"/>
      <c r="D69" s="20"/>
      <c r="E69" s="19"/>
      <c r="F69" s="16"/>
      <c r="G69" s="21"/>
      <c r="H69" s="22"/>
      <c r="I69" s="21"/>
    </row>
    <row r="70" spans="1:9" x14ac:dyDescent="0.25">
      <c r="A70" s="1005" t="s">
        <v>3</v>
      </c>
      <c r="B70" s="1006"/>
      <c r="C70" s="1006"/>
      <c r="D70" s="1007"/>
      <c r="E70" s="1011" t="s">
        <v>110</v>
      </c>
      <c r="F70" s="1011" t="s">
        <v>5</v>
      </c>
      <c r="G70" s="129" t="s">
        <v>111</v>
      </c>
      <c r="H70" s="129" t="s">
        <v>7</v>
      </c>
      <c r="I70" s="130" t="s">
        <v>8</v>
      </c>
    </row>
    <row r="71" spans="1:9" ht="15.75" thickBot="1" x14ac:dyDescent="0.3">
      <c r="A71" s="1008"/>
      <c r="B71" s="1009"/>
      <c r="C71" s="1009"/>
      <c r="D71" s="1010"/>
      <c r="E71" s="1012"/>
      <c r="F71" s="1012"/>
      <c r="G71" s="30" t="s">
        <v>112</v>
      </c>
      <c r="H71" s="30" t="s">
        <v>113</v>
      </c>
      <c r="I71" s="131" t="s">
        <v>114</v>
      </c>
    </row>
    <row r="72" spans="1:9" ht="15.75" thickTop="1" x14ac:dyDescent="0.25">
      <c r="A72" s="132">
        <v>2</v>
      </c>
      <c r="B72" s="1013" t="s">
        <v>115</v>
      </c>
      <c r="C72" s="1014"/>
      <c r="D72" s="1015"/>
      <c r="E72" s="1016"/>
      <c r="F72" s="1017"/>
      <c r="G72" s="1018" t="s">
        <v>14</v>
      </c>
      <c r="H72" s="1019"/>
      <c r="I72" s="133">
        <f>SUM(I73:I80)</f>
        <v>24.327909752313047</v>
      </c>
    </row>
    <row r="73" spans="1:9" x14ac:dyDescent="0.25">
      <c r="A73" s="134">
        <v>2.1</v>
      </c>
      <c r="B73" s="1020" t="s">
        <v>116</v>
      </c>
      <c r="C73" s="1021"/>
      <c r="D73" s="1022"/>
      <c r="E73" s="29"/>
      <c r="F73" s="7" t="s">
        <v>117</v>
      </c>
      <c r="G73" s="29"/>
      <c r="H73" s="151">
        <f>I73*20</f>
        <v>6.3636363636363638E-3</v>
      </c>
      <c r="I73" s="135">
        <f>(F88*F90)/(200*F92)</f>
        <v>3.181818181818182E-4</v>
      </c>
    </row>
    <row r="74" spans="1:9" x14ac:dyDescent="0.25">
      <c r="A74" s="134">
        <f>+A73+0.1</f>
        <v>2.2000000000000002</v>
      </c>
      <c r="B74" s="1020" t="s">
        <v>118</v>
      </c>
      <c r="C74" s="1021"/>
      <c r="D74" s="1022"/>
      <c r="E74" s="29"/>
      <c r="F74" s="8" t="s">
        <v>119</v>
      </c>
      <c r="G74" s="29"/>
      <c r="H74" s="29">
        <f>((F88*F89)/F91)*20</f>
        <v>210</v>
      </c>
      <c r="I74" s="135">
        <f>(F88*F89)/F91</f>
        <v>10.5</v>
      </c>
    </row>
    <row r="75" spans="1:9" x14ac:dyDescent="0.25">
      <c r="A75" s="134">
        <f t="shared" ref="A75:A80" si="2">+A74+0.1</f>
        <v>2.3000000000000003</v>
      </c>
      <c r="B75" s="1020" t="s">
        <v>120</v>
      </c>
      <c r="C75" s="1021"/>
      <c r="D75" s="1022"/>
      <c r="E75" s="29"/>
      <c r="F75" s="8" t="s">
        <v>121</v>
      </c>
      <c r="G75" s="29"/>
      <c r="H75" s="29"/>
      <c r="I75" s="135">
        <f>((F93*F89)/F94)/10</f>
        <v>0.42352941176470588</v>
      </c>
    </row>
    <row r="76" spans="1:9" x14ac:dyDescent="0.25">
      <c r="A76" s="134">
        <f t="shared" si="2"/>
        <v>2.4000000000000004</v>
      </c>
      <c r="B76" s="1020" t="s">
        <v>122</v>
      </c>
      <c r="C76" s="1021"/>
      <c r="D76" s="1022"/>
      <c r="E76" s="29"/>
      <c r="F76" s="7" t="s">
        <v>123</v>
      </c>
      <c r="G76" s="29"/>
      <c r="H76" s="29"/>
      <c r="I76" s="135">
        <f>(F93*F90)/(200*F95)</f>
        <v>1.8000000000000001E-4</v>
      </c>
    </row>
    <row r="77" spans="1:9" x14ac:dyDescent="0.25">
      <c r="A77" s="134">
        <f t="shared" si="2"/>
        <v>2.5000000000000004</v>
      </c>
      <c r="B77" s="1020" t="s">
        <v>124</v>
      </c>
      <c r="C77" s="1021"/>
      <c r="D77" s="1022"/>
      <c r="E77" s="9">
        <v>51622.49</v>
      </c>
      <c r="F77" s="8" t="s">
        <v>125</v>
      </c>
      <c r="G77" s="29"/>
      <c r="H77" s="29"/>
      <c r="I77" s="135">
        <f>(F96*F89)/F97</f>
        <v>1.9665710476190474</v>
      </c>
    </row>
    <row r="78" spans="1:9" x14ac:dyDescent="0.25">
      <c r="A78" s="134">
        <f t="shared" si="2"/>
        <v>2.6000000000000005</v>
      </c>
      <c r="B78" s="1020" t="s">
        <v>126</v>
      </c>
      <c r="C78" s="1021"/>
      <c r="D78" s="1022"/>
      <c r="E78" s="9"/>
      <c r="F78" s="8"/>
      <c r="G78" s="29">
        <v>5044.29</v>
      </c>
      <c r="H78" s="9">
        <f>+G78/30</f>
        <v>168.143</v>
      </c>
      <c r="I78" s="136">
        <f>+H78/15</f>
        <v>11.209533333333333</v>
      </c>
    </row>
    <row r="79" spans="1:9" x14ac:dyDescent="0.25">
      <c r="A79" s="134">
        <f t="shared" si="2"/>
        <v>2.7000000000000006</v>
      </c>
      <c r="B79" s="1020" t="s">
        <v>127</v>
      </c>
      <c r="C79" s="1021"/>
      <c r="D79" s="1022"/>
      <c r="E79" s="9">
        <v>12000</v>
      </c>
      <c r="F79" s="8"/>
      <c r="G79" s="9">
        <f>+E79/120</f>
        <v>100</v>
      </c>
      <c r="H79" s="9">
        <f>+G79/30</f>
        <v>3.3333333333333335</v>
      </c>
      <c r="I79" s="137">
        <f>+H79/15</f>
        <v>0.22222222222222224</v>
      </c>
    </row>
    <row r="80" spans="1:9" ht="15.75" thickBot="1" x14ac:dyDescent="0.3">
      <c r="A80" s="134">
        <f t="shared" si="2"/>
        <v>2.8000000000000007</v>
      </c>
      <c r="B80" s="1038" t="s">
        <v>128</v>
      </c>
      <c r="C80" s="1039"/>
      <c r="D80" s="1040"/>
      <c r="E80" s="9">
        <v>300</v>
      </c>
      <c r="F80" s="8"/>
      <c r="G80" s="9">
        <f>+E80/120</f>
        <v>2.5</v>
      </c>
      <c r="H80" s="9">
        <f>+G80/30</f>
        <v>8.3333333333333329E-2</v>
      </c>
      <c r="I80" s="137">
        <f>+H80/15</f>
        <v>5.5555555555555549E-3</v>
      </c>
    </row>
    <row r="81" spans="1:9" ht="16.5" thickTop="1" thickBot="1" x14ac:dyDescent="0.3">
      <c r="A81" s="1041" t="s">
        <v>129</v>
      </c>
      <c r="B81" s="1042"/>
      <c r="C81" s="1042"/>
      <c r="D81" s="1042"/>
      <c r="E81" s="1042"/>
      <c r="F81" s="1042"/>
      <c r="G81" s="1042"/>
      <c r="H81" s="10" t="s">
        <v>130</v>
      </c>
      <c r="I81" s="138">
        <f>I72+I6</f>
        <v>73.246256296757494</v>
      </c>
    </row>
    <row r="82" spans="1:9" ht="16.5" thickTop="1" thickBot="1" x14ac:dyDescent="0.3">
      <c r="A82" s="139">
        <v>3</v>
      </c>
      <c r="B82" s="1043" t="s">
        <v>131</v>
      </c>
      <c r="C82" s="1044"/>
      <c r="D82" s="1044"/>
      <c r="E82" s="1044"/>
      <c r="F82" s="1044"/>
      <c r="G82" s="1045"/>
      <c r="H82" s="11" t="s">
        <v>130</v>
      </c>
      <c r="I82" s="140">
        <f>+I81*0.19</f>
        <v>13.916788696383923</v>
      </c>
    </row>
    <row r="83" spans="1:9" ht="16.5" thickTop="1" thickBot="1" x14ac:dyDescent="0.3">
      <c r="A83" s="1046" t="s">
        <v>132</v>
      </c>
      <c r="B83" s="1047"/>
      <c r="C83" s="1047"/>
      <c r="D83" s="1047"/>
      <c r="E83" s="1047"/>
      <c r="F83" s="1047"/>
      <c r="G83" s="1047"/>
      <c r="H83" s="141" t="s">
        <v>130</v>
      </c>
      <c r="I83" s="142">
        <f>I81+I82</f>
        <v>87.163044993141412</v>
      </c>
    </row>
    <row r="84" spans="1:9" ht="15.75" thickBot="1" x14ac:dyDescent="0.3">
      <c r="A84" s="12"/>
      <c r="B84" s="12"/>
      <c r="C84" s="12"/>
      <c r="D84" s="12"/>
      <c r="E84" s="12"/>
      <c r="F84" s="12"/>
      <c r="G84" s="12"/>
      <c r="H84" s="13"/>
      <c r="I84" s="14"/>
    </row>
    <row r="85" spans="1:9" x14ac:dyDescent="0.25">
      <c r="A85" s="1048" t="s">
        <v>133</v>
      </c>
      <c r="B85" s="1049"/>
      <c r="C85" s="1050"/>
      <c r="D85" s="143"/>
      <c r="E85" s="143"/>
      <c r="F85" s="144"/>
    </row>
    <row r="86" spans="1:9" x14ac:dyDescent="0.25">
      <c r="A86" s="1031" t="s">
        <v>134</v>
      </c>
      <c r="B86" s="1032"/>
      <c r="C86" s="1033"/>
      <c r="D86" s="1037" t="s">
        <v>135</v>
      </c>
      <c r="E86" s="1037" t="s">
        <v>136</v>
      </c>
      <c r="F86" s="145" t="s">
        <v>137</v>
      </c>
      <c r="G86" s="15"/>
      <c r="H86" s="15"/>
      <c r="I86" s="15"/>
    </row>
    <row r="87" spans="1:9" x14ac:dyDescent="0.25">
      <c r="A87" s="1034"/>
      <c r="B87" s="1035"/>
      <c r="C87" s="1036"/>
      <c r="D87" s="1037"/>
      <c r="E87" s="1037"/>
      <c r="F87" s="145" t="s">
        <v>138</v>
      </c>
      <c r="G87" s="15"/>
      <c r="H87" s="15"/>
      <c r="I87" s="15"/>
    </row>
    <row r="88" spans="1:9" x14ac:dyDescent="0.25">
      <c r="A88" s="1052" t="s">
        <v>139</v>
      </c>
      <c r="B88" s="1021"/>
      <c r="C88" s="1022"/>
      <c r="D88" s="8" t="s">
        <v>140</v>
      </c>
      <c r="E88" s="29"/>
      <c r="F88" s="146">
        <v>420000</v>
      </c>
    </row>
    <row r="89" spans="1:9" x14ac:dyDescent="0.25">
      <c r="A89" s="1052" t="s">
        <v>141</v>
      </c>
      <c r="B89" s="1021"/>
      <c r="C89" s="1022"/>
      <c r="D89" s="8" t="s">
        <v>142</v>
      </c>
      <c r="E89" s="8" t="s">
        <v>143</v>
      </c>
      <c r="F89" s="147">
        <v>0.8</v>
      </c>
    </row>
    <row r="90" spans="1:9" x14ac:dyDescent="0.25">
      <c r="A90" s="1052" t="s">
        <v>144</v>
      </c>
      <c r="B90" s="1021"/>
      <c r="C90" s="1022"/>
      <c r="D90" s="8" t="s">
        <v>145</v>
      </c>
      <c r="E90" s="8" t="s">
        <v>146</v>
      </c>
      <c r="F90" s="148">
        <v>1E-3</v>
      </c>
    </row>
    <row r="91" spans="1:9" x14ac:dyDescent="0.25">
      <c r="A91" s="1028" t="s">
        <v>147</v>
      </c>
      <c r="B91" s="1029"/>
      <c r="C91" s="1030"/>
      <c r="D91" s="8" t="s">
        <v>148</v>
      </c>
      <c r="E91" s="8" t="s">
        <v>149</v>
      </c>
      <c r="F91" s="147">
        <v>32000</v>
      </c>
    </row>
    <row r="92" spans="1:9" x14ac:dyDescent="0.25">
      <c r="A92" s="1028" t="s">
        <v>150</v>
      </c>
      <c r="B92" s="1029"/>
      <c r="C92" s="1030"/>
      <c r="D92" s="8" t="s">
        <v>151</v>
      </c>
      <c r="E92" s="8" t="s">
        <v>152</v>
      </c>
      <c r="F92" s="147">
        <v>6600</v>
      </c>
    </row>
    <row r="93" spans="1:9" x14ac:dyDescent="0.25">
      <c r="A93" s="1028" t="s">
        <v>153</v>
      </c>
      <c r="B93" s="1029"/>
      <c r="C93" s="1030"/>
      <c r="D93" s="8" t="s">
        <v>154</v>
      </c>
      <c r="E93" s="8"/>
      <c r="F93" s="147">
        <v>90000</v>
      </c>
    </row>
    <row r="94" spans="1:9" x14ac:dyDescent="0.25">
      <c r="A94" s="1028" t="s">
        <v>155</v>
      </c>
      <c r="B94" s="1029"/>
      <c r="C94" s="1030"/>
      <c r="D94" s="8" t="s">
        <v>156</v>
      </c>
      <c r="E94" s="8" t="s">
        <v>157</v>
      </c>
      <c r="F94" s="147">
        <v>17000</v>
      </c>
    </row>
    <row r="95" spans="1:9" x14ac:dyDescent="0.25">
      <c r="A95" s="1028" t="s">
        <v>158</v>
      </c>
      <c r="B95" s="1029"/>
      <c r="C95" s="1030"/>
      <c r="D95" s="8" t="s">
        <v>159</v>
      </c>
      <c r="E95" s="8" t="s">
        <v>160</v>
      </c>
      <c r="F95" s="147">
        <v>2500</v>
      </c>
    </row>
    <row r="96" spans="1:9" x14ac:dyDescent="0.25">
      <c r="A96" s="1028" t="s">
        <v>161</v>
      </c>
      <c r="B96" s="1029"/>
      <c r="C96" s="1030"/>
      <c r="D96" s="8" t="s">
        <v>162</v>
      </c>
      <c r="E96" s="8"/>
      <c r="F96" s="147">
        <v>51622.49</v>
      </c>
    </row>
    <row r="97" spans="1:9" ht="15.75" thickBot="1" x14ac:dyDescent="0.3">
      <c r="A97" s="1078" t="s">
        <v>163</v>
      </c>
      <c r="B97" s="1079"/>
      <c r="C97" s="1080"/>
      <c r="D97" s="149" t="s">
        <v>164</v>
      </c>
      <c r="E97" s="149" t="s">
        <v>165</v>
      </c>
      <c r="F97" s="150">
        <v>21000</v>
      </c>
    </row>
    <row r="98" spans="1:9" x14ac:dyDescent="0.25">
      <c r="A98" s="16"/>
      <c r="B98" s="16"/>
      <c r="C98" s="16"/>
      <c r="D98" s="17"/>
      <c r="E98" s="17"/>
      <c r="F98" s="18"/>
    </row>
    <row r="99" spans="1:9" x14ac:dyDescent="0.25">
      <c r="A99" s="25"/>
      <c r="B99" s="25"/>
      <c r="C99" s="25"/>
      <c r="D99" s="16"/>
      <c r="E99" s="16"/>
      <c r="F99" s="16"/>
    </row>
    <row r="100" spans="1:9" x14ac:dyDescent="0.25">
      <c r="A100" s="24"/>
      <c r="B100" s="24"/>
      <c r="C100" s="24"/>
      <c r="D100" s="24"/>
      <c r="E100" s="24"/>
      <c r="F100" s="19"/>
      <c r="G100" s="15"/>
      <c r="H100" s="15"/>
      <c r="I100" s="15"/>
    </row>
    <row r="101" spans="1:9" ht="15.75" thickBot="1" x14ac:dyDescent="0.3">
      <c r="A101" s="24"/>
      <c r="B101" s="24"/>
      <c r="C101" s="24"/>
      <c r="D101" s="24"/>
      <c r="E101" s="24"/>
      <c r="F101" s="24"/>
      <c r="G101" s="15"/>
      <c r="H101" s="15"/>
      <c r="I101" s="15"/>
    </row>
    <row r="102" spans="1:9" ht="16.5" thickTop="1" thickBot="1" x14ac:dyDescent="0.3">
      <c r="A102" s="1081" t="s">
        <v>202</v>
      </c>
      <c r="B102" s="1082"/>
      <c r="C102" s="1082"/>
      <c r="D102" s="1082"/>
      <c r="E102" s="1082"/>
      <c r="F102" s="1082"/>
      <c r="G102" s="1082"/>
      <c r="H102" s="1082"/>
      <c r="I102" s="1083"/>
    </row>
    <row r="103" spans="1:9" ht="16.5" thickTop="1" thickBot="1" x14ac:dyDescent="0.3">
      <c r="A103" s="1084">
        <v>1.7</v>
      </c>
      <c r="B103" s="1053" t="s">
        <v>60</v>
      </c>
      <c r="C103" s="1054"/>
      <c r="D103" s="1054"/>
      <c r="E103" s="1054"/>
      <c r="F103" s="1055"/>
      <c r="G103" s="1023" t="s">
        <v>14</v>
      </c>
      <c r="H103" s="1024"/>
      <c r="I103" s="26">
        <f>SUM(I104:I137)/10</f>
        <v>2.1138799444444443</v>
      </c>
    </row>
    <row r="104" spans="1:9" x14ac:dyDescent="0.25">
      <c r="A104" s="1085"/>
      <c r="B104" s="1025" t="s">
        <v>170</v>
      </c>
      <c r="C104" s="1026"/>
      <c r="D104" s="1027"/>
      <c r="E104" s="1" t="s">
        <v>171</v>
      </c>
      <c r="F104" s="2" t="s">
        <v>61</v>
      </c>
      <c r="G104" s="27">
        <f>(2/600)/10</f>
        <v>3.3333333333333338E-4</v>
      </c>
      <c r="H104" s="3">
        <v>3000</v>
      </c>
      <c r="I104" s="4">
        <f t="shared" ref="I104:I121" si="3">G104*H104</f>
        <v>1.0000000000000002</v>
      </c>
    </row>
    <row r="105" spans="1:9" x14ac:dyDescent="0.25">
      <c r="A105" s="1085"/>
      <c r="B105" s="883" t="s">
        <v>62</v>
      </c>
      <c r="C105" s="1051"/>
      <c r="D105" s="884"/>
      <c r="E105" s="1" t="s">
        <v>172</v>
      </c>
      <c r="F105" s="28" t="s">
        <v>63</v>
      </c>
      <c r="G105" s="27">
        <f>(2/600)/10</f>
        <v>3.3333333333333338E-4</v>
      </c>
      <c r="H105" s="3">
        <v>1455.3</v>
      </c>
      <c r="I105" s="4">
        <f t="shared" si="3"/>
        <v>0.48510000000000003</v>
      </c>
    </row>
    <row r="106" spans="1:9" x14ac:dyDescent="0.25">
      <c r="A106" s="1085"/>
      <c r="B106" s="883" t="s">
        <v>58</v>
      </c>
      <c r="C106" s="1051"/>
      <c r="D106" s="884"/>
      <c r="E106" s="1" t="s">
        <v>173</v>
      </c>
      <c r="F106" s="28" t="s">
        <v>174</v>
      </c>
      <c r="G106" s="27">
        <f>(1/20)/10</f>
        <v>5.0000000000000001E-3</v>
      </c>
      <c r="H106" s="3">
        <v>33.49</v>
      </c>
      <c r="I106" s="5">
        <f t="shared" si="3"/>
        <v>0.16745000000000002</v>
      </c>
    </row>
    <row r="107" spans="1:9" x14ac:dyDescent="0.25">
      <c r="A107" s="1085"/>
      <c r="B107" s="883" t="s">
        <v>175</v>
      </c>
      <c r="C107" s="1051"/>
      <c r="D107" s="884"/>
      <c r="E107" s="1" t="s">
        <v>176</v>
      </c>
      <c r="F107" s="28" t="s">
        <v>177</v>
      </c>
      <c r="G107" s="27">
        <f>(2/7200)</f>
        <v>2.7777777777777778E-4</v>
      </c>
      <c r="H107" s="3">
        <v>200</v>
      </c>
      <c r="I107" s="5">
        <f t="shared" si="3"/>
        <v>5.5555555555555552E-2</v>
      </c>
    </row>
    <row r="108" spans="1:9" x14ac:dyDescent="0.25">
      <c r="A108" s="1085"/>
      <c r="B108" s="883" t="s">
        <v>178</v>
      </c>
      <c r="C108" s="1051"/>
      <c r="D108" s="884"/>
      <c r="E108" s="1" t="s">
        <v>179</v>
      </c>
      <c r="F108" s="28" t="s">
        <v>180</v>
      </c>
      <c r="G108" s="27">
        <f>2/6000</f>
        <v>3.3333333333333332E-4</v>
      </c>
      <c r="H108" s="3">
        <v>73.08</v>
      </c>
      <c r="I108" s="4">
        <f t="shared" si="3"/>
        <v>2.436E-2</v>
      </c>
    </row>
    <row r="109" spans="1:9" x14ac:dyDescent="0.25">
      <c r="A109" s="1085"/>
      <c r="B109" s="883" t="s">
        <v>181</v>
      </c>
      <c r="C109" s="1051"/>
      <c r="D109" s="884"/>
      <c r="E109" s="1" t="s">
        <v>171</v>
      </c>
      <c r="F109" s="28" t="s">
        <v>182</v>
      </c>
      <c r="G109" s="27">
        <f>(1/600)/10</f>
        <v>1.6666666666666669E-4</v>
      </c>
      <c r="H109" s="3">
        <v>1120</v>
      </c>
      <c r="I109" s="4">
        <f t="shared" si="3"/>
        <v>0.1866666666666667</v>
      </c>
    </row>
    <row r="110" spans="1:9" x14ac:dyDescent="0.25">
      <c r="A110" s="1085"/>
      <c r="B110" s="883" t="s">
        <v>183</v>
      </c>
      <c r="C110" s="1051"/>
      <c r="D110" s="884"/>
      <c r="E110" s="1" t="s">
        <v>172</v>
      </c>
      <c r="F110" s="28" t="s">
        <v>184</v>
      </c>
      <c r="G110" s="27">
        <f>(1/600)/10</f>
        <v>1.6666666666666669E-4</v>
      </c>
      <c r="H110" s="3">
        <v>543.30999999999995</v>
      </c>
      <c r="I110" s="4">
        <f t="shared" si="3"/>
        <v>9.0551666666666669E-2</v>
      </c>
    </row>
    <row r="111" spans="1:9" x14ac:dyDescent="0.25">
      <c r="A111" s="1085"/>
      <c r="B111" s="883" t="s">
        <v>64</v>
      </c>
      <c r="C111" s="1051"/>
      <c r="D111" s="884"/>
      <c r="E111" s="1" t="s">
        <v>171</v>
      </c>
      <c r="F111" s="6" t="s">
        <v>61</v>
      </c>
      <c r="G111" s="27">
        <f>2/(20*30)/10</f>
        <v>3.3333333333333338E-4</v>
      </c>
      <c r="H111" s="3">
        <v>2500</v>
      </c>
      <c r="I111" s="4">
        <f t="shared" si="3"/>
        <v>0.83333333333333348</v>
      </c>
    </row>
    <row r="112" spans="1:9" x14ac:dyDescent="0.25">
      <c r="A112" s="1085"/>
      <c r="B112" s="883" t="s">
        <v>65</v>
      </c>
      <c r="C112" s="1051"/>
      <c r="D112" s="884"/>
      <c r="E112" s="1" t="str">
        <f>+E111</f>
        <v>mes</v>
      </c>
      <c r="F112" s="6" t="s">
        <v>66</v>
      </c>
      <c r="G112" s="27">
        <f>2/(20*30)/10</f>
        <v>3.3333333333333338E-4</v>
      </c>
      <c r="H112" s="3">
        <v>1212.75</v>
      </c>
      <c r="I112" s="4">
        <f t="shared" si="3"/>
        <v>0.40425000000000005</v>
      </c>
    </row>
    <row r="113" spans="1:9" x14ac:dyDescent="0.25">
      <c r="A113" s="1085"/>
      <c r="B113" s="883" t="s">
        <v>58</v>
      </c>
      <c r="C113" s="1051"/>
      <c r="D113" s="884"/>
      <c r="E113" s="1" t="s">
        <v>173</v>
      </c>
      <c r="F113" s="28" t="s">
        <v>174</v>
      </c>
      <c r="G113" s="27">
        <f>(1/20)/10</f>
        <v>5.0000000000000001E-3</v>
      </c>
      <c r="H113" s="3">
        <v>33.49</v>
      </c>
      <c r="I113" s="5">
        <f t="shared" si="3"/>
        <v>0.16745000000000002</v>
      </c>
    </row>
    <row r="114" spans="1:9" x14ac:dyDescent="0.25">
      <c r="A114" s="1085"/>
      <c r="B114" s="883" t="s">
        <v>175</v>
      </c>
      <c r="C114" s="1051"/>
      <c r="D114" s="884"/>
      <c r="E114" s="1" t="s">
        <v>176</v>
      </c>
      <c r="F114" s="28" t="s">
        <v>177</v>
      </c>
      <c r="G114" s="27">
        <f>(2/7200)</f>
        <v>2.7777777777777778E-4</v>
      </c>
      <c r="H114" s="3">
        <v>200</v>
      </c>
      <c r="I114" s="5">
        <f t="shared" si="3"/>
        <v>5.5555555555555552E-2</v>
      </c>
    </row>
    <row r="115" spans="1:9" x14ac:dyDescent="0.25">
      <c r="A115" s="1085"/>
      <c r="B115" s="883" t="s">
        <v>178</v>
      </c>
      <c r="C115" s="1051"/>
      <c r="D115" s="884"/>
      <c r="E115" s="1" t="s">
        <v>179</v>
      </c>
      <c r="F115" s="28" t="s">
        <v>180</v>
      </c>
      <c r="G115" s="27">
        <f>2/6000</f>
        <v>3.3333333333333332E-4</v>
      </c>
      <c r="H115" s="3">
        <v>73.08</v>
      </c>
      <c r="I115" s="4">
        <f t="shared" si="3"/>
        <v>2.436E-2</v>
      </c>
    </row>
    <row r="116" spans="1:9" x14ac:dyDescent="0.25">
      <c r="A116" s="1085"/>
      <c r="B116" s="883" t="s">
        <v>67</v>
      </c>
      <c r="C116" s="1051"/>
      <c r="D116" s="884"/>
      <c r="E116" s="1" t="s">
        <v>171</v>
      </c>
      <c r="F116" s="28" t="s">
        <v>61</v>
      </c>
      <c r="G116" s="27">
        <f>2/(20*30)/10</f>
        <v>3.3333333333333338E-4</v>
      </c>
      <c r="H116" s="3">
        <v>1900</v>
      </c>
      <c r="I116" s="4">
        <f t="shared" si="3"/>
        <v>0.63333333333333341</v>
      </c>
    </row>
    <row r="117" spans="1:9" x14ac:dyDescent="0.25">
      <c r="A117" s="1085"/>
      <c r="B117" s="883" t="s">
        <v>69</v>
      </c>
      <c r="C117" s="1051"/>
      <c r="D117" s="884"/>
      <c r="E117" s="1" t="str">
        <f>+E116</f>
        <v>mes</v>
      </c>
      <c r="F117" s="28" t="s">
        <v>70</v>
      </c>
      <c r="G117" s="27">
        <f>2/(20*30)/10</f>
        <v>3.3333333333333338E-4</v>
      </c>
      <c r="H117" s="3">
        <v>921.69</v>
      </c>
      <c r="I117" s="4">
        <f t="shared" si="3"/>
        <v>0.30723000000000006</v>
      </c>
    </row>
    <row r="118" spans="1:9" x14ac:dyDescent="0.25">
      <c r="A118" s="1085"/>
      <c r="B118" s="883" t="s">
        <v>58</v>
      </c>
      <c r="C118" s="1051"/>
      <c r="D118" s="884"/>
      <c r="E118" s="1" t="s">
        <v>173</v>
      </c>
      <c r="F118" s="28" t="s">
        <v>174</v>
      </c>
      <c r="G118" s="27">
        <f>(1/20)/10</f>
        <v>5.0000000000000001E-3</v>
      </c>
      <c r="H118" s="3">
        <v>33.49</v>
      </c>
      <c r="I118" s="5">
        <f t="shared" si="3"/>
        <v>0.16745000000000002</v>
      </c>
    </row>
    <row r="119" spans="1:9" x14ac:dyDescent="0.25">
      <c r="A119" s="1085"/>
      <c r="B119" s="883" t="s">
        <v>175</v>
      </c>
      <c r="C119" s="1051"/>
      <c r="D119" s="884"/>
      <c r="E119" s="1" t="s">
        <v>176</v>
      </c>
      <c r="F119" s="28" t="s">
        <v>177</v>
      </c>
      <c r="G119" s="27">
        <f>(2/7200)</f>
        <v>2.7777777777777778E-4</v>
      </c>
      <c r="H119" s="3">
        <v>200</v>
      </c>
      <c r="I119" s="5">
        <f t="shared" si="3"/>
        <v>5.5555555555555552E-2</v>
      </c>
    </row>
    <row r="120" spans="1:9" x14ac:dyDescent="0.25">
      <c r="A120" s="1085"/>
      <c r="B120" s="883" t="s">
        <v>178</v>
      </c>
      <c r="C120" s="1051"/>
      <c r="D120" s="884"/>
      <c r="E120" s="1" t="s">
        <v>179</v>
      </c>
      <c r="F120" s="28" t="s">
        <v>180</v>
      </c>
      <c r="G120" s="27">
        <f>2/6000</f>
        <v>3.3333333333333332E-4</v>
      </c>
      <c r="H120" s="3">
        <v>73.08</v>
      </c>
      <c r="I120" s="4">
        <f t="shared" si="3"/>
        <v>2.436E-2</v>
      </c>
    </row>
    <row r="121" spans="1:9" x14ac:dyDescent="0.25">
      <c r="A121" s="1085"/>
      <c r="B121" s="883" t="s">
        <v>71</v>
      </c>
      <c r="C121" s="1051"/>
      <c r="D121" s="884"/>
      <c r="E121" s="1" t="s">
        <v>171</v>
      </c>
      <c r="F121" s="28" t="s">
        <v>61</v>
      </c>
      <c r="G121" s="27">
        <f>2/(20*30)/10</f>
        <v>3.3333333333333338E-4</v>
      </c>
      <c r="H121" s="3">
        <v>1500</v>
      </c>
      <c r="I121" s="4">
        <f t="shared" si="3"/>
        <v>0.50000000000000011</v>
      </c>
    </row>
    <row r="122" spans="1:9" x14ac:dyDescent="0.25">
      <c r="A122" s="1085"/>
      <c r="B122" s="883" t="s">
        <v>72</v>
      </c>
      <c r="C122" s="1051"/>
      <c r="D122" s="884"/>
      <c r="E122" s="1" t="str">
        <f>+E121</f>
        <v>mes</v>
      </c>
      <c r="F122" s="28" t="s">
        <v>73</v>
      </c>
      <c r="G122" s="27">
        <f>2/(20*30)/10</f>
        <v>3.3333333333333338E-4</v>
      </c>
      <c r="H122" s="3">
        <f>727.65</f>
        <v>727.65</v>
      </c>
      <c r="I122" s="4">
        <f t="shared" ref="I122:I131" si="4">G122*H122</f>
        <v>0.24255000000000002</v>
      </c>
    </row>
    <row r="123" spans="1:9" x14ac:dyDescent="0.25">
      <c r="A123" s="1085"/>
      <c r="B123" s="883" t="s">
        <v>58</v>
      </c>
      <c r="C123" s="1051"/>
      <c r="D123" s="884"/>
      <c r="E123" s="1" t="s">
        <v>173</v>
      </c>
      <c r="F123" s="28" t="s">
        <v>174</v>
      </c>
      <c r="G123" s="27">
        <f>(1/20)/10</f>
        <v>5.0000000000000001E-3</v>
      </c>
      <c r="H123" s="3">
        <v>33.49</v>
      </c>
      <c r="I123" s="5">
        <f t="shared" si="4"/>
        <v>0.16745000000000002</v>
      </c>
    </row>
    <row r="124" spans="1:9" x14ac:dyDescent="0.25">
      <c r="A124" s="1085"/>
      <c r="B124" s="883" t="s">
        <v>175</v>
      </c>
      <c r="C124" s="1051"/>
      <c r="D124" s="884"/>
      <c r="E124" s="1" t="s">
        <v>176</v>
      </c>
      <c r="F124" s="28" t="s">
        <v>177</v>
      </c>
      <c r="G124" s="27">
        <f>(2/7200)</f>
        <v>2.7777777777777778E-4</v>
      </c>
      <c r="H124" s="3">
        <v>200</v>
      </c>
      <c r="I124" s="5">
        <f t="shared" si="4"/>
        <v>5.5555555555555552E-2</v>
      </c>
    </row>
    <row r="125" spans="1:9" x14ac:dyDescent="0.25">
      <c r="A125" s="1085"/>
      <c r="B125" s="883" t="s">
        <v>178</v>
      </c>
      <c r="C125" s="1051"/>
      <c r="D125" s="884"/>
      <c r="E125" s="1" t="s">
        <v>179</v>
      </c>
      <c r="F125" s="28" t="s">
        <v>180</v>
      </c>
      <c r="G125" s="27">
        <f>2/6000</f>
        <v>3.3333333333333332E-4</v>
      </c>
      <c r="H125" s="3">
        <v>73.08</v>
      </c>
      <c r="I125" s="4">
        <f t="shared" si="4"/>
        <v>2.436E-2</v>
      </c>
    </row>
    <row r="126" spans="1:9" x14ac:dyDescent="0.25">
      <c r="A126" s="1085"/>
      <c r="B126" s="883" t="s">
        <v>185</v>
      </c>
      <c r="C126" s="1051"/>
      <c r="D126" s="884"/>
      <c r="E126" s="1" t="s">
        <v>171</v>
      </c>
      <c r="F126" s="28" t="s">
        <v>61</v>
      </c>
      <c r="G126" s="27">
        <f>2/(20*30)/10</f>
        <v>3.3333333333333338E-4</v>
      </c>
      <c r="H126" s="3">
        <v>1700</v>
      </c>
      <c r="I126" s="4">
        <f t="shared" si="4"/>
        <v>0.56666666666666676</v>
      </c>
    </row>
    <row r="127" spans="1:9" x14ac:dyDescent="0.25">
      <c r="A127" s="1085"/>
      <c r="B127" s="883" t="s">
        <v>74</v>
      </c>
      <c r="C127" s="1051"/>
      <c r="D127" s="884"/>
      <c r="E127" s="1" t="s">
        <v>179</v>
      </c>
      <c r="F127" s="28" t="s">
        <v>61</v>
      </c>
      <c r="G127" s="27">
        <f>2/(20*30)/10</f>
        <v>3.3333333333333338E-4</v>
      </c>
      <c r="H127" s="3">
        <v>824.67</v>
      </c>
      <c r="I127" s="4">
        <f t="shared" si="4"/>
        <v>0.27489000000000002</v>
      </c>
    </row>
    <row r="128" spans="1:9" x14ac:dyDescent="0.25">
      <c r="A128" s="1085"/>
      <c r="B128" s="883" t="s">
        <v>175</v>
      </c>
      <c r="C128" s="1051"/>
      <c r="D128" s="884"/>
      <c r="E128" s="1" t="s">
        <v>176</v>
      </c>
      <c r="F128" s="28" t="s">
        <v>177</v>
      </c>
      <c r="G128" s="27">
        <f>2/(20*30)/10</f>
        <v>3.3333333333333338E-4</v>
      </c>
      <c r="H128" s="3">
        <v>824.67</v>
      </c>
      <c r="I128" s="4">
        <f t="shared" si="4"/>
        <v>0.27489000000000002</v>
      </c>
    </row>
    <row r="129" spans="1:9" x14ac:dyDescent="0.25">
      <c r="A129" s="1085"/>
      <c r="B129" s="883" t="s">
        <v>178</v>
      </c>
      <c r="C129" s="1051"/>
      <c r="D129" s="884"/>
      <c r="E129" s="1" t="s">
        <v>179</v>
      </c>
      <c r="F129" s="28" t="s">
        <v>180</v>
      </c>
      <c r="G129" s="27">
        <f>2/600/10</f>
        <v>3.3333333333333338E-4</v>
      </c>
      <c r="H129" s="3">
        <v>73.8</v>
      </c>
      <c r="I129" s="5">
        <f t="shared" si="4"/>
        <v>2.4600000000000004E-2</v>
      </c>
    </row>
    <row r="130" spans="1:9" x14ac:dyDescent="0.25">
      <c r="A130" s="1085"/>
      <c r="B130" s="883" t="s">
        <v>75</v>
      </c>
      <c r="C130" s="1051"/>
      <c r="D130" s="884"/>
      <c r="E130" s="1" t="s">
        <v>171</v>
      </c>
      <c r="F130" s="28" t="s">
        <v>61</v>
      </c>
      <c r="G130" s="27">
        <f>2/6000</f>
        <v>3.3333333333333332E-4</v>
      </c>
      <c r="H130" s="3">
        <v>1400</v>
      </c>
      <c r="I130" s="4">
        <f t="shared" si="4"/>
        <v>0.46666666666666667</v>
      </c>
    </row>
    <row r="131" spans="1:9" x14ac:dyDescent="0.25">
      <c r="A131" s="1085"/>
      <c r="B131" s="883" t="s">
        <v>76</v>
      </c>
      <c r="C131" s="1051"/>
      <c r="D131" s="884"/>
      <c r="E131" s="1" t="str">
        <f>+E130</f>
        <v>mes</v>
      </c>
      <c r="F131" s="28" t="s">
        <v>77</v>
      </c>
      <c r="G131" s="27">
        <f>2/6000</f>
        <v>3.3333333333333332E-4</v>
      </c>
      <c r="H131" s="3">
        <v>679.14</v>
      </c>
      <c r="I131" s="4">
        <f t="shared" si="4"/>
        <v>0.22638</v>
      </c>
    </row>
    <row r="132" spans="1:9" x14ac:dyDescent="0.25">
      <c r="A132" s="1085"/>
      <c r="B132" s="883" t="s">
        <v>78</v>
      </c>
      <c r="C132" s="1051"/>
      <c r="D132" s="884"/>
      <c r="E132" s="1" t="s">
        <v>68</v>
      </c>
      <c r="F132" s="28" t="s">
        <v>79</v>
      </c>
      <c r="G132" s="27">
        <f>4/(20*30)</f>
        <v>6.6666666666666671E-3</v>
      </c>
      <c r="H132" s="3">
        <f>1400*4/10</f>
        <v>560</v>
      </c>
      <c r="I132" s="4">
        <f t="shared" ref="I132:I137" si="5">G132*H132</f>
        <v>3.7333333333333334</v>
      </c>
    </row>
    <row r="133" spans="1:9" x14ac:dyDescent="0.25">
      <c r="A133" s="1085"/>
      <c r="B133" s="883" t="s">
        <v>76</v>
      </c>
      <c r="C133" s="1051"/>
      <c r="D133" s="884"/>
      <c r="E133" s="1" t="str">
        <f>+E132</f>
        <v>Mantenimiento</v>
      </c>
      <c r="F133" s="28" t="s">
        <v>80</v>
      </c>
      <c r="G133" s="27">
        <f>4/(20*30)</f>
        <v>6.6666666666666671E-3</v>
      </c>
      <c r="H133" s="3">
        <f>679.14*4/10</f>
        <v>271.65600000000001</v>
      </c>
      <c r="I133" s="4">
        <f t="shared" si="5"/>
        <v>1.8110400000000002</v>
      </c>
    </row>
    <row r="134" spans="1:9" x14ac:dyDescent="0.25">
      <c r="A134" s="1085"/>
      <c r="B134" s="883" t="s">
        <v>81</v>
      </c>
      <c r="C134" s="1051"/>
      <c r="D134" s="884"/>
      <c r="E134" s="1" t="s">
        <v>82</v>
      </c>
      <c r="F134" s="28" t="s">
        <v>79</v>
      </c>
      <c r="G134" s="27">
        <f>4/(20*30)</f>
        <v>6.6666666666666671E-3</v>
      </c>
      <c r="H134" s="3">
        <f>2400*4/10</f>
        <v>960</v>
      </c>
      <c r="I134" s="4">
        <f t="shared" si="5"/>
        <v>6.4</v>
      </c>
    </row>
    <row r="135" spans="1:9" x14ac:dyDescent="0.25">
      <c r="A135" s="1085"/>
      <c r="B135" s="883" t="s">
        <v>83</v>
      </c>
      <c r="C135" s="1051"/>
      <c r="D135" s="884"/>
      <c r="E135" s="1" t="str">
        <f>+E134</f>
        <v>Supervision</v>
      </c>
      <c r="F135" s="6" t="s">
        <v>66</v>
      </c>
      <c r="G135" s="27">
        <f>2/(20*30)</f>
        <v>3.3333333333333335E-3</v>
      </c>
      <c r="H135" s="3">
        <f>329.45*2/10</f>
        <v>65.89</v>
      </c>
      <c r="I135" s="4">
        <f t="shared" si="5"/>
        <v>0.21963333333333335</v>
      </c>
    </row>
    <row r="136" spans="1:9" x14ac:dyDescent="0.25">
      <c r="A136" s="1085"/>
      <c r="B136" s="883" t="s">
        <v>58</v>
      </c>
      <c r="C136" s="1051"/>
      <c r="D136" s="884"/>
      <c r="E136" s="1" t="s">
        <v>84</v>
      </c>
      <c r="F136" s="28" t="s">
        <v>85</v>
      </c>
      <c r="G136" s="27">
        <f>11/(20*30)</f>
        <v>1.8333333333333333E-2</v>
      </c>
      <c r="H136" s="3">
        <v>31.6</v>
      </c>
      <c r="I136" s="4">
        <f t="shared" si="5"/>
        <v>0.57933333333333337</v>
      </c>
    </row>
    <row r="137" spans="1:9" ht="15.75" thickBot="1" x14ac:dyDescent="0.3">
      <c r="A137" s="1086"/>
      <c r="B137" s="1072" t="s">
        <v>57</v>
      </c>
      <c r="C137" s="1073"/>
      <c r="D137" s="1074"/>
      <c r="E137" s="77" t="s">
        <v>84</v>
      </c>
      <c r="F137" s="30" t="s">
        <v>86</v>
      </c>
      <c r="G137" s="78">
        <f>((20/600))/15</f>
        <v>2.2222222222222222E-3</v>
      </c>
      <c r="H137" s="79">
        <f>200*20/10</f>
        <v>400</v>
      </c>
      <c r="I137" s="80">
        <f t="shared" si="5"/>
        <v>0.88888888888888884</v>
      </c>
    </row>
    <row r="138" spans="1:9" ht="15.75" thickTop="1" x14ac:dyDescent="0.25">
      <c r="A138" s="81"/>
      <c r="B138" s="1075" t="s">
        <v>203</v>
      </c>
      <c r="C138" s="1076"/>
      <c r="D138" s="1076"/>
      <c r="E138" s="1076"/>
      <c r="F138" s="1077"/>
      <c r="G138" s="1070" t="s">
        <v>14</v>
      </c>
      <c r="H138" s="1071"/>
      <c r="I138" s="125">
        <f>+I139/10</f>
        <v>1.1025</v>
      </c>
    </row>
    <row r="139" spans="1:9" ht="15.75" thickBot="1" x14ac:dyDescent="0.3">
      <c r="A139" s="82">
        <v>4</v>
      </c>
      <c r="B139" s="1002" t="s">
        <v>204</v>
      </c>
      <c r="C139" s="1003"/>
      <c r="D139" s="1004"/>
      <c r="E139" s="48" t="s">
        <v>205</v>
      </c>
      <c r="F139" s="48" t="s">
        <v>206</v>
      </c>
      <c r="G139" s="83">
        <f>1/20</f>
        <v>0.05</v>
      </c>
      <c r="H139" s="84">
        <f>75*2.94</f>
        <v>220.5</v>
      </c>
      <c r="I139" s="85">
        <f>G139*H139</f>
        <v>11.025</v>
      </c>
    </row>
    <row r="140" spans="1:9" ht="15.75" thickBot="1" x14ac:dyDescent="0.3">
      <c r="A140" s="1064" t="s">
        <v>207</v>
      </c>
      <c r="B140" s="1065"/>
      <c r="C140" s="1065"/>
      <c r="D140" s="1065"/>
      <c r="E140" s="1065"/>
      <c r="F140" s="1065"/>
      <c r="G140" s="1066"/>
      <c r="H140" s="86" t="s">
        <v>130</v>
      </c>
      <c r="I140" s="87">
        <f>I138+I103</f>
        <v>3.2163799444444443</v>
      </c>
    </row>
    <row r="141" spans="1:9" x14ac:dyDescent="0.25">
      <c r="A141" s="88"/>
      <c r="B141" s="88"/>
      <c r="C141" s="88"/>
      <c r="D141" s="88"/>
      <c r="E141" s="88"/>
      <c r="F141" s="88"/>
      <c r="G141" s="88"/>
      <c r="H141" s="88"/>
      <c r="I141" s="88"/>
    </row>
    <row r="142" spans="1:9" ht="15.75" thickBot="1" x14ac:dyDescent="0.3">
      <c r="A142" s="89"/>
      <c r="B142" s="90"/>
      <c r="C142" s="90"/>
      <c r="D142" s="89"/>
      <c r="E142" s="90"/>
      <c r="F142" s="91"/>
      <c r="G142" s="88"/>
      <c r="H142" s="88"/>
      <c r="I142" s="88"/>
    </row>
    <row r="143" spans="1:9" ht="15.75" thickBot="1" x14ac:dyDescent="0.3">
      <c r="A143" s="1067" t="s">
        <v>208</v>
      </c>
      <c r="B143" s="1068"/>
      <c r="C143" s="1068"/>
      <c r="D143" s="1068"/>
      <c r="E143" s="1068"/>
      <c r="F143" s="1068"/>
      <c r="G143" s="1068"/>
      <c r="H143" s="1068"/>
      <c r="I143" s="1069"/>
    </row>
    <row r="144" spans="1:9" ht="15.75" thickBot="1" x14ac:dyDescent="0.3">
      <c r="A144" s="1064" t="s">
        <v>132</v>
      </c>
      <c r="B144" s="1065"/>
      <c r="C144" s="1065"/>
      <c r="D144" s="1065"/>
      <c r="E144" s="1065"/>
      <c r="F144" s="1065"/>
      <c r="G144" s="1066"/>
      <c r="H144" s="92" t="s">
        <v>130</v>
      </c>
      <c r="I144" s="93">
        <f>I140+I83</f>
        <v>90.379424937585853</v>
      </c>
    </row>
    <row r="145" spans="1:9" ht="15.75" thickBot="1" x14ac:dyDescent="0.3">
      <c r="A145" s="1061" t="s">
        <v>209</v>
      </c>
      <c r="B145" s="1062"/>
      <c r="C145" s="1062"/>
      <c r="D145" s="1062"/>
      <c r="E145" s="1062"/>
      <c r="F145" s="1062"/>
      <c r="G145" s="1063"/>
      <c r="H145" s="92" t="s">
        <v>130</v>
      </c>
      <c r="I145" s="94">
        <f>33.72*2.94</f>
        <v>99.136799999999994</v>
      </c>
    </row>
    <row r="146" spans="1:9" ht="15.75" thickBot="1" x14ac:dyDescent="0.3">
      <c r="A146" s="1056" t="s">
        <v>210</v>
      </c>
      <c r="B146" s="1057"/>
      <c r="C146" s="1057"/>
      <c r="D146" s="1057"/>
      <c r="E146" s="1057"/>
      <c r="F146" s="1057"/>
      <c r="G146" s="1058"/>
      <c r="H146" s="92" t="s">
        <v>130</v>
      </c>
      <c r="I146" s="95">
        <f>I145-I144</f>
        <v>8.7573750624141411</v>
      </c>
    </row>
    <row r="147" spans="1:9" ht="15.75" thickBot="1" x14ac:dyDescent="0.3">
      <c r="A147" s="96"/>
      <c r="B147" s="97"/>
      <c r="C147" s="97"/>
      <c r="D147" s="97"/>
      <c r="E147" s="97"/>
      <c r="F147" s="98"/>
      <c r="G147" s="98"/>
      <c r="H147" s="99"/>
      <c r="I147" s="100"/>
    </row>
    <row r="148" spans="1:9" x14ac:dyDescent="0.25">
      <c r="A148" s="126" t="s">
        <v>211</v>
      </c>
      <c r="B148" s="127" t="s">
        <v>212</v>
      </c>
      <c r="C148" s="127" t="s">
        <v>213</v>
      </c>
      <c r="D148" s="127" t="s">
        <v>214</v>
      </c>
      <c r="E148" s="127" t="s">
        <v>215</v>
      </c>
      <c r="F148" s="128"/>
      <c r="G148" s="88"/>
      <c r="H148" s="88"/>
      <c r="I148" s="88"/>
    </row>
    <row r="149" spans="1:9" x14ac:dyDescent="0.25">
      <c r="A149" s="101">
        <v>1</v>
      </c>
      <c r="B149" s="102"/>
      <c r="C149" s="102"/>
      <c r="D149" s="102"/>
      <c r="E149" s="102"/>
      <c r="F149" s="103"/>
      <c r="G149" s="88"/>
      <c r="H149" s="88"/>
      <c r="I149" s="88"/>
    </row>
    <row r="150" spans="1:9" x14ac:dyDescent="0.25">
      <c r="A150" s="101">
        <v>2</v>
      </c>
      <c r="B150" s="102"/>
      <c r="C150" s="102"/>
      <c r="D150" s="102"/>
      <c r="E150" s="102"/>
      <c r="F150" s="103"/>
      <c r="G150" s="88"/>
      <c r="H150" s="88"/>
      <c r="I150" s="88"/>
    </row>
    <row r="151" spans="1:9" x14ac:dyDescent="0.25">
      <c r="A151" s="101">
        <v>3</v>
      </c>
      <c r="B151" s="102"/>
      <c r="C151" s="102"/>
      <c r="D151" s="102"/>
      <c r="E151" s="102"/>
      <c r="F151" s="103"/>
      <c r="G151" s="88"/>
      <c r="H151" s="88"/>
      <c r="I151" s="88"/>
    </row>
    <row r="152" spans="1:9" x14ac:dyDescent="0.25">
      <c r="A152" s="101">
        <v>4</v>
      </c>
      <c r="B152" s="102"/>
      <c r="C152" s="102"/>
      <c r="D152" s="102"/>
      <c r="E152" s="102"/>
      <c r="F152" s="103"/>
      <c r="G152" s="88"/>
      <c r="H152" s="88"/>
      <c r="I152" s="88"/>
    </row>
    <row r="153" spans="1:9" x14ac:dyDescent="0.25">
      <c r="A153" s="101">
        <v>5</v>
      </c>
      <c r="B153" s="102"/>
      <c r="C153" s="102"/>
      <c r="D153" s="102"/>
      <c r="E153" s="102"/>
      <c r="F153" s="103"/>
      <c r="G153" s="88"/>
      <c r="H153" s="88"/>
      <c r="I153" s="88"/>
    </row>
    <row r="154" spans="1:9" x14ac:dyDescent="0.25">
      <c r="A154" s="101">
        <v>6</v>
      </c>
      <c r="B154" s="102"/>
      <c r="C154" s="102"/>
      <c r="D154" s="102"/>
      <c r="E154" s="102"/>
      <c r="F154" s="103"/>
      <c r="G154" s="88"/>
      <c r="H154" s="88"/>
      <c r="I154" s="88"/>
    </row>
    <row r="155" spans="1:9" x14ac:dyDescent="0.25">
      <c r="A155" s="101">
        <v>7</v>
      </c>
      <c r="B155" s="102"/>
      <c r="C155" s="102"/>
      <c r="D155" s="102"/>
      <c r="E155" s="102"/>
      <c r="F155" s="103"/>
      <c r="G155" s="88"/>
      <c r="H155" s="88"/>
      <c r="I155" s="88"/>
    </row>
    <row r="156" spans="1:9" x14ac:dyDescent="0.25">
      <c r="A156" s="101">
        <v>8</v>
      </c>
      <c r="B156" s="102"/>
      <c r="C156" s="102"/>
      <c r="D156" s="102"/>
      <c r="E156" s="102"/>
      <c r="F156" s="103"/>
      <c r="G156" s="88"/>
      <c r="H156" s="88"/>
      <c r="I156" s="88"/>
    </row>
    <row r="157" spans="1:9" x14ac:dyDescent="0.25">
      <c r="A157" s="101">
        <v>9</v>
      </c>
      <c r="B157" s="102"/>
      <c r="C157" s="102"/>
      <c r="D157" s="102"/>
      <c r="E157" s="102"/>
      <c r="F157" s="103"/>
      <c r="G157" s="88"/>
      <c r="H157" s="88"/>
      <c r="I157" s="88"/>
    </row>
    <row r="158" spans="1:9" x14ac:dyDescent="0.25">
      <c r="A158" s="101">
        <v>10</v>
      </c>
      <c r="B158" s="102"/>
      <c r="C158" s="102"/>
      <c r="D158" s="102"/>
      <c r="E158" s="102"/>
      <c r="F158" s="103"/>
      <c r="G158" s="88"/>
      <c r="H158" s="88"/>
      <c r="I158" s="88"/>
    </row>
    <row r="159" spans="1:9" ht="15.75" thickBot="1" x14ac:dyDescent="0.3">
      <c r="A159" s="104">
        <v>11</v>
      </c>
      <c r="B159" s="105"/>
      <c r="C159" s="105"/>
      <c r="D159" s="105"/>
      <c r="E159" s="105"/>
      <c r="F159" s="106"/>
      <c r="G159" s="88"/>
      <c r="H159" s="88"/>
      <c r="I159" s="88"/>
    </row>
    <row r="160" spans="1:9" x14ac:dyDescent="0.25">
      <c r="A160" s="88"/>
      <c r="B160" s="88"/>
      <c r="C160" s="88"/>
      <c r="D160" s="107"/>
      <c r="E160" s="88"/>
      <c r="F160" s="107"/>
      <c r="G160" s="88"/>
      <c r="H160" s="88"/>
      <c r="I160" s="88"/>
    </row>
  </sheetData>
  <mergeCells count="160">
    <mergeCell ref="A146:G146"/>
    <mergeCell ref="B10:C10"/>
    <mergeCell ref="B25:C25"/>
    <mergeCell ref="A145:G145"/>
    <mergeCell ref="A144:G144"/>
    <mergeCell ref="A143:I143"/>
    <mergeCell ref="A140:G140"/>
    <mergeCell ref="B139:D139"/>
    <mergeCell ref="B56:D56"/>
    <mergeCell ref="B55:D55"/>
    <mergeCell ref="B125:D125"/>
    <mergeCell ref="B126:D126"/>
    <mergeCell ref="B129:D129"/>
    <mergeCell ref="G138:H138"/>
    <mergeCell ref="B133:D133"/>
    <mergeCell ref="B134:D134"/>
    <mergeCell ref="B135:D135"/>
    <mergeCell ref="B136:D136"/>
    <mergeCell ref="B137:D137"/>
    <mergeCell ref="B138:F138"/>
    <mergeCell ref="B110:D110"/>
    <mergeCell ref="A97:C97"/>
    <mergeCell ref="A102:I102"/>
    <mergeCell ref="A103:A137"/>
    <mergeCell ref="B114:D114"/>
    <mergeCell ref="B132:D132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30:D130"/>
    <mergeCell ref="B131:D131"/>
    <mergeCell ref="B124:D124"/>
    <mergeCell ref="B127:D127"/>
    <mergeCell ref="B128:D128"/>
    <mergeCell ref="B109:D109"/>
    <mergeCell ref="E86:E87"/>
    <mergeCell ref="A88:C88"/>
    <mergeCell ref="A89:C89"/>
    <mergeCell ref="A90:C90"/>
    <mergeCell ref="B103:F103"/>
    <mergeCell ref="B111:D111"/>
    <mergeCell ref="B112:D112"/>
    <mergeCell ref="B113:D113"/>
    <mergeCell ref="B105:D105"/>
    <mergeCell ref="B106:D106"/>
    <mergeCell ref="B107:D107"/>
    <mergeCell ref="B108:D108"/>
    <mergeCell ref="G103:H103"/>
    <mergeCell ref="B104:D104"/>
    <mergeCell ref="A91:C91"/>
    <mergeCell ref="A92:C92"/>
    <mergeCell ref="A86:C87"/>
    <mergeCell ref="D86:D87"/>
    <mergeCell ref="B76:D76"/>
    <mergeCell ref="B77:D77"/>
    <mergeCell ref="B78:D78"/>
    <mergeCell ref="B79:D79"/>
    <mergeCell ref="B80:D80"/>
    <mergeCell ref="A81:G81"/>
    <mergeCell ref="B82:G82"/>
    <mergeCell ref="A83:G83"/>
    <mergeCell ref="A85:C85"/>
    <mergeCell ref="A93:C93"/>
    <mergeCell ref="A94:C94"/>
    <mergeCell ref="A95:C95"/>
    <mergeCell ref="A96:C96"/>
    <mergeCell ref="A70:D71"/>
    <mergeCell ref="E70:E71"/>
    <mergeCell ref="F70:F71"/>
    <mergeCell ref="B72:D72"/>
    <mergeCell ref="E72:F72"/>
    <mergeCell ref="G72:H72"/>
    <mergeCell ref="B73:D73"/>
    <mergeCell ref="B74:D74"/>
    <mergeCell ref="B75:D75"/>
    <mergeCell ref="B61:D61"/>
    <mergeCell ref="B62:D62"/>
    <mergeCell ref="B63:D63"/>
    <mergeCell ref="A64:A67"/>
    <mergeCell ref="B64:F64"/>
    <mergeCell ref="G64:H64"/>
    <mergeCell ref="B65:D65"/>
    <mergeCell ref="B66:D66"/>
    <mergeCell ref="B67:D67"/>
    <mergeCell ref="G41:H41"/>
    <mergeCell ref="B42:D42"/>
    <mergeCell ref="B43:D43"/>
    <mergeCell ref="A44:A50"/>
    <mergeCell ref="B44:F44"/>
    <mergeCell ref="G44:H44"/>
    <mergeCell ref="B45:D45"/>
    <mergeCell ref="B46:D46"/>
    <mergeCell ref="B60:D60"/>
    <mergeCell ref="B52:D52"/>
    <mergeCell ref="B54:D54"/>
    <mergeCell ref="B53:D53"/>
    <mergeCell ref="A41:A43"/>
    <mergeCell ref="B41:C41"/>
    <mergeCell ref="G51:H51"/>
    <mergeCell ref="B47:D47"/>
    <mergeCell ref="B48:D48"/>
    <mergeCell ref="B49:D49"/>
    <mergeCell ref="B50:D50"/>
    <mergeCell ref="A51:A63"/>
    <mergeCell ref="B51:F51"/>
    <mergeCell ref="B57:D57"/>
    <mergeCell ref="B58:D58"/>
    <mergeCell ref="B59:D59"/>
    <mergeCell ref="B12:C12"/>
    <mergeCell ref="A36:A40"/>
    <mergeCell ref="B36:F36"/>
    <mergeCell ref="G36:H36"/>
    <mergeCell ref="B37:D37"/>
    <mergeCell ref="B38:D38"/>
    <mergeCell ref="B39:D39"/>
    <mergeCell ref="B40:D40"/>
    <mergeCell ref="A30:A35"/>
    <mergeCell ref="B29:C29"/>
    <mergeCell ref="G30:H30"/>
    <mergeCell ref="B31:C31"/>
    <mergeCell ref="B32:C32"/>
    <mergeCell ref="B33:C33"/>
    <mergeCell ref="B34:C34"/>
    <mergeCell ref="B35:C35"/>
    <mergeCell ref="B27:C27"/>
    <mergeCell ref="B26:C26"/>
    <mergeCell ref="B15:C15"/>
    <mergeCell ref="B20:C20"/>
    <mergeCell ref="B18:C18"/>
    <mergeCell ref="B23:C23"/>
    <mergeCell ref="A1:I1"/>
    <mergeCell ref="A2:I2"/>
    <mergeCell ref="A3:I3"/>
    <mergeCell ref="A4:D5"/>
    <mergeCell ref="E4:E5"/>
    <mergeCell ref="B17:C17"/>
    <mergeCell ref="B6:D6"/>
    <mergeCell ref="B14:C14"/>
    <mergeCell ref="B16:C16"/>
    <mergeCell ref="B11:C11"/>
    <mergeCell ref="A7:A8"/>
    <mergeCell ref="B7:F7"/>
    <mergeCell ref="G7:H7"/>
    <mergeCell ref="B8:D8"/>
    <mergeCell ref="A9:A29"/>
    <mergeCell ref="B9:F9"/>
    <mergeCell ref="G9:H9"/>
    <mergeCell ref="B28:C28"/>
    <mergeCell ref="B19:C19"/>
    <mergeCell ref="B21:C21"/>
    <mergeCell ref="B22:C22"/>
    <mergeCell ref="F4:F5"/>
    <mergeCell ref="B13:C13"/>
    <mergeCell ref="B24:C24"/>
  </mergeCells>
  <pageMargins left="0.7" right="0.7" top="0.75" bottom="0.75" header="0.3" footer="0.3"/>
  <ignoredErrors>
    <ignoredError sqref="I41" 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I15" sqref="I1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1Planilla</vt:lpstr>
      <vt:lpstr>2Maq</vt:lpstr>
      <vt:lpstr>3insumo</vt:lpstr>
      <vt:lpstr>4Trans</vt:lpstr>
      <vt:lpstr>5 EPP</vt:lpstr>
      <vt:lpstr>6SueAct</vt:lpstr>
      <vt:lpstr>7chrFM</vt:lpstr>
      <vt:lpstr>7,1Grafico</vt:lpstr>
      <vt:lpstr>Costo Horario NL12</vt:lpstr>
      <vt:lpstr>Propuesto Costo Horario</vt:lpstr>
      <vt:lpstr>'1Planilla'!Área_de_impresión</vt:lpstr>
      <vt:lpstr>'2Maq'!Área_de_impresión</vt:lpstr>
      <vt:lpstr>'3insumo'!Área_de_impresión</vt:lpstr>
      <vt:lpstr>'4Trans'!Área_de_impresión</vt:lpstr>
      <vt:lpstr>'5 EPP'!Área_de_impresión</vt:lpstr>
      <vt:lpstr>'6SueAct'!Área_de_impresión</vt:lpstr>
      <vt:lpstr>'7,1Grafico'!Área_de_impresión</vt:lpstr>
      <vt:lpstr>'7chrFM'!Área_de_impresión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Edison Muñante Mendoza</cp:lastModifiedBy>
  <cp:lastPrinted>2010-07-19T22:38:12Z</cp:lastPrinted>
  <dcterms:created xsi:type="dcterms:W3CDTF">2010-02-26T19:47:55Z</dcterms:created>
  <dcterms:modified xsi:type="dcterms:W3CDTF">2024-03-07T00:01:24Z</dcterms:modified>
</cp:coreProperties>
</file>