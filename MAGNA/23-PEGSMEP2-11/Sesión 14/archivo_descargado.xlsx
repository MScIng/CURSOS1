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ARM\8. CURSOS\ESPECIALIZACIÓN, GESTIÓN Y SUPERVISIÓN DEL MANTENIMIENTO DE EQUIPOS PESADOS\7. Módulo,Costos y Presupuestos de Mantenimiento (14,15)\"/>
    </mc:Choice>
  </mc:AlternateContent>
  <xr:revisionPtr revIDLastSave="0" documentId="13_ncr:1_{25547628-82C9-4B3E-9E34-A3C98223662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0" i="1" l="1"/>
  <c r="U7" i="1"/>
  <c r="U5" i="1"/>
  <c r="S2" i="1"/>
  <c r="S1" i="1" s="1"/>
  <c r="S3" i="1"/>
  <c r="S5" i="1"/>
  <c r="S8" i="1"/>
  <c r="S6" i="1"/>
  <c r="S7" i="1"/>
  <c r="S17" i="1"/>
  <c r="S15" i="1"/>
  <c r="S11" i="1"/>
</calcChain>
</file>

<file path=xl/sharedStrings.xml><?xml version="1.0" encoding="utf-8"?>
<sst xmlns="http://schemas.openxmlformats.org/spreadsheetml/2006/main" count="20" uniqueCount="20">
  <si>
    <t>INV.</t>
  </si>
  <si>
    <t>EXCESO</t>
  </si>
  <si>
    <t>Act. Circ</t>
  </si>
  <si>
    <t>Act. Fijo</t>
  </si>
  <si>
    <t>Act. Total</t>
  </si>
  <si>
    <t>Cuentas X Cobrar</t>
  </si>
  <si>
    <t>Otros</t>
  </si>
  <si>
    <t>gasto fijo</t>
  </si>
  <si>
    <t>Inventario (millones)</t>
  </si>
  <si>
    <t>Tasa activa 15%</t>
  </si>
  <si>
    <t>Costo total del Inv. 20%</t>
  </si>
  <si>
    <t>Gasto fijo</t>
  </si>
  <si>
    <t>gasto variable</t>
  </si>
  <si>
    <t>Gastos Totales</t>
  </si>
  <si>
    <t>Beneficios antes de impuestos</t>
  </si>
  <si>
    <t>Impuestos</t>
  </si>
  <si>
    <t>Margen bruto</t>
  </si>
  <si>
    <t>Beneficio neto</t>
  </si>
  <si>
    <t>tasa de retorno</t>
  </si>
  <si>
    <t>1° caso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</si>
</sst>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0" borderId="0" xfId="0" applyAlignment="1">
      <alignment wrapText="1"/>
    </xf>
    <xf numFmtId="10" fontId="0" fillId="0" borderId="0" xfId="1" applyNumberFormat="1" applyFont="1"/>
    <xf numFmtId="10" fontId="2" fillId="2" borderId="0" xfId="1" applyNumberFormat="1" applyFont="1" applyFill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123826</xdr:colOff>
      <xdr:row>1</xdr:row>
      <xdr:rowOff>59407</xdr:rowOff>
    </xdr:from>
    <xdr:to>
      <xdr:col>7</xdr:col>
      <xdr:colOff>476250</xdr:colOff>
      <xdr:row>13</xdr:row>
      <xdr:rowOff>102608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FDD6ACC-0A8A-C9B4-D79B-C530D8643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426" y="249907"/>
          <a:ext cx="4010024" cy="2976901"/>
        </a:xfrm>
        <a:prstGeom prst="rect">
          <a:avLst/>
        </a:prstGeom>
      </xdr:spPr>
    </xdr:pic>
    <xdr:clientData/>
  </xdr:twoCellAnchor>
  <xdr:twoCellAnchor editAs="oneCell">
    <xdr:from>
      <xdr:col>9</xdr:col>
      <xdr:colOff>219074</xdr:colOff>
      <xdr:row>1</xdr:row>
      <xdr:rowOff>85725</xdr:rowOff>
    </xdr:from>
    <xdr:to>
      <xdr:col>15</xdr:col>
      <xdr:colOff>399630</xdr:colOff>
      <xdr:row>12</xdr:row>
      <xdr:rowOff>180975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03C8844-AA4D-597A-675C-B90B4D14D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05474" y="276225"/>
          <a:ext cx="3838156" cy="2838450"/>
        </a:xfrm>
        <a:prstGeom prst="rect">
          <a:avLst/>
        </a:prstGeom>
      </xdr:spPr>
    </xdr:pic>
    <xdr:clientData/>
  </xdr:twoCellAnchor>
  <xdr:twoCellAnchor editAs="oneCell">
    <xdr:from>
      <xdr:col>1</xdr:col>
      <xdr:colOff>257175</xdr:colOff>
      <xdr:row>18</xdr:row>
      <xdr:rowOff>52595</xdr:rowOff>
    </xdr:from>
    <xdr:to>
      <xdr:col>7</xdr:col>
      <xdr:colOff>314325</xdr:colOff>
      <xdr:row>25</xdr:row>
      <xdr:rowOff>180975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68AFA1F-4312-22F3-B71B-2D6CB5E64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6250" y="3481595"/>
          <a:ext cx="3714750" cy="14618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26"/>
  <sheetViews>
    <sheetView showGridLines="0" tabSelected="1" topLeftCell="C1" workbookViewId="0">
      <selection activeCell="U11" sqref="U11"/>
    </sheetView>
  </sheetViews>
  <sheetFormatPr baseColWidth="10" defaultColWidth="9.140625" defaultRowHeight="15" x14ac:dyDescent="0.25"/>
  <cols>
    <col min="1" max="1" width="3.28515625" customWidth="1"/>
    <col min="9" max="9" width="2.7109375" customWidth="1"/>
    <col min="20" max="20" width="16.85546875" style="14" customWidth="1"/>
    <col min="21" max="21" width="10.5703125" bestFit="1" customWidth="1"/>
    <col min="22" max="22" width="12.5703125" customWidth="1"/>
  </cols>
  <sheetData>
    <row r="1" spans="2:22" x14ac:dyDescent="0.25">
      <c r="S1" s="11">
        <f>+S2*0.4</f>
        <v>4.8400000000000007</v>
      </c>
      <c r="T1" s="14" t="s">
        <v>15</v>
      </c>
      <c r="U1">
        <v>45</v>
      </c>
      <c r="V1" t="s">
        <v>16</v>
      </c>
    </row>
    <row r="2" spans="2:22" ht="30" x14ac:dyDescent="0.25">
      <c r="B2" s="2"/>
      <c r="C2" s="3"/>
      <c r="D2" s="3"/>
      <c r="E2" s="3"/>
      <c r="F2" s="3"/>
      <c r="G2" s="3"/>
      <c r="H2" s="4"/>
      <c r="J2" s="2"/>
      <c r="K2" s="3"/>
      <c r="L2" s="3"/>
      <c r="M2" s="3"/>
      <c r="N2" s="3"/>
      <c r="O2" s="3"/>
      <c r="P2" s="4"/>
      <c r="S2" s="11">
        <f>+U1-S3</f>
        <v>12.100000000000001</v>
      </c>
      <c r="T2" s="14" t="s">
        <v>14</v>
      </c>
    </row>
    <row r="3" spans="2:22" x14ac:dyDescent="0.25">
      <c r="B3" s="5"/>
      <c r="C3" s="6"/>
      <c r="D3" s="6"/>
      <c r="E3" s="6"/>
      <c r="F3" s="6"/>
      <c r="G3" s="6"/>
      <c r="H3" s="7"/>
      <c r="J3" s="5"/>
      <c r="K3" s="6"/>
      <c r="L3" s="6"/>
      <c r="M3" s="6"/>
      <c r="N3" s="6"/>
      <c r="O3" s="6"/>
      <c r="P3" s="7"/>
      <c r="S3" s="11">
        <f>+S5+S4</f>
        <v>32.9</v>
      </c>
      <c r="T3" s="14" t="s">
        <v>13</v>
      </c>
    </row>
    <row r="4" spans="2:22" x14ac:dyDescent="0.25">
      <c r="B4" s="5"/>
      <c r="C4" s="6"/>
      <c r="D4" s="6"/>
      <c r="E4" s="6"/>
      <c r="F4" s="6"/>
      <c r="G4" s="6"/>
      <c r="H4" s="7"/>
      <c r="J4" s="5"/>
      <c r="K4" s="6"/>
      <c r="L4" s="6"/>
      <c r="M4" s="6"/>
      <c r="N4" s="6"/>
      <c r="O4" s="6"/>
      <c r="P4" s="7"/>
      <c r="S4">
        <v>15</v>
      </c>
      <c r="T4" s="14" t="s">
        <v>12</v>
      </c>
    </row>
    <row r="5" spans="2:22" x14ac:dyDescent="0.25">
      <c r="B5" s="5"/>
      <c r="C5" s="6"/>
      <c r="D5" s="6"/>
      <c r="E5" s="6"/>
      <c r="F5" s="6"/>
      <c r="G5" s="6"/>
      <c r="H5" s="7"/>
      <c r="J5" s="5"/>
      <c r="K5" s="6"/>
      <c r="L5" s="6"/>
      <c r="M5" s="6"/>
      <c r="N5" s="6"/>
      <c r="O5" s="6"/>
      <c r="P5" s="7"/>
      <c r="S5" s="11">
        <f>+R6-S8</f>
        <v>17.899999999999999</v>
      </c>
      <c r="T5" s="14" t="s">
        <v>11</v>
      </c>
      <c r="U5" s="11">
        <f>+S2-S1</f>
        <v>7.2600000000000007</v>
      </c>
      <c r="V5" t="s">
        <v>17</v>
      </c>
    </row>
    <row r="6" spans="2:22" ht="30" x14ac:dyDescent="0.25">
      <c r="B6" s="5"/>
      <c r="C6" s="6"/>
      <c r="D6" s="6"/>
      <c r="E6" s="6"/>
      <c r="F6" s="6"/>
      <c r="G6" s="6"/>
      <c r="H6" s="7"/>
      <c r="J6" s="5"/>
      <c r="K6" s="6"/>
      <c r="L6" s="6"/>
      <c r="M6" s="6"/>
      <c r="N6" s="6"/>
      <c r="O6" s="6"/>
      <c r="P6" s="7"/>
      <c r="Q6" t="s">
        <v>7</v>
      </c>
      <c r="R6">
        <v>20</v>
      </c>
      <c r="S6">
        <f>+R11*0.2</f>
        <v>1.2000000000000002</v>
      </c>
      <c r="T6" s="14" t="s">
        <v>10</v>
      </c>
    </row>
    <row r="7" spans="2:22" ht="21" x14ac:dyDescent="0.35">
      <c r="B7" s="5"/>
      <c r="C7" s="6"/>
      <c r="D7" s="6"/>
      <c r="E7" s="6"/>
      <c r="F7" s="6"/>
      <c r="G7" s="6"/>
      <c r="H7" s="7"/>
      <c r="J7" s="5"/>
      <c r="K7" s="6"/>
      <c r="L7" s="6"/>
      <c r="M7" s="6"/>
      <c r="N7" s="6"/>
      <c r="O7" s="6"/>
      <c r="P7" s="7"/>
      <c r="R7" s="13"/>
      <c r="S7">
        <f>+R11*0.15</f>
        <v>0.89999999999999991</v>
      </c>
      <c r="T7" s="14" t="s">
        <v>9</v>
      </c>
      <c r="U7" s="16">
        <f>+U5/S17</f>
        <v>0.13444444444444445</v>
      </c>
      <c r="V7" t="s">
        <v>18</v>
      </c>
    </row>
    <row r="8" spans="2:22" x14ac:dyDescent="0.25">
      <c r="B8" s="5"/>
      <c r="C8" s="6"/>
      <c r="D8" s="6"/>
      <c r="E8" s="6"/>
      <c r="F8" s="6"/>
      <c r="G8" s="6"/>
      <c r="H8" s="7"/>
      <c r="J8" s="5"/>
      <c r="K8" s="6"/>
      <c r="L8" s="6"/>
      <c r="M8" s="6"/>
      <c r="N8" s="6"/>
      <c r="O8" s="6"/>
      <c r="P8" s="7"/>
      <c r="R8" s="13"/>
      <c r="S8" s="12">
        <f>SUM(S6:S7)</f>
        <v>2.1</v>
      </c>
    </row>
    <row r="9" spans="2:22" x14ac:dyDescent="0.25">
      <c r="B9" s="5"/>
      <c r="C9" s="6"/>
      <c r="D9" s="6"/>
      <c r="E9" s="6"/>
      <c r="F9" s="6"/>
      <c r="G9" s="6"/>
      <c r="H9" s="7"/>
      <c r="J9" s="5"/>
      <c r="K9" s="6"/>
      <c r="L9" s="6"/>
      <c r="M9" s="6"/>
      <c r="N9" s="6"/>
      <c r="O9" s="6"/>
      <c r="P9" s="7"/>
    </row>
    <row r="10" spans="2:22" x14ac:dyDescent="0.25">
      <c r="B10" s="5"/>
      <c r="C10" s="6"/>
      <c r="D10" s="6"/>
      <c r="E10" s="6"/>
      <c r="F10" s="6"/>
      <c r="G10" s="6"/>
      <c r="H10" s="7"/>
      <c r="J10" s="5"/>
      <c r="K10" s="6"/>
      <c r="L10" s="6"/>
      <c r="M10" s="6"/>
      <c r="N10" s="6"/>
      <c r="O10" s="6"/>
      <c r="P10" s="7"/>
      <c r="Q10" t="s">
        <v>0</v>
      </c>
      <c r="R10" t="s">
        <v>1</v>
      </c>
      <c r="U10" s="15">
        <f>6/60</f>
        <v>0.1</v>
      </c>
      <c r="V10" t="s">
        <v>19</v>
      </c>
    </row>
    <row r="11" spans="2:22" ht="30" x14ac:dyDescent="0.25">
      <c r="B11" s="5"/>
      <c r="C11" s="6"/>
      <c r="D11" s="6"/>
      <c r="E11" s="6"/>
      <c r="F11" s="6"/>
      <c r="G11" s="6"/>
      <c r="H11" s="7"/>
      <c r="J11" s="5"/>
      <c r="K11" s="6"/>
      <c r="L11" s="6"/>
      <c r="M11" s="6"/>
      <c r="N11" s="6"/>
      <c r="O11" s="6"/>
      <c r="P11" s="7"/>
      <c r="Q11">
        <v>19</v>
      </c>
      <c r="R11">
        <v>6</v>
      </c>
      <c r="S11" s="11">
        <f>+Q11-R11</f>
        <v>13</v>
      </c>
      <c r="T11" s="14" t="s">
        <v>8</v>
      </c>
    </row>
    <row r="12" spans="2:22" x14ac:dyDescent="0.25">
      <c r="B12" s="5"/>
      <c r="C12" s="6"/>
      <c r="D12" s="6"/>
      <c r="E12" s="6"/>
      <c r="F12" s="6"/>
      <c r="G12" s="6"/>
      <c r="H12" s="7"/>
      <c r="J12" s="5"/>
      <c r="K12" s="6"/>
      <c r="L12" s="6"/>
      <c r="M12" s="6"/>
      <c r="N12" s="6"/>
      <c r="O12" s="6"/>
      <c r="P12" s="7"/>
      <c r="S12">
        <v>10</v>
      </c>
      <c r="T12" s="14" t="s">
        <v>5</v>
      </c>
    </row>
    <row r="13" spans="2:22" x14ac:dyDescent="0.25">
      <c r="B13" s="5"/>
      <c r="C13" s="6"/>
      <c r="D13" s="6"/>
      <c r="E13" s="6"/>
      <c r="F13" s="6"/>
      <c r="G13" s="6"/>
      <c r="H13" s="7"/>
      <c r="J13" s="5"/>
      <c r="K13" s="6"/>
      <c r="L13" s="6"/>
      <c r="M13" s="6"/>
      <c r="N13" s="6"/>
      <c r="O13" s="6"/>
      <c r="P13" s="7"/>
      <c r="S13">
        <v>2</v>
      </c>
      <c r="T13" s="14" t="s">
        <v>6</v>
      </c>
    </row>
    <row r="14" spans="2:22" x14ac:dyDescent="0.25">
      <c r="B14" s="5"/>
      <c r="C14" s="6"/>
      <c r="D14" s="6"/>
      <c r="E14" s="6"/>
      <c r="F14" s="6"/>
      <c r="G14" s="6"/>
      <c r="H14" s="7"/>
      <c r="J14" s="5"/>
      <c r="K14" s="6"/>
      <c r="L14" s="6"/>
      <c r="M14" s="6"/>
      <c r="N14" s="6"/>
      <c r="O14" s="6"/>
      <c r="P14" s="7"/>
    </row>
    <row r="15" spans="2:22" x14ac:dyDescent="0.25">
      <c r="B15" s="5"/>
      <c r="C15" s="6"/>
      <c r="D15" s="6"/>
      <c r="E15" s="6"/>
      <c r="F15" s="6"/>
      <c r="G15" s="6"/>
      <c r="H15" s="7"/>
      <c r="J15" s="5"/>
      <c r="K15" s="6"/>
      <c r="L15" s="6"/>
      <c r="M15" s="6"/>
      <c r="N15" s="6"/>
      <c r="O15" s="6"/>
      <c r="P15" s="7"/>
      <c r="S15" s="11">
        <f>SUM(S11:S14)</f>
        <v>25</v>
      </c>
      <c r="T15" s="14" t="s">
        <v>2</v>
      </c>
    </row>
    <row r="16" spans="2:22" x14ac:dyDescent="0.25">
      <c r="B16" s="5"/>
      <c r="C16" s="6"/>
      <c r="D16" s="6"/>
      <c r="E16" s="6"/>
      <c r="F16" s="6"/>
      <c r="G16" s="6"/>
      <c r="H16" s="7"/>
      <c r="J16" s="5"/>
      <c r="K16" s="6"/>
      <c r="L16" s="6"/>
      <c r="M16" s="6"/>
      <c r="N16" s="6"/>
      <c r="O16" s="6"/>
      <c r="P16" s="7"/>
      <c r="S16">
        <v>29</v>
      </c>
      <c r="T16" s="14" t="s">
        <v>3</v>
      </c>
    </row>
    <row r="17" spans="2:20" x14ac:dyDescent="0.25">
      <c r="B17" s="8"/>
      <c r="C17" s="9"/>
      <c r="D17" s="9"/>
      <c r="E17" s="9"/>
      <c r="F17" s="9"/>
      <c r="G17" s="9"/>
      <c r="H17" s="10"/>
      <c r="J17" s="8"/>
      <c r="K17" s="9"/>
      <c r="L17" s="9"/>
      <c r="M17" s="9"/>
      <c r="N17" s="9"/>
      <c r="O17" s="9"/>
      <c r="P17" s="10"/>
      <c r="S17" s="11">
        <f>SUM(S15:S16)</f>
        <v>54</v>
      </c>
      <c r="T17" s="14" t="s">
        <v>4</v>
      </c>
    </row>
    <row r="18" spans="2:20" ht="5.25" customHeight="1" x14ac:dyDescent="0.25"/>
    <row r="19" spans="2:20" x14ac:dyDescent="0.25">
      <c r="B19" s="1"/>
      <c r="C19" s="1"/>
      <c r="D19" s="1"/>
      <c r="E19" s="1"/>
      <c r="F19" s="1"/>
      <c r="G19" s="1"/>
      <c r="H19" s="1"/>
    </row>
    <row r="20" spans="2:20" x14ac:dyDescent="0.25">
      <c r="B20" s="1"/>
      <c r="C20" s="1"/>
      <c r="D20" s="1"/>
      <c r="E20" s="1"/>
      <c r="F20" s="1"/>
      <c r="G20" s="1"/>
      <c r="H20" s="1"/>
    </row>
    <row r="21" spans="2:20" x14ac:dyDescent="0.25">
      <c r="B21" s="1"/>
      <c r="C21" s="1"/>
      <c r="D21" s="1"/>
      <c r="E21" s="1"/>
      <c r="F21" s="1"/>
      <c r="G21" s="1"/>
      <c r="H21" s="1"/>
    </row>
    <row r="22" spans="2:20" x14ac:dyDescent="0.25">
      <c r="B22" s="1"/>
      <c r="C22" s="1"/>
      <c r="D22" s="1"/>
      <c r="E22" s="1"/>
      <c r="F22" s="1"/>
      <c r="G22" s="1"/>
      <c r="H22" s="1"/>
    </row>
    <row r="23" spans="2:20" x14ac:dyDescent="0.25">
      <c r="B23" s="1"/>
      <c r="C23" s="1"/>
      <c r="D23" s="1"/>
      <c r="E23" s="1"/>
      <c r="F23" s="1"/>
      <c r="G23" s="1"/>
      <c r="H23" s="1"/>
    </row>
    <row r="24" spans="2:20" x14ac:dyDescent="0.25">
      <c r="B24" s="1"/>
      <c r="C24" s="1"/>
      <c r="D24" s="1"/>
      <c r="E24" s="1"/>
      <c r="F24" s="1"/>
      <c r="G24" s="1"/>
      <c r="H24" s="1"/>
    </row>
    <row r="25" spans="2:20" x14ac:dyDescent="0.25">
      <c r="B25" s="1"/>
      <c r="C25" s="1"/>
      <c r="D25" s="1"/>
      <c r="E25" s="1"/>
      <c r="F25" s="1"/>
      <c r="G25" s="1"/>
      <c r="H25" s="1"/>
    </row>
    <row r="26" spans="2:20" x14ac:dyDescent="0.25">
      <c r="B26" s="1"/>
      <c r="C26" s="1"/>
      <c r="D26" s="1"/>
      <c r="E26" s="1"/>
      <c r="F26" s="1"/>
      <c r="G26" s="1"/>
      <c r="H26" s="1"/>
    </row>
  </sheetData>
  <mergeCells count="3">
    <mergeCell ref="B2:H17"/>
    <mergeCell ref="J2:P17"/>
    <mergeCell ref="B19:H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</dc:creator>
  <cp:lastModifiedBy>Edison Muñante Mendoza</cp:lastModifiedBy>
  <dcterms:created xsi:type="dcterms:W3CDTF">2015-06-05T18:19:34Z</dcterms:created>
  <dcterms:modified xsi:type="dcterms:W3CDTF">2024-03-05T00:16:08Z</dcterms:modified>
</cp:coreProperties>
</file>