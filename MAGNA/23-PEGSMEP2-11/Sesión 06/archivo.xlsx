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Ingeniería\25. Certificación ICOGAM\LIBROS\1.PRESENTACIÓN\"/>
    </mc:Choice>
  </mc:AlternateContent>
  <xr:revisionPtr revIDLastSave="0" documentId="13_ncr:1_{6D89BC07-1CB4-4304-B263-794EE3B651E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EJEEMPLO SIST 1" sheetId="1" r:id="rId1"/>
    <sheet name="EJEEMPLO 3.1 - 3.2" sheetId="3" r:id="rId2"/>
    <sheet name="Caso 3.3" sheetId="2" r:id="rId3"/>
    <sheet name="Disponibilidad" sheetId="5" r:id="rId4"/>
    <sheet name="Disponibilidad (2)" sheetId="6" r:id="rId5"/>
    <sheet name="Hoja3" sheetId="4" r:id="rId6"/>
  </sheets>
  <definedNames>
    <definedName name="_xlnm._FilterDatabase" localSheetId="2" hidden="1">'Caso 3.3'!$B$2:$M$2</definedName>
    <definedName name="_xlnm._FilterDatabase" localSheetId="3" hidden="1">Disponibilidad!$B$4:$D$9</definedName>
    <definedName name="_xlnm._FilterDatabase" localSheetId="4" hidden="1">'Disponibilidad (2)'!$B$4:$D$7</definedName>
    <definedName name="_xlnm._FilterDatabase" localSheetId="1" hidden="1">'EJEEMPLO 3.1 - 3.2'!$B$4:$D$9</definedName>
    <definedName name="_xlnm._FilterDatabase" localSheetId="0" hidden="1">'EJEEMPLO SIST 1'!$B$4:$D$15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3" i="6"/>
  <c r="D9" i="6"/>
  <c r="C9" i="6"/>
  <c r="G4" i="6" a="1"/>
  <c r="G4" i="6" s="1"/>
  <c r="G3" i="6" a="1"/>
  <c r="G3" i="6" s="1"/>
  <c r="J3" i="5"/>
  <c r="J6" i="5" s="1"/>
  <c r="J4" i="5"/>
  <c r="C12" i="5"/>
  <c r="D12" i="5"/>
  <c r="G4" i="5" a="1"/>
  <c r="G4" i="5" s="1"/>
  <c r="G3" i="5" a="1"/>
  <c r="G3" i="5" s="1"/>
  <c r="L4" i="2"/>
  <c r="L8" i="2"/>
  <c r="L7" i="2"/>
  <c r="L5" i="2"/>
  <c r="M5" i="2" s="1"/>
  <c r="L6" i="2"/>
  <c r="L3" i="2"/>
  <c r="K4" i="2"/>
  <c r="M4" i="2" s="1"/>
  <c r="K8" i="2"/>
  <c r="M8" i="2" s="1"/>
  <c r="K7" i="2"/>
  <c r="M7" i="2" s="1"/>
  <c r="K5" i="2"/>
  <c r="K6" i="2"/>
  <c r="M6" i="2" s="1"/>
  <c r="K3" i="2"/>
  <c r="M3" i="2" s="1"/>
  <c r="J4" i="3"/>
  <c r="D11" i="3"/>
  <c r="J3" i="3"/>
  <c r="C11" i="3"/>
  <c r="C9" i="3"/>
  <c r="C8" i="3"/>
  <c r="C7" i="3"/>
  <c r="C6" i="3"/>
  <c r="C5" i="3"/>
  <c r="G4" i="3" a="1"/>
  <c r="G4" i="3" s="1"/>
  <c r="G3" i="3" a="1"/>
  <c r="G3" i="3" s="1"/>
  <c r="N4" i="1"/>
  <c r="N3" i="1"/>
  <c r="L4" i="1"/>
  <c r="L3" i="1"/>
  <c r="J4" i="1"/>
  <c r="J3" i="1" a="1"/>
  <c r="J3" i="1" s="1"/>
  <c r="G4" i="1" a="1"/>
  <c r="G4" i="1" s="1"/>
  <c r="G3" i="1" a="1"/>
  <c r="G3" i="1" s="1"/>
  <c r="J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</author>
  </authors>
  <commentList>
    <comment ref="F3" authorId="0" shapeId="0" xr:uid="{7EF52092-C99E-43AE-ADAC-FE0FDD35A3F9}">
      <text>
        <r>
          <rPr>
            <b/>
            <sz val="9"/>
            <color indexed="81"/>
            <rFont val="Tahoma"/>
            <charset val="1"/>
          </rPr>
          <t>MTTF = TPO (mean time to failure, tiempo
promedio operativo hasta la falla)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</author>
  </authors>
  <commentList>
    <comment ref="F3" authorId="0" shapeId="0" xr:uid="{B1A6FB40-D320-4BCA-8869-8693971F1BA0}">
      <text>
        <r>
          <rPr>
            <b/>
            <sz val="9"/>
            <color indexed="81"/>
            <rFont val="Tahoma"/>
            <charset val="1"/>
          </rPr>
          <t>MTTF = TPO (mean time to failure, tiempo
promedio operativo hasta la falla)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</author>
  </authors>
  <commentList>
    <comment ref="F3" authorId="0" shapeId="0" xr:uid="{6843B391-7D0A-469B-93AB-7E73754BE3BE}">
      <text>
        <r>
          <rPr>
            <b/>
            <sz val="9"/>
            <color indexed="81"/>
            <rFont val="Tahoma"/>
            <charset val="1"/>
          </rPr>
          <t>MTTF = TPO (mean time to failure, tiempo
promedio operativo hasta la falla)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</author>
  </authors>
  <commentList>
    <comment ref="F3" authorId="0" shapeId="0" xr:uid="{1577E162-0E4E-46EB-9C81-4ECB3EFFEF6A}">
      <text>
        <r>
          <rPr>
            <b/>
            <sz val="9"/>
            <color indexed="81"/>
            <rFont val="Tahoma"/>
            <charset val="1"/>
          </rPr>
          <t>MTTF = TPO (mean time to failure, tiempo
promedio operativo hasta la falla)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<sst xmlns="http://schemas.openxmlformats.org/spreadsheetml/2006/main" count="97" uniqueCount="37">
  <si>
    <t>X</t>
  </si>
  <si>
    <t>Y</t>
  </si>
  <si>
    <t>Z</t>
  </si>
  <si>
    <t>TPO</t>
  </si>
  <si>
    <t>TPFS = MTTR</t>
  </si>
  <si>
    <t>Falla</t>
  </si>
  <si>
    <t>TFS (días)</t>
  </si>
  <si>
    <t>TO (días)</t>
  </si>
  <si>
    <t>DÍAS</t>
  </si>
  <si>
    <t>FALLA X</t>
  </si>
  <si>
    <t>FALLA Y</t>
  </si>
  <si>
    <t>FALLA Z</t>
  </si>
  <si>
    <t>TPO = MTTF</t>
  </si>
  <si>
    <t>X Inyectores</t>
  </si>
  <si>
    <t>TFS (horas)</t>
  </si>
  <si>
    <t>TO (horas)</t>
  </si>
  <si>
    <t>horas</t>
  </si>
  <si>
    <t>VEHICULO</t>
  </si>
  <si>
    <t>KOMATSU 960E</t>
  </si>
  <si>
    <t>KOMATSU 930E</t>
  </si>
  <si>
    <t>CATERPILLAR 797F</t>
  </si>
  <si>
    <t>LIEBHERR T284</t>
  </si>
  <si>
    <t>CBUCYRUS MT6300AC</t>
  </si>
  <si>
    <t>BELAZ 75710</t>
  </si>
  <si>
    <t>TIEMPO HASTA EL 1° FALLO (HORAS)</t>
  </si>
  <si>
    <t>TIEMPO DE REPARACIÓN 1° FALLO (HORAS)</t>
  </si>
  <si>
    <t>TIEMPO HASTA EL 2° FALLO (HORAS)</t>
  </si>
  <si>
    <t>TIEMPO DE REPARACIÓN 2° FALLO (HORAS)</t>
  </si>
  <si>
    <t>TIEMPO HASTA EL 3° FALLO (HORAS)</t>
  </si>
  <si>
    <t>TIEMPO HASTA EL 4° FALLO (HORAS)</t>
  </si>
  <si>
    <t>TIEMPO DE REPARACIÓN 
3° FALLO (HORAS)</t>
  </si>
  <si>
    <t>TIEMPO DE REPARACIÓN 
4° FALLO (HORAS)</t>
  </si>
  <si>
    <t>CONFIABILIDAD
MTBF</t>
  </si>
  <si>
    <t>MANTENIBILIDAD
MTTR</t>
  </si>
  <si>
    <t>DISPONIBILIDAD</t>
  </si>
  <si>
    <t>y</t>
  </si>
  <si>
    <t>Disponibilidad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</si>
</sst>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0" borderId="0" xfId="0" applyFill="1"/>
    <xf numFmtId="1" fontId="0" fillId="0" borderId="0" xfId="0" applyNumberFormat="1" applyFill="1"/>
    <xf numFmtId="1" fontId="0" fillId="0" borderId="0" xfId="0" applyNumberFormat="1"/>
    <xf numFmtId="0" fontId="0" fillId="4" borderId="1" xfId="0" applyFill="1" applyBorder="1"/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7" borderId="1" xfId="0" applyFill="1" applyBorder="1"/>
    <xf numFmtId="0" fontId="0" fillId="2" borderId="1" xfId="0" applyFill="1" applyBorder="1" applyAlignment="1">
      <alignment vertical="center" wrapText="1"/>
    </xf>
    <xf numFmtId="10" fontId="0" fillId="0" borderId="1" xfId="1" applyNumberFormat="1" applyFont="1" applyBorder="1"/>
    <xf numFmtId="10" fontId="0" fillId="7" borderId="1" xfId="1" applyNumberFormat="1" applyFont="1" applyFill="1" applyBorder="1"/>
    <xf numFmtId="10" fontId="0" fillId="2" borderId="1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5</xdr:row>
      <xdr:rowOff>171450</xdr:rowOff>
    </xdr:from>
    <xdr:to>
      <xdr:col>16</xdr:col>
      <xdr:colOff>66675</xdr:colOff>
      <xdr:row>11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39BF36-33D8-2B2F-C44F-39AD999AE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6" t="40500" r="54753" b="44524"/>
        <a:stretch/>
      </xdr:blipFill>
      <xdr:spPr>
        <a:xfrm>
          <a:off x="2209800" y="1123950"/>
          <a:ext cx="5810250" cy="1095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5</xdr:row>
      <xdr:rowOff>171450</xdr:rowOff>
    </xdr:from>
    <xdr:to>
      <xdr:col>16</xdr:col>
      <xdr:colOff>66675</xdr:colOff>
      <xdr:row>11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8DA85-DD25-43FB-8EEF-F1642530A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6" t="40500" r="54753" b="44524"/>
        <a:stretch/>
      </xdr:blipFill>
      <xdr:spPr>
        <a:xfrm>
          <a:off x="2209800" y="1123950"/>
          <a:ext cx="5810250" cy="1095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10</xdr:row>
      <xdr:rowOff>20113</xdr:rowOff>
    </xdr:from>
    <xdr:to>
      <xdr:col>12</xdr:col>
      <xdr:colOff>857249</xdr:colOff>
      <xdr:row>13</xdr:row>
      <xdr:rowOff>66846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E5CE2-7A04-D8D5-2106-CA89B2FA4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4050" y="2277538"/>
          <a:ext cx="2495549" cy="618233"/>
        </a:xfrm>
        <a:prstGeom prst="rect">
          <a:avLst/>
        </a:prstGeom>
      </xdr:spPr>
    </xdr:pic>
    <xdr:clientData/>
  </xdr:twoCellAnchor>
  <xdr:twoCellAnchor>
    <xdr:from>
      <xdr:col>1</xdr:col>
      <xdr:colOff>333374</xdr:colOff>
      <xdr:row>9</xdr:row>
      <xdr:rowOff>9525</xdr:rowOff>
    </xdr:from>
    <xdr:to>
      <xdr:col>7</xdr:col>
      <xdr:colOff>95249</xdr:colOff>
      <xdr:row>16</xdr:row>
      <xdr:rowOff>7608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85DFD2E-9182-23DF-255D-A1FBD08E6968}"/>
            </a:ext>
          </a:extLst>
        </xdr:cNvPr>
        <xdr:cNvSpPr/>
      </xdr:nvSpPr>
      <xdr:spPr>
        <a:xfrm>
          <a:off x="542924" y="2076450"/>
          <a:ext cx="5495925" cy="133158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base">
            <a:spcBef>
              <a:spcPct val="0"/>
            </a:spcBef>
            <a:spcAft>
              <a:spcPct val="0"/>
            </a:spcAft>
          </a:pPr>
          <a:r>
            <a:rPr lang="es-ES" sz="1200" b="1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Caso práctico (Resolver) :</a:t>
          </a:r>
        </a:p>
        <a:p>
          <a:pPr fontAlgn="base">
            <a:spcBef>
              <a:spcPct val="0"/>
            </a:spcBef>
            <a:spcAft>
              <a:spcPct val="0"/>
            </a:spcAft>
          </a:pPr>
          <a:endParaRPr lang="es-ES" sz="1200" b="1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just" defTabSz="1219170" fontAlgn="base">
            <a:spcBef>
              <a:spcPct val="0"/>
            </a:spcBef>
            <a:spcAft>
              <a:spcPct val="0"/>
            </a:spcAft>
            <a:buClr>
              <a:srgbClr val="000000"/>
            </a:buClr>
          </a:pPr>
          <a:r>
            <a:rPr lang="es-ES" sz="1200" kern="0">
              <a:solidFill>
                <a:srgbClr val="000000"/>
              </a:solidFill>
              <a:latin typeface="Arial"/>
              <a:cs typeface="Arial"/>
              <a:sym typeface="Arial"/>
            </a:rPr>
            <a:t>La</a:t>
          </a:r>
          <a:r>
            <a:rPr lang="es-MX" sz="1200" kern="0">
              <a:solidFill>
                <a:srgbClr val="000000"/>
              </a:solidFill>
              <a:latin typeface="Arial"/>
              <a:cs typeface="Arial"/>
              <a:sym typeface="Arial"/>
            </a:rPr>
            <a:t> </a:t>
          </a:r>
          <a:r>
            <a:rPr lang="es-MX" sz="1200">
              <a:solidFill>
                <a:srgbClr val="000000"/>
              </a:solidFill>
              <a:latin typeface="Arial"/>
            </a:rPr>
            <a:t>Compañía Minera Antamina S.A.</a:t>
          </a:r>
          <a:r>
            <a:rPr lang="es-ES" sz="1200" kern="0">
              <a:solidFill>
                <a:srgbClr val="000000"/>
              </a:solidFill>
              <a:latin typeface="Arial"/>
              <a:cs typeface="Arial"/>
              <a:sym typeface="Arial"/>
            </a:rPr>
            <a:t>, solicita al área de Flota y Mantenimiento, determinar que camión es el más confiable para sus operaciones y más práctico para realizar reparaciones. Durante estos ensayos ocurren fallos en las unidades como puede verse en la tabla siguiente. Se requiere calcular el MTBF y MTTR y dar recomendaciones para la compra de los activos:</a:t>
          </a:r>
          <a:endParaRPr lang="es-ES" sz="1200" kern="0">
            <a:solidFill>
              <a:srgbClr val="000000"/>
            </a:solidFill>
            <a:latin typeface="Arial"/>
            <a:cs typeface="Arial" panose="020B0604020202020204" pitchFamily="34" charset="0"/>
            <a:sym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781050</xdr:colOff>
      <xdr:row>0</xdr:row>
      <xdr:rowOff>123825</xdr:rowOff>
    </xdr:from>
    <xdr:to>
      <xdr:col>15</xdr:col>
      <xdr:colOff>392061</xdr:colOff>
      <xdr:row>9</xdr:row>
      <xdr:rowOff>66675</xdr:rowOff>
    </xdr:to>
    <xdr:pic>
      <xdr:nvPicPr>
        <xdr:cNvPr id="3" name="Picture 2" descr="Monografias.com">
          <a:extLst>
            <a:ext uri="{FF2B5EF4-FFF2-40B4-BE49-F238E27FC236}">
              <a16:creationId xmlns:a16="http://schemas.microsoft.com/office/drawing/2014/main" id="{F503774B-4C04-4B41-8C5A-4ECA8FC033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1" t="28572" r="44132" b="42062"/>
        <a:stretch/>
      </xdr:blipFill>
      <xdr:spPr bwMode="auto">
        <a:xfrm>
          <a:off x="4410075" y="123825"/>
          <a:ext cx="3306711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266700</xdr:colOff>
      <xdr:row>10</xdr:row>
      <xdr:rowOff>47625</xdr:rowOff>
    </xdr:from>
    <xdr:to>
      <xdr:col>14</xdr:col>
      <xdr:colOff>581024</xdr:colOff>
      <xdr:row>13</xdr:row>
      <xdr:rowOff>94358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1FCCBF-F682-49E0-BBED-DEFCDF40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952625"/>
          <a:ext cx="2495549" cy="6182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266700</xdr:colOff>
      <xdr:row>7</xdr:row>
      <xdr:rowOff>47625</xdr:rowOff>
    </xdr:from>
    <xdr:to>
      <xdr:col>14</xdr:col>
      <xdr:colOff>581024</xdr:colOff>
      <xdr:row>10</xdr:row>
      <xdr:rowOff>94358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7805A-9A02-4B42-B4FA-B8C97A2AE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1952625"/>
          <a:ext cx="2495549" cy="618233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2</xdr:row>
      <xdr:rowOff>107577</xdr:rowOff>
    </xdr:from>
    <xdr:to>
      <xdr:col>15</xdr:col>
      <xdr:colOff>357628</xdr:colOff>
      <xdr:row>9</xdr:row>
      <xdr:rowOff>92263</xdr:rowOff>
    </xdr:to>
    <xdr:pic>
      <xdr:nvPicPr>
        <xdr:cNvPr id="4" name="Picture 2" descr="Monografias.com">
          <a:extLst>
            <a:ext uri="{FF2B5EF4-FFF2-40B4-BE49-F238E27FC236}">
              <a16:creationId xmlns:a16="http://schemas.microsoft.com/office/drawing/2014/main" id="{911ABCA4-4056-C28B-84EF-724338937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1" t="57759" r="44132" b="15961"/>
        <a:stretch/>
      </xdr:blipFill>
      <xdr:spPr bwMode="auto">
        <a:xfrm>
          <a:off x="4743450" y="488577"/>
          <a:ext cx="2938903" cy="131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4.28515625" customWidth="1"/>
    <col min="2" max="2" width="6" customWidth="1"/>
    <col min="3" max="3" width="7.5703125" customWidth="1"/>
    <col min="5" max="5" width="4.7109375" customWidth="1"/>
    <col min="6" max="6" width="14.28515625" hidden="1" customWidth="1"/>
    <col min="7" max="8" width="0" hidden="1" customWidth="1"/>
    <col min="9" max="9" width="13.85546875" customWidth="1"/>
    <col min="11" max="11" width="13.5703125" customWidth="1"/>
    <col min="12" max="12" width="10.5703125" bestFit="1" customWidth="1"/>
    <col min="13" max="13" width="13" customWidth="1"/>
  </cols>
  <sheetData>
    <row r="2" spans="1:14" x14ac:dyDescent="0.25">
      <c r="I2" t="s">
        <v>9</v>
      </c>
      <c r="K2" t="s">
        <v>10</v>
      </c>
      <c r="M2" t="s">
        <v>11</v>
      </c>
    </row>
    <row r="3" spans="1:14" x14ac:dyDescent="0.25">
      <c r="F3" t="s">
        <v>3</v>
      </c>
      <c r="G3" cm="1">
        <f t="array" ref="G3">+SUM(C5:C15/A15)</f>
        <v>8.2818181818181813</v>
      </c>
      <c r="H3" t="s">
        <v>8</v>
      </c>
      <c r="I3" t="s">
        <v>12</v>
      </c>
      <c r="J3" cm="1">
        <f t="array" ref="J3">+SUM(C5:C14/6)</f>
        <v>13.1</v>
      </c>
      <c r="K3" t="s">
        <v>12</v>
      </c>
      <c r="L3">
        <f>+SUM(C5:C13)/3</f>
        <v>22.2</v>
      </c>
      <c r="M3" t="s">
        <v>12</v>
      </c>
      <c r="N3" s="1">
        <f>+SUM(C5:C15)/2</f>
        <v>45.55</v>
      </c>
    </row>
    <row r="4" spans="1:14" x14ac:dyDescent="0.25">
      <c r="B4" t="s">
        <v>5</v>
      </c>
      <c r="C4" t="s">
        <v>7</v>
      </c>
      <c r="D4" t="s">
        <v>6</v>
      </c>
      <c r="F4" t="s">
        <v>4</v>
      </c>
      <c r="G4" cm="1">
        <f t="array" ref="G4">+SUM(D5:D15/A15)</f>
        <v>0.7</v>
      </c>
      <c r="H4" t="s">
        <v>8</v>
      </c>
      <c r="I4" t="s">
        <v>4</v>
      </c>
      <c r="J4" s="2">
        <f>+SUM(D5,D6,D8,D10,D11,D14)/6</f>
        <v>0.68333333333333324</v>
      </c>
      <c r="K4" t="s">
        <v>4</v>
      </c>
      <c r="L4" s="2">
        <f>+SUM(D7,D12,D13)/3</f>
        <v>0.73333333333333339</v>
      </c>
      <c r="M4" t="s">
        <v>4</v>
      </c>
      <c r="N4">
        <f>+SUM(D9,D15)/2</f>
        <v>0.7</v>
      </c>
    </row>
    <row r="5" spans="1:14" x14ac:dyDescent="0.25">
      <c r="A5">
        <v>1</v>
      </c>
      <c r="B5" s="4" t="s">
        <v>0</v>
      </c>
      <c r="C5" s="1">
        <v>5</v>
      </c>
      <c r="D5" s="1">
        <v>0.5</v>
      </c>
    </row>
    <row r="6" spans="1:14" x14ac:dyDescent="0.25">
      <c r="A6">
        <v>2</v>
      </c>
      <c r="B6" s="4" t="s">
        <v>0</v>
      </c>
      <c r="C6">
        <v>5.5</v>
      </c>
      <c r="D6" s="1">
        <v>0.6</v>
      </c>
    </row>
    <row r="7" spans="1:14" x14ac:dyDescent="0.25">
      <c r="A7" s="3">
        <v>3</v>
      </c>
      <c r="B7" s="4" t="s">
        <v>1</v>
      </c>
      <c r="C7">
        <v>6</v>
      </c>
      <c r="D7" s="1">
        <v>0.7</v>
      </c>
    </row>
    <row r="8" spans="1:14" x14ac:dyDescent="0.25">
      <c r="A8" s="3">
        <v>4</v>
      </c>
      <c r="B8" t="s">
        <v>0</v>
      </c>
      <c r="C8" s="4">
        <v>6.7</v>
      </c>
      <c r="D8" s="1">
        <v>0.8</v>
      </c>
    </row>
    <row r="9" spans="1:14" x14ac:dyDescent="0.25">
      <c r="A9">
        <v>5</v>
      </c>
      <c r="B9" s="3" t="s">
        <v>2</v>
      </c>
      <c r="C9" s="4">
        <v>10.7</v>
      </c>
      <c r="D9" s="1">
        <v>0.7</v>
      </c>
    </row>
    <row r="10" spans="1:14" x14ac:dyDescent="0.25">
      <c r="A10">
        <v>6</v>
      </c>
      <c r="B10" s="3" t="s">
        <v>0</v>
      </c>
      <c r="C10" s="4">
        <v>6.8</v>
      </c>
      <c r="D10" s="1">
        <v>0.7</v>
      </c>
    </row>
    <row r="11" spans="1:14" x14ac:dyDescent="0.25">
      <c r="A11">
        <v>7</v>
      </c>
      <c r="B11" t="s">
        <v>0</v>
      </c>
      <c r="C11" s="4">
        <v>7.9</v>
      </c>
      <c r="D11" s="1">
        <v>0.7</v>
      </c>
    </row>
    <row r="12" spans="1:14" x14ac:dyDescent="0.25">
      <c r="A12" s="3">
        <v>8</v>
      </c>
      <c r="B12" t="s">
        <v>1</v>
      </c>
      <c r="C12" s="4">
        <v>9</v>
      </c>
      <c r="D12" s="1">
        <v>0.8</v>
      </c>
    </row>
    <row r="13" spans="1:14" x14ac:dyDescent="0.25">
      <c r="A13" s="3">
        <v>9</v>
      </c>
      <c r="B13" t="s">
        <v>1</v>
      </c>
      <c r="C13">
        <v>9</v>
      </c>
      <c r="D13" s="5">
        <v>0.7</v>
      </c>
    </row>
    <row r="14" spans="1:14" x14ac:dyDescent="0.25">
      <c r="A14" s="3">
        <v>10</v>
      </c>
      <c r="B14" t="s">
        <v>0</v>
      </c>
      <c r="C14">
        <v>12</v>
      </c>
      <c r="D14" s="1">
        <v>0.8</v>
      </c>
    </row>
    <row r="15" spans="1:14" x14ac:dyDescent="0.25">
      <c r="A15">
        <v>11</v>
      </c>
      <c r="B15" t="s">
        <v>2</v>
      </c>
      <c r="C15">
        <v>12.5</v>
      </c>
      <c r="D15" s="1">
        <v>0.7</v>
      </c>
    </row>
  </sheetData>
  <autoFilter ref="B4:D15" xr:uid="{00000000-0001-0000-0000-000000000000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7CB0-13E5-4C18-B751-CAF058556914}">
  <dimension ref="A2:N11"/>
  <sheetViews>
    <sheetView workbookViewId="0">
      <selection activeCell="I18" sqref="I18"/>
    </sheetView>
  </sheetViews>
  <sheetFormatPr baseColWidth="10" defaultColWidth="9.140625" defaultRowHeight="15" x14ac:dyDescent="0.25"/>
  <cols>
    <col min="1" max="1" width="4.28515625" customWidth="1"/>
    <col min="2" max="2" width="12.5703125" customWidth="1"/>
    <col min="3" max="3" width="7.5703125" customWidth="1"/>
    <col min="5" max="5" width="4.7109375" customWidth="1"/>
    <col min="6" max="6" width="14.28515625" hidden="1" customWidth="1"/>
    <col min="7" max="8" width="0" hidden="1" customWidth="1"/>
    <col min="9" max="9" width="13.85546875" customWidth="1"/>
    <col min="11" max="11" width="13.5703125" customWidth="1"/>
    <col min="12" max="12" width="10.5703125" bestFit="1" customWidth="1"/>
    <col min="13" max="13" width="13" customWidth="1"/>
  </cols>
  <sheetData>
    <row r="2" spans="1:14" x14ac:dyDescent="0.25">
      <c r="I2" t="s">
        <v>9</v>
      </c>
    </row>
    <row r="3" spans="1:14" x14ac:dyDescent="0.25">
      <c r="F3" t="s">
        <v>3</v>
      </c>
      <c r="G3" t="e" cm="1">
        <f t="array" ref="G3">+SUM(C5:C9/#REF!)</f>
        <v>#REF!</v>
      </c>
      <c r="H3" t="s">
        <v>8</v>
      </c>
      <c r="I3" t="s">
        <v>12</v>
      </c>
      <c r="J3">
        <f>+C11/A9</f>
        <v>720</v>
      </c>
      <c r="K3" t="s">
        <v>16</v>
      </c>
      <c r="N3" s="1"/>
    </row>
    <row r="4" spans="1:14" x14ac:dyDescent="0.25">
      <c r="B4" t="s">
        <v>5</v>
      </c>
      <c r="C4" t="s">
        <v>15</v>
      </c>
      <c r="D4" t="s">
        <v>14</v>
      </c>
      <c r="F4" t="s">
        <v>4</v>
      </c>
      <c r="G4" t="e" cm="1">
        <f t="array" ref="G4">+SUM(D5:D9/#REF!)</f>
        <v>#REF!</v>
      </c>
      <c r="H4" t="s">
        <v>8</v>
      </c>
      <c r="I4" t="s">
        <v>4</v>
      </c>
      <c r="J4" s="2">
        <f>+D11/A9</f>
        <v>3.8</v>
      </c>
      <c r="K4" t="s">
        <v>16</v>
      </c>
      <c r="L4" s="2"/>
    </row>
    <row r="5" spans="1:14" x14ac:dyDescent="0.25">
      <c r="A5" s="6">
        <v>1</v>
      </c>
      <c r="B5" s="6" t="s">
        <v>13</v>
      </c>
      <c r="C5" s="7">
        <f>30*24</f>
        <v>720</v>
      </c>
      <c r="D5" s="1">
        <v>5</v>
      </c>
    </row>
    <row r="6" spans="1:14" x14ac:dyDescent="0.25">
      <c r="A6" s="6">
        <v>2</v>
      </c>
      <c r="B6" s="6" t="s">
        <v>13</v>
      </c>
      <c r="C6" s="7">
        <f>30*24</f>
        <v>720</v>
      </c>
      <c r="D6" s="1">
        <v>3</v>
      </c>
    </row>
    <row r="7" spans="1:14" x14ac:dyDescent="0.25">
      <c r="A7" s="6">
        <v>3</v>
      </c>
      <c r="B7" s="6" t="s">
        <v>13</v>
      </c>
      <c r="C7" s="7">
        <f>30*24</f>
        <v>720</v>
      </c>
      <c r="D7" s="1">
        <v>4</v>
      </c>
    </row>
    <row r="8" spans="1:14" x14ac:dyDescent="0.25">
      <c r="A8" s="6">
        <v>4</v>
      </c>
      <c r="B8" s="6" t="s">
        <v>13</v>
      </c>
      <c r="C8" s="7">
        <f>30*24</f>
        <v>720</v>
      </c>
      <c r="D8" s="1">
        <v>3</v>
      </c>
    </row>
    <row r="9" spans="1:14" x14ac:dyDescent="0.25">
      <c r="A9" s="6">
        <v>5</v>
      </c>
      <c r="B9" s="6" t="s">
        <v>13</v>
      </c>
      <c r="C9" s="7">
        <f>30*24</f>
        <v>720</v>
      </c>
      <c r="D9" s="1">
        <v>4</v>
      </c>
    </row>
    <row r="11" spans="1:14" x14ac:dyDescent="0.25">
      <c r="C11" s="8">
        <f>SUM(C5:C10)</f>
        <v>3600</v>
      </c>
      <c r="D11" s="8">
        <f>SUM(D5:D10)</f>
        <v>19</v>
      </c>
    </row>
  </sheetData>
  <autoFilter ref="B4:D9" xr:uid="{00000000-0001-0000-0000-000000000000}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D51B-A73A-4E68-BA29-871C5752B313}">
  <dimension ref="B2:M8"/>
  <sheetViews>
    <sheetView showGridLines="0" workbookViewId="0">
      <selection activeCell="I13" sqref="I13"/>
    </sheetView>
  </sheetViews>
  <sheetFormatPr baseColWidth="10" defaultRowHeight="15" x14ac:dyDescent="0.25"/>
  <cols>
    <col min="1" max="1" width="3.140625" customWidth="1"/>
    <col min="2" max="2" width="20.5703125" customWidth="1"/>
    <col min="3" max="3" width="14.5703125" customWidth="1"/>
    <col min="4" max="4" width="14" customWidth="1"/>
    <col min="6" max="6" width="14" customWidth="1"/>
    <col min="8" max="8" width="16" customWidth="1"/>
    <col min="10" max="10" width="16.5703125" customWidth="1"/>
    <col min="11" max="11" width="15.85546875" customWidth="1"/>
    <col min="12" max="12" width="17.5703125" customWidth="1"/>
    <col min="13" max="13" width="16.140625" customWidth="1"/>
  </cols>
  <sheetData>
    <row r="2" spans="2:13" ht="42.75" customHeight="1" x14ac:dyDescent="0.25">
      <c r="B2" s="9" t="s">
        <v>17</v>
      </c>
      <c r="C2" s="10" t="s">
        <v>24</v>
      </c>
      <c r="D2" s="11" t="s">
        <v>25</v>
      </c>
      <c r="E2" s="10" t="s">
        <v>26</v>
      </c>
      <c r="F2" s="11" t="s">
        <v>27</v>
      </c>
      <c r="G2" s="10" t="s">
        <v>28</v>
      </c>
      <c r="H2" s="11" t="s">
        <v>30</v>
      </c>
      <c r="I2" s="10" t="s">
        <v>29</v>
      </c>
      <c r="J2" s="11" t="s">
        <v>31</v>
      </c>
      <c r="K2" s="12" t="s">
        <v>32</v>
      </c>
      <c r="L2" s="12" t="s">
        <v>33</v>
      </c>
      <c r="M2" s="17" t="s">
        <v>34</v>
      </c>
    </row>
    <row r="3" spans="2:13" x14ac:dyDescent="0.25">
      <c r="B3" s="13" t="s">
        <v>18</v>
      </c>
      <c r="C3" s="13">
        <v>1700</v>
      </c>
      <c r="D3" s="13">
        <v>5</v>
      </c>
      <c r="E3" s="13">
        <v>3600</v>
      </c>
      <c r="F3" s="13">
        <v>4</v>
      </c>
      <c r="G3" s="13">
        <v>4200</v>
      </c>
      <c r="H3" s="13">
        <v>3</v>
      </c>
      <c r="I3" s="13">
        <v>4800</v>
      </c>
      <c r="J3" s="13">
        <v>4</v>
      </c>
      <c r="K3" s="13">
        <f>+SUM(C3,E3,G3,I3)/4</f>
        <v>3575</v>
      </c>
      <c r="L3" s="16">
        <f>+SUM(D3,F3,H3,J3)/4</f>
        <v>4</v>
      </c>
      <c r="M3" s="19">
        <f>+K3/(K3+L3)</f>
        <v>0.99888236937692088</v>
      </c>
    </row>
    <row r="4" spans="2:13" x14ac:dyDescent="0.25">
      <c r="B4" s="13" t="s">
        <v>19</v>
      </c>
      <c r="C4" s="13">
        <v>2000</v>
      </c>
      <c r="D4" s="13">
        <v>3</v>
      </c>
      <c r="E4" s="13">
        <v>4000</v>
      </c>
      <c r="F4" s="13">
        <v>4</v>
      </c>
      <c r="G4" s="13">
        <v>4300</v>
      </c>
      <c r="H4" s="13">
        <v>5</v>
      </c>
      <c r="I4" s="13">
        <v>4700</v>
      </c>
      <c r="J4" s="13">
        <v>6</v>
      </c>
      <c r="K4" s="13">
        <f>+SUM(C4,E4,G4,I4)/4</f>
        <v>3750</v>
      </c>
      <c r="L4" s="15">
        <f>+SUM(D4,F4,H4,J4)/4</f>
        <v>4.5</v>
      </c>
      <c r="M4" s="18">
        <f>+K4/(K4+L4)</f>
        <v>0.99880143827407109</v>
      </c>
    </row>
    <row r="5" spans="2:13" x14ac:dyDescent="0.25">
      <c r="B5" s="13" t="s">
        <v>22</v>
      </c>
      <c r="C5" s="13">
        <v>2200</v>
      </c>
      <c r="D5" s="13">
        <v>3</v>
      </c>
      <c r="E5" s="13">
        <v>3900</v>
      </c>
      <c r="F5" s="13">
        <v>4</v>
      </c>
      <c r="G5" s="13">
        <v>4100</v>
      </c>
      <c r="H5" s="13">
        <v>5.5</v>
      </c>
      <c r="I5" s="13">
        <v>5000</v>
      </c>
      <c r="J5" s="13">
        <v>7</v>
      </c>
      <c r="K5" s="16">
        <f>+SUM(C5,E5,G5,I5)/4</f>
        <v>3800</v>
      </c>
      <c r="L5" s="15">
        <f>+SUM(D5,F5,H5,J5)/4</f>
        <v>4.875</v>
      </c>
      <c r="M5" s="18">
        <f>+K5/(K5+L5)</f>
        <v>0.99871874897335655</v>
      </c>
    </row>
    <row r="6" spans="2:13" x14ac:dyDescent="0.25">
      <c r="B6" s="13" t="s">
        <v>23</v>
      </c>
      <c r="C6" s="13">
        <v>2400</v>
      </c>
      <c r="D6" s="13">
        <v>6</v>
      </c>
      <c r="E6" s="13">
        <v>3700</v>
      </c>
      <c r="F6" s="13">
        <v>6</v>
      </c>
      <c r="G6" s="13">
        <v>4050</v>
      </c>
      <c r="H6" s="13">
        <v>4.5</v>
      </c>
      <c r="I6" s="13">
        <v>4600</v>
      </c>
      <c r="J6" s="13">
        <v>2.5</v>
      </c>
      <c r="K6" s="13">
        <f>+SUM(C6,E6,G6,I6)/4</f>
        <v>3687.5</v>
      </c>
      <c r="L6" s="15">
        <f>+SUM(D6,F6,H6,J6)/4</f>
        <v>4.75</v>
      </c>
      <c r="M6" s="18">
        <f>+K6/(K6+L6)</f>
        <v>0.99871352156544113</v>
      </c>
    </row>
    <row r="7" spans="2:13" x14ac:dyDescent="0.25">
      <c r="B7" s="13" t="s">
        <v>21</v>
      </c>
      <c r="C7" s="13">
        <v>1600</v>
      </c>
      <c r="D7" s="13">
        <v>5</v>
      </c>
      <c r="E7" s="13">
        <v>2400</v>
      </c>
      <c r="F7" s="13">
        <v>4</v>
      </c>
      <c r="G7" s="13">
        <v>3200</v>
      </c>
      <c r="H7" s="13">
        <v>3.5</v>
      </c>
      <c r="I7" s="13">
        <v>4100</v>
      </c>
      <c r="J7" s="13">
        <v>4</v>
      </c>
      <c r="K7" s="14">
        <f>+SUM(C7,E7,G7,I7)/4</f>
        <v>2825</v>
      </c>
      <c r="L7" s="15">
        <f>+SUM(D7,F7,H7,J7)/4</f>
        <v>4.125</v>
      </c>
      <c r="M7" s="18">
        <f>+K7/(K7+L7)</f>
        <v>0.99854195201696638</v>
      </c>
    </row>
    <row r="8" spans="2:13" x14ac:dyDescent="0.25">
      <c r="B8" s="13" t="s">
        <v>20</v>
      </c>
      <c r="C8" s="13">
        <v>1500</v>
      </c>
      <c r="D8" s="13">
        <v>6</v>
      </c>
      <c r="E8" s="13">
        <v>3700</v>
      </c>
      <c r="F8" s="13">
        <v>6</v>
      </c>
      <c r="G8" s="13">
        <v>4200</v>
      </c>
      <c r="H8" s="13">
        <v>7</v>
      </c>
      <c r="I8" s="13">
        <v>4900</v>
      </c>
      <c r="J8" s="13">
        <v>5</v>
      </c>
      <c r="K8" s="13">
        <f>+SUM(C8,E8,G8,I8)/4</f>
        <v>3575</v>
      </c>
      <c r="L8" s="14">
        <f>+SUM(D8,F8,H8,J8)/4</f>
        <v>6</v>
      </c>
      <c r="M8" s="20">
        <f>+K8/(K8+L8)</f>
        <v>0.99832449036581961</v>
      </c>
    </row>
  </sheetData>
  <autoFilter ref="B2:M2" xr:uid="{E14BD51B-A73A-4E68-BA29-871C5752B313}">
    <sortState xmlns:xlrd2="http://schemas.microsoft.com/office/spreadsheetml/2017/richdata2" ref="B3:M8">
      <sortCondition descending="1" ref="M2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CCC3-F0F6-4D1C-911E-2C3F2C2DAA27}">
  <dimension ref="A2:N12"/>
  <sheetViews>
    <sheetView workbookViewId="0">
      <selection activeCell="J10" sqref="J10"/>
    </sheetView>
  </sheetViews>
  <sheetFormatPr baseColWidth="10" defaultColWidth="9.140625" defaultRowHeight="15" x14ac:dyDescent="0.25"/>
  <cols>
    <col min="1" max="1" width="4.28515625" customWidth="1"/>
    <col min="2" max="2" width="5.7109375" customWidth="1"/>
    <col min="3" max="3" width="7.5703125" customWidth="1"/>
    <col min="5" max="5" width="4.7109375" customWidth="1"/>
    <col min="6" max="6" width="14.28515625" hidden="1" customWidth="1"/>
    <col min="7" max="8" width="0" hidden="1" customWidth="1"/>
    <col min="9" max="9" width="13.85546875" customWidth="1"/>
    <col min="11" max="11" width="13.5703125" customWidth="1"/>
    <col min="12" max="12" width="10.5703125" bestFit="1" customWidth="1"/>
    <col min="13" max="13" width="13" customWidth="1"/>
  </cols>
  <sheetData>
    <row r="2" spans="1:14" x14ac:dyDescent="0.25">
      <c r="I2" t="s">
        <v>10</v>
      </c>
    </row>
    <row r="3" spans="1:14" x14ac:dyDescent="0.25">
      <c r="F3" t="s">
        <v>3</v>
      </c>
      <c r="G3" t="e" cm="1">
        <f t="array" ref="G3">+SUM(C5:C9/#REF!)</f>
        <v>#REF!</v>
      </c>
      <c r="H3" t="s">
        <v>8</v>
      </c>
      <c r="I3" t="s">
        <v>12</v>
      </c>
      <c r="J3">
        <f>C12/A10</f>
        <v>115</v>
      </c>
      <c r="K3" t="s">
        <v>16</v>
      </c>
      <c r="N3" s="1"/>
    </row>
    <row r="4" spans="1:14" x14ac:dyDescent="0.25">
      <c r="B4" t="s">
        <v>5</v>
      </c>
      <c r="C4" t="s">
        <v>15</v>
      </c>
      <c r="D4" t="s">
        <v>14</v>
      </c>
      <c r="F4" t="s">
        <v>4</v>
      </c>
      <c r="G4" t="e" cm="1">
        <f t="array" ref="G4">+SUM(D5:D9/#REF!)</f>
        <v>#REF!</v>
      </c>
      <c r="H4" t="s">
        <v>8</v>
      </c>
      <c r="I4" t="s">
        <v>4</v>
      </c>
      <c r="J4" s="2">
        <f>+D12/A10</f>
        <v>6</v>
      </c>
      <c r="K4" t="s">
        <v>16</v>
      </c>
      <c r="L4" s="2"/>
    </row>
    <row r="5" spans="1:14" x14ac:dyDescent="0.25">
      <c r="A5" s="6">
        <v>1</v>
      </c>
      <c r="B5" s="6" t="s">
        <v>35</v>
      </c>
      <c r="C5" s="7">
        <v>115</v>
      </c>
      <c r="D5" s="1">
        <v>6</v>
      </c>
    </row>
    <row r="6" spans="1:14" x14ac:dyDescent="0.25">
      <c r="A6" s="6">
        <v>2</v>
      </c>
      <c r="B6" s="6" t="s">
        <v>35</v>
      </c>
      <c r="C6" s="7">
        <v>115</v>
      </c>
      <c r="D6" s="1">
        <v>6</v>
      </c>
      <c r="I6" t="s">
        <v>36</v>
      </c>
      <c r="J6" s="22">
        <f>+J3/(J3+J4)</f>
        <v>0.95041322314049592</v>
      </c>
    </row>
    <row r="7" spans="1:14" x14ac:dyDescent="0.25">
      <c r="A7" s="6">
        <v>3</v>
      </c>
      <c r="B7" s="6" t="s">
        <v>35</v>
      </c>
      <c r="C7" s="7">
        <v>115</v>
      </c>
      <c r="D7" s="1">
        <v>6</v>
      </c>
    </row>
    <row r="8" spans="1:14" x14ac:dyDescent="0.25">
      <c r="A8" s="6">
        <v>4</v>
      </c>
      <c r="B8" s="6" t="s">
        <v>35</v>
      </c>
      <c r="C8" s="7">
        <v>115</v>
      </c>
      <c r="D8" s="1">
        <v>6</v>
      </c>
    </row>
    <row r="9" spans="1:14" x14ac:dyDescent="0.25">
      <c r="A9" s="6">
        <v>5</v>
      </c>
      <c r="B9" s="6" t="s">
        <v>35</v>
      </c>
      <c r="C9" s="7">
        <v>115</v>
      </c>
      <c r="D9" s="1">
        <v>6</v>
      </c>
    </row>
    <row r="10" spans="1:14" x14ac:dyDescent="0.25">
      <c r="A10" s="6">
        <v>6</v>
      </c>
      <c r="B10" s="6" t="s">
        <v>35</v>
      </c>
      <c r="C10" s="7">
        <v>115</v>
      </c>
      <c r="D10" s="1">
        <v>6</v>
      </c>
    </row>
    <row r="12" spans="1:14" x14ac:dyDescent="0.25">
      <c r="C12" s="8">
        <f>SUM(C5:C10)</f>
        <v>690</v>
      </c>
      <c r="D12" s="8">
        <f>SUM(D5:D10)</f>
        <v>36</v>
      </c>
    </row>
  </sheetData>
  <autoFilter ref="B4:D9" xr:uid="{00000000-0001-0000-0000-000000000000}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961A-C4E9-4EF3-A2E9-BD5D6AD31876}">
  <dimension ref="A2:N9"/>
  <sheetViews>
    <sheetView tabSelected="1" workbookViewId="0">
      <selection activeCell="N15" sqref="N15"/>
    </sheetView>
  </sheetViews>
  <sheetFormatPr baseColWidth="10" defaultColWidth="9.140625" defaultRowHeight="15" x14ac:dyDescent="0.25"/>
  <cols>
    <col min="1" max="1" width="4.28515625" customWidth="1"/>
    <col min="2" max="2" width="5.7109375" customWidth="1"/>
    <col min="3" max="3" width="7.5703125" customWidth="1"/>
    <col min="5" max="5" width="4.7109375" customWidth="1"/>
    <col min="6" max="6" width="14.28515625" hidden="1" customWidth="1"/>
    <col min="7" max="8" width="0" hidden="1" customWidth="1"/>
    <col min="9" max="9" width="13.85546875" customWidth="1"/>
    <col min="11" max="11" width="13.5703125" customWidth="1"/>
    <col min="12" max="12" width="10.5703125" bestFit="1" customWidth="1"/>
    <col min="13" max="13" width="13" customWidth="1"/>
  </cols>
  <sheetData>
    <row r="2" spans="1:14" x14ac:dyDescent="0.25">
      <c r="I2" t="s">
        <v>10</v>
      </c>
    </row>
    <row r="3" spans="1:14" x14ac:dyDescent="0.25">
      <c r="F3" t="s">
        <v>3</v>
      </c>
      <c r="G3" t="e" cm="1">
        <f t="array" ref="G3">+SUM(C5:C7/#REF!)</f>
        <v>#REF!</v>
      </c>
      <c r="H3" t="s">
        <v>8</v>
      </c>
      <c r="I3" t="s">
        <v>12</v>
      </c>
      <c r="J3">
        <f>C9/A7</f>
        <v>230</v>
      </c>
      <c r="K3" t="s">
        <v>16</v>
      </c>
      <c r="N3" s="1"/>
    </row>
    <row r="4" spans="1:14" x14ac:dyDescent="0.25">
      <c r="B4" t="s">
        <v>5</v>
      </c>
      <c r="C4" t="s">
        <v>15</v>
      </c>
      <c r="D4" t="s">
        <v>14</v>
      </c>
      <c r="F4" t="s">
        <v>4</v>
      </c>
      <c r="G4" t="e" cm="1">
        <f t="array" ref="G4">+SUM(D5:D7/#REF!)</f>
        <v>#REF!</v>
      </c>
      <c r="H4" t="s">
        <v>8</v>
      </c>
      <c r="I4" t="s">
        <v>4</v>
      </c>
      <c r="J4" s="2">
        <f>+D9/3</f>
        <v>6</v>
      </c>
      <c r="K4" t="s">
        <v>16</v>
      </c>
      <c r="L4" s="2"/>
    </row>
    <row r="5" spans="1:14" x14ac:dyDescent="0.25">
      <c r="A5" s="6">
        <v>1</v>
      </c>
      <c r="B5" s="6" t="s">
        <v>35</v>
      </c>
      <c r="C5" s="7">
        <v>230</v>
      </c>
      <c r="D5" s="1">
        <v>6</v>
      </c>
    </row>
    <row r="6" spans="1:14" x14ac:dyDescent="0.25">
      <c r="A6" s="6">
        <v>2</v>
      </c>
      <c r="B6" s="6" t="s">
        <v>35</v>
      </c>
      <c r="C6" s="7">
        <v>230</v>
      </c>
      <c r="D6" s="1">
        <v>6</v>
      </c>
      <c r="I6" t="s">
        <v>36</v>
      </c>
      <c r="J6" s="21">
        <f>+J3/(J3+J4)</f>
        <v>0.97457627118644063</v>
      </c>
    </row>
    <row r="7" spans="1:14" x14ac:dyDescent="0.25">
      <c r="A7" s="6">
        <v>3</v>
      </c>
      <c r="B7" s="6" t="s">
        <v>35</v>
      </c>
      <c r="C7" s="7">
        <v>230</v>
      </c>
      <c r="D7" s="1">
        <v>6</v>
      </c>
    </row>
    <row r="9" spans="1:14" x14ac:dyDescent="0.25">
      <c r="C9" s="8">
        <f>SUM(C5:C7)</f>
        <v>690</v>
      </c>
      <c r="D9" s="8">
        <f>SUM(D5:D7)</f>
        <v>18</v>
      </c>
    </row>
  </sheetData>
  <autoFilter ref="B4:D7" xr:uid="{00000000-0001-0000-0000-000000000000}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2602-9D70-43AF-A227-9CE2D5E4451F}">
  <dimension ref="A1"/>
  <sheetViews>
    <sheetView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EJEEMPLO SIST 1</vt:lpstr>
      <vt:lpstr>EJEEMPLO 3.1 - 3.2</vt:lpstr>
      <vt:lpstr>Caso 3.3</vt:lpstr>
      <vt:lpstr>Disponibilidad</vt:lpstr>
      <vt:lpstr>Disponibilidad (2)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Edison Muñante Mendoza</cp:lastModifiedBy>
  <dcterms:created xsi:type="dcterms:W3CDTF">2015-06-05T18:19:34Z</dcterms:created>
  <dcterms:modified xsi:type="dcterms:W3CDTF">2024-02-06T23:09:23Z</dcterms:modified>
</cp:coreProperties>
</file>